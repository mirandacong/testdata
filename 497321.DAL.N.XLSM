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14385" yWindow="-15" windowWidth="14430" windowHeight="13440" tabRatio="800" firstSheet="1" activeTab="1"/>
  </bookViews>
  <sheets>
    <sheet name="MW-Cache" sheetId="237" state="veryHidden" r:id="rId1"/>
    <sheet name="ImportantDisclosures" sheetId="306" r:id="rId2"/>
    <sheet name="Cover" sheetId="300" r:id="rId3"/>
    <sheet name="Valuation" sheetId="301" r:id="rId4"/>
    <sheet name="Model" sheetId="5" r:id="rId5"/>
    <sheet name="IndexInformation" sheetId="307" r:id="rId6"/>
    <sheet name="ModPubIndex" sheetId="308" r:id="rId7"/>
    <sheet name="__APW_ACTIVE_FIELD_RESTORE__" sheetId="235" state="veryHidden" r:id="rId8"/>
  </sheets>
  <externalReferences>
    <externalReference r:id="rId9"/>
    <externalReference r:id="rId10"/>
    <externalReference r:id="rId11"/>
  </externalReferences>
  <definedNames>
    <definedName name="__FDS_HYPERLINK_TOGGLE_STATE__" hidden="1">"ON"</definedName>
    <definedName name="__FDS_UNIQUE_RANGE_ID_GENERATOR_COUNTER" hidden="1">1</definedName>
    <definedName name="_7__123Graph_XLIQUIDS" hidden="1">[1]P!$R$29:$AK$29</definedName>
    <definedName name="_9__123Graph_XR_M_MARG" hidden="1">[1]P!$R$29:$AK$29</definedName>
    <definedName name="_bdm.02E29E7B1053433EA3CCCBE4E5141596.edm" hidden="1">[2]Sheet1!$1:$1048576</definedName>
    <definedName name="_bdm.11EB72ACE3374B1CB252FDD683429D59.edm" hidden="1">[3]C1500!$1:$1048576</definedName>
    <definedName name="_Order1" hidden="1">255</definedName>
    <definedName name="AdditionalInstructions">IndexInformation!$B$42</definedName>
    <definedName name="Address" localSheetId="1">ImportantDisclosures!$A$2:$A$2</definedName>
    <definedName name="AirTran">{"Client Name or Project Name"}</definedName>
    <definedName name="AirtranAirways">{"Client Name or Project Name"}</definedName>
    <definedName name="ANA" localSheetId="6">ModPubIndex!$A$7</definedName>
    <definedName name="anscount" hidden="1">1</definedName>
    <definedName name="Authors" localSheetId="1">ImportantDisclosures!$A$7</definedName>
    <definedName name="Authors" localSheetId="5">IndexInformation!$B$18</definedName>
    <definedName name="BRO" localSheetId="6">ModPubIndex!$A$1</definedName>
    <definedName name="CopyrightStamp">ImportantDisclosures!$A$27</definedName>
    <definedName name="COU" localSheetId="6">ModPubIndex!$A$5</definedName>
    <definedName name="CQEnd" localSheetId="5">IndexInformation!$B$31</definedName>
    <definedName name="Currency" localSheetId="5">IndexInformation!$B$24</definedName>
    <definedName name="currentFY">2016</definedName>
    <definedName name="CurrentStockPrice" localSheetId="5">IndexInformation!$B$23</definedName>
    <definedName name="CurrQtrEPS" localSheetId="5">IndexInformation!$B$29</definedName>
    <definedName name="CurrYearEPS" localSheetId="5">IndexInformation!$B$11</definedName>
    <definedName name="CurrYearTotalRevenue" localSheetId="5">IndexInformation!$B$10</definedName>
    <definedName name="CurrYearTotalRevenueActual" localSheetId="5">IndexInformation!$B$32</definedName>
    <definedName name="CUSIP" localSheetId="5">IndexInformation!$B$20</definedName>
    <definedName name="CYEnd" localSheetId="5">IndexInformation!$B$30</definedName>
    <definedName name="Date" localSheetId="1">ImportantDisclosures!$A$8</definedName>
    <definedName name="Deleted" localSheetId="5">IndexInformation!$B$27</definedName>
    <definedName name="Description" localSheetId="5">IndexInformation!$B$7</definedName>
    <definedName name="Discipline" localSheetId="5">IndexInformation!$B$3</definedName>
    <definedName name="DISCIPLINE" localSheetId="6">ModPubIndex!$A$12</definedName>
    <definedName name="DisclosuresText">ImportantDisclosures!$A$22</definedName>
    <definedName name="Distribution" localSheetId="5">IndexInformation!$B$26</definedName>
    <definedName name="DistTable" localSheetId="1">ImportantDisclosures!#REF!</definedName>
    <definedName name="DistTablePreamble" localSheetId="1">ImportantDisclosures!#REF!</definedName>
    <definedName name="DOCDAT" localSheetId="6">ModPubIndex!$A$2</definedName>
    <definedName name="DOCTIME" localSheetId="6">ModPubIndex!$A$3</definedName>
    <definedName name="DocType" localSheetId="5">IndexInformation!$B$5</definedName>
    <definedName name="dropDown">1</definedName>
    <definedName name="dropDown2">1</definedName>
    <definedName name="EMAIL_ALERT" localSheetId="6">ModPubIndex!$A$10</definedName>
    <definedName name="EmailAlert" localSheetId="5">IndexInformation!$B$28</definedName>
    <definedName name="FiveYearGrowthRate" localSheetId="5">IndexInformation!$B$16</definedName>
    <definedName name="FollowingYearEPS" localSheetId="5">IndexInformation!$B$15</definedName>
    <definedName name="FollowingYearTotalRevenue" localSheetId="5">IndexInformation!$B$14</definedName>
    <definedName name="FollowingYearTotalRevenueActual" localSheetId="5">IndexInformation!$B$34</definedName>
    <definedName name="HL" localSheetId="6">ModPubIndex!$A$8</definedName>
    <definedName name="IND" localSheetId="6">ModPubIndex!$A$9</definedName>
    <definedName name="Industry" localSheetId="1">ImportantDisclosures!$A$12</definedName>
    <definedName name="IndustryId">IndexInformation!$B$40</definedName>
    <definedName name="IndustryRating" localSheetId="1">ImportantDisclosures!$A$13</definedName>
    <definedName name="JBLU">{"Client Name or Project Name"}</definedName>
    <definedName name="KeepVersions" localSheetId="5">IndexInformation!$B$8</definedName>
    <definedName name="LanguageCode">IndexInformation!$B$38</definedName>
    <definedName name="LastCell" localSheetId="1">ImportantDisclosures!$A$22</definedName>
    <definedName name="Linking_1">Valuation!$B$37:$H$49</definedName>
    <definedName name="Linking_2">Valuation!$L$6:$S$60</definedName>
    <definedName name="Linking_3">Valuation!$B$37:$J$50</definedName>
    <definedName name="Linking_4">Valuation!$L$6:$V$60</definedName>
    <definedName name="Linking_Range_1">Valuation!$L$6:$S$59</definedName>
    <definedName name="MacroVersion" localSheetId="5">IndexInformation!$B$1</definedName>
    <definedName name="ModelPrice" localSheetId="1">ImportantDisclosures!$A$14</definedName>
    <definedName name="Multiplier" localSheetId="5">IndexInformation!$B$35</definedName>
    <definedName name="NextYearEPS" localSheetId="5">IndexInformation!$B$13</definedName>
    <definedName name="NextYearTotalRevenue" localSheetId="5">IndexInformation!$B$12</definedName>
    <definedName name="NextYearTotalRevenueActual" localSheetId="5">IndexInformation!$B$33</definedName>
    <definedName name="ObjectType">IndexInformation!$B$37</definedName>
    <definedName name="OPEB_Guide">#N/A</definedName>
    <definedName name="PANA" localSheetId="6">ModPubIndex!$A$11</definedName>
    <definedName name="PathName" localSheetId="5">IndexInformation!$B$25</definedName>
    <definedName name="Pension_Guide">#N/A</definedName>
    <definedName name="_xlnm.Print_Area">#REF!</definedName>
    <definedName name="_xlnm.Print_Titles">#REF!</definedName>
    <definedName name="PRODUCT" localSheetId="6">ModPubIndex!$A$6</definedName>
    <definedName name="ProjectName">{"Client Name or Project Name"}</definedName>
    <definedName name="PSYM" localSheetId="6">ModPubIndex!$A$4</definedName>
    <definedName name="PublishDate" localSheetId="5">IndexInformation!$B$2</definedName>
    <definedName name="Questions1">{"Client Name or Project Name"}</definedName>
    <definedName name="Rating" localSheetId="5">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searchTopic" localSheetId="5">IndexInformation!$B$4</definedName>
    <definedName name="RIC" localSheetId="5">IndexInformation!$B$21</definedName>
    <definedName name="SECSettlement" localSheetId="1">ImportantDisclosures!#REF!</definedName>
    <definedName name="SEDOL" localSheetId="5">IndexInformation!$B$22</definedName>
    <definedName name="Sedol">"B1W9D46"</definedName>
    <definedName name="SedolTicker">"B1W9D46"</definedName>
    <definedName name="SourceDefined" localSheetId="1">ImportantDisclosures!$A$19</definedName>
    <definedName name="Statement">[0]!Statement</definedName>
    <definedName name="StockRating" localSheetId="1">ImportantDisclosures!$A$11</definedName>
    <definedName name="SubjectCode" localSheetId="5">IndexInformation!$B$6</definedName>
    <definedName name="SubmitterUserId">IndexInformation!$B$39</definedName>
    <definedName name="SUPPRESSED" localSheetId="6">ModPubIndex!$A$13</definedName>
    <definedName name="TargetPrice" localSheetId="1">ImportantDisclosures!$A$15</definedName>
    <definedName name="TemplateRegion">IndexInformation!$B$36</definedName>
    <definedName name="Ticker" localSheetId="1">ImportantDisclosures!$A$10</definedName>
    <definedName name="TickerRegion">IndexInformation!$B$41</definedName>
    <definedName name="Tickers" localSheetId="5">IndexInformation!$B$19</definedName>
    <definedName name="trEdate">"0FY"</definedName>
    <definedName name="trSdate">"'-7FY"</definedName>
    <definedName name="UpdateReason" localSheetId="5">IndexInformation!$B$17</definedName>
    <definedName name="USRegDisclosures" localSheetId="1">ImportantDisclosures!#REF!</definedName>
    <definedName name="Version">"June 29, 2004"</definedName>
  </definedNames>
  <calcPr calcId="145621"/>
</workbook>
</file>

<file path=xl/calcChain.xml><?xml version="1.0" encoding="utf-8"?>
<calcChain xmlns="http://schemas.openxmlformats.org/spreadsheetml/2006/main">
  <c r="S29" i="301" l="1"/>
  <c r="S19" i="301"/>
  <c r="S11" i="301"/>
  <c r="CX30" i="5"/>
  <c r="CX31" i="5"/>
  <c r="CX32" i="5"/>
  <c r="CX57" i="5"/>
  <c r="CX58" i="5"/>
  <c r="CX60" i="5"/>
  <c r="CX61" i="5"/>
  <c r="CX62" i="5" s="1"/>
  <c r="CX65" i="5"/>
  <c r="CX67" i="5"/>
  <c r="CX68" i="5"/>
  <c r="CX70" i="5"/>
  <c r="CX71" i="5" s="1"/>
  <c r="CX72" i="5"/>
  <c r="CX66" i="5" s="1"/>
  <c r="CX73" i="5"/>
  <c r="CX74" i="5"/>
  <c r="CX75" i="5" s="1"/>
  <c r="DB274" i="5"/>
  <c r="DG274" i="5"/>
  <c r="DL274" i="5"/>
  <c r="CX16" i="5"/>
  <c r="CX17" i="5"/>
  <c r="CX76" i="5" l="1"/>
  <c r="CX63" i="5"/>
  <c r="CX77" i="5"/>
  <c r="CX78" i="5" s="1"/>
  <c r="A447" i="5" l="1"/>
  <c r="A444" i="5"/>
  <c r="A441" i="5"/>
  <c r="A438" i="5"/>
  <c r="A435" i="5"/>
  <c r="A432" i="5"/>
  <c r="DL426" i="5"/>
  <c r="DL421" i="5"/>
  <c r="DG426" i="5"/>
  <c r="DG421" i="5"/>
  <c r="DB426" i="5"/>
  <c r="DB421" i="5"/>
  <c r="CW426" i="5"/>
  <c r="CW421" i="5"/>
  <c r="CR426" i="5"/>
  <c r="CR421" i="5"/>
  <c r="CM426" i="5"/>
  <c r="CM421" i="5"/>
  <c r="CH426" i="5"/>
  <c r="CH421" i="5"/>
  <c r="CC426" i="5"/>
  <c r="CC421" i="5"/>
  <c r="BX426" i="5"/>
  <c r="BX421" i="5"/>
  <c r="BS426" i="5"/>
  <c r="BR426" i="5"/>
  <c r="BQ426" i="5"/>
  <c r="BP426" i="5"/>
  <c r="BO426" i="5"/>
  <c r="BN426" i="5"/>
  <c r="BM426" i="5"/>
  <c r="BL426" i="5"/>
  <c r="BK426" i="5"/>
  <c r="BJ426" i="5"/>
  <c r="BI426" i="5"/>
  <c r="BH426" i="5"/>
  <c r="BG426" i="5"/>
  <c r="BF426" i="5"/>
  <c r="BE426" i="5"/>
  <c r="BD426" i="5"/>
  <c r="BC426" i="5"/>
  <c r="BB426" i="5"/>
  <c r="BA426" i="5"/>
  <c r="AZ426" i="5"/>
  <c r="BS421" i="5"/>
  <c r="BR421" i="5"/>
  <c r="BQ421" i="5"/>
  <c r="BP421" i="5"/>
  <c r="BO421" i="5"/>
  <c r="BN421" i="5"/>
  <c r="BM421" i="5"/>
  <c r="BL421" i="5"/>
  <c r="BK421" i="5"/>
  <c r="BJ421" i="5"/>
  <c r="BI421" i="5"/>
  <c r="BH421" i="5"/>
  <c r="BG421" i="5"/>
  <c r="BF421" i="5"/>
  <c r="BE421" i="5"/>
  <c r="BD421" i="5"/>
  <c r="BC421" i="5"/>
  <c r="BB421" i="5"/>
  <c r="BA421" i="5"/>
  <c r="AZ421" i="5"/>
  <c r="A417" i="5"/>
  <c r="A416" i="5"/>
  <c r="A414" i="5"/>
  <c r="A413" i="5"/>
  <c r="A411" i="5"/>
  <c r="A410" i="5"/>
  <c r="BN408" i="5"/>
  <c r="BM408" i="5"/>
  <c r="BL408" i="5"/>
  <c r="BI408" i="5"/>
  <c r="BI407" i="5"/>
  <c r="BO407" i="5"/>
  <c r="BP407" i="5" s="1"/>
  <c r="BQ407" i="5" s="1"/>
  <c r="BR407" i="5" s="1"/>
  <c r="BM407" i="5"/>
  <c r="BN407" i="5" s="1"/>
  <c r="BS407" i="5" s="1"/>
  <c r="BX407" i="5" s="1"/>
  <c r="CC407" i="5" s="1"/>
  <c r="CH407" i="5" s="1"/>
  <c r="CM407" i="5" s="1"/>
  <c r="CR407" i="5" s="1"/>
  <c r="BH407" i="5"/>
  <c r="BG407" i="5"/>
  <c r="BF407" i="5"/>
  <c r="BC407" i="5"/>
  <c r="BA407" i="5"/>
  <c r="BB407" i="5" s="1"/>
  <c r="BR397" i="5"/>
  <c r="BQ397" i="5"/>
  <c r="BP397" i="5"/>
  <c r="BO397" i="5"/>
  <c r="BM397" i="5"/>
  <c r="BL397" i="5"/>
  <c r="BK397" i="5"/>
  <c r="BJ397" i="5"/>
  <c r="BH397" i="5"/>
  <c r="BG397" i="5"/>
  <c r="BF397" i="5"/>
  <c r="BE397" i="5"/>
  <c r="BC397" i="5"/>
  <c r="BB397" i="5"/>
  <c r="BA397" i="5"/>
  <c r="AZ397" i="5"/>
  <c r="BR391" i="5"/>
  <c r="BQ391" i="5"/>
  <c r="BP391" i="5"/>
  <c r="BO391" i="5"/>
  <c r="BM391" i="5"/>
  <c r="BL391" i="5"/>
  <c r="BK391" i="5"/>
  <c r="BJ391" i="5"/>
  <c r="BH391" i="5"/>
  <c r="BG391" i="5"/>
  <c r="BF391" i="5"/>
  <c r="BE391" i="5"/>
  <c r="BC391" i="5"/>
  <c r="BA391" i="5"/>
  <c r="AZ391" i="5"/>
  <c r="BG387" i="5"/>
  <c r="BH387" i="5" s="1"/>
  <c r="BF387" i="5"/>
  <c r="BB387" i="5"/>
  <c r="BC387" i="5" s="1"/>
  <c r="BD387" i="5" s="1"/>
  <c r="BI387" i="5" s="1"/>
  <c r="BA387" i="5"/>
  <c r="BC379" i="5"/>
  <c r="BD379" i="5" s="1"/>
  <c r="BE379" i="5" s="1"/>
  <c r="BF379" i="5" s="1"/>
  <c r="BG379" i="5" s="1"/>
  <c r="BH379" i="5" s="1"/>
  <c r="BI379" i="5" s="1"/>
  <c r="BN379" i="5" s="1"/>
  <c r="BS379" i="5" s="1"/>
  <c r="BX379" i="5" s="1"/>
  <c r="CC379" i="5" s="1"/>
  <c r="CH379" i="5" s="1"/>
  <c r="CM379" i="5" s="1"/>
  <c r="CR379" i="5" s="1"/>
  <c r="AE371" i="5"/>
  <c r="Z371" i="5"/>
  <c r="U371" i="5"/>
  <c r="P371" i="5"/>
  <c r="BR371" i="5"/>
  <c r="BQ371" i="5"/>
  <c r="BP371" i="5"/>
  <c r="BO371" i="5"/>
  <c r="BM371" i="5"/>
  <c r="BL371" i="5"/>
  <c r="BK371" i="5"/>
  <c r="BJ371" i="5"/>
  <c r="BH371" i="5"/>
  <c r="BG371" i="5"/>
  <c r="BF371" i="5"/>
  <c r="BE371" i="5"/>
  <c r="BC371" i="5"/>
  <c r="BA371" i="5"/>
  <c r="AZ371" i="5"/>
  <c r="AY371" i="5"/>
  <c r="AX371" i="5"/>
  <c r="AW371" i="5"/>
  <c r="AV371" i="5"/>
  <c r="AU371" i="5"/>
  <c r="AO371" i="5"/>
  <c r="AN371" i="5"/>
  <c r="AM371" i="5"/>
  <c r="AL371" i="5"/>
  <c r="AK371" i="5"/>
  <c r="AJ371" i="5"/>
  <c r="BD349" i="5"/>
  <c r="BE349" i="5" s="1"/>
  <c r="BF349" i="5" s="1"/>
  <c r="BG349" i="5" s="1"/>
  <c r="BH349" i="5" s="1"/>
  <c r="BB349" i="5"/>
  <c r="BC349" i="5" s="1"/>
  <c r="BI347" i="5"/>
  <c r="BJ347" i="5" s="1"/>
  <c r="BK347" i="5" s="1"/>
  <c r="BL347" i="5" s="1"/>
  <c r="BM347" i="5" s="1"/>
  <c r="BN347" i="5" s="1"/>
  <c r="BD347" i="5"/>
  <c r="Z345" i="5"/>
  <c r="U345" i="5"/>
  <c r="P345" i="5"/>
  <c r="K345" i="5"/>
  <c r="F345" i="5"/>
  <c r="BR345" i="5"/>
  <c r="BQ345" i="5"/>
  <c r="BP345" i="5"/>
  <c r="BO345" i="5"/>
  <c r="BM345" i="5"/>
  <c r="BL345" i="5"/>
  <c r="BK345" i="5"/>
  <c r="BJ345" i="5"/>
  <c r="BH345" i="5"/>
  <c r="BG345" i="5"/>
  <c r="BF345" i="5"/>
  <c r="BE345" i="5"/>
  <c r="BC345" i="5"/>
  <c r="BB345" i="5"/>
  <c r="BA345" i="5"/>
  <c r="AV345" i="5"/>
  <c r="AU345" i="5"/>
  <c r="AO345" i="5"/>
  <c r="AN345" i="5"/>
  <c r="AM345" i="5"/>
  <c r="AL345" i="5"/>
  <c r="AK345" i="5"/>
  <c r="AJ345" i="5"/>
  <c r="AI345" i="5"/>
  <c r="AH345" i="5"/>
  <c r="AG345" i="5"/>
  <c r="AF345" i="5"/>
  <c r="AE345" i="5"/>
  <c r="BI340" i="5"/>
  <c r="BI339" i="5"/>
  <c r="BD340" i="5"/>
  <c r="BD339" i="5"/>
  <c r="AO340" i="5"/>
  <c r="DL337" i="5"/>
  <c r="DG337" i="5"/>
  <c r="BH338" i="5"/>
  <c r="BG338" i="5"/>
  <c r="BF338" i="5"/>
  <c r="BE338" i="5"/>
  <c r="BI338" i="5" s="1"/>
  <c r="BH337" i="5"/>
  <c r="BG337" i="5"/>
  <c r="BF337" i="5"/>
  <c r="BE337" i="5"/>
  <c r="BI337" i="5" s="1"/>
  <c r="BC338" i="5"/>
  <c r="BB338" i="5"/>
  <c r="BA338" i="5"/>
  <c r="AZ338" i="5"/>
  <c r="BD338" i="5" s="1"/>
  <c r="AY338" i="5"/>
  <c r="AX338" i="5"/>
  <c r="AW338" i="5"/>
  <c r="AV338" i="5"/>
  <c r="AU338" i="5"/>
  <c r="BC337" i="5"/>
  <c r="BB337" i="5"/>
  <c r="BA337" i="5"/>
  <c r="AZ337" i="5"/>
  <c r="BD337" i="5" s="1"/>
  <c r="AY337" i="5"/>
  <c r="AY340" i="5" s="1"/>
  <c r="AX337" i="5"/>
  <c r="AW337" i="5"/>
  <c r="AV337" i="5"/>
  <c r="AU337" i="5"/>
  <c r="AO338" i="5"/>
  <c r="AN338" i="5"/>
  <c r="AM338" i="5"/>
  <c r="AL338" i="5"/>
  <c r="AK338" i="5"/>
  <c r="AO337" i="5"/>
  <c r="AN337" i="5"/>
  <c r="AM337" i="5"/>
  <c r="AL337" i="5"/>
  <c r="AK337" i="5"/>
  <c r="CX331" i="5"/>
  <c r="CX332" i="5" s="1"/>
  <c r="CT331" i="5"/>
  <c r="CT332" i="5" s="1"/>
  <c r="CP331" i="5"/>
  <c r="CP332" i="5" s="1"/>
  <c r="CL331" i="5"/>
  <c r="CL332" i="5" s="1"/>
  <c r="CD331" i="5"/>
  <c r="CD332" i="5" s="1"/>
  <c r="BZ331" i="5"/>
  <c r="BZ332" i="5" s="1"/>
  <c r="BV331" i="5"/>
  <c r="BV332" i="5" s="1"/>
  <c r="BR331" i="5"/>
  <c r="BR332" i="5" s="1"/>
  <c r="BJ331" i="5"/>
  <c r="BJ332" i="5" s="1"/>
  <c r="BF331" i="5"/>
  <c r="BF332" i="5" s="1"/>
  <c r="AY331" i="5"/>
  <c r="AY332" i="5" s="1"/>
  <c r="AM331" i="5"/>
  <c r="AM332" i="5" s="1"/>
  <c r="CX330" i="5"/>
  <c r="CU330" i="5"/>
  <c r="CU331" i="5" s="1"/>
  <c r="CU332" i="5" s="1"/>
  <c r="CT330" i="5"/>
  <c r="CS330" i="5"/>
  <c r="CS331" i="5" s="1"/>
  <c r="CS332" i="5" s="1"/>
  <c r="CP330" i="5"/>
  <c r="CO330" i="5"/>
  <c r="CO331" i="5" s="1"/>
  <c r="CO332" i="5" s="1"/>
  <c r="CN330" i="5"/>
  <c r="CN331" i="5" s="1"/>
  <c r="CN332" i="5" s="1"/>
  <c r="CL330" i="5"/>
  <c r="CK330" i="5"/>
  <c r="CK331" i="5" s="1"/>
  <c r="CK332" i="5" s="1"/>
  <c r="CJ330" i="5"/>
  <c r="CJ331" i="5" s="1"/>
  <c r="CJ332" i="5" s="1"/>
  <c r="CI330" i="5"/>
  <c r="CI331" i="5" s="1"/>
  <c r="CI332" i="5" s="1"/>
  <c r="CG330" i="5"/>
  <c r="CG331" i="5" s="1"/>
  <c r="CG332" i="5" s="1"/>
  <c r="CF330" i="5"/>
  <c r="CF331" i="5" s="1"/>
  <c r="CF332" i="5" s="1"/>
  <c r="CE330" i="5"/>
  <c r="CE331" i="5" s="1"/>
  <c r="CE332" i="5" s="1"/>
  <c r="CD330" i="5"/>
  <c r="CB330" i="5"/>
  <c r="CB331" i="5" s="1"/>
  <c r="CB332" i="5" s="1"/>
  <c r="CA330" i="5"/>
  <c r="CA331" i="5" s="1"/>
  <c r="CA332" i="5" s="1"/>
  <c r="BZ330" i="5"/>
  <c r="BY330" i="5"/>
  <c r="BY331" i="5" s="1"/>
  <c r="BY332" i="5" s="1"/>
  <c r="BW330" i="5"/>
  <c r="BW331" i="5" s="1"/>
  <c r="BW332" i="5" s="1"/>
  <c r="BV330" i="5"/>
  <c r="BU330" i="5"/>
  <c r="BU331" i="5" s="1"/>
  <c r="BU332" i="5" s="1"/>
  <c r="BT330" i="5"/>
  <c r="BT331" i="5" s="1"/>
  <c r="BT332" i="5" s="1"/>
  <c r="BR330" i="5"/>
  <c r="BQ330" i="5"/>
  <c r="BQ331" i="5" s="1"/>
  <c r="BQ332" i="5" s="1"/>
  <c r="BP330" i="5"/>
  <c r="BP331" i="5" s="1"/>
  <c r="BP332" i="5" s="1"/>
  <c r="BO330" i="5"/>
  <c r="BO331" i="5" s="1"/>
  <c r="BO332" i="5" s="1"/>
  <c r="BM330" i="5"/>
  <c r="BM331" i="5" s="1"/>
  <c r="BM332" i="5" s="1"/>
  <c r="BL330" i="5"/>
  <c r="BL331" i="5" s="1"/>
  <c r="BL332" i="5" s="1"/>
  <c r="BK330" i="5"/>
  <c r="BK331" i="5" s="1"/>
  <c r="BK332" i="5" s="1"/>
  <c r="BJ330" i="5"/>
  <c r="BH330" i="5"/>
  <c r="BH331" i="5" s="1"/>
  <c r="BH332" i="5" s="1"/>
  <c r="BG330" i="5"/>
  <c r="BG331" i="5" s="1"/>
  <c r="BG332" i="5" s="1"/>
  <c r="BF330" i="5"/>
  <c r="BE330" i="5"/>
  <c r="BE331" i="5" s="1"/>
  <c r="BE332" i="5" s="1"/>
  <c r="BC330" i="5"/>
  <c r="BC331" i="5" s="1"/>
  <c r="BC332" i="5" s="1"/>
  <c r="BB330" i="5"/>
  <c r="BA330" i="5"/>
  <c r="BA331" i="5" s="1"/>
  <c r="BA332" i="5" s="1"/>
  <c r="AZ330" i="5"/>
  <c r="AZ331" i="5" s="1"/>
  <c r="AZ332" i="5" s="1"/>
  <c r="AX330" i="5"/>
  <c r="AW330" i="5"/>
  <c r="AV330" i="5"/>
  <c r="AV331" i="5" s="1"/>
  <c r="AV332" i="5" s="1"/>
  <c r="AU330" i="5"/>
  <c r="AN330" i="5"/>
  <c r="AN331" i="5" s="1"/>
  <c r="AN332" i="5" s="1"/>
  <c r="AM330" i="5"/>
  <c r="AL330" i="5"/>
  <c r="AL331" i="5" s="1"/>
  <c r="AL332" i="5" s="1"/>
  <c r="AK330" i="5"/>
  <c r="AK331" i="5" s="1"/>
  <c r="AK332" i="5" s="1"/>
  <c r="AI330" i="5"/>
  <c r="AI331" i="5" s="1"/>
  <c r="AI332" i="5" s="1"/>
  <c r="AH330" i="5"/>
  <c r="AH331" i="5" s="1"/>
  <c r="AH332" i="5" s="1"/>
  <c r="AG330" i="5"/>
  <c r="AG331" i="5" s="1"/>
  <c r="AG332" i="5" s="1"/>
  <c r="AF330" i="5"/>
  <c r="AF331" i="5" s="1"/>
  <c r="AF332" i="5" s="1"/>
  <c r="CM328" i="5"/>
  <c r="CM327" i="5"/>
  <c r="CM326" i="5"/>
  <c r="CM325" i="5"/>
  <c r="CM324" i="5"/>
  <c r="CM330" i="5" s="1"/>
  <c r="CM323" i="5"/>
  <c r="CH328" i="5"/>
  <c r="CH327" i="5"/>
  <c r="CH326" i="5"/>
  <c r="CH325" i="5"/>
  <c r="CH324" i="5"/>
  <c r="CH323" i="5"/>
  <c r="CH330" i="5" s="1"/>
  <c r="CC328" i="5"/>
  <c r="CC327" i="5"/>
  <c r="CC326" i="5"/>
  <c r="CC325" i="5"/>
  <c r="CC324" i="5"/>
  <c r="CC330" i="5" s="1"/>
  <c r="CC323" i="5"/>
  <c r="BX328" i="5"/>
  <c r="BX327" i="5"/>
  <c r="BX326" i="5"/>
  <c r="BX325" i="5"/>
  <c r="BX324" i="5"/>
  <c r="BX323" i="5"/>
  <c r="BX330" i="5" s="1"/>
  <c r="BS328" i="5"/>
  <c r="BS327" i="5"/>
  <c r="BS326" i="5"/>
  <c r="BS325" i="5"/>
  <c r="BS324" i="5"/>
  <c r="BS330" i="5" s="1"/>
  <c r="BS323" i="5"/>
  <c r="BN328" i="5"/>
  <c r="BN327" i="5"/>
  <c r="BN326" i="5"/>
  <c r="BN325" i="5"/>
  <c r="BN324" i="5"/>
  <c r="BN323" i="5"/>
  <c r="BN330" i="5" s="1"/>
  <c r="BI328" i="5"/>
  <c r="BI327" i="5"/>
  <c r="BI326" i="5"/>
  <c r="BI325" i="5"/>
  <c r="BI324" i="5"/>
  <c r="BI330" i="5" s="1"/>
  <c r="BI323" i="5"/>
  <c r="BD328" i="5"/>
  <c r="BD327" i="5"/>
  <c r="BD326" i="5"/>
  <c r="BD325" i="5"/>
  <c r="BD324" i="5"/>
  <c r="BD323" i="5"/>
  <c r="BD330" i="5" s="1"/>
  <c r="AO328" i="5"/>
  <c r="AJ328" i="5"/>
  <c r="AE328" i="5"/>
  <c r="Z328" i="5"/>
  <c r="U328" i="5"/>
  <c r="P328" i="5"/>
  <c r="K328" i="5"/>
  <c r="F328" i="5"/>
  <c r="CW328" i="5"/>
  <c r="CV328" i="5"/>
  <c r="CW326" i="5"/>
  <c r="CW324" i="5"/>
  <c r="CW323" i="5"/>
  <c r="CV325" i="5"/>
  <c r="CQ328" i="5"/>
  <c r="CR328" i="5" s="1"/>
  <c r="CQ325" i="5"/>
  <c r="CR325" i="5" s="1"/>
  <c r="CR324" i="5"/>
  <c r="CR323" i="5"/>
  <c r="CY327" i="5"/>
  <c r="CZ327" i="5" s="1"/>
  <c r="DA327" i="5" s="1"/>
  <c r="DB327" i="5" s="1"/>
  <c r="DG327" i="5" s="1"/>
  <c r="DL327" i="5" s="1"/>
  <c r="CY325" i="5"/>
  <c r="CZ325" i="5" s="1"/>
  <c r="DA325" i="5" s="1"/>
  <c r="DB325" i="5" s="1"/>
  <c r="DG325" i="5" s="1"/>
  <c r="DL325" i="5" s="1"/>
  <c r="CY324" i="5"/>
  <c r="CZ324" i="5" s="1"/>
  <c r="DA324" i="5" s="1"/>
  <c r="DB324" i="5" s="1"/>
  <c r="DG324" i="5" s="1"/>
  <c r="DL324" i="5" s="1"/>
  <c r="CY323" i="5"/>
  <c r="CX321" i="5"/>
  <c r="CV321" i="5"/>
  <c r="CU321" i="5"/>
  <c r="CT321" i="5"/>
  <c r="CS321" i="5"/>
  <c r="CQ321" i="5"/>
  <c r="CP321" i="5"/>
  <c r="CO321" i="5"/>
  <c r="CN321" i="5"/>
  <c r="CL321" i="5"/>
  <c r="CK321" i="5"/>
  <c r="CJ321" i="5"/>
  <c r="CI321" i="5"/>
  <c r="CG321" i="5"/>
  <c r="CF321" i="5"/>
  <c r="CE321" i="5"/>
  <c r="CD321" i="5"/>
  <c r="CB321" i="5"/>
  <c r="CA321" i="5"/>
  <c r="BZ321" i="5"/>
  <c r="BY321" i="5"/>
  <c r="BW321" i="5"/>
  <c r="BV321" i="5"/>
  <c r="BU321" i="5"/>
  <c r="BT321" i="5"/>
  <c r="BR321" i="5"/>
  <c r="BQ321" i="5"/>
  <c r="BP321" i="5"/>
  <c r="BO321" i="5"/>
  <c r="BM321" i="5"/>
  <c r="BL321" i="5"/>
  <c r="BK321" i="5"/>
  <c r="BJ321" i="5"/>
  <c r="BH321" i="5"/>
  <c r="BG321" i="5"/>
  <c r="BF321" i="5"/>
  <c r="BE321" i="5"/>
  <c r="BC321" i="5"/>
  <c r="BA321" i="5"/>
  <c r="AZ321" i="5"/>
  <c r="AV321" i="5"/>
  <c r="AO321" i="5"/>
  <c r="AO331" i="5" s="1"/>
  <c r="AO320" i="5"/>
  <c r="AJ320" i="5"/>
  <c r="AJ321" i="5" s="1"/>
  <c r="AJ331" i="5" s="1"/>
  <c r="AE320" i="5"/>
  <c r="AE321" i="5" s="1"/>
  <c r="AE331" i="5" s="1"/>
  <c r="Z320" i="5"/>
  <c r="Z321" i="5" s="1"/>
  <c r="Z331" i="5" s="1"/>
  <c r="U321" i="5"/>
  <c r="U331" i="5" s="1"/>
  <c r="U320" i="5"/>
  <c r="P320" i="5"/>
  <c r="P321" i="5" s="1"/>
  <c r="P331" i="5" s="1"/>
  <c r="K320" i="5"/>
  <c r="K321" i="5" s="1"/>
  <c r="K331" i="5" s="1"/>
  <c r="F320" i="5"/>
  <c r="F321" i="5" s="1"/>
  <c r="F331" i="5" s="1"/>
  <c r="CW317" i="5"/>
  <c r="CW316" i="5"/>
  <c r="CW313" i="5"/>
  <c r="CW308" i="5"/>
  <c r="CW307" i="5"/>
  <c r="CR317" i="5"/>
  <c r="CR316" i="5"/>
  <c r="CR313" i="5"/>
  <c r="CR308" i="5"/>
  <c r="CR307" i="5"/>
  <c r="CM317" i="5"/>
  <c r="CM316" i="5"/>
  <c r="CM313" i="5"/>
  <c r="CM308" i="5"/>
  <c r="CM307" i="5"/>
  <c r="CH317" i="5"/>
  <c r="CH316" i="5"/>
  <c r="CH313" i="5"/>
  <c r="CH308" i="5"/>
  <c r="CH307" i="5"/>
  <c r="CC317" i="5"/>
  <c r="CC316" i="5"/>
  <c r="CC314" i="5"/>
  <c r="CC313" i="5"/>
  <c r="CC308" i="5"/>
  <c r="CC307" i="5"/>
  <c r="BX318" i="5"/>
  <c r="BX320" i="5" s="1"/>
  <c r="BX317" i="5"/>
  <c r="BX316" i="5"/>
  <c r="BX314" i="5"/>
  <c r="BX313" i="5"/>
  <c r="BX308" i="5"/>
  <c r="BX307" i="5"/>
  <c r="BS317" i="5"/>
  <c r="BS316" i="5"/>
  <c r="BS314" i="5"/>
  <c r="BS313" i="5"/>
  <c r="BS308" i="5"/>
  <c r="BS307" i="5"/>
  <c r="BN318" i="5"/>
  <c r="BN320" i="5" s="1"/>
  <c r="BN317" i="5"/>
  <c r="BN316" i="5"/>
  <c r="BN314" i="5"/>
  <c r="BN313" i="5"/>
  <c r="BN308" i="5"/>
  <c r="BN307" i="5"/>
  <c r="BI317" i="5"/>
  <c r="BI316" i="5"/>
  <c r="BD318" i="5"/>
  <c r="BD317" i="5"/>
  <c r="BD316" i="5"/>
  <c r="BB320" i="5"/>
  <c r="BB321" i="5" s="1"/>
  <c r="BB331" i="5" s="1"/>
  <c r="BB332" i="5" s="1"/>
  <c r="AY320" i="5"/>
  <c r="AX320" i="5"/>
  <c r="AX321" i="5" s="1"/>
  <c r="AW320" i="5"/>
  <c r="AW321" i="5" s="1"/>
  <c r="AW331" i="5" s="1"/>
  <c r="AW332" i="5" s="1"/>
  <c r="AV320" i="5"/>
  <c r="AU320" i="5"/>
  <c r="AU321" i="5" s="1"/>
  <c r="CX318" i="5"/>
  <c r="BC318" i="5"/>
  <c r="AN320" i="5"/>
  <c r="AM320" i="5"/>
  <c r="AL320" i="5"/>
  <c r="AK320" i="5"/>
  <c r="AI320" i="5"/>
  <c r="AH320" i="5"/>
  <c r="AG320" i="5"/>
  <c r="AF320" i="5"/>
  <c r="CV318" i="5"/>
  <c r="CW318" i="5" s="1"/>
  <c r="CU318" i="5"/>
  <c r="CT318" i="5"/>
  <c r="CS318" i="5"/>
  <c r="CQ318" i="5"/>
  <c r="CP318" i="5"/>
  <c r="CO318" i="5"/>
  <c r="CN318" i="5"/>
  <c r="CL318" i="5"/>
  <c r="CM318" i="5" s="1"/>
  <c r="CK318" i="5"/>
  <c r="CJ318" i="5"/>
  <c r="CI318" i="5"/>
  <c r="CG318" i="5"/>
  <c r="CF318" i="5"/>
  <c r="CE318" i="5"/>
  <c r="CD318" i="5"/>
  <c r="CB318" i="5"/>
  <c r="CC318" i="5" s="1"/>
  <c r="CA318" i="5"/>
  <c r="BZ318" i="5"/>
  <c r="BY318" i="5"/>
  <c r="BW318" i="5"/>
  <c r="BV318" i="5"/>
  <c r="BU318" i="5"/>
  <c r="BT318" i="5"/>
  <c r="BR318" i="5"/>
  <c r="BS318" i="5" s="1"/>
  <c r="BQ318" i="5"/>
  <c r="BP318" i="5"/>
  <c r="BO318" i="5"/>
  <c r="BM318" i="5"/>
  <c r="BL318" i="5"/>
  <c r="BK318" i="5"/>
  <c r="BJ318" i="5"/>
  <c r="BH318" i="5"/>
  <c r="BI318" i="5" s="1"/>
  <c r="BI320" i="5" s="1"/>
  <c r="BG318" i="5"/>
  <c r="BF318" i="5"/>
  <c r="BE318" i="5"/>
  <c r="BA318" i="5"/>
  <c r="AZ318" i="5"/>
  <c r="AY318" i="5"/>
  <c r="CG314" i="5"/>
  <c r="CH314" i="5" s="1"/>
  <c r="CI314" i="5" s="1"/>
  <c r="CJ314" i="5" s="1"/>
  <c r="CK314" i="5" s="1"/>
  <c r="CL314" i="5" s="1"/>
  <c r="CM314" i="5" s="1"/>
  <c r="CN314" i="5" s="1"/>
  <c r="CO314" i="5" s="1"/>
  <c r="CP314" i="5" s="1"/>
  <c r="CQ314" i="5" s="1"/>
  <c r="CR314" i="5" s="1"/>
  <c r="CS314" i="5" s="1"/>
  <c r="CT314" i="5" s="1"/>
  <c r="CU314" i="5" s="1"/>
  <c r="CV314" i="5" s="1"/>
  <c r="CW314" i="5" s="1"/>
  <c r="CX314" i="5" s="1"/>
  <c r="CY314" i="5" s="1"/>
  <c r="CZ314" i="5" s="1"/>
  <c r="DA314" i="5" s="1"/>
  <c r="DB314" i="5" s="1"/>
  <c r="DG314" i="5" s="1"/>
  <c r="DL314" i="5" s="1"/>
  <c r="CF314" i="5"/>
  <c r="CE314" i="5"/>
  <c r="BV314" i="5"/>
  <c r="BU314" i="5"/>
  <c r="BI313" i="5"/>
  <c r="BI308" i="5"/>
  <c r="BI307" i="5"/>
  <c r="BD313" i="5"/>
  <c r="BD308" i="5"/>
  <c r="BD307" i="5"/>
  <c r="CX310" i="5"/>
  <c r="Z310" i="5"/>
  <c r="U310" i="5"/>
  <c r="P310" i="5"/>
  <c r="K310" i="5"/>
  <c r="AT310" i="5"/>
  <c r="AS310" i="5"/>
  <c r="AR310" i="5"/>
  <c r="AQ310" i="5"/>
  <c r="AP310" i="5"/>
  <c r="AO310" i="5"/>
  <c r="AN310" i="5"/>
  <c r="AM310" i="5"/>
  <c r="AL310" i="5"/>
  <c r="AK310" i="5"/>
  <c r="AJ310" i="5"/>
  <c r="AI310" i="5"/>
  <c r="AH310" i="5"/>
  <c r="AG310" i="5"/>
  <c r="AF310" i="5"/>
  <c r="AE310" i="5"/>
  <c r="CV310" i="5"/>
  <c r="CW310" i="5" s="1"/>
  <c r="CU310" i="5"/>
  <c r="CT310" i="5"/>
  <c r="CS310" i="5"/>
  <c r="CQ310" i="5"/>
  <c r="CR310" i="5" s="1"/>
  <c r="CP310" i="5"/>
  <c r="CO310" i="5"/>
  <c r="CN310" i="5"/>
  <c r="CL310" i="5"/>
  <c r="CM310" i="5" s="1"/>
  <c r="CK310" i="5"/>
  <c r="CJ310" i="5"/>
  <c r="CI310" i="5"/>
  <c r="CG310" i="5"/>
  <c r="CH310" i="5" s="1"/>
  <c r="CF310" i="5"/>
  <c r="CE310" i="5"/>
  <c r="CD310" i="5"/>
  <c r="CB310" i="5"/>
  <c r="CC310" i="5" s="1"/>
  <c r="CA310" i="5"/>
  <c r="BZ310" i="5"/>
  <c r="BY310" i="5"/>
  <c r="BW310" i="5"/>
  <c r="BX310" i="5" s="1"/>
  <c r="BV310" i="5"/>
  <c r="BU310" i="5"/>
  <c r="BT310" i="5"/>
  <c r="BR310" i="5"/>
  <c r="BS310" i="5" s="1"/>
  <c r="BQ310" i="5"/>
  <c r="BP310" i="5"/>
  <c r="BO310" i="5"/>
  <c r="BM310" i="5"/>
  <c r="BN310" i="5" s="1"/>
  <c r="BL310" i="5"/>
  <c r="BK310" i="5"/>
  <c r="BJ310" i="5"/>
  <c r="BH310" i="5"/>
  <c r="BI310" i="5" s="1"/>
  <c r="BG310" i="5"/>
  <c r="BF310" i="5"/>
  <c r="BE310" i="5"/>
  <c r="BC310" i="5"/>
  <c r="BD310" i="5" s="1"/>
  <c r="BA310" i="5"/>
  <c r="AZ310" i="5"/>
  <c r="AY310" i="5"/>
  <c r="AX310" i="5"/>
  <c r="AW310" i="5"/>
  <c r="AV310" i="5"/>
  <c r="AU310" i="5"/>
  <c r="CY318" i="5"/>
  <c r="CZ307" i="5"/>
  <c r="DA307" i="5" s="1"/>
  <c r="DB307" i="5" s="1"/>
  <c r="DG307" i="5" s="1"/>
  <c r="DL307" i="5" s="1"/>
  <c r="CY307" i="5"/>
  <c r="BB307" i="5"/>
  <c r="K307" i="5"/>
  <c r="F307" i="5"/>
  <c r="CW301" i="5"/>
  <c r="CW293" i="5"/>
  <c r="CW292" i="5"/>
  <c r="CW289" i="5"/>
  <c r="CW286" i="5"/>
  <c r="CR301" i="5"/>
  <c r="CR293" i="5"/>
  <c r="CR292" i="5"/>
  <c r="CR289" i="5"/>
  <c r="CR286" i="5"/>
  <c r="CM301" i="5"/>
  <c r="CM299" i="5"/>
  <c r="CM293" i="5"/>
  <c r="CM292" i="5"/>
  <c r="CM289" i="5"/>
  <c r="CM345" i="5" s="1"/>
  <c r="CM286" i="5"/>
  <c r="CH301" i="5"/>
  <c r="CH299" i="5"/>
  <c r="CH293" i="5"/>
  <c r="CH292" i="5"/>
  <c r="CH289" i="5"/>
  <c r="CH345" i="5" s="1"/>
  <c r="CH286" i="5"/>
  <c r="CC301" i="5"/>
  <c r="CC299" i="5"/>
  <c r="CC296" i="5"/>
  <c r="CC293" i="5"/>
  <c r="CC292" i="5"/>
  <c r="CC289" i="5"/>
  <c r="CC286" i="5"/>
  <c r="BX301" i="5"/>
  <c r="BX299" i="5"/>
  <c r="BX296" i="5"/>
  <c r="BX293" i="5"/>
  <c r="BX292" i="5"/>
  <c r="BX289" i="5"/>
  <c r="BX286" i="5"/>
  <c r="BS301" i="5"/>
  <c r="BS299" i="5"/>
  <c r="BS296" i="5"/>
  <c r="BN301" i="5"/>
  <c r="BN299" i="5"/>
  <c r="BN296" i="5"/>
  <c r="BI301" i="5"/>
  <c r="BI299" i="5"/>
  <c r="BD301" i="5"/>
  <c r="BD299" i="5"/>
  <c r="AO302" i="5"/>
  <c r="AJ302" i="5"/>
  <c r="AE302" i="5"/>
  <c r="AE301" i="5"/>
  <c r="AE300" i="5"/>
  <c r="Z302" i="5"/>
  <c r="Z301" i="5"/>
  <c r="Z304" i="5" s="1"/>
  <c r="Z305" i="5" s="1"/>
  <c r="Z332" i="5" s="1"/>
  <c r="Z300" i="5"/>
  <c r="U302" i="5"/>
  <c r="U301" i="5"/>
  <c r="U300" i="5"/>
  <c r="P302" i="5"/>
  <c r="P301" i="5"/>
  <c r="P300" i="5"/>
  <c r="P304" i="5" s="1"/>
  <c r="P305" i="5" s="1"/>
  <c r="P332" i="5" s="1"/>
  <c r="K302" i="5"/>
  <c r="K301" i="5"/>
  <c r="K300" i="5"/>
  <c r="F302" i="5"/>
  <c r="CX304" i="5"/>
  <c r="CX302" i="5"/>
  <c r="BC304" i="5"/>
  <c r="BB304" i="5"/>
  <c r="BA304" i="5"/>
  <c r="BA302" i="5" s="1"/>
  <c r="AZ304" i="5"/>
  <c r="AZ302" i="5" s="1"/>
  <c r="AX304" i="5"/>
  <c r="AW304" i="5"/>
  <c r="AW301" i="5" s="1"/>
  <c r="AV304" i="5"/>
  <c r="AV301" i="5" s="1"/>
  <c r="AU304" i="5"/>
  <c r="AK304" i="5"/>
  <c r="CV304" i="5"/>
  <c r="CU304" i="5"/>
  <c r="CT304" i="5"/>
  <c r="CS304" i="5"/>
  <c r="CV302" i="5"/>
  <c r="CW302" i="5" s="1"/>
  <c r="CU302" i="5"/>
  <c r="CT302" i="5"/>
  <c r="CS302" i="5"/>
  <c r="CQ304" i="5"/>
  <c r="CP304" i="5"/>
  <c r="CO304" i="5"/>
  <c r="CN304" i="5"/>
  <c r="CQ302" i="5"/>
  <c r="CP302" i="5"/>
  <c r="CO302" i="5"/>
  <c r="CN302" i="5"/>
  <c r="CL304" i="5"/>
  <c r="CK304" i="5"/>
  <c r="CJ304" i="5"/>
  <c r="CI304" i="5"/>
  <c r="CL302" i="5"/>
  <c r="CK302" i="5"/>
  <c r="CJ302" i="5"/>
  <c r="CI302" i="5"/>
  <c r="CG304" i="5"/>
  <c r="CF304" i="5"/>
  <c r="CE304" i="5"/>
  <c r="CD304" i="5"/>
  <c r="CG302" i="5"/>
  <c r="CH302" i="5" s="1"/>
  <c r="CF302" i="5"/>
  <c r="CE302" i="5"/>
  <c r="CD302" i="5"/>
  <c r="CB304" i="5"/>
  <c r="CA304" i="5"/>
  <c r="CA302" i="5" s="1"/>
  <c r="BZ304" i="5"/>
  <c r="BY304" i="5"/>
  <c r="CB302" i="5"/>
  <c r="CC302" i="5" s="1"/>
  <c r="BZ302" i="5"/>
  <c r="BY302" i="5"/>
  <c r="BW304" i="5"/>
  <c r="BV304" i="5"/>
  <c r="BU304" i="5"/>
  <c r="BT304" i="5"/>
  <c r="BW302" i="5"/>
  <c r="BV302" i="5"/>
  <c r="BU302" i="5"/>
  <c r="BT302" i="5"/>
  <c r="BR304" i="5"/>
  <c r="BQ304" i="5"/>
  <c r="BP304" i="5"/>
  <c r="BO304" i="5"/>
  <c r="BR302" i="5"/>
  <c r="BS302" i="5" s="1"/>
  <c r="BQ302" i="5"/>
  <c r="BP302" i="5"/>
  <c r="BO302" i="5"/>
  <c r="BM304" i="5"/>
  <c r="BL304" i="5"/>
  <c r="BK304" i="5"/>
  <c r="BJ304" i="5"/>
  <c r="BM302" i="5"/>
  <c r="BL302" i="5"/>
  <c r="BK302" i="5"/>
  <c r="BJ302" i="5"/>
  <c r="BH304" i="5"/>
  <c r="BG304" i="5"/>
  <c r="BG302" i="5" s="1"/>
  <c r="BF304" i="5"/>
  <c r="BE304" i="5"/>
  <c r="BH302" i="5"/>
  <c r="BI302" i="5" s="1"/>
  <c r="BF302" i="5"/>
  <c r="BE302" i="5"/>
  <c r="BC302" i="5"/>
  <c r="BB302" i="5"/>
  <c r="AX301" i="5"/>
  <c r="AY300" i="5"/>
  <c r="AX300" i="5"/>
  <c r="AW300" i="5"/>
  <c r="AV300" i="5"/>
  <c r="AU300" i="5"/>
  <c r="AU301" i="5" s="1"/>
  <c r="AO300" i="5"/>
  <c r="AN300" i="5"/>
  <c r="AN304" i="5" s="1"/>
  <c r="AM300" i="5"/>
  <c r="AM304" i="5" s="1"/>
  <c r="AL300" i="5"/>
  <c r="AL304" i="5" s="1"/>
  <c r="AK300" i="5"/>
  <c r="AJ300" i="5"/>
  <c r="AI300" i="5"/>
  <c r="AI304" i="5" s="1"/>
  <c r="AH300" i="5"/>
  <c r="AH304" i="5" s="1"/>
  <c r="AG300" i="5"/>
  <c r="AG304" i="5" s="1"/>
  <c r="AF300" i="5"/>
  <c r="AF304" i="5" s="1"/>
  <c r="F300" i="5"/>
  <c r="F304" i="5" s="1"/>
  <c r="F305" i="5" s="1"/>
  <c r="F332" i="5" s="1"/>
  <c r="CV299" i="5"/>
  <c r="CQ299" i="5"/>
  <c r="CR299" i="5" s="1"/>
  <c r="CQ298" i="5"/>
  <c r="CR298" i="5" s="1"/>
  <c r="CR300" i="5" s="1"/>
  <c r="CX298" i="5"/>
  <c r="CU298" i="5"/>
  <c r="CT298" i="5"/>
  <c r="CS298" i="5"/>
  <c r="CP298" i="5"/>
  <c r="CO298" i="5"/>
  <c r="CN298" i="5"/>
  <c r="CL298" i="5"/>
  <c r="CM298" i="5" s="1"/>
  <c r="CM300" i="5" s="1"/>
  <c r="CK298" i="5"/>
  <c r="CJ298" i="5"/>
  <c r="CI298" i="5"/>
  <c r="CG298" i="5"/>
  <c r="CH298" i="5" s="1"/>
  <c r="CH300" i="5" s="1"/>
  <c r="CF298" i="5"/>
  <c r="CE298" i="5"/>
  <c r="CD298" i="5"/>
  <c r="CB298" i="5"/>
  <c r="CC298" i="5" s="1"/>
  <c r="CC300" i="5" s="1"/>
  <c r="CA298" i="5"/>
  <c r="BZ298" i="5"/>
  <c r="BY298" i="5"/>
  <c r="BW298" i="5"/>
  <c r="BX298" i="5" s="1"/>
  <c r="BX300" i="5" s="1"/>
  <c r="BV298" i="5"/>
  <c r="BU298" i="5"/>
  <c r="BT298" i="5"/>
  <c r="BR298" i="5"/>
  <c r="BS298" i="5" s="1"/>
  <c r="BS300" i="5" s="1"/>
  <c r="BQ298" i="5"/>
  <c r="BP298" i="5"/>
  <c r="BO298" i="5"/>
  <c r="BM298" i="5"/>
  <c r="BN298" i="5" s="1"/>
  <c r="BN300" i="5" s="1"/>
  <c r="BL298" i="5"/>
  <c r="BK298" i="5"/>
  <c r="BJ298" i="5"/>
  <c r="BH298" i="5"/>
  <c r="BI298" i="5" s="1"/>
  <c r="BI300" i="5" s="1"/>
  <c r="BG298" i="5"/>
  <c r="BF298" i="5"/>
  <c r="BE298" i="5"/>
  <c r="BC298" i="5"/>
  <c r="BD298" i="5" s="1"/>
  <c r="BD300" i="5" s="1"/>
  <c r="BB298" i="5"/>
  <c r="BA298" i="5"/>
  <c r="AZ298" i="5"/>
  <c r="AS297" i="5"/>
  <c r="DK296" i="5"/>
  <c r="DJ296" i="5"/>
  <c r="DI296" i="5"/>
  <c r="DH296" i="5"/>
  <c r="AY296" i="5"/>
  <c r="AY304" i="5" s="1"/>
  <c r="AY302" i="5" s="1"/>
  <c r="CZ302" i="5"/>
  <c r="DA302" i="5" s="1"/>
  <c r="CY302" i="5"/>
  <c r="CY301" i="5"/>
  <c r="AT294" i="5"/>
  <c r="AT297" i="5" s="1"/>
  <c r="AS294" i="5"/>
  <c r="AR294" i="5"/>
  <c r="AR297" i="5" s="1"/>
  <c r="AQ294" i="5"/>
  <c r="AQ297" i="5" s="1"/>
  <c r="AP294" i="5"/>
  <c r="AP297" i="5" s="1"/>
  <c r="DB293" i="5"/>
  <c r="DG293" i="5" s="1"/>
  <c r="DL293" i="5" s="1"/>
  <c r="BS292" i="5"/>
  <c r="BS289" i="5"/>
  <c r="BS345" i="5" s="1"/>
  <c r="BS286" i="5"/>
  <c r="BN292" i="5"/>
  <c r="BN289" i="5"/>
  <c r="BN345" i="5" s="1"/>
  <c r="BN286" i="5"/>
  <c r="BI292" i="5"/>
  <c r="BI289" i="5"/>
  <c r="BI345" i="5" s="1"/>
  <c r="BI286" i="5"/>
  <c r="BD292" i="5"/>
  <c r="BD289" i="5"/>
  <c r="BD345" i="5" s="1"/>
  <c r="BD286" i="5"/>
  <c r="AY292" i="5"/>
  <c r="AY287" i="5"/>
  <c r="AY286" i="5"/>
  <c r="AV291" i="5"/>
  <c r="AV294" i="5" s="1"/>
  <c r="AZ289" i="5"/>
  <c r="AZ345" i="5" s="1"/>
  <c r="AX289" i="5"/>
  <c r="AX345" i="5" s="1"/>
  <c r="AW289" i="5"/>
  <c r="AX287" i="5"/>
  <c r="AW287" i="5"/>
  <c r="AV287" i="5"/>
  <c r="AU287" i="5"/>
  <c r="AU291" i="5" s="1"/>
  <c r="AU294" i="5" s="1"/>
  <c r="AO287" i="5"/>
  <c r="AO291" i="5" s="1"/>
  <c r="AO294" i="5" s="1"/>
  <c r="AJ287" i="5"/>
  <c r="DA292" i="5"/>
  <c r="CZ292" i="5"/>
  <c r="CY292" i="5"/>
  <c r="CH280" i="5"/>
  <c r="CC280" i="5"/>
  <c r="BX280" i="5"/>
  <c r="BS280" i="5"/>
  <c r="BN280" i="5"/>
  <c r="BN276" i="5"/>
  <c r="BI280" i="5"/>
  <c r="BD280" i="5"/>
  <c r="CV279" i="5"/>
  <c r="CU279" i="5"/>
  <c r="CT279" i="5"/>
  <c r="CS279" i="5"/>
  <c r="CQ279" i="5"/>
  <c r="CP279" i="5"/>
  <c r="CO279" i="5"/>
  <c r="CN279" i="5"/>
  <c r="CK279" i="5"/>
  <c r="CJ279" i="5"/>
  <c r="CI279" i="5"/>
  <c r="CG279" i="5"/>
  <c r="CE279" i="5"/>
  <c r="CD279" i="5"/>
  <c r="BY279" i="5"/>
  <c r="BT279" i="5"/>
  <c r="BO279" i="5"/>
  <c r="BM279" i="5"/>
  <c r="BJ279" i="5"/>
  <c r="BE279" i="5"/>
  <c r="AZ279" i="5"/>
  <c r="AO279" i="5"/>
  <c r="AE279" i="5"/>
  <c r="Z279" i="5"/>
  <c r="U279" i="5"/>
  <c r="P279" i="5"/>
  <c r="K279" i="5"/>
  <c r="F279" i="5"/>
  <c r="F282" i="5" s="1"/>
  <c r="CL278" i="5"/>
  <c r="CF278" i="5"/>
  <c r="CF276" i="5"/>
  <c r="CH276" i="5" s="1"/>
  <c r="BK278" i="5"/>
  <c r="AH278" i="5"/>
  <c r="DB277" i="5"/>
  <c r="CE277" i="5"/>
  <c r="BY277" i="5"/>
  <c r="BO277" i="5"/>
  <c r="AO276" i="5"/>
  <c r="AJ276" i="5"/>
  <c r="CX276" i="5"/>
  <c r="CV276" i="5"/>
  <c r="CV277" i="5" s="1"/>
  <c r="CV327" i="5" s="1"/>
  <c r="CW327" i="5" s="1"/>
  <c r="CS276" i="5"/>
  <c r="CQ276" i="5"/>
  <c r="CQ277" i="5" s="1"/>
  <c r="CQ327" i="5" s="1"/>
  <c r="CR327" i="5" s="1"/>
  <c r="CN276" i="5"/>
  <c r="CI276" i="5"/>
  <c r="CL276" i="5" s="1"/>
  <c r="CB278" i="5"/>
  <c r="CA278" i="5"/>
  <c r="BZ278" i="5"/>
  <c r="BZ276" i="5"/>
  <c r="BU278" i="5"/>
  <c r="BU276" i="5"/>
  <c r="BV276" i="5" s="1"/>
  <c r="BW276" i="5" s="1"/>
  <c r="BP278" i="5"/>
  <c r="BP279" i="5" s="1"/>
  <c r="BQ276" i="5"/>
  <c r="BP276" i="5"/>
  <c r="BK277" i="5"/>
  <c r="BK276" i="5"/>
  <c r="BL276" i="5" s="1"/>
  <c r="BM276" i="5" s="1"/>
  <c r="BM277" i="5" s="1"/>
  <c r="BJ276" i="5"/>
  <c r="BF278" i="5"/>
  <c r="BF277" i="5" s="1"/>
  <c r="BF276" i="5"/>
  <c r="BC278" i="5"/>
  <c r="BC277" i="5" s="1"/>
  <c r="BB278" i="5"/>
  <c r="BA278" i="5"/>
  <c r="BC276" i="5"/>
  <c r="BA276" i="5"/>
  <c r="BB276" i="5" s="1"/>
  <c r="BB277" i="5" s="1"/>
  <c r="AZ276" i="5"/>
  <c r="AZ277" i="5" s="1"/>
  <c r="AY276" i="5"/>
  <c r="AY277" i="5" s="1"/>
  <c r="DL276" i="5"/>
  <c r="DL273" i="5"/>
  <c r="DG276" i="5"/>
  <c r="DG273" i="5"/>
  <c r="CY274" i="5"/>
  <c r="CZ274" i="5"/>
  <c r="DA274" i="5" s="1"/>
  <c r="CX272" i="5"/>
  <c r="CV272" i="5"/>
  <c r="CU272" i="5"/>
  <c r="CU277" i="5" s="1"/>
  <c r="CT272" i="5"/>
  <c r="CT277" i="5" s="1"/>
  <c r="CS272" i="5"/>
  <c r="CS277" i="5" s="1"/>
  <c r="CQ272" i="5"/>
  <c r="CP272" i="5"/>
  <c r="CP277" i="5" s="1"/>
  <c r="CO272" i="5"/>
  <c r="CO277" i="5" s="1"/>
  <c r="CN272" i="5"/>
  <c r="CN277" i="5" s="1"/>
  <c r="CK272" i="5"/>
  <c r="CK277" i="5" s="1"/>
  <c r="CJ272" i="5"/>
  <c r="CJ277" i="5" s="1"/>
  <c r="CI272" i="5"/>
  <c r="CG272" i="5"/>
  <c r="CG277" i="5" s="1"/>
  <c r="CE272" i="5"/>
  <c r="CD272" i="5"/>
  <c r="CD277" i="5" s="1"/>
  <c r="BY272" i="5"/>
  <c r="BV272" i="5"/>
  <c r="BU272" i="5"/>
  <c r="BT272" i="5"/>
  <c r="BT277" i="5" s="1"/>
  <c r="BR272" i="5"/>
  <c r="BQ272" i="5"/>
  <c r="BP272" i="5"/>
  <c r="BO272" i="5"/>
  <c r="BM272" i="5"/>
  <c r="BL272" i="5"/>
  <c r="BK272" i="5"/>
  <c r="BJ272" i="5"/>
  <c r="BN272" i="5" s="1"/>
  <c r="BH272" i="5"/>
  <c r="BG272" i="5"/>
  <c r="BF272" i="5"/>
  <c r="BE272" i="5"/>
  <c r="BE277" i="5" s="1"/>
  <c r="BC272" i="5"/>
  <c r="BB272" i="5"/>
  <c r="BA272" i="5"/>
  <c r="AZ272" i="5"/>
  <c r="BD272" i="5" s="1"/>
  <c r="AY272" i="5"/>
  <c r="AO272" i="5"/>
  <c r="AO277" i="5" s="1"/>
  <c r="AN272" i="5"/>
  <c r="AN278" i="5" s="1"/>
  <c r="AM272" i="5"/>
  <c r="AM278" i="5" s="1"/>
  <c r="AL272" i="5"/>
  <c r="AL278" i="5" s="1"/>
  <c r="AL279" i="5" s="1"/>
  <c r="AK272" i="5"/>
  <c r="AK278" i="5" s="1"/>
  <c r="AK279" i="5" s="1"/>
  <c r="AJ272" i="5"/>
  <c r="AJ277" i="5" s="1"/>
  <c r="AI272" i="5"/>
  <c r="AI278" i="5" s="1"/>
  <c r="AH272" i="5"/>
  <c r="AG272" i="5"/>
  <c r="AG278" i="5" s="1"/>
  <c r="AF272" i="5"/>
  <c r="AF278" i="5" s="1"/>
  <c r="AF279" i="5" s="1"/>
  <c r="AE272" i="5"/>
  <c r="AE277" i="5" s="1"/>
  <c r="Z272" i="5"/>
  <c r="Z277" i="5" s="1"/>
  <c r="U272" i="5"/>
  <c r="U277" i="5" s="1"/>
  <c r="P272" i="5"/>
  <c r="P277" i="5" s="1"/>
  <c r="K272" i="5"/>
  <c r="K277" i="5" s="1"/>
  <c r="F272" i="5"/>
  <c r="F277" i="5" s="1"/>
  <c r="DB271" i="5"/>
  <c r="DB337" i="5" s="1"/>
  <c r="CW271" i="5"/>
  <c r="CW337" i="5" s="1"/>
  <c r="CW270" i="5"/>
  <c r="CW272" i="5" s="1"/>
  <c r="CW269" i="5"/>
  <c r="CW338" i="5" s="1"/>
  <c r="CR271" i="5"/>
  <c r="CR337" i="5" s="1"/>
  <c r="CR270" i="5"/>
  <c r="CR269" i="5"/>
  <c r="CR338" i="5" s="1"/>
  <c r="CM271" i="5"/>
  <c r="CM270" i="5"/>
  <c r="CH271" i="5"/>
  <c r="CH337" i="5" s="1"/>
  <c r="CH270" i="5"/>
  <c r="CH269" i="5"/>
  <c r="CH338" i="5" s="1"/>
  <c r="CC271" i="5"/>
  <c r="CC337" i="5" s="1"/>
  <c r="BX271" i="5"/>
  <c r="BX337" i="5" s="1"/>
  <c r="BS271" i="5"/>
  <c r="BS337" i="5" s="1"/>
  <c r="BS270" i="5"/>
  <c r="BS269" i="5"/>
  <c r="BS338" i="5" s="1"/>
  <c r="BN271" i="5"/>
  <c r="BN337" i="5" s="1"/>
  <c r="BN270" i="5"/>
  <c r="BN269" i="5"/>
  <c r="BN338" i="5" s="1"/>
  <c r="BI271" i="5"/>
  <c r="BI270" i="5"/>
  <c r="BI269" i="5"/>
  <c r="BD271" i="5"/>
  <c r="BD270" i="5"/>
  <c r="BD269" i="5"/>
  <c r="CL270" i="5"/>
  <c r="CL272" i="5" s="1"/>
  <c r="CL269" i="5"/>
  <c r="CM269" i="5" s="1"/>
  <c r="CM338" i="5" s="1"/>
  <c r="CF270" i="5"/>
  <c r="CF269" i="5"/>
  <c r="CF272" i="5" s="1"/>
  <c r="BW270" i="5"/>
  <c r="BX270" i="5" s="1"/>
  <c r="BW269" i="5"/>
  <c r="BX269" i="5" s="1"/>
  <c r="BX338" i="5" s="1"/>
  <c r="BZ270" i="5"/>
  <c r="CA269" i="5"/>
  <c r="BZ269" i="5"/>
  <c r="DX268" i="5"/>
  <c r="DY268" i="5" s="1"/>
  <c r="DZ268" i="5" s="1"/>
  <c r="DW268" i="5"/>
  <c r="CW265" i="5"/>
  <c r="CR265" i="5"/>
  <c r="CL267" i="5"/>
  <c r="CH265" i="5"/>
  <c r="CF267" i="5"/>
  <c r="BZ267" i="5"/>
  <c r="CA267" i="5" s="1"/>
  <c r="BU267" i="5"/>
  <c r="BU279" i="5" s="1"/>
  <c r="BP267" i="5"/>
  <c r="BQ267" i="5" s="1"/>
  <c r="BK267" i="5"/>
  <c r="BL267" i="5" s="1"/>
  <c r="BF267" i="5"/>
  <c r="BG267" i="5" s="1"/>
  <c r="BA267" i="5"/>
  <c r="BB267" i="5" s="1"/>
  <c r="AY267" i="5"/>
  <c r="AY279" i="5" s="1"/>
  <c r="AN267" i="5"/>
  <c r="AM267" i="5"/>
  <c r="AL267" i="5"/>
  <c r="AK267" i="5"/>
  <c r="AI267" i="5"/>
  <c r="AH267" i="5"/>
  <c r="AG267" i="5"/>
  <c r="AF267" i="5"/>
  <c r="CV266" i="5"/>
  <c r="BT266" i="5"/>
  <c r="BP266" i="5"/>
  <c r="BO266" i="5"/>
  <c r="AO266" i="5"/>
  <c r="AO265" i="5"/>
  <c r="AJ266" i="5"/>
  <c r="AJ265" i="5"/>
  <c r="AE266" i="5"/>
  <c r="Z266" i="5"/>
  <c r="U266" i="5"/>
  <c r="P266" i="5"/>
  <c r="K266" i="5"/>
  <c r="F266" i="5"/>
  <c r="DB265" i="5"/>
  <c r="CM265" i="5"/>
  <c r="CC265" i="5"/>
  <c r="BX265" i="5"/>
  <c r="BS265" i="5"/>
  <c r="BM265" i="5"/>
  <c r="BN265" i="5" s="1"/>
  <c r="BF265" i="5"/>
  <c r="BG265" i="5" s="1"/>
  <c r="BA265" i="5"/>
  <c r="BB265" i="5" s="1"/>
  <c r="DL261" i="5"/>
  <c r="DG261" i="5"/>
  <c r="AO264" i="5"/>
  <c r="AL264" i="5"/>
  <c r="AK264" i="5"/>
  <c r="AG264" i="5"/>
  <c r="AF264" i="5"/>
  <c r="AE264" i="5"/>
  <c r="Z264" i="5"/>
  <c r="U264" i="5"/>
  <c r="P264" i="5"/>
  <c r="K264" i="5"/>
  <c r="F264" i="5"/>
  <c r="BO264" i="5"/>
  <c r="AY264" i="5"/>
  <c r="DK260" i="5"/>
  <c r="DJ260" i="5"/>
  <c r="DI260" i="5"/>
  <c r="DH260" i="5"/>
  <c r="CZ260" i="5"/>
  <c r="CZ273" i="5" s="1"/>
  <c r="CY260" i="5"/>
  <c r="CY273" i="5" s="1"/>
  <c r="DA259" i="5"/>
  <c r="CZ259" i="5"/>
  <c r="CY259" i="5"/>
  <c r="CY298" i="5" s="1"/>
  <c r="CX259" i="5"/>
  <c r="CX264" i="5" s="1"/>
  <c r="CV259" i="5"/>
  <c r="CV264" i="5" s="1"/>
  <c r="CU259" i="5"/>
  <c r="CU264" i="5" s="1"/>
  <c r="CT259" i="5"/>
  <c r="CT264" i="5" s="1"/>
  <c r="CS259" i="5"/>
  <c r="CS264" i="5" s="1"/>
  <c r="CQ259" i="5"/>
  <c r="CQ266" i="5" s="1"/>
  <c r="CP259" i="5"/>
  <c r="CP266" i="5" s="1"/>
  <c r="CO259" i="5"/>
  <c r="CO266" i="5" s="1"/>
  <c r="CN259" i="5"/>
  <c r="CN266" i="5" s="1"/>
  <c r="CR266" i="5" s="1"/>
  <c r="CK259" i="5"/>
  <c r="CL259" i="5" s="1"/>
  <c r="CJ259" i="5"/>
  <c r="CJ266" i="5" s="1"/>
  <c r="CI259" i="5"/>
  <c r="CI266" i="5" s="1"/>
  <c r="CD259" i="5"/>
  <c r="CE259" i="5" s="1"/>
  <c r="BY259" i="5"/>
  <c r="BY266" i="5" s="1"/>
  <c r="BU259" i="5"/>
  <c r="BU266" i="5" s="1"/>
  <c r="BT259" i="5"/>
  <c r="BT264" i="5" s="1"/>
  <c r="BQ259" i="5"/>
  <c r="BP259" i="5"/>
  <c r="BP263" i="5" s="1"/>
  <c r="BJ259" i="5"/>
  <c r="BE259" i="5"/>
  <c r="BF259" i="5" s="1"/>
  <c r="AZ259" i="5"/>
  <c r="AZ266" i="5" s="1"/>
  <c r="AX259" i="5"/>
  <c r="AW259" i="5"/>
  <c r="AV259" i="5"/>
  <c r="AV263" i="5" s="1"/>
  <c r="AU259" i="5"/>
  <c r="AU263" i="5" s="1"/>
  <c r="AO259" i="5"/>
  <c r="AJ259" i="5"/>
  <c r="CW255" i="5"/>
  <c r="CW254" i="5"/>
  <c r="CW252" i="5"/>
  <c r="CR255" i="5"/>
  <c r="CR254" i="5"/>
  <c r="CR252" i="5"/>
  <c r="CL257" i="5"/>
  <c r="CL264" i="5" s="1"/>
  <c r="CH255" i="5"/>
  <c r="CH254" i="5"/>
  <c r="CH252" i="5"/>
  <c r="CF257" i="5"/>
  <c r="BZ257" i="5"/>
  <c r="BU257" i="5"/>
  <c r="BV257" i="5" s="1"/>
  <c r="BP257" i="5"/>
  <c r="BQ257" i="5" s="1"/>
  <c r="BN255" i="5"/>
  <c r="BN252" i="5"/>
  <c r="BK257" i="5"/>
  <c r="BF257" i="5"/>
  <c r="BA257" i="5"/>
  <c r="AM257" i="5"/>
  <c r="AN257" i="5" s="1"/>
  <c r="AN264" i="5" s="1"/>
  <c r="AL257" i="5"/>
  <c r="AH257" i="5"/>
  <c r="AH264" i="5" s="1"/>
  <c r="AG257" i="5"/>
  <c r="CC255" i="5"/>
  <c r="CC252" i="5"/>
  <c r="BX255" i="5"/>
  <c r="BX252" i="5"/>
  <c r="BS255" i="5"/>
  <c r="BS252" i="5"/>
  <c r="BI255" i="5"/>
  <c r="BI252" i="5"/>
  <c r="CL255" i="5"/>
  <c r="CM255" i="5" s="1"/>
  <c r="CL254" i="5"/>
  <c r="CM254" i="5" s="1"/>
  <c r="CF254" i="5"/>
  <c r="BL254" i="5"/>
  <c r="BK254" i="5"/>
  <c r="BN254" i="5" s="1"/>
  <c r="BJ254" i="5"/>
  <c r="CV253" i="5"/>
  <c r="CU253" i="5"/>
  <c r="CQ253" i="5"/>
  <c r="CP253" i="5"/>
  <c r="CL253" i="5"/>
  <c r="CG253" i="5"/>
  <c r="CB254" i="5"/>
  <c r="CA254" i="5"/>
  <c r="BZ254" i="5"/>
  <c r="BY254" i="5"/>
  <c r="CC254" i="5" s="1"/>
  <c r="CB253" i="5"/>
  <c r="CA253" i="5"/>
  <c r="BW254" i="5"/>
  <c r="BV254" i="5"/>
  <c r="BX254" i="5" s="1"/>
  <c r="BU254" i="5"/>
  <c r="BT254" i="5"/>
  <c r="BW253" i="5"/>
  <c r="BV253" i="5"/>
  <c r="BR254" i="5"/>
  <c r="BQ254" i="5"/>
  <c r="BP254" i="5"/>
  <c r="BO254" i="5"/>
  <c r="BS254" i="5" s="1"/>
  <c r="BR253" i="5"/>
  <c r="BQ253" i="5"/>
  <c r="BM253" i="5"/>
  <c r="BL253" i="5"/>
  <c r="BL251" i="5" s="1"/>
  <c r="BK253" i="5"/>
  <c r="BJ253" i="5"/>
  <c r="BN253" i="5" s="1"/>
  <c r="BH254" i="5"/>
  <c r="BG254" i="5"/>
  <c r="BI254" i="5" s="1"/>
  <c r="BF254" i="5"/>
  <c r="BE254" i="5"/>
  <c r="BB254" i="5"/>
  <c r="BA254" i="5"/>
  <c r="AZ254" i="5"/>
  <c r="BH253" i="5"/>
  <c r="BH251" i="5" s="1"/>
  <c r="BG253" i="5"/>
  <c r="BF253" i="5"/>
  <c r="BE253" i="5"/>
  <c r="BI253" i="5" s="1"/>
  <c r="BC253" i="5"/>
  <c r="BB253" i="5"/>
  <c r="BA253" i="5"/>
  <c r="AZ253" i="5"/>
  <c r="BD253" i="5" s="1"/>
  <c r="AX253" i="5"/>
  <c r="AW253" i="5"/>
  <c r="AV253" i="5"/>
  <c r="AV251" i="5" s="1"/>
  <c r="AU253" i="5"/>
  <c r="AN253" i="5"/>
  <c r="AM253" i="5"/>
  <c r="AL253" i="5"/>
  <c r="AK253" i="5"/>
  <c r="AI253" i="5"/>
  <c r="AH253" i="5"/>
  <c r="AG253" i="5"/>
  <c r="AF253" i="5"/>
  <c r="DB252" i="5"/>
  <c r="CM252" i="5"/>
  <c r="BD252" i="5"/>
  <c r="BK251" i="5"/>
  <c r="BC251" i="5"/>
  <c r="BB251" i="5"/>
  <c r="BA251" i="5"/>
  <c r="AX251" i="5"/>
  <c r="AX263" i="5" s="1"/>
  <c r="AW251" i="5"/>
  <c r="AW263" i="5" s="1"/>
  <c r="AU251" i="5"/>
  <c r="CX251" i="5"/>
  <c r="CX253" i="5" s="1"/>
  <c r="CV251" i="5"/>
  <c r="CU251" i="5"/>
  <c r="CT251" i="5"/>
  <c r="CT253" i="5" s="1"/>
  <c r="CS251" i="5"/>
  <c r="CS253" i="5" s="1"/>
  <c r="CQ251" i="5"/>
  <c r="CP251" i="5"/>
  <c r="CO251" i="5"/>
  <c r="CO253" i="5" s="1"/>
  <c r="CN251" i="5"/>
  <c r="CN253" i="5" s="1"/>
  <c r="CL251" i="5"/>
  <c r="CK251" i="5"/>
  <c r="CK253" i="5" s="1"/>
  <c r="CJ251" i="5"/>
  <c r="CJ253" i="5" s="1"/>
  <c r="CI251" i="5"/>
  <c r="CM251" i="5" s="1"/>
  <c r="CG251" i="5"/>
  <c r="CF251" i="5"/>
  <c r="CF253" i="5" s="1"/>
  <c r="CE251" i="5"/>
  <c r="CE253" i="5" s="1"/>
  <c r="CD251" i="5"/>
  <c r="CD253" i="5" s="1"/>
  <c r="CB251" i="5"/>
  <c r="CA251" i="5"/>
  <c r="BZ251" i="5"/>
  <c r="BZ253" i="5" s="1"/>
  <c r="BY251" i="5"/>
  <c r="BW251" i="5"/>
  <c r="BV251" i="5"/>
  <c r="BU251" i="5"/>
  <c r="BU253" i="5" s="1"/>
  <c r="BT251" i="5"/>
  <c r="BR251" i="5"/>
  <c r="BQ251" i="5"/>
  <c r="BP251" i="5"/>
  <c r="BP253" i="5" s="1"/>
  <c r="BO251" i="5"/>
  <c r="BG251" i="5"/>
  <c r="BF251" i="5"/>
  <c r="BE251" i="5"/>
  <c r="AN251" i="5"/>
  <c r="AM251" i="5"/>
  <c r="AL251" i="5"/>
  <c r="AK251" i="5"/>
  <c r="AI251" i="5"/>
  <c r="AH251" i="5"/>
  <c r="AG251" i="5"/>
  <c r="AF251" i="5"/>
  <c r="DY248" i="5"/>
  <c r="DX248" i="5"/>
  <c r="AT247" i="5"/>
  <c r="AS247" i="5"/>
  <c r="AR247" i="5"/>
  <c r="AQ247" i="5"/>
  <c r="AP247" i="5"/>
  <c r="AT246" i="5"/>
  <c r="AS246" i="5"/>
  <c r="AR246" i="5"/>
  <c r="AQ246" i="5"/>
  <c r="AP246" i="5"/>
  <c r="DL228" i="5"/>
  <c r="DL227" i="5"/>
  <c r="DG228" i="5"/>
  <c r="DG227" i="5"/>
  <c r="T229" i="5"/>
  <c r="S229" i="5"/>
  <c r="R229" i="5"/>
  <c r="Q229" i="5"/>
  <c r="O229" i="5"/>
  <c r="N229" i="5"/>
  <c r="M229" i="5"/>
  <c r="L229" i="5"/>
  <c r="J229" i="5"/>
  <c r="I229" i="5"/>
  <c r="H229" i="5"/>
  <c r="G229" i="5"/>
  <c r="CX228" i="5"/>
  <c r="CV228" i="5"/>
  <c r="CU228" i="5"/>
  <c r="CT228" i="5"/>
  <c r="CS228" i="5"/>
  <c r="CQ228" i="5"/>
  <c r="CP228" i="5"/>
  <c r="CO228" i="5"/>
  <c r="CN228" i="5"/>
  <c r="CL228" i="5"/>
  <c r="CK228" i="5"/>
  <c r="CJ228" i="5"/>
  <c r="CI228" i="5"/>
  <c r="CG228" i="5"/>
  <c r="CF228" i="5"/>
  <c r="CE228" i="5"/>
  <c r="CD228" i="5"/>
  <c r="CB228" i="5"/>
  <c r="CA228" i="5"/>
  <c r="BF228" i="5"/>
  <c r="BE228" i="5"/>
  <c r="BC228" i="5"/>
  <c r="BB228" i="5"/>
  <c r="BA228" i="5"/>
  <c r="AZ228" i="5"/>
  <c r="AX228" i="5"/>
  <c r="AW228" i="5"/>
  <c r="AV228" i="5"/>
  <c r="AU228" i="5"/>
  <c r="CX227" i="5"/>
  <c r="CV227" i="5"/>
  <c r="CU227" i="5"/>
  <c r="CT227" i="5"/>
  <c r="CS227" i="5"/>
  <c r="CQ227" i="5"/>
  <c r="CP227" i="5"/>
  <c r="CO227" i="5"/>
  <c r="CN227" i="5"/>
  <c r="CL227" i="5"/>
  <c r="CK227" i="5"/>
  <c r="CJ227" i="5"/>
  <c r="CI227" i="5"/>
  <c r="CG227" i="5"/>
  <c r="CF227" i="5"/>
  <c r="CE227" i="5"/>
  <c r="CD227" i="5"/>
  <c r="CB227" i="5"/>
  <c r="CA227" i="5"/>
  <c r="BZ227" i="5"/>
  <c r="BY227" i="5"/>
  <c r="BW227" i="5"/>
  <c r="BV227" i="5"/>
  <c r="BU227" i="5"/>
  <c r="BT227" i="5"/>
  <c r="BR227" i="5"/>
  <c r="BQ227" i="5"/>
  <c r="BP227" i="5"/>
  <c r="BO227" i="5"/>
  <c r="BM227" i="5"/>
  <c r="BL227" i="5"/>
  <c r="BK227" i="5"/>
  <c r="BJ227" i="5"/>
  <c r="BH227" i="5"/>
  <c r="BG227" i="5"/>
  <c r="BF227" i="5"/>
  <c r="BE227" i="5"/>
  <c r="BC227" i="5"/>
  <c r="BB227" i="5"/>
  <c r="BA227" i="5"/>
  <c r="AZ227" i="5"/>
  <c r="AX227" i="5"/>
  <c r="AW227" i="5"/>
  <c r="AV227" i="5"/>
  <c r="AU227" i="5"/>
  <c r="AX226" i="5"/>
  <c r="AW226" i="5"/>
  <c r="AV226" i="5"/>
  <c r="AU226" i="5"/>
  <c r="CX223" i="5"/>
  <c r="CV223" i="5"/>
  <c r="CU223" i="5"/>
  <c r="CT223" i="5"/>
  <c r="CS223" i="5"/>
  <c r="CQ223" i="5"/>
  <c r="CP223" i="5"/>
  <c r="CO223" i="5"/>
  <c r="CN223" i="5"/>
  <c r="CL223" i="5"/>
  <c r="CK223" i="5"/>
  <c r="CJ223" i="5"/>
  <c r="CI223" i="5"/>
  <c r="CG223" i="5"/>
  <c r="CF223" i="5"/>
  <c r="CE223" i="5"/>
  <c r="CD223" i="5"/>
  <c r="CB223" i="5"/>
  <c r="CA223" i="5"/>
  <c r="BZ223" i="5"/>
  <c r="BY223" i="5"/>
  <c r="BW223" i="5"/>
  <c r="BV223" i="5"/>
  <c r="BU223" i="5"/>
  <c r="BT223" i="5"/>
  <c r="BR223" i="5"/>
  <c r="BQ223" i="5"/>
  <c r="BP223" i="5"/>
  <c r="BO223" i="5"/>
  <c r="BM223" i="5"/>
  <c r="BL223" i="5"/>
  <c r="BK223" i="5"/>
  <c r="BJ223" i="5"/>
  <c r="BH223" i="5"/>
  <c r="BG223" i="5"/>
  <c r="BF223" i="5"/>
  <c r="BE223" i="5"/>
  <c r="BC223" i="5"/>
  <c r="BB223" i="5"/>
  <c r="BA223" i="5"/>
  <c r="AZ223" i="5"/>
  <c r="AX223" i="5"/>
  <c r="AW223" i="5"/>
  <c r="AU223" i="5"/>
  <c r="CX221" i="5"/>
  <c r="CV221" i="5"/>
  <c r="CU221" i="5"/>
  <c r="CT221" i="5"/>
  <c r="CS221" i="5"/>
  <c r="CQ221" i="5"/>
  <c r="CP221" i="5"/>
  <c r="CO221" i="5"/>
  <c r="CN221" i="5"/>
  <c r="CL221" i="5"/>
  <c r="CK221" i="5"/>
  <c r="CJ221" i="5"/>
  <c r="CI221" i="5"/>
  <c r="CG221" i="5"/>
  <c r="CF221" i="5"/>
  <c r="CE221" i="5"/>
  <c r="CD221" i="5"/>
  <c r="CB221" i="5"/>
  <c r="CA221" i="5"/>
  <c r="BZ221" i="5"/>
  <c r="BY221" i="5"/>
  <c r="BW221" i="5"/>
  <c r="BV221" i="5"/>
  <c r="BU221" i="5"/>
  <c r="BT221" i="5"/>
  <c r="BR221" i="5"/>
  <c r="BQ221" i="5"/>
  <c r="BP221" i="5"/>
  <c r="BO221" i="5"/>
  <c r="BM221" i="5"/>
  <c r="BL221" i="5"/>
  <c r="BK221" i="5"/>
  <c r="BJ221" i="5"/>
  <c r="BH221" i="5"/>
  <c r="BG221" i="5"/>
  <c r="BF221" i="5"/>
  <c r="BE221" i="5"/>
  <c r="BC221" i="5"/>
  <c r="BB221" i="5"/>
  <c r="BA221" i="5"/>
  <c r="AZ221" i="5"/>
  <c r="AX221" i="5"/>
  <c r="AW221" i="5"/>
  <c r="AU221" i="5"/>
  <c r="CL219" i="5"/>
  <c r="CK219" i="5"/>
  <c r="CJ219" i="5"/>
  <c r="CI219" i="5"/>
  <c r="CG219" i="5"/>
  <c r="CF219" i="5"/>
  <c r="CE219" i="5"/>
  <c r="CD219" i="5"/>
  <c r="CB219" i="5"/>
  <c r="CA219" i="5"/>
  <c r="BZ219" i="5"/>
  <c r="BY219" i="5"/>
  <c r="BW219" i="5"/>
  <c r="BQ219" i="5"/>
  <c r="BP219" i="5"/>
  <c r="BH219" i="5"/>
  <c r="BG219" i="5"/>
  <c r="BF219" i="5"/>
  <c r="BE219" i="5"/>
  <c r="CV217" i="5"/>
  <c r="AK228" i="5"/>
  <c r="AI228" i="5"/>
  <c r="AH228" i="5"/>
  <c r="AG228" i="5"/>
  <c r="AF228" i="5"/>
  <c r="AD228" i="5"/>
  <c r="AC228" i="5"/>
  <c r="AB228" i="5"/>
  <c r="AA228" i="5"/>
  <c r="Y228" i="5"/>
  <c r="AN227" i="5"/>
  <c r="AM227" i="5"/>
  <c r="AL227" i="5"/>
  <c r="AK227" i="5"/>
  <c r="AI227" i="5"/>
  <c r="AH227" i="5"/>
  <c r="AG227" i="5"/>
  <c r="AF227" i="5"/>
  <c r="AD227" i="5"/>
  <c r="AC227" i="5"/>
  <c r="AB227" i="5"/>
  <c r="AA227" i="5"/>
  <c r="Y227" i="5"/>
  <c r="AO226" i="5"/>
  <c r="AN226" i="5"/>
  <c r="AM226" i="5"/>
  <c r="AL226" i="5"/>
  <c r="AK226" i="5"/>
  <c r="AJ226" i="5"/>
  <c r="AI226" i="5"/>
  <c r="AH226" i="5"/>
  <c r="AG226" i="5"/>
  <c r="AF226" i="5"/>
  <c r="AE226" i="5"/>
  <c r="AD226" i="5"/>
  <c r="AC226" i="5"/>
  <c r="AB226" i="5"/>
  <c r="AA226" i="5"/>
  <c r="Z226" i="5"/>
  <c r="Y226" i="5"/>
  <c r="AN223" i="5"/>
  <c r="AM223" i="5"/>
  <c r="AL223" i="5"/>
  <c r="AK223" i="5"/>
  <c r="AI223" i="5"/>
  <c r="AH223" i="5"/>
  <c r="AG223" i="5"/>
  <c r="AF223" i="5"/>
  <c r="AD223" i="5"/>
  <c r="AC223" i="5"/>
  <c r="AB223" i="5"/>
  <c r="AA223" i="5"/>
  <c r="Y223" i="5"/>
  <c r="AO222" i="5"/>
  <c r="AN222" i="5"/>
  <c r="AM222" i="5"/>
  <c r="AL222" i="5"/>
  <c r="AK222" i="5"/>
  <c r="AJ222" i="5"/>
  <c r="AI222" i="5"/>
  <c r="AH222" i="5"/>
  <c r="AG222" i="5"/>
  <c r="AF222" i="5"/>
  <c r="AE222" i="5"/>
  <c r="AD222" i="5"/>
  <c r="AC222" i="5"/>
  <c r="AB222" i="5"/>
  <c r="AA222" i="5"/>
  <c r="Z222" i="5"/>
  <c r="Y222" i="5"/>
  <c r="AN221" i="5"/>
  <c r="AM221" i="5"/>
  <c r="AL221" i="5"/>
  <c r="AK221" i="5"/>
  <c r="AI221" i="5"/>
  <c r="AE221" i="5"/>
  <c r="Z221" i="5"/>
  <c r="AN219" i="5"/>
  <c r="AM219" i="5"/>
  <c r="AL219" i="5"/>
  <c r="AK219" i="5"/>
  <c r="AI219" i="5"/>
  <c r="AH219" i="5"/>
  <c r="AG219" i="5"/>
  <c r="AF219" i="5"/>
  <c r="AD219" i="5"/>
  <c r="AC219" i="5"/>
  <c r="AB219" i="5"/>
  <c r="AA219" i="5"/>
  <c r="Y219" i="5"/>
  <c r="X226" i="5"/>
  <c r="W226" i="5"/>
  <c r="V226" i="5"/>
  <c r="U226" i="5"/>
  <c r="T226" i="5"/>
  <c r="S226" i="5"/>
  <c r="R226" i="5"/>
  <c r="Q226" i="5"/>
  <c r="P226" i="5"/>
  <c r="O226" i="5"/>
  <c r="N226" i="5"/>
  <c r="M226" i="5"/>
  <c r="L226" i="5"/>
  <c r="K226" i="5"/>
  <c r="J226" i="5"/>
  <c r="I226" i="5"/>
  <c r="H226" i="5"/>
  <c r="G226" i="5"/>
  <c r="F226" i="5"/>
  <c r="X223" i="5"/>
  <c r="W223" i="5"/>
  <c r="V223" i="5"/>
  <c r="T223" i="5"/>
  <c r="S223" i="5"/>
  <c r="R223" i="5"/>
  <c r="Q223" i="5"/>
  <c r="O223" i="5"/>
  <c r="N223" i="5"/>
  <c r="M223" i="5"/>
  <c r="L223" i="5"/>
  <c r="J223" i="5"/>
  <c r="I223" i="5"/>
  <c r="H223" i="5"/>
  <c r="G223" i="5"/>
  <c r="X222" i="5"/>
  <c r="W222" i="5"/>
  <c r="V222" i="5"/>
  <c r="U222" i="5"/>
  <c r="T222" i="5"/>
  <c r="S222" i="5"/>
  <c r="R222" i="5"/>
  <c r="Q222" i="5"/>
  <c r="P222" i="5"/>
  <c r="O222" i="5"/>
  <c r="N222" i="5"/>
  <c r="M222" i="5"/>
  <c r="L222" i="5"/>
  <c r="K222" i="5"/>
  <c r="J222" i="5"/>
  <c r="I222" i="5"/>
  <c r="H222" i="5"/>
  <c r="G222" i="5"/>
  <c r="F222" i="5"/>
  <c r="X221" i="5"/>
  <c r="W221" i="5"/>
  <c r="V221" i="5"/>
  <c r="T221" i="5"/>
  <c r="S221" i="5"/>
  <c r="R221" i="5"/>
  <c r="Q221" i="5"/>
  <c r="O221" i="5"/>
  <c r="N221" i="5"/>
  <c r="M221" i="5"/>
  <c r="L221" i="5"/>
  <c r="J221" i="5"/>
  <c r="I221" i="5"/>
  <c r="H221" i="5"/>
  <c r="G221" i="5"/>
  <c r="X219" i="5"/>
  <c r="W219" i="5"/>
  <c r="V219" i="5"/>
  <c r="T219" i="5"/>
  <c r="S219" i="5"/>
  <c r="R219" i="5"/>
  <c r="Q219" i="5"/>
  <c r="O219" i="5"/>
  <c r="N219" i="5"/>
  <c r="M219" i="5"/>
  <c r="L219" i="5"/>
  <c r="J219" i="5"/>
  <c r="I219" i="5"/>
  <c r="H219" i="5"/>
  <c r="G219" i="5"/>
  <c r="DL209" i="5"/>
  <c r="DG209" i="5"/>
  <c r="DB209" i="5"/>
  <c r="DA209" i="5"/>
  <c r="CZ209" i="5"/>
  <c r="CY209" i="5"/>
  <c r="CX209" i="5"/>
  <c r="CW209" i="5"/>
  <c r="CV209" i="5"/>
  <c r="CU209" i="5"/>
  <c r="CT209" i="5"/>
  <c r="CS209" i="5"/>
  <c r="CR209" i="5"/>
  <c r="CQ209" i="5"/>
  <c r="CP209" i="5"/>
  <c r="CO209" i="5"/>
  <c r="CN209" i="5"/>
  <c r="CM209" i="5"/>
  <c r="CL209" i="5"/>
  <c r="CK209" i="5"/>
  <c r="CJ209" i="5"/>
  <c r="CI209" i="5"/>
  <c r="CH209" i="5"/>
  <c r="CG209" i="5"/>
  <c r="CF209" i="5"/>
  <c r="CE209" i="5"/>
  <c r="CD209" i="5"/>
  <c r="CC209" i="5"/>
  <c r="CB209" i="5"/>
  <c r="CA209" i="5"/>
  <c r="BZ209" i="5"/>
  <c r="BY209" i="5"/>
  <c r="BX209" i="5"/>
  <c r="BW209" i="5"/>
  <c r="BV209" i="5"/>
  <c r="BU209" i="5"/>
  <c r="BT209" i="5"/>
  <c r="BR209" i="5"/>
  <c r="BQ209" i="5"/>
  <c r="BP209" i="5"/>
  <c r="BO209" i="5"/>
  <c r="BS209" i="5" s="1"/>
  <c r="BM209" i="5"/>
  <c r="BL209" i="5"/>
  <c r="BK209" i="5"/>
  <c r="BJ209" i="5"/>
  <c r="BN209" i="5" s="1"/>
  <c r="BH209" i="5"/>
  <c r="BG209" i="5"/>
  <c r="BF209" i="5"/>
  <c r="BE209" i="5"/>
  <c r="BI209" i="5" s="1"/>
  <c r="BC209" i="5"/>
  <c r="BB209" i="5"/>
  <c r="BA209" i="5"/>
  <c r="AZ209" i="5"/>
  <c r="BD209" i="5" s="1"/>
  <c r="AX209" i="5"/>
  <c r="AW209" i="5"/>
  <c r="AV209" i="5"/>
  <c r="AU209" i="5"/>
  <c r="AN209" i="5"/>
  <c r="AM209" i="5"/>
  <c r="AL209" i="5"/>
  <c r="AK209" i="5"/>
  <c r="AO209" i="5" s="1"/>
  <c r="AI209" i="5"/>
  <c r="AH209" i="5"/>
  <c r="AG209" i="5"/>
  <c r="AF209" i="5"/>
  <c r="AC209" i="5"/>
  <c r="AA209" i="5"/>
  <c r="Y209" i="5"/>
  <c r="X209" i="5"/>
  <c r="V209" i="5"/>
  <c r="Q209" i="5"/>
  <c r="M209" i="5"/>
  <c r="BS208" i="5"/>
  <c r="BS207" i="5"/>
  <c r="BS206" i="5"/>
  <c r="BS205" i="5"/>
  <c r="BN208" i="5"/>
  <c r="BN207" i="5"/>
  <c r="BN206" i="5"/>
  <c r="BN205" i="5"/>
  <c r="BI208" i="5"/>
  <c r="BI207" i="5"/>
  <c r="BI206" i="5"/>
  <c r="BI205" i="5"/>
  <c r="BI204" i="5"/>
  <c r="BD208" i="5"/>
  <c r="BD207" i="5"/>
  <c r="BD206" i="5"/>
  <c r="BD205" i="5"/>
  <c r="AY208" i="5"/>
  <c r="AO208" i="5"/>
  <c r="AO207" i="5"/>
  <c r="AO206" i="5"/>
  <c r="AO205" i="5"/>
  <c r="AO204" i="5"/>
  <c r="AJ208" i="5"/>
  <c r="AI208" i="5"/>
  <c r="AG208" i="5"/>
  <c r="AD208" i="5"/>
  <c r="AB208" i="5"/>
  <c r="AB209" i="5" s="1"/>
  <c r="Y208" i="5"/>
  <c r="W208" i="5"/>
  <c r="T208" i="5"/>
  <c r="S208" i="5"/>
  <c r="S209" i="5" s="1"/>
  <c r="R208" i="5"/>
  <c r="R209" i="5" s="1"/>
  <c r="Q208" i="5"/>
  <c r="U208" i="5" s="1"/>
  <c r="O208" i="5"/>
  <c r="O209" i="5" s="1"/>
  <c r="N208" i="5"/>
  <c r="N209" i="5" s="1"/>
  <c r="M208" i="5"/>
  <c r="L208" i="5"/>
  <c r="P208" i="5" s="1"/>
  <c r="AJ207" i="5"/>
  <c r="AJ206" i="5"/>
  <c r="AJ205" i="5"/>
  <c r="AE207" i="5"/>
  <c r="AE206" i="5"/>
  <c r="AE205" i="5"/>
  <c r="AE204" i="5"/>
  <c r="Z207" i="5"/>
  <c r="Z206" i="5"/>
  <c r="Z205" i="5"/>
  <c r="Z204" i="5"/>
  <c r="U207" i="5"/>
  <c r="U206" i="5"/>
  <c r="U205" i="5"/>
  <c r="P207" i="5"/>
  <c r="P206" i="5"/>
  <c r="P205" i="5"/>
  <c r="AY206" i="5"/>
  <c r="AY205" i="5"/>
  <c r="AY209" i="5" s="1"/>
  <c r="T206" i="5"/>
  <c r="T209" i="5" s="1"/>
  <c r="CW204" i="5"/>
  <c r="CR204" i="5"/>
  <c r="CI204" i="5"/>
  <c r="CM204" i="5" s="1"/>
  <c r="CD204" i="5"/>
  <c r="CH204" i="5" s="1"/>
  <c r="CB204" i="5"/>
  <c r="CC204" i="5" s="1"/>
  <c r="CA204" i="5"/>
  <c r="BZ204" i="5"/>
  <c r="BW204" i="5"/>
  <c r="BV204" i="5"/>
  <c r="BU204" i="5"/>
  <c r="BT204" i="5"/>
  <c r="BR204" i="5"/>
  <c r="BQ204" i="5"/>
  <c r="BL204" i="5"/>
  <c r="BK204" i="5"/>
  <c r="BJ204" i="5"/>
  <c r="BN204" i="5" s="1"/>
  <c r="BH204" i="5"/>
  <c r="BG204" i="5"/>
  <c r="BE204" i="5"/>
  <c r="BC204" i="5"/>
  <c r="BB204" i="5"/>
  <c r="AK204" i="5"/>
  <c r="AI204" i="5"/>
  <c r="AH204" i="5"/>
  <c r="AG204" i="5"/>
  <c r="AJ204" i="5" s="1"/>
  <c r="AF204" i="5"/>
  <c r="AC204" i="5"/>
  <c r="AD204" i="5" s="1"/>
  <c r="Y204" i="5"/>
  <c r="S204" i="5"/>
  <c r="R204" i="5"/>
  <c r="Q204" i="5"/>
  <c r="U204" i="5" s="1"/>
  <c r="N204" i="5"/>
  <c r="M204" i="5"/>
  <c r="L204" i="5"/>
  <c r="P204" i="5" s="1"/>
  <c r="K204" i="5"/>
  <c r="I204" i="5"/>
  <c r="H204" i="5"/>
  <c r="F204" i="5"/>
  <c r="DC201" i="5"/>
  <c r="DC200" i="5"/>
  <c r="DA200" i="5"/>
  <c r="CZ200" i="5"/>
  <c r="CY200" i="5"/>
  <c r="CX200" i="5"/>
  <c r="CV200" i="5"/>
  <c r="CU200" i="5"/>
  <c r="CT200" i="5"/>
  <c r="CS200" i="5"/>
  <c r="CQ200" i="5"/>
  <c r="CP200" i="5"/>
  <c r="CO200" i="5"/>
  <c r="CN200" i="5"/>
  <c r="CL200" i="5"/>
  <c r="CK200" i="5"/>
  <c r="CJ200" i="5"/>
  <c r="CI200" i="5"/>
  <c r="CG200" i="5"/>
  <c r="CF200" i="5"/>
  <c r="CE200" i="5"/>
  <c r="CD200" i="5"/>
  <c r="CB200" i="5"/>
  <c r="CA200" i="5"/>
  <c r="DC199" i="5"/>
  <c r="DB199" i="5"/>
  <c r="CW199" i="5"/>
  <c r="CR199" i="5"/>
  <c r="CM199" i="5"/>
  <c r="CH199" i="5"/>
  <c r="CH196" i="5"/>
  <c r="CH198" i="5" s="1"/>
  <c r="CC199" i="5"/>
  <c r="CC196" i="5"/>
  <c r="CH193" i="5" s="1"/>
  <c r="BX199" i="5"/>
  <c r="CY196" i="5"/>
  <c r="BC198" i="5"/>
  <c r="BC197" i="5"/>
  <c r="BB197" i="5"/>
  <c r="AW198" i="5"/>
  <c r="BD196" i="5"/>
  <c r="BE198" i="5" s="1"/>
  <c r="AX198" i="5"/>
  <c r="AV197" i="5"/>
  <c r="CV198" i="5"/>
  <c r="CU193" i="5"/>
  <c r="CS197" i="5"/>
  <c r="CQ197" i="5"/>
  <c r="CR196" i="5"/>
  <c r="CP198" i="5"/>
  <c r="CP193" i="5"/>
  <c r="CO198" i="5"/>
  <c r="CO193" i="5"/>
  <c r="CL198" i="5"/>
  <c r="CI198" i="5"/>
  <c r="CM196" i="5"/>
  <c r="CM197" i="5" s="1"/>
  <c r="CK193" i="5"/>
  <c r="CI197" i="5"/>
  <c r="CL193" i="5"/>
  <c r="CI193" i="5"/>
  <c r="CG198" i="5"/>
  <c r="CG197" i="5"/>
  <c r="CF198" i="5"/>
  <c r="CE197" i="5"/>
  <c r="CE193" i="5"/>
  <c r="CG193" i="5"/>
  <c r="CF193" i="5"/>
  <c r="CD193" i="5"/>
  <c r="CI195" i="5" s="1"/>
  <c r="CB198" i="5"/>
  <c r="CA198" i="5"/>
  <c r="BZ198" i="5"/>
  <c r="BZ193" i="5"/>
  <c r="CA193" i="5"/>
  <c r="BP198" i="5"/>
  <c r="BL198" i="5"/>
  <c r="BH198" i="5"/>
  <c r="BX196" i="5"/>
  <c r="BY193" i="5" s="1"/>
  <c r="BV198" i="5"/>
  <c r="BU197" i="5"/>
  <c r="BR198" i="5"/>
  <c r="BQ197" i="5"/>
  <c r="BO198" i="5"/>
  <c r="BN196" i="5"/>
  <c r="BM197" i="5"/>
  <c r="BK198" i="5"/>
  <c r="BH197" i="5"/>
  <c r="BG198" i="5"/>
  <c r="BF198" i="5"/>
  <c r="BW193" i="5"/>
  <c r="BU193" i="5"/>
  <c r="BU195" i="5" s="1"/>
  <c r="BQ193" i="5"/>
  <c r="BQ194" i="5" s="1"/>
  <c r="BP193" i="5"/>
  <c r="BO193" i="5"/>
  <c r="BM193" i="5"/>
  <c r="BL193" i="5"/>
  <c r="BL195" i="5" s="1"/>
  <c r="BK193" i="5"/>
  <c r="BH193" i="5"/>
  <c r="BG193" i="5"/>
  <c r="BE193" i="5"/>
  <c r="BE194" i="5" s="1"/>
  <c r="BC193" i="5"/>
  <c r="BC194" i="5" s="1"/>
  <c r="BB193" i="5"/>
  <c r="BA193" i="5"/>
  <c r="AX194" i="5"/>
  <c r="AX193" i="5"/>
  <c r="AW193" i="5"/>
  <c r="AW194" i="5" s="1"/>
  <c r="AV193" i="5"/>
  <c r="CW190" i="5"/>
  <c r="CW189" i="5"/>
  <c r="CW188" i="5"/>
  <c r="CR190" i="5"/>
  <c r="CR189" i="5"/>
  <c r="CR188" i="5"/>
  <c r="CM190" i="5"/>
  <c r="CM189" i="5"/>
  <c r="CM188" i="5"/>
  <c r="CH190" i="5"/>
  <c r="CH189" i="5"/>
  <c r="CH188" i="5"/>
  <c r="CC190" i="5"/>
  <c r="CC189" i="5"/>
  <c r="CC188" i="5"/>
  <c r="BX189" i="5"/>
  <c r="BX188" i="5"/>
  <c r="BS188" i="5"/>
  <c r="BN188" i="5"/>
  <c r="BI188" i="5"/>
  <c r="BI191" i="5" s="1"/>
  <c r="BN191" i="5" s="1"/>
  <c r="BS191" i="5" s="1"/>
  <c r="BX191" i="5" s="1"/>
  <c r="CC191" i="5" s="1"/>
  <c r="CH191" i="5" s="1"/>
  <c r="CM191" i="5" s="1"/>
  <c r="BD191" i="5"/>
  <c r="BD188" i="5"/>
  <c r="CV190" i="5"/>
  <c r="CU190" i="5"/>
  <c r="CT190" i="5"/>
  <c r="CS190" i="5"/>
  <c r="CQ190" i="5"/>
  <c r="CP190" i="5"/>
  <c r="CO190" i="5"/>
  <c r="CN190" i="5"/>
  <c r="CL190" i="5"/>
  <c r="CK190" i="5"/>
  <c r="CJ190" i="5"/>
  <c r="CI190" i="5"/>
  <c r="CG190" i="5"/>
  <c r="CF190" i="5"/>
  <c r="CE190" i="5"/>
  <c r="CD190" i="5"/>
  <c r="CB190" i="5"/>
  <c r="CA190" i="5"/>
  <c r="BZ190" i="5"/>
  <c r="BY190" i="5"/>
  <c r="BW190" i="5"/>
  <c r="BV190" i="5"/>
  <c r="BU190" i="5"/>
  <c r="BT190" i="5"/>
  <c r="BR190" i="5"/>
  <c r="BQ190" i="5"/>
  <c r="BP190" i="5"/>
  <c r="BO190" i="5"/>
  <c r="BM190" i="5"/>
  <c r="BL190" i="5"/>
  <c r="BK190" i="5"/>
  <c r="BJ190" i="5"/>
  <c r="BH190" i="5"/>
  <c r="BG190" i="5"/>
  <c r="BF190" i="5"/>
  <c r="BE190" i="5"/>
  <c r="BC190" i="5"/>
  <c r="BB190" i="5"/>
  <c r="BA190" i="5"/>
  <c r="AZ190" i="5"/>
  <c r="BE189" i="5"/>
  <c r="BE407" i="5" s="1"/>
  <c r="AY189" i="5"/>
  <c r="AO189" i="5"/>
  <c r="AO188" i="5"/>
  <c r="AO191" i="5" s="1"/>
  <c r="U187" i="5"/>
  <c r="P187" i="5"/>
  <c r="K187" i="5"/>
  <c r="AI189" i="5"/>
  <c r="AJ189" i="5" s="1"/>
  <c r="AJ188" i="5"/>
  <c r="AI188" i="5"/>
  <c r="M188" i="5"/>
  <c r="DB182" i="5"/>
  <c r="CW182" i="5"/>
  <c r="CR182" i="5"/>
  <c r="CM182" i="5"/>
  <c r="CM181" i="5"/>
  <c r="CH182" i="5"/>
  <c r="CH181" i="5"/>
  <c r="CC182" i="5"/>
  <c r="CC181" i="5"/>
  <c r="BX182" i="5"/>
  <c r="BX181" i="5"/>
  <c r="BS182" i="5"/>
  <c r="BS181" i="5"/>
  <c r="BN182" i="5"/>
  <c r="BN181" i="5"/>
  <c r="BI182" i="5"/>
  <c r="BI181" i="5"/>
  <c r="BD182" i="5"/>
  <c r="AY182" i="5"/>
  <c r="AY181" i="5"/>
  <c r="AO182" i="5"/>
  <c r="AO181" i="5"/>
  <c r="AJ182" i="5"/>
  <c r="AJ181" i="5"/>
  <c r="AE182" i="5"/>
  <c r="AE181" i="5"/>
  <c r="Z182" i="5"/>
  <c r="Z181" i="5"/>
  <c r="U182" i="5"/>
  <c r="U181" i="5"/>
  <c r="P182" i="5"/>
  <c r="P181" i="5"/>
  <c r="K182" i="5"/>
  <c r="F182" i="5"/>
  <c r="CQ181" i="5"/>
  <c r="CR181" i="5" s="1"/>
  <c r="BC181" i="5"/>
  <c r="BC254" i="5" s="1"/>
  <c r="H181" i="5"/>
  <c r="K181" i="5" s="1"/>
  <c r="E181" i="5"/>
  <c r="F181" i="5" s="1"/>
  <c r="CV181" i="5"/>
  <c r="CU181" i="5"/>
  <c r="CT181" i="5"/>
  <c r="CS181" i="5"/>
  <c r="CW181" i="5" s="1"/>
  <c r="DL174" i="5"/>
  <c r="DL229" i="5" s="1"/>
  <c r="DG174" i="5"/>
  <c r="DG229" i="5" s="1"/>
  <c r="CL176" i="5"/>
  <c r="CD176" i="5"/>
  <c r="AX176" i="5"/>
  <c r="AK176" i="5"/>
  <c r="Y176" i="5"/>
  <c r="T176" i="5"/>
  <c r="S176" i="5"/>
  <c r="R176" i="5"/>
  <c r="Q176" i="5"/>
  <c r="O176" i="5"/>
  <c r="N176" i="5"/>
  <c r="M176" i="5"/>
  <c r="L176" i="5"/>
  <c r="J176" i="5"/>
  <c r="I176" i="5"/>
  <c r="H176" i="5"/>
  <c r="G176" i="5"/>
  <c r="E176" i="5"/>
  <c r="D176" i="5"/>
  <c r="C176" i="5"/>
  <c r="B176" i="5"/>
  <c r="DB175" i="5"/>
  <c r="CX175" i="5"/>
  <c r="CV175" i="5"/>
  <c r="CV176" i="5" s="1"/>
  <c r="CU175" i="5"/>
  <c r="CT175" i="5"/>
  <c r="CS175" i="5"/>
  <c r="CW175" i="5" s="1"/>
  <c r="CW176" i="5" s="1"/>
  <c r="CR175" i="5"/>
  <c r="CQ175" i="5"/>
  <c r="CP175" i="5"/>
  <c r="CM175" i="5"/>
  <c r="CM176" i="5" s="1"/>
  <c r="CM174" i="5"/>
  <c r="CM229" i="5" s="1"/>
  <c r="CM173" i="5"/>
  <c r="CM228" i="5" s="1"/>
  <c r="CM170" i="5"/>
  <c r="CM171" i="5" s="1"/>
  <c r="CM172" i="5" s="1"/>
  <c r="CM169" i="5"/>
  <c r="CM227" i="5" s="1"/>
  <c r="CH175" i="5"/>
  <c r="CH173" i="5"/>
  <c r="CH228" i="5" s="1"/>
  <c r="CH170" i="5"/>
  <c r="CH169" i="5"/>
  <c r="CH227" i="5" s="1"/>
  <c r="CC175" i="5"/>
  <c r="CC176" i="5" s="1"/>
  <c r="CC174" i="5"/>
  <c r="CC229" i="5" s="1"/>
  <c r="CC173" i="5"/>
  <c r="CC228" i="5" s="1"/>
  <c r="CC170" i="5"/>
  <c r="CC171" i="5" s="1"/>
  <c r="CC172" i="5" s="1"/>
  <c r="CC169" i="5"/>
  <c r="CC227" i="5" s="1"/>
  <c r="BX173" i="5"/>
  <c r="BX228" i="5" s="1"/>
  <c r="BX170" i="5"/>
  <c r="BX169" i="5"/>
  <c r="BX227" i="5" s="1"/>
  <c r="BV175" i="5"/>
  <c r="BX175" i="5" s="1"/>
  <c r="BV174" i="5"/>
  <c r="BV173" i="5"/>
  <c r="BS175" i="5"/>
  <c r="BS173" i="5"/>
  <c r="BS228" i="5" s="1"/>
  <c r="BS170" i="5"/>
  <c r="BS169" i="5"/>
  <c r="BS227" i="5" s="1"/>
  <c r="BN170" i="5"/>
  <c r="BN169" i="5"/>
  <c r="BN227" i="5" s="1"/>
  <c r="BJ175" i="5"/>
  <c r="BJ176" i="5" s="1"/>
  <c r="BH175" i="5"/>
  <c r="BG175" i="5"/>
  <c r="BF175" i="5"/>
  <c r="BF176" i="5" s="1"/>
  <c r="BE175" i="5"/>
  <c r="BE176" i="5" s="1"/>
  <c r="BB175" i="5"/>
  <c r="BD175" i="5" s="1"/>
  <c r="BB174" i="5"/>
  <c r="AY175" i="5"/>
  <c r="AY173" i="5"/>
  <c r="AY228" i="5" s="1"/>
  <c r="AO175" i="5"/>
  <c r="AJ175" i="5"/>
  <c r="AJ176" i="5" s="1"/>
  <c r="AJ174" i="5"/>
  <c r="AJ229" i="5" s="1"/>
  <c r="AJ173" i="5"/>
  <c r="AJ228" i="5" s="1"/>
  <c r="AE175" i="5"/>
  <c r="AE173" i="5"/>
  <c r="AE228" i="5" s="1"/>
  <c r="Z175" i="5"/>
  <c r="Z173" i="5"/>
  <c r="Z228" i="5" s="1"/>
  <c r="U175" i="5"/>
  <c r="U176" i="5" s="1"/>
  <c r="U174" i="5"/>
  <c r="U229" i="5" s="1"/>
  <c r="P175" i="5"/>
  <c r="P176" i="5" s="1"/>
  <c r="P174" i="5"/>
  <c r="P229" i="5" s="1"/>
  <c r="K175" i="5"/>
  <c r="K176" i="5" s="1"/>
  <c r="K174" i="5"/>
  <c r="K229" i="5" s="1"/>
  <c r="F175" i="5"/>
  <c r="F176" i="5" s="1"/>
  <c r="F174" i="5"/>
  <c r="F229" i="5" s="1"/>
  <c r="CX174" i="5"/>
  <c r="CX176" i="5" s="1"/>
  <c r="CW174" i="5"/>
  <c r="CW229" i="5" s="1"/>
  <c r="CV174" i="5"/>
  <c r="CU174" i="5"/>
  <c r="CU176" i="5" s="1"/>
  <c r="CT174" i="5"/>
  <c r="CT176" i="5" s="1"/>
  <c r="CS174" i="5"/>
  <c r="CQ174" i="5"/>
  <c r="CQ176" i="5" s="1"/>
  <c r="CP174" i="5"/>
  <c r="CP176" i="5" s="1"/>
  <c r="CO174" i="5"/>
  <c r="CO229" i="5" s="1"/>
  <c r="CN174" i="5"/>
  <c r="CL174" i="5"/>
  <c r="CK174" i="5"/>
  <c r="CK176" i="5" s="1"/>
  <c r="CJ174" i="5"/>
  <c r="CJ229" i="5" s="1"/>
  <c r="CI174" i="5"/>
  <c r="CG174" i="5"/>
  <c r="CG176" i="5" s="1"/>
  <c r="CF174" i="5"/>
  <c r="CE174" i="5"/>
  <c r="CE229" i="5" s="1"/>
  <c r="CD174" i="5"/>
  <c r="CB174" i="5"/>
  <c r="CA174" i="5"/>
  <c r="BZ174" i="5"/>
  <c r="BZ229" i="5" s="1"/>
  <c r="BY174" i="5"/>
  <c r="BW174" i="5"/>
  <c r="BW176" i="5" s="1"/>
  <c r="BU174" i="5"/>
  <c r="BU176" i="5" s="1"/>
  <c r="BT174" i="5"/>
  <c r="BP174" i="5"/>
  <c r="BO174" i="5"/>
  <c r="BM174" i="5"/>
  <c r="BJ174" i="5"/>
  <c r="BF174" i="5"/>
  <c r="BF229" i="5" s="1"/>
  <c r="BE174" i="5"/>
  <c r="BC174" i="5"/>
  <c r="BA174" i="5"/>
  <c r="BA229" i="5" s="1"/>
  <c r="AZ174" i="5"/>
  <c r="AX174" i="5"/>
  <c r="AW174" i="5"/>
  <c r="AW176" i="5" s="1"/>
  <c r="AV174" i="5"/>
  <c r="AV229" i="5" s="1"/>
  <c r="AU174" i="5"/>
  <c r="AU229" i="5" s="1"/>
  <c r="AM174" i="5"/>
  <c r="AL174" i="5"/>
  <c r="AL229" i="5" s="1"/>
  <c r="AK174" i="5"/>
  <c r="AI174" i="5"/>
  <c r="AH174" i="5"/>
  <c r="AG174" i="5"/>
  <c r="AG229" i="5" s="1"/>
  <c r="AF174" i="5"/>
  <c r="AD174" i="5"/>
  <c r="AD176" i="5" s="1"/>
  <c r="AC174" i="5"/>
  <c r="AC176" i="5" s="1"/>
  <c r="AB174" i="5"/>
  <c r="AB229" i="5" s="1"/>
  <c r="AA174" i="5"/>
  <c r="Y174" i="5"/>
  <c r="X174" i="5"/>
  <c r="X176" i="5" s="1"/>
  <c r="W174" i="5"/>
  <c r="W229" i="5" s="1"/>
  <c r="V174" i="5"/>
  <c r="V229" i="5" s="1"/>
  <c r="CY173" i="5"/>
  <c r="CY228" i="5" s="1"/>
  <c r="CW173" i="5"/>
  <c r="CW228" i="5" s="1"/>
  <c r="CW170" i="5"/>
  <c r="CW171" i="5" s="1"/>
  <c r="CW172" i="5" s="1"/>
  <c r="CW169" i="5"/>
  <c r="CW227" i="5" s="1"/>
  <c r="CR173" i="5"/>
  <c r="CR228" i="5" s="1"/>
  <c r="CR170" i="5"/>
  <c r="CR171" i="5" s="1"/>
  <c r="CR172" i="5" s="1"/>
  <c r="CR169" i="5"/>
  <c r="CR227" i="5" s="1"/>
  <c r="BR173" i="5"/>
  <c r="BQ173" i="5"/>
  <c r="BQ228" i="5" s="1"/>
  <c r="BL173" i="5"/>
  <c r="BL171" i="5" s="1"/>
  <c r="BK173" i="5"/>
  <c r="BJ173" i="5"/>
  <c r="BH173" i="5"/>
  <c r="BH171" i="5" s="1"/>
  <c r="BG173" i="5"/>
  <c r="BG228" i="5" s="1"/>
  <c r="BD173" i="5"/>
  <c r="BD228" i="5" s="1"/>
  <c r="AN173" i="5"/>
  <c r="AL173" i="5"/>
  <c r="AL171" i="5" s="1"/>
  <c r="AE170" i="5"/>
  <c r="AE169" i="5"/>
  <c r="AE227" i="5" s="1"/>
  <c r="Z171" i="5"/>
  <c r="Z170" i="5"/>
  <c r="Z169" i="5"/>
  <c r="Z227" i="5" s="1"/>
  <c r="CX170" i="5"/>
  <c r="CX171" i="5" s="1"/>
  <c r="CV170" i="5"/>
  <c r="CV171" i="5" s="1"/>
  <c r="CU170" i="5"/>
  <c r="CU171" i="5" s="1"/>
  <c r="CT170" i="5"/>
  <c r="CT171" i="5" s="1"/>
  <c r="CS170" i="5"/>
  <c r="CS171" i="5" s="1"/>
  <c r="CQ170" i="5"/>
  <c r="CQ171" i="5" s="1"/>
  <c r="CP170" i="5"/>
  <c r="CP171" i="5" s="1"/>
  <c r="CO170" i="5"/>
  <c r="CO171" i="5" s="1"/>
  <c r="CN170" i="5"/>
  <c r="CN171" i="5" s="1"/>
  <c r="CL170" i="5"/>
  <c r="CL171" i="5" s="1"/>
  <c r="CK170" i="5"/>
  <c r="CK171" i="5" s="1"/>
  <c r="CJ170" i="5"/>
  <c r="CJ171" i="5" s="1"/>
  <c r="CI170" i="5"/>
  <c r="CI171" i="5" s="1"/>
  <c r="CG170" i="5"/>
  <c r="CG171" i="5" s="1"/>
  <c r="CF170" i="5"/>
  <c r="CF171" i="5" s="1"/>
  <c r="CE170" i="5"/>
  <c r="CE171" i="5" s="1"/>
  <c r="CD170" i="5"/>
  <c r="CD171" i="5" s="1"/>
  <c r="CB170" i="5"/>
  <c r="CB171" i="5" s="1"/>
  <c r="CA170" i="5"/>
  <c r="CA171" i="5" s="1"/>
  <c r="BZ170" i="5"/>
  <c r="BZ171" i="5" s="1"/>
  <c r="BY170" i="5"/>
  <c r="BY171" i="5" s="1"/>
  <c r="BW170" i="5"/>
  <c r="BW171" i="5" s="1"/>
  <c r="BV170" i="5"/>
  <c r="BV171" i="5" s="1"/>
  <c r="BU170" i="5"/>
  <c r="BU171" i="5" s="1"/>
  <c r="BT170" i="5"/>
  <c r="BT171" i="5" s="1"/>
  <c r="BR170" i="5"/>
  <c r="BR171" i="5" s="1"/>
  <c r="BQ170" i="5"/>
  <c r="BQ171" i="5" s="1"/>
  <c r="BP170" i="5"/>
  <c r="BP171" i="5" s="1"/>
  <c r="BO170" i="5"/>
  <c r="BO171" i="5" s="1"/>
  <c r="BM171" i="5"/>
  <c r="BJ171" i="5"/>
  <c r="BF171" i="5"/>
  <c r="BE171" i="5"/>
  <c r="BB171" i="5"/>
  <c r="BA171" i="5"/>
  <c r="AX171" i="5"/>
  <c r="AW171" i="5"/>
  <c r="BM170" i="5"/>
  <c r="BL170" i="5"/>
  <c r="BK170" i="5"/>
  <c r="BJ170" i="5"/>
  <c r="BI170" i="5"/>
  <c r="BH170" i="5"/>
  <c r="BG170" i="5"/>
  <c r="BF170" i="5"/>
  <c r="BE170" i="5"/>
  <c r="BD170" i="5"/>
  <c r="BD171" i="5" s="1"/>
  <c r="BC170" i="5"/>
  <c r="BC171" i="5" s="1"/>
  <c r="BB170" i="5"/>
  <c r="BA170" i="5"/>
  <c r="AZ170" i="5"/>
  <c r="AZ171" i="5" s="1"/>
  <c r="AY170" i="5"/>
  <c r="AY171" i="5" s="1"/>
  <c r="AX170" i="5"/>
  <c r="AW170" i="5"/>
  <c r="AV170" i="5"/>
  <c r="AV171" i="5" s="1"/>
  <c r="AU170" i="5"/>
  <c r="AU171" i="5" s="1"/>
  <c r="AN171" i="5"/>
  <c r="AM171" i="5"/>
  <c r="AJ171" i="5"/>
  <c r="AO170" i="5"/>
  <c r="AN170" i="5"/>
  <c r="AM170" i="5"/>
  <c r="AL170" i="5"/>
  <c r="AK170" i="5"/>
  <c r="AK171" i="5" s="1"/>
  <c r="AJ170" i="5"/>
  <c r="CY169" i="5"/>
  <c r="CY227" i="5" s="1"/>
  <c r="BI169" i="5"/>
  <c r="BI227" i="5" s="1"/>
  <c r="BD169" i="5"/>
  <c r="BD227" i="5" s="1"/>
  <c r="AY169" i="5"/>
  <c r="AY227" i="5" s="1"/>
  <c r="AO169" i="5"/>
  <c r="AO227" i="5" s="1"/>
  <c r="AJ169" i="5"/>
  <c r="AJ227" i="5" s="1"/>
  <c r="AY167" i="5"/>
  <c r="AX167" i="5"/>
  <c r="AU167" i="5"/>
  <c r="AY166" i="5"/>
  <c r="AX166" i="5"/>
  <c r="AW166" i="5"/>
  <c r="AW167" i="5" s="1"/>
  <c r="AV166" i="5"/>
  <c r="AV167" i="5" s="1"/>
  <c r="AU166" i="5"/>
  <c r="AO166" i="5"/>
  <c r="AS148" i="5"/>
  <c r="AR148" i="5"/>
  <c r="AQ148" i="5"/>
  <c r="AP148" i="5"/>
  <c r="AT148" i="5" s="1"/>
  <c r="DB146" i="5"/>
  <c r="CW146" i="5"/>
  <c r="CW143" i="5"/>
  <c r="CL144" i="5"/>
  <c r="CD144" i="5"/>
  <c r="BZ144" i="5"/>
  <c r="BV144" i="5"/>
  <c r="CR143" i="5"/>
  <c r="CM143" i="5"/>
  <c r="CH143" i="5"/>
  <c r="CC143" i="5"/>
  <c r="BX143" i="5"/>
  <c r="BS143" i="5"/>
  <c r="BN143" i="5"/>
  <c r="BH143" i="5"/>
  <c r="BG143" i="5"/>
  <c r="BF143" i="5"/>
  <c r="BE143" i="5"/>
  <c r="BI143" i="5" s="1"/>
  <c r="CX137" i="5"/>
  <c r="CX138" i="5" s="1"/>
  <c r="CX135" i="5"/>
  <c r="BZ141" i="5"/>
  <c r="AN139" i="5"/>
  <c r="AN154" i="5" s="1"/>
  <c r="AL139" i="5"/>
  <c r="AL154" i="5" s="1"/>
  <c r="AK139" i="5"/>
  <c r="AI139" i="5"/>
  <c r="AH139" i="5"/>
  <c r="AH154" i="5" s="1"/>
  <c r="AG139" i="5"/>
  <c r="AG148" i="5" s="1"/>
  <c r="AF139" i="5"/>
  <c r="AF154" i="5" s="1"/>
  <c r="AN136" i="5"/>
  <c r="AM136" i="5"/>
  <c r="AL136" i="5"/>
  <c r="AK136" i="5"/>
  <c r="AI136" i="5"/>
  <c r="AH136" i="5"/>
  <c r="AG136" i="5"/>
  <c r="AF136" i="5"/>
  <c r="AD136" i="5"/>
  <c r="AC136" i="5"/>
  <c r="AB136" i="5"/>
  <c r="AA136" i="5"/>
  <c r="Y136" i="5"/>
  <c r="X136" i="5"/>
  <c r="W136" i="5"/>
  <c r="V136" i="5"/>
  <c r="T136" i="5"/>
  <c r="S136" i="5"/>
  <c r="R136" i="5"/>
  <c r="Q136" i="5"/>
  <c r="O136" i="5"/>
  <c r="N136" i="5"/>
  <c r="M136" i="5"/>
  <c r="L136" i="5"/>
  <c r="J136" i="5"/>
  <c r="I136" i="5"/>
  <c r="H136" i="5"/>
  <c r="G136" i="5"/>
  <c r="CL140" i="5"/>
  <c r="CK140" i="5"/>
  <c r="CG140" i="5"/>
  <c r="CD140" i="5"/>
  <c r="BV140" i="5"/>
  <c r="CL139" i="5"/>
  <c r="CK139" i="5"/>
  <c r="CK149" i="5" s="1"/>
  <c r="CJ139" i="5"/>
  <c r="CJ154" i="5" s="1"/>
  <c r="CI139" i="5"/>
  <c r="CI148" i="5" s="1"/>
  <c r="CG139" i="5"/>
  <c r="CG148" i="5" s="1"/>
  <c r="CF139" i="5"/>
  <c r="CF154" i="5" s="1"/>
  <c r="CE139" i="5"/>
  <c r="CD139" i="5"/>
  <c r="CB139" i="5"/>
  <c r="CB154" i="5" s="1"/>
  <c r="CA139" i="5"/>
  <c r="BZ139" i="5"/>
  <c r="BY139" i="5"/>
  <c r="BY154" i="5" s="1"/>
  <c r="BW139" i="5"/>
  <c r="BV139" i="5"/>
  <c r="BQ139" i="5"/>
  <c r="BQ148" i="5" s="1"/>
  <c r="BP139" i="5"/>
  <c r="BP154" i="5" s="1"/>
  <c r="BO139" i="5"/>
  <c r="BO141" i="5" s="1"/>
  <c r="BC139" i="5"/>
  <c r="BC148" i="5" s="1"/>
  <c r="AV139" i="5"/>
  <c r="AV154" i="5" s="1"/>
  <c r="CV137" i="5"/>
  <c r="CS137" i="5"/>
  <c r="CP137" i="5"/>
  <c r="CP138" i="5" s="1"/>
  <c r="CO137" i="5"/>
  <c r="CO138" i="5" s="1"/>
  <c r="CN137" i="5"/>
  <c r="CN138" i="5" s="1"/>
  <c r="CL137" i="5"/>
  <c r="CL138" i="5" s="1"/>
  <c r="CK137" i="5"/>
  <c r="CK138" i="5" s="1"/>
  <c r="CJ137" i="5"/>
  <c r="CJ138" i="5" s="1"/>
  <c r="CI137" i="5"/>
  <c r="CI138" i="5" s="1"/>
  <c r="CG137" i="5"/>
  <c r="CG138" i="5" s="1"/>
  <c r="CF137" i="5"/>
  <c r="CF138" i="5" s="1"/>
  <c r="CE137" i="5"/>
  <c r="CE138" i="5" s="1"/>
  <c r="CD137" i="5"/>
  <c r="CD138" i="5" s="1"/>
  <c r="CB137" i="5"/>
  <c r="CB138" i="5" s="1"/>
  <c r="CA137" i="5"/>
  <c r="CA138" i="5" s="1"/>
  <c r="BZ137" i="5"/>
  <c r="BZ138" i="5" s="1"/>
  <c r="BY137" i="5"/>
  <c r="BY138" i="5" s="1"/>
  <c r="BW137" i="5"/>
  <c r="BW138" i="5" s="1"/>
  <c r="BV137" i="5"/>
  <c r="BV138" i="5" s="1"/>
  <c r="BU137" i="5"/>
  <c r="BU138" i="5" s="1"/>
  <c r="BT137" i="5"/>
  <c r="BT138" i="5" s="1"/>
  <c r="BQ137" i="5"/>
  <c r="BQ138" i="5" s="1"/>
  <c r="BP137" i="5"/>
  <c r="BO137" i="5"/>
  <c r="BM137" i="5"/>
  <c r="BL137" i="5"/>
  <c r="BL138" i="5" s="1"/>
  <c r="AV137" i="5"/>
  <c r="AU137" i="5"/>
  <c r="CQ136" i="5"/>
  <c r="CP136" i="5"/>
  <c r="CO136" i="5"/>
  <c r="CN136" i="5"/>
  <c r="CL136" i="5"/>
  <c r="CK136" i="5"/>
  <c r="CJ136" i="5"/>
  <c r="CI136" i="5"/>
  <c r="CG136" i="5"/>
  <c r="CF136" i="5"/>
  <c r="CE136" i="5"/>
  <c r="CD136" i="5"/>
  <c r="CB136" i="5"/>
  <c r="CA136" i="5"/>
  <c r="BZ136" i="5"/>
  <c r="BY136" i="5"/>
  <c r="BW136" i="5"/>
  <c r="BV136" i="5"/>
  <c r="BU136" i="5"/>
  <c r="BT136" i="5"/>
  <c r="BQ136" i="5"/>
  <c r="BP136" i="5"/>
  <c r="BO136" i="5"/>
  <c r="BL136" i="5"/>
  <c r="BK136" i="5"/>
  <c r="BG136" i="5"/>
  <c r="BC136" i="5"/>
  <c r="DA137" i="5"/>
  <c r="CV135" i="5"/>
  <c r="CU135" i="5"/>
  <c r="CT135" i="5"/>
  <c r="CT137" i="5" s="1"/>
  <c r="CY137" i="5" s="1"/>
  <c r="CS135" i="5"/>
  <c r="CQ135" i="5"/>
  <c r="CR135" i="5" s="1"/>
  <c r="CM135" i="5"/>
  <c r="CM131" i="5"/>
  <c r="CM127" i="5"/>
  <c r="CM223" i="5" s="1"/>
  <c r="CM122" i="5"/>
  <c r="CM120" i="5"/>
  <c r="CM121" i="5" s="1"/>
  <c r="CM115" i="5"/>
  <c r="CM116" i="5" s="1"/>
  <c r="CM109" i="5"/>
  <c r="CH135" i="5"/>
  <c r="CH131" i="5"/>
  <c r="CH127" i="5"/>
  <c r="CH223" i="5" s="1"/>
  <c r="CH122" i="5"/>
  <c r="CH120" i="5"/>
  <c r="CH121" i="5" s="1"/>
  <c r="CH115" i="5"/>
  <c r="CH116" i="5" s="1"/>
  <c r="CH109" i="5"/>
  <c r="CC135" i="5"/>
  <c r="CC131" i="5"/>
  <c r="CC132" i="5" s="1"/>
  <c r="CC129" i="5"/>
  <c r="CC127" i="5"/>
  <c r="CC223" i="5" s="1"/>
  <c r="CC120" i="5"/>
  <c r="CC115" i="5"/>
  <c r="CC116" i="5" s="1"/>
  <c r="CC109" i="5"/>
  <c r="BX135" i="5"/>
  <c r="BX132" i="5"/>
  <c r="BX131" i="5"/>
  <c r="BX129" i="5"/>
  <c r="BX128" i="5"/>
  <c r="BX127" i="5"/>
  <c r="BX223" i="5" s="1"/>
  <c r="BX120" i="5"/>
  <c r="BX115" i="5"/>
  <c r="BX109" i="5"/>
  <c r="BS135" i="5"/>
  <c r="BX136" i="5" s="1"/>
  <c r="BR135" i="5"/>
  <c r="BR137" i="5" s="1"/>
  <c r="BR138" i="5" s="1"/>
  <c r="BN131" i="5"/>
  <c r="BN129" i="5"/>
  <c r="BN127" i="5"/>
  <c r="BN223" i="5" s="1"/>
  <c r="BN120" i="5"/>
  <c r="BK135" i="5"/>
  <c r="BK137" i="5" s="1"/>
  <c r="BJ135" i="5"/>
  <c r="BJ137" i="5" s="1"/>
  <c r="BH135" i="5"/>
  <c r="BM136" i="5" s="1"/>
  <c r="BG135" i="5"/>
  <c r="BG137" i="5" s="1"/>
  <c r="BF135" i="5"/>
  <c r="BF137" i="5" s="1"/>
  <c r="BE135" i="5"/>
  <c r="BE139" i="5" s="1"/>
  <c r="BC135" i="5"/>
  <c r="BC137" i="5" s="1"/>
  <c r="BB135" i="5"/>
  <c r="BB137" i="5" s="1"/>
  <c r="BA135" i="5"/>
  <c r="AZ135" i="5"/>
  <c r="AX135" i="5"/>
  <c r="AX137" i="5" s="1"/>
  <c r="AW135" i="5"/>
  <c r="AW139" i="5" s="1"/>
  <c r="AO135" i="5"/>
  <c r="AO131" i="5"/>
  <c r="AO221" i="5" s="1"/>
  <c r="AO127" i="5"/>
  <c r="AJ135" i="5"/>
  <c r="AJ136" i="5" s="1"/>
  <c r="AJ132" i="5"/>
  <c r="AJ131" i="5"/>
  <c r="AJ221" i="5" s="1"/>
  <c r="AJ129" i="5"/>
  <c r="AJ128" i="5"/>
  <c r="AJ127" i="5"/>
  <c r="AE135" i="5"/>
  <c r="AE132" i="5"/>
  <c r="Z135" i="5"/>
  <c r="U135" i="5"/>
  <c r="U131" i="5"/>
  <c r="U221" i="5" s="1"/>
  <c r="P135" i="5"/>
  <c r="P136" i="5" s="1"/>
  <c r="P131" i="5"/>
  <c r="P221" i="5" s="1"/>
  <c r="K135" i="5"/>
  <c r="F135" i="5"/>
  <c r="CX132" i="5"/>
  <c r="CR132" i="5"/>
  <c r="CQ132" i="5"/>
  <c r="CP132" i="5"/>
  <c r="CO132" i="5"/>
  <c r="CN132" i="5"/>
  <c r="CL132" i="5"/>
  <c r="CK132" i="5"/>
  <c r="CJ132" i="5"/>
  <c r="CI132" i="5"/>
  <c r="CG132" i="5"/>
  <c r="CF132" i="5"/>
  <c r="CE132" i="5"/>
  <c r="CD132" i="5"/>
  <c r="CB132" i="5"/>
  <c r="CA132" i="5"/>
  <c r="BZ132" i="5"/>
  <c r="BY132" i="5"/>
  <c r="BW132" i="5"/>
  <c r="BV132" i="5"/>
  <c r="BU132" i="5"/>
  <c r="BT132" i="5"/>
  <c r="BS132" i="5"/>
  <c r="BR132" i="5"/>
  <c r="BQ132" i="5"/>
  <c r="BP132" i="5"/>
  <c r="BO132" i="5"/>
  <c r="BM132" i="5"/>
  <c r="BL132" i="5"/>
  <c r="BK132" i="5"/>
  <c r="BJ132" i="5"/>
  <c r="BH132" i="5"/>
  <c r="BG132" i="5"/>
  <c r="BF132" i="5"/>
  <c r="BE132" i="5"/>
  <c r="BC132" i="5"/>
  <c r="BB132" i="5"/>
  <c r="BA132" i="5"/>
  <c r="AZ132" i="5"/>
  <c r="AN132" i="5"/>
  <c r="AM132" i="5"/>
  <c r="AL132" i="5"/>
  <c r="AK132" i="5"/>
  <c r="AH132" i="5"/>
  <c r="AG132" i="5"/>
  <c r="AF132" i="5"/>
  <c r="AC132" i="5"/>
  <c r="AB132" i="5"/>
  <c r="AA132" i="5"/>
  <c r="X132" i="5"/>
  <c r="W132" i="5"/>
  <c r="V132" i="5"/>
  <c r="T132" i="5"/>
  <c r="S132" i="5"/>
  <c r="R132" i="5"/>
  <c r="Q132" i="5"/>
  <c r="O132" i="5"/>
  <c r="N132" i="5"/>
  <c r="M132" i="5"/>
  <c r="L132" i="5"/>
  <c r="J132" i="5"/>
  <c r="I132" i="5"/>
  <c r="H132" i="5"/>
  <c r="G132" i="5"/>
  <c r="DW132" i="5"/>
  <c r="DW131" i="5"/>
  <c r="CW131" i="5"/>
  <c r="CR131" i="5"/>
  <c r="CR129" i="5"/>
  <c r="CR127" i="5"/>
  <c r="CR223" i="5" s="1"/>
  <c r="CR122" i="5"/>
  <c r="CR121" i="5"/>
  <c r="CR120" i="5"/>
  <c r="CR109" i="5"/>
  <c r="BS131" i="5"/>
  <c r="BS129" i="5"/>
  <c r="BS128" i="5"/>
  <c r="BS127" i="5"/>
  <c r="BS223" i="5" s="1"/>
  <c r="BS120" i="5"/>
  <c r="BS109" i="5"/>
  <c r="BI131" i="5"/>
  <c r="BI132" i="5" s="1"/>
  <c r="BI127" i="5"/>
  <c r="BI120" i="5"/>
  <c r="BD131" i="5"/>
  <c r="BD132" i="5" s="1"/>
  <c r="BD127" i="5"/>
  <c r="BD223" i="5" s="1"/>
  <c r="BD120" i="5"/>
  <c r="AY131" i="5"/>
  <c r="AY221" i="5" s="1"/>
  <c r="AD131" i="5"/>
  <c r="Y131" i="5"/>
  <c r="K131" i="5"/>
  <c r="K221" i="5" s="1"/>
  <c r="F131" i="5"/>
  <c r="A130" i="5"/>
  <c r="DZ129" i="5"/>
  <c r="DY129" i="5"/>
  <c r="DX129" i="5"/>
  <c r="DX131" i="5" s="1"/>
  <c r="DW129" i="5"/>
  <c r="AE129" i="5"/>
  <c r="AE128" i="5"/>
  <c r="AE127" i="5"/>
  <c r="CX128" i="5"/>
  <c r="CQ129" i="5"/>
  <c r="CP129" i="5"/>
  <c r="CO129" i="5"/>
  <c r="CN129" i="5"/>
  <c r="CQ128" i="5"/>
  <c r="CP128" i="5"/>
  <c r="CO128" i="5"/>
  <c r="CN128" i="5"/>
  <c r="CL129" i="5"/>
  <c r="CK129" i="5"/>
  <c r="CJ129" i="5"/>
  <c r="CI129" i="5"/>
  <c r="CL128" i="5"/>
  <c r="CK128" i="5"/>
  <c r="CJ128" i="5"/>
  <c r="CI128" i="5"/>
  <c r="CG129" i="5"/>
  <c r="CF129" i="5"/>
  <c r="CE129" i="5"/>
  <c r="CD129" i="5"/>
  <c r="CG128" i="5"/>
  <c r="CF128" i="5"/>
  <c r="CE128" i="5"/>
  <c r="CD128" i="5"/>
  <c r="CB129" i="5"/>
  <c r="CA129" i="5"/>
  <c r="BZ129" i="5"/>
  <c r="BY129" i="5"/>
  <c r="CB128" i="5"/>
  <c r="CA128" i="5"/>
  <c r="BZ128" i="5"/>
  <c r="BY128" i="5"/>
  <c r="BW129" i="5"/>
  <c r="BV129" i="5"/>
  <c r="BU129" i="5"/>
  <c r="BT129" i="5"/>
  <c r="BW128" i="5"/>
  <c r="BV128" i="5"/>
  <c r="BU128" i="5"/>
  <c r="BT128" i="5"/>
  <c r="BR129" i="5"/>
  <c r="BQ129" i="5"/>
  <c r="BP129" i="5"/>
  <c r="BO129" i="5"/>
  <c r="BR128" i="5"/>
  <c r="BQ128" i="5"/>
  <c r="BP128" i="5"/>
  <c r="BO128" i="5"/>
  <c r="BM129" i="5"/>
  <c r="BL129" i="5"/>
  <c r="BK129" i="5"/>
  <c r="BJ129" i="5"/>
  <c r="BM128" i="5"/>
  <c r="BL128" i="5"/>
  <c r="BK128" i="5"/>
  <c r="BJ128" i="5"/>
  <c r="BH129" i="5"/>
  <c r="BG129" i="5"/>
  <c r="BF129" i="5"/>
  <c r="BE129" i="5"/>
  <c r="BH128" i="5"/>
  <c r="BG128" i="5"/>
  <c r="BF128" i="5"/>
  <c r="BE128" i="5"/>
  <c r="BC129" i="5"/>
  <c r="BB129" i="5"/>
  <c r="BA129" i="5"/>
  <c r="AZ129" i="5"/>
  <c r="BC128" i="5"/>
  <c r="BB128" i="5"/>
  <c r="BA128" i="5"/>
  <c r="AZ128" i="5"/>
  <c r="AN128" i="5"/>
  <c r="AM128" i="5"/>
  <c r="AL128" i="5"/>
  <c r="AK128" i="5"/>
  <c r="AI128" i="5"/>
  <c r="AH128" i="5"/>
  <c r="AG128" i="5"/>
  <c r="AF128" i="5"/>
  <c r="AD128" i="5"/>
  <c r="AC128" i="5"/>
  <c r="AB128" i="5"/>
  <c r="AA128" i="5"/>
  <c r="Z128" i="5"/>
  <c r="Y128" i="5"/>
  <c r="X128" i="5"/>
  <c r="W128" i="5"/>
  <c r="V128" i="5"/>
  <c r="T128" i="5"/>
  <c r="S128" i="5"/>
  <c r="R128" i="5"/>
  <c r="Q128" i="5"/>
  <c r="O128" i="5"/>
  <c r="N128" i="5"/>
  <c r="M128" i="5"/>
  <c r="L128" i="5"/>
  <c r="J128" i="5"/>
  <c r="I128" i="5"/>
  <c r="H128" i="5"/>
  <c r="G128" i="5"/>
  <c r="CW127" i="5"/>
  <c r="CW223" i="5" s="1"/>
  <c r="AY127" i="5"/>
  <c r="Z127" i="5"/>
  <c r="U127" i="5"/>
  <c r="P127" i="5"/>
  <c r="U128" i="5" s="1"/>
  <c r="K127" i="5"/>
  <c r="F127" i="5"/>
  <c r="AU126" i="5"/>
  <c r="AU222" i="5" s="1"/>
  <c r="DA127" i="5"/>
  <c r="CZ127" i="5"/>
  <c r="CY127" i="5"/>
  <c r="AV125" i="5"/>
  <c r="AV126" i="5" s="1"/>
  <c r="BZ122" i="5"/>
  <c r="BY122" i="5"/>
  <c r="CC122" i="5" s="1"/>
  <c r="CQ121" i="5"/>
  <c r="CP121" i="5"/>
  <c r="CO121" i="5"/>
  <c r="CN121" i="5"/>
  <c r="CL121" i="5"/>
  <c r="CK121" i="5"/>
  <c r="CJ121" i="5"/>
  <c r="CI121" i="5"/>
  <c r="CG121" i="5"/>
  <c r="CF121" i="5"/>
  <c r="CE121" i="5"/>
  <c r="CD121" i="5"/>
  <c r="CB121" i="5"/>
  <c r="CA121" i="5"/>
  <c r="BZ121" i="5"/>
  <c r="BY121" i="5"/>
  <c r="BW122" i="5"/>
  <c r="BV122" i="5"/>
  <c r="BU122" i="5"/>
  <c r="BT122" i="5"/>
  <c r="BX122" i="5" s="1"/>
  <c r="BW121" i="5"/>
  <c r="BV121" i="5"/>
  <c r="BU121" i="5"/>
  <c r="BT121" i="5"/>
  <c r="BR122" i="5"/>
  <c r="BQ122" i="5"/>
  <c r="BP122" i="5"/>
  <c r="BO122" i="5"/>
  <c r="BS122" i="5" s="1"/>
  <c r="BR121" i="5"/>
  <c r="BQ121" i="5"/>
  <c r="BP121" i="5"/>
  <c r="BO121" i="5"/>
  <c r="BM122" i="5"/>
  <c r="BL122" i="5"/>
  <c r="BK122" i="5"/>
  <c r="BK123" i="5" s="1"/>
  <c r="BJ122" i="5"/>
  <c r="BN122" i="5" s="1"/>
  <c r="BM121" i="5"/>
  <c r="BL121" i="5"/>
  <c r="BK121" i="5"/>
  <c r="BJ121" i="5"/>
  <c r="BH122" i="5"/>
  <c r="BG122" i="5"/>
  <c r="BF122" i="5"/>
  <c r="BE122" i="5"/>
  <c r="BI122" i="5" s="1"/>
  <c r="BH121" i="5"/>
  <c r="BG121" i="5"/>
  <c r="BF121" i="5"/>
  <c r="BE121" i="5"/>
  <c r="BC122" i="5"/>
  <c r="BB122" i="5"/>
  <c r="BA122" i="5"/>
  <c r="AZ122" i="5"/>
  <c r="BD122" i="5" s="1"/>
  <c r="BC121" i="5"/>
  <c r="BB121" i="5"/>
  <c r="BA121" i="5"/>
  <c r="AZ121" i="5"/>
  <c r="AX122" i="5"/>
  <c r="AW122" i="5"/>
  <c r="AV122" i="5"/>
  <c r="AU122" i="5"/>
  <c r="AY122" i="5" s="1"/>
  <c r="AX121" i="5"/>
  <c r="AV121" i="5"/>
  <c r="AU121" i="5"/>
  <c r="AY120" i="5"/>
  <c r="AY121" i="5" s="1"/>
  <c r="CX117" i="5"/>
  <c r="CX116" i="5"/>
  <c r="AN118" i="5"/>
  <c r="AM118" i="5"/>
  <c r="AL118" i="5"/>
  <c r="AL119" i="5" s="1"/>
  <c r="AK118" i="5"/>
  <c r="AI118" i="5"/>
  <c r="AN119" i="5" s="1"/>
  <c r="AH118" i="5"/>
  <c r="AM119" i="5" s="1"/>
  <c r="AG118" i="5"/>
  <c r="AF118" i="5"/>
  <c r="AK119" i="5" s="1"/>
  <c r="AC118" i="5"/>
  <c r="AB118" i="5"/>
  <c r="AG119" i="5" s="1"/>
  <c r="AA118" i="5"/>
  <c r="AF119" i="5" s="1"/>
  <c r="X118" i="5"/>
  <c r="AC119" i="5" s="1"/>
  <c r="W118" i="5"/>
  <c r="AB119" i="5" s="1"/>
  <c r="V118" i="5"/>
  <c r="AA119" i="5" s="1"/>
  <c r="CV117" i="5"/>
  <c r="CU117" i="5"/>
  <c r="CT117" i="5"/>
  <c r="CS117" i="5"/>
  <c r="CW117" i="5" s="1"/>
  <c r="AX117" i="5"/>
  <c r="AW117" i="5"/>
  <c r="AV117" i="5"/>
  <c r="AU117" i="5"/>
  <c r="AY117" i="5" s="1"/>
  <c r="CQ117" i="5"/>
  <c r="CP117" i="5"/>
  <c r="CO117" i="5"/>
  <c r="CN117" i="5"/>
  <c r="CQ116" i="5"/>
  <c r="CP116" i="5"/>
  <c r="CO116" i="5"/>
  <c r="CN116" i="5"/>
  <c r="CL117" i="5"/>
  <c r="CK117" i="5"/>
  <c r="CJ117" i="5"/>
  <c r="CI117" i="5"/>
  <c r="CL116" i="5"/>
  <c r="CK116" i="5"/>
  <c r="CJ116" i="5"/>
  <c r="CI116" i="5"/>
  <c r="CG117" i="5"/>
  <c r="CF117" i="5"/>
  <c r="CE117" i="5"/>
  <c r="CD117" i="5"/>
  <c r="CG116" i="5"/>
  <c r="CF116" i="5"/>
  <c r="CE116" i="5"/>
  <c r="CD116" i="5"/>
  <c r="CB117" i="5"/>
  <c r="CA117" i="5"/>
  <c r="BZ117" i="5"/>
  <c r="BY117" i="5"/>
  <c r="CB116" i="5"/>
  <c r="CA116" i="5"/>
  <c r="BZ116" i="5"/>
  <c r="BY116" i="5"/>
  <c r="BW117" i="5"/>
  <c r="BV117" i="5"/>
  <c r="BU117" i="5"/>
  <c r="BT117" i="5"/>
  <c r="BW116" i="5"/>
  <c r="BV116" i="5"/>
  <c r="BU116" i="5"/>
  <c r="BT116" i="5"/>
  <c r="BR117" i="5"/>
  <c r="BQ117" i="5"/>
  <c r="BP117" i="5"/>
  <c r="BO117" i="5"/>
  <c r="BR116" i="5"/>
  <c r="BQ116" i="5"/>
  <c r="BP116" i="5"/>
  <c r="BO116" i="5"/>
  <c r="BM117" i="5"/>
  <c r="BL117" i="5"/>
  <c r="BK117" i="5"/>
  <c r="BK118" i="5" s="1"/>
  <c r="BJ117" i="5"/>
  <c r="BM116" i="5"/>
  <c r="BL116" i="5"/>
  <c r="BK116" i="5"/>
  <c r="BJ116" i="5"/>
  <c r="BH117" i="5"/>
  <c r="BG117" i="5"/>
  <c r="BF117" i="5"/>
  <c r="BE117" i="5"/>
  <c r="BH116" i="5"/>
  <c r="BG116" i="5"/>
  <c r="BF116" i="5"/>
  <c r="BE116" i="5"/>
  <c r="BC117" i="5"/>
  <c r="BB117" i="5"/>
  <c r="BA117" i="5"/>
  <c r="AZ117" i="5"/>
  <c r="BD117" i="5" s="1"/>
  <c r="BC116" i="5"/>
  <c r="BB116" i="5"/>
  <c r="BA116" i="5"/>
  <c r="AZ116" i="5"/>
  <c r="AN116" i="5"/>
  <c r="AM116" i="5"/>
  <c r="AL116" i="5"/>
  <c r="AK116" i="5"/>
  <c r="AH116" i="5"/>
  <c r="AG116" i="5"/>
  <c r="AF116" i="5"/>
  <c r="AE116" i="5"/>
  <c r="AC116" i="5"/>
  <c r="AB116" i="5"/>
  <c r="AA116" i="5"/>
  <c r="CW115" i="5"/>
  <c r="CQ115" i="5"/>
  <c r="CR115" i="5" s="1"/>
  <c r="CR116" i="5" s="1"/>
  <c r="CQ114" i="5"/>
  <c r="CQ112" i="5"/>
  <c r="CQ113" i="5" s="1"/>
  <c r="CQ110" i="5"/>
  <c r="CQ111" i="5" s="1"/>
  <c r="AY115" i="5"/>
  <c r="AO115" i="5"/>
  <c r="AJ115" i="5"/>
  <c r="AD115" i="5"/>
  <c r="AD116" i="5" s="1"/>
  <c r="Y115" i="5"/>
  <c r="Y118" i="5" s="1"/>
  <c r="U115" i="5"/>
  <c r="P115" i="5"/>
  <c r="K115" i="5"/>
  <c r="F115" i="5"/>
  <c r="CX114" i="5"/>
  <c r="CX112" i="5"/>
  <c r="CX110" i="5"/>
  <c r="E112" i="5"/>
  <c r="D112" i="5"/>
  <c r="C112" i="5"/>
  <c r="H113" i="5" s="1"/>
  <c r="B112" i="5"/>
  <c r="CP114" i="5"/>
  <c r="CO114" i="5"/>
  <c r="CN114" i="5"/>
  <c r="CP112" i="5"/>
  <c r="CP113" i="5" s="1"/>
  <c r="CO112" i="5"/>
  <c r="CN112" i="5"/>
  <c r="CP111" i="5"/>
  <c r="CO111" i="5"/>
  <c r="CP110" i="5"/>
  <c r="CO110" i="5"/>
  <c r="CN110" i="5"/>
  <c r="CN111" i="5" s="1"/>
  <c r="CL114" i="5"/>
  <c r="CK114" i="5"/>
  <c r="CJ114" i="5"/>
  <c r="CI114" i="5"/>
  <c r="CL112" i="5"/>
  <c r="CL113" i="5" s="1"/>
  <c r="CK112" i="5"/>
  <c r="CK113" i="5" s="1"/>
  <c r="CJ112" i="5"/>
  <c r="CO113" i="5" s="1"/>
  <c r="CI112" i="5"/>
  <c r="CN113" i="5" s="1"/>
  <c r="CL110" i="5"/>
  <c r="CL111" i="5" s="1"/>
  <c r="CK110" i="5"/>
  <c r="CK111" i="5" s="1"/>
  <c r="CJ110" i="5"/>
  <c r="CJ111" i="5" s="1"/>
  <c r="CI110" i="5"/>
  <c r="CI111" i="5" s="1"/>
  <c r="CG114" i="5"/>
  <c r="CF114" i="5"/>
  <c r="CE114" i="5"/>
  <c r="CD114" i="5"/>
  <c r="CG112" i="5"/>
  <c r="CG113" i="5" s="1"/>
  <c r="CF112" i="5"/>
  <c r="CF113" i="5" s="1"/>
  <c r="CE112" i="5"/>
  <c r="CE113" i="5" s="1"/>
  <c r="CD112" i="5"/>
  <c r="CD113" i="5" s="1"/>
  <c r="CG110" i="5"/>
  <c r="CG111" i="5" s="1"/>
  <c r="CF110" i="5"/>
  <c r="CF111" i="5" s="1"/>
  <c r="CE110" i="5"/>
  <c r="CE111" i="5" s="1"/>
  <c r="CD110" i="5"/>
  <c r="CD111" i="5" s="1"/>
  <c r="CB114" i="5"/>
  <c r="CA114" i="5"/>
  <c r="BZ114" i="5"/>
  <c r="BY114" i="5"/>
  <c r="CB112" i="5"/>
  <c r="CB113" i="5" s="1"/>
  <c r="CA112" i="5"/>
  <c r="CA113" i="5" s="1"/>
  <c r="BZ112" i="5"/>
  <c r="BZ113" i="5" s="1"/>
  <c r="BY112" i="5"/>
  <c r="BY113" i="5" s="1"/>
  <c r="CB110" i="5"/>
  <c r="CB111" i="5" s="1"/>
  <c r="CA110" i="5"/>
  <c r="CA111" i="5" s="1"/>
  <c r="BZ110" i="5"/>
  <c r="BZ111" i="5" s="1"/>
  <c r="BY110" i="5"/>
  <c r="BY111" i="5" s="1"/>
  <c r="BW114" i="5"/>
  <c r="BV114" i="5"/>
  <c r="BU114" i="5"/>
  <c r="BT114" i="5"/>
  <c r="BW112" i="5"/>
  <c r="BW113" i="5" s="1"/>
  <c r="BV112" i="5"/>
  <c r="BV113" i="5" s="1"/>
  <c r="BU112" i="5"/>
  <c r="BU113" i="5" s="1"/>
  <c r="BT112" i="5"/>
  <c r="BT113" i="5" s="1"/>
  <c r="BW110" i="5"/>
  <c r="BW111" i="5" s="1"/>
  <c r="BV110" i="5"/>
  <c r="BV111" i="5" s="1"/>
  <c r="BU110" i="5"/>
  <c r="BU111" i="5" s="1"/>
  <c r="BT110" i="5"/>
  <c r="BT111" i="5" s="1"/>
  <c r="BR114" i="5"/>
  <c r="BQ114" i="5"/>
  <c r="BP114" i="5"/>
  <c r="BO114" i="5"/>
  <c r="BR112" i="5"/>
  <c r="BQ112" i="5"/>
  <c r="BP112" i="5"/>
  <c r="BO112" i="5"/>
  <c r="BR110" i="5"/>
  <c r="BQ110" i="5"/>
  <c r="BP110" i="5"/>
  <c r="BO110" i="5"/>
  <c r="J113" i="5"/>
  <c r="G113" i="5"/>
  <c r="AC112" i="5"/>
  <c r="AC113" i="5" s="1"/>
  <c r="AB112" i="5"/>
  <c r="AA112" i="5"/>
  <c r="X112" i="5"/>
  <c r="W112" i="5"/>
  <c r="AB113" i="5" s="1"/>
  <c r="V112" i="5"/>
  <c r="AA113" i="5" s="1"/>
  <c r="T112" i="5"/>
  <c r="S112" i="5"/>
  <c r="X113" i="5" s="1"/>
  <c r="R112" i="5"/>
  <c r="W113" i="5" s="1"/>
  <c r="Q112" i="5"/>
  <c r="V113" i="5" s="1"/>
  <c r="O112" i="5"/>
  <c r="T113" i="5" s="1"/>
  <c r="N112" i="5"/>
  <c r="S113" i="5" s="1"/>
  <c r="M112" i="5"/>
  <c r="R113" i="5" s="1"/>
  <c r="L112" i="5"/>
  <c r="J112" i="5"/>
  <c r="O113" i="5" s="1"/>
  <c r="I112" i="5"/>
  <c r="N113" i="5" s="1"/>
  <c r="H112" i="5"/>
  <c r="G112" i="5"/>
  <c r="L113" i="5" s="1"/>
  <c r="AC110" i="5"/>
  <c r="AB110" i="5"/>
  <c r="AA110" i="5"/>
  <c r="AA111" i="5" s="1"/>
  <c r="X110" i="5"/>
  <c r="AC111" i="5" s="1"/>
  <c r="W110" i="5"/>
  <c r="AB111" i="5" s="1"/>
  <c r="V110" i="5"/>
  <c r="T110" i="5"/>
  <c r="S110" i="5"/>
  <c r="X111" i="5" s="1"/>
  <c r="R110" i="5"/>
  <c r="Q110" i="5"/>
  <c r="V111" i="5" s="1"/>
  <c r="O110" i="5"/>
  <c r="T111" i="5" s="1"/>
  <c r="N110" i="5"/>
  <c r="M110" i="5"/>
  <c r="R111" i="5" s="1"/>
  <c r="L110" i="5"/>
  <c r="Q111" i="5" s="1"/>
  <c r="J110" i="5"/>
  <c r="I110" i="5"/>
  <c r="N111" i="5" s="1"/>
  <c r="H110" i="5"/>
  <c r="M111" i="5" s="1"/>
  <c r="G110" i="5"/>
  <c r="L111" i="5" s="1"/>
  <c r="E110" i="5"/>
  <c r="J111" i="5" s="1"/>
  <c r="D110" i="5"/>
  <c r="I111" i="5" s="1"/>
  <c r="C110" i="5"/>
  <c r="H111" i="5" s="1"/>
  <c r="B110" i="5"/>
  <c r="CV109" i="5"/>
  <c r="CV114" i="5" s="1"/>
  <c r="CU109" i="5"/>
  <c r="CU114" i="5" s="1"/>
  <c r="CT109" i="5"/>
  <c r="CT114" i="5" s="1"/>
  <c r="CS109" i="5"/>
  <c r="CS114" i="5" s="1"/>
  <c r="BM109" i="5"/>
  <c r="BM114" i="5" s="1"/>
  <c r="BL109" i="5"/>
  <c r="BL114" i="5" s="1"/>
  <c r="BH109" i="5"/>
  <c r="BH114" i="5" s="1"/>
  <c r="BG109" i="5"/>
  <c r="BG114" i="5" s="1"/>
  <c r="BF109" i="5"/>
  <c r="BF114" i="5" s="1"/>
  <c r="BE109" i="5"/>
  <c r="BC109" i="5"/>
  <c r="BC114" i="5" s="1"/>
  <c r="BB109" i="5"/>
  <c r="BB112" i="5" s="1"/>
  <c r="BA109" i="5"/>
  <c r="BA112" i="5" s="1"/>
  <c r="AO109" i="5"/>
  <c r="AJ109" i="5"/>
  <c r="AE109" i="5"/>
  <c r="AE110" i="5" s="1"/>
  <c r="AE111" i="5" s="1"/>
  <c r="Z109" i="5"/>
  <c r="Z110" i="5" s="1"/>
  <c r="U109" i="5"/>
  <c r="P109" i="5"/>
  <c r="K109" i="5"/>
  <c r="F109" i="5"/>
  <c r="DL106" i="5"/>
  <c r="DG106" i="5"/>
  <c r="DA106" i="5"/>
  <c r="CZ106" i="5"/>
  <c r="DL96" i="5"/>
  <c r="DL97" i="5" s="1"/>
  <c r="DG96" i="5"/>
  <c r="CX97" i="5"/>
  <c r="CV97" i="5"/>
  <c r="CU97" i="5"/>
  <c r="CT97" i="5"/>
  <c r="CS97" i="5"/>
  <c r="CQ97" i="5"/>
  <c r="CP97" i="5"/>
  <c r="CO97" i="5"/>
  <c r="CN97" i="5"/>
  <c r="CL97" i="5"/>
  <c r="CK97" i="5"/>
  <c r="CJ97" i="5"/>
  <c r="CI97" i="5"/>
  <c r="CG97" i="5"/>
  <c r="CF97" i="5"/>
  <c r="CE97" i="5"/>
  <c r="CD97" i="5"/>
  <c r="CB97" i="5"/>
  <c r="CA97" i="5"/>
  <c r="BZ97" i="5"/>
  <c r="BY97" i="5"/>
  <c r="BW97" i="5"/>
  <c r="BV97" i="5"/>
  <c r="BU97" i="5"/>
  <c r="BT97" i="5"/>
  <c r="BR97" i="5"/>
  <c r="BQ97" i="5"/>
  <c r="BP97" i="5"/>
  <c r="BO97" i="5"/>
  <c r="BM97" i="5"/>
  <c r="BL97" i="5"/>
  <c r="BK97" i="5"/>
  <c r="BJ97" i="5"/>
  <c r="BH97" i="5"/>
  <c r="BG97" i="5"/>
  <c r="BF97" i="5"/>
  <c r="BE97" i="5"/>
  <c r="BC97" i="5"/>
  <c r="BB97" i="5"/>
  <c r="BA97" i="5"/>
  <c r="AZ97" i="5"/>
  <c r="CM94" i="5"/>
  <c r="CM219" i="5" s="1"/>
  <c r="CH96" i="5"/>
  <c r="CH94" i="5"/>
  <c r="CH219" i="5" s="1"/>
  <c r="CC96" i="5"/>
  <c r="CC94" i="5"/>
  <c r="CC219" i="5" s="1"/>
  <c r="BX94" i="5"/>
  <c r="BX219" i="5" s="1"/>
  <c r="BS94" i="5"/>
  <c r="BS219" i="5" s="1"/>
  <c r="BI94" i="5"/>
  <c r="BI219" i="5" s="1"/>
  <c r="E96" i="5"/>
  <c r="D96" i="5"/>
  <c r="C96" i="5"/>
  <c r="B96" i="5"/>
  <c r="CX95" i="5"/>
  <c r="CL95" i="5"/>
  <c r="CK95" i="5"/>
  <c r="CJ95" i="5"/>
  <c r="CI95" i="5"/>
  <c r="CG95" i="5"/>
  <c r="CF95" i="5"/>
  <c r="CE95" i="5"/>
  <c r="CD95" i="5"/>
  <c r="CB95" i="5"/>
  <c r="CA95" i="5"/>
  <c r="BZ95" i="5"/>
  <c r="BY95" i="5"/>
  <c r="BV95" i="5"/>
  <c r="BU95" i="5"/>
  <c r="BT95" i="5"/>
  <c r="BQ95" i="5"/>
  <c r="BP95" i="5"/>
  <c r="BO95" i="5"/>
  <c r="BM95" i="5"/>
  <c r="BL95" i="5"/>
  <c r="BK95" i="5"/>
  <c r="BJ95" i="5"/>
  <c r="BH95" i="5"/>
  <c r="BG95" i="5"/>
  <c r="BF95" i="5"/>
  <c r="BC95" i="5"/>
  <c r="BB95" i="5"/>
  <c r="BA95" i="5"/>
  <c r="H97" i="5"/>
  <c r="G97" i="5"/>
  <c r="AO96" i="5"/>
  <c r="AN96" i="5"/>
  <c r="AM96" i="5"/>
  <c r="AL96" i="5"/>
  <c r="AL97" i="5" s="1"/>
  <c r="AK96" i="5"/>
  <c r="AK97" i="5" s="1"/>
  <c r="AI96" i="5"/>
  <c r="AN97" i="5" s="1"/>
  <c r="AH96" i="5"/>
  <c r="AM97" i="5" s="1"/>
  <c r="AG96" i="5"/>
  <c r="AG97" i="5" s="1"/>
  <c r="AF96" i="5"/>
  <c r="AD96" i="5"/>
  <c r="AI97" i="5" s="1"/>
  <c r="AC96" i="5"/>
  <c r="AC97" i="5" s="1"/>
  <c r="AB96" i="5"/>
  <c r="AA96" i="5"/>
  <c r="AF97" i="5" s="1"/>
  <c r="Y96" i="5"/>
  <c r="Y97" i="5" s="1"/>
  <c r="X96" i="5"/>
  <c r="W96" i="5"/>
  <c r="AB97" i="5" s="1"/>
  <c r="V96" i="5"/>
  <c r="AA97" i="5" s="1"/>
  <c r="T96" i="5"/>
  <c r="S96" i="5"/>
  <c r="X97" i="5" s="1"/>
  <c r="R96" i="5"/>
  <c r="W97" i="5" s="1"/>
  <c r="Q96" i="5"/>
  <c r="Q97" i="5" s="1"/>
  <c r="O96" i="5"/>
  <c r="T97" i="5" s="1"/>
  <c r="N96" i="5"/>
  <c r="S97" i="5" s="1"/>
  <c r="M96" i="5"/>
  <c r="M97" i="5" s="1"/>
  <c r="L96" i="5"/>
  <c r="J96" i="5"/>
  <c r="O97" i="5" s="1"/>
  <c r="I96" i="5"/>
  <c r="I97" i="5" s="1"/>
  <c r="H96" i="5"/>
  <c r="G96" i="5"/>
  <c r="L97" i="5" s="1"/>
  <c r="AO95" i="5"/>
  <c r="AN95" i="5"/>
  <c r="AM95" i="5"/>
  <c r="AL95" i="5"/>
  <c r="AK95" i="5"/>
  <c r="AJ95" i="5"/>
  <c r="AI95" i="5"/>
  <c r="AH95" i="5"/>
  <c r="AG95" i="5"/>
  <c r="AF95" i="5"/>
  <c r="AD95" i="5"/>
  <c r="AC95" i="5"/>
  <c r="AB95" i="5"/>
  <c r="AA95" i="5"/>
  <c r="Y95" i="5"/>
  <c r="X95" i="5"/>
  <c r="W95" i="5"/>
  <c r="V95" i="5"/>
  <c r="T95" i="5"/>
  <c r="S95" i="5"/>
  <c r="R95" i="5"/>
  <c r="Q95" i="5"/>
  <c r="O95" i="5"/>
  <c r="N95" i="5"/>
  <c r="M95" i="5"/>
  <c r="L95" i="5"/>
  <c r="J95" i="5"/>
  <c r="I95" i="5"/>
  <c r="H95" i="5"/>
  <c r="G95" i="5"/>
  <c r="DA96" i="5"/>
  <c r="DA97" i="5" s="1"/>
  <c r="CZ96" i="5"/>
  <c r="CZ97" i="5" s="1"/>
  <c r="CY96" i="5"/>
  <c r="CY97" i="5" s="1"/>
  <c r="CV94" i="5"/>
  <c r="CU94" i="5"/>
  <c r="CT94" i="5"/>
  <c r="BR94" i="5"/>
  <c r="BW95" i="5" s="1"/>
  <c r="BR88" i="5"/>
  <c r="BK94" i="5"/>
  <c r="BJ94" i="5"/>
  <c r="BJ109" i="5" s="1"/>
  <c r="AZ94" i="5"/>
  <c r="BD94" i="5" s="1"/>
  <c r="AY94" i="5"/>
  <c r="AY219" i="5" s="1"/>
  <c r="AU94" i="5"/>
  <c r="AO94" i="5"/>
  <c r="AO219" i="5" s="1"/>
  <c r="AO87" i="5"/>
  <c r="AO81" i="5"/>
  <c r="AJ94" i="5"/>
  <c r="AJ219" i="5" s="1"/>
  <c r="AJ87" i="5"/>
  <c r="AJ83" i="5"/>
  <c r="AE94" i="5"/>
  <c r="AE219" i="5" s="1"/>
  <c r="AE87" i="5"/>
  <c r="AE84" i="5"/>
  <c r="Z94" i="5"/>
  <c r="Z219" i="5" s="1"/>
  <c r="Z87" i="5"/>
  <c r="U94" i="5"/>
  <c r="U219" i="5" s="1"/>
  <c r="U87" i="5"/>
  <c r="U83" i="5"/>
  <c r="Z84" i="5" s="1"/>
  <c r="P94" i="5"/>
  <c r="P219" i="5" s="1"/>
  <c r="P87" i="5"/>
  <c r="P83" i="5"/>
  <c r="P84" i="5" s="1"/>
  <c r="K94" i="5"/>
  <c r="K219" i="5" s="1"/>
  <c r="F94" i="5"/>
  <c r="F219" i="5" s="1"/>
  <c r="DB81" i="5"/>
  <c r="DU90" i="5"/>
  <c r="DY91" i="5" s="1"/>
  <c r="DV89" i="5"/>
  <c r="DV88" i="5"/>
  <c r="CQ94" i="5"/>
  <c r="CP94" i="5"/>
  <c r="CO94" i="5"/>
  <c r="CN94" i="5"/>
  <c r="CR94" i="5" s="1"/>
  <c r="CG89" i="5"/>
  <c r="BY89" i="5"/>
  <c r="BT89" i="5"/>
  <c r="BC89" i="5"/>
  <c r="DX90" i="5"/>
  <c r="DW90" i="5"/>
  <c r="DX89" i="5"/>
  <c r="DW89" i="5"/>
  <c r="DX88" i="5"/>
  <c r="DX91" i="5" s="1"/>
  <c r="DW88" i="5"/>
  <c r="DW91" i="5" s="1"/>
  <c r="CX88" i="5"/>
  <c r="CV88" i="5"/>
  <c r="CU88" i="5"/>
  <c r="CT88" i="5"/>
  <c r="CT89" i="5" s="1"/>
  <c r="CS88" i="5"/>
  <c r="CQ88" i="5"/>
  <c r="CP88" i="5"/>
  <c r="CO88" i="5"/>
  <c r="CN88" i="5"/>
  <c r="CR88" i="5" s="1"/>
  <c r="CL88" i="5"/>
  <c r="CV89" i="5" s="1"/>
  <c r="CK88" i="5"/>
  <c r="CJ88" i="5"/>
  <c r="CI88" i="5"/>
  <c r="CS89" i="5" s="1"/>
  <c r="CG88" i="5"/>
  <c r="CF88" i="5"/>
  <c r="CE88" i="5"/>
  <c r="CD88" i="5"/>
  <c r="CB88" i="5"/>
  <c r="CA88" i="5"/>
  <c r="BZ88" i="5"/>
  <c r="BY88" i="5"/>
  <c r="CC88" i="5" s="1"/>
  <c r="BW88" i="5"/>
  <c r="CB89" i="5" s="1"/>
  <c r="BV88" i="5"/>
  <c r="BU88" i="5"/>
  <c r="BT88" i="5"/>
  <c r="BX88" i="5" s="1"/>
  <c r="BQ88" i="5"/>
  <c r="BP88" i="5"/>
  <c r="BO88" i="5"/>
  <c r="BO89" i="5" s="1"/>
  <c r="BM88" i="5"/>
  <c r="BL88" i="5"/>
  <c r="BQ89" i="5" s="1"/>
  <c r="BK88" i="5"/>
  <c r="BJ88" i="5"/>
  <c r="BN88" i="5" s="1"/>
  <c r="BH88" i="5"/>
  <c r="BG88" i="5"/>
  <c r="BF88" i="5"/>
  <c r="BE88" i="5"/>
  <c r="BJ89" i="5" s="1"/>
  <c r="BC88" i="5"/>
  <c r="BB88" i="5"/>
  <c r="BA88" i="5"/>
  <c r="AZ88" i="5"/>
  <c r="AX88" i="5"/>
  <c r="AW88" i="5"/>
  <c r="AV88" i="5"/>
  <c r="AU88" i="5"/>
  <c r="AY88" i="5" s="1"/>
  <c r="AN88" i="5"/>
  <c r="AN92" i="5" s="1"/>
  <c r="AM88" i="5"/>
  <c r="AL88" i="5"/>
  <c r="AL92" i="5" s="1"/>
  <c r="AK88" i="5"/>
  <c r="AO88" i="5" s="1"/>
  <c r="AI88" i="5"/>
  <c r="AI92" i="5" s="1"/>
  <c r="AH88" i="5"/>
  <c r="AH92" i="5" s="1"/>
  <c r="AG88" i="5"/>
  <c r="AG92" i="5" s="1"/>
  <c r="AF88" i="5"/>
  <c r="AJ88" i="5" s="1"/>
  <c r="AD88" i="5"/>
  <c r="AC88" i="5"/>
  <c r="AB88" i="5"/>
  <c r="AA88" i="5"/>
  <c r="AE88" i="5" s="1"/>
  <c r="Y88" i="5"/>
  <c r="X88" i="5"/>
  <c r="W88" i="5"/>
  <c r="V88" i="5"/>
  <c r="Z88" i="5" s="1"/>
  <c r="T88" i="5"/>
  <c r="S88" i="5"/>
  <c r="R88" i="5"/>
  <c r="R92" i="5" s="1"/>
  <c r="Q88" i="5"/>
  <c r="U88" i="5" s="1"/>
  <c r="N88" i="5"/>
  <c r="N92" i="5" s="1"/>
  <c r="M88" i="5"/>
  <c r="L88" i="5"/>
  <c r="J88" i="5"/>
  <c r="J89" i="5" s="1"/>
  <c r="I88" i="5"/>
  <c r="H88" i="5"/>
  <c r="H89" i="5" s="1"/>
  <c r="G88" i="5"/>
  <c r="K88" i="5" s="1"/>
  <c r="E88" i="5"/>
  <c r="D88" i="5"/>
  <c r="C88" i="5"/>
  <c r="DZ87" i="5"/>
  <c r="DV87" i="5" s="1"/>
  <c r="DV91" i="5" s="1"/>
  <c r="CW87" i="5"/>
  <c r="CR87" i="5"/>
  <c r="CR81" i="5"/>
  <c r="CM87" i="5"/>
  <c r="CM81" i="5"/>
  <c r="CH87" i="5"/>
  <c r="CH81" i="5"/>
  <c r="CC87" i="5"/>
  <c r="CC81" i="5"/>
  <c r="BX87" i="5"/>
  <c r="BX81" i="5"/>
  <c r="BS87" i="5"/>
  <c r="BS82" i="5"/>
  <c r="BS81" i="5"/>
  <c r="BN87" i="5"/>
  <c r="BN81" i="5"/>
  <c r="BI87" i="5"/>
  <c r="BI81" i="5"/>
  <c r="BD87" i="5"/>
  <c r="AY87" i="5"/>
  <c r="K87" i="5"/>
  <c r="K83" i="5"/>
  <c r="F87" i="5"/>
  <c r="CX82" i="5"/>
  <c r="AK84" i="5"/>
  <c r="AH84" i="5"/>
  <c r="AG84" i="5"/>
  <c r="AF84" i="5"/>
  <c r="AC84" i="5"/>
  <c r="AB84" i="5"/>
  <c r="AA84" i="5"/>
  <c r="X84" i="5"/>
  <c r="W84" i="5"/>
  <c r="V84" i="5"/>
  <c r="T84" i="5"/>
  <c r="S84" i="5"/>
  <c r="R84" i="5"/>
  <c r="Q84" i="5"/>
  <c r="O84" i="5"/>
  <c r="N84" i="5"/>
  <c r="M84" i="5"/>
  <c r="L84" i="5"/>
  <c r="J84" i="5"/>
  <c r="I84" i="5"/>
  <c r="H84" i="5"/>
  <c r="G84" i="5"/>
  <c r="BW83" i="5"/>
  <c r="BW85" i="5" s="1"/>
  <c r="BV83" i="5"/>
  <c r="BV85" i="5" s="1"/>
  <c r="BQ83" i="5"/>
  <c r="BQ92" i="5" s="1"/>
  <c r="BP83" i="5"/>
  <c r="BP92" i="5" s="1"/>
  <c r="BP93" i="5" s="1"/>
  <c r="BO83" i="5"/>
  <c r="BO92" i="5" s="1"/>
  <c r="BK83" i="5"/>
  <c r="BK92" i="5" s="1"/>
  <c r="BJ83" i="5"/>
  <c r="BJ92" i="5" s="1"/>
  <c r="BJ93" i="5" s="1"/>
  <c r="AD83" i="5"/>
  <c r="AI84" i="5" s="1"/>
  <c r="Y83" i="5"/>
  <c r="F83" i="5"/>
  <c r="F80" i="5" s="1"/>
  <c r="CV82" i="5"/>
  <c r="CU82" i="5"/>
  <c r="CT82" i="5"/>
  <c r="CS82" i="5"/>
  <c r="CW82" i="5" s="1"/>
  <c r="CQ83" i="5"/>
  <c r="CQ92" i="5" s="1"/>
  <c r="CP83" i="5"/>
  <c r="CP85" i="5" s="1"/>
  <c r="CO83" i="5"/>
  <c r="CO92" i="5" s="1"/>
  <c r="CN83" i="5"/>
  <c r="CN92" i="5" s="1"/>
  <c r="CQ82" i="5"/>
  <c r="CP82" i="5"/>
  <c r="CO82" i="5"/>
  <c r="CN82" i="5"/>
  <c r="CR82" i="5" s="1"/>
  <c r="CL83" i="5"/>
  <c r="CL92" i="5" s="1"/>
  <c r="CK83" i="5"/>
  <c r="CK85" i="5" s="1"/>
  <c r="CJ83" i="5"/>
  <c r="CJ92" i="5" s="1"/>
  <c r="CI83" i="5"/>
  <c r="CI92" i="5" s="1"/>
  <c r="CL82" i="5"/>
  <c r="CK82" i="5"/>
  <c r="CJ82" i="5"/>
  <c r="CI82" i="5"/>
  <c r="CM82" i="5" s="1"/>
  <c r="CG83" i="5"/>
  <c r="CG92" i="5" s="1"/>
  <c r="CF83" i="5"/>
  <c r="CF85" i="5" s="1"/>
  <c r="CE83" i="5"/>
  <c r="CE92" i="5" s="1"/>
  <c r="CD83" i="5"/>
  <c r="CD92" i="5" s="1"/>
  <c r="CG82" i="5"/>
  <c r="CF82" i="5"/>
  <c r="CE82" i="5"/>
  <c r="CD82" i="5"/>
  <c r="CH82" i="5" s="1"/>
  <c r="CB83" i="5"/>
  <c r="CB92" i="5" s="1"/>
  <c r="CA83" i="5"/>
  <c r="CA85" i="5" s="1"/>
  <c r="CA86" i="5" s="1"/>
  <c r="BZ83" i="5"/>
  <c r="BZ92" i="5" s="1"/>
  <c r="BY83" i="5"/>
  <c r="BY92" i="5" s="1"/>
  <c r="CB82" i="5"/>
  <c r="CA82" i="5"/>
  <c r="BZ82" i="5"/>
  <c r="BY82" i="5"/>
  <c r="CC82" i="5" s="1"/>
  <c r="BW82" i="5"/>
  <c r="BX82" i="5" s="1"/>
  <c r="BH83" i="5"/>
  <c r="BH92" i="5" s="1"/>
  <c r="BH93" i="5" s="1"/>
  <c r="BE83" i="5"/>
  <c r="BE92" i="5" s="1"/>
  <c r="BC83" i="5"/>
  <c r="BC92" i="5" s="1"/>
  <c r="BC93" i="5" s="1"/>
  <c r="BB83" i="5"/>
  <c r="BB92" i="5" s="1"/>
  <c r="AZ82" i="5"/>
  <c r="AX83" i="5"/>
  <c r="AX92" i="5" s="1"/>
  <c r="AW83" i="5"/>
  <c r="AV83" i="5"/>
  <c r="AV92" i="5" s="1"/>
  <c r="AU83" i="5"/>
  <c r="AU92" i="5" s="1"/>
  <c r="AU82" i="5"/>
  <c r="AN83" i="5"/>
  <c r="AL83" i="5"/>
  <c r="AN82" i="5"/>
  <c r="AM82" i="5"/>
  <c r="AL82" i="5"/>
  <c r="AO82" i="5" s="1"/>
  <c r="CW81" i="5"/>
  <c r="CX80" i="5"/>
  <c r="CX83" i="5" s="1"/>
  <c r="CV80" i="5"/>
  <c r="CV83" i="5" s="1"/>
  <c r="CU80" i="5"/>
  <c r="CU83" i="5" s="1"/>
  <c r="CT80" i="5"/>
  <c r="CT83" i="5" s="1"/>
  <c r="CS80" i="5"/>
  <c r="CS83" i="5" s="1"/>
  <c r="BU80" i="5"/>
  <c r="BU139" i="5" s="1"/>
  <c r="BT80" i="5"/>
  <c r="BT139" i="5" s="1"/>
  <c r="BR80" i="5"/>
  <c r="BR83" i="5" s="1"/>
  <c r="BM80" i="5"/>
  <c r="BM139" i="5" s="1"/>
  <c r="BL80" i="5"/>
  <c r="BL139" i="5" s="1"/>
  <c r="BK80" i="5"/>
  <c r="BH80" i="5"/>
  <c r="BG80" i="5"/>
  <c r="BG139" i="5" s="1"/>
  <c r="BF80" i="5"/>
  <c r="BF83" i="5" s="1"/>
  <c r="BB80" i="5"/>
  <c r="BA80" i="5"/>
  <c r="BA83" i="5" s="1"/>
  <c r="AZ80" i="5"/>
  <c r="AZ83" i="5" s="1"/>
  <c r="AY80" i="5"/>
  <c r="AX80" i="5"/>
  <c r="AM80" i="5"/>
  <c r="AM139" i="5" s="1"/>
  <c r="AJ80" i="5"/>
  <c r="AJ92" i="5" s="1"/>
  <c r="AE80" i="5"/>
  <c r="AD80" i="5"/>
  <c r="AD92" i="5" s="1"/>
  <c r="AC80" i="5"/>
  <c r="AC139" i="5" s="1"/>
  <c r="AB80" i="5"/>
  <c r="AB139" i="5" s="1"/>
  <c r="AA80" i="5"/>
  <c r="AA139" i="5" s="1"/>
  <c r="Z80" i="5"/>
  <c r="Y80" i="5"/>
  <c r="Y92" i="5" s="1"/>
  <c r="X80" i="5"/>
  <c r="X139" i="5" s="1"/>
  <c r="W80" i="5"/>
  <c r="W139" i="5" s="1"/>
  <c r="V80" i="5"/>
  <c r="V139" i="5" s="1"/>
  <c r="U80" i="5"/>
  <c r="U92" i="5" s="1"/>
  <c r="T80" i="5"/>
  <c r="T139" i="5" s="1"/>
  <c r="S80" i="5"/>
  <c r="S139" i="5" s="1"/>
  <c r="R80" i="5"/>
  <c r="R139" i="5" s="1"/>
  <c r="Q80" i="5"/>
  <c r="Q139" i="5" s="1"/>
  <c r="P80" i="5"/>
  <c r="O80" i="5"/>
  <c r="O139" i="5" s="1"/>
  <c r="N80" i="5"/>
  <c r="N139" i="5" s="1"/>
  <c r="M80" i="5"/>
  <c r="M139" i="5" s="1"/>
  <c r="L80" i="5"/>
  <c r="L139" i="5" s="1"/>
  <c r="J80" i="5"/>
  <c r="J139" i="5" s="1"/>
  <c r="I80" i="5"/>
  <c r="I139" i="5" s="1"/>
  <c r="H80" i="5"/>
  <c r="H139" i="5" s="1"/>
  <c r="G80" i="5"/>
  <c r="G139" i="5" s="1"/>
  <c r="E80" i="5"/>
  <c r="E139" i="5" s="1"/>
  <c r="D80" i="5"/>
  <c r="D139" i="5" s="1"/>
  <c r="C80" i="5"/>
  <c r="C139" i="5" s="1"/>
  <c r="B80" i="5"/>
  <c r="B139" i="5" s="1"/>
  <c r="AS76" i="5"/>
  <c r="AR76" i="5"/>
  <c r="AQ76" i="5"/>
  <c r="AP76" i="5"/>
  <c r="AT76" i="5" s="1"/>
  <c r="A74" i="5"/>
  <c r="CV72" i="5"/>
  <c r="CV66" i="5" s="1"/>
  <c r="CU72" i="5"/>
  <c r="CU76" i="5" s="1"/>
  <c r="CU152" i="5" s="1"/>
  <c r="CT72" i="5"/>
  <c r="CT76" i="5" s="1"/>
  <c r="CT152" i="5" s="1"/>
  <c r="CS72" i="5"/>
  <c r="CS76" i="5" s="1"/>
  <c r="CS70" i="5"/>
  <c r="CV69" i="5"/>
  <c r="CV147" i="5" s="1"/>
  <c r="CU69" i="5"/>
  <c r="CU147" i="5" s="1"/>
  <c r="CT69" i="5"/>
  <c r="CT147" i="5" s="1"/>
  <c r="CZ69" i="5"/>
  <c r="CZ147" i="5" s="1"/>
  <c r="CY69" i="5"/>
  <c r="CY147" i="5" s="1"/>
  <c r="CV67" i="5"/>
  <c r="CU67" i="5"/>
  <c r="CT67" i="5"/>
  <c r="CS67" i="5"/>
  <c r="CQ67" i="5"/>
  <c r="CQ68" i="5" s="1"/>
  <c r="CP67" i="5"/>
  <c r="CP68" i="5" s="1"/>
  <c r="CO67" i="5"/>
  <c r="CO68" i="5" s="1"/>
  <c r="CN67" i="5"/>
  <c r="CN68" i="5" s="1"/>
  <c r="CL67" i="5"/>
  <c r="CL68" i="5" s="1"/>
  <c r="CK67" i="5"/>
  <c r="CK68" i="5" s="1"/>
  <c r="CJ67" i="5"/>
  <c r="CJ68" i="5" s="1"/>
  <c r="CI67" i="5"/>
  <c r="CI68" i="5" s="1"/>
  <c r="CG67" i="5"/>
  <c r="CG68" i="5" s="1"/>
  <c r="CF67" i="5"/>
  <c r="CF68" i="5" s="1"/>
  <c r="CE67" i="5"/>
  <c r="CE68" i="5" s="1"/>
  <c r="CD67" i="5"/>
  <c r="CD68" i="5" s="1"/>
  <c r="CB67" i="5"/>
  <c r="CB68" i="5" s="1"/>
  <c r="CA67" i="5"/>
  <c r="CA68" i="5" s="1"/>
  <c r="BZ67" i="5"/>
  <c r="BZ68" i="5" s="1"/>
  <c r="BY67" i="5"/>
  <c r="BY68" i="5" s="1"/>
  <c r="BW67" i="5"/>
  <c r="BW68" i="5" s="1"/>
  <c r="BV67" i="5"/>
  <c r="BV68" i="5" s="1"/>
  <c r="BU67" i="5"/>
  <c r="BU68" i="5" s="1"/>
  <c r="BT67" i="5"/>
  <c r="BT68" i="5" s="1"/>
  <c r="BR67" i="5"/>
  <c r="BR68" i="5" s="1"/>
  <c r="BQ67" i="5"/>
  <c r="BQ68" i="5" s="1"/>
  <c r="BP67" i="5"/>
  <c r="BP68" i="5" s="1"/>
  <c r="BO67" i="5"/>
  <c r="BO68" i="5" s="1"/>
  <c r="BM67" i="5"/>
  <c r="BM68" i="5" s="1"/>
  <c r="BL67" i="5"/>
  <c r="BL68" i="5" s="1"/>
  <c r="BK67" i="5"/>
  <c r="BK68" i="5" s="1"/>
  <c r="BJ67" i="5"/>
  <c r="BJ68" i="5" s="1"/>
  <c r="BH67" i="5"/>
  <c r="BH68" i="5" s="1"/>
  <c r="BG67" i="5"/>
  <c r="BG68" i="5" s="1"/>
  <c r="BF67" i="5"/>
  <c r="BF68" i="5" s="1"/>
  <c r="BE67" i="5"/>
  <c r="BE68" i="5" s="1"/>
  <c r="BC67" i="5"/>
  <c r="BC68" i="5" s="1"/>
  <c r="BB67" i="5"/>
  <c r="BA67" i="5"/>
  <c r="BA68" i="5" s="1"/>
  <c r="AZ67" i="5"/>
  <c r="AZ68" i="5" s="1"/>
  <c r="AX67" i="5"/>
  <c r="AV67" i="5"/>
  <c r="AU67" i="5"/>
  <c r="CU66" i="5"/>
  <c r="CT66" i="5"/>
  <c r="CS66" i="5"/>
  <c r="CR65" i="5"/>
  <c r="CQ65" i="5"/>
  <c r="CP65" i="5"/>
  <c r="CO65" i="5"/>
  <c r="CN65" i="5"/>
  <c r="CL65" i="5"/>
  <c r="CK65" i="5"/>
  <c r="CJ65" i="5"/>
  <c r="CI65" i="5"/>
  <c r="CH65" i="5"/>
  <c r="CG65" i="5"/>
  <c r="CF65" i="5"/>
  <c r="CE65" i="5"/>
  <c r="CD65" i="5"/>
  <c r="CC65" i="5"/>
  <c r="CB65" i="5"/>
  <c r="CA65" i="5"/>
  <c r="BZ65" i="5"/>
  <c r="BY65" i="5"/>
  <c r="BX65" i="5"/>
  <c r="BW65" i="5"/>
  <c r="BV65" i="5"/>
  <c r="BU65" i="5"/>
  <c r="BT65" i="5"/>
  <c r="BR65" i="5"/>
  <c r="BQ65" i="5"/>
  <c r="BP65" i="5"/>
  <c r="BO65" i="5"/>
  <c r="BN65" i="5"/>
  <c r="BM65" i="5"/>
  <c r="BL65" i="5"/>
  <c r="BK65" i="5"/>
  <c r="BJ65" i="5"/>
  <c r="BI65" i="5"/>
  <c r="BH65" i="5"/>
  <c r="BG65" i="5"/>
  <c r="BF65" i="5"/>
  <c r="BE65" i="5"/>
  <c r="BD65" i="5"/>
  <c r="BC65" i="5"/>
  <c r="BB65" i="5"/>
  <c r="BA65" i="5"/>
  <c r="AZ65" i="5"/>
  <c r="AN65" i="5"/>
  <c r="AM65" i="5"/>
  <c r="AL65" i="5"/>
  <c r="AK65" i="5"/>
  <c r="AI65" i="5"/>
  <c r="AH65" i="5"/>
  <c r="AG65" i="5"/>
  <c r="AF65" i="5"/>
  <c r="AD65" i="5"/>
  <c r="AC65" i="5"/>
  <c r="AB65" i="5"/>
  <c r="AA65" i="5"/>
  <c r="Z65" i="5"/>
  <c r="Y65" i="5"/>
  <c r="X65" i="5"/>
  <c r="W65" i="5"/>
  <c r="V65" i="5"/>
  <c r="T65" i="5"/>
  <c r="S65" i="5"/>
  <c r="R65" i="5"/>
  <c r="Q65" i="5"/>
  <c r="O65" i="5"/>
  <c r="N65" i="5"/>
  <c r="M65" i="5"/>
  <c r="L65" i="5"/>
  <c r="J65" i="5"/>
  <c r="I65" i="5"/>
  <c r="H65" i="5"/>
  <c r="G65" i="5"/>
  <c r="CW64" i="5"/>
  <c r="CR64" i="5"/>
  <c r="CR59" i="5"/>
  <c r="CR60" i="5" s="1"/>
  <c r="CM64" i="5"/>
  <c r="CM65" i="5" s="1"/>
  <c r="CM59" i="5"/>
  <c r="CM60" i="5" s="1"/>
  <c r="CH64" i="5"/>
  <c r="CH59" i="5"/>
  <c r="CH60" i="5" s="1"/>
  <c r="CC64" i="5"/>
  <c r="CC59" i="5"/>
  <c r="CC60" i="5" s="1"/>
  <c r="BX64" i="5"/>
  <c r="BX59" i="5"/>
  <c r="BX60" i="5" s="1"/>
  <c r="BS64" i="5"/>
  <c r="BS65" i="5" s="1"/>
  <c r="BS59" i="5"/>
  <c r="BS60" i="5" s="1"/>
  <c r="BN64" i="5"/>
  <c r="BN59" i="5"/>
  <c r="BN60" i="5" s="1"/>
  <c r="BI64" i="5"/>
  <c r="BI59" i="5"/>
  <c r="BI60" i="5" s="1"/>
  <c r="BD64" i="5"/>
  <c r="BD59" i="5"/>
  <c r="AY64" i="5"/>
  <c r="AO64" i="5"/>
  <c r="AO60" i="5"/>
  <c r="AO59" i="5"/>
  <c r="AJ64" i="5"/>
  <c r="AJ60" i="5"/>
  <c r="AJ59" i="5"/>
  <c r="AE64" i="5"/>
  <c r="AE60" i="5"/>
  <c r="AE59" i="5"/>
  <c r="Z64" i="5"/>
  <c r="Z60" i="5"/>
  <c r="Z59" i="5"/>
  <c r="U64" i="5"/>
  <c r="U60" i="5"/>
  <c r="U59" i="5"/>
  <c r="U57" i="5"/>
  <c r="P64" i="5"/>
  <c r="P60" i="5"/>
  <c r="P59" i="5"/>
  <c r="P57" i="5"/>
  <c r="P58" i="5" s="1"/>
  <c r="K64" i="5"/>
  <c r="K59" i="5"/>
  <c r="K57" i="5"/>
  <c r="F64" i="5"/>
  <c r="CV63" i="5"/>
  <c r="CU63" i="5"/>
  <c r="CT63" i="5"/>
  <c r="CS63" i="5"/>
  <c r="DA64" i="5"/>
  <c r="CZ64" i="5"/>
  <c r="CY64" i="5"/>
  <c r="CV61" i="5"/>
  <c r="CU61" i="5"/>
  <c r="CT61" i="5"/>
  <c r="CS61" i="5"/>
  <c r="AX61" i="5"/>
  <c r="AV61" i="5"/>
  <c r="AU61" i="5"/>
  <c r="CQ61" i="5"/>
  <c r="CQ62" i="5" s="1"/>
  <c r="CP61" i="5"/>
  <c r="CP62" i="5" s="1"/>
  <c r="CO61" i="5"/>
  <c r="CO62" i="5" s="1"/>
  <c r="CN61" i="5"/>
  <c r="CN62" i="5" s="1"/>
  <c r="CQ60" i="5"/>
  <c r="CP60" i="5"/>
  <c r="CO60" i="5"/>
  <c r="CN60" i="5"/>
  <c r="CL61" i="5"/>
  <c r="CL62" i="5" s="1"/>
  <c r="CK61" i="5"/>
  <c r="CK62" i="5" s="1"/>
  <c r="CJ61" i="5"/>
  <c r="CJ62" i="5" s="1"/>
  <c r="CI61" i="5"/>
  <c r="CI62" i="5" s="1"/>
  <c r="CL60" i="5"/>
  <c r="CK60" i="5"/>
  <c r="CJ60" i="5"/>
  <c r="CI60" i="5"/>
  <c r="CG61" i="5"/>
  <c r="CG62" i="5" s="1"/>
  <c r="CF61" i="5"/>
  <c r="CF62" i="5" s="1"/>
  <c r="CE61" i="5"/>
  <c r="CE62" i="5" s="1"/>
  <c r="CD61" i="5"/>
  <c r="CD62" i="5" s="1"/>
  <c r="CG60" i="5"/>
  <c r="CF60" i="5"/>
  <c r="CE60" i="5"/>
  <c r="CD60" i="5"/>
  <c r="CB61" i="5"/>
  <c r="CB62" i="5" s="1"/>
  <c r="CA61" i="5"/>
  <c r="CA62" i="5" s="1"/>
  <c r="BZ61" i="5"/>
  <c r="BZ62" i="5" s="1"/>
  <c r="BY61" i="5"/>
  <c r="BY62" i="5" s="1"/>
  <c r="CB60" i="5"/>
  <c r="CA60" i="5"/>
  <c r="BZ60" i="5"/>
  <c r="BY60" i="5"/>
  <c r="BW61" i="5"/>
  <c r="BW62" i="5" s="1"/>
  <c r="BV61" i="5"/>
  <c r="BV62" i="5" s="1"/>
  <c r="BU61" i="5"/>
  <c r="BU62" i="5" s="1"/>
  <c r="BT61" i="5"/>
  <c r="BT62" i="5" s="1"/>
  <c r="BW60" i="5"/>
  <c r="BV60" i="5"/>
  <c r="BU60" i="5"/>
  <c r="BT60" i="5"/>
  <c r="BR61" i="5"/>
  <c r="BR62" i="5" s="1"/>
  <c r="BQ61" i="5"/>
  <c r="BQ62" i="5" s="1"/>
  <c r="BP61" i="5"/>
  <c r="BP62" i="5" s="1"/>
  <c r="BO61" i="5"/>
  <c r="BO62" i="5" s="1"/>
  <c r="BR60" i="5"/>
  <c r="BQ60" i="5"/>
  <c r="BP60" i="5"/>
  <c r="BO60" i="5"/>
  <c r="BM61" i="5"/>
  <c r="BM62" i="5" s="1"/>
  <c r="BL61" i="5"/>
  <c r="BL62" i="5" s="1"/>
  <c r="BK61" i="5"/>
  <c r="BK62" i="5" s="1"/>
  <c r="BJ61" i="5"/>
  <c r="BJ62" i="5" s="1"/>
  <c r="BM60" i="5"/>
  <c r="BL60" i="5"/>
  <c r="BK60" i="5"/>
  <c r="BJ60" i="5"/>
  <c r="BH61" i="5"/>
  <c r="BH62" i="5" s="1"/>
  <c r="BG61" i="5"/>
  <c r="BG62" i="5" s="1"/>
  <c r="BF61" i="5"/>
  <c r="BF62" i="5" s="1"/>
  <c r="BE61" i="5"/>
  <c r="BE62" i="5" s="1"/>
  <c r="BH60" i="5"/>
  <c r="BG60" i="5"/>
  <c r="BF60" i="5"/>
  <c r="BE60" i="5"/>
  <c r="BC61" i="5"/>
  <c r="BB61" i="5"/>
  <c r="BA61" i="5"/>
  <c r="BA62" i="5" s="1"/>
  <c r="AZ61" i="5"/>
  <c r="AZ62" i="5" s="1"/>
  <c r="BC60" i="5"/>
  <c r="BB60" i="5"/>
  <c r="BA60" i="5"/>
  <c r="AZ60" i="5"/>
  <c r="AN60" i="5"/>
  <c r="AM60" i="5"/>
  <c r="AL60" i="5"/>
  <c r="AK60" i="5"/>
  <c r="AI60" i="5"/>
  <c r="AH60" i="5"/>
  <c r="AG60" i="5"/>
  <c r="AF60" i="5"/>
  <c r="AD60" i="5"/>
  <c r="AC60" i="5"/>
  <c r="AB60" i="5"/>
  <c r="AA60" i="5"/>
  <c r="Y60" i="5"/>
  <c r="X60" i="5"/>
  <c r="W60" i="5"/>
  <c r="V60" i="5"/>
  <c r="T60" i="5"/>
  <c r="S60" i="5"/>
  <c r="R60" i="5"/>
  <c r="Q60" i="5"/>
  <c r="O60" i="5"/>
  <c r="N60" i="5"/>
  <c r="M60" i="5"/>
  <c r="L60" i="5"/>
  <c r="J60" i="5"/>
  <c r="I60" i="5"/>
  <c r="H60" i="5"/>
  <c r="G60" i="5"/>
  <c r="CW59" i="5"/>
  <c r="AY59" i="5"/>
  <c r="F59" i="5"/>
  <c r="DA59" i="5"/>
  <c r="CZ59" i="5"/>
  <c r="CZ57" i="5" s="1"/>
  <c r="CY59" i="5"/>
  <c r="CY57" i="5" s="1"/>
  <c r="CW57" i="5"/>
  <c r="CV57" i="5"/>
  <c r="CU57" i="5"/>
  <c r="CT57" i="5"/>
  <c r="CS57" i="5"/>
  <c r="AX57" i="5"/>
  <c r="AW57" i="5"/>
  <c r="AV57" i="5"/>
  <c r="AU57" i="5"/>
  <c r="AT57" i="5"/>
  <c r="AS57" i="5"/>
  <c r="AR57" i="5"/>
  <c r="AQ57" i="5"/>
  <c r="AP57" i="5"/>
  <c r="X58" i="5"/>
  <c r="Y57" i="5"/>
  <c r="X57" i="5"/>
  <c r="W57" i="5"/>
  <c r="W58" i="5" s="1"/>
  <c r="V57" i="5"/>
  <c r="V58" i="5" s="1"/>
  <c r="T57" i="5"/>
  <c r="T58" i="5" s="1"/>
  <c r="S57" i="5"/>
  <c r="R57" i="5"/>
  <c r="R58" i="5" s="1"/>
  <c r="Q57" i="5"/>
  <c r="Q58" i="5" s="1"/>
  <c r="O57" i="5"/>
  <c r="O58" i="5" s="1"/>
  <c r="N57" i="5"/>
  <c r="N58" i="5" s="1"/>
  <c r="M57" i="5"/>
  <c r="M58" i="5" s="1"/>
  <c r="L57" i="5"/>
  <c r="L58" i="5" s="1"/>
  <c r="J58" i="5"/>
  <c r="J57" i="5"/>
  <c r="I57" i="5"/>
  <c r="I58" i="5" s="1"/>
  <c r="H57" i="5"/>
  <c r="H58" i="5" s="1"/>
  <c r="G57" i="5"/>
  <c r="G58" i="5" s="1"/>
  <c r="F57" i="5"/>
  <c r="CQ57" i="5"/>
  <c r="CP57" i="5"/>
  <c r="CP58" i="5" s="1"/>
  <c r="CO57" i="5"/>
  <c r="CO58" i="5" s="1"/>
  <c r="CN57" i="5"/>
  <c r="CN58" i="5" s="1"/>
  <c r="CL57" i="5"/>
  <c r="CQ58" i="5" s="1"/>
  <c r="CK57" i="5"/>
  <c r="CK58" i="5" s="1"/>
  <c r="CJ57" i="5"/>
  <c r="CJ58" i="5" s="1"/>
  <c r="CI57" i="5"/>
  <c r="CI58" i="5" s="1"/>
  <c r="CG57" i="5"/>
  <c r="CF57" i="5"/>
  <c r="CF58" i="5" s="1"/>
  <c r="CE57" i="5"/>
  <c r="CE58" i="5" s="1"/>
  <c r="CD57" i="5"/>
  <c r="CD58" i="5" s="1"/>
  <c r="CB57" i="5"/>
  <c r="CG58" i="5" s="1"/>
  <c r="CA57" i="5"/>
  <c r="CA58" i="5" s="1"/>
  <c r="BZ57" i="5"/>
  <c r="BZ58" i="5" s="1"/>
  <c r="BY57" i="5"/>
  <c r="BY58" i="5" s="1"/>
  <c r="BW57" i="5"/>
  <c r="BV57" i="5"/>
  <c r="BV58" i="5" s="1"/>
  <c r="BU57" i="5"/>
  <c r="BU58" i="5" s="1"/>
  <c r="BT57" i="5"/>
  <c r="BT58" i="5" s="1"/>
  <c r="BR57" i="5"/>
  <c r="BW58" i="5" s="1"/>
  <c r="BQ57" i="5"/>
  <c r="BQ58" i="5" s="1"/>
  <c r="BP57" i="5"/>
  <c r="BP58" i="5" s="1"/>
  <c r="BO57" i="5"/>
  <c r="BO58" i="5" s="1"/>
  <c r="BM57" i="5"/>
  <c r="BL57" i="5"/>
  <c r="BL58" i="5" s="1"/>
  <c r="BK57" i="5"/>
  <c r="BK58" i="5" s="1"/>
  <c r="BJ57" i="5"/>
  <c r="BJ58" i="5" s="1"/>
  <c r="BH57" i="5"/>
  <c r="BM58" i="5" s="1"/>
  <c r="BG57" i="5"/>
  <c r="BG58" i="5" s="1"/>
  <c r="BF57" i="5"/>
  <c r="BF58" i="5" s="1"/>
  <c r="BE57" i="5"/>
  <c r="BE58" i="5" s="1"/>
  <c r="BC58" i="5"/>
  <c r="BC57" i="5"/>
  <c r="BB57" i="5"/>
  <c r="BB58" i="5" s="1"/>
  <c r="BA57" i="5"/>
  <c r="BA58" i="5" s="1"/>
  <c r="AZ57" i="5"/>
  <c r="AZ58" i="5" s="1"/>
  <c r="AM58" i="5"/>
  <c r="AN57" i="5"/>
  <c r="AM57" i="5"/>
  <c r="AL57" i="5"/>
  <c r="AL58" i="5" s="1"/>
  <c r="AK57" i="5"/>
  <c r="AK58" i="5" s="1"/>
  <c r="AK56" i="5"/>
  <c r="AI57" i="5"/>
  <c r="AN58" i="5" s="1"/>
  <c r="AH57" i="5"/>
  <c r="AH58" i="5" s="1"/>
  <c r="AG57" i="5"/>
  <c r="AG58" i="5" s="1"/>
  <c r="AF57" i="5"/>
  <c r="AF58" i="5" s="1"/>
  <c r="AD58" i="5"/>
  <c r="AC58" i="5"/>
  <c r="AD57" i="5"/>
  <c r="AC57" i="5"/>
  <c r="AB57" i="5"/>
  <c r="AB58" i="5" s="1"/>
  <c r="AA57" i="5"/>
  <c r="AA58" i="5" s="1"/>
  <c r="Y54" i="5"/>
  <c r="AA56" i="5" s="1"/>
  <c r="X54" i="5"/>
  <c r="W54" i="5"/>
  <c r="V54" i="5"/>
  <c r="A54" i="5"/>
  <c r="BK54" i="5"/>
  <c r="CR53" i="5"/>
  <c r="CQ53" i="5"/>
  <c r="CP53" i="5"/>
  <c r="CO53" i="5"/>
  <c r="CN53" i="5"/>
  <c r="CL53" i="5"/>
  <c r="CK53" i="5"/>
  <c r="CJ53" i="5"/>
  <c r="CI53" i="5"/>
  <c r="CG53" i="5"/>
  <c r="CF53" i="5"/>
  <c r="CE53" i="5"/>
  <c r="CD53" i="5"/>
  <c r="CB53" i="5"/>
  <c r="CA53" i="5"/>
  <c r="BZ53" i="5"/>
  <c r="BY53" i="5"/>
  <c r="BW53" i="5"/>
  <c r="BV53" i="5"/>
  <c r="BU53" i="5"/>
  <c r="BT53" i="5"/>
  <c r="BS53" i="5"/>
  <c r="BR53" i="5"/>
  <c r="BQ53" i="5"/>
  <c r="BP53" i="5"/>
  <c r="BO53" i="5"/>
  <c r="BM53" i="5"/>
  <c r="BL53" i="5"/>
  <c r="BK53" i="5"/>
  <c r="BJ53" i="5"/>
  <c r="BH53" i="5"/>
  <c r="BG53" i="5"/>
  <c r="BF53" i="5"/>
  <c r="BE53" i="5"/>
  <c r="BC53" i="5"/>
  <c r="BB53" i="5"/>
  <c r="BA53" i="5"/>
  <c r="AZ53" i="5"/>
  <c r="AM55" i="5"/>
  <c r="AH55" i="5"/>
  <c r="AG55" i="5"/>
  <c r="AC55" i="5"/>
  <c r="AA55" i="5"/>
  <c r="AN54" i="5"/>
  <c r="AN55" i="5" s="1"/>
  <c r="AM54" i="5"/>
  <c r="AL54" i="5"/>
  <c r="AL56" i="5" s="1"/>
  <c r="AK54" i="5"/>
  <c r="AK55" i="5" s="1"/>
  <c r="AI54" i="5"/>
  <c r="AH54" i="5"/>
  <c r="AI56" i="5" s="1"/>
  <c r="AG54" i="5"/>
  <c r="AF54" i="5"/>
  <c r="AF55" i="5" s="1"/>
  <c r="AD54" i="5"/>
  <c r="AD56" i="5" s="1"/>
  <c r="AC54" i="5"/>
  <c r="AC56" i="5" s="1"/>
  <c r="AB54" i="5"/>
  <c r="AA54" i="5"/>
  <c r="AO53" i="5"/>
  <c r="AN53" i="5"/>
  <c r="AM53" i="5"/>
  <c r="AL53" i="5"/>
  <c r="AK53" i="5"/>
  <c r="AI53" i="5"/>
  <c r="AH53" i="5"/>
  <c r="AG53" i="5"/>
  <c r="AF53" i="5"/>
  <c r="AD53" i="5"/>
  <c r="AC53" i="5"/>
  <c r="AB53" i="5"/>
  <c r="AA53" i="5"/>
  <c r="CR52" i="5"/>
  <c r="CM52" i="5"/>
  <c r="CH52" i="5"/>
  <c r="CC52" i="5"/>
  <c r="BX52" i="5"/>
  <c r="BX53" i="5" s="1"/>
  <c r="BS52" i="5"/>
  <c r="BN52" i="5"/>
  <c r="BI52" i="5"/>
  <c r="BD52" i="5"/>
  <c r="BD53" i="5" s="1"/>
  <c r="AY52" i="5"/>
  <c r="AO52" i="5"/>
  <c r="AO54" i="5" s="1"/>
  <c r="AJ52" i="5"/>
  <c r="AJ54" i="5" s="1"/>
  <c r="AE52" i="5"/>
  <c r="Z52" i="5"/>
  <c r="Z54" i="5" s="1"/>
  <c r="CA50" i="5"/>
  <c r="BG50" i="5"/>
  <c r="M50" i="5"/>
  <c r="C50" i="5"/>
  <c r="AX48" i="5"/>
  <c r="AW48" i="5"/>
  <c r="AX50" i="5" s="1"/>
  <c r="AV48" i="5"/>
  <c r="AW50" i="5" s="1"/>
  <c r="AU48" i="5"/>
  <c r="E48" i="5"/>
  <c r="E50" i="5" s="1"/>
  <c r="D48" i="5"/>
  <c r="D50" i="5" s="1"/>
  <c r="C48" i="5"/>
  <c r="B48" i="5"/>
  <c r="A48" i="5"/>
  <c r="CQ49" i="5"/>
  <c r="CN49" i="5"/>
  <c r="CJ49" i="5"/>
  <c r="CI49" i="5"/>
  <c r="CF49" i="5"/>
  <c r="CE49" i="5"/>
  <c r="CB49" i="5"/>
  <c r="CA49" i="5"/>
  <c r="BW49" i="5"/>
  <c r="BT49" i="5"/>
  <c r="BP49" i="5"/>
  <c r="BO49" i="5"/>
  <c r="BL49" i="5"/>
  <c r="BK49" i="5"/>
  <c r="BH49" i="5"/>
  <c r="BG49" i="5"/>
  <c r="BC49" i="5"/>
  <c r="AZ49" i="5"/>
  <c r="CQ48" i="5"/>
  <c r="CP48" i="5"/>
  <c r="CP49" i="5" s="1"/>
  <c r="CO48" i="5"/>
  <c r="CO49" i="5" s="1"/>
  <c r="CN48" i="5"/>
  <c r="CN50" i="5" s="1"/>
  <c r="CL48" i="5"/>
  <c r="CL49" i="5" s="1"/>
  <c r="CK48" i="5"/>
  <c r="CK49" i="5" s="1"/>
  <c r="CJ48" i="5"/>
  <c r="CJ50" i="5" s="1"/>
  <c r="CI48" i="5"/>
  <c r="CI50" i="5" s="1"/>
  <c r="CG48" i="5"/>
  <c r="CG50" i="5" s="1"/>
  <c r="CF48" i="5"/>
  <c r="CF50" i="5" s="1"/>
  <c r="CE48" i="5"/>
  <c r="CD48" i="5"/>
  <c r="CD50" i="5" s="1"/>
  <c r="CB48" i="5"/>
  <c r="CB50" i="5" s="1"/>
  <c r="CA48" i="5"/>
  <c r="BZ48" i="5"/>
  <c r="BZ49" i="5" s="1"/>
  <c r="BY48" i="5"/>
  <c r="BY50" i="5" s="1"/>
  <c r="BW48" i="5"/>
  <c r="BV48" i="5"/>
  <c r="BV49" i="5" s="1"/>
  <c r="BU48" i="5"/>
  <c r="BU49" i="5" s="1"/>
  <c r="BT48" i="5"/>
  <c r="BT50" i="5" s="1"/>
  <c r="BR48" i="5"/>
  <c r="BR49" i="5" s="1"/>
  <c r="BQ48" i="5"/>
  <c r="BQ49" i="5" s="1"/>
  <c r="BP48" i="5"/>
  <c r="BP50" i="5" s="1"/>
  <c r="BO48" i="5"/>
  <c r="BO50" i="5" s="1"/>
  <c r="BM48" i="5"/>
  <c r="BM50" i="5" s="1"/>
  <c r="BL48" i="5"/>
  <c r="BL50" i="5" s="1"/>
  <c r="BK48" i="5"/>
  <c r="BJ48" i="5"/>
  <c r="BJ50" i="5" s="1"/>
  <c r="BH48" i="5"/>
  <c r="BH50" i="5" s="1"/>
  <c r="BG48" i="5"/>
  <c r="BF48" i="5"/>
  <c r="BF49" i="5" s="1"/>
  <c r="BE48" i="5"/>
  <c r="BE50" i="5" s="1"/>
  <c r="BC48" i="5"/>
  <c r="BB48" i="5"/>
  <c r="BB49" i="5" s="1"/>
  <c r="BA48" i="5"/>
  <c r="BA49" i="5" s="1"/>
  <c r="AZ48" i="5"/>
  <c r="AZ50" i="5" s="1"/>
  <c r="CQ47" i="5"/>
  <c r="CP47" i="5"/>
  <c r="CO47" i="5"/>
  <c r="CN47" i="5"/>
  <c r="CL47" i="5"/>
  <c r="CK47" i="5"/>
  <c r="CJ47" i="5"/>
  <c r="CI47" i="5"/>
  <c r="CG47" i="5"/>
  <c r="CF47" i="5"/>
  <c r="CE47" i="5"/>
  <c r="CD47" i="5"/>
  <c r="CB47" i="5"/>
  <c r="CA47" i="5"/>
  <c r="BZ47" i="5"/>
  <c r="BY47" i="5"/>
  <c r="BW47" i="5"/>
  <c r="BV47" i="5"/>
  <c r="BU47" i="5"/>
  <c r="BT47" i="5"/>
  <c r="BR47" i="5"/>
  <c r="BQ47" i="5"/>
  <c r="BP47" i="5"/>
  <c r="BO47" i="5"/>
  <c r="BM47" i="5"/>
  <c r="BL47" i="5"/>
  <c r="BK47" i="5"/>
  <c r="BJ47" i="5"/>
  <c r="BH47" i="5"/>
  <c r="BG47" i="5"/>
  <c r="BF47" i="5"/>
  <c r="BE47" i="5"/>
  <c r="BC47" i="5"/>
  <c r="BB47" i="5"/>
  <c r="BA47" i="5"/>
  <c r="AZ47" i="5"/>
  <c r="H49" i="5"/>
  <c r="AE48" i="5"/>
  <c r="AE49" i="5" s="1"/>
  <c r="AC48" i="5"/>
  <c r="AB48" i="5"/>
  <c r="AC50" i="5" s="1"/>
  <c r="AA48" i="5"/>
  <c r="AB50" i="5" s="1"/>
  <c r="Z48" i="5"/>
  <c r="Z49" i="5" s="1"/>
  <c r="X48" i="5"/>
  <c r="X50" i="5" s="1"/>
  <c r="W48" i="5"/>
  <c r="W50" i="5" s="1"/>
  <c r="V48" i="5"/>
  <c r="V49" i="5" s="1"/>
  <c r="T48" i="5"/>
  <c r="T50" i="5" s="1"/>
  <c r="S48" i="5"/>
  <c r="S50" i="5" s="1"/>
  <c r="R48" i="5"/>
  <c r="R49" i="5" s="1"/>
  <c r="Q48" i="5"/>
  <c r="O48" i="5"/>
  <c r="O50" i="5" s="1"/>
  <c r="N48" i="5"/>
  <c r="N49" i="5" s="1"/>
  <c r="M48" i="5"/>
  <c r="L48" i="5"/>
  <c r="Q49" i="5" s="1"/>
  <c r="J48" i="5"/>
  <c r="J50" i="5" s="1"/>
  <c r="I48" i="5"/>
  <c r="H48" i="5"/>
  <c r="I50" i="5" s="1"/>
  <c r="G48" i="5"/>
  <c r="H50" i="5" s="1"/>
  <c r="AI47" i="5"/>
  <c r="AH47" i="5"/>
  <c r="AD47" i="5"/>
  <c r="AC47" i="5"/>
  <c r="AB47" i="5"/>
  <c r="AA47" i="5"/>
  <c r="Y47" i="5"/>
  <c r="X47" i="5"/>
  <c r="W47" i="5"/>
  <c r="V47" i="5"/>
  <c r="T47" i="5"/>
  <c r="S47" i="5"/>
  <c r="R47" i="5"/>
  <c r="Q47" i="5"/>
  <c r="O47" i="5"/>
  <c r="N47" i="5"/>
  <c r="M47" i="5"/>
  <c r="L47" i="5"/>
  <c r="J47" i="5"/>
  <c r="I47" i="5"/>
  <c r="H47" i="5"/>
  <c r="G47" i="5"/>
  <c r="CR46" i="5"/>
  <c r="CR47" i="5" s="1"/>
  <c r="CM46" i="5"/>
  <c r="CH46" i="5"/>
  <c r="CH48" i="5" s="1"/>
  <c r="CC46" i="5"/>
  <c r="BX46" i="5"/>
  <c r="BX47" i="5" s="1"/>
  <c r="BS46" i="5"/>
  <c r="BN46" i="5"/>
  <c r="BN48" i="5" s="1"/>
  <c r="BI46" i="5"/>
  <c r="BD46" i="5"/>
  <c r="BD47" i="5" s="1"/>
  <c r="AY46" i="5"/>
  <c r="AN46" i="5"/>
  <c r="AN51" i="5" s="1"/>
  <c r="AM46" i="5"/>
  <c r="AL46" i="5"/>
  <c r="AL51" i="5" s="1"/>
  <c r="AK46" i="5"/>
  <c r="AK48" i="5" s="1"/>
  <c r="AI46" i="5"/>
  <c r="AI51" i="5" s="1"/>
  <c r="AH46" i="5"/>
  <c r="AH51" i="5" s="1"/>
  <c r="AG46" i="5"/>
  <c r="AG48" i="5" s="1"/>
  <c r="AF46" i="5"/>
  <c r="AF47" i="5" s="1"/>
  <c r="AE46" i="5"/>
  <c r="Z46" i="5"/>
  <c r="Z51" i="5" s="1"/>
  <c r="U46" i="5"/>
  <c r="U48" i="5" s="1"/>
  <c r="P46" i="5"/>
  <c r="P47" i="5" s="1"/>
  <c r="K46" i="5"/>
  <c r="F46" i="5"/>
  <c r="F48" i="5" s="1"/>
  <c r="AM45" i="5"/>
  <c r="AL45" i="5"/>
  <c r="AI45" i="5"/>
  <c r="AH45" i="5"/>
  <c r="CQ45" i="5"/>
  <c r="CP45" i="5"/>
  <c r="CL45" i="5"/>
  <c r="CG45" i="5"/>
  <c r="CD45" i="5"/>
  <c r="BV45" i="5"/>
  <c r="BR45" i="5"/>
  <c r="BM45" i="5"/>
  <c r="BJ45" i="5"/>
  <c r="BB45" i="5"/>
  <c r="AM44" i="5"/>
  <c r="DW43" i="5"/>
  <c r="AI42" i="5"/>
  <c r="AI44" i="5" s="1"/>
  <c r="AH42" i="5"/>
  <c r="AH44" i="5" s="1"/>
  <c r="AG42" i="5"/>
  <c r="AG44" i="5" s="1"/>
  <c r="AF42" i="5"/>
  <c r="A42" i="5"/>
  <c r="CQ41" i="5"/>
  <c r="CP41" i="5"/>
  <c r="CL41" i="5"/>
  <c r="CD41" i="5"/>
  <c r="BZ41" i="5"/>
  <c r="BV41" i="5"/>
  <c r="BR41" i="5"/>
  <c r="BJ41" i="5"/>
  <c r="BF41" i="5"/>
  <c r="BB41" i="5"/>
  <c r="AN43" i="5"/>
  <c r="AN42" i="5"/>
  <c r="AN44" i="5" s="1"/>
  <c r="AM42" i="5"/>
  <c r="AL42" i="5"/>
  <c r="AL43" i="5" s="1"/>
  <c r="AK42" i="5"/>
  <c r="AK44" i="5" s="1"/>
  <c r="AO41" i="5"/>
  <c r="AN41" i="5"/>
  <c r="AM41" i="5"/>
  <c r="AL41" i="5"/>
  <c r="AK41" i="5"/>
  <c r="CO40" i="5"/>
  <c r="CO45" i="5" s="1"/>
  <c r="CN40" i="5"/>
  <c r="CN41" i="5" s="1"/>
  <c r="CL40" i="5"/>
  <c r="CK40" i="5"/>
  <c r="CK45" i="5" s="1"/>
  <c r="CJ40" i="5"/>
  <c r="CJ45" i="5" s="1"/>
  <c r="CI40" i="5"/>
  <c r="CI42" i="5" s="1"/>
  <c r="CG40" i="5"/>
  <c r="CF40" i="5"/>
  <c r="CF41" i="5" s="1"/>
  <c r="CE40" i="5"/>
  <c r="CE45" i="5" s="1"/>
  <c r="CD40" i="5"/>
  <c r="CH40" i="5" s="1"/>
  <c r="CB40" i="5"/>
  <c r="CB41" i="5" s="1"/>
  <c r="CA40" i="5"/>
  <c r="CA42" i="5" s="1"/>
  <c r="BZ40" i="5"/>
  <c r="BZ45" i="5" s="1"/>
  <c r="BY40" i="5"/>
  <c r="BY45" i="5" s="1"/>
  <c r="BW40" i="5"/>
  <c r="BW42" i="5" s="1"/>
  <c r="BV40" i="5"/>
  <c r="BU40" i="5"/>
  <c r="BU45" i="5" s="1"/>
  <c r="BT40" i="5"/>
  <c r="BT41" i="5" s="1"/>
  <c r="BR40" i="5"/>
  <c r="BQ40" i="5"/>
  <c r="BQ45" i="5" s="1"/>
  <c r="BP40" i="5"/>
  <c r="BP45" i="5" s="1"/>
  <c r="BO40" i="5"/>
  <c r="BO42" i="5" s="1"/>
  <c r="BM40" i="5"/>
  <c r="BL40" i="5"/>
  <c r="BL41" i="5" s="1"/>
  <c r="BK40" i="5"/>
  <c r="BK45" i="5" s="1"/>
  <c r="BJ40" i="5"/>
  <c r="BN40" i="5" s="1"/>
  <c r="BH40" i="5"/>
  <c r="BH41" i="5" s="1"/>
  <c r="BG40" i="5"/>
  <c r="BG42" i="5" s="1"/>
  <c r="BF40" i="5"/>
  <c r="BF45" i="5" s="1"/>
  <c r="BE40" i="5"/>
  <c r="BE45" i="5" s="1"/>
  <c r="BC40" i="5"/>
  <c r="BC42" i="5" s="1"/>
  <c r="BB40" i="5"/>
  <c r="BA40" i="5"/>
  <c r="BA45" i="5" s="1"/>
  <c r="AZ40" i="5"/>
  <c r="AZ41" i="5" s="1"/>
  <c r="AY40" i="5"/>
  <c r="AY45" i="5" s="1"/>
  <c r="AX40" i="5"/>
  <c r="AX45" i="5" s="1"/>
  <c r="AW40" i="5"/>
  <c r="AW45" i="5" s="1"/>
  <c r="AV40" i="5"/>
  <c r="AV45" i="5" s="1"/>
  <c r="AU40" i="5"/>
  <c r="AU45" i="5" s="1"/>
  <c r="AO40" i="5"/>
  <c r="AJ40" i="5"/>
  <c r="AJ42" i="5" s="1"/>
  <c r="CQ39" i="5"/>
  <c r="CP39" i="5"/>
  <c r="CL39" i="5"/>
  <c r="BW39" i="5"/>
  <c r="BV39" i="5"/>
  <c r="BR39" i="5"/>
  <c r="BC39" i="5"/>
  <c r="BB39" i="5"/>
  <c r="AX39" i="5"/>
  <c r="AW39" i="5"/>
  <c r="AM39" i="5"/>
  <c r="AX37" i="5"/>
  <c r="AW37" i="5"/>
  <c r="AV37" i="5"/>
  <c r="AV39" i="5" s="1"/>
  <c r="AU37" i="5"/>
  <c r="AI37" i="5"/>
  <c r="AH37" i="5"/>
  <c r="AI39" i="5" s="1"/>
  <c r="AG37" i="5"/>
  <c r="AH39" i="5" s="1"/>
  <c r="DQ39" i="5" s="1"/>
  <c r="AF37" i="5"/>
  <c r="A37" i="5"/>
  <c r="CQ38" i="5"/>
  <c r="CP38" i="5"/>
  <c r="CL38" i="5"/>
  <c r="CI38" i="5"/>
  <c r="CE38" i="5"/>
  <c r="CD38" i="5"/>
  <c r="CA38" i="5"/>
  <c r="BZ38" i="5"/>
  <c r="BW38" i="5"/>
  <c r="BV38" i="5"/>
  <c r="BR38" i="5"/>
  <c r="BO38" i="5"/>
  <c r="BK38" i="5"/>
  <c r="BJ38" i="5"/>
  <c r="BG38" i="5"/>
  <c r="BF38" i="5"/>
  <c r="BC38" i="5"/>
  <c r="BB38" i="5"/>
  <c r="CQ37" i="5"/>
  <c r="CP37" i="5"/>
  <c r="CO37" i="5"/>
  <c r="CO39" i="5" s="1"/>
  <c r="CN37" i="5"/>
  <c r="CN39" i="5" s="1"/>
  <c r="CL37" i="5"/>
  <c r="CK37" i="5"/>
  <c r="CK38" i="5" s="1"/>
  <c r="CJ37" i="5"/>
  <c r="CJ39" i="5" s="1"/>
  <c r="CI37" i="5"/>
  <c r="CI39" i="5" s="1"/>
  <c r="CG37" i="5"/>
  <c r="CG38" i="5" s="1"/>
  <c r="CF37" i="5"/>
  <c r="CF38" i="5" s="1"/>
  <c r="CE37" i="5"/>
  <c r="CE39" i="5" s="1"/>
  <c r="CD37" i="5"/>
  <c r="CB37" i="5"/>
  <c r="CD39" i="5" s="1"/>
  <c r="CA37" i="5"/>
  <c r="CA39" i="5" s="1"/>
  <c r="BZ37" i="5"/>
  <c r="BZ39" i="5" s="1"/>
  <c r="BY37" i="5"/>
  <c r="BY38" i="5" s="1"/>
  <c r="BW37" i="5"/>
  <c r="BV37" i="5"/>
  <c r="BU37" i="5"/>
  <c r="BU39" i="5" s="1"/>
  <c r="BT37" i="5"/>
  <c r="BT39" i="5" s="1"/>
  <c r="BR37" i="5"/>
  <c r="BQ37" i="5"/>
  <c r="BQ38" i="5" s="1"/>
  <c r="BP37" i="5"/>
  <c r="BP39" i="5" s="1"/>
  <c r="BO37" i="5"/>
  <c r="BO39" i="5" s="1"/>
  <c r="BM37" i="5"/>
  <c r="BM38" i="5" s="1"/>
  <c r="BL37" i="5"/>
  <c r="BL38" i="5" s="1"/>
  <c r="BK37" i="5"/>
  <c r="BK39" i="5" s="1"/>
  <c r="BJ37" i="5"/>
  <c r="BH37" i="5"/>
  <c r="BJ39" i="5" s="1"/>
  <c r="BG37" i="5"/>
  <c r="BG39" i="5" s="1"/>
  <c r="BF37" i="5"/>
  <c r="BF39" i="5" s="1"/>
  <c r="BE37" i="5"/>
  <c r="BE38" i="5" s="1"/>
  <c r="BC37" i="5"/>
  <c r="BB37" i="5"/>
  <c r="BA37" i="5"/>
  <c r="BA39" i="5" s="1"/>
  <c r="AZ37" i="5"/>
  <c r="AZ39" i="5" s="1"/>
  <c r="CQ36" i="5"/>
  <c r="CP36" i="5"/>
  <c r="CO36" i="5"/>
  <c r="CN36" i="5"/>
  <c r="CL36" i="5"/>
  <c r="CK36" i="5"/>
  <c r="CJ36" i="5"/>
  <c r="CI36" i="5"/>
  <c r="CG36" i="5"/>
  <c r="CF36" i="5"/>
  <c r="CE36" i="5"/>
  <c r="CD36" i="5"/>
  <c r="CB36" i="5"/>
  <c r="CA36" i="5"/>
  <c r="BZ36" i="5"/>
  <c r="BY36" i="5"/>
  <c r="BW36" i="5"/>
  <c r="BV36" i="5"/>
  <c r="BU36" i="5"/>
  <c r="BT36" i="5"/>
  <c r="BR36" i="5"/>
  <c r="BQ36" i="5"/>
  <c r="BP36" i="5"/>
  <c r="BO36" i="5"/>
  <c r="BM36" i="5"/>
  <c r="BL36" i="5"/>
  <c r="BK36" i="5"/>
  <c r="BJ36" i="5"/>
  <c r="BH36" i="5"/>
  <c r="BG36" i="5"/>
  <c r="BF36" i="5"/>
  <c r="BE36" i="5"/>
  <c r="BC36" i="5"/>
  <c r="BB36" i="5"/>
  <c r="BA36" i="5"/>
  <c r="AZ36" i="5"/>
  <c r="AM38" i="5"/>
  <c r="AN37" i="5"/>
  <c r="AN39" i="5" s="1"/>
  <c r="AM37" i="5"/>
  <c r="AL37" i="5"/>
  <c r="AK37" i="5"/>
  <c r="AK39" i="5" s="1"/>
  <c r="AN36" i="5"/>
  <c r="AM36" i="5"/>
  <c r="AL36" i="5"/>
  <c r="AK36" i="5"/>
  <c r="CR35" i="5"/>
  <c r="CR36" i="5" s="1"/>
  <c r="CM35" i="5"/>
  <c r="CM36" i="5" s="1"/>
  <c r="CH35" i="5"/>
  <c r="CH37" i="5" s="1"/>
  <c r="CH38" i="5" s="1"/>
  <c r="CC35" i="5"/>
  <c r="CC37" i="5" s="1"/>
  <c r="BX35" i="5"/>
  <c r="BX36" i="5" s="1"/>
  <c r="BS35" i="5"/>
  <c r="BS36" i="5" s="1"/>
  <c r="BN35" i="5"/>
  <c r="BN37" i="5" s="1"/>
  <c r="BN38" i="5" s="1"/>
  <c r="BI35" i="5"/>
  <c r="BI37" i="5" s="1"/>
  <c r="BD35" i="5"/>
  <c r="BD36" i="5" s="1"/>
  <c r="AY35" i="5"/>
  <c r="AO35" i="5"/>
  <c r="AO37" i="5" s="1"/>
  <c r="AJ35" i="5"/>
  <c r="AO36" i="5" s="1"/>
  <c r="CV34" i="5"/>
  <c r="DA31" i="5"/>
  <c r="CX34" i="5"/>
  <c r="CV31" i="5"/>
  <c r="CV32" i="5" s="1"/>
  <c r="CU31" i="5"/>
  <c r="CU34" i="5" s="1"/>
  <c r="CT31" i="5"/>
  <c r="CT34" i="5" s="1"/>
  <c r="CS31" i="5"/>
  <c r="CS32" i="5" s="1"/>
  <c r="CP31" i="5"/>
  <c r="CO31" i="5"/>
  <c r="CL31" i="5"/>
  <c r="CK31" i="5"/>
  <c r="CG31" i="5"/>
  <c r="CD31" i="5"/>
  <c r="BZ31" i="5"/>
  <c r="BZ34" i="5" s="1"/>
  <c r="BY31" i="5"/>
  <c r="BV31" i="5"/>
  <c r="BU31" i="5"/>
  <c r="BR31" i="5"/>
  <c r="BQ31" i="5"/>
  <c r="BM31" i="5"/>
  <c r="BJ31" i="5"/>
  <c r="BF31" i="5"/>
  <c r="BF34" i="5" s="1"/>
  <c r="BE31" i="5"/>
  <c r="BB31" i="5"/>
  <c r="BA31" i="5"/>
  <c r="AX31" i="5"/>
  <c r="A31" i="5"/>
  <c r="CW29" i="5"/>
  <c r="CW217" i="5" s="1"/>
  <c r="CP30" i="5"/>
  <c r="CO30" i="5"/>
  <c r="CL30" i="5"/>
  <c r="CK30" i="5"/>
  <c r="CG30" i="5"/>
  <c r="CD30" i="5"/>
  <c r="BZ30" i="5"/>
  <c r="BY30" i="5"/>
  <c r="BV30" i="5"/>
  <c r="BU30" i="5"/>
  <c r="BR30" i="5"/>
  <c r="BQ30" i="5"/>
  <c r="BM30" i="5"/>
  <c r="BJ30" i="5"/>
  <c r="BF30" i="5"/>
  <c r="BE30" i="5"/>
  <c r="BB30" i="5"/>
  <c r="BA30" i="5"/>
  <c r="CQ29" i="5"/>
  <c r="CP29" i="5"/>
  <c r="CO29" i="5"/>
  <c r="CO51" i="5" s="1"/>
  <c r="CN29" i="5"/>
  <c r="CL29" i="5"/>
  <c r="CK29" i="5"/>
  <c r="CK51" i="5" s="1"/>
  <c r="CJ29" i="5"/>
  <c r="CJ51" i="5" s="1"/>
  <c r="CI29" i="5"/>
  <c r="CG29" i="5"/>
  <c r="CG51" i="5" s="1"/>
  <c r="CF29" i="5"/>
  <c r="CF51" i="5" s="1"/>
  <c r="CE29" i="5"/>
  <c r="CE51" i="5" s="1"/>
  <c r="CD29" i="5"/>
  <c r="CB29" i="5"/>
  <c r="CA29" i="5"/>
  <c r="BZ29" i="5"/>
  <c r="BY29" i="5"/>
  <c r="BW29" i="5"/>
  <c r="BV29" i="5"/>
  <c r="BU29" i="5"/>
  <c r="BU51" i="5" s="1"/>
  <c r="BT29" i="5"/>
  <c r="BR29" i="5"/>
  <c r="BQ29" i="5"/>
  <c r="BQ51" i="5" s="1"/>
  <c r="BP29" i="5"/>
  <c r="BP51" i="5" s="1"/>
  <c r="BO29" i="5"/>
  <c r="BM29" i="5"/>
  <c r="BM51" i="5" s="1"/>
  <c r="BL29" i="5"/>
  <c r="BL51" i="5" s="1"/>
  <c r="BK29" i="5"/>
  <c r="BK51" i="5" s="1"/>
  <c r="BJ29" i="5"/>
  <c r="BH29" i="5"/>
  <c r="BG29" i="5"/>
  <c r="BF29" i="5"/>
  <c r="BE29" i="5"/>
  <c r="BC29" i="5"/>
  <c r="BB29" i="5"/>
  <c r="BA29" i="5"/>
  <c r="BA51" i="5" s="1"/>
  <c r="AZ29" i="5"/>
  <c r="AX29" i="5"/>
  <c r="AW29" i="5"/>
  <c r="AW51" i="5" s="1"/>
  <c r="AV29" i="5"/>
  <c r="AV51" i="5" s="1"/>
  <c r="AU29" i="5"/>
  <c r="AN29" i="5"/>
  <c r="AM29" i="5"/>
  <c r="AM30" i="5" s="1"/>
  <c r="AL29" i="5"/>
  <c r="AK29" i="5"/>
  <c r="AI29" i="5"/>
  <c r="AI30" i="5" s="1"/>
  <c r="AH29" i="5"/>
  <c r="AG29" i="5"/>
  <c r="AF29" i="5"/>
  <c r="AE29" i="5"/>
  <c r="AE217" i="5" s="1"/>
  <c r="AD29" i="5"/>
  <c r="AC29" i="5"/>
  <c r="AC51" i="5" s="1"/>
  <c r="AB29" i="5"/>
  <c r="AB51" i="5" s="1"/>
  <c r="AA29" i="5"/>
  <c r="AA51" i="5" s="1"/>
  <c r="Z29" i="5"/>
  <c r="Z217" i="5" s="1"/>
  <c r="Y29" i="5"/>
  <c r="X29" i="5"/>
  <c r="W29" i="5"/>
  <c r="W30" i="5" s="1"/>
  <c r="V29" i="5"/>
  <c r="U29" i="5"/>
  <c r="U217" i="5" s="1"/>
  <c r="T29" i="5"/>
  <c r="S29" i="5"/>
  <c r="S30" i="5" s="1"/>
  <c r="R29" i="5"/>
  <c r="Q29" i="5"/>
  <c r="P29" i="5"/>
  <c r="P217" i="5" s="1"/>
  <c r="O29" i="5"/>
  <c r="O30" i="5" s="1"/>
  <c r="N29" i="5"/>
  <c r="M29" i="5"/>
  <c r="L29" i="5"/>
  <c r="K29" i="5"/>
  <c r="K217" i="5" s="1"/>
  <c r="J29" i="5"/>
  <c r="I29" i="5"/>
  <c r="H29" i="5"/>
  <c r="G29" i="5"/>
  <c r="G30" i="5" s="1"/>
  <c r="F29" i="5"/>
  <c r="F217" i="5" s="1"/>
  <c r="E29" i="5"/>
  <c r="E72" i="5" s="1"/>
  <c r="D29" i="5"/>
  <c r="D72" i="5" s="1"/>
  <c r="C29" i="5"/>
  <c r="C72" i="5" s="1"/>
  <c r="B29" i="5"/>
  <c r="B72" i="5" s="1"/>
  <c r="CT25" i="5"/>
  <c r="CT130" i="5" s="1"/>
  <c r="CP25" i="5"/>
  <c r="CP130" i="5" s="1"/>
  <c r="CL25" i="5"/>
  <c r="CL130" i="5" s="1"/>
  <c r="BZ25" i="5"/>
  <c r="BZ130" i="5" s="1"/>
  <c r="BV25" i="5"/>
  <c r="BV130" i="5" s="1"/>
  <c r="BR25" i="5"/>
  <c r="BR130" i="5" s="1"/>
  <c r="BM25" i="5"/>
  <c r="BM130" i="5" s="1"/>
  <c r="BF25" i="5"/>
  <c r="BF130" i="5" s="1"/>
  <c r="BB25" i="5"/>
  <c r="BB130" i="5" s="1"/>
  <c r="BA25" i="5"/>
  <c r="BA130" i="5" s="1"/>
  <c r="AU25" i="5"/>
  <c r="AK26" i="5"/>
  <c r="AG26" i="5"/>
  <c r="AC26" i="5"/>
  <c r="Y26" i="5"/>
  <c r="Q26" i="5"/>
  <c r="M26" i="5"/>
  <c r="AN25" i="5"/>
  <c r="AN130" i="5" s="1"/>
  <c r="AM25" i="5"/>
  <c r="AM130" i="5" s="1"/>
  <c r="AL25" i="5"/>
  <c r="AL130" i="5" s="1"/>
  <c r="AK25" i="5"/>
  <c r="AK130" i="5" s="1"/>
  <c r="AI25" i="5"/>
  <c r="AI130" i="5" s="1"/>
  <c r="AH25" i="5"/>
  <c r="AH130" i="5" s="1"/>
  <c r="AG25" i="5"/>
  <c r="AG130" i="5" s="1"/>
  <c r="AF25" i="5"/>
  <c r="AF130" i="5" s="1"/>
  <c r="AE25" i="5"/>
  <c r="AD25" i="5"/>
  <c r="AD130" i="5" s="1"/>
  <c r="AC25" i="5"/>
  <c r="AC130" i="5" s="1"/>
  <c r="AB25" i="5"/>
  <c r="AB130" i="5" s="1"/>
  <c r="AA25" i="5"/>
  <c r="AA130" i="5" s="1"/>
  <c r="Y25" i="5"/>
  <c r="Y130" i="5" s="1"/>
  <c r="X25" i="5"/>
  <c r="X130" i="5" s="1"/>
  <c r="W25" i="5"/>
  <c r="W130" i="5" s="1"/>
  <c r="V25" i="5"/>
  <c r="V130" i="5" s="1"/>
  <c r="T25" i="5"/>
  <c r="T130" i="5" s="1"/>
  <c r="S25" i="5"/>
  <c r="S130" i="5" s="1"/>
  <c r="R25" i="5"/>
  <c r="R130" i="5" s="1"/>
  <c r="Q25" i="5"/>
  <c r="Q130" i="5" s="1"/>
  <c r="O25" i="5"/>
  <c r="O130" i="5" s="1"/>
  <c r="N25" i="5"/>
  <c r="N130" i="5" s="1"/>
  <c r="M25" i="5"/>
  <c r="M130" i="5" s="1"/>
  <c r="L25" i="5"/>
  <c r="L130" i="5" s="1"/>
  <c r="J25" i="5"/>
  <c r="J130" i="5" s="1"/>
  <c r="I25" i="5"/>
  <c r="I130" i="5" s="1"/>
  <c r="H25" i="5"/>
  <c r="G25" i="5"/>
  <c r="L26" i="5" s="1"/>
  <c r="F25" i="5"/>
  <c r="E25" i="5"/>
  <c r="E130" i="5" s="1"/>
  <c r="D25" i="5"/>
  <c r="C25" i="5"/>
  <c r="BK24" i="5"/>
  <c r="BL25" i="5" s="1"/>
  <c r="BJ24" i="5"/>
  <c r="BH24" i="5"/>
  <c r="BF24" i="5"/>
  <c r="BE24" i="5"/>
  <c r="BB24" i="5"/>
  <c r="BC25" i="5" s="1"/>
  <c r="AX24" i="5"/>
  <c r="AX25" i="5" s="1"/>
  <c r="AW24" i="5"/>
  <c r="AW25" i="5" s="1"/>
  <c r="AW130" i="5" s="1"/>
  <c r="AV24" i="5"/>
  <c r="AV25" i="5" s="1"/>
  <c r="AV130" i="5" s="1"/>
  <c r="AO19" i="5"/>
  <c r="AO24" i="5" s="1"/>
  <c r="AJ24" i="5"/>
  <c r="AO25" i="5" s="1"/>
  <c r="AO26" i="5" s="1"/>
  <c r="AJ19" i="5"/>
  <c r="AE24" i="5"/>
  <c r="AJ25" i="5" s="1"/>
  <c r="AE19" i="5"/>
  <c r="AJ20" i="5" s="1"/>
  <c r="Z24" i="5"/>
  <c r="Z25" i="5" s="1"/>
  <c r="Z26" i="5" s="1"/>
  <c r="U24" i="5"/>
  <c r="P24" i="5"/>
  <c r="U25" i="5" s="1"/>
  <c r="K24" i="5"/>
  <c r="P25" i="5" s="1"/>
  <c r="F24" i="5"/>
  <c r="CX24" i="5"/>
  <c r="CV24" i="5"/>
  <c r="CU24" i="5"/>
  <c r="CV25" i="5" s="1"/>
  <c r="CT24" i="5"/>
  <c r="CS24" i="5"/>
  <c r="CQ24" i="5"/>
  <c r="CQ25" i="5" s="1"/>
  <c r="CP24" i="5"/>
  <c r="CO24" i="5"/>
  <c r="CN24" i="5"/>
  <c r="CO25" i="5" s="1"/>
  <c r="CL24" i="5"/>
  <c r="CK24" i="5"/>
  <c r="CJ24" i="5"/>
  <c r="CK25" i="5" s="1"/>
  <c r="CI24" i="5"/>
  <c r="CJ25" i="5" s="1"/>
  <c r="CG24" i="5"/>
  <c r="CF24" i="5"/>
  <c r="CG25" i="5" s="1"/>
  <c r="CE24" i="5"/>
  <c r="CF25" i="5" s="1"/>
  <c r="CD24" i="5"/>
  <c r="CB24" i="5"/>
  <c r="CA24" i="5"/>
  <c r="CB25" i="5" s="1"/>
  <c r="BZ24" i="5"/>
  <c r="BY24" i="5"/>
  <c r="BW24" i="5"/>
  <c r="BW25" i="5" s="1"/>
  <c r="BV24" i="5"/>
  <c r="BU24" i="5"/>
  <c r="BT24" i="5"/>
  <c r="BU25" i="5" s="1"/>
  <c r="BR24" i="5"/>
  <c r="BQ24" i="5"/>
  <c r="BP24" i="5"/>
  <c r="BQ25" i="5" s="1"/>
  <c r="BO24" i="5"/>
  <c r="BP25" i="5" s="1"/>
  <c r="CW23" i="5"/>
  <c r="CV23" i="5"/>
  <c r="CU23" i="5"/>
  <c r="CT23" i="5"/>
  <c r="CS23" i="5"/>
  <c r="CQ23" i="5"/>
  <c r="CP23" i="5"/>
  <c r="CO23" i="5"/>
  <c r="CL23" i="5"/>
  <c r="CK23" i="5"/>
  <c r="CJ23" i="5"/>
  <c r="CG23" i="5"/>
  <c r="CF23" i="5"/>
  <c r="CE23" i="5"/>
  <c r="CC23" i="5"/>
  <c r="CB23" i="5"/>
  <c r="CA23" i="5"/>
  <c r="BZ23" i="5"/>
  <c r="BY23" i="5"/>
  <c r="BW23" i="5"/>
  <c r="BV23" i="5"/>
  <c r="BU23" i="5"/>
  <c r="BR23" i="5"/>
  <c r="BQ23" i="5"/>
  <c r="BP23" i="5"/>
  <c r="BM23" i="5"/>
  <c r="BL23" i="5"/>
  <c r="BK23" i="5"/>
  <c r="BF23" i="5"/>
  <c r="AZ23" i="5"/>
  <c r="AY23" i="5"/>
  <c r="AX23" i="5"/>
  <c r="AW23" i="5"/>
  <c r="CW22" i="5"/>
  <c r="CW19" i="5"/>
  <c r="CW24" i="5" s="1"/>
  <c r="CR22" i="5"/>
  <c r="CX23" i="5" s="1"/>
  <c r="CR19" i="5"/>
  <c r="CR24" i="5" s="1"/>
  <c r="CX25" i="5" s="1"/>
  <c r="CM22" i="5"/>
  <c r="CR23" i="5" s="1"/>
  <c r="CM19" i="5"/>
  <c r="CW20" i="5" s="1"/>
  <c r="CH22" i="5"/>
  <c r="CM23" i="5" s="1"/>
  <c r="CH19" i="5"/>
  <c r="CH24" i="5" s="1"/>
  <c r="CC22" i="5"/>
  <c r="CH23" i="5" s="1"/>
  <c r="CC19" i="5"/>
  <c r="CC24" i="5" s="1"/>
  <c r="BX22" i="5"/>
  <c r="BX19" i="5"/>
  <c r="CC20" i="5" s="1"/>
  <c r="BS22" i="5"/>
  <c r="BX23" i="5" s="1"/>
  <c r="BS19" i="5"/>
  <c r="BX20" i="5" s="1"/>
  <c r="BN22" i="5"/>
  <c r="BS23" i="5" s="1"/>
  <c r="BM22" i="5"/>
  <c r="BL22" i="5"/>
  <c r="BI22" i="5"/>
  <c r="BN23" i="5" s="1"/>
  <c r="BI19" i="5"/>
  <c r="BI24" i="5" s="1"/>
  <c r="BG22" i="5"/>
  <c r="BG23" i="5" s="1"/>
  <c r="BG20" i="5"/>
  <c r="BG133" i="5" s="1"/>
  <c r="BC22" i="5"/>
  <c r="BC23" i="5" s="1"/>
  <c r="BA22" i="5"/>
  <c r="BB23" i="5" s="1"/>
  <c r="AZ22" i="5"/>
  <c r="AY22" i="5"/>
  <c r="AU22" i="5"/>
  <c r="AV23" i="5" s="1"/>
  <c r="CX21" i="5"/>
  <c r="CX20" i="5"/>
  <c r="CX133" i="5" s="1"/>
  <c r="BH20" i="5"/>
  <c r="BH133" i="5" s="1"/>
  <c r="CV20" i="5"/>
  <c r="CV133" i="5" s="1"/>
  <c r="DA133" i="5" s="1"/>
  <c r="CU20" i="5"/>
  <c r="CU133" i="5" s="1"/>
  <c r="CZ133" i="5" s="1"/>
  <c r="CT20" i="5"/>
  <c r="CT133" i="5" s="1"/>
  <c r="CY133" i="5" s="1"/>
  <c r="CS20" i="5"/>
  <c r="CS133" i="5" s="1"/>
  <c r="CQ20" i="5"/>
  <c r="CQ133" i="5" s="1"/>
  <c r="CP20" i="5"/>
  <c r="CP133" i="5" s="1"/>
  <c r="CO20" i="5"/>
  <c r="CO133" i="5" s="1"/>
  <c r="CL20" i="5"/>
  <c r="CL133" i="5" s="1"/>
  <c r="CK20" i="5"/>
  <c r="CK133" i="5" s="1"/>
  <c r="CJ20" i="5"/>
  <c r="CJ133" i="5" s="1"/>
  <c r="CG20" i="5"/>
  <c r="CG133" i="5" s="1"/>
  <c r="CF20" i="5"/>
  <c r="CF133" i="5" s="1"/>
  <c r="CE20" i="5"/>
  <c r="CE133" i="5" s="1"/>
  <c r="CB20" i="5"/>
  <c r="CB133" i="5" s="1"/>
  <c r="CA20" i="5"/>
  <c r="CA133" i="5" s="1"/>
  <c r="BZ20" i="5"/>
  <c r="BZ133" i="5" s="1"/>
  <c r="BW20" i="5"/>
  <c r="BW133" i="5" s="1"/>
  <c r="BW134" i="5" s="1"/>
  <c r="BV20" i="5"/>
  <c r="BV133" i="5" s="1"/>
  <c r="BV134" i="5" s="1"/>
  <c r="BU20" i="5"/>
  <c r="BU133" i="5" s="1"/>
  <c r="BR21" i="5"/>
  <c r="BQ21" i="5"/>
  <c r="BR20" i="5"/>
  <c r="BR133" i="5" s="1"/>
  <c r="BR134" i="5" s="1"/>
  <c r="BQ20" i="5"/>
  <c r="BQ133" i="5" s="1"/>
  <c r="BP20" i="5"/>
  <c r="BP133" i="5" s="1"/>
  <c r="BM20" i="5"/>
  <c r="BM133" i="5" s="1"/>
  <c r="BL20" i="5"/>
  <c r="BL133" i="5" s="1"/>
  <c r="BL134" i="5" s="1"/>
  <c r="BK20" i="5"/>
  <c r="BK133" i="5" s="1"/>
  <c r="BK134" i="5" s="1"/>
  <c r="BJ20" i="5"/>
  <c r="BJ133" i="5" s="1"/>
  <c r="BF20" i="5"/>
  <c r="BF133" i="5" s="1"/>
  <c r="BF134" i="5" s="1"/>
  <c r="BC20" i="5"/>
  <c r="BC133" i="5" s="1"/>
  <c r="BC134" i="5" s="1"/>
  <c r="BB20" i="5"/>
  <c r="BB133" i="5" s="1"/>
  <c r="BB134" i="5" s="1"/>
  <c r="BA20" i="5"/>
  <c r="BA133" i="5" s="1"/>
  <c r="AZ20" i="5"/>
  <c r="AZ133" i="5" s="1"/>
  <c r="AY20" i="5"/>
  <c r="AX20" i="5"/>
  <c r="AX133" i="5" s="1"/>
  <c r="AW20" i="5"/>
  <c r="AW133" i="5" s="1"/>
  <c r="AV20" i="5"/>
  <c r="AV133" i="5" s="1"/>
  <c r="AU20" i="5"/>
  <c r="AU133" i="5" s="1"/>
  <c r="AN22" i="5"/>
  <c r="AO22" i="5" s="1"/>
  <c r="AM22" i="5"/>
  <c r="AL22" i="5"/>
  <c r="AM23" i="5" s="1"/>
  <c r="AK22" i="5"/>
  <c r="AL23" i="5" s="1"/>
  <c r="AN20" i="5"/>
  <c r="AN133" i="5" s="1"/>
  <c r="AM20" i="5"/>
  <c r="AM133" i="5" s="1"/>
  <c r="AL20" i="5"/>
  <c r="AL133" i="5" s="1"/>
  <c r="AK20" i="5"/>
  <c r="AK133" i="5" s="1"/>
  <c r="AI22" i="5"/>
  <c r="AJ22" i="5" s="1"/>
  <c r="AO23" i="5" s="1"/>
  <c r="AH22" i="5"/>
  <c r="AG22" i="5"/>
  <c r="AH23" i="5" s="1"/>
  <c r="AF22" i="5"/>
  <c r="AG23" i="5" s="1"/>
  <c r="AI20" i="5"/>
  <c r="AI133" i="5" s="1"/>
  <c r="AH20" i="5"/>
  <c r="AH133" i="5" s="1"/>
  <c r="AG20" i="5"/>
  <c r="AG133" i="5" s="1"/>
  <c r="AF20" i="5"/>
  <c r="AF133" i="5" s="1"/>
  <c r="AD22" i="5"/>
  <c r="AE22" i="5" s="1"/>
  <c r="AJ23" i="5" s="1"/>
  <c r="AC22" i="5"/>
  <c r="AB22" i="5"/>
  <c r="AC23" i="5" s="1"/>
  <c r="AA22" i="5"/>
  <c r="AB23" i="5" s="1"/>
  <c r="AD20" i="5"/>
  <c r="AD21" i="5" s="1"/>
  <c r="AC20" i="5"/>
  <c r="AC133" i="5" s="1"/>
  <c r="AB20" i="5"/>
  <c r="AB133" i="5" s="1"/>
  <c r="AB134" i="5" s="1"/>
  <c r="AA20" i="5"/>
  <c r="AA133" i="5" s="1"/>
  <c r="AA134" i="5" s="1"/>
  <c r="Z22" i="5"/>
  <c r="AE23" i="5" s="1"/>
  <c r="Y22" i="5"/>
  <c r="X22" i="5"/>
  <c r="Y23" i="5" s="1"/>
  <c r="W22" i="5"/>
  <c r="X23" i="5" s="1"/>
  <c r="V22" i="5"/>
  <c r="W23" i="5" s="1"/>
  <c r="Y20" i="5"/>
  <c r="Y21" i="5" s="1"/>
  <c r="X20" i="5"/>
  <c r="X133" i="5" s="1"/>
  <c r="W20" i="5"/>
  <c r="W133" i="5" s="1"/>
  <c r="V20" i="5"/>
  <c r="V133" i="5" s="1"/>
  <c r="V134" i="5" s="1"/>
  <c r="Q21" i="5"/>
  <c r="M21" i="5"/>
  <c r="T20" i="5"/>
  <c r="T133" i="5" s="1"/>
  <c r="S20" i="5"/>
  <c r="S133" i="5" s="1"/>
  <c r="S134" i="5" s="1"/>
  <c r="R20" i="5"/>
  <c r="R133" i="5" s="1"/>
  <c r="R134" i="5" s="1"/>
  <c r="Q20" i="5"/>
  <c r="Q133" i="5" s="1"/>
  <c r="O20" i="5"/>
  <c r="O133" i="5" s="1"/>
  <c r="O134" i="5" s="1"/>
  <c r="N20" i="5"/>
  <c r="N133" i="5" s="1"/>
  <c r="N134" i="5" s="1"/>
  <c r="M20" i="5"/>
  <c r="M133" i="5" s="1"/>
  <c r="L20" i="5"/>
  <c r="L133" i="5" s="1"/>
  <c r="K20" i="5"/>
  <c r="J20" i="5"/>
  <c r="J133" i="5" s="1"/>
  <c r="I20" i="5"/>
  <c r="I133" i="5" s="1"/>
  <c r="H20" i="5"/>
  <c r="H133" i="5" s="1"/>
  <c r="G20" i="5"/>
  <c r="G133" i="5" s="1"/>
  <c r="E20" i="5"/>
  <c r="E133" i="5" s="1"/>
  <c r="D20" i="5"/>
  <c r="D133" i="5" s="1"/>
  <c r="C20" i="5"/>
  <c r="C133" i="5" s="1"/>
  <c r="CY22" i="5"/>
  <c r="CY23" i="5" s="1"/>
  <c r="CY19" i="5"/>
  <c r="BN19" i="5"/>
  <c r="BN24" i="5" s="1"/>
  <c r="BD19" i="5"/>
  <c r="BI20" i="5" s="1"/>
  <c r="AY19" i="5"/>
  <c r="AY24" i="5" s="1"/>
  <c r="Z19" i="5"/>
  <c r="AE20" i="5" s="1"/>
  <c r="U19" i="5"/>
  <c r="Z20" i="5" s="1"/>
  <c r="P19" i="5"/>
  <c r="U20" i="5" s="1"/>
  <c r="K19" i="5"/>
  <c r="F19" i="5"/>
  <c r="CV17" i="5"/>
  <c r="CU17" i="5"/>
  <c r="CT17" i="5"/>
  <c r="CS17" i="5"/>
  <c r="CQ17" i="5"/>
  <c r="CP17" i="5"/>
  <c r="CO17" i="5"/>
  <c r="CN17" i="5"/>
  <c r="CL17" i="5"/>
  <c r="CK17" i="5"/>
  <c r="CJ17" i="5"/>
  <c r="CI17" i="5"/>
  <c r="CG17" i="5"/>
  <c r="CF17" i="5"/>
  <c r="CE17" i="5"/>
  <c r="CD17" i="5"/>
  <c r="CB17" i="5"/>
  <c r="CA17" i="5"/>
  <c r="BZ17" i="5"/>
  <c r="BY17" i="5"/>
  <c r="BW17" i="5"/>
  <c r="BV17" i="5"/>
  <c r="BU17" i="5"/>
  <c r="BT17" i="5"/>
  <c r="BR17" i="5"/>
  <c r="BQ17" i="5"/>
  <c r="BP17" i="5"/>
  <c r="BO17" i="5"/>
  <c r="BM17" i="5"/>
  <c r="BL17" i="5"/>
  <c r="BK17" i="5"/>
  <c r="BJ17" i="5"/>
  <c r="BH17" i="5"/>
  <c r="BG17" i="5"/>
  <c r="BF17" i="5"/>
  <c r="BE17" i="5"/>
  <c r="BC17" i="5"/>
  <c r="BB17" i="5"/>
  <c r="BA17" i="5"/>
  <c r="AZ17" i="5"/>
  <c r="AV17" i="5"/>
  <c r="CV16" i="5"/>
  <c r="CU16" i="5"/>
  <c r="CT16" i="5"/>
  <c r="CS16" i="5"/>
  <c r="CR16" i="5"/>
  <c r="CQ16" i="5"/>
  <c r="CP16" i="5"/>
  <c r="CO16" i="5"/>
  <c r="CN16" i="5"/>
  <c r="CL16" i="5"/>
  <c r="CK16" i="5"/>
  <c r="CJ16" i="5"/>
  <c r="CI16" i="5"/>
  <c r="CG16" i="5"/>
  <c r="CF16" i="5"/>
  <c r="CE16" i="5"/>
  <c r="CD16" i="5"/>
  <c r="CB16" i="5"/>
  <c r="CA16" i="5"/>
  <c r="BZ16" i="5"/>
  <c r="BY16" i="5"/>
  <c r="BX16" i="5"/>
  <c r="BW16" i="5"/>
  <c r="BV16" i="5"/>
  <c r="BU16" i="5"/>
  <c r="BT16" i="5"/>
  <c r="BR16" i="5"/>
  <c r="BQ16" i="5"/>
  <c r="BP16" i="5"/>
  <c r="BO16" i="5"/>
  <c r="BM16" i="5"/>
  <c r="BL16" i="5"/>
  <c r="BK16" i="5"/>
  <c r="BJ16" i="5"/>
  <c r="BH16" i="5"/>
  <c r="BG16" i="5"/>
  <c r="BF16" i="5"/>
  <c r="BE16" i="5"/>
  <c r="BC16" i="5"/>
  <c r="BA16" i="5"/>
  <c r="AZ16" i="5"/>
  <c r="AX16" i="5"/>
  <c r="AV16" i="5"/>
  <c r="AU16" i="5"/>
  <c r="CW15" i="5"/>
  <c r="CW16" i="5" s="1"/>
  <c r="G38" i="301" s="1"/>
  <c r="CW11" i="5"/>
  <c r="CW12" i="5" s="1"/>
  <c r="CW9" i="5"/>
  <c r="CW5" i="5"/>
  <c r="CW13" i="5" s="1"/>
  <c r="CR15" i="5"/>
  <c r="CR67" i="5" s="1"/>
  <c r="CR68" i="5" s="1"/>
  <c r="CR9" i="5"/>
  <c r="CR11" i="5" s="1"/>
  <c r="CR5" i="5"/>
  <c r="CR37" i="5" s="1"/>
  <c r="CM15" i="5"/>
  <c r="CM67" i="5" s="1"/>
  <c r="CM9" i="5"/>
  <c r="CM11" i="5" s="1"/>
  <c r="CM5" i="5"/>
  <c r="DW6" i="5" s="1"/>
  <c r="CH15" i="5"/>
  <c r="CH67" i="5" s="1"/>
  <c r="CH11" i="5"/>
  <c r="CH9" i="5"/>
  <c r="CH110" i="5" s="1"/>
  <c r="CH5" i="5"/>
  <c r="CH6" i="5" s="1"/>
  <c r="CC15" i="5"/>
  <c r="CC137" i="5" s="1"/>
  <c r="CC11" i="5"/>
  <c r="CC9" i="5"/>
  <c r="CC48" i="5" s="1"/>
  <c r="CC5" i="5"/>
  <c r="CC13" i="5" s="1"/>
  <c r="BX15" i="5"/>
  <c r="BX9" i="5"/>
  <c r="BX11" i="5" s="1"/>
  <c r="BX5" i="5"/>
  <c r="BX37" i="5" s="1"/>
  <c r="BS15" i="5"/>
  <c r="BS67" i="5" s="1"/>
  <c r="BS9" i="5"/>
  <c r="BS11" i="5" s="1"/>
  <c r="BS12" i="5" s="1"/>
  <c r="BS5" i="5"/>
  <c r="BS6" i="5" s="1"/>
  <c r="BN15" i="5"/>
  <c r="BN67" i="5" s="1"/>
  <c r="BN11" i="5"/>
  <c r="BN54" i="5" s="1"/>
  <c r="BN9" i="5"/>
  <c r="BN10" i="5" s="1"/>
  <c r="BN5" i="5"/>
  <c r="BN6" i="5" s="1"/>
  <c r="BI15" i="5"/>
  <c r="BI16" i="5" s="1"/>
  <c r="BI11" i="5"/>
  <c r="BI9" i="5"/>
  <c r="BI48" i="5" s="1"/>
  <c r="BI5" i="5"/>
  <c r="BI13" i="5" s="1"/>
  <c r="BD15" i="5"/>
  <c r="BD67" i="5" s="1"/>
  <c r="BD9" i="5"/>
  <c r="BD11" i="5" s="1"/>
  <c r="BD5" i="5"/>
  <c r="BD37" i="5" s="1"/>
  <c r="AY9" i="5"/>
  <c r="AY10" i="5" s="1"/>
  <c r="AY5" i="5"/>
  <c r="AY6" i="5" s="1"/>
  <c r="AW15" i="5"/>
  <c r="AW12" i="5"/>
  <c r="AW11" i="5"/>
  <c r="AW118" i="5" s="1"/>
  <c r="AW10" i="5"/>
  <c r="AT15" i="5"/>
  <c r="AG15" i="5"/>
  <c r="AG31" i="5" s="1"/>
  <c r="AF15" i="5"/>
  <c r="AF31" i="5" s="1"/>
  <c r="AE15" i="5"/>
  <c r="AC15" i="5"/>
  <c r="AC31" i="5" s="1"/>
  <c r="AB15" i="5"/>
  <c r="AB31" i="5" s="1"/>
  <c r="AA15" i="5"/>
  <c r="X15" i="5"/>
  <c r="X31" i="5" s="1"/>
  <c r="W15" i="5"/>
  <c r="V15" i="5"/>
  <c r="U15" i="5"/>
  <c r="U85" i="5" s="1"/>
  <c r="T15" i="5"/>
  <c r="T31" i="5" s="1"/>
  <c r="S15" i="5"/>
  <c r="R15" i="5"/>
  <c r="R61" i="5" s="1"/>
  <c r="Q15" i="5"/>
  <c r="Q31" i="5" s="1"/>
  <c r="Q32" i="5" s="1"/>
  <c r="P15" i="5"/>
  <c r="P85" i="5" s="1"/>
  <c r="O15" i="5"/>
  <c r="N15" i="5"/>
  <c r="M15" i="5"/>
  <c r="M31" i="5" s="1"/>
  <c r="L15" i="5"/>
  <c r="L31" i="5" s="1"/>
  <c r="J15" i="5"/>
  <c r="I15" i="5"/>
  <c r="I31" i="5" s="1"/>
  <c r="H15" i="5"/>
  <c r="H31" i="5" s="1"/>
  <c r="G15" i="5"/>
  <c r="E15" i="5"/>
  <c r="E31" i="5" s="1"/>
  <c r="D15" i="5"/>
  <c r="C15" i="5"/>
  <c r="B15" i="5"/>
  <c r="CX11" i="5"/>
  <c r="CX12" i="5" s="1"/>
  <c r="CX10" i="5"/>
  <c r="AX14" i="5"/>
  <c r="AX13" i="5"/>
  <c r="AX11" i="5"/>
  <c r="AX12" i="5" s="1"/>
  <c r="AX10" i="5"/>
  <c r="AL14" i="5"/>
  <c r="AS13" i="5"/>
  <c r="AR13" i="5"/>
  <c r="AN13" i="5"/>
  <c r="AN14" i="5" s="1"/>
  <c r="AM13" i="5"/>
  <c r="AM14" i="5" s="1"/>
  <c r="AL13" i="5"/>
  <c r="AK13" i="5"/>
  <c r="AJ13" i="5"/>
  <c r="AI13" i="5"/>
  <c r="AH13" i="5"/>
  <c r="AG13" i="5"/>
  <c r="AF13" i="5"/>
  <c r="AK14" i="5" s="1"/>
  <c r="BM13" i="5"/>
  <c r="BK13" i="5"/>
  <c r="BJ13" i="5"/>
  <c r="BK12" i="5"/>
  <c r="BJ12" i="5"/>
  <c r="AO12" i="5"/>
  <c r="AN12" i="5"/>
  <c r="AM12" i="5"/>
  <c r="AL12" i="5"/>
  <c r="AK12" i="5"/>
  <c r="AI12" i="5"/>
  <c r="AH12" i="5"/>
  <c r="AG12" i="5"/>
  <c r="AF12" i="5"/>
  <c r="AD12" i="5"/>
  <c r="AC12" i="5"/>
  <c r="AB12" i="5"/>
  <c r="AA12" i="5"/>
  <c r="DA15" i="5"/>
  <c r="DA143" i="5" s="1"/>
  <c r="CZ15" i="5"/>
  <c r="CZ143" i="5" s="1"/>
  <c r="CY15" i="5"/>
  <c r="BJ11" i="5"/>
  <c r="BJ54" i="5" s="1"/>
  <c r="BJ10" i="5"/>
  <c r="AT11" i="5"/>
  <c r="AT13" i="5" s="1"/>
  <c r="AS11" i="5"/>
  <c r="AR11" i="5"/>
  <c r="AQ11" i="5"/>
  <c r="AQ13" i="5" s="1"/>
  <c r="AP11" i="5"/>
  <c r="AP13" i="5" s="1"/>
  <c r="AO11" i="5"/>
  <c r="AJ11" i="5"/>
  <c r="AJ12" i="5" s="1"/>
  <c r="AE11" i="5"/>
  <c r="AE118" i="5" s="1"/>
  <c r="AE10" i="5"/>
  <c r="Z11" i="5"/>
  <c r="Z118" i="5" s="1"/>
  <c r="Z10" i="5"/>
  <c r="CV11" i="5"/>
  <c r="CV13" i="5" s="1"/>
  <c r="CU11" i="5"/>
  <c r="CU13" i="5" s="1"/>
  <c r="CT11" i="5"/>
  <c r="CT118" i="5" s="1"/>
  <c r="CY118" i="5" s="1"/>
  <c r="CS11" i="5"/>
  <c r="CS13" i="5" s="1"/>
  <c r="CV10" i="5"/>
  <c r="CU10" i="5"/>
  <c r="CT10" i="5"/>
  <c r="CS10" i="5"/>
  <c r="CQ11" i="5"/>
  <c r="CQ123" i="5" s="1"/>
  <c r="CP11" i="5"/>
  <c r="CP123" i="5" s="1"/>
  <c r="CO11" i="5"/>
  <c r="CN11" i="5"/>
  <c r="CN123" i="5" s="1"/>
  <c r="CQ10" i="5"/>
  <c r="CP10" i="5"/>
  <c r="CO10" i="5"/>
  <c r="CN10" i="5"/>
  <c r="CL11" i="5"/>
  <c r="CL123" i="5" s="1"/>
  <c r="CK11" i="5"/>
  <c r="CK13" i="5" s="1"/>
  <c r="CJ11" i="5"/>
  <c r="CJ123" i="5" s="1"/>
  <c r="CI11" i="5"/>
  <c r="CI123" i="5" s="1"/>
  <c r="CL10" i="5"/>
  <c r="CK10" i="5"/>
  <c r="CJ10" i="5"/>
  <c r="CI10" i="5"/>
  <c r="CG11" i="5"/>
  <c r="CF11" i="5"/>
  <c r="CF123" i="5" s="1"/>
  <c r="CE11" i="5"/>
  <c r="CE123" i="5" s="1"/>
  <c r="CD11" i="5"/>
  <c r="CD123" i="5" s="1"/>
  <c r="CG10" i="5"/>
  <c r="CF10" i="5"/>
  <c r="CE10" i="5"/>
  <c r="CD10" i="5"/>
  <c r="CB11" i="5"/>
  <c r="CB123" i="5" s="1"/>
  <c r="CA11" i="5"/>
  <c r="CA123" i="5" s="1"/>
  <c r="BZ11" i="5"/>
  <c r="BZ54" i="5" s="1"/>
  <c r="BY11" i="5"/>
  <c r="BY54" i="5" s="1"/>
  <c r="BY56" i="5" s="1"/>
  <c r="CB10" i="5"/>
  <c r="CA10" i="5"/>
  <c r="BZ10" i="5"/>
  <c r="BY10" i="5"/>
  <c r="BW11" i="5"/>
  <c r="BW54" i="5" s="1"/>
  <c r="BV11" i="5"/>
  <c r="BV12" i="5" s="1"/>
  <c r="BU11" i="5"/>
  <c r="BU54" i="5" s="1"/>
  <c r="BT11" i="5"/>
  <c r="BT13" i="5" s="1"/>
  <c r="BW10" i="5"/>
  <c r="BV10" i="5"/>
  <c r="BU10" i="5"/>
  <c r="BT10" i="5"/>
  <c r="BR11" i="5"/>
  <c r="BR54" i="5" s="1"/>
  <c r="BQ11" i="5"/>
  <c r="BQ54" i="5" s="1"/>
  <c r="BP11" i="5"/>
  <c r="BP54" i="5" s="1"/>
  <c r="BO11" i="5"/>
  <c r="BO13" i="5" s="1"/>
  <c r="BO14" i="5" s="1"/>
  <c r="BR10" i="5"/>
  <c r="BQ10" i="5"/>
  <c r="BP10" i="5"/>
  <c r="BO10" i="5"/>
  <c r="BM11" i="5"/>
  <c r="BM54" i="5" s="1"/>
  <c r="BL11" i="5"/>
  <c r="BL54" i="5" s="1"/>
  <c r="BM10" i="5"/>
  <c r="BL10" i="5"/>
  <c r="BK10" i="5"/>
  <c r="BH11" i="5"/>
  <c r="BH13" i="5" s="1"/>
  <c r="BG11" i="5"/>
  <c r="BG54" i="5" s="1"/>
  <c r="BF11" i="5"/>
  <c r="BF13" i="5" s="1"/>
  <c r="BE11" i="5"/>
  <c r="BE54" i="5" s="1"/>
  <c r="BH10" i="5"/>
  <c r="BG10" i="5"/>
  <c r="BF10" i="5"/>
  <c r="BE10" i="5"/>
  <c r="BC11" i="5"/>
  <c r="BC12" i="5" s="1"/>
  <c r="BB11" i="5"/>
  <c r="BB54" i="5" s="1"/>
  <c r="BA11" i="5"/>
  <c r="BA54" i="5" s="1"/>
  <c r="AZ11" i="5"/>
  <c r="AZ118" i="5" s="1"/>
  <c r="BC10" i="5"/>
  <c r="BB10" i="5"/>
  <c r="BA10" i="5"/>
  <c r="AZ10" i="5"/>
  <c r="AV12" i="5"/>
  <c r="AU12" i="5"/>
  <c r="AV11" i="5"/>
  <c r="AU11" i="5"/>
  <c r="AU54" i="5" s="1"/>
  <c r="AV10" i="5"/>
  <c r="AU10" i="5"/>
  <c r="AC10" i="5"/>
  <c r="AB10" i="5"/>
  <c r="AA10" i="5"/>
  <c r="X10" i="5"/>
  <c r="W10" i="5"/>
  <c r="V10" i="5"/>
  <c r="T10" i="5"/>
  <c r="S10" i="5"/>
  <c r="R10" i="5"/>
  <c r="Q10" i="5"/>
  <c r="O10" i="5"/>
  <c r="N10" i="5"/>
  <c r="M10" i="5"/>
  <c r="L10" i="5"/>
  <c r="J10" i="5"/>
  <c r="I10" i="5"/>
  <c r="H10" i="5"/>
  <c r="G10" i="5"/>
  <c r="AT9" i="5"/>
  <c r="AI9" i="5"/>
  <c r="AI48" i="5" s="1"/>
  <c r="AH9" i="5"/>
  <c r="AG9" i="5"/>
  <c r="AF9" i="5"/>
  <c r="AD9" i="5"/>
  <c r="AD48" i="5" s="1"/>
  <c r="Y9" i="5"/>
  <c r="U9" i="5"/>
  <c r="U10" i="5" s="1"/>
  <c r="P9" i="5"/>
  <c r="P10" i="5" s="1"/>
  <c r="K9" i="5"/>
  <c r="K48" i="5" s="1"/>
  <c r="K49" i="5" s="1"/>
  <c r="F9" i="5"/>
  <c r="F15" i="5" s="1"/>
  <c r="F61" i="5" s="1"/>
  <c r="CX7" i="5"/>
  <c r="CX8" i="5" s="1"/>
  <c r="CX6" i="5"/>
  <c r="BK8" i="5"/>
  <c r="BJ8" i="5"/>
  <c r="AM10" i="5"/>
  <c r="AL10" i="5"/>
  <c r="AN9" i="5"/>
  <c r="AN10" i="5" s="1"/>
  <c r="AM9" i="5"/>
  <c r="AL9" i="5"/>
  <c r="AL48" i="5" s="1"/>
  <c r="AK9" i="5"/>
  <c r="AO8" i="5"/>
  <c r="AN8" i="5"/>
  <c r="AM8" i="5"/>
  <c r="AL8" i="5"/>
  <c r="AK8" i="5"/>
  <c r="DA9" i="5"/>
  <c r="DA7" i="5" s="1"/>
  <c r="DA8" i="5" s="1"/>
  <c r="CZ9" i="5"/>
  <c r="CY9" i="5"/>
  <c r="CY11" i="5" s="1"/>
  <c r="CY12" i="5" s="1"/>
  <c r="BR7" i="5"/>
  <c r="BR8" i="5" s="1"/>
  <c r="BQ7" i="5"/>
  <c r="BQ8" i="5" s="1"/>
  <c r="BP7" i="5"/>
  <c r="BP8" i="5" s="1"/>
  <c r="BO7" i="5"/>
  <c r="BS7" i="5" s="1"/>
  <c r="BJ7" i="5"/>
  <c r="BJ42" i="5" s="1"/>
  <c r="BJ6" i="5"/>
  <c r="AT7" i="5"/>
  <c r="AS7" i="5"/>
  <c r="AR7" i="5"/>
  <c r="AQ7" i="5"/>
  <c r="AP7" i="5"/>
  <c r="AO7" i="5"/>
  <c r="AO9" i="5" s="1"/>
  <c r="AJ7" i="5"/>
  <c r="DX10" i="5"/>
  <c r="DX11" i="5" s="1"/>
  <c r="DW10" i="5"/>
  <c r="DV6" i="5"/>
  <c r="CV7" i="5"/>
  <c r="CV8" i="5" s="1"/>
  <c r="CU7" i="5"/>
  <c r="CU8" i="5" s="1"/>
  <c r="CT7" i="5"/>
  <c r="CT8" i="5" s="1"/>
  <c r="CS7" i="5"/>
  <c r="CS8" i="5" s="1"/>
  <c r="CV6" i="5"/>
  <c r="CU6" i="5"/>
  <c r="CT6" i="5"/>
  <c r="CS6" i="5"/>
  <c r="CQ7" i="5"/>
  <c r="CQ42" i="5" s="1"/>
  <c r="CP7" i="5"/>
  <c r="CP42" i="5" s="1"/>
  <c r="CO7" i="5"/>
  <c r="CO8" i="5" s="1"/>
  <c r="CN7" i="5"/>
  <c r="CR7" i="5" s="1"/>
  <c r="CR8" i="5" s="1"/>
  <c r="CQ6" i="5"/>
  <c r="CP6" i="5"/>
  <c r="CO6" i="5"/>
  <c r="CN6" i="5"/>
  <c r="CL7" i="5"/>
  <c r="CL42" i="5" s="1"/>
  <c r="CK7" i="5"/>
  <c r="CK42" i="5" s="1"/>
  <c r="CJ7" i="5"/>
  <c r="CJ8" i="5" s="1"/>
  <c r="CI7" i="5"/>
  <c r="CM7" i="5" s="1"/>
  <c r="CL6" i="5"/>
  <c r="CK6" i="5"/>
  <c r="CJ6" i="5"/>
  <c r="CI6" i="5"/>
  <c r="CG7" i="5"/>
  <c r="CG8" i="5" s="1"/>
  <c r="CF7" i="5"/>
  <c r="CF8" i="5" s="1"/>
  <c r="CE7" i="5"/>
  <c r="CE8" i="5" s="1"/>
  <c r="CD7" i="5"/>
  <c r="CD8" i="5" s="1"/>
  <c r="CG6" i="5"/>
  <c r="CF6" i="5"/>
  <c r="CE6" i="5"/>
  <c r="CD6" i="5"/>
  <c r="CB7" i="5"/>
  <c r="CB8" i="5" s="1"/>
  <c r="CA7" i="5"/>
  <c r="CA8" i="5" s="1"/>
  <c r="BZ7" i="5"/>
  <c r="BZ8" i="5" s="1"/>
  <c r="BY7" i="5"/>
  <c r="BY8" i="5" s="1"/>
  <c r="CB6" i="5"/>
  <c r="CA6" i="5"/>
  <c r="BZ6" i="5"/>
  <c r="BY6" i="5"/>
  <c r="BW8" i="5"/>
  <c r="BW7" i="5"/>
  <c r="BV7" i="5"/>
  <c r="BV42" i="5" s="1"/>
  <c r="BU7" i="5"/>
  <c r="BU8" i="5" s="1"/>
  <c r="BT7" i="5"/>
  <c r="BX7" i="5" s="1"/>
  <c r="BX8" i="5" s="1"/>
  <c r="BW6" i="5"/>
  <c r="BV6" i="5"/>
  <c r="BU6" i="5"/>
  <c r="BT6" i="5"/>
  <c r="BQ6" i="5"/>
  <c r="BP6" i="5"/>
  <c r="BO6" i="5"/>
  <c r="BM7" i="5"/>
  <c r="BM8" i="5" s="1"/>
  <c r="BL7" i="5"/>
  <c r="BL8" i="5" s="1"/>
  <c r="BM6" i="5"/>
  <c r="BL6" i="5"/>
  <c r="BK6" i="5"/>
  <c r="BH7" i="5"/>
  <c r="BH8" i="5" s="1"/>
  <c r="BG7" i="5"/>
  <c r="BG8" i="5" s="1"/>
  <c r="BF7" i="5"/>
  <c r="BF8" i="5" s="1"/>
  <c r="BE7" i="5"/>
  <c r="BE8" i="5" s="1"/>
  <c r="BH6" i="5"/>
  <c r="BG6" i="5"/>
  <c r="BF6" i="5"/>
  <c r="BE6" i="5"/>
  <c r="BC7" i="5"/>
  <c r="BC8" i="5" s="1"/>
  <c r="BB7" i="5"/>
  <c r="BB42" i="5" s="1"/>
  <c r="BA7" i="5"/>
  <c r="BA8" i="5" s="1"/>
  <c r="AZ7" i="5"/>
  <c r="AZ8" i="5" s="1"/>
  <c r="BC6" i="5"/>
  <c r="BB6" i="5"/>
  <c r="BA6" i="5"/>
  <c r="AZ6" i="5"/>
  <c r="AX7" i="5"/>
  <c r="AX8" i="5" s="1"/>
  <c r="AW7" i="5"/>
  <c r="AW8" i="5" s="1"/>
  <c r="AV7" i="5"/>
  <c r="AV8" i="5" s="1"/>
  <c r="AU7" i="5"/>
  <c r="AY7" i="5" s="1"/>
  <c r="AY8" i="5" s="1"/>
  <c r="AX6" i="5"/>
  <c r="AW6" i="5"/>
  <c r="AV6" i="5"/>
  <c r="AU6" i="5"/>
  <c r="AO6" i="5"/>
  <c r="AN6" i="5"/>
  <c r="AM6" i="5"/>
  <c r="AL6" i="5"/>
  <c r="AK6" i="5"/>
  <c r="DA5" i="5"/>
  <c r="CZ5" i="5"/>
  <c r="CZ7" i="5" s="1"/>
  <c r="CZ8" i="5" s="1"/>
  <c r="CY5" i="5"/>
  <c r="CY13" i="5" s="1"/>
  <c r="AO5" i="5"/>
  <c r="AO13" i="5" s="1"/>
  <c r="AO14" i="5" s="1"/>
  <c r="AJ5" i="5"/>
  <c r="AJ9" i="5" s="1"/>
  <c r="R53" i="301"/>
  <c r="Q53" i="301"/>
  <c r="P53" i="301"/>
  <c r="O53" i="301"/>
  <c r="G53" i="301"/>
  <c r="F53" i="301" s="1"/>
  <c r="E53" i="301" s="1"/>
  <c r="S50" i="301"/>
  <c r="R50" i="301"/>
  <c r="Q50" i="301"/>
  <c r="P50" i="301"/>
  <c r="O50" i="301"/>
  <c r="J46" i="301"/>
  <c r="I46" i="301"/>
  <c r="E46" i="301"/>
  <c r="J40" i="301"/>
  <c r="I40" i="301"/>
  <c r="V41" i="301"/>
  <c r="U41" i="301"/>
  <c r="T41" i="301"/>
  <c r="S40" i="301"/>
  <c r="R40" i="301"/>
  <c r="Q40" i="301"/>
  <c r="O40" i="301"/>
  <c r="S39" i="301"/>
  <c r="R39" i="301"/>
  <c r="Q39" i="301"/>
  <c r="O39" i="301"/>
  <c r="V38" i="301"/>
  <c r="U38" i="301"/>
  <c r="Q38" i="301"/>
  <c r="J38" i="301"/>
  <c r="I38" i="301"/>
  <c r="G37" i="301"/>
  <c r="F37" i="301" s="1"/>
  <c r="E37" i="301" s="1"/>
  <c r="V34" i="301"/>
  <c r="U34" i="301"/>
  <c r="T34" i="301"/>
  <c r="S28" i="301"/>
  <c r="R28" i="301"/>
  <c r="Q28" i="301"/>
  <c r="P28" i="301"/>
  <c r="O28" i="301"/>
  <c r="S25" i="301"/>
  <c r="R25" i="301"/>
  <c r="Q25" i="301"/>
  <c r="P25" i="301"/>
  <c r="O25" i="301"/>
  <c r="S24" i="301"/>
  <c r="R24" i="301"/>
  <c r="P24" i="301"/>
  <c r="H23" i="301"/>
  <c r="F23" i="301"/>
  <c r="S18" i="301"/>
  <c r="S51" i="301" s="1"/>
  <c r="R18" i="301"/>
  <c r="R51" i="301" s="1"/>
  <c r="Q18" i="301"/>
  <c r="Q51" i="301" s="1"/>
  <c r="P18" i="301"/>
  <c r="P51" i="301" s="1"/>
  <c r="O18" i="301"/>
  <c r="O51" i="301" s="1"/>
  <c r="S17" i="301"/>
  <c r="R17" i="301"/>
  <c r="Q17" i="301"/>
  <c r="P17" i="301"/>
  <c r="O17" i="301"/>
  <c r="S15" i="301"/>
  <c r="O15" i="301"/>
  <c r="R14" i="301"/>
  <c r="Q14" i="301"/>
  <c r="P14" i="301"/>
  <c r="O14" i="301"/>
  <c r="H10" i="301"/>
  <c r="F10" i="301"/>
  <c r="S9" i="301"/>
  <c r="S6" i="301"/>
  <c r="R6" i="301" s="1"/>
  <c r="Q6" i="301" s="1"/>
  <c r="P6" i="301" s="1"/>
  <c r="O6" i="301" s="1"/>
  <c r="B2" i="301"/>
  <c r="C6" i="300"/>
  <c r="BQ195" i="5" l="1"/>
  <c r="BG195" i="5"/>
  <c r="BM194" i="5"/>
  <c r="CI194" i="5"/>
  <c r="BB194" i="5"/>
  <c r="BH195" i="5"/>
  <c r="BE197" i="5"/>
  <c r="CF195" i="5"/>
  <c r="CL195" i="5"/>
  <c r="CS193" i="5"/>
  <c r="CS195" i="5" s="1"/>
  <c r="BP195" i="5"/>
  <c r="BM195" i="5"/>
  <c r="CY189" i="5"/>
  <c r="CY269" i="5" s="1"/>
  <c r="CZ58" i="5"/>
  <c r="CY58" i="5"/>
  <c r="DA29" i="5"/>
  <c r="CZ11" i="5"/>
  <c r="CZ12" i="5" s="1"/>
  <c r="DB15" i="5"/>
  <c r="CY143" i="5"/>
  <c r="DB143" i="5" s="1"/>
  <c r="CX13" i="5"/>
  <c r="CX14" i="5" s="1"/>
  <c r="CX190" i="5"/>
  <c r="CZ196" i="5"/>
  <c r="CZ197" i="5" s="1"/>
  <c r="CY197" i="5"/>
  <c r="CQ44" i="5"/>
  <c r="CQ43" i="5"/>
  <c r="AI49" i="5"/>
  <c r="BB56" i="5"/>
  <c r="BG55" i="5"/>
  <c r="AO10" i="5"/>
  <c r="AO15" i="5"/>
  <c r="BL56" i="5"/>
  <c r="BL55" i="5"/>
  <c r="BM14" i="5"/>
  <c r="AC34" i="5"/>
  <c r="AC32" i="5"/>
  <c r="BD54" i="5"/>
  <c r="BI12" i="5"/>
  <c r="AJ15" i="5"/>
  <c r="AJ10" i="5"/>
  <c r="AL49" i="5"/>
  <c r="AL50" i="5"/>
  <c r="BM56" i="5"/>
  <c r="BR56" i="5"/>
  <c r="BR55" i="5"/>
  <c r="BW55" i="5"/>
  <c r="CM123" i="5"/>
  <c r="CM12" i="5"/>
  <c r="AE133" i="5"/>
  <c r="AE21" i="5"/>
  <c r="CC133" i="5"/>
  <c r="CC21" i="5"/>
  <c r="CI25" i="5"/>
  <c r="CX130" i="5"/>
  <c r="BW130" i="5"/>
  <c r="BW26" i="5"/>
  <c r="CQ130" i="5"/>
  <c r="CQ26" i="5"/>
  <c r="U26" i="5"/>
  <c r="AJ130" i="5"/>
  <c r="AJ26" i="5"/>
  <c r="BL130" i="5"/>
  <c r="BI38" i="5"/>
  <c r="CC38" i="5"/>
  <c r="BG43" i="5"/>
  <c r="CA43" i="5"/>
  <c r="AG49" i="5"/>
  <c r="CR54" i="5"/>
  <c r="CP43" i="5"/>
  <c r="BT14" i="5"/>
  <c r="BJ55" i="5"/>
  <c r="M32" i="5"/>
  <c r="BX12" i="5"/>
  <c r="BX54" i="5"/>
  <c r="CC12" i="5"/>
  <c r="AZ25" i="5"/>
  <c r="AY25" i="5"/>
  <c r="BN25" i="5"/>
  <c r="BJ25" i="5"/>
  <c r="BP130" i="5"/>
  <c r="BU130" i="5"/>
  <c r="BU26" i="5"/>
  <c r="CJ130" i="5"/>
  <c r="CO130" i="5"/>
  <c r="CO26" i="5"/>
  <c r="AE26" i="5"/>
  <c r="BC44" i="5"/>
  <c r="BW44" i="5"/>
  <c r="BK56" i="5"/>
  <c r="BP55" i="5"/>
  <c r="BU55" i="5"/>
  <c r="BZ55" i="5"/>
  <c r="BZ56" i="5"/>
  <c r="BK14" i="5"/>
  <c r="AG34" i="5"/>
  <c r="AG32" i="5"/>
  <c r="U133" i="5"/>
  <c r="BX133" i="5"/>
  <c r="CH25" i="5"/>
  <c r="CD25" i="5"/>
  <c r="BQ130" i="5"/>
  <c r="BQ26" i="5"/>
  <c r="CF130" i="5"/>
  <c r="CK130" i="5"/>
  <c r="CK26" i="5"/>
  <c r="AX130" i="5"/>
  <c r="AX90" i="5"/>
  <c r="DA30" i="5"/>
  <c r="BN45" i="5"/>
  <c r="BO43" i="5"/>
  <c r="CH45" i="5"/>
  <c r="BN49" i="5"/>
  <c r="CH49" i="5"/>
  <c r="AO55" i="5"/>
  <c r="CL44" i="5"/>
  <c r="AD50" i="5"/>
  <c r="BQ55" i="5"/>
  <c r="CU14" i="5"/>
  <c r="DW8" i="5"/>
  <c r="DW7" i="5"/>
  <c r="CR12" i="5"/>
  <c r="DX6" i="5"/>
  <c r="Z133" i="5"/>
  <c r="Z134" i="5" s="1"/>
  <c r="Z21" i="5"/>
  <c r="BO25" i="5"/>
  <c r="CB130" i="5"/>
  <c r="CB90" i="5"/>
  <c r="CB26" i="5"/>
  <c r="CG90" i="5"/>
  <c r="CG130" i="5"/>
  <c r="CG26" i="5"/>
  <c r="CV130" i="5"/>
  <c r="CV90" i="5"/>
  <c r="CV26" i="5"/>
  <c r="AJ133" i="5"/>
  <c r="AJ21" i="5"/>
  <c r="BC90" i="5"/>
  <c r="BC91" i="5" s="1"/>
  <c r="BC130" i="5"/>
  <c r="BC26" i="5"/>
  <c r="AK50" i="5"/>
  <c r="BS54" i="5"/>
  <c r="BS55" i="5" s="1"/>
  <c r="CM54" i="5"/>
  <c r="BB8" i="5"/>
  <c r="BV8" i="5"/>
  <c r="CK8" i="5"/>
  <c r="CP8" i="5"/>
  <c r="BO8" i="5"/>
  <c r="CY7" i="5"/>
  <c r="CY8" i="5" s="1"/>
  <c r="AM112" i="5"/>
  <c r="AM110" i="5"/>
  <c r="Y110" i="5"/>
  <c r="Y111" i="5" s="1"/>
  <c r="Y112" i="5"/>
  <c r="Y113" i="5" s="1"/>
  <c r="AH112" i="5"/>
  <c r="AH113" i="5" s="1"/>
  <c r="AH110" i="5"/>
  <c r="AH111" i="5" s="1"/>
  <c r="AH10" i="5"/>
  <c r="BB12" i="5"/>
  <c r="BB13" i="5"/>
  <c r="BG12" i="5"/>
  <c r="BG13" i="5"/>
  <c r="BG14" i="5" s="1"/>
  <c r="BP12" i="5"/>
  <c r="BP13" i="5"/>
  <c r="BP14" i="5" s="1"/>
  <c r="BU12" i="5"/>
  <c r="BU13" i="5"/>
  <c r="BU14" i="5" s="1"/>
  <c r="BZ12" i="5"/>
  <c r="BZ13" i="5"/>
  <c r="CE12" i="5"/>
  <c r="CE13" i="5"/>
  <c r="CJ124" i="5"/>
  <c r="CJ12" i="5"/>
  <c r="CJ13" i="5"/>
  <c r="CJ14" i="5" s="1"/>
  <c r="CO54" i="5"/>
  <c r="CO123" i="5"/>
  <c r="CO124" i="5" s="1"/>
  <c r="CO12" i="5"/>
  <c r="CO13" i="5"/>
  <c r="CO14" i="5" s="1"/>
  <c r="CY117" i="5"/>
  <c r="CT12" i="5"/>
  <c r="CT13" i="5"/>
  <c r="CT14" i="5" s="1"/>
  <c r="CZ70" i="5"/>
  <c r="BM12" i="5"/>
  <c r="C137" i="5"/>
  <c r="C92" i="5"/>
  <c r="C67" i="5"/>
  <c r="G137" i="5"/>
  <c r="G85" i="5"/>
  <c r="G67" i="5"/>
  <c r="K15" i="5"/>
  <c r="O137" i="5"/>
  <c r="O85" i="5"/>
  <c r="O67" i="5"/>
  <c r="S137" i="5"/>
  <c r="S61" i="5"/>
  <c r="S85" i="5"/>
  <c r="S67" i="5"/>
  <c r="W137" i="5"/>
  <c r="W85" i="5"/>
  <c r="W67" i="5"/>
  <c r="AA137" i="5"/>
  <c r="AA85" i="5"/>
  <c r="AA67" i="5"/>
  <c r="AE85" i="5"/>
  <c r="AE61" i="5"/>
  <c r="AI15" i="5"/>
  <c r="AM15" i="5"/>
  <c r="H16" i="5"/>
  <c r="L16" i="5"/>
  <c r="P16" i="5"/>
  <c r="T16" i="5"/>
  <c r="X16" i="5"/>
  <c r="AB16" i="5"/>
  <c r="AF16" i="5"/>
  <c r="AW67" i="5"/>
  <c r="AW61" i="5"/>
  <c r="BD13" i="5"/>
  <c r="BI14" i="5" s="1"/>
  <c r="BI6" i="5"/>
  <c r="BI10" i="5"/>
  <c r="BN7" i="5"/>
  <c r="BN42" i="5" s="1"/>
  <c r="BX13" i="5"/>
  <c r="CC6" i="5"/>
  <c r="CC10" i="5"/>
  <c r="CH7" i="5"/>
  <c r="CH42" i="5" s="1"/>
  <c r="CR13" i="5"/>
  <c r="CW6" i="5"/>
  <c r="CW10" i="5"/>
  <c r="BS16" i="5"/>
  <c r="CM16" i="5"/>
  <c r="F38" i="301" s="1"/>
  <c r="DB5" i="5"/>
  <c r="DB9" i="5"/>
  <c r="W17" i="5"/>
  <c r="AB17" i="5"/>
  <c r="AG17" i="5"/>
  <c r="AW17" i="5"/>
  <c r="CZ17" i="5"/>
  <c r="J134" i="5"/>
  <c r="L21" i="5"/>
  <c r="T21" i="5"/>
  <c r="X134" i="5"/>
  <c r="W21" i="5"/>
  <c r="AD23" i="5"/>
  <c r="AI21" i="5"/>
  <c r="AI23" i="5"/>
  <c r="AN134" i="5"/>
  <c r="AN21" i="5"/>
  <c r="AN23" i="5"/>
  <c r="BC21" i="5"/>
  <c r="BN20" i="5"/>
  <c r="BM21" i="5"/>
  <c r="BV21" i="5"/>
  <c r="CA134" i="5"/>
  <c r="CA21" i="5"/>
  <c r="CF134" i="5"/>
  <c r="CF21" i="5"/>
  <c r="CK134" i="5"/>
  <c r="CK21" i="5"/>
  <c r="CP134" i="5"/>
  <c r="CP21" i="5"/>
  <c r="CU21" i="5"/>
  <c r="J21" i="5"/>
  <c r="BG21" i="5"/>
  <c r="AU23" i="5"/>
  <c r="BH23" i="5"/>
  <c r="BT23" i="5"/>
  <c r="CN23" i="5"/>
  <c r="BS24" i="5"/>
  <c r="BS25" i="5" s="1"/>
  <c r="CM24" i="5"/>
  <c r="CY24" i="5"/>
  <c r="BG24" i="5"/>
  <c r="T26" i="5"/>
  <c r="X26" i="5"/>
  <c r="AB26" i="5"/>
  <c r="AF26" i="5"/>
  <c r="AN26" i="5"/>
  <c r="BB26" i="5"/>
  <c r="BF26" i="5"/>
  <c r="BR26" i="5"/>
  <c r="BV26" i="5"/>
  <c r="BZ26" i="5"/>
  <c r="CL26" i="5"/>
  <c r="CP26" i="5"/>
  <c r="CT26" i="5"/>
  <c r="B152" i="5"/>
  <c r="B76" i="5"/>
  <c r="B74" i="5"/>
  <c r="F309" i="5"/>
  <c r="F290" i="5"/>
  <c r="J217" i="5"/>
  <c r="J72" i="5"/>
  <c r="N217" i="5"/>
  <c r="N72" i="5"/>
  <c r="R217" i="5"/>
  <c r="R72" i="5"/>
  <c r="V217" i="5"/>
  <c r="V72" i="5"/>
  <c r="Z309" i="5"/>
  <c r="Z290" i="5"/>
  <c r="AD217" i="5"/>
  <c r="AD72" i="5"/>
  <c r="AH217" i="5"/>
  <c r="AH72" i="5"/>
  <c r="AL217" i="5"/>
  <c r="AL72" i="5"/>
  <c r="K30" i="5"/>
  <c r="AA30" i="5"/>
  <c r="AE30" i="5"/>
  <c r="P31" i="5"/>
  <c r="AX217" i="5"/>
  <c r="AX72" i="5"/>
  <c r="BB217" i="5"/>
  <c r="BB72" i="5"/>
  <c r="BF217" i="5"/>
  <c r="BF72" i="5"/>
  <c r="BJ217" i="5"/>
  <c r="BJ72" i="5"/>
  <c r="BN29" i="5"/>
  <c r="BR217" i="5"/>
  <c r="BR72" i="5"/>
  <c r="BV217" i="5"/>
  <c r="BV72" i="5"/>
  <c r="BZ217" i="5"/>
  <c r="BZ72" i="5"/>
  <c r="CD217" i="5"/>
  <c r="CD72" i="5"/>
  <c r="CH29" i="5"/>
  <c r="CH72" i="5" s="1"/>
  <c r="CL217" i="5"/>
  <c r="CL72" i="5"/>
  <c r="CP217" i="5"/>
  <c r="CP72" i="5"/>
  <c r="AW31" i="5"/>
  <c r="BB32" i="5" s="1"/>
  <c r="CW31" i="5"/>
  <c r="CW32" i="5" s="1"/>
  <c r="G40" i="301" s="1"/>
  <c r="BB34" i="5"/>
  <c r="BV34" i="5"/>
  <c r="CP34" i="5"/>
  <c r="AL38" i="5"/>
  <c r="BS37" i="5"/>
  <c r="BS38" i="5" s="1"/>
  <c r="CM37" i="5"/>
  <c r="CM38" i="5" s="1"/>
  <c r="AJ37" i="5"/>
  <c r="AO38" i="5" s="1"/>
  <c r="AG39" i="5"/>
  <c r="AL39" i="5"/>
  <c r="BL39" i="5"/>
  <c r="BQ39" i="5"/>
  <c r="CF39" i="5"/>
  <c r="CK39" i="5"/>
  <c r="BS40" i="5"/>
  <c r="CM40" i="5"/>
  <c r="AM43" i="5"/>
  <c r="BA41" i="5"/>
  <c r="BE41" i="5"/>
  <c r="BM41" i="5"/>
  <c r="BQ41" i="5"/>
  <c r="BU41" i="5"/>
  <c r="BY41" i="5"/>
  <c r="CG41" i="5"/>
  <c r="CK41" i="5"/>
  <c r="CO41" i="5"/>
  <c r="AZ42" i="5"/>
  <c r="BH42" i="5"/>
  <c r="BJ44" i="5" s="1"/>
  <c r="BL42" i="5"/>
  <c r="BP42" i="5"/>
  <c r="BT42" i="5"/>
  <c r="CB42" i="5"/>
  <c r="CF42" i="5"/>
  <c r="CJ42" i="5"/>
  <c r="CN42" i="5"/>
  <c r="AU42" i="5"/>
  <c r="AY42" i="5"/>
  <c r="AL44" i="5"/>
  <c r="BG45" i="5"/>
  <c r="BL45" i="5"/>
  <c r="CA45" i="5"/>
  <c r="CF45" i="5"/>
  <c r="AJ46" i="5"/>
  <c r="U47" i="5"/>
  <c r="AG47" i="5"/>
  <c r="AK47" i="5"/>
  <c r="AH48" i="5"/>
  <c r="G49" i="5"/>
  <c r="O49" i="5"/>
  <c r="S49" i="5"/>
  <c r="W49" i="5"/>
  <c r="AA49" i="5"/>
  <c r="BI47" i="5"/>
  <c r="CC47" i="5"/>
  <c r="BD48" i="5"/>
  <c r="BX48" i="5"/>
  <c r="CC49" i="5" s="1"/>
  <c r="CR48" i="5"/>
  <c r="AY48" i="5"/>
  <c r="G50" i="5"/>
  <c r="L50" i="5"/>
  <c r="Q50" i="5"/>
  <c r="V50" i="5"/>
  <c r="V51" i="5"/>
  <c r="AF51" i="5"/>
  <c r="AK51" i="5"/>
  <c r="AV50" i="5"/>
  <c r="BA50" i="5"/>
  <c r="BF50" i="5"/>
  <c r="BF51" i="5"/>
  <c r="BK50" i="5"/>
  <c r="BU50" i="5"/>
  <c r="BZ50" i="5"/>
  <c r="BZ51" i="5"/>
  <c r="CE50" i="5"/>
  <c r="CO50" i="5"/>
  <c r="BI54" i="5"/>
  <c r="BI55" i="5" s="1"/>
  <c r="CC54" i="5"/>
  <c r="CC55" i="5" s="1"/>
  <c r="AJ53" i="5"/>
  <c r="AL55" i="5"/>
  <c r="BI53" i="5"/>
  <c r="CM53" i="5"/>
  <c r="BC54" i="5"/>
  <c r="BH54" i="5"/>
  <c r="BJ56" i="5" s="1"/>
  <c r="CD54" i="5"/>
  <c r="CI54" i="5"/>
  <c r="CN54" i="5"/>
  <c r="AW54" i="5"/>
  <c r="BB55" i="5" s="1"/>
  <c r="Y56" i="5"/>
  <c r="AH56" i="5"/>
  <c r="AI58" i="5"/>
  <c r="BH58" i="5"/>
  <c r="BR58" i="5"/>
  <c r="CB58" i="5"/>
  <c r="CL58" i="5"/>
  <c r="DA57" i="5"/>
  <c r="CW61" i="5"/>
  <c r="M61" i="5"/>
  <c r="R62" i="5" s="1"/>
  <c r="Q61" i="5"/>
  <c r="W61" i="5"/>
  <c r="W62" i="5" s="1"/>
  <c r="AG61" i="5"/>
  <c r="C61" i="5"/>
  <c r="DA72" i="5"/>
  <c r="K58" i="5"/>
  <c r="K65" i="5"/>
  <c r="K72" i="5"/>
  <c r="K67" i="5"/>
  <c r="P61" i="5"/>
  <c r="AJ65" i="5"/>
  <c r="AJ57" i="5"/>
  <c r="AJ67" i="5"/>
  <c r="BN72" i="5"/>
  <c r="AZ92" i="5"/>
  <c r="AZ93" i="5" s="1"/>
  <c r="AZ85" i="5"/>
  <c r="AZ84" i="5"/>
  <c r="BD83" i="5"/>
  <c r="CS92" i="5"/>
  <c r="CS93" i="5" s="1"/>
  <c r="CS85" i="5"/>
  <c r="CW83" i="5"/>
  <c r="CX85" i="5"/>
  <c r="CX84" i="5"/>
  <c r="CX92" i="5"/>
  <c r="CX93" i="5" s="1"/>
  <c r="CF86" i="5"/>
  <c r="CK86" i="5"/>
  <c r="CP86" i="5"/>
  <c r="K85" i="5"/>
  <c r="I90" i="5"/>
  <c r="T90" i="5"/>
  <c r="Y90" i="5"/>
  <c r="Y91" i="5" s="1"/>
  <c r="AD90" i="5"/>
  <c r="AI93" i="5"/>
  <c r="AN93" i="5"/>
  <c r="BM90" i="5"/>
  <c r="CD90" i="5"/>
  <c r="AJ85" i="5"/>
  <c r="AJ86" i="5" s="1"/>
  <c r="BD219" i="5"/>
  <c r="BD95" i="5"/>
  <c r="BI95" i="5"/>
  <c r="F110" i="5"/>
  <c r="AO118" i="5"/>
  <c r="BB118" i="5"/>
  <c r="BB119" i="5" s="1"/>
  <c r="BG118" i="5"/>
  <c r="BG119" i="5" s="1"/>
  <c r="BL118" i="5"/>
  <c r="BQ118" i="5"/>
  <c r="BQ119" i="5" s="1"/>
  <c r="BV118" i="5"/>
  <c r="BV119" i="5" s="1"/>
  <c r="CA118" i="5"/>
  <c r="CA119" i="5" s="1"/>
  <c r="CF118" i="5"/>
  <c r="CK118" i="5"/>
  <c r="CK119" i="5" s="1"/>
  <c r="CP118" i="5"/>
  <c r="CP119" i="5" s="1"/>
  <c r="CU118" i="5"/>
  <c r="CZ118" i="5" s="1"/>
  <c r="CZ117" i="5" s="1"/>
  <c r="CZ115" i="5" s="1"/>
  <c r="CZ116" i="5" s="1"/>
  <c r="AW123" i="5"/>
  <c r="BB123" i="5"/>
  <c r="BB124" i="5" s="1"/>
  <c r="BG123" i="5"/>
  <c r="BG124" i="5" s="1"/>
  <c r="BL123" i="5"/>
  <c r="BL124" i="5" s="1"/>
  <c r="BQ123" i="5"/>
  <c r="BV123" i="5"/>
  <c r="BV124" i="5" s="1"/>
  <c r="AI10" i="5"/>
  <c r="K10" i="5"/>
  <c r="BC13" i="5"/>
  <c r="BC14" i="5" s="1"/>
  <c r="BH12" i="5"/>
  <c r="BQ12" i="5"/>
  <c r="BV13" i="5"/>
  <c r="CA13" i="5"/>
  <c r="CA14" i="5" s="1"/>
  <c r="CF12" i="5"/>
  <c r="CP12" i="5"/>
  <c r="CU12" i="5"/>
  <c r="DA11" i="5"/>
  <c r="DA12" i="5" s="1"/>
  <c r="DA67" i="5"/>
  <c r="DA68" i="5" s="1"/>
  <c r="D137" i="5"/>
  <c r="D92" i="5"/>
  <c r="D61" i="5"/>
  <c r="D67" i="5"/>
  <c r="H137" i="5"/>
  <c r="H138" i="5" s="1"/>
  <c r="H85" i="5"/>
  <c r="H86" i="5" s="1"/>
  <c r="H67" i="5"/>
  <c r="H68" i="5" s="1"/>
  <c r="L137" i="5"/>
  <c r="L138" i="5" s="1"/>
  <c r="L67" i="5"/>
  <c r="L68" i="5" s="1"/>
  <c r="L85" i="5"/>
  <c r="L86" i="5" s="1"/>
  <c r="P86" i="5"/>
  <c r="T137" i="5"/>
  <c r="T138" i="5" s="1"/>
  <c r="T85" i="5"/>
  <c r="T86" i="5" s="1"/>
  <c r="T67" i="5"/>
  <c r="T68" i="5" s="1"/>
  <c r="X137" i="5"/>
  <c r="X138" i="5" s="1"/>
  <c r="X61" i="5"/>
  <c r="X62" i="5" s="1"/>
  <c r="X85" i="5"/>
  <c r="X86" i="5" s="1"/>
  <c r="X67" i="5"/>
  <c r="X68" i="5" s="1"/>
  <c r="AB137" i="5"/>
  <c r="AB138" i="5" s="1"/>
  <c r="AB85" i="5"/>
  <c r="AB86" i="5" s="1"/>
  <c r="AB67" i="5"/>
  <c r="AB68" i="5" s="1"/>
  <c r="AF141" i="5"/>
  <c r="AF137" i="5"/>
  <c r="AF138" i="5" s="1"/>
  <c r="AF67" i="5"/>
  <c r="AF68" i="5" s="1"/>
  <c r="AF85" i="5"/>
  <c r="AF86" i="5" s="1"/>
  <c r="AN15" i="5"/>
  <c r="I16" i="5"/>
  <c r="M16" i="5"/>
  <c r="Q16" i="5"/>
  <c r="U16" i="5"/>
  <c r="AC16" i="5"/>
  <c r="AG16" i="5"/>
  <c r="BD6" i="5"/>
  <c r="BD10" i="5"/>
  <c r="BI7" i="5"/>
  <c r="BN12" i="5"/>
  <c r="BS13" i="5"/>
  <c r="BX6" i="5"/>
  <c r="BX10" i="5"/>
  <c r="CC7" i="5"/>
  <c r="CC8" i="5" s="1"/>
  <c r="CH12" i="5"/>
  <c r="CM13" i="5"/>
  <c r="CW14" i="5" s="1"/>
  <c r="CR6" i="5"/>
  <c r="CR10" i="5"/>
  <c r="CW7" i="5"/>
  <c r="CW8" i="5" s="1"/>
  <c r="X17" i="5"/>
  <c r="AC17" i="5"/>
  <c r="AX17" i="5"/>
  <c r="DA17" i="5"/>
  <c r="X21" i="5"/>
  <c r="AA21" i="5"/>
  <c r="AA23" i="5"/>
  <c r="AF134" i="5"/>
  <c r="AF21" i="5"/>
  <c r="AF23" i="5"/>
  <c r="AK134" i="5"/>
  <c r="AK21" i="5"/>
  <c r="AK23" i="5"/>
  <c r="AZ21" i="5"/>
  <c r="BO20" i="5"/>
  <c r="BW21" i="5"/>
  <c r="CB134" i="5"/>
  <c r="CB21" i="5"/>
  <c r="CG134" i="5"/>
  <c r="CG21" i="5"/>
  <c r="CL134" i="5"/>
  <c r="CL21" i="5"/>
  <c r="CQ134" i="5"/>
  <c r="CQ21" i="5"/>
  <c r="CV21" i="5"/>
  <c r="BH134" i="5"/>
  <c r="BX24" i="5"/>
  <c r="C130" i="5"/>
  <c r="C90" i="5"/>
  <c r="G130" i="5"/>
  <c r="G90" i="5"/>
  <c r="K25" i="5"/>
  <c r="K130" i="5" s="1"/>
  <c r="H26" i="5"/>
  <c r="C152" i="5"/>
  <c r="C76" i="5"/>
  <c r="C74" i="5"/>
  <c r="G217" i="5"/>
  <c r="G72" i="5"/>
  <c r="K309" i="5"/>
  <c r="K290" i="5"/>
  <c r="O217" i="5"/>
  <c r="O72" i="5"/>
  <c r="S217" i="5"/>
  <c r="S72" i="5"/>
  <c r="W217" i="5"/>
  <c r="W72" i="5"/>
  <c r="AA217" i="5"/>
  <c r="AA72" i="5"/>
  <c r="AE309" i="5"/>
  <c r="AE290" i="5"/>
  <c r="AI217" i="5"/>
  <c r="AI72" i="5"/>
  <c r="AM217" i="5"/>
  <c r="AM72" i="5"/>
  <c r="H30" i="5"/>
  <c r="L30" i="5"/>
  <c r="P30" i="5"/>
  <c r="T30" i="5"/>
  <c r="X30" i="5"/>
  <c r="AB30" i="5"/>
  <c r="AF30" i="5"/>
  <c r="AN30" i="5"/>
  <c r="U31" i="5"/>
  <c r="U32" i="5" s="1"/>
  <c r="AU217" i="5"/>
  <c r="AU72" i="5"/>
  <c r="AY29" i="5"/>
  <c r="BC217" i="5"/>
  <c r="BC72" i="5"/>
  <c r="BG217" i="5"/>
  <c r="BG72" i="5"/>
  <c r="BK217" i="5"/>
  <c r="BK72" i="5"/>
  <c r="BO217" i="5"/>
  <c r="BO72" i="5"/>
  <c r="BS29" i="5"/>
  <c r="BW217" i="5"/>
  <c r="BW72" i="5"/>
  <c r="CA217" i="5"/>
  <c r="CA72" i="5"/>
  <c r="CE217" i="5"/>
  <c r="CE72" i="5"/>
  <c r="CI217" i="5"/>
  <c r="CI72" i="5"/>
  <c r="CM29" i="5"/>
  <c r="CM51" i="5" s="1"/>
  <c r="CU217" i="5"/>
  <c r="CQ217" i="5"/>
  <c r="CX217" i="5"/>
  <c r="CT217" i="5"/>
  <c r="CS217" i="5"/>
  <c r="CQ72" i="5"/>
  <c r="B31" i="5"/>
  <c r="F31" i="5"/>
  <c r="BF32" i="5"/>
  <c r="BJ32" i="5"/>
  <c r="BR32" i="5"/>
  <c r="BV32" i="5"/>
  <c r="BZ32" i="5"/>
  <c r="CD32" i="5"/>
  <c r="CL32" i="5"/>
  <c r="CP32" i="5"/>
  <c r="CT32" i="5"/>
  <c r="BR34" i="5"/>
  <c r="CL34" i="5"/>
  <c r="BI36" i="5"/>
  <c r="CC36" i="5"/>
  <c r="AY37" i="5"/>
  <c r="BD38" i="5" s="1"/>
  <c r="BH39" i="5"/>
  <c r="DR39" i="5" s="1"/>
  <c r="BM39" i="5"/>
  <c r="CB39" i="5"/>
  <c r="CG39" i="5"/>
  <c r="BD40" i="5"/>
  <c r="BX40" i="5"/>
  <c r="AO42" i="5"/>
  <c r="AO43" i="5" s="1"/>
  <c r="BA42" i="5"/>
  <c r="BE42" i="5"/>
  <c r="BJ43" i="5" s="1"/>
  <c r="BM42" i="5"/>
  <c r="BQ42" i="5"/>
  <c r="BU42" i="5"/>
  <c r="BY42" i="5"/>
  <c r="CG42" i="5"/>
  <c r="CI44" i="5" s="1"/>
  <c r="CO42" i="5"/>
  <c r="CP44" i="5" s="1"/>
  <c r="AV42" i="5"/>
  <c r="AV44" i="5" s="1"/>
  <c r="BC45" i="5"/>
  <c r="BH45" i="5"/>
  <c r="BW45" i="5"/>
  <c r="CB45" i="5"/>
  <c r="AO46" i="5"/>
  <c r="AO45" i="5" s="1"/>
  <c r="Z47" i="5"/>
  <c r="AL47" i="5"/>
  <c r="AM48" i="5"/>
  <c r="L49" i="5"/>
  <c r="T49" i="5"/>
  <c r="X49" i="5"/>
  <c r="AB49" i="5"/>
  <c r="BN47" i="5"/>
  <c r="CH47" i="5"/>
  <c r="R50" i="5"/>
  <c r="W51" i="5"/>
  <c r="AG51" i="5"/>
  <c r="BB50" i="5"/>
  <c r="BB51" i="5"/>
  <c r="BG51" i="5"/>
  <c r="BQ50" i="5"/>
  <c r="BV50" i="5"/>
  <c r="BV51" i="5"/>
  <c r="CA51" i="5"/>
  <c r="CK50" i="5"/>
  <c r="CP50" i="5"/>
  <c r="CP51" i="5"/>
  <c r="AE51" i="5"/>
  <c r="BN51" i="5"/>
  <c r="CH51" i="5"/>
  <c r="BO54" i="5"/>
  <c r="BT54" i="5"/>
  <c r="CE54" i="5"/>
  <c r="CJ54" i="5"/>
  <c r="CP54" i="5"/>
  <c r="BM55" i="5"/>
  <c r="AX54" i="5"/>
  <c r="AX56" i="5" s="1"/>
  <c r="G61" i="5"/>
  <c r="O61" i="5"/>
  <c r="AA61" i="5"/>
  <c r="BB62" i="5"/>
  <c r="K63" i="5"/>
  <c r="P65" i="5"/>
  <c r="P72" i="5"/>
  <c r="P66" i="5" s="1"/>
  <c r="P67" i="5"/>
  <c r="P68" i="5" s="1"/>
  <c r="U61" i="5"/>
  <c r="U62" i="5" s="1"/>
  <c r="AE65" i="5"/>
  <c r="AE57" i="5"/>
  <c r="AE72" i="5"/>
  <c r="AE67" i="5"/>
  <c r="CW72" i="5"/>
  <c r="CW67" i="5"/>
  <c r="CW66" i="5"/>
  <c r="K66" i="5"/>
  <c r="BB68" i="5"/>
  <c r="CS152" i="5"/>
  <c r="CX152" i="5"/>
  <c r="BA92" i="5"/>
  <c r="BA93" i="5" s="1"/>
  <c r="BA85" i="5"/>
  <c r="BA84" i="5"/>
  <c r="BR85" i="5"/>
  <c r="BR92" i="5"/>
  <c r="CT85" i="5"/>
  <c r="CT92" i="5"/>
  <c r="CW80" i="5"/>
  <c r="S13" i="301" s="1"/>
  <c r="CG93" i="5"/>
  <c r="CL93" i="5"/>
  <c r="CQ93" i="5"/>
  <c r="E90" i="5"/>
  <c r="U90" i="5"/>
  <c r="Z90" i="5"/>
  <c r="Z91" i="5" s="1"/>
  <c r="Z89" i="5"/>
  <c r="AE89" i="5"/>
  <c r="AE90" i="5"/>
  <c r="AJ89" i="5"/>
  <c r="AJ90" i="5"/>
  <c r="AJ91" i="5" s="1"/>
  <c r="AO90" i="5"/>
  <c r="AO89" i="5"/>
  <c r="AZ90" i="5"/>
  <c r="AZ91" i="5" s="1"/>
  <c r="BN90" i="5"/>
  <c r="BU90" i="5"/>
  <c r="BZ90" i="5"/>
  <c r="BZ91" i="5" s="1"/>
  <c r="CJ90" i="5"/>
  <c r="CO90" i="5"/>
  <c r="BJ114" i="5"/>
  <c r="BJ112" i="5"/>
  <c r="BJ110" i="5"/>
  <c r="K110" i="5"/>
  <c r="K111" i="5" s="1"/>
  <c r="BC118" i="5"/>
  <c r="BH118" i="5"/>
  <c r="BH119" i="5" s="1"/>
  <c r="BM118" i="5"/>
  <c r="BR118" i="5"/>
  <c r="BR119" i="5" s="1"/>
  <c r="BW118" i="5"/>
  <c r="BW119" i="5" s="1"/>
  <c r="CB118" i="5"/>
  <c r="CB119" i="5" s="1"/>
  <c r="CG118" i="5"/>
  <c r="CL118" i="5"/>
  <c r="CL119" i="5" s="1"/>
  <c r="CQ118" i="5"/>
  <c r="CQ119" i="5" s="1"/>
  <c r="AX118" i="5"/>
  <c r="CV118" i="5"/>
  <c r="DA118" i="5" s="1"/>
  <c r="DA117" i="5" s="1"/>
  <c r="DA115" i="5" s="1"/>
  <c r="DA116" i="5" s="1"/>
  <c r="CX118" i="5"/>
  <c r="AX123" i="5"/>
  <c r="BC123" i="5"/>
  <c r="BC124" i="5" s="1"/>
  <c r="BH123" i="5"/>
  <c r="BM123" i="5"/>
  <c r="BM124" i="5" s="1"/>
  <c r="BR123" i="5"/>
  <c r="BR124" i="5" s="1"/>
  <c r="BW123" i="5"/>
  <c r="BW124" i="5" s="1"/>
  <c r="CL8" i="5"/>
  <c r="CQ8" i="5"/>
  <c r="AD112" i="5"/>
  <c r="AD113" i="5" s="1"/>
  <c r="AD110" i="5"/>
  <c r="AD111" i="5" s="1"/>
  <c r="BQ13" i="5"/>
  <c r="CA124" i="5"/>
  <c r="CA12" i="5"/>
  <c r="CF13" i="5"/>
  <c r="CF14" i="5" s="1"/>
  <c r="CK54" i="5"/>
  <c r="CK123" i="5"/>
  <c r="CK124" i="5" s="1"/>
  <c r="CK12" i="5"/>
  <c r="CP13" i="5"/>
  <c r="CP14" i="5" s="1"/>
  <c r="BT8" i="5"/>
  <c r="CI8" i="5"/>
  <c r="CN8" i="5"/>
  <c r="AK110" i="5"/>
  <c r="AK111" i="5" s="1"/>
  <c r="AK112" i="5"/>
  <c r="AF110" i="5"/>
  <c r="AF111" i="5" s="1"/>
  <c r="AF112" i="5"/>
  <c r="AF113" i="5" s="1"/>
  <c r="AF10" i="5"/>
  <c r="AU13" i="5"/>
  <c r="AU14" i="5" s="1"/>
  <c r="AZ12" i="5"/>
  <c r="AZ13" i="5"/>
  <c r="AZ14" i="5" s="1"/>
  <c r="BE12" i="5"/>
  <c r="BE13" i="5"/>
  <c r="BJ14" i="5" s="1"/>
  <c r="BR12" i="5"/>
  <c r="BR13" i="5"/>
  <c r="BR14" i="5" s="1"/>
  <c r="BW12" i="5"/>
  <c r="BW13" i="5"/>
  <c r="CB12" i="5"/>
  <c r="CB13" i="5"/>
  <c r="CG54" i="5"/>
  <c r="CG123" i="5"/>
  <c r="CG124" i="5" s="1"/>
  <c r="CG12" i="5"/>
  <c r="CG13" i="5"/>
  <c r="CG14" i="5" s="1"/>
  <c r="CL12" i="5"/>
  <c r="CL13" i="5"/>
  <c r="CL14" i="5" s="1"/>
  <c r="CQ124" i="5"/>
  <c r="CQ12" i="5"/>
  <c r="CQ13" i="5"/>
  <c r="CV12" i="5"/>
  <c r="CZ13" i="5"/>
  <c r="CZ14" i="5" s="1"/>
  <c r="AE12" i="5"/>
  <c r="E137" i="5"/>
  <c r="E67" i="5"/>
  <c r="E92" i="5"/>
  <c r="E61" i="5"/>
  <c r="I137" i="5"/>
  <c r="I138" i="5" s="1"/>
  <c r="I61" i="5"/>
  <c r="I62" i="5" s="1"/>
  <c r="I85" i="5"/>
  <c r="I86" i="5" s="1"/>
  <c r="I67" i="5"/>
  <c r="I68" i="5" s="1"/>
  <c r="M137" i="5"/>
  <c r="M138" i="5" s="1"/>
  <c r="M67" i="5"/>
  <c r="M68" i="5" s="1"/>
  <c r="M85" i="5"/>
  <c r="M86" i="5" s="1"/>
  <c r="Q137" i="5"/>
  <c r="Q138" i="5" s="1"/>
  <c r="Q67" i="5"/>
  <c r="Q68" i="5" s="1"/>
  <c r="Q85" i="5"/>
  <c r="Q86" i="5" s="1"/>
  <c r="U86" i="5"/>
  <c r="Y15" i="5"/>
  <c r="AC137" i="5"/>
  <c r="AC138" i="5" s="1"/>
  <c r="AC61" i="5"/>
  <c r="AC62" i="5" s="1"/>
  <c r="AC85" i="5"/>
  <c r="AC86" i="5" s="1"/>
  <c r="AC67" i="5"/>
  <c r="AC68" i="5" s="1"/>
  <c r="AG137" i="5"/>
  <c r="AG138" i="5" s="1"/>
  <c r="AG67" i="5"/>
  <c r="AG68" i="5" s="1"/>
  <c r="AG85" i="5"/>
  <c r="AG86" i="5" s="1"/>
  <c r="AK15" i="5"/>
  <c r="J16" i="5"/>
  <c r="N16" i="5"/>
  <c r="R16" i="5"/>
  <c r="V16" i="5"/>
  <c r="AW13" i="5"/>
  <c r="AW14" i="5" s="1"/>
  <c r="BD7" i="5"/>
  <c r="BD8" i="5" s="1"/>
  <c r="BN13" i="5"/>
  <c r="BN14" i="5" s="1"/>
  <c r="BS10" i="5"/>
  <c r="BX137" i="5"/>
  <c r="BX67" i="5"/>
  <c r="BX68" i="5" s="1"/>
  <c r="CH13" i="5"/>
  <c r="CH14" i="5" s="1"/>
  <c r="CM6" i="5"/>
  <c r="CM10" i="5"/>
  <c r="AW16" i="5"/>
  <c r="CC16" i="5"/>
  <c r="CY20" i="5"/>
  <c r="H134" i="5"/>
  <c r="L134" i="5"/>
  <c r="P20" i="5"/>
  <c r="P21" i="5" s="1"/>
  <c r="T134" i="5"/>
  <c r="N21" i="5"/>
  <c r="R21" i="5"/>
  <c r="AB21" i="5"/>
  <c r="AG134" i="5"/>
  <c r="AG21" i="5"/>
  <c r="AL134" i="5"/>
  <c r="AL21" i="5"/>
  <c r="AZ134" i="5"/>
  <c r="BD20" i="5"/>
  <c r="BD21" i="5" s="1"/>
  <c r="BA21" i="5"/>
  <c r="BP134" i="5"/>
  <c r="BK21" i="5"/>
  <c r="BT20" i="5"/>
  <c r="BY20" i="5"/>
  <c r="CD20" i="5"/>
  <c r="CI20" i="5"/>
  <c r="CN20" i="5"/>
  <c r="H21" i="5"/>
  <c r="BH21" i="5"/>
  <c r="BD22" i="5"/>
  <c r="BS20" i="5"/>
  <c r="BS21" i="5" s="1"/>
  <c r="CH20" i="5"/>
  <c r="CH21" i="5" s="1"/>
  <c r="CM20" i="5"/>
  <c r="CM21" i="5" s="1"/>
  <c r="CR20" i="5"/>
  <c r="BA23" i="5"/>
  <c r="BJ23" i="5"/>
  <c r="CD23" i="5"/>
  <c r="AO20" i="5"/>
  <c r="AO21" i="5" s="1"/>
  <c r="D130" i="5"/>
  <c r="D90" i="5"/>
  <c r="H90" i="5"/>
  <c r="H91" i="5" s="1"/>
  <c r="H130" i="5"/>
  <c r="N26" i="5"/>
  <c r="R26" i="5"/>
  <c r="V26" i="5"/>
  <c r="AD26" i="5"/>
  <c r="AH26" i="5"/>
  <c r="AL26" i="5"/>
  <c r="AU130" i="5"/>
  <c r="AU90" i="5"/>
  <c r="BK25" i="5"/>
  <c r="BP26" i="5" s="1"/>
  <c r="CA25" i="5"/>
  <c r="CF26" i="5" s="1"/>
  <c r="CE25" i="5"/>
  <c r="CU25" i="5"/>
  <c r="I26" i="5"/>
  <c r="D152" i="5"/>
  <c r="D76" i="5"/>
  <c r="D74" i="5"/>
  <c r="H217" i="5"/>
  <c r="H72" i="5"/>
  <c r="L217" i="5"/>
  <c r="L72" i="5"/>
  <c r="P309" i="5"/>
  <c r="P290" i="5"/>
  <c r="T217" i="5"/>
  <c r="T72" i="5"/>
  <c r="X217" i="5"/>
  <c r="X72" i="5"/>
  <c r="AB217" i="5"/>
  <c r="AB72" i="5"/>
  <c r="AF217" i="5"/>
  <c r="AF72" i="5"/>
  <c r="AN217" i="5"/>
  <c r="AN72" i="5"/>
  <c r="I30" i="5"/>
  <c r="M30" i="5"/>
  <c r="Q30" i="5"/>
  <c r="U30" i="5"/>
  <c r="Y30" i="5"/>
  <c r="AC30" i="5"/>
  <c r="AG30" i="5"/>
  <c r="AK30" i="5"/>
  <c r="J31" i="5"/>
  <c r="J32" i="5" s="1"/>
  <c r="N31" i="5"/>
  <c r="N32" i="5" s="1"/>
  <c r="R31" i="5"/>
  <c r="R32" i="5" s="1"/>
  <c r="V31" i="5"/>
  <c r="V32" i="5" s="1"/>
  <c r="AV72" i="5"/>
  <c r="AZ217" i="5"/>
  <c r="AZ72" i="5"/>
  <c r="BD29" i="5"/>
  <c r="BH217" i="5"/>
  <c r="BH72" i="5"/>
  <c r="BL217" i="5"/>
  <c r="BL72" i="5"/>
  <c r="BP217" i="5"/>
  <c r="BP72" i="5"/>
  <c r="BT217" i="5"/>
  <c r="BT72" i="5"/>
  <c r="BX29" i="5"/>
  <c r="CB217" i="5"/>
  <c r="CB72" i="5"/>
  <c r="CF217" i="5"/>
  <c r="CF72" i="5"/>
  <c r="CJ217" i="5"/>
  <c r="CJ72" i="5"/>
  <c r="CN217" i="5"/>
  <c r="CN72" i="5"/>
  <c r="CR29" i="5"/>
  <c r="BC30" i="5"/>
  <c r="BG30" i="5"/>
  <c r="BK30" i="5"/>
  <c r="BO30" i="5"/>
  <c r="BW30" i="5"/>
  <c r="CA30" i="5"/>
  <c r="CE30" i="5"/>
  <c r="CI30" i="5"/>
  <c r="CQ30" i="5"/>
  <c r="C31" i="5"/>
  <c r="H32" i="5" s="1"/>
  <c r="AU31" i="5"/>
  <c r="BC31" i="5"/>
  <c r="BG31" i="5"/>
  <c r="BQ33" i="5" s="1"/>
  <c r="BK31" i="5"/>
  <c r="BU33" i="5" s="1"/>
  <c r="BO31" i="5"/>
  <c r="BW31" i="5"/>
  <c r="CA31" i="5"/>
  <c r="CK33" i="5" s="1"/>
  <c r="CE31" i="5"/>
  <c r="CI31" i="5"/>
  <c r="CQ31" i="5"/>
  <c r="CY31" i="5"/>
  <c r="CU32" i="5"/>
  <c r="BE33" i="5"/>
  <c r="CO33" i="5"/>
  <c r="AN38" i="5"/>
  <c r="BN36" i="5"/>
  <c r="CH36" i="5"/>
  <c r="AZ38" i="5"/>
  <c r="BH38" i="5"/>
  <c r="BP38" i="5"/>
  <c r="BT38" i="5"/>
  <c r="CB38" i="5"/>
  <c r="CJ38" i="5"/>
  <c r="CN38" i="5"/>
  <c r="BE39" i="5"/>
  <c r="DO39" i="5" s="1"/>
  <c r="BY39" i="5"/>
  <c r="BI40" i="5"/>
  <c r="BN41" i="5" s="1"/>
  <c r="CC40" i="5"/>
  <c r="AK43" i="5"/>
  <c r="BC41" i="5"/>
  <c r="BG41" i="5"/>
  <c r="BK41" i="5"/>
  <c r="BO41" i="5"/>
  <c r="BW41" i="5"/>
  <c r="CA41" i="5"/>
  <c r="CE41" i="5"/>
  <c r="CI41" i="5"/>
  <c r="BF42" i="5"/>
  <c r="BR42" i="5"/>
  <c r="BW43" i="5" s="1"/>
  <c r="BZ42" i="5"/>
  <c r="CA44" i="5" s="1"/>
  <c r="CD42" i="5"/>
  <c r="CI43" i="5" s="1"/>
  <c r="AW42" i="5"/>
  <c r="AW44" i="5" s="1"/>
  <c r="AZ45" i="5"/>
  <c r="BO45" i="5"/>
  <c r="BT45" i="5"/>
  <c r="CI45" i="5"/>
  <c r="CN45" i="5"/>
  <c r="AF45" i="5"/>
  <c r="AJ45" i="5"/>
  <c r="AN45" i="5"/>
  <c r="K47" i="5"/>
  <c r="AE47" i="5"/>
  <c r="AM47" i="5"/>
  <c r="P48" i="5"/>
  <c r="P49" i="5" s="1"/>
  <c r="AF48" i="5"/>
  <c r="AG50" i="5" s="1"/>
  <c r="DP50" i="5" s="1"/>
  <c r="AN48" i="5"/>
  <c r="I49" i="5"/>
  <c r="M49" i="5"/>
  <c r="AC49" i="5"/>
  <c r="BS47" i="5"/>
  <c r="CM47" i="5"/>
  <c r="BE49" i="5"/>
  <c r="BM49" i="5"/>
  <c r="BY49" i="5"/>
  <c r="CG49" i="5"/>
  <c r="N50" i="5"/>
  <c r="X51" i="5"/>
  <c r="AM51" i="5"/>
  <c r="BC50" i="5"/>
  <c r="BC51" i="5"/>
  <c r="BH51" i="5"/>
  <c r="BR50" i="5"/>
  <c r="BR51" i="5"/>
  <c r="BW50" i="5"/>
  <c r="BW51" i="5"/>
  <c r="CB51" i="5"/>
  <c r="CL50" i="5"/>
  <c r="CL51" i="5"/>
  <c r="CQ50" i="5"/>
  <c r="CQ51" i="5"/>
  <c r="AX51" i="5"/>
  <c r="AE54" i="5"/>
  <c r="AE55" i="5" s="1"/>
  <c r="BN53" i="5"/>
  <c r="CH53" i="5"/>
  <c r="AD55" i="5"/>
  <c r="AI55" i="5"/>
  <c r="AZ54" i="5"/>
  <c r="BF54" i="5"/>
  <c r="BV54" i="5"/>
  <c r="CA54" i="5"/>
  <c r="CF54" i="5"/>
  <c r="CL54" i="5"/>
  <c r="CQ54" i="5"/>
  <c r="BY55" i="5"/>
  <c r="AM56" i="5"/>
  <c r="BU56" i="5"/>
  <c r="S58" i="5"/>
  <c r="Y58" i="5"/>
  <c r="DB59" i="5"/>
  <c r="H61" i="5"/>
  <c r="H62" i="5" s="1"/>
  <c r="T61" i="5"/>
  <c r="T62" i="5" s="1"/>
  <c r="AB61" i="5"/>
  <c r="AB62" i="5" s="1"/>
  <c r="BC62" i="5"/>
  <c r="CZ61" i="5"/>
  <c r="CZ62" i="5" s="1"/>
  <c r="CY67" i="5"/>
  <c r="CY68" i="5" s="1"/>
  <c r="DB64" i="5"/>
  <c r="K60" i="5"/>
  <c r="P63" i="5"/>
  <c r="U58" i="5"/>
  <c r="U72" i="5"/>
  <c r="U66" i="5" s="1"/>
  <c r="U67" i="5"/>
  <c r="U68" i="5" s="1"/>
  <c r="U65" i="5"/>
  <c r="Z67" i="5"/>
  <c r="Z68" i="5" s="1"/>
  <c r="Z72" i="5"/>
  <c r="Z66" i="5"/>
  <c r="BD60" i="5"/>
  <c r="AE66" i="5"/>
  <c r="Z92" i="5"/>
  <c r="Z93" i="5" s="1"/>
  <c r="AD93" i="5"/>
  <c r="CU92" i="5"/>
  <c r="CU85" i="5"/>
  <c r="AN85" i="5"/>
  <c r="AW85" i="5"/>
  <c r="CD93" i="5"/>
  <c r="CI93" i="5"/>
  <c r="CN93" i="5"/>
  <c r="O88" i="5"/>
  <c r="K90" i="5"/>
  <c r="W90" i="5"/>
  <c r="AB90" i="5"/>
  <c r="AL93" i="5"/>
  <c r="AV90" i="5"/>
  <c r="BA90" i="5"/>
  <c r="BA91" i="5" s="1"/>
  <c r="BF90" i="5"/>
  <c r="BF91" i="5" s="1"/>
  <c r="BK90" i="5"/>
  <c r="BK91" i="5" s="1"/>
  <c r="BP90" i="5"/>
  <c r="BV90" i="5"/>
  <c r="CA90" i="5"/>
  <c r="CA91" i="5" s="1"/>
  <c r="CF90" i="5"/>
  <c r="CF91" i="5" s="1"/>
  <c r="CK90" i="5"/>
  <c r="CP90" i="5"/>
  <c r="CP91" i="5" s="1"/>
  <c r="CU90" i="5"/>
  <c r="P110" i="5"/>
  <c r="P111" i="5" s="1"/>
  <c r="AJ110" i="5"/>
  <c r="AJ111" i="5" s="1"/>
  <c r="BD115" i="5"/>
  <c r="BD116" i="5" s="1"/>
  <c r="BD118" i="5"/>
  <c r="CN118" i="5"/>
  <c r="CW118" i="5"/>
  <c r="BD123" i="5"/>
  <c r="AN110" i="5"/>
  <c r="AN112" i="5"/>
  <c r="AI112" i="5"/>
  <c r="AI113" i="5" s="1"/>
  <c r="AI110" i="5"/>
  <c r="AI111" i="5" s="1"/>
  <c r="BQ56" i="5"/>
  <c r="CF124" i="5"/>
  <c r="CP124" i="5"/>
  <c r="AU8" i="5"/>
  <c r="AL112" i="5"/>
  <c r="AL110" i="5"/>
  <c r="AL111" i="5" s="1"/>
  <c r="AK10" i="5"/>
  <c r="AG110" i="5"/>
  <c r="AG111" i="5" s="1"/>
  <c r="AG112" i="5"/>
  <c r="AG113" i="5" s="1"/>
  <c r="AG10" i="5"/>
  <c r="Y10" i="5"/>
  <c r="AD10" i="5"/>
  <c r="AV54" i="5"/>
  <c r="AV56" i="5" s="1"/>
  <c r="AV123" i="5"/>
  <c r="AV118" i="5"/>
  <c r="AV13" i="5"/>
  <c r="AV14" i="5" s="1"/>
  <c r="BA12" i="5"/>
  <c r="BA13" i="5"/>
  <c r="BA14" i="5" s="1"/>
  <c r="BF12" i="5"/>
  <c r="BO12" i="5"/>
  <c r="BT12" i="5"/>
  <c r="BY12" i="5"/>
  <c r="BY13" i="5"/>
  <c r="BY14" i="5" s="1"/>
  <c r="CD12" i="5"/>
  <c r="CD13" i="5"/>
  <c r="CD14" i="5" s="1"/>
  <c r="CI124" i="5"/>
  <c r="CI12" i="5"/>
  <c r="CI13" i="5"/>
  <c r="CS14" i="5" s="1"/>
  <c r="CN124" i="5"/>
  <c r="CN12" i="5"/>
  <c r="CN13" i="5"/>
  <c r="CS12" i="5"/>
  <c r="DV10" i="5"/>
  <c r="DV8" i="5" s="1"/>
  <c r="AE119" i="5"/>
  <c r="CY61" i="5"/>
  <c r="CY62" i="5" s="1"/>
  <c r="BL12" i="5"/>
  <c r="BL13" i="5"/>
  <c r="BL14" i="5" s="1"/>
  <c r="B137" i="5"/>
  <c r="B67" i="5"/>
  <c r="B92" i="5"/>
  <c r="J137" i="5"/>
  <c r="J138" i="5" s="1"/>
  <c r="J85" i="5"/>
  <c r="J86" i="5" s="1"/>
  <c r="J67" i="5"/>
  <c r="J68" i="5" s="1"/>
  <c r="N137" i="5"/>
  <c r="N138" i="5" s="1"/>
  <c r="N67" i="5"/>
  <c r="N68" i="5" s="1"/>
  <c r="N61" i="5"/>
  <c r="N62" i="5" s="1"/>
  <c r="N85" i="5"/>
  <c r="N86" i="5" s="1"/>
  <c r="R137" i="5"/>
  <c r="R138" i="5" s="1"/>
  <c r="R67" i="5"/>
  <c r="R68" i="5" s="1"/>
  <c r="R85" i="5"/>
  <c r="R86" i="5" s="1"/>
  <c r="V137" i="5"/>
  <c r="V138" i="5" s="1"/>
  <c r="V67" i="5"/>
  <c r="V68" i="5" s="1"/>
  <c r="V85" i="5"/>
  <c r="V86" i="5" s="1"/>
  <c r="Z15" i="5"/>
  <c r="Z31" i="5" s="1"/>
  <c r="Z32" i="5" s="1"/>
  <c r="AD15" i="5"/>
  <c r="AD31" i="5" s="1"/>
  <c r="AH15" i="5"/>
  <c r="AH31" i="5" s="1"/>
  <c r="AL15" i="5"/>
  <c r="G16" i="5"/>
  <c r="O16" i="5"/>
  <c r="S16" i="5"/>
  <c r="W16" i="5"/>
  <c r="AA16" i="5"/>
  <c r="AE16" i="5"/>
  <c r="AY11" i="5"/>
  <c r="AY12" i="5" s="1"/>
  <c r="AY15" i="5"/>
  <c r="BS68" i="5"/>
  <c r="CH10" i="5"/>
  <c r="CM68" i="5"/>
  <c r="BB16" i="5"/>
  <c r="BN16" i="5"/>
  <c r="CH16" i="5"/>
  <c r="E38" i="301" s="1"/>
  <c r="AA17" i="5"/>
  <c r="CY17" i="5"/>
  <c r="CZ19" i="5"/>
  <c r="CZ20" i="5" s="1"/>
  <c r="CZ22" i="5"/>
  <c r="I134" i="5"/>
  <c r="M134" i="5"/>
  <c r="Q134" i="5"/>
  <c r="O21" i="5"/>
  <c r="S21" i="5"/>
  <c r="W134" i="5"/>
  <c r="V21" i="5"/>
  <c r="AC134" i="5"/>
  <c r="AC21" i="5"/>
  <c r="AH134" i="5"/>
  <c r="AH21" i="5"/>
  <c r="AM134" i="5"/>
  <c r="AM21" i="5"/>
  <c r="BA134" i="5"/>
  <c r="BE20" i="5"/>
  <c r="BB21" i="5"/>
  <c r="BF21" i="5"/>
  <c r="BM134" i="5"/>
  <c r="BQ134" i="5"/>
  <c r="BL21" i="5"/>
  <c r="BP21" i="5"/>
  <c r="BU134" i="5"/>
  <c r="BU21" i="5"/>
  <c r="BZ134" i="5"/>
  <c r="BZ21" i="5"/>
  <c r="CE134" i="5"/>
  <c r="CE21" i="5"/>
  <c r="CJ134" i="5"/>
  <c r="CJ21" i="5"/>
  <c r="CO134" i="5"/>
  <c r="CO21" i="5"/>
  <c r="CT21" i="5"/>
  <c r="I21" i="5"/>
  <c r="BG134" i="5"/>
  <c r="BO23" i="5"/>
  <c r="CI23" i="5"/>
  <c r="O26" i="5"/>
  <c r="S26" i="5"/>
  <c r="W26" i="5"/>
  <c r="AA26" i="5"/>
  <c r="AI26" i="5"/>
  <c r="AM26" i="5"/>
  <c r="BA26" i="5"/>
  <c r="J26" i="5"/>
  <c r="E152" i="5"/>
  <c r="E76" i="5"/>
  <c r="E74" i="5"/>
  <c r="I217" i="5"/>
  <c r="I72" i="5"/>
  <c r="M217" i="5"/>
  <c r="M72" i="5"/>
  <c r="Q217" i="5"/>
  <c r="Q72" i="5"/>
  <c r="U309" i="5"/>
  <c r="U290" i="5"/>
  <c r="Y217" i="5"/>
  <c r="Y72" i="5"/>
  <c r="AC217" i="5"/>
  <c r="AC72" i="5"/>
  <c r="AG217" i="5"/>
  <c r="AG72" i="5"/>
  <c r="AK217" i="5"/>
  <c r="AK72" i="5"/>
  <c r="J30" i="5"/>
  <c r="N30" i="5"/>
  <c r="R30" i="5"/>
  <c r="V30" i="5"/>
  <c r="Z30" i="5"/>
  <c r="AD30" i="5"/>
  <c r="AH30" i="5"/>
  <c r="AL30" i="5"/>
  <c r="G31" i="5"/>
  <c r="G32" i="5" s="1"/>
  <c r="K31" i="5"/>
  <c r="K32" i="5" s="1"/>
  <c r="O31" i="5"/>
  <c r="O32" i="5" s="1"/>
  <c r="S31" i="5"/>
  <c r="S32" i="5" s="1"/>
  <c r="W31" i="5"/>
  <c r="AA31" i="5"/>
  <c r="AF32" i="5" s="1"/>
  <c r="AE31" i="5"/>
  <c r="AI31" i="5"/>
  <c r="AM31" i="5"/>
  <c r="AW217" i="5"/>
  <c r="AW72" i="5"/>
  <c r="BA217" i="5"/>
  <c r="BA72" i="5"/>
  <c r="BE217" i="5"/>
  <c r="BE72" i="5"/>
  <c r="BI29" i="5"/>
  <c r="BM217" i="5"/>
  <c r="BM72" i="5"/>
  <c r="BQ217" i="5"/>
  <c r="BQ72" i="5"/>
  <c r="BU217" i="5"/>
  <c r="BU72" i="5"/>
  <c r="BY217" i="5"/>
  <c r="BY72" i="5"/>
  <c r="CC29" i="5"/>
  <c r="CC51" i="5" s="1"/>
  <c r="CG217" i="5"/>
  <c r="CG72" i="5"/>
  <c r="CK217" i="5"/>
  <c r="CK72" i="5"/>
  <c r="CO217" i="5"/>
  <c r="CO72" i="5"/>
  <c r="AZ30" i="5"/>
  <c r="BH30" i="5"/>
  <c r="BL30" i="5"/>
  <c r="BP30" i="5"/>
  <c r="BT30" i="5"/>
  <c r="CB30" i="5"/>
  <c r="CF30" i="5"/>
  <c r="CJ30" i="5"/>
  <c r="CN30" i="5"/>
  <c r="D31" i="5"/>
  <c r="I32" i="5" s="1"/>
  <c r="AV31" i="5"/>
  <c r="AV34" i="5" s="1"/>
  <c r="AZ31" i="5"/>
  <c r="BE32" i="5" s="1"/>
  <c r="BH31" i="5"/>
  <c r="BL31" i="5"/>
  <c r="BV33" i="5" s="1"/>
  <c r="BP31" i="5"/>
  <c r="BU32" i="5" s="1"/>
  <c r="BT31" i="5"/>
  <c r="CD33" i="5" s="1"/>
  <c r="CB31" i="5"/>
  <c r="CF31" i="5"/>
  <c r="CK32" i="5" s="1"/>
  <c r="CJ31" i="5"/>
  <c r="CO32" i="5" s="1"/>
  <c r="CN31" i="5"/>
  <c r="CZ31" i="5"/>
  <c r="BZ33" i="5"/>
  <c r="AK38" i="5"/>
  <c r="BA38" i="5"/>
  <c r="BU38" i="5"/>
  <c r="CO38" i="5"/>
  <c r="CR40" i="5"/>
  <c r="BP41" i="5"/>
  <c r="CJ41" i="5"/>
  <c r="BK42" i="5"/>
  <c r="CE42" i="5"/>
  <c r="AX42" i="5"/>
  <c r="AX44" i="5" s="1"/>
  <c r="AG45" i="5"/>
  <c r="AK45" i="5"/>
  <c r="AN47" i="5"/>
  <c r="Y48" i="5"/>
  <c r="J49" i="5"/>
  <c r="BS48" i="5"/>
  <c r="BS49" i="5" s="1"/>
  <c r="CM48" i="5"/>
  <c r="CM49" i="5" s="1"/>
  <c r="BJ49" i="5"/>
  <c r="CD49" i="5"/>
  <c r="Y51" i="5"/>
  <c r="AD51" i="5"/>
  <c r="AZ51" i="5"/>
  <c r="BE51" i="5"/>
  <c r="BJ51" i="5"/>
  <c r="BO51" i="5"/>
  <c r="BT51" i="5"/>
  <c r="BY51" i="5"/>
  <c r="CD51" i="5"/>
  <c r="CI51" i="5"/>
  <c r="CN51" i="5"/>
  <c r="AU51" i="5"/>
  <c r="AE53" i="5"/>
  <c r="AB56" i="5"/>
  <c r="AB55" i="5"/>
  <c r="AG56" i="5"/>
  <c r="CC53" i="5"/>
  <c r="CB54" i="5"/>
  <c r="CH54" i="5"/>
  <c r="CH55" i="5" s="1"/>
  <c r="BE55" i="5"/>
  <c r="W56" i="5"/>
  <c r="X56" i="5"/>
  <c r="AF56" i="5"/>
  <c r="AN56" i="5"/>
  <c r="AY57" i="5"/>
  <c r="AY72" i="5"/>
  <c r="AY63" i="5" s="1"/>
  <c r="J61" i="5"/>
  <c r="J62" i="5" s="1"/>
  <c r="L61" i="5"/>
  <c r="L62" i="5" s="1"/>
  <c r="V61" i="5"/>
  <c r="V62" i="5" s="1"/>
  <c r="AF61" i="5"/>
  <c r="AF62" i="5" s="1"/>
  <c r="B61" i="5"/>
  <c r="DA61" i="5"/>
  <c r="DA62" i="5" s="1"/>
  <c r="CZ67" i="5"/>
  <c r="CZ68" i="5" s="1"/>
  <c r="F67" i="5"/>
  <c r="F72" i="5"/>
  <c r="U63" i="5"/>
  <c r="Z57" i="5"/>
  <c r="Z58" i="5" s="1"/>
  <c r="AE63" i="5"/>
  <c r="AO67" i="5"/>
  <c r="AO68" i="5" s="1"/>
  <c r="AO57" i="5"/>
  <c r="AO58" i="5" s="1"/>
  <c r="AO65" i="5"/>
  <c r="AE92" i="5"/>
  <c r="AE93" i="5" s="1"/>
  <c r="BF92" i="5"/>
  <c r="BF93" i="5" s="1"/>
  <c r="BF85" i="5"/>
  <c r="BF86" i="5" s="1"/>
  <c r="BF84" i="5"/>
  <c r="CV92" i="5"/>
  <c r="CV85" i="5"/>
  <c r="BE93" i="5"/>
  <c r="CE93" i="5"/>
  <c r="CJ93" i="5"/>
  <c r="CO93" i="5"/>
  <c r="Y85" i="5"/>
  <c r="Y86" i="5" s="1"/>
  <c r="BO93" i="5"/>
  <c r="BW86" i="5"/>
  <c r="M90" i="5"/>
  <c r="M91" i="5" s="1"/>
  <c r="S90" i="5"/>
  <c r="X90" i="5"/>
  <c r="AC90" i="5"/>
  <c r="AC91" i="5" s="1"/>
  <c r="AM90" i="5"/>
  <c r="AW90" i="5"/>
  <c r="BB90" i="5"/>
  <c r="BB91" i="5" s="1"/>
  <c r="BQ90" i="5"/>
  <c r="CQ90" i="5"/>
  <c r="CR219" i="5"/>
  <c r="CR96" i="5"/>
  <c r="CR97" i="5" s="1"/>
  <c r="CR95" i="5"/>
  <c r="BR90" i="5"/>
  <c r="BR91" i="5" s="1"/>
  <c r="U110" i="5"/>
  <c r="U111" i="5" s="1"/>
  <c r="AO110" i="5"/>
  <c r="AO111" i="5" s="1"/>
  <c r="BO111" i="5"/>
  <c r="BO113" i="5"/>
  <c r="AJ118" i="5"/>
  <c r="AJ119" i="5" s="1"/>
  <c r="BA118" i="5"/>
  <c r="BA119" i="5" s="1"/>
  <c r="BF118" i="5"/>
  <c r="BF119" i="5" s="1"/>
  <c r="BK119" i="5"/>
  <c r="BP118" i="5"/>
  <c r="BP119" i="5" s="1"/>
  <c r="BU118" i="5"/>
  <c r="BZ118" i="5"/>
  <c r="BZ119" i="5" s="1"/>
  <c r="CE118" i="5"/>
  <c r="CE119" i="5" s="1"/>
  <c r="CJ118" i="5"/>
  <c r="CJ119" i="5" s="1"/>
  <c r="CO118" i="5"/>
  <c r="BA123" i="5"/>
  <c r="BA124" i="5" s="1"/>
  <c r="BF123" i="5"/>
  <c r="BF124" i="5" s="1"/>
  <c r="BK124" i="5"/>
  <c r="BP123" i="5"/>
  <c r="BP124" i="5" s="1"/>
  <c r="BU123" i="5"/>
  <c r="BU124" i="5" s="1"/>
  <c r="BZ123" i="5"/>
  <c r="BZ124" i="5" s="1"/>
  <c r="BD57" i="5"/>
  <c r="BD58" i="5" s="1"/>
  <c r="BD61" i="5"/>
  <c r="BI57" i="5"/>
  <c r="BI61" i="5"/>
  <c r="BI62" i="5" s="1"/>
  <c r="BN57" i="5"/>
  <c r="BN58" i="5" s="1"/>
  <c r="BN61" i="5"/>
  <c r="BS57" i="5"/>
  <c r="BS61" i="5"/>
  <c r="BS62" i="5" s="1"/>
  <c r="BX57" i="5"/>
  <c r="BX58" i="5" s="1"/>
  <c r="BX61" i="5"/>
  <c r="CC57" i="5"/>
  <c r="CC61" i="5"/>
  <c r="CC62" i="5" s="1"/>
  <c r="CH57" i="5"/>
  <c r="CH58" i="5" s="1"/>
  <c r="CH61" i="5"/>
  <c r="CM57" i="5"/>
  <c r="CM61" i="5"/>
  <c r="CM62" i="5" s="1"/>
  <c r="CR57" i="5"/>
  <c r="CR58" i="5" s="1"/>
  <c r="CR61" i="5"/>
  <c r="CY70" i="5"/>
  <c r="CT74" i="5"/>
  <c r="CT77" i="5" s="1"/>
  <c r="CT78" i="5" s="1"/>
  <c r="C154" i="5"/>
  <c r="C149" i="5"/>
  <c r="C148" i="5"/>
  <c r="C141" i="5"/>
  <c r="G149" i="5"/>
  <c r="G148" i="5"/>
  <c r="G154" i="5"/>
  <c r="G140" i="5"/>
  <c r="G141" i="5"/>
  <c r="K80" i="5"/>
  <c r="K92" i="5" s="1"/>
  <c r="O149" i="5"/>
  <c r="O148" i="5"/>
  <c r="O154" i="5"/>
  <c r="O140" i="5"/>
  <c r="O141" i="5"/>
  <c r="S149" i="5"/>
  <c r="S148" i="5"/>
  <c r="S154" i="5"/>
  <c r="S140" i="5"/>
  <c r="S141" i="5"/>
  <c r="W149" i="5"/>
  <c r="W148" i="5"/>
  <c r="W154" i="5"/>
  <c r="W140" i="5"/>
  <c r="W141" i="5"/>
  <c r="AA149" i="5"/>
  <c r="AA148" i="5"/>
  <c r="AA154" i="5"/>
  <c r="AF140" i="5"/>
  <c r="AA140" i="5"/>
  <c r="AA141" i="5"/>
  <c r="BD80" i="5"/>
  <c r="BT154" i="5"/>
  <c r="BT144" i="5"/>
  <c r="BT149" i="5"/>
  <c r="BT148" i="5"/>
  <c r="BY140" i="5"/>
  <c r="BT141" i="5"/>
  <c r="BT142" i="5" s="1"/>
  <c r="BT140" i="5"/>
  <c r="BB84" i="5"/>
  <c r="BB85" i="5"/>
  <c r="BB86" i="5" s="1"/>
  <c r="BG83" i="5"/>
  <c r="CB84" i="5"/>
  <c r="CB85" i="5"/>
  <c r="CB86" i="5" s="1"/>
  <c r="CG84" i="5"/>
  <c r="CG85" i="5"/>
  <c r="CL84" i="5"/>
  <c r="CL85" i="5"/>
  <c r="CL86" i="5" s="1"/>
  <c r="CQ84" i="5"/>
  <c r="CQ85" i="5"/>
  <c r="BJ84" i="5"/>
  <c r="BJ85" i="5"/>
  <c r="BO84" i="5"/>
  <c r="BO85" i="5"/>
  <c r="BT83" i="5"/>
  <c r="F85" i="5"/>
  <c r="AX85" i="5"/>
  <c r="BI83" i="5"/>
  <c r="BS83" i="5"/>
  <c r="CC83" i="5"/>
  <c r="CH83" i="5"/>
  <c r="CM83" i="5"/>
  <c r="CR83" i="5"/>
  <c r="L89" i="5"/>
  <c r="L90" i="5"/>
  <c r="L91" i="5" s="1"/>
  <c r="L92" i="5"/>
  <c r="Q89" i="5"/>
  <c r="Q90" i="5"/>
  <c r="Q92" i="5"/>
  <c r="V89" i="5"/>
  <c r="V90" i="5"/>
  <c r="V91" i="5" s="1"/>
  <c r="V92" i="5"/>
  <c r="AA89" i="5"/>
  <c r="AA90" i="5"/>
  <c r="AA92" i="5"/>
  <c r="AA93" i="5" s="1"/>
  <c r="AF89" i="5"/>
  <c r="AF90" i="5"/>
  <c r="AF92" i="5"/>
  <c r="AK89" i="5"/>
  <c r="AK90" i="5"/>
  <c r="AK92" i="5"/>
  <c r="BP89" i="5"/>
  <c r="CW88" i="5"/>
  <c r="I89" i="5"/>
  <c r="BB89" i="5"/>
  <c r="BG89" i="5"/>
  <c r="BL89" i="5"/>
  <c r="BL90" i="5"/>
  <c r="BV89" i="5"/>
  <c r="BV92" i="5"/>
  <c r="BV93" i="5" s="1"/>
  <c r="CA89" i="5"/>
  <c r="CA92" i="5"/>
  <c r="CF89" i="5"/>
  <c r="CF92" i="5"/>
  <c r="CF93" i="5" s="1"/>
  <c r="CK89" i="5"/>
  <c r="CK92" i="5"/>
  <c r="CP89" i="5"/>
  <c r="CP92" i="5"/>
  <c r="CP93" i="5" s="1"/>
  <c r="CP219" i="5"/>
  <c r="CP139" i="5"/>
  <c r="CP95" i="5"/>
  <c r="CU89" i="5"/>
  <c r="J90" i="5"/>
  <c r="J91" i="5" s="1"/>
  <c r="CT90" i="5"/>
  <c r="CX90" i="5"/>
  <c r="DU91" i="5"/>
  <c r="J92" i="5"/>
  <c r="J93" i="5" s="1"/>
  <c r="AW92" i="5"/>
  <c r="BB93" i="5" s="1"/>
  <c r="U84" i="5"/>
  <c r="AU219" i="5"/>
  <c r="AX219" i="5"/>
  <c r="AW219" i="5"/>
  <c r="AU139" i="5"/>
  <c r="BO219" i="5"/>
  <c r="BK219" i="5"/>
  <c r="BM219" i="5"/>
  <c r="BK139" i="5"/>
  <c r="CT219" i="5"/>
  <c r="K95" i="5"/>
  <c r="AE95" i="5"/>
  <c r="P96" i="5"/>
  <c r="AJ96" i="5"/>
  <c r="BR95" i="5"/>
  <c r="BS96" i="5"/>
  <c r="CH95" i="5"/>
  <c r="CM96" i="5"/>
  <c r="AZ109" i="5"/>
  <c r="BC110" i="5"/>
  <c r="BG110" i="5"/>
  <c r="BG112" i="5"/>
  <c r="BG113" i="5" s="1"/>
  <c r="BL110" i="5"/>
  <c r="BL111" i="5" s="1"/>
  <c r="BL112" i="5"/>
  <c r="CU110" i="5"/>
  <c r="CU112" i="5"/>
  <c r="CU113" i="5" s="1"/>
  <c r="G111" i="5"/>
  <c r="O111" i="5"/>
  <c r="S111" i="5"/>
  <c r="W111" i="5"/>
  <c r="P112" i="5"/>
  <c r="AJ112" i="5"/>
  <c r="I113" i="5"/>
  <c r="M113" i="5"/>
  <c r="Q113" i="5"/>
  <c r="F112" i="5"/>
  <c r="BC112" i="5"/>
  <c r="BA114" i="5"/>
  <c r="AI116" i="5"/>
  <c r="CS118" i="5"/>
  <c r="AH119" i="5"/>
  <c r="AU118" i="5"/>
  <c r="AZ119" i="5" s="1"/>
  <c r="AW121" i="5"/>
  <c r="AU123" i="5"/>
  <c r="AW125" i="5"/>
  <c r="CY299" i="5"/>
  <c r="CZ299" i="5" s="1"/>
  <c r="DA299" i="5" s="1"/>
  <c r="DB299" i="5" s="1"/>
  <c r="CY251" i="5"/>
  <c r="CY253" i="5" s="1"/>
  <c r="CY223" i="5"/>
  <c r="CY129" i="5"/>
  <c r="DB127" i="5"/>
  <c r="F253" i="5"/>
  <c r="F223" i="5"/>
  <c r="Z253" i="5"/>
  <c r="Z223" i="5"/>
  <c r="Z130" i="5"/>
  <c r="BI223" i="5"/>
  <c r="BI129" i="5"/>
  <c r="BI128" i="5"/>
  <c r="CR123" i="5"/>
  <c r="CR124" i="5" s="1"/>
  <c r="AO130" i="5"/>
  <c r="BC138" i="5"/>
  <c r="CH123" i="5"/>
  <c r="CM114" i="5"/>
  <c r="CS139" i="5"/>
  <c r="DA135" i="5"/>
  <c r="BO138" i="5"/>
  <c r="AF155" i="5"/>
  <c r="AK141" i="5"/>
  <c r="AK142" i="5" s="1"/>
  <c r="CX139" i="5"/>
  <c r="DB69" i="5"/>
  <c r="BS72" i="5"/>
  <c r="CM72" i="5"/>
  <c r="CU74" i="5"/>
  <c r="CU77" i="5" s="1"/>
  <c r="CU78" i="5" s="1"/>
  <c r="D154" i="5"/>
  <c r="D149" i="5"/>
  <c r="D141" i="5"/>
  <c r="D148" i="5"/>
  <c r="H154" i="5"/>
  <c r="H140" i="5"/>
  <c r="H149" i="5"/>
  <c r="H150" i="5" s="1"/>
  <c r="H141" i="5"/>
  <c r="H142" i="5" s="1"/>
  <c r="H148" i="5"/>
  <c r="L148" i="5"/>
  <c r="L140" i="5"/>
  <c r="L141" i="5"/>
  <c r="L142" i="5" s="1"/>
  <c r="L154" i="5"/>
  <c r="L149" i="5"/>
  <c r="L150" i="5" s="1"/>
  <c r="T149" i="5"/>
  <c r="T150" i="5" s="1"/>
  <c r="T140" i="5"/>
  <c r="T141" i="5"/>
  <c r="T142" i="5" s="1"/>
  <c r="T154" i="5"/>
  <c r="T148" i="5"/>
  <c r="X154" i="5"/>
  <c r="X140" i="5"/>
  <c r="X149" i="5"/>
  <c r="X141" i="5"/>
  <c r="X148" i="5"/>
  <c r="AB148" i="5"/>
  <c r="AB140" i="5"/>
  <c r="AB141" i="5"/>
  <c r="AB142" i="5" s="1"/>
  <c r="AB154" i="5"/>
  <c r="AB149" i="5"/>
  <c r="AB150" i="5" s="1"/>
  <c r="BL154" i="5"/>
  <c r="BL148" i="5"/>
  <c r="BL144" i="5"/>
  <c r="BL145" i="5" s="1"/>
  <c r="BQ140" i="5"/>
  <c r="BL149" i="5"/>
  <c r="BL141" i="5"/>
  <c r="BL140" i="5"/>
  <c r="BU149" i="5"/>
  <c r="BU154" i="5"/>
  <c r="BU148" i="5"/>
  <c r="BZ140" i="5"/>
  <c r="BU141" i="5"/>
  <c r="BU140" i="5"/>
  <c r="BU144" i="5"/>
  <c r="AY83" i="5"/>
  <c r="BC84" i="5"/>
  <c r="BC85" i="5"/>
  <c r="BC86" i="5" s="1"/>
  <c r="BH84" i="5"/>
  <c r="BH85" i="5"/>
  <c r="BH86" i="5" s="1"/>
  <c r="BY84" i="5"/>
  <c r="BY85" i="5"/>
  <c r="CD84" i="5"/>
  <c r="CD85" i="5"/>
  <c r="CD86" i="5" s="1"/>
  <c r="CI84" i="5"/>
  <c r="CI85" i="5"/>
  <c r="CN84" i="5"/>
  <c r="CN85" i="5"/>
  <c r="CN86" i="5" s="1"/>
  <c r="BK84" i="5"/>
  <c r="BK85" i="5"/>
  <c r="BK86" i="5" s="1"/>
  <c r="BP84" i="5"/>
  <c r="BP85" i="5"/>
  <c r="BP86" i="5" s="1"/>
  <c r="BU83" i="5"/>
  <c r="AL84" i="5"/>
  <c r="AU85" i="5"/>
  <c r="M89" i="5"/>
  <c r="M92" i="5"/>
  <c r="R89" i="5"/>
  <c r="R90" i="5"/>
  <c r="R91" i="5" s="1"/>
  <c r="W89" i="5"/>
  <c r="W92" i="5"/>
  <c r="W93" i="5" s="1"/>
  <c r="AB89" i="5"/>
  <c r="AB92" i="5"/>
  <c r="AG93" i="5" s="1"/>
  <c r="AG89" i="5"/>
  <c r="AG90" i="5"/>
  <c r="AL89" i="5"/>
  <c r="AL90" i="5"/>
  <c r="BD88" i="5"/>
  <c r="CH88" i="5"/>
  <c r="CH90" i="5" s="1"/>
  <c r="CX89" i="5"/>
  <c r="BH89" i="5"/>
  <c r="BM89" i="5"/>
  <c r="BW89" i="5"/>
  <c r="BW90" i="5"/>
  <c r="BW91" i="5" s="1"/>
  <c r="BW92" i="5"/>
  <c r="BW93" i="5" s="1"/>
  <c r="CL89" i="5"/>
  <c r="CL90" i="5"/>
  <c r="CL91" i="5" s="1"/>
  <c r="CQ89" i="5"/>
  <c r="CQ219" i="5"/>
  <c r="CX219" i="5"/>
  <c r="CS219" i="5"/>
  <c r="CQ95" i="5"/>
  <c r="G92" i="5"/>
  <c r="AO80" i="5"/>
  <c r="AO92" i="5" s="1"/>
  <c r="AO93" i="5" s="1"/>
  <c r="CU219" i="5"/>
  <c r="P95" i="5"/>
  <c r="U96" i="5"/>
  <c r="U97" i="5" s="1"/>
  <c r="J97" i="5"/>
  <c r="N97" i="5"/>
  <c r="R97" i="5"/>
  <c r="V97" i="5"/>
  <c r="AD97" i="5"/>
  <c r="AH97" i="5"/>
  <c r="AZ95" i="5"/>
  <c r="BE95" i="5"/>
  <c r="CC95" i="5"/>
  <c r="CH112" i="5"/>
  <c r="CH114" i="5"/>
  <c r="BH110" i="5"/>
  <c r="BH111" i="5" s="1"/>
  <c r="BH112" i="5"/>
  <c r="BH113" i="5" s="1"/>
  <c r="BM110" i="5"/>
  <c r="BM111" i="5" s="1"/>
  <c r="BM112" i="5"/>
  <c r="CV110" i="5"/>
  <c r="CV112" i="5"/>
  <c r="CV113" i="5" s="1"/>
  <c r="U112" i="5"/>
  <c r="U113" i="5" s="1"/>
  <c r="AO112" i="5"/>
  <c r="AO113" i="5" s="1"/>
  <c r="CI113" i="5"/>
  <c r="BB114" i="5"/>
  <c r="CW109" i="5"/>
  <c r="AJ116" i="5"/>
  <c r="AD118" i="5"/>
  <c r="AZ123" i="5"/>
  <c r="AZ124" i="5" s="1"/>
  <c r="BE123" i="5"/>
  <c r="BN123" i="5"/>
  <c r="BJ123" i="5"/>
  <c r="BJ124" i="5" s="1"/>
  <c r="BS114" i="5"/>
  <c r="BS123" i="5"/>
  <c r="BS124" i="5" s="1"/>
  <c r="BO123" i="5"/>
  <c r="BX114" i="5"/>
  <c r="BX123" i="5"/>
  <c r="BT123" i="5"/>
  <c r="CC123" i="5"/>
  <c r="CC124" i="5" s="1"/>
  <c r="CC114" i="5"/>
  <c r="CC121" i="5"/>
  <c r="CZ251" i="5"/>
  <c r="CZ253" i="5" s="1"/>
  <c r="CZ223" i="5"/>
  <c r="AC221" i="5"/>
  <c r="Y221" i="5"/>
  <c r="AB221" i="5"/>
  <c r="AA221" i="5"/>
  <c r="Y133" i="5"/>
  <c r="Y134" i="5" s="1"/>
  <c r="Y132" i="5"/>
  <c r="Y139" i="5"/>
  <c r="BI397" i="5"/>
  <c r="BI221" i="5"/>
  <c r="BI133" i="5"/>
  <c r="CR117" i="5"/>
  <c r="CR118" i="5" s="1"/>
  <c r="CW397" i="5"/>
  <c r="CW221" i="5"/>
  <c r="CW133" i="5"/>
  <c r="F137" i="5"/>
  <c r="AE139" i="5"/>
  <c r="AZ139" i="5"/>
  <c r="BE149" i="5"/>
  <c r="BE154" i="5"/>
  <c r="BE148" i="5"/>
  <c r="BE141" i="5"/>
  <c r="BE140" i="5"/>
  <c r="BE144" i="5"/>
  <c r="BX110" i="5"/>
  <c r="CY135" i="5"/>
  <c r="BP138" i="5"/>
  <c r="BD63" i="5"/>
  <c r="BN63" i="5"/>
  <c r="BS63" i="5"/>
  <c r="BX63" i="5"/>
  <c r="CM63" i="5"/>
  <c r="CR63" i="5"/>
  <c r="BD72" i="5"/>
  <c r="BX72" i="5"/>
  <c r="BX66" i="5" s="1"/>
  <c r="CR72" i="5"/>
  <c r="CV74" i="5"/>
  <c r="CV77" i="5" s="1"/>
  <c r="CV78" i="5" s="1"/>
  <c r="CV76" i="5"/>
  <c r="CV152" i="5" s="1"/>
  <c r="E154" i="5"/>
  <c r="E148" i="5"/>
  <c r="E149" i="5"/>
  <c r="E141" i="5"/>
  <c r="I149" i="5"/>
  <c r="I150" i="5" s="1"/>
  <c r="I141" i="5"/>
  <c r="I142" i="5" s="1"/>
  <c r="I148" i="5"/>
  <c r="I154" i="5"/>
  <c r="I140" i="5"/>
  <c r="M141" i="5"/>
  <c r="M142" i="5" s="1"/>
  <c r="M154" i="5"/>
  <c r="M149" i="5"/>
  <c r="M150" i="5" s="1"/>
  <c r="M148" i="5"/>
  <c r="M140" i="5"/>
  <c r="Q148" i="5"/>
  <c r="U148" i="5" s="1"/>
  <c r="Q141" i="5"/>
  <c r="Q149" i="5"/>
  <c r="Q150" i="5" s="1"/>
  <c r="Q154" i="5"/>
  <c r="Q140" i="5"/>
  <c r="AC141" i="5"/>
  <c r="AC142" i="5" s="1"/>
  <c r="AC154" i="5"/>
  <c r="AC149" i="5"/>
  <c r="AC150" i="5" s="1"/>
  <c r="AH140" i="5"/>
  <c r="AC148" i="5"/>
  <c r="AC140" i="5"/>
  <c r="AM149" i="5"/>
  <c r="AM148" i="5"/>
  <c r="AM154" i="5"/>
  <c r="AM140" i="5"/>
  <c r="AM141" i="5"/>
  <c r="BG154" i="5"/>
  <c r="BG149" i="5"/>
  <c r="BG148" i="5"/>
  <c r="BG141" i="5"/>
  <c r="BG140" i="5"/>
  <c r="BG144" i="5"/>
  <c r="BM149" i="5"/>
  <c r="BM141" i="5"/>
  <c r="BM154" i="5"/>
  <c r="BM148" i="5"/>
  <c r="BM144" i="5"/>
  <c r="AM83" i="5"/>
  <c r="AO83" i="5" s="1"/>
  <c r="BE84" i="5"/>
  <c r="BE85" i="5"/>
  <c r="BE86" i="5" s="1"/>
  <c r="BZ84" i="5"/>
  <c r="BZ85" i="5"/>
  <c r="CE84" i="5"/>
  <c r="CE85" i="5"/>
  <c r="CJ84" i="5"/>
  <c r="CJ85" i="5"/>
  <c r="CJ86" i="5" s="1"/>
  <c r="CO84" i="5"/>
  <c r="CO85" i="5"/>
  <c r="BL83" i="5"/>
  <c r="BQ84" i="5"/>
  <c r="BQ85" i="5"/>
  <c r="BV84" i="5"/>
  <c r="AV85" i="5"/>
  <c r="K84" i="5"/>
  <c r="F88" i="5"/>
  <c r="F90" i="5" s="1"/>
  <c r="N89" i="5"/>
  <c r="N90" i="5"/>
  <c r="N91" i="5" s="1"/>
  <c r="S89" i="5"/>
  <c r="S92" i="5"/>
  <c r="S93" i="5" s="1"/>
  <c r="X89" i="5"/>
  <c r="X92" i="5"/>
  <c r="X93" i="5" s="1"/>
  <c r="AC89" i="5"/>
  <c r="AC92" i="5"/>
  <c r="AH89" i="5"/>
  <c r="AH90" i="5"/>
  <c r="AM89" i="5"/>
  <c r="AM92" i="5"/>
  <c r="AM93" i="5" s="1"/>
  <c r="BI88" i="5"/>
  <c r="BS88" i="5"/>
  <c r="CM88" i="5"/>
  <c r="AZ89" i="5"/>
  <c r="BE89" i="5"/>
  <c r="CD89" i="5"/>
  <c r="CI89" i="5"/>
  <c r="CI90" i="5"/>
  <c r="CI91" i="5" s="1"/>
  <c r="CN89" i="5"/>
  <c r="CN219" i="5"/>
  <c r="CN139" i="5"/>
  <c r="CN95" i="5"/>
  <c r="H92" i="5"/>
  <c r="H93" i="5" s="1"/>
  <c r="AJ84" i="5"/>
  <c r="AZ219" i="5"/>
  <c r="BC219" i="5"/>
  <c r="BB219" i="5"/>
  <c r="BA219" i="5"/>
  <c r="BR89" i="5"/>
  <c r="CV219" i="5"/>
  <c r="U95" i="5"/>
  <c r="Z96" i="5"/>
  <c r="Z97" i="5" s="1"/>
  <c r="F96" i="5"/>
  <c r="BX95" i="5"/>
  <c r="BA110" i="5"/>
  <c r="BI109" i="5"/>
  <c r="BE110" i="5"/>
  <c r="BE112" i="5"/>
  <c r="BE114" i="5"/>
  <c r="CS110" i="5"/>
  <c r="CS111" i="5" s="1"/>
  <c r="CS112" i="5"/>
  <c r="CS113" i="5" s="1"/>
  <c r="Z112" i="5"/>
  <c r="Z113" i="5" s="1"/>
  <c r="CJ113" i="5"/>
  <c r="AO116" i="5"/>
  <c r="BI117" i="5"/>
  <c r="BE118" i="5"/>
  <c r="BE119" i="5" s="1"/>
  <c r="BN117" i="5"/>
  <c r="BJ118" i="5"/>
  <c r="BS117" i="5"/>
  <c r="BO118" i="5"/>
  <c r="BO119" i="5" s="1"/>
  <c r="BX117" i="5"/>
  <c r="BX118" i="5" s="1"/>
  <c r="BT118" i="5"/>
  <c r="CC117" i="5"/>
  <c r="BY118" i="5"/>
  <c r="BY119" i="5" s="1"/>
  <c r="CH117" i="5"/>
  <c r="CD118" i="5"/>
  <c r="CM117" i="5"/>
  <c r="CI118" i="5"/>
  <c r="CI119" i="5" s="1"/>
  <c r="P253" i="5"/>
  <c r="P223" i="5"/>
  <c r="P130" i="5"/>
  <c r="P128" i="5"/>
  <c r="AY253" i="5"/>
  <c r="AY223" i="5"/>
  <c r="AY129" i="5"/>
  <c r="F221" i="5"/>
  <c r="K132" i="5"/>
  <c r="AD139" i="5"/>
  <c r="BS110" i="5"/>
  <c r="K139" i="5"/>
  <c r="U137" i="5"/>
  <c r="AO137" i="5"/>
  <c r="BA139" i="5"/>
  <c r="BF138" i="5"/>
  <c r="BK138" i="5"/>
  <c r="BN132" i="5"/>
  <c r="CC110" i="5"/>
  <c r="CC111" i="5" s="1"/>
  <c r="CH133" i="5"/>
  <c r="CH134" i="5" s="1"/>
  <c r="CU139" i="5"/>
  <c r="AN218" i="5"/>
  <c r="BZ145" i="5"/>
  <c r="BI67" i="5"/>
  <c r="BI68" i="5" s="1"/>
  <c r="CC67" i="5"/>
  <c r="CC68" i="5" s="1"/>
  <c r="DA69" i="5"/>
  <c r="CW147" i="5"/>
  <c r="CW69" i="5"/>
  <c r="CW70" i="5" s="1"/>
  <c r="CS74" i="5"/>
  <c r="CS77" i="5" s="1"/>
  <c r="CS78" i="5" s="1"/>
  <c r="B154" i="5"/>
  <c r="B149" i="5"/>
  <c r="B141" i="5"/>
  <c r="B148" i="5"/>
  <c r="F148" i="5" s="1"/>
  <c r="J154" i="5"/>
  <c r="J148" i="5"/>
  <c r="J140" i="5"/>
  <c r="J149" i="5"/>
  <c r="J150" i="5" s="1"/>
  <c r="J141" i="5"/>
  <c r="J142" i="5" s="1"/>
  <c r="N154" i="5"/>
  <c r="N149" i="5"/>
  <c r="N150" i="5" s="1"/>
  <c r="N148" i="5"/>
  <c r="N140" i="5"/>
  <c r="N141" i="5"/>
  <c r="R154" i="5"/>
  <c r="R149" i="5"/>
  <c r="R150" i="5" s="1"/>
  <c r="R140" i="5"/>
  <c r="R148" i="5"/>
  <c r="R141" i="5"/>
  <c r="R142" i="5" s="1"/>
  <c r="V154" i="5"/>
  <c r="V148" i="5"/>
  <c r="V149" i="5"/>
  <c r="V150" i="5" s="1"/>
  <c r="V140" i="5"/>
  <c r="V141" i="5"/>
  <c r="V142" i="5" s="1"/>
  <c r="CA84" i="5"/>
  <c r="CF84" i="5"/>
  <c r="CK84" i="5"/>
  <c r="CP84" i="5"/>
  <c r="BM83" i="5"/>
  <c r="BW84" i="5"/>
  <c r="Y84" i="5"/>
  <c r="AD84" i="5"/>
  <c r="AD85" i="5"/>
  <c r="AD86" i="5" s="1"/>
  <c r="AN84" i="5"/>
  <c r="O92" i="5"/>
  <c r="O93" i="5" s="1"/>
  <c r="T89" i="5"/>
  <c r="T92" i="5"/>
  <c r="Y89" i="5"/>
  <c r="AD89" i="5"/>
  <c r="AI89" i="5"/>
  <c r="AI90" i="5"/>
  <c r="AN89" i="5"/>
  <c r="AN90" i="5"/>
  <c r="AN91" i="5" s="1"/>
  <c r="BA89" i="5"/>
  <c r="BF89" i="5"/>
  <c r="BK89" i="5"/>
  <c r="BU89" i="5"/>
  <c r="BZ89" i="5"/>
  <c r="CE89" i="5"/>
  <c r="CJ89" i="5"/>
  <c r="CO89" i="5"/>
  <c r="CO219" i="5"/>
  <c r="CO139" i="5"/>
  <c r="CO95" i="5"/>
  <c r="I92" i="5"/>
  <c r="I93" i="5" s="1"/>
  <c r="BL219" i="5"/>
  <c r="BJ219" i="5"/>
  <c r="BT219" i="5"/>
  <c r="BV219" i="5"/>
  <c r="BR219" i="5"/>
  <c r="BU219" i="5"/>
  <c r="CW94" i="5"/>
  <c r="Z95" i="5"/>
  <c r="K96" i="5"/>
  <c r="AE96" i="5"/>
  <c r="BN94" i="5"/>
  <c r="BS95" i="5"/>
  <c r="BX96" i="5"/>
  <c r="CM95" i="5"/>
  <c r="CH97" i="5"/>
  <c r="BB110" i="5"/>
  <c r="BF110" i="5"/>
  <c r="BF112" i="5"/>
  <c r="BF113" i="5" s="1"/>
  <c r="BK109" i="5"/>
  <c r="CT110" i="5"/>
  <c r="CT112" i="5"/>
  <c r="CT113" i="5" s="1"/>
  <c r="K112" i="5"/>
  <c r="K113" i="5" s="1"/>
  <c r="AE112" i="5"/>
  <c r="AE113" i="5" s="1"/>
  <c r="BY123" i="5"/>
  <c r="BY124" i="5" s="1"/>
  <c r="U253" i="5"/>
  <c r="U223" i="5"/>
  <c r="U130" i="5"/>
  <c r="DY131" i="5"/>
  <c r="AY130" i="5"/>
  <c r="BI123" i="5"/>
  <c r="BI124" i="5" s="1"/>
  <c r="CR114" i="5"/>
  <c r="CR110" i="5"/>
  <c r="CR112" i="5"/>
  <c r="DZ131" i="5"/>
  <c r="Z139" i="5"/>
  <c r="AW141" i="5"/>
  <c r="AW154" i="5"/>
  <c r="AW149" i="5"/>
  <c r="AW148" i="5"/>
  <c r="BG138" i="5"/>
  <c r="BX121" i="5"/>
  <c r="CH137" i="5"/>
  <c r="CH138" i="5" s="1"/>
  <c r="CR136" i="5"/>
  <c r="CR137" i="5"/>
  <c r="CV139" i="5"/>
  <c r="BY218" i="5"/>
  <c r="BY155" i="5"/>
  <c r="BZ142" i="5"/>
  <c r="CD145" i="5"/>
  <c r="AE253" i="5"/>
  <c r="AE223" i="5"/>
  <c r="BD129" i="5"/>
  <c r="BS397" i="5"/>
  <c r="BS221" i="5"/>
  <c r="CR128" i="5"/>
  <c r="U132" i="5"/>
  <c r="Z132" i="5"/>
  <c r="AJ253" i="5"/>
  <c r="AJ251" i="5" s="1"/>
  <c r="AJ223" i="5"/>
  <c r="AY135" i="5"/>
  <c r="BN128" i="5"/>
  <c r="BX397" i="5"/>
  <c r="BX221" i="5"/>
  <c r="CC112" i="5"/>
  <c r="CC128" i="5"/>
  <c r="CH129" i="5"/>
  <c r="CM110" i="5"/>
  <c r="CM111" i="5" s="1"/>
  <c r="CW135" i="5"/>
  <c r="BB136" i="5"/>
  <c r="BF136" i="5"/>
  <c r="BJ136" i="5"/>
  <c r="BR136" i="5"/>
  <c r="CH136" i="5"/>
  <c r="BS137" i="5"/>
  <c r="CM137" i="5"/>
  <c r="CM138" i="5" s="1"/>
  <c r="CQ137" i="5"/>
  <c r="CQ138" i="5" s="1"/>
  <c r="CU137" i="5"/>
  <c r="CZ137" i="5" s="1"/>
  <c r="CZ135" i="5" s="1"/>
  <c r="F139" i="5"/>
  <c r="AX139" i="5"/>
  <c r="BB139" i="5"/>
  <c r="BF139" i="5"/>
  <c r="BJ139" i="5"/>
  <c r="BO140" i="5" s="1"/>
  <c r="BR139" i="5"/>
  <c r="BV148" i="5"/>
  <c r="BV154" i="5"/>
  <c r="BZ148" i="5"/>
  <c r="BZ154" i="5"/>
  <c r="CD148" i="5"/>
  <c r="CD154" i="5"/>
  <c r="CL148" i="5"/>
  <c r="CL154" i="5"/>
  <c r="CT139" i="5"/>
  <c r="BP140" i="5"/>
  <c r="CB140" i="5"/>
  <c r="CF140" i="5"/>
  <c r="CJ140" i="5"/>
  <c r="U136" i="5"/>
  <c r="AO136" i="5"/>
  <c r="Z137" i="5"/>
  <c r="Z138" i="5" s="1"/>
  <c r="P139" i="5"/>
  <c r="AJ139" i="5"/>
  <c r="AG140" i="5"/>
  <c r="AK140" i="5"/>
  <c r="AH141" i="5"/>
  <c r="AH142" i="5" s="1"/>
  <c r="AL141" i="5"/>
  <c r="AL142" i="5" s="1"/>
  <c r="AV141" i="5"/>
  <c r="BY141" i="5"/>
  <c r="BY142" i="5" s="1"/>
  <c r="CD141" i="5"/>
  <c r="CD142" i="5" s="1"/>
  <c r="CI141" i="5"/>
  <c r="CI142" i="5" s="1"/>
  <c r="BQ144" i="5"/>
  <c r="BQ145" i="5" s="1"/>
  <c r="BY144" i="5"/>
  <c r="BY145" i="5" s="1"/>
  <c r="CG144" i="5"/>
  <c r="CK144" i="5"/>
  <c r="CK145" i="5" s="1"/>
  <c r="AH148" i="5"/>
  <c r="AN148" i="5"/>
  <c r="BQ149" i="5"/>
  <c r="BQ150" i="5" s="1"/>
  <c r="BV149" i="5"/>
  <c r="BV150" i="5" s="1"/>
  <c r="CB149" i="5"/>
  <c r="CB150" i="5" s="1"/>
  <c r="CG149" i="5"/>
  <c r="CL149" i="5"/>
  <c r="CL150" i="5" s="1"/>
  <c r="AF149" i="5"/>
  <c r="AF150" i="5" s="1"/>
  <c r="AK149" i="5"/>
  <c r="AK150" i="5" s="1"/>
  <c r="AG154" i="5"/>
  <c r="AY133" i="5"/>
  <c r="AO253" i="5"/>
  <c r="AO223" i="5"/>
  <c r="BD135" i="5"/>
  <c r="CM397" i="5"/>
  <c r="CM221" i="5"/>
  <c r="CM136" i="5"/>
  <c r="AZ137" i="5"/>
  <c r="AZ138" i="5" s="1"/>
  <c r="BH137" i="5"/>
  <c r="BH138" i="5" s="1"/>
  <c r="BC154" i="5"/>
  <c r="BC149" i="5"/>
  <c r="BO154" i="5"/>
  <c r="BP218" i="5" s="1"/>
  <c r="BO149" i="5"/>
  <c r="BW154" i="5"/>
  <c r="BW149" i="5"/>
  <c r="CA154" i="5"/>
  <c r="CA149" i="5"/>
  <c r="CE154" i="5"/>
  <c r="CF218" i="5" s="1"/>
  <c r="CE149" i="5"/>
  <c r="CE150" i="5" s="1"/>
  <c r="CI154" i="5"/>
  <c r="CI149" i="5"/>
  <c r="CQ139" i="5"/>
  <c r="Z136" i="5"/>
  <c r="K137" i="5"/>
  <c r="K138" i="5" s="1"/>
  <c r="AE137" i="5"/>
  <c r="AE138" i="5" s="1"/>
  <c r="U139" i="5"/>
  <c r="AO139" i="5"/>
  <c r="AL140" i="5"/>
  <c r="BP141" i="5"/>
  <c r="CE141" i="5"/>
  <c r="CE142" i="5" s="1"/>
  <c r="CJ141" i="5"/>
  <c r="CJ142" i="5" s="1"/>
  <c r="CX136" i="5"/>
  <c r="BO148" i="5"/>
  <c r="BY148" i="5"/>
  <c r="CE148" i="5"/>
  <c r="CJ148" i="5"/>
  <c r="CM148" i="5" s="1"/>
  <c r="AG149" i="5"/>
  <c r="AG150" i="5" s="1"/>
  <c r="AL149" i="5"/>
  <c r="AL150" i="5" s="1"/>
  <c r="BQ154" i="5"/>
  <c r="CG154" i="5"/>
  <c r="DV214" i="5"/>
  <c r="CW191" i="5"/>
  <c r="CR191" i="5"/>
  <c r="CE195" i="5"/>
  <c r="CE194" i="5"/>
  <c r="BD397" i="5"/>
  <c r="BD221" i="5"/>
  <c r="BD133" i="5"/>
  <c r="BD134" i="5" s="1"/>
  <c r="P132" i="5"/>
  <c r="AO128" i="5"/>
  <c r="AO132" i="5"/>
  <c r="BI135" i="5"/>
  <c r="CH397" i="5"/>
  <c r="CH221" i="5"/>
  <c r="CH367" i="5" s="1"/>
  <c r="CM128" i="5"/>
  <c r="CM132" i="5"/>
  <c r="AZ136" i="5"/>
  <c r="BH136" i="5"/>
  <c r="AW137" i="5"/>
  <c r="BB138" i="5" s="1"/>
  <c r="BA137" i="5"/>
  <c r="BA138" i="5" s="1"/>
  <c r="BE137" i="5"/>
  <c r="BJ138" i="5" s="1"/>
  <c r="BH139" i="5"/>
  <c r="CB155" i="5"/>
  <c r="CJ155" i="5"/>
  <c r="K136" i="5"/>
  <c r="AE136" i="5"/>
  <c r="P137" i="5"/>
  <c r="AJ137" i="5"/>
  <c r="AJ138" i="5" s="1"/>
  <c r="BQ141" i="5"/>
  <c r="BQ142" i="5" s="1"/>
  <c r="BV141" i="5"/>
  <c r="BV142" i="5" s="1"/>
  <c r="CA141" i="5"/>
  <c r="CF141" i="5"/>
  <c r="CF142" i="5" s="1"/>
  <c r="CK141" i="5"/>
  <c r="CK142" i="5" s="1"/>
  <c r="BC144" i="5"/>
  <c r="BO144" i="5"/>
  <c r="BW144" i="5"/>
  <c r="CA144" i="5"/>
  <c r="CA145" i="5" s="1"/>
  <c r="CE144" i="5"/>
  <c r="CE145" i="5" s="1"/>
  <c r="CI144" i="5"/>
  <c r="CI145" i="5" s="1"/>
  <c r="AF148" i="5"/>
  <c r="AK148" i="5"/>
  <c r="BP148" i="5"/>
  <c r="CA148" i="5"/>
  <c r="CF148" i="5"/>
  <c r="CK148" i="5"/>
  <c r="BY149" i="5"/>
  <c r="BY150" i="5" s="1"/>
  <c r="CD149" i="5"/>
  <c r="CJ149" i="5"/>
  <c r="AH149" i="5"/>
  <c r="AH150" i="5" s="1"/>
  <c r="AN149" i="5"/>
  <c r="AN150" i="5" s="1"/>
  <c r="AK154" i="5"/>
  <c r="AH155" i="5"/>
  <c r="CK154" i="5"/>
  <c r="AE176" i="5"/>
  <c r="BH176" i="5"/>
  <c r="DL176" i="5"/>
  <c r="DG176" i="5"/>
  <c r="BZ195" i="5"/>
  <c r="BZ194" i="5"/>
  <c r="DA251" i="5"/>
  <c r="DA253" i="5" s="1"/>
  <c r="DA223" i="5"/>
  <c r="K253" i="5"/>
  <c r="K223" i="5"/>
  <c r="K128" i="5"/>
  <c r="AE130" i="5"/>
  <c r="AH221" i="5"/>
  <c r="AD221" i="5"/>
  <c r="AG221" i="5"/>
  <c r="AF221" i="5"/>
  <c r="BD128" i="5"/>
  <c r="CR397" i="5"/>
  <c r="CR221" i="5"/>
  <c r="K133" i="5"/>
  <c r="AD132" i="5"/>
  <c r="AD133" i="5"/>
  <c r="AD134" i="5" s="1"/>
  <c r="AI132" i="5"/>
  <c r="BS133" i="5"/>
  <c r="P133" i="5"/>
  <c r="P134" i="5" s="1"/>
  <c r="AO129" i="5"/>
  <c r="AO133" i="5"/>
  <c r="AO134" i="5" s="1"/>
  <c r="BN397" i="5"/>
  <c r="BN221" i="5"/>
  <c r="BN135" i="5"/>
  <c r="BS136" i="5" s="1"/>
  <c r="CC397" i="5"/>
  <c r="CC221" i="5"/>
  <c r="CC367" i="5" s="1"/>
  <c r="CH128" i="5"/>
  <c r="CH132" i="5"/>
  <c r="CM129" i="5"/>
  <c r="CM133" i="5"/>
  <c r="CM134" i="5" s="1"/>
  <c r="BA136" i="5"/>
  <c r="BE136" i="5"/>
  <c r="CC136" i="5"/>
  <c r="BC140" i="5"/>
  <c r="CA140" i="5"/>
  <c r="CE140" i="5"/>
  <c r="CI140" i="5"/>
  <c r="AI149" i="5"/>
  <c r="AI148" i="5"/>
  <c r="AI154" i="5"/>
  <c r="AN155" i="5" s="1"/>
  <c r="AV221" i="5" s="1"/>
  <c r="AN140" i="5"/>
  <c r="AG141" i="5"/>
  <c r="AG142" i="5" s="1"/>
  <c r="BC141" i="5"/>
  <c r="BW141" i="5"/>
  <c r="CB141" i="5"/>
  <c r="CG141" i="5"/>
  <c r="CG142" i="5" s="1"/>
  <c r="CL141" i="5"/>
  <c r="CL142" i="5" s="1"/>
  <c r="BP144" i="5"/>
  <c r="CB144" i="5"/>
  <c r="CF144" i="5"/>
  <c r="CJ144" i="5"/>
  <c r="AL148" i="5"/>
  <c r="AV148" i="5"/>
  <c r="AV149" i="5"/>
  <c r="BW148" i="5"/>
  <c r="CB148" i="5"/>
  <c r="BP149" i="5"/>
  <c r="BZ149" i="5"/>
  <c r="BZ150" i="5" s="1"/>
  <c r="CF149" i="5"/>
  <c r="CF150" i="5" s="1"/>
  <c r="BD363" i="5"/>
  <c r="BJ228" i="5"/>
  <c r="BT228" i="5"/>
  <c r="BU228" i="5"/>
  <c r="BR228" i="5"/>
  <c r="CR367" i="5"/>
  <c r="CR363" i="5"/>
  <c r="CW367" i="5"/>
  <c r="CW363" i="5"/>
  <c r="AA229" i="5"/>
  <c r="AF229" i="5"/>
  <c r="AK229" i="5"/>
  <c r="AU359" i="5"/>
  <c r="AZ229" i="5"/>
  <c r="BE229" i="5"/>
  <c r="BR174" i="5"/>
  <c r="BT229" i="5" s="1"/>
  <c r="BY229" i="5"/>
  <c r="CD229" i="5"/>
  <c r="CI229" i="5"/>
  <c r="CN229" i="5"/>
  <c r="CR174" i="5"/>
  <c r="CR229" i="5" s="1"/>
  <c r="CV229" i="5"/>
  <c r="K359" i="5"/>
  <c r="U359" i="5"/>
  <c r="AJ363" i="5"/>
  <c r="AJ367" i="5"/>
  <c r="BI175" i="5"/>
  <c r="BN175" i="5"/>
  <c r="BW228" i="5"/>
  <c r="BY228" i="5"/>
  <c r="BV228" i="5"/>
  <c r="BZ228" i="5"/>
  <c r="BX171" i="5"/>
  <c r="BX172" i="5" s="1"/>
  <c r="CC363" i="5"/>
  <c r="CH171" i="5"/>
  <c r="CH172" i="5" s="1"/>
  <c r="CM363" i="5"/>
  <c r="CM367" i="5"/>
  <c r="AB176" i="5"/>
  <c r="AF176" i="5"/>
  <c r="BA176" i="5"/>
  <c r="BM176" i="5"/>
  <c r="BY176" i="5"/>
  <c r="CO176" i="5"/>
  <c r="CS176" i="5"/>
  <c r="BF193" i="5"/>
  <c r="BK195" i="5" s="1"/>
  <c r="BR193" i="5"/>
  <c r="BW195" i="5" s="1"/>
  <c r="BV193" i="5"/>
  <c r="CA195" i="5" s="1"/>
  <c r="BO194" i="5"/>
  <c r="BW194" i="5"/>
  <c r="BI196" i="5"/>
  <c r="BJ198" i="5" s="1"/>
  <c r="BF197" i="5"/>
  <c r="BR197" i="5"/>
  <c r="BV197" i="5"/>
  <c r="BW198" i="5"/>
  <c r="CB193" i="5"/>
  <c r="CB197" i="5"/>
  <c r="CG194" i="5"/>
  <c r="CD198" i="5"/>
  <c r="CJ193" i="5"/>
  <c r="CL194" i="5"/>
  <c r="CJ198" i="5"/>
  <c r="CQ193" i="5"/>
  <c r="CS194" i="5" s="1"/>
  <c r="CP195" i="5"/>
  <c r="CP194" i="5"/>
  <c r="CO197" i="5"/>
  <c r="CQ198" i="5"/>
  <c r="CU198" i="5"/>
  <c r="CV197" i="5"/>
  <c r="CY193" i="5"/>
  <c r="DA196" i="5"/>
  <c r="AW197" i="5"/>
  <c r="BB198" i="5"/>
  <c r="AV198" i="5"/>
  <c r="CX197" i="5"/>
  <c r="CM193" i="5"/>
  <c r="DB200" i="5"/>
  <c r="BD204" i="5"/>
  <c r="BS204" i="5"/>
  <c r="AJ209" i="5"/>
  <c r="BG363" i="5"/>
  <c r="BG367" i="5"/>
  <c r="BK228" i="5"/>
  <c r="AL359" i="5"/>
  <c r="AV359" i="5"/>
  <c r="BA359" i="5"/>
  <c r="BF359" i="5"/>
  <c r="BO229" i="5"/>
  <c r="CS229" i="5"/>
  <c r="CW359" i="5"/>
  <c r="AE363" i="5"/>
  <c r="AE367" i="5"/>
  <c r="AJ359" i="5"/>
  <c r="BB229" i="5"/>
  <c r="BS367" i="5"/>
  <c r="BS363" i="5"/>
  <c r="BV229" i="5"/>
  <c r="CC359" i="5"/>
  <c r="CM359" i="5"/>
  <c r="AG176" i="5"/>
  <c r="BB176" i="5"/>
  <c r="BV176" i="5"/>
  <c r="BZ176" i="5"/>
  <c r="DL359" i="5"/>
  <c r="BD181" i="5"/>
  <c r="BH194" i="5"/>
  <c r="BL194" i="5"/>
  <c r="BP194" i="5"/>
  <c r="BG197" i="5"/>
  <c r="BK197" i="5"/>
  <c r="BO197" i="5"/>
  <c r="BW197" i="5"/>
  <c r="BY194" i="5"/>
  <c r="BY197" i="5"/>
  <c r="BY198" i="5"/>
  <c r="CD194" i="5"/>
  <c r="CD195" i="5"/>
  <c r="CD197" i="5"/>
  <c r="CE198" i="5"/>
  <c r="CK195" i="5"/>
  <c r="CK194" i="5"/>
  <c r="CJ197" i="5"/>
  <c r="CS198" i="5"/>
  <c r="CX198" i="5"/>
  <c r="AD209" i="5"/>
  <c r="AE208" i="5"/>
  <c r="AE209" i="5" s="1"/>
  <c r="CZ169" i="5"/>
  <c r="AM228" i="5"/>
  <c r="AL228" i="5"/>
  <c r="BH228" i="5"/>
  <c r="BO228" i="5"/>
  <c r="BP228" i="5"/>
  <c r="BL228" i="5"/>
  <c r="BM228" i="5"/>
  <c r="CZ173" i="5"/>
  <c r="X229" i="5"/>
  <c r="AC229" i="5"/>
  <c r="AH229" i="5"/>
  <c r="AM229" i="5"/>
  <c r="AW229" i="5"/>
  <c r="BC229" i="5"/>
  <c r="BG174" i="5"/>
  <c r="BG229" i="5" s="1"/>
  <c r="BK174" i="5"/>
  <c r="CA229" i="5"/>
  <c r="CF229" i="5"/>
  <c r="CK229" i="5"/>
  <c r="CP229" i="5"/>
  <c r="CT229" i="5"/>
  <c r="CX229" i="5"/>
  <c r="F359" i="5"/>
  <c r="P359" i="5"/>
  <c r="Z367" i="5"/>
  <c r="Z363" i="5"/>
  <c r="AE174" i="5"/>
  <c r="AE229" i="5" s="1"/>
  <c r="AY367" i="5"/>
  <c r="AY363" i="5"/>
  <c r="BN173" i="5"/>
  <c r="BX367" i="5"/>
  <c r="BX363" i="5"/>
  <c r="CH363" i="5"/>
  <c r="V176" i="5"/>
  <c r="AH176" i="5"/>
  <c r="AL176" i="5"/>
  <c r="AU176" i="5"/>
  <c r="BC176" i="5"/>
  <c r="BO176" i="5"/>
  <c r="CA176" i="5"/>
  <c r="CE176" i="5"/>
  <c r="CI176" i="5"/>
  <c r="DG359" i="5"/>
  <c r="BS196" i="5"/>
  <c r="BX197" i="5" s="1"/>
  <c r="CC193" i="5"/>
  <c r="CH194" i="5" s="1"/>
  <c r="BL197" i="5"/>
  <c r="BP197" i="5"/>
  <c r="BT197" i="5"/>
  <c r="BM198" i="5"/>
  <c r="BQ198" i="5"/>
  <c r="BU198" i="5"/>
  <c r="BZ197" i="5"/>
  <c r="CK198" i="5"/>
  <c r="CL197" i="5"/>
  <c r="CN193" i="5"/>
  <c r="CR197" i="5"/>
  <c r="CX193" i="5"/>
  <c r="CN198" i="5"/>
  <c r="CT193" i="5"/>
  <c r="CT198" i="5"/>
  <c r="CC197" i="5"/>
  <c r="CC198" i="5"/>
  <c r="CH197" i="5"/>
  <c r="CW196" i="5"/>
  <c r="CW193" i="5" s="1"/>
  <c r="BX204" i="5"/>
  <c r="W209" i="5"/>
  <c r="Z208" i="5"/>
  <c r="Z209" i="5" s="1"/>
  <c r="U209" i="5"/>
  <c r="AO167" i="5"/>
  <c r="BG171" i="5"/>
  <c r="BK171" i="5"/>
  <c r="AE171" i="5"/>
  <c r="AN228" i="5"/>
  <c r="BI173" i="5"/>
  <c r="BQ367" i="5"/>
  <c r="BQ363" i="5"/>
  <c r="Y229" i="5"/>
  <c r="AD229" i="5"/>
  <c r="AI229" i="5"/>
  <c r="AN174" i="5"/>
  <c r="AX229" i="5"/>
  <c r="BD174" i="5"/>
  <c r="BD229" i="5" s="1"/>
  <c r="BH174" i="5"/>
  <c r="BL174" i="5"/>
  <c r="BM229" i="5" s="1"/>
  <c r="BQ174" i="5"/>
  <c r="BW229" i="5"/>
  <c r="CB229" i="5"/>
  <c r="CG229" i="5"/>
  <c r="CL229" i="5"/>
  <c r="CQ229" i="5"/>
  <c r="CU229" i="5"/>
  <c r="CY174" i="5"/>
  <c r="Z174" i="5"/>
  <c r="AO173" i="5"/>
  <c r="AY174" i="5"/>
  <c r="BN174" i="5"/>
  <c r="BN229" i="5" s="1"/>
  <c r="BS171" i="5"/>
  <c r="BS172" i="5" s="1"/>
  <c r="BX174" i="5"/>
  <c r="BX229" i="5" s="1"/>
  <c r="CH174" i="5"/>
  <c r="W176" i="5"/>
  <c r="AA176" i="5"/>
  <c r="AI176" i="5"/>
  <c r="AM176" i="5"/>
  <c r="AV176" i="5"/>
  <c r="AZ176" i="5"/>
  <c r="BP176" i="5"/>
  <c r="BT176" i="5"/>
  <c r="CB176" i="5"/>
  <c r="CF176" i="5"/>
  <c r="CJ176" i="5"/>
  <c r="CN176" i="5"/>
  <c r="CY188" i="5"/>
  <c r="CZ189" i="5"/>
  <c r="CA194" i="5"/>
  <c r="CA197" i="5"/>
  <c r="CF194" i="5"/>
  <c r="CR193" i="5"/>
  <c r="CN197" i="5"/>
  <c r="CV193" i="5"/>
  <c r="CU195" i="5"/>
  <c r="CU194" i="5"/>
  <c r="CT197" i="5"/>
  <c r="BA198" i="5"/>
  <c r="BA197" i="5"/>
  <c r="BX198" i="5"/>
  <c r="CM198" i="5"/>
  <c r="CR198" i="5"/>
  <c r="CF197" i="5"/>
  <c r="CK197" i="5"/>
  <c r="CP197" i="5"/>
  <c r="CU197" i="5"/>
  <c r="AY196" i="5"/>
  <c r="AX197" i="5"/>
  <c r="DD199" i="5"/>
  <c r="L209" i="5"/>
  <c r="AB367" i="5"/>
  <c r="AF367" i="5"/>
  <c r="AX367" i="5"/>
  <c r="AX363" i="5"/>
  <c r="AC367" i="5"/>
  <c r="AG367" i="5"/>
  <c r="AK367" i="5"/>
  <c r="AK363" i="5"/>
  <c r="BE367" i="5"/>
  <c r="BE363" i="5"/>
  <c r="DL363" i="5"/>
  <c r="AD367" i="5"/>
  <c r="AH367" i="5"/>
  <c r="BA367" i="5"/>
  <c r="BA363" i="5"/>
  <c r="BF367" i="5"/>
  <c r="BF363" i="5"/>
  <c r="AA367" i="5"/>
  <c r="AI367" i="5"/>
  <c r="CV309" i="5"/>
  <c r="DA309" i="5" s="1"/>
  <c r="CV290" i="5"/>
  <c r="AW367" i="5"/>
  <c r="AW363" i="5"/>
  <c r="BB363" i="5"/>
  <c r="BB367" i="5"/>
  <c r="AV363" i="5"/>
  <c r="AZ367" i="5"/>
  <c r="AZ363" i="5"/>
  <c r="DG363" i="5"/>
  <c r="BI251" i="5"/>
  <c r="BW257" i="5"/>
  <c r="CL266" i="5"/>
  <c r="CL263" i="5"/>
  <c r="BQ266" i="5"/>
  <c r="BR267" i="5"/>
  <c r="CR277" i="5"/>
  <c r="CW277" i="5"/>
  <c r="BO263" i="5"/>
  <c r="BO253" i="5"/>
  <c r="BS253" i="5" s="1"/>
  <c r="BS251" i="5"/>
  <c r="CE264" i="5"/>
  <c r="CE263" i="5"/>
  <c r="CE266" i="5"/>
  <c r="CF259" i="5"/>
  <c r="BD267" i="5"/>
  <c r="BC267" i="5"/>
  <c r="BT253" i="5"/>
  <c r="BX251" i="5"/>
  <c r="CF264" i="5"/>
  <c r="BF263" i="5"/>
  <c r="BF266" i="5"/>
  <c r="BG259" i="5"/>
  <c r="BC265" i="5"/>
  <c r="BD265" i="5" s="1"/>
  <c r="BG266" i="5"/>
  <c r="BH267" i="5"/>
  <c r="BI267" i="5" s="1"/>
  <c r="CB267" i="5"/>
  <c r="AU367" i="5"/>
  <c r="AU363" i="5"/>
  <c r="BC367" i="5"/>
  <c r="BC363" i="5"/>
  <c r="BY253" i="5"/>
  <c r="CC253" i="5" s="1"/>
  <c r="CC251" i="5"/>
  <c r="CH253" i="5"/>
  <c r="CR253" i="5"/>
  <c r="CW253" i="5"/>
  <c r="DB253" i="5"/>
  <c r="BF264" i="5"/>
  <c r="BR257" i="5"/>
  <c r="BQ264" i="5"/>
  <c r="AJ263" i="5"/>
  <c r="CZ263" i="5"/>
  <c r="BI265" i="5"/>
  <c r="BH265" i="5"/>
  <c r="AN279" i="5"/>
  <c r="AZ251" i="5"/>
  <c r="BD251" i="5" s="1"/>
  <c r="BJ251" i="5"/>
  <c r="BN251" i="5" s="1"/>
  <c r="BB257" i="5"/>
  <c r="BB279" i="5" s="1"/>
  <c r="BG257" i="5"/>
  <c r="BL257" i="5"/>
  <c r="CH251" i="5"/>
  <c r="BK259" i="5"/>
  <c r="CR259" i="5"/>
  <c r="DA260" i="5"/>
  <c r="CV262" i="5"/>
  <c r="AZ263" i="5"/>
  <c r="BT263" i="5"/>
  <c r="CJ263" i="5"/>
  <c r="CN263" i="5"/>
  <c r="CV263" i="5"/>
  <c r="AZ264" i="5"/>
  <c r="BP264" i="5"/>
  <c r="CJ264" i="5"/>
  <c r="CN264" i="5"/>
  <c r="AM264" i="5"/>
  <c r="BE266" i="5"/>
  <c r="CD266" i="5"/>
  <c r="CS266" i="5"/>
  <c r="CX266" i="5"/>
  <c r="BV267" i="5"/>
  <c r="CA270" i="5"/>
  <c r="BS272" i="5"/>
  <c r="CH272" i="5"/>
  <c r="CY276" i="5"/>
  <c r="BA277" i="5"/>
  <c r="BD277" i="5" s="1"/>
  <c r="BV278" i="5"/>
  <c r="BU277" i="5"/>
  <c r="CA279" i="5"/>
  <c r="CR276" i="5"/>
  <c r="CW276" i="5"/>
  <c r="S38" i="301" s="1"/>
  <c r="BA279" i="5"/>
  <c r="CW259" i="5"/>
  <c r="CS262" i="5"/>
  <c r="BE263" i="5"/>
  <c r="BQ263" i="5"/>
  <c r="BU263" i="5"/>
  <c r="BY263" i="5"/>
  <c r="CK263" i="5"/>
  <c r="CO263" i="5"/>
  <c r="CS263" i="5"/>
  <c r="DA263" i="5"/>
  <c r="BE264" i="5"/>
  <c r="BU264" i="5"/>
  <c r="BY264" i="5"/>
  <c r="CK264" i="5"/>
  <c r="CO264" i="5"/>
  <c r="BJ266" i="5"/>
  <c r="CK266" i="5"/>
  <c r="CM266" i="5" s="1"/>
  <c r="R35" i="301" s="1"/>
  <c r="CT266" i="5"/>
  <c r="AM279" i="5"/>
  <c r="BZ272" i="5"/>
  <c r="BZ277" i="5" s="1"/>
  <c r="CR272" i="5"/>
  <c r="BJ277" i="5"/>
  <c r="BS276" i="5"/>
  <c r="CX278" i="5"/>
  <c r="CX279" i="5" s="1"/>
  <c r="BK279" i="5"/>
  <c r="CL277" i="5"/>
  <c r="CL279" i="5"/>
  <c r="AO297" i="5"/>
  <c r="AV297" i="5"/>
  <c r="DB251" i="5"/>
  <c r="DB263" i="5" s="1"/>
  <c r="BD254" i="5"/>
  <c r="CI253" i="5"/>
  <c r="AI257" i="5"/>
  <c r="AI264" i="5" s="1"/>
  <c r="CA257" i="5"/>
  <c r="CR251" i="5"/>
  <c r="CW251" i="5"/>
  <c r="BA259" i="5"/>
  <c r="BA264" i="5" s="1"/>
  <c r="BR259" i="5"/>
  <c r="BV259" i="5"/>
  <c r="BZ259" i="5"/>
  <c r="CY261" i="5"/>
  <c r="CT262" i="5"/>
  <c r="CX262" i="5"/>
  <c r="CD263" i="5"/>
  <c r="CP263" i="5"/>
  <c r="CT263" i="5"/>
  <c r="CX263" i="5"/>
  <c r="BJ264" i="5"/>
  <c r="BZ264" i="5"/>
  <c r="CD264" i="5"/>
  <c r="CP264" i="5"/>
  <c r="CU266" i="5"/>
  <c r="CB269" i="5"/>
  <c r="CC269" i="5" s="1"/>
  <c r="BW272" i="5"/>
  <c r="BX272" i="5" s="1"/>
  <c r="CM337" i="5"/>
  <c r="CM272" i="5"/>
  <c r="BI272" i="5"/>
  <c r="BG276" i="5"/>
  <c r="BH276" i="5" s="1"/>
  <c r="BF279" i="5"/>
  <c r="BR276" i="5"/>
  <c r="BQ278" i="5"/>
  <c r="CZ276" i="5"/>
  <c r="AH279" i="5"/>
  <c r="BL278" i="5"/>
  <c r="AU297" i="5"/>
  <c r="CM259" i="5"/>
  <c r="CY300" i="5"/>
  <c r="CY304" i="5" s="1"/>
  <c r="CZ298" i="5"/>
  <c r="CZ261" i="5"/>
  <c r="CU262" i="5"/>
  <c r="CI263" i="5"/>
  <c r="CQ263" i="5"/>
  <c r="CU263" i="5"/>
  <c r="CY263" i="5"/>
  <c r="CI264" i="5"/>
  <c r="CQ264" i="5"/>
  <c r="AG279" i="5"/>
  <c r="BD276" i="5"/>
  <c r="BG278" i="5"/>
  <c r="BP277" i="5"/>
  <c r="BX276" i="5"/>
  <c r="O38" i="301" s="1"/>
  <c r="CA276" i="5"/>
  <c r="CB276" i="5" s="1"/>
  <c r="BZ279" i="5"/>
  <c r="CM276" i="5"/>
  <c r="R38" i="301" s="1"/>
  <c r="CI277" i="5"/>
  <c r="F285" i="5"/>
  <c r="F287" i="5" s="1"/>
  <c r="K281" i="5"/>
  <c r="K282" i="5" s="1"/>
  <c r="BD278" i="5"/>
  <c r="CF279" i="5"/>
  <c r="CF277" i="5"/>
  <c r="CH277" i="5" s="1"/>
  <c r="AV375" i="5"/>
  <c r="AV344" i="5"/>
  <c r="BI321" i="5"/>
  <c r="BI331" i="5" s="1"/>
  <c r="DB292" i="5"/>
  <c r="AW345" i="5"/>
  <c r="AW291" i="5"/>
  <c r="AW294" i="5" s="1"/>
  <c r="AW290" i="5"/>
  <c r="AY375" i="5"/>
  <c r="AY344" i="5"/>
  <c r="BI304" i="5"/>
  <c r="CC304" i="5"/>
  <c r="CC305" i="5" s="1"/>
  <c r="BD312" i="5"/>
  <c r="BI312" i="5"/>
  <c r="AO375" i="5"/>
  <c r="AO344" i="5"/>
  <c r="AW375" i="5"/>
  <c r="AW344" i="5"/>
  <c r="AX291" i="5"/>
  <c r="AX294" i="5" s="1"/>
  <c r="AY289" i="5"/>
  <c r="CZ301" i="5"/>
  <c r="DA301" i="5" s="1"/>
  <c r="DB301" i="5" s="1"/>
  <c r="DG301" i="5" s="1"/>
  <c r="DL301" i="5" s="1"/>
  <c r="DB302" i="5"/>
  <c r="CW299" i="5"/>
  <c r="CV298" i="5"/>
  <c r="CW298" i="5" s="1"/>
  <c r="CH304" i="5"/>
  <c r="AU375" i="5"/>
  <c r="AU344" i="5"/>
  <c r="AX375" i="5"/>
  <c r="AX344" i="5"/>
  <c r="AX290" i="5"/>
  <c r="BS304" i="5"/>
  <c r="BS305" i="5" s="1"/>
  <c r="AJ375" i="5"/>
  <c r="AJ344" i="5"/>
  <c r="AJ291" i="5"/>
  <c r="AJ294" i="5" s="1"/>
  <c r="K304" i="5"/>
  <c r="K305" i="5" s="1"/>
  <c r="K332" i="5" s="1"/>
  <c r="U304" i="5"/>
  <c r="U305" i="5" s="1"/>
  <c r="U332" i="5" s="1"/>
  <c r="AE304" i="5"/>
  <c r="AE305" i="5" s="1"/>
  <c r="AE332" i="5" s="1"/>
  <c r="AJ304" i="5"/>
  <c r="AJ305" i="5" s="1"/>
  <c r="AJ332" i="5" s="1"/>
  <c r="AO304" i="5"/>
  <c r="AO305" i="5" s="1"/>
  <c r="AO332" i="5" s="1"/>
  <c r="BX302" i="5"/>
  <c r="CM302" i="5"/>
  <c r="CR302" i="5"/>
  <c r="K371" i="5"/>
  <c r="CZ318" i="5"/>
  <c r="BS312" i="5"/>
  <c r="CC312" i="5"/>
  <c r="CM312" i="5"/>
  <c r="CW312" i="5"/>
  <c r="BD391" i="5"/>
  <c r="BD371" i="5"/>
  <c r="CW309" i="5"/>
  <c r="AX331" i="5"/>
  <c r="AX332" i="5" s="1"/>
  <c r="BN302" i="5"/>
  <c r="BX345" i="5"/>
  <c r="BX321" i="5"/>
  <c r="BX331" i="5"/>
  <c r="AU331" i="5"/>
  <c r="AU332" i="5" s="1"/>
  <c r="BO347" i="5"/>
  <c r="BP347" i="5" s="1"/>
  <c r="BQ347" i="5" s="1"/>
  <c r="BR347" i="5" s="1"/>
  <c r="BS347" i="5"/>
  <c r="BX347" i="5" s="1"/>
  <c r="CC347" i="5" s="1"/>
  <c r="CH347" i="5" s="1"/>
  <c r="CM347" i="5" s="1"/>
  <c r="CR347" i="5" s="1"/>
  <c r="BD302" i="5"/>
  <c r="CR345" i="5"/>
  <c r="BN312" i="5"/>
  <c r="BN321" i="5" s="1"/>
  <c r="BN331" i="5" s="1"/>
  <c r="BX312" i="5"/>
  <c r="CH312" i="5"/>
  <c r="CR312" i="5"/>
  <c r="BI391" i="5"/>
  <c r="BI371" i="5"/>
  <c r="CC345" i="5"/>
  <c r="CW345" i="5"/>
  <c r="CW290" i="5"/>
  <c r="F375" i="5"/>
  <c r="F371" i="5"/>
  <c r="F310" i="5"/>
  <c r="BS320" i="5"/>
  <c r="BS321" i="5" s="1"/>
  <c r="BS331" i="5" s="1"/>
  <c r="CC320" i="5"/>
  <c r="CM320" i="5"/>
  <c r="CM321" i="5" s="1"/>
  <c r="CM331" i="5" s="1"/>
  <c r="CW320" i="5"/>
  <c r="CW321" i="5" s="1"/>
  <c r="CV330" i="5"/>
  <c r="CV331" i="5" s="1"/>
  <c r="CV332" i="5" s="1"/>
  <c r="BB391" i="5"/>
  <c r="BB371" i="5"/>
  <c r="BB310" i="5"/>
  <c r="BB318" i="5"/>
  <c r="BD320" i="5"/>
  <c r="BD321" i="5" s="1"/>
  <c r="BD331" i="5" s="1"/>
  <c r="BN391" i="5"/>
  <c r="BN371" i="5"/>
  <c r="BX371" i="5"/>
  <c r="BX391" i="5"/>
  <c r="CH391" i="5"/>
  <c r="CH371" i="5"/>
  <c r="CR371" i="5"/>
  <c r="CR391" i="5"/>
  <c r="CZ323" i="5"/>
  <c r="CW325" i="5"/>
  <c r="CW330" i="5" s="1"/>
  <c r="CH318" i="5"/>
  <c r="CR318" i="5"/>
  <c r="BI349" i="5"/>
  <c r="BS391" i="5"/>
  <c r="BS371" i="5"/>
  <c r="CC391" i="5"/>
  <c r="CC371" i="5"/>
  <c r="CM391" i="5"/>
  <c r="CM371" i="5"/>
  <c r="CW391" i="5"/>
  <c r="CW371" i="5"/>
  <c r="BN387" i="5"/>
  <c r="BJ387" i="5"/>
  <c r="BK387" i="5" s="1"/>
  <c r="BL387" i="5" s="1"/>
  <c r="BM387" i="5" s="1"/>
  <c r="CW379" i="5"/>
  <c r="DB379" i="5"/>
  <c r="DG379" i="5" s="1"/>
  <c r="DL379" i="5" s="1"/>
  <c r="DB407" i="5"/>
  <c r="DG407" i="5" s="1"/>
  <c r="DL407" i="5" s="1"/>
  <c r="CW407" i="5"/>
  <c r="BS408" i="5"/>
  <c r="BX408" i="5" s="1"/>
  <c r="CC408" i="5" s="1"/>
  <c r="CH408" i="5" s="1"/>
  <c r="CM408" i="5" s="1"/>
  <c r="CR408" i="5" s="1"/>
  <c r="BO408" i="5"/>
  <c r="DA58" i="5" l="1"/>
  <c r="DG15" i="5"/>
  <c r="DB16" i="5"/>
  <c r="H38" i="301" s="1"/>
  <c r="DY10" i="5"/>
  <c r="DY11" i="5" s="1"/>
  <c r="V24" i="301"/>
  <c r="U24" i="301"/>
  <c r="DA193" i="5"/>
  <c r="CZ193" i="5"/>
  <c r="BP220" i="5"/>
  <c r="AO85" i="5"/>
  <c r="AO86" i="5" s="1"/>
  <c r="AO84" i="5"/>
  <c r="AH34" i="5"/>
  <c r="AH32" i="5"/>
  <c r="CB259" i="5"/>
  <c r="AV367" i="5"/>
  <c r="BS26" i="5"/>
  <c r="BS130" i="5"/>
  <c r="CH152" i="5"/>
  <c r="CH66" i="5"/>
  <c r="CH74" i="5"/>
  <c r="CH73" i="5"/>
  <c r="Q11" i="301"/>
  <c r="CH63" i="5"/>
  <c r="CW331" i="5"/>
  <c r="S53" i="301"/>
  <c r="CH278" i="5"/>
  <c r="Q41" i="301"/>
  <c r="Q42" i="301" s="1"/>
  <c r="CC276" i="5"/>
  <c r="P38" i="301" s="1"/>
  <c r="BM359" i="5"/>
  <c r="CW194" i="5"/>
  <c r="CW195" i="5"/>
  <c r="AD34" i="5"/>
  <c r="AD32" i="5"/>
  <c r="AF34" i="5"/>
  <c r="CC338" i="5"/>
  <c r="P40" i="301"/>
  <c r="CF220" i="5"/>
  <c r="CZ131" i="5"/>
  <c r="CZ21" i="5"/>
  <c r="DA323" i="5"/>
  <c r="BD304" i="5"/>
  <c r="BX304" i="5"/>
  <c r="BX305" i="5" s="1"/>
  <c r="BX332" i="5" s="1"/>
  <c r="DG302" i="5"/>
  <c r="AX297" i="5"/>
  <c r="CM277" i="5"/>
  <c r="AJ257" i="5"/>
  <c r="BW259" i="5"/>
  <c r="BV263" i="5"/>
  <c r="CW261" i="5"/>
  <c r="CW263" i="5"/>
  <c r="CW262" i="5"/>
  <c r="S34" i="301"/>
  <c r="BW267" i="5"/>
  <c r="BV266" i="5"/>
  <c r="BZ266" i="5"/>
  <c r="AI279" i="5"/>
  <c r="BX253" i="5"/>
  <c r="CF266" i="5"/>
  <c r="CG259" i="5"/>
  <c r="CF263" i="5"/>
  <c r="CZ269" i="5"/>
  <c r="DA189" i="5"/>
  <c r="DB189" i="5" s="1"/>
  <c r="CZ188" i="5"/>
  <c r="CH229" i="5"/>
  <c r="CH176" i="5"/>
  <c r="Q24" i="301" s="1"/>
  <c r="AY229" i="5"/>
  <c r="AY176" i="5"/>
  <c r="BH229" i="5"/>
  <c r="CT194" i="5"/>
  <c r="CT195" i="5"/>
  <c r="CN194" i="5"/>
  <c r="CN195" i="5"/>
  <c r="BX193" i="5"/>
  <c r="BT193" i="5"/>
  <c r="BT198" i="5"/>
  <c r="BS197" i="5"/>
  <c r="BS193" i="5"/>
  <c r="BS198" i="5"/>
  <c r="AE359" i="5"/>
  <c r="BK229" i="5"/>
  <c r="BK176" i="5"/>
  <c r="AM359" i="5"/>
  <c r="CZ228" i="5"/>
  <c r="DA173" i="5"/>
  <c r="CZ174" i="5"/>
  <c r="BO367" i="5"/>
  <c r="BO363" i="5"/>
  <c r="CY270" i="5"/>
  <c r="CY195" i="5"/>
  <c r="CY194" i="5"/>
  <c r="CQ194" i="5"/>
  <c r="CQ195" i="5"/>
  <c r="BJ197" i="5"/>
  <c r="BR194" i="5"/>
  <c r="BR195" i="5"/>
  <c r="BN176" i="5"/>
  <c r="BJ367" i="5"/>
  <c r="BJ363" i="5"/>
  <c r="BP150" i="5"/>
  <c r="CB145" i="5"/>
  <c r="CB142" i="5"/>
  <c r="BN198" i="5"/>
  <c r="AK218" i="5"/>
  <c r="AK155" i="5"/>
  <c r="CD150" i="5"/>
  <c r="CA142" i="5"/>
  <c r="BI139" i="5"/>
  <c r="BI136" i="5"/>
  <c r="BI137" i="5"/>
  <c r="BG176" i="5"/>
  <c r="CI150" i="5"/>
  <c r="CA150" i="5"/>
  <c r="BC218" i="5"/>
  <c r="AG155" i="5"/>
  <c r="CG150" i="5"/>
  <c r="CL218" i="5"/>
  <c r="CL155" i="5"/>
  <c r="CH148" i="5"/>
  <c r="BB148" i="5"/>
  <c r="BB154" i="5"/>
  <c r="BB141" i="5"/>
  <c r="BB142" i="5" s="1"/>
  <c r="BB140" i="5"/>
  <c r="BB149" i="5"/>
  <c r="BB150" i="5" s="1"/>
  <c r="BB144" i="5"/>
  <c r="CW139" i="5"/>
  <c r="CW137" i="5"/>
  <c r="CV149" i="5"/>
  <c r="CV150" i="5" s="1"/>
  <c r="CV144" i="5"/>
  <c r="CV141" i="5"/>
  <c r="CV148" i="5"/>
  <c r="CV154" i="5" s="1"/>
  <c r="Z154" i="5"/>
  <c r="Z140" i="5"/>
  <c r="Z149" i="5"/>
  <c r="Z141" i="5"/>
  <c r="CT111" i="5"/>
  <c r="CY110" i="5"/>
  <c r="CY109" i="5" s="1"/>
  <c r="BX112" i="5"/>
  <c r="BX97" i="5"/>
  <c r="K97" i="5"/>
  <c r="CO154" i="5"/>
  <c r="CO149" i="5"/>
  <c r="CO150" i="5" s="1"/>
  <c r="CO148" i="5"/>
  <c r="CO141" i="5"/>
  <c r="CO142" i="5" s="1"/>
  <c r="CO140" i="5"/>
  <c r="CO144" i="5"/>
  <c r="CO145" i="5" s="1"/>
  <c r="AI91" i="5"/>
  <c r="T93" i="5"/>
  <c r="BM85" i="5"/>
  <c r="BM86" i="5" s="1"/>
  <c r="BM84" i="5"/>
  <c r="BM92" i="5"/>
  <c r="J218" i="5"/>
  <c r="J155" i="5"/>
  <c r="DA147" i="5"/>
  <c r="DB147" i="5" s="1"/>
  <c r="DG147" i="5" s="1"/>
  <c r="DL147" i="5" s="1"/>
  <c r="DA70" i="5"/>
  <c r="U138" i="5"/>
  <c r="AY251" i="5"/>
  <c r="AY263" i="5" s="1"/>
  <c r="P251" i="5"/>
  <c r="P263" i="5" s="1"/>
  <c r="CD119" i="5"/>
  <c r="BT119" i="5"/>
  <c r="BJ119" i="5"/>
  <c r="BI112" i="5"/>
  <c r="BI110" i="5"/>
  <c r="BI96" i="5"/>
  <c r="CV236" i="5"/>
  <c r="CN154" i="5"/>
  <c r="CN144" i="5"/>
  <c r="CN145" i="5" s="1"/>
  <c r="CN149" i="5"/>
  <c r="CN150" i="5" s="1"/>
  <c r="CN148" i="5"/>
  <c r="CR148" i="5" s="1"/>
  <c r="CN141" i="5"/>
  <c r="CN142" i="5" s="1"/>
  <c r="CN140" i="5"/>
  <c r="AC93" i="5"/>
  <c r="BQ86" i="5"/>
  <c r="BG145" i="5"/>
  <c r="BG150" i="5"/>
  <c r="AM218" i="5"/>
  <c r="AM155" i="5"/>
  <c r="Q142" i="5"/>
  <c r="I218" i="5"/>
  <c r="I155" i="5"/>
  <c r="CV216" i="5"/>
  <c r="CV156" i="5"/>
  <c r="BD74" i="5"/>
  <c r="BD73" i="5"/>
  <c r="CK150" i="5"/>
  <c r="BX111" i="5"/>
  <c r="BE142" i="5"/>
  <c r="AZ154" i="5"/>
  <c r="AZ149" i="5"/>
  <c r="AZ144" i="5"/>
  <c r="AZ148" i="5"/>
  <c r="BD148" i="5" s="1"/>
  <c r="AZ141" i="5"/>
  <c r="AZ140" i="5"/>
  <c r="BX124" i="5"/>
  <c r="BE124" i="5"/>
  <c r="BM113" i="5"/>
  <c r="CI86" i="5"/>
  <c r="BU155" i="5"/>
  <c r="BL150" i="5"/>
  <c r="BL155" i="5"/>
  <c r="X150" i="5"/>
  <c r="T218" i="5"/>
  <c r="T155" i="5"/>
  <c r="P148" i="5"/>
  <c r="BS66" i="5"/>
  <c r="BS74" i="5"/>
  <c r="BS73" i="5"/>
  <c r="CX148" i="5"/>
  <c r="CX141" i="5"/>
  <c r="CX149" i="5"/>
  <c r="CX140" i="5"/>
  <c r="CX144" i="5"/>
  <c r="CH124" i="5"/>
  <c r="AJ113" i="5"/>
  <c r="BL113" i="5"/>
  <c r="CM112" i="5"/>
  <c r="CM113" i="5" s="1"/>
  <c r="CM97" i="5"/>
  <c r="F46" i="301"/>
  <c r="CT91" i="5"/>
  <c r="CY90" i="5"/>
  <c r="CP148" i="5"/>
  <c r="CP154" i="5"/>
  <c r="CP149" i="5"/>
  <c r="CP150" i="5" s="1"/>
  <c r="CP141" i="5"/>
  <c r="CP142" i="5" s="1"/>
  <c r="CP140" i="5"/>
  <c r="CP144" i="5"/>
  <c r="CP145" i="5" s="1"/>
  <c r="CK93" i="5"/>
  <c r="CA93" i="5"/>
  <c r="AK91" i="5"/>
  <c r="V93" i="5"/>
  <c r="Q91" i="5"/>
  <c r="CC92" i="5"/>
  <c r="CC85" i="5"/>
  <c r="CC84" i="5"/>
  <c r="CC80" i="5"/>
  <c r="BT155" i="5"/>
  <c r="W142" i="5"/>
  <c r="W150" i="5"/>
  <c r="O218" i="5"/>
  <c r="O155" i="5"/>
  <c r="G142" i="5"/>
  <c r="G150" i="5"/>
  <c r="CR62" i="5"/>
  <c r="CH62" i="5"/>
  <c r="BX62" i="5"/>
  <c r="BN62" i="5"/>
  <c r="BD62" i="5"/>
  <c r="CO119" i="5"/>
  <c r="BU119" i="5"/>
  <c r="BQ91" i="5"/>
  <c r="AM91" i="5"/>
  <c r="X91" i="5"/>
  <c r="F152" i="5"/>
  <c r="F74" i="5"/>
  <c r="F66" i="5"/>
  <c r="Y50" i="5"/>
  <c r="Y49" i="5"/>
  <c r="CZ34" i="5"/>
  <c r="CZ29" i="5"/>
  <c r="CB32" i="5"/>
  <c r="CB34" i="5"/>
  <c r="CB33" i="5"/>
  <c r="BH32" i="5"/>
  <c r="BH34" i="5"/>
  <c r="BH33" i="5"/>
  <c r="CK309" i="5"/>
  <c r="CK290" i="5"/>
  <c r="BY152" i="5"/>
  <c r="BY76" i="5"/>
  <c r="BY74" i="5"/>
  <c r="BY73" i="5"/>
  <c r="BY66" i="5"/>
  <c r="BY63" i="5"/>
  <c r="BQ152" i="5"/>
  <c r="BQ76" i="5"/>
  <c r="BQ74" i="5"/>
  <c r="BQ73" i="5"/>
  <c r="BQ63" i="5"/>
  <c r="BQ66" i="5"/>
  <c r="BI217" i="5"/>
  <c r="BI31" i="5"/>
  <c r="BI30" i="5"/>
  <c r="BA309" i="5"/>
  <c r="BA290" i="5"/>
  <c r="AI34" i="5"/>
  <c r="AI32" i="5"/>
  <c r="AK152" i="5"/>
  <c r="AK76" i="5"/>
  <c r="AK66" i="5"/>
  <c r="AK73" i="5"/>
  <c r="AK74" i="5"/>
  <c r="AK63" i="5"/>
  <c r="AC152" i="5"/>
  <c r="AC76" i="5"/>
  <c r="AC66" i="5"/>
  <c r="AC63" i="5"/>
  <c r="AC73" i="5"/>
  <c r="AC74" i="5"/>
  <c r="AF17" i="5"/>
  <c r="AY67" i="5"/>
  <c r="BD68" i="5" s="1"/>
  <c r="AY61" i="5"/>
  <c r="BD16" i="5"/>
  <c r="AY16" i="5"/>
  <c r="AL137" i="5"/>
  <c r="AL138" i="5" s="1"/>
  <c r="AL67" i="5"/>
  <c r="AL68" i="5" s="1"/>
  <c r="AL61" i="5"/>
  <c r="AL62" i="5" s="1"/>
  <c r="AL16" i="5"/>
  <c r="AL17" i="5"/>
  <c r="DP17" i="5" s="1"/>
  <c r="AN111" i="5"/>
  <c r="CX111" i="5"/>
  <c r="CK91" i="5"/>
  <c r="BP91" i="5"/>
  <c r="AB91" i="5"/>
  <c r="Z152" i="5"/>
  <c r="Z73" i="5"/>
  <c r="Z74" i="5"/>
  <c r="CA56" i="5"/>
  <c r="CA55" i="5"/>
  <c r="BF44" i="5"/>
  <c r="BF43" i="5"/>
  <c r="CD34" i="5"/>
  <c r="CQ32" i="5"/>
  <c r="CQ34" i="5"/>
  <c r="CQ33" i="5"/>
  <c r="BW32" i="5"/>
  <c r="BW34" i="5"/>
  <c r="BW33" i="5"/>
  <c r="BC32" i="5"/>
  <c r="BC34" i="5"/>
  <c r="CR217" i="5"/>
  <c r="CR31" i="5"/>
  <c r="CR30" i="5"/>
  <c r="CJ309" i="5"/>
  <c r="CJ290" i="5"/>
  <c r="CB309" i="5"/>
  <c r="CB290" i="5"/>
  <c r="BP152" i="5"/>
  <c r="BP66" i="5"/>
  <c r="BP76" i="5"/>
  <c r="BP74" i="5"/>
  <c r="BP73" i="5"/>
  <c r="BP63" i="5"/>
  <c r="BH152" i="5"/>
  <c r="BH66" i="5"/>
  <c r="BH76" i="5"/>
  <c r="BH74" i="5"/>
  <c r="BH73" i="5"/>
  <c r="BH63" i="5"/>
  <c r="AZ309" i="5"/>
  <c r="AZ290" i="5"/>
  <c r="AN309" i="5"/>
  <c r="AN290" i="5"/>
  <c r="L152" i="5"/>
  <c r="L76" i="5"/>
  <c r="L66" i="5"/>
  <c r="L73" i="5"/>
  <c r="L74" i="5"/>
  <c r="L63" i="5"/>
  <c r="CU130" i="5"/>
  <c r="CU26" i="5"/>
  <c r="CR133" i="5"/>
  <c r="CR134" i="5" s="1"/>
  <c r="CR21" i="5"/>
  <c r="BI23" i="5"/>
  <c r="BE23" i="5"/>
  <c r="BD23" i="5"/>
  <c r="CN133" i="5"/>
  <c r="CN21" i="5"/>
  <c r="BT133" i="5"/>
  <c r="BT21" i="5"/>
  <c r="CB14" i="5"/>
  <c r="AK113" i="5"/>
  <c r="CK56" i="5"/>
  <c r="CK55" i="5"/>
  <c r="BQ14" i="5"/>
  <c r="BH124" i="5"/>
  <c r="CG119" i="5"/>
  <c r="BM119" i="5"/>
  <c r="BQ111" i="5"/>
  <c r="BJ111" i="5"/>
  <c r="CO91" i="5"/>
  <c r="BU91" i="5"/>
  <c r="AO91" i="5"/>
  <c r="AL85" i="5"/>
  <c r="AL86" i="5" s="1"/>
  <c r="BR93" i="5"/>
  <c r="BA86" i="5"/>
  <c r="CW74" i="5"/>
  <c r="AE58" i="5"/>
  <c r="CE55" i="5"/>
  <c r="CE56" i="5"/>
  <c r="AM50" i="5"/>
  <c r="AM49" i="5"/>
  <c r="BU44" i="5"/>
  <c r="BU43" i="5"/>
  <c r="BA44" i="5"/>
  <c r="DP44" i="5" s="1"/>
  <c r="BA43" i="5"/>
  <c r="CX309" i="5"/>
  <c r="CX290" i="5"/>
  <c r="CI152" i="5"/>
  <c r="CI66" i="5"/>
  <c r="CI76" i="5"/>
  <c r="CI74" i="5"/>
  <c r="CI73" i="5"/>
  <c r="CI63" i="5"/>
  <c r="CA152" i="5"/>
  <c r="CA63" i="5"/>
  <c r="CA66" i="5"/>
  <c r="CA76" i="5"/>
  <c r="CA74" i="5"/>
  <c r="CA73" i="5"/>
  <c r="BS217" i="5"/>
  <c r="BS31" i="5"/>
  <c r="BS30" i="5"/>
  <c r="BK309" i="5"/>
  <c r="BK290" i="5"/>
  <c r="BC309" i="5"/>
  <c r="BC290" i="5"/>
  <c r="AI309" i="5"/>
  <c r="AI290" i="5"/>
  <c r="AA152" i="5"/>
  <c r="AA74" i="5"/>
  <c r="AA76" i="5"/>
  <c r="AA73" i="5"/>
  <c r="AA66" i="5"/>
  <c r="AA63" i="5"/>
  <c r="S152" i="5"/>
  <c r="S74" i="5"/>
  <c r="S63" i="5"/>
  <c r="S76" i="5"/>
  <c r="S73" i="5"/>
  <c r="S66" i="5"/>
  <c r="AY13" i="5"/>
  <c r="AY14" i="5" s="1"/>
  <c r="BV14" i="5"/>
  <c r="BQ124" i="5"/>
  <c r="CF119" i="5"/>
  <c r="BL119" i="5"/>
  <c r="AD91" i="5"/>
  <c r="I91" i="5"/>
  <c r="CX86" i="5"/>
  <c r="BI72" i="5"/>
  <c r="P62" i="5"/>
  <c r="CN55" i="5"/>
  <c r="CN56" i="5"/>
  <c r="BC56" i="5"/>
  <c r="BC55" i="5"/>
  <c r="BD49" i="5"/>
  <c r="AH49" i="5"/>
  <c r="AH50" i="5"/>
  <c r="DQ50" i="5" s="1"/>
  <c r="AJ51" i="5"/>
  <c r="AJ47" i="5"/>
  <c r="AJ48" i="5"/>
  <c r="AJ49" i="5" s="1"/>
  <c r="AJ29" i="5"/>
  <c r="CN44" i="5"/>
  <c r="CN43" i="5"/>
  <c r="BT44" i="5"/>
  <c r="BT43" i="5"/>
  <c r="AZ44" i="5"/>
  <c r="AZ43" i="5"/>
  <c r="BS42" i="5"/>
  <c r="BS43" i="5" s="1"/>
  <c r="BS45" i="5"/>
  <c r="BS41" i="5"/>
  <c r="BY32" i="5"/>
  <c r="CL309" i="5"/>
  <c r="CL290" i="5"/>
  <c r="BZ152" i="5"/>
  <c r="BZ66" i="5"/>
  <c r="BZ76" i="5"/>
  <c r="BZ74" i="5"/>
  <c r="BZ73" i="5"/>
  <c r="BZ63" i="5"/>
  <c r="BR152" i="5"/>
  <c r="BR66" i="5"/>
  <c r="BR76" i="5"/>
  <c r="BR74" i="5"/>
  <c r="BR73" i="5"/>
  <c r="BR63" i="5"/>
  <c r="BJ309" i="5"/>
  <c r="BJ290" i="5"/>
  <c r="BB309" i="5"/>
  <c r="BB290" i="5"/>
  <c r="AL309" i="5"/>
  <c r="AL290" i="5"/>
  <c r="V152" i="5"/>
  <c r="V73" i="5"/>
  <c r="V74" i="5"/>
  <c r="V75" i="5" s="1"/>
  <c r="V76" i="5"/>
  <c r="V66" i="5"/>
  <c r="V63" i="5"/>
  <c r="N152" i="5"/>
  <c r="N73" i="5"/>
  <c r="N63" i="5"/>
  <c r="N74" i="5"/>
  <c r="N76" i="5"/>
  <c r="N66" i="5"/>
  <c r="F76" i="5"/>
  <c r="CY25" i="5"/>
  <c r="CH68" i="5"/>
  <c r="BX14" i="5"/>
  <c r="AI141" i="5"/>
  <c r="AI137" i="5"/>
  <c r="AI85" i="5"/>
  <c r="AI86" i="5" s="1"/>
  <c r="AI67" i="5"/>
  <c r="AI61" i="5"/>
  <c r="AI16" i="5"/>
  <c r="AI17" i="5"/>
  <c r="AA86" i="5"/>
  <c r="W138" i="5"/>
  <c r="S138" i="5"/>
  <c r="K61" i="5"/>
  <c r="K62" i="5" s="1"/>
  <c r="K16" i="5"/>
  <c r="CY115" i="5"/>
  <c r="DB117" i="5"/>
  <c r="CO56" i="5"/>
  <c r="CO55" i="5"/>
  <c r="CE14" i="5"/>
  <c r="AK49" i="5"/>
  <c r="AJ134" i="5"/>
  <c r="BO130" i="5"/>
  <c r="BO90" i="5"/>
  <c r="BO26" i="5"/>
  <c r="DX8" i="5"/>
  <c r="DX9" i="5" s="1"/>
  <c r="DX7" i="5"/>
  <c r="CC14" i="5"/>
  <c r="BH14" i="5"/>
  <c r="CL43" i="5"/>
  <c r="BX21" i="5"/>
  <c r="U134" i="5"/>
  <c r="BN130" i="5"/>
  <c r="CP33" i="5"/>
  <c r="CI130" i="5"/>
  <c r="CI26" i="5"/>
  <c r="CM124" i="5"/>
  <c r="X32" i="5"/>
  <c r="DW11" i="5"/>
  <c r="BB43" i="5"/>
  <c r="DL15" i="5"/>
  <c r="DZ10" i="5"/>
  <c r="BO430" i="5"/>
  <c r="BO429" i="5"/>
  <c r="BO431" i="5"/>
  <c r="BP408" i="5"/>
  <c r="DB408" i="5"/>
  <c r="DG408" i="5" s="1"/>
  <c r="DL408" i="5" s="1"/>
  <c r="CW408" i="5"/>
  <c r="CR320" i="5"/>
  <c r="CR321" i="5" s="1"/>
  <c r="CR304" i="5"/>
  <c r="DA298" i="5"/>
  <c r="CZ300" i="5"/>
  <c r="CZ304" i="5" s="1"/>
  <c r="CZ129" i="5"/>
  <c r="BL279" i="5"/>
  <c r="BL277" i="5"/>
  <c r="BR263" i="5"/>
  <c r="BR262" i="5"/>
  <c r="BG264" i="5"/>
  <c r="BH257" i="5"/>
  <c r="BS259" i="5"/>
  <c r="BR266" i="5"/>
  <c r="BS266" i="5" s="1"/>
  <c r="BD193" i="5"/>
  <c r="AZ193" i="5"/>
  <c r="CV194" i="5"/>
  <c r="CV195" i="5"/>
  <c r="BX359" i="5"/>
  <c r="AO228" i="5"/>
  <c r="AO171" i="5"/>
  <c r="AO174" i="5"/>
  <c r="BD359" i="5"/>
  <c r="BG359" i="5"/>
  <c r="BM367" i="5"/>
  <c r="BM363" i="5"/>
  <c r="BH367" i="5"/>
  <c r="BH363" i="5"/>
  <c r="CZ227" i="5"/>
  <c r="DA169" i="5"/>
  <c r="DB169" i="5" s="1"/>
  <c r="BO359" i="5"/>
  <c r="CM195" i="5"/>
  <c r="CM194" i="5"/>
  <c r="BF194" i="5"/>
  <c r="BF195" i="5"/>
  <c r="CV245" i="5"/>
  <c r="BE359" i="5"/>
  <c r="AK359" i="5"/>
  <c r="BR363" i="5"/>
  <c r="BR367" i="5"/>
  <c r="BW142" i="5"/>
  <c r="AI218" i="5"/>
  <c r="BH154" i="5"/>
  <c r="BH144" i="5"/>
  <c r="BH145" i="5" s="1"/>
  <c r="BH149" i="5"/>
  <c r="BH150" i="5" s="1"/>
  <c r="BH148" i="5"/>
  <c r="BH141" i="5"/>
  <c r="BH142" i="5" s="1"/>
  <c r="BH140" i="5"/>
  <c r="CG218" i="5"/>
  <c r="CG155" i="5"/>
  <c r="CI218" i="5"/>
  <c r="CI155" i="5"/>
  <c r="CA218" i="5"/>
  <c r="CA155" i="5"/>
  <c r="CH195" i="5"/>
  <c r="BZ218" i="5"/>
  <c r="BZ155" i="5"/>
  <c r="BR148" i="5"/>
  <c r="BS148" i="5" s="1"/>
  <c r="BR154" i="5"/>
  <c r="BR141" i="5"/>
  <c r="BR142" i="5" s="1"/>
  <c r="BR140" i="5"/>
  <c r="BR149" i="5"/>
  <c r="BR150" i="5" s="1"/>
  <c r="BR144" i="5"/>
  <c r="BR145" i="5" s="1"/>
  <c r="AX149" i="5"/>
  <c r="AX154" i="5"/>
  <c r="BC155" i="5" s="1"/>
  <c r="AX141" i="5"/>
  <c r="BC142" i="5" s="1"/>
  <c r="AX148" i="5"/>
  <c r="CC113" i="5"/>
  <c r="AY139" i="5"/>
  <c r="AY137" i="5"/>
  <c r="AE251" i="5"/>
  <c r="AE263" i="5" s="1"/>
  <c r="CR138" i="5"/>
  <c r="BK114" i="5"/>
  <c r="BK112" i="5"/>
  <c r="BK110" i="5"/>
  <c r="V218" i="5"/>
  <c r="V155" i="5"/>
  <c r="AN220" i="5"/>
  <c r="K149" i="5"/>
  <c r="K154" i="5"/>
  <c r="K140" i="5"/>
  <c r="K141" i="5"/>
  <c r="CH118" i="5"/>
  <c r="Q15" i="301"/>
  <c r="BN115" i="5"/>
  <c r="BN118" i="5"/>
  <c r="BZ86" i="5"/>
  <c r="AM85" i="5"/>
  <c r="AM86" i="5" s="1"/>
  <c r="AM84" i="5"/>
  <c r="BM140" i="5"/>
  <c r="BG155" i="5"/>
  <c r="M218" i="5"/>
  <c r="M155" i="5"/>
  <c r="AE149" i="5"/>
  <c r="AE150" i="5" s="1"/>
  <c r="AE154" i="5"/>
  <c r="AE140" i="5"/>
  <c r="AE141" i="5"/>
  <c r="AE142" i="5" s="1"/>
  <c r="CW110" i="5"/>
  <c r="CW111" i="5" s="1"/>
  <c r="CH113" i="5"/>
  <c r="AG91" i="5"/>
  <c r="M93" i="5"/>
  <c r="BU92" i="5"/>
  <c r="DP92" i="5" s="1"/>
  <c r="BU85" i="5"/>
  <c r="BU86" i="5" s="1"/>
  <c r="BU84" i="5"/>
  <c r="BU142" i="5"/>
  <c r="BU150" i="5"/>
  <c r="L218" i="5"/>
  <c r="L155" i="5"/>
  <c r="H218" i="5"/>
  <c r="H155" i="5"/>
  <c r="DB71" i="5"/>
  <c r="DB70" i="5"/>
  <c r="DG69" i="5"/>
  <c r="DA136" i="5"/>
  <c r="F251" i="5"/>
  <c r="F263" i="5" s="1"/>
  <c r="P113" i="5"/>
  <c r="AZ114" i="5"/>
  <c r="AZ112" i="5"/>
  <c r="AZ110" i="5"/>
  <c r="BD109" i="5"/>
  <c r="CW90" i="5"/>
  <c r="CR92" i="5"/>
  <c r="CR85" i="5"/>
  <c r="CR84" i="5"/>
  <c r="CR80" i="5"/>
  <c r="CR139" i="5" s="1"/>
  <c r="BS85" i="5"/>
  <c r="BS80" i="5"/>
  <c r="BS92" i="5"/>
  <c r="BJ86" i="5"/>
  <c r="BX148" i="5"/>
  <c r="AA155" i="5"/>
  <c r="S142" i="5"/>
  <c r="S150" i="5"/>
  <c r="S91" i="5"/>
  <c r="DA92" i="5"/>
  <c r="CV93" i="5"/>
  <c r="CB55" i="5"/>
  <c r="CB56" i="5"/>
  <c r="CE44" i="5"/>
  <c r="CE43" i="5"/>
  <c r="CR41" i="5"/>
  <c r="CR45" i="5"/>
  <c r="CR42" i="5"/>
  <c r="CN32" i="5"/>
  <c r="CN34" i="5"/>
  <c r="CN33" i="5"/>
  <c r="BT32" i="5"/>
  <c r="BT34" i="5"/>
  <c r="BT33" i="5"/>
  <c r="AZ32" i="5"/>
  <c r="AZ34" i="5"/>
  <c r="CO152" i="5"/>
  <c r="CO76" i="5"/>
  <c r="CO74" i="5"/>
  <c r="CO73" i="5"/>
  <c r="CO66" i="5"/>
  <c r="CO63" i="5"/>
  <c r="CG152" i="5"/>
  <c r="CG76" i="5"/>
  <c r="CG74" i="5"/>
  <c r="CG75" i="5" s="1"/>
  <c r="CG73" i="5"/>
  <c r="CG66" i="5"/>
  <c r="CG63" i="5"/>
  <c r="BY309" i="5"/>
  <c r="BY290" i="5"/>
  <c r="BQ309" i="5"/>
  <c r="BQ290" i="5"/>
  <c r="BE152" i="5"/>
  <c r="BE76" i="5"/>
  <c r="BE74" i="5"/>
  <c r="BE75" i="5" s="1"/>
  <c r="BE73" i="5"/>
  <c r="BE66" i="5"/>
  <c r="BE63" i="5"/>
  <c r="AW152" i="5"/>
  <c r="AW76" i="5"/>
  <c r="AW74" i="5"/>
  <c r="AW66" i="5"/>
  <c r="AW63" i="5"/>
  <c r="AE32" i="5"/>
  <c r="AK309" i="5"/>
  <c r="AK290" i="5"/>
  <c r="M152" i="5"/>
  <c r="M76" i="5"/>
  <c r="M66" i="5"/>
  <c r="M73" i="5"/>
  <c r="M74" i="5"/>
  <c r="M63" i="5"/>
  <c r="DA23" i="5"/>
  <c r="DA22" i="5"/>
  <c r="DB22" i="5" s="1"/>
  <c r="AH137" i="5"/>
  <c r="AH138" i="5" s="1"/>
  <c r="AH67" i="5"/>
  <c r="AH68" i="5" s="1"/>
  <c r="AH61" i="5"/>
  <c r="AH62" i="5" s="1"/>
  <c r="AH85" i="5"/>
  <c r="AH86" i="5" s="1"/>
  <c r="AH16" i="5"/>
  <c r="AH17" i="5"/>
  <c r="CN119" i="5"/>
  <c r="BR113" i="5"/>
  <c r="W91" i="5"/>
  <c r="O90" i="5"/>
  <c r="O91" i="5" s="1"/>
  <c r="O89" i="5"/>
  <c r="AN86" i="5"/>
  <c r="U152" i="5"/>
  <c r="U73" i="5"/>
  <c r="U74" i="5"/>
  <c r="U75" i="5" s="1"/>
  <c r="CQ56" i="5"/>
  <c r="CQ55" i="5"/>
  <c r="BV56" i="5"/>
  <c r="BV55" i="5"/>
  <c r="CD43" i="5"/>
  <c r="CD44" i="5"/>
  <c r="BJ34" i="5"/>
  <c r="CI34" i="5"/>
  <c r="CI32" i="5"/>
  <c r="CI33" i="5"/>
  <c r="BO34" i="5"/>
  <c r="BO32" i="5"/>
  <c r="BO33" i="5"/>
  <c r="CN152" i="5"/>
  <c r="CN66" i="5"/>
  <c r="CN76" i="5"/>
  <c r="CR76" i="5" s="1"/>
  <c r="CN74" i="5"/>
  <c r="CN75" i="5" s="1"/>
  <c r="CN73" i="5"/>
  <c r="CN63" i="5"/>
  <c r="CF152" i="5"/>
  <c r="CF66" i="5"/>
  <c r="CF63" i="5"/>
  <c r="CF76" i="5"/>
  <c r="CF74" i="5"/>
  <c r="CF75" i="5" s="1"/>
  <c r="CF73" i="5"/>
  <c r="BX217" i="5"/>
  <c r="BX31" i="5"/>
  <c r="BX30" i="5"/>
  <c r="O9" i="301"/>
  <c r="BP309" i="5"/>
  <c r="BP290" i="5"/>
  <c r="BH309" i="5"/>
  <c r="BH290" i="5"/>
  <c r="AV152" i="5"/>
  <c r="AV66" i="5"/>
  <c r="AV76" i="5"/>
  <c r="AV74" i="5"/>
  <c r="AV63" i="5"/>
  <c r="AF152" i="5"/>
  <c r="AF76" i="5"/>
  <c r="AF66" i="5"/>
  <c r="AF73" i="5"/>
  <c r="AF74" i="5"/>
  <c r="AF63" i="5"/>
  <c r="X152" i="5"/>
  <c r="X63" i="5"/>
  <c r="X76" i="5"/>
  <c r="X66" i="5"/>
  <c r="X73" i="5"/>
  <c r="X74" i="5"/>
  <c r="X75" i="5" s="1"/>
  <c r="CE130" i="5"/>
  <c r="CE26" i="5"/>
  <c r="CI133" i="5"/>
  <c r="CI134" i="5" s="1"/>
  <c r="CI21" i="5"/>
  <c r="CY131" i="5"/>
  <c r="CY21" i="5"/>
  <c r="BX138" i="5"/>
  <c r="BJ113" i="5"/>
  <c r="BR84" i="5"/>
  <c r="CX153" i="5"/>
  <c r="P152" i="5"/>
  <c r="P73" i="5"/>
  <c r="P74" i="5"/>
  <c r="AA62" i="5"/>
  <c r="BT55" i="5"/>
  <c r="BT56" i="5"/>
  <c r="BX51" i="5"/>
  <c r="CO44" i="5"/>
  <c r="CO43" i="5"/>
  <c r="BQ43" i="5"/>
  <c r="BQ44" i="5"/>
  <c r="CQ152" i="5"/>
  <c r="CX216" i="5" s="1"/>
  <c r="CQ66" i="5"/>
  <c r="CQ76" i="5"/>
  <c r="CQ74" i="5"/>
  <c r="CQ73" i="5"/>
  <c r="CQ63" i="5"/>
  <c r="CQ309" i="5"/>
  <c r="CQ290" i="5"/>
  <c r="DA290" i="5" s="1"/>
  <c r="CI309" i="5"/>
  <c r="CI290" i="5"/>
  <c r="CA309" i="5"/>
  <c r="CA290" i="5"/>
  <c r="BO152" i="5"/>
  <c r="BO66" i="5"/>
  <c r="BO76" i="5"/>
  <c r="BS76" i="5" s="1"/>
  <c r="BO74" i="5"/>
  <c r="BO73" i="5"/>
  <c r="BO63" i="5"/>
  <c r="BG152" i="5"/>
  <c r="BG63" i="5"/>
  <c r="BG66" i="5"/>
  <c r="BG76" i="5"/>
  <c r="BG74" i="5"/>
  <c r="BG75" i="5" s="1"/>
  <c r="BG73" i="5"/>
  <c r="AY217" i="5"/>
  <c r="AY31" i="5"/>
  <c r="AM152" i="5"/>
  <c r="AM74" i="5"/>
  <c r="AM63" i="5"/>
  <c r="AM76" i="5"/>
  <c r="AM73" i="5"/>
  <c r="AM66" i="5"/>
  <c r="CM14" i="5"/>
  <c r="BI8" i="5"/>
  <c r="K86" i="5"/>
  <c r="BD92" i="5"/>
  <c r="BD85" i="5"/>
  <c r="BD86" i="5" s="1"/>
  <c r="BD84" i="5"/>
  <c r="AJ93" i="5"/>
  <c r="CC72" i="5"/>
  <c r="BD66" i="5"/>
  <c r="K68" i="5"/>
  <c r="DA76" i="5"/>
  <c r="DA152" i="5" s="1"/>
  <c r="DA74" i="5"/>
  <c r="DA66" i="5"/>
  <c r="DA73" i="5"/>
  <c r="Q62" i="5"/>
  <c r="DA63" i="5"/>
  <c r="CI56" i="5"/>
  <c r="CI55" i="5"/>
  <c r="CJ44" i="5"/>
  <c r="CJ43" i="5"/>
  <c r="BP44" i="5"/>
  <c r="BP43" i="5"/>
  <c r="CK34" i="5"/>
  <c r="BA32" i="5"/>
  <c r="CP152" i="5"/>
  <c r="CS216" i="5" s="1"/>
  <c r="CP63" i="5"/>
  <c r="CP66" i="5"/>
  <c r="CP76" i="5"/>
  <c r="CP74" i="5"/>
  <c r="CP75" i="5" s="1"/>
  <c r="CP73" i="5"/>
  <c r="CH217" i="5"/>
  <c r="Q9" i="301"/>
  <c r="Q10" i="301" s="1"/>
  <c r="CH31" i="5"/>
  <c r="CH30" i="5"/>
  <c r="BZ309" i="5"/>
  <c r="BZ290" i="5"/>
  <c r="BR309" i="5"/>
  <c r="BR290" i="5"/>
  <c r="BF152" i="5"/>
  <c r="BF66" i="5"/>
  <c r="BF76" i="5"/>
  <c r="BF74" i="5"/>
  <c r="BF73" i="5"/>
  <c r="BF63" i="5"/>
  <c r="AX152" i="5"/>
  <c r="AX63" i="5"/>
  <c r="AX66" i="5"/>
  <c r="AX76" i="5"/>
  <c r="AX74" i="5"/>
  <c r="AH152" i="5"/>
  <c r="AH73" i="5"/>
  <c r="AH63" i="5"/>
  <c r="AH74" i="5"/>
  <c r="AH76" i="5"/>
  <c r="AH66" i="5"/>
  <c r="B156" i="5"/>
  <c r="CR25" i="5"/>
  <c r="CN25" i="5"/>
  <c r="CW25" i="5"/>
  <c r="CS25" i="5"/>
  <c r="BN133" i="5"/>
  <c r="BN134" i="5" s="1"/>
  <c r="BN21" i="5"/>
  <c r="AI134" i="5"/>
  <c r="DB7" i="5"/>
  <c r="DB8" i="5" s="1"/>
  <c r="DG9" i="5"/>
  <c r="DB10" i="5"/>
  <c r="CH8" i="5"/>
  <c r="BN68" i="5"/>
  <c r="BD14" i="5"/>
  <c r="AA138" i="5"/>
  <c r="S68" i="5"/>
  <c r="O68" i="5"/>
  <c r="G68" i="5"/>
  <c r="CM55" i="5"/>
  <c r="BS51" i="5"/>
  <c r="BU34" i="5"/>
  <c r="P26" i="5"/>
  <c r="CB91" i="5"/>
  <c r="BN55" i="5"/>
  <c r="AD49" i="5"/>
  <c r="CY14" i="5"/>
  <c r="CL33" i="5"/>
  <c r="CW21" i="5"/>
  <c r="BX134" i="5"/>
  <c r="CR38" i="5"/>
  <c r="AJ55" i="5"/>
  <c r="BE34" i="5"/>
  <c r="CJ26" i="5"/>
  <c r="CG33" i="5"/>
  <c r="CM25" i="5"/>
  <c r="T32" i="5"/>
  <c r="BW56" i="5"/>
  <c r="BE56" i="5"/>
  <c r="BV44" i="5"/>
  <c r="DA13" i="5"/>
  <c r="DA14" i="5" s="1"/>
  <c r="DB11" i="5"/>
  <c r="DB12" i="5" s="1"/>
  <c r="CM8" i="5"/>
  <c r="CH320" i="5"/>
  <c r="CH321" i="5" s="1"/>
  <c r="CH331" i="5" s="1"/>
  <c r="DB347" i="5"/>
  <c r="DG347" i="5" s="1"/>
  <c r="DL347" i="5" s="1"/>
  <c r="CW347" i="5"/>
  <c r="BN304" i="5"/>
  <c r="BN305" i="5" s="1"/>
  <c r="BN332" i="5" s="1"/>
  <c r="DA318" i="5"/>
  <c r="AJ297" i="5"/>
  <c r="BS332" i="5"/>
  <c r="CW300" i="5"/>
  <c r="CW304" i="5" s="1"/>
  <c r="AW297" i="5"/>
  <c r="K285" i="5"/>
  <c r="K287" i="5" s="1"/>
  <c r="P281" i="5"/>
  <c r="P282" i="5" s="1"/>
  <c r="CC279" i="5"/>
  <c r="BG279" i="5"/>
  <c r="BG277" i="5"/>
  <c r="BH278" i="5"/>
  <c r="BQ279" i="5"/>
  <c r="BR278" i="5"/>
  <c r="BQ277" i="5"/>
  <c r="CA264" i="5"/>
  <c r="CM253" i="5"/>
  <c r="BN279" i="5"/>
  <c r="BN277" i="5"/>
  <c r="BN278" i="5" s="1"/>
  <c r="CY313" i="5"/>
  <c r="CW266" i="5"/>
  <c r="S35" i="301" s="1"/>
  <c r="DB260" i="5"/>
  <c r="DA273" i="5"/>
  <c r="DA276" i="5" s="1"/>
  <c r="DA261" i="5"/>
  <c r="BK263" i="5"/>
  <c r="BK266" i="5"/>
  <c r="BL259" i="5"/>
  <c r="BL264" i="5" s="1"/>
  <c r="BD257" i="5"/>
  <c r="BC257" i="5"/>
  <c r="CW278" i="5"/>
  <c r="S41" i="301"/>
  <c r="BK264" i="5"/>
  <c r="P209" i="5"/>
  <c r="Z229" i="5"/>
  <c r="Z176" i="5"/>
  <c r="BQ229" i="5"/>
  <c r="BQ176" i="5"/>
  <c r="AX359" i="5"/>
  <c r="BI228" i="5"/>
  <c r="BI171" i="5"/>
  <c r="BI174" i="5"/>
  <c r="BI229" i="5" s="1"/>
  <c r="CW197" i="5"/>
  <c r="CW198" i="5"/>
  <c r="CX195" i="5"/>
  <c r="CX194" i="5"/>
  <c r="BS174" i="5"/>
  <c r="BU229" i="5"/>
  <c r="BC359" i="5"/>
  <c r="BL363" i="5"/>
  <c r="BL367" i="5"/>
  <c r="AL367" i="5"/>
  <c r="AL363" i="5"/>
  <c r="BJ229" i="5"/>
  <c r="DA197" i="5"/>
  <c r="DB196" i="5"/>
  <c r="DB193" i="5" s="1"/>
  <c r="BI197" i="5"/>
  <c r="BI193" i="5"/>
  <c r="BI198" i="5"/>
  <c r="BN193" i="5"/>
  <c r="BJ193" i="5"/>
  <c r="BG194" i="5"/>
  <c r="CR359" i="5"/>
  <c r="AZ359" i="5"/>
  <c r="DA195" i="5"/>
  <c r="CJ145" i="5"/>
  <c r="CK218" i="5"/>
  <c r="CK155" i="5"/>
  <c r="AO148" i="5"/>
  <c r="P138" i="5"/>
  <c r="CJ218" i="5"/>
  <c r="CB218" i="5"/>
  <c r="BQ218" i="5"/>
  <c r="BQ155" i="5"/>
  <c r="AO149" i="5"/>
  <c r="AO141" i="5"/>
  <c r="AO142" i="5" s="1"/>
  <c r="AO154" i="5"/>
  <c r="AO140" i="5"/>
  <c r="BS154" i="5"/>
  <c r="AO251" i="5"/>
  <c r="AO263" i="5" s="1"/>
  <c r="CR176" i="5"/>
  <c r="AJ149" i="5"/>
  <c r="AJ140" i="5"/>
  <c r="AJ141" i="5"/>
  <c r="AJ142" i="5" s="1"/>
  <c r="AJ154" i="5"/>
  <c r="BJ148" i="5"/>
  <c r="BJ154" i="5"/>
  <c r="BJ149" i="5"/>
  <c r="BJ150" i="5" s="1"/>
  <c r="BJ141" i="5"/>
  <c r="BJ140" i="5"/>
  <c r="BJ144" i="5"/>
  <c r="BJ145" i="5" s="1"/>
  <c r="F154" i="5"/>
  <c r="F218" i="5" s="1"/>
  <c r="F149" i="5"/>
  <c r="F141" i="5"/>
  <c r="BY220" i="5"/>
  <c r="CR113" i="5"/>
  <c r="U251" i="5"/>
  <c r="U263" i="5" s="1"/>
  <c r="BN219" i="5"/>
  <c r="BN95" i="5"/>
  <c r="CW219" i="5"/>
  <c r="CW96" i="5"/>
  <c r="S14" i="301"/>
  <c r="R218" i="5"/>
  <c r="R155" i="5"/>
  <c r="BA148" i="5"/>
  <c r="BA154" i="5"/>
  <c r="BA141" i="5"/>
  <c r="BA142" i="5" s="1"/>
  <c r="BA140" i="5"/>
  <c r="BA149" i="5"/>
  <c r="BA150" i="5" s="1"/>
  <c r="BA144" i="5"/>
  <c r="BE113" i="5"/>
  <c r="BS90" i="5"/>
  <c r="BS91" i="5" s="1"/>
  <c r="AH91" i="5"/>
  <c r="BL85" i="5"/>
  <c r="BL84" i="5"/>
  <c r="BL92" i="5"/>
  <c r="BM145" i="5"/>
  <c r="BM142" i="5"/>
  <c r="BG142" i="5"/>
  <c r="AM142" i="5"/>
  <c r="AM150" i="5"/>
  <c r="Q218" i="5"/>
  <c r="Q155" i="5"/>
  <c r="CR152" i="5"/>
  <c r="CR74" i="5"/>
  <c r="CR73" i="5"/>
  <c r="BV145" i="5"/>
  <c r="DB135" i="5"/>
  <c r="CY136" i="5"/>
  <c r="BE145" i="5"/>
  <c r="BE218" i="5"/>
  <c r="BE155" i="5"/>
  <c r="Y149" i="5"/>
  <c r="Y150" i="5" s="1"/>
  <c r="Y141" i="5"/>
  <c r="Y142" i="5" s="1"/>
  <c r="Y148" i="5"/>
  <c r="Z148" i="5" s="1"/>
  <c r="Y154" i="5"/>
  <c r="Y140" i="5"/>
  <c r="BO124" i="5"/>
  <c r="AY92" i="5"/>
  <c r="AY85" i="5"/>
  <c r="AB218" i="5"/>
  <c r="AB155" i="5"/>
  <c r="X218" i="5"/>
  <c r="X155" i="5"/>
  <c r="CS149" i="5"/>
  <c r="CS150" i="5" s="1"/>
  <c r="CS148" i="5"/>
  <c r="CS144" i="5"/>
  <c r="CS141" i="5"/>
  <c r="DB223" i="5"/>
  <c r="DX132" i="5"/>
  <c r="DG127" i="5"/>
  <c r="DB128" i="5"/>
  <c r="T17" i="301"/>
  <c r="AJ97" i="5"/>
  <c r="AF93" i="5"/>
  <c r="AA91" i="5"/>
  <c r="L93" i="5"/>
  <c r="CM85" i="5"/>
  <c r="CM84" i="5"/>
  <c r="CM80" i="5"/>
  <c r="CM92" i="5"/>
  <c r="BN83" i="5"/>
  <c r="BT92" i="5"/>
  <c r="BX83" i="5"/>
  <c r="BT85" i="5"/>
  <c r="BT86" i="5" s="1"/>
  <c r="BT84" i="5"/>
  <c r="BT150" i="5"/>
  <c r="AA142" i="5"/>
  <c r="W218" i="5"/>
  <c r="W155" i="5"/>
  <c r="O142" i="5"/>
  <c r="O150" i="5"/>
  <c r="G218" i="5"/>
  <c r="G155" i="5"/>
  <c r="CX113" i="5"/>
  <c r="AH93" i="5"/>
  <c r="BK44" i="5"/>
  <c r="BK43" i="5"/>
  <c r="CJ34" i="5"/>
  <c r="CJ32" i="5"/>
  <c r="CJ33" i="5"/>
  <c r="BP34" i="5"/>
  <c r="BP32" i="5"/>
  <c r="BP33" i="5"/>
  <c r="CO309" i="5"/>
  <c r="CO290" i="5"/>
  <c r="CY290" i="5" s="1"/>
  <c r="CG309" i="5"/>
  <c r="CG290" i="5"/>
  <c r="BU152" i="5"/>
  <c r="BU76" i="5"/>
  <c r="BU74" i="5"/>
  <c r="BU75" i="5" s="1"/>
  <c r="BU73" i="5"/>
  <c r="BU66" i="5"/>
  <c r="BU63" i="5"/>
  <c r="BM152" i="5"/>
  <c r="BM76" i="5"/>
  <c r="BM74" i="5"/>
  <c r="BM73" i="5"/>
  <c r="BM66" i="5"/>
  <c r="BM63" i="5"/>
  <c r="BE309" i="5"/>
  <c r="BE290" i="5"/>
  <c r="AW309" i="5"/>
  <c r="AA32" i="5"/>
  <c r="AG152" i="5"/>
  <c r="AG76" i="5"/>
  <c r="AG66" i="5"/>
  <c r="AG73" i="5"/>
  <c r="AG74" i="5"/>
  <c r="AG63" i="5"/>
  <c r="Y152" i="5"/>
  <c r="Y76" i="5"/>
  <c r="Y66" i="5"/>
  <c r="Y73" i="5"/>
  <c r="Y74" i="5"/>
  <c r="Y63" i="5"/>
  <c r="BE133" i="5"/>
  <c r="BE21" i="5"/>
  <c r="BJ21" i="5"/>
  <c r="CZ24" i="5"/>
  <c r="DA19" i="5"/>
  <c r="AD137" i="5"/>
  <c r="AD138" i="5" s="1"/>
  <c r="AD67" i="5"/>
  <c r="AD61" i="5"/>
  <c r="AD17" i="5"/>
  <c r="AD16" i="5"/>
  <c r="CI14" i="5"/>
  <c r="AL113" i="5"/>
  <c r="BR111" i="5"/>
  <c r="CZ90" i="5"/>
  <c r="CU91" i="5"/>
  <c r="R93" i="5"/>
  <c r="BV86" i="5"/>
  <c r="DB67" i="5"/>
  <c r="DB68" i="5" s="1"/>
  <c r="DB65" i="5"/>
  <c r="DG64" i="5"/>
  <c r="F63" i="5"/>
  <c r="CL56" i="5"/>
  <c r="CL55" i="5"/>
  <c r="BF56" i="5"/>
  <c r="BK55" i="5"/>
  <c r="BF55" i="5"/>
  <c r="AN50" i="5"/>
  <c r="AN49" i="5"/>
  <c r="BZ44" i="5"/>
  <c r="BZ43" i="5"/>
  <c r="CC45" i="5"/>
  <c r="CC42" i="5"/>
  <c r="CC41" i="5"/>
  <c r="CE34" i="5"/>
  <c r="CE32" i="5"/>
  <c r="CE33" i="5"/>
  <c r="BK34" i="5"/>
  <c r="BK32" i="5"/>
  <c r="BK33" i="5"/>
  <c r="CN309" i="5"/>
  <c r="CN290" i="5"/>
  <c r="CF309" i="5"/>
  <c r="CF290" i="5"/>
  <c r="BT152" i="5"/>
  <c r="BT66" i="5"/>
  <c r="BT76" i="5"/>
  <c r="BT74" i="5"/>
  <c r="BT75" i="5" s="1"/>
  <c r="BT73" i="5"/>
  <c r="BT63" i="5"/>
  <c r="BL152" i="5"/>
  <c r="BL66" i="5"/>
  <c r="BL63" i="5"/>
  <c r="BL76" i="5"/>
  <c r="BL74" i="5"/>
  <c r="BL73" i="5"/>
  <c r="BD217" i="5"/>
  <c r="BD31" i="5"/>
  <c r="BD32" i="5" s="1"/>
  <c r="BD30" i="5"/>
  <c r="AF309" i="5"/>
  <c r="AF290" i="5"/>
  <c r="H152" i="5"/>
  <c r="H76" i="5"/>
  <c r="H73" i="5"/>
  <c r="H74" i="5"/>
  <c r="H75" i="5" s="1"/>
  <c r="D156" i="5"/>
  <c r="CA130" i="5"/>
  <c r="CA26" i="5"/>
  <c r="CD133" i="5"/>
  <c r="CD21" i="5"/>
  <c r="CQ14" i="5"/>
  <c r="CB124" i="5"/>
  <c r="BC119" i="5"/>
  <c r="CC97" i="5"/>
  <c r="CE90" i="5"/>
  <c r="CE91" i="5" s="1"/>
  <c r="CB93" i="5"/>
  <c r="CT93" i="5"/>
  <c r="CY92" i="5"/>
  <c r="Y93" i="5"/>
  <c r="CW76" i="5"/>
  <c r="CW152" i="5" s="1"/>
  <c r="AE68" i="5"/>
  <c r="O62" i="5"/>
  <c r="CP56" i="5"/>
  <c r="CP55" i="5"/>
  <c r="BO56" i="5"/>
  <c r="BO55" i="5"/>
  <c r="CG43" i="5"/>
  <c r="CG44" i="5"/>
  <c r="BM43" i="5"/>
  <c r="BM44" i="5"/>
  <c r="BX41" i="5"/>
  <c r="BX45" i="5"/>
  <c r="BX42" i="5"/>
  <c r="BX43" i="5" s="1"/>
  <c r="CS309" i="5"/>
  <c r="CS290" i="5"/>
  <c r="CU309" i="5"/>
  <c r="CZ309" i="5" s="1"/>
  <c r="CU290" i="5"/>
  <c r="CE152" i="5"/>
  <c r="CE66" i="5"/>
  <c r="CE76" i="5"/>
  <c r="CE74" i="5"/>
  <c r="CE75" i="5" s="1"/>
  <c r="CE73" i="5"/>
  <c r="CE63" i="5"/>
  <c r="BW152" i="5"/>
  <c r="BW66" i="5"/>
  <c r="BW76" i="5"/>
  <c r="BW74" i="5"/>
  <c r="BW75" i="5" s="1"/>
  <c r="BW73" i="5"/>
  <c r="BW63" i="5"/>
  <c r="BO309" i="5"/>
  <c r="BO290" i="5"/>
  <c r="BG309" i="5"/>
  <c r="BG290" i="5"/>
  <c r="AU152" i="5"/>
  <c r="AU66" i="5"/>
  <c r="AU76" i="5"/>
  <c r="AY76" i="5" s="1"/>
  <c r="AU74" i="5"/>
  <c r="AU63" i="5"/>
  <c r="AM309" i="5"/>
  <c r="AM290" i="5"/>
  <c r="W152" i="5"/>
  <c r="W74" i="5"/>
  <c r="W75" i="5" s="1"/>
  <c r="W76" i="5"/>
  <c r="W73" i="5"/>
  <c r="W66" i="5"/>
  <c r="W63" i="5"/>
  <c r="O152" i="5"/>
  <c r="O74" i="5"/>
  <c r="O75" i="5" s="1"/>
  <c r="O76" i="5"/>
  <c r="O73" i="5"/>
  <c r="O63" i="5"/>
  <c r="O66" i="5"/>
  <c r="BD24" i="5"/>
  <c r="Z111" i="5"/>
  <c r="T91" i="5"/>
  <c r="CW92" i="5"/>
  <c r="CW93" i="5" s="1"/>
  <c r="CW85" i="5"/>
  <c r="AJ68" i="5"/>
  <c r="K152" i="5"/>
  <c r="K74" i="5"/>
  <c r="K75" i="5" s="1"/>
  <c r="K73" i="5"/>
  <c r="M62" i="5"/>
  <c r="AW56" i="5"/>
  <c r="DQ56" i="5" s="1"/>
  <c r="CD55" i="5"/>
  <c r="CD56" i="5"/>
  <c r="CR49" i="5"/>
  <c r="CF43" i="5"/>
  <c r="CF44" i="5"/>
  <c r="BL43" i="5"/>
  <c r="BL44" i="5"/>
  <c r="DP39" i="5"/>
  <c r="BQ32" i="5"/>
  <c r="CP309" i="5"/>
  <c r="CP290" i="5"/>
  <c r="CZ290" i="5" s="1"/>
  <c r="CD152" i="5"/>
  <c r="CD66" i="5"/>
  <c r="CD76" i="5"/>
  <c r="CH76" i="5" s="1"/>
  <c r="CD74" i="5"/>
  <c r="CD75" i="5" s="1"/>
  <c r="CD73" i="5"/>
  <c r="CD63" i="5"/>
  <c r="BV152" i="5"/>
  <c r="BV63" i="5"/>
  <c r="BV66" i="5"/>
  <c r="BV76" i="5"/>
  <c r="BV74" i="5"/>
  <c r="BV75" i="5" s="1"/>
  <c r="BV73" i="5"/>
  <c r="BN217" i="5"/>
  <c r="BN31" i="5"/>
  <c r="BN30" i="5"/>
  <c r="BF309" i="5"/>
  <c r="BF290" i="5"/>
  <c r="AX309" i="5"/>
  <c r="AH309" i="5"/>
  <c r="AH290" i="5"/>
  <c r="R152" i="5"/>
  <c r="R73" i="5"/>
  <c r="R74" i="5"/>
  <c r="R75" i="5" s="1"/>
  <c r="R76" i="5"/>
  <c r="R66" i="5"/>
  <c r="R63" i="5"/>
  <c r="J152" i="5"/>
  <c r="J73" i="5"/>
  <c r="J74" i="5"/>
  <c r="J75" i="5" s="1"/>
  <c r="J76" i="5"/>
  <c r="BX25" i="5"/>
  <c r="BT25" i="5"/>
  <c r="DG5" i="5"/>
  <c r="DY6" i="5"/>
  <c r="DY7" i="5" s="1"/>
  <c r="DB6" i="5"/>
  <c r="DB13" i="5"/>
  <c r="DB14" i="5" s="1"/>
  <c r="BN8" i="5"/>
  <c r="W68" i="5"/>
  <c r="S86" i="5"/>
  <c r="O86" i="5"/>
  <c r="G86" i="5"/>
  <c r="CE124" i="5"/>
  <c r="AM111" i="5"/>
  <c r="AY51" i="5"/>
  <c r="BJ33" i="5"/>
  <c r="CK44" i="5"/>
  <c r="BO44" i="5"/>
  <c r="BR33" i="5"/>
  <c r="CD130" i="5"/>
  <c r="BI21" i="5"/>
  <c r="BI49" i="5"/>
  <c r="AB34" i="5"/>
  <c r="BP56" i="5"/>
  <c r="AZ130" i="5"/>
  <c r="AZ26" i="5"/>
  <c r="BX55" i="5"/>
  <c r="BF14" i="5"/>
  <c r="U49" i="5"/>
  <c r="AE134" i="5"/>
  <c r="BX38" i="5"/>
  <c r="L32" i="5"/>
  <c r="BV43" i="5"/>
  <c r="BD12" i="5"/>
  <c r="BS8" i="5"/>
  <c r="BO387" i="5"/>
  <c r="BP387" i="5" s="1"/>
  <c r="BQ387" i="5" s="1"/>
  <c r="BR387" i="5" s="1"/>
  <c r="BS387" i="5"/>
  <c r="BX387" i="5" s="1"/>
  <c r="CC387" i="5" s="1"/>
  <c r="CH387" i="5" s="1"/>
  <c r="CM387" i="5" s="1"/>
  <c r="CR387" i="5" s="1"/>
  <c r="BJ349" i="5"/>
  <c r="BK349" i="5" s="1"/>
  <c r="BL349" i="5" s="1"/>
  <c r="BM349" i="5" s="1"/>
  <c r="BN349" i="5"/>
  <c r="CC321" i="5"/>
  <c r="CC331" i="5" s="1"/>
  <c r="CM304" i="5"/>
  <c r="AY345" i="5"/>
  <c r="AY290" i="5"/>
  <c r="AY291" i="5"/>
  <c r="AY294" i="5" s="1"/>
  <c r="CC332" i="5"/>
  <c r="F344" i="5"/>
  <c r="F291" i="5"/>
  <c r="F294" i="5" s="1"/>
  <c r="CM263" i="5"/>
  <c r="CM267" i="5"/>
  <c r="CM261" i="5"/>
  <c r="R34" i="301"/>
  <c r="R36" i="301" s="1"/>
  <c r="BI276" i="5"/>
  <c r="BJ263" i="5"/>
  <c r="CA259" i="5"/>
  <c r="BZ263" i="5"/>
  <c r="BB259" i="5"/>
  <c r="BB264" i="5" s="1"/>
  <c r="BA263" i="5"/>
  <c r="CB279" i="5"/>
  <c r="S42" i="301"/>
  <c r="BV279" i="5"/>
  <c r="BV277" i="5"/>
  <c r="BW278" i="5"/>
  <c r="CA272" i="5"/>
  <c r="CA277" i="5" s="1"/>
  <c r="CB270" i="5"/>
  <c r="CB272" i="5" s="1"/>
  <c r="CB277" i="5" s="1"/>
  <c r="BA266" i="5"/>
  <c r="CR261" i="5"/>
  <c r="CR267" i="5"/>
  <c r="CR263" i="5"/>
  <c r="CR262" i="5"/>
  <c r="BR264" i="5"/>
  <c r="BS264" i="5" s="1"/>
  <c r="BG263" i="5"/>
  <c r="BH259" i="5"/>
  <c r="BH266" i="5" s="1"/>
  <c r="BI266" i="5" s="1"/>
  <c r="CB257" i="5"/>
  <c r="CR278" i="5"/>
  <c r="BV264" i="5"/>
  <c r="DD200" i="5"/>
  <c r="DE199" i="5"/>
  <c r="DD201" i="5"/>
  <c r="CR195" i="5"/>
  <c r="CR194" i="5"/>
  <c r="BN359" i="5"/>
  <c r="CY229" i="5"/>
  <c r="CY176" i="5"/>
  <c r="BL229" i="5"/>
  <c r="BL176" i="5"/>
  <c r="AN229" i="5"/>
  <c r="AN176" i="5"/>
  <c r="AN367" i="5"/>
  <c r="AN363" i="5"/>
  <c r="BN228" i="5"/>
  <c r="BN171" i="5"/>
  <c r="BN172" i="5" s="1"/>
  <c r="BP229" i="5"/>
  <c r="AW359" i="5"/>
  <c r="BP367" i="5"/>
  <c r="BP363" i="5"/>
  <c r="AM363" i="5"/>
  <c r="AM367" i="5"/>
  <c r="CZ270" i="5"/>
  <c r="BB359" i="5"/>
  <c r="BK367" i="5"/>
  <c r="BK363" i="5"/>
  <c r="CJ194" i="5"/>
  <c r="CJ195" i="5"/>
  <c r="CO195" i="5"/>
  <c r="CB195" i="5"/>
  <c r="CB194" i="5"/>
  <c r="BN197" i="5"/>
  <c r="BV194" i="5"/>
  <c r="BV195" i="5"/>
  <c r="BR229" i="5"/>
  <c r="BR176" i="5"/>
  <c r="BD367" i="5"/>
  <c r="CO194" i="5"/>
  <c r="CF145" i="5"/>
  <c r="BW140" i="5"/>
  <c r="BN137" i="5"/>
  <c r="BN138" i="5" s="1"/>
  <c r="BN136" i="5"/>
  <c r="K251" i="5"/>
  <c r="K263" i="5" s="1"/>
  <c r="BD176" i="5"/>
  <c r="CJ150" i="5"/>
  <c r="AJ148" i="5"/>
  <c r="BW145" i="5"/>
  <c r="AL218" i="5"/>
  <c r="CF155" i="5"/>
  <c r="BE138" i="5"/>
  <c r="CC148" i="5"/>
  <c r="U141" i="5"/>
  <c r="U154" i="5"/>
  <c r="U149" i="5"/>
  <c r="U150" i="5" s="1"/>
  <c r="U140" i="5"/>
  <c r="CQ154" i="5"/>
  <c r="CQ149" i="5"/>
  <c r="CQ150" i="5" s="1"/>
  <c r="CQ141" i="5"/>
  <c r="CQ142" i="5" s="1"/>
  <c r="CQ140" i="5"/>
  <c r="CQ148" i="5"/>
  <c r="CQ144" i="5"/>
  <c r="CQ145" i="5" s="1"/>
  <c r="CE218" i="5"/>
  <c r="CE155" i="5"/>
  <c r="BW218" i="5"/>
  <c r="BW155" i="5"/>
  <c r="BC150" i="5"/>
  <c r="BD139" i="5"/>
  <c r="BD136" i="5"/>
  <c r="BD137" i="5"/>
  <c r="CG195" i="5"/>
  <c r="BX176" i="5"/>
  <c r="O24" i="301" s="1"/>
  <c r="CG145" i="5"/>
  <c r="P154" i="5"/>
  <c r="P140" i="5"/>
  <c r="P141" i="5"/>
  <c r="P142" i="5" s="1"/>
  <c r="P149" i="5"/>
  <c r="P150" i="5" s="1"/>
  <c r="CT148" i="5"/>
  <c r="CT154" i="5" s="1"/>
  <c r="CT149" i="5"/>
  <c r="CT150" i="5" s="1"/>
  <c r="CT144" i="5"/>
  <c r="CT141" i="5"/>
  <c r="CD218" i="5"/>
  <c r="CD155" i="5"/>
  <c r="BV218" i="5"/>
  <c r="BV155" i="5"/>
  <c r="BF148" i="5"/>
  <c r="BI148" i="5" s="1"/>
  <c r="BF154" i="5"/>
  <c r="BF141" i="5"/>
  <c r="BF142" i="5" s="1"/>
  <c r="BF140" i="5"/>
  <c r="BF144" i="5"/>
  <c r="BF145" i="5" s="1"/>
  <c r="BF149" i="5"/>
  <c r="BF150" i="5" s="1"/>
  <c r="CZ136" i="5"/>
  <c r="BM138" i="5"/>
  <c r="CR111" i="5"/>
  <c r="BF111" i="5"/>
  <c r="AE97" i="5"/>
  <c r="N142" i="5"/>
  <c r="N218" i="5"/>
  <c r="N155" i="5"/>
  <c r="CU149" i="5"/>
  <c r="CU150" i="5" s="1"/>
  <c r="CU144" i="5"/>
  <c r="CU141" i="5"/>
  <c r="CU148" i="5"/>
  <c r="CU154" i="5" s="1"/>
  <c r="AO138" i="5"/>
  <c r="AD154" i="5"/>
  <c r="AD149" i="5"/>
  <c r="AI140" i="5"/>
  <c r="AD148" i="5"/>
  <c r="AE148" i="5" s="1"/>
  <c r="AD140" i="5"/>
  <c r="AD141" i="5"/>
  <c r="AD142" i="5" s="1"/>
  <c r="CM118" i="5"/>
  <c r="CM119" i="5" s="1"/>
  <c r="R15" i="301"/>
  <c r="CC118" i="5"/>
  <c r="CC119" i="5" s="1"/>
  <c r="P15" i="301"/>
  <c r="BS118" i="5"/>
  <c r="BS119" i="5" s="1"/>
  <c r="BS115" i="5"/>
  <c r="BI118" i="5"/>
  <c r="BI119" i="5" s="1"/>
  <c r="BI115" i="5"/>
  <c r="BI116" i="5" s="1"/>
  <c r="BE111" i="5"/>
  <c r="CO86" i="5"/>
  <c r="CE86" i="5"/>
  <c r="BM150" i="5"/>
  <c r="AC218" i="5"/>
  <c r="AC155" i="5"/>
  <c r="BX152" i="5"/>
  <c r="BX74" i="5"/>
  <c r="BX75" i="5" s="1"/>
  <c r="BX73" i="5"/>
  <c r="O11" i="301"/>
  <c r="AL155" i="5"/>
  <c r="BE150" i="5"/>
  <c r="BI134" i="5"/>
  <c r="BT124" i="5"/>
  <c r="BN124" i="5"/>
  <c r="AI119" i="5"/>
  <c r="AD119" i="5"/>
  <c r="DA110" i="5"/>
  <c r="DA109" i="5" s="1"/>
  <c r="CV111" i="5"/>
  <c r="AL91" i="5"/>
  <c r="AB93" i="5"/>
  <c r="BU145" i="5"/>
  <c r="BL142" i="5"/>
  <c r="X142" i="5"/>
  <c r="CM152" i="5"/>
  <c r="CM66" i="5"/>
  <c r="CM74" i="5"/>
  <c r="CM75" i="5" s="1"/>
  <c r="F41" i="301" s="1"/>
  <c r="CM73" i="5"/>
  <c r="R11" i="301"/>
  <c r="CL145" i="5"/>
  <c r="Z251" i="5"/>
  <c r="Z263" i="5" s="1"/>
  <c r="AW126" i="5"/>
  <c r="AW222" i="5" s="1"/>
  <c r="AX125" i="5"/>
  <c r="CZ110" i="5"/>
  <c r="CZ109" i="5" s="1"/>
  <c r="CU111" i="5"/>
  <c r="BG111" i="5"/>
  <c r="BS121" i="5"/>
  <c r="BS112" i="5"/>
  <c r="P97" i="5"/>
  <c r="BK154" i="5"/>
  <c r="BK149" i="5"/>
  <c r="BK141" i="5"/>
  <c r="BP142" i="5" s="1"/>
  <c r="BK140" i="5"/>
  <c r="BK148" i="5"/>
  <c r="BK144" i="5"/>
  <c r="AU154" i="5"/>
  <c r="AW218" i="5" s="1"/>
  <c r="AU148" i="5"/>
  <c r="AY148" i="5" s="1"/>
  <c r="AU141" i="5"/>
  <c r="AU149" i="5"/>
  <c r="AK93" i="5"/>
  <c r="AF91" i="5"/>
  <c r="Q93" i="5"/>
  <c r="CH85" i="5"/>
  <c r="CH86" i="5" s="1"/>
  <c r="CH92" i="5"/>
  <c r="CH93" i="5" s="1"/>
  <c r="CH84" i="5"/>
  <c r="CH80" i="5"/>
  <c r="BI92" i="5"/>
  <c r="BI93" i="5" s="1"/>
  <c r="BI85" i="5"/>
  <c r="BI86" i="5" s="1"/>
  <c r="BI84" i="5"/>
  <c r="BI80" i="5"/>
  <c r="BO86" i="5"/>
  <c r="CQ86" i="5"/>
  <c r="CG86" i="5"/>
  <c r="BG92" i="5"/>
  <c r="BG93" i="5" s="1"/>
  <c r="BG85" i="5"/>
  <c r="BG86" i="5" s="1"/>
  <c r="BG84" i="5"/>
  <c r="BT145" i="5"/>
  <c r="AA150" i="5"/>
  <c r="S218" i="5"/>
  <c r="S155" i="5"/>
  <c r="K148" i="5"/>
  <c r="CM58" i="5"/>
  <c r="CC58" i="5"/>
  <c r="BS58" i="5"/>
  <c r="BI58" i="5"/>
  <c r="CQ91" i="5"/>
  <c r="AY66" i="5"/>
  <c r="AY74" i="5"/>
  <c r="BF33" i="5"/>
  <c r="CF32" i="5"/>
  <c r="CG34" i="5"/>
  <c r="CF33" i="5"/>
  <c r="CF34" i="5"/>
  <c r="BL32" i="5"/>
  <c r="BM34" i="5"/>
  <c r="BL33" i="5"/>
  <c r="BL34" i="5"/>
  <c r="CK152" i="5"/>
  <c r="CK76" i="5"/>
  <c r="CK74" i="5"/>
  <c r="CK73" i="5"/>
  <c r="CK63" i="5"/>
  <c r="CK66" i="5"/>
  <c r="CC217" i="5"/>
  <c r="CC31" i="5"/>
  <c r="CC30" i="5"/>
  <c r="P9" i="301"/>
  <c r="BU309" i="5"/>
  <c r="BU290" i="5"/>
  <c r="BM309" i="5"/>
  <c r="BM290" i="5"/>
  <c r="BA152" i="5"/>
  <c r="BA76" i="5"/>
  <c r="BA74" i="5"/>
  <c r="BA75" i="5" s="1"/>
  <c r="BA73" i="5"/>
  <c r="BA66" i="5"/>
  <c r="BA63" i="5"/>
  <c r="AM32" i="5"/>
  <c r="W32" i="5"/>
  <c r="W34" i="5"/>
  <c r="AG309" i="5"/>
  <c r="AG290" i="5"/>
  <c r="Q152" i="5"/>
  <c r="Q76" i="5"/>
  <c r="Q66" i="5"/>
  <c r="Q73" i="5"/>
  <c r="Q74" i="5"/>
  <c r="Q75" i="5" s="1"/>
  <c r="Q63" i="5"/>
  <c r="I152" i="5"/>
  <c r="I76" i="5"/>
  <c r="I73" i="5"/>
  <c r="I74" i="5"/>
  <c r="I75" i="5" s="1"/>
  <c r="E156" i="5"/>
  <c r="Z61" i="5"/>
  <c r="Z62" i="5" s="1"/>
  <c r="Z85" i="5"/>
  <c r="Z86" i="5" s="1"/>
  <c r="Z16" i="5"/>
  <c r="CN14" i="5"/>
  <c r="CD124" i="5"/>
  <c r="AN113" i="5"/>
  <c r="AY123" i="5"/>
  <c r="BD124" i="5" s="1"/>
  <c r="BV91" i="5"/>
  <c r="P88" i="5"/>
  <c r="BK93" i="5"/>
  <c r="CU93" i="5"/>
  <c r="CZ92" i="5"/>
  <c r="DB61" i="5"/>
  <c r="DB62" i="5" s="1"/>
  <c r="DB57" i="5"/>
  <c r="DB60" i="5"/>
  <c r="DG59" i="5"/>
  <c r="CF56" i="5"/>
  <c r="CF55" i="5"/>
  <c r="AZ55" i="5"/>
  <c r="AZ56" i="5"/>
  <c r="DO56" i="5" s="1"/>
  <c r="AF49" i="5"/>
  <c r="AF50" i="5"/>
  <c r="DO50" i="5" s="1"/>
  <c r="BR43" i="5"/>
  <c r="BR44" i="5"/>
  <c r="BI45" i="5"/>
  <c r="BI42" i="5"/>
  <c r="BI43" i="5" s="1"/>
  <c r="BI41" i="5"/>
  <c r="BY33" i="5"/>
  <c r="CY34" i="5"/>
  <c r="CY29" i="5"/>
  <c r="CA32" i="5"/>
  <c r="CA34" i="5"/>
  <c r="CA33" i="5"/>
  <c r="BG32" i="5"/>
  <c r="BG34" i="5"/>
  <c r="BG33" i="5"/>
  <c r="CJ152" i="5"/>
  <c r="CJ66" i="5"/>
  <c r="CJ76" i="5"/>
  <c r="CJ74" i="5"/>
  <c r="CJ73" i="5"/>
  <c r="CJ63" i="5"/>
  <c r="CB152" i="5"/>
  <c r="CB66" i="5"/>
  <c r="CB76" i="5"/>
  <c r="CB74" i="5"/>
  <c r="CB75" i="5" s="1"/>
  <c r="CB73" i="5"/>
  <c r="CB63" i="5"/>
  <c r="BT309" i="5"/>
  <c r="BT290" i="5"/>
  <c r="BL309" i="5"/>
  <c r="BL290" i="5"/>
  <c r="AZ152" i="5"/>
  <c r="AZ66" i="5"/>
  <c r="AZ76" i="5"/>
  <c r="AZ74" i="5"/>
  <c r="AZ75" i="5" s="1"/>
  <c r="AZ73" i="5"/>
  <c r="AZ63" i="5"/>
  <c r="AL31" i="5"/>
  <c r="AN152" i="5"/>
  <c r="AN76" i="5"/>
  <c r="AN66" i="5"/>
  <c r="AN73" i="5"/>
  <c r="AN74" i="5"/>
  <c r="AN63" i="5"/>
  <c r="AB152" i="5"/>
  <c r="AB76" i="5"/>
  <c r="AB66" i="5"/>
  <c r="AB73" i="5"/>
  <c r="AB74" i="5"/>
  <c r="AB63" i="5"/>
  <c r="T152" i="5"/>
  <c r="T76" i="5"/>
  <c r="T66" i="5"/>
  <c r="T73" i="5"/>
  <c r="T74" i="5"/>
  <c r="T75" i="5" s="1"/>
  <c r="T63" i="5"/>
  <c r="BK130" i="5"/>
  <c r="BK26" i="5"/>
  <c r="CS21" i="5"/>
  <c r="BY133" i="5"/>
  <c r="BY134" i="5" s="1"/>
  <c r="BY21" i="5"/>
  <c r="CH111" i="5"/>
  <c r="AK137" i="5"/>
  <c r="AK138" i="5" s="1"/>
  <c r="AK67" i="5"/>
  <c r="AK68" i="5" s="1"/>
  <c r="AK85" i="5"/>
  <c r="AK86" i="5" s="1"/>
  <c r="AK17" i="5"/>
  <c r="AK61" i="5"/>
  <c r="AK62" i="5" s="1"/>
  <c r="AK31" i="5"/>
  <c r="AK16" i="5"/>
  <c r="Y137" i="5"/>
  <c r="Y138" i="5" s="1"/>
  <c r="Y67" i="5"/>
  <c r="Y68" i="5" s="1"/>
  <c r="Y61" i="5"/>
  <c r="Y62" i="5" s="1"/>
  <c r="Y17" i="5"/>
  <c r="Y31" i="5"/>
  <c r="Y16" i="5"/>
  <c r="CL124" i="5"/>
  <c r="CG56" i="5"/>
  <c r="CG55" i="5"/>
  <c r="BW14" i="5"/>
  <c r="BE14" i="5"/>
  <c r="CX119" i="5"/>
  <c r="BQ113" i="5"/>
  <c r="AO97" i="5"/>
  <c r="BN109" i="5"/>
  <c r="AE91" i="5"/>
  <c r="AE152" i="5"/>
  <c r="AE74" i="5"/>
  <c r="AE75" i="5" s="1"/>
  <c r="AE73" i="5"/>
  <c r="G62" i="5"/>
  <c r="CJ55" i="5"/>
  <c r="CJ56" i="5"/>
  <c r="CR51" i="5"/>
  <c r="BD51" i="5"/>
  <c r="AO48" i="5"/>
  <c r="AO49" i="5" s="1"/>
  <c r="AO29" i="5"/>
  <c r="AO51" i="5" s="1"/>
  <c r="AO47" i="5"/>
  <c r="BY44" i="5"/>
  <c r="BY43" i="5"/>
  <c r="BE44" i="5"/>
  <c r="BE43" i="5"/>
  <c r="BD41" i="5"/>
  <c r="BD45" i="5"/>
  <c r="BD42" i="5"/>
  <c r="BD43" i="5" s="1"/>
  <c r="CT309" i="5"/>
  <c r="CY309" i="5" s="1"/>
  <c r="CT290" i="5"/>
  <c r="CM217" i="5"/>
  <c r="R9" i="301"/>
  <c r="R10" i="301" s="1"/>
  <c r="CM31" i="5"/>
  <c r="CM30" i="5"/>
  <c r="CE309" i="5"/>
  <c r="CE290" i="5"/>
  <c r="BW309" i="5"/>
  <c r="BW290" i="5"/>
  <c r="BK152" i="5"/>
  <c r="BK66" i="5"/>
  <c r="BK76" i="5"/>
  <c r="BK74" i="5"/>
  <c r="BK75" i="5" s="1"/>
  <c r="BK73" i="5"/>
  <c r="BK63" i="5"/>
  <c r="BC152" i="5"/>
  <c r="BC66" i="5"/>
  <c r="BC76" i="5"/>
  <c r="BC74" i="5"/>
  <c r="BC75" i="5" s="1"/>
  <c r="BC73" i="5"/>
  <c r="BC63" i="5"/>
  <c r="AU309" i="5"/>
  <c r="AU290" i="5"/>
  <c r="AI152" i="5"/>
  <c r="AI74" i="5"/>
  <c r="AI76" i="5"/>
  <c r="AI73" i="5"/>
  <c r="AI63" i="5"/>
  <c r="AI66" i="5"/>
  <c r="G152" i="5"/>
  <c r="G74" i="5"/>
  <c r="G75" i="5" s="1"/>
  <c r="G76" i="5"/>
  <c r="K76" i="5" s="1"/>
  <c r="G73" i="5"/>
  <c r="C156" i="5"/>
  <c r="CC25" i="5"/>
  <c r="BY25" i="5"/>
  <c r="BO133" i="5"/>
  <c r="BO134" i="5" s="1"/>
  <c r="BO21" i="5"/>
  <c r="CC138" i="5"/>
  <c r="BS14" i="5"/>
  <c r="AN141" i="5"/>
  <c r="AN142" i="5" s="1"/>
  <c r="AN137" i="5"/>
  <c r="AN67" i="5"/>
  <c r="AN68" i="5" s="1"/>
  <c r="AN61" i="5"/>
  <c r="AN62" i="5" s="1"/>
  <c r="AN17" i="5"/>
  <c r="AN31" i="5"/>
  <c r="AN16" i="5"/>
  <c r="AF142" i="5"/>
  <c r="AO119" i="5"/>
  <c r="N93" i="5"/>
  <c r="AZ86" i="5"/>
  <c r="CR66" i="5"/>
  <c r="BN66" i="5"/>
  <c r="BN74" i="5"/>
  <c r="BN73" i="5"/>
  <c r="AJ58" i="5"/>
  <c r="Z63" i="5"/>
  <c r="AG62" i="5"/>
  <c r="CW63" i="5"/>
  <c r="BA55" i="5"/>
  <c r="BH55" i="5"/>
  <c r="BH56" i="5"/>
  <c r="DR56" i="5" s="1"/>
  <c r="AA50" i="5"/>
  <c r="BX49" i="5"/>
  <c r="CB44" i="5"/>
  <c r="CB43" i="5"/>
  <c r="BH44" i="5"/>
  <c r="DR44" i="5" s="1"/>
  <c r="BH43" i="5"/>
  <c r="CM42" i="5"/>
  <c r="CM43" i="5" s="1"/>
  <c r="CM45" i="5"/>
  <c r="CM41" i="5"/>
  <c r="DA34" i="5"/>
  <c r="BQ34" i="5"/>
  <c r="CG32" i="5"/>
  <c r="BM32" i="5"/>
  <c r="AW34" i="5"/>
  <c r="CL152" i="5"/>
  <c r="CL66" i="5"/>
  <c r="CL76" i="5"/>
  <c r="CL74" i="5"/>
  <c r="CL73" i="5"/>
  <c r="CL63" i="5"/>
  <c r="CD309" i="5"/>
  <c r="CD290" i="5"/>
  <c r="BV309" i="5"/>
  <c r="BV290" i="5"/>
  <c r="BJ152" i="5"/>
  <c r="BJ66" i="5"/>
  <c r="BJ76" i="5"/>
  <c r="BJ74" i="5"/>
  <c r="BJ73" i="5"/>
  <c r="BJ63" i="5"/>
  <c r="BB152" i="5"/>
  <c r="BB63" i="5"/>
  <c r="BB66" i="5"/>
  <c r="BB76" i="5"/>
  <c r="BB74" i="5"/>
  <c r="BB75" i="5" s="1"/>
  <c r="BB73" i="5"/>
  <c r="P32" i="5"/>
  <c r="AL152" i="5"/>
  <c r="AL73" i="5"/>
  <c r="AL74" i="5"/>
  <c r="AL75" i="5" s="1"/>
  <c r="AL76" i="5"/>
  <c r="AL66" i="5"/>
  <c r="AL63" i="5"/>
  <c r="AD152" i="5"/>
  <c r="AD73" i="5"/>
  <c r="AD74" i="5"/>
  <c r="AD75" i="5" s="1"/>
  <c r="AD76" i="5"/>
  <c r="AD66" i="5"/>
  <c r="AD63" i="5"/>
  <c r="BH25" i="5"/>
  <c r="BG25" i="5"/>
  <c r="CZ23" i="5"/>
  <c r="CR14" i="5"/>
  <c r="AM137" i="5"/>
  <c r="AM138" i="5" s="1"/>
  <c r="AM61" i="5"/>
  <c r="AM67" i="5"/>
  <c r="AM68" i="5" s="1"/>
  <c r="AM16" i="5"/>
  <c r="AM17" i="5"/>
  <c r="AA68" i="5"/>
  <c r="W86" i="5"/>
  <c r="S62" i="5"/>
  <c r="O138" i="5"/>
  <c r="G138" i="5"/>
  <c r="BZ14" i="5"/>
  <c r="BB14" i="5"/>
  <c r="AM113" i="5"/>
  <c r="AY54" i="5"/>
  <c r="BD55" i="5" s="1"/>
  <c r="CO34" i="5"/>
  <c r="BA34" i="5"/>
  <c r="DA90" i="5"/>
  <c r="CV91" i="5"/>
  <c r="CG91" i="5"/>
  <c r="DW9" i="5"/>
  <c r="CK43" i="5"/>
  <c r="CH41" i="5"/>
  <c r="AX34" i="5"/>
  <c r="CH130" i="5"/>
  <c r="U21" i="5"/>
  <c r="AB32" i="5"/>
  <c r="BI51" i="5"/>
  <c r="BC43" i="5"/>
  <c r="BY34" i="5"/>
  <c r="BJ130" i="5"/>
  <c r="BJ90" i="5"/>
  <c r="BA56" i="5"/>
  <c r="DP56" i="5" s="1"/>
  <c r="CR55" i="5"/>
  <c r="BG44" i="5"/>
  <c r="BM33" i="5"/>
  <c r="CC134" i="5"/>
  <c r="X34" i="5"/>
  <c r="CV14" i="5"/>
  <c r="BB44" i="5"/>
  <c r="DQ44" i="5" s="1"/>
  <c r="AJ61" i="5"/>
  <c r="AJ62" i="5" s="1"/>
  <c r="AJ16" i="5"/>
  <c r="CK14" i="5"/>
  <c r="DV38" i="5" s="1"/>
  <c r="AO61" i="5"/>
  <c r="AO62" i="5" s="1"/>
  <c r="AO16" i="5"/>
  <c r="BG56" i="5"/>
  <c r="AI50" i="5"/>
  <c r="DB58" i="5" l="1"/>
  <c r="DG143" i="5"/>
  <c r="DL143" i="5" s="1"/>
  <c r="DY8" i="5"/>
  <c r="DY9" i="5" s="1"/>
  <c r="CX142" i="5"/>
  <c r="CZ195" i="5"/>
  <c r="CZ194" i="5"/>
  <c r="DA194" i="5"/>
  <c r="AW220" i="5"/>
  <c r="CC277" i="5"/>
  <c r="CS233" i="5"/>
  <c r="CS243" i="5"/>
  <c r="CS244" i="5"/>
  <c r="CS238" i="5"/>
  <c r="CS236" i="5"/>
  <c r="CS245" i="5"/>
  <c r="CS234" i="5"/>
  <c r="CX233" i="5"/>
  <c r="CX243" i="5"/>
  <c r="CX238" i="5"/>
  <c r="CX244" i="5"/>
  <c r="CX234" i="5"/>
  <c r="CX245" i="5"/>
  <c r="CX236" i="5"/>
  <c r="DB227" i="5"/>
  <c r="BY130" i="5"/>
  <c r="BY90" i="5"/>
  <c r="BY26" i="5"/>
  <c r="BD76" i="5"/>
  <c r="BK218" i="5"/>
  <c r="BK155" i="5"/>
  <c r="BP155" i="5"/>
  <c r="BX116" i="5"/>
  <c r="BS116" i="5"/>
  <c r="BS139" i="5"/>
  <c r="BV220" i="5"/>
  <c r="BD144" i="5"/>
  <c r="BD149" i="5"/>
  <c r="BD141" i="5"/>
  <c r="BD140" i="5"/>
  <c r="BB216" i="5"/>
  <c r="BB153" i="5"/>
  <c r="BB156" i="5"/>
  <c r="BN76" i="5"/>
  <c r="BC216" i="5"/>
  <c r="BC153" i="5"/>
  <c r="BC156" i="5"/>
  <c r="CM290" i="5"/>
  <c r="CM309" i="5"/>
  <c r="Y34" i="5"/>
  <c r="Y32" i="5"/>
  <c r="T216" i="5"/>
  <c r="T156" i="5"/>
  <c r="T153" i="5"/>
  <c r="AN75" i="5"/>
  <c r="AN216" i="5"/>
  <c r="AN156" i="5"/>
  <c r="AN153" i="5"/>
  <c r="AV219" i="5" s="1"/>
  <c r="AV217" i="5"/>
  <c r="CY217" i="5"/>
  <c r="DB29" i="5"/>
  <c r="CY30" i="5"/>
  <c r="CY72" i="5"/>
  <c r="DA217" i="5"/>
  <c r="Q216" i="5"/>
  <c r="Q153" i="5"/>
  <c r="Q156" i="5"/>
  <c r="CC290" i="5"/>
  <c r="CC309" i="5"/>
  <c r="CK75" i="5"/>
  <c r="BK145" i="5"/>
  <c r="BK150" i="5"/>
  <c r="CZ112" i="5"/>
  <c r="CZ113" i="5" s="1"/>
  <c r="CZ114" i="5"/>
  <c r="CZ94" i="5"/>
  <c r="CZ100" i="5"/>
  <c r="AC220" i="5"/>
  <c r="AD218" i="5"/>
  <c r="AD155" i="5"/>
  <c r="AF218" i="5"/>
  <c r="AH218" i="5"/>
  <c r="BW220" i="5"/>
  <c r="CQ218" i="5"/>
  <c r="CQ155" i="5"/>
  <c r="U142" i="5"/>
  <c r="CZ272" i="5"/>
  <c r="CZ278" i="5" s="1"/>
  <c r="AN359" i="5"/>
  <c r="AN245" i="5"/>
  <c r="DE201" i="5"/>
  <c r="DE200" i="5"/>
  <c r="DF199" i="5"/>
  <c r="CB264" i="5"/>
  <c r="CA263" i="5"/>
  <c r="CA262" i="5"/>
  <c r="CA266" i="5"/>
  <c r="CC259" i="5"/>
  <c r="BS349" i="5"/>
  <c r="BX349" i="5" s="1"/>
  <c r="CC349" i="5" s="1"/>
  <c r="CH349" i="5" s="1"/>
  <c r="CM349" i="5" s="1"/>
  <c r="CR349" i="5" s="1"/>
  <c r="BO349" i="5"/>
  <c r="BP349" i="5" s="1"/>
  <c r="BQ349" i="5" s="1"/>
  <c r="BR349" i="5" s="1"/>
  <c r="DB387" i="5"/>
  <c r="DG387" i="5" s="1"/>
  <c r="DL387" i="5" s="1"/>
  <c r="CW387" i="5"/>
  <c r="R216" i="5"/>
  <c r="R153" i="5"/>
  <c r="R156" i="5"/>
  <c r="K262" i="5"/>
  <c r="K216" i="5"/>
  <c r="K153" i="5"/>
  <c r="K156" i="5"/>
  <c r="O216" i="5"/>
  <c r="O156" i="5"/>
  <c r="O153" i="5"/>
  <c r="CE216" i="5"/>
  <c r="CE153" i="5"/>
  <c r="CE156" i="5"/>
  <c r="CE262" i="5"/>
  <c r="CW216" i="5"/>
  <c r="CW156" i="5"/>
  <c r="CD134" i="5"/>
  <c r="BL75" i="5"/>
  <c r="BL216" i="5"/>
  <c r="BL156" i="5"/>
  <c r="BL153" i="5"/>
  <c r="BX76" i="5"/>
  <c r="CC43" i="5"/>
  <c r="DG67" i="5"/>
  <c r="DG68" i="5" s="1"/>
  <c r="DL64" i="5"/>
  <c r="AD68" i="5"/>
  <c r="AG75" i="5"/>
  <c r="AG216" i="5"/>
  <c r="AG153" i="5"/>
  <c r="AG156" i="5"/>
  <c r="BX92" i="5"/>
  <c r="BX93" i="5" s="1"/>
  <c r="BX85" i="5"/>
  <c r="BX86" i="5" s="1"/>
  <c r="BX84" i="5"/>
  <c r="BX80" i="5"/>
  <c r="R13" i="301"/>
  <c r="CM139" i="5"/>
  <c r="CW148" i="5"/>
  <c r="CW154" i="5" s="1"/>
  <c r="CW218" i="5" s="1"/>
  <c r="CS154" i="5"/>
  <c r="DB137" i="5"/>
  <c r="DB136" i="5"/>
  <c r="CR75" i="5"/>
  <c r="CW97" i="5"/>
  <c r="G46" i="301"/>
  <c r="F220" i="5"/>
  <c r="BS218" i="5"/>
  <c r="AO218" i="5"/>
  <c r="AO155" i="5"/>
  <c r="BQ220" i="5"/>
  <c r="BS134" i="5"/>
  <c r="BI367" i="5"/>
  <c r="BI363" i="5"/>
  <c r="Z359" i="5"/>
  <c r="BC279" i="5"/>
  <c r="BD279" i="5" s="1"/>
  <c r="BM259" i="5"/>
  <c r="BR279" i="5"/>
  <c r="BR277" i="5"/>
  <c r="BS277" i="5" s="1"/>
  <c r="BS278" i="5" s="1"/>
  <c r="DB318" i="5"/>
  <c r="AE62" i="5"/>
  <c r="CN130" i="5"/>
  <c r="CN90" i="5"/>
  <c r="CN91" i="5" s="1"/>
  <c r="CN26" i="5"/>
  <c r="AM75" i="5"/>
  <c r="BO75" i="5"/>
  <c r="AF75" i="5"/>
  <c r="AF216" i="5"/>
  <c r="AF156" i="5"/>
  <c r="AF153" i="5"/>
  <c r="O10" i="301"/>
  <c r="DG22" i="5"/>
  <c r="DG23" i="5"/>
  <c r="DB23" i="5"/>
  <c r="DQ92" i="5"/>
  <c r="DQ93" i="5" s="1"/>
  <c r="CR93" i="5"/>
  <c r="L220" i="5"/>
  <c r="DP90" i="5"/>
  <c r="CW112" i="5"/>
  <c r="CW113" i="5" s="1"/>
  <c r="AE218" i="5"/>
  <c r="AE155" i="5"/>
  <c r="M220" i="5"/>
  <c r="BX119" i="5"/>
  <c r="K142" i="5"/>
  <c r="AN319" i="5"/>
  <c r="AN311" i="5"/>
  <c r="AN303" i="5"/>
  <c r="AN237" i="5"/>
  <c r="BR218" i="5"/>
  <c r="BR155" i="5"/>
  <c r="CA220" i="5"/>
  <c r="CG220" i="5"/>
  <c r="AI220" i="5"/>
  <c r="BI176" i="5"/>
  <c r="BS263" i="5"/>
  <c r="BS267" i="5"/>
  <c r="DR17" i="5"/>
  <c r="Z76" i="5"/>
  <c r="BR75" i="5"/>
  <c r="BI74" i="5"/>
  <c r="BI75" i="5" s="1"/>
  <c r="BI73" i="5"/>
  <c r="BI66" i="5"/>
  <c r="BI63" i="5"/>
  <c r="S216" i="5"/>
  <c r="S153" i="5"/>
  <c r="S156" i="5"/>
  <c r="AE76" i="5"/>
  <c r="CA75" i="5"/>
  <c r="CA216" i="5"/>
  <c r="CA235" i="5" s="1"/>
  <c r="CA153" i="5"/>
  <c r="CA156" i="5"/>
  <c r="CM76" i="5"/>
  <c r="CW77" i="5"/>
  <c r="CW78" i="5" s="1"/>
  <c r="CW75" i="5"/>
  <c r="G41" i="301" s="1"/>
  <c r="BH216" i="5"/>
  <c r="BH245" i="5" s="1"/>
  <c r="BH156" i="5"/>
  <c r="BH153" i="5"/>
  <c r="AK75" i="5"/>
  <c r="AK216" i="5"/>
  <c r="AK153" i="5"/>
  <c r="AK156" i="5"/>
  <c r="BI309" i="5"/>
  <c r="BI290" i="5"/>
  <c r="BQ75" i="5"/>
  <c r="BY216" i="5"/>
  <c r="BY237" i="5" s="1"/>
  <c r="BY156" i="5"/>
  <c r="BY153" i="5"/>
  <c r="BY262" i="5"/>
  <c r="P13" i="301"/>
  <c r="CC139" i="5"/>
  <c r="CY88" i="5"/>
  <c r="CX150" i="5"/>
  <c r="BS75" i="5"/>
  <c r="T235" i="5"/>
  <c r="T220" i="5"/>
  <c r="T237" i="5" s="1"/>
  <c r="AZ142" i="5"/>
  <c r="AZ218" i="5"/>
  <c r="AZ155" i="5"/>
  <c r="BD154" i="5"/>
  <c r="AM220" i="5"/>
  <c r="BM218" i="5"/>
  <c r="CN218" i="5"/>
  <c r="CN155" i="5"/>
  <c r="BI111" i="5"/>
  <c r="DB109" i="5"/>
  <c r="CY112" i="5"/>
  <c r="CY113" i="5" s="1"/>
  <c r="CY114" i="5"/>
  <c r="CY94" i="5"/>
  <c r="BB218" i="5"/>
  <c r="BB155" i="5"/>
  <c r="CL220" i="5"/>
  <c r="BT194" i="5"/>
  <c r="BT195" i="5"/>
  <c r="BU194" i="5"/>
  <c r="BY195" i="5"/>
  <c r="BH359" i="5"/>
  <c r="AY359" i="5"/>
  <c r="DA269" i="5"/>
  <c r="DA188" i="5"/>
  <c r="DB188" i="5" s="1"/>
  <c r="DB191" i="5" s="1"/>
  <c r="DA270" i="5"/>
  <c r="CG266" i="5"/>
  <c r="CH266" i="5" s="1"/>
  <c r="Q35" i="301" s="1"/>
  <c r="CG264" i="5"/>
  <c r="CG263" i="5"/>
  <c r="CG262" i="5"/>
  <c r="CH259" i="5"/>
  <c r="S36" i="301"/>
  <c r="CW267" i="5"/>
  <c r="CM278" i="5"/>
  <c r="R41" i="301"/>
  <c r="R42" i="301" s="1"/>
  <c r="CZ221" i="5"/>
  <c r="CZ132" i="5"/>
  <c r="CC270" i="5"/>
  <c r="CH216" i="5"/>
  <c r="BP303" i="5"/>
  <c r="BP319" i="5"/>
  <c r="BP311" i="5"/>
  <c r="AL216" i="5"/>
  <c r="AL153" i="5"/>
  <c r="AL156" i="5"/>
  <c r="AO217" i="5"/>
  <c r="AO30" i="5"/>
  <c r="AO31" i="5"/>
  <c r="AO72" i="5"/>
  <c r="AL32" i="5"/>
  <c r="AL34" i="5"/>
  <c r="DP34" i="5" s="1"/>
  <c r="AY125" i="5"/>
  <c r="AX126" i="5"/>
  <c r="AX222" i="5" s="1"/>
  <c r="BM216" i="5"/>
  <c r="BM156" i="5"/>
  <c r="BM153" i="5"/>
  <c r="BT93" i="5"/>
  <c r="BY93" i="5"/>
  <c r="AB220" i="5"/>
  <c r="BE220" i="5"/>
  <c r="CR216" i="5"/>
  <c r="CR153" i="5"/>
  <c r="BL93" i="5"/>
  <c r="BQ93" i="5"/>
  <c r="R235" i="5"/>
  <c r="R220" i="5"/>
  <c r="R237" i="5" s="1"/>
  <c r="CW236" i="5"/>
  <c r="BY319" i="5"/>
  <c r="BY303" i="5"/>
  <c r="BY311" i="5"/>
  <c r="BS138" i="5"/>
  <c r="BJ218" i="5"/>
  <c r="BN154" i="5"/>
  <c r="BJ155" i="5"/>
  <c r="BO218" i="5"/>
  <c r="CB220" i="5"/>
  <c r="BI194" i="5"/>
  <c r="BI195" i="5"/>
  <c r="BJ359" i="5"/>
  <c r="BQ359" i="5"/>
  <c r="BS279" i="5"/>
  <c r="DG7" i="5"/>
  <c r="DG8" i="5" s="1"/>
  <c r="DL9" i="5"/>
  <c r="DL11" i="5" s="1"/>
  <c r="CR130" i="5"/>
  <c r="CR26" i="5"/>
  <c r="CR90" i="5"/>
  <c r="BF216" i="5"/>
  <c r="BF153" i="5"/>
  <c r="BF156" i="5"/>
  <c r="BF262" i="5"/>
  <c r="CH33" i="5"/>
  <c r="CH32" i="5"/>
  <c r="E40" i="301" s="1"/>
  <c r="CP216" i="5"/>
  <c r="CP153" i="5"/>
  <c r="CP156" i="5"/>
  <c r="CP262" i="5"/>
  <c r="AM216" i="5"/>
  <c r="AM156" i="5"/>
  <c r="AM153" i="5"/>
  <c r="BG216" i="5"/>
  <c r="BG153" i="5"/>
  <c r="BG156" i="5"/>
  <c r="P262" i="5"/>
  <c r="P216" i="5"/>
  <c r="P156" i="5"/>
  <c r="P153" i="5"/>
  <c r="AV216" i="5"/>
  <c r="AV156" i="5"/>
  <c r="AV262" i="5"/>
  <c r="CF216" i="5"/>
  <c r="CF156" i="5"/>
  <c r="CF153" i="5"/>
  <c r="AW262" i="5"/>
  <c r="AW216" i="5"/>
  <c r="AW239" i="5" s="1"/>
  <c r="AW156" i="5"/>
  <c r="CO216" i="5"/>
  <c r="CO156" i="5"/>
  <c r="CO153" i="5"/>
  <c r="CO262" i="5"/>
  <c r="CR154" i="5"/>
  <c r="CR144" i="5"/>
  <c r="CR141" i="5"/>
  <c r="CR149" i="5"/>
  <c r="CR140" i="5"/>
  <c r="BD112" i="5"/>
  <c r="BI113" i="5" s="1"/>
  <c r="BD110" i="5"/>
  <c r="BD96" i="5"/>
  <c r="BD114" i="5"/>
  <c r="BU93" i="5"/>
  <c r="BZ93" i="5"/>
  <c r="DA227" i="5"/>
  <c r="AO367" i="5"/>
  <c r="AO363" i="5"/>
  <c r="DA300" i="5"/>
  <c r="DA304" i="5" s="1"/>
  <c r="DB298" i="5"/>
  <c r="DB118" i="5"/>
  <c r="T15" i="301"/>
  <c r="AI138" i="5"/>
  <c r="CY130" i="5"/>
  <c r="CY26" i="5"/>
  <c r="N216" i="5"/>
  <c r="N153" i="5"/>
  <c r="N156" i="5"/>
  <c r="BZ216" i="5"/>
  <c r="BZ153" i="5"/>
  <c r="BZ156" i="5"/>
  <c r="AA75" i="5"/>
  <c r="BS32" i="5"/>
  <c r="BS33" i="5"/>
  <c r="CN134" i="5"/>
  <c r="P76" i="5"/>
  <c r="BH75" i="5"/>
  <c r="Z75" i="5"/>
  <c r="AC75" i="5"/>
  <c r="F262" i="5"/>
  <c r="F216" i="5"/>
  <c r="F156" i="5"/>
  <c r="BD75" i="5"/>
  <c r="I235" i="5"/>
  <c r="I220" i="5"/>
  <c r="J220" i="5"/>
  <c r="Z218" i="5"/>
  <c r="Z155" i="5"/>
  <c r="BC235" i="5"/>
  <c r="BC220" i="5"/>
  <c r="BI149" i="5"/>
  <c r="BI150" i="5" s="1"/>
  <c r="BI141" i="5"/>
  <c r="BI142" i="5" s="1"/>
  <c r="BI140" i="5"/>
  <c r="BI144" i="5"/>
  <c r="BI145" i="5" s="1"/>
  <c r="CZ229" i="5"/>
  <c r="CZ176" i="5"/>
  <c r="BS195" i="5"/>
  <c r="BS194" i="5"/>
  <c r="BX195" i="5"/>
  <c r="BX194" i="5"/>
  <c r="DB269" i="5"/>
  <c r="CC266" i="5"/>
  <c r="P35" i="301" s="1"/>
  <c r="BW263" i="5"/>
  <c r="BW262" i="5"/>
  <c r="BX259" i="5"/>
  <c r="DB323" i="5"/>
  <c r="BN43" i="5"/>
  <c r="CB263" i="5"/>
  <c r="CB262" i="5"/>
  <c r="BN75" i="5"/>
  <c r="CD26" i="5"/>
  <c r="BT130" i="5"/>
  <c r="BT90" i="5"/>
  <c r="BT91" i="5" s="1"/>
  <c r="BT26" i="5"/>
  <c r="BV216" i="5"/>
  <c r="BV153" i="5"/>
  <c r="BV156" i="5"/>
  <c r="DR50" i="5"/>
  <c r="AM62" i="5"/>
  <c r="BG130" i="5"/>
  <c r="BG26" i="5"/>
  <c r="BL26" i="5"/>
  <c r="BG90" i="5"/>
  <c r="BJ216" i="5"/>
  <c r="BJ245" i="5" s="1"/>
  <c r="BJ153" i="5"/>
  <c r="BN152" i="5"/>
  <c r="BJ156" i="5"/>
  <c r="BJ262" i="5"/>
  <c r="CL216" i="5"/>
  <c r="CL153" i="5"/>
  <c r="CL156" i="5"/>
  <c r="CL262" i="5"/>
  <c r="CC130" i="5"/>
  <c r="CC26" i="5"/>
  <c r="CC90" i="5"/>
  <c r="AI75" i="5"/>
  <c r="BK216" i="5"/>
  <c r="BK153" i="5"/>
  <c r="BK156" i="5"/>
  <c r="CM32" i="5"/>
  <c r="F40" i="301" s="1"/>
  <c r="CM33" i="5"/>
  <c r="AE262" i="5"/>
  <c r="AE216" i="5"/>
  <c r="AE156" i="5"/>
  <c r="AE153" i="5"/>
  <c r="BN110" i="5"/>
  <c r="AK34" i="5"/>
  <c r="DO34" i="5" s="1"/>
  <c r="AK32" i="5"/>
  <c r="AB75" i="5"/>
  <c r="AB216" i="5"/>
  <c r="AB235" i="5" s="1"/>
  <c r="AB156" i="5"/>
  <c r="AB153" i="5"/>
  <c r="CJ75" i="5"/>
  <c r="E178" i="5"/>
  <c r="E157" i="5"/>
  <c r="E162" i="5" s="1"/>
  <c r="E160" i="5"/>
  <c r="I216" i="5"/>
  <c r="I153" i="5"/>
  <c r="I156" i="5"/>
  <c r="BA216" i="5"/>
  <c r="BA156" i="5"/>
  <c r="BA153" i="5"/>
  <c r="CK216" i="5"/>
  <c r="CK156" i="5"/>
  <c r="CK153" i="5"/>
  <c r="CK262" i="5"/>
  <c r="S235" i="5"/>
  <c r="S220" i="5"/>
  <c r="S237" i="5" s="1"/>
  <c r="CM216" i="5"/>
  <c r="CM234" i="5" s="1"/>
  <c r="CM153" i="5"/>
  <c r="DA114" i="5"/>
  <c r="DA94" i="5"/>
  <c r="DA100" i="5"/>
  <c r="DA112" i="5"/>
  <c r="DA113" i="5" s="1"/>
  <c r="BX216" i="5"/>
  <c r="CU218" i="5"/>
  <c r="CU156" i="5"/>
  <c r="BF218" i="5"/>
  <c r="BF155" i="5"/>
  <c r="CE235" i="5"/>
  <c r="CE220" i="5"/>
  <c r="DB190" i="5"/>
  <c r="DG189" i="5"/>
  <c r="T28" i="301"/>
  <c r="AL235" i="5"/>
  <c r="AL220" i="5"/>
  <c r="BR359" i="5"/>
  <c r="BP359" i="5"/>
  <c r="CC195" i="5"/>
  <c r="BL359" i="5"/>
  <c r="BL245" i="5"/>
  <c r="BG262" i="5"/>
  <c r="BW277" i="5"/>
  <c r="BW279" i="5"/>
  <c r="BX279" i="5" s="1"/>
  <c r="BZ262" i="5"/>
  <c r="F295" i="5"/>
  <c r="F297" i="5"/>
  <c r="AE86" i="5"/>
  <c r="BX130" i="5"/>
  <c r="BX26" i="5"/>
  <c r="BX90" i="5"/>
  <c r="BX91" i="5" s="1"/>
  <c r="J216" i="5"/>
  <c r="J153" i="5"/>
  <c r="J156" i="5"/>
  <c r="BN33" i="5"/>
  <c r="BN32" i="5"/>
  <c r="BI25" i="5"/>
  <c r="BE25" i="5"/>
  <c r="BD25" i="5"/>
  <c r="W216" i="5"/>
  <c r="W156" i="5"/>
  <c r="W153" i="5"/>
  <c r="AU216" i="5"/>
  <c r="AY152" i="5"/>
  <c r="AU156" i="5"/>
  <c r="AU262" i="5"/>
  <c r="BW216" i="5"/>
  <c r="BW235" i="5" s="1"/>
  <c r="BW153" i="5"/>
  <c r="BW156" i="5"/>
  <c r="BR86" i="5"/>
  <c r="BD309" i="5"/>
  <c r="BD290" i="5"/>
  <c r="BT216" i="5"/>
  <c r="BT156" i="5"/>
  <c r="BT153" i="5"/>
  <c r="BT262" i="5"/>
  <c r="DA24" i="5"/>
  <c r="DA25" i="5" s="1"/>
  <c r="DB19" i="5"/>
  <c r="Y75" i="5"/>
  <c r="Y216" i="5"/>
  <c r="Y153" i="5"/>
  <c r="Y156" i="5"/>
  <c r="AA34" i="5"/>
  <c r="G235" i="5"/>
  <c r="G220" i="5"/>
  <c r="W220" i="5"/>
  <c r="W237" i="5" s="1"/>
  <c r="BN85" i="5"/>
  <c r="BN86" i="5" s="1"/>
  <c r="BN92" i="5"/>
  <c r="BN93" i="5" s="1"/>
  <c r="BN84" i="5"/>
  <c r="BN80" i="5"/>
  <c r="BN139" i="5" s="1"/>
  <c r="CM86" i="5"/>
  <c r="DO92" i="5"/>
  <c r="DG251" i="5"/>
  <c r="DG223" i="5"/>
  <c r="DY132" i="5"/>
  <c r="DL127" i="5"/>
  <c r="U17" i="301"/>
  <c r="Y218" i="5"/>
  <c r="Y155" i="5"/>
  <c r="CR119" i="5"/>
  <c r="BA218" i="5"/>
  <c r="BA155" i="5"/>
  <c r="BN148" i="5"/>
  <c r="AJ150" i="5"/>
  <c r="BW150" i="5"/>
  <c r="AO150" i="5"/>
  <c r="CJ220" i="5"/>
  <c r="CK235" i="5"/>
  <c r="CK220" i="5"/>
  <c r="BJ194" i="5"/>
  <c r="BJ195" i="5"/>
  <c r="BO195" i="5"/>
  <c r="BK194" i="5"/>
  <c r="DB194" i="5"/>
  <c r="DB195" i="5"/>
  <c r="BI359" i="5"/>
  <c r="CB266" i="5"/>
  <c r="BK262" i="5"/>
  <c r="DB273" i="5"/>
  <c r="DB276" i="5" s="1"/>
  <c r="DB261" i="5"/>
  <c r="CZ313" i="5"/>
  <c r="CZ170" i="5" s="1"/>
  <c r="CZ171" i="5" s="1"/>
  <c r="CY170" i="5"/>
  <c r="CY171" i="5" s="1"/>
  <c r="BH277" i="5"/>
  <c r="BH279" i="5"/>
  <c r="BI279" i="5" s="1"/>
  <c r="BI278" i="5"/>
  <c r="U281" i="5"/>
  <c r="U282" i="5" s="1"/>
  <c r="P285" i="5"/>
  <c r="P287" i="5" s="1"/>
  <c r="CM26" i="5"/>
  <c r="CM130" i="5"/>
  <c r="CS130" i="5"/>
  <c r="CS26" i="5"/>
  <c r="CX26" i="5"/>
  <c r="CS90" i="5"/>
  <c r="B160" i="5"/>
  <c r="B178" i="5"/>
  <c r="B157" i="5"/>
  <c r="B162" i="5" s="1"/>
  <c r="AH216" i="5"/>
  <c r="AH153" i="5"/>
  <c r="AH156" i="5"/>
  <c r="BF75" i="5"/>
  <c r="DU43" i="5"/>
  <c r="DA77" i="5"/>
  <c r="DA78" i="5" s="1"/>
  <c r="DA75" i="5"/>
  <c r="CC152" i="5"/>
  <c r="CH153" i="5" s="1"/>
  <c r="CC74" i="5"/>
  <c r="CC75" i="5" s="1"/>
  <c r="CC73" i="5"/>
  <c r="CC66" i="5"/>
  <c r="P11" i="301"/>
  <c r="CC63" i="5"/>
  <c r="BD93" i="5"/>
  <c r="CQ216" i="5"/>
  <c r="CQ153" i="5"/>
  <c r="CQ156" i="5"/>
  <c r="CT216" i="5"/>
  <c r="CU216" i="5"/>
  <c r="CQ262" i="5"/>
  <c r="X216" i="5"/>
  <c r="X235" i="5" s="1"/>
  <c r="X156" i="5"/>
  <c r="X153" i="5"/>
  <c r="BX32" i="5"/>
  <c r="BX33" i="5"/>
  <c r="DQ17" i="5"/>
  <c r="BI76" i="5"/>
  <c r="CR43" i="5"/>
  <c r="AA218" i="5"/>
  <c r="DL69" i="5"/>
  <c r="DL70" i="5" s="1"/>
  <c r="DG70" i="5"/>
  <c r="H220" i="5"/>
  <c r="CW114" i="5"/>
  <c r="BG218" i="5"/>
  <c r="BN119" i="5"/>
  <c r="CH119" i="5"/>
  <c r="K218" i="5"/>
  <c r="K155" i="5"/>
  <c r="BK111" i="5"/>
  <c r="BP111" i="5"/>
  <c r="AY141" i="5"/>
  <c r="AY144" i="5"/>
  <c r="AY149" i="5"/>
  <c r="AX218" i="5"/>
  <c r="BO150" i="5"/>
  <c r="CI220" i="5"/>
  <c r="BP145" i="5"/>
  <c r="BE195" i="5"/>
  <c r="BA194" i="5"/>
  <c r="BW264" i="5"/>
  <c r="BX264" i="5" s="1"/>
  <c r="BH264" i="5"/>
  <c r="BI264" i="5" s="1"/>
  <c r="DA129" i="5"/>
  <c r="BP431" i="5"/>
  <c r="BP430" i="5"/>
  <c r="BP429" i="5"/>
  <c r="BQ408" i="5"/>
  <c r="DZ11" i="5"/>
  <c r="BO91" i="5"/>
  <c r="CY116" i="5"/>
  <c r="DB115" i="5"/>
  <c r="DB116" i="5" s="1"/>
  <c r="AI62" i="5"/>
  <c r="AI142" i="5"/>
  <c r="CZ25" i="5"/>
  <c r="CZ88" i="5" s="1"/>
  <c r="N75" i="5"/>
  <c r="BZ75" i="5"/>
  <c r="DO44" i="5"/>
  <c r="AA216" i="5"/>
  <c r="AA153" i="5"/>
  <c r="AA156" i="5"/>
  <c r="BS309" i="5"/>
  <c r="BS290" i="5"/>
  <c r="CI216" i="5"/>
  <c r="CI235" i="5" s="1"/>
  <c r="CI153" i="5"/>
  <c r="CI156" i="5"/>
  <c r="CI262" i="5"/>
  <c r="L75" i="5"/>
  <c r="L216" i="5"/>
  <c r="L156" i="5"/>
  <c r="L153" i="5"/>
  <c r="BP216" i="5"/>
  <c r="BP237" i="5" s="1"/>
  <c r="BP156" i="5"/>
  <c r="BP153" i="5"/>
  <c r="BP262" i="5"/>
  <c r="CR32" i="5"/>
  <c r="CR33" i="5"/>
  <c r="DO17" i="5"/>
  <c r="AC216" i="5"/>
  <c r="AC235" i="5" s="1"/>
  <c r="AC153" i="5"/>
  <c r="AC156" i="5"/>
  <c r="BQ216" i="5"/>
  <c r="BQ235" i="5" s="1"/>
  <c r="BQ156" i="5"/>
  <c r="BQ153" i="5"/>
  <c r="BQ262" i="5"/>
  <c r="BY75" i="5"/>
  <c r="CZ217" i="5"/>
  <c r="CZ30" i="5"/>
  <c r="CZ72" i="5"/>
  <c r="CC86" i="5"/>
  <c r="CP218" i="5"/>
  <c r="CP155" i="5"/>
  <c r="CX145" i="5"/>
  <c r="CX154" i="5"/>
  <c r="BU218" i="5"/>
  <c r="CV178" i="5"/>
  <c r="CV160" i="5"/>
  <c r="CV157" i="5"/>
  <c r="CO218" i="5"/>
  <c r="CO155" i="5"/>
  <c r="Z142" i="5"/>
  <c r="CV218" i="5"/>
  <c r="AK235" i="5"/>
  <c r="AK220" i="5"/>
  <c r="DA228" i="5"/>
  <c r="DA174" i="5"/>
  <c r="DB173" i="5"/>
  <c r="CH359" i="5"/>
  <c r="CH245" i="5"/>
  <c r="CF262" i="5"/>
  <c r="AJ279" i="5"/>
  <c r="AJ264" i="5"/>
  <c r="CH43" i="5"/>
  <c r="CF319" i="5"/>
  <c r="CF237" i="5"/>
  <c r="CF311" i="5"/>
  <c r="CF303" i="5"/>
  <c r="CJ216" i="5"/>
  <c r="CJ235" i="5" s="1"/>
  <c r="CJ156" i="5"/>
  <c r="CJ153" i="5"/>
  <c r="CJ262" i="5"/>
  <c r="P10" i="301"/>
  <c r="BN367" i="5"/>
  <c r="BN363" i="5"/>
  <c r="BH263" i="5"/>
  <c r="BH262" i="5"/>
  <c r="BI259" i="5"/>
  <c r="BB263" i="5"/>
  <c r="BB262" i="5"/>
  <c r="BC259" i="5"/>
  <c r="BC264" i="5" s="1"/>
  <c r="BD264" i="5" s="1"/>
  <c r="BB266" i="5"/>
  <c r="CH26" i="5"/>
  <c r="DV43" i="5"/>
  <c r="DV45" i="5" s="1"/>
  <c r="BH130" i="5"/>
  <c r="BH26" i="5"/>
  <c r="BM26" i="5"/>
  <c r="BH90" i="5"/>
  <c r="AD216" i="5"/>
  <c r="AD153" i="5"/>
  <c r="AD156" i="5"/>
  <c r="BJ75" i="5"/>
  <c r="CL75" i="5"/>
  <c r="AN32" i="5"/>
  <c r="AN34" i="5"/>
  <c r="DR34" i="5" s="1"/>
  <c r="AN138" i="5"/>
  <c r="C160" i="5"/>
  <c r="C178" i="5"/>
  <c r="C157" i="5"/>
  <c r="C162" i="5" s="1"/>
  <c r="G216" i="5"/>
  <c r="G156" i="5"/>
  <c r="G153" i="5"/>
  <c r="AI216" i="5"/>
  <c r="AI235" i="5" s="1"/>
  <c r="AI153" i="5"/>
  <c r="AI156" i="5"/>
  <c r="CY308" i="5"/>
  <c r="AZ216" i="5"/>
  <c r="AZ156" i="5"/>
  <c r="BD152" i="5"/>
  <c r="AZ153" i="5"/>
  <c r="AZ262" i="5"/>
  <c r="CB216" i="5"/>
  <c r="CB156" i="5"/>
  <c r="CB153" i="5"/>
  <c r="DU38" i="5"/>
  <c r="DG57" i="5"/>
  <c r="DG61" i="5"/>
  <c r="DG62" i="5" s="1"/>
  <c r="DL59" i="5"/>
  <c r="P90" i="5"/>
  <c r="P89" i="5"/>
  <c r="U89" i="5"/>
  <c r="P92" i="5"/>
  <c r="U76" i="5"/>
  <c r="AM34" i="5"/>
  <c r="DQ34" i="5" s="1"/>
  <c r="CC33" i="5"/>
  <c r="CC32" i="5"/>
  <c r="Q13" i="301"/>
  <c r="CH139" i="5"/>
  <c r="AU218" i="5"/>
  <c r="AY154" i="5"/>
  <c r="AY218" i="5" s="1"/>
  <c r="AV218" i="5"/>
  <c r="BK142" i="5"/>
  <c r="AD150" i="5"/>
  <c r="N235" i="5"/>
  <c r="N220" i="5"/>
  <c r="N237" i="5" s="1"/>
  <c r="CD220" i="5"/>
  <c r="CT218" i="5"/>
  <c r="CT156" i="5"/>
  <c r="P218" i="5"/>
  <c r="P155" i="5"/>
  <c r="BD138" i="5"/>
  <c r="U218" i="5"/>
  <c r="U155" i="5"/>
  <c r="AI150" i="5"/>
  <c r="CC194" i="5"/>
  <c r="BX277" i="5"/>
  <c r="BA262" i="5"/>
  <c r="CM262" i="5"/>
  <c r="AY297" i="5"/>
  <c r="DL5" i="5"/>
  <c r="BN290" i="5"/>
  <c r="BN309" i="5"/>
  <c r="CD216" i="5"/>
  <c r="CD153" i="5"/>
  <c r="CD156" i="5"/>
  <c r="CD262" i="5"/>
  <c r="CZ308" i="5"/>
  <c r="D178" i="5"/>
  <c r="D157" i="5"/>
  <c r="D162" i="5" s="1"/>
  <c r="D160" i="5"/>
  <c r="H216" i="5"/>
  <c r="H156" i="5"/>
  <c r="H153" i="5"/>
  <c r="AD62" i="5"/>
  <c r="DA20" i="5"/>
  <c r="BE134" i="5"/>
  <c r="BJ134" i="5"/>
  <c r="BM75" i="5"/>
  <c r="BU216" i="5"/>
  <c r="BU245" i="5" s="1"/>
  <c r="BU156" i="5"/>
  <c r="BU153" i="5"/>
  <c r="BU262" i="5"/>
  <c r="CM93" i="5"/>
  <c r="DG299" i="5"/>
  <c r="DL299" i="5" s="1"/>
  <c r="X220" i="5"/>
  <c r="X237" i="5" s="1"/>
  <c r="BI154" i="5"/>
  <c r="Q235" i="5"/>
  <c r="Q220" i="5"/>
  <c r="Q237" i="5" s="1"/>
  <c r="BL86" i="5"/>
  <c r="BN96" i="5"/>
  <c r="BN112" i="5" s="1"/>
  <c r="BJ142" i="5"/>
  <c r="BO142" i="5"/>
  <c r="AJ218" i="5"/>
  <c r="AJ155" i="5"/>
  <c r="BO155" i="5"/>
  <c r="BN194" i="5"/>
  <c r="BN195" i="5"/>
  <c r="DB198" i="5"/>
  <c r="DG196" i="5"/>
  <c r="DG193" i="5" s="1"/>
  <c r="DB197" i="5"/>
  <c r="BS229" i="5"/>
  <c r="BS176" i="5"/>
  <c r="BL263" i="5"/>
  <c r="BL262" i="5"/>
  <c r="BL266" i="5"/>
  <c r="BI277" i="5"/>
  <c r="K344" i="5"/>
  <c r="K288" i="5"/>
  <c r="K291" i="5"/>
  <c r="K294" i="5" s="1"/>
  <c r="K375" i="5"/>
  <c r="CW26" i="5"/>
  <c r="CW130" i="5"/>
  <c r="AH75" i="5"/>
  <c r="AX262" i="5"/>
  <c r="AX216" i="5"/>
  <c r="AX156" i="5"/>
  <c r="CH290" i="5"/>
  <c r="CH234" i="5"/>
  <c r="CH309" i="5"/>
  <c r="DA153" i="5"/>
  <c r="DA262" i="5"/>
  <c r="AY309" i="5"/>
  <c r="BO262" i="5"/>
  <c r="BO216" i="5"/>
  <c r="BS152" i="5"/>
  <c r="BO153" i="5"/>
  <c r="BO156" i="5"/>
  <c r="DA289" i="5"/>
  <c r="CQ75" i="5"/>
  <c r="P75" i="5"/>
  <c r="CJ91" i="5"/>
  <c r="CY221" i="5"/>
  <c r="CY132" i="5"/>
  <c r="AJ76" i="5"/>
  <c r="BX234" i="5"/>
  <c r="BX290" i="5"/>
  <c r="BX309" i="5"/>
  <c r="CN216" i="5"/>
  <c r="CN156" i="5"/>
  <c r="CN153" i="5"/>
  <c r="CN262" i="5"/>
  <c r="U262" i="5"/>
  <c r="U216" i="5"/>
  <c r="U153" i="5"/>
  <c r="U156" i="5"/>
  <c r="M75" i="5"/>
  <c r="M216" i="5"/>
  <c r="M153" i="5"/>
  <c r="M156" i="5"/>
  <c r="BE262" i="5"/>
  <c r="BE216" i="5"/>
  <c r="BE156" i="5"/>
  <c r="BE153" i="5"/>
  <c r="BI152" i="5"/>
  <c r="CG216" i="5"/>
  <c r="CG156" i="5"/>
  <c r="CG153" i="5"/>
  <c r="CO75" i="5"/>
  <c r="BS84" i="5"/>
  <c r="CR86" i="5"/>
  <c r="CM90" i="5"/>
  <c r="CM91" i="5" s="1"/>
  <c r="BN116" i="5"/>
  <c r="K150" i="5"/>
  <c r="V220" i="5"/>
  <c r="BK113" i="5"/>
  <c r="BP113" i="5"/>
  <c r="BZ235" i="5"/>
  <c r="BZ220" i="5"/>
  <c r="BH218" i="5"/>
  <c r="BH155" i="5"/>
  <c r="AI155" i="5"/>
  <c r="AO229" i="5"/>
  <c r="AO176" i="5"/>
  <c r="BI257" i="5"/>
  <c r="DG11" i="5"/>
  <c r="DG12" i="5" s="1"/>
  <c r="AI68" i="5"/>
  <c r="V216" i="5"/>
  <c r="V235" i="5" s="1"/>
  <c r="V153" i="5"/>
  <c r="V156" i="5"/>
  <c r="BR216" i="5"/>
  <c r="BR245" i="5" s="1"/>
  <c r="BR153" i="5"/>
  <c r="BR156" i="5"/>
  <c r="AJ217" i="5"/>
  <c r="AJ30" i="5"/>
  <c r="AJ31" i="5"/>
  <c r="AJ32" i="5" s="1"/>
  <c r="AJ72" i="5"/>
  <c r="S75" i="5"/>
  <c r="CI75" i="5"/>
  <c r="S10" i="301"/>
  <c r="BT134" i="5"/>
  <c r="BP75" i="5"/>
  <c r="CR234" i="5"/>
  <c r="CR309" i="5"/>
  <c r="CR290" i="5"/>
  <c r="Z262" i="5"/>
  <c r="Z216" i="5"/>
  <c r="Z245" i="5" s="1"/>
  <c r="Z153" i="5"/>
  <c r="Z156" i="5"/>
  <c r="AO76" i="5"/>
  <c r="BI33" i="5"/>
  <c r="BI32" i="5"/>
  <c r="CC76" i="5"/>
  <c r="O235" i="5"/>
  <c r="O220" i="5"/>
  <c r="O237" i="5" s="1"/>
  <c r="BT218" i="5"/>
  <c r="CC93" i="5"/>
  <c r="BL218" i="5"/>
  <c r="BY86" i="5"/>
  <c r="AZ150" i="5"/>
  <c r="CV233" i="5"/>
  <c r="CV234" i="5"/>
  <c r="CV244" i="5"/>
  <c r="CV238" i="5"/>
  <c r="CV243" i="5"/>
  <c r="BM155" i="5"/>
  <c r="BI121" i="5"/>
  <c r="BI97" i="5"/>
  <c r="BI114" i="5"/>
  <c r="BM93" i="5"/>
  <c r="DR92" i="5"/>
  <c r="DR93" i="5" s="1"/>
  <c r="BX113" i="5"/>
  <c r="Z150" i="5"/>
  <c r="CW141" i="5"/>
  <c r="CW142" i="5" s="1"/>
  <c r="G43" i="301" s="1"/>
  <c r="CW144" i="5"/>
  <c r="CW145" i="5" s="1"/>
  <c r="G44" i="301" s="1"/>
  <c r="CW149" i="5"/>
  <c r="CW150" i="5" s="1"/>
  <c r="G45" i="301" s="1"/>
  <c r="S16" i="301"/>
  <c r="AG218" i="5"/>
  <c r="BI138" i="5"/>
  <c r="BO145" i="5"/>
  <c r="CY328" i="5"/>
  <c r="CZ328" i="5" s="1"/>
  <c r="CY272" i="5"/>
  <c r="CY278" i="5" s="1"/>
  <c r="BK359" i="5"/>
  <c r="BK245" i="5"/>
  <c r="BW266" i="5"/>
  <c r="BX266" i="5" s="1"/>
  <c r="O35" i="301" s="1"/>
  <c r="BV262" i="5"/>
  <c r="DL302" i="5"/>
  <c r="CY289" i="5" l="1"/>
  <c r="DG58" i="5"/>
  <c r="DG13" i="5"/>
  <c r="DG14" i="5" s="1"/>
  <c r="DL12" i="5"/>
  <c r="S21" i="301"/>
  <c r="DA328" i="5"/>
  <c r="DB328" i="5" s="1"/>
  <c r="DB270" i="5"/>
  <c r="DA26" i="5"/>
  <c r="DA130" i="5"/>
  <c r="DA88" i="5"/>
  <c r="BN113" i="5"/>
  <c r="BS113" i="5"/>
  <c r="CZ89" i="5"/>
  <c r="CZ83" i="5"/>
  <c r="Z224" i="5"/>
  <c r="Z160" i="5"/>
  <c r="Z157" i="5"/>
  <c r="AJ309" i="5"/>
  <c r="AJ290" i="5"/>
  <c r="V224" i="5"/>
  <c r="V240" i="5" s="1"/>
  <c r="V160" i="5"/>
  <c r="V178" i="5"/>
  <c r="V157" i="5"/>
  <c r="CG224" i="5"/>
  <c r="CG240" i="5" s="1"/>
  <c r="CG157" i="5"/>
  <c r="CG178" i="5"/>
  <c r="CG160" i="5"/>
  <c r="BE224" i="5"/>
  <c r="BI156" i="5"/>
  <c r="BE178" i="5"/>
  <c r="BE157" i="5"/>
  <c r="BE160" i="5"/>
  <c r="BS216" i="5"/>
  <c r="BS153" i="5"/>
  <c r="AX224" i="5"/>
  <c r="AX178" i="5"/>
  <c r="AX157" i="5"/>
  <c r="AX160" i="5"/>
  <c r="DG197" i="5"/>
  <c r="DL196" i="5"/>
  <c r="DL197" i="5" s="1"/>
  <c r="CD224" i="5"/>
  <c r="CD240" i="5" s="1"/>
  <c r="CD157" i="5"/>
  <c r="CD178" i="5"/>
  <c r="CD160" i="5"/>
  <c r="DZ6" i="5"/>
  <c r="CT235" i="5"/>
  <c r="CT220" i="5"/>
  <c r="AV235" i="5"/>
  <c r="AV220" i="5"/>
  <c r="P91" i="5"/>
  <c r="U91" i="5"/>
  <c r="CB233" i="5"/>
  <c r="CB244" i="5"/>
  <c r="CB236" i="5"/>
  <c r="CB238" i="5"/>
  <c r="CB243" i="5"/>
  <c r="CB234" i="5"/>
  <c r="CB245" i="5"/>
  <c r="AZ224" i="5"/>
  <c r="BD156" i="5"/>
  <c r="AZ178" i="5"/>
  <c r="AZ160" i="5"/>
  <c r="AZ157" i="5"/>
  <c r="G233" i="5"/>
  <c r="G238" i="5"/>
  <c r="G236" i="5"/>
  <c r="G239" i="5"/>
  <c r="G242" i="5"/>
  <c r="G245" i="5"/>
  <c r="G234" i="5"/>
  <c r="BH91" i="5"/>
  <c r="DR90" i="5"/>
  <c r="BM91" i="5"/>
  <c r="BD259" i="5"/>
  <c r="BI263" i="5"/>
  <c r="BI262" i="5"/>
  <c r="CH75" i="5"/>
  <c r="E41" i="301" s="1"/>
  <c r="DA229" i="5"/>
  <c r="DA176" i="5"/>
  <c r="CV235" i="5"/>
  <c r="CV220" i="5"/>
  <c r="CV162" i="5"/>
  <c r="BU235" i="5"/>
  <c r="BU220" i="5"/>
  <c r="AC224" i="5"/>
  <c r="AC178" i="5"/>
  <c r="AC157" i="5"/>
  <c r="AC160" i="5"/>
  <c r="BP224" i="5"/>
  <c r="BP178" i="5"/>
  <c r="BP160" i="5"/>
  <c r="BP157" i="5"/>
  <c r="L233" i="5"/>
  <c r="L238" i="5"/>
  <c r="L245" i="5"/>
  <c r="L239" i="5"/>
  <c r="L242" i="5"/>
  <c r="L236" i="5"/>
  <c r="L234" i="5"/>
  <c r="BG235" i="5"/>
  <c r="BG220" i="5"/>
  <c r="CU233" i="5"/>
  <c r="CU244" i="5"/>
  <c r="CU238" i="5"/>
  <c r="CU243" i="5"/>
  <c r="CU234" i="5"/>
  <c r="CU245" i="5"/>
  <c r="CU236" i="5"/>
  <c r="CQ233" i="5"/>
  <c r="CQ244" i="5"/>
  <c r="CQ238" i="5"/>
  <c r="CQ243" i="5"/>
  <c r="CQ245" i="5"/>
  <c r="CQ234" i="5"/>
  <c r="CQ236" i="5"/>
  <c r="AH224" i="5"/>
  <c r="AH160" i="5"/>
  <c r="AH161" i="5" s="1"/>
  <c r="AH178" i="5"/>
  <c r="AH157" i="5"/>
  <c r="B183" i="5"/>
  <c r="B180" i="5"/>
  <c r="F178" i="5"/>
  <c r="P375" i="5"/>
  <c r="P344" i="5"/>
  <c r="P291" i="5"/>
  <c r="P294" i="5" s="1"/>
  <c r="P288" i="5"/>
  <c r="DO93" i="5"/>
  <c r="G237" i="5"/>
  <c r="BT233" i="5"/>
  <c r="BT238" i="5"/>
  <c r="BT243" i="5"/>
  <c r="BT244" i="5"/>
  <c r="BT234" i="5"/>
  <c r="BT245" i="5"/>
  <c r="BT236" i="5"/>
  <c r="BE130" i="5"/>
  <c r="BE26" i="5"/>
  <c r="BE90" i="5"/>
  <c r="BJ26" i="5"/>
  <c r="J224" i="5"/>
  <c r="J240" i="5" s="1"/>
  <c r="J160" i="5"/>
  <c r="J161" i="5" s="1"/>
  <c r="J178" i="5"/>
  <c r="J157" i="5"/>
  <c r="CU235" i="5"/>
  <c r="CU220" i="5"/>
  <c r="BA224" i="5"/>
  <c r="BA178" i="5"/>
  <c r="BA157" i="5"/>
  <c r="BA160" i="5"/>
  <c r="I233" i="5"/>
  <c r="I239" i="5"/>
  <c r="I242" i="5"/>
  <c r="I245" i="5"/>
  <c r="I236" i="5"/>
  <c r="I238" i="5"/>
  <c r="I234" i="5"/>
  <c r="AE233" i="5"/>
  <c r="AE243" i="5"/>
  <c r="AE236" i="5"/>
  <c r="AE244" i="5"/>
  <c r="AE239" i="5"/>
  <c r="AE242" i="5"/>
  <c r="AE234" i="5"/>
  <c r="AE238" i="5"/>
  <c r="AE245" i="5"/>
  <c r="BK224" i="5"/>
  <c r="BK178" i="5"/>
  <c r="BK160" i="5"/>
  <c r="BK157" i="5"/>
  <c r="CC91" i="5"/>
  <c r="CH91" i="5"/>
  <c r="CL224" i="5"/>
  <c r="CL240" i="5" s="1"/>
  <c r="CL157" i="5"/>
  <c r="CL160" i="5"/>
  <c r="CL161" i="5" s="1"/>
  <c r="CL178" i="5"/>
  <c r="BJ224" i="5"/>
  <c r="BJ157" i="5"/>
  <c r="BJ178" i="5"/>
  <c r="BJ160" i="5"/>
  <c r="BJ161" i="5" s="1"/>
  <c r="BN156" i="5"/>
  <c r="BG91" i="5"/>
  <c r="BL91" i="5"/>
  <c r="DQ90" i="5"/>
  <c r="DQ91" i="5" s="1"/>
  <c r="BV233" i="5"/>
  <c r="BV238" i="5"/>
  <c r="BV243" i="5"/>
  <c r="BV234" i="5"/>
  <c r="BV245" i="5"/>
  <c r="BV244" i="5"/>
  <c r="BV236" i="5"/>
  <c r="Z235" i="5"/>
  <c r="Z220" i="5"/>
  <c r="I237" i="5"/>
  <c r="F233" i="5"/>
  <c r="F236" i="5"/>
  <c r="F245" i="5"/>
  <c r="F239" i="5"/>
  <c r="F242" i="5"/>
  <c r="F234" i="5"/>
  <c r="F238" i="5"/>
  <c r="F288" i="5"/>
  <c r="BZ233" i="5"/>
  <c r="BZ245" i="5"/>
  <c r="BZ236" i="5"/>
  <c r="BZ238" i="5"/>
  <c r="BZ243" i="5"/>
  <c r="BZ244" i="5"/>
  <c r="BZ234" i="5"/>
  <c r="DG118" i="5"/>
  <c r="DB119" i="5"/>
  <c r="CR150" i="5"/>
  <c r="BS93" i="5"/>
  <c r="CO233" i="5"/>
  <c r="CO238" i="5"/>
  <c r="CO244" i="5"/>
  <c r="CO245" i="5"/>
  <c r="CO243" i="5"/>
  <c r="CO234" i="5"/>
  <c r="CO236" i="5"/>
  <c r="AV224" i="5"/>
  <c r="AV178" i="5"/>
  <c r="AV160" i="5"/>
  <c r="AV157" i="5"/>
  <c r="P233" i="5"/>
  <c r="P238" i="5"/>
  <c r="P242" i="5"/>
  <c r="P234" i="5"/>
  <c r="P236" i="5"/>
  <c r="P245" i="5"/>
  <c r="P239" i="5"/>
  <c r="BG419" i="5"/>
  <c r="BG233" i="5"/>
  <c r="BG238" i="5"/>
  <c r="BG236" i="5"/>
  <c r="BG244" i="5"/>
  <c r="BG243" i="5"/>
  <c r="BG234" i="5"/>
  <c r="BG245" i="5"/>
  <c r="BO235" i="5"/>
  <c r="BO220" i="5"/>
  <c r="CR419" i="5"/>
  <c r="CR233" i="5"/>
  <c r="CR244" i="5"/>
  <c r="CR243" i="5"/>
  <c r="CR236" i="5"/>
  <c r="CR245" i="5"/>
  <c r="CR238" i="5"/>
  <c r="BM224" i="5"/>
  <c r="BM157" i="5"/>
  <c r="BM178" i="5"/>
  <c r="BM160" i="5"/>
  <c r="AL233" i="5"/>
  <c r="AL238" i="5"/>
  <c r="AL239" i="5"/>
  <c r="AL242" i="5"/>
  <c r="AL245" i="5"/>
  <c r="AL236" i="5"/>
  <c r="AL243" i="5"/>
  <c r="AL234" i="5"/>
  <c r="AL244" i="5"/>
  <c r="CN235" i="5"/>
  <c r="CN220" i="5"/>
  <c r="BD218" i="5"/>
  <c r="BD155" i="5"/>
  <c r="CY89" i="5"/>
  <c r="CY87" i="5"/>
  <c r="CZ87" i="5" s="1"/>
  <c r="CY83" i="5"/>
  <c r="DB88" i="5"/>
  <c r="BH224" i="5"/>
  <c r="BH178" i="5"/>
  <c r="BH160" i="5"/>
  <c r="BH157" i="5"/>
  <c r="S233" i="5"/>
  <c r="S236" i="5"/>
  <c r="S239" i="5"/>
  <c r="S245" i="5"/>
  <c r="S242" i="5"/>
  <c r="S238" i="5"/>
  <c r="S234" i="5"/>
  <c r="BS262" i="5"/>
  <c r="AE235" i="5"/>
  <c r="AE220" i="5"/>
  <c r="L235" i="5"/>
  <c r="DG318" i="5"/>
  <c r="BS235" i="5"/>
  <c r="BS220" i="5"/>
  <c r="DB138" i="5"/>
  <c r="DG137" i="5"/>
  <c r="CM154" i="5"/>
  <c r="CM149" i="5"/>
  <c r="CM140" i="5"/>
  <c r="CM144" i="5"/>
  <c r="CM141" i="5"/>
  <c r="R19" i="301"/>
  <c r="CE224" i="5"/>
  <c r="CE240" i="5" s="1"/>
  <c r="CE178" i="5"/>
  <c r="CE160" i="5"/>
  <c r="CE157" i="5"/>
  <c r="O224" i="5"/>
  <c r="O240" i="5" s="1"/>
  <c r="O160" i="5"/>
  <c r="O161" i="5" s="1"/>
  <c r="O178" i="5"/>
  <c r="O157" i="5"/>
  <c r="K233" i="5"/>
  <c r="K238" i="5"/>
  <c r="K245" i="5"/>
  <c r="K242" i="5"/>
  <c r="K236" i="5"/>
  <c r="K234" i="5"/>
  <c r="K239" i="5"/>
  <c r="R233" i="5"/>
  <c r="R239" i="5"/>
  <c r="R238" i="5"/>
  <c r="R242" i="5"/>
  <c r="R236" i="5"/>
  <c r="R245" i="5"/>
  <c r="R234" i="5"/>
  <c r="DB349" i="5"/>
  <c r="DG349" i="5" s="1"/>
  <c r="DL349" i="5" s="1"/>
  <c r="CW349" i="5"/>
  <c r="DF201" i="5"/>
  <c r="DH199" i="5"/>
  <c r="DF200" i="5"/>
  <c r="DI199" i="5"/>
  <c r="DG199" i="5"/>
  <c r="CQ235" i="5"/>
  <c r="CQ220" i="5"/>
  <c r="AF235" i="5"/>
  <c r="AF220" i="5"/>
  <c r="Q224" i="5"/>
  <c r="Q240" i="5" s="1"/>
  <c r="Q178" i="5"/>
  <c r="Q157" i="5"/>
  <c r="Q160" i="5"/>
  <c r="CY73" i="5"/>
  <c r="CY76" i="5"/>
  <c r="CY74" i="5"/>
  <c r="CY63" i="5"/>
  <c r="CY66" i="5"/>
  <c r="AV309" i="5"/>
  <c r="AV290" i="5"/>
  <c r="AV234" i="5"/>
  <c r="BD150" i="5"/>
  <c r="BS149" i="5"/>
  <c r="BS140" i="5"/>
  <c r="BS144" i="5"/>
  <c r="BS141" i="5"/>
  <c r="BY91" i="5"/>
  <c r="CD91" i="5"/>
  <c r="BT235" i="5"/>
  <c r="BT220" i="5"/>
  <c r="AJ152" i="5"/>
  <c r="AJ73" i="5"/>
  <c r="AJ74" i="5"/>
  <c r="AJ75" i="5" s="1"/>
  <c r="AJ63" i="5"/>
  <c r="AJ66" i="5"/>
  <c r="BR224" i="5"/>
  <c r="BR157" i="5"/>
  <c r="BR160" i="5"/>
  <c r="BR161" i="5" s="1"/>
  <c r="BR178" i="5"/>
  <c r="CG233" i="5"/>
  <c r="CG236" i="5"/>
  <c r="CG244" i="5"/>
  <c r="CG238" i="5"/>
  <c r="CG243" i="5"/>
  <c r="CG245" i="5"/>
  <c r="CG234" i="5"/>
  <c r="BE419" i="5"/>
  <c r="BE233" i="5"/>
  <c r="BE244" i="5"/>
  <c r="BE238" i="5"/>
  <c r="BE243" i="5"/>
  <c r="BE236" i="5"/>
  <c r="BE234" i="5"/>
  <c r="BE245" i="5"/>
  <c r="M233" i="5"/>
  <c r="M245" i="5"/>
  <c r="M239" i="5"/>
  <c r="M242" i="5"/>
  <c r="M236" i="5"/>
  <c r="M238" i="5"/>
  <c r="M234" i="5"/>
  <c r="U233" i="5"/>
  <c r="U236" i="5"/>
  <c r="U245" i="5"/>
  <c r="U234" i="5"/>
  <c r="U238" i="5"/>
  <c r="U239" i="5"/>
  <c r="U242" i="5"/>
  <c r="CN224" i="5"/>
  <c r="CN240" i="5" s="1"/>
  <c r="CN178" i="5"/>
  <c r="CN160" i="5"/>
  <c r="CN157" i="5"/>
  <c r="DB289" i="5"/>
  <c r="BO419" i="5"/>
  <c r="BO233" i="5"/>
  <c r="BO243" i="5"/>
  <c r="BO238" i="5"/>
  <c r="BO245" i="5"/>
  <c r="BO234" i="5"/>
  <c r="BO244" i="5"/>
  <c r="BO236" i="5"/>
  <c r="AX233" i="5"/>
  <c r="AX244" i="5"/>
  <c r="AX242" i="5"/>
  <c r="AX288" i="5"/>
  <c r="AX243" i="5"/>
  <c r="AX238" i="5"/>
  <c r="AX236" i="5"/>
  <c r="AX245" i="5"/>
  <c r="AX234" i="5"/>
  <c r="K297" i="5"/>
  <c r="K295" i="5"/>
  <c r="BS359" i="5"/>
  <c r="BS245" i="5"/>
  <c r="BN121" i="5"/>
  <c r="BN97" i="5"/>
  <c r="BS97" i="5"/>
  <c r="BU224" i="5"/>
  <c r="BU240" i="5" s="1"/>
  <c r="BU178" i="5"/>
  <c r="BU157" i="5"/>
  <c r="BU160" i="5"/>
  <c r="BU161" i="5" s="1"/>
  <c r="H224" i="5"/>
  <c r="H240" i="5" s="1"/>
  <c r="H178" i="5"/>
  <c r="H160" i="5"/>
  <c r="H161" i="5" s="1"/>
  <c r="H157" i="5"/>
  <c r="D183" i="5"/>
  <c r="D180" i="5"/>
  <c r="CD237" i="5"/>
  <c r="CD303" i="5"/>
  <c r="CD319" i="5"/>
  <c r="CD311" i="5"/>
  <c r="AY220" i="5"/>
  <c r="P93" i="5"/>
  <c r="U93" i="5"/>
  <c r="DL61" i="5"/>
  <c r="DL62" i="5" s="1"/>
  <c r="DL57" i="5"/>
  <c r="AZ419" i="5"/>
  <c r="AZ233" i="5"/>
  <c r="AZ244" i="5"/>
  <c r="AZ238" i="5"/>
  <c r="AZ243" i="5"/>
  <c r="AZ245" i="5"/>
  <c r="AZ236" i="5"/>
  <c r="AZ234" i="5"/>
  <c r="AI233" i="5"/>
  <c r="AI238" i="5"/>
  <c r="AI236" i="5"/>
  <c r="AI243" i="5"/>
  <c r="AI244" i="5"/>
  <c r="AI239" i="5"/>
  <c r="AI242" i="5"/>
  <c r="AI245" i="5"/>
  <c r="AI234" i="5"/>
  <c r="AD224" i="5"/>
  <c r="AD160" i="5"/>
  <c r="AD178" i="5"/>
  <c r="AD157" i="5"/>
  <c r="BC263" i="5"/>
  <c r="BC262" i="5"/>
  <c r="BC266" i="5"/>
  <c r="BD266" i="5" s="1"/>
  <c r="CX218" i="5"/>
  <c r="CX155" i="5"/>
  <c r="CX156" i="5"/>
  <c r="CP235" i="5"/>
  <c r="CP220" i="5"/>
  <c r="BQ224" i="5"/>
  <c r="BQ157" i="5"/>
  <c r="BQ178" i="5"/>
  <c r="BQ160" i="5"/>
  <c r="BP419" i="5"/>
  <c r="BP233" i="5"/>
  <c r="BP238" i="5"/>
  <c r="BP243" i="5"/>
  <c r="BP236" i="5"/>
  <c r="BP235" i="5"/>
  <c r="BP234" i="5"/>
  <c r="BP244" i="5"/>
  <c r="CI233" i="5"/>
  <c r="CI236" i="5"/>
  <c r="CI243" i="5"/>
  <c r="CI244" i="5"/>
  <c r="CI238" i="5"/>
  <c r="CI234" i="5"/>
  <c r="CI245" i="5"/>
  <c r="AA224" i="5"/>
  <c r="AA160" i="5"/>
  <c r="AA161" i="5" s="1"/>
  <c r="AA178" i="5"/>
  <c r="AA157" i="5"/>
  <c r="K235" i="5"/>
  <c r="K220" i="5"/>
  <c r="X224" i="5"/>
  <c r="X240" i="5" s="1"/>
  <c r="X178" i="5"/>
  <c r="X160" i="5"/>
  <c r="X157" i="5"/>
  <c r="CT233" i="5"/>
  <c r="CT243" i="5"/>
  <c r="CT238" i="5"/>
  <c r="CT244" i="5"/>
  <c r="CT234" i="5"/>
  <c r="CT245" i="5"/>
  <c r="CT236" i="5"/>
  <c r="Z281" i="5"/>
  <c r="Z282" i="5" s="1"/>
  <c r="U285" i="5"/>
  <c r="U287" i="5" s="1"/>
  <c r="CK319" i="5"/>
  <c r="CK237" i="5"/>
  <c r="CK311" i="5"/>
  <c r="CK303" i="5"/>
  <c r="Y235" i="5"/>
  <c r="Y220" i="5"/>
  <c r="Y237" i="5" s="1"/>
  <c r="Y233" i="5"/>
  <c r="Y239" i="5"/>
  <c r="Y243" i="5"/>
  <c r="Y242" i="5"/>
  <c r="Y236" i="5"/>
  <c r="Y244" i="5"/>
  <c r="Y238" i="5"/>
  <c r="Y245" i="5"/>
  <c r="Y234" i="5"/>
  <c r="BW224" i="5"/>
  <c r="BW240" i="5" s="1"/>
  <c r="BW160" i="5"/>
  <c r="BW161" i="5" s="1"/>
  <c r="BW178" i="5"/>
  <c r="BW157" i="5"/>
  <c r="AU224" i="5"/>
  <c r="AU160" i="5"/>
  <c r="AU178" i="5"/>
  <c r="AU157" i="5"/>
  <c r="AY156" i="5"/>
  <c r="W224" i="5"/>
  <c r="W240" i="5" s="1"/>
  <c r="W160" i="5"/>
  <c r="W178" i="5"/>
  <c r="W157" i="5"/>
  <c r="BI26" i="5"/>
  <c r="BI130" i="5"/>
  <c r="BN26" i="5"/>
  <c r="BI90" i="5"/>
  <c r="DG269" i="5"/>
  <c r="DG188" i="5"/>
  <c r="DG191" i="5" s="1"/>
  <c r="DL189" i="5"/>
  <c r="U28" i="301"/>
  <c r="G32" i="301" s="1"/>
  <c r="BX153" i="5"/>
  <c r="CK224" i="5"/>
  <c r="CK240" i="5" s="1"/>
  <c r="CK157" i="5"/>
  <c r="CK178" i="5"/>
  <c r="CK160" i="5"/>
  <c r="BA419" i="5"/>
  <c r="BA233" i="5"/>
  <c r="BA238" i="5"/>
  <c r="BA244" i="5"/>
  <c r="BA245" i="5"/>
  <c r="BA243" i="5"/>
  <c r="BA234" i="5"/>
  <c r="BA236" i="5"/>
  <c r="BN111" i="5"/>
  <c r="BS111" i="5"/>
  <c r="BN216" i="5"/>
  <c r="BN153" i="5"/>
  <c r="BC311" i="5"/>
  <c r="BC237" i="5"/>
  <c r="BC319" i="5"/>
  <c r="BC303" i="5"/>
  <c r="J237" i="5"/>
  <c r="N224" i="5"/>
  <c r="N240" i="5" s="1"/>
  <c r="N160" i="5"/>
  <c r="N178" i="5"/>
  <c r="N157" i="5"/>
  <c r="DG298" i="5"/>
  <c r="DB300" i="5"/>
  <c r="DB304" i="5" s="1"/>
  <c r="DG129" i="5"/>
  <c r="DB129" i="5"/>
  <c r="CR142" i="5"/>
  <c r="AW224" i="5"/>
  <c r="AW178" i="5"/>
  <c r="AW157" i="5"/>
  <c r="AW160" i="5"/>
  <c r="CF224" i="5"/>
  <c r="CF240" i="5" s="1"/>
  <c r="CF178" i="5"/>
  <c r="CF160" i="5"/>
  <c r="CF157" i="5"/>
  <c r="AV233" i="5"/>
  <c r="AV245" i="5"/>
  <c r="AV242" i="5"/>
  <c r="AV243" i="5"/>
  <c r="AV288" i="5"/>
  <c r="AV244" i="5"/>
  <c r="AV238" i="5"/>
  <c r="CP224" i="5"/>
  <c r="CP240" i="5" s="1"/>
  <c r="CP157" i="5"/>
  <c r="CP160" i="5"/>
  <c r="CP161" i="5" s="1"/>
  <c r="CP178" i="5"/>
  <c r="BF419" i="5"/>
  <c r="BF233" i="5"/>
  <c r="BF245" i="5"/>
  <c r="BF238" i="5"/>
  <c r="BF236" i="5"/>
  <c r="BF243" i="5"/>
  <c r="BF244" i="5"/>
  <c r="BF234" i="5"/>
  <c r="DL7" i="5"/>
  <c r="DL8" i="5" s="1"/>
  <c r="BE237" i="5"/>
  <c r="BE311" i="5"/>
  <c r="BE303" i="5"/>
  <c r="BE319" i="5"/>
  <c r="BM419" i="5"/>
  <c r="BM233" i="5"/>
  <c r="BM238" i="5"/>
  <c r="BM243" i="5"/>
  <c r="BM236" i="5"/>
  <c r="BM234" i="5"/>
  <c r="BM244" i="5"/>
  <c r="BM245" i="5"/>
  <c r="AO309" i="5"/>
  <c r="AO290" i="5"/>
  <c r="BB235" i="5"/>
  <c r="BB220" i="5"/>
  <c r="DB110" i="5"/>
  <c r="BM235" i="5"/>
  <c r="BM220" i="5"/>
  <c r="CC141" i="5"/>
  <c r="CC149" i="5"/>
  <c r="CC154" i="5"/>
  <c r="CC144" i="5"/>
  <c r="P19" i="301"/>
  <c r="P16" i="301" s="1"/>
  <c r="BY224" i="5"/>
  <c r="BY240" i="5" s="1"/>
  <c r="BY178" i="5"/>
  <c r="BY157" i="5"/>
  <c r="BY160" i="5"/>
  <c r="AK233" i="5"/>
  <c r="AK239" i="5"/>
  <c r="AK243" i="5"/>
  <c r="AK242" i="5"/>
  <c r="AK236" i="5"/>
  <c r="AK244" i="5"/>
  <c r="AK238" i="5"/>
  <c r="AK245" i="5"/>
  <c r="AK234" i="5"/>
  <c r="BH419" i="5"/>
  <c r="BH233" i="5"/>
  <c r="BH236" i="5"/>
  <c r="BH238" i="5"/>
  <c r="BH243" i="5"/>
  <c r="BH244" i="5"/>
  <c r="BH234" i="5"/>
  <c r="CA224" i="5"/>
  <c r="CA240" i="5" s="1"/>
  <c r="CA160" i="5"/>
  <c r="CA178" i="5"/>
  <c r="CA157" i="5"/>
  <c r="CG311" i="5"/>
  <c r="CG237" i="5"/>
  <c r="CG303" i="5"/>
  <c r="CG319" i="5"/>
  <c r="M237" i="5"/>
  <c r="AF224" i="5"/>
  <c r="AF178" i="5"/>
  <c r="AF160" i="5"/>
  <c r="AF161" i="5" s="1"/>
  <c r="AF157" i="5"/>
  <c r="BM264" i="5"/>
  <c r="BN264" i="5" s="1"/>
  <c r="BM263" i="5"/>
  <c r="BM262" i="5"/>
  <c r="BM266" i="5"/>
  <c r="BN266" i="5" s="1"/>
  <c r="BN259" i="5"/>
  <c r="F319" i="5"/>
  <c r="F303" i="5"/>
  <c r="F237" i="5"/>
  <c r="F311" i="5"/>
  <c r="AG233" i="5"/>
  <c r="AG245" i="5"/>
  <c r="AG243" i="5"/>
  <c r="AG242" i="5"/>
  <c r="AG236" i="5"/>
  <c r="AG244" i="5"/>
  <c r="AG239" i="5"/>
  <c r="AG234" i="5"/>
  <c r="AG238" i="5"/>
  <c r="BL224" i="5"/>
  <c r="BL178" i="5"/>
  <c r="BL160" i="5"/>
  <c r="BL157" i="5"/>
  <c r="CW224" i="5"/>
  <c r="CW178" i="5"/>
  <c r="CW157" i="5"/>
  <c r="CW160" i="5"/>
  <c r="G48" i="301" s="1"/>
  <c r="O233" i="5"/>
  <c r="O239" i="5"/>
  <c r="O245" i="5"/>
  <c r="O242" i="5"/>
  <c r="O238" i="5"/>
  <c r="O236" i="5"/>
  <c r="O234" i="5"/>
  <c r="CC267" i="5"/>
  <c r="CC261" i="5"/>
  <c r="CC263" i="5"/>
  <c r="CC262" i="5"/>
  <c r="P34" i="301"/>
  <c r="P36" i="301" s="1"/>
  <c r="BW311" i="5"/>
  <c r="BW237" i="5"/>
  <c r="BW303" i="5"/>
  <c r="BW319" i="5"/>
  <c r="AV236" i="5"/>
  <c r="BC224" i="5"/>
  <c r="BC160" i="5"/>
  <c r="BC161" i="5" s="1"/>
  <c r="BC178" i="5"/>
  <c r="BC157" i="5"/>
  <c r="BB224" i="5"/>
  <c r="BB178" i="5"/>
  <c r="BB157" i="5"/>
  <c r="BB160" i="5"/>
  <c r="BB161" i="5" s="1"/>
  <c r="CZ289" i="5"/>
  <c r="BD145" i="5"/>
  <c r="BK235" i="5"/>
  <c r="BK220" i="5"/>
  <c r="P41" i="301"/>
  <c r="T39" i="301"/>
  <c r="Z233" i="5"/>
  <c r="Z234" i="5"/>
  <c r="Z236" i="5"/>
  <c r="Z244" i="5"/>
  <c r="Z239" i="5"/>
  <c r="Z242" i="5"/>
  <c r="Z243" i="5"/>
  <c r="Z238" i="5"/>
  <c r="G50" i="301"/>
  <c r="S27" i="301"/>
  <c r="S22" i="301"/>
  <c r="V244" i="5"/>
  <c r="V243" i="5"/>
  <c r="V233" i="5"/>
  <c r="V239" i="5"/>
  <c r="V238" i="5"/>
  <c r="V242" i="5"/>
  <c r="V245" i="5"/>
  <c r="V236" i="5"/>
  <c r="V234" i="5"/>
  <c r="BH235" i="5"/>
  <c r="BH220" i="5"/>
  <c r="BI216" i="5"/>
  <c r="BI153" i="5"/>
  <c r="CN233" i="5"/>
  <c r="CN244" i="5"/>
  <c r="CN238" i="5"/>
  <c r="CN243" i="5"/>
  <c r="CN245" i="5"/>
  <c r="CN234" i="5"/>
  <c r="CN236" i="5"/>
  <c r="BO224" i="5"/>
  <c r="BO160" i="5"/>
  <c r="BO161" i="5" s="1"/>
  <c r="BO178" i="5"/>
  <c r="BO157" i="5"/>
  <c r="BS156" i="5"/>
  <c r="AJ220" i="5"/>
  <c r="BI218" i="5"/>
  <c r="BI155" i="5"/>
  <c r="BU233" i="5"/>
  <c r="BU238" i="5"/>
  <c r="BU243" i="5"/>
  <c r="BU236" i="5"/>
  <c r="BU234" i="5"/>
  <c r="BU244" i="5"/>
  <c r="DA131" i="5"/>
  <c r="DA21" i="5"/>
  <c r="H233" i="5"/>
  <c r="H238" i="5"/>
  <c r="H239" i="5"/>
  <c r="H242" i="5"/>
  <c r="H236" i="5"/>
  <c r="H245" i="5"/>
  <c r="H234" i="5"/>
  <c r="CD233" i="5"/>
  <c r="CD236" i="5"/>
  <c r="CD244" i="5"/>
  <c r="CD238" i="5"/>
  <c r="CD243" i="5"/>
  <c r="CD245" i="5"/>
  <c r="CD234" i="5"/>
  <c r="DL13" i="5"/>
  <c r="DL14" i="5" s="1"/>
  <c r="BX278" i="5"/>
  <c r="O41" i="301"/>
  <c r="O42" i="301" s="1"/>
  <c r="P235" i="5"/>
  <c r="P220" i="5"/>
  <c r="CD235" i="5"/>
  <c r="AU235" i="5"/>
  <c r="AU220" i="5"/>
  <c r="C183" i="5"/>
  <c r="C180" i="5"/>
  <c r="CJ224" i="5"/>
  <c r="CJ240" i="5" s="1"/>
  <c r="CJ178" i="5"/>
  <c r="CJ160" i="5"/>
  <c r="CJ161" i="5" s="1"/>
  <c r="CJ157" i="5"/>
  <c r="DB228" i="5"/>
  <c r="DB174" i="5"/>
  <c r="AK319" i="5"/>
  <c r="AK303" i="5"/>
  <c r="AK237" i="5"/>
  <c r="AK311" i="5"/>
  <c r="CV183" i="5"/>
  <c r="CV180" i="5"/>
  <c r="CV179" i="5"/>
  <c r="BQ419" i="5"/>
  <c r="BQ233" i="5"/>
  <c r="BQ244" i="5"/>
  <c r="BQ236" i="5"/>
  <c r="BQ238" i="5"/>
  <c r="BQ243" i="5"/>
  <c r="BQ234" i="5"/>
  <c r="AC233" i="5"/>
  <c r="AC236" i="5"/>
  <c r="AC244" i="5"/>
  <c r="AC239" i="5"/>
  <c r="AC243" i="5"/>
  <c r="AC242" i="5"/>
  <c r="AC245" i="5"/>
  <c r="AC238" i="5"/>
  <c r="AC234" i="5"/>
  <c r="AX235" i="5"/>
  <c r="AX220" i="5"/>
  <c r="H237" i="5"/>
  <c r="AA235" i="5"/>
  <c r="AA220" i="5"/>
  <c r="AA237" i="5" s="1"/>
  <c r="X233" i="5"/>
  <c r="X243" i="5"/>
  <c r="X244" i="5"/>
  <c r="X239" i="5"/>
  <c r="X236" i="5"/>
  <c r="X242" i="5"/>
  <c r="X238" i="5"/>
  <c r="X245" i="5"/>
  <c r="X234" i="5"/>
  <c r="CQ224" i="5"/>
  <c r="CQ240" i="5" s="1"/>
  <c r="CQ160" i="5"/>
  <c r="CQ161" i="5" s="1"/>
  <c r="CQ178" i="5"/>
  <c r="CQ157" i="5"/>
  <c r="DU45" i="5"/>
  <c r="AH233" i="5"/>
  <c r="AH239" i="5"/>
  <c r="AH242" i="5"/>
  <c r="AH236" i="5"/>
  <c r="AH243" i="5"/>
  <c r="AH244" i="5"/>
  <c r="AH238" i="5"/>
  <c r="AH234" i="5"/>
  <c r="AH245" i="5"/>
  <c r="CS91" i="5"/>
  <c r="CX91" i="5"/>
  <c r="T38" i="301"/>
  <c r="BA235" i="5"/>
  <c r="BA220" i="5"/>
  <c r="BN149" i="5"/>
  <c r="BN150" i="5" s="1"/>
  <c r="BN140" i="5"/>
  <c r="BN144" i="5"/>
  <c r="BN145" i="5" s="1"/>
  <c r="BN141" i="5"/>
  <c r="BN142" i="5" s="1"/>
  <c r="AY262" i="5"/>
  <c r="AY216" i="5"/>
  <c r="W233" i="5"/>
  <c r="W243" i="5"/>
  <c r="W244" i="5"/>
  <c r="W238" i="5"/>
  <c r="W236" i="5"/>
  <c r="W245" i="5"/>
  <c r="W239" i="5"/>
  <c r="W242" i="5"/>
  <c r="W234" i="5"/>
  <c r="J233" i="5"/>
  <c r="J236" i="5"/>
  <c r="J245" i="5"/>
  <c r="J239" i="5"/>
  <c r="J238" i="5"/>
  <c r="J242" i="5"/>
  <c r="J234" i="5"/>
  <c r="BP245" i="5"/>
  <c r="AL311" i="5"/>
  <c r="AL319" i="5"/>
  <c r="AL303" i="5"/>
  <c r="AL237" i="5"/>
  <c r="BF235" i="5"/>
  <c r="BF220" i="5"/>
  <c r="DA219" i="5"/>
  <c r="DA95" i="5"/>
  <c r="CM419" i="5"/>
  <c r="CM233" i="5"/>
  <c r="CM243" i="5"/>
  <c r="CM236" i="5"/>
  <c r="CM245" i="5"/>
  <c r="CM244" i="5"/>
  <c r="CM238" i="5"/>
  <c r="CK233" i="5"/>
  <c r="CK243" i="5"/>
  <c r="CK236" i="5"/>
  <c r="CK244" i="5"/>
  <c r="CK238" i="5"/>
  <c r="CK245" i="5"/>
  <c r="CK234" i="5"/>
  <c r="I224" i="5"/>
  <c r="I240" i="5" s="1"/>
  <c r="I178" i="5"/>
  <c r="I157" i="5"/>
  <c r="I160" i="5"/>
  <c r="I161" i="5" s="1"/>
  <c r="AB224" i="5"/>
  <c r="AB178" i="5"/>
  <c r="AB160" i="5"/>
  <c r="AB161" i="5" s="1"/>
  <c r="AB157" i="5"/>
  <c r="BK419" i="5"/>
  <c r="BK233" i="5"/>
  <c r="BK243" i="5"/>
  <c r="BK238" i="5"/>
  <c r="BK244" i="5"/>
  <c r="BK234" i="5"/>
  <c r="BK236" i="5"/>
  <c r="CL233" i="5"/>
  <c r="CL243" i="5"/>
  <c r="CL236" i="5"/>
  <c r="CL244" i="5"/>
  <c r="CL238" i="5"/>
  <c r="CL234" i="5"/>
  <c r="CL245" i="5"/>
  <c r="BV224" i="5"/>
  <c r="BV240" i="5" s="1"/>
  <c r="BV157" i="5"/>
  <c r="BV160" i="5"/>
  <c r="BV161" i="5" s="1"/>
  <c r="BV178" i="5"/>
  <c r="BX267" i="5"/>
  <c r="BX263" i="5"/>
  <c r="BX262" i="5"/>
  <c r="O34" i="301"/>
  <c r="O36" i="301" s="1"/>
  <c r="DB338" i="5"/>
  <c r="T40" i="301"/>
  <c r="J235" i="5"/>
  <c r="BZ224" i="5"/>
  <c r="BZ240" i="5" s="1"/>
  <c r="BZ178" i="5"/>
  <c r="BZ157" i="5"/>
  <c r="BZ160" i="5"/>
  <c r="BZ161" i="5" s="1"/>
  <c r="CW91" i="5"/>
  <c r="CR145" i="5"/>
  <c r="AW233" i="5"/>
  <c r="AW242" i="5"/>
  <c r="AW243" i="5"/>
  <c r="AW244" i="5"/>
  <c r="AW288" i="5"/>
  <c r="AW238" i="5"/>
  <c r="AW234" i="5"/>
  <c r="AW236" i="5"/>
  <c r="AW245" i="5"/>
  <c r="CF233" i="5"/>
  <c r="CF236" i="5"/>
  <c r="CF238" i="5"/>
  <c r="CF243" i="5"/>
  <c r="CF244" i="5"/>
  <c r="CF235" i="5"/>
  <c r="CF234" i="5"/>
  <c r="CF245" i="5"/>
  <c r="BG224" i="5"/>
  <c r="BG160" i="5"/>
  <c r="BG161" i="5" s="1"/>
  <c r="BG178" i="5"/>
  <c r="BG157" i="5"/>
  <c r="AM224" i="5"/>
  <c r="AM160" i="5"/>
  <c r="AM161" i="5" s="1"/>
  <c r="AM178" i="5"/>
  <c r="AM157" i="5"/>
  <c r="CR91" i="5"/>
  <c r="CB311" i="5"/>
  <c r="CB237" i="5"/>
  <c r="CB303" i="5"/>
  <c r="CB319" i="5"/>
  <c r="BN218" i="5"/>
  <c r="BN155" i="5"/>
  <c r="BE235" i="5"/>
  <c r="AX239" i="5"/>
  <c r="AO152" i="5"/>
  <c r="AO73" i="5"/>
  <c r="AO74" i="5"/>
  <c r="AO75" i="5" s="1"/>
  <c r="AO66" i="5"/>
  <c r="AO63" i="5"/>
  <c r="AL224" i="5"/>
  <c r="AL160" i="5"/>
  <c r="AL178" i="5"/>
  <c r="AL157" i="5"/>
  <c r="CC272" i="5"/>
  <c r="CC278" i="5" s="1"/>
  <c r="P39" i="301"/>
  <c r="P42" i="301" s="1"/>
  <c r="CH267" i="5"/>
  <c r="CH261" i="5"/>
  <c r="CH263" i="5"/>
  <c r="CH262" i="5"/>
  <c r="Q34" i="301"/>
  <c r="Q36" i="301" s="1"/>
  <c r="CL311" i="5"/>
  <c r="CL237" i="5"/>
  <c r="CL303" i="5"/>
  <c r="CL319" i="5"/>
  <c r="CY219" i="5"/>
  <c r="DB94" i="5"/>
  <c r="CY95" i="5"/>
  <c r="AM319" i="5"/>
  <c r="AM311" i="5"/>
  <c r="AM303" i="5"/>
  <c r="AM237" i="5"/>
  <c r="AZ235" i="5"/>
  <c r="AZ220" i="5"/>
  <c r="BY233" i="5"/>
  <c r="BY236" i="5"/>
  <c r="BY238" i="5"/>
  <c r="BY243" i="5"/>
  <c r="BY234" i="5"/>
  <c r="BY235" i="5"/>
  <c r="BY245" i="5"/>
  <c r="BY244" i="5"/>
  <c r="S224" i="5"/>
  <c r="S240" i="5" s="1"/>
  <c r="S160" i="5"/>
  <c r="S161" i="5" s="1"/>
  <c r="S178" i="5"/>
  <c r="S157" i="5"/>
  <c r="CG235" i="5"/>
  <c r="BR235" i="5"/>
  <c r="BR220" i="5"/>
  <c r="M235" i="5"/>
  <c r="BS86" i="5"/>
  <c r="DL22" i="5"/>
  <c r="DL23" i="5" s="1"/>
  <c r="AF233" i="5"/>
  <c r="AF239" i="5"/>
  <c r="AF242" i="5"/>
  <c r="AF243" i="5"/>
  <c r="AF244" i="5"/>
  <c r="AF236" i="5"/>
  <c r="AF238" i="5"/>
  <c r="AF245" i="5"/>
  <c r="AF234" i="5"/>
  <c r="AO220" i="5"/>
  <c r="F235" i="5"/>
  <c r="CS218" i="5"/>
  <c r="CS156" i="5"/>
  <c r="CT224" i="5" s="1"/>
  <c r="CT240" i="5" s="1"/>
  <c r="O13" i="301"/>
  <c r="BX139" i="5"/>
  <c r="DL67" i="5"/>
  <c r="DL68" i="5" s="1"/>
  <c r="BL419" i="5"/>
  <c r="BL233" i="5"/>
  <c r="BL238" i="5"/>
  <c r="BL243" i="5"/>
  <c r="BL236" i="5"/>
  <c r="BL244" i="5"/>
  <c r="BL234" i="5"/>
  <c r="CW419" i="5"/>
  <c r="CW233" i="5"/>
  <c r="CW244" i="5"/>
  <c r="CW245" i="5"/>
  <c r="CW234" i="5"/>
  <c r="CW243" i="5"/>
  <c r="CW238" i="5"/>
  <c r="CE233" i="5"/>
  <c r="CE245" i="5"/>
  <c r="CE236" i="5"/>
  <c r="CE243" i="5"/>
  <c r="CE244" i="5"/>
  <c r="CE238" i="5"/>
  <c r="CE234" i="5"/>
  <c r="K224" i="5"/>
  <c r="K160" i="5"/>
  <c r="K157" i="5"/>
  <c r="R224" i="5"/>
  <c r="R240" i="5" s="1"/>
  <c r="R160" i="5"/>
  <c r="R178" i="5"/>
  <c r="R157" i="5"/>
  <c r="AD235" i="5"/>
  <c r="AD220" i="5"/>
  <c r="AD237" i="5" s="1"/>
  <c r="CZ219" i="5"/>
  <c r="CZ95" i="5"/>
  <c r="Q233" i="5"/>
  <c r="Q236" i="5"/>
  <c r="Q238" i="5"/>
  <c r="Q245" i="5"/>
  <c r="Q239" i="5"/>
  <c r="Q242" i="5"/>
  <c r="Q234" i="5"/>
  <c r="DB217" i="5"/>
  <c r="DB30" i="5"/>
  <c r="T9" i="301"/>
  <c r="DB31" i="5"/>
  <c r="DB72" i="5"/>
  <c r="AN224" i="5"/>
  <c r="AN178" i="5"/>
  <c r="AN157" i="5"/>
  <c r="AN160" i="5"/>
  <c r="AV222" i="5"/>
  <c r="AV239" i="5" s="1"/>
  <c r="T224" i="5"/>
  <c r="T240" i="5" s="1"/>
  <c r="T178" i="5"/>
  <c r="T160" i="5"/>
  <c r="T161" i="5" s="1"/>
  <c r="T157" i="5"/>
  <c r="BV319" i="5"/>
  <c r="BV303" i="5"/>
  <c r="BV237" i="5"/>
  <c r="BV311" i="5"/>
  <c r="DP93" i="5"/>
  <c r="AW319" i="5"/>
  <c r="AW303" i="5"/>
  <c r="AW237" i="5"/>
  <c r="AW311" i="5"/>
  <c r="AW295" i="5"/>
  <c r="AG235" i="5"/>
  <c r="AG220" i="5"/>
  <c r="BL235" i="5"/>
  <c r="BL220" i="5"/>
  <c r="BR419" i="5"/>
  <c r="BR233" i="5"/>
  <c r="BR243" i="5"/>
  <c r="BR238" i="5"/>
  <c r="BR244" i="5"/>
  <c r="BR234" i="5"/>
  <c r="BR236" i="5"/>
  <c r="AO359" i="5"/>
  <c r="BZ237" i="5"/>
  <c r="BZ319" i="5"/>
  <c r="BZ311" i="5"/>
  <c r="BZ303" i="5"/>
  <c r="V237" i="5"/>
  <c r="M224" i="5"/>
  <c r="M240" i="5" s="1"/>
  <c r="M178" i="5"/>
  <c r="M157" i="5"/>
  <c r="M160" i="5"/>
  <c r="M161" i="5" s="1"/>
  <c r="U224" i="5"/>
  <c r="U157" i="5"/>
  <c r="U160" i="5"/>
  <c r="DG270" i="5"/>
  <c r="DG194" i="5"/>
  <c r="DG195" i="5"/>
  <c r="U235" i="5"/>
  <c r="U220" i="5"/>
  <c r="CT157" i="5"/>
  <c r="CT160" i="5"/>
  <c r="CT178" i="5"/>
  <c r="CH154" i="5"/>
  <c r="CH140" i="5"/>
  <c r="CH149" i="5"/>
  <c r="CH150" i="5" s="1"/>
  <c r="E45" i="301" s="1"/>
  <c r="CH144" i="5"/>
  <c r="CH145" i="5" s="1"/>
  <c r="E44" i="301" s="1"/>
  <c r="CH141" i="5"/>
  <c r="CH142" i="5" s="1"/>
  <c r="E43" i="301" s="1"/>
  <c r="Q19" i="301"/>
  <c r="CB224" i="5"/>
  <c r="CB240" i="5" s="1"/>
  <c r="CB178" i="5"/>
  <c r="CB160" i="5"/>
  <c r="CB161" i="5" s="1"/>
  <c r="CB157" i="5"/>
  <c r="BD216" i="5"/>
  <c r="BD153" i="5"/>
  <c r="AI224" i="5"/>
  <c r="AI160" i="5"/>
  <c r="AI161" i="5" s="1"/>
  <c r="AI178" i="5"/>
  <c r="AI157" i="5"/>
  <c r="G224" i="5"/>
  <c r="G240" i="5" s="1"/>
  <c r="G160" i="5"/>
  <c r="G161" i="5" s="1"/>
  <c r="G178" i="5"/>
  <c r="G157" i="5"/>
  <c r="AD233" i="5"/>
  <c r="AD236" i="5"/>
  <c r="AD243" i="5"/>
  <c r="AD239" i="5"/>
  <c r="AD242" i="5"/>
  <c r="AD244" i="5"/>
  <c r="AD245" i="5"/>
  <c r="AD234" i="5"/>
  <c r="AD238" i="5"/>
  <c r="CJ233" i="5"/>
  <c r="CJ244" i="5"/>
  <c r="CJ236" i="5"/>
  <c r="CJ238" i="5"/>
  <c r="CJ243" i="5"/>
  <c r="CJ245" i="5"/>
  <c r="CJ234" i="5"/>
  <c r="CO235" i="5"/>
  <c r="CO220" i="5"/>
  <c r="CV224" i="5"/>
  <c r="CV240" i="5" s="1"/>
  <c r="CZ73" i="5"/>
  <c r="CZ76" i="5"/>
  <c r="CZ152" i="5" s="1"/>
  <c r="CZ74" i="5"/>
  <c r="CZ66" i="5"/>
  <c r="CZ63" i="5"/>
  <c r="L224" i="5"/>
  <c r="L240" i="5" s="1"/>
  <c r="L178" i="5"/>
  <c r="L160" i="5"/>
  <c r="L161" i="5" s="1"/>
  <c r="L157" i="5"/>
  <c r="CI224" i="5"/>
  <c r="CI240" i="5" s="1"/>
  <c r="CI160" i="5"/>
  <c r="CI161" i="5" s="1"/>
  <c r="CI178" i="5"/>
  <c r="CI157" i="5"/>
  <c r="AA233" i="5"/>
  <c r="AA239" i="5"/>
  <c r="AA242" i="5"/>
  <c r="AA236" i="5"/>
  <c r="AA243" i="5"/>
  <c r="AA244" i="5"/>
  <c r="AA238" i="5"/>
  <c r="AA234" i="5"/>
  <c r="AA245" i="5"/>
  <c r="CZ26" i="5"/>
  <c r="CZ130" i="5"/>
  <c r="BQ431" i="5"/>
  <c r="BQ429" i="5"/>
  <c r="BQ430" i="5"/>
  <c r="BR408" i="5"/>
  <c r="CI237" i="5"/>
  <c r="CI303" i="5"/>
  <c r="CI319" i="5"/>
  <c r="CI311" i="5"/>
  <c r="H235" i="5"/>
  <c r="P21" i="301"/>
  <c r="CC216" i="5"/>
  <c r="CC156" i="5"/>
  <c r="CC153" i="5"/>
  <c r="DA313" i="5"/>
  <c r="DA170" i="5" s="1"/>
  <c r="DA171" i="5" s="1"/>
  <c r="CJ237" i="5"/>
  <c r="CJ311" i="5"/>
  <c r="CJ303" i="5"/>
  <c r="CJ319" i="5"/>
  <c r="DL251" i="5"/>
  <c r="DL223" i="5"/>
  <c r="DZ132" i="5"/>
  <c r="V17" i="301"/>
  <c r="DG263" i="5"/>
  <c r="DG253" i="5"/>
  <c r="W235" i="5"/>
  <c r="Y224" i="5"/>
  <c r="Y240" i="5" s="1"/>
  <c r="Y178" i="5"/>
  <c r="Y157" i="5"/>
  <c r="Y160" i="5"/>
  <c r="Y161" i="5" s="1"/>
  <c r="DB24" i="5"/>
  <c r="DB20" i="5"/>
  <c r="DB21" i="5" s="1"/>
  <c r="DG19" i="5"/>
  <c r="DG20" i="5" s="1"/>
  <c r="BT224" i="5"/>
  <c r="BT240" i="5" s="1"/>
  <c r="BT178" i="5"/>
  <c r="BT160" i="5"/>
  <c r="BT161" i="5" s="1"/>
  <c r="BT157" i="5"/>
  <c r="BW233" i="5"/>
  <c r="BW238" i="5"/>
  <c r="BW243" i="5"/>
  <c r="BW236" i="5"/>
  <c r="BW234" i="5"/>
  <c r="BW245" i="5"/>
  <c r="BW244" i="5"/>
  <c r="AU288" i="5"/>
  <c r="AU233" i="5"/>
  <c r="AU239" i="5"/>
  <c r="AU245" i="5"/>
  <c r="AU243" i="5"/>
  <c r="AU244" i="5"/>
  <c r="AU242" i="5"/>
  <c r="AU238" i="5"/>
  <c r="AU236" i="5"/>
  <c r="AU234" i="5"/>
  <c r="BD130" i="5"/>
  <c r="BD26" i="5"/>
  <c r="BD90" i="5"/>
  <c r="CE237" i="5"/>
  <c r="CE311" i="5"/>
  <c r="CE303" i="5"/>
  <c r="CE319" i="5"/>
  <c r="CU224" i="5"/>
  <c r="CU240" i="5" s="1"/>
  <c r="CU160" i="5"/>
  <c r="CU178" i="5"/>
  <c r="CU157" i="5"/>
  <c r="BX419" i="5"/>
  <c r="BX233" i="5"/>
  <c r="BX236" i="5"/>
  <c r="BX244" i="5"/>
  <c r="BX243" i="5"/>
  <c r="BX245" i="5"/>
  <c r="BX238" i="5"/>
  <c r="E180" i="5"/>
  <c r="E183" i="5"/>
  <c r="AB233" i="5"/>
  <c r="AB236" i="5"/>
  <c r="AB245" i="5"/>
  <c r="AB244" i="5"/>
  <c r="AB239" i="5"/>
  <c r="AB242" i="5"/>
  <c r="AB243" i="5"/>
  <c r="AB234" i="5"/>
  <c r="AB238" i="5"/>
  <c r="BN114" i="5"/>
  <c r="AE224" i="5"/>
  <c r="AE160" i="5"/>
  <c r="AE161" i="5" s="1"/>
  <c r="AE157" i="5"/>
  <c r="BJ419" i="5"/>
  <c r="BJ233" i="5"/>
  <c r="BJ243" i="5"/>
  <c r="BJ238" i="5"/>
  <c r="BJ234" i="5"/>
  <c r="BJ236" i="5"/>
  <c r="BJ244" i="5"/>
  <c r="DG323" i="5"/>
  <c r="F224" i="5"/>
  <c r="F160" i="5"/>
  <c r="F157" i="5"/>
  <c r="N233" i="5"/>
  <c r="N242" i="5"/>
  <c r="N236" i="5"/>
  <c r="N245" i="5"/>
  <c r="N239" i="5"/>
  <c r="N238" i="5"/>
  <c r="N234" i="5"/>
  <c r="BD121" i="5"/>
  <c r="BD97" i="5"/>
  <c r="CR218" i="5"/>
  <c r="CR155" i="5"/>
  <c r="CO224" i="5"/>
  <c r="CO240" i="5" s="1"/>
  <c r="CO178" i="5"/>
  <c r="CO157" i="5"/>
  <c r="CO160" i="5"/>
  <c r="CO161" i="5" s="1"/>
  <c r="P224" i="5"/>
  <c r="P374" i="5" s="1"/>
  <c r="P160" i="5"/>
  <c r="P161" i="5" s="1"/>
  <c r="P157" i="5"/>
  <c r="AM233" i="5"/>
  <c r="AM238" i="5"/>
  <c r="AM236" i="5"/>
  <c r="AM243" i="5"/>
  <c r="AM239" i="5"/>
  <c r="AM242" i="5"/>
  <c r="AM234" i="5"/>
  <c r="AM245" i="5"/>
  <c r="AM244" i="5"/>
  <c r="CP233" i="5"/>
  <c r="CP238" i="5"/>
  <c r="CP243" i="5"/>
  <c r="CP244" i="5"/>
  <c r="CP236" i="5"/>
  <c r="CP245" i="5"/>
  <c r="CP234" i="5"/>
  <c r="BF224" i="5"/>
  <c r="BF178" i="5"/>
  <c r="BF157" i="5"/>
  <c r="BF160" i="5"/>
  <c r="BF161" i="5" s="1"/>
  <c r="BQ245" i="5"/>
  <c r="CB235" i="5"/>
  <c r="BJ235" i="5"/>
  <c r="BJ220" i="5"/>
  <c r="CR156" i="5"/>
  <c r="AB237" i="5"/>
  <c r="AY126" i="5"/>
  <c r="AY222" i="5" s="1"/>
  <c r="AY239" i="5" s="1"/>
  <c r="AZ125" i="5"/>
  <c r="AO32" i="5"/>
  <c r="CH419" i="5"/>
  <c r="CH233" i="5"/>
  <c r="CH236" i="5"/>
  <c r="CH244" i="5"/>
  <c r="CH243" i="5"/>
  <c r="CH238" i="5"/>
  <c r="DA272" i="5"/>
  <c r="DA278" i="5" s="1"/>
  <c r="CL235" i="5"/>
  <c r="AM235" i="5"/>
  <c r="AK224" i="5"/>
  <c r="AK178" i="5"/>
  <c r="AK157" i="5"/>
  <c r="AK160" i="5"/>
  <c r="AK161" i="5" s="1"/>
  <c r="CA233" i="5"/>
  <c r="CA236" i="5"/>
  <c r="CA243" i="5"/>
  <c r="CA244" i="5"/>
  <c r="CA238" i="5"/>
  <c r="CA245" i="5"/>
  <c r="CA234" i="5"/>
  <c r="AI319" i="5"/>
  <c r="AI311" i="5"/>
  <c r="AI303" i="5"/>
  <c r="AI237" i="5"/>
  <c r="CA319" i="5"/>
  <c r="CA237" i="5"/>
  <c r="CA303" i="5"/>
  <c r="CA311" i="5"/>
  <c r="L237" i="5"/>
  <c r="BQ319" i="5"/>
  <c r="BQ237" i="5"/>
  <c r="BQ303" i="5"/>
  <c r="BQ311" i="5"/>
  <c r="BS155" i="5"/>
  <c r="CW235" i="5"/>
  <c r="CW220" i="5"/>
  <c r="AG224" i="5"/>
  <c r="AG178" i="5"/>
  <c r="AG157" i="5"/>
  <c r="AG160" i="5"/>
  <c r="AG161" i="5" s="1"/>
  <c r="AH235" i="5"/>
  <c r="AH220" i="5"/>
  <c r="AC237" i="5"/>
  <c r="DA308" i="5"/>
  <c r="AN233" i="5"/>
  <c r="AN243" i="5"/>
  <c r="AN239" i="5"/>
  <c r="AN242" i="5"/>
  <c r="AN236" i="5"/>
  <c r="AN238" i="5"/>
  <c r="AN234" i="5"/>
  <c r="AN235" i="5"/>
  <c r="AN244" i="5"/>
  <c r="T233" i="5"/>
  <c r="T239" i="5"/>
  <c r="T236" i="5"/>
  <c r="T242" i="5"/>
  <c r="T238" i="5"/>
  <c r="T245" i="5"/>
  <c r="T234" i="5"/>
  <c r="BC419" i="5"/>
  <c r="BC233" i="5"/>
  <c r="BC243" i="5"/>
  <c r="BC238" i="5"/>
  <c r="BC244" i="5"/>
  <c r="BC245" i="5"/>
  <c r="BC234" i="5"/>
  <c r="BC236" i="5"/>
  <c r="BB419" i="5"/>
  <c r="BB233" i="5"/>
  <c r="BB238" i="5"/>
  <c r="BB244" i="5"/>
  <c r="BB243" i="5"/>
  <c r="BB245" i="5"/>
  <c r="BB236" i="5"/>
  <c r="BB234" i="5"/>
  <c r="BD142" i="5"/>
  <c r="BV235" i="5"/>
  <c r="AW235" i="5"/>
  <c r="DL193" i="5" l="1"/>
  <c r="DL58" i="5"/>
  <c r="DB272" i="5"/>
  <c r="DB278" i="5" s="1"/>
  <c r="DB308" i="5"/>
  <c r="T42" i="301"/>
  <c r="DG328" i="5"/>
  <c r="DG21" i="5"/>
  <c r="AG225" i="5"/>
  <c r="AG162" i="5"/>
  <c r="AG158" i="5"/>
  <c r="AK230" i="5"/>
  <c r="AK246" i="5" s="1"/>
  <c r="AK180" i="5"/>
  <c r="AO178" i="5"/>
  <c r="AK183" i="5"/>
  <c r="CR224" i="5"/>
  <c r="CR178" i="5"/>
  <c r="CR160" i="5"/>
  <c r="CR157" i="5"/>
  <c r="BF420" i="5"/>
  <c r="BF370" i="5"/>
  <c r="BF366" i="5"/>
  <c r="BF362" i="5"/>
  <c r="BF358" i="5"/>
  <c r="BF240" i="5"/>
  <c r="F225" i="5"/>
  <c r="F162" i="5"/>
  <c r="DL323" i="5"/>
  <c r="AE225" i="5"/>
  <c r="AE158" i="5"/>
  <c r="AE162" i="5"/>
  <c r="BT230" i="5"/>
  <c r="BT246" i="5" s="1"/>
  <c r="BT183" i="5"/>
  <c r="BT180" i="5"/>
  <c r="BT179" i="5"/>
  <c r="Y230" i="5"/>
  <c r="Y246" i="5" s="1"/>
  <c r="Y180" i="5"/>
  <c r="Y183" i="5"/>
  <c r="P22" i="301"/>
  <c r="P56" i="301" s="1"/>
  <c r="P27" i="301"/>
  <c r="CZ153" i="5"/>
  <c r="CZ262" i="5"/>
  <c r="AI366" i="5"/>
  <c r="AI240" i="5"/>
  <c r="CH218" i="5"/>
  <c r="CH155" i="5"/>
  <c r="CH156" i="5"/>
  <c r="U370" i="5"/>
  <c r="U358" i="5"/>
  <c r="U240" i="5"/>
  <c r="T230" i="5"/>
  <c r="T246" i="5" s="1"/>
  <c r="T183" i="5"/>
  <c r="T180" i="5"/>
  <c r="AV223" i="5"/>
  <c r="AN225" i="5"/>
  <c r="AN162" i="5"/>
  <c r="AN158" i="5"/>
  <c r="DG31" i="5"/>
  <c r="DB32" i="5"/>
  <c r="R225" i="5"/>
  <c r="R241" i="5" s="1"/>
  <c r="R158" i="5"/>
  <c r="R162" i="5"/>
  <c r="K225" i="5"/>
  <c r="K158" i="5"/>
  <c r="K162" i="5"/>
  <c r="K163" i="5" s="1"/>
  <c r="BX154" i="5"/>
  <c r="BX144" i="5"/>
  <c r="BX145" i="5" s="1"/>
  <c r="BX141" i="5"/>
  <c r="BX142" i="5" s="1"/>
  <c r="BX149" i="5"/>
  <c r="BX150" i="5" s="1"/>
  <c r="BX140" i="5"/>
  <c r="O19" i="301"/>
  <c r="S225" i="5"/>
  <c r="S241" i="5" s="1"/>
  <c r="S158" i="5"/>
  <c r="S162" i="5"/>
  <c r="AZ311" i="5"/>
  <c r="AZ237" i="5"/>
  <c r="AZ319" i="5"/>
  <c r="AZ303" i="5"/>
  <c r="DB219" i="5"/>
  <c r="DB96" i="5"/>
  <c r="DB95" i="5"/>
  <c r="T14" i="301"/>
  <c r="AL362" i="5"/>
  <c r="AL370" i="5"/>
  <c r="AL366" i="5"/>
  <c r="AL358" i="5"/>
  <c r="AL240" i="5"/>
  <c r="AM230" i="5"/>
  <c r="AM246" i="5" s="1"/>
  <c r="AM183" i="5"/>
  <c r="AM180" i="5"/>
  <c r="BG230" i="5"/>
  <c r="BG183" i="5"/>
  <c r="BG180" i="5"/>
  <c r="BG179" i="5"/>
  <c r="BZ225" i="5"/>
  <c r="BZ241" i="5" s="1"/>
  <c r="BZ162" i="5"/>
  <c r="BZ158" i="5"/>
  <c r="AB366" i="5"/>
  <c r="AB240" i="5"/>
  <c r="AY233" i="5"/>
  <c r="AY236" i="5"/>
  <c r="AY238" i="5"/>
  <c r="AY243" i="5"/>
  <c r="AY244" i="5"/>
  <c r="AY288" i="5"/>
  <c r="AY234" i="5"/>
  <c r="AY245" i="5"/>
  <c r="DB229" i="5"/>
  <c r="DB176" i="5"/>
  <c r="T24" i="301" s="1"/>
  <c r="C186" i="5"/>
  <c r="C184" i="5"/>
  <c r="P319" i="5"/>
  <c r="P303" i="5"/>
  <c r="P237" i="5"/>
  <c r="P311" i="5"/>
  <c r="DA221" i="5"/>
  <c r="DA132" i="5"/>
  <c r="DB131" i="5"/>
  <c r="BI235" i="5"/>
  <c r="BI220" i="5"/>
  <c r="BO225" i="5"/>
  <c r="BO158" i="5"/>
  <c r="BO162" i="5"/>
  <c r="BI419" i="5"/>
  <c r="BI233" i="5"/>
  <c r="BI236" i="5"/>
  <c r="BI243" i="5"/>
  <c r="BI238" i="5"/>
  <c r="BI244" i="5"/>
  <c r="BI245" i="5"/>
  <c r="BI234" i="5"/>
  <c r="S56" i="301"/>
  <c r="BB230" i="5"/>
  <c r="BB179" i="5"/>
  <c r="BB180" i="5"/>
  <c r="BB183" i="5"/>
  <c r="BL225" i="5"/>
  <c r="BL158" i="5"/>
  <c r="BL162" i="5"/>
  <c r="AF230" i="5"/>
  <c r="AF246" i="5" s="1"/>
  <c r="AF183" i="5"/>
  <c r="AF180" i="5"/>
  <c r="AJ178" i="5"/>
  <c r="CA230" i="5"/>
  <c r="CA246" i="5" s="1"/>
  <c r="CA183" i="5"/>
  <c r="CA180" i="5"/>
  <c r="CA179" i="5"/>
  <c r="BY225" i="5"/>
  <c r="BY241" i="5" s="1"/>
  <c r="BY162" i="5"/>
  <c r="BY158" i="5"/>
  <c r="CC145" i="5"/>
  <c r="CC142" i="5"/>
  <c r="DG110" i="5"/>
  <c r="DB111" i="5"/>
  <c r="CF225" i="5"/>
  <c r="CF241" i="5" s="1"/>
  <c r="CF158" i="5"/>
  <c r="CF162" i="5"/>
  <c r="DG300" i="5"/>
  <c r="DG304" i="5" s="1"/>
  <c r="DL298" i="5"/>
  <c r="DL300" i="5" s="1"/>
  <c r="DL304" i="5" s="1"/>
  <c r="DL129" i="5"/>
  <c r="CK225" i="5"/>
  <c r="CK241" i="5" s="1"/>
  <c r="CK162" i="5"/>
  <c r="CK163" i="5" s="1"/>
  <c r="CK158" i="5"/>
  <c r="DL188" i="5"/>
  <c r="DL191" i="5" s="1"/>
  <c r="V28" i="301"/>
  <c r="W230" i="5"/>
  <c r="W246" i="5" s="1"/>
  <c r="W183" i="5"/>
  <c r="W180" i="5"/>
  <c r="AU225" i="5"/>
  <c r="AU162" i="5"/>
  <c r="BW225" i="5"/>
  <c r="BW241" i="5" s="1"/>
  <c r="BW158" i="5"/>
  <c r="BW162" i="5"/>
  <c r="Z285" i="5"/>
  <c r="Z287" i="5" s="1"/>
  <c r="AE281" i="5"/>
  <c r="AE282" i="5" s="1"/>
  <c r="X225" i="5"/>
  <c r="X241" i="5" s="1"/>
  <c r="X162" i="5"/>
  <c r="X163" i="5" s="1"/>
  <c r="X158" i="5"/>
  <c r="K319" i="5"/>
  <c r="K237" i="5"/>
  <c r="K311" i="5"/>
  <c r="K303" i="5"/>
  <c r="BQ420" i="5"/>
  <c r="BQ366" i="5"/>
  <c r="BQ370" i="5"/>
  <c r="BQ362" i="5"/>
  <c r="BQ358" i="5"/>
  <c r="BQ240" i="5"/>
  <c r="CX224" i="5"/>
  <c r="CX240" i="5" s="1"/>
  <c r="CX178" i="5"/>
  <c r="CX157" i="5"/>
  <c r="CX160" i="5"/>
  <c r="AD230" i="5"/>
  <c r="AD246" i="5" s="1"/>
  <c r="AD180" i="5"/>
  <c r="AD183" i="5"/>
  <c r="D186" i="5"/>
  <c r="D184" i="5"/>
  <c r="CN225" i="5"/>
  <c r="CN241" i="5" s="1"/>
  <c r="CN158" i="5"/>
  <c r="CN162" i="5"/>
  <c r="BR420" i="5"/>
  <c r="BR370" i="5"/>
  <c r="BR366" i="5"/>
  <c r="BR362" i="5"/>
  <c r="BR358" i="5"/>
  <c r="BR240" i="5"/>
  <c r="CY77" i="5"/>
  <c r="CY78" i="5" s="1"/>
  <c r="CY75" i="5"/>
  <c r="Q225" i="5"/>
  <c r="Q241" i="5" s="1"/>
  <c r="Q162" i="5"/>
  <c r="Q158" i="5"/>
  <c r="DI201" i="5"/>
  <c r="DI200" i="5"/>
  <c r="DJ199" i="5"/>
  <c r="O225" i="5"/>
  <c r="O241" i="5" s="1"/>
  <c r="O158" i="5"/>
  <c r="O162" i="5"/>
  <c r="CE225" i="5"/>
  <c r="CE241" i="5" s="1"/>
  <c r="CE158" i="5"/>
  <c r="CE162" i="5"/>
  <c r="R16" i="301"/>
  <c r="R21" i="301"/>
  <c r="CM150" i="5"/>
  <c r="F45" i="301" s="1"/>
  <c r="BS237" i="5"/>
  <c r="BS311" i="5"/>
  <c r="BS303" i="5"/>
  <c r="BS319" i="5"/>
  <c r="DL318" i="5"/>
  <c r="BH225" i="5"/>
  <c r="BH158" i="5"/>
  <c r="BH162" i="5"/>
  <c r="DB89" i="5"/>
  <c r="BM420" i="5"/>
  <c r="BM366" i="5"/>
  <c r="BM370" i="5"/>
  <c r="BM362" i="5"/>
  <c r="BM358" i="5"/>
  <c r="BM240" i="5"/>
  <c r="BO237" i="5"/>
  <c r="BO303" i="5"/>
  <c r="BO311" i="5"/>
  <c r="BO319" i="5"/>
  <c r="AV366" i="5"/>
  <c r="AV370" i="5"/>
  <c r="AV362" i="5"/>
  <c r="AV358" i="5"/>
  <c r="AV240" i="5"/>
  <c r="AV374" i="5"/>
  <c r="Z319" i="5"/>
  <c r="Z311" i="5"/>
  <c r="Z303" i="5"/>
  <c r="Z237" i="5"/>
  <c r="BJ225" i="5"/>
  <c r="BJ162" i="5"/>
  <c r="BJ158" i="5"/>
  <c r="CL225" i="5"/>
  <c r="CL241" i="5" s="1"/>
  <c r="CL162" i="5"/>
  <c r="CL158" i="5"/>
  <c r="BK225" i="5"/>
  <c r="BK158" i="5"/>
  <c r="BK162" i="5"/>
  <c r="BA161" i="5"/>
  <c r="CU319" i="5"/>
  <c r="CU237" i="5"/>
  <c r="CU303" i="5"/>
  <c r="CU311" i="5"/>
  <c r="CZ311" i="5" s="1"/>
  <c r="P295" i="5"/>
  <c r="P297" i="5"/>
  <c r="AH225" i="5"/>
  <c r="AH158" i="5"/>
  <c r="AH162" i="5"/>
  <c r="AH163" i="5" s="1"/>
  <c r="BP161" i="5"/>
  <c r="AC225" i="5"/>
  <c r="AC162" i="5"/>
  <c r="AC163" i="5" s="1"/>
  <c r="AC158" i="5"/>
  <c r="DR91" i="5"/>
  <c r="BD224" i="5"/>
  <c r="BD178" i="5"/>
  <c r="BD160" i="5"/>
  <c r="BD157" i="5"/>
  <c r="CD161" i="5"/>
  <c r="AX225" i="5"/>
  <c r="AX162" i="5"/>
  <c r="BS419" i="5"/>
  <c r="BS233" i="5"/>
  <c r="BS244" i="5"/>
  <c r="BS243" i="5"/>
  <c r="BS236" i="5"/>
  <c r="BS238" i="5"/>
  <c r="BS234" i="5"/>
  <c r="BI224" i="5"/>
  <c r="BI178" i="5"/>
  <c r="BI157" i="5"/>
  <c r="BI160" i="5"/>
  <c r="CG225" i="5"/>
  <c r="CG241" i="5" s="1"/>
  <c r="CG162" i="5"/>
  <c r="CG158" i="5"/>
  <c r="V161" i="5"/>
  <c r="AH319" i="5"/>
  <c r="AH303" i="5"/>
  <c r="AH237" i="5"/>
  <c r="AH311" i="5"/>
  <c r="AG230" i="5"/>
  <c r="AG246" i="5" s="1"/>
  <c r="AG183" i="5"/>
  <c r="AG180" i="5"/>
  <c r="AK370" i="5"/>
  <c r="AK366" i="5"/>
  <c r="AK362" i="5"/>
  <c r="AK358" i="5"/>
  <c r="AK240" i="5"/>
  <c r="BA125" i="5"/>
  <c r="AZ126" i="5"/>
  <c r="BJ237" i="5"/>
  <c r="BJ303" i="5"/>
  <c r="BJ311" i="5"/>
  <c r="BJ319" i="5"/>
  <c r="P225" i="5"/>
  <c r="P162" i="5"/>
  <c r="P163" i="5" s="1"/>
  <c r="P158" i="5"/>
  <c r="CO225" i="5"/>
  <c r="CO241" i="5" s="1"/>
  <c r="CO162" i="5"/>
  <c r="CO158" i="5"/>
  <c r="CR235" i="5"/>
  <c r="CR220" i="5"/>
  <c r="E186" i="5"/>
  <c r="E184" i="5"/>
  <c r="DB25" i="5"/>
  <c r="DL253" i="5"/>
  <c r="DL263" i="5"/>
  <c r="CI225" i="5"/>
  <c r="CI241" i="5" s="1"/>
  <c r="CI158" i="5"/>
  <c r="CI162" i="5"/>
  <c r="L225" i="5"/>
  <c r="L241" i="5" s="1"/>
  <c r="L162" i="5"/>
  <c r="L158" i="5"/>
  <c r="G225" i="5"/>
  <c r="G241" i="5" s="1"/>
  <c r="G158" i="5"/>
  <c r="G162" i="5"/>
  <c r="G163" i="5" s="1"/>
  <c r="AI225" i="5"/>
  <c r="AI158" i="5"/>
  <c r="AI162" i="5"/>
  <c r="CB230" i="5"/>
  <c r="CB246" i="5" s="1"/>
  <c r="CB183" i="5"/>
  <c r="CB180" i="5"/>
  <c r="CB179" i="5"/>
  <c r="CT183" i="5"/>
  <c r="CT180" i="5"/>
  <c r="CT179" i="5"/>
  <c r="U319" i="5"/>
  <c r="U237" i="5"/>
  <c r="U311" i="5"/>
  <c r="U303" i="5"/>
  <c r="DG272" i="5"/>
  <c r="DG278" i="5" s="1"/>
  <c r="U39" i="301"/>
  <c r="AG319" i="5"/>
  <c r="AG303" i="5"/>
  <c r="AG237" i="5"/>
  <c r="AG311" i="5"/>
  <c r="AN230" i="5"/>
  <c r="AN246" i="5" s="1"/>
  <c r="AN183" i="5"/>
  <c r="AN180" i="5"/>
  <c r="R230" i="5"/>
  <c r="R246" i="5" s="1"/>
  <c r="R183" i="5"/>
  <c r="R180" i="5"/>
  <c r="K161" i="5"/>
  <c r="AO319" i="5"/>
  <c r="AO303" i="5"/>
  <c r="AO295" i="5"/>
  <c r="AO311" i="5"/>
  <c r="BR311" i="5"/>
  <c r="BR237" i="5"/>
  <c r="BR319" i="5"/>
  <c r="BR303" i="5"/>
  <c r="S230" i="5"/>
  <c r="S246" i="5" s="1"/>
  <c r="S183" i="5"/>
  <c r="S180" i="5"/>
  <c r="AL225" i="5"/>
  <c r="AL158" i="5"/>
  <c r="AL162" i="5"/>
  <c r="AL163" i="5" s="1"/>
  <c r="AO262" i="5"/>
  <c r="AO216" i="5"/>
  <c r="AO153" i="5"/>
  <c r="AO156" i="5"/>
  <c r="BN235" i="5"/>
  <c r="BN220" i="5"/>
  <c r="BZ230" i="5"/>
  <c r="BZ246" i="5" s="1"/>
  <c r="BZ180" i="5"/>
  <c r="BZ179" i="5"/>
  <c r="BZ183" i="5"/>
  <c r="BV225" i="5"/>
  <c r="BV241" i="5" s="1"/>
  <c r="BV162" i="5"/>
  <c r="BV158" i="5"/>
  <c r="AB225" i="5"/>
  <c r="AB162" i="5"/>
  <c r="AB158" i="5"/>
  <c r="BF237" i="5"/>
  <c r="BF319" i="5"/>
  <c r="BF311" i="5"/>
  <c r="BF303" i="5"/>
  <c r="CJ230" i="5"/>
  <c r="CJ246" i="5" s="1"/>
  <c r="CJ180" i="5"/>
  <c r="CJ179" i="5"/>
  <c r="CJ183" i="5"/>
  <c r="AU319" i="5"/>
  <c r="AU303" i="5"/>
  <c r="AU237" i="5"/>
  <c r="AU295" i="5"/>
  <c r="AU311" i="5"/>
  <c r="AJ319" i="5"/>
  <c r="AJ311" i="5"/>
  <c r="AJ303" i="5"/>
  <c r="AJ295" i="5"/>
  <c r="BO230" i="5"/>
  <c r="BO180" i="5"/>
  <c r="BO179" i="5"/>
  <c r="BO183" i="5"/>
  <c r="BH311" i="5"/>
  <c r="BH237" i="5"/>
  <c r="BH303" i="5"/>
  <c r="BH319" i="5"/>
  <c r="BB420" i="5"/>
  <c r="BB366" i="5"/>
  <c r="BB362" i="5"/>
  <c r="BB358" i="5"/>
  <c r="BB240" i="5"/>
  <c r="BB370" i="5"/>
  <c r="BC420" i="5"/>
  <c r="BC366" i="5"/>
  <c r="BC370" i="5"/>
  <c r="BC362" i="5"/>
  <c r="BC358" i="5"/>
  <c r="BC240" i="5"/>
  <c r="CW225" i="5"/>
  <c r="CW162" i="5"/>
  <c r="G49" i="301" s="1"/>
  <c r="BL161" i="5"/>
  <c r="BN267" i="5"/>
  <c r="BN263" i="5"/>
  <c r="BN262" i="5"/>
  <c r="AF366" i="5"/>
  <c r="AF240" i="5"/>
  <c r="CA161" i="5"/>
  <c r="BY230" i="5"/>
  <c r="BY246" i="5" s="1"/>
  <c r="BY183" i="5"/>
  <c r="BY180" i="5"/>
  <c r="BY179" i="5"/>
  <c r="CC218" i="5"/>
  <c r="CC155" i="5"/>
  <c r="BM311" i="5"/>
  <c r="BM237" i="5"/>
  <c r="BM319" i="5"/>
  <c r="BM303" i="5"/>
  <c r="CP230" i="5"/>
  <c r="CP246" i="5" s="1"/>
  <c r="CP179" i="5"/>
  <c r="CP180" i="5"/>
  <c r="CP183" i="5"/>
  <c r="CF161" i="5"/>
  <c r="AW225" i="5"/>
  <c r="AW162" i="5"/>
  <c r="N225" i="5"/>
  <c r="N241" i="5" s="1"/>
  <c r="N158" i="5"/>
  <c r="N162" i="5"/>
  <c r="W161" i="5"/>
  <c r="AU230" i="5"/>
  <c r="AU246" i="5" s="1"/>
  <c r="AU180" i="5"/>
  <c r="AU204" i="5" s="1"/>
  <c r="AU183" i="5"/>
  <c r="BW230" i="5"/>
  <c r="BW246" i="5" s="1"/>
  <c r="BW183" i="5"/>
  <c r="BW180" i="5"/>
  <c r="BW179" i="5"/>
  <c r="X161" i="5"/>
  <c r="AA366" i="5"/>
  <c r="AA240" i="5"/>
  <c r="BQ161" i="5"/>
  <c r="AD161" i="5"/>
  <c r="AY237" i="5"/>
  <c r="AY311" i="5"/>
  <c r="AY319" i="5"/>
  <c r="AY303" i="5"/>
  <c r="AY295" i="5"/>
  <c r="H225" i="5"/>
  <c r="H241" i="5" s="1"/>
  <c r="H162" i="5"/>
  <c r="H163" i="5" s="1"/>
  <c r="H158" i="5"/>
  <c r="DB345" i="5"/>
  <c r="DB290" i="5"/>
  <c r="DG290" i="5" s="1"/>
  <c r="CN161" i="5"/>
  <c r="BR230" i="5"/>
  <c r="BR180" i="5"/>
  <c r="BR179" i="5"/>
  <c r="BR183" i="5"/>
  <c r="AJ216" i="5"/>
  <c r="AJ237" i="5" s="1"/>
  <c r="AJ156" i="5"/>
  <c r="AJ153" i="5"/>
  <c r="AJ262" i="5"/>
  <c r="BS150" i="5"/>
  <c r="CY152" i="5"/>
  <c r="DB76" i="5"/>
  <c r="Q230" i="5"/>
  <c r="Q246" i="5" s="1"/>
  <c r="Q180" i="5"/>
  <c r="U178" i="5"/>
  <c r="Q183" i="5"/>
  <c r="CQ311" i="5"/>
  <c r="CQ237" i="5"/>
  <c r="CQ319" i="5"/>
  <c r="CQ303" i="5"/>
  <c r="O230" i="5"/>
  <c r="O246" i="5" s="1"/>
  <c r="O183" i="5"/>
  <c r="O180" i="5"/>
  <c r="CE161" i="5"/>
  <c r="CM142" i="5"/>
  <c r="F43" i="301" s="1"/>
  <c r="CM218" i="5"/>
  <c r="CM155" i="5"/>
  <c r="CM156" i="5"/>
  <c r="BH161" i="5"/>
  <c r="CY80" i="5"/>
  <c r="CY139" i="5" s="1"/>
  <c r="CY84" i="5"/>
  <c r="CY85" i="5"/>
  <c r="CY86" i="5" s="1"/>
  <c r="BD235" i="5"/>
  <c r="BD220" i="5"/>
  <c r="BM161" i="5"/>
  <c r="AV225" i="5"/>
  <c r="AV162" i="5"/>
  <c r="BN224" i="5"/>
  <c r="BN157" i="5"/>
  <c r="BN160" i="5"/>
  <c r="BN161" i="5" s="1"/>
  <c r="BN178" i="5"/>
  <c r="BJ420" i="5"/>
  <c r="BJ370" i="5"/>
  <c r="BJ366" i="5"/>
  <c r="BJ362" i="5"/>
  <c r="BJ358" i="5"/>
  <c r="BJ240" i="5"/>
  <c r="BK161" i="5"/>
  <c r="BA225" i="5"/>
  <c r="BA162" i="5"/>
  <c r="BA163" i="5" s="1"/>
  <c r="BA158" i="5"/>
  <c r="F230" i="5"/>
  <c r="F246" i="5" s="1"/>
  <c r="F180" i="5"/>
  <c r="AH230" i="5"/>
  <c r="AH246" i="5" s="1"/>
  <c r="AH183" i="5"/>
  <c r="AH180" i="5"/>
  <c r="BP230" i="5"/>
  <c r="BP180" i="5"/>
  <c r="BP179" i="5"/>
  <c r="BP183" i="5"/>
  <c r="AC230" i="5"/>
  <c r="AC246" i="5" s="1"/>
  <c r="AC180" i="5"/>
  <c r="AC183" i="5"/>
  <c r="AZ225" i="5"/>
  <c r="AZ158" i="5"/>
  <c r="AZ162" i="5"/>
  <c r="AZ163" i="5" s="1"/>
  <c r="AZ420" i="5"/>
  <c r="AZ370" i="5"/>
  <c r="AZ362" i="5"/>
  <c r="AZ366" i="5"/>
  <c r="AZ358" i="5"/>
  <c r="AZ240" i="5"/>
  <c r="CT237" i="5"/>
  <c r="CT303" i="5"/>
  <c r="CT319" i="5"/>
  <c r="CT311" i="5"/>
  <c r="CY311" i="5" s="1"/>
  <c r="CD230" i="5"/>
  <c r="CD246" i="5" s="1"/>
  <c r="CD180" i="5"/>
  <c r="CD179" i="5"/>
  <c r="CD183" i="5"/>
  <c r="AX230" i="5"/>
  <c r="AX246" i="5" s="1"/>
  <c r="AX180" i="5"/>
  <c r="AX204" i="5" s="1"/>
  <c r="AX183" i="5"/>
  <c r="BE161" i="5"/>
  <c r="BE420" i="5"/>
  <c r="BE370" i="5"/>
  <c r="BE362" i="5"/>
  <c r="BE366" i="5"/>
  <c r="BE358" i="5"/>
  <c r="BE240" i="5"/>
  <c r="Z225" i="5"/>
  <c r="Z158" i="5"/>
  <c r="Z162" i="5"/>
  <c r="DA89" i="5"/>
  <c r="DA87" i="5"/>
  <c r="DB87" i="5" s="1"/>
  <c r="DA83" i="5"/>
  <c r="AG366" i="5"/>
  <c r="AG240" i="5"/>
  <c r="BF225" i="5"/>
  <c r="BF162" i="5"/>
  <c r="BF158" i="5"/>
  <c r="CO230" i="5"/>
  <c r="CO246" i="5" s="1"/>
  <c r="CO183" i="5"/>
  <c r="CO179" i="5"/>
  <c r="CO180" i="5"/>
  <c r="F358" i="5"/>
  <c r="F240" i="5"/>
  <c r="F374" i="5"/>
  <c r="F370" i="5"/>
  <c r="AE370" i="5"/>
  <c r="AE358" i="5"/>
  <c r="AE362" i="5"/>
  <c r="AE366" i="5"/>
  <c r="AE240" i="5"/>
  <c r="CU225" i="5"/>
  <c r="CU241" i="5" s="1"/>
  <c r="CU162" i="5"/>
  <c r="BT225" i="5"/>
  <c r="BT241" i="5" s="1"/>
  <c r="BT158" i="5"/>
  <c r="BT162" i="5"/>
  <c r="BT163" i="5" s="1"/>
  <c r="DG24" i="5"/>
  <c r="DG25" i="5" s="1"/>
  <c r="DL19" i="5"/>
  <c r="DL24" i="5" s="1"/>
  <c r="CC224" i="5"/>
  <c r="CC178" i="5"/>
  <c r="CC157" i="5"/>
  <c r="CC160" i="5"/>
  <c r="CI230" i="5"/>
  <c r="CI246" i="5" s="1"/>
  <c r="CI180" i="5"/>
  <c r="CI179" i="5"/>
  <c r="CI183" i="5"/>
  <c r="G230" i="5"/>
  <c r="G246" i="5" s="1"/>
  <c r="G183" i="5"/>
  <c r="K178" i="5"/>
  <c r="G180" i="5"/>
  <c r="AI230" i="5"/>
  <c r="AI246" i="5" s="1"/>
  <c r="AI183" i="5"/>
  <c r="AI180" i="5"/>
  <c r="BD419" i="5"/>
  <c r="BD233" i="5"/>
  <c r="BD244" i="5"/>
  <c r="BD243" i="5"/>
  <c r="BD245" i="5"/>
  <c r="BD236" i="5"/>
  <c r="BD238" i="5"/>
  <c r="BD234" i="5"/>
  <c r="U161" i="5"/>
  <c r="M225" i="5"/>
  <c r="M241" i="5" s="1"/>
  <c r="M162" i="5"/>
  <c r="M163" i="5" s="1"/>
  <c r="M158" i="5"/>
  <c r="T225" i="5"/>
  <c r="T241" i="5" s="1"/>
  <c r="T162" i="5"/>
  <c r="T163" i="5" s="1"/>
  <c r="T158" i="5"/>
  <c r="AN366" i="5"/>
  <c r="AN362" i="5"/>
  <c r="AN370" i="5"/>
  <c r="AN358" i="5"/>
  <c r="AN240" i="5"/>
  <c r="R161" i="5"/>
  <c r="K358" i="5"/>
  <c r="K240" i="5"/>
  <c r="K370" i="5"/>
  <c r="K374" i="5"/>
  <c r="CS224" i="5"/>
  <c r="CS240" i="5" s="1"/>
  <c r="CS178" i="5"/>
  <c r="CS157" i="5"/>
  <c r="CS160" i="5"/>
  <c r="AL230" i="5"/>
  <c r="AL246" i="5" s="1"/>
  <c r="AL183" i="5"/>
  <c r="AL180" i="5"/>
  <c r="AM370" i="5"/>
  <c r="AM366" i="5"/>
  <c r="AM362" i="5"/>
  <c r="AM358" i="5"/>
  <c r="AM240" i="5"/>
  <c r="BG420" i="5"/>
  <c r="BG366" i="5"/>
  <c r="BG370" i="5"/>
  <c r="BG362" i="5"/>
  <c r="BG358" i="5"/>
  <c r="BG240" i="5"/>
  <c r="I225" i="5"/>
  <c r="I241" i="5" s="1"/>
  <c r="I162" i="5"/>
  <c r="I163" i="5" s="1"/>
  <c r="I158" i="5"/>
  <c r="BA319" i="5"/>
  <c r="BA237" i="5"/>
  <c r="BA303" i="5"/>
  <c r="BA311" i="5"/>
  <c r="CQ225" i="5"/>
  <c r="CQ241" i="5" s="1"/>
  <c r="CQ158" i="5"/>
  <c r="CQ162" i="5"/>
  <c r="CQ163" i="5" s="1"/>
  <c r="AX319" i="5"/>
  <c r="AX303" i="5"/>
  <c r="AX311" i="5"/>
  <c r="AX237" i="5"/>
  <c r="AX295" i="5"/>
  <c r="CV211" i="5"/>
  <c r="CV186" i="5"/>
  <c r="CV201" i="5" s="1"/>
  <c r="CV184" i="5"/>
  <c r="DB363" i="5"/>
  <c r="BK237" i="5"/>
  <c r="BK319" i="5"/>
  <c r="BK303" i="5"/>
  <c r="BK311" i="5"/>
  <c r="BC225" i="5"/>
  <c r="BC158" i="5"/>
  <c r="BC162" i="5"/>
  <c r="BC163" i="5" s="1"/>
  <c r="CW230" i="5"/>
  <c r="CW183" i="5"/>
  <c r="CW179" i="5"/>
  <c r="CW180" i="5"/>
  <c r="BL230" i="5"/>
  <c r="BL183" i="5"/>
  <c r="BL180" i="5"/>
  <c r="BL179" i="5"/>
  <c r="AF225" i="5"/>
  <c r="AF162" i="5"/>
  <c r="AF158" i="5"/>
  <c r="CC140" i="5"/>
  <c r="BB237" i="5"/>
  <c r="BB303" i="5"/>
  <c r="BB319" i="5"/>
  <c r="BB311" i="5"/>
  <c r="CF230" i="5"/>
  <c r="CF246" i="5" s="1"/>
  <c r="CF183" i="5"/>
  <c r="CF180" i="5"/>
  <c r="CF179" i="5"/>
  <c r="AW230" i="5"/>
  <c r="AW246" i="5" s="1"/>
  <c r="AW183" i="5"/>
  <c r="AW180" i="5"/>
  <c r="AW204" i="5" s="1"/>
  <c r="N230" i="5"/>
  <c r="N246" i="5" s="1"/>
  <c r="N183" i="5"/>
  <c r="N180" i="5"/>
  <c r="CK161" i="5"/>
  <c r="DG338" i="5"/>
  <c r="U40" i="301"/>
  <c r="X230" i="5"/>
  <c r="X246" i="5" s="1"/>
  <c r="X183" i="5"/>
  <c r="X180" i="5"/>
  <c r="AA225" i="5"/>
  <c r="AA158" i="5"/>
  <c r="AA162" i="5"/>
  <c r="AA163" i="5" s="1"/>
  <c r="BQ230" i="5"/>
  <c r="BQ183" i="5"/>
  <c r="BQ180" i="5"/>
  <c r="BQ179" i="5"/>
  <c r="CP319" i="5"/>
  <c r="CP237" i="5"/>
  <c r="CP311" i="5"/>
  <c r="CP303" i="5"/>
  <c r="CX235" i="5"/>
  <c r="CX220" i="5"/>
  <c r="AD366" i="5"/>
  <c r="AD240" i="5"/>
  <c r="AY235" i="5"/>
  <c r="BU225" i="5"/>
  <c r="BU241" i="5" s="1"/>
  <c r="BU162" i="5"/>
  <c r="BU158" i="5"/>
  <c r="CN230" i="5"/>
  <c r="CN246" i="5" s="1"/>
  <c r="CN183" i="5"/>
  <c r="CN179" i="5"/>
  <c r="CN180" i="5"/>
  <c r="BT237" i="5"/>
  <c r="BT311" i="5"/>
  <c r="BT319" i="5"/>
  <c r="BT303" i="5"/>
  <c r="BS142" i="5"/>
  <c r="DH200" i="5"/>
  <c r="DH201" i="5"/>
  <c r="CE230" i="5"/>
  <c r="CE246" i="5" s="1"/>
  <c r="CE180" i="5"/>
  <c r="CE179" i="5"/>
  <c r="CE183" i="5"/>
  <c r="CM145" i="5"/>
  <c r="F44" i="301" s="1"/>
  <c r="DG135" i="5"/>
  <c r="DL137" i="5"/>
  <c r="DL135" i="5" s="1"/>
  <c r="AE319" i="5"/>
  <c r="AE237" i="5"/>
  <c r="AE311" i="5"/>
  <c r="AE303" i="5"/>
  <c r="BH230" i="5"/>
  <c r="BH183" i="5"/>
  <c r="BH180" i="5"/>
  <c r="BH179" i="5"/>
  <c r="CN237" i="5"/>
  <c r="CN311" i="5"/>
  <c r="CN303" i="5"/>
  <c r="CN319" i="5"/>
  <c r="BM230" i="5"/>
  <c r="BM183" i="5"/>
  <c r="BM180" i="5"/>
  <c r="BM179" i="5"/>
  <c r="CL230" i="5"/>
  <c r="CL246" i="5" s="1"/>
  <c r="CL180" i="5"/>
  <c r="CL179" i="5"/>
  <c r="CL183" i="5"/>
  <c r="BK230" i="5"/>
  <c r="BK180" i="5"/>
  <c r="BK179" i="5"/>
  <c r="BK183" i="5"/>
  <c r="BA230" i="5"/>
  <c r="BA183" i="5"/>
  <c r="BA179" i="5"/>
  <c r="BA180" i="5"/>
  <c r="BA82" i="5"/>
  <c r="J225" i="5"/>
  <c r="J241" i="5" s="1"/>
  <c r="J158" i="5"/>
  <c r="J162" i="5"/>
  <c r="J163" i="5" s="1"/>
  <c r="BG319" i="5"/>
  <c r="BG237" i="5"/>
  <c r="BG303" i="5"/>
  <c r="BG311" i="5"/>
  <c r="BP420" i="5"/>
  <c r="BP370" i="5"/>
  <c r="BP362" i="5"/>
  <c r="BP366" i="5"/>
  <c r="BP358" i="5"/>
  <c r="BP240" i="5"/>
  <c r="AC366" i="5"/>
  <c r="AC240" i="5"/>
  <c r="BD263" i="5"/>
  <c r="BD262" i="5"/>
  <c r="AZ161" i="5"/>
  <c r="CD225" i="5"/>
  <c r="CD241" i="5" s="1"/>
  <c r="CD162" i="5"/>
  <c r="CD163" i="5" s="1"/>
  <c r="CD158" i="5"/>
  <c r="DL270" i="5"/>
  <c r="DL194" i="5"/>
  <c r="DL195" i="5"/>
  <c r="AX370" i="5"/>
  <c r="AX366" i="5"/>
  <c r="AX362" i="5"/>
  <c r="AX358" i="5"/>
  <c r="AX240" i="5"/>
  <c r="AX374" i="5"/>
  <c r="BE225" i="5"/>
  <c r="BE162" i="5"/>
  <c r="BE158" i="5"/>
  <c r="CG161" i="5"/>
  <c r="V225" i="5"/>
  <c r="V241" i="5" s="1"/>
  <c r="V158" i="5"/>
  <c r="V162" i="5"/>
  <c r="V163" i="5" s="1"/>
  <c r="Z161" i="5"/>
  <c r="CZ84" i="5"/>
  <c r="CZ85" i="5"/>
  <c r="CZ86" i="5" s="1"/>
  <c r="CZ80" i="5"/>
  <c r="CZ139" i="5" s="1"/>
  <c r="CW237" i="5"/>
  <c r="CW311" i="5"/>
  <c r="CW303" i="5"/>
  <c r="CW319" i="5"/>
  <c r="AK225" i="5"/>
  <c r="AK162" i="5"/>
  <c r="AK163" i="5" s="1"/>
  <c r="AK158" i="5"/>
  <c r="BF230" i="5"/>
  <c r="BF180" i="5"/>
  <c r="BF179" i="5"/>
  <c r="BF183" i="5"/>
  <c r="P370" i="5"/>
  <c r="P358" i="5"/>
  <c r="P240" i="5"/>
  <c r="CU230" i="5"/>
  <c r="CU246" i="5" s="1"/>
  <c r="CU183" i="5"/>
  <c r="CU180" i="5"/>
  <c r="CU179" i="5"/>
  <c r="Y225" i="5"/>
  <c r="Y241" i="5" s="1"/>
  <c r="Y162" i="5"/>
  <c r="Y163" i="5" s="1"/>
  <c r="Y158" i="5"/>
  <c r="DB313" i="5"/>
  <c r="CC419" i="5"/>
  <c r="CC233" i="5"/>
  <c r="CC236" i="5"/>
  <c r="CC244" i="5"/>
  <c r="CC243" i="5"/>
  <c r="CC245" i="5"/>
  <c r="CC238" i="5"/>
  <c r="CC234" i="5"/>
  <c r="L230" i="5"/>
  <c r="L246" i="5" s="1"/>
  <c r="L183" i="5"/>
  <c r="L180" i="5"/>
  <c r="P178" i="5"/>
  <c r="CZ77" i="5"/>
  <c r="CZ78" i="5" s="1"/>
  <c r="CZ75" i="5"/>
  <c r="CO237" i="5"/>
  <c r="CO303" i="5"/>
  <c r="CO319" i="5"/>
  <c r="CO311" i="5"/>
  <c r="CB225" i="5"/>
  <c r="CB241" i="5" s="1"/>
  <c r="CB158" i="5"/>
  <c r="CB162" i="5"/>
  <c r="CB163" i="5" s="1"/>
  <c r="Q16" i="301"/>
  <c r="Q21" i="301"/>
  <c r="CT225" i="5"/>
  <c r="CT241" i="5" s="1"/>
  <c r="CT162" i="5"/>
  <c r="U225" i="5"/>
  <c r="U162" i="5"/>
  <c r="U163" i="5" s="1"/>
  <c r="U158" i="5"/>
  <c r="M230" i="5"/>
  <c r="M246" i="5" s="1"/>
  <c r="M183" i="5"/>
  <c r="M180" i="5"/>
  <c r="BL319" i="5"/>
  <c r="BL237" i="5"/>
  <c r="BL303" i="5"/>
  <c r="BL311" i="5"/>
  <c r="AN161" i="5"/>
  <c r="DB73" i="5"/>
  <c r="DB74" i="5"/>
  <c r="DB66" i="5"/>
  <c r="DB63" i="5"/>
  <c r="CS235" i="5"/>
  <c r="CS220" i="5"/>
  <c r="AL161" i="5"/>
  <c r="AM225" i="5"/>
  <c r="AM158" i="5"/>
  <c r="AM162" i="5"/>
  <c r="AM163" i="5" s="1"/>
  <c r="BG225" i="5"/>
  <c r="BG158" i="5"/>
  <c r="BG162" i="5"/>
  <c r="BG163" i="5" s="1"/>
  <c r="BV230" i="5"/>
  <c r="BV246" i="5" s="1"/>
  <c r="BV183" i="5"/>
  <c r="BV180" i="5"/>
  <c r="BV179" i="5"/>
  <c r="AB230" i="5"/>
  <c r="AB246" i="5" s="1"/>
  <c r="AB183" i="5"/>
  <c r="AB180" i="5"/>
  <c r="I230" i="5"/>
  <c r="I246" i="5" s="1"/>
  <c r="I180" i="5"/>
  <c r="I183" i="5"/>
  <c r="CQ230" i="5"/>
  <c r="CQ246" i="5" s="1"/>
  <c r="CQ179" i="5"/>
  <c r="CQ183" i="5"/>
  <c r="CQ180" i="5"/>
  <c r="CV230" i="5"/>
  <c r="CV246" i="5" s="1"/>
  <c r="CJ225" i="5"/>
  <c r="CJ241" i="5" s="1"/>
  <c r="CJ158" i="5"/>
  <c r="CJ162" i="5"/>
  <c r="CJ163" i="5" s="1"/>
  <c r="BS224" i="5"/>
  <c r="BS160" i="5"/>
  <c r="BS161" i="5" s="1"/>
  <c r="BS178" i="5"/>
  <c r="BS157" i="5"/>
  <c r="BO420" i="5"/>
  <c r="BO366" i="5"/>
  <c r="BO370" i="5"/>
  <c r="BO362" i="5"/>
  <c r="BO358" i="5"/>
  <c r="BO240" i="5"/>
  <c r="BB225" i="5"/>
  <c r="BB162" i="5"/>
  <c r="BB163" i="5" s="1"/>
  <c r="BB158" i="5"/>
  <c r="BC230" i="5"/>
  <c r="BC179" i="5"/>
  <c r="BC183" i="5"/>
  <c r="BC180" i="5"/>
  <c r="CW420" i="5"/>
  <c r="CW362" i="5"/>
  <c r="CW358" i="5"/>
  <c r="CW366" i="5"/>
  <c r="CW240" i="5"/>
  <c r="CW370" i="5"/>
  <c r="BL420" i="5"/>
  <c r="BL366" i="5"/>
  <c r="BL370" i="5"/>
  <c r="BL362" i="5"/>
  <c r="BL358" i="5"/>
  <c r="BL240" i="5"/>
  <c r="CA225" i="5"/>
  <c r="CA241" i="5" s="1"/>
  <c r="CA158" i="5"/>
  <c r="CA162" i="5"/>
  <c r="CA163" i="5" s="1"/>
  <c r="BY161" i="5"/>
  <c r="CC150" i="5"/>
  <c r="CP225" i="5"/>
  <c r="CP241" i="5" s="1"/>
  <c r="CP162" i="5"/>
  <c r="CP163" i="5" s="1"/>
  <c r="CP158" i="5"/>
  <c r="AW366" i="5"/>
  <c r="AW370" i="5"/>
  <c r="AW362" i="5"/>
  <c r="AW358" i="5"/>
  <c r="AW240" i="5"/>
  <c r="AW374" i="5"/>
  <c r="N161" i="5"/>
  <c r="BN419" i="5"/>
  <c r="BN233" i="5"/>
  <c r="BN243" i="5"/>
  <c r="BN238" i="5"/>
  <c r="BN245" i="5"/>
  <c r="BN236" i="5"/>
  <c r="BN234" i="5"/>
  <c r="BN244" i="5"/>
  <c r="CK230" i="5"/>
  <c r="CK246" i="5" s="1"/>
  <c r="CK183" i="5"/>
  <c r="CK180" i="5"/>
  <c r="CK179" i="5"/>
  <c r="F32" i="301"/>
  <c r="H32" i="301"/>
  <c r="BI91" i="5"/>
  <c r="BN91" i="5"/>
  <c r="W225" i="5"/>
  <c r="W241" i="5" s="1"/>
  <c r="W158" i="5"/>
  <c r="W162" i="5"/>
  <c r="W163" i="5" s="1"/>
  <c r="AY224" i="5"/>
  <c r="AY160" i="5"/>
  <c r="AY178" i="5"/>
  <c r="AY157" i="5"/>
  <c r="AU370" i="5"/>
  <c r="AU362" i="5"/>
  <c r="AU366" i="5"/>
  <c r="AU358" i="5"/>
  <c r="AU240" i="5"/>
  <c r="AU374" i="5"/>
  <c r="U375" i="5"/>
  <c r="U374" i="5"/>
  <c r="U344" i="5"/>
  <c r="U288" i="5"/>
  <c r="U291" i="5"/>
  <c r="U294" i="5" s="1"/>
  <c r="AA230" i="5"/>
  <c r="AA246" i="5" s="1"/>
  <c r="AA180" i="5"/>
  <c r="AA183" i="5"/>
  <c r="AE178" i="5"/>
  <c r="BQ225" i="5"/>
  <c r="BQ162" i="5"/>
  <c r="BQ163" i="5" s="1"/>
  <c r="BQ158" i="5"/>
  <c r="AD225" i="5"/>
  <c r="AD158" i="5"/>
  <c r="AD162" i="5"/>
  <c r="H230" i="5"/>
  <c r="H246" i="5" s="1"/>
  <c r="H183" i="5"/>
  <c r="H180" i="5"/>
  <c r="BU230" i="5"/>
  <c r="BU246" i="5" s="1"/>
  <c r="BU183" i="5"/>
  <c r="BU180" i="5"/>
  <c r="BU179" i="5"/>
  <c r="BR225" i="5"/>
  <c r="BR162" i="5"/>
  <c r="BR158" i="5"/>
  <c r="BS145" i="5"/>
  <c r="Q161" i="5"/>
  <c r="AF319" i="5"/>
  <c r="AF303" i="5"/>
  <c r="AF311" i="5"/>
  <c r="AF237" i="5"/>
  <c r="DG200" i="5"/>
  <c r="BH420" i="5"/>
  <c r="BH366" i="5"/>
  <c r="BH370" i="5"/>
  <c r="BH362" i="5"/>
  <c r="BH358" i="5"/>
  <c r="BH240" i="5"/>
  <c r="BM225" i="5"/>
  <c r="BM162" i="5"/>
  <c r="BM163" i="5" s="1"/>
  <c r="BM158" i="5"/>
  <c r="AV230" i="5"/>
  <c r="AV246" i="5" s="1"/>
  <c r="AV183" i="5"/>
  <c r="AV180" i="5"/>
  <c r="AV82" i="5"/>
  <c r="DL118" i="5"/>
  <c r="DL117" i="5" s="1"/>
  <c r="DG117" i="5"/>
  <c r="BJ230" i="5"/>
  <c r="BJ180" i="5"/>
  <c r="BJ179" i="5"/>
  <c r="BJ183" i="5"/>
  <c r="BJ82" i="5"/>
  <c r="BK420" i="5"/>
  <c r="BK370" i="5"/>
  <c r="BK362" i="5"/>
  <c r="BK366" i="5"/>
  <c r="BK358" i="5"/>
  <c r="BK240" i="5"/>
  <c r="BA420" i="5"/>
  <c r="BA366" i="5"/>
  <c r="BA370" i="5"/>
  <c r="BA362" i="5"/>
  <c r="BA358" i="5"/>
  <c r="BA240" i="5"/>
  <c r="J230" i="5"/>
  <c r="J246" i="5" s="1"/>
  <c r="J180" i="5"/>
  <c r="J183" i="5"/>
  <c r="BE91" i="5"/>
  <c r="DO90" i="5"/>
  <c r="BJ91" i="5"/>
  <c r="B186" i="5"/>
  <c r="B184" i="5"/>
  <c r="F183" i="5"/>
  <c r="AH366" i="5"/>
  <c r="AH240" i="5"/>
  <c r="BP225" i="5"/>
  <c r="BP158" i="5"/>
  <c r="BP162" i="5"/>
  <c r="BP163" i="5" s="1"/>
  <c r="AC161" i="5"/>
  <c r="BU237" i="5"/>
  <c r="BU303" i="5"/>
  <c r="BU311" i="5"/>
  <c r="BU319" i="5"/>
  <c r="CV311" i="5"/>
  <c r="DA311" i="5" s="1"/>
  <c r="CV237" i="5"/>
  <c r="CV303" i="5"/>
  <c r="CV319" i="5"/>
  <c r="AZ230" i="5"/>
  <c r="AZ180" i="5"/>
  <c r="AZ183" i="5"/>
  <c r="AZ179" i="5"/>
  <c r="AV319" i="5"/>
  <c r="AV303" i="5"/>
  <c r="AV237" i="5"/>
  <c r="AV295" i="5"/>
  <c r="AV311" i="5"/>
  <c r="DZ7" i="5"/>
  <c r="DZ8" i="5"/>
  <c r="DZ9" i="5" s="1"/>
  <c r="BE230" i="5"/>
  <c r="BE183" i="5"/>
  <c r="BE180" i="5"/>
  <c r="BE179" i="5"/>
  <c r="BE82" i="5"/>
  <c r="CG230" i="5"/>
  <c r="CG246" i="5" s="1"/>
  <c r="CG183" i="5"/>
  <c r="CG180" i="5"/>
  <c r="CG179" i="5"/>
  <c r="V230" i="5"/>
  <c r="V246" i="5" s="1"/>
  <c r="V180" i="5"/>
  <c r="V183" i="5"/>
  <c r="Z178" i="5"/>
  <c r="Z370" i="5"/>
  <c r="Z362" i="5"/>
  <c r="Z358" i="5"/>
  <c r="Z366" i="5"/>
  <c r="Z240" i="5"/>
  <c r="H40" i="301" l="1"/>
  <c r="DB309" i="5"/>
  <c r="DG309" i="5" s="1"/>
  <c r="DL309" i="5" s="1"/>
  <c r="U42" i="301"/>
  <c r="DG26" i="5"/>
  <c r="DG130" i="5"/>
  <c r="V231" i="5"/>
  <c r="V247" i="5" s="1"/>
  <c r="V186" i="5"/>
  <c r="V184" i="5"/>
  <c r="Z183" i="5"/>
  <c r="V211" i="5"/>
  <c r="V212" i="5" s="1"/>
  <c r="DG115" i="5"/>
  <c r="DG116" i="5" s="1"/>
  <c r="U15" i="301"/>
  <c r="AV231" i="5"/>
  <c r="AV247" i="5" s="1"/>
  <c r="AV211" i="5"/>
  <c r="BR163" i="5"/>
  <c r="BU231" i="5"/>
  <c r="BU247" i="5" s="1"/>
  <c r="BU211" i="5"/>
  <c r="BU184" i="5"/>
  <c r="BU186" i="5"/>
  <c r="CG231" i="5"/>
  <c r="CG247" i="5" s="1"/>
  <c r="CG211" i="5"/>
  <c r="CG186" i="5"/>
  <c r="CG184" i="5"/>
  <c r="F231" i="5"/>
  <c r="F247" i="5" s="1"/>
  <c r="F189" i="5"/>
  <c r="F188" i="5"/>
  <c r="F211" i="5"/>
  <c r="DO91" i="5"/>
  <c r="DP91" i="5"/>
  <c r="DL115" i="5"/>
  <c r="V15" i="301"/>
  <c r="BR425" i="5"/>
  <c r="BR372" i="5"/>
  <c r="BR368" i="5"/>
  <c r="BR364" i="5"/>
  <c r="BR360" i="5"/>
  <c r="BR241" i="5"/>
  <c r="AD163" i="5"/>
  <c r="BB425" i="5"/>
  <c r="BB368" i="5"/>
  <c r="BB364" i="5"/>
  <c r="BB360" i="5"/>
  <c r="BB241" i="5"/>
  <c r="BB372" i="5"/>
  <c r="BS230" i="5"/>
  <c r="BS180" i="5"/>
  <c r="BS179" i="5"/>
  <c r="BS183" i="5"/>
  <c r="CQ231" i="5"/>
  <c r="CQ247" i="5" s="1"/>
  <c r="CQ211" i="5"/>
  <c r="CQ186" i="5"/>
  <c r="CQ184" i="5"/>
  <c r="CS237" i="5"/>
  <c r="CS311" i="5"/>
  <c r="CS319" i="5"/>
  <c r="CS303" i="5"/>
  <c r="Q27" i="301"/>
  <c r="Q22" i="301"/>
  <c r="Q56" i="301" s="1"/>
  <c r="E50" i="301"/>
  <c r="DB391" i="5"/>
  <c r="DB371" i="5"/>
  <c r="DG313" i="5"/>
  <c r="DB170" i="5"/>
  <c r="DB171" i="5" s="1"/>
  <c r="T50" i="301"/>
  <c r="BF231" i="5"/>
  <c r="BF211" i="5"/>
  <c r="BF186" i="5"/>
  <c r="BF184" i="5"/>
  <c r="BE163" i="5"/>
  <c r="BA231" i="5"/>
  <c r="BA211" i="5"/>
  <c r="BA184" i="5"/>
  <c r="BA186" i="5"/>
  <c r="BA424" i="5" s="1"/>
  <c r="BM231" i="5"/>
  <c r="BM211" i="5"/>
  <c r="BM186" i="5"/>
  <c r="BM184" i="5"/>
  <c r="DG136" i="5"/>
  <c r="CN231" i="5"/>
  <c r="CN247" i="5" s="1"/>
  <c r="CN211" i="5"/>
  <c r="CN184" i="5"/>
  <c r="CN186" i="5"/>
  <c r="CX237" i="5"/>
  <c r="CX303" i="5"/>
  <c r="CX311" i="5"/>
  <c r="CX319" i="5"/>
  <c r="BQ231" i="5"/>
  <c r="BQ211" i="5"/>
  <c r="BQ184" i="5"/>
  <c r="BQ186" i="5"/>
  <c r="AA368" i="5"/>
  <c r="AA241" i="5"/>
  <c r="AL231" i="5"/>
  <c r="AL247" i="5" s="1"/>
  <c r="AL211" i="5"/>
  <c r="AL186" i="5"/>
  <c r="AL184" i="5"/>
  <c r="CS225" i="5"/>
  <c r="CS241" i="5" s="1"/>
  <c r="CS162" i="5"/>
  <c r="K230" i="5"/>
  <c r="K246" i="5" s="1"/>
  <c r="K180" i="5"/>
  <c r="CC230" i="5"/>
  <c r="CC183" i="5"/>
  <c r="CC180" i="5"/>
  <c r="CC179" i="5"/>
  <c r="DL20" i="5"/>
  <c r="BF163" i="5"/>
  <c r="AX231" i="5"/>
  <c r="AX247" i="5" s="1"/>
  <c r="AX211" i="5"/>
  <c r="AX186" i="5"/>
  <c r="AC231" i="5"/>
  <c r="AC247" i="5" s="1"/>
  <c r="AC186" i="5"/>
  <c r="AC184" i="5"/>
  <c r="AC211" i="5"/>
  <c r="AC212" i="5" s="1"/>
  <c r="AH231" i="5"/>
  <c r="AH247" i="5" s="1"/>
  <c r="AH186" i="5"/>
  <c r="AH187" i="5" s="1"/>
  <c r="AH184" i="5"/>
  <c r="AH211" i="5"/>
  <c r="BN225" i="5"/>
  <c r="BN162" i="5"/>
  <c r="BN163" i="5" s="1"/>
  <c r="BN158" i="5"/>
  <c r="CM224" i="5"/>
  <c r="CM160" i="5"/>
  <c r="CM178" i="5"/>
  <c r="CM157" i="5"/>
  <c r="Q231" i="5"/>
  <c r="Q247" i="5" s="1"/>
  <c r="Q186" i="5"/>
  <c r="Q184" i="5"/>
  <c r="U183" i="5"/>
  <c r="Q211" i="5"/>
  <c r="Q212" i="5" s="1"/>
  <c r="DB152" i="5"/>
  <c r="T11" i="301"/>
  <c r="DL290" i="5"/>
  <c r="AU231" i="5"/>
  <c r="AU247" i="5" s="1"/>
  <c r="AU211" i="5"/>
  <c r="N163" i="5"/>
  <c r="AW372" i="5"/>
  <c r="AW368" i="5"/>
  <c r="AW364" i="5"/>
  <c r="AW360" i="5"/>
  <c r="AW241" i="5"/>
  <c r="AW376" i="5"/>
  <c r="CW425" i="5"/>
  <c r="CW368" i="5"/>
  <c r="CW364" i="5"/>
  <c r="CW360" i="5"/>
  <c r="CW241" i="5"/>
  <c r="CW372" i="5"/>
  <c r="CJ231" i="5"/>
  <c r="CJ247" i="5" s="1"/>
  <c r="CJ211" i="5"/>
  <c r="CJ184" i="5"/>
  <c r="CJ186" i="5"/>
  <c r="BV163" i="5"/>
  <c r="AO224" i="5"/>
  <c r="AO157" i="5"/>
  <c r="AO160" i="5"/>
  <c r="CI163" i="5"/>
  <c r="CO163" i="5"/>
  <c r="P372" i="5"/>
  <c r="P360" i="5"/>
  <c r="P241" i="5"/>
  <c r="P376" i="5"/>
  <c r="BI225" i="5"/>
  <c r="BI162" i="5"/>
  <c r="BI158" i="5"/>
  <c r="BD420" i="5"/>
  <c r="BD366" i="5"/>
  <c r="BD362" i="5"/>
  <c r="BD358" i="5"/>
  <c r="BD240" i="5"/>
  <c r="BD370" i="5"/>
  <c r="AC368" i="5"/>
  <c r="AC241" i="5"/>
  <c r="AH368" i="5"/>
  <c r="AH241" i="5"/>
  <c r="BK163" i="5"/>
  <c r="CL163" i="5"/>
  <c r="BJ425" i="5"/>
  <c r="BJ372" i="5"/>
  <c r="BJ368" i="5"/>
  <c r="BJ360" i="5"/>
  <c r="BJ364" i="5"/>
  <c r="BJ241" i="5"/>
  <c r="CE163" i="5"/>
  <c r="CN163" i="5"/>
  <c r="CX161" i="5"/>
  <c r="CF163" i="5"/>
  <c r="DL110" i="5"/>
  <c r="DL109" i="5" s="1"/>
  <c r="DG109" i="5"/>
  <c r="BY163" i="5"/>
  <c r="CA231" i="5"/>
  <c r="CA247" i="5" s="1"/>
  <c r="CA211" i="5"/>
  <c r="CA186" i="5"/>
  <c r="CA184" i="5"/>
  <c r="AF231" i="5"/>
  <c r="AF247" i="5" s="1"/>
  <c r="AF211" i="5"/>
  <c r="AF186" i="5"/>
  <c r="AF184" i="5"/>
  <c r="AJ183" i="5"/>
  <c r="BL425" i="5"/>
  <c r="BL372" i="5"/>
  <c r="BL368" i="5"/>
  <c r="BL364" i="5"/>
  <c r="BL360" i="5"/>
  <c r="BL241" i="5"/>
  <c r="BO163" i="5"/>
  <c r="DB359" i="5"/>
  <c r="S163" i="5"/>
  <c r="BX218" i="5"/>
  <c r="BX155" i="5"/>
  <c r="BX156" i="5"/>
  <c r="R163" i="5"/>
  <c r="DG33" i="5"/>
  <c r="DL31" i="5"/>
  <c r="DG29" i="5"/>
  <c r="CR230" i="5"/>
  <c r="CR179" i="5"/>
  <c r="CR183" i="5"/>
  <c r="CR180" i="5"/>
  <c r="DV248" i="5" s="1"/>
  <c r="DV249" i="5" s="1"/>
  <c r="DV250" i="5" s="1"/>
  <c r="AO230" i="5"/>
  <c r="AO246" i="5" s="1"/>
  <c r="AO180" i="5"/>
  <c r="AG163" i="5"/>
  <c r="AZ422" i="5"/>
  <c r="AZ246" i="5"/>
  <c r="BN82" i="5"/>
  <c r="BQ425" i="5"/>
  <c r="BQ372" i="5"/>
  <c r="BQ368" i="5"/>
  <c r="BQ364" i="5"/>
  <c r="BQ360" i="5"/>
  <c r="BQ241" i="5"/>
  <c r="AY366" i="5"/>
  <c r="AY370" i="5"/>
  <c r="AY362" i="5"/>
  <c r="AY358" i="5"/>
  <c r="AY240" i="5"/>
  <c r="AY374" i="5"/>
  <c r="BC422" i="5"/>
  <c r="BC246" i="5"/>
  <c r="DB77" i="5"/>
  <c r="DB78" i="5" s="1"/>
  <c r="DB75" i="5"/>
  <c r="M231" i="5"/>
  <c r="M247" i="5" s="1"/>
  <c r="M184" i="5"/>
  <c r="M186" i="5"/>
  <c r="M211" i="5"/>
  <c r="M212" i="5" s="1"/>
  <c r="U372" i="5"/>
  <c r="U360" i="5"/>
  <c r="U241" i="5"/>
  <c r="L231" i="5"/>
  <c r="L247" i="5" s="1"/>
  <c r="P183" i="5"/>
  <c r="L186" i="5"/>
  <c r="L184" i="5"/>
  <c r="L211" i="5" s="1"/>
  <c r="L212" i="5" s="1"/>
  <c r="BE425" i="5"/>
  <c r="BE372" i="5"/>
  <c r="BE368" i="5"/>
  <c r="BE364" i="5"/>
  <c r="BE360" i="5"/>
  <c r="BE241" i="5"/>
  <c r="BD82" i="5"/>
  <c r="BA422" i="5"/>
  <c r="BA246" i="5"/>
  <c r="BK422" i="5"/>
  <c r="BK246" i="5"/>
  <c r="BM422" i="5"/>
  <c r="BM246" i="5"/>
  <c r="BH231" i="5"/>
  <c r="BH211" i="5"/>
  <c r="BH186" i="5"/>
  <c r="BH184" i="5"/>
  <c r="BQ422" i="5"/>
  <c r="BQ246" i="5"/>
  <c r="N231" i="5"/>
  <c r="N247" i="5" s="1"/>
  <c r="N184" i="5"/>
  <c r="N186" i="5"/>
  <c r="N211" i="5"/>
  <c r="N212" i="5" s="1"/>
  <c r="AW231" i="5"/>
  <c r="AW247" i="5" s="1"/>
  <c r="AW211" i="5"/>
  <c r="CF231" i="5"/>
  <c r="CF247" i="5" s="1"/>
  <c r="CF211" i="5"/>
  <c r="CF186" i="5"/>
  <c r="CF184" i="5"/>
  <c r="AF163" i="5"/>
  <c r="BL231" i="5"/>
  <c r="BL211" i="5"/>
  <c r="BL186" i="5"/>
  <c r="BL184" i="5"/>
  <c r="CW231" i="5"/>
  <c r="CW211" i="5"/>
  <c r="CW184" i="5"/>
  <c r="CW186" i="5"/>
  <c r="BC425" i="5"/>
  <c r="BC364" i="5"/>
  <c r="BC372" i="5"/>
  <c r="BC368" i="5"/>
  <c r="BC360" i="5"/>
  <c r="BC241" i="5"/>
  <c r="CS230" i="5"/>
  <c r="CS246" i="5" s="1"/>
  <c r="CS183" i="5"/>
  <c r="CS180" i="5"/>
  <c r="CS179" i="5"/>
  <c r="AI231" i="5"/>
  <c r="AI247" i="5" s="1"/>
  <c r="AI186" i="5"/>
  <c r="AI184" i="5"/>
  <c r="AI211" i="5"/>
  <c r="G231" i="5"/>
  <c r="G247" i="5" s="1"/>
  <c r="K183" i="5"/>
  <c r="G186" i="5"/>
  <c r="G187" i="5" s="1"/>
  <c r="G184" i="5"/>
  <c r="CC420" i="5"/>
  <c r="CC366" i="5"/>
  <c r="CC362" i="5"/>
  <c r="CC358" i="5"/>
  <c r="CC240" i="5"/>
  <c r="CC370" i="5"/>
  <c r="CO231" i="5"/>
  <c r="CO247" i="5" s="1"/>
  <c r="CO211" i="5"/>
  <c r="CO184" i="5"/>
  <c r="CO186" i="5"/>
  <c r="BF425" i="5"/>
  <c r="BF372" i="5"/>
  <c r="BF368" i="5"/>
  <c r="BF364" i="5"/>
  <c r="BF360" i="5"/>
  <c r="BF241" i="5"/>
  <c r="Z163" i="5"/>
  <c r="BN420" i="5"/>
  <c r="BN366" i="5"/>
  <c r="BN362" i="5"/>
  <c r="BN358" i="5"/>
  <c r="BN240" i="5"/>
  <c r="BN370" i="5"/>
  <c r="BD237" i="5"/>
  <c r="BD311" i="5"/>
  <c r="BD319" i="5"/>
  <c r="BD303" i="5"/>
  <c r="U230" i="5"/>
  <c r="U246" i="5" s="1"/>
  <c r="U180" i="5"/>
  <c r="CY216" i="5"/>
  <c r="CY153" i="5"/>
  <c r="CY262" i="5"/>
  <c r="DA216" i="5"/>
  <c r="AJ224" i="5"/>
  <c r="AJ160" i="5"/>
  <c r="AJ161" i="5" s="1"/>
  <c r="AJ157" i="5"/>
  <c r="AY204" i="5"/>
  <c r="BO422" i="5"/>
  <c r="BO246" i="5"/>
  <c r="AB163" i="5"/>
  <c r="S231" i="5"/>
  <c r="S247" i="5" s="1"/>
  <c r="S186" i="5"/>
  <c r="S187" i="5" s="1"/>
  <c r="S184" i="5"/>
  <c r="S211" i="5"/>
  <c r="S212" i="5" s="1"/>
  <c r="CT231" i="5"/>
  <c r="CT247" i="5" s="1"/>
  <c r="CT211" i="5"/>
  <c r="CT186" i="5"/>
  <c r="CT201" i="5" s="1"/>
  <c r="CT184" i="5"/>
  <c r="CB231" i="5"/>
  <c r="CB247" i="5" s="1"/>
  <c r="CB211" i="5"/>
  <c r="CB186" i="5"/>
  <c r="CB184" i="5"/>
  <c r="AI368" i="5"/>
  <c r="AI241" i="5"/>
  <c r="DB26" i="5"/>
  <c r="DB130" i="5"/>
  <c r="CR237" i="5"/>
  <c r="CR311" i="5"/>
  <c r="CR303" i="5"/>
  <c r="CR319" i="5"/>
  <c r="AZ398" i="5"/>
  <c r="AZ399" i="5" s="1"/>
  <c r="AZ222" i="5"/>
  <c r="AZ239" i="5" s="1"/>
  <c r="AG231" i="5"/>
  <c r="AG247" i="5" s="1"/>
  <c r="AG186" i="5"/>
  <c r="AG184" i="5"/>
  <c r="AG211" i="5"/>
  <c r="CG163" i="5"/>
  <c r="BI230" i="5"/>
  <c r="BI183" i="5"/>
  <c r="BI180" i="5"/>
  <c r="BI179" i="5"/>
  <c r="BD225" i="5"/>
  <c r="BD158" i="5"/>
  <c r="BD162" i="5"/>
  <c r="BH425" i="5"/>
  <c r="BH372" i="5"/>
  <c r="BH368" i="5"/>
  <c r="BH364" i="5"/>
  <c r="BH360" i="5"/>
  <c r="BH241" i="5"/>
  <c r="AD231" i="5"/>
  <c r="AD247" i="5" s="1"/>
  <c r="AD186" i="5"/>
  <c r="AD184" i="5"/>
  <c r="AD211" i="5"/>
  <c r="AD212" i="5" s="1"/>
  <c r="CX225" i="5"/>
  <c r="CX241" i="5" s="1"/>
  <c r="CX162" i="5"/>
  <c r="CX158" i="5"/>
  <c r="AJ281" i="5"/>
  <c r="AJ282" i="5" s="1"/>
  <c r="AE285" i="5"/>
  <c r="AE287" i="5" s="1"/>
  <c r="AF281" i="5"/>
  <c r="AF282" i="5" s="1"/>
  <c r="W231" i="5"/>
  <c r="W247" i="5" s="1"/>
  <c r="W186" i="5"/>
  <c r="W184" i="5"/>
  <c r="W211" i="5"/>
  <c r="W212" i="5" s="1"/>
  <c r="BB82" i="5"/>
  <c r="BC82" i="5" s="1"/>
  <c r="BB422" i="5"/>
  <c r="BB246" i="5"/>
  <c r="DB397" i="5"/>
  <c r="DB221" i="5"/>
  <c r="DB133" i="5"/>
  <c r="DB132" i="5"/>
  <c r="T18" i="301"/>
  <c r="T51" i="301" s="1"/>
  <c r="BZ163" i="5"/>
  <c r="AM231" i="5"/>
  <c r="AM247" i="5" s="1"/>
  <c r="AM186" i="5"/>
  <c r="AM187" i="5" s="1"/>
  <c r="AM184" i="5"/>
  <c r="AM211" i="5"/>
  <c r="CH235" i="5"/>
  <c r="CH220" i="5"/>
  <c r="AE163" i="5"/>
  <c r="CR420" i="5"/>
  <c r="CR366" i="5"/>
  <c r="CR358" i="5"/>
  <c r="CR362" i="5"/>
  <c r="CR240" i="5"/>
  <c r="CR370" i="5"/>
  <c r="AG368" i="5"/>
  <c r="AG241" i="5"/>
  <c r="BE231" i="5"/>
  <c r="BE211" i="5"/>
  <c r="BE184" i="5"/>
  <c r="BE186" i="5"/>
  <c r="BE422" i="5"/>
  <c r="BE246" i="5"/>
  <c r="BM82" i="5"/>
  <c r="H231" i="5"/>
  <c r="H247" i="5" s="1"/>
  <c r="H186" i="5"/>
  <c r="H187" i="5" s="1"/>
  <c r="H184" i="5"/>
  <c r="AE230" i="5"/>
  <c r="AE246" i="5" s="1"/>
  <c r="AE180" i="5"/>
  <c r="AY225" i="5"/>
  <c r="AY162" i="5"/>
  <c r="BS420" i="5"/>
  <c r="BS366" i="5"/>
  <c r="BS362" i="5"/>
  <c r="BS358" i="5"/>
  <c r="BS240" i="5"/>
  <c r="BS370" i="5"/>
  <c r="AM368" i="5"/>
  <c r="AM372" i="5"/>
  <c r="AM364" i="5"/>
  <c r="AM360" i="5"/>
  <c r="AM241" i="5"/>
  <c r="CU231" i="5"/>
  <c r="CU247" i="5" s="1"/>
  <c r="CU211" i="5"/>
  <c r="CU186" i="5"/>
  <c r="CU201" i="5" s="1"/>
  <c r="CU184" i="5"/>
  <c r="AK372" i="5"/>
  <c r="AK368" i="5"/>
  <c r="AK364" i="5"/>
  <c r="AK360" i="5"/>
  <c r="AK241" i="5"/>
  <c r="V39" i="301"/>
  <c r="BK231" i="5"/>
  <c r="BK211" i="5"/>
  <c r="BK186" i="5"/>
  <c r="BK184" i="5"/>
  <c r="CL231" i="5"/>
  <c r="CL247" i="5" s="1"/>
  <c r="CL211" i="5"/>
  <c r="CL186" i="5"/>
  <c r="CL184" i="5"/>
  <c r="BH422" i="5"/>
  <c r="BH246" i="5"/>
  <c r="CE231" i="5"/>
  <c r="CE247" i="5" s="1"/>
  <c r="CE211" i="5"/>
  <c r="CE186" i="5"/>
  <c r="CE184" i="5"/>
  <c r="X211" i="5"/>
  <c r="X212" i="5" s="1"/>
  <c r="X231" i="5"/>
  <c r="X247" i="5" s="1"/>
  <c r="X186" i="5"/>
  <c r="X187" i="5" s="1"/>
  <c r="X184" i="5"/>
  <c r="AF368" i="5"/>
  <c r="AF241" i="5"/>
  <c r="BL422" i="5"/>
  <c r="BL246" i="5"/>
  <c r="CW422" i="5"/>
  <c r="CW246" i="5"/>
  <c r="DA84" i="5"/>
  <c r="DA85" i="5"/>
  <c r="DA86" i="5" s="1"/>
  <c r="DA80" i="5"/>
  <c r="DA139" i="5" s="1"/>
  <c r="BP422" i="5"/>
  <c r="BP246" i="5"/>
  <c r="BA425" i="5"/>
  <c r="BA368" i="5"/>
  <c r="BA382" i="5" s="1"/>
  <c r="BA384" i="5" s="1"/>
  <c r="BA372" i="5"/>
  <c r="BA364" i="5"/>
  <c r="BA360" i="5"/>
  <c r="BA241" i="5"/>
  <c r="BN230" i="5"/>
  <c r="BN180" i="5"/>
  <c r="BN179" i="5"/>
  <c r="BN183" i="5"/>
  <c r="CY149" i="5"/>
  <c r="CY144" i="5"/>
  <c r="CY145" i="5" s="1"/>
  <c r="CY140" i="5"/>
  <c r="CY148" i="5"/>
  <c r="CY141" i="5"/>
  <c r="CM235" i="5"/>
  <c r="CM220" i="5"/>
  <c r="O231" i="5"/>
  <c r="O247" i="5" s="1"/>
  <c r="O186" i="5"/>
  <c r="O187" i="5" s="1"/>
  <c r="O184" i="5"/>
  <c r="O211" i="5"/>
  <c r="O212" i="5" s="1"/>
  <c r="AJ288" i="5"/>
  <c r="AJ233" i="5"/>
  <c r="AJ238" i="5"/>
  <c r="AJ244" i="5"/>
  <c r="AJ239" i="5"/>
  <c r="AJ242" i="5"/>
  <c r="AJ236" i="5"/>
  <c r="AJ243" i="5"/>
  <c r="AJ245" i="5"/>
  <c r="AJ234" i="5"/>
  <c r="AJ235" i="5"/>
  <c r="BR422" i="5"/>
  <c r="BR246" i="5"/>
  <c r="BW231" i="5"/>
  <c r="BW247" i="5" s="1"/>
  <c r="BW211" i="5"/>
  <c r="BW186" i="5"/>
  <c r="BW184" i="5"/>
  <c r="CP231" i="5"/>
  <c r="CP247" i="5" s="1"/>
  <c r="CP211" i="5"/>
  <c r="CP186" i="5"/>
  <c r="CP184" i="5"/>
  <c r="BY231" i="5"/>
  <c r="BY247" i="5" s="1"/>
  <c r="BY211" i="5"/>
  <c r="BY184" i="5"/>
  <c r="BY186" i="5"/>
  <c r="BO231" i="5"/>
  <c r="BO211" i="5"/>
  <c r="BO184" i="5"/>
  <c r="BO186" i="5"/>
  <c r="AB368" i="5"/>
  <c r="AB241" i="5"/>
  <c r="BZ211" i="5"/>
  <c r="BZ231" i="5"/>
  <c r="BZ247" i="5" s="1"/>
  <c r="BZ186" i="5"/>
  <c r="BZ187" i="5" s="1"/>
  <c r="BZ184" i="5"/>
  <c r="BN237" i="5"/>
  <c r="BN319" i="5"/>
  <c r="BN311" i="5"/>
  <c r="BN303" i="5"/>
  <c r="AO233" i="5"/>
  <c r="AO239" i="5"/>
  <c r="AO236" i="5"/>
  <c r="AO243" i="5"/>
  <c r="AO242" i="5"/>
  <c r="AO288" i="5"/>
  <c r="AO238" i="5"/>
  <c r="AO244" i="5"/>
  <c r="AO235" i="5"/>
  <c r="AO245" i="5"/>
  <c r="AO234" i="5"/>
  <c r="AL368" i="5"/>
  <c r="AL372" i="5"/>
  <c r="AL364" i="5"/>
  <c r="AL360" i="5"/>
  <c r="AL241" i="5"/>
  <c r="AO237" i="5"/>
  <c r="R231" i="5"/>
  <c r="R247" i="5" s="1"/>
  <c r="R186" i="5"/>
  <c r="R187" i="5" s="1"/>
  <c r="R184" i="5"/>
  <c r="R211" i="5"/>
  <c r="R212" i="5" s="1"/>
  <c r="CT230" i="5"/>
  <c r="CT246" i="5" s="1"/>
  <c r="L163" i="5"/>
  <c r="BB125" i="5"/>
  <c r="BA126" i="5"/>
  <c r="BI420" i="5"/>
  <c r="BI366" i="5"/>
  <c r="BI362" i="5"/>
  <c r="BI358" i="5"/>
  <c r="BI240" i="5"/>
  <c r="BI370" i="5"/>
  <c r="BD161" i="5"/>
  <c r="BK425" i="5"/>
  <c r="BK372" i="5"/>
  <c r="BK368" i="5"/>
  <c r="BK364" i="5"/>
  <c r="BK360" i="5"/>
  <c r="BK241" i="5"/>
  <c r="DB90" i="5"/>
  <c r="F50" i="301"/>
  <c r="R27" i="301"/>
  <c r="R22" i="301"/>
  <c r="R56" i="301" s="1"/>
  <c r="DK199" i="5"/>
  <c r="DJ201" i="5"/>
  <c r="DJ200" i="5"/>
  <c r="Q163" i="5"/>
  <c r="CX230" i="5"/>
  <c r="CX246" i="5" s="1"/>
  <c r="CX180" i="5"/>
  <c r="CX183" i="5"/>
  <c r="CX179" i="5"/>
  <c r="Z375" i="5"/>
  <c r="Z374" i="5"/>
  <c r="Z376" i="5"/>
  <c r="Z344" i="5"/>
  <c r="Z291" i="5"/>
  <c r="Z294" i="5" s="1"/>
  <c r="Z288" i="5"/>
  <c r="Z166" i="5"/>
  <c r="Z167" i="5" s="1"/>
  <c r="AJ230" i="5"/>
  <c r="AJ246" i="5" s="1"/>
  <c r="AJ180" i="5"/>
  <c r="BL163" i="5"/>
  <c r="BB211" i="5"/>
  <c r="BB231" i="5"/>
  <c r="BB186" i="5"/>
  <c r="BB424" i="5" s="1"/>
  <c r="BB184" i="5"/>
  <c r="BO425" i="5"/>
  <c r="BO372" i="5"/>
  <c r="BO368" i="5"/>
  <c r="BO364" i="5"/>
  <c r="BO360" i="5"/>
  <c r="BO241" i="5"/>
  <c r="BG231" i="5"/>
  <c r="BG211" i="5"/>
  <c r="BG186" i="5"/>
  <c r="BG184" i="5"/>
  <c r="DB97" i="5"/>
  <c r="H46" i="301"/>
  <c r="DG97" i="5"/>
  <c r="DB112" i="5"/>
  <c r="DB113" i="5" s="1"/>
  <c r="DB114" i="5"/>
  <c r="AN163" i="5"/>
  <c r="T231" i="5"/>
  <c r="T247" i="5" s="1"/>
  <c r="T186" i="5"/>
  <c r="T187" i="5" s="1"/>
  <c r="T184" i="5"/>
  <c r="T211" i="5"/>
  <c r="T212" i="5" s="1"/>
  <c r="Y231" i="5"/>
  <c r="Y247" i="5" s="1"/>
  <c r="Y186" i="5"/>
  <c r="Y187" i="5" s="1"/>
  <c r="Y184" i="5"/>
  <c r="Y211" i="5"/>
  <c r="Y212" i="5" s="1"/>
  <c r="CR225" i="5"/>
  <c r="CR158" i="5"/>
  <c r="CR162" i="5"/>
  <c r="DL328" i="5"/>
  <c r="BP425" i="5"/>
  <c r="BP372" i="5"/>
  <c r="BP368" i="5"/>
  <c r="BP364" i="5"/>
  <c r="BP360" i="5"/>
  <c r="BP241" i="5"/>
  <c r="Z230" i="5"/>
  <c r="Z246" i="5" s="1"/>
  <c r="Z180" i="5"/>
  <c r="J231" i="5"/>
  <c r="J247" i="5" s="1"/>
  <c r="J186" i="5"/>
  <c r="J187" i="5" s="1"/>
  <c r="J184" i="5"/>
  <c r="BJ422" i="5"/>
  <c r="BJ246" i="5"/>
  <c r="AD368" i="5"/>
  <c r="AD241" i="5"/>
  <c r="U297" i="5"/>
  <c r="U295" i="5"/>
  <c r="AZ231" i="5"/>
  <c r="AZ211" i="5"/>
  <c r="AZ184" i="5"/>
  <c r="AZ186" i="5"/>
  <c r="AZ424" i="5" s="1"/>
  <c r="BJ211" i="5"/>
  <c r="BJ231" i="5"/>
  <c r="BJ186" i="5"/>
  <c r="BJ184" i="5"/>
  <c r="BM425" i="5"/>
  <c r="BM372" i="5"/>
  <c r="BM368" i="5"/>
  <c r="BM364" i="5"/>
  <c r="BM360" i="5"/>
  <c r="BM241" i="5"/>
  <c r="AA231" i="5"/>
  <c r="AA247" i="5" s="1"/>
  <c r="AA186" i="5"/>
  <c r="AA187" i="5" s="1"/>
  <c r="AA184" i="5"/>
  <c r="AE183" i="5"/>
  <c r="AA211" i="5"/>
  <c r="AA212" i="5" s="1"/>
  <c r="U376" i="5"/>
  <c r="AY230" i="5"/>
  <c r="AY246" i="5" s="1"/>
  <c r="AY180" i="5"/>
  <c r="AY183" i="5"/>
  <c r="CK231" i="5"/>
  <c r="CK247" i="5" s="1"/>
  <c r="CK211" i="5"/>
  <c r="CK184" i="5"/>
  <c r="CK186" i="5"/>
  <c r="BC231" i="5"/>
  <c r="BC211" i="5"/>
  <c r="BC186" i="5"/>
  <c r="BC184" i="5"/>
  <c r="BS225" i="5"/>
  <c r="BS158" i="5"/>
  <c r="BS162" i="5"/>
  <c r="BS163" i="5" s="1"/>
  <c r="I231" i="5"/>
  <c r="I247" i="5" s="1"/>
  <c r="I186" i="5"/>
  <c r="I187" i="5" s="1"/>
  <c r="I184" i="5"/>
  <c r="AB231" i="5"/>
  <c r="AB247" i="5" s="1"/>
  <c r="AB186" i="5"/>
  <c r="AB187" i="5" s="1"/>
  <c r="AB184" i="5"/>
  <c r="AB211" i="5"/>
  <c r="AB212" i="5" s="1"/>
  <c r="BV231" i="5"/>
  <c r="BV247" i="5" s="1"/>
  <c r="BV211" i="5"/>
  <c r="BV186" i="5"/>
  <c r="BV187" i="5" s="1"/>
  <c r="BV184" i="5"/>
  <c r="BG425" i="5"/>
  <c r="BG368" i="5"/>
  <c r="BG364" i="5"/>
  <c r="BG372" i="5"/>
  <c r="BG360" i="5"/>
  <c r="BG241" i="5"/>
  <c r="P230" i="5"/>
  <c r="P246" i="5" s="1"/>
  <c r="P180" i="5"/>
  <c r="BF82" i="5"/>
  <c r="BG82" i="5" s="1"/>
  <c r="BH82" i="5" s="1"/>
  <c r="BF422" i="5"/>
  <c r="BF246" i="5"/>
  <c r="CZ149" i="5"/>
  <c r="CZ144" i="5"/>
  <c r="CZ145" i="5" s="1"/>
  <c r="CZ140" i="5"/>
  <c r="CZ148" i="5"/>
  <c r="CZ154" i="5" s="1"/>
  <c r="CZ141" i="5"/>
  <c r="DL136" i="5"/>
  <c r="BU163" i="5"/>
  <c r="AW82" i="5"/>
  <c r="AY82" i="5" s="1"/>
  <c r="CV250" i="5"/>
  <c r="CV256" i="5" s="1"/>
  <c r="CV212" i="5"/>
  <c r="CI231" i="5"/>
  <c r="CI247" i="5" s="1"/>
  <c r="CI211" i="5"/>
  <c r="CI184" i="5"/>
  <c r="CI186" i="5"/>
  <c r="CC225" i="5"/>
  <c r="CC162" i="5"/>
  <c r="DL25" i="5"/>
  <c r="Z372" i="5"/>
  <c r="Z360" i="5"/>
  <c r="Z364" i="5"/>
  <c r="Z368" i="5"/>
  <c r="Z241" i="5"/>
  <c r="AX82" i="5"/>
  <c r="CD231" i="5"/>
  <c r="CD247" i="5" s="1"/>
  <c r="CD211" i="5"/>
  <c r="CD186" i="5"/>
  <c r="CD184" i="5"/>
  <c r="AZ425" i="5"/>
  <c r="AZ372" i="5"/>
  <c r="AZ368" i="5"/>
  <c r="AZ364" i="5"/>
  <c r="AZ360" i="5"/>
  <c r="AZ241" i="5"/>
  <c r="BP231" i="5"/>
  <c r="BP211" i="5"/>
  <c r="BP184" i="5"/>
  <c r="BP186" i="5"/>
  <c r="AV372" i="5"/>
  <c r="AV368" i="5"/>
  <c r="AV364" i="5"/>
  <c r="AV360" i="5"/>
  <c r="AV241" i="5"/>
  <c r="AV376" i="5"/>
  <c r="DB83" i="5"/>
  <c r="BR211" i="5"/>
  <c r="BR231" i="5"/>
  <c r="BR186" i="5"/>
  <c r="BR184" i="5"/>
  <c r="CC235" i="5"/>
  <c r="CC220" i="5"/>
  <c r="AN211" i="5"/>
  <c r="AN231" i="5"/>
  <c r="AN247" i="5" s="1"/>
  <c r="AN186" i="5"/>
  <c r="AN187" i="5" s="1"/>
  <c r="AN184" i="5"/>
  <c r="AI163" i="5"/>
  <c r="BI161" i="5"/>
  <c r="AX372" i="5"/>
  <c r="AX364" i="5"/>
  <c r="AX360" i="5"/>
  <c r="AX368" i="5"/>
  <c r="AX241" i="5"/>
  <c r="AX376" i="5"/>
  <c r="BD230" i="5"/>
  <c r="BD179" i="5"/>
  <c r="BD183" i="5"/>
  <c r="BD180" i="5"/>
  <c r="BJ163" i="5"/>
  <c r="BH163" i="5"/>
  <c r="O163" i="5"/>
  <c r="BW163" i="5"/>
  <c r="AU372" i="5"/>
  <c r="AU368" i="5"/>
  <c r="AU364" i="5"/>
  <c r="AU360" i="5"/>
  <c r="AU241" i="5"/>
  <c r="AU376" i="5"/>
  <c r="BI237" i="5"/>
  <c r="BI303" i="5"/>
  <c r="BI311" i="5"/>
  <c r="BI319" i="5"/>
  <c r="BG422" i="5"/>
  <c r="BG246" i="5"/>
  <c r="O16" i="301"/>
  <c r="O21" i="301"/>
  <c r="K360" i="5"/>
  <c r="K241" i="5"/>
  <c r="K372" i="5"/>
  <c r="K376" i="5"/>
  <c r="AN368" i="5"/>
  <c r="AN372" i="5"/>
  <c r="AN364" i="5"/>
  <c r="AN360" i="5"/>
  <c r="AN241" i="5"/>
  <c r="CH224" i="5"/>
  <c r="CH157" i="5"/>
  <c r="CH160" i="5"/>
  <c r="CH178" i="5"/>
  <c r="CZ216" i="5"/>
  <c r="BT231" i="5"/>
  <c r="BT247" i="5" s="1"/>
  <c r="BT211" i="5"/>
  <c r="BT184" i="5"/>
  <c r="BT186" i="5"/>
  <c r="BT187" i="5" s="1"/>
  <c r="AE372" i="5"/>
  <c r="AE364" i="5"/>
  <c r="AE360" i="5"/>
  <c r="AE368" i="5"/>
  <c r="AE241" i="5"/>
  <c r="F360" i="5"/>
  <c r="F241" i="5"/>
  <c r="F376" i="5"/>
  <c r="F372" i="5"/>
  <c r="CR161" i="5"/>
  <c r="AK231" i="5"/>
  <c r="AK247" i="5" s="1"/>
  <c r="AK211" i="5"/>
  <c r="AK186" i="5"/>
  <c r="AK187" i="5" s="1"/>
  <c r="AK184" i="5"/>
  <c r="AO183" i="5"/>
  <c r="CV225" i="5"/>
  <c r="CV241" i="5" s="1"/>
  <c r="CX163" i="5" l="1"/>
  <c r="H41" i="301"/>
  <c r="CZ142" i="5"/>
  <c r="CZ150" i="5"/>
  <c r="CY142" i="5"/>
  <c r="CY150" i="5"/>
  <c r="BP424" i="5"/>
  <c r="BP187" i="5"/>
  <c r="CH230" i="5"/>
  <c r="CH180" i="5"/>
  <c r="CH179" i="5"/>
  <c r="CH183" i="5"/>
  <c r="BT250" i="5"/>
  <c r="BT256" i="5" s="1"/>
  <c r="BT212" i="5"/>
  <c r="CH161" i="5"/>
  <c r="E48" i="301"/>
  <c r="O22" i="301"/>
  <c r="O56" i="301" s="1"/>
  <c r="O27" i="301"/>
  <c r="BD422" i="5"/>
  <c r="BD246" i="5"/>
  <c r="AN250" i="5"/>
  <c r="AN212" i="5"/>
  <c r="BP250" i="5"/>
  <c r="BP256" i="5" s="1"/>
  <c r="BP212" i="5"/>
  <c r="CH225" i="5"/>
  <c r="CH162" i="5"/>
  <c r="CH158" i="5"/>
  <c r="CC237" i="5"/>
  <c r="CC303" i="5"/>
  <c r="CC319" i="5"/>
  <c r="CC311" i="5"/>
  <c r="BR423" i="5"/>
  <c r="BR247" i="5"/>
  <c r="BP423" i="5"/>
  <c r="BP247" i="5"/>
  <c r="CI250" i="5"/>
  <c r="CI256" i="5" s="1"/>
  <c r="CI212" i="5"/>
  <c r="BC250" i="5"/>
  <c r="BC256" i="5" s="1"/>
  <c r="BC212" i="5"/>
  <c r="CK250" i="5"/>
  <c r="CK256" i="5" s="1"/>
  <c r="CK212" i="5"/>
  <c r="BJ250" i="5"/>
  <c r="BJ256" i="5" s="1"/>
  <c r="BJ212" i="5"/>
  <c r="AZ423" i="5"/>
  <c r="AZ247" i="5"/>
  <c r="BG423" i="5"/>
  <c r="BG247" i="5"/>
  <c r="BB126" i="5"/>
  <c r="BC125" i="5"/>
  <c r="BZ250" i="5"/>
  <c r="BZ256" i="5" s="1"/>
  <c r="BZ212" i="5"/>
  <c r="CP201" i="5"/>
  <c r="CP187" i="5"/>
  <c r="BW187" i="5"/>
  <c r="CM237" i="5"/>
  <c r="CM311" i="5"/>
  <c r="CM319" i="5"/>
  <c r="CM303" i="5"/>
  <c r="CL201" i="5"/>
  <c r="CL187" i="5"/>
  <c r="BK424" i="5"/>
  <c r="BK187" i="5"/>
  <c r="CU250" i="5"/>
  <c r="CU256" i="5" s="1"/>
  <c r="CU212" i="5"/>
  <c r="BK429" i="5"/>
  <c r="BL429" i="5"/>
  <c r="BM429" i="5"/>
  <c r="BN429" i="5"/>
  <c r="BE424" i="5"/>
  <c r="BE187" i="5"/>
  <c r="DB367" i="5"/>
  <c r="CB201" i="5"/>
  <c r="CB187" i="5"/>
  <c r="BL424" i="5"/>
  <c r="BL187" i="5"/>
  <c r="CR231" i="5"/>
  <c r="CR211" i="5"/>
  <c r="CR186" i="5"/>
  <c r="CR184" i="5"/>
  <c r="DG217" i="5"/>
  <c r="U9" i="301"/>
  <c r="DG30" i="5"/>
  <c r="DG72" i="5"/>
  <c r="BX224" i="5"/>
  <c r="BX178" i="5"/>
  <c r="BX160" i="5"/>
  <c r="BX157" i="5"/>
  <c r="BI163" i="5"/>
  <c r="AO161" i="5"/>
  <c r="CJ201" i="5"/>
  <c r="CJ187" i="5"/>
  <c r="U231" i="5"/>
  <c r="U247" i="5" s="1"/>
  <c r="U189" i="5"/>
  <c r="U188" i="5"/>
  <c r="U211" i="5"/>
  <c r="CM225" i="5"/>
  <c r="CM158" i="5"/>
  <c r="CM162" i="5"/>
  <c r="BQ250" i="5"/>
  <c r="BQ256" i="5" s="1"/>
  <c r="BQ212" i="5"/>
  <c r="CN250" i="5"/>
  <c r="CN256" i="5" s="1"/>
  <c r="CN212" i="5"/>
  <c r="BF423" i="5"/>
  <c r="BF247" i="5"/>
  <c r="CQ250" i="5"/>
  <c r="CQ212" i="5"/>
  <c r="DL116" i="5"/>
  <c r="CG201" i="5"/>
  <c r="CG187" i="5"/>
  <c r="CZ233" i="5"/>
  <c r="CZ243" i="5"/>
  <c r="CZ244" i="5"/>
  <c r="CZ245" i="5"/>
  <c r="CZ234" i="5"/>
  <c r="CZ238" i="5"/>
  <c r="CZ236" i="5"/>
  <c r="CD201" i="5"/>
  <c r="CD187" i="5"/>
  <c r="CC425" i="5"/>
  <c r="CC360" i="5"/>
  <c r="CC368" i="5"/>
  <c r="CC364" i="5"/>
  <c r="CC241" i="5"/>
  <c r="CC372" i="5"/>
  <c r="CZ155" i="5"/>
  <c r="CZ156" i="5"/>
  <c r="BS425" i="5"/>
  <c r="BS364" i="5"/>
  <c r="BS368" i="5"/>
  <c r="BS360" i="5"/>
  <c r="BS241" i="5"/>
  <c r="BS372" i="5"/>
  <c r="BC423" i="5"/>
  <c r="BC247" i="5"/>
  <c r="BB423" i="5"/>
  <c r="BB247" i="5"/>
  <c r="Z295" i="5"/>
  <c r="Z297" i="5"/>
  <c r="DK200" i="5"/>
  <c r="DK201" i="5"/>
  <c r="DL199" i="5"/>
  <c r="DB91" i="5"/>
  <c r="DG90" i="5"/>
  <c r="BO250" i="5"/>
  <c r="BO256" i="5" s="1"/>
  <c r="BS256" i="5" s="1"/>
  <c r="BO212" i="5"/>
  <c r="BY250" i="5"/>
  <c r="BY256" i="5" s="1"/>
  <c r="BY212" i="5"/>
  <c r="CP250" i="5"/>
  <c r="CP256" i="5" s="1"/>
  <c r="CP212" i="5"/>
  <c r="BW250" i="5"/>
  <c r="BW256" i="5" s="1"/>
  <c r="BW212" i="5"/>
  <c r="CL250" i="5"/>
  <c r="CL256" i="5" s="1"/>
  <c r="CL212" i="5"/>
  <c r="BK250" i="5"/>
  <c r="BK256" i="5" s="1"/>
  <c r="BK212" i="5"/>
  <c r="CH237" i="5"/>
  <c r="CH311" i="5"/>
  <c r="CH303" i="5"/>
  <c r="CH319" i="5"/>
  <c r="AF285" i="5"/>
  <c r="AF287" i="5" s="1"/>
  <c r="AG281" i="5"/>
  <c r="AG282" i="5" s="1"/>
  <c r="AD187" i="5"/>
  <c r="BD163" i="5"/>
  <c r="AG250" i="5"/>
  <c r="AG212" i="5"/>
  <c r="CB250" i="5"/>
  <c r="CB256" i="5" s="1"/>
  <c r="CB212" i="5"/>
  <c r="CT250" i="5"/>
  <c r="CT256" i="5" s="1"/>
  <c r="CT212" i="5"/>
  <c r="AJ362" i="5"/>
  <c r="AJ370" i="5"/>
  <c r="AJ366" i="5"/>
  <c r="AJ358" i="5"/>
  <c r="AJ240" i="5"/>
  <c r="AJ374" i="5"/>
  <c r="CO250" i="5"/>
  <c r="CO256" i="5" s="1"/>
  <c r="CO212" i="5"/>
  <c r="AI250" i="5"/>
  <c r="AI212" i="5"/>
  <c r="CW250" i="5"/>
  <c r="CW212" i="5"/>
  <c r="BL250" i="5"/>
  <c r="BL256" i="5" s="1"/>
  <c r="BL212" i="5"/>
  <c r="CF201" i="5"/>
  <c r="CF187" i="5"/>
  <c r="BH424" i="5"/>
  <c r="BH187" i="5"/>
  <c r="M187" i="5"/>
  <c r="DL33" i="5"/>
  <c r="DL29" i="5"/>
  <c r="AF187" i="5"/>
  <c r="CA201" i="5"/>
  <c r="CA187" i="5"/>
  <c r="DG114" i="5"/>
  <c r="DG100" i="5"/>
  <c r="DG112" i="5"/>
  <c r="DG113" i="5" s="1"/>
  <c r="H20" i="301"/>
  <c r="F20" i="301"/>
  <c r="DG94" i="5"/>
  <c r="BI425" i="5"/>
  <c r="BI364" i="5"/>
  <c r="BI368" i="5"/>
  <c r="BI360" i="5"/>
  <c r="BI241" i="5"/>
  <c r="BI372" i="5"/>
  <c r="AO225" i="5"/>
  <c r="AO162" i="5"/>
  <c r="AO158" i="5"/>
  <c r="T10" i="301"/>
  <c r="CM230" i="5"/>
  <c r="CM180" i="5"/>
  <c r="CM179" i="5"/>
  <c r="CM183" i="5"/>
  <c r="AC187" i="5"/>
  <c r="AL187" i="5"/>
  <c r="BQ423" i="5"/>
  <c r="BQ247" i="5"/>
  <c r="BM424" i="5"/>
  <c r="BM187" i="5"/>
  <c r="BS422" i="5"/>
  <c r="BS246" i="5"/>
  <c r="CG250" i="5"/>
  <c r="CG256" i="5" s="1"/>
  <c r="CG212" i="5"/>
  <c r="BU250" i="5"/>
  <c r="BU256" i="5" s="1"/>
  <c r="BU212" i="5"/>
  <c r="Z231" i="5"/>
  <c r="Z247" i="5" s="1"/>
  <c r="Z186" i="5"/>
  <c r="Z187" i="5" s="1"/>
  <c r="Z184" i="5"/>
  <c r="Z211" i="5"/>
  <c r="BR250" i="5"/>
  <c r="BR256" i="5" s="1"/>
  <c r="BR212" i="5"/>
  <c r="DB92" i="5"/>
  <c r="DB84" i="5"/>
  <c r="DB80" i="5"/>
  <c r="DB85" i="5"/>
  <c r="DB86" i="5" s="1"/>
  <c r="CD250" i="5"/>
  <c r="CD256" i="5" s="1"/>
  <c r="CD212" i="5"/>
  <c r="DL26" i="5"/>
  <c r="DL130" i="5"/>
  <c r="CI201" i="5"/>
  <c r="CI187" i="5"/>
  <c r="BV250" i="5"/>
  <c r="BV256" i="5" s="1"/>
  <c r="BV212" i="5"/>
  <c r="CK201" i="5"/>
  <c r="CK187" i="5"/>
  <c r="AY231" i="5"/>
  <c r="AY247" i="5" s="1"/>
  <c r="AY211" i="5"/>
  <c r="AY184" i="5"/>
  <c r="AY186" i="5"/>
  <c r="BJ424" i="5"/>
  <c r="BJ187" i="5"/>
  <c r="BI82" i="5"/>
  <c r="CR425" i="5"/>
  <c r="CR364" i="5"/>
  <c r="CR368" i="5"/>
  <c r="CR360" i="5"/>
  <c r="CR241" i="5"/>
  <c r="CR372" i="5"/>
  <c r="BG424" i="5"/>
  <c r="BG187" i="5"/>
  <c r="BB250" i="5"/>
  <c r="BB256" i="5" s="1"/>
  <c r="BB212" i="5"/>
  <c r="BF429" i="5"/>
  <c r="BB429" i="5"/>
  <c r="BC429" i="5"/>
  <c r="BE429" i="5"/>
  <c r="BD429" i="5"/>
  <c r="BO423" i="5"/>
  <c r="BO247" i="5"/>
  <c r="BN422" i="5"/>
  <c r="BN246" i="5"/>
  <c r="CE201" i="5"/>
  <c r="CE187" i="5"/>
  <c r="BK423" i="5"/>
  <c r="BK247" i="5"/>
  <c r="AY368" i="5"/>
  <c r="AY372" i="5"/>
  <c r="AY364" i="5"/>
  <c r="AY360" i="5"/>
  <c r="AY241" i="5"/>
  <c r="AY376" i="5"/>
  <c r="BE250" i="5"/>
  <c r="BE212" i="5"/>
  <c r="AE374" i="5"/>
  <c r="AE376" i="5"/>
  <c r="AE375" i="5"/>
  <c r="AE344" i="5"/>
  <c r="AE288" i="5"/>
  <c r="AE291" i="5"/>
  <c r="AE294" i="5" s="1"/>
  <c r="AE166" i="5"/>
  <c r="AE167" i="5" s="1"/>
  <c r="AJ166" i="5"/>
  <c r="AJ167" i="5" s="1"/>
  <c r="BI231" i="5"/>
  <c r="BI211" i="5"/>
  <c r="BI184" i="5"/>
  <c r="BI189" i="5"/>
  <c r="BI190" i="5" s="1"/>
  <c r="DA233" i="5"/>
  <c r="DA244" i="5"/>
  <c r="DA234" i="5"/>
  <c r="DA243" i="5"/>
  <c r="DA236" i="5"/>
  <c r="DA245" i="5"/>
  <c r="CY233" i="5"/>
  <c r="CY244" i="5"/>
  <c r="CY243" i="5"/>
  <c r="CY245" i="5"/>
  <c r="CY238" i="5"/>
  <c r="CY234" i="5"/>
  <c r="CY236" i="5"/>
  <c r="BJ429" i="5"/>
  <c r="BG429" i="5"/>
  <c r="BH429" i="5"/>
  <c r="BI429" i="5"/>
  <c r="CW423" i="5"/>
  <c r="CW247" i="5"/>
  <c r="BL423" i="5"/>
  <c r="BL247" i="5"/>
  <c r="CF250" i="5"/>
  <c r="CF256" i="5" s="1"/>
  <c r="CF212" i="5"/>
  <c r="BH250" i="5"/>
  <c r="BH256" i="5" s="1"/>
  <c r="BH212" i="5"/>
  <c r="L187" i="5"/>
  <c r="CR422" i="5"/>
  <c r="CR246" i="5"/>
  <c r="BX235" i="5"/>
  <c r="BX220" i="5"/>
  <c r="AF250" i="5"/>
  <c r="AF212" i="5"/>
  <c r="CA250" i="5"/>
  <c r="CA256" i="5" s="1"/>
  <c r="CA212" i="5"/>
  <c r="DL112" i="5"/>
  <c r="DL100" i="5"/>
  <c r="DL114" i="5"/>
  <c r="DL94" i="5"/>
  <c r="BA429" i="5"/>
  <c r="AZ429" i="5"/>
  <c r="AO370" i="5"/>
  <c r="AO366" i="5"/>
  <c r="AO362" i="5"/>
  <c r="AO358" i="5"/>
  <c r="AO240" i="5"/>
  <c r="AO374" i="5"/>
  <c r="CJ250" i="5"/>
  <c r="CJ256" i="5" s="1"/>
  <c r="CJ212" i="5"/>
  <c r="DB262" i="5"/>
  <c r="DB216" i="5"/>
  <c r="DB153" i="5"/>
  <c r="Q187" i="5"/>
  <c r="CM161" i="5"/>
  <c r="F48" i="301"/>
  <c r="BN425" i="5"/>
  <c r="BN364" i="5"/>
  <c r="BN360" i="5"/>
  <c r="BN368" i="5"/>
  <c r="BN241" i="5"/>
  <c r="BN372" i="5"/>
  <c r="CC231" i="5"/>
  <c r="CC211" i="5"/>
  <c r="CC184" i="5"/>
  <c r="CC186" i="5"/>
  <c r="AL250" i="5"/>
  <c r="AL212" i="5"/>
  <c r="BQ424" i="5"/>
  <c r="BQ187" i="5"/>
  <c r="CN201" i="5"/>
  <c r="CN187" i="5"/>
  <c r="BM250" i="5"/>
  <c r="BM256" i="5" s="1"/>
  <c r="BM212" i="5"/>
  <c r="BA250" i="5"/>
  <c r="BA256" i="5" s="1"/>
  <c r="BA212" i="5"/>
  <c r="BF424" i="5"/>
  <c r="BF187" i="5"/>
  <c r="DB172" i="5"/>
  <c r="DG171" i="5"/>
  <c r="BS231" i="5"/>
  <c r="BS211" i="5"/>
  <c r="BS186" i="5"/>
  <c r="BS184" i="5"/>
  <c r="BS189" i="5"/>
  <c r="AK250" i="5"/>
  <c r="AK212" i="5"/>
  <c r="CH420" i="5"/>
  <c r="CH362" i="5"/>
  <c r="CH366" i="5"/>
  <c r="CH358" i="5"/>
  <c r="CH240" i="5"/>
  <c r="CH370" i="5"/>
  <c r="BD231" i="5"/>
  <c r="BD211" i="5"/>
  <c r="BD212" i="5" s="1"/>
  <c r="BD186" i="5"/>
  <c r="BD189" i="5"/>
  <c r="BD184" i="5"/>
  <c r="AO231" i="5"/>
  <c r="AO247" i="5" s="1"/>
  <c r="AO186" i="5"/>
  <c r="AO187" i="5" s="1"/>
  <c r="AO184" i="5"/>
  <c r="AO211" i="5"/>
  <c r="BR424" i="5"/>
  <c r="BR187" i="5"/>
  <c r="BC424" i="5"/>
  <c r="BC187" i="5"/>
  <c r="AE231" i="5"/>
  <c r="AE247" i="5" s="1"/>
  <c r="AE186" i="5"/>
  <c r="AE187" i="5" s="1"/>
  <c r="AE184" i="5"/>
  <c r="AE211" i="5"/>
  <c r="BJ423" i="5"/>
  <c r="BJ247" i="5"/>
  <c r="AZ250" i="5"/>
  <c r="AZ212" i="5"/>
  <c r="BG250" i="5"/>
  <c r="BG256" i="5" s="1"/>
  <c r="BG212" i="5"/>
  <c r="CX231" i="5"/>
  <c r="CX247" i="5" s="1"/>
  <c r="CX204" i="5"/>
  <c r="DB204" i="5" s="1"/>
  <c r="CX186" i="5"/>
  <c r="CX184" i="5"/>
  <c r="BA398" i="5"/>
  <c r="BA399" i="5" s="1"/>
  <c r="BA222" i="5"/>
  <c r="BA239" i="5" s="1"/>
  <c r="BO424" i="5"/>
  <c r="BO187" i="5"/>
  <c r="BY187" i="5"/>
  <c r="CY154" i="5"/>
  <c r="BN231" i="5"/>
  <c r="BN211" i="5"/>
  <c r="BN186" i="5"/>
  <c r="BN189" i="5"/>
  <c r="BN184" i="5"/>
  <c r="DA149" i="5"/>
  <c r="DA144" i="5"/>
  <c r="DA145" i="5" s="1"/>
  <c r="DA140" i="5"/>
  <c r="DA148" i="5"/>
  <c r="DA154" i="5" s="1"/>
  <c r="DA141" i="5"/>
  <c r="CE250" i="5"/>
  <c r="CE256" i="5" s="1"/>
  <c r="CE212" i="5"/>
  <c r="BE423" i="5"/>
  <c r="BE247" i="5"/>
  <c r="AM250" i="5"/>
  <c r="AM212" i="5"/>
  <c r="DB134" i="5"/>
  <c r="DG133" i="5"/>
  <c r="W187" i="5"/>
  <c r="AO281" i="5"/>
  <c r="AO282" i="5" s="1"/>
  <c r="AY281" i="5" s="1"/>
  <c r="AY282" i="5" s="1"/>
  <c r="AK281" i="5"/>
  <c r="AK282" i="5" s="1"/>
  <c r="BD425" i="5"/>
  <c r="BD368" i="5"/>
  <c r="BD364" i="5"/>
  <c r="BD360" i="5"/>
  <c r="BD241" i="5"/>
  <c r="BD372" i="5"/>
  <c r="BI422" i="5"/>
  <c r="BI246" i="5"/>
  <c r="AG187" i="5"/>
  <c r="AJ225" i="5"/>
  <c r="AJ162" i="5"/>
  <c r="AJ163" i="5" s="1"/>
  <c r="AJ158" i="5"/>
  <c r="CO201" i="5"/>
  <c r="CO187" i="5"/>
  <c r="K231" i="5"/>
  <c r="K247" i="5" s="1"/>
  <c r="K188" i="5"/>
  <c r="K189" i="5"/>
  <c r="K211" i="5"/>
  <c r="AI187" i="5"/>
  <c r="CS231" i="5"/>
  <c r="CS247" i="5" s="1"/>
  <c r="CS211" i="5"/>
  <c r="CS184" i="5"/>
  <c r="CS186" i="5"/>
  <c r="CS201" i="5" s="1"/>
  <c r="CW424" i="5"/>
  <c r="G55" i="301"/>
  <c r="N187" i="5"/>
  <c r="BH423" i="5"/>
  <c r="BH247" i="5"/>
  <c r="P231" i="5"/>
  <c r="P247" i="5" s="1"/>
  <c r="P189" i="5"/>
  <c r="P188" i="5"/>
  <c r="P211" i="5"/>
  <c r="DA238" i="5"/>
  <c r="AJ231" i="5"/>
  <c r="AJ247" i="5" s="1"/>
  <c r="AJ186" i="5"/>
  <c r="AJ184" i="5"/>
  <c r="AJ211" i="5"/>
  <c r="CM420" i="5"/>
  <c r="CM366" i="5"/>
  <c r="CM362" i="5"/>
  <c r="CM358" i="5"/>
  <c r="CM240" i="5"/>
  <c r="CM370" i="5"/>
  <c r="AH250" i="5"/>
  <c r="AH212" i="5"/>
  <c r="DL21" i="5"/>
  <c r="CC422" i="5"/>
  <c r="CC246" i="5"/>
  <c r="BM423" i="5"/>
  <c r="BM247" i="5"/>
  <c r="BA423" i="5"/>
  <c r="BA247" i="5"/>
  <c r="BF250" i="5"/>
  <c r="BF256" i="5" s="1"/>
  <c r="BF212" i="5"/>
  <c r="DG391" i="5"/>
  <c r="DG371" i="5"/>
  <c r="DL313" i="5"/>
  <c r="DG170" i="5"/>
  <c r="U50" i="301"/>
  <c r="CQ201" i="5"/>
  <c r="CQ187" i="5"/>
  <c r="F250" i="5"/>
  <c r="F256" i="5" s="1"/>
  <c r="F212" i="5"/>
  <c r="BU187" i="5"/>
  <c r="V187" i="5"/>
  <c r="CV231" i="5"/>
  <c r="CV247" i="5" s="1"/>
  <c r="DG172" i="5" l="1"/>
  <c r="DB238" i="5"/>
  <c r="DB148" i="5"/>
  <c r="DB154" i="5" s="1"/>
  <c r="DA142" i="5"/>
  <c r="DA150" i="5"/>
  <c r="BC430" i="5"/>
  <c r="BD430" i="5"/>
  <c r="BF430" i="5"/>
  <c r="BE430" i="5"/>
  <c r="BB430" i="5"/>
  <c r="BD281" i="5"/>
  <c r="BD282" i="5" s="1"/>
  <c r="AZ281" i="5"/>
  <c r="AZ282" i="5" s="1"/>
  <c r="BN190" i="5"/>
  <c r="CX201" i="5"/>
  <c r="CX187" i="5"/>
  <c r="BD424" i="5"/>
  <c r="BD187" i="5"/>
  <c r="CC424" i="5"/>
  <c r="P29" i="301"/>
  <c r="BI212" i="5"/>
  <c r="AE295" i="5"/>
  <c r="AE297" i="5"/>
  <c r="Z250" i="5"/>
  <c r="Z256" i="5" s="1"/>
  <c r="Z212" i="5"/>
  <c r="AH281" i="5"/>
  <c r="AH282" i="5" s="1"/>
  <c r="AG285" i="5"/>
  <c r="AG287" i="5" s="1"/>
  <c r="CC256" i="5"/>
  <c r="CZ178" i="5"/>
  <c r="CZ160" i="5"/>
  <c r="CZ157" i="5"/>
  <c r="U250" i="5"/>
  <c r="U256" i="5" s="1"/>
  <c r="U212" i="5"/>
  <c r="BX225" i="5"/>
  <c r="BX158" i="5"/>
  <c r="BX162" i="5"/>
  <c r="CC158" i="5"/>
  <c r="DG74" i="5"/>
  <c r="DG73" i="5"/>
  <c r="DG76" i="5"/>
  <c r="DG66" i="5"/>
  <c r="DG63" i="5"/>
  <c r="BB398" i="5"/>
  <c r="BB399" i="5" s="1"/>
  <c r="BB222" i="5"/>
  <c r="BB239" i="5" s="1"/>
  <c r="CH163" i="5"/>
  <c r="E49" i="301"/>
  <c r="K250" i="5"/>
  <c r="K256" i="5" s="1"/>
  <c r="K212" i="5"/>
  <c r="CY218" i="5"/>
  <c r="CY155" i="5"/>
  <c r="CY156" i="5"/>
  <c r="BI423" i="5"/>
  <c r="BI247" i="5"/>
  <c r="CH256" i="5"/>
  <c r="DB93" i="5"/>
  <c r="DG92" i="5"/>
  <c r="DL92" i="5" s="1"/>
  <c r="BK430" i="5"/>
  <c r="BN430" i="5"/>
  <c r="BL430" i="5"/>
  <c r="BM430" i="5"/>
  <c r="AF344" i="5"/>
  <c r="AF291" i="5"/>
  <c r="AF294" i="5" s="1"/>
  <c r="AF288" i="5"/>
  <c r="DL200" i="5"/>
  <c r="DL269" i="5"/>
  <c r="CM163" i="5"/>
  <c r="F49" i="301"/>
  <c r="BX161" i="5"/>
  <c r="CC161" i="5"/>
  <c r="CR424" i="5"/>
  <c r="CM256" i="5"/>
  <c r="CH425" i="5"/>
  <c r="CH368" i="5"/>
  <c r="CH360" i="5"/>
  <c r="CH364" i="5"/>
  <c r="CH241" i="5"/>
  <c r="CH372" i="5"/>
  <c r="BX256" i="5"/>
  <c r="CH422" i="5"/>
  <c r="CH246" i="5"/>
  <c r="AJ250" i="5"/>
  <c r="AJ256" i="5" s="1"/>
  <c r="AJ212" i="5"/>
  <c r="AJ372" i="5"/>
  <c r="AJ364" i="5"/>
  <c r="AJ368" i="5"/>
  <c r="AJ360" i="5"/>
  <c r="AJ241" i="5"/>
  <c r="AJ376" i="5"/>
  <c r="BN424" i="5"/>
  <c r="BS424" i="5"/>
  <c r="BS187" i="5"/>
  <c r="CX211" i="5"/>
  <c r="AE250" i="5"/>
  <c r="AE256" i="5" s="1"/>
  <c r="AE212" i="5"/>
  <c r="AO250" i="5"/>
  <c r="AO256" i="5" s="1"/>
  <c r="AO212" i="5"/>
  <c r="BD423" i="5"/>
  <c r="BD247" i="5"/>
  <c r="CC250" i="5"/>
  <c r="CC212" i="5"/>
  <c r="AY250" i="5"/>
  <c r="AY256" i="5" s="1"/>
  <c r="AY212" i="5"/>
  <c r="CM422" i="5"/>
  <c r="CM246" i="5"/>
  <c r="AO163" i="5"/>
  <c r="DG219" i="5"/>
  <c r="DG95" i="5"/>
  <c r="U14" i="301"/>
  <c r="CZ218" i="5"/>
  <c r="CQ326" i="5"/>
  <c r="CQ256" i="5"/>
  <c r="CR256" i="5" s="1"/>
  <c r="CR257" i="5" s="1"/>
  <c r="BX230" i="5"/>
  <c r="BX179" i="5"/>
  <c r="BX183" i="5"/>
  <c r="BX180" i="5"/>
  <c r="H19" i="301"/>
  <c r="F19" i="301"/>
  <c r="F18" i="301"/>
  <c r="H18" i="301"/>
  <c r="CR250" i="5"/>
  <c r="CR212" i="5"/>
  <c r="CH231" i="5"/>
  <c r="CH211" i="5"/>
  <c r="CH186" i="5"/>
  <c r="CH184" i="5"/>
  <c r="DL371" i="5"/>
  <c r="DL391" i="5"/>
  <c r="DL170" i="5"/>
  <c r="V50" i="301"/>
  <c r="CS250" i="5"/>
  <c r="CS256" i="5" s="1"/>
  <c r="CW256" i="5" s="1"/>
  <c r="CW257" i="5" s="1"/>
  <c r="CS212" i="5"/>
  <c r="DL133" i="5"/>
  <c r="DL131" i="5" s="1"/>
  <c r="DG131" i="5"/>
  <c r="BN250" i="5"/>
  <c r="BN212" i="5"/>
  <c r="BS250" i="5"/>
  <c r="BS257" i="5" s="1"/>
  <c r="BS212" i="5"/>
  <c r="DL171" i="5"/>
  <c r="DL113" i="5"/>
  <c r="BI186" i="5"/>
  <c r="G26" i="301"/>
  <c r="AJ187" i="5"/>
  <c r="P250" i="5"/>
  <c r="P256" i="5" s="1"/>
  <c r="P212" i="5"/>
  <c r="AL281" i="5"/>
  <c r="AL282" i="5" s="1"/>
  <c r="AK285" i="5"/>
  <c r="AK287" i="5" s="1"/>
  <c r="DA218" i="5"/>
  <c r="DA155" i="5"/>
  <c r="DA156" i="5"/>
  <c r="BN423" i="5"/>
  <c r="BN247" i="5"/>
  <c r="BD250" i="5"/>
  <c r="AZ256" i="5"/>
  <c r="BD256" i="5" s="1"/>
  <c r="BD407" i="5"/>
  <c r="BD190" i="5"/>
  <c r="BX190" i="5"/>
  <c r="BS190" i="5"/>
  <c r="BS423" i="5"/>
  <c r="BS247" i="5"/>
  <c r="CC423" i="5"/>
  <c r="CC247" i="5"/>
  <c r="DB419" i="5"/>
  <c r="DB233" i="5"/>
  <c r="DB243" i="5"/>
  <c r="DB244" i="5"/>
  <c r="DB234" i="5"/>
  <c r="DB245" i="5"/>
  <c r="DB236" i="5"/>
  <c r="DL219" i="5"/>
  <c r="DL95" i="5"/>
  <c r="V14" i="301"/>
  <c r="BX237" i="5"/>
  <c r="BX311" i="5"/>
  <c r="BX319" i="5"/>
  <c r="BX303" i="5"/>
  <c r="BI250" i="5"/>
  <c r="BE256" i="5"/>
  <c r="BI256" i="5" s="1"/>
  <c r="BG430" i="5"/>
  <c r="BH430" i="5"/>
  <c r="BJ430" i="5"/>
  <c r="BI430" i="5"/>
  <c r="T13" i="301"/>
  <c r="DB139" i="5"/>
  <c r="CM231" i="5"/>
  <c r="CM211" i="5"/>
  <c r="CM186" i="5"/>
  <c r="CR187" i="5" s="1"/>
  <c r="CM184" i="5"/>
  <c r="AO372" i="5"/>
  <c r="AO368" i="5"/>
  <c r="AO364" i="5"/>
  <c r="AO360" i="5"/>
  <c r="AO241" i="5"/>
  <c r="AO376" i="5"/>
  <c r="DL217" i="5"/>
  <c r="V9" i="301"/>
  <c r="DL30" i="5"/>
  <c r="DL72" i="5"/>
  <c r="DG88" i="5"/>
  <c r="DL90" i="5"/>
  <c r="DL88" i="5" s="1"/>
  <c r="CM425" i="5"/>
  <c r="CM368" i="5"/>
  <c r="CM364" i="5"/>
  <c r="CM360" i="5"/>
  <c r="CM241" i="5"/>
  <c r="CM372" i="5"/>
  <c r="BX420" i="5"/>
  <c r="BR429" i="5" s="1"/>
  <c r="BX366" i="5"/>
  <c r="BX358" i="5"/>
  <c r="BX362" i="5"/>
  <c r="BX240" i="5"/>
  <c r="BX370" i="5"/>
  <c r="DG308" i="5"/>
  <c r="DG289" i="5"/>
  <c r="CR423" i="5"/>
  <c r="CR247" i="5"/>
  <c r="BD125" i="5"/>
  <c r="BC126" i="5"/>
  <c r="CR163" i="5"/>
  <c r="BN256" i="5"/>
  <c r="AZ430" i="5"/>
  <c r="BA430" i="5"/>
  <c r="DL172" i="5" l="1"/>
  <c r="T19" i="301"/>
  <c r="T16" i="301" s="1"/>
  <c r="CZ161" i="5"/>
  <c r="CZ224" i="5"/>
  <c r="CZ240" i="5" s="1"/>
  <c r="CR264" i="5"/>
  <c r="DW269" i="5" s="1"/>
  <c r="CR279" i="5"/>
  <c r="DB144" i="5"/>
  <c r="DB145" i="5" s="1"/>
  <c r="H44" i="301" s="1"/>
  <c r="DB140" i="5"/>
  <c r="DB141" i="5"/>
  <c r="DB149" i="5"/>
  <c r="BC398" i="5"/>
  <c r="BC399" i="5" s="1"/>
  <c r="BC222" i="5"/>
  <c r="BC239" i="5" s="1"/>
  <c r="DL308" i="5"/>
  <c r="DL289" i="5"/>
  <c r="CM250" i="5"/>
  <c r="CM212" i="5"/>
  <c r="AL285" i="5"/>
  <c r="AL287" i="5" s="1"/>
  <c r="AM281" i="5"/>
  <c r="AM282" i="5" s="1"/>
  <c r="BN257" i="5"/>
  <c r="CM423" i="5"/>
  <c r="CM247" i="5"/>
  <c r="BI424" i="5"/>
  <c r="BI187" i="5"/>
  <c r="DG397" i="5"/>
  <c r="DG221" i="5"/>
  <c r="DG132" i="5"/>
  <c r="U18" i="301"/>
  <c r="U51" i="301" s="1"/>
  <c r="CH250" i="5"/>
  <c r="CH212" i="5"/>
  <c r="BN187" i="5"/>
  <c r="DG152" i="5"/>
  <c r="U11" i="301"/>
  <c r="BX163" i="5"/>
  <c r="CC163" i="5"/>
  <c r="BI281" i="5"/>
  <c r="BI282" i="5" s="1"/>
  <c r="BD285" i="5"/>
  <c r="BD287" i="5" s="1"/>
  <c r="BE281" i="5"/>
  <c r="BE282" i="5" s="1"/>
  <c r="DL87" i="5"/>
  <c r="DL83" i="5"/>
  <c r="DL89" i="5"/>
  <c r="DA235" i="5"/>
  <c r="DA220" i="5"/>
  <c r="DL397" i="5"/>
  <c r="DL221" i="5"/>
  <c r="DL132" i="5"/>
  <c r="V18" i="301"/>
  <c r="V51" i="301" s="1"/>
  <c r="CH423" i="5"/>
  <c r="CH247" i="5"/>
  <c r="BX231" i="5"/>
  <c r="BX211" i="5"/>
  <c r="BX186" i="5"/>
  <c r="BX184" i="5"/>
  <c r="CX250" i="5"/>
  <c r="CX256" i="5" s="1"/>
  <c r="CX212" i="5"/>
  <c r="BH431" i="5"/>
  <c r="BJ431" i="5"/>
  <c r="BG431" i="5"/>
  <c r="BI431" i="5"/>
  <c r="CY224" i="5"/>
  <c r="CY240" i="5" s="1"/>
  <c r="CY178" i="5"/>
  <c r="CY160" i="5"/>
  <c r="CY157" i="5"/>
  <c r="CZ162" i="5"/>
  <c r="CZ158" i="5"/>
  <c r="CC257" i="5"/>
  <c r="AZ431" i="5"/>
  <c r="BA431" i="5"/>
  <c r="DB218" i="5"/>
  <c r="DB155" i="5"/>
  <c r="DB156" i="5"/>
  <c r="DG89" i="5"/>
  <c r="DG87" i="5"/>
  <c r="DG83" i="5"/>
  <c r="CM424" i="5"/>
  <c r="CM187" i="5"/>
  <c r="R29" i="301"/>
  <c r="F55" i="301" s="1"/>
  <c r="AK376" i="5"/>
  <c r="AK374" i="5"/>
  <c r="AK375" i="5"/>
  <c r="AK344" i="5"/>
  <c r="AK288" i="5"/>
  <c r="AK291" i="5"/>
  <c r="AK294" i="5" s="1"/>
  <c r="AK166" i="5"/>
  <c r="AK167" i="5" s="1"/>
  <c r="F26" i="301"/>
  <c r="H26" i="301"/>
  <c r="CR326" i="5"/>
  <c r="CR330" i="5" s="1"/>
  <c r="CR331" i="5" s="1"/>
  <c r="CQ330" i="5"/>
  <c r="CQ331" i="5" s="1"/>
  <c r="CQ332" i="5" s="1"/>
  <c r="DL338" i="5"/>
  <c r="V40" i="301"/>
  <c r="V42" i="301" s="1"/>
  <c r="DL272" i="5"/>
  <c r="DL278" i="5" s="1"/>
  <c r="AF297" i="5"/>
  <c r="AF295" i="5"/>
  <c r="CH257" i="5"/>
  <c r="DG77" i="5"/>
  <c r="DG78" i="5" s="1"/>
  <c r="DG75" i="5"/>
  <c r="BX425" i="5"/>
  <c r="BX364" i="5"/>
  <c r="BX360" i="5"/>
  <c r="BX368" i="5"/>
  <c r="BX241" i="5"/>
  <c r="BX372" i="5"/>
  <c r="AG344" i="5"/>
  <c r="AG288" i="5"/>
  <c r="AG291" i="5"/>
  <c r="AG294" i="5" s="1"/>
  <c r="DG345" i="5"/>
  <c r="BD126" i="5"/>
  <c r="BE125" i="5"/>
  <c r="DL74" i="5"/>
  <c r="DL73" i="5"/>
  <c r="DL76" i="5"/>
  <c r="DL63" i="5"/>
  <c r="DL66" i="5"/>
  <c r="DA224" i="5"/>
  <c r="DA240" i="5" s="1"/>
  <c r="DA157" i="5"/>
  <c r="DA178" i="5"/>
  <c r="DA160" i="5"/>
  <c r="CW264" i="5"/>
  <c r="S32" i="301"/>
  <c r="S44" i="301" s="1"/>
  <c r="G54" i="301" s="1"/>
  <c r="CW279" i="5"/>
  <c r="CH424" i="5"/>
  <c r="CH187" i="5"/>
  <c r="Q29" i="301"/>
  <c r="E55" i="301" s="1"/>
  <c r="BX422" i="5"/>
  <c r="BR430" i="5" s="1"/>
  <c r="BX246" i="5"/>
  <c r="CZ235" i="5"/>
  <c r="CZ220" i="5"/>
  <c r="BK431" i="5"/>
  <c r="BM431" i="5"/>
  <c r="BN431" i="5"/>
  <c r="BL431" i="5"/>
  <c r="CM257" i="5"/>
  <c r="CY235" i="5"/>
  <c r="CY220" i="5"/>
  <c r="CZ181" i="5"/>
  <c r="CZ179" i="5"/>
  <c r="AH285" i="5"/>
  <c r="AH287" i="5" s="1"/>
  <c r="AI281" i="5"/>
  <c r="AI282" i="5" s="1"/>
  <c r="AI285" i="5" s="1"/>
  <c r="AI287" i="5" s="1"/>
  <c r="AZ285" i="5"/>
  <c r="AZ287" i="5" s="1"/>
  <c r="BA281" i="5"/>
  <c r="BA282" i="5" s="1"/>
  <c r="DU156" i="5" l="1"/>
  <c r="CZ230" i="5"/>
  <c r="CZ246" i="5" s="1"/>
  <c r="I41" i="301"/>
  <c r="CZ225" i="5"/>
  <c r="CZ241" i="5" s="1"/>
  <c r="T21" i="301"/>
  <c r="DA161" i="5"/>
  <c r="CZ254" i="5"/>
  <c r="CZ163" i="5"/>
  <c r="CZ183" i="5"/>
  <c r="DB142" i="5"/>
  <c r="CY161" i="5"/>
  <c r="DB150" i="5"/>
  <c r="BB281" i="5"/>
  <c r="BB282" i="5" s="1"/>
  <c r="BA285" i="5"/>
  <c r="BA287" i="5" s="1"/>
  <c r="AZ376" i="5"/>
  <c r="AZ375" i="5"/>
  <c r="AZ389" i="5"/>
  <c r="AZ395" i="5" s="1"/>
  <c r="AZ374" i="5"/>
  <c r="AZ344" i="5"/>
  <c r="AZ288" i="5"/>
  <c r="AZ291" i="5"/>
  <c r="AZ166" i="5"/>
  <c r="AZ167" i="5" s="1"/>
  <c r="CY303" i="5"/>
  <c r="CY237" i="5"/>
  <c r="CY319" i="5"/>
  <c r="CY310" i="5"/>
  <c r="CY312" i="5" s="1"/>
  <c r="CZ237" i="5"/>
  <c r="CZ303" i="5"/>
  <c r="CZ319" i="5"/>
  <c r="CZ310" i="5"/>
  <c r="CZ312" i="5" s="1"/>
  <c r="DA225" i="5"/>
  <c r="DA241" i="5" s="1"/>
  <c r="DA162" i="5"/>
  <c r="DA158" i="5"/>
  <c r="BD398" i="5"/>
  <c r="BD399" i="5" s="1"/>
  <c r="BD222" i="5"/>
  <c r="BD239" i="5" s="1"/>
  <c r="AH344" i="5"/>
  <c r="AH291" i="5"/>
  <c r="AH294" i="5" s="1"/>
  <c r="AH288" i="5"/>
  <c r="CM264" i="5"/>
  <c r="DV269" i="5" s="1"/>
  <c r="R32" i="301"/>
  <c r="R44" i="301" s="1"/>
  <c r="F54" i="301" s="1"/>
  <c r="CM279" i="5"/>
  <c r="DL75" i="5"/>
  <c r="DL77" i="5"/>
  <c r="DL78" i="5" s="1"/>
  <c r="CH264" i="5"/>
  <c r="Q32" i="301"/>
  <c r="Q44" i="301" s="1"/>
  <c r="E54" i="301" s="1"/>
  <c r="CH279" i="5"/>
  <c r="CC264" i="5"/>
  <c r="P32" i="301"/>
  <c r="P44" i="301" s="1"/>
  <c r="CY225" i="5"/>
  <c r="CY241" i="5" s="1"/>
  <c r="CY162" i="5"/>
  <c r="CY158" i="5"/>
  <c r="BX424" i="5"/>
  <c r="BR431" i="5" s="1"/>
  <c r="BX187" i="5"/>
  <c r="O29" i="301"/>
  <c r="CC187" i="5"/>
  <c r="DL367" i="5"/>
  <c r="BE285" i="5"/>
  <c r="BE287" i="5" s="1"/>
  <c r="BF281" i="5"/>
  <c r="BF282" i="5" s="1"/>
  <c r="DG262" i="5"/>
  <c r="DG216" i="5"/>
  <c r="DG153" i="5"/>
  <c r="BD431" i="5"/>
  <c r="BE431" i="5"/>
  <c r="BC431" i="5"/>
  <c r="BB431" i="5"/>
  <c r="BF431" i="5"/>
  <c r="AM285" i="5"/>
  <c r="AM287" i="5" s="1"/>
  <c r="AN281" i="5"/>
  <c r="AN282" i="5" s="1"/>
  <c r="AN285" i="5" s="1"/>
  <c r="AN287" i="5" s="1"/>
  <c r="BF125" i="5"/>
  <c r="BE126" i="5"/>
  <c r="AG297" i="5"/>
  <c r="AG295" i="5"/>
  <c r="DB235" i="5"/>
  <c r="DB220" i="5"/>
  <c r="BX250" i="5"/>
  <c r="BX257" i="5" s="1"/>
  <c r="O32" i="301" s="1"/>
  <c r="O44" i="301" s="1"/>
  <c r="BX212" i="5"/>
  <c r="BD389" i="5"/>
  <c r="BD395" i="5" s="1"/>
  <c r="BD344" i="5"/>
  <c r="BD288" i="5"/>
  <c r="BD166" i="5"/>
  <c r="BD167" i="5" s="1"/>
  <c r="BD291" i="5"/>
  <c r="BD390" i="5" s="1"/>
  <c r="BD394" i="5" s="1"/>
  <c r="BD375" i="5"/>
  <c r="BD374" i="5"/>
  <c r="BD315" i="5"/>
  <c r="BD376" i="5"/>
  <c r="DG367" i="5"/>
  <c r="AL376" i="5"/>
  <c r="AL374" i="5"/>
  <c r="AL375" i="5"/>
  <c r="AL344" i="5"/>
  <c r="AL291" i="5"/>
  <c r="AL294" i="5" s="1"/>
  <c r="AL288" i="5"/>
  <c r="AL166" i="5"/>
  <c r="AL167" i="5" s="1"/>
  <c r="DL345" i="5"/>
  <c r="DL152" i="5"/>
  <c r="V11" i="301"/>
  <c r="AK297" i="5"/>
  <c r="AK295" i="5"/>
  <c r="CY230" i="5"/>
  <c r="CY246" i="5" s="1"/>
  <c r="CY181" i="5"/>
  <c r="CY179" i="5"/>
  <c r="BX423" i="5"/>
  <c r="BX247" i="5"/>
  <c r="DA237" i="5"/>
  <c r="DA303" i="5"/>
  <c r="DA319" i="5"/>
  <c r="DA310" i="5"/>
  <c r="DL84" i="5"/>
  <c r="DL80" i="5"/>
  <c r="DL85" i="5"/>
  <c r="BN281" i="5"/>
  <c r="BN282" i="5" s="1"/>
  <c r="BI285" i="5"/>
  <c r="BI287" i="5" s="1"/>
  <c r="BJ281" i="5"/>
  <c r="BJ282" i="5" s="1"/>
  <c r="DA230" i="5"/>
  <c r="DA246" i="5" s="1"/>
  <c r="DA181" i="5"/>
  <c r="DA179" i="5"/>
  <c r="AI344" i="5"/>
  <c r="AI288" i="5"/>
  <c r="AI291" i="5"/>
  <c r="AI294" i="5" s="1"/>
  <c r="DG85" i="5"/>
  <c r="DG86" i="5" s="1"/>
  <c r="DG84" i="5"/>
  <c r="DG80" i="5"/>
  <c r="DB224" i="5"/>
  <c r="DB157" i="5"/>
  <c r="DB160" i="5"/>
  <c r="DB178" i="5"/>
  <c r="T22" i="301"/>
  <c r="T56" i="301" s="1"/>
  <c r="U10" i="301"/>
  <c r="G27" i="301"/>
  <c r="J41" i="301" l="1"/>
  <c r="DA254" i="5"/>
  <c r="DA163" i="5"/>
  <c r="CZ184" i="5"/>
  <c r="CZ186" i="5"/>
  <c r="CZ211" i="5"/>
  <c r="CZ250" i="5" s="1"/>
  <c r="CY163" i="5"/>
  <c r="CY183" i="5"/>
  <c r="H45" i="301"/>
  <c r="H43" i="301"/>
  <c r="DB420" i="5"/>
  <c r="DB362" i="5"/>
  <c r="DB358" i="5"/>
  <c r="DB366" i="5"/>
  <c r="DB240" i="5"/>
  <c r="DB370" i="5"/>
  <c r="DB230" i="5"/>
  <c r="DB179" i="5"/>
  <c r="DB82" i="5"/>
  <c r="DA82" i="5" s="1"/>
  <c r="V13" i="301"/>
  <c r="DL139" i="5"/>
  <c r="DB161" i="5"/>
  <c r="H48" i="301"/>
  <c r="DA183" i="5"/>
  <c r="BI389" i="5"/>
  <c r="BI395" i="5" s="1"/>
  <c r="BI344" i="5"/>
  <c r="BI288" i="5"/>
  <c r="BI291" i="5"/>
  <c r="BI390" i="5" s="1"/>
  <c r="BI394" i="5" s="1"/>
  <c r="BI166" i="5"/>
  <c r="BI167" i="5" s="1"/>
  <c r="BI376" i="5"/>
  <c r="BI375" i="5"/>
  <c r="BI374" i="5"/>
  <c r="AL295" i="5"/>
  <c r="AL297" i="5"/>
  <c r="BD401" i="5"/>
  <c r="BD413" i="5" s="1"/>
  <c r="BD410" i="5"/>
  <c r="BD404" i="5"/>
  <c r="BD416" i="5" s="1"/>
  <c r="BD405" i="5"/>
  <c r="BD417" i="5" s="1"/>
  <c r="BD411" i="5"/>
  <c r="BD402" i="5"/>
  <c r="BD414" i="5" s="1"/>
  <c r="AM375" i="5"/>
  <c r="AM376" i="5"/>
  <c r="AM374" i="5"/>
  <c r="AM344" i="5"/>
  <c r="AM291" i="5"/>
  <c r="AM294" i="5" s="1"/>
  <c r="AM288" i="5"/>
  <c r="AM166" i="5"/>
  <c r="AM167" i="5" s="1"/>
  <c r="BE389" i="5"/>
  <c r="BE395" i="5" s="1"/>
  <c r="BE376" i="5"/>
  <c r="BE375" i="5"/>
  <c r="BE374" i="5"/>
  <c r="BE344" i="5"/>
  <c r="BE288" i="5"/>
  <c r="BE291" i="5"/>
  <c r="BE166" i="5"/>
  <c r="BE167" i="5" s="1"/>
  <c r="F27" i="301"/>
  <c r="H27" i="301"/>
  <c r="DB237" i="5"/>
  <c r="DB303" i="5"/>
  <c r="DB319" i="5"/>
  <c r="BE398" i="5"/>
  <c r="BE399" i="5" s="1"/>
  <c r="BE222" i="5"/>
  <c r="BE239" i="5" s="1"/>
  <c r="DG419" i="5"/>
  <c r="DG233" i="5"/>
  <c r="DG245" i="5"/>
  <c r="DG244" i="5"/>
  <c r="DG243" i="5"/>
  <c r="DG234" i="5"/>
  <c r="DG236" i="5"/>
  <c r="AH295" i="5"/>
  <c r="AH297" i="5"/>
  <c r="BA389" i="5"/>
  <c r="BA395" i="5" s="1"/>
  <c r="BA376" i="5"/>
  <c r="BA375" i="5"/>
  <c r="BA374" i="5"/>
  <c r="BA344" i="5"/>
  <c r="BA291" i="5"/>
  <c r="BA288" i="5"/>
  <c r="BA166" i="5"/>
  <c r="BA167" i="5" s="1"/>
  <c r="DB310" i="5"/>
  <c r="DA312" i="5"/>
  <c r="AI295" i="5"/>
  <c r="AI297" i="5"/>
  <c r="DL86" i="5"/>
  <c r="CY254" i="5"/>
  <c r="DB181" i="5"/>
  <c r="V10" i="301"/>
  <c r="DG238" i="5"/>
  <c r="BG125" i="5"/>
  <c r="BF126" i="5"/>
  <c r="AZ390" i="5"/>
  <c r="AZ394" i="5" s="1"/>
  <c r="AZ294" i="5"/>
  <c r="AZ411" i="5"/>
  <c r="AZ402" i="5"/>
  <c r="AZ414" i="5" s="1"/>
  <c r="AZ405" i="5"/>
  <c r="AZ417" i="5" s="1"/>
  <c r="BB285" i="5"/>
  <c r="BB287" i="5" s="1"/>
  <c r="BC281" i="5"/>
  <c r="BC282" i="5" s="1"/>
  <c r="BC285" i="5" s="1"/>
  <c r="BC287" i="5" s="1"/>
  <c r="DB225" i="5"/>
  <c r="DB162" i="5"/>
  <c r="DB158" i="5"/>
  <c r="BS281" i="5"/>
  <c r="BS282" i="5" s="1"/>
  <c r="BN285" i="5"/>
  <c r="BN287" i="5" s="1"/>
  <c r="BO281" i="5"/>
  <c r="BO282" i="5" s="1"/>
  <c r="U13" i="301"/>
  <c r="DG139" i="5"/>
  <c r="BJ285" i="5"/>
  <c r="BJ287" i="5" s="1"/>
  <c r="BK281" i="5"/>
  <c r="BK282" i="5" s="1"/>
  <c r="DL262" i="5"/>
  <c r="DL216" i="5"/>
  <c r="DL153" i="5"/>
  <c r="BD378" i="5"/>
  <c r="BD380" i="5" s="1"/>
  <c r="BD351" i="5"/>
  <c r="BD354" i="5"/>
  <c r="AN375" i="5"/>
  <c r="AN376" i="5"/>
  <c r="AN374" i="5"/>
  <c r="AN344" i="5"/>
  <c r="AN291" i="5"/>
  <c r="AN294" i="5" s="1"/>
  <c r="AN288" i="5"/>
  <c r="AN166" i="5"/>
  <c r="AN167" i="5" s="1"/>
  <c r="BG281" i="5"/>
  <c r="BG282" i="5" s="1"/>
  <c r="BF285" i="5"/>
  <c r="BF287" i="5" s="1"/>
  <c r="CZ201" i="5" l="1"/>
  <c r="CY184" i="5"/>
  <c r="CY186" i="5"/>
  <c r="CZ231" i="5"/>
  <c r="CZ247" i="5" s="1"/>
  <c r="CY231" i="5"/>
  <c r="CY247" i="5" s="1"/>
  <c r="CY211" i="5"/>
  <c r="CY250" i="5" s="1"/>
  <c r="CY326" i="5" s="1"/>
  <c r="CZ187" i="5"/>
  <c r="CZ212" i="5"/>
  <c r="BJ375" i="5"/>
  <c r="BJ389" i="5"/>
  <c r="BJ395" i="5" s="1"/>
  <c r="BJ374" i="5"/>
  <c r="BJ376" i="5"/>
  <c r="BJ344" i="5"/>
  <c r="BJ315" i="5"/>
  <c r="BJ291" i="5"/>
  <c r="BJ288" i="5"/>
  <c r="BJ166" i="5"/>
  <c r="BJ167" i="5" s="1"/>
  <c r="AZ443" i="5"/>
  <c r="AZ442" i="5"/>
  <c r="BF398" i="5"/>
  <c r="BF399" i="5" s="1"/>
  <c r="BF222" i="5"/>
  <c r="BF239" i="5" s="1"/>
  <c r="DB254" i="5"/>
  <c r="CY316" i="5"/>
  <c r="BA390" i="5"/>
  <c r="BA394" i="5" s="1"/>
  <c r="BA294" i="5"/>
  <c r="DG149" i="5"/>
  <c r="DG148" i="5"/>
  <c r="DG141" i="5"/>
  <c r="DG144" i="5"/>
  <c r="DG145" i="5" s="1"/>
  <c r="I44" i="301" s="1"/>
  <c r="DG140" i="5"/>
  <c r="BX281" i="5"/>
  <c r="BX282" i="5" s="1"/>
  <c r="BT281" i="5"/>
  <c r="BT282" i="5" s="1"/>
  <c r="BS285" i="5"/>
  <c r="BS287" i="5" s="1"/>
  <c r="BS166" i="5" s="1"/>
  <c r="BS167" i="5" s="1"/>
  <c r="AZ436" i="5"/>
  <c r="AZ437" i="5"/>
  <c r="BG126" i="5"/>
  <c r="BH125" i="5"/>
  <c r="DB312" i="5"/>
  <c r="DB311" i="5"/>
  <c r="DG311" i="5" s="1"/>
  <c r="BA378" i="5"/>
  <c r="BA380" i="5" s="1"/>
  <c r="BA354" i="5"/>
  <c r="BA351" i="5"/>
  <c r="BD437" i="5"/>
  <c r="BD436" i="5"/>
  <c r="BI410" i="5"/>
  <c r="BI401" i="5"/>
  <c r="BI413" i="5" s="1"/>
  <c r="DA231" i="5"/>
  <c r="DA247" i="5" s="1"/>
  <c r="DA211" i="5"/>
  <c r="DA186" i="5"/>
  <c r="DA184" i="5"/>
  <c r="BF375" i="5"/>
  <c r="BF374" i="5"/>
  <c r="BF389" i="5"/>
  <c r="BF395" i="5" s="1"/>
  <c r="BF376" i="5"/>
  <c r="BF344" i="5"/>
  <c r="BF288" i="5"/>
  <c r="BF291" i="5"/>
  <c r="BF166" i="5"/>
  <c r="BF167" i="5" s="1"/>
  <c r="AN297" i="5"/>
  <c r="AN295" i="5"/>
  <c r="CY82" i="5"/>
  <c r="BB389" i="5"/>
  <c r="BB395" i="5" s="1"/>
  <c r="BB344" i="5"/>
  <c r="BB291" i="5"/>
  <c r="BB288" i="5"/>
  <c r="BB166" i="5"/>
  <c r="BB167" i="5" s="1"/>
  <c r="BB375" i="5"/>
  <c r="BB376" i="5"/>
  <c r="BB374" i="5"/>
  <c r="AZ295" i="5"/>
  <c r="AZ297" i="5"/>
  <c r="BE390" i="5"/>
  <c r="BE394" i="5" s="1"/>
  <c r="BE294" i="5"/>
  <c r="CZ82" i="5"/>
  <c r="DB422" i="5"/>
  <c r="DB246" i="5"/>
  <c r="BG285" i="5"/>
  <c r="BG287" i="5" s="1"/>
  <c r="BH281" i="5"/>
  <c r="BH282" i="5" s="1"/>
  <c r="BH285" i="5" s="1"/>
  <c r="BH287" i="5" s="1"/>
  <c r="BD355" i="5"/>
  <c r="BL281" i="5"/>
  <c r="BL282" i="5" s="1"/>
  <c r="BK285" i="5"/>
  <c r="BK287" i="5" s="1"/>
  <c r="BP281" i="5"/>
  <c r="BP282" i="5" s="1"/>
  <c r="BO285" i="5"/>
  <c r="BO287" i="5" s="1"/>
  <c r="DB163" i="5"/>
  <c r="H49" i="301"/>
  <c r="AZ410" i="5"/>
  <c r="AZ401" i="5"/>
  <c r="AZ413" i="5" s="1"/>
  <c r="AZ404" i="5"/>
  <c r="AZ416" i="5" s="1"/>
  <c r="DW214" i="5"/>
  <c r="DB180" i="5"/>
  <c r="DW248" i="5" s="1"/>
  <c r="T25" i="301"/>
  <c r="T27" i="301" s="1"/>
  <c r="T29" i="301" s="1"/>
  <c r="H55" i="301" s="1"/>
  <c r="AM295" i="5"/>
  <c r="AM297" i="5"/>
  <c r="BD445" i="5"/>
  <c r="BD448" i="5"/>
  <c r="BD446" i="5"/>
  <c r="BD449" i="5"/>
  <c r="BI378" i="5"/>
  <c r="BI380" i="5" s="1"/>
  <c r="BI351" i="5"/>
  <c r="BI354" i="5"/>
  <c r="BD352" i="5"/>
  <c r="BN389" i="5"/>
  <c r="BN395" i="5" s="1"/>
  <c r="BN344" i="5"/>
  <c r="BN288" i="5"/>
  <c r="BN291" i="5"/>
  <c r="BN390" i="5" s="1"/>
  <c r="BN394" i="5" s="1"/>
  <c r="BN374" i="5"/>
  <c r="BN375" i="5"/>
  <c r="BN376" i="5"/>
  <c r="DB425" i="5"/>
  <c r="DB368" i="5"/>
  <c r="DB360" i="5"/>
  <c r="DB364" i="5"/>
  <c r="DB241" i="5"/>
  <c r="DB372" i="5"/>
  <c r="BE378" i="5"/>
  <c r="BE351" i="5"/>
  <c r="BE354" i="5"/>
  <c r="BE402" i="5"/>
  <c r="BE414" i="5" s="1"/>
  <c r="BE411" i="5"/>
  <c r="BE405" i="5"/>
  <c r="BE417" i="5" s="1"/>
  <c r="BD443" i="5"/>
  <c r="BD442" i="5"/>
  <c r="BD433" i="5"/>
  <c r="BD434" i="5"/>
  <c r="BN166" i="5"/>
  <c r="BN167" i="5" s="1"/>
  <c r="BI402" i="5"/>
  <c r="BI414" i="5" s="1"/>
  <c r="BI411" i="5"/>
  <c r="DL149" i="5"/>
  <c r="DL148" i="5"/>
  <c r="DL141" i="5"/>
  <c r="DL144" i="5"/>
  <c r="DL145" i="5" s="1"/>
  <c r="J44" i="301" s="1"/>
  <c r="DL140" i="5"/>
  <c r="DB183" i="5"/>
  <c r="DL419" i="5"/>
  <c r="DL233" i="5"/>
  <c r="DL245" i="5"/>
  <c r="DL244" i="5"/>
  <c r="DL243" i="5"/>
  <c r="DL234" i="5"/>
  <c r="DL236" i="5"/>
  <c r="DL238" i="5"/>
  <c r="BC374" i="5"/>
  <c r="BC389" i="5"/>
  <c r="BC395" i="5" s="1"/>
  <c r="BC376" i="5"/>
  <c r="BC375" i="5"/>
  <c r="BC344" i="5"/>
  <c r="BC288" i="5"/>
  <c r="BC291" i="5"/>
  <c r="BC166" i="5"/>
  <c r="BC167" i="5" s="1"/>
  <c r="BA402" i="5"/>
  <c r="BA414" i="5" s="1"/>
  <c r="BA411" i="5"/>
  <c r="BA405" i="5"/>
  <c r="BA417" i="5" s="1"/>
  <c r="BD440" i="5"/>
  <c r="BD439" i="5"/>
  <c r="CY201" i="5" l="1"/>
  <c r="CY187" i="5"/>
  <c r="CY212" i="5"/>
  <c r="DL150" i="5"/>
  <c r="DL142" i="5"/>
  <c r="DG150" i="5"/>
  <c r="I45" i="301" s="1"/>
  <c r="DG142" i="5"/>
  <c r="I43" i="301" s="1"/>
  <c r="DW249" i="5"/>
  <c r="DW250" i="5" s="1"/>
  <c r="BC390" i="5"/>
  <c r="BC394" i="5" s="1"/>
  <c r="BC294" i="5"/>
  <c r="BC405" i="5"/>
  <c r="BC417" i="5" s="1"/>
  <c r="BC402" i="5"/>
  <c r="BC414" i="5" s="1"/>
  <c r="BC411" i="5"/>
  <c r="DB231" i="5"/>
  <c r="DB211" i="5"/>
  <c r="DB186" i="5"/>
  <c r="DB184" i="5"/>
  <c r="BI443" i="5"/>
  <c r="BI442" i="5"/>
  <c r="BN378" i="5"/>
  <c r="BN380" i="5" s="1"/>
  <c r="BN354" i="5"/>
  <c r="BN351" i="5"/>
  <c r="AZ440" i="5"/>
  <c r="AZ439" i="5"/>
  <c r="BA443" i="5"/>
  <c r="BA442" i="5"/>
  <c r="BC378" i="5"/>
  <c r="BC380" i="5" s="1"/>
  <c r="BC351" i="5"/>
  <c r="BC354" i="5"/>
  <c r="BE356" i="5"/>
  <c r="BE355" i="5"/>
  <c r="BN411" i="5"/>
  <c r="BN402" i="5"/>
  <c r="BN414" i="5" s="1"/>
  <c r="AZ433" i="5"/>
  <c r="AZ434" i="5"/>
  <c r="BP285" i="5"/>
  <c r="BP287" i="5" s="1"/>
  <c r="BQ281" i="5"/>
  <c r="BQ282" i="5" s="1"/>
  <c r="BB378" i="5"/>
  <c r="BB380" i="5" s="1"/>
  <c r="BB354" i="5"/>
  <c r="BB351" i="5"/>
  <c r="BF378" i="5"/>
  <c r="BF354" i="5"/>
  <c r="BF351" i="5"/>
  <c r="BG398" i="5"/>
  <c r="BG399" i="5" s="1"/>
  <c r="BG222" i="5"/>
  <c r="BG239" i="5" s="1"/>
  <c r="BT285" i="5"/>
  <c r="BT287" i="5" s="1"/>
  <c r="BU281" i="5"/>
  <c r="BU282" i="5" s="1"/>
  <c r="BA404" i="5"/>
  <c r="BA416" i="5" s="1"/>
  <c r="BA410" i="5"/>
  <c r="BA401" i="5"/>
  <c r="BA413" i="5" s="1"/>
  <c r="BI436" i="5"/>
  <c r="BI437" i="5"/>
  <c r="BE353" i="5"/>
  <c r="BE352" i="5"/>
  <c r="BN410" i="5"/>
  <c r="BN401" i="5"/>
  <c r="BN413" i="5" s="1"/>
  <c r="BI355" i="5"/>
  <c r="BK389" i="5"/>
  <c r="BK395" i="5" s="1"/>
  <c r="BK374" i="5"/>
  <c r="BK376" i="5"/>
  <c r="BK375" i="5"/>
  <c r="BK344" i="5"/>
  <c r="BK315" i="5"/>
  <c r="BK291" i="5"/>
  <c r="BK288" i="5"/>
  <c r="BK166" i="5"/>
  <c r="BK167" i="5" s="1"/>
  <c r="BH389" i="5"/>
  <c r="BH395" i="5" s="1"/>
  <c r="BH376" i="5"/>
  <c r="BH375" i="5"/>
  <c r="BH374" i="5"/>
  <c r="BH344" i="5"/>
  <c r="BH288" i="5"/>
  <c r="BH291" i="5"/>
  <c r="BH166" i="5"/>
  <c r="BH167" i="5" s="1"/>
  <c r="BB411" i="5"/>
  <c r="BB405" i="5"/>
  <c r="BB417" i="5" s="1"/>
  <c r="BB402" i="5"/>
  <c r="BB414" i="5" s="1"/>
  <c r="BI440" i="5"/>
  <c r="BI439" i="5"/>
  <c r="DL311" i="5"/>
  <c r="BX285" i="5"/>
  <c r="BX287" i="5" s="1"/>
  <c r="BY281" i="5"/>
  <c r="BY282" i="5" s="1"/>
  <c r="CC281" i="5"/>
  <c r="CC282" i="5" s="1"/>
  <c r="DG154" i="5"/>
  <c r="U19" i="301"/>
  <c r="CZ316" i="5"/>
  <c r="BJ390" i="5"/>
  <c r="BJ394" i="5" s="1"/>
  <c r="BJ294" i="5"/>
  <c r="CZ326" i="5"/>
  <c r="CY330" i="5"/>
  <c r="BE436" i="5"/>
  <c r="BE437" i="5"/>
  <c r="BI352" i="5"/>
  <c r="AZ445" i="5"/>
  <c r="AZ448" i="5"/>
  <c r="AZ446" i="5"/>
  <c r="AZ449" i="5"/>
  <c r="BL285" i="5"/>
  <c r="BL287" i="5" s="1"/>
  <c r="BM281" i="5"/>
  <c r="BM282" i="5" s="1"/>
  <c r="BM285" i="5" s="1"/>
  <c r="BM287" i="5" s="1"/>
  <c r="BG374" i="5"/>
  <c r="BG389" i="5"/>
  <c r="BG395" i="5" s="1"/>
  <c r="BG376" i="5"/>
  <c r="BG375" i="5"/>
  <c r="BG344" i="5"/>
  <c r="BG291" i="5"/>
  <c r="BG288" i="5"/>
  <c r="BG166" i="5"/>
  <c r="BG167" i="5" s="1"/>
  <c r="BE297" i="5"/>
  <c r="BE295" i="5"/>
  <c r="BF390" i="5"/>
  <c r="BF394" i="5" s="1"/>
  <c r="BF294" i="5"/>
  <c r="BF411" i="5"/>
  <c r="BF405" i="5"/>
  <c r="BF417" i="5" s="1"/>
  <c r="BF402" i="5"/>
  <c r="BF414" i="5" s="1"/>
  <c r="DA201" i="5"/>
  <c r="DA187" i="5"/>
  <c r="BA353" i="5"/>
  <c r="BA352" i="5"/>
  <c r="BJ411" i="5"/>
  <c r="BJ402" i="5"/>
  <c r="BJ414" i="5" s="1"/>
  <c r="BA436" i="5"/>
  <c r="BA437" i="5"/>
  <c r="DL154" i="5"/>
  <c r="V19" i="301"/>
  <c r="BE443" i="5"/>
  <c r="BE442" i="5"/>
  <c r="BO374" i="5"/>
  <c r="BO389" i="5"/>
  <c r="BO395" i="5" s="1"/>
  <c r="BO376" i="5"/>
  <c r="BO375" i="5"/>
  <c r="BO344" i="5"/>
  <c r="BO315" i="5"/>
  <c r="BO288" i="5"/>
  <c r="BO291" i="5"/>
  <c r="BO166" i="5"/>
  <c r="BO167" i="5" s="1"/>
  <c r="BE410" i="5"/>
  <c r="BE404" i="5"/>
  <c r="BE416" i="5" s="1"/>
  <c r="BE401" i="5"/>
  <c r="BE413" i="5" s="1"/>
  <c r="BB390" i="5"/>
  <c r="BB394" i="5" s="1"/>
  <c r="BB294" i="5"/>
  <c r="DA250" i="5"/>
  <c r="DA212" i="5"/>
  <c r="BI434" i="5"/>
  <c r="BI433" i="5"/>
  <c r="BA356" i="5"/>
  <c r="BA355" i="5"/>
  <c r="BI125" i="5"/>
  <c r="BH126" i="5"/>
  <c r="BS389" i="5"/>
  <c r="BS395" i="5" s="1"/>
  <c r="BS344" i="5"/>
  <c r="BS288" i="5"/>
  <c r="BX166" i="5"/>
  <c r="BS374" i="5"/>
  <c r="BS375" i="5"/>
  <c r="BS376" i="5"/>
  <c r="BS291" i="5"/>
  <c r="BS390" i="5" s="1"/>
  <c r="BS394" i="5" s="1"/>
  <c r="BA297" i="5"/>
  <c r="BA295" i="5"/>
  <c r="BJ354" i="5"/>
  <c r="BJ351" i="5"/>
  <c r="J45" i="301" l="1"/>
  <c r="J43" i="301"/>
  <c r="BS378" i="5"/>
  <c r="BS351" i="5"/>
  <c r="BS354" i="5"/>
  <c r="BS402" i="5"/>
  <c r="BS414" i="5" s="1"/>
  <c r="BS411" i="5"/>
  <c r="BJ353" i="5"/>
  <c r="BJ352" i="5"/>
  <c r="BS410" i="5"/>
  <c r="BS401" i="5"/>
  <c r="BS413" i="5" s="1"/>
  <c r="BX167" i="5"/>
  <c r="BX168" i="5" s="1"/>
  <c r="BH398" i="5"/>
  <c r="BH399" i="5" s="1"/>
  <c r="BH222" i="5"/>
  <c r="BH239" i="5" s="1"/>
  <c r="BB297" i="5"/>
  <c r="BB295" i="5"/>
  <c r="BE434" i="5"/>
  <c r="BE433" i="5"/>
  <c r="BO411" i="5"/>
  <c r="BO402" i="5"/>
  <c r="BO414" i="5" s="1"/>
  <c r="V16" i="301"/>
  <c r="V21" i="301"/>
  <c r="BJ442" i="5"/>
  <c r="BJ443" i="5"/>
  <c r="BG390" i="5"/>
  <c r="BG394" i="5" s="1"/>
  <c r="BG294" i="5"/>
  <c r="BG405" i="5"/>
  <c r="BG417" i="5" s="1"/>
  <c r="BG411" i="5"/>
  <c r="BG402" i="5"/>
  <c r="BG414" i="5" s="1"/>
  <c r="DA316" i="5"/>
  <c r="CC285" i="5"/>
  <c r="CC287" i="5" s="1"/>
  <c r="CD281" i="5"/>
  <c r="CD282" i="5" s="1"/>
  <c r="CH281" i="5"/>
  <c r="CH282" i="5" s="1"/>
  <c r="BK390" i="5"/>
  <c r="BK394" i="5" s="1"/>
  <c r="BK294" i="5"/>
  <c r="BN434" i="5"/>
  <c r="BN433" i="5"/>
  <c r="BU285" i="5"/>
  <c r="BU287" i="5" s="1"/>
  <c r="BV281" i="5"/>
  <c r="BV282" i="5" s="1"/>
  <c r="BF352" i="5"/>
  <c r="BF353" i="5"/>
  <c r="BB355" i="5"/>
  <c r="BB356" i="5"/>
  <c r="BN437" i="5"/>
  <c r="BN436" i="5"/>
  <c r="BC353" i="5"/>
  <c r="BC352" i="5"/>
  <c r="DB424" i="5"/>
  <c r="DB187" i="5"/>
  <c r="DB201" i="5"/>
  <c r="BC442" i="5"/>
  <c r="BC443" i="5"/>
  <c r="BJ356" i="5"/>
  <c r="BJ355" i="5"/>
  <c r="BI126" i="5"/>
  <c r="BJ125" i="5"/>
  <c r="BB410" i="5"/>
  <c r="BB404" i="5"/>
  <c r="BB416" i="5" s="1"/>
  <c r="BB401" i="5"/>
  <c r="BB413" i="5" s="1"/>
  <c r="BO351" i="5"/>
  <c r="BO354" i="5"/>
  <c r="DL218" i="5"/>
  <c r="DL155" i="5"/>
  <c r="DL156" i="5"/>
  <c r="BF437" i="5"/>
  <c r="BF436" i="5"/>
  <c r="BG378" i="5"/>
  <c r="BG351" i="5"/>
  <c r="BG354" i="5"/>
  <c r="DA326" i="5"/>
  <c r="CZ330" i="5"/>
  <c r="BY285" i="5"/>
  <c r="BY287" i="5" s="1"/>
  <c r="BZ281" i="5"/>
  <c r="BZ282" i="5" s="1"/>
  <c r="BB437" i="5"/>
  <c r="BB436" i="5"/>
  <c r="BH378" i="5"/>
  <c r="BH351" i="5"/>
  <c r="BH354" i="5"/>
  <c r="BH402" i="5"/>
  <c r="BH414" i="5" s="1"/>
  <c r="BH405" i="5"/>
  <c r="BH417" i="5" s="1"/>
  <c r="BH411" i="5"/>
  <c r="BA440" i="5"/>
  <c r="BA439" i="5"/>
  <c r="BT315" i="5"/>
  <c r="BT291" i="5"/>
  <c r="BT294" i="5" s="1"/>
  <c r="BT288" i="5"/>
  <c r="BT166" i="5"/>
  <c r="BT167" i="5" s="1"/>
  <c r="BF356" i="5"/>
  <c r="BF355" i="5"/>
  <c r="DB250" i="5"/>
  <c r="DB212" i="5"/>
  <c r="BE439" i="5"/>
  <c r="BE440" i="5"/>
  <c r="BO390" i="5"/>
  <c r="BO394" i="5" s="1"/>
  <c r="BO294" i="5"/>
  <c r="BJ437" i="5"/>
  <c r="BJ436" i="5"/>
  <c r="BF297" i="5"/>
  <c r="BF295" i="5"/>
  <c r="BM389" i="5"/>
  <c r="BM395" i="5" s="1"/>
  <c r="BM376" i="5"/>
  <c r="BM375" i="5"/>
  <c r="BM374" i="5"/>
  <c r="BM344" i="5"/>
  <c r="BM315" i="5"/>
  <c r="BN315" i="5" s="1"/>
  <c r="BM288" i="5"/>
  <c r="BM291" i="5"/>
  <c r="BM166" i="5"/>
  <c r="BM167" i="5" s="1"/>
  <c r="BJ295" i="5"/>
  <c r="BJ297" i="5"/>
  <c r="U16" i="301"/>
  <c r="U21" i="301"/>
  <c r="BX389" i="5"/>
  <c r="BX395" i="5" s="1"/>
  <c r="BX344" i="5"/>
  <c r="BX288" i="5"/>
  <c r="CC166" i="5"/>
  <c r="O47" i="301"/>
  <c r="BX375" i="5"/>
  <c r="BX291" i="5"/>
  <c r="BX390" i="5" s="1"/>
  <c r="BX394" i="5" s="1"/>
  <c r="BX374" i="5"/>
  <c r="BX376" i="5"/>
  <c r="BK351" i="5"/>
  <c r="BK354" i="5"/>
  <c r="BK411" i="5"/>
  <c r="BK402" i="5"/>
  <c r="BK414" i="5" s="1"/>
  <c r="BN439" i="5"/>
  <c r="BN440" i="5"/>
  <c r="BA434" i="5"/>
  <c r="BA433" i="5"/>
  <c r="BQ285" i="5"/>
  <c r="BQ287" i="5" s="1"/>
  <c r="BR281" i="5"/>
  <c r="BR282" i="5" s="1"/>
  <c r="BR285" i="5" s="1"/>
  <c r="BR287" i="5" s="1"/>
  <c r="BN442" i="5"/>
  <c r="BN443" i="5"/>
  <c r="BN353" i="5"/>
  <c r="BN352" i="5"/>
  <c r="DB423" i="5"/>
  <c r="DB247" i="5"/>
  <c r="BD294" i="5"/>
  <c r="BC297" i="5"/>
  <c r="BC295" i="5"/>
  <c r="BE448" i="5"/>
  <c r="BE446" i="5"/>
  <c r="BE449" i="5"/>
  <c r="BE445" i="5"/>
  <c r="BF442" i="5"/>
  <c r="BF443" i="5"/>
  <c r="BF410" i="5"/>
  <c r="BF404" i="5"/>
  <c r="BF416" i="5" s="1"/>
  <c r="BF401" i="5"/>
  <c r="BF413" i="5" s="1"/>
  <c r="BL389" i="5"/>
  <c r="BL395" i="5" s="1"/>
  <c r="BL376" i="5"/>
  <c r="BL375" i="5"/>
  <c r="BL374" i="5"/>
  <c r="BL344" i="5"/>
  <c r="BL315" i="5"/>
  <c r="BL291" i="5"/>
  <c r="BL288" i="5"/>
  <c r="BL166" i="5"/>
  <c r="BL167" i="5" s="1"/>
  <c r="BJ410" i="5"/>
  <c r="BJ401" i="5"/>
  <c r="BJ413" i="5" s="1"/>
  <c r="DG218" i="5"/>
  <c r="DG155" i="5"/>
  <c r="DG156" i="5"/>
  <c r="BB442" i="5"/>
  <c r="BB443" i="5"/>
  <c r="BH390" i="5"/>
  <c r="BH394" i="5" s="1"/>
  <c r="BH294" i="5"/>
  <c r="BA448" i="5"/>
  <c r="BA446" i="5"/>
  <c r="BA449" i="5"/>
  <c r="BA445" i="5"/>
  <c r="BB352" i="5"/>
  <c r="BB353" i="5"/>
  <c r="BP389" i="5"/>
  <c r="BP395" i="5" s="1"/>
  <c r="BP376" i="5"/>
  <c r="BP375" i="5"/>
  <c r="BP374" i="5"/>
  <c r="BP344" i="5"/>
  <c r="BP315" i="5"/>
  <c r="BP288" i="5"/>
  <c r="BP291" i="5"/>
  <c r="BP166" i="5"/>
  <c r="BP167" i="5" s="1"/>
  <c r="BC355" i="5"/>
  <c r="BC356" i="5"/>
  <c r="BN355" i="5"/>
  <c r="BN356" i="5"/>
  <c r="BC437" i="5"/>
  <c r="BC436" i="5"/>
  <c r="BC404" i="5"/>
  <c r="BC416" i="5" s="1"/>
  <c r="BC401" i="5"/>
  <c r="BC413" i="5" s="1"/>
  <c r="BC410" i="5"/>
  <c r="DW156" i="5" l="1"/>
  <c r="DV156" i="5"/>
  <c r="BP411" i="5"/>
  <c r="BP402" i="5"/>
  <c r="BP414" i="5" s="1"/>
  <c r="BF434" i="5"/>
  <c r="BF433" i="5"/>
  <c r="BR375" i="5"/>
  <c r="BR389" i="5"/>
  <c r="BR395" i="5" s="1"/>
  <c r="BR374" i="5"/>
  <c r="BR376" i="5"/>
  <c r="BR344" i="5"/>
  <c r="BR315" i="5"/>
  <c r="BS315" i="5" s="1"/>
  <c r="BR288" i="5"/>
  <c r="BR291" i="5"/>
  <c r="BR166" i="5"/>
  <c r="BR167" i="5" s="1"/>
  <c r="CC168" i="5"/>
  <c r="CC167" i="5"/>
  <c r="BM351" i="5"/>
  <c r="BM354" i="5"/>
  <c r="BY315" i="5"/>
  <c r="BY288" i="5"/>
  <c r="BY291" i="5"/>
  <c r="BY294" i="5" s="1"/>
  <c r="BY166" i="5"/>
  <c r="BY167" i="5" s="1"/>
  <c r="BC445" i="5"/>
  <c r="BC448" i="5"/>
  <c r="BC446" i="5"/>
  <c r="BC449" i="5"/>
  <c r="BP390" i="5"/>
  <c r="BP394" i="5" s="1"/>
  <c r="BP294" i="5"/>
  <c r="DG220" i="5"/>
  <c r="DG235" i="5"/>
  <c r="BL354" i="5"/>
  <c r="BL351" i="5"/>
  <c r="BL411" i="5"/>
  <c r="BL402" i="5"/>
  <c r="BL414" i="5" s="1"/>
  <c r="BD295" i="5"/>
  <c r="BD297" i="5"/>
  <c r="BD296" i="5"/>
  <c r="BD305" i="5" s="1"/>
  <c r="BQ389" i="5"/>
  <c r="BQ395" i="5" s="1"/>
  <c r="BQ376" i="5"/>
  <c r="BQ375" i="5"/>
  <c r="BQ374" i="5"/>
  <c r="BQ344" i="5"/>
  <c r="BQ315" i="5"/>
  <c r="BQ291" i="5"/>
  <c r="BQ288" i="5"/>
  <c r="BQ166" i="5"/>
  <c r="BQ167" i="5" s="1"/>
  <c r="BK355" i="5"/>
  <c r="BK356" i="5"/>
  <c r="BX410" i="5"/>
  <c r="BX401" i="5"/>
  <c r="BX413" i="5" s="1"/>
  <c r="BM390" i="5"/>
  <c r="BM394" i="5" s="1"/>
  <c r="BM294" i="5"/>
  <c r="BO297" i="5"/>
  <c r="BO295" i="5"/>
  <c r="BH443" i="5"/>
  <c r="BH442" i="5"/>
  <c r="BB439" i="5"/>
  <c r="BB440" i="5"/>
  <c r="BI398" i="5"/>
  <c r="BI399" i="5" s="1"/>
  <c r="BI222" i="5"/>
  <c r="BI239" i="5" s="1"/>
  <c r="BV285" i="5"/>
  <c r="BV287" i="5" s="1"/>
  <c r="BW281" i="5"/>
  <c r="BW282" i="5" s="1"/>
  <c r="BW285" i="5" s="1"/>
  <c r="BW287" i="5" s="1"/>
  <c r="BK297" i="5"/>
  <c r="BK295" i="5"/>
  <c r="CD285" i="5"/>
  <c r="CD287" i="5" s="1"/>
  <c r="CE281" i="5"/>
  <c r="CE282" i="5" s="1"/>
  <c r="BG297" i="5"/>
  <c r="BG295" i="5"/>
  <c r="V22" i="301"/>
  <c r="BJ434" i="5"/>
  <c r="BJ433" i="5"/>
  <c r="BJ439" i="5"/>
  <c r="BJ440" i="5"/>
  <c r="BF439" i="5"/>
  <c r="BF440" i="5"/>
  <c r="BK442" i="5"/>
  <c r="BK443" i="5"/>
  <c r="BK352" i="5"/>
  <c r="BK353" i="5"/>
  <c r="BX378" i="5"/>
  <c r="BX351" i="5"/>
  <c r="BX354" i="5"/>
  <c r="BO410" i="5"/>
  <c r="BO401" i="5"/>
  <c r="BO413" i="5" s="1"/>
  <c r="BH356" i="5"/>
  <c r="BH355" i="5"/>
  <c r="DB326" i="5"/>
  <c r="DA330" i="5"/>
  <c r="DL235" i="5"/>
  <c r="DL220" i="5"/>
  <c r="BB449" i="5"/>
  <c r="BB445" i="5"/>
  <c r="BB448" i="5"/>
  <c r="BB446" i="5"/>
  <c r="BU315" i="5"/>
  <c r="BU291" i="5"/>
  <c r="BU294" i="5" s="1"/>
  <c r="BU288" i="5"/>
  <c r="BU166" i="5"/>
  <c r="BU167" i="5" s="1"/>
  <c r="BK410" i="5"/>
  <c r="BK401" i="5"/>
  <c r="BK413" i="5" s="1"/>
  <c r="CC389" i="5"/>
  <c r="CC395" i="5" s="1"/>
  <c r="CC344" i="5"/>
  <c r="CC288" i="5"/>
  <c r="P47" i="301"/>
  <c r="CC291" i="5"/>
  <c r="CC390" i="5" s="1"/>
  <c r="CC394" i="5" s="1"/>
  <c r="CC375" i="5"/>
  <c r="CC376" i="5"/>
  <c r="CC374" i="5"/>
  <c r="BG442" i="5"/>
  <c r="BG443" i="5"/>
  <c r="BG404" i="5"/>
  <c r="BG416" i="5" s="1"/>
  <c r="BG401" i="5"/>
  <c r="BG413" i="5" s="1"/>
  <c r="BG410" i="5"/>
  <c r="BS355" i="5"/>
  <c r="BS356" i="5"/>
  <c r="BH404" i="5"/>
  <c r="BH416" i="5" s="1"/>
  <c r="BH401" i="5"/>
  <c r="BH413" i="5" s="1"/>
  <c r="BH410" i="5"/>
  <c r="U22" i="301"/>
  <c r="BC434" i="5"/>
  <c r="BC433" i="5"/>
  <c r="BI294" i="5"/>
  <c r="BH297" i="5"/>
  <c r="BH295" i="5"/>
  <c r="DG224" i="5"/>
  <c r="DG178" i="5"/>
  <c r="DG160" i="5"/>
  <c r="DG157" i="5"/>
  <c r="BL390" i="5"/>
  <c r="BL394" i="5" s="1"/>
  <c r="BL294" i="5"/>
  <c r="BF449" i="5"/>
  <c r="BF445" i="5"/>
  <c r="BF448" i="5"/>
  <c r="BF446" i="5"/>
  <c r="BK437" i="5"/>
  <c r="BK436" i="5"/>
  <c r="O48" i="301"/>
  <c r="O59" i="301"/>
  <c r="O55" i="301"/>
  <c r="O58" i="301"/>
  <c r="O60" i="301"/>
  <c r="BX402" i="5"/>
  <c r="BX414" i="5" s="1"/>
  <c r="BX411" i="5"/>
  <c r="BT297" i="5"/>
  <c r="BT295" i="5"/>
  <c r="BH436" i="5"/>
  <c r="BH437" i="5"/>
  <c r="BH352" i="5"/>
  <c r="BH353" i="5"/>
  <c r="CA281" i="5"/>
  <c r="CA282" i="5" s="1"/>
  <c r="BZ285" i="5"/>
  <c r="BZ287" i="5" s="1"/>
  <c r="BG355" i="5"/>
  <c r="BG356" i="5"/>
  <c r="BO355" i="5"/>
  <c r="BO356" i="5"/>
  <c r="BB434" i="5"/>
  <c r="BB433" i="5"/>
  <c r="BG437" i="5"/>
  <c r="BG436" i="5"/>
  <c r="BO442" i="5"/>
  <c r="BO443" i="5"/>
  <c r="BS353" i="5"/>
  <c r="BS352" i="5"/>
  <c r="BC440" i="5"/>
  <c r="BC439" i="5"/>
  <c r="BP351" i="5"/>
  <c r="BP354" i="5"/>
  <c r="BM402" i="5"/>
  <c r="BM414" i="5" s="1"/>
  <c r="BM411" i="5"/>
  <c r="BG352" i="5"/>
  <c r="BG353" i="5"/>
  <c r="DL224" i="5"/>
  <c r="DL178" i="5"/>
  <c r="DL160" i="5"/>
  <c r="DL157" i="5"/>
  <c r="BO353" i="5"/>
  <c r="BO352" i="5"/>
  <c r="BK125" i="5"/>
  <c r="BJ126" i="5"/>
  <c r="CH285" i="5"/>
  <c r="CH287" i="5" s="1"/>
  <c r="CI281" i="5"/>
  <c r="CI282" i="5" s="1"/>
  <c r="CM281" i="5"/>
  <c r="CM282" i="5" s="1"/>
  <c r="DB316" i="5"/>
  <c r="BO437" i="5"/>
  <c r="BO436" i="5"/>
  <c r="CJ281" i="5" l="1"/>
  <c r="CJ282" i="5" s="1"/>
  <c r="CI285" i="5"/>
  <c r="CI287" i="5" s="1"/>
  <c r="DL230" i="5"/>
  <c r="DL181" i="5"/>
  <c r="DL179" i="5"/>
  <c r="DL82" i="5"/>
  <c r="BM436" i="5"/>
  <c r="BM437" i="5"/>
  <c r="BP352" i="5"/>
  <c r="BP353" i="5"/>
  <c r="CA285" i="5"/>
  <c r="CA287" i="5" s="1"/>
  <c r="CB281" i="5"/>
  <c r="CB282" i="5" s="1"/>
  <c r="CB285" i="5" s="1"/>
  <c r="CB287" i="5" s="1"/>
  <c r="DG161" i="5"/>
  <c r="I48" i="301"/>
  <c r="BH440" i="5"/>
  <c r="BH439" i="5"/>
  <c r="BG433" i="5"/>
  <c r="BG434" i="5"/>
  <c r="CC401" i="5"/>
  <c r="CC413" i="5" s="1"/>
  <c r="CC410" i="5"/>
  <c r="CC378" i="5"/>
  <c r="CC351" i="5"/>
  <c r="CC354" i="5"/>
  <c r="DB330" i="5"/>
  <c r="BO433" i="5"/>
  <c r="BO434" i="5"/>
  <c r="V56" i="301"/>
  <c r="CF281" i="5"/>
  <c r="CF282" i="5" s="1"/>
  <c r="CE285" i="5"/>
  <c r="CE287" i="5" s="1"/>
  <c r="BW315" i="5"/>
  <c r="BX315" i="5" s="1"/>
  <c r="BW288" i="5"/>
  <c r="BW291" i="5"/>
  <c r="BW294" i="5" s="1"/>
  <c r="BW166" i="5"/>
  <c r="BW167" i="5" s="1"/>
  <c r="BL352" i="5"/>
  <c r="BL353" i="5"/>
  <c r="BP297" i="5"/>
  <c r="BP295" i="5"/>
  <c r="CH389" i="5"/>
  <c r="CH395" i="5" s="1"/>
  <c r="CH344" i="5"/>
  <c r="CH288" i="5"/>
  <c r="CH291" i="5"/>
  <c r="CH390" i="5" s="1"/>
  <c r="CH394" i="5" s="1"/>
  <c r="Q47" i="301"/>
  <c r="CH376" i="5"/>
  <c r="CH374" i="5"/>
  <c r="CH375" i="5"/>
  <c r="DL420" i="5"/>
  <c r="DL366" i="5"/>
  <c r="DL358" i="5"/>
  <c r="DL362" i="5"/>
  <c r="DL240" i="5"/>
  <c r="DL370" i="5"/>
  <c r="BL297" i="5"/>
  <c r="BL295" i="5"/>
  <c r="DG230" i="5"/>
  <c r="DG179" i="5"/>
  <c r="DG181" i="5"/>
  <c r="DG82" i="5"/>
  <c r="BI295" i="5"/>
  <c r="BI297" i="5"/>
  <c r="BI296" i="5"/>
  <c r="BI305" i="5" s="1"/>
  <c r="BH445" i="5"/>
  <c r="BH448" i="5"/>
  <c r="BH446" i="5"/>
  <c r="BH449" i="5"/>
  <c r="BG440" i="5"/>
  <c r="BG439" i="5"/>
  <c r="P48" i="301"/>
  <c r="P60" i="301"/>
  <c r="P58" i="301"/>
  <c r="P59" i="301"/>
  <c r="P55" i="301"/>
  <c r="CC402" i="5"/>
  <c r="CC414" i="5" s="1"/>
  <c r="CC411" i="5"/>
  <c r="DL237" i="5"/>
  <c r="DL303" i="5"/>
  <c r="DL319" i="5"/>
  <c r="DL310" i="5"/>
  <c r="DL312" i="5" s="1"/>
  <c r="CD315" i="5"/>
  <c r="CD291" i="5"/>
  <c r="CD294" i="5" s="1"/>
  <c r="CD288" i="5"/>
  <c r="CD166" i="5"/>
  <c r="CD167" i="5" s="1"/>
  <c r="BV315" i="5"/>
  <c r="BV291" i="5"/>
  <c r="BV294" i="5" s="1"/>
  <c r="BV288" i="5"/>
  <c r="BV166" i="5"/>
  <c r="BV167" i="5" s="1"/>
  <c r="BQ354" i="5"/>
  <c r="BQ351" i="5"/>
  <c r="BQ402" i="5"/>
  <c r="BQ414" i="5" s="1"/>
  <c r="BQ411" i="5"/>
  <c r="BL356" i="5"/>
  <c r="BL355" i="5"/>
  <c r="BP410" i="5"/>
  <c r="BP401" i="5"/>
  <c r="BP413" i="5" s="1"/>
  <c r="BR411" i="5"/>
  <c r="BR402" i="5"/>
  <c r="BR414" i="5" s="1"/>
  <c r="BJ398" i="5"/>
  <c r="BJ399" i="5" s="1"/>
  <c r="BJ222" i="5"/>
  <c r="BJ239" i="5" s="1"/>
  <c r="DL225" i="5"/>
  <c r="DL162" i="5"/>
  <c r="DL158" i="5"/>
  <c r="BM443" i="5"/>
  <c r="BM442" i="5"/>
  <c r="BL401" i="5"/>
  <c r="BL413" i="5" s="1"/>
  <c r="BL410" i="5"/>
  <c r="DG420" i="5"/>
  <c r="DG358" i="5"/>
  <c r="DG366" i="5"/>
  <c r="DG362" i="5"/>
  <c r="DG240" i="5"/>
  <c r="DG370" i="5"/>
  <c r="G17" i="301"/>
  <c r="U56" i="301"/>
  <c r="BG445" i="5"/>
  <c r="BG448" i="5"/>
  <c r="BG446" i="5"/>
  <c r="BG449" i="5"/>
  <c r="CH166" i="5"/>
  <c r="BK440" i="5"/>
  <c r="BK439" i="5"/>
  <c r="BX355" i="5"/>
  <c r="BX356" i="5"/>
  <c r="BN294" i="5"/>
  <c r="BM297" i="5"/>
  <c r="BM295" i="5"/>
  <c r="BD332" i="5"/>
  <c r="BD353" i="5"/>
  <c r="BD356" i="5"/>
  <c r="BL443" i="5"/>
  <c r="BL442" i="5"/>
  <c r="BM355" i="5"/>
  <c r="BM356" i="5"/>
  <c r="BR354" i="5"/>
  <c r="BR351" i="5"/>
  <c r="BP443" i="5"/>
  <c r="BP442" i="5"/>
  <c r="CM285" i="5"/>
  <c r="CM287" i="5" s="1"/>
  <c r="CM166" i="5" s="1"/>
  <c r="CR281" i="5"/>
  <c r="CR282" i="5" s="1"/>
  <c r="CR285" i="5" s="1"/>
  <c r="CR287" i="5" s="1"/>
  <c r="CN281" i="5"/>
  <c r="CN282" i="5" s="1"/>
  <c r="CS281" i="5"/>
  <c r="CS282" i="5" s="1"/>
  <c r="CW281" i="5"/>
  <c r="CW282" i="5" s="1"/>
  <c r="BL125" i="5"/>
  <c r="BK126" i="5"/>
  <c r="DL161" i="5"/>
  <c r="J48" i="301"/>
  <c r="BP356" i="5"/>
  <c r="BP355" i="5"/>
  <c r="BZ315" i="5"/>
  <c r="BZ288" i="5"/>
  <c r="BZ291" i="5"/>
  <c r="BZ294" i="5" s="1"/>
  <c r="BZ166" i="5"/>
  <c r="BZ167" i="5" s="1"/>
  <c r="DG225" i="5"/>
  <c r="DG162" i="5"/>
  <c r="DG158" i="5"/>
  <c r="BH433" i="5"/>
  <c r="BH434" i="5"/>
  <c r="BK434" i="5"/>
  <c r="BK433" i="5"/>
  <c r="BU297" i="5"/>
  <c r="BU295" i="5"/>
  <c r="BO440" i="5"/>
  <c r="BO439" i="5"/>
  <c r="BX353" i="5"/>
  <c r="BX352" i="5"/>
  <c r="BI404" i="5"/>
  <c r="BI416" i="5" s="1"/>
  <c r="BI405" i="5"/>
  <c r="BI417" i="5" s="1"/>
  <c r="BM401" i="5"/>
  <c r="BM413" i="5" s="1"/>
  <c r="BM410" i="5"/>
  <c r="BQ390" i="5"/>
  <c r="BQ394" i="5" s="1"/>
  <c r="BQ294" i="5"/>
  <c r="BL437" i="5"/>
  <c r="BL436" i="5"/>
  <c r="DG237" i="5"/>
  <c r="DG303" i="5"/>
  <c r="DG319" i="5"/>
  <c r="DG310" i="5"/>
  <c r="DG312" i="5" s="1"/>
  <c r="BY297" i="5"/>
  <c r="BY295" i="5"/>
  <c r="BM353" i="5"/>
  <c r="BM352" i="5"/>
  <c r="BR390" i="5"/>
  <c r="BR394" i="5" s="1"/>
  <c r="BR294" i="5"/>
  <c r="BP436" i="5"/>
  <c r="BP437" i="5"/>
  <c r="DL183" i="5" l="1"/>
  <c r="CM167" i="5"/>
  <c r="CM168" i="5" s="1"/>
  <c r="BS294" i="5"/>
  <c r="BR297" i="5"/>
  <c r="BR295" i="5"/>
  <c r="BQ297" i="5"/>
  <c r="BQ295" i="5"/>
  <c r="BM440" i="5"/>
  <c r="BM439" i="5"/>
  <c r="DG425" i="5"/>
  <c r="DG360" i="5"/>
  <c r="DG368" i="5"/>
  <c r="DG364" i="5"/>
  <c r="DG241" i="5"/>
  <c r="DG372" i="5"/>
  <c r="CS285" i="5"/>
  <c r="CS287" i="5" s="1"/>
  <c r="CT281" i="5"/>
  <c r="CT282" i="5" s="1"/>
  <c r="F17" i="301"/>
  <c r="F21" i="301" s="1"/>
  <c r="F24" i="301" s="1"/>
  <c r="G21" i="301"/>
  <c r="G24" i="301" s="1"/>
  <c r="H17" i="301"/>
  <c r="H21" i="301" s="1"/>
  <c r="H24" i="301" s="1"/>
  <c r="BJ405" i="5"/>
  <c r="BJ417" i="5" s="1"/>
  <c r="BJ404" i="5"/>
  <c r="BJ416" i="5" s="1"/>
  <c r="BP433" i="5"/>
  <c r="BP434" i="5"/>
  <c r="BQ436" i="5"/>
  <c r="BQ437" i="5"/>
  <c r="BX294" i="5"/>
  <c r="BW295" i="5"/>
  <c r="BW297" i="5"/>
  <c r="CF285" i="5"/>
  <c r="CF287" i="5" s="1"/>
  <c r="CG281" i="5"/>
  <c r="CG282" i="5" s="1"/>
  <c r="CG285" i="5" s="1"/>
  <c r="CG287" i="5" s="1"/>
  <c r="CC353" i="5"/>
  <c r="CC352" i="5"/>
  <c r="CA315" i="5"/>
  <c r="CA291" i="5"/>
  <c r="CA294" i="5" s="1"/>
  <c r="CA288" i="5"/>
  <c r="CA166" i="5"/>
  <c r="CA167" i="5" s="1"/>
  <c r="BR410" i="5"/>
  <c r="BR401" i="5"/>
  <c r="BR413" i="5" s="1"/>
  <c r="BQ401" i="5"/>
  <c r="BQ413" i="5" s="1"/>
  <c r="BQ410" i="5"/>
  <c r="BK398" i="5"/>
  <c r="BK399" i="5" s="1"/>
  <c r="BK222" i="5"/>
  <c r="BK239" i="5" s="1"/>
  <c r="CO281" i="5"/>
  <c r="CO282" i="5" s="1"/>
  <c r="CN285" i="5"/>
  <c r="CN287" i="5" s="1"/>
  <c r="BN295" i="5"/>
  <c r="BN297" i="5"/>
  <c r="BL440" i="5"/>
  <c r="BL439" i="5"/>
  <c r="DL163" i="5"/>
  <c r="J49" i="301"/>
  <c r="BR437" i="5"/>
  <c r="BR436" i="5"/>
  <c r="BQ442" i="5"/>
  <c r="BQ443" i="5"/>
  <c r="DG422" i="5"/>
  <c r="DG246" i="5"/>
  <c r="Q48" i="301"/>
  <c r="Q58" i="301"/>
  <c r="Q60" i="301"/>
  <c r="E56" i="301"/>
  <c r="Q59" i="301"/>
  <c r="Q55" i="301"/>
  <c r="CH378" i="5"/>
  <c r="CH351" i="5"/>
  <c r="CH354" i="5"/>
  <c r="T53" i="301"/>
  <c r="H50" i="301" s="1"/>
  <c r="DL422" i="5"/>
  <c r="DL246" i="5"/>
  <c r="BM434" i="5"/>
  <c r="BM433" i="5"/>
  <c r="BI448" i="5"/>
  <c r="BI446" i="5"/>
  <c r="BI449" i="5"/>
  <c r="BI445" i="5"/>
  <c r="BZ297" i="5"/>
  <c r="BZ295" i="5"/>
  <c r="BL126" i="5"/>
  <c r="BM125" i="5"/>
  <c r="CR389" i="5"/>
  <c r="CR395" i="5" s="1"/>
  <c r="CR344" i="5"/>
  <c r="CR288" i="5"/>
  <c r="CR375" i="5"/>
  <c r="CR376" i="5"/>
  <c r="CR374" i="5"/>
  <c r="CR291" i="5"/>
  <c r="CR390" i="5" s="1"/>
  <c r="CR394" i="5" s="1"/>
  <c r="BR352" i="5"/>
  <c r="BR353" i="5"/>
  <c r="CH168" i="5"/>
  <c r="CH167" i="5"/>
  <c r="DL425" i="5"/>
  <c r="DL364" i="5"/>
  <c r="DL360" i="5"/>
  <c r="DL368" i="5"/>
  <c r="DL241" i="5"/>
  <c r="DL372" i="5"/>
  <c r="BQ353" i="5"/>
  <c r="BQ352" i="5"/>
  <c r="BV297" i="5"/>
  <c r="BV295" i="5"/>
  <c r="CD297" i="5"/>
  <c r="CD295" i="5"/>
  <c r="BI332" i="5"/>
  <c r="BI353" i="5"/>
  <c r="BI356" i="5"/>
  <c r="DG254" i="5"/>
  <c r="DX214" i="5"/>
  <c r="DX249" i="5" s="1"/>
  <c r="DX250" i="5" s="1"/>
  <c r="U25" i="301"/>
  <c r="U27" i="301" s="1"/>
  <c r="U29" i="301" s="1"/>
  <c r="I55" i="301" s="1"/>
  <c r="CH402" i="5"/>
  <c r="CH414" i="5" s="1"/>
  <c r="CH411" i="5"/>
  <c r="CI315" i="5"/>
  <c r="CI288" i="5"/>
  <c r="CI291" i="5"/>
  <c r="CI294" i="5" s="1"/>
  <c r="CI166" i="5"/>
  <c r="CI167" i="5" s="1"/>
  <c r="DG163" i="5"/>
  <c r="I49" i="301"/>
  <c r="CW285" i="5"/>
  <c r="CW287" i="5" s="1"/>
  <c r="CX281" i="5"/>
  <c r="CX282" i="5" s="1"/>
  <c r="DB281" i="5"/>
  <c r="CM389" i="5"/>
  <c r="CM395" i="5" s="1"/>
  <c r="CM344" i="5"/>
  <c r="CM288" i="5"/>
  <c r="CW166" i="5"/>
  <c r="CR166" i="5"/>
  <c r="R47" i="301"/>
  <c r="CM375" i="5"/>
  <c r="CM291" i="5"/>
  <c r="CM390" i="5" s="1"/>
  <c r="CM394" i="5" s="1"/>
  <c r="CM374" i="5"/>
  <c r="CM376" i="5"/>
  <c r="BR355" i="5"/>
  <c r="BR356" i="5"/>
  <c r="BL433" i="5"/>
  <c r="BL434" i="5"/>
  <c r="BR442" i="5"/>
  <c r="BR443" i="5"/>
  <c r="BP440" i="5"/>
  <c r="BP439" i="5"/>
  <c r="BQ356" i="5"/>
  <c r="BQ355" i="5"/>
  <c r="DG183" i="5"/>
  <c r="CH410" i="5"/>
  <c r="CH401" i="5"/>
  <c r="CH413" i="5" s="1"/>
  <c r="CE315" i="5"/>
  <c r="CE291" i="5"/>
  <c r="CE294" i="5" s="1"/>
  <c r="CE288" i="5"/>
  <c r="CE166" i="5"/>
  <c r="CE167" i="5" s="1"/>
  <c r="CC356" i="5"/>
  <c r="CC355" i="5"/>
  <c r="CB315" i="5"/>
  <c r="CC315" i="5" s="1"/>
  <c r="CB288" i="5"/>
  <c r="CB291" i="5"/>
  <c r="CB294" i="5" s="1"/>
  <c r="CB166" i="5"/>
  <c r="CB167" i="5" s="1"/>
  <c r="DL254" i="5"/>
  <c r="DY214" i="5"/>
  <c r="DY249" i="5" s="1"/>
  <c r="V25" i="301"/>
  <c r="CJ285" i="5"/>
  <c r="CJ287" i="5" s="1"/>
  <c r="CK281" i="5"/>
  <c r="CK282" i="5" s="1"/>
  <c r="V27" i="301" l="1"/>
  <c r="V29" i="301" s="1"/>
  <c r="J55" i="301" s="1"/>
  <c r="DL211" i="5"/>
  <c r="DL250" i="5" s="1"/>
  <c r="DL231" i="5"/>
  <c r="DL247" i="5" s="1"/>
  <c r="DL184" i="5"/>
  <c r="DL186" i="5"/>
  <c r="CC294" i="5"/>
  <c r="CB295" i="5"/>
  <c r="CG295" i="5" s="1"/>
  <c r="CB297" i="5"/>
  <c r="DG231" i="5"/>
  <c r="DG211" i="5"/>
  <c r="DG184" i="5"/>
  <c r="DG186" i="5"/>
  <c r="CR168" i="5"/>
  <c r="CR167" i="5"/>
  <c r="CM402" i="5"/>
  <c r="CM414" i="5" s="1"/>
  <c r="CM411" i="5"/>
  <c r="CR378" i="5"/>
  <c r="CR354" i="5"/>
  <c r="CR351" i="5"/>
  <c r="CH355" i="5"/>
  <c r="BK405" i="5"/>
  <c r="BK417" i="5" s="1"/>
  <c r="BK404" i="5"/>
  <c r="BK416" i="5" s="1"/>
  <c r="BR439" i="5"/>
  <c r="BR440" i="5"/>
  <c r="CS315" i="5"/>
  <c r="CS288" i="5"/>
  <c r="CS291" i="5"/>
  <c r="CS294" i="5" s="1"/>
  <c r="CS166" i="5"/>
  <c r="CS167" i="5" s="1"/>
  <c r="CM410" i="5"/>
  <c r="CM401" i="5"/>
  <c r="CM413" i="5" s="1"/>
  <c r="CW167" i="5"/>
  <c r="CW168" i="5" s="1"/>
  <c r="CR402" i="5"/>
  <c r="CR414" i="5" s="1"/>
  <c r="CR411" i="5"/>
  <c r="CH352" i="5"/>
  <c r="CN315" i="5"/>
  <c r="CN291" i="5"/>
  <c r="CN294" i="5" s="1"/>
  <c r="CN288" i="5"/>
  <c r="CN166" i="5"/>
  <c r="CN167" i="5" s="1"/>
  <c r="BQ434" i="5"/>
  <c r="BQ433" i="5"/>
  <c r="CA297" i="5"/>
  <c r="CA295" i="5"/>
  <c r="CG315" i="5"/>
  <c r="CH315" i="5" s="1"/>
  <c r="CG288" i="5"/>
  <c r="CG291" i="5"/>
  <c r="CG294" i="5" s="1"/>
  <c r="CG166" i="5"/>
  <c r="CG167" i="5" s="1"/>
  <c r="BX295" i="5"/>
  <c r="BX297" i="5"/>
  <c r="BS297" i="5"/>
  <c r="BS295" i="5"/>
  <c r="CK285" i="5"/>
  <c r="CK287" i="5" s="1"/>
  <c r="CL281" i="5"/>
  <c r="CL282" i="5" s="1"/>
  <c r="CL285" i="5" s="1"/>
  <c r="CL287" i="5" s="1"/>
  <c r="CY281" i="5"/>
  <c r="CX285" i="5"/>
  <c r="CX287" i="5" s="1"/>
  <c r="DY250" i="5"/>
  <c r="BN125" i="5"/>
  <c r="BM126" i="5"/>
  <c r="CO285" i="5"/>
  <c r="CO287" i="5" s="1"/>
  <c r="CP281" i="5"/>
  <c r="CP282" i="5" s="1"/>
  <c r="BR434" i="5"/>
  <c r="BR433" i="5"/>
  <c r="CF315" i="5"/>
  <c r="CF291" i="5"/>
  <c r="CF294" i="5" s="1"/>
  <c r="CF288" i="5"/>
  <c r="CF166" i="5"/>
  <c r="CF167" i="5" s="1"/>
  <c r="BJ449" i="5"/>
  <c r="BJ445" i="5"/>
  <c r="BJ448" i="5"/>
  <c r="BJ446" i="5"/>
  <c r="CJ315" i="5"/>
  <c r="CJ288" i="5"/>
  <c r="CJ291" i="5"/>
  <c r="CJ294" i="5" s="1"/>
  <c r="CJ166" i="5"/>
  <c r="CJ167" i="5" s="1"/>
  <c r="CE297" i="5"/>
  <c r="CE295" i="5"/>
  <c r="R60" i="301"/>
  <c r="R55" i="301"/>
  <c r="R58" i="301"/>
  <c r="F56" i="301"/>
  <c r="R48" i="301"/>
  <c r="R59" i="301"/>
  <c r="CM378" i="5"/>
  <c r="CM351" i="5"/>
  <c r="CM354" i="5"/>
  <c r="CW389" i="5"/>
  <c r="CW395" i="5" s="1"/>
  <c r="CW344" i="5"/>
  <c r="CW288" i="5"/>
  <c r="S47" i="301"/>
  <c r="CW374" i="5"/>
  <c r="CW376" i="5"/>
  <c r="CW291" i="5"/>
  <c r="CW390" i="5" s="1"/>
  <c r="CW394" i="5" s="1"/>
  <c r="CW375" i="5"/>
  <c r="CI297" i="5"/>
  <c r="CI295" i="5"/>
  <c r="CR410" i="5"/>
  <c r="CR401" i="5"/>
  <c r="CR413" i="5" s="1"/>
  <c r="BL398" i="5"/>
  <c r="BL399" i="5" s="1"/>
  <c r="BL222" i="5"/>
  <c r="BL239" i="5" s="1"/>
  <c r="BQ439" i="5"/>
  <c r="BQ440" i="5"/>
  <c r="CT285" i="5"/>
  <c r="CT287" i="5" s="1"/>
  <c r="CU281" i="5"/>
  <c r="CU282" i="5" s="1"/>
  <c r="DL423" i="5" l="1"/>
  <c r="DL212" i="5"/>
  <c r="DL201" i="5"/>
  <c r="DL424" i="5"/>
  <c r="DL187" i="5"/>
  <c r="CW401" i="5"/>
  <c r="CW413" i="5" s="1"/>
  <c r="CW410" i="5"/>
  <c r="CM355" i="5"/>
  <c r="CJ297" i="5"/>
  <c r="CJ295" i="5"/>
  <c r="CP285" i="5"/>
  <c r="CP287" i="5" s="1"/>
  <c r="CQ281" i="5"/>
  <c r="CQ282" i="5" s="1"/>
  <c r="CQ285" i="5" s="1"/>
  <c r="CQ287" i="5" s="1"/>
  <c r="CK315" i="5"/>
  <c r="CK291" i="5"/>
  <c r="CK294" i="5" s="1"/>
  <c r="CK288" i="5"/>
  <c r="CK166" i="5"/>
  <c r="CK167" i="5" s="1"/>
  <c r="CS297" i="5"/>
  <c r="CS295" i="5"/>
  <c r="DG423" i="5"/>
  <c r="DG247" i="5"/>
  <c r="CM352" i="5"/>
  <c r="CO315" i="5"/>
  <c r="CO291" i="5"/>
  <c r="CO294" i="5" s="1"/>
  <c r="CO288" i="5"/>
  <c r="CO166" i="5"/>
  <c r="CO167" i="5" s="1"/>
  <c r="CX315" i="5"/>
  <c r="CX288" i="5"/>
  <c r="CX291" i="5"/>
  <c r="CX294" i="5" s="1"/>
  <c r="CX166" i="5"/>
  <c r="CX167" i="5" s="1"/>
  <c r="BK445" i="5"/>
  <c r="BK448" i="5"/>
  <c r="BK446" i="5"/>
  <c r="BK449" i="5"/>
  <c r="CR352" i="5"/>
  <c r="DG424" i="5"/>
  <c r="DG187" i="5"/>
  <c r="DG201" i="5"/>
  <c r="CU285" i="5"/>
  <c r="CU287" i="5" s="1"/>
  <c r="CV281" i="5"/>
  <c r="CV282" i="5" s="1"/>
  <c r="CV285" i="5" s="1"/>
  <c r="CV287" i="5" s="1"/>
  <c r="CW378" i="5"/>
  <c r="CW354" i="5"/>
  <c r="CW351" i="5"/>
  <c r="CF297" i="5"/>
  <c r="CF295" i="5"/>
  <c r="BM398" i="5"/>
  <c r="BM399" i="5" s="1"/>
  <c r="BM222" i="5"/>
  <c r="BM239" i="5" s="1"/>
  <c r="CN297" i="5"/>
  <c r="CN295" i="5"/>
  <c r="CR355" i="5"/>
  <c r="CT315" i="5"/>
  <c r="CT288" i="5"/>
  <c r="CT291" i="5"/>
  <c r="CT294" i="5" s="1"/>
  <c r="CT166" i="5"/>
  <c r="CT167" i="5" s="1"/>
  <c r="BL405" i="5"/>
  <c r="BL417" i="5" s="1"/>
  <c r="BL404" i="5"/>
  <c r="BL416" i="5" s="1"/>
  <c r="S48" i="301"/>
  <c r="S59" i="301"/>
  <c r="S55" i="301"/>
  <c r="S58" i="301"/>
  <c r="S60" i="301"/>
  <c r="G56" i="301"/>
  <c r="CW411" i="5"/>
  <c r="CW402" i="5"/>
  <c r="CW414" i="5" s="1"/>
  <c r="BN126" i="5"/>
  <c r="BO125" i="5"/>
  <c r="CL315" i="5"/>
  <c r="CM315" i="5" s="1"/>
  <c r="CL288" i="5"/>
  <c r="CL291" i="5"/>
  <c r="CL294" i="5" s="1"/>
  <c r="CL166" i="5"/>
  <c r="CL167" i="5" s="1"/>
  <c r="CH294" i="5"/>
  <c r="CG297" i="5"/>
  <c r="DG250" i="5"/>
  <c r="DG326" i="5" s="1"/>
  <c r="DG212" i="5"/>
  <c r="CC295" i="5"/>
  <c r="CC297" i="5"/>
  <c r="CH297" i="5" l="1"/>
  <c r="CH296" i="5"/>
  <c r="CH305" i="5" s="1"/>
  <c r="CH295" i="5"/>
  <c r="BL445" i="5"/>
  <c r="BL448" i="5"/>
  <c r="BL446" i="5"/>
  <c r="BL449" i="5"/>
  <c r="BM405" i="5"/>
  <c r="BM417" i="5" s="1"/>
  <c r="BM404" i="5"/>
  <c r="BM416" i="5" s="1"/>
  <c r="CW355" i="5"/>
  <c r="CP315" i="5"/>
  <c r="CP291" i="5"/>
  <c r="CP294" i="5" s="1"/>
  <c r="CP288" i="5"/>
  <c r="CP166" i="5"/>
  <c r="CP167" i="5" s="1"/>
  <c r="BP125" i="5"/>
  <c r="BO126" i="5"/>
  <c r="CK297" i="5"/>
  <c r="CK295" i="5"/>
  <c r="DL326" i="5"/>
  <c r="DL330" i="5" s="1"/>
  <c r="DG330" i="5"/>
  <c r="CM294" i="5"/>
  <c r="CL297" i="5"/>
  <c r="CL295" i="5"/>
  <c r="BN398" i="5"/>
  <c r="BN399" i="5" s="1"/>
  <c r="BN222" i="5"/>
  <c r="BN239" i="5" s="1"/>
  <c r="CV315" i="5"/>
  <c r="CW315" i="5" s="1"/>
  <c r="CV288" i="5"/>
  <c r="CV291" i="5"/>
  <c r="CV294" i="5" s="1"/>
  <c r="CV166" i="5"/>
  <c r="CV167" i="5" s="1"/>
  <c r="CX297" i="5"/>
  <c r="CX295" i="5"/>
  <c r="CT297" i="5"/>
  <c r="CT295" i="5"/>
  <c r="CW352" i="5"/>
  <c r="CU315" i="5"/>
  <c r="CU291" i="5"/>
  <c r="CU294" i="5" s="1"/>
  <c r="CU288" i="5"/>
  <c r="CU166" i="5"/>
  <c r="CU167" i="5" s="1"/>
  <c r="CO297" i="5"/>
  <c r="CO295" i="5"/>
  <c r="CY295" i="5" s="1"/>
  <c r="CY294" i="5" s="1"/>
  <c r="CQ315" i="5"/>
  <c r="CR315" i="5" s="1"/>
  <c r="CQ288" i="5"/>
  <c r="CQ291" i="5"/>
  <c r="CQ294" i="5" s="1"/>
  <c r="CQ166" i="5"/>
  <c r="CQ167" i="5" s="1"/>
  <c r="V53" i="301" l="1"/>
  <c r="J50" i="301" s="1"/>
  <c r="BQ125" i="5"/>
  <c r="BP126" i="5"/>
  <c r="CY297" i="5"/>
  <c r="CU297" i="5"/>
  <c r="CU295" i="5"/>
  <c r="CM296" i="5"/>
  <c r="CM305" i="5" s="1"/>
  <c r="CM295" i="5"/>
  <c r="CM297" i="5"/>
  <c r="CH332" i="5"/>
  <c r="CH356" i="5"/>
  <c r="CH353" i="5"/>
  <c r="CR294" i="5"/>
  <c r="CQ297" i="5"/>
  <c r="CQ295" i="5"/>
  <c r="DA295" i="5" s="1"/>
  <c r="DA294" i="5" s="1"/>
  <c r="CW294" i="5"/>
  <c r="CV297" i="5"/>
  <c r="CV295" i="5"/>
  <c r="BN405" i="5"/>
  <c r="BN417" i="5" s="1"/>
  <c r="BN404" i="5"/>
  <c r="BN416" i="5" s="1"/>
  <c r="U53" i="301"/>
  <c r="I50" i="301" s="1"/>
  <c r="BO398" i="5"/>
  <c r="BO399" i="5" s="1"/>
  <c r="BO222" i="5"/>
  <c r="BO239" i="5" s="1"/>
  <c r="CP297" i="5"/>
  <c r="CP295" i="5"/>
  <c r="CZ295" i="5" s="1"/>
  <c r="CZ294" i="5" s="1"/>
  <c r="BM448" i="5"/>
  <c r="BM446" i="5"/>
  <c r="BM449" i="5"/>
  <c r="BM445" i="5"/>
  <c r="CR295" i="5" l="1"/>
  <c r="CR296" i="5"/>
  <c r="CR305" i="5" s="1"/>
  <c r="CR297" i="5"/>
  <c r="BP398" i="5"/>
  <c r="BP399" i="5" s="1"/>
  <c r="BP222" i="5"/>
  <c r="BP239" i="5" s="1"/>
  <c r="BN449" i="5"/>
  <c r="BN445" i="5"/>
  <c r="BN448" i="5"/>
  <c r="BN446" i="5"/>
  <c r="CW295" i="5"/>
  <c r="CW297" i="5"/>
  <c r="CW296" i="5"/>
  <c r="CW305" i="5" s="1"/>
  <c r="BQ126" i="5"/>
  <c r="BR125" i="5"/>
  <c r="BO405" i="5"/>
  <c r="BO417" i="5" s="1"/>
  <c r="BO404" i="5"/>
  <c r="BO416" i="5" s="1"/>
  <c r="DA297" i="5"/>
  <c r="DB294" i="5"/>
  <c r="CM332" i="5"/>
  <c r="CM353" i="5"/>
  <c r="CM356" i="5"/>
  <c r="CZ297" i="5"/>
  <c r="CY256" i="5"/>
  <c r="DA256" i="5" l="1"/>
  <c r="DB297" i="5"/>
  <c r="DB295" i="5"/>
  <c r="DG295" i="5" s="1"/>
  <c r="CW332" i="5"/>
  <c r="CW356" i="5"/>
  <c r="CW353" i="5"/>
  <c r="BP405" i="5"/>
  <c r="BP417" i="5" s="1"/>
  <c r="BP404" i="5"/>
  <c r="BP416" i="5" s="1"/>
  <c r="BS125" i="5"/>
  <c r="BR126" i="5"/>
  <c r="BQ398" i="5"/>
  <c r="BQ399" i="5" s="1"/>
  <c r="BQ222" i="5"/>
  <c r="BQ239" i="5" s="1"/>
  <c r="CR332" i="5"/>
  <c r="CR353" i="5"/>
  <c r="CR356" i="5"/>
  <c r="BO445" i="5"/>
  <c r="BO448" i="5"/>
  <c r="BO446" i="5"/>
  <c r="BO449" i="5"/>
  <c r="CZ256" i="5"/>
  <c r="DB256" i="5" l="1"/>
  <c r="BP445" i="5"/>
  <c r="BP448" i="5"/>
  <c r="BP446" i="5"/>
  <c r="BP449" i="5"/>
  <c r="BR398" i="5"/>
  <c r="BR399" i="5" s="1"/>
  <c r="BR222" i="5"/>
  <c r="BR239" i="5" s="1"/>
  <c r="DL295" i="5"/>
  <c r="DL294" i="5" s="1"/>
  <c r="DG294" i="5"/>
  <c r="BQ405" i="5"/>
  <c r="BQ417" i="5" s="1"/>
  <c r="BQ404" i="5"/>
  <c r="BQ416" i="5" s="1"/>
  <c r="BS126" i="5"/>
  <c r="BT125" i="5"/>
  <c r="BS398" i="5" l="1"/>
  <c r="BS399" i="5" s="1"/>
  <c r="BS222" i="5"/>
  <c r="BS239" i="5" s="1"/>
  <c r="DL297" i="5"/>
  <c r="BQ448" i="5"/>
  <c r="BQ446" i="5"/>
  <c r="BQ449" i="5"/>
  <c r="BQ445" i="5"/>
  <c r="BR405" i="5"/>
  <c r="BR417" i="5" s="1"/>
  <c r="BR404" i="5"/>
  <c r="BR416" i="5" s="1"/>
  <c r="BU125" i="5"/>
  <c r="BT126" i="5"/>
  <c r="BT222" i="5" s="1"/>
  <c r="BT239" i="5" s="1"/>
  <c r="DG297" i="5"/>
  <c r="BV125" i="5" l="1"/>
  <c r="BU126" i="5"/>
  <c r="BU222" i="5" s="1"/>
  <c r="BU239" i="5" s="1"/>
  <c r="BR449" i="5"/>
  <c r="BR445" i="5"/>
  <c r="BR448" i="5"/>
  <c r="BR446" i="5"/>
  <c r="DL256" i="5"/>
  <c r="DG256" i="5"/>
  <c r="BS404" i="5"/>
  <c r="BS416" i="5" s="1"/>
  <c r="BS405" i="5"/>
  <c r="BS417" i="5" s="1"/>
  <c r="BV126" i="5" l="1"/>
  <c r="BV222" i="5" s="1"/>
  <c r="BV239" i="5" s="1"/>
  <c r="BW125" i="5"/>
  <c r="BX125" i="5" l="1"/>
  <c r="BW126" i="5"/>
  <c r="BW222" i="5" s="1"/>
  <c r="BW239" i="5" s="1"/>
  <c r="BX126" i="5" l="1"/>
  <c r="BY125" i="5"/>
  <c r="BY126" i="5" l="1"/>
  <c r="BY222" i="5" s="1"/>
  <c r="BY239" i="5" s="1"/>
  <c r="BZ125" i="5"/>
  <c r="BX398" i="5"/>
  <c r="BX399" i="5" s="1"/>
  <c r="BX222" i="5"/>
  <c r="BX239" i="5" s="1"/>
  <c r="CA125" i="5" l="1"/>
  <c r="BZ126" i="5"/>
  <c r="BZ222" i="5" s="1"/>
  <c r="BZ239" i="5" s="1"/>
  <c r="BX405" i="5"/>
  <c r="BX417" i="5" s="1"/>
  <c r="BX404" i="5"/>
  <c r="BX416" i="5" s="1"/>
  <c r="CB125" i="5" l="1"/>
  <c r="CA126" i="5"/>
  <c r="CA222" i="5" s="1"/>
  <c r="CA239" i="5" s="1"/>
  <c r="CC125" i="5" l="1"/>
  <c r="CB126" i="5"/>
  <c r="CB222" i="5" s="1"/>
  <c r="CB239" i="5" s="1"/>
  <c r="CC126" i="5" l="1"/>
  <c r="CD125" i="5"/>
  <c r="CD126" i="5" l="1"/>
  <c r="CD222" i="5" s="1"/>
  <c r="CD239" i="5" s="1"/>
  <c r="CE125" i="5"/>
  <c r="CC398" i="5"/>
  <c r="CC399" i="5" s="1"/>
  <c r="CC222" i="5"/>
  <c r="CC239" i="5" s="1"/>
  <c r="CC405" i="5" l="1"/>
  <c r="CC417" i="5" s="1"/>
  <c r="CC404" i="5"/>
  <c r="CC416" i="5" s="1"/>
  <c r="CF125" i="5"/>
  <c r="CE126" i="5"/>
  <c r="CE222" i="5" s="1"/>
  <c r="CE239" i="5" s="1"/>
  <c r="CG125" i="5" l="1"/>
  <c r="CF126" i="5"/>
  <c r="CF222" i="5" s="1"/>
  <c r="CF239" i="5" s="1"/>
  <c r="CH125" i="5" l="1"/>
  <c r="CG126" i="5"/>
  <c r="CG222" i="5" s="1"/>
  <c r="CG239" i="5" s="1"/>
  <c r="CH126" i="5" l="1"/>
  <c r="CI125" i="5"/>
  <c r="CI126" i="5" l="1"/>
  <c r="CI222" i="5" s="1"/>
  <c r="CI239" i="5" s="1"/>
  <c r="CJ125" i="5"/>
  <c r="CH398" i="5"/>
  <c r="CH399" i="5" s="1"/>
  <c r="CH222" i="5"/>
  <c r="CH239" i="5" s="1"/>
  <c r="CH405" i="5" l="1"/>
  <c r="CH417" i="5" s="1"/>
  <c r="CH404" i="5"/>
  <c r="CH416" i="5" s="1"/>
  <c r="CK125" i="5"/>
  <c r="CJ126" i="5"/>
  <c r="CJ222" i="5" s="1"/>
  <c r="CJ239" i="5" s="1"/>
  <c r="CL125" i="5" l="1"/>
  <c r="CK126" i="5"/>
  <c r="CK222" i="5" s="1"/>
  <c r="CK239" i="5" s="1"/>
  <c r="CM125" i="5" l="1"/>
  <c r="CL126" i="5"/>
  <c r="CL222" i="5" s="1"/>
  <c r="CL239" i="5" s="1"/>
  <c r="CM126" i="5" l="1"/>
  <c r="CN125" i="5"/>
  <c r="CO125" i="5" l="1"/>
  <c r="CN126" i="5"/>
  <c r="CN222" i="5" s="1"/>
  <c r="CN239" i="5" s="1"/>
  <c r="CM398" i="5"/>
  <c r="CM399" i="5" s="1"/>
  <c r="CM222" i="5"/>
  <c r="CM239" i="5" s="1"/>
  <c r="CM405" i="5" l="1"/>
  <c r="CM417" i="5" s="1"/>
  <c r="CM404" i="5"/>
  <c r="CM416" i="5" s="1"/>
  <c r="CP125" i="5"/>
  <c r="CO126" i="5"/>
  <c r="CO222" i="5" s="1"/>
  <c r="CO239" i="5" s="1"/>
  <c r="CQ125" i="5" l="1"/>
  <c r="CP126" i="5"/>
  <c r="CP222" i="5" s="1"/>
  <c r="CP239" i="5" s="1"/>
  <c r="CQ126" i="5" l="1"/>
  <c r="CQ222" i="5" s="1"/>
  <c r="CQ239" i="5" s="1"/>
  <c r="CR125" i="5"/>
  <c r="CS125" i="5" l="1"/>
  <c r="DB125" i="5"/>
  <c r="CR126" i="5"/>
  <c r="DB126" i="5" l="1"/>
  <c r="DG125" i="5"/>
  <c r="CS126" i="5"/>
  <c r="CS222" i="5" s="1"/>
  <c r="CS239" i="5" s="1"/>
  <c r="CT125" i="5"/>
  <c r="CR398" i="5"/>
  <c r="CR399" i="5" s="1"/>
  <c r="CR222" i="5"/>
  <c r="CR239" i="5" s="1"/>
  <c r="CY320" i="5" l="1"/>
  <c r="CY321" i="5" s="1"/>
  <c r="CY331" i="5" s="1"/>
  <c r="CU125" i="5"/>
  <c r="CT126" i="5"/>
  <c r="CT222" i="5" s="1"/>
  <c r="CT239" i="5" s="1"/>
  <c r="DL125" i="5"/>
  <c r="DL126" i="5" s="1"/>
  <c r="DG126" i="5"/>
  <c r="CR405" i="5"/>
  <c r="CR417" i="5" s="1"/>
  <c r="CR404" i="5"/>
  <c r="CR416" i="5" s="1"/>
  <c r="DB398" i="5"/>
  <c r="DB399" i="5" s="1"/>
  <c r="DB222" i="5"/>
  <c r="DB239" i="5" s="1"/>
  <c r="DG257" i="5" l="1"/>
  <c r="CZ320" i="5"/>
  <c r="CZ321" i="5" s="1"/>
  <c r="CZ331" i="5" s="1"/>
  <c r="DG398" i="5"/>
  <c r="DG399" i="5" s="1"/>
  <c r="DG222" i="5"/>
  <c r="DG239" i="5" s="1"/>
  <c r="DL398" i="5"/>
  <c r="DL399" i="5" s="1"/>
  <c r="DL222" i="5"/>
  <c r="DL239" i="5" s="1"/>
  <c r="CU126" i="5"/>
  <c r="CU222" i="5" s="1"/>
  <c r="CU239" i="5" s="1"/>
  <c r="CV125" i="5"/>
  <c r="DB317" i="5" l="1"/>
  <c r="DA320" i="5"/>
  <c r="DA321" i="5" s="1"/>
  <c r="DA331" i="5" s="1"/>
  <c r="DA257" i="5"/>
  <c r="DA264" i="5" s="1"/>
  <c r="DB255" i="5"/>
  <c r="CZ257" i="5"/>
  <c r="CZ264" i="5" s="1"/>
  <c r="CY257" i="5"/>
  <c r="CY264" i="5" s="1"/>
  <c r="DG264" i="5"/>
  <c r="U32" i="301"/>
  <c r="U44" i="301" s="1"/>
  <c r="CW125" i="5"/>
  <c r="CV126" i="5"/>
  <c r="CV222" i="5" s="1"/>
  <c r="CV239" i="5" s="1"/>
  <c r="DB320" i="5" l="1"/>
  <c r="DB321" i="5" s="1"/>
  <c r="DB331" i="5" s="1"/>
  <c r="CY266" i="5"/>
  <c r="DL257" i="5"/>
  <c r="I54" i="301"/>
  <c r="DY269" i="5"/>
  <c r="DB257" i="5"/>
  <c r="CW126" i="5"/>
  <c r="CX125" i="5"/>
  <c r="DG320" i="5" l="1"/>
  <c r="DG321" i="5" s="1"/>
  <c r="DG331" i="5" s="1"/>
  <c r="DB264" i="5"/>
  <c r="T32" i="301"/>
  <c r="T44" i="301" s="1"/>
  <c r="H54" i="301" s="1"/>
  <c r="CY267" i="5"/>
  <c r="CY279" i="5" s="1"/>
  <c r="CY282" i="5" s="1"/>
  <c r="CY286" i="5"/>
  <c r="V32" i="301"/>
  <c r="V44" i="301" s="1"/>
  <c r="J54" i="301" s="1"/>
  <c r="DL264" i="5"/>
  <c r="CY125" i="5"/>
  <c r="CX126" i="5"/>
  <c r="CX222" i="5" s="1"/>
  <c r="CX239" i="5" s="1"/>
  <c r="CW398" i="5"/>
  <c r="CW399" i="5" s="1"/>
  <c r="CW222" i="5"/>
  <c r="CW239" i="5" s="1"/>
  <c r="CZ266" i="5" l="1"/>
  <c r="CZ286" i="5" s="1"/>
  <c r="DX269" i="5"/>
  <c r="DZ269" i="5"/>
  <c r="CY285" i="5"/>
  <c r="CY287" i="5" s="1"/>
  <c r="CZ281" i="5"/>
  <c r="CW404" i="5"/>
  <c r="CW416" i="5" s="1"/>
  <c r="CW405" i="5"/>
  <c r="CW417" i="5" s="1"/>
  <c r="CY126" i="5"/>
  <c r="CY222" i="5" s="1"/>
  <c r="CY239" i="5" s="1"/>
  <c r="CZ125" i="5"/>
  <c r="CY288" i="5" l="1"/>
  <c r="CY291" i="5"/>
  <c r="CY296" i="5" s="1"/>
  <c r="CY305" i="5" s="1"/>
  <c r="CY332" i="5" s="1"/>
  <c r="CY166" i="5"/>
  <c r="CY167" i="5" s="1"/>
  <c r="CY315" i="5"/>
  <c r="DA266" i="5"/>
  <c r="DA267" i="5" s="1"/>
  <c r="DA279" i="5" s="1"/>
  <c r="CZ267" i="5"/>
  <c r="CZ279" i="5" s="1"/>
  <c r="CZ282" i="5" s="1"/>
  <c r="CZ126" i="5"/>
  <c r="CZ222" i="5" s="1"/>
  <c r="CZ239" i="5" s="1"/>
  <c r="DA125" i="5"/>
  <c r="DA126" i="5" s="1"/>
  <c r="DA222" i="5" s="1"/>
  <c r="DA239" i="5" s="1"/>
  <c r="DB266" i="5" l="1"/>
  <c r="DB267" i="5" s="1"/>
  <c r="DB279" i="5" s="1"/>
  <c r="DB282" i="5" s="1"/>
  <c r="DL320" i="5"/>
  <c r="DL321" i="5" s="1"/>
  <c r="DL331" i="5" s="1"/>
  <c r="DA286" i="5"/>
  <c r="DB286" i="5" s="1"/>
  <c r="CZ285" i="5"/>
  <c r="CZ287" i="5" s="1"/>
  <c r="DA281" i="5"/>
  <c r="DA282" i="5" s="1"/>
  <c r="DA285" i="5" s="1"/>
  <c r="DA287" i="5" l="1"/>
  <c r="DA166" i="5" s="1"/>
  <c r="DA167" i="5" s="1"/>
  <c r="T35" i="301"/>
  <c r="T36" i="301" s="1"/>
  <c r="CZ291" i="5"/>
  <c r="CZ296" i="5" s="1"/>
  <c r="CZ305" i="5" s="1"/>
  <c r="CZ332" i="5" s="1"/>
  <c r="CZ288" i="5"/>
  <c r="CZ166" i="5"/>
  <c r="CZ167" i="5" s="1"/>
  <c r="CZ315" i="5"/>
  <c r="DG266" i="5"/>
  <c r="DG286" i="5" s="1"/>
  <c r="DL266" i="5" s="1"/>
  <c r="DB285" i="5"/>
  <c r="DB287" i="5" s="1"/>
  <c r="DG281" i="5"/>
  <c r="DA315" i="5" l="1"/>
  <c r="DB315" i="5" s="1"/>
  <c r="DA288" i="5"/>
  <c r="DA291" i="5"/>
  <c r="DA296" i="5" s="1"/>
  <c r="DA305" i="5" s="1"/>
  <c r="DA332" i="5" s="1"/>
  <c r="T47" i="301"/>
  <c r="DB374" i="5"/>
  <c r="DB288" i="5"/>
  <c r="DB389" i="5"/>
  <c r="DB395" i="5" s="1"/>
  <c r="DB291" i="5"/>
  <c r="DB166" i="5"/>
  <c r="DB344" i="5"/>
  <c r="DB375" i="5"/>
  <c r="DB376" i="5"/>
  <c r="DL286" i="5"/>
  <c r="DL267" i="5"/>
  <c r="DL279" i="5" s="1"/>
  <c r="V35" i="301"/>
  <c r="V36" i="301" s="1"/>
  <c r="U35" i="301"/>
  <c r="U36" i="301" s="1"/>
  <c r="DG267" i="5"/>
  <c r="DG279" i="5" s="1"/>
  <c r="DG282" i="5" s="1"/>
  <c r="DB378" i="5" l="1"/>
  <c r="DB351" i="5"/>
  <c r="DB354" i="5"/>
  <c r="DL281" i="5"/>
  <c r="DL282" i="5" s="1"/>
  <c r="DL285" i="5" s="1"/>
  <c r="DL287" i="5" s="1"/>
  <c r="DG285" i="5"/>
  <c r="DG287" i="5" s="1"/>
  <c r="DB167" i="5"/>
  <c r="DG167" i="5" s="1"/>
  <c r="DL167" i="5" s="1"/>
  <c r="DB411" i="5"/>
  <c r="DB402" i="5"/>
  <c r="DB414" i="5" s="1"/>
  <c r="DB405" i="5"/>
  <c r="DB417" i="5" s="1"/>
  <c r="DB296" i="5"/>
  <c r="DB305" i="5" s="1"/>
  <c r="DB332" i="5" s="1"/>
  <c r="DB390" i="5"/>
  <c r="DB394" i="5" s="1"/>
  <c r="T48" i="301"/>
  <c r="H56" i="301"/>
  <c r="T60" i="301"/>
  <c r="T58" i="301"/>
  <c r="T59" i="301"/>
  <c r="T55" i="301"/>
  <c r="V47" i="301" l="1"/>
  <c r="DL374" i="5"/>
  <c r="DL375" i="5"/>
  <c r="DL389" i="5"/>
  <c r="DL395" i="5" s="1"/>
  <c r="DL376" i="5"/>
  <c r="DL291" i="5"/>
  <c r="DL288" i="5"/>
  <c r="DL344" i="5"/>
  <c r="DL315" i="5"/>
  <c r="DB168" i="5"/>
  <c r="DB401" i="5"/>
  <c r="DB413" i="5" s="1"/>
  <c r="DB410" i="5"/>
  <c r="DB404" i="5"/>
  <c r="DB416" i="5" s="1"/>
  <c r="U47" i="301"/>
  <c r="DG374" i="5"/>
  <c r="DG389" i="5"/>
  <c r="DG395" i="5" s="1"/>
  <c r="DG375" i="5"/>
  <c r="DG291" i="5"/>
  <c r="DG344" i="5"/>
  <c r="DG315" i="5"/>
  <c r="DG288" i="5"/>
  <c r="DG376" i="5"/>
  <c r="DL166" i="5"/>
  <c r="DL168" i="5" s="1"/>
  <c r="DG166" i="5"/>
  <c r="DG168" i="5" s="1"/>
  <c r="DB356" i="5"/>
  <c r="DB355" i="5"/>
  <c r="DB353" i="5"/>
  <c r="DB352" i="5"/>
  <c r="DG390" i="5" l="1"/>
  <c r="DG394" i="5" s="1"/>
  <c r="DG296" i="5"/>
  <c r="DG305" i="5" s="1"/>
  <c r="DG332" i="5" s="1"/>
  <c r="U60" i="301"/>
  <c r="U58" i="301"/>
  <c r="U55" i="301"/>
  <c r="U59" i="301"/>
  <c r="U48" i="301"/>
  <c r="I56" i="301"/>
  <c r="G28" i="301"/>
  <c r="DL351" i="5"/>
  <c r="DL354" i="5"/>
  <c r="DL378" i="5"/>
  <c r="DG402" i="5"/>
  <c r="DG414" i="5" s="1"/>
  <c r="DG411" i="5"/>
  <c r="DG405" i="5"/>
  <c r="DG417" i="5" s="1"/>
  <c r="DL390" i="5"/>
  <c r="DL394" i="5" s="1"/>
  <c r="DL296" i="5"/>
  <c r="DL305" i="5" s="1"/>
  <c r="DL332" i="5" s="1"/>
  <c r="DL402" i="5"/>
  <c r="DL414" i="5" s="1"/>
  <c r="DL411" i="5"/>
  <c r="DL405" i="5"/>
  <c r="DL417" i="5" s="1"/>
  <c r="DG354" i="5"/>
  <c r="DG351" i="5"/>
  <c r="DG378" i="5"/>
  <c r="V60" i="301"/>
  <c r="V58" i="301"/>
  <c r="V48" i="301"/>
  <c r="V55" i="301"/>
  <c r="V59" i="301"/>
  <c r="J56" i="301"/>
  <c r="DL410" i="5" l="1"/>
  <c r="DL401" i="5"/>
  <c r="DL413" i="5" s="1"/>
  <c r="DL404" i="5"/>
  <c r="DL416" i="5" s="1"/>
  <c r="DL356" i="5"/>
  <c r="DL355" i="5"/>
  <c r="DG352" i="5"/>
  <c r="DG353" i="5"/>
  <c r="DL353" i="5"/>
  <c r="DL352" i="5"/>
  <c r="DG356" i="5"/>
  <c r="DG355" i="5"/>
  <c r="G29" i="301"/>
  <c r="G31" i="301" s="1"/>
  <c r="G34" i="301" s="1"/>
  <c r="G9" i="301" s="1"/>
  <c r="H28" i="301"/>
  <c r="H29" i="301" s="1"/>
  <c r="H31" i="301" s="1"/>
  <c r="H34" i="301" s="1"/>
  <c r="H9" i="301" s="1"/>
  <c r="F28" i="301"/>
  <c r="F29" i="301" s="1"/>
  <c r="F31" i="301" s="1"/>
  <c r="F34" i="301" s="1"/>
  <c r="F9" i="301" s="1"/>
  <c r="DG401" i="5"/>
  <c r="DG413" i="5" s="1"/>
  <c r="DG410" i="5"/>
  <c r="DG404" i="5"/>
  <c r="DG416" i="5" s="1"/>
  <c r="G14" i="301" l="1"/>
  <c r="G13" i="301"/>
  <c r="C5" i="300"/>
  <c r="G11" i="301"/>
  <c r="G15" i="301"/>
  <c r="F11" i="301"/>
  <c r="F14" i="301"/>
  <c r="F13" i="301"/>
  <c r="F15" i="301"/>
  <c r="H11" i="301"/>
  <c r="H13" i="301"/>
  <c r="H14" i="301"/>
  <c r="H15" i="301"/>
</calcChain>
</file>

<file path=xl/comments1.xml><?xml version="1.0" encoding="utf-8"?>
<comments xmlns="http://schemas.openxmlformats.org/spreadsheetml/2006/main">
  <authors>
    <author>nedgill</author>
    <author>Streger, David W (Research)</author>
    <author>Newman, Brendan (Research)</author>
    <author>WG</author>
    <author>susmanr</author>
    <author>falfalkj</author>
    <author>Robert Susman</author>
    <author>godjohn</author>
    <author>Sharpe, Matt (Research)</author>
    <author>matparke</author>
  </authors>
  <commentList>
    <comment ref="AW1" authorId="0">
      <text>
        <r>
          <rPr>
            <b/>
            <sz val="8"/>
            <color indexed="81"/>
            <rFont val="Tahoma"/>
            <family val="2"/>
          </rPr>
          <t>nedgill:</t>
        </r>
        <r>
          <rPr>
            <sz val="8"/>
            <color indexed="81"/>
            <rFont val="Tahoma"/>
            <family val="2"/>
          </rPr>
          <t xml:space="preserve">
PRO FORMA NUMBERS; reported numbers show stand alone DAL in 1Q-3Q and only include NWA for 2 months in 4Q</t>
        </r>
      </text>
    </comment>
    <comment ref="AS2" authorId="0">
      <text>
        <r>
          <rPr>
            <b/>
            <sz val="8"/>
            <color indexed="81"/>
            <rFont val="Tahoma"/>
            <family val="2"/>
          </rPr>
          <t>nedgill:</t>
        </r>
        <r>
          <rPr>
            <sz val="8"/>
            <color indexed="81"/>
            <rFont val="Tahoma"/>
            <family val="2"/>
          </rPr>
          <t xml:space="preserve">
COMBINED STATS AS REPORTED BY DAL</t>
        </r>
      </text>
    </comment>
    <comment ref="DX7" authorId="1">
      <text>
        <r>
          <rPr>
            <b/>
            <sz val="9"/>
            <color indexed="81"/>
            <rFont val="Tahoma"/>
            <family val="2"/>
          </rPr>
          <t>Newman, Brendan (Research):</t>
        </r>
        <r>
          <rPr>
            <sz val="9"/>
            <color indexed="81"/>
            <rFont val="Tahoma"/>
            <family val="2"/>
          </rPr>
          <t xml:space="preserve">
Guidance for 2% annual Domestic growth</t>
        </r>
      </text>
    </comment>
    <comment ref="DY7" authorId="2">
      <text>
        <r>
          <rPr>
            <b/>
            <sz val="9"/>
            <color indexed="81"/>
            <rFont val="Tahoma"/>
            <family val="2"/>
          </rPr>
          <t>Newman, Brendan (Research):</t>
        </r>
        <r>
          <rPr>
            <sz val="9"/>
            <color indexed="81"/>
            <rFont val="Tahoma"/>
            <family val="2"/>
          </rPr>
          <t xml:space="preserve">
similar domestic growth rate to the past several years</t>
        </r>
      </text>
    </comment>
    <comment ref="DX9" authorId="1">
      <text>
        <r>
          <rPr>
            <b/>
            <sz val="9"/>
            <color indexed="81"/>
            <rFont val="Tahoma"/>
            <family val="2"/>
          </rPr>
          <t>Newman, Brendan (Research):</t>
        </r>
        <r>
          <rPr>
            <sz val="9"/>
            <color indexed="81"/>
            <rFont val="Tahoma"/>
            <family val="2"/>
          </rPr>
          <t xml:space="preserve">
Guidance for down ~1% international annual growth</t>
        </r>
      </text>
    </comment>
    <comment ref="DY9" authorId="2">
      <text>
        <r>
          <rPr>
            <b/>
            <sz val="9"/>
            <color indexed="81"/>
            <rFont val="Tahoma"/>
            <family val="2"/>
          </rPr>
          <t>Newman, Brendan (Research):</t>
        </r>
        <r>
          <rPr>
            <sz val="9"/>
            <color indexed="81"/>
            <rFont val="Tahoma"/>
            <family val="2"/>
          </rPr>
          <t xml:space="preserve">
modest international growth </t>
        </r>
      </text>
    </comment>
    <comment ref="DX11" authorId="1">
      <text>
        <r>
          <rPr>
            <b/>
            <sz val="9"/>
            <color indexed="81"/>
            <rFont val="Tahoma"/>
            <family val="2"/>
          </rPr>
          <t>Newman, Brendan (Research):</t>
        </r>
        <r>
          <rPr>
            <sz val="9"/>
            <color indexed="81"/>
            <rFont val="Tahoma"/>
            <family val="2"/>
          </rPr>
          <t xml:space="preserve">
Guidance for 1% annual growth</t>
        </r>
      </text>
    </comment>
    <comment ref="DY11" authorId="2">
      <text>
        <r>
          <rPr>
            <b/>
            <sz val="9"/>
            <color indexed="81"/>
            <rFont val="Tahoma"/>
            <family val="2"/>
          </rPr>
          <t>Newman, Brendan (Research):</t>
        </r>
        <r>
          <rPr>
            <sz val="9"/>
            <color indexed="81"/>
            <rFont val="Tahoma"/>
            <family val="2"/>
          </rPr>
          <t xml:space="preserve">
2-3% with 1 point due to longer stage length</t>
        </r>
      </text>
    </comment>
    <comment ref="BI22" authorId="0">
      <text>
        <r>
          <rPr>
            <b/>
            <sz val="8"/>
            <color indexed="81"/>
            <rFont val="Tahoma"/>
            <family val="2"/>
          </rPr>
          <t>nedgill:</t>
        </r>
        <r>
          <rPr>
            <sz val="8"/>
            <color indexed="81"/>
            <rFont val="Tahoma"/>
            <family val="2"/>
          </rPr>
          <t xml:space="preserve">
phasing out the SAABs</t>
        </r>
      </text>
    </comment>
    <comment ref="BN81" authorId="0">
      <text>
        <r>
          <rPr>
            <b/>
            <sz val="8"/>
            <color indexed="81"/>
            <rFont val="Tahoma"/>
            <family val="2"/>
          </rPr>
          <t>matparke:</t>
        </r>
        <r>
          <rPr>
            <sz val="8"/>
            <color indexed="81"/>
            <rFont val="Tahoma"/>
            <family val="2"/>
          </rPr>
          <t xml:space="preserve">
payout rates of 15%&lt;2.5B and 20% for $s &gt;2.5B; but expense is higher due to taxes and other expense… using 18.5% and 23.5% respectively… consistent with company guidance</t>
        </r>
      </text>
    </comment>
    <comment ref="BS81" authorId="0">
      <text>
        <r>
          <rPr>
            <b/>
            <sz val="8"/>
            <color indexed="81"/>
            <rFont val="Tahoma"/>
            <family val="2"/>
          </rPr>
          <t>matparke:</t>
        </r>
        <r>
          <rPr>
            <sz val="8"/>
            <color indexed="81"/>
            <rFont val="Tahoma"/>
            <family val="2"/>
          </rPr>
          <t xml:space="preserve">
payout rates of 15%&lt;2.5B and 20% for $s &gt;2.5B; but expense is higher due to taxes and other expense… using 18.5% and 23.5% respectively… consistent with company guidance</t>
        </r>
      </text>
    </comment>
    <comment ref="BD82" authorId="0">
      <text>
        <r>
          <rPr>
            <b/>
            <sz val="8"/>
            <color indexed="81"/>
            <rFont val="Tahoma"/>
            <family val="2"/>
          </rPr>
          <t>nedgill:</t>
        </r>
        <r>
          <rPr>
            <sz val="8"/>
            <color indexed="81"/>
            <rFont val="Tahoma"/>
            <family val="2"/>
          </rPr>
          <t xml:space="preserve">
15% up to 1.5B pre tax and 20% for more than that for the combined entity</t>
        </r>
      </text>
    </comment>
    <comment ref="BI82" authorId="0">
      <text>
        <r>
          <rPr>
            <b/>
            <sz val="8"/>
            <color indexed="81"/>
            <rFont val="Tahoma"/>
            <family val="2"/>
          </rPr>
          <t>nedgill:</t>
        </r>
        <r>
          <rPr>
            <sz val="8"/>
            <color indexed="81"/>
            <rFont val="Tahoma"/>
            <family val="2"/>
          </rPr>
          <t xml:space="preserve">
payout rates of 15%&lt;2.5B and 20% for $s &gt;2.5B; but expense is higher due to taxes and other expense… using 18.5% and 23.5% respectively… consistent with company guidance</t>
        </r>
      </text>
    </comment>
    <comment ref="BN82" authorId="0">
      <text>
        <r>
          <rPr>
            <b/>
            <sz val="8"/>
            <color indexed="81"/>
            <rFont val="Tahoma"/>
            <family val="2"/>
          </rPr>
          <t>matparke:</t>
        </r>
        <r>
          <rPr>
            <sz val="8"/>
            <color indexed="81"/>
            <rFont val="Tahoma"/>
            <family val="2"/>
          </rPr>
          <t xml:space="preserve">
payout rates of 15%&lt;2.5B and 20% for $s &gt;2.5B; but expense is higher due to taxes and other expense… using 18.5% and 23.5% respectively… consistent with company guidance</t>
        </r>
      </text>
    </comment>
    <comment ref="BS82" authorId="0">
      <text>
        <r>
          <rPr>
            <b/>
            <sz val="8"/>
            <color indexed="81"/>
            <rFont val="Tahoma"/>
            <family val="2"/>
          </rPr>
          <t>matparke:</t>
        </r>
        <r>
          <rPr>
            <sz val="8"/>
            <color indexed="81"/>
            <rFont val="Tahoma"/>
            <family val="2"/>
          </rPr>
          <t xml:space="preserve">
payout rates of 15%&lt;2.5B and 20% for $s &gt;2.5B; but expense is higher due to taxes and other expense… using 18.5% and 23.5% respectively… consistent with company guidance</t>
        </r>
      </text>
    </comment>
    <comment ref="G83" authorId="3">
      <text>
        <r>
          <rPr>
            <sz val="8"/>
            <color indexed="81"/>
            <rFont val="Tahoma"/>
            <family val="2"/>
          </rPr>
          <t>Most of the increase reflected a 3% wage increase for non-union employees that was instituted on April 1, 2000.  Non-union headcount also grew by 4.6% y-o-y.</t>
        </r>
      </text>
    </comment>
    <comment ref="H83" authorId="4">
      <text>
        <r>
          <rPr>
            <sz val="8"/>
            <color indexed="81"/>
            <rFont val="Tahoma"/>
            <family val="2"/>
          </rPr>
          <t>New Delta mainline pilot contract reached on April 22, 01.   The contract runs for five years (until 5/1/2005).  Delta estimates the new contract will increase labor costs by $2.4 billion all other things being equal.
The Comair pilot contract was reached during the quarter after an 89 day strike.  The impact on consolidated margins from the contract should be less than a 50 basis point hit.</t>
        </r>
      </text>
    </comment>
    <comment ref="L83" authorId="3">
      <text>
        <r>
          <rPr>
            <sz val="8"/>
            <color indexed="81"/>
            <rFont val="Tahoma"/>
            <family val="2"/>
          </rPr>
          <t>4/02: Burns said that the sequential increase in labor expense (despite headcount reductions) was related to the higher pension expense that the company is experiencing.  Burns estimated that pension expese in 2002 will add $400 mm to the salaries line item.</t>
        </r>
      </text>
    </comment>
    <comment ref="N83" authorId="4">
      <text>
        <r>
          <rPr>
            <sz val="8"/>
            <color indexed="81"/>
            <rFont val="Tahoma"/>
            <family val="2"/>
          </rPr>
          <t>10/02: 1% increase reflects Dec 01 staff reductions offset by increased pension expense as well as decreased costs in 3q01 resulting from the Comair strike.</t>
        </r>
      </text>
    </comment>
    <comment ref="P83" authorId="3">
      <text>
        <r>
          <rPr>
            <sz val="8"/>
            <color indexed="81"/>
            <rFont val="Tahoma"/>
            <family val="2"/>
          </rPr>
          <t>4/02: Burns noted that mainline headcount dropped by 13% y-o-y, benefitting the salaries line by $500 mm.
10/02: Burns said that pension expense should be $400mm in 02.</t>
        </r>
      </text>
    </comment>
    <comment ref="U83" authorId="4">
      <text>
        <r>
          <rPr>
            <sz val="8"/>
            <color indexed="81"/>
            <rFont val="Tahoma"/>
            <family val="2"/>
          </rPr>
          <t>10/02: Burns: Pension expense should increase $200-300 million in 03. Also expect $80 mm in health care benefits savings (mainly disability, sick-pay, and retirement health care). 
04/17/03 conf call: $76 mil 03 cash pension contribution in 1Q. No more for year.</t>
        </r>
      </text>
    </comment>
    <comment ref="Y83" authorId="5">
      <text>
        <r>
          <rPr>
            <sz val="8"/>
            <color indexed="81"/>
            <rFont val="Tahoma"/>
            <family val="2"/>
          </rPr>
          <t xml:space="preserve">11/11/04:  Pilot wages account for approx. 70% of the "salaries and related costs" totals.  The pilot savings was 67.5% of the pilot portion of the "salaries" line item. We removed $40 MM of pilot savings (which is 1/12 of total wage savings).  This salaries line item was formerly $1,587 MM.
</t>
        </r>
      </text>
    </comment>
    <comment ref="Z83" authorId="6">
      <text>
        <r>
          <rPr>
            <sz val="8"/>
            <color indexed="81"/>
            <rFont val="Tahoma"/>
            <family val="2"/>
          </rPr>
          <t xml:space="preserve">
04/17/03 conf call: 2004 cash pension contribution of $350-450 mil
1/14/4 conf call: $450 cash pension contrib.</t>
        </r>
      </text>
    </comment>
    <comment ref="AD83" authorId="5">
      <text>
        <r>
          <rPr>
            <sz val="8"/>
            <color indexed="81"/>
            <rFont val="Tahoma"/>
            <family val="2"/>
          </rPr>
          <t xml:space="preserve">11/11/04:  Pilot wages account for approx. 70% of the "salaries and related costs" totals.  The pilot savings was 67.5% of the pilot portion of the "salaries" line item. We removed $40 MM of pilot savings (which is 1/12 of total wage savings).  This salaries line item was formerly $1,587 MM.
</t>
        </r>
      </text>
    </comment>
    <comment ref="AE83" authorId="6">
      <text>
        <r>
          <rPr>
            <sz val="8"/>
            <color indexed="81"/>
            <rFont val="Tahoma"/>
            <family val="2"/>
          </rPr>
          <t xml:space="preserve">
04/17/03 conf call: 2004 cash pension contribution of $350-450 mil
1/14/4 conf call: $450 cash pension contrib.</t>
        </r>
      </text>
    </comment>
    <comment ref="AJ83" authorId="4">
      <text>
        <r>
          <rPr>
            <sz val="8"/>
            <color indexed="81"/>
            <rFont val="Tahoma"/>
            <family val="2"/>
          </rPr>
          <t>10/02: Burns: Pension expense should increase $200-300 million in 03. Also expect $80 mm in health care benefits savings (mainly disability, sick-pay, and retirement health care). 
04/17/03 conf call: $76 mil 03 cash pension contribution in 1Q. No more for year.</t>
        </r>
      </text>
    </comment>
    <comment ref="DZ86" authorId="1">
      <text>
        <r>
          <rPr>
            <b/>
            <sz val="9"/>
            <color indexed="81"/>
            <rFont val="Tahoma"/>
            <family val="2"/>
          </rPr>
          <t>Streger, David W (Research):</t>
        </r>
        <r>
          <rPr>
            <sz val="9"/>
            <color indexed="81"/>
            <rFont val="Tahoma"/>
            <family val="2"/>
          </rPr>
          <t xml:space="preserve">
Assumed</t>
        </r>
      </text>
    </comment>
    <comment ref="AU88" authorId="7">
      <text>
        <r>
          <rPr>
            <b/>
            <sz val="8"/>
            <color indexed="81"/>
            <rFont val="Tahoma"/>
            <family val="2"/>
          </rPr>
          <t>godjohn:</t>
        </r>
        <r>
          <rPr>
            <sz val="8"/>
            <color indexed="81"/>
            <rFont val="Tahoma"/>
            <family val="2"/>
          </rPr>
          <t xml:space="preserve">
plugged because avg data not avail due to merger</t>
        </r>
      </text>
    </comment>
    <comment ref="DV88" authorId="1">
      <text>
        <r>
          <rPr>
            <b/>
            <sz val="9"/>
            <color indexed="81"/>
            <rFont val="Tahoma"/>
            <family val="2"/>
          </rPr>
          <t>Streger, David W (Research):</t>
        </r>
        <r>
          <rPr>
            <sz val="9"/>
            <color indexed="81"/>
            <rFont val="Tahoma"/>
            <family val="2"/>
          </rPr>
          <t xml:space="preserve">
14.5% beginning 12/1/15</t>
        </r>
      </text>
    </comment>
    <comment ref="DV89" authorId="1">
      <text>
        <r>
          <rPr>
            <b/>
            <sz val="9"/>
            <color indexed="81"/>
            <rFont val="Tahoma"/>
            <family val="2"/>
          </rPr>
          <t>Streger, David W (Research):</t>
        </r>
        <r>
          <rPr>
            <sz val="9"/>
            <color indexed="81"/>
            <rFont val="Tahoma"/>
            <family val="2"/>
          </rPr>
          <t xml:space="preserve">
14.5% beginning 12/1/15</t>
        </r>
      </text>
    </comment>
    <comment ref="AZ94" authorId="0">
      <text>
        <r>
          <rPr>
            <b/>
            <sz val="8"/>
            <color indexed="81"/>
            <rFont val="Tahoma"/>
            <family val="2"/>
          </rPr>
          <t>nedgill:</t>
        </r>
        <r>
          <rPr>
            <sz val="8"/>
            <color indexed="81"/>
            <rFont val="Tahoma"/>
            <family val="2"/>
          </rPr>
          <t xml:space="preserve">
removal of 2M in MTM adj for hedges settling in future periods</t>
        </r>
      </text>
    </comment>
    <comment ref="CW109" authorId="8">
      <text>
        <r>
          <rPr>
            <b/>
            <sz val="9"/>
            <color indexed="81"/>
            <rFont val="Tahoma"/>
            <family val="2"/>
          </rPr>
          <t>Sharpe, Matt (Research):</t>
        </r>
        <r>
          <rPr>
            <sz val="9"/>
            <color indexed="81"/>
            <rFont val="Tahoma"/>
            <family val="2"/>
          </rPr>
          <t xml:space="preserve">
Includes 601 (146/154/155/146) for regional previously reported under "Contract Carrier Arrangements (Regional Expense)"</t>
        </r>
      </text>
    </comment>
    <comment ref="BG117" authorId="0">
      <text>
        <r>
          <rPr>
            <b/>
            <sz val="8"/>
            <color indexed="81"/>
            <rFont val="Tahoma"/>
            <family val="2"/>
          </rPr>
          <t>nedgill:</t>
        </r>
        <r>
          <rPr>
            <sz val="8"/>
            <color indexed="81"/>
            <rFont val="Tahoma"/>
            <family val="2"/>
          </rPr>
          <t xml:space="preserve">
Compass / Masaba now in contract carrier line</t>
        </r>
      </text>
    </comment>
    <comment ref="AX125" authorId="0">
      <text>
        <r>
          <rPr>
            <b/>
            <sz val="8"/>
            <color indexed="81"/>
            <rFont val="Tahoma"/>
            <family val="2"/>
          </rPr>
          <t>nedgill:</t>
        </r>
        <r>
          <rPr>
            <sz val="8"/>
            <color indexed="81"/>
            <rFont val="Tahoma"/>
            <family val="2"/>
          </rPr>
          <t xml:space="preserve">
~13% rents in the regional carrier line according to DAL IR</t>
        </r>
      </text>
    </comment>
    <comment ref="DU129" authorId="1">
      <text>
        <r>
          <rPr>
            <b/>
            <sz val="9"/>
            <color indexed="81"/>
            <rFont val="Tahoma"/>
            <family val="2"/>
          </rPr>
          <t>Streger, David W (Research):</t>
        </r>
        <r>
          <rPr>
            <sz val="9"/>
            <color indexed="81"/>
            <rFont val="Tahoma"/>
            <family val="2"/>
          </rPr>
          <t xml:space="preserve">
Based on 10K and latest 10Q</t>
        </r>
      </text>
    </comment>
    <comment ref="DW129" authorId="1">
      <text>
        <r>
          <rPr>
            <b/>
            <sz val="9"/>
            <color indexed="81"/>
            <rFont val="Tahoma"/>
            <family val="2"/>
          </rPr>
          <t>Streger, David W (Research):</t>
        </r>
        <r>
          <rPr>
            <sz val="9"/>
            <color indexed="81"/>
            <rFont val="Tahoma"/>
            <family val="2"/>
          </rPr>
          <t xml:space="preserve">
we assume $700m in capex through sale leaseback</t>
        </r>
      </text>
    </comment>
    <comment ref="DX129" authorId="1">
      <text>
        <r>
          <rPr>
            <b/>
            <sz val="9"/>
            <color indexed="81"/>
            <rFont val="Tahoma"/>
            <family val="2"/>
          </rPr>
          <t>Streger, David W (Research):</t>
        </r>
        <r>
          <rPr>
            <sz val="9"/>
            <color indexed="81"/>
            <rFont val="Tahoma"/>
            <family val="2"/>
          </rPr>
          <t xml:space="preserve">
we assume $700m in capex through sale leaseback</t>
        </r>
      </text>
    </comment>
    <comment ref="DY129" authorId="1">
      <text>
        <r>
          <rPr>
            <b/>
            <sz val="9"/>
            <color indexed="81"/>
            <rFont val="Tahoma"/>
            <family val="2"/>
          </rPr>
          <t>Streger, David W (Research):</t>
        </r>
        <r>
          <rPr>
            <sz val="9"/>
            <color indexed="81"/>
            <rFont val="Tahoma"/>
            <family val="2"/>
          </rPr>
          <t xml:space="preserve">
we assume $700m in capex through sale leaseback</t>
        </r>
      </text>
    </comment>
    <comment ref="DZ129" authorId="1">
      <text>
        <r>
          <rPr>
            <b/>
            <sz val="9"/>
            <color indexed="81"/>
            <rFont val="Tahoma"/>
            <family val="2"/>
          </rPr>
          <t>Streger, David W (Research):</t>
        </r>
        <r>
          <rPr>
            <sz val="9"/>
            <color indexed="81"/>
            <rFont val="Tahoma"/>
            <family val="2"/>
          </rPr>
          <t xml:space="preserve">
we assume $700m in capex through sale leaseback</t>
        </r>
      </text>
    </comment>
    <comment ref="AU141" authorId="0">
      <text>
        <r>
          <rPr>
            <b/>
            <sz val="8"/>
            <color indexed="81"/>
            <rFont val="Tahoma"/>
            <family val="2"/>
          </rPr>
          <t>nedgill:</t>
        </r>
        <r>
          <rPr>
            <sz val="8"/>
            <color indexed="81"/>
            <rFont val="Tahoma"/>
            <family val="2"/>
          </rPr>
          <t xml:space="preserve">
To reconcile with DAL reported, exclude 0.52 in 3rd Party transactions</t>
        </r>
      </text>
    </comment>
    <comment ref="AZ141" authorId="0">
      <text>
        <r>
          <rPr>
            <b/>
            <sz val="8"/>
            <color indexed="81"/>
            <rFont val="Tahoma"/>
            <family val="2"/>
          </rPr>
          <t>nedgill:</t>
        </r>
        <r>
          <rPr>
            <sz val="8"/>
            <color indexed="81"/>
            <rFont val="Tahoma"/>
            <family val="2"/>
          </rPr>
          <t xml:space="preserve">
to reconcile with DAL reported, exclude 0.34 in 3rd Party transactions</t>
        </r>
      </text>
    </comment>
    <comment ref="BA141" authorId="0">
      <text>
        <r>
          <rPr>
            <b/>
            <sz val="8"/>
            <color indexed="81"/>
            <rFont val="Tahoma"/>
            <family val="2"/>
          </rPr>
          <t>nedgill:</t>
        </r>
        <r>
          <rPr>
            <sz val="8"/>
            <color indexed="81"/>
            <rFont val="Tahoma"/>
            <family val="2"/>
          </rPr>
          <t xml:space="preserve">
to reconcile with DAL reported, exclude 0.31 in 3rd Party transactions</t>
        </r>
      </text>
    </comment>
    <comment ref="BB141" authorId="0">
      <text>
        <r>
          <rPr>
            <b/>
            <sz val="8"/>
            <color indexed="81"/>
            <rFont val="Tahoma"/>
            <family val="2"/>
          </rPr>
          <t>nedgill:</t>
        </r>
        <r>
          <rPr>
            <sz val="8"/>
            <color indexed="81"/>
            <rFont val="Tahoma"/>
            <family val="2"/>
          </rPr>
          <t xml:space="preserve">
to reconcile with DAL reported, exclude 0.32 in 3rd Party transactions</t>
        </r>
      </text>
    </comment>
    <comment ref="BC141" authorId="0">
      <text>
        <r>
          <rPr>
            <b/>
            <sz val="8"/>
            <color indexed="81"/>
            <rFont val="Tahoma"/>
            <family val="2"/>
          </rPr>
          <t>nedgill:</t>
        </r>
        <r>
          <rPr>
            <sz val="8"/>
            <color indexed="81"/>
            <rFont val="Tahoma"/>
            <family val="2"/>
          </rPr>
          <t xml:space="preserve">
to reconcile with DAL reported, exclude 0.33 in 3rd Party transactions</t>
        </r>
      </text>
    </comment>
    <comment ref="BD141" authorId="0">
      <text>
        <r>
          <rPr>
            <b/>
            <sz val="8"/>
            <color indexed="81"/>
            <rFont val="Tahoma"/>
            <family val="2"/>
          </rPr>
          <t>nedgill:</t>
        </r>
        <r>
          <rPr>
            <sz val="8"/>
            <color indexed="81"/>
            <rFont val="Tahoma"/>
            <family val="2"/>
          </rPr>
          <t xml:space="preserve">
to reconcile with DAL reported, exclude 0.31 in 3rd Party transactions</t>
        </r>
      </text>
    </comment>
    <comment ref="BH160" authorId="0">
      <text>
        <r>
          <rPr>
            <b/>
            <sz val="8"/>
            <color indexed="81"/>
            <rFont val="Tahoma"/>
            <family val="2"/>
          </rPr>
          <t>nedgill:</t>
        </r>
        <r>
          <rPr>
            <sz val="8"/>
            <color indexed="81"/>
            <rFont val="Tahoma"/>
            <family val="2"/>
          </rPr>
          <t xml:space="preserve">
$45M storm impact equates to ~0.5% in operating margin vs. original 6%-7% guidance</t>
        </r>
      </text>
    </comment>
    <comment ref="BF175" authorId="0">
      <text>
        <r>
          <rPr>
            <b/>
            <sz val="8"/>
            <color indexed="81"/>
            <rFont val="Tahoma"/>
            <family val="2"/>
          </rPr>
          <t>nedgill:</t>
        </r>
        <r>
          <rPr>
            <sz val="8"/>
            <color indexed="81"/>
            <rFont val="Tahoma"/>
            <family val="2"/>
          </rPr>
          <t xml:space="preserve">
includes $25M FX charge</t>
        </r>
      </text>
    </comment>
    <comment ref="BH178" authorId="0">
      <text>
        <r>
          <rPr>
            <b/>
            <sz val="8"/>
            <color indexed="81"/>
            <rFont val="Tahoma"/>
            <family val="2"/>
          </rPr>
          <t>nedgill:</t>
        </r>
        <r>
          <rPr>
            <sz val="8"/>
            <color indexed="81"/>
            <rFont val="Tahoma"/>
            <family val="2"/>
          </rPr>
          <t xml:space="preserve">
snowstorm reduced DAL's 4Q10 net profit expectations by ~$45M </t>
        </r>
      </text>
    </comment>
    <comment ref="D181" authorId="3">
      <text>
        <r>
          <rPr>
            <sz val="8"/>
            <color indexed="81"/>
            <rFont val="Tahoma"/>
            <family val="2"/>
          </rPr>
          <t>We have adjusted tax provision to include tax benefit of converts.</t>
        </r>
      </text>
    </comment>
    <comment ref="E181" authorId="4">
      <text>
        <r>
          <rPr>
            <sz val="8"/>
            <color indexed="81"/>
            <rFont val="Tahoma"/>
            <family val="2"/>
          </rPr>
          <t>We adjusted the provision for taxes to reflect our exclusion of unusual items and the tax benefit from the convertible.</t>
        </r>
      </text>
    </comment>
    <comment ref="H181" authorId="3">
      <text>
        <r>
          <rPr>
            <sz val="8"/>
            <color indexed="81"/>
            <rFont val="Tahoma"/>
            <family val="2"/>
          </rPr>
          <t>We adjusted the provision for taxes to reflect our exclusion of unusual items and the tax benefit from the convertible.</t>
        </r>
      </text>
    </comment>
    <comment ref="L181" authorId="3">
      <text>
        <r>
          <rPr>
            <sz val="8"/>
            <color indexed="81"/>
            <rFont val="Tahoma"/>
            <family val="2"/>
          </rPr>
          <t>4/02: Burns said that DAL received $160 mm in tax refunds for 2001 and then another $300 mm in incremental tax refunds after the passage of the economic stimulus bill, all of which was received in 1Q02.</t>
        </r>
      </text>
    </comment>
    <comment ref="Q181" authorId="4">
      <text>
        <r>
          <rPr>
            <sz val="8"/>
            <color indexed="81"/>
            <rFont val="Tahoma"/>
            <family val="2"/>
          </rPr>
          <t xml:space="preserve">1/16/03 Conf Call: $300 million tax refund coming this qtr
</t>
        </r>
      </text>
    </comment>
    <comment ref="AX189" authorId="0">
      <text>
        <r>
          <rPr>
            <b/>
            <sz val="8"/>
            <color indexed="81"/>
            <rFont val="Tahoma"/>
            <family val="2"/>
          </rPr>
          <t>nedgill:</t>
        </r>
        <r>
          <rPr>
            <sz val="8"/>
            <color indexed="81"/>
            <rFont val="Tahoma"/>
            <family val="2"/>
          </rPr>
          <t xml:space="preserve">
estimate based on pro forma disclosures</t>
        </r>
      </text>
    </comment>
    <comment ref="AX204" authorId="0">
      <text>
        <r>
          <rPr>
            <b/>
            <sz val="8"/>
            <color indexed="81"/>
            <rFont val="Tahoma"/>
            <family val="2"/>
          </rPr>
          <t>nedgill:</t>
        </r>
        <r>
          <rPr>
            <sz val="8"/>
            <color indexed="81"/>
            <rFont val="Tahoma"/>
            <family val="2"/>
          </rPr>
          <t xml:space="preserve">
additional fuel hedge related expenses for unwinding and purchasing more hedges</t>
        </r>
      </text>
    </comment>
    <comment ref="BC204" authorId="0">
      <text>
        <r>
          <rPr>
            <b/>
            <sz val="8"/>
            <color indexed="81"/>
            <rFont val="Tahoma"/>
            <family val="2"/>
          </rPr>
          <t>nedgill:</t>
        </r>
        <r>
          <rPr>
            <sz val="8"/>
            <color indexed="81"/>
            <rFont val="Tahoma"/>
            <family val="2"/>
          </rPr>
          <t xml:space="preserve">
excluding restructuring items and tax benefit</t>
        </r>
      </text>
    </comment>
    <comment ref="BP204" authorId="9">
      <text>
        <r>
          <rPr>
            <b/>
            <sz val="8"/>
            <color indexed="81"/>
            <rFont val="Tahoma"/>
            <family val="2"/>
          </rPr>
          <t>matparke:</t>
        </r>
        <r>
          <rPr>
            <sz val="8"/>
            <color indexed="81"/>
            <rFont val="Tahoma"/>
            <family val="2"/>
          </rPr>
          <t xml:space="preserve">
$561mm charge on mark-to-market adjustments on fuel hedges</t>
        </r>
      </text>
    </comment>
    <comment ref="AY250" authorId="0">
      <text>
        <r>
          <rPr>
            <b/>
            <sz val="8"/>
            <color indexed="81"/>
            <rFont val="Tahoma"/>
            <family val="2"/>
          </rPr>
          <t>nedgill:</t>
        </r>
        <r>
          <rPr>
            <sz val="8"/>
            <color indexed="81"/>
            <rFont val="Tahoma"/>
            <family val="2"/>
          </rPr>
          <t xml:space="preserve">
highly negative due to merger related charges</t>
        </r>
      </text>
    </comment>
    <comment ref="DV250" authorId="2">
      <text>
        <r>
          <rPr>
            <b/>
            <sz val="9"/>
            <color indexed="81"/>
            <rFont val="Tahoma"/>
            <family val="2"/>
          </rPr>
          <t>Newman, Brendan (Research):</t>
        </r>
        <r>
          <rPr>
            <sz val="9"/>
            <color indexed="81"/>
            <rFont val="Tahoma"/>
            <family val="2"/>
          </rPr>
          <t xml:space="preserve">
according to estimate for $5B in NOLs left at end of 2017 from slide deck</t>
        </r>
      </text>
    </comment>
    <comment ref="AY251" authorId="0">
      <text>
        <r>
          <rPr>
            <b/>
            <sz val="8"/>
            <color indexed="81"/>
            <rFont val="Tahoma"/>
            <family val="2"/>
          </rPr>
          <t>nedgill:</t>
        </r>
        <r>
          <rPr>
            <sz val="8"/>
            <color indexed="81"/>
            <rFont val="Tahoma"/>
            <family val="2"/>
          </rPr>
          <t xml:space="preserve">
not as reported. Adjusted to fit pro forma Income Statement</t>
        </r>
      </text>
    </comment>
    <comment ref="A255" authorId="4">
      <text>
        <r>
          <rPr>
            <sz val="8"/>
            <color indexed="81"/>
            <rFont val="Tahoma"/>
            <family val="2"/>
          </rPr>
          <t xml:space="preserve">pension contribution is included in net income. This takes out the noncash part
</t>
        </r>
      </text>
    </comment>
    <comment ref="AY266" authorId="0">
      <text>
        <r>
          <rPr>
            <b/>
            <sz val="8"/>
            <color indexed="81"/>
            <rFont val="Tahoma"/>
            <family val="2"/>
          </rPr>
          <t>nedgill:</t>
        </r>
        <r>
          <rPr>
            <sz val="8"/>
            <color indexed="81"/>
            <rFont val="Tahoma"/>
            <family val="2"/>
          </rPr>
          <t xml:space="preserve">
boosted by increase in cash due to merger</t>
        </r>
      </text>
    </comment>
    <comment ref="Z281" authorId="0">
      <text>
        <r>
          <rPr>
            <b/>
            <sz val="8"/>
            <color indexed="81"/>
            <rFont val="Tahoma"/>
            <family val="2"/>
          </rPr>
          <t>nedgill:</t>
        </r>
        <r>
          <rPr>
            <sz val="8"/>
            <color indexed="81"/>
            <rFont val="Tahoma"/>
            <family val="2"/>
          </rPr>
          <t xml:space="preserve">
adjusted for accuracy in 2004 and 2005</t>
        </r>
      </text>
    </comment>
    <comment ref="AW289" authorId="7">
      <text>
        <r>
          <rPr>
            <b/>
            <sz val="8"/>
            <color indexed="81"/>
            <rFont val="Tahoma"/>
            <family val="2"/>
          </rPr>
          <t>godjohn:</t>
        </r>
        <r>
          <rPr>
            <sz val="8"/>
            <color indexed="81"/>
            <rFont val="Tahoma"/>
            <family val="2"/>
          </rPr>
          <t xml:space="preserve">
includes cash collateral posted due to hedging</t>
        </r>
      </text>
    </comment>
    <comment ref="AX289" authorId="7">
      <text>
        <r>
          <rPr>
            <b/>
            <sz val="8"/>
            <color indexed="81"/>
            <rFont val="Tahoma"/>
            <family val="2"/>
          </rPr>
          <t>godjohn:</t>
        </r>
        <r>
          <rPr>
            <sz val="8"/>
            <color indexed="81"/>
            <rFont val="Tahoma"/>
            <family val="2"/>
          </rPr>
          <t xml:space="preserve">
includes 1139M in hedge margin receivables</t>
        </r>
      </text>
    </comment>
    <comment ref="AZ289" authorId="7">
      <text>
        <r>
          <rPr>
            <b/>
            <sz val="8"/>
            <color indexed="81"/>
            <rFont val="Tahoma"/>
            <family val="2"/>
          </rPr>
          <t>godjohn:</t>
        </r>
        <r>
          <rPr>
            <sz val="8"/>
            <color indexed="81"/>
            <rFont val="Tahoma"/>
            <family val="2"/>
          </rPr>
          <t xml:space="preserve">
includes cash collateral posted due to hedging</t>
        </r>
      </text>
    </comment>
    <comment ref="AF317" authorId="0">
      <text>
        <r>
          <rPr>
            <b/>
            <sz val="8"/>
            <color indexed="81"/>
            <rFont val="Tahoma"/>
            <family val="2"/>
          </rPr>
          <t>nedgill:</t>
        </r>
        <r>
          <rPr>
            <sz val="8"/>
            <color indexed="81"/>
            <rFont val="Tahoma"/>
            <family val="2"/>
          </rPr>
          <t xml:space="preserve">
grouped in with "Liabilities Subject to Comprimise"</t>
        </r>
      </text>
    </comment>
    <comment ref="AG317" authorId="0">
      <text>
        <r>
          <rPr>
            <b/>
            <sz val="8"/>
            <color indexed="81"/>
            <rFont val="Tahoma"/>
            <family val="2"/>
          </rPr>
          <t>nedgill:</t>
        </r>
        <r>
          <rPr>
            <sz val="8"/>
            <color indexed="81"/>
            <rFont val="Tahoma"/>
            <family val="2"/>
          </rPr>
          <t xml:space="preserve">
grouped in with "Liabilities Subject to Comprimise"</t>
        </r>
      </text>
    </comment>
    <comment ref="AH317" authorId="0">
      <text>
        <r>
          <rPr>
            <b/>
            <sz val="8"/>
            <color indexed="81"/>
            <rFont val="Tahoma"/>
            <family val="2"/>
          </rPr>
          <t>nedgill:</t>
        </r>
        <r>
          <rPr>
            <sz val="8"/>
            <color indexed="81"/>
            <rFont val="Tahoma"/>
            <family val="2"/>
          </rPr>
          <t xml:space="preserve">
grouped in with "Liabilities Subject to Comprimise"</t>
        </r>
      </text>
    </comment>
    <comment ref="AI317" authorId="0">
      <text>
        <r>
          <rPr>
            <b/>
            <sz val="8"/>
            <color indexed="81"/>
            <rFont val="Tahoma"/>
            <family val="2"/>
          </rPr>
          <t>nedgill:</t>
        </r>
        <r>
          <rPr>
            <sz val="8"/>
            <color indexed="81"/>
            <rFont val="Tahoma"/>
            <family val="2"/>
          </rPr>
          <t xml:space="preserve">
grouped in with "Liabilities Subject to Comprimise"</t>
        </r>
      </text>
    </comment>
    <comment ref="AJ317" authorId="0">
      <text>
        <r>
          <rPr>
            <b/>
            <sz val="8"/>
            <color indexed="81"/>
            <rFont val="Tahoma"/>
            <family val="2"/>
          </rPr>
          <t>nedgill:</t>
        </r>
        <r>
          <rPr>
            <sz val="8"/>
            <color indexed="81"/>
            <rFont val="Tahoma"/>
            <family val="2"/>
          </rPr>
          <t xml:space="preserve">
grouped in with "Liabilities Subject to Comprimise"</t>
        </r>
      </text>
    </comment>
    <comment ref="AK317" authorId="0">
      <text>
        <r>
          <rPr>
            <b/>
            <sz val="8"/>
            <color indexed="81"/>
            <rFont val="Tahoma"/>
            <family val="2"/>
          </rPr>
          <t>nedgill:</t>
        </r>
        <r>
          <rPr>
            <sz val="8"/>
            <color indexed="81"/>
            <rFont val="Tahoma"/>
            <family val="2"/>
          </rPr>
          <t xml:space="preserve">
grouped in with "Liabilities Subject to Comprimise"</t>
        </r>
      </text>
    </comment>
    <comment ref="BA346" authorId="0">
      <text>
        <r>
          <rPr>
            <b/>
            <sz val="8"/>
            <color indexed="81"/>
            <rFont val="Tahoma"/>
            <family val="2"/>
          </rPr>
          <t>nedgill:</t>
        </r>
        <r>
          <rPr>
            <sz val="8"/>
            <color indexed="81"/>
            <rFont val="Tahoma"/>
            <family val="2"/>
          </rPr>
          <t xml:space="preserve">
Some of DAL's ARS (83M fair value) are reported in other long-term assets
DAL's Student Loan Backed ARS fair valued at 38M, cost basis of 45M; These are reported as Short Term Investments and captured in the Unrestricted Cash Balance Above</t>
        </r>
      </text>
    </comment>
    <comment ref="BB347" authorId="0">
      <text>
        <r>
          <rPr>
            <b/>
            <sz val="8"/>
            <color indexed="81"/>
            <rFont val="Tahoma"/>
            <family val="2"/>
          </rPr>
          <t>nedgill:</t>
        </r>
        <r>
          <rPr>
            <sz val="8"/>
            <color indexed="81"/>
            <rFont val="Tahoma"/>
            <family val="2"/>
          </rPr>
          <t xml:space="preserve">
300 remaining on old NWA revolver, 
500 on DAL revolver fully drawn</t>
        </r>
      </text>
    </comment>
    <comment ref="BC347" authorId="0">
      <text>
        <r>
          <rPr>
            <b/>
            <sz val="8"/>
            <color indexed="81"/>
            <rFont val="Tahoma"/>
            <family val="2"/>
          </rPr>
          <t>nedgill:</t>
        </r>
        <r>
          <rPr>
            <sz val="8"/>
            <color indexed="81"/>
            <rFont val="Tahoma"/>
            <family val="2"/>
          </rPr>
          <t xml:space="preserve">
500 + 250, some of which is drawn</t>
        </r>
      </text>
    </comment>
    <comment ref="BF347" authorId="0">
      <text>
        <r>
          <rPr>
            <b/>
            <sz val="8"/>
            <color indexed="81"/>
            <rFont val="Tahoma"/>
            <family val="2"/>
          </rPr>
          <t>nedgill:</t>
        </r>
        <r>
          <rPr>
            <sz val="8"/>
            <color indexed="81"/>
            <rFont val="Tahoma"/>
            <family val="2"/>
          </rPr>
          <t xml:space="preserve">
includes exit facility</t>
        </r>
      </text>
    </comment>
    <comment ref="BG347" authorId="0">
      <text>
        <r>
          <rPr>
            <b/>
            <sz val="8"/>
            <color indexed="81"/>
            <rFont val="Tahoma"/>
            <family val="2"/>
          </rPr>
          <t>nedgill:</t>
        </r>
        <r>
          <rPr>
            <sz val="8"/>
            <color indexed="81"/>
            <rFont val="Tahoma"/>
            <family val="2"/>
          </rPr>
          <t xml:space="preserve">
as DAL de-levers some credit frees up</t>
        </r>
      </text>
    </comment>
    <comment ref="BK347" authorId="0">
      <text>
        <r>
          <rPr>
            <b/>
            <sz val="8"/>
            <color indexed="81"/>
            <rFont val="Tahoma"/>
            <family val="2"/>
          </rPr>
          <t>nedgill:</t>
        </r>
        <r>
          <rPr>
            <sz val="8"/>
            <color indexed="81"/>
            <rFont val="Tahoma"/>
            <family val="2"/>
          </rPr>
          <t xml:space="preserve">
revolver now $1.8B</t>
        </r>
      </text>
    </comment>
    <comment ref="BA348" authorId="0">
      <text>
        <r>
          <rPr>
            <b/>
            <sz val="8"/>
            <color indexed="81"/>
            <rFont val="Tahoma"/>
            <family val="2"/>
          </rPr>
          <t>nedgill:</t>
        </r>
        <r>
          <rPr>
            <sz val="8"/>
            <color indexed="81"/>
            <rFont val="Tahoma"/>
            <family val="2"/>
          </rPr>
          <t xml:space="preserve">
no meaningful unencumbered assets as of May '09</t>
        </r>
      </text>
    </comment>
    <comment ref="BC354" authorId="0">
      <text>
        <r>
          <rPr>
            <b/>
            <sz val="8"/>
            <color indexed="81"/>
            <rFont val="Tahoma"/>
            <family val="2"/>
          </rPr>
          <t>nedgill:</t>
        </r>
        <r>
          <rPr>
            <sz val="8"/>
            <color indexed="81"/>
            <rFont val="Tahoma"/>
            <family val="2"/>
          </rPr>
          <t xml:space="preserve">
5.4B</t>
        </r>
      </text>
    </comment>
    <comment ref="BE354" authorId="0">
      <text>
        <r>
          <rPr>
            <b/>
            <sz val="8"/>
            <color indexed="81"/>
            <rFont val="Tahoma"/>
            <family val="2"/>
          </rPr>
          <t>nedgill:</t>
        </r>
        <r>
          <rPr>
            <sz val="8"/>
            <color indexed="81"/>
            <rFont val="Tahoma"/>
            <family val="2"/>
          </rPr>
          <t xml:space="preserve">
5.6B</t>
        </r>
      </text>
    </comment>
    <comment ref="BF354" authorId="0">
      <text>
        <r>
          <rPr>
            <b/>
            <sz val="8"/>
            <color indexed="81"/>
            <rFont val="Tahoma"/>
            <family val="2"/>
          </rPr>
          <t>nedgill:</t>
        </r>
        <r>
          <rPr>
            <sz val="8"/>
            <color indexed="81"/>
            <rFont val="Tahoma"/>
            <family val="2"/>
          </rPr>
          <t xml:space="preserve">
$6.0B</t>
        </r>
      </text>
    </comment>
    <comment ref="BG354" authorId="0">
      <text>
        <r>
          <rPr>
            <b/>
            <sz val="8"/>
            <color indexed="81"/>
            <rFont val="Tahoma"/>
            <family val="2"/>
          </rPr>
          <t>nedgill:</t>
        </r>
        <r>
          <rPr>
            <sz val="8"/>
            <color indexed="81"/>
            <rFont val="Tahoma"/>
            <family val="2"/>
          </rPr>
          <t xml:space="preserve">
$5.5B</t>
        </r>
      </text>
    </comment>
    <comment ref="BH354" authorId="0">
      <text>
        <r>
          <rPr>
            <b/>
            <sz val="8"/>
            <color indexed="81"/>
            <rFont val="Tahoma"/>
            <family val="2"/>
          </rPr>
          <t>nedgill:</t>
        </r>
        <r>
          <rPr>
            <sz val="8"/>
            <color indexed="81"/>
            <rFont val="Tahoma"/>
            <family val="2"/>
          </rPr>
          <t xml:space="preserve">
$5.2B</t>
        </r>
      </text>
    </comment>
    <comment ref="BA378" authorId="0">
      <text>
        <r>
          <rPr>
            <b/>
            <sz val="8"/>
            <color indexed="81"/>
            <rFont val="Tahoma"/>
            <family val="2"/>
          </rPr>
          <t>nedgill:</t>
        </r>
        <r>
          <rPr>
            <sz val="8"/>
            <color indexed="81"/>
            <rFont val="Tahoma"/>
            <family val="2"/>
          </rPr>
          <t xml:space="preserve">
Covenant applies to stand alone NWA</t>
        </r>
      </text>
    </comment>
    <comment ref="BB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BC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BD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BE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BF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BG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BH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BI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BN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BS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BX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CC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CH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CM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CR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CW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DB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DG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DL379" authorId="0">
      <text>
        <r>
          <rPr>
            <b/>
            <sz val="8"/>
            <color indexed="81"/>
            <rFont val="Tahoma"/>
            <family val="2"/>
          </rPr>
          <t>nedgill:</t>
        </r>
        <r>
          <rPr>
            <sz val="8"/>
            <color indexed="81"/>
            <rFont val="Tahoma"/>
            <family val="2"/>
          </rPr>
          <t xml:space="preserve">
covenant on new senior secured credit facility - $500M revolver and $250M term loan</t>
        </r>
      </text>
    </comment>
    <comment ref="BA382" authorId="0">
      <text>
        <r>
          <rPr>
            <b/>
            <sz val="8"/>
            <color indexed="81"/>
            <rFont val="Tahoma"/>
            <family val="2"/>
          </rPr>
          <t>nedgill:</t>
        </r>
        <r>
          <rPr>
            <sz val="8"/>
            <color indexed="81"/>
            <rFont val="Tahoma"/>
            <family val="2"/>
          </rPr>
          <t xml:space="preserve">
Covenant applies to stand alone NWA</t>
        </r>
      </text>
    </comment>
  </commentList>
</comments>
</file>

<file path=xl/sharedStrings.xml><?xml version="1.0" encoding="utf-8"?>
<sst xmlns="http://schemas.openxmlformats.org/spreadsheetml/2006/main" count="1220" uniqueCount="962">
  <si>
    <t>Current Fixed Charge Ratio</t>
  </si>
  <si>
    <t>Aircraft Fuel</t>
  </si>
  <si>
    <t>Total Operating Expense</t>
  </si>
  <si>
    <t>Avg Unrestricted Cash</t>
  </si>
  <si>
    <t>Implied Interest Rate and Forward Interest Rate Assumption</t>
  </si>
  <si>
    <t>First Copy is Master - Other Sensitivities Are Linked to It - Caution When Changing</t>
  </si>
  <si>
    <t>Other Current Liabilities</t>
  </si>
  <si>
    <t>Total Current Liaibilities</t>
  </si>
  <si>
    <t>Long-Term Debt, Less Current Portion</t>
  </si>
  <si>
    <t>LTM EBIT / LTM Net Interest Expense</t>
  </si>
  <si>
    <t>LTM EBITDA / LTM Net Interest Expense</t>
  </si>
  <si>
    <t>LTM EBITDAR / LTM Net Interest Expense</t>
  </si>
  <si>
    <t>LTM EBIT / LTM Interest Expense</t>
  </si>
  <si>
    <t>DAL.N,mstag:statutoryTaxRate,2006FY,,FYE</t>
  </si>
  <si>
    <t>Net Debt Calculations</t>
  </si>
  <si>
    <t xml:space="preserve">Total Owned and Leased PPE </t>
  </si>
  <si>
    <t>Other Revenue (mm)</t>
  </si>
  <si>
    <t>,mscalc:defaultCurrencyCalc</t>
  </si>
  <si>
    <t>,mscalc:fiscalYearEndMonth</t>
  </si>
  <si>
    <t>DAL.N,mscalc:lastActualYearAsPerYearEndCalc</t>
  </si>
  <si>
    <t>2011</t>
  </si>
  <si>
    <t>,mscalc:lastActualYearAsPerYearEndCalc</t>
  </si>
  <si>
    <t>DAL.N,mscalc:fiscalYearEndMonth</t>
  </si>
  <si>
    <t>12</t>
  </si>
  <si>
    <t>DAL.N,mstag:statutoryTaxRate,2010FY,,FYE</t>
  </si>
  <si>
    <t>0.37</t>
  </si>
  <si>
    <t>Avg. FTEs (Consolidated Ops)</t>
  </si>
  <si>
    <t>Avg. FTEs per Avg Consolidated Aircraft</t>
  </si>
  <si>
    <t>1Qe</t>
  </si>
  <si>
    <t>2Qe</t>
  </si>
  <si>
    <t>3Qe</t>
  </si>
  <si>
    <t>4Qa</t>
  </si>
  <si>
    <t>2007a</t>
  </si>
  <si>
    <t>2008A</t>
  </si>
  <si>
    <t>6/24/11: $5.8B at end of 2Q11</t>
  </si>
  <si>
    <t>LTM EBITDA / LTM Interest Expense</t>
  </si>
  <si>
    <t>LTM EBITDAR / LTM Interest Expense</t>
  </si>
  <si>
    <t>Price / EBIT</t>
  </si>
  <si>
    <t>Payout Ratio</t>
  </si>
  <si>
    <t>Gal per 1,000 ASMs</t>
  </si>
  <si>
    <t>Calculation</t>
  </si>
  <si>
    <t>Salaries Expense per Cons ASM (cents)</t>
  </si>
  <si>
    <t>Sequential Change %</t>
  </si>
  <si>
    <t>INCOME STATEMENT</t>
  </si>
  <si>
    <t>OPERATING REVENUE</t>
  </si>
  <si>
    <t>As % of Total Mainline Revenue</t>
  </si>
  <si>
    <t>As % of Consolidated Passenger Revenue</t>
  </si>
  <si>
    <t>Gross Debt / LTM EBIT</t>
  </si>
  <si>
    <t>Interest Income</t>
  </si>
  <si>
    <t>Period Ending Basic Shares</t>
  </si>
  <si>
    <t>Accrued Dividends</t>
  </si>
  <si>
    <t>Total Cargo and Other Revenue</t>
  </si>
  <si>
    <t>LTM Operating Revenue</t>
  </si>
  <si>
    <t>LTM Operating Expense</t>
  </si>
  <si>
    <t>DAL.N,mstag:statutoryTaxRate,2005FY,,FYE</t>
  </si>
  <si>
    <t>DAL.N,mstag:statutoryTaxRate,2014FY,,FYE</t>
  </si>
  <si>
    <t>DAL.N,mstag:statutoryTaxRate,2011FY,,FYR</t>
  </si>
  <si>
    <t>$CX$2</t>
  </si>
  <si>
    <t>Debt Net of Total Cash and Converts</t>
  </si>
  <si>
    <t>Debt Net of Unrest. Cash and Converts</t>
  </si>
  <si>
    <t>Modelware Income Statement Requirements</t>
  </si>
  <si>
    <t>This is only for the purpose of correct 2008 growth rates</t>
  </si>
  <si>
    <t>Ticker:</t>
  </si>
  <si>
    <t>ALGT.O,mstag:statutoryTaxRate,2011FY,,FYR</t>
  </si>
  <si>
    <t>ALGT.O,mstag:statutoryTaxRate,2012FY,,FYR</t>
  </si>
  <si>
    <t>ALGT.O,mstag:statutoryTaxRate,2010FY,,FYR</t>
  </si>
  <si>
    <t>ALGT.O,mstag:statutoryTaxRate,2005FY,,FYR</t>
  </si>
  <si>
    <t>ALGT.O,mstag:statutoryTaxRate,2009FY,,FYR</t>
  </si>
  <si>
    <t>ALGT.O,mstag:statutoryTaxRate,2008FY,,FYR</t>
  </si>
  <si>
    <t>DAL.N,mscalc:sedolCodeCalc</t>
  </si>
  <si>
    <t>Ancillary Business Expense</t>
  </si>
  <si>
    <t>JBLU.O,mstag:averageDilutedSharesOutstanding,2012Q1,,,,,HOLD</t>
  </si>
  <si>
    <t>309</t>
  </si>
  <si>
    <t>HA.O,mstag:averageDilutedSharesOutstanding,2012Q1,,,,,HOLD</t>
  </si>
  <si>
    <t>50.858</t>
  </si>
  <si>
    <t>ALGT.O,mstag:averageDilutedSharesOutstanding,2012Q1,,,,,HOLD</t>
  </si>
  <si>
    <t>19.1193535757116</t>
  </si>
  <si>
    <t>UAL.N,mstag:averageDilutedSharesOutstanding,2012Q1,,,,,HOLD</t>
  </si>
  <si>
    <t>330</t>
  </si>
  <si>
    <t>Unrestricted Cash and ST Investments</t>
  </si>
  <si>
    <t>LTM Mainline Aircraft Rent</t>
  </si>
  <si>
    <t>Annualized Mainline Aircraft Rent</t>
  </si>
  <si>
    <t>Annualized Regional Rent</t>
  </si>
  <si>
    <t>2007A</t>
  </si>
  <si>
    <t>2006A</t>
  </si>
  <si>
    <t>2005A</t>
  </si>
  <si>
    <t>2004A</t>
  </si>
  <si>
    <t>2003A</t>
  </si>
  <si>
    <t>2002A</t>
  </si>
  <si>
    <t>2001A</t>
  </si>
  <si>
    <t>2000A</t>
  </si>
  <si>
    <t>ALGT.O,mstag:statutoryTaxRate,2000FY,,FYR</t>
  </si>
  <si>
    <t>ALGT.O,mstag:statutoryTaxRate,2007FY,,FYR</t>
  </si>
  <si>
    <t>0.38</t>
  </si>
  <si>
    <t>ALGT.O,mstag:statutoryTaxRate,2006FY,,FYR</t>
  </si>
  <si>
    <t>ALGT.O,mstag:statutoryTaxRate,2004FY,,FYR</t>
  </si>
  <si>
    <t>Regional Aircraft (end of period)</t>
  </si>
  <si>
    <t>EBITDAR</t>
  </si>
  <si>
    <t>Mainline Rent Adj. Debt Net of Total Cash and Converts</t>
  </si>
  <si>
    <t>Restricted Cash</t>
  </si>
  <si>
    <t>Available Lines of Credit</t>
  </si>
  <si>
    <t>% of Unencumbered Assets Applied to Liquidity</t>
  </si>
  <si>
    <t>Ex Fuel, Prof. Shr. &amp; Anc. Exp. per ASM (cents)</t>
  </si>
  <si>
    <t>Additional Paid-In Capital (APIC)</t>
  </si>
  <si>
    <t>Other Comprehensive Loss / Other</t>
  </si>
  <si>
    <t>Basic Earnings Per Share</t>
  </si>
  <si>
    <t>Extraordinary Items</t>
  </si>
  <si>
    <t>2012A</t>
  </si>
  <si>
    <t>Inventory (Spare parts, etc.)</t>
  </si>
  <si>
    <t>Deferred Income Taxes</t>
  </si>
  <si>
    <t>Other Current Assets</t>
  </si>
  <si>
    <t>Hedged Fuel Price Forecasting Details</t>
  </si>
  <si>
    <t>Traditional EBITDAR</t>
  </si>
  <si>
    <t>Operating Margin</t>
  </si>
  <si>
    <t>Common Stock</t>
  </si>
  <si>
    <t>Total Extraordinary Items (A/T)</t>
  </si>
  <si>
    <t>Cash provided by (used in) operations</t>
  </si>
  <si>
    <t>Pre-tax Margin</t>
  </si>
  <si>
    <t>Operating Revenue</t>
  </si>
  <si>
    <t>LTM Fuel Expense</t>
  </si>
  <si>
    <t>Operating Income</t>
  </si>
  <si>
    <t>Goodwill</t>
  </si>
  <si>
    <t>Amortization</t>
  </si>
  <si>
    <t>Other Long-Term Assets</t>
  </si>
  <si>
    <t>Total Non-Current Assets</t>
  </si>
  <si>
    <t>Short-Term Debt and Current Portion of Long-Term Debt</t>
  </si>
  <si>
    <t>Accounts Payable</t>
  </si>
  <si>
    <t>Enterprise Value Calculations</t>
  </si>
  <si>
    <t>NA</t>
  </si>
  <si>
    <t>LTM EBIT</t>
  </si>
  <si>
    <t>LTM EBITDA</t>
  </si>
  <si>
    <t>LTM EBITDAR</t>
  </si>
  <si>
    <t>LTM Regional Rent Adj EBITDAR</t>
  </si>
  <si>
    <t>LTM Interest Income</t>
  </si>
  <si>
    <t>LTM Interest Expense</t>
  </si>
  <si>
    <t>Annualized Total Aircraft Rent</t>
  </si>
  <si>
    <t>Capex</t>
  </si>
  <si>
    <t>DAL.N</t>
  </si>
  <si>
    <t>Regional Aircraft (simple avg.)</t>
  </si>
  <si>
    <t>Other Fuel Costs (transports, taxes, etc.)</t>
  </si>
  <si>
    <t>Aircraft Fuel per Mainline ASM (cents)</t>
  </si>
  <si>
    <t>Stock Price Assumptions</t>
  </si>
  <si>
    <t>Total D&amp;A</t>
  </si>
  <si>
    <t>Gallons per 1,000 Regional ASMs</t>
  </si>
  <si>
    <t>Cargo Revenue</t>
  </si>
  <si>
    <t>Current Stock Price</t>
  </si>
  <si>
    <t>LCC.N,mstag:averageDilutedSharesOutstanding,2012Q1,,,,,HOLD</t>
  </si>
  <si>
    <t>162.1</t>
  </si>
  <si>
    <t>LUV.N,mstag:averageDilutedSharesOutstanding,2012Q1,,,,,HOLD</t>
  </si>
  <si>
    <t>783</t>
  </si>
  <si>
    <t>CSX.N,mscalc:defaultCurrencyCalc</t>
  </si>
  <si>
    <t>Est % of Regional Expense Representing AC Rent</t>
  </si>
  <si>
    <t>Rents in Contract Carrier Expense</t>
  </si>
  <si>
    <t>Expense per Mainline Aircraft</t>
  </si>
  <si>
    <t>Interest Income Forecast</t>
  </si>
  <si>
    <t>Avg Debt</t>
  </si>
  <si>
    <t>Interest Expense Forecast</t>
  </si>
  <si>
    <t>Tax Rate to Adjust One-time items</t>
  </si>
  <si>
    <t>Total Current Assets</t>
  </si>
  <si>
    <t>3QA</t>
  </si>
  <si>
    <t>4QA</t>
  </si>
  <si>
    <t>Total</t>
  </si>
  <si>
    <t>2 YoY % Chg.</t>
  </si>
  <si>
    <t>Mainline Domestic Pax Rev (mm)</t>
  </si>
  <si>
    <t>Cargo Rev / Cons. ASM</t>
  </si>
  <si>
    <t>As % of Total Revenue</t>
  </si>
  <si>
    <t>Other Rev / Cons. ASM</t>
  </si>
  <si>
    <t>Total Accumulated Depreciation</t>
  </si>
  <si>
    <t>EBITDAR Margin</t>
  </si>
  <si>
    <t>Depreciation</t>
  </si>
  <si>
    <t>OPERATING SUMMARY</t>
  </si>
  <si>
    <t>YoY Pt. Chg.</t>
  </si>
  <si>
    <t>EPS RECONCILIATION</t>
  </si>
  <si>
    <t>OTHER INCOME/(EXPENSE)</t>
  </si>
  <si>
    <t>Mgmt plans to maintain minimum liquidity level of $5.0B</t>
  </si>
  <si>
    <t>ALGT.O,mstag:statutoryTaxRate,2002FY,,FYR</t>
  </si>
  <si>
    <t>ALK.N,mstag:averageDilutedSharesOutstanding,2012Q1,,,,,HOLD</t>
  </si>
  <si>
    <t>Salaries and Related Costs</t>
  </si>
  <si>
    <t>Baseline Unhedged Jet Fuel Price</t>
  </si>
  <si>
    <t>DAL.N,mstag:statutoryTaxRate,2011FY,,FYE</t>
  </si>
  <si>
    <t>Currency</t>
  </si>
  <si>
    <t>Regional Pax Rev (mm)</t>
  </si>
  <si>
    <t>Period-end FTEs (Consolidated Ops)</t>
  </si>
  <si>
    <t>Expense Per Average FTE</t>
  </si>
  <si>
    <t>OPERATING EXPENSES</t>
  </si>
  <si>
    <t>Fuel Price Per Gallon</t>
  </si>
  <si>
    <t>Approx. Call Hedged Consumption (%)</t>
  </si>
  <si>
    <t>Approx. Call Hedged Jet Fuel Price</t>
  </si>
  <si>
    <t>Approx. Put Hedged Consumption (%)</t>
  </si>
  <si>
    <t>LTM Net Interest Expense</t>
  </si>
  <si>
    <t>Replacing 50-seat regional and older AC with CRJ900, B717 and B737-900ER</t>
  </si>
  <si>
    <t>BALANCE SHEET</t>
  </si>
  <si>
    <t>ASSETS</t>
  </si>
  <si>
    <t>Accounts Receivable</t>
  </si>
  <si>
    <t>Price</t>
  </si>
  <si>
    <t>EPS</t>
  </si>
  <si>
    <t>Gallons Consumed for Fuel Expense (mm)</t>
  </si>
  <si>
    <t>1Q</t>
  </si>
  <si>
    <t>2Q</t>
  </si>
  <si>
    <t>3Q</t>
  </si>
  <si>
    <t>4Q</t>
  </si>
  <si>
    <t>Avg.</t>
  </si>
  <si>
    <t>Delta Air Lines, Inc.</t>
  </si>
  <si>
    <t>Total Liabilities</t>
  </si>
  <si>
    <t>Math Check: Assets - (Liabilities + Equity)</t>
  </si>
  <si>
    <t>Accrual Net Share Issuance</t>
  </si>
  <si>
    <t>Changes in AOCI</t>
  </si>
  <si>
    <t>LTM Passenger Revenue</t>
  </si>
  <si>
    <t>Operating Expense</t>
  </si>
  <si>
    <t>Total Assets</t>
  </si>
  <si>
    <t>DAL.N,mscalc:factsetIdCalc</t>
  </si>
  <si>
    <t xml:space="preserve">After Tax Restructuring Costs </t>
  </si>
  <si>
    <t>Min. Fixed Charge Ratio</t>
  </si>
  <si>
    <t>Adjustments for Net Debt</t>
  </si>
  <si>
    <t>Adj. Net Debt as defined by DAL</t>
  </si>
  <si>
    <t>Debt Net of Unrest. Cash / LTM EBIT</t>
  </si>
  <si>
    <t>Debt Net of Unrest. Cash / LTM EBITDA</t>
  </si>
  <si>
    <t>Debt Net of Unrest. Cash / LTM EBITDAR</t>
  </si>
  <si>
    <t>Accrued Pension Liability</t>
  </si>
  <si>
    <t>Other Long-Term Liabilities</t>
  </si>
  <si>
    <t>Total Non-Current Liabilities</t>
  </si>
  <si>
    <t>Beginning Cash</t>
  </si>
  <si>
    <t>DAL.N,mscalc:targetPrice</t>
  </si>
  <si>
    <t>,mscalc:targetPrice,,,,USD</t>
  </si>
  <si>
    <t>After Tax Asset Impairment Charge</t>
  </si>
  <si>
    <t>Total Aircraft (simple avg.)</t>
  </si>
  <si>
    <t>All Other Expenses</t>
  </si>
  <si>
    <t>Assumes all aircraft are replacements</t>
  </si>
  <si>
    <t>Depreciation and Amortization</t>
  </si>
  <si>
    <t>$2B Min. Cash Balance Covenant (Sr. Secured Credit Facility)</t>
  </si>
  <si>
    <t>Valuation Summary</t>
  </si>
  <si>
    <t>LTM Ex-Fuel Operating Expense</t>
  </si>
  <si>
    <t xml:space="preserve">Total Owned and Leased PPE, net </t>
  </si>
  <si>
    <t>LIABILITIES</t>
  </si>
  <si>
    <t>SHAREHOLDERS' EQUITY</t>
  </si>
  <si>
    <t>Total Liabilities and Equity</t>
  </si>
  <si>
    <t>Fuel Gallons Consumed for Regional Fuel Expense (mm)</t>
  </si>
  <si>
    <t>Retained Earnings</t>
  </si>
  <si>
    <t>Other</t>
  </si>
  <si>
    <t>Treasury Stock</t>
  </si>
  <si>
    <t>Consolidated Pax Rev (mm)</t>
  </si>
  <si>
    <t>Mainline International Pax Rev (mm)</t>
  </si>
  <si>
    <t>% of Ex-Fuel Expenses</t>
  </si>
  <si>
    <t>OPERATING STATISTICS</t>
  </si>
  <si>
    <t>YoY % Chg.</t>
  </si>
  <si>
    <t>Delta Air Lines</t>
  </si>
  <si>
    <t>Total Unencumbered Assets</t>
  </si>
  <si>
    <t>Total Liquidity including Restriced Cash</t>
  </si>
  <si>
    <t>Total Liquidity ex-Restriced Cash</t>
  </si>
  <si>
    <t>% of Total Assets</t>
  </si>
  <si>
    <t>Covenant Check</t>
  </si>
  <si>
    <t>Current Cash Balance</t>
  </si>
  <si>
    <t>Mainline Aircraft (end of period)</t>
  </si>
  <si>
    <t>Mainline Aircraft (simple avg.)</t>
  </si>
  <si>
    <t>Total Aircraft (end of period)</t>
  </si>
  <si>
    <t>Total Rent Adj. Debt Net of Total Cash and Converts</t>
  </si>
  <si>
    <t>Income Statement Calculations</t>
  </si>
  <si>
    <t>Total Unrestricted Cash and Short-Term Investments</t>
  </si>
  <si>
    <t>2010A</t>
  </si>
  <si>
    <t>Aircraft Rent</t>
  </si>
  <si>
    <t>Contract Carrier Arrangements (Regional Expense)</t>
  </si>
  <si>
    <t>Implied / Assumed Depreciable Life of PPE</t>
  </si>
  <si>
    <t>Fuel Price per Gallon</t>
  </si>
  <si>
    <t>Total Cash Balance</t>
  </si>
  <si>
    <t>On Balance Sheet Debt</t>
  </si>
  <si>
    <t>Convertible Debt Adjustment</t>
  </si>
  <si>
    <t>Diluted Shares Outstanding</t>
  </si>
  <si>
    <t>As Reported - (Merger in 4Q)</t>
  </si>
  <si>
    <t>2009A</t>
  </si>
  <si>
    <t>Regional Rent Adj. EBITDAR</t>
  </si>
  <si>
    <t>Net Interest Expense</t>
  </si>
  <si>
    <t>Total Cash and Short-Term Investments</t>
  </si>
  <si>
    <t>36.7105475</t>
  </si>
  <si>
    <t>Net Income Before Extraordinary Items</t>
  </si>
  <si>
    <t>Count</t>
  </si>
  <si>
    <t>4QE</t>
  </si>
  <si>
    <t>Air Traffic Liability (ATL)</t>
  </si>
  <si>
    <t>ALGT.O,mstag:statutoryTaxRate,2013FY,,FYR</t>
  </si>
  <si>
    <t>Share Price</t>
  </si>
  <si>
    <t>Valuation</t>
  </si>
  <si>
    <t>LTM Regional Rent</t>
  </si>
  <si>
    <t>Year</t>
  </si>
  <si>
    <t>Total Other Income/(Expense)</t>
  </si>
  <si>
    <t>Price / Pre-tax Income</t>
  </si>
  <si>
    <t>EV / EBIT</t>
  </si>
  <si>
    <t>EV / EBITDA</t>
  </si>
  <si>
    <t>Price / Earnings</t>
  </si>
  <si>
    <t>Adj. EV / Sales</t>
  </si>
  <si>
    <t>Adj. EV / EBITDAR</t>
  </si>
  <si>
    <t>LTM Pre-Tax Income</t>
  </si>
  <si>
    <t>LTM Net Income</t>
  </si>
  <si>
    <t>,mscalc:closePriceCurrencyCalc</t>
  </si>
  <si>
    <t>,mscalc:sedolCodeCalc</t>
  </si>
  <si>
    <t>D&amp;A</t>
  </si>
  <si>
    <t>Total Shareholders' Equity</t>
  </si>
  <si>
    <t>Other Income/(Expenses)</t>
  </si>
  <si>
    <t>Effective Tax Rate</t>
  </si>
  <si>
    <t>Provision for Taxes (Benefit)</t>
  </si>
  <si>
    <t>Preferred Dividends</t>
  </si>
  <si>
    <t>Interest Add-back on Convertible Debt</t>
  </si>
  <si>
    <t>NET INCOME AND EPS</t>
  </si>
  <si>
    <t>INCOME STATEMENT VIEWS</t>
  </si>
  <si>
    <t>LAST TWELVE-MONTH VIEW</t>
  </si>
  <si>
    <t>CASH FLOW STATEMENT</t>
  </si>
  <si>
    <t>Balance Sheet</t>
  </si>
  <si>
    <t>DAL.N,mstag:statutoryTaxRate,2013FY,,FYE</t>
  </si>
  <si>
    <t>DAL.N,mstag:revenueNet,2009FY,,FYR,,,IN-PROGRESS</t>
  </si>
  <si>
    <t>DAL.N,mstag:statutoryTaxRate,2012FY,,FYE</t>
  </si>
  <si>
    <t>DAL.N,mstag:statutoryTaxRate,2008FY,,FYE</t>
  </si>
  <si>
    <t>DAL.N,mstag:statutoryTaxRate,2007FY,,FYE</t>
  </si>
  <si>
    <t>DAL.N,mstag:statutoryTaxRate,2009FY,,FYE</t>
  </si>
  <si>
    <t>DAL.N,mstag:statutoryTaxRate,2004FY,,FYE</t>
  </si>
  <si>
    <t>Assume DAL is purchasing AC vs. leasing</t>
  </si>
  <si>
    <t>Profit-Sharing Expense</t>
  </si>
  <si>
    <t>Date</t>
  </si>
  <si>
    <t>LTM EBIT / LTM (Interest + Aircraft Rent) Expense</t>
  </si>
  <si>
    <t>LTM EBITDA / LTM (Interest + Aircraft Rent) Expense</t>
  </si>
  <si>
    <t>All Other Expense per Cons ASM</t>
  </si>
  <si>
    <t>Total Operating Expense per ASM (cents)</t>
  </si>
  <si>
    <t>NWA Merger</t>
  </si>
  <si>
    <t>As Reported</t>
  </si>
  <si>
    <t>DAL.N,mscalc:defaultCurrencyCalc</t>
  </si>
  <si>
    <t>2013A</t>
  </si>
  <si>
    <t>Ending Cash</t>
  </si>
  <si>
    <t>Gross Debt / LTM EBITDA</t>
  </si>
  <si>
    <t>Gross Debt / LTM EBITDAR</t>
  </si>
  <si>
    <t>Consolidated Fuel Expense</t>
  </si>
  <si>
    <t>Total Domestic ASMs (mm)</t>
  </si>
  <si>
    <t>Total Revenue (mm)</t>
  </si>
  <si>
    <t>Expense ex-Profit Sharing</t>
  </si>
  <si>
    <t>Basic Shares Outstanding</t>
  </si>
  <si>
    <t>Dividends per share</t>
  </si>
  <si>
    <t>% of LTM Passenger Revenue</t>
  </si>
  <si>
    <t>% of LTM Operating Revenue</t>
  </si>
  <si>
    <t>Fleet Summary by Segment</t>
  </si>
  <si>
    <t>Approx. Put Hedged Jet Fuel Price</t>
  </si>
  <si>
    <t>Unhedged Jet Fuel Price Assumption</t>
  </si>
  <si>
    <t>Available Seat Miles by Segment</t>
  </si>
  <si>
    <t>Mainline Domestic ASMs (mm)</t>
  </si>
  <si>
    <t>Mainline International ASMs (mm)</t>
  </si>
  <si>
    <t>Total Mainline ASMs (mm)</t>
  </si>
  <si>
    <t>Regional Carrier ASMs (mm)</t>
  </si>
  <si>
    <t>Deferred Taxes</t>
  </si>
  <si>
    <t>Other Changes in Working Capital</t>
  </si>
  <si>
    <t>CapEx</t>
  </si>
  <si>
    <t>CASH FLOW FROM OPERATIONS</t>
  </si>
  <si>
    <t>Pension Contributions, net of I.S. expense</t>
  </si>
  <si>
    <t>LTM Metrics</t>
  </si>
  <si>
    <t>LTM Common-Sized Statement (% of LTM Total Revenue)</t>
  </si>
  <si>
    <t>ESOP</t>
  </si>
  <si>
    <t>Pre-tax Income</t>
  </si>
  <si>
    <t>10/2: Virgin income rolling through (2Q, 3Q seasonality higher than 1Q, 4Q)</t>
  </si>
  <si>
    <t>Includes third-party maintenance repair, Delta Global Services, MLT Vacation and</t>
  </si>
  <si>
    <t>USD</t>
  </si>
  <si>
    <t>ALGT.O,mstag:statutoryTaxRate,2003FY,,FYR</t>
  </si>
  <si>
    <t>ALGT.O,mstag:statutoryTaxRate,2001FY,,FYR</t>
  </si>
  <si>
    <t>Cash and ST Investments</t>
  </si>
  <si>
    <t>Unrestricted Cash Balance</t>
  </si>
  <si>
    <t>LTM D&amp;A</t>
  </si>
  <si>
    <t>Total Rent Adj. Debt Net of Unrest. Cash and Converts</t>
  </si>
  <si>
    <t>Cash &amp; Cash Equivalents</t>
  </si>
  <si>
    <t>Short-Term Investments</t>
  </si>
  <si>
    <t>Contract Expense</t>
  </si>
  <si>
    <t>Contract Carrier Fuel Expense</t>
  </si>
  <si>
    <t>Contract Expense per Regional ASM</t>
  </si>
  <si>
    <t>$ Savings on Crack Spread</t>
  </si>
  <si>
    <t>Restricted Cash in Current Assets</t>
  </si>
  <si>
    <t>Net Income</t>
  </si>
  <si>
    <t>Diluted Earnings Per Share</t>
  </si>
  <si>
    <t>P/E</t>
  </si>
  <si>
    <t>CASH FLOW FROM INVESTING</t>
  </si>
  <si>
    <t>Free Cash Flow</t>
  </si>
  <si>
    <t>Proceeds from Sales, net of Acquisitions</t>
  </si>
  <si>
    <t>Other (Includes Monetization of Cash Equivalents)</t>
  </si>
  <si>
    <t>Cash From Investing</t>
  </si>
  <si>
    <t>CASH FLOW FROM FINANCING</t>
  </si>
  <si>
    <t>Dividends</t>
  </si>
  <si>
    <t>Equity Buybacks</t>
  </si>
  <si>
    <t>Equity Issuance</t>
  </si>
  <si>
    <t>Total Change in Equity</t>
  </si>
  <si>
    <t>Debt</t>
  </si>
  <si>
    <t>Income Statement</t>
  </si>
  <si>
    <t>ModelWare Balance Sheet Requirements</t>
  </si>
  <si>
    <t>Debt Financing for Capex</t>
  </si>
  <si>
    <t>Other Debt</t>
  </si>
  <si>
    <t>Total Change in Debt</t>
  </si>
  <si>
    <t>Other, net</t>
  </si>
  <si>
    <t>Cash From Financing</t>
  </si>
  <si>
    <t>ScaleOverride</t>
  </si>
  <si>
    <t>UnitOverride</t>
  </si>
  <si>
    <t>% of Pax Revenue</t>
  </si>
  <si>
    <t>LTM EBITDAR / LTM (Interest + Aircraft Rent) Expense</t>
  </si>
  <si>
    <t>After Tax Other Extrordinary Items</t>
  </si>
  <si>
    <t>Cash used in discontinued operations</t>
  </si>
  <si>
    <t>Total Mainline Pax Rev (mm)</t>
  </si>
  <si>
    <t>DEBT METRICS AND COVENANTS</t>
  </si>
  <si>
    <t>LIQUIDITY</t>
  </si>
  <si>
    <t>DEBT RATIOS</t>
  </si>
  <si>
    <t>COVENANT CHECK</t>
  </si>
  <si>
    <t>VALUATION</t>
  </si>
  <si>
    <t>KEY INPUTS</t>
  </si>
  <si>
    <t>SENSITIVITY TABLES</t>
  </si>
  <si>
    <t>SENSITIVITY INPUTS</t>
  </si>
  <si>
    <t>PRASM/FUEL SENSITIVITIES</t>
  </si>
  <si>
    <t>Consolidated ASMs (mm)</t>
  </si>
  <si>
    <t>Market Value of Equity Calculations</t>
  </si>
  <si>
    <t>Debt Financed Capex</t>
  </si>
  <si>
    <t xml:space="preserve"> % of Total Capex Financed</t>
  </si>
  <si>
    <t>Total Capex % of Op Revenue</t>
  </si>
  <si>
    <t>Total Capex % of Depreciation</t>
  </si>
  <si>
    <t>Mainline Rent Adj. Debt Net of Unrest. Cash and Converts</t>
  </si>
  <si>
    <t>Cash From Operations</t>
  </si>
  <si>
    <t>Savings on Crack Spread per Gallon</t>
  </si>
  <si>
    <t>Interest Expense</t>
  </si>
  <si>
    <t>Restricted Cash in LT Assets (i.e. impaired ARS)</t>
  </si>
  <si>
    <t>DAL.N,mscalc:closePriceCurrencyCalc</t>
  </si>
  <si>
    <t>DAL.N,mscalc:targetPrice,,,,USD</t>
  </si>
  <si>
    <t>B1W9D46</t>
  </si>
  <si>
    <t>COMMENTS</t>
  </si>
  <si>
    <t>2011A</t>
  </si>
  <si>
    <t>Avg. Stock Price Assumption (for repurchase calculation)</t>
  </si>
  <si>
    <t>Sequential Growth</t>
  </si>
  <si>
    <t>YoY % Change</t>
  </si>
  <si>
    <t>Sequential % Change</t>
  </si>
  <si>
    <t>Period End Stock Price ($)</t>
  </si>
  <si>
    <t>Sequential Change ($)</t>
  </si>
  <si>
    <t>Assumed Share Creep, annualized</t>
  </si>
  <si>
    <t>ReverseSign</t>
  </si>
  <si>
    <t>IsDrivingAssumption</t>
  </si>
  <si>
    <t>SegmentID</t>
  </si>
  <si>
    <t>After Tax Gains (Losses) from Sale of Operating Assets</t>
  </si>
  <si>
    <t>GAAP Net Income</t>
  </si>
  <si>
    <t>Reported GAAP Diluted Earnings Per Share</t>
  </si>
  <si>
    <t>DAL</t>
  </si>
  <si>
    <t>Unrecorded Goodwill from Poolings, Writeoffs, and Cumulative Amortization</t>
  </si>
  <si>
    <t>CA Less Cash and Deferred Income Taxes</t>
  </si>
  <si>
    <t>DAL.N,mstag:averageDilutedSharesOutstanding,2012Q1,,,,,HOLD</t>
  </si>
  <si>
    <t>837.75</t>
  </si>
  <si>
    <t>Statutory tax rate</t>
  </si>
  <si>
    <t>Debt Payments</t>
  </si>
  <si>
    <t>DAL.N,mstag:statutoryTaxRate,2015FY,,FYE</t>
  </si>
  <si>
    <t>1QA</t>
  </si>
  <si>
    <t>2QA</t>
  </si>
  <si>
    <t>2014A</t>
  </si>
  <si>
    <t>Hedge margin premium</t>
  </si>
  <si>
    <t>Cap return % of FCF</t>
  </si>
  <si>
    <t>Rating:</t>
  </si>
  <si>
    <t>Overweight</t>
  </si>
  <si>
    <t>Price Target:</t>
  </si>
  <si>
    <t>Date:</t>
  </si>
  <si>
    <t>Rajeev Lalwani</t>
  </si>
  <si>
    <t>(212) 761-8518</t>
  </si>
  <si>
    <t>rajeev.lalwani@morganstanley.com</t>
  </si>
  <si>
    <t>$m, unless stated otherwise</t>
  </si>
  <si>
    <t>BEAR TO BULL VALUATION</t>
  </si>
  <si>
    <t>BEAR</t>
  </si>
  <si>
    <t>BASE</t>
  </si>
  <si>
    <t>BULL</t>
  </si>
  <si>
    <t>SUMMARIZED FINANCIAL DATA</t>
  </si>
  <si>
    <t>Valuation Year</t>
  </si>
  <si>
    <t>Company Valuation</t>
  </si>
  <si>
    <t>Passenger Revenues</t>
  </si>
  <si>
    <t>Other Revenues</t>
  </si>
  <si>
    <t>Price Return Potential</t>
  </si>
  <si>
    <t>Total Revenues</t>
  </si>
  <si>
    <t>Labor</t>
  </si>
  <si>
    <t>Fuel</t>
  </si>
  <si>
    <t>Express</t>
  </si>
  <si>
    <t>MS EBITDAR</t>
  </si>
  <si>
    <t>Total Operating Expenses</t>
  </si>
  <si>
    <t>MS EBITDAR - Adjusted</t>
  </si>
  <si>
    <t>Assumed Multiple</t>
  </si>
  <si>
    <t>Implied Enterprise Value</t>
  </si>
  <si>
    <t>Interest Expense and Other</t>
  </si>
  <si>
    <t>Forecasted Debt</t>
  </si>
  <si>
    <t>Taxes</t>
  </si>
  <si>
    <t>Forecasted Aircraft Rent @ 7x</t>
  </si>
  <si>
    <t>Net Debt and Rents</t>
  </si>
  <si>
    <t>Diluted Shares (mil)</t>
  </si>
  <si>
    <t>EPS (Diluted)</t>
  </si>
  <si>
    <t>Cash Flow</t>
  </si>
  <si>
    <t>Operating Cash Flow</t>
  </si>
  <si>
    <t>Implied Equity Value</t>
  </si>
  <si>
    <t>Forecasted Shares (mil)</t>
  </si>
  <si>
    <t>Implied Per Share Value</t>
  </si>
  <si>
    <t>Cash Flow from Investment</t>
  </si>
  <si>
    <t>Net Debt Change</t>
  </si>
  <si>
    <t>Net Equity Issuances/Buybacks</t>
  </si>
  <si>
    <t>Cash Flow from Financing</t>
  </si>
  <si>
    <t>ASM Growth - YoY (%)</t>
  </si>
  <si>
    <t>PRASM - YoY (%)</t>
  </si>
  <si>
    <t>Aircraft Rent @ 7x</t>
  </si>
  <si>
    <t>RASM - YoY (%)</t>
  </si>
  <si>
    <t>Shareholder's Equity</t>
  </si>
  <si>
    <t>Net Debt &amp; Rent to EBITDAR</t>
  </si>
  <si>
    <t>Average Hedged Fuel ($/gal) - w/ taxes &amp; costs</t>
  </si>
  <si>
    <t>Debt &amp; Rent to EBITDAR</t>
  </si>
  <si>
    <t>Operating Margin (%)</t>
  </si>
  <si>
    <t>Cash + Credit Availability (% of Revs)</t>
  </si>
  <si>
    <t>EBITDAR Margin (%)</t>
  </si>
  <si>
    <t>Liquidity ($5-6bil target)</t>
  </si>
  <si>
    <t>Oil Price Change (+$15-bbl / $0 / $0)</t>
  </si>
  <si>
    <t>TRADING MULTIPLES - MSe</t>
  </si>
  <si>
    <t>FCF Yield</t>
  </si>
  <si>
    <t>EV/EBITDAR</t>
  </si>
  <si>
    <t>Implied Target EV/EBITDAR</t>
  </si>
  <si>
    <t>Implied Target P/E</t>
  </si>
  <si>
    <t>Implied Target FCF Yield</t>
  </si>
  <si>
    <t>Cash to Revenues (%)</t>
  </si>
  <si>
    <t>PRASM Change (-2% / 0% / +2%)</t>
  </si>
  <si>
    <t>Capacity Change - None</t>
  </si>
  <si>
    <t>After-Tax ROIC (%) - excludes cash</t>
  </si>
  <si>
    <t>Pilot</t>
  </si>
  <si>
    <t>Competitive Dynamic</t>
  </si>
  <si>
    <t>Weights</t>
  </si>
  <si>
    <t>Int'l</t>
  </si>
  <si>
    <t>Dom</t>
  </si>
  <si>
    <t>2018E</t>
  </si>
  <si>
    <t>Ex Fuel &amp; Anc. Exp. per ASM (cents)</t>
  </si>
  <si>
    <t>CASM Ex-Fuel - YoY (%)</t>
  </si>
  <si>
    <t>CASM - YoY (%)</t>
  </si>
  <si>
    <t>CASM Ex-Fuel &amp; Profits - YoY (%)</t>
  </si>
  <si>
    <t>Delta Private Jets. Revenue guidance recorded in cargo and other</t>
  </si>
  <si>
    <t>2015A</t>
  </si>
  <si>
    <t>Closed Hedge Penalty</t>
  </si>
  <si>
    <t>5/17:70%+</t>
  </si>
  <si>
    <t>Adjusted Net Debt ($4bil target 2020)</t>
  </si>
  <si>
    <t>2019E</t>
  </si>
  <si>
    <t>Domestic</t>
  </si>
  <si>
    <t>YoY (%)</t>
  </si>
  <si>
    <t>International</t>
  </si>
  <si>
    <t>profit for new profit sharing plan in 2016 using 12.5% and 23.5% for taxes / other</t>
  </si>
  <si>
    <t>Wage Math</t>
  </si>
  <si>
    <t>Weight</t>
  </si>
  <si>
    <t>Wage Hike</t>
  </si>
  <si>
    <t>Ground</t>
  </si>
  <si>
    <t>Flight Attendant</t>
  </si>
  <si>
    <t>AC Capex</t>
  </si>
  <si>
    <t>Depreciation Rate</t>
  </si>
  <si>
    <t>Incr. Depreciation</t>
  </si>
  <si>
    <t>Modeled Incr. Depreciation</t>
  </si>
  <si>
    <t>3Q16 had ~1 point of pressure from system outage</t>
  </si>
  <si>
    <t>We assume cargo stabilizes after years of declines</t>
  </si>
  <si>
    <t>Higher MRO revenue in 2Q / 3Q, repair DAL AC in winter</t>
  </si>
  <si>
    <t>3Q15 purchase of China Eastern stake and GOL and 1Q17 purchase of AeroMexico stake</t>
  </si>
  <si>
    <t>2016A</t>
  </si>
  <si>
    <t>2020E</t>
  </si>
  <si>
    <t>10K: LTD principal payments FY17 1038, FY18 2160, FY19 1289, FY20 527</t>
  </si>
  <si>
    <t>5/11: Expect $8-9B in annual OCF from 2018-2020</t>
  </si>
  <si>
    <t>5/11: Annual FCF $4.5-5.5B 2018-2020</t>
  </si>
  <si>
    <t>5/11: $4B by 2020, pension 80% funded</t>
  </si>
  <si>
    <t>5/11: 15%+ EPS Growth 2018-2020</t>
  </si>
  <si>
    <t>5/17/16: Operating margin 17-19% 2016-2018</t>
  </si>
  <si>
    <t>5/12/17: Operating margin 16-18% 2018-2020</t>
  </si>
  <si>
    <t>3Q17 purchase of Air-France KLM stake</t>
  </si>
  <si>
    <t>3Q17 had ~1 point of pressure from Hurricane Irma</t>
  </si>
  <si>
    <t>10/11/17: Long term: &lt;2%</t>
  </si>
  <si>
    <t>2QE</t>
  </si>
  <si>
    <t>3QE</t>
  </si>
  <si>
    <t>10% of pre-tax profits up to $2.5B, 20% of pre-tax profits over $2.5B</t>
  </si>
  <si>
    <t xml:space="preserve">operating loss carryforwards, which do not begin to expire until  2027 </t>
  </si>
  <si>
    <t xml:space="preserve">At  December 31, 2016 , we had approximately  $5.9 billion  of U.S. federal pre-tax net </t>
  </si>
  <si>
    <t>Accordingly, we believe we will not pay any cash federal income taxes before 2019.</t>
  </si>
  <si>
    <t>Adj. Taxes</t>
  </si>
  <si>
    <t>Remaining NOLs</t>
  </si>
  <si>
    <t>Bonus Depreciation</t>
  </si>
  <si>
    <t>12/14: $500M per year in voluntary pension funding through 2020</t>
  </si>
  <si>
    <t>2018: CASM ex-Fuel ex PS of 0-2%</t>
  </si>
  <si>
    <t>We assume $1B incremental debt paydown in 2020 to reach net debt target</t>
  </si>
  <si>
    <t>2018: up $250M with $200M in first half</t>
  </si>
  <si>
    <t>2018: Tax-Rate of 22-24%</t>
  </si>
  <si>
    <t>1/11: 2018 Capex of ~$4.0B</t>
  </si>
  <si>
    <t>Matt Sharpe</t>
  </si>
  <si>
    <t>(212) 761-5156</t>
  </si>
  <si>
    <t>matt.sharpe@morganstanley.com</t>
  </si>
  <si>
    <t>Third-Party Refinery Rev / Cons. ASM</t>
  </si>
  <si>
    <t>Third-Party Refinery Revenue (mm)</t>
  </si>
  <si>
    <t>Total Revenue (mm) per ASM ex-refinery</t>
  </si>
  <si>
    <t>2018 EPS of $6.35-6.70</t>
  </si>
  <si>
    <t>IR: $0.15</t>
  </si>
  <si>
    <t>2018: 4-6% topline increase</t>
  </si>
  <si>
    <t>Total Revenue, Adjusted</t>
  </si>
  <si>
    <t>MTM Adj. and Settlements on Fuel Hedge</t>
  </si>
  <si>
    <t>Third-Party Refinery Sales</t>
  </si>
  <si>
    <t>2Q18: ~3-4%</t>
  </si>
  <si>
    <t>2Q18 TRASM up ~3-5%</t>
  </si>
  <si>
    <t>2Q18: CASM ex-fuel up ~1-3%</t>
  </si>
  <si>
    <t>2Q18 $2.07-2.12</t>
  </si>
  <si>
    <t>2Q18 EPS of $1.80-2.00</t>
  </si>
  <si>
    <t>2018: Non-Operatin Expense $200-250M lower than 2017 ($232M at midpoint)</t>
  </si>
  <si>
    <t>2Q18 Pre-Tax Margin of 14-16%</t>
  </si>
  <si>
    <t>Total Operating Expenses, Adjusted</t>
  </si>
  <si>
    <t>66</t>
  </si>
  <si>
    <t>Research</t>
  </si>
  <si>
    <t>MSA91FHR</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</si>
  <si>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</si>
  <si>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</si>
  <si>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</si>
  <si>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</si>
  <si>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</si>
  <si>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</si>
  <si>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</si>
  <si>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Rajeev Lalwani</t>
  </si>
  <si>
    <t>Date: 20 Apr 2018</t>
  </si>
  <si>
    <t>Ticker: DAL.N</t>
  </si>
  <si>
    <t>Stock Rating: Overweight</t>
  </si>
  <si>
    <t>Industry: Airlines</t>
  </si>
  <si>
    <t>Industry View: In-Line</t>
  </si>
  <si>
    <t>Price as of 20 Apr 2018: 55.07</t>
  </si>
  <si>
    <t>Target Price: 72</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</si>
  <si>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</si>
  <si>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</si>
  <si>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</si>
  <si>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</si>
  <si>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Delta Air Lines,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</si>
  <si>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</si>
  <si>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</si>
  <si>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</si>
  <si>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</si>
  <si>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</si>
  <si>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</si>
  <si>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</si>
  <si>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</si>
  <si>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</si>
  <si>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</si>
  <si>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</si>
  <si>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</si>
  <si>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</si>
  <si>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</si>
  <si>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</si>
  <si>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</si>
  <si>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</si>
  <si>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</si>
  <si>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</si>
  <si>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</si>
  <si>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</si>
  <si>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</si>
  <si>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</si>
  <si>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</si>
  <si>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</si>
  <si>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</si>
  <si>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</si>
  <si>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</si>
  <si>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</si>
  <si>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</si>
  <si>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</si>
  <si>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</si>
  <si>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</si>
  <si>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</si>
  <si>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</si>
  <si>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</si>
  <si>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</si>
  <si>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</si>
  <si>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</si>
  <si>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</si>
  <si>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</si>
  <si>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</si>
  <si>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</si>
  <si>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</si>
  <si>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</si>
  <si>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</si>
  <si>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</si>
  <si>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</si>
  <si>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</si>
  <si>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</si>
  <si>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</si>
  <si>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</si>
  <si>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</si>
  <si>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</si>
  <si>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</si>
  <si>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</si>
  <si>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</si>
  <si>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</si>
  <si>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</si>
  <si>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</si>
  <si>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</si>
  <si>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</si>
  <si>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</si>
  <si>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</si>
  <si>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</si>
  <si>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</si>
  <si>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</si>
  <si>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</si>
  <si>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</si>
  <si>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</si>
  <si>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</si>
  <si>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</si>
  <si>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</si>
  <si>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</si>
  <si>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</si>
  <si>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</si>
  <si>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</si>
  <si>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</si>
  <si>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</si>
  <si>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</si>
  <si>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</si>
  <si>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</si>
  <si>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</si>
  <si>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</si>
  <si>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</si>
  <si>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</si>
  <si>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</si>
  <si>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</si>
  <si>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</si>
  <si>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</si>
  <si>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</si>
  <si>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</si>
  <si>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</si>
  <si>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</si>
  <si>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</si>
  <si>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</si>
  <si>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</si>
  <si>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</si>
  <si>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</si>
  <si>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</si>
  <si>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</si>
  <si>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</si>
  <si>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</si>
  <si>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</si>
  <si>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</si>
  <si>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</si>
  <si>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</si>
  <si>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</si>
  <si>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</si>
  <si>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</si>
  <si>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</si>
  <si>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</si>
  <si>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</si>
  <si>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</si>
  <si>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</si>
  <si>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</si>
  <si>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</si>
  <si>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</si>
  <si>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</si>
  <si>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</si>
  <si>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</si>
  <si>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</si>
  <si>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</si>
  <si>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</si>
  <si>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</si>
  <si>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</si>
  <si>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</si>
  <si>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</si>
  <si>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</si>
  <si>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</si>
  <si>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</si>
  <si>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</si>
  <si>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</si>
  <si>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</si>
  <si>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</si>
  <si>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</si>
  <si>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</si>
  <si>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</si>
  <si>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</si>
  <si>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</si>
  <si>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</si>
  <si>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</si>
  <si>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</si>
  <si>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</si>
  <si>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</si>
  <si>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</si>
  <si>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</si>
  <si>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</si>
  <si>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</si>
  <si>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</si>
  <si>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</si>
  <si>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</si>
  <si>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</si>
  <si>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</si>
  <si>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</si>
  <si>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</si>
  <si>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</si>
  <si>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</si>
  <si>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</si>
  <si>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</si>
  <si>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</si>
  <si>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</si>
  <si>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</si>
  <si>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</si>
  <si>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</si>
  <si>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</si>
  <si>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</si>
  <si>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</si>
  <si>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</si>
  <si>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</si>
  <si>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</si>
  <si>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</si>
  <si>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</si>
  <si>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</si>
  <si>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</si>
  <si>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</si>
  <si>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Delta Air Lines,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</si>
  <si>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</si>
  <si>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</si>
  <si>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</si>
  <si>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</si>
  <si>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</si>
  <si>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</si>
  <si>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</si>
  <si>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</si>
  <si>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</si>
  <si>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</si>
  <si>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</si>
  <si>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</si>
  <si>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</si>
  <si>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</si>
  <si>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</si>
  <si>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</si>
  <si>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</si>
  <si>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</si>
  <si>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</si>
  <si>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</si>
  <si>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</si>
  <si>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</si>
  <si>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</si>
  <si>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</si>
  <si>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</si>
  <si>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</si>
  <si>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</si>
  <si>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</si>
  <si>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</si>
  <si>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</si>
  <si>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</si>
  <si>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</si>
  <si>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</si>
  <si>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</si>
  <si>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</si>
  <si>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</si>
  <si>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</si>
  <si>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</si>
  <si>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</si>
  <si>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</si>
  <si>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</si>
  <si>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</si>
  <si>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</si>
  <si>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</si>
  <si>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</si>
  <si>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</si>
  <si>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</si>
  <si>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</si>
  <si>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</si>
  <si>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</si>
  <si>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</si>
  <si>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</si>
  <si>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</si>
  <si>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</si>
  <si>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</si>
  <si>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</si>
  <si>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</si>
  <si>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</si>
  <si>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</si>
  <si>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</si>
  <si>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</si>
  <si>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</si>
  <si>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</si>
  <si>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</si>
  <si>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</si>
  <si>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</si>
  <si>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</si>
  <si>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</si>
  <si>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Delta Air Lines, Inc..</t>
  </si>
  <si>
    <t>Within the last 12 months, Morgan Stanley has provided or is providing investment banking services to,</t>
  </si>
  <si>
    <t>or has an investment banking client relationship with, the following company: Delta Air Lines, Inc..</t>
  </si>
  <si>
    <t>Within the last 12 months, Morgan Stanley has received compensation for products and services other than</t>
  </si>
  <si>
    <t>investment banking services from Delta Air Lines, Inc..</t>
  </si>
  <si>
    <t>In the next 3 months, Morgan Stanley expects to receive or intends to seek compensation for investment</t>
  </si>
  <si>
    <t>banking services from Delta Air Lines, Inc..</t>
  </si>
  <si>
    <t>Within the last 12 months, Morgan Stanley has received compensation for investment banking services from</t>
  </si>
  <si>
    <t>Delta Air Lines,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</si>
  <si>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</si>
  <si>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</si>
  <si>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</si>
  <si>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</si>
  <si>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</si>
  <si>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Rajeev Lalwani,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</si>
  <si>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</si>
  <si>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</si>
  <si>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</si>
  <si>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</si>
  <si>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</si>
  <si>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</si>
  <si>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</si>
  <si>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</si>
  <si>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</si>
  <si>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</si>
  <si>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</si>
  <si>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</si>
  <si>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</si>
  <si>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</si>
  <si>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</si>
  <si>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</si>
  <si>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</si>
  <si>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</si>
  <si>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</si>
  <si>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</si>
  <si>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</si>
  <si>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</si>
  <si>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</si>
  <si>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</si>
  <si>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</si>
  <si>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</si>
  <si>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</si>
  <si>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</si>
  <si>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</si>
  <si>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</si>
  <si>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</si>
  <si>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</si>
  <si>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</si>
  <si>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</si>
  <si>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</si>
  <si>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</si>
  <si>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</si>
  <si>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</si>
  <si>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</si>
  <si>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</si>
  <si>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</si>
  <si>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</si>
  <si>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</si>
  <si>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</si>
  <si>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</si>
  <si>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</si>
  <si>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</si>
  <si>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</si>
  <si>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</si>
  <si>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</si>
  <si>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</si>
  <si>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</si>
  <si>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</si>
  <si>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</si>
  <si>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</si>
  <si>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</si>
  <si>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</si>
  <si>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</si>
  <si>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</si>
  <si>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</si>
  <si>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</si>
  <si>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</si>
  <si>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</si>
  <si>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</si>
  <si>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</si>
  <si>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</si>
  <si>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</si>
  <si>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</si>
  <si>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</si>
  <si>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</si>
  <si>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Regular Update</t>
  </si>
  <si>
    <t>NorthAmerica</t>
  </si>
  <si>
    <t>sharpmat</t>
  </si>
  <si>
    <t>L:\FREIGHT-NY\WG Airlines\DAL\DALQQ.WIP.xlsm</t>
  </si>
  <si>
    <t>[BRO MSA]</t>
  </si>
  <si>
    <t>[PRODUCT MODEL]</t>
  </si>
  <si>
    <t>[EMAIL_ALERT YES]</t>
  </si>
  <si>
    <t>[DISCIPLINE Company]</t>
  </si>
  <si>
    <t>[SUPPRESSED NO]</t>
  </si>
  <si>
    <t>[DOCDAT 2018-04-20]</t>
  </si>
  <si>
    <t>[DOCTIME 09:03]</t>
  </si>
  <si>
    <t>[PSYM DAL.N(S&amp;P) (None)]</t>
  </si>
  <si>
    <t>[COU 1]</t>
  </si>
  <si>
    <t>[ANA ]</t>
  </si>
  <si>
    <t>[HL DAL.N Model]</t>
  </si>
  <si>
    <t>[IND AIRTRN]</t>
  </si>
  <si>
    <t>[PANA MSA91FHR]</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</si>
</sst>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00_-;\-* #,##0.00_-;_-* &quot;-&quot;??_-;_-@_-"/>
    <numFmt numFmtId="165" formatCode="0.0%"/>
    <numFmt numFmtId="166" formatCode="0.0"/>
    <numFmt numFmtId="167" formatCode="&quot;$&quot;#,##0.0"/>
    <numFmt numFmtId="168" formatCode="&quot;$&quot;#,##0.00"/>
    <numFmt numFmtId="169" formatCode="&quot;$&quot;#,##0"/>
    <numFmt numFmtId="170" formatCode="&quot;$&quot;#,##0.0_);\(&quot;$&quot;#,##0.0\)"/>
    <numFmt numFmtId="173" formatCode="_(* #,##0_);_(* \(#,##0\);_(* &quot;-&quot;??_);_(@_)"/>
    <numFmt numFmtId="174" formatCode="#,##0.0_);\(#,##0.0\)"/>
    <numFmt numFmtId="177" formatCode="_(&quot;$&quot;* #,##0_);_(&quot;$&quot;* \(#,##0\);_(&quot;$&quot;* &quot;-&quot;??_);_(@_)"/>
    <numFmt numFmtId="190" formatCode="m/d/yy;@"/>
    <numFmt numFmtId="200" formatCode="#,##0.0"/>
    <numFmt numFmtId="205" formatCode="[$-F400]h:mm:ss\ AM/PM"/>
    <numFmt numFmtId="206" formatCode="0&quot;e&quot;"/>
    <numFmt numFmtId="207" formatCode="0.0\x"/>
    <numFmt numFmtId="208" formatCode="0&quot;E&quot;"/>
    <numFmt numFmtId="209" formatCode="0.00000"/>
    <numFmt numFmtId="215" formatCode="mm/dd/yy\ hh:mm"/>
  </numFmts>
  <fonts count="85" x14ac:knownFonts="1">
    <font>
      <sz val="10"/>
      <name val="Times New Roman"/>
    </font>
    <font>
      <sz val="10"/>
      <name val="Times New Roman"/>
      <family val="1"/>
    </font>
    <font>
      <sz val="10"/>
      <name val="Arial"/>
      <family val="2"/>
    </font>
    <font>
      <b/>
      <sz val="10"/>
      <name val="Arial"/>
      <family val="2"/>
    </font>
    <font>
      <sz val="10"/>
      <name val="Times New Roman"/>
      <family val="1"/>
    </font>
    <font>
      <sz val="10"/>
      <name val="Arial"/>
      <family val="2"/>
    </font>
    <font>
      <sz val="8"/>
      <name val="Times New Roman"/>
      <family val="1"/>
    </font>
    <font>
      <sz val="9"/>
      <name val="Times New Roman"/>
      <family val="1"/>
    </font>
    <font>
      <sz val="9"/>
      <name val="Times New Roman"/>
      <family val="1"/>
    </font>
    <font>
      <b/>
      <sz val="10"/>
      <name val="Times New Roman"/>
      <family val="1"/>
    </font>
    <font>
      <i/>
      <sz val="8"/>
      <name val="Arial"/>
      <family val="2"/>
    </font>
    <font>
      <sz val="8"/>
      <color indexed="8"/>
      <name val="Arial"/>
      <family val="2"/>
    </font>
    <font>
      <sz val="8"/>
      <color indexed="81"/>
      <name val="Tahoma"/>
      <family val="2"/>
    </font>
    <font>
      <b/>
      <sz val="8"/>
      <color indexed="81"/>
      <name val="Tahoma"/>
      <family val="2"/>
    </font>
    <font>
      <sz val="8"/>
      <name val="Arial"/>
      <family val="2"/>
    </font>
    <font>
      <b/>
      <sz val="8"/>
      <name val="Arial"/>
      <family val="2"/>
    </font>
    <font>
      <sz val="8"/>
      <color indexed="12"/>
      <name val="Arial"/>
      <family val="2"/>
    </font>
    <font>
      <sz val="10"/>
      <name val="MS Sans Serif"/>
      <family val="2"/>
    </font>
    <font>
      <sz val="8"/>
      <name val="Arial"/>
      <family val="2"/>
    </font>
    <font>
      <b/>
      <sz val="8"/>
      <color indexed="10"/>
      <name val="Arial"/>
      <family val="2"/>
    </font>
    <font>
      <i/>
      <sz val="10"/>
      <name val="Arial"/>
      <family val="2"/>
    </font>
    <font>
      <b/>
      <sz val="10"/>
      <color indexed="8"/>
      <name val="Times New Roman"/>
      <family val="1"/>
    </font>
    <font>
      <sz val="10"/>
      <color indexed="8"/>
      <name val="Times New Roman"/>
      <family val="1"/>
    </font>
    <font>
      <u/>
      <sz val="8"/>
      <name val="Arial"/>
      <family val="2"/>
    </font>
    <font>
      <u/>
      <sz val="8"/>
      <color indexed="12"/>
      <name val="Arial"/>
      <family val="2"/>
    </font>
    <font>
      <i/>
      <sz val="8"/>
      <name val="Times New Roman"/>
      <family val="1"/>
    </font>
    <font>
      <sz val="8"/>
      <color indexed="9"/>
      <name val="Arial"/>
      <family val="2"/>
    </font>
    <font>
      <b/>
      <sz val="8"/>
      <color indexed="9"/>
      <name val="Arial"/>
      <family val="2"/>
    </font>
    <font>
      <sz val="10"/>
      <color indexed="9"/>
      <name val="Arial"/>
      <family val="2"/>
    </font>
    <font>
      <b/>
      <i/>
      <sz val="8"/>
      <name val="Arial"/>
      <family val="2"/>
    </font>
    <font>
      <b/>
      <sz val="12"/>
      <color indexed="12"/>
      <name val="Arial"/>
      <family val="2"/>
    </font>
    <font>
      <i/>
      <sz val="10"/>
      <color indexed="9"/>
      <name val="Arial"/>
      <family val="2"/>
    </font>
    <font>
      <b/>
      <u/>
      <sz val="10"/>
      <name val="Arial"/>
      <family val="2"/>
    </font>
    <font>
      <b/>
      <sz val="8"/>
      <color indexed="12"/>
      <name val="Arial"/>
      <family val="2"/>
    </font>
    <font>
      <b/>
      <sz val="8"/>
      <color indexed="8"/>
      <name val="Arial"/>
      <family val="2"/>
    </font>
    <font>
      <sz val="10"/>
      <name val="Courier"/>
      <family val="3"/>
    </font>
    <font>
      <i/>
      <sz val="8"/>
      <color indexed="12"/>
      <name val="Arial"/>
      <family val="2"/>
    </font>
    <font>
      <b/>
      <sz val="8"/>
      <name val="Times New Roman"/>
      <family val="1"/>
    </font>
    <font>
      <i/>
      <sz val="8"/>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b/>
      <sz val="18"/>
      <color indexed="62"/>
      <name val="Cambria"/>
      <family val="2"/>
    </font>
    <font>
      <b/>
      <u/>
      <sz val="8"/>
      <name val="Arial"/>
      <family val="2"/>
    </font>
    <font>
      <i/>
      <sz val="8"/>
      <color indexed="8"/>
      <name val="Arial"/>
      <family val="2"/>
    </font>
    <font>
      <sz val="10"/>
      <name val="Arial"/>
      <family val="2"/>
    </font>
    <font>
      <sz val="10"/>
      <name val="Times New Roman"/>
      <family val="1"/>
    </font>
    <font>
      <sz val="10"/>
      <name val="Arial"/>
      <family val="2"/>
    </font>
    <font>
      <b/>
      <sz val="18"/>
      <color indexed="9"/>
      <name val="Arial"/>
      <family val="2"/>
    </font>
    <font>
      <b/>
      <sz val="12"/>
      <color indexed="9"/>
      <name val="Arial"/>
      <family val="2"/>
    </font>
    <font>
      <sz val="10"/>
      <color indexed="16"/>
      <name val="Arial"/>
      <family val="2"/>
    </font>
    <font>
      <b/>
      <sz val="10"/>
      <color indexed="16"/>
      <name val="Arial"/>
      <family val="2"/>
    </font>
    <font>
      <b/>
      <sz val="14"/>
      <color indexed="9"/>
      <name val="Arial"/>
      <family val="2"/>
    </font>
    <font>
      <sz val="12"/>
      <color indexed="16"/>
      <name val="Arial"/>
      <family val="2"/>
    </font>
    <font>
      <sz val="10"/>
      <name val="Times New Roman"/>
      <family val="1"/>
    </font>
    <font>
      <sz val="9"/>
      <color indexed="81"/>
      <name val="Tahoma"/>
      <family val="2"/>
    </font>
    <font>
      <b/>
      <sz val="9"/>
      <color indexed="81"/>
      <name val="Tahoma"/>
      <family val="2"/>
    </font>
    <font>
      <sz val="10"/>
      <color rgb="FF002060"/>
      <name val="Times New Roman"/>
      <family val="1"/>
    </font>
    <font>
      <b/>
      <sz val="11"/>
      <color rgb="FF002060"/>
      <name val="Arial"/>
      <family val="2"/>
    </font>
    <font>
      <b/>
      <sz val="10"/>
      <color theme="0"/>
      <name val="Arial"/>
      <family val="2"/>
    </font>
    <font>
      <sz val="10"/>
      <color theme="0"/>
      <name val="Arial"/>
      <family val="2"/>
    </font>
    <font>
      <b/>
      <sz val="10"/>
      <color rgb="FF002060"/>
      <name val="Arial"/>
      <family val="2"/>
    </font>
    <font>
      <b/>
      <u/>
      <sz val="10"/>
      <color rgb="FF0070C0"/>
      <name val="Arial"/>
      <family val="2"/>
    </font>
    <font>
      <sz val="10"/>
      <color rgb="FF0070C0"/>
      <name val="Arial"/>
      <family val="2"/>
    </font>
    <font>
      <i/>
      <sz val="10"/>
      <color rgb="FF0070C0"/>
      <name val="Arial"/>
      <family val="2"/>
    </font>
    <font>
      <sz val="8"/>
      <color rgb="FF137CB1"/>
      <name val="Arial"/>
      <family val="2"/>
    </font>
    <font>
      <sz val="8"/>
      <color rgb="FF00843C"/>
      <name val="Arial"/>
      <family val="2"/>
    </font>
    <font>
      <b/>
      <sz val="8"/>
      <color rgb="FF00843C"/>
      <name val="Arial"/>
      <family val="2"/>
    </font>
    <font>
      <b/>
      <sz val="10"/>
      <color rgb="FFFF0000"/>
      <name val="Arial"/>
      <family val="2"/>
    </font>
    <font>
      <sz val="11"/>
      <name val="Arial"/>
      <family val="2"/>
    </font>
    <font>
      <sz val="10"/>
      <color rgb="FF000000"/>
      <name val="Arial"/>
      <family val="2"/>
    </font>
    <font>
      <b/>
      <sz val="12"/>
      <color rgb="FF000080"/>
      <name val="Arial"/>
      <family val="2"/>
    </font>
  </fonts>
  <fills count="28">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18"/>
        <bgColor indexed="64"/>
      </patternFill>
    </fill>
    <fill>
      <patternFill patternType="solid">
        <fgColor indexed="48"/>
        <bgColor indexed="64"/>
      </patternFill>
    </fill>
    <fill>
      <patternFill patternType="solid">
        <fgColor indexed="52"/>
        <bgColor indexed="64"/>
      </patternFill>
    </fill>
    <fill>
      <patternFill patternType="solid">
        <fgColor theme="0"/>
        <bgColor indexed="64"/>
      </patternFill>
    </fill>
    <fill>
      <patternFill patternType="solid">
        <fgColor rgb="FF002060"/>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rgb="FF00B050"/>
        <bgColor indexed="64"/>
      </patternFill>
    </fill>
    <fill>
      <patternFill patternType="solid">
        <fgColor indexed="65"/>
        <bgColor indexed="64"/>
      </patternFill>
    </fill>
  </fills>
  <borders count="4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style="thin">
        <color indexed="64"/>
      </left>
      <right style="thin">
        <color indexed="64"/>
      </right>
      <top style="thin">
        <color indexed="64"/>
      </top>
      <bottom style="thin">
        <color indexed="64"/>
      </bottom>
      <diagonal/>
    </border>
    <border>
      <left/>
      <right/>
      <top style="thin">
        <color indexed="49"/>
      </top>
      <bottom style="double">
        <color indexed="49"/>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top style="hair">
        <color indexed="64"/>
      </top>
      <bottom style="hair">
        <color indexed="64"/>
      </bottom>
      <diagonal/>
    </border>
    <border>
      <left/>
      <right/>
      <top style="hair">
        <color indexed="64"/>
      </top>
      <bottom/>
      <diagonal/>
    </border>
    <border>
      <left/>
      <right/>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top style="hair">
        <color indexed="64"/>
      </top>
      <bottom style="hair">
        <color indexed="64"/>
      </bottom>
      <diagonal/>
    </border>
    <border>
      <left style="thin">
        <color indexed="64"/>
      </left>
      <right/>
      <top style="hair">
        <color indexed="64"/>
      </top>
      <bottom/>
      <diagonal/>
    </border>
    <border>
      <left style="thin">
        <color indexed="64"/>
      </left>
      <right/>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diagonal/>
    </border>
    <border>
      <left style="hair">
        <color indexed="64"/>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97">
    <xf numFmtId="0" fontId="0" fillId="0" borderId="0"/>
    <xf numFmtId="0" fontId="5" fillId="0" borderId="0"/>
    <xf numFmtId="0" fontId="2" fillId="0" borderId="0" applyNumberFormat="0" applyFont="0" applyFill="0" applyBorder="0" applyAlignment="0" applyProtection="0"/>
    <xf numFmtId="0" fontId="5" fillId="0" borderId="0"/>
    <xf numFmtId="0" fontId="17" fillId="0" borderId="0"/>
    <xf numFmtId="0" fontId="17" fillId="0" borderId="0"/>
    <xf numFmtId="0" fontId="39" fillId="2" borderId="0" applyNumberFormat="0" applyBorder="0" applyAlignment="0" applyProtection="0"/>
    <xf numFmtId="0" fontId="39" fillId="3" borderId="0" applyNumberFormat="0" applyBorder="0" applyAlignment="0" applyProtection="0"/>
    <xf numFmtId="0" fontId="39" fillId="4" borderId="0" applyNumberFormat="0" applyBorder="0" applyAlignment="0" applyProtection="0"/>
    <xf numFmtId="0" fontId="39" fillId="2" borderId="0" applyNumberFormat="0" applyBorder="0" applyAlignment="0" applyProtection="0"/>
    <xf numFmtId="0" fontId="39" fillId="5" borderId="0" applyNumberFormat="0" applyBorder="0" applyAlignment="0" applyProtection="0"/>
    <xf numFmtId="0" fontId="39" fillId="4" borderId="0" applyNumberFormat="0" applyBorder="0" applyAlignment="0" applyProtection="0"/>
    <xf numFmtId="0" fontId="39" fillId="6" borderId="0" applyNumberFormat="0" applyBorder="0" applyAlignment="0" applyProtection="0"/>
    <xf numFmtId="0" fontId="39" fillId="3" borderId="0" applyNumberFormat="0" applyBorder="0" applyAlignment="0" applyProtection="0"/>
    <xf numFmtId="0" fontId="39" fillId="4" borderId="0" applyNumberFormat="0" applyBorder="0" applyAlignment="0" applyProtection="0"/>
    <xf numFmtId="0" fontId="39" fillId="6" borderId="0" applyNumberFormat="0" applyBorder="0" applyAlignment="0" applyProtection="0"/>
    <xf numFmtId="0" fontId="39" fillId="7" borderId="0" applyNumberFormat="0" applyBorder="0" applyAlignment="0" applyProtection="0"/>
    <xf numFmtId="0" fontId="39" fillId="4" borderId="0" applyNumberFormat="0" applyBorder="0" applyAlignment="0" applyProtection="0"/>
    <xf numFmtId="0" fontId="40" fillId="8" borderId="0" applyNumberFormat="0" applyBorder="0" applyAlignment="0" applyProtection="0"/>
    <xf numFmtId="0" fontId="40" fillId="3" borderId="0" applyNumberFormat="0" applyBorder="0" applyAlignment="0" applyProtection="0"/>
    <xf numFmtId="0" fontId="40" fillId="9" borderId="0" applyNumberFormat="0" applyBorder="0" applyAlignment="0" applyProtection="0"/>
    <xf numFmtId="0" fontId="40" fillId="6" borderId="0" applyNumberFormat="0" applyBorder="0" applyAlignment="0" applyProtection="0"/>
    <xf numFmtId="0" fontId="40" fillId="8" borderId="0" applyNumberFormat="0" applyBorder="0" applyAlignment="0" applyProtection="0"/>
    <xf numFmtId="0" fontId="40" fillId="4" borderId="0" applyNumberFormat="0" applyBorder="0" applyAlignment="0" applyProtection="0"/>
    <xf numFmtId="0" fontId="40" fillId="8" borderId="0" applyNumberFormat="0" applyBorder="0" applyAlignment="0" applyProtection="0"/>
    <xf numFmtId="0" fontId="40" fillId="3" borderId="0" applyNumberFormat="0" applyBorder="0" applyAlignment="0" applyProtection="0"/>
    <xf numFmtId="0" fontId="40" fillId="9" borderId="0" applyNumberFormat="0" applyBorder="0" applyAlignment="0" applyProtection="0"/>
    <xf numFmtId="0" fontId="40" fillId="10" borderId="0" applyNumberFormat="0" applyBorder="0" applyAlignment="0" applyProtection="0"/>
    <xf numFmtId="0" fontId="40" fillId="8" borderId="0" applyNumberFormat="0" applyBorder="0" applyAlignment="0" applyProtection="0"/>
    <xf numFmtId="0" fontId="40" fillId="3" borderId="0" applyNumberFormat="0" applyBorder="0" applyAlignment="0" applyProtection="0"/>
    <xf numFmtId="0" fontId="41" fillId="11" borderId="0" applyNumberFormat="0" applyBorder="0" applyAlignment="0" applyProtection="0"/>
    <xf numFmtId="0" fontId="21" fillId="0" borderId="0"/>
    <xf numFmtId="0" fontId="42" fillId="12" borderId="1" applyNumberFormat="0" applyAlignment="0" applyProtection="0"/>
    <xf numFmtId="0" fontId="43" fillId="13" borderId="2" applyNumberFormat="0" applyAlignment="0" applyProtection="0"/>
    <xf numFmtId="43" fontId="1" fillId="0" borderId="0" applyFont="0" applyFill="0" applyBorder="0" applyAlignment="0" applyProtection="0"/>
    <xf numFmtId="43" fontId="4" fillId="0" borderId="0" applyFont="0" applyFill="0" applyBorder="0" applyAlignment="0" applyProtection="0"/>
    <xf numFmtId="43" fontId="59" fillId="0" borderId="0" applyFont="0" applyFill="0" applyBorder="0" applyAlignment="0" applyProtection="0"/>
    <xf numFmtId="43" fontId="60" fillId="0" borderId="0" applyFont="0" applyFill="0" applyBorder="0" applyAlignment="0" applyProtection="0"/>
    <xf numFmtId="43" fontId="67" fillId="0" borderId="0" applyFont="0" applyFill="0" applyBorder="0" applyAlignment="0" applyProtection="0"/>
    <xf numFmtId="44" fontId="1" fillId="0" borderId="0" applyFont="0" applyFill="0" applyBorder="0" applyAlignment="0" applyProtection="0"/>
    <xf numFmtId="44" fontId="58" fillId="0" borderId="0" applyFont="0" applyFill="0" applyBorder="0" applyAlignment="0" applyProtection="0"/>
    <xf numFmtId="0" fontId="44" fillId="0" borderId="0" applyNumberFormat="0" applyFill="0" applyBorder="0" applyAlignment="0" applyProtection="0"/>
    <xf numFmtId="0" fontId="45" fillId="14" borderId="0" applyNumberFormat="0" applyBorder="0" applyAlignment="0" applyProtection="0"/>
    <xf numFmtId="0" fontId="51" fillId="0" borderId="3" applyNumberFormat="0" applyFill="0" applyAlignment="0" applyProtection="0"/>
    <xf numFmtId="0" fontId="52" fillId="0" borderId="4" applyNumberFormat="0" applyFill="0" applyAlignment="0" applyProtection="0"/>
    <xf numFmtId="0" fontId="53" fillId="0" borderId="5" applyNumberFormat="0" applyFill="0" applyAlignment="0" applyProtection="0"/>
    <xf numFmtId="0" fontId="53" fillId="0" borderId="0" applyNumberFormat="0" applyFill="0" applyBorder="0" applyAlignment="0" applyProtection="0"/>
    <xf numFmtId="0" fontId="54" fillId="4" borderId="1" applyNumberFormat="0" applyAlignment="0" applyProtection="0"/>
    <xf numFmtId="0" fontId="46" fillId="0" borderId="6" applyNumberFormat="0" applyFill="0" applyAlignment="0" applyProtection="0"/>
    <xf numFmtId="0" fontId="47" fillId="4" borderId="0" applyNumberFormat="0" applyBorder="0" applyAlignment="0" applyProtection="0"/>
    <xf numFmtId="0" fontId="58" fillId="0" borderId="0"/>
    <xf numFmtId="0" fontId="60" fillId="0" borderId="0"/>
    <xf numFmtId="0" fontId="4" fillId="0" borderId="0"/>
    <xf numFmtId="0" fontId="5" fillId="0" borderId="0"/>
    <xf numFmtId="0" fontId="4" fillId="0" borderId="0"/>
    <xf numFmtId="0" fontId="4" fillId="0" borderId="0"/>
    <xf numFmtId="0" fontId="1" fillId="0" borderId="0"/>
    <xf numFmtId="0" fontId="4" fillId="0" borderId="0"/>
    <xf numFmtId="0" fontId="35" fillId="0" borderId="0"/>
    <xf numFmtId="0" fontId="5" fillId="4" borderId="7" applyNumberFormat="0" applyFont="0" applyAlignment="0" applyProtection="0"/>
    <xf numFmtId="0" fontId="48" fillId="12" borderId="8" applyNumberFormat="0" applyAlignment="0" applyProtection="0"/>
    <xf numFmtId="0" fontId="7" fillId="0" borderId="0">
      <alignment vertical="center"/>
    </xf>
    <xf numFmtId="9" fontId="1" fillId="0" borderId="0" applyFont="0" applyFill="0" applyBorder="0" applyAlignment="0" applyProtection="0"/>
    <xf numFmtId="9" fontId="4" fillId="0" borderId="0" applyFont="0" applyFill="0" applyBorder="0" applyAlignment="0" applyProtection="0"/>
    <xf numFmtId="9" fontId="59" fillId="0" borderId="0" applyFont="0" applyFill="0" applyBorder="0" applyAlignment="0" applyProtection="0"/>
    <xf numFmtId="9" fontId="60" fillId="0" borderId="0" applyFont="0" applyFill="0" applyBorder="0" applyAlignment="0" applyProtection="0"/>
    <xf numFmtId="0" fontId="2" fillId="15" borderId="0" applyNumberFormat="0" applyFont="0" applyBorder="0" applyAlignment="0" applyProtection="0"/>
    <xf numFmtId="0" fontId="22" fillId="0" borderId="0"/>
    <xf numFmtId="0" fontId="22" fillId="0" borderId="9">
      <alignment horizontal="centerContinuous"/>
    </xf>
    <xf numFmtId="0" fontId="25" fillId="0" borderId="9"/>
    <xf numFmtId="0" fontId="2" fillId="0" borderId="0" applyNumberFormat="0" applyFill="0" applyBorder="0" applyAlignment="0" applyProtection="0"/>
    <xf numFmtId="0" fontId="18" fillId="16" borderId="10" applyNumberFormat="0" applyProtection="0">
      <alignment wrapText="1"/>
    </xf>
    <xf numFmtId="0" fontId="55" fillId="0" borderId="0" applyNumberFormat="0" applyFill="0" applyBorder="0" applyAlignment="0" applyProtection="0"/>
    <xf numFmtId="0" fontId="49" fillId="0" borderId="11" applyNumberFormat="0" applyFill="0" applyAlignment="0" applyProtection="0"/>
    <xf numFmtId="0" fontId="50" fillId="0" borderId="0" applyNumberForma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0" borderId="0" applyNumberFormat="0" applyFill="0" applyBorder="0" applyAlignment="0" applyProtection="0"/>
    <xf numFmtId="44" fontId="2" fillId="0" borderId="0" applyFont="0" applyFill="0" applyBorder="0" applyAlignment="0" applyProtection="0"/>
    <xf numFmtId="0" fontId="1" fillId="0" borderId="0"/>
    <xf numFmtId="0" fontId="2" fillId="0" borderId="0"/>
    <xf numFmtId="0" fontId="2" fillId="0" borderId="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1" fillId="0" borderId="0"/>
    <xf numFmtId="0" fontId="2" fillId="4" borderId="7"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0" fontId="14" fillId="16" borderId="10" applyNumberFormat="0" applyProtection="0">
      <alignment wrapText="1"/>
    </xf>
    <xf numFmtId="0" fontId="35" fillId="0" borderId="0"/>
  </cellStyleXfs>
  <cellXfs count="1011">
    <xf numFmtId="0" fontId="0" fillId="0" borderId="0" xfId="0"/>
    <xf numFmtId="0" fontId="9" fillId="0" borderId="0" xfId="0" applyFont="1"/>
    <xf numFmtId="0" fontId="14" fillId="0" borderId="0" xfId="0" applyFont="1"/>
    <xf numFmtId="49" fontId="0" fillId="0" borderId="0" xfId="0" applyNumberFormat="1"/>
    <xf numFmtId="0" fontId="27" fillId="18" borderId="0" xfId="58" applyFont="1" applyFill="1" applyBorder="1" applyAlignment="1">
      <alignment horizontal="left"/>
    </xf>
    <xf numFmtId="0" fontId="27" fillId="19" borderId="0" xfId="58" applyFont="1" applyFill="1" applyBorder="1" applyAlignment="1">
      <alignment horizontal="left"/>
    </xf>
    <xf numFmtId="0" fontId="15" fillId="15" borderId="0" xfId="0" applyFont="1" applyFill="1" applyBorder="1"/>
    <xf numFmtId="0" fontId="15" fillId="16" borderId="0" xfId="0" applyFont="1" applyFill="1" applyBorder="1"/>
    <xf numFmtId="0" fontId="6" fillId="0" borderId="0" xfId="0" applyFont="1"/>
    <xf numFmtId="0" fontId="15" fillId="16" borderId="0" xfId="0" applyFont="1" applyFill="1" applyBorder="1" applyAlignment="1">
      <alignment horizontal="right"/>
    </xf>
    <xf numFmtId="0" fontId="15" fillId="20" borderId="0" xfId="0" applyFont="1" applyFill="1" applyBorder="1" applyAlignment="1">
      <alignment horizontal="right"/>
    </xf>
    <xf numFmtId="0" fontId="15" fillId="20" borderId="23" xfId="0" applyFont="1" applyFill="1" applyBorder="1" applyAlignment="1">
      <alignment horizontal="right"/>
    </xf>
    <xf numFmtId="0" fontId="15" fillId="15" borderId="0" xfId="0" applyFont="1" applyFill="1" applyBorder="1" applyAlignment="1">
      <alignment horizontal="right"/>
    </xf>
    <xf numFmtId="0" fontId="27" fillId="18" borderId="0" xfId="0" applyFont="1" applyFill="1" applyBorder="1"/>
    <xf numFmtId="0" fontId="27" fillId="18" borderId="0" xfId="0" applyFont="1" applyFill="1"/>
    <xf numFmtId="0" fontId="27" fillId="18" borderId="0" xfId="0" applyFont="1" applyFill="1" applyBorder="1" applyAlignment="1">
      <alignment horizontal="right"/>
    </xf>
    <xf numFmtId="0" fontId="27" fillId="18" borderId="23" xfId="0" applyFont="1" applyFill="1" applyBorder="1" applyAlignment="1">
      <alignment horizontal="right"/>
    </xf>
    <xf numFmtId="3" fontId="14" fillId="16" borderId="0" xfId="0" applyNumberFormat="1" applyFont="1" applyFill="1" applyBorder="1"/>
    <xf numFmtId="3" fontId="15" fillId="16" borderId="0" xfId="0" applyNumberFormat="1" applyFont="1" applyFill="1" applyBorder="1" applyAlignment="1">
      <alignment horizontal="right"/>
    </xf>
    <xf numFmtId="165" fontId="14" fillId="16" borderId="0" xfId="0" applyNumberFormat="1" applyFont="1" applyFill="1" applyBorder="1"/>
    <xf numFmtId="165" fontId="14" fillId="16" borderId="0" xfId="62" applyNumberFormat="1" applyFont="1" applyFill="1" applyBorder="1"/>
    <xf numFmtId="165" fontId="14" fillId="0" borderId="0" xfId="0" applyNumberFormat="1" applyFont="1" applyFill="1" applyBorder="1"/>
    <xf numFmtId="3" fontId="14" fillId="0" borderId="0" xfId="0" applyNumberFormat="1" applyFont="1" applyFill="1" applyBorder="1"/>
    <xf numFmtId="0" fontId="14" fillId="16" borderId="0" xfId="0" applyFont="1" applyFill="1" applyBorder="1"/>
    <xf numFmtId="0" fontId="14" fillId="16" borderId="23" xfId="0" applyFont="1" applyFill="1" applyBorder="1"/>
    <xf numFmtId="3" fontId="14" fillId="16" borderId="0" xfId="62" applyNumberFormat="1" applyFont="1" applyFill="1" applyBorder="1"/>
    <xf numFmtId="3" fontId="16" fillId="16" borderId="0" xfId="0" applyNumberFormat="1" applyFont="1" applyFill="1" applyBorder="1"/>
    <xf numFmtId="0" fontId="11" fillId="16" borderId="0" xfId="0" applyFont="1" applyFill="1" applyBorder="1"/>
    <xf numFmtId="3" fontId="14" fillId="0" borderId="0" xfId="62" applyNumberFormat="1" applyFont="1" applyFill="1" applyBorder="1"/>
    <xf numFmtId="0" fontId="14" fillId="0" borderId="0" xfId="0" applyFont="1" applyFill="1" applyBorder="1"/>
    <xf numFmtId="0" fontId="15" fillId="17" borderId="12" xfId="0" applyFont="1" applyFill="1" applyBorder="1"/>
    <xf numFmtId="0" fontId="14" fillId="17" borderId="12" xfId="0" applyFont="1" applyFill="1" applyBorder="1"/>
    <xf numFmtId="2" fontId="14" fillId="16" borderId="0" xfId="0" applyNumberFormat="1" applyFont="1" applyFill="1" applyBorder="1"/>
    <xf numFmtId="165" fontId="16" fillId="16" borderId="0" xfId="62" applyNumberFormat="1" applyFont="1" applyFill="1" applyBorder="1"/>
    <xf numFmtId="2" fontId="14" fillId="0" borderId="0" xfId="0" applyNumberFormat="1" applyFont="1" applyFill="1" applyBorder="1"/>
    <xf numFmtId="165" fontId="14" fillId="0" borderId="0" xfId="62" applyNumberFormat="1" applyFont="1" applyFill="1" applyBorder="1"/>
    <xf numFmtId="2" fontId="14" fillId="16" borderId="0" xfId="62" applyNumberFormat="1" applyFont="1" applyFill="1" applyBorder="1"/>
    <xf numFmtId="169" fontId="14" fillId="16" borderId="0" xfId="0" applyNumberFormat="1" applyFont="1" applyFill="1" applyBorder="1"/>
    <xf numFmtId="169" fontId="14" fillId="0" borderId="0" xfId="0" applyNumberFormat="1" applyFont="1" applyFill="1" applyBorder="1"/>
    <xf numFmtId="169" fontId="15" fillId="16" borderId="0" xfId="0" applyNumberFormat="1" applyFont="1" applyFill="1" applyBorder="1"/>
    <xf numFmtId="4" fontId="14" fillId="16" borderId="0" xfId="0" applyNumberFormat="1" applyFont="1" applyFill="1" applyBorder="1"/>
    <xf numFmtId="4" fontId="14" fillId="0" borderId="0" xfId="0" applyNumberFormat="1" applyFont="1" applyFill="1" applyBorder="1"/>
    <xf numFmtId="165" fontId="16" fillId="0" borderId="0" xfId="62" applyNumberFormat="1" applyFont="1" applyFill="1" applyBorder="1"/>
    <xf numFmtId="1" fontId="14" fillId="16" borderId="0" xfId="0" applyNumberFormat="1" applyFont="1" applyFill="1" applyBorder="1"/>
    <xf numFmtId="166" fontId="14" fillId="0" borderId="0" xfId="62" applyNumberFormat="1" applyFont="1" applyFill="1" applyBorder="1"/>
    <xf numFmtId="5" fontId="14" fillId="0" borderId="0" xfId="0" applyNumberFormat="1" applyFont="1" applyFill="1" applyBorder="1"/>
    <xf numFmtId="5" fontId="14" fillId="0" borderId="0" xfId="62" applyNumberFormat="1" applyFont="1" applyFill="1" applyBorder="1"/>
    <xf numFmtId="5" fontId="14" fillId="16" borderId="0" xfId="62" applyNumberFormat="1" applyFont="1" applyFill="1" applyBorder="1"/>
    <xf numFmtId="165" fontId="11" fillId="16" borderId="0" xfId="62" applyNumberFormat="1" applyFont="1" applyFill="1" applyBorder="1"/>
    <xf numFmtId="9" fontId="14" fillId="0" borderId="0" xfId="0" applyNumberFormat="1" applyFont="1" applyFill="1" applyBorder="1"/>
    <xf numFmtId="9" fontId="16" fillId="0" borderId="0" xfId="62" applyNumberFormat="1" applyFont="1" applyFill="1" applyBorder="1"/>
    <xf numFmtId="9" fontId="16" fillId="16" borderId="0" xfId="62" applyNumberFormat="1" applyFont="1" applyFill="1" applyBorder="1"/>
    <xf numFmtId="0" fontId="14" fillId="0" borderId="0" xfId="0" applyFont="1" applyFill="1"/>
    <xf numFmtId="168" fontId="16" fillId="0" borderId="0" xfId="62" applyNumberFormat="1" applyFont="1" applyFill="1" applyBorder="1"/>
    <xf numFmtId="168" fontId="16" fillId="16" borderId="0" xfId="62" applyNumberFormat="1" applyFont="1" applyFill="1" applyBorder="1"/>
    <xf numFmtId="168" fontId="14" fillId="0" borderId="0" xfId="0" applyNumberFormat="1" applyFont="1" applyFill="1"/>
    <xf numFmtId="168" fontId="14" fillId="0" borderId="0" xfId="62" applyNumberFormat="1" applyFont="1" applyFill="1" applyBorder="1"/>
    <xf numFmtId="166" fontId="14" fillId="16" borderId="0" xfId="62" applyNumberFormat="1" applyFont="1" applyFill="1" applyBorder="1" applyAlignment="1"/>
    <xf numFmtId="166" fontId="11" fillId="16" borderId="0" xfId="62" applyNumberFormat="1" applyFont="1" applyFill="1" applyBorder="1" applyAlignment="1"/>
    <xf numFmtId="165" fontId="14" fillId="16" borderId="0" xfId="62" applyNumberFormat="1" applyFont="1" applyFill="1" applyBorder="1" applyAlignment="1"/>
    <xf numFmtId="165" fontId="16" fillId="16" borderId="0" xfId="62" applyNumberFormat="1" applyFont="1" applyFill="1" applyBorder="1" applyAlignment="1"/>
    <xf numFmtId="165" fontId="11" fillId="16" borderId="0" xfId="62" applyNumberFormat="1" applyFont="1" applyFill="1" applyBorder="1" applyAlignment="1"/>
    <xf numFmtId="1" fontId="14" fillId="0" borderId="0" xfId="0" applyNumberFormat="1" applyFont="1" applyFill="1"/>
    <xf numFmtId="1" fontId="14" fillId="0" borderId="0" xfId="0" applyNumberFormat="1" applyFont="1" applyFill="1" applyBorder="1"/>
    <xf numFmtId="5" fontId="14" fillId="16" borderId="0" xfId="62" applyNumberFormat="1" applyFont="1" applyFill="1" applyBorder="1" applyAlignment="1"/>
    <xf numFmtId="5" fontId="11" fillId="16" borderId="0" xfId="62" applyNumberFormat="1" applyFont="1" applyFill="1" applyBorder="1"/>
    <xf numFmtId="5" fontId="14" fillId="16" borderId="0" xfId="0" applyNumberFormat="1" applyFont="1" applyFill="1" applyBorder="1"/>
    <xf numFmtId="169" fontId="14" fillId="16" borderId="0" xfId="62" applyNumberFormat="1" applyFont="1" applyFill="1" applyBorder="1"/>
    <xf numFmtId="169" fontId="16" fillId="16" borderId="0" xfId="62" applyNumberFormat="1" applyFont="1" applyFill="1" applyBorder="1"/>
    <xf numFmtId="2" fontId="14" fillId="16" borderId="0" xfId="62" applyNumberFormat="1" applyFont="1" applyFill="1" applyBorder="1" applyAlignment="1"/>
    <xf numFmtId="2" fontId="16" fillId="16" borderId="0" xfId="62" applyNumberFormat="1" applyFont="1" applyFill="1" applyBorder="1" applyAlignment="1"/>
    <xf numFmtId="169" fontId="14" fillId="0" borderId="0" xfId="62" applyNumberFormat="1" applyFont="1" applyFill="1" applyBorder="1"/>
    <xf numFmtId="168" fontId="10" fillId="0" borderId="0" xfId="0" applyNumberFormat="1" applyFont="1" applyFill="1" applyBorder="1" applyAlignment="1">
      <alignment horizontal="left" indent="1"/>
    </xf>
    <xf numFmtId="168" fontId="10" fillId="0" borderId="0" xfId="62" applyNumberFormat="1" applyFont="1" applyFill="1" applyBorder="1"/>
    <xf numFmtId="3" fontId="14" fillId="0" borderId="0" xfId="0" applyNumberFormat="1" applyFont="1" applyFill="1" applyBorder="1" applyAlignment="1">
      <alignment horizontal="left" indent="1"/>
    </xf>
    <xf numFmtId="2" fontId="14" fillId="16" borderId="0" xfId="0" applyNumberFormat="1" applyFont="1" applyFill="1" applyBorder="1" applyAlignment="1">
      <alignment horizontal="left" indent="1"/>
    </xf>
    <xf numFmtId="2" fontId="16" fillId="16" borderId="0" xfId="62" applyNumberFormat="1" applyFont="1" applyFill="1" applyBorder="1"/>
    <xf numFmtId="165" fontId="11" fillId="16" borderId="0" xfId="0" applyNumberFormat="1" applyFont="1" applyFill="1" applyBorder="1"/>
    <xf numFmtId="165" fontId="14" fillId="16" borderId="0" xfId="55" applyNumberFormat="1" applyFont="1" applyFill="1" applyBorder="1"/>
    <xf numFmtId="5" fontId="15" fillId="16" borderId="0" xfId="0" applyNumberFormat="1" applyFont="1" applyFill="1" applyBorder="1"/>
    <xf numFmtId="5" fontId="15" fillId="0" borderId="0" xfId="0" applyNumberFormat="1" applyFont="1" applyFill="1" applyBorder="1"/>
    <xf numFmtId="5" fontId="15" fillId="16" borderId="0" xfId="62" applyNumberFormat="1" applyFont="1" applyFill="1" applyBorder="1"/>
    <xf numFmtId="166" fontId="14" fillId="16" borderId="0" xfId="0" applyNumberFormat="1" applyFont="1" applyFill="1" applyBorder="1"/>
    <xf numFmtId="165" fontId="15" fillId="16" borderId="0" xfId="0" applyNumberFormat="1" applyFont="1" applyFill="1" applyBorder="1"/>
    <xf numFmtId="165" fontId="15" fillId="16" borderId="0" xfId="62" applyNumberFormat="1" applyFont="1" applyFill="1" applyBorder="1"/>
    <xf numFmtId="5" fontId="14" fillId="16" borderId="0" xfId="55" applyNumberFormat="1" applyFont="1" applyFill="1" applyBorder="1"/>
    <xf numFmtId="5" fontId="19" fillId="16" borderId="13" xfId="55" applyNumberFormat="1" applyFont="1" applyFill="1" applyBorder="1"/>
    <xf numFmtId="169" fontId="11" fillId="16" borderId="0" xfId="0" applyNumberFormat="1" applyFont="1" applyFill="1" applyBorder="1"/>
    <xf numFmtId="169" fontId="16" fillId="0" borderId="0" xfId="0" applyNumberFormat="1" applyFont="1" applyFill="1" applyBorder="1"/>
    <xf numFmtId="169" fontId="16" fillId="16" borderId="0" xfId="0" applyNumberFormat="1" applyFont="1" applyFill="1" applyBorder="1"/>
    <xf numFmtId="5" fontId="14" fillId="16" borderId="24" xfId="0" applyNumberFormat="1" applyFont="1" applyFill="1" applyBorder="1"/>
    <xf numFmtId="5" fontId="16" fillId="16" borderId="0" xfId="0" applyNumberFormat="1" applyFont="1" applyFill="1" applyBorder="1"/>
    <xf numFmtId="169" fontId="11" fillId="16" borderId="25" xfId="55" applyNumberFormat="1" applyFont="1" applyFill="1" applyBorder="1"/>
    <xf numFmtId="5" fontId="11" fillId="16" borderId="25" xfId="0" applyNumberFormat="1" applyFont="1" applyFill="1" applyBorder="1"/>
    <xf numFmtId="5" fontId="14" fillId="16" borderId="26" xfId="55" applyNumberFormat="1" applyFont="1" applyFill="1" applyBorder="1"/>
    <xf numFmtId="5" fontId="14" fillId="16" borderId="26" xfId="0" applyNumberFormat="1" applyFont="1" applyFill="1" applyBorder="1"/>
    <xf numFmtId="169" fontId="14" fillId="16" borderId="24" xfId="55" applyNumberFormat="1" applyFont="1" applyFill="1" applyBorder="1"/>
    <xf numFmtId="7" fontId="14" fillId="16" borderId="0" xfId="0" applyNumberFormat="1" applyFont="1" applyFill="1" applyBorder="1"/>
    <xf numFmtId="7" fontId="15" fillId="16" borderId="12" xfId="55" applyNumberFormat="1" applyFont="1" applyFill="1" applyBorder="1"/>
    <xf numFmtId="7" fontId="15" fillId="16" borderId="12" xfId="0" applyNumberFormat="1" applyFont="1" applyFill="1" applyBorder="1"/>
    <xf numFmtId="1" fontId="14" fillId="16" borderId="0" xfId="55" applyNumberFormat="1" applyFont="1" applyFill="1" applyBorder="1"/>
    <xf numFmtId="169" fontId="11" fillId="0" borderId="0" xfId="0" applyNumberFormat="1" applyFont="1" applyFill="1" applyBorder="1"/>
    <xf numFmtId="169" fontId="11" fillId="16" borderId="0" xfId="55" applyNumberFormat="1" applyFont="1" applyFill="1" applyBorder="1"/>
    <xf numFmtId="169" fontId="11" fillId="16" borderId="0" xfId="0" applyNumberFormat="1" applyFont="1" applyFill="1" applyBorder="1" applyAlignment="1">
      <alignment horizontal="right"/>
    </xf>
    <xf numFmtId="169" fontId="11" fillId="16" borderId="24" xfId="55" applyNumberFormat="1" applyFont="1" applyFill="1" applyBorder="1"/>
    <xf numFmtId="169" fontId="11" fillId="16" borderId="24" xfId="0" applyNumberFormat="1" applyFont="1" applyFill="1" applyBorder="1"/>
    <xf numFmtId="9" fontId="11" fillId="16" borderId="0" xfId="62" applyNumberFormat="1" applyFont="1" applyFill="1"/>
    <xf numFmtId="9" fontId="11" fillId="16" borderId="0" xfId="0" applyNumberFormat="1" applyFont="1" applyFill="1" applyBorder="1"/>
    <xf numFmtId="7" fontId="11" fillId="16" borderId="12" xfId="55" applyNumberFormat="1" applyFont="1" applyFill="1" applyBorder="1"/>
    <xf numFmtId="7" fontId="11" fillId="16" borderId="12" xfId="0" applyNumberFormat="1" applyFont="1" applyFill="1" applyBorder="1"/>
    <xf numFmtId="9" fontId="14" fillId="16" borderId="0" xfId="0" applyNumberFormat="1" applyFont="1" applyFill="1" applyBorder="1"/>
    <xf numFmtId="5" fontId="15" fillId="16" borderId="0" xfId="0" applyNumberFormat="1" applyFont="1" applyFill="1"/>
    <xf numFmtId="5" fontId="33" fillId="16" borderId="0" xfId="0" applyNumberFormat="1" applyFont="1" applyFill="1" applyBorder="1"/>
    <xf numFmtId="0" fontId="6" fillId="16" borderId="0" xfId="0" applyFont="1" applyFill="1"/>
    <xf numFmtId="0" fontId="14" fillId="16" borderId="0" xfId="0" applyFont="1" applyFill="1" applyBorder="1" applyAlignment="1">
      <alignment horizontal="left" indent="2"/>
    </xf>
    <xf numFmtId="165" fontId="14" fillId="16" borderId="0" xfId="0" applyNumberFormat="1" applyFont="1" applyFill="1" applyBorder="1" applyAlignment="1">
      <alignment horizontal="left" indent="2"/>
    </xf>
    <xf numFmtId="165" fontId="16" fillId="16" borderId="0" xfId="0" applyNumberFormat="1" applyFont="1" applyFill="1" applyBorder="1"/>
    <xf numFmtId="5" fontId="15" fillId="16" borderId="24" xfId="0" applyNumberFormat="1" applyFont="1" applyFill="1" applyBorder="1"/>
    <xf numFmtId="5" fontId="14" fillId="16" borderId="0" xfId="0" applyNumberFormat="1" applyFont="1" applyFill="1" applyBorder="1" applyAlignment="1">
      <alignment horizontal="left" indent="1"/>
    </xf>
    <xf numFmtId="165" fontId="16" fillId="16" borderId="0" xfId="0" applyNumberFormat="1" applyFont="1" applyFill="1" applyBorder="1" applyAlignment="1"/>
    <xf numFmtId="5" fontId="14" fillId="16" borderId="0" xfId="0" applyNumberFormat="1" applyFont="1" applyFill="1" applyBorder="1" applyAlignment="1">
      <alignment horizontal="center"/>
    </xf>
    <xf numFmtId="9" fontId="14" fillId="16" borderId="0" xfId="0" applyNumberFormat="1" applyFont="1" applyFill="1" applyBorder="1" applyAlignment="1">
      <alignment horizontal="left" indent="1"/>
    </xf>
    <xf numFmtId="9" fontId="16" fillId="16" borderId="0" xfId="0" applyNumberFormat="1" applyFont="1" applyFill="1" applyBorder="1"/>
    <xf numFmtId="5" fontId="14" fillId="16" borderId="0" xfId="0" applyNumberFormat="1" applyFont="1" applyFill="1" applyBorder="1" applyAlignment="1">
      <alignment horizontal="right"/>
    </xf>
    <xf numFmtId="5" fontId="15" fillId="16" borderId="0" xfId="0" applyNumberFormat="1" applyFont="1" applyFill="1" applyBorder="1" applyAlignment="1">
      <alignment horizontal="right"/>
    </xf>
    <xf numFmtId="2" fontId="14" fillId="0" borderId="0" xfId="0" applyNumberFormat="1" applyFont="1" applyFill="1" applyBorder="1" applyAlignment="1">
      <alignment horizontal="right"/>
    </xf>
    <xf numFmtId="0" fontId="14" fillId="16" borderId="0" xfId="0" applyFont="1" applyFill="1" applyBorder="1" applyAlignment="1">
      <alignment horizontal="right"/>
    </xf>
    <xf numFmtId="190" fontId="15" fillId="16" borderId="0" xfId="0" applyNumberFormat="1" applyFont="1" applyFill="1" applyBorder="1"/>
    <xf numFmtId="1" fontId="14" fillId="0" borderId="0" xfId="0" applyNumberFormat="1" applyFont="1"/>
    <xf numFmtId="1" fontId="16" fillId="16" borderId="0" xfId="0" applyNumberFormat="1" applyFont="1" applyFill="1" applyBorder="1"/>
    <xf numFmtId="168" fontId="14" fillId="0" borderId="0" xfId="0" applyNumberFormat="1" applyFont="1"/>
    <xf numFmtId="168" fontId="14" fillId="16" borderId="0" xfId="0" applyNumberFormat="1" applyFont="1" applyFill="1" applyBorder="1"/>
    <xf numFmtId="168" fontId="16" fillId="16" borderId="0" xfId="0" applyNumberFormat="1" applyFont="1" applyFill="1" applyBorder="1"/>
    <xf numFmtId="169" fontId="14" fillId="0" borderId="0" xfId="0" applyNumberFormat="1" applyFont="1"/>
    <xf numFmtId="5" fontId="29" fillId="16" borderId="0" xfId="0" applyNumberFormat="1" applyFont="1" applyFill="1" applyBorder="1"/>
    <xf numFmtId="166" fontId="29" fillId="16" borderId="0" xfId="0" applyNumberFormat="1" applyFont="1" applyFill="1" applyBorder="1"/>
    <xf numFmtId="39" fontId="14" fillId="16" borderId="0" xfId="0" applyNumberFormat="1" applyFont="1" applyFill="1" applyBorder="1"/>
    <xf numFmtId="174" fontId="14" fillId="16" borderId="0" xfId="0" applyNumberFormat="1" applyFont="1" applyFill="1" applyBorder="1"/>
    <xf numFmtId="174" fontId="29" fillId="16" borderId="0" xfId="0" applyNumberFormat="1" applyFont="1" applyFill="1" applyBorder="1"/>
    <xf numFmtId="165" fontId="14" fillId="16" borderId="0" xfId="0" applyNumberFormat="1" applyFont="1" applyFill="1" applyBorder="1" applyAlignment="1">
      <alignment horizontal="right"/>
    </xf>
    <xf numFmtId="165" fontId="15" fillId="0" borderId="24" xfId="0" applyNumberFormat="1" applyFont="1" applyFill="1" applyBorder="1"/>
    <xf numFmtId="0" fontId="6" fillId="0" borderId="24" xfId="0" applyFont="1" applyFill="1" applyBorder="1"/>
    <xf numFmtId="165" fontId="14" fillId="16" borderId="0" xfId="58" applyNumberFormat="1" applyFont="1" applyFill="1" applyBorder="1" applyAlignment="1" applyProtection="1">
      <alignment horizontal="left" indent="2"/>
      <protection locked="0"/>
    </xf>
    <xf numFmtId="165" fontId="14" fillId="0" borderId="0" xfId="0" applyNumberFormat="1" applyFont="1" applyFill="1" applyBorder="1" applyAlignment="1">
      <alignment horizontal="left" indent="2"/>
    </xf>
    <xf numFmtId="169" fontId="15" fillId="17" borderId="0" xfId="58" applyNumberFormat="1" applyFont="1" applyFill="1" applyBorder="1" applyAlignment="1" applyProtection="1">
      <alignment horizontal="left"/>
      <protection locked="0"/>
    </xf>
    <xf numFmtId="5" fontId="10" fillId="0" borderId="0" xfId="0" applyNumberFormat="1" applyFont="1" applyFill="1" applyBorder="1" applyAlignment="1">
      <alignment horizontal="left" indent="1"/>
    </xf>
    <xf numFmtId="166" fontId="14" fillId="0" borderId="0" xfId="0" applyNumberFormat="1" applyFont="1" applyFill="1" applyBorder="1" applyAlignment="1">
      <alignment horizontal="left" indent="1"/>
    </xf>
    <xf numFmtId="5" fontId="14" fillId="0" borderId="0" xfId="0" applyNumberFormat="1" applyFont="1" applyFill="1" applyBorder="1" applyAlignment="1">
      <alignment horizontal="left" indent="1"/>
    </xf>
    <xf numFmtId="165" fontId="14" fillId="16" borderId="0" xfId="58" applyNumberFormat="1" applyFont="1" applyFill="1" applyBorder="1" applyAlignment="1" applyProtection="1">
      <alignment horizontal="left" indent="3"/>
      <protection locked="0"/>
    </xf>
    <xf numFmtId="166" fontId="14" fillId="0" borderId="24" xfId="0" applyNumberFormat="1" applyFont="1" applyFill="1" applyBorder="1" applyAlignment="1">
      <alignment horizontal="left"/>
    </xf>
    <xf numFmtId="0" fontId="29" fillId="16" borderId="0" xfId="56" applyFont="1" applyFill="1" applyBorder="1"/>
    <xf numFmtId="9" fontId="14" fillId="0" borderId="0" xfId="0" applyNumberFormat="1" applyFont="1" applyFill="1" applyAlignment="1">
      <alignment horizontal="left" indent="1"/>
    </xf>
    <xf numFmtId="166" fontId="14" fillId="0" borderId="0" xfId="0" applyNumberFormat="1" applyFont="1" applyFill="1" applyAlignment="1">
      <alignment horizontal="left" indent="1"/>
    </xf>
    <xf numFmtId="2" fontId="14" fillId="16" borderId="0" xfId="0" applyNumberFormat="1" applyFont="1" applyFill="1" applyBorder="1" applyAlignment="1" applyProtection="1">
      <alignment horizontal="left" indent="1"/>
      <protection locked="0"/>
    </xf>
    <xf numFmtId="2" fontId="14" fillId="16" borderId="0" xfId="55" applyNumberFormat="1" applyFont="1" applyFill="1" applyBorder="1" applyAlignment="1">
      <alignment horizontal="left" indent="1"/>
    </xf>
    <xf numFmtId="165" fontId="15" fillId="0" borderId="24" xfId="62" applyNumberFormat="1" applyFont="1" applyFill="1" applyBorder="1"/>
    <xf numFmtId="169" fontId="14" fillId="16" borderId="0" xfId="0" applyNumberFormat="1" applyFont="1" applyFill="1" applyBorder="1" applyAlignment="1">
      <alignment horizontal="left" indent="1"/>
    </xf>
    <xf numFmtId="0" fontId="6" fillId="17" borderId="0" xfId="0" applyFont="1" applyFill="1"/>
    <xf numFmtId="1" fontId="14" fillId="0" borderId="0" xfId="55" applyNumberFormat="1" applyFont="1" applyFill="1" applyBorder="1"/>
    <xf numFmtId="1" fontId="16" fillId="0" borderId="0" xfId="0" applyNumberFormat="1" applyFont="1" applyFill="1" applyBorder="1"/>
    <xf numFmtId="0" fontId="6" fillId="0" borderId="0" xfId="0" applyFont="1" applyFill="1"/>
    <xf numFmtId="165" fontId="14" fillId="0" borderId="0" xfId="55" applyNumberFormat="1" applyFont="1" applyFill="1" applyBorder="1" applyAlignment="1">
      <alignment horizontal="left" indent="1"/>
    </xf>
    <xf numFmtId="0" fontId="37" fillId="0" borderId="0" xfId="0" applyFont="1"/>
    <xf numFmtId="5" fontId="14" fillId="16" borderId="0" xfId="54" applyNumberFormat="1" applyFont="1" applyFill="1" applyBorder="1" applyAlignment="1">
      <alignment horizontal="left" indent="1"/>
    </xf>
    <xf numFmtId="9" fontId="14" fillId="16" borderId="0" xfId="54" applyNumberFormat="1" applyFont="1" applyFill="1" applyBorder="1" applyAlignment="1">
      <alignment horizontal="left" indent="1"/>
    </xf>
    <xf numFmtId="169" fontId="15" fillId="17" borderId="12" xfId="58" applyNumberFormat="1" applyFont="1" applyFill="1" applyBorder="1" applyAlignment="1" applyProtection="1">
      <alignment horizontal="left"/>
      <protection locked="0"/>
    </xf>
    <xf numFmtId="170" fontId="15" fillId="0" borderId="24" xfId="0" applyNumberFormat="1" applyFont="1" applyFill="1" applyBorder="1"/>
    <xf numFmtId="0" fontId="34" fillId="16" borderId="0" xfId="0" applyFont="1" applyFill="1" applyBorder="1"/>
    <xf numFmtId="170" fontId="14" fillId="0" borderId="0" xfId="0" applyNumberFormat="1" applyFont="1" applyFill="1" applyBorder="1"/>
    <xf numFmtId="169" fontId="14" fillId="0" borderId="0" xfId="58" applyNumberFormat="1" applyFont="1" applyFill="1" applyBorder="1" applyAlignment="1" applyProtection="1">
      <alignment horizontal="left"/>
      <protection locked="0"/>
    </xf>
    <xf numFmtId="169" fontId="15" fillId="0" borderId="12" xfId="58" applyNumberFormat="1" applyFont="1" applyFill="1" applyBorder="1" applyAlignment="1" applyProtection="1">
      <alignment horizontal="left"/>
      <protection locked="0"/>
    </xf>
    <xf numFmtId="5" fontId="14" fillId="16" borderId="0" xfId="0" applyNumberFormat="1" applyFont="1" applyFill="1" applyBorder="1" applyAlignment="1">
      <alignment horizontal="left"/>
    </xf>
    <xf numFmtId="5" fontId="15" fillId="16" borderId="0" xfId="0" applyNumberFormat="1" applyFont="1" applyFill="1" applyBorder="1" applyAlignment="1">
      <alignment horizontal="left"/>
    </xf>
    <xf numFmtId="166" fontId="10" fillId="16" borderId="0" xfId="0" applyNumberFormat="1" applyFont="1" applyFill="1" applyAlignment="1">
      <alignment horizontal="left" indent="1"/>
    </xf>
    <xf numFmtId="5" fontId="10" fillId="16" borderId="0" xfId="0" applyNumberFormat="1" applyFont="1" applyFill="1" applyBorder="1"/>
    <xf numFmtId="0" fontId="38" fillId="0" borderId="0" xfId="0" applyFont="1"/>
    <xf numFmtId="5" fontId="14" fillId="16" borderId="0" xfId="0" applyNumberFormat="1" applyFont="1" applyFill="1" applyAlignment="1">
      <alignment horizontal="left" indent="1"/>
    </xf>
    <xf numFmtId="0" fontId="6" fillId="0" borderId="0" xfId="0" applyFont="1" applyAlignment="1">
      <alignment horizontal="left"/>
    </xf>
    <xf numFmtId="165" fontId="14" fillId="16" borderId="0" xfId="0" applyNumberFormat="1" applyFont="1" applyFill="1" applyBorder="1" applyAlignment="1">
      <alignment horizontal="left"/>
    </xf>
    <xf numFmtId="0" fontId="6" fillId="0" borderId="12" xfId="0" applyFont="1" applyBorder="1"/>
    <xf numFmtId="7" fontId="27" fillId="18" borderId="0" xfId="0" applyNumberFormat="1" applyFont="1" applyFill="1" applyBorder="1"/>
    <xf numFmtId="5" fontId="27" fillId="18" borderId="0" xfId="0" applyNumberFormat="1" applyFont="1" applyFill="1" applyBorder="1"/>
    <xf numFmtId="0" fontId="27" fillId="18" borderId="15" xfId="0" applyFont="1" applyFill="1" applyBorder="1"/>
    <xf numFmtId="5" fontId="15" fillId="0" borderId="24" xfId="0" applyNumberFormat="1" applyFont="1" applyFill="1" applyBorder="1"/>
    <xf numFmtId="169" fontId="15" fillId="17" borderId="0" xfId="58" applyNumberFormat="1" applyFont="1" applyFill="1" applyBorder="1" applyAlignment="1" applyProtection="1">
      <alignment horizontal="right"/>
      <protection locked="0"/>
    </xf>
    <xf numFmtId="169" fontId="15" fillId="17" borderId="27" xfId="58" applyNumberFormat="1" applyFont="1" applyFill="1" applyBorder="1" applyAlignment="1" applyProtection="1">
      <alignment horizontal="right"/>
      <protection locked="0"/>
    </xf>
    <xf numFmtId="5" fontId="15" fillId="0" borderId="12" xfId="0" applyNumberFormat="1" applyFont="1" applyFill="1" applyBorder="1"/>
    <xf numFmtId="5" fontId="15" fillId="17" borderId="12" xfId="0" applyNumberFormat="1" applyFont="1" applyFill="1" applyBorder="1"/>
    <xf numFmtId="0" fontId="6" fillId="0" borderId="0" xfId="0" applyFont="1" applyBorder="1"/>
    <xf numFmtId="0" fontId="6" fillId="0" borderId="0" xfId="0" applyFont="1" applyFill="1" applyBorder="1"/>
    <xf numFmtId="168" fontId="14" fillId="0" borderId="24" xfId="0" applyNumberFormat="1" applyFont="1" applyFill="1" applyBorder="1"/>
    <xf numFmtId="168" fontId="14" fillId="0" borderId="24" xfId="62" applyNumberFormat="1" applyFont="1" applyFill="1" applyBorder="1"/>
    <xf numFmtId="0" fontId="27" fillId="18" borderId="0" xfId="58" applyFont="1" applyFill="1" applyBorder="1" applyAlignment="1" applyProtection="1">
      <alignment horizontal="centerContinuous" wrapText="1"/>
    </xf>
    <xf numFmtId="0" fontId="27" fillId="18" borderId="27" xfId="58" applyFont="1" applyFill="1" applyBorder="1" applyAlignment="1" applyProtection="1">
      <alignment horizontal="center"/>
    </xf>
    <xf numFmtId="0" fontId="27" fillId="18" borderId="13" xfId="58" applyFont="1" applyFill="1" applyBorder="1" applyAlignment="1" applyProtection="1">
      <alignment horizontal="center"/>
    </xf>
    <xf numFmtId="0" fontId="27" fillId="18" borderId="28" xfId="58" applyFont="1" applyFill="1" applyBorder="1" applyAlignment="1" applyProtection="1">
      <alignment horizontal="center"/>
    </xf>
    <xf numFmtId="0" fontId="27" fillId="18" borderId="27" xfId="0" applyFont="1" applyFill="1" applyBorder="1"/>
    <xf numFmtId="0" fontId="27" fillId="19" borderId="27" xfId="58" applyFont="1" applyFill="1" applyBorder="1" applyAlignment="1">
      <alignment horizontal="left"/>
    </xf>
    <xf numFmtId="3" fontId="14" fillId="16" borderId="27" xfId="0" applyNumberFormat="1" applyFont="1" applyFill="1" applyBorder="1"/>
    <xf numFmtId="165" fontId="14" fillId="16" borderId="27" xfId="0" applyNumberFormat="1" applyFont="1" applyFill="1" applyBorder="1"/>
    <xf numFmtId="3" fontId="14" fillId="0" borderId="27" xfId="0" applyNumberFormat="1" applyFont="1" applyFill="1" applyBorder="1"/>
    <xf numFmtId="165" fontId="14" fillId="0" borderId="27" xfId="0" applyNumberFormat="1" applyFont="1" applyFill="1" applyBorder="1"/>
    <xf numFmtId="0" fontId="14" fillId="16" borderId="27" xfId="0" applyFont="1" applyFill="1" applyBorder="1"/>
    <xf numFmtId="2" fontId="14" fillId="16" borderId="27" xfId="0" applyNumberFormat="1" applyFont="1" applyFill="1" applyBorder="1"/>
    <xf numFmtId="2" fontId="14" fillId="0" borderId="27" xfId="0" applyNumberFormat="1" applyFont="1" applyFill="1" applyBorder="1"/>
    <xf numFmtId="165" fontId="11" fillId="0" borderId="27" xfId="0" applyNumberFormat="1" applyFont="1" applyFill="1" applyBorder="1"/>
    <xf numFmtId="165" fontId="14" fillId="16" borderId="27" xfId="62" applyNumberFormat="1" applyFont="1" applyFill="1" applyBorder="1"/>
    <xf numFmtId="169" fontId="14" fillId="16" borderId="27" xfId="0" applyNumberFormat="1" applyFont="1" applyFill="1" applyBorder="1"/>
    <xf numFmtId="4" fontId="14" fillId="16" borderId="27" xfId="0" applyNumberFormat="1" applyFont="1" applyFill="1" applyBorder="1"/>
    <xf numFmtId="165" fontId="14" fillId="0" borderId="27" xfId="62" applyNumberFormat="1" applyFont="1" applyFill="1" applyBorder="1"/>
    <xf numFmtId="166" fontId="14" fillId="0" borderId="27" xfId="62" applyNumberFormat="1" applyFont="1" applyFill="1" applyBorder="1"/>
    <xf numFmtId="5" fontId="14" fillId="0" borderId="27" xfId="0" applyNumberFormat="1" applyFont="1" applyFill="1" applyBorder="1"/>
    <xf numFmtId="168" fontId="14" fillId="0" borderId="29" xfId="0" applyNumberFormat="1" applyFont="1" applyFill="1" applyBorder="1"/>
    <xf numFmtId="0" fontId="10" fillId="16" borderId="27" xfId="56" applyFont="1" applyFill="1" applyBorder="1"/>
    <xf numFmtId="9" fontId="14" fillId="0" borderId="27" xfId="0" applyNumberFormat="1" applyFont="1" applyFill="1" applyBorder="1"/>
    <xf numFmtId="0" fontId="14" fillId="0" borderId="27" xfId="0" applyFont="1" applyFill="1" applyBorder="1"/>
    <xf numFmtId="168" fontId="14" fillId="0" borderId="27" xfId="0" applyNumberFormat="1" applyFont="1" applyFill="1" applyBorder="1"/>
    <xf numFmtId="166" fontId="14" fillId="0" borderId="27" xfId="0" applyNumberFormat="1" applyFont="1" applyFill="1" applyBorder="1" applyAlignment="1"/>
    <xf numFmtId="165" fontId="14" fillId="0" borderId="27" xfId="0" applyNumberFormat="1" applyFont="1" applyFill="1" applyBorder="1" applyAlignment="1"/>
    <xf numFmtId="2" fontId="14" fillId="16" borderId="27" xfId="0" applyNumberFormat="1" applyFont="1" applyFill="1" applyBorder="1" applyProtection="1">
      <protection locked="0"/>
    </xf>
    <xf numFmtId="1" fontId="14" fillId="0" borderId="27" xfId="0" applyNumberFormat="1" applyFont="1" applyFill="1" applyBorder="1"/>
    <xf numFmtId="5" fontId="14" fillId="16" borderId="27" xfId="62" applyNumberFormat="1" applyFont="1" applyFill="1" applyBorder="1"/>
    <xf numFmtId="2" fontId="14" fillId="16" borderId="27" xfId="0" applyNumberFormat="1" applyFont="1" applyFill="1" applyBorder="1" applyAlignment="1"/>
    <xf numFmtId="168" fontId="10" fillId="0" borderId="27" xfId="0" applyNumberFormat="1" applyFont="1" applyFill="1" applyBorder="1"/>
    <xf numFmtId="165" fontId="11" fillId="16" borderId="27" xfId="0" applyNumberFormat="1" applyFont="1" applyFill="1" applyBorder="1"/>
    <xf numFmtId="2" fontId="14" fillId="16" borderId="27" xfId="55" applyNumberFormat="1" applyFont="1" applyFill="1" applyBorder="1"/>
    <xf numFmtId="165" fontId="14" fillId="16" borderId="27" xfId="55" applyNumberFormat="1" applyFont="1" applyFill="1" applyBorder="1"/>
    <xf numFmtId="5" fontId="15" fillId="16" borderId="27" xfId="0" applyNumberFormat="1" applyFont="1" applyFill="1" applyBorder="1"/>
    <xf numFmtId="165" fontId="15" fillId="0" borderId="29" xfId="0" applyNumberFormat="1" applyFont="1" applyFill="1" applyBorder="1"/>
    <xf numFmtId="166" fontId="14" fillId="16" borderId="27" xfId="0" applyNumberFormat="1" applyFont="1" applyFill="1" applyBorder="1"/>
    <xf numFmtId="165" fontId="15" fillId="16" borderId="27" xfId="0" applyNumberFormat="1" applyFont="1" applyFill="1" applyBorder="1"/>
    <xf numFmtId="0" fontId="27" fillId="18" borderId="27" xfId="58" applyFont="1" applyFill="1" applyBorder="1" applyAlignment="1">
      <alignment horizontal="left"/>
    </xf>
    <xf numFmtId="5" fontId="14" fillId="16" borderId="27" xfId="55" applyNumberFormat="1" applyFont="1" applyFill="1" applyBorder="1"/>
    <xf numFmtId="5" fontId="19" fillId="16" borderId="28" xfId="55" applyNumberFormat="1" applyFont="1" applyFill="1" applyBorder="1"/>
    <xf numFmtId="169" fontId="11" fillId="16" borderId="27" xfId="0" applyNumberFormat="1" applyFont="1" applyFill="1" applyBorder="1"/>
    <xf numFmtId="5" fontId="14" fillId="16" borderId="29" xfId="0" applyNumberFormat="1" applyFont="1" applyFill="1" applyBorder="1"/>
    <xf numFmtId="5" fontId="14" fillId="16" borderId="30" xfId="55" applyNumberFormat="1" applyFont="1" applyFill="1" applyBorder="1"/>
    <xf numFmtId="165" fontId="14" fillId="0" borderId="27" xfId="55" applyNumberFormat="1" applyFont="1" applyFill="1" applyBorder="1"/>
    <xf numFmtId="169" fontId="14" fillId="16" borderId="27" xfId="55" applyNumberFormat="1" applyFont="1" applyFill="1" applyBorder="1"/>
    <xf numFmtId="167" fontId="14" fillId="16" borderId="27" xfId="55" applyNumberFormat="1" applyFont="1" applyFill="1" applyBorder="1"/>
    <xf numFmtId="7" fontId="15" fillId="16" borderId="10" xfId="55" applyNumberFormat="1" applyFont="1" applyFill="1" applyBorder="1"/>
    <xf numFmtId="165" fontId="11" fillId="16" borderId="27" xfId="55" applyNumberFormat="1" applyFont="1" applyFill="1" applyBorder="1"/>
    <xf numFmtId="1" fontId="14" fillId="0" borderId="27" xfId="55" applyNumberFormat="1" applyFont="1" applyFill="1" applyBorder="1"/>
    <xf numFmtId="1" fontId="14" fillId="16" borderId="27" xfId="55" applyNumberFormat="1" applyFont="1" applyFill="1" applyBorder="1"/>
    <xf numFmtId="169" fontId="11" fillId="16" borderId="27" xfId="55" applyNumberFormat="1" applyFont="1" applyFill="1" applyBorder="1"/>
    <xf numFmtId="169" fontId="11" fillId="16" borderId="29" xfId="55" applyNumberFormat="1" applyFont="1" applyFill="1" applyBorder="1"/>
    <xf numFmtId="9" fontId="11" fillId="16" borderId="27" xfId="62" applyNumberFormat="1" applyFont="1" applyFill="1" applyBorder="1"/>
    <xf numFmtId="7" fontId="11" fillId="16" borderId="10" xfId="55" applyNumberFormat="1" applyFont="1" applyFill="1" applyBorder="1"/>
    <xf numFmtId="5" fontId="14" fillId="16" borderId="27" xfId="0" applyNumberFormat="1" applyFont="1" applyFill="1" applyBorder="1"/>
    <xf numFmtId="5" fontId="15" fillId="17" borderId="10" xfId="0" applyNumberFormat="1" applyFont="1" applyFill="1" applyBorder="1"/>
    <xf numFmtId="9" fontId="14" fillId="16" borderId="27" xfId="0" applyNumberFormat="1" applyFont="1" applyFill="1" applyBorder="1"/>
    <xf numFmtId="5" fontId="15" fillId="0" borderId="29" xfId="0" applyNumberFormat="1" applyFont="1" applyFill="1" applyBorder="1"/>
    <xf numFmtId="169" fontId="14" fillId="0" borderId="27" xfId="0" applyNumberFormat="1" applyFont="1" applyFill="1" applyBorder="1"/>
    <xf numFmtId="5" fontId="15" fillId="0" borderId="27" xfId="0" applyNumberFormat="1" applyFont="1" applyFill="1" applyBorder="1"/>
    <xf numFmtId="5" fontId="15" fillId="0" borderId="10" xfId="0" applyNumberFormat="1" applyFont="1" applyFill="1" applyBorder="1"/>
    <xf numFmtId="5" fontId="15" fillId="16" borderId="29" xfId="0" applyNumberFormat="1" applyFont="1" applyFill="1" applyBorder="1"/>
    <xf numFmtId="5" fontId="10" fillId="16" borderId="27" xfId="0" applyNumberFormat="1" applyFont="1" applyFill="1" applyBorder="1"/>
    <xf numFmtId="0" fontId="15" fillId="16" borderId="27" xfId="0" applyFont="1" applyFill="1" applyBorder="1"/>
    <xf numFmtId="5" fontId="14" fillId="16" borderId="27" xfId="0" applyNumberFormat="1" applyFont="1" applyFill="1" applyBorder="1" applyAlignment="1">
      <alignment horizontal="center"/>
    </xf>
    <xf numFmtId="0" fontId="14" fillId="17" borderId="10" xfId="0" applyFont="1" applyFill="1" applyBorder="1"/>
    <xf numFmtId="190" fontId="15" fillId="16" borderId="27" xfId="0" applyNumberFormat="1" applyFont="1" applyFill="1" applyBorder="1"/>
    <xf numFmtId="1" fontId="14" fillId="16" borderId="27" xfId="0" applyNumberFormat="1" applyFont="1" applyFill="1" applyBorder="1"/>
    <xf numFmtId="168" fontId="14" fillId="16" borderId="27" xfId="0" applyNumberFormat="1" applyFont="1" applyFill="1" applyBorder="1"/>
    <xf numFmtId="7" fontId="14" fillId="16" borderId="27" xfId="0" applyNumberFormat="1" applyFont="1" applyFill="1" applyBorder="1"/>
    <xf numFmtId="5" fontId="29" fillId="16" borderId="27" xfId="0" applyNumberFormat="1" applyFont="1" applyFill="1" applyBorder="1"/>
    <xf numFmtId="39" fontId="14" fillId="16" borderId="27" xfId="0" applyNumberFormat="1" applyFont="1" applyFill="1" applyBorder="1"/>
    <xf numFmtId="174" fontId="14" fillId="16" borderId="27" xfId="0" applyNumberFormat="1" applyFont="1" applyFill="1" applyBorder="1"/>
    <xf numFmtId="5" fontId="14" fillId="16" borderId="27" xfId="0" applyNumberFormat="1" applyFont="1" applyFill="1" applyBorder="1" applyAlignment="1"/>
    <xf numFmtId="166" fontId="18" fillId="16" borderId="27" xfId="53" applyNumberFormat="1" applyFont="1" applyFill="1" applyBorder="1"/>
    <xf numFmtId="0" fontId="15" fillId="15" borderId="27" xfId="0" applyFont="1" applyFill="1" applyBorder="1" applyAlignment="1">
      <alignment horizontal="center" wrapText="1"/>
    </xf>
    <xf numFmtId="0" fontId="15" fillId="15" borderId="27" xfId="0" applyFont="1" applyFill="1" applyBorder="1" applyAlignment="1">
      <alignment horizontal="right"/>
    </xf>
    <xf numFmtId="0" fontId="27" fillId="18" borderId="27" xfId="0" applyFont="1" applyFill="1" applyBorder="1" applyAlignment="1">
      <alignment horizontal="right"/>
    </xf>
    <xf numFmtId="3" fontId="11" fillId="16" borderId="27" xfId="0" applyNumberFormat="1" applyFont="1" applyFill="1" applyBorder="1"/>
    <xf numFmtId="2" fontId="14" fillId="16" borderId="27" xfId="62" applyNumberFormat="1" applyFont="1" applyFill="1" applyBorder="1"/>
    <xf numFmtId="4" fontId="14" fillId="0" borderId="27" xfId="0" applyNumberFormat="1" applyFont="1" applyFill="1" applyBorder="1"/>
    <xf numFmtId="3" fontId="14" fillId="0" borderId="27" xfId="62" applyNumberFormat="1" applyFont="1" applyFill="1" applyBorder="1"/>
    <xf numFmtId="5" fontId="14" fillId="0" borderId="27" xfId="62" applyNumberFormat="1" applyFont="1" applyFill="1" applyBorder="1"/>
    <xf numFmtId="165" fontId="11" fillId="16" borderId="27" xfId="62" applyNumberFormat="1" applyFont="1" applyFill="1" applyBorder="1"/>
    <xf numFmtId="9" fontId="16" fillId="0" borderId="27" xfId="62" applyNumberFormat="1" applyFont="1" applyFill="1" applyBorder="1"/>
    <xf numFmtId="168" fontId="16" fillId="0" borderId="27" xfId="62" applyNumberFormat="1" applyFont="1" applyFill="1" applyBorder="1"/>
    <xf numFmtId="168" fontId="14" fillId="0" borderId="27" xfId="62" applyNumberFormat="1" applyFont="1" applyFill="1" applyBorder="1"/>
    <xf numFmtId="166" fontId="14" fillId="0" borderId="27" xfId="62" applyNumberFormat="1" applyFont="1" applyFill="1" applyBorder="1" applyAlignment="1"/>
    <xf numFmtId="165" fontId="16" fillId="0" borderId="27" xfId="62" applyNumberFormat="1" applyFont="1" applyFill="1" applyBorder="1" applyAlignment="1"/>
    <xf numFmtId="165" fontId="16" fillId="0" borderId="27" xfId="62" applyNumberFormat="1" applyFont="1" applyFill="1" applyBorder="1"/>
    <xf numFmtId="1" fontId="14" fillId="0" borderId="27" xfId="62" applyNumberFormat="1" applyFont="1" applyFill="1" applyBorder="1"/>
    <xf numFmtId="5" fontId="14" fillId="16" borderId="27" xfId="62" applyNumberFormat="1" applyFont="1" applyFill="1" applyBorder="1" applyAlignment="1"/>
    <xf numFmtId="169" fontId="14" fillId="16" borderId="27" xfId="62" applyNumberFormat="1" applyFont="1" applyFill="1" applyBorder="1"/>
    <xf numFmtId="2" fontId="14" fillId="16" borderId="27" xfId="62" applyNumberFormat="1" applyFont="1" applyFill="1" applyBorder="1" applyAlignment="1"/>
    <xf numFmtId="168" fontId="10" fillId="0" borderId="27" xfId="62" applyNumberFormat="1" applyFont="1" applyFill="1" applyBorder="1"/>
    <xf numFmtId="5" fontId="15" fillId="16" borderId="27" xfId="62" applyNumberFormat="1" applyFont="1" applyFill="1" applyBorder="1"/>
    <xf numFmtId="165" fontId="15" fillId="0" borderId="29" xfId="62" applyNumberFormat="1" applyFont="1" applyFill="1" applyBorder="1"/>
    <xf numFmtId="165" fontId="15" fillId="16" borderId="27" xfId="62" applyNumberFormat="1" applyFont="1" applyFill="1" applyBorder="1"/>
    <xf numFmtId="5" fontId="19" fillId="16" borderId="28" xfId="0" applyNumberFormat="1" applyFont="1" applyFill="1" applyBorder="1"/>
    <xf numFmtId="5" fontId="11" fillId="16" borderId="31" xfId="0" applyNumberFormat="1" applyFont="1" applyFill="1" applyBorder="1"/>
    <xf numFmtId="5" fontId="14" fillId="16" borderId="30" xfId="0" applyNumberFormat="1" applyFont="1" applyFill="1" applyBorder="1"/>
    <xf numFmtId="7" fontId="15" fillId="16" borderId="10" xfId="0" applyNumberFormat="1" applyFont="1" applyFill="1" applyBorder="1"/>
    <xf numFmtId="169" fontId="11" fillId="16" borderId="29" xfId="0" applyNumberFormat="1" applyFont="1" applyFill="1" applyBorder="1"/>
    <xf numFmtId="9" fontId="11" fillId="16" borderId="27" xfId="0" applyNumberFormat="1" applyFont="1" applyFill="1" applyBorder="1"/>
    <xf numFmtId="7" fontId="11" fillId="16" borderId="10" xfId="0" applyNumberFormat="1" applyFont="1" applyFill="1" applyBorder="1"/>
    <xf numFmtId="168" fontId="16" fillId="16" borderId="27" xfId="62" applyNumberFormat="1" applyFont="1" applyFill="1" applyBorder="1"/>
    <xf numFmtId="166" fontId="11" fillId="0" borderId="27" xfId="62" applyNumberFormat="1" applyFont="1" applyFill="1" applyBorder="1" applyAlignment="1"/>
    <xf numFmtId="165" fontId="14" fillId="16" borderId="27" xfId="62" applyNumberFormat="1" applyFont="1" applyFill="1" applyBorder="1" applyAlignment="1"/>
    <xf numFmtId="5" fontId="16" fillId="16" borderId="27" xfId="0" applyNumberFormat="1" applyFont="1" applyFill="1" applyBorder="1"/>
    <xf numFmtId="169" fontId="16" fillId="16" borderId="27" xfId="0" applyNumberFormat="1" applyFont="1" applyFill="1" applyBorder="1"/>
    <xf numFmtId="169" fontId="16" fillId="0" borderId="27" xfId="0" applyNumberFormat="1" applyFont="1" applyFill="1" applyBorder="1"/>
    <xf numFmtId="9" fontId="16" fillId="16" borderId="27" xfId="0" applyNumberFormat="1" applyFont="1" applyFill="1" applyBorder="1"/>
    <xf numFmtId="5" fontId="14" fillId="16" borderId="27" xfId="0" applyNumberFormat="1" applyFont="1" applyFill="1" applyBorder="1" applyAlignment="1">
      <alignment horizontal="right"/>
    </xf>
    <xf numFmtId="5" fontId="15" fillId="16" borderId="27" xfId="0" applyNumberFormat="1" applyFont="1" applyFill="1" applyBorder="1" applyAlignment="1">
      <alignment horizontal="right"/>
    </xf>
    <xf numFmtId="2" fontId="14" fillId="0" borderId="27" xfId="0" applyNumberFormat="1" applyFont="1" applyFill="1" applyBorder="1" applyAlignment="1">
      <alignment horizontal="right"/>
    </xf>
    <xf numFmtId="0" fontId="14" fillId="16" borderId="27" xfId="0" applyFont="1" applyFill="1" applyBorder="1" applyAlignment="1">
      <alignment horizontal="right"/>
    </xf>
    <xf numFmtId="1" fontId="16" fillId="16" borderId="27" xfId="0" applyNumberFormat="1" applyFont="1" applyFill="1" applyBorder="1"/>
    <xf numFmtId="166" fontId="29" fillId="16" borderId="27" xfId="0" applyNumberFormat="1" applyFont="1" applyFill="1" applyBorder="1"/>
    <xf numFmtId="0" fontId="27" fillId="18" borderId="17" xfId="58" applyFont="1" applyFill="1" applyBorder="1" applyAlignment="1" applyProtection="1">
      <alignment horizontal="center"/>
    </xf>
    <xf numFmtId="0" fontId="27" fillId="18" borderId="19" xfId="58" applyFont="1" applyFill="1" applyBorder="1" applyAlignment="1" applyProtection="1">
      <alignment horizontal="center"/>
    </xf>
    <xf numFmtId="0" fontId="27" fillId="18" borderId="17" xfId="0" applyFont="1" applyFill="1" applyBorder="1" applyAlignment="1">
      <alignment horizontal="right"/>
    </xf>
    <xf numFmtId="0" fontId="27" fillId="19" borderId="17" xfId="58" applyFont="1" applyFill="1" applyBorder="1" applyAlignment="1">
      <alignment horizontal="left"/>
    </xf>
    <xf numFmtId="3" fontId="14" fillId="16" borderId="17" xfId="0" applyNumberFormat="1" applyFont="1" applyFill="1" applyBorder="1"/>
    <xf numFmtId="165" fontId="14" fillId="16" borderId="17" xfId="62" applyNumberFormat="1" applyFont="1" applyFill="1" applyBorder="1"/>
    <xf numFmtId="169" fontId="15" fillId="17" borderId="17" xfId="58" applyNumberFormat="1" applyFont="1" applyFill="1" applyBorder="1" applyAlignment="1" applyProtection="1">
      <alignment horizontal="right"/>
      <protection locked="0"/>
    </xf>
    <xf numFmtId="2" fontId="14" fillId="16" borderId="17" xfId="0" applyNumberFormat="1" applyFont="1" applyFill="1" applyBorder="1"/>
    <xf numFmtId="2" fontId="14" fillId="16" borderId="17" xfId="62" applyNumberFormat="1" applyFont="1" applyFill="1" applyBorder="1"/>
    <xf numFmtId="169" fontId="14" fillId="0" borderId="17" xfId="0" applyNumberFormat="1" applyFont="1" applyFill="1" applyBorder="1"/>
    <xf numFmtId="169" fontId="14" fillId="16" borderId="17" xfId="0" applyNumberFormat="1" applyFont="1" applyFill="1" applyBorder="1"/>
    <xf numFmtId="4" fontId="14" fillId="0" borderId="17" xfId="0" applyNumberFormat="1" applyFont="1" applyFill="1" applyBorder="1"/>
    <xf numFmtId="165" fontId="14" fillId="0" borderId="17" xfId="62" applyNumberFormat="1" applyFont="1" applyFill="1" applyBorder="1"/>
    <xf numFmtId="3" fontId="14" fillId="0" borderId="17" xfId="62" applyNumberFormat="1" applyFont="1" applyFill="1" applyBorder="1"/>
    <xf numFmtId="166" fontId="14" fillId="0" borderId="17" xfId="62" applyNumberFormat="1" applyFont="1" applyFill="1" applyBorder="1"/>
    <xf numFmtId="5" fontId="14" fillId="0" borderId="17" xfId="62" applyNumberFormat="1" applyFont="1" applyFill="1" applyBorder="1"/>
    <xf numFmtId="165" fontId="11" fillId="16" borderId="17" xfId="62" applyNumberFormat="1" applyFont="1" applyFill="1" applyBorder="1"/>
    <xf numFmtId="9" fontId="16" fillId="0" borderId="17" xfId="62" applyNumberFormat="1" applyFont="1" applyFill="1" applyBorder="1"/>
    <xf numFmtId="168" fontId="16" fillId="0" borderId="17" xfId="62" applyNumberFormat="1" applyFont="1" applyFill="1" applyBorder="1"/>
    <xf numFmtId="168" fontId="14" fillId="0" borderId="17" xfId="62" applyNumberFormat="1" applyFont="1" applyFill="1" applyBorder="1"/>
    <xf numFmtId="168" fontId="16" fillId="16" borderId="17" xfId="62" applyNumberFormat="1" applyFont="1" applyFill="1" applyBorder="1"/>
    <xf numFmtId="166" fontId="11" fillId="0" borderId="17" xfId="62" applyNumberFormat="1" applyFont="1" applyFill="1" applyBorder="1" applyAlignment="1"/>
    <xf numFmtId="165" fontId="14" fillId="16" borderId="17" xfId="62" applyNumberFormat="1" applyFont="1" applyFill="1" applyBorder="1" applyAlignment="1"/>
    <xf numFmtId="4" fontId="14" fillId="16" borderId="17" xfId="0" applyNumberFormat="1" applyFont="1" applyFill="1" applyBorder="1"/>
    <xf numFmtId="5" fontId="14" fillId="16" borderId="17" xfId="62" applyNumberFormat="1" applyFont="1" applyFill="1" applyBorder="1" applyAlignment="1"/>
    <xf numFmtId="169" fontId="14" fillId="16" borderId="17" xfId="62" applyNumberFormat="1" applyFont="1" applyFill="1" applyBorder="1"/>
    <xf numFmtId="2" fontId="14" fillId="16" borderId="17" xfId="62" applyNumberFormat="1" applyFont="1" applyFill="1" applyBorder="1" applyAlignment="1"/>
    <xf numFmtId="168" fontId="10" fillId="0" borderId="17" xfId="62" applyNumberFormat="1" applyFont="1" applyFill="1" applyBorder="1"/>
    <xf numFmtId="165" fontId="16" fillId="0" borderId="17" xfId="62" applyNumberFormat="1" applyFont="1" applyFill="1" applyBorder="1"/>
    <xf numFmtId="165" fontId="14" fillId="16" borderId="17" xfId="0" applyNumberFormat="1" applyFont="1" applyFill="1" applyBorder="1"/>
    <xf numFmtId="5" fontId="15" fillId="16" borderId="17" xfId="0" applyNumberFormat="1" applyFont="1" applyFill="1" applyBorder="1"/>
    <xf numFmtId="5" fontId="15" fillId="16" borderId="17" xfId="62" applyNumberFormat="1" applyFont="1" applyFill="1" applyBorder="1"/>
    <xf numFmtId="165" fontId="15" fillId="0" borderId="32" xfId="62" applyNumberFormat="1" applyFont="1" applyFill="1" applyBorder="1"/>
    <xf numFmtId="166" fontId="14" fillId="16" borderId="17" xfId="0" applyNumberFormat="1" applyFont="1" applyFill="1" applyBorder="1"/>
    <xf numFmtId="165" fontId="15" fillId="16" borderId="17" xfId="62" applyNumberFormat="1" applyFont="1" applyFill="1" applyBorder="1"/>
    <xf numFmtId="0" fontId="27" fillId="18" borderId="17" xfId="58" applyFont="1" applyFill="1" applyBorder="1" applyAlignment="1">
      <alignment horizontal="left"/>
    </xf>
    <xf numFmtId="5" fontId="14" fillId="16" borderId="17" xfId="55" applyNumberFormat="1" applyFont="1" applyFill="1" applyBorder="1"/>
    <xf numFmtId="5" fontId="19" fillId="16" borderId="19" xfId="0" applyNumberFormat="1" applyFont="1" applyFill="1" applyBorder="1"/>
    <xf numFmtId="5" fontId="14" fillId="16" borderId="17" xfId="0" applyNumberFormat="1" applyFont="1" applyFill="1" applyBorder="1"/>
    <xf numFmtId="5" fontId="11" fillId="16" borderId="33" xfId="0" applyNumberFormat="1" applyFont="1" applyFill="1" applyBorder="1"/>
    <xf numFmtId="5" fontId="14" fillId="16" borderId="34" xfId="0" applyNumberFormat="1" applyFont="1" applyFill="1" applyBorder="1"/>
    <xf numFmtId="5" fontId="14" fillId="16" borderId="32" xfId="0" applyNumberFormat="1" applyFont="1" applyFill="1" applyBorder="1"/>
    <xf numFmtId="7" fontId="14" fillId="16" borderId="17" xfId="0" applyNumberFormat="1" applyFont="1" applyFill="1" applyBorder="1"/>
    <xf numFmtId="7" fontId="15" fillId="16" borderId="21" xfId="0" applyNumberFormat="1" applyFont="1" applyFill="1" applyBorder="1"/>
    <xf numFmtId="165" fontId="11" fillId="16" borderId="17" xfId="0" applyNumberFormat="1" applyFont="1" applyFill="1" applyBorder="1"/>
    <xf numFmtId="1" fontId="14" fillId="0" borderId="17" xfId="0" applyNumberFormat="1" applyFont="1" applyFill="1" applyBorder="1"/>
    <xf numFmtId="1" fontId="14" fillId="16" borderId="17" xfId="0" applyNumberFormat="1" applyFont="1" applyFill="1" applyBorder="1"/>
    <xf numFmtId="0" fontId="14" fillId="17" borderId="21" xfId="0" applyFont="1" applyFill="1" applyBorder="1"/>
    <xf numFmtId="169" fontId="11" fillId="16" borderId="17" xfId="0" applyNumberFormat="1" applyFont="1" applyFill="1" applyBorder="1"/>
    <xf numFmtId="169" fontId="11" fillId="16" borderId="32" xfId="0" applyNumberFormat="1" applyFont="1" applyFill="1" applyBorder="1"/>
    <xf numFmtId="9" fontId="11" fillId="16" borderId="17" xfId="0" applyNumberFormat="1" applyFont="1" applyFill="1" applyBorder="1"/>
    <xf numFmtId="7" fontId="11" fillId="16" borderId="21" xfId="0" applyNumberFormat="1" applyFont="1" applyFill="1" applyBorder="1"/>
    <xf numFmtId="5" fontId="15" fillId="17" borderId="21" xfId="0" applyNumberFormat="1" applyFont="1" applyFill="1" applyBorder="1"/>
    <xf numFmtId="5" fontId="16" fillId="16" borderId="17" xfId="0" applyNumberFormat="1" applyFont="1" applyFill="1" applyBorder="1"/>
    <xf numFmtId="9" fontId="14" fillId="16" borderId="17" xfId="0" applyNumberFormat="1" applyFont="1" applyFill="1" applyBorder="1"/>
    <xf numFmtId="5" fontId="15" fillId="0" borderId="32" xfId="0" applyNumberFormat="1" applyFont="1" applyFill="1" applyBorder="1"/>
    <xf numFmtId="169" fontId="16" fillId="0" borderId="17" xfId="0" applyNumberFormat="1" applyFont="1" applyFill="1" applyBorder="1"/>
    <xf numFmtId="5" fontId="15" fillId="0" borderId="21" xfId="0" applyNumberFormat="1" applyFont="1" applyFill="1" applyBorder="1"/>
    <xf numFmtId="0" fontId="14" fillId="16" borderId="17" xfId="0" applyFont="1" applyFill="1" applyBorder="1"/>
    <xf numFmtId="5" fontId="15" fillId="16" borderId="32" xfId="0" applyNumberFormat="1" applyFont="1" applyFill="1" applyBorder="1"/>
    <xf numFmtId="5" fontId="14" fillId="16" borderId="17" xfId="0" applyNumberFormat="1" applyFont="1" applyFill="1" applyBorder="1" applyAlignment="1">
      <alignment horizontal="center"/>
    </xf>
    <xf numFmtId="9" fontId="16" fillId="16" borderId="17" xfId="0" applyNumberFormat="1" applyFont="1" applyFill="1" applyBorder="1"/>
    <xf numFmtId="5" fontId="14" fillId="16" borderId="17" xfId="0" applyNumberFormat="1" applyFont="1" applyFill="1" applyBorder="1" applyAlignment="1">
      <alignment horizontal="right"/>
    </xf>
    <xf numFmtId="5" fontId="15" fillId="16" borderId="17" xfId="0" applyNumberFormat="1" applyFont="1" applyFill="1" applyBorder="1" applyAlignment="1">
      <alignment horizontal="right"/>
    </xf>
    <xf numFmtId="2" fontId="14" fillId="0" borderId="17" xfId="0" applyNumberFormat="1" applyFont="1" applyFill="1" applyBorder="1" applyAlignment="1">
      <alignment horizontal="right"/>
    </xf>
    <xf numFmtId="0" fontId="14" fillId="16" borderId="17" xfId="0" applyFont="1" applyFill="1" applyBorder="1" applyAlignment="1">
      <alignment horizontal="right"/>
    </xf>
    <xf numFmtId="190" fontId="15" fillId="16" borderId="17" xfId="0" applyNumberFormat="1" applyFont="1" applyFill="1" applyBorder="1"/>
    <xf numFmtId="1" fontId="16" fillId="16" borderId="17" xfId="0" applyNumberFormat="1" applyFont="1" applyFill="1" applyBorder="1"/>
    <xf numFmtId="168" fontId="16" fillId="16" borderId="17" xfId="0" applyNumberFormat="1" applyFont="1" applyFill="1" applyBorder="1"/>
    <xf numFmtId="5" fontId="29" fillId="16" borderId="17" xfId="0" applyNumberFormat="1" applyFont="1" applyFill="1" applyBorder="1"/>
    <xf numFmtId="166" fontId="29" fillId="16" borderId="17" xfId="0" applyNumberFormat="1" applyFont="1" applyFill="1" applyBorder="1"/>
    <xf numFmtId="39" fontId="14" fillId="16" borderId="17" xfId="0" applyNumberFormat="1" applyFont="1" applyFill="1" applyBorder="1"/>
    <xf numFmtId="174" fontId="14" fillId="16" borderId="17" xfId="0" applyNumberFormat="1" applyFont="1" applyFill="1" applyBorder="1"/>
    <xf numFmtId="0" fontId="27" fillId="18" borderId="17" xfId="0" applyFont="1" applyFill="1" applyBorder="1"/>
    <xf numFmtId="165" fontId="14" fillId="0" borderId="0" xfId="0" applyNumberFormat="1" applyFont="1" applyFill="1" applyBorder="1" applyAlignment="1">
      <alignment horizontal="left" indent="3"/>
    </xf>
    <xf numFmtId="2" fontId="14" fillId="0" borderId="0" xfId="0" applyNumberFormat="1" applyFont="1" applyFill="1" applyBorder="1" applyAlignment="1">
      <alignment horizontal="left" indent="1"/>
    </xf>
    <xf numFmtId="2" fontId="14" fillId="0" borderId="0" xfId="0" applyNumberFormat="1" applyFont="1" applyFill="1" applyBorder="1" applyAlignment="1" applyProtection="1">
      <alignment horizontal="left" indent="1"/>
      <protection locked="0"/>
    </xf>
    <xf numFmtId="3" fontId="14" fillId="0" borderId="0" xfId="0" applyNumberFormat="1" applyFont="1" applyFill="1" applyBorder="1" applyAlignment="1">
      <alignment horizontal="left"/>
    </xf>
    <xf numFmtId="165" fontId="14" fillId="16" borderId="0" xfId="55" applyNumberFormat="1" applyFont="1" applyFill="1" applyBorder="1" applyAlignment="1">
      <alignment horizontal="left" indent="1"/>
    </xf>
    <xf numFmtId="5" fontId="19" fillId="16" borderId="13" xfId="55" applyNumberFormat="1" applyFont="1" applyFill="1" applyBorder="1" applyAlignment="1">
      <alignment horizontal="left" indent="1"/>
    </xf>
    <xf numFmtId="169" fontId="14" fillId="16" borderId="0" xfId="0" applyNumberFormat="1" applyFont="1" applyFill="1" applyAlignment="1">
      <alignment horizontal="left"/>
    </xf>
    <xf numFmtId="169" fontId="14" fillId="0" borderId="0" xfId="0" applyNumberFormat="1" applyFont="1" applyFill="1" applyAlignment="1">
      <alignment horizontal="left"/>
    </xf>
    <xf numFmtId="169" fontId="14" fillId="16" borderId="0" xfId="0" applyNumberFormat="1" applyFont="1" applyFill="1" applyBorder="1" applyAlignment="1">
      <alignment horizontal="left"/>
    </xf>
    <xf numFmtId="5" fontId="14" fillId="16" borderId="0" xfId="55" applyNumberFormat="1" applyFont="1" applyFill="1" applyBorder="1" applyAlignment="1">
      <alignment horizontal="left"/>
    </xf>
    <xf numFmtId="169" fontId="14" fillId="16" borderId="0" xfId="55" applyNumberFormat="1" applyFont="1" applyFill="1" applyBorder="1" applyAlignment="1">
      <alignment horizontal="left"/>
    </xf>
    <xf numFmtId="167" fontId="14" fillId="16" borderId="0" xfId="55" applyNumberFormat="1" applyFont="1" applyFill="1" applyBorder="1" applyAlignment="1">
      <alignment horizontal="left"/>
    </xf>
    <xf numFmtId="7" fontId="34" fillId="16" borderId="0" xfId="55" applyNumberFormat="1" applyFont="1" applyFill="1" applyBorder="1"/>
    <xf numFmtId="7" fontId="34" fillId="16" borderId="27" xfId="55" applyNumberFormat="1" applyFont="1" applyFill="1" applyBorder="1"/>
    <xf numFmtId="7" fontId="34" fillId="16" borderId="0" xfId="0" applyNumberFormat="1" applyFont="1" applyFill="1" applyBorder="1"/>
    <xf numFmtId="7" fontId="34" fillId="16" borderId="27" xfId="0" applyNumberFormat="1" applyFont="1" applyFill="1" applyBorder="1"/>
    <xf numFmtId="7" fontId="34" fillId="16" borderId="17" xfId="0" applyNumberFormat="1" applyFont="1" applyFill="1" applyBorder="1"/>
    <xf numFmtId="5" fontId="14" fillId="16" borderId="0" xfId="54" applyNumberFormat="1" applyFont="1" applyFill="1" applyBorder="1"/>
    <xf numFmtId="0" fontId="27" fillId="18" borderId="0" xfId="58" applyFont="1" applyFill="1" applyBorder="1" applyAlignment="1" applyProtection="1">
      <alignment horizontal="center"/>
    </xf>
    <xf numFmtId="165" fontId="14" fillId="16" borderId="0" xfId="62" applyNumberFormat="1" applyFont="1" applyFill="1" applyBorder="1" applyAlignment="1">
      <alignment horizontal="center" vertical="center"/>
    </xf>
    <xf numFmtId="0" fontId="6" fillId="17" borderId="12" xfId="0" applyFont="1" applyFill="1" applyBorder="1"/>
    <xf numFmtId="0" fontId="6" fillId="0" borderId="12" xfId="0" applyFont="1" applyFill="1" applyBorder="1"/>
    <xf numFmtId="5" fontId="15" fillId="16" borderId="25" xfId="0" applyNumberFormat="1" applyFont="1" applyFill="1" applyBorder="1"/>
    <xf numFmtId="5" fontId="15" fillId="16" borderId="31" xfId="0" applyNumberFormat="1" applyFont="1" applyFill="1" applyBorder="1"/>
    <xf numFmtId="5" fontId="15" fillId="16" borderId="33" xfId="0" applyNumberFormat="1" applyFont="1" applyFill="1" applyBorder="1"/>
    <xf numFmtId="0" fontId="6" fillId="16" borderId="0" xfId="0" applyFont="1" applyFill="1" applyBorder="1"/>
    <xf numFmtId="0" fontId="27" fillId="18" borderId="15" xfId="58" applyFont="1" applyFill="1" applyBorder="1" applyAlignment="1" applyProtection="1">
      <alignment horizontal="center"/>
    </xf>
    <xf numFmtId="0" fontId="27" fillId="16" borderId="0" xfId="58" applyFont="1" applyFill="1" applyBorder="1" applyAlignment="1">
      <alignment horizontal="left"/>
    </xf>
    <xf numFmtId="169" fontId="15" fillId="16" borderId="0" xfId="58" applyNumberFormat="1" applyFont="1" applyFill="1" applyBorder="1" applyAlignment="1" applyProtection="1">
      <alignment horizontal="right"/>
      <protection locked="0"/>
    </xf>
    <xf numFmtId="0" fontId="37" fillId="16" borderId="0" xfId="0" applyFont="1" applyFill="1" applyBorder="1"/>
    <xf numFmtId="0" fontId="38" fillId="16" borderId="0" xfId="0" applyFont="1" applyFill="1" applyBorder="1"/>
    <xf numFmtId="0" fontId="6" fillId="16" borderId="0" xfId="0" applyFont="1" applyFill="1" applyBorder="1" applyAlignment="1">
      <alignment horizontal="left"/>
    </xf>
    <xf numFmtId="0" fontId="27" fillId="16" borderId="0" xfId="0" applyFont="1" applyFill="1" applyBorder="1" applyAlignment="1">
      <alignment horizontal="right"/>
    </xf>
    <xf numFmtId="3" fontId="16" fillId="16" borderId="0" xfId="62" applyNumberFormat="1" applyFont="1" applyFill="1" applyBorder="1"/>
    <xf numFmtId="166" fontId="14" fillId="16" borderId="0" xfId="62" applyNumberFormat="1" applyFont="1" applyFill="1" applyBorder="1"/>
    <xf numFmtId="1" fontId="11" fillId="16" borderId="0" xfId="62" applyNumberFormat="1" applyFont="1" applyFill="1" applyBorder="1"/>
    <xf numFmtId="168" fontId="36" fillId="16" borderId="0" xfId="62" applyNumberFormat="1" applyFont="1" applyFill="1" applyBorder="1"/>
    <xf numFmtId="0" fontId="27" fillId="16" borderId="0" xfId="0" applyFont="1" applyFill="1" applyBorder="1"/>
    <xf numFmtId="165" fontId="15" fillId="16" borderId="0" xfId="0" applyNumberFormat="1" applyFont="1" applyFill="1" applyBorder="1" applyAlignment="1">
      <alignment horizontal="right"/>
    </xf>
    <xf numFmtId="5" fontId="19" fillId="16" borderId="0" xfId="0" applyNumberFormat="1" applyFont="1" applyFill="1" applyBorder="1"/>
    <xf numFmtId="7" fontId="15" fillId="16" borderId="0" xfId="0" applyNumberFormat="1" applyFont="1" applyFill="1" applyBorder="1"/>
    <xf numFmtId="7" fontId="11" fillId="16" borderId="0" xfId="0" applyNumberFormat="1" applyFont="1" applyFill="1" applyBorder="1"/>
    <xf numFmtId="1" fontId="11" fillId="16" borderId="27" xfId="0" applyNumberFormat="1" applyFont="1" applyFill="1" applyBorder="1"/>
    <xf numFmtId="1" fontId="14" fillId="16" borderId="0" xfId="62" applyNumberFormat="1" applyFont="1" applyFill="1" applyBorder="1"/>
    <xf numFmtId="5" fontId="11" fillId="16" borderId="31" xfId="55" applyNumberFormat="1" applyFont="1" applyFill="1" applyBorder="1"/>
    <xf numFmtId="5" fontId="14" fillId="16" borderId="29" xfId="55" applyNumberFormat="1" applyFont="1" applyFill="1" applyBorder="1"/>
    <xf numFmtId="0" fontId="14" fillId="17" borderId="0" xfId="0" applyFont="1" applyFill="1" applyBorder="1"/>
    <xf numFmtId="0" fontId="27" fillId="18" borderId="18" xfId="58" applyFont="1" applyFill="1" applyBorder="1" applyAlignment="1">
      <alignment horizontal="left"/>
    </xf>
    <xf numFmtId="165" fontId="33" fillId="16" borderId="27" xfId="55" applyNumberFormat="1" applyFont="1" applyFill="1" applyBorder="1"/>
    <xf numFmtId="5" fontId="33" fillId="16" borderId="27" xfId="0" applyNumberFormat="1" applyFont="1" applyFill="1" applyBorder="1"/>
    <xf numFmtId="168" fontId="16" fillId="16" borderId="27" xfId="0" applyNumberFormat="1" applyFont="1" applyFill="1" applyBorder="1"/>
    <xf numFmtId="169" fontId="14" fillId="16" borderId="0" xfId="58" applyNumberFormat="1" applyFont="1" applyFill="1" applyBorder="1" applyAlignment="1" applyProtection="1">
      <alignment horizontal="left"/>
      <protection locked="0"/>
    </xf>
    <xf numFmtId="169" fontId="14" fillId="16" borderId="0" xfId="58" applyNumberFormat="1" applyFont="1" applyFill="1" applyBorder="1" applyAlignment="1" applyProtection="1">
      <alignment horizontal="right"/>
      <protection locked="0"/>
    </xf>
    <xf numFmtId="169" fontId="14" fillId="16" borderId="27" xfId="58" applyNumberFormat="1" applyFont="1" applyFill="1" applyBorder="1" applyAlignment="1" applyProtection="1">
      <alignment horizontal="right"/>
      <protection locked="0"/>
    </xf>
    <xf numFmtId="169" fontId="14" fillId="16" borderId="17" xfId="58" applyNumberFormat="1" applyFont="1" applyFill="1" applyBorder="1" applyAlignment="1" applyProtection="1">
      <alignment horizontal="right"/>
      <protection locked="0"/>
    </xf>
    <xf numFmtId="166" fontId="18" fillId="16" borderId="0" xfId="53" applyNumberFormat="1" applyFont="1" applyFill="1" applyAlignment="1">
      <alignment horizontal="left" indent="1"/>
    </xf>
    <xf numFmtId="5" fontId="10" fillId="16" borderId="18" xfId="0" applyNumberFormat="1" applyFont="1" applyFill="1" applyBorder="1"/>
    <xf numFmtId="5" fontId="15" fillId="16" borderId="35" xfId="0" applyNumberFormat="1" applyFont="1" applyFill="1" applyBorder="1"/>
    <xf numFmtId="5" fontId="14" fillId="16" borderId="18" xfId="0" applyNumberFormat="1" applyFont="1" applyFill="1" applyBorder="1"/>
    <xf numFmtId="5" fontId="16" fillId="16" borderId="0" xfId="0" applyNumberFormat="1" applyFont="1" applyFill="1" applyBorder="1" applyAlignment="1">
      <alignment horizontal="right"/>
    </xf>
    <xf numFmtId="165" fontId="14" fillId="16" borderId="27" xfId="0" applyNumberFormat="1" applyFont="1" applyFill="1" applyBorder="1" applyAlignment="1">
      <alignment horizontal="right"/>
    </xf>
    <xf numFmtId="165" fontId="16" fillId="16" borderId="0" xfId="0" applyNumberFormat="1" applyFont="1" applyFill="1" applyBorder="1" applyAlignment="1">
      <alignment horizontal="right"/>
    </xf>
    <xf numFmtId="165" fontId="14" fillId="16" borderId="17" xfId="0" applyNumberFormat="1" applyFont="1" applyFill="1" applyBorder="1" applyAlignment="1">
      <alignment horizontal="right"/>
    </xf>
    <xf numFmtId="165" fontId="16" fillId="16" borderId="27" xfId="62" applyNumberFormat="1" applyFont="1" applyFill="1" applyBorder="1"/>
    <xf numFmtId="165" fontId="16" fillId="16" borderId="27" xfId="62" applyNumberFormat="1" applyFont="1" applyFill="1" applyBorder="1" applyAlignment="1"/>
    <xf numFmtId="165" fontId="16" fillId="16" borderId="27" xfId="0" applyNumberFormat="1" applyFont="1" applyFill="1" applyBorder="1"/>
    <xf numFmtId="5" fontId="16" fillId="0" borderId="17" xfId="0" applyNumberFormat="1" applyFont="1" applyFill="1" applyBorder="1"/>
    <xf numFmtId="5" fontId="16" fillId="0" borderId="27" xfId="0" applyNumberFormat="1" applyFont="1" applyFill="1" applyBorder="1"/>
    <xf numFmtId="5" fontId="16" fillId="0" borderId="0" xfId="0" applyNumberFormat="1" applyFont="1" applyFill="1" applyBorder="1"/>
    <xf numFmtId="165" fontId="11" fillId="0" borderId="27" xfId="62" applyNumberFormat="1" applyFont="1" applyFill="1" applyBorder="1"/>
    <xf numFmtId="165" fontId="11" fillId="0" borderId="17" xfId="62" applyNumberFormat="1" applyFont="1" applyFill="1" applyBorder="1"/>
    <xf numFmtId="0" fontId="15" fillId="17" borderId="0" xfId="0" applyFont="1" applyFill="1" applyBorder="1" applyAlignment="1">
      <alignment horizontal="left"/>
    </xf>
    <xf numFmtId="0" fontId="27" fillId="17" borderId="0" xfId="58" applyFont="1" applyFill="1" applyBorder="1" applyAlignment="1">
      <alignment horizontal="left"/>
    </xf>
    <xf numFmtId="3" fontId="15" fillId="17" borderId="0" xfId="0" applyNumberFormat="1" applyFont="1" applyFill="1" applyBorder="1" applyAlignment="1">
      <alignment horizontal="left"/>
    </xf>
    <xf numFmtId="165" fontId="15" fillId="17" borderId="0" xfId="0" applyNumberFormat="1" applyFont="1" applyFill="1" applyBorder="1" applyAlignment="1">
      <alignment horizontal="left"/>
    </xf>
    <xf numFmtId="165" fontId="15" fillId="17" borderId="0" xfId="62" applyNumberFormat="1" applyFont="1" applyFill="1" applyBorder="1" applyAlignment="1">
      <alignment horizontal="left"/>
    </xf>
    <xf numFmtId="2" fontId="15" fillId="17" borderId="0" xfId="0" applyNumberFormat="1" applyFont="1" applyFill="1" applyBorder="1" applyAlignment="1">
      <alignment horizontal="left"/>
    </xf>
    <xf numFmtId="0" fontId="37" fillId="17" borderId="0" xfId="0" applyFont="1" applyFill="1" applyBorder="1" applyAlignment="1">
      <alignment horizontal="left"/>
    </xf>
    <xf numFmtId="2" fontId="15" fillId="17" borderId="0" xfId="62" applyNumberFormat="1" applyFont="1" applyFill="1" applyBorder="1" applyAlignment="1">
      <alignment horizontal="left"/>
    </xf>
    <xf numFmtId="169" fontId="15" fillId="17" borderId="0" xfId="0" applyNumberFormat="1" applyFont="1" applyFill="1" applyBorder="1" applyAlignment="1">
      <alignment horizontal="left"/>
    </xf>
    <xf numFmtId="3" fontId="15" fillId="17" borderId="0" xfId="62" applyNumberFormat="1" applyFont="1" applyFill="1" applyBorder="1" applyAlignment="1">
      <alignment horizontal="left"/>
    </xf>
    <xf numFmtId="5" fontId="15" fillId="17" borderId="0" xfId="62" applyNumberFormat="1" applyFont="1" applyFill="1" applyBorder="1" applyAlignment="1">
      <alignment horizontal="left"/>
    </xf>
    <xf numFmtId="168" fontId="15" fillId="17" borderId="0" xfId="0" applyNumberFormat="1" applyFont="1" applyFill="1" applyBorder="1" applyAlignment="1">
      <alignment horizontal="left"/>
    </xf>
    <xf numFmtId="1" fontId="15" fillId="17" borderId="0" xfId="62" applyNumberFormat="1" applyFont="1" applyFill="1" applyBorder="1" applyAlignment="1">
      <alignment horizontal="left"/>
    </xf>
    <xf numFmtId="169" fontId="15" fillId="17" borderId="0" xfId="62" applyNumberFormat="1" applyFont="1" applyFill="1" applyBorder="1" applyAlignment="1">
      <alignment horizontal="left"/>
    </xf>
    <xf numFmtId="168" fontId="15" fillId="17" borderId="0" xfId="62" applyNumberFormat="1" applyFont="1" applyFill="1" applyBorder="1" applyAlignment="1">
      <alignment horizontal="left"/>
    </xf>
    <xf numFmtId="5" fontId="15" fillId="17" borderId="0" xfId="0" applyNumberFormat="1" applyFont="1" applyFill="1" applyBorder="1" applyAlignment="1">
      <alignment horizontal="left"/>
    </xf>
    <xf numFmtId="166" fontId="15" fillId="17" borderId="0" xfId="0" applyNumberFormat="1" applyFont="1" applyFill="1" applyBorder="1" applyAlignment="1">
      <alignment horizontal="left"/>
    </xf>
    <xf numFmtId="7" fontId="15" fillId="17" borderId="0" xfId="0" applyNumberFormat="1" applyFont="1" applyFill="1" applyBorder="1" applyAlignment="1">
      <alignment horizontal="left"/>
    </xf>
    <xf numFmtId="1" fontId="15" fillId="17" borderId="0" xfId="0" applyNumberFormat="1" applyFont="1" applyFill="1" applyBorder="1" applyAlignment="1">
      <alignment horizontal="left"/>
    </xf>
    <xf numFmtId="0" fontId="15" fillId="17" borderId="0" xfId="0" applyFont="1" applyFill="1" applyBorder="1"/>
    <xf numFmtId="9" fontId="15" fillId="17" borderId="0" xfId="0" applyNumberFormat="1" applyFont="1" applyFill="1" applyBorder="1" applyAlignment="1">
      <alignment horizontal="left"/>
    </xf>
    <xf numFmtId="5" fontId="14" fillId="17" borderId="0" xfId="0" applyNumberFormat="1" applyFont="1" applyFill="1" applyBorder="1" applyAlignment="1">
      <alignment horizontal="left"/>
    </xf>
    <xf numFmtId="5" fontId="29" fillId="17" borderId="0" xfId="0" applyNumberFormat="1" applyFont="1" applyFill="1" applyBorder="1" applyAlignment="1">
      <alignment horizontal="left"/>
    </xf>
    <xf numFmtId="165" fontId="14" fillId="17" borderId="0" xfId="0" applyNumberFormat="1" applyFont="1" applyFill="1" applyBorder="1" applyAlignment="1">
      <alignment horizontal="left"/>
    </xf>
    <xf numFmtId="190" fontId="15" fillId="17" borderId="0" xfId="0" applyNumberFormat="1" applyFont="1" applyFill="1" applyBorder="1" applyAlignment="1">
      <alignment horizontal="left"/>
    </xf>
    <xf numFmtId="39" fontId="15" fillId="17" borderId="0" xfId="0" applyNumberFormat="1" applyFont="1" applyFill="1" applyBorder="1" applyAlignment="1">
      <alignment horizontal="left"/>
    </xf>
    <xf numFmtId="174" fontId="15" fillId="17" borderId="0" xfId="0" applyNumberFormat="1" applyFont="1" applyFill="1" applyBorder="1" applyAlignment="1">
      <alignment horizontal="left"/>
    </xf>
    <xf numFmtId="165" fontId="16" fillId="16" borderId="27" xfId="0" applyNumberFormat="1" applyFont="1" applyFill="1" applyBorder="1" applyAlignment="1">
      <alignment horizontal="right"/>
    </xf>
    <xf numFmtId="0" fontId="27" fillId="18" borderId="14" xfId="58" applyFont="1" applyFill="1" applyBorder="1" applyAlignment="1" applyProtection="1">
      <alignment horizontal="center"/>
    </xf>
    <xf numFmtId="0" fontId="6" fillId="16" borderId="17" xfId="0" applyFont="1" applyFill="1" applyBorder="1"/>
    <xf numFmtId="0" fontId="27" fillId="16" borderId="17" xfId="58" applyFont="1" applyFill="1" applyBorder="1" applyAlignment="1">
      <alignment horizontal="left"/>
    </xf>
    <xf numFmtId="165" fontId="14" fillId="16" borderId="17" xfId="62" applyNumberFormat="1" applyFont="1" applyFill="1" applyBorder="1" applyAlignment="1">
      <alignment horizontal="center" vertical="center"/>
    </xf>
    <xf numFmtId="169" fontId="15" fillId="16" borderId="17" xfId="58" applyNumberFormat="1" applyFont="1" applyFill="1" applyBorder="1" applyAlignment="1" applyProtection="1">
      <alignment horizontal="right"/>
      <protection locked="0"/>
    </xf>
    <xf numFmtId="0" fontId="37" fillId="16" borderId="17" xfId="0" applyFont="1" applyFill="1" applyBorder="1"/>
    <xf numFmtId="0" fontId="15" fillId="16" borderId="17" xfId="0" applyFont="1" applyFill="1" applyBorder="1"/>
    <xf numFmtId="0" fontId="38" fillId="16" borderId="17" xfId="0" applyFont="1" applyFill="1" applyBorder="1"/>
    <xf numFmtId="0" fontId="6" fillId="16" borderId="17" xfId="0" applyFont="1" applyFill="1" applyBorder="1" applyAlignment="1">
      <alignment horizontal="left"/>
    </xf>
    <xf numFmtId="0" fontId="15" fillId="18" borderId="0" xfId="0" applyFont="1" applyFill="1" applyBorder="1"/>
    <xf numFmtId="0" fontId="15" fillId="18" borderId="0" xfId="0" applyFont="1" applyFill="1" applyBorder="1" applyAlignment="1">
      <alignment horizontal="right"/>
    </xf>
    <xf numFmtId="3" fontId="15" fillId="18" borderId="0" xfId="0" applyNumberFormat="1" applyFont="1" applyFill="1" applyBorder="1" applyAlignment="1">
      <alignment horizontal="right"/>
    </xf>
    <xf numFmtId="165" fontId="15" fillId="18" borderId="0" xfId="0" applyNumberFormat="1" applyFont="1" applyFill="1" applyBorder="1" applyAlignment="1">
      <alignment horizontal="right"/>
    </xf>
    <xf numFmtId="3" fontId="14" fillId="18" borderId="0" xfId="0" applyNumberFormat="1" applyFont="1" applyFill="1" applyBorder="1"/>
    <xf numFmtId="165" fontId="16" fillId="18" borderId="0" xfId="62" applyNumberFormat="1" applyFont="1" applyFill="1" applyBorder="1"/>
    <xf numFmtId="165" fontId="14" fillId="18" borderId="0" xfId="62" applyNumberFormat="1" applyFont="1" applyFill="1" applyBorder="1"/>
    <xf numFmtId="3" fontId="16" fillId="18" borderId="0" xfId="0" applyNumberFormat="1" applyFont="1" applyFill="1" applyBorder="1"/>
    <xf numFmtId="169" fontId="15" fillId="18" borderId="0" xfId="58" applyNumberFormat="1" applyFont="1" applyFill="1" applyBorder="1" applyAlignment="1" applyProtection="1">
      <alignment horizontal="right"/>
      <protection locked="0"/>
    </xf>
    <xf numFmtId="2" fontId="14" fillId="18" borderId="0" xfId="0" applyNumberFormat="1" applyFont="1" applyFill="1" applyBorder="1"/>
    <xf numFmtId="169" fontId="14" fillId="18" borderId="0" xfId="58" applyNumberFormat="1" applyFont="1" applyFill="1" applyBorder="1" applyAlignment="1" applyProtection="1">
      <alignment horizontal="right"/>
      <protection locked="0"/>
    </xf>
    <xf numFmtId="2" fontId="14" fillId="18" borderId="0" xfId="62" applyNumberFormat="1" applyFont="1" applyFill="1" applyBorder="1"/>
    <xf numFmtId="169" fontId="14" fillId="18" borderId="0" xfId="0" applyNumberFormat="1" applyFont="1" applyFill="1" applyBorder="1"/>
    <xf numFmtId="3" fontId="14" fillId="18" borderId="0" xfId="62" applyNumberFormat="1" applyFont="1" applyFill="1" applyBorder="1"/>
    <xf numFmtId="3" fontId="16" fillId="18" borderId="0" xfId="62" applyNumberFormat="1" applyFont="1" applyFill="1" applyBorder="1"/>
    <xf numFmtId="166" fontId="14" fillId="18" borderId="0" xfId="62" applyNumberFormat="1" applyFont="1" applyFill="1" applyBorder="1"/>
    <xf numFmtId="5" fontId="14" fillId="18" borderId="0" xfId="62" applyNumberFormat="1" applyFont="1" applyFill="1" applyBorder="1"/>
    <xf numFmtId="168" fontId="16" fillId="18" borderId="0" xfId="0" applyNumberFormat="1" applyFont="1" applyFill="1" applyBorder="1"/>
    <xf numFmtId="165" fontId="11" fillId="18" borderId="0" xfId="62" applyNumberFormat="1" applyFont="1" applyFill="1" applyBorder="1"/>
    <xf numFmtId="1" fontId="11" fillId="18" borderId="0" xfId="62" applyNumberFormat="1" applyFont="1" applyFill="1" applyBorder="1"/>
    <xf numFmtId="166" fontId="11" fillId="18" borderId="0" xfId="62" applyNumberFormat="1" applyFont="1" applyFill="1" applyBorder="1" applyAlignment="1"/>
    <xf numFmtId="165" fontId="11" fillId="18" borderId="0" xfId="62" applyNumberFormat="1" applyFont="1" applyFill="1" applyBorder="1" applyAlignment="1"/>
    <xf numFmtId="5" fontId="11" fillId="18" borderId="0" xfId="62" applyNumberFormat="1" applyFont="1" applyFill="1" applyBorder="1"/>
    <xf numFmtId="169" fontId="16" fillId="18" borderId="0" xfId="62" applyNumberFormat="1" applyFont="1" applyFill="1" applyBorder="1"/>
    <xf numFmtId="2" fontId="16" fillId="18" borderId="0" xfId="62" applyNumberFormat="1" applyFont="1" applyFill="1" applyBorder="1" applyAlignment="1"/>
    <xf numFmtId="168" fontId="36" fillId="18" borderId="0" xfId="62" applyNumberFormat="1" applyFont="1" applyFill="1" applyBorder="1"/>
    <xf numFmtId="2" fontId="16" fillId="18" borderId="0" xfId="62" applyNumberFormat="1" applyFont="1" applyFill="1" applyBorder="1"/>
    <xf numFmtId="169" fontId="14" fillId="18" borderId="0" xfId="62" applyNumberFormat="1" applyFont="1" applyFill="1" applyBorder="1"/>
    <xf numFmtId="5" fontId="15" fillId="18" borderId="0" xfId="0" applyNumberFormat="1" applyFont="1" applyFill="1" applyBorder="1"/>
    <xf numFmtId="5" fontId="15" fillId="18" borderId="0" xfId="62" applyNumberFormat="1" applyFont="1" applyFill="1" applyBorder="1"/>
    <xf numFmtId="165" fontId="15" fillId="18" borderId="0" xfId="62" applyNumberFormat="1" applyFont="1" applyFill="1" applyBorder="1"/>
    <xf numFmtId="166" fontId="14" fillId="18" borderId="0" xfId="0" applyNumberFormat="1" applyFont="1" applyFill="1" applyBorder="1"/>
    <xf numFmtId="5" fontId="14" fillId="18" borderId="0" xfId="0" applyNumberFormat="1" applyFont="1" applyFill="1" applyBorder="1"/>
    <xf numFmtId="165" fontId="14" fillId="18" borderId="0" xfId="0" applyNumberFormat="1" applyFont="1" applyFill="1" applyBorder="1"/>
    <xf numFmtId="5" fontId="19" fillId="18" borderId="0" xfId="0" applyNumberFormat="1" applyFont="1" applyFill="1" applyBorder="1"/>
    <xf numFmtId="169" fontId="16" fillId="18" borderId="0" xfId="0" applyNumberFormat="1" applyFont="1" applyFill="1" applyBorder="1"/>
    <xf numFmtId="7" fontId="34" fillId="18" borderId="0" xfId="0" applyNumberFormat="1" applyFont="1" applyFill="1" applyBorder="1"/>
    <xf numFmtId="7" fontId="14" fillId="18" borderId="0" xfId="0" applyNumberFormat="1" applyFont="1" applyFill="1" applyBorder="1"/>
    <xf numFmtId="7" fontId="15" fillId="18" borderId="0" xfId="0" applyNumberFormat="1" applyFont="1" applyFill="1" applyBorder="1"/>
    <xf numFmtId="165" fontId="11" fillId="18" borderId="0" xfId="0" applyNumberFormat="1" applyFont="1" applyFill="1" applyBorder="1"/>
    <xf numFmtId="1" fontId="14" fillId="18" borderId="0" xfId="0" applyNumberFormat="1" applyFont="1" applyFill="1" applyBorder="1"/>
    <xf numFmtId="1" fontId="16" fillId="18" borderId="0" xfId="0" applyNumberFormat="1" applyFont="1" applyFill="1" applyBorder="1"/>
    <xf numFmtId="169" fontId="11" fillId="18" borderId="0" xfId="0" applyNumberFormat="1" applyFont="1" applyFill="1" applyBorder="1"/>
    <xf numFmtId="9" fontId="11" fillId="18" borderId="0" xfId="0" applyNumberFormat="1" applyFont="1" applyFill="1" applyBorder="1"/>
    <xf numFmtId="7" fontId="11" fillId="18" borderId="0" xfId="0" applyNumberFormat="1" applyFont="1" applyFill="1" applyBorder="1"/>
    <xf numFmtId="0" fontId="14" fillId="18" borderId="0" xfId="0" applyFont="1" applyFill="1" applyBorder="1"/>
    <xf numFmtId="9" fontId="14" fillId="18" borderId="0" xfId="0" applyNumberFormat="1" applyFont="1" applyFill="1" applyBorder="1"/>
    <xf numFmtId="5" fontId="10" fillId="18" borderId="0" xfId="0" applyNumberFormat="1" applyFont="1" applyFill="1" applyBorder="1"/>
    <xf numFmtId="5" fontId="14" fillId="18" borderId="0" xfId="0" applyNumberFormat="1" applyFont="1" applyFill="1" applyBorder="1" applyAlignment="1">
      <alignment horizontal="left"/>
    </xf>
    <xf numFmtId="165" fontId="14" fillId="18" borderId="0" xfId="0" applyNumberFormat="1" applyFont="1" applyFill="1" applyBorder="1" applyAlignment="1">
      <alignment horizontal="left"/>
    </xf>
    <xf numFmtId="5" fontId="15" fillId="18" borderId="0" xfId="0" applyNumberFormat="1" applyFont="1" applyFill="1" applyBorder="1" applyAlignment="1">
      <alignment horizontal="left"/>
    </xf>
    <xf numFmtId="190" fontId="15" fillId="18" borderId="0" xfId="0" applyNumberFormat="1" applyFont="1" applyFill="1" applyBorder="1"/>
    <xf numFmtId="168" fontId="14" fillId="18" borderId="0" xfId="0" applyNumberFormat="1" applyFont="1" applyFill="1" applyBorder="1"/>
    <xf numFmtId="5" fontId="29" fillId="18" borderId="0" xfId="0" applyNumberFormat="1" applyFont="1" applyFill="1" applyBorder="1"/>
    <xf numFmtId="39" fontId="14" fillId="18" borderId="0" xfId="0" applyNumberFormat="1" applyFont="1" applyFill="1" applyBorder="1"/>
    <xf numFmtId="174" fontId="14" fillId="18" borderId="0" xfId="0" applyNumberFormat="1" applyFont="1" applyFill="1" applyBorder="1"/>
    <xf numFmtId="0" fontId="27" fillId="18" borderId="0" xfId="0" applyFont="1" applyFill="1" applyBorder="1" applyAlignment="1">
      <alignment horizontal="left"/>
    </xf>
    <xf numFmtId="0" fontId="15" fillId="18" borderId="0" xfId="0" applyFont="1" applyFill="1" applyBorder="1" applyAlignment="1">
      <alignment horizontal="left"/>
    </xf>
    <xf numFmtId="0" fontId="14" fillId="18" borderId="0" xfId="0" applyFont="1" applyFill="1" applyBorder="1" applyAlignment="1">
      <alignment horizontal="left"/>
    </xf>
    <xf numFmtId="0" fontId="14" fillId="17" borderId="0" xfId="0" applyFont="1" applyFill="1" applyBorder="1" applyAlignment="1">
      <alignment horizontal="left"/>
    </xf>
    <xf numFmtId="0" fontId="26" fillId="17" borderId="0" xfId="58" applyFont="1" applyFill="1" applyBorder="1" applyAlignment="1">
      <alignment horizontal="left"/>
    </xf>
    <xf numFmtId="3" fontId="14" fillId="17" borderId="0" xfId="0" applyNumberFormat="1" applyFont="1" applyFill="1" applyBorder="1" applyAlignment="1">
      <alignment horizontal="left"/>
    </xf>
    <xf numFmtId="165" fontId="14" fillId="17" borderId="0" xfId="62" applyNumberFormat="1" applyFont="1" applyFill="1" applyBorder="1" applyAlignment="1">
      <alignment horizontal="left"/>
    </xf>
    <xf numFmtId="169" fontId="14" fillId="17" borderId="0" xfId="58" applyNumberFormat="1" applyFont="1" applyFill="1" applyBorder="1" applyAlignment="1" applyProtection="1">
      <alignment horizontal="right"/>
      <protection locked="0"/>
    </xf>
    <xf numFmtId="2" fontId="14" fillId="17" borderId="0" xfId="0" applyNumberFormat="1" applyFont="1" applyFill="1" applyBorder="1" applyAlignment="1">
      <alignment horizontal="left"/>
    </xf>
    <xf numFmtId="0" fontId="6" fillId="17" borderId="0" xfId="0" applyFont="1" applyFill="1" applyBorder="1" applyAlignment="1">
      <alignment horizontal="left"/>
    </xf>
    <xf numFmtId="2" fontId="14" fillId="17" borderId="0" xfId="62" applyNumberFormat="1" applyFont="1" applyFill="1" applyBorder="1" applyAlignment="1">
      <alignment horizontal="left"/>
    </xf>
    <xf numFmtId="169" fontId="14" fillId="17" borderId="0" xfId="0" applyNumberFormat="1" applyFont="1" applyFill="1" applyBorder="1" applyAlignment="1">
      <alignment horizontal="left"/>
    </xf>
    <xf numFmtId="5" fontId="14" fillId="17" borderId="0" xfId="62" applyNumberFormat="1" applyFont="1" applyFill="1" applyBorder="1" applyAlignment="1">
      <alignment horizontal="left"/>
    </xf>
    <xf numFmtId="168" fontId="14" fillId="17" borderId="0" xfId="0" applyNumberFormat="1" applyFont="1" applyFill="1" applyBorder="1" applyAlignment="1">
      <alignment horizontal="left"/>
    </xf>
    <xf numFmtId="1" fontId="14" fillId="17" borderId="0" xfId="62" applyNumberFormat="1" applyFont="1" applyFill="1" applyBorder="1" applyAlignment="1">
      <alignment horizontal="left"/>
    </xf>
    <xf numFmtId="169" fontId="14" fillId="17" borderId="0" xfId="62" applyNumberFormat="1" applyFont="1" applyFill="1" applyBorder="1" applyAlignment="1">
      <alignment horizontal="left"/>
    </xf>
    <xf numFmtId="168" fontId="14" fillId="17" borderId="0" xfId="62" applyNumberFormat="1" applyFont="1" applyFill="1" applyBorder="1" applyAlignment="1">
      <alignment horizontal="left"/>
    </xf>
    <xf numFmtId="166" fontId="14" fillId="17" borderId="0" xfId="0" applyNumberFormat="1" applyFont="1" applyFill="1" applyBorder="1" applyAlignment="1">
      <alignment horizontal="left"/>
    </xf>
    <xf numFmtId="7" fontId="14" fillId="17" borderId="0" xfId="0" applyNumberFormat="1" applyFont="1" applyFill="1" applyBorder="1" applyAlignment="1">
      <alignment horizontal="left"/>
    </xf>
    <xf numFmtId="1" fontId="14" fillId="17" borderId="0" xfId="0" applyNumberFormat="1" applyFont="1" applyFill="1" applyBorder="1" applyAlignment="1">
      <alignment horizontal="left"/>
    </xf>
    <xf numFmtId="9" fontId="14" fillId="17" borderId="0" xfId="0" applyNumberFormat="1" applyFont="1" applyFill="1" applyBorder="1" applyAlignment="1">
      <alignment horizontal="left"/>
    </xf>
    <xf numFmtId="5" fontId="10" fillId="17" borderId="0" xfId="0" applyNumberFormat="1" applyFont="1" applyFill="1" applyBorder="1" applyAlignment="1">
      <alignment horizontal="left"/>
    </xf>
    <xf numFmtId="190" fontId="14" fillId="17" borderId="0" xfId="0" applyNumberFormat="1" applyFont="1" applyFill="1" applyBorder="1" applyAlignment="1">
      <alignment horizontal="left"/>
    </xf>
    <xf numFmtId="39" fontId="14" fillId="17" borderId="0" xfId="0" applyNumberFormat="1" applyFont="1" applyFill="1" applyBorder="1" applyAlignment="1">
      <alignment horizontal="left"/>
    </xf>
    <xf numFmtId="174" fontId="14" fillId="17" borderId="0" xfId="0" applyNumberFormat="1" applyFont="1" applyFill="1" applyBorder="1" applyAlignment="1">
      <alignment horizontal="left"/>
    </xf>
    <xf numFmtId="5" fontId="10" fillId="16" borderId="31" xfId="0" applyNumberFormat="1" applyFont="1" applyFill="1" applyBorder="1"/>
    <xf numFmtId="165" fontId="19" fillId="16" borderId="13" xfId="55" applyNumberFormat="1" applyFont="1" applyFill="1" applyBorder="1"/>
    <xf numFmtId="0" fontId="14" fillId="17" borderId="0" xfId="58" applyFont="1" applyFill="1" applyBorder="1" applyAlignment="1">
      <alignment horizontal="left"/>
    </xf>
    <xf numFmtId="5" fontId="14" fillId="0" borderId="17" xfId="0" applyNumberFormat="1" applyFont="1" applyFill="1" applyBorder="1"/>
    <xf numFmtId="168" fontId="14" fillId="0" borderId="32" xfId="0" applyNumberFormat="1" applyFont="1" applyFill="1" applyBorder="1"/>
    <xf numFmtId="166" fontId="18" fillId="16" borderId="17" xfId="53" applyNumberFormat="1" applyFont="1" applyFill="1" applyBorder="1"/>
    <xf numFmtId="5" fontId="10" fillId="16" borderId="33" xfId="0" applyNumberFormat="1" applyFont="1" applyFill="1" applyBorder="1"/>
    <xf numFmtId="165" fontId="14" fillId="16" borderId="34" xfId="0" applyNumberFormat="1" applyFont="1" applyFill="1" applyBorder="1"/>
    <xf numFmtId="3" fontId="14" fillId="16" borderId="17" xfId="62" applyNumberFormat="1" applyFont="1" applyFill="1" applyBorder="1"/>
    <xf numFmtId="166" fontId="14" fillId="16" borderId="17" xfId="62" applyNumberFormat="1" applyFont="1" applyFill="1" applyBorder="1" applyAlignment="1"/>
    <xf numFmtId="165" fontId="14" fillId="16" borderId="17" xfId="55" applyNumberFormat="1" applyFont="1" applyFill="1" applyBorder="1"/>
    <xf numFmtId="5" fontId="19" fillId="16" borderId="19" xfId="55" applyNumberFormat="1" applyFont="1" applyFill="1" applyBorder="1"/>
    <xf numFmtId="1" fontId="14" fillId="16" borderId="0" xfId="58" applyNumberFormat="1" applyFont="1" applyFill="1" applyBorder="1" applyAlignment="1" applyProtection="1">
      <alignment horizontal="left" indent="1"/>
      <protection locked="0"/>
    </xf>
    <xf numFmtId="1" fontId="14" fillId="16" borderId="27" xfId="62" applyNumberFormat="1" applyFont="1" applyFill="1" applyBorder="1"/>
    <xf numFmtId="1" fontId="14" fillId="18" borderId="0" xfId="62" applyNumberFormat="1" applyFont="1" applyFill="1" applyBorder="1"/>
    <xf numFmtId="1" fontId="6" fillId="16" borderId="17" xfId="0" applyNumberFormat="1" applyFont="1" applyFill="1" applyBorder="1"/>
    <xf numFmtId="1" fontId="6" fillId="16" borderId="0" xfId="0" applyNumberFormat="1" applyFont="1" applyFill="1" applyBorder="1"/>
    <xf numFmtId="1" fontId="6" fillId="0" borderId="0" xfId="0" applyNumberFormat="1" applyFont="1"/>
    <xf numFmtId="0" fontId="27" fillId="18" borderId="17" xfId="58" applyFont="1" applyFill="1" applyBorder="1" applyAlignment="1" applyProtection="1">
      <alignment horizontal="centerContinuous" wrapText="1"/>
    </xf>
    <xf numFmtId="168" fontId="14" fillId="16" borderId="0" xfId="62" applyNumberFormat="1" applyFont="1" applyFill="1" applyBorder="1"/>
    <xf numFmtId="166" fontId="14" fillId="16" borderId="0" xfId="0" applyNumberFormat="1" applyFont="1" applyFill="1" applyBorder="1" applyAlignment="1">
      <alignment horizontal="left" indent="1"/>
    </xf>
    <xf numFmtId="200" fontId="14" fillId="0" borderId="0" xfId="62" applyNumberFormat="1" applyFont="1" applyFill="1" applyBorder="1"/>
    <xf numFmtId="200" fontId="14" fillId="0" borderId="27" xfId="62" applyNumberFormat="1" applyFont="1" applyFill="1" applyBorder="1"/>
    <xf numFmtId="200" fontId="14" fillId="0" borderId="17" xfId="62" applyNumberFormat="1" applyFont="1" applyFill="1" applyBorder="1"/>
    <xf numFmtId="166" fontId="14" fillId="16" borderId="27" xfId="62" applyNumberFormat="1" applyFont="1" applyFill="1" applyBorder="1"/>
    <xf numFmtId="166" fontId="18" fillId="16" borderId="0" xfId="53" applyNumberFormat="1" applyFont="1" applyFill="1" applyBorder="1"/>
    <xf numFmtId="169" fontId="14" fillId="17" borderId="0" xfId="58" applyNumberFormat="1" applyFont="1" applyFill="1" applyBorder="1" applyAlignment="1" applyProtection="1">
      <alignment horizontal="left"/>
      <protection locked="0"/>
    </xf>
    <xf numFmtId="165" fontId="14" fillId="16" borderId="30" xfId="0" applyNumberFormat="1" applyFont="1" applyFill="1" applyBorder="1"/>
    <xf numFmtId="169" fontId="56" fillId="17" borderId="0" xfId="58" applyNumberFormat="1" applyFont="1" applyFill="1" applyBorder="1" applyAlignment="1" applyProtection="1">
      <alignment horizontal="right"/>
      <protection locked="0"/>
    </xf>
    <xf numFmtId="169" fontId="56" fillId="17" borderId="27" xfId="58" applyNumberFormat="1" applyFont="1" applyFill="1" applyBorder="1" applyAlignment="1" applyProtection="1">
      <alignment horizontal="right"/>
      <protection locked="0"/>
    </xf>
    <xf numFmtId="165" fontId="23" fillId="16" borderId="0" xfId="62" applyNumberFormat="1" applyFont="1" applyFill="1" applyBorder="1"/>
    <xf numFmtId="165" fontId="23" fillId="16" borderId="27" xfId="62" applyNumberFormat="1" applyFont="1" applyFill="1" applyBorder="1"/>
    <xf numFmtId="2" fontId="23" fillId="16" borderId="0" xfId="0" applyNumberFormat="1" applyFont="1" applyFill="1" applyBorder="1"/>
    <xf numFmtId="2" fontId="23" fillId="16" borderId="27" xfId="0" applyNumberFormat="1" applyFont="1" applyFill="1" applyBorder="1"/>
    <xf numFmtId="165" fontId="24" fillId="16" borderId="0" xfId="62" applyNumberFormat="1" applyFont="1" applyFill="1" applyBorder="1"/>
    <xf numFmtId="165" fontId="24" fillId="16" borderId="27" xfId="62" applyNumberFormat="1" applyFont="1" applyFill="1" applyBorder="1"/>
    <xf numFmtId="168" fontId="15" fillId="17" borderId="0" xfId="58" applyNumberFormat="1" applyFont="1" applyFill="1" applyBorder="1" applyAlignment="1" applyProtection="1">
      <alignment horizontal="right"/>
      <protection locked="0"/>
    </xf>
    <xf numFmtId="8" fontId="15" fillId="17" borderId="0" xfId="62" applyNumberFormat="1" applyFont="1" applyFill="1" applyBorder="1" applyAlignment="1">
      <alignment horizontal="left"/>
    </xf>
    <xf numFmtId="169" fontId="27" fillId="19" borderId="27" xfId="58" applyNumberFormat="1" applyFont="1" applyFill="1" applyBorder="1" applyAlignment="1">
      <alignment horizontal="left"/>
    </xf>
    <xf numFmtId="0" fontId="15" fillId="17" borderId="10" xfId="0" applyFont="1" applyFill="1" applyBorder="1"/>
    <xf numFmtId="8" fontId="15" fillId="17" borderId="0" xfId="0" applyNumberFormat="1" applyFont="1" applyFill="1" applyBorder="1" applyAlignment="1">
      <alignment horizontal="left"/>
    </xf>
    <xf numFmtId="5" fontId="14" fillId="16" borderId="0" xfId="62" applyNumberFormat="1" applyFont="1" applyFill="1" applyBorder="1" applyAlignment="1">
      <alignment horizontal="left"/>
    </xf>
    <xf numFmtId="0" fontId="27" fillId="19" borderId="0" xfId="58" applyFont="1" applyFill="1" applyBorder="1" applyAlignment="1">
      <alignment horizontal="center"/>
    </xf>
    <xf numFmtId="165" fontId="14" fillId="17" borderId="0" xfId="62" applyNumberFormat="1" applyFont="1" applyFill="1" applyBorder="1" applyAlignment="1"/>
    <xf numFmtId="1" fontId="14" fillId="16" borderId="0" xfId="57" applyNumberFormat="1" applyFont="1" applyFill="1" applyBorder="1" applyAlignment="1">
      <alignment horizontal="left" indent="1"/>
    </xf>
    <xf numFmtId="9" fontId="14" fillId="0" borderId="17" xfId="0" applyNumberFormat="1" applyFont="1" applyFill="1" applyBorder="1"/>
    <xf numFmtId="9" fontId="16" fillId="0" borderId="0" xfId="0" applyNumberFormat="1" applyFont="1" applyFill="1" applyBorder="1"/>
    <xf numFmtId="9" fontId="16" fillId="0" borderId="27" xfId="0" applyNumberFormat="1" applyFont="1" applyFill="1" applyBorder="1"/>
    <xf numFmtId="5" fontId="57" fillId="16" borderId="0" xfId="0" applyNumberFormat="1" applyFont="1" applyFill="1" applyBorder="1" applyAlignment="1">
      <alignment vertical="top"/>
    </xf>
    <xf numFmtId="9" fontId="14" fillId="16" borderId="0" xfId="0" applyNumberFormat="1" applyFont="1" applyFill="1" applyBorder="1" applyAlignment="1">
      <alignment horizontal="left" vertical="top" indent="1"/>
    </xf>
    <xf numFmtId="7" fontId="14" fillId="16" borderId="0" xfId="0" applyNumberFormat="1" applyFont="1" applyFill="1" applyBorder="1" applyAlignment="1">
      <alignment horizontal="left" vertical="top" indent="1"/>
    </xf>
    <xf numFmtId="1" fontId="14" fillId="17" borderId="0" xfId="0" applyNumberFormat="1" applyFont="1" applyFill="1" applyBorder="1"/>
    <xf numFmtId="1" fontId="14" fillId="17" borderId="17" xfId="0" applyNumberFormat="1" applyFont="1" applyFill="1" applyBorder="1"/>
    <xf numFmtId="1" fontId="14" fillId="17" borderId="27" xfId="0" applyNumberFormat="1" applyFont="1" applyFill="1" applyBorder="1"/>
    <xf numFmtId="1" fontId="14" fillId="17" borderId="27" xfId="55" applyNumberFormat="1" applyFont="1" applyFill="1" applyBorder="1"/>
    <xf numFmtId="168" fontId="14" fillId="16" borderId="17" xfId="0" applyNumberFormat="1" applyFont="1" applyFill="1" applyBorder="1"/>
    <xf numFmtId="0" fontId="14" fillId="16" borderId="27" xfId="0" applyNumberFormat="1" applyFont="1" applyFill="1" applyBorder="1"/>
    <xf numFmtId="9" fontId="14" fillId="16" borderId="0" xfId="0" applyNumberFormat="1" applyFont="1" applyFill="1" applyBorder="1" applyAlignment="1">
      <alignment horizontal="left" vertical="top"/>
    </xf>
    <xf numFmtId="5" fontId="27" fillId="18" borderId="0" xfId="58" applyNumberFormat="1" applyFont="1" applyFill="1" applyBorder="1" applyAlignment="1">
      <alignment horizontal="left"/>
    </xf>
    <xf numFmtId="168" fontId="27" fillId="18" borderId="27" xfId="58" applyNumberFormat="1" applyFont="1" applyFill="1" applyBorder="1" applyAlignment="1">
      <alignment horizontal="left"/>
    </xf>
    <xf numFmtId="165" fontId="27" fillId="19" borderId="27" xfId="58" applyNumberFormat="1" applyFont="1" applyFill="1" applyBorder="1" applyAlignment="1">
      <alignment horizontal="left"/>
    </xf>
    <xf numFmtId="165" fontId="27" fillId="19" borderId="0" xfId="58" applyNumberFormat="1" applyFont="1" applyFill="1" applyBorder="1" applyAlignment="1">
      <alignment horizontal="left"/>
    </xf>
    <xf numFmtId="165" fontId="10" fillId="16" borderId="0" xfId="0" applyNumberFormat="1" applyFont="1" applyFill="1" applyBorder="1" applyAlignment="1">
      <alignment horizontal="left" indent="2"/>
    </xf>
    <xf numFmtId="5" fontId="36" fillId="16" borderId="27" xfId="0" applyNumberFormat="1" applyFont="1" applyFill="1" applyBorder="1"/>
    <xf numFmtId="5" fontId="36" fillId="16" borderId="0" xfId="0" applyNumberFormat="1" applyFont="1" applyFill="1" applyBorder="1"/>
    <xf numFmtId="169" fontId="14" fillId="17" borderId="0" xfId="58" applyNumberFormat="1" applyFont="1" applyFill="1" applyBorder="1" applyAlignment="1" applyProtection="1">
      <protection locked="0"/>
    </xf>
    <xf numFmtId="165" fontId="15" fillId="17" borderId="0" xfId="58" applyNumberFormat="1" applyFont="1" applyFill="1" applyBorder="1" applyAlignment="1">
      <alignment horizontal="left"/>
    </xf>
    <xf numFmtId="165" fontId="14" fillId="16" borderId="26" xfId="0" applyNumberFormat="1" applyFont="1" applyFill="1" applyBorder="1"/>
    <xf numFmtId="9" fontId="14" fillId="17" borderId="0" xfId="0" applyNumberFormat="1" applyFont="1" applyFill="1" applyBorder="1" applyAlignment="1">
      <alignment horizontal="center"/>
    </xf>
    <xf numFmtId="9" fontId="14" fillId="17" borderId="0" xfId="58" applyNumberFormat="1" applyFont="1" applyFill="1" applyBorder="1" applyAlignment="1">
      <alignment horizontal="center"/>
    </xf>
    <xf numFmtId="168" fontId="27" fillId="19" borderId="27" xfId="58" applyNumberFormat="1" applyFont="1" applyFill="1" applyBorder="1" applyAlignment="1">
      <alignment horizontal="left"/>
    </xf>
    <xf numFmtId="169" fontId="27" fillId="19" borderId="0" xfId="58" applyNumberFormat="1" applyFont="1" applyFill="1" applyBorder="1" applyAlignment="1">
      <alignment horizontal="left"/>
    </xf>
    <xf numFmtId="10" fontId="14" fillId="16" borderId="0" xfId="58" applyNumberFormat="1" applyFont="1" applyFill="1" applyBorder="1" applyAlignment="1" applyProtection="1">
      <alignment horizontal="left" indent="3"/>
      <protection locked="0"/>
    </xf>
    <xf numFmtId="165" fontId="14" fillId="16" borderId="24" xfId="58" applyNumberFormat="1" applyFont="1" applyFill="1" applyBorder="1" applyAlignment="1" applyProtection="1">
      <alignment horizontal="left" indent="3"/>
      <protection locked="0"/>
    </xf>
    <xf numFmtId="165" fontId="14" fillId="16" borderId="29" xfId="0" applyNumberFormat="1" applyFont="1" applyFill="1" applyBorder="1"/>
    <xf numFmtId="165" fontId="14" fillId="16" borderId="24" xfId="62" applyNumberFormat="1" applyFont="1" applyFill="1" applyBorder="1"/>
    <xf numFmtId="165" fontId="14" fillId="16" borderId="29" xfId="62" applyNumberFormat="1" applyFont="1" applyFill="1" applyBorder="1"/>
    <xf numFmtId="165" fontId="14" fillId="16" borderId="32" xfId="62" applyNumberFormat="1" applyFont="1" applyFill="1" applyBorder="1"/>
    <xf numFmtId="165" fontId="16" fillId="16" borderId="24" xfId="62" applyNumberFormat="1" applyFont="1" applyFill="1" applyBorder="1"/>
    <xf numFmtId="3" fontId="14" fillId="21" borderId="0" xfId="62" applyNumberFormat="1" applyFont="1" applyFill="1" applyBorder="1"/>
    <xf numFmtId="9" fontId="14" fillId="16" borderId="28" xfId="0" applyNumberFormat="1" applyFont="1" applyFill="1" applyBorder="1"/>
    <xf numFmtId="5" fontId="16" fillId="16" borderId="18" xfId="0" applyNumberFormat="1" applyFont="1" applyFill="1" applyBorder="1"/>
    <xf numFmtId="5" fontId="15" fillId="16" borderId="18" xfId="0" applyNumberFormat="1" applyFont="1" applyFill="1" applyBorder="1"/>
    <xf numFmtId="165" fontId="14" fillId="16" borderId="18" xfId="0" applyNumberFormat="1" applyFont="1" applyFill="1" applyBorder="1"/>
    <xf numFmtId="5" fontId="15" fillId="16" borderId="36" xfId="0" applyNumberFormat="1" applyFont="1" applyFill="1" applyBorder="1"/>
    <xf numFmtId="5" fontId="15" fillId="17" borderId="22" xfId="0" applyNumberFormat="1" applyFont="1" applyFill="1" applyBorder="1"/>
    <xf numFmtId="9" fontId="15" fillId="17" borderId="0" xfId="62" applyFont="1" applyFill="1" applyBorder="1" applyAlignment="1" applyProtection="1">
      <alignment horizontal="right"/>
      <protection locked="0"/>
    </xf>
    <xf numFmtId="43" fontId="15" fillId="17" borderId="0" xfId="34" applyFont="1" applyFill="1" applyBorder="1" applyAlignment="1">
      <alignment horizontal="left"/>
    </xf>
    <xf numFmtId="5" fontId="27" fillId="19" borderId="0" xfId="58" applyNumberFormat="1" applyFont="1" applyFill="1" applyBorder="1" applyAlignment="1">
      <alignment horizontal="left"/>
    </xf>
    <xf numFmtId="5" fontId="14" fillId="17" borderId="12" xfId="0" applyNumberFormat="1" applyFont="1" applyFill="1" applyBorder="1"/>
    <xf numFmtId="5" fontId="10" fillId="0" borderId="31" xfId="0" applyNumberFormat="1" applyFont="1" applyFill="1" applyBorder="1"/>
    <xf numFmtId="9" fontId="16" fillId="0" borderId="0" xfId="62" applyNumberFormat="1" applyFont="1" applyFill="1" applyBorder="1" applyAlignment="1">
      <alignment horizontal="right"/>
    </xf>
    <xf numFmtId="168" fontId="16" fillId="0" borderId="0" xfId="62" applyNumberFormat="1" applyFont="1" applyFill="1" applyBorder="1" applyAlignment="1">
      <alignment horizontal="right"/>
    </xf>
    <xf numFmtId="9" fontId="37" fillId="17" borderId="0" xfId="0" applyNumberFormat="1" applyFont="1" applyFill="1" applyBorder="1" applyAlignment="1">
      <alignment horizontal="left"/>
    </xf>
    <xf numFmtId="4" fontId="16" fillId="0" borderId="0" xfId="62" applyNumberFormat="1" applyFont="1" applyFill="1" applyBorder="1" applyAlignment="1">
      <alignment horizontal="right"/>
    </xf>
    <xf numFmtId="4" fontId="15" fillId="17" borderId="0" xfId="0" applyNumberFormat="1" applyFont="1" applyFill="1" applyBorder="1" applyAlignment="1">
      <alignment horizontal="left"/>
    </xf>
    <xf numFmtId="173" fontId="15" fillId="17" borderId="0" xfId="34" applyNumberFormat="1" applyFont="1" applyFill="1" applyBorder="1" applyAlignment="1">
      <alignment horizontal="left"/>
    </xf>
    <xf numFmtId="9" fontId="15" fillId="17" borderId="0" xfId="0" applyNumberFormat="1" applyFont="1" applyFill="1" applyBorder="1" applyAlignment="1">
      <alignment horizontal="center"/>
    </xf>
    <xf numFmtId="0" fontId="15" fillId="17" borderId="0" xfId="0" applyFont="1" applyFill="1" applyBorder="1" applyAlignment="1">
      <alignment horizontal="center"/>
    </xf>
    <xf numFmtId="169" fontId="15" fillId="17" borderId="0" xfId="0" applyNumberFormat="1" applyFont="1" applyFill="1" applyBorder="1" applyAlignment="1">
      <alignment horizontal="center"/>
    </xf>
    <xf numFmtId="165" fontId="14" fillId="21" borderId="0" xfId="0" applyNumberFormat="1" applyFont="1" applyFill="1" applyBorder="1"/>
    <xf numFmtId="169" fontId="14" fillId="21" borderId="0" xfId="0" applyNumberFormat="1" applyFont="1" applyFill="1" applyBorder="1"/>
    <xf numFmtId="3" fontId="14" fillId="16" borderId="27" xfId="62" applyNumberFormat="1" applyFont="1" applyFill="1" applyBorder="1"/>
    <xf numFmtId="3" fontId="14" fillId="21" borderId="27" xfId="62" applyNumberFormat="1" applyFont="1" applyFill="1" applyBorder="1"/>
    <xf numFmtId="5" fontId="16" fillId="21" borderId="27" xfId="0" applyNumberFormat="1" applyFont="1" applyFill="1" applyBorder="1"/>
    <xf numFmtId="0" fontId="15" fillId="17" borderId="0" xfId="58" applyFont="1" applyFill="1" applyBorder="1" applyAlignment="1">
      <alignment horizontal="center"/>
    </xf>
    <xf numFmtId="4" fontId="14" fillId="17" borderId="0" xfId="62" applyNumberFormat="1" applyFont="1" applyFill="1" applyBorder="1" applyAlignment="1">
      <alignment horizontal="left"/>
    </xf>
    <xf numFmtId="165" fontId="14" fillId="17" borderId="0" xfId="58" applyNumberFormat="1" applyFont="1" applyFill="1" applyBorder="1" applyAlignment="1" applyProtection="1">
      <alignment horizontal="center"/>
      <protection locked="0"/>
    </xf>
    <xf numFmtId="0" fontId="28" fillId="22" borderId="0" xfId="2" applyFont="1" applyFill="1"/>
    <xf numFmtId="0" fontId="61" fillId="22" borderId="0" xfId="2" applyFont="1" applyFill="1"/>
    <xf numFmtId="0" fontId="62" fillId="22" borderId="0" xfId="2" applyFont="1" applyFill="1"/>
    <xf numFmtId="8" fontId="62" fillId="22" borderId="0" xfId="2" applyNumberFormat="1" applyFont="1" applyFill="1" applyAlignment="1">
      <alignment horizontal="left"/>
    </xf>
    <xf numFmtId="14" fontId="62" fillId="22" borderId="0" xfId="2" applyNumberFormat="1" applyFont="1" applyFill="1" applyAlignment="1">
      <alignment horizontal="left"/>
    </xf>
    <xf numFmtId="0" fontId="0" fillId="16" borderId="0" xfId="2" applyFont="1" applyFill="1"/>
    <xf numFmtId="0" fontId="63" fillId="16" borderId="0" xfId="2" applyFont="1" applyFill="1"/>
    <xf numFmtId="0" fontId="70" fillId="16" borderId="0" xfId="2" applyFont="1" applyFill="1"/>
    <xf numFmtId="0" fontId="71" fillId="16" borderId="0" xfId="2" applyFont="1" applyFill="1"/>
    <xf numFmtId="205" fontId="65" fillId="22" borderId="0" xfId="2" applyNumberFormat="1" applyFont="1" applyFill="1"/>
    <xf numFmtId="205" fontId="66" fillId="22" borderId="0" xfId="2" applyNumberFormat="1" applyFont="1" applyFill="1"/>
    <xf numFmtId="0" fontId="66" fillId="22" borderId="0" xfId="2" applyNumberFormat="1" applyFont="1" applyFill="1"/>
    <xf numFmtId="0" fontId="2" fillId="22" borderId="0" xfId="52" applyFont="1" applyFill="1"/>
    <xf numFmtId="0" fontId="2" fillId="22" borderId="0" xfId="2" applyFont="1" applyFill="1"/>
    <xf numFmtId="205" fontId="30" fillId="22" borderId="0" xfId="2" applyNumberFormat="1" applyFont="1" applyFill="1"/>
    <xf numFmtId="205" fontId="62" fillId="22" borderId="0" xfId="2" applyNumberFormat="1" applyFont="1" applyFill="1"/>
    <xf numFmtId="205" fontId="64" fillId="22" borderId="0" xfId="2" applyNumberFormat="1" applyFont="1" applyFill="1"/>
    <xf numFmtId="205" fontId="31" fillId="22" borderId="0" xfId="2" applyNumberFormat="1" applyFont="1" applyFill="1"/>
    <xf numFmtId="205" fontId="63" fillId="22" borderId="0" xfId="2" applyNumberFormat="1" applyFont="1" applyFill="1"/>
    <xf numFmtId="0" fontId="63" fillId="22" borderId="0" xfId="2" applyNumberFormat="1" applyFont="1" applyFill="1"/>
    <xf numFmtId="0" fontId="2" fillId="0" borderId="0" xfId="52" applyFont="1"/>
    <xf numFmtId="0" fontId="72" fillId="22" borderId="0" xfId="52" applyFont="1" applyFill="1"/>
    <xf numFmtId="0" fontId="73" fillId="22" borderId="0" xfId="52" applyFont="1" applyFill="1"/>
    <xf numFmtId="0" fontId="74" fillId="0" borderId="0" xfId="2" applyFont="1" applyAlignment="1">
      <alignment horizontal="right"/>
    </xf>
    <xf numFmtId="0" fontId="74" fillId="0" borderId="0" xfId="2" applyNumberFormat="1" applyFont="1" applyAlignment="1">
      <alignment horizontal="right"/>
    </xf>
    <xf numFmtId="206" fontId="2" fillId="0" borderId="0" xfId="52" applyNumberFormat="1" applyFont="1"/>
    <xf numFmtId="0" fontId="2" fillId="0" borderId="0" xfId="52" applyNumberFormat="1" applyFont="1"/>
    <xf numFmtId="0" fontId="75" fillId="0" borderId="0" xfId="52" applyFont="1"/>
    <xf numFmtId="0" fontId="3" fillId="23" borderId="21" xfId="52" applyFont="1" applyFill="1" applyBorder="1"/>
    <xf numFmtId="0" fontId="2" fillId="23" borderId="12" xfId="52" applyFont="1" applyFill="1" applyBorder="1"/>
    <xf numFmtId="173" fontId="2" fillId="0" borderId="0" xfId="35" applyNumberFormat="1" applyFont="1"/>
    <xf numFmtId="8" fontId="2" fillId="0" borderId="0" xfId="52" applyNumberFormat="1" applyFont="1"/>
    <xf numFmtId="0" fontId="2" fillId="0" borderId="0" xfId="52" applyFont="1" applyBorder="1"/>
    <xf numFmtId="0" fontId="20" fillId="0" borderId="0" xfId="52" applyFont="1"/>
    <xf numFmtId="9" fontId="20" fillId="0" borderId="0" xfId="52" applyNumberFormat="1" applyFont="1"/>
    <xf numFmtId="0" fontId="20" fillId="0" borderId="0" xfId="52" applyFont="1" applyBorder="1"/>
    <xf numFmtId="0" fontId="3" fillId="0" borderId="0" xfId="52" applyFont="1"/>
    <xf numFmtId="173" fontId="3" fillId="0" borderId="0" xfId="35" applyNumberFormat="1" applyFont="1"/>
    <xf numFmtId="173" fontId="2" fillId="0" borderId="0" xfId="52" applyNumberFormat="1" applyFont="1"/>
    <xf numFmtId="0" fontId="3" fillId="0" borderId="0" xfId="52" applyFont="1" applyBorder="1"/>
    <xf numFmtId="207" fontId="76" fillId="0" borderId="0" xfId="52" applyNumberFormat="1" applyFont="1" applyAlignment="1">
      <alignment horizontal="right"/>
    </xf>
    <xf numFmtId="173" fontId="3" fillId="0" borderId="0" xfId="52" applyNumberFormat="1" applyFont="1"/>
    <xf numFmtId="8" fontId="3" fillId="0" borderId="0" xfId="35" applyNumberFormat="1" applyFont="1"/>
    <xf numFmtId="9" fontId="2" fillId="0" borderId="0" xfId="52" applyNumberFormat="1" applyFont="1"/>
    <xf numFmtId="173" fontId="20" fillId="0" borderId="0" xfId="52" applyNumberFormat="1" applyFont="1"/>
    <xf numFmtId="173" fontId="20" fillId="0" borderId="0" xfId="35" applyNumberFormat="1" applyFont="1"/>
    <xf numFmtId="0" fontId="2" fillId="0" borderId="0" xfId="52" applyFont="1" applyFill="1" applyBorder="1"/>
    <xf numFmtId="0" fontId="3" fillId="0" borderId="21" xfId="52" applyFont="1" applyFill="1" applyBorder="1"/>
    <xf numFmtId="0" fontId="2" fillId="0" borderId="12" xfId="52" applyFont="1" applyFill="1" applyBorder="1"/>
    <xf numFmtId="8" fontId="3" fillId="0" borderId="12" xfId="52" applyNumberFormat="1" applyFont="1" applyFill="1" applyBorder="1"/>
    <xf numFmtId="8" fontId="3" fillId="0" borderId="22" xfId="52" applyNumberFormat="1" applyFont="1" applyFill="1" applyBorder="1"/>
    <xf numFmtId="173" fontId="2" fillId="0" borderId="0" xfId="38" applyNumberFormat="1" applyFont="1"/>
    <xf numFmtId="165" fontId="2" fillId="0" borderId="0" xfId="52" applyNumberFormat="1" applyFont="1"/>
    <xf numFmtId="0" fontId="20" fillId="0" borderId="21" xfId="52" applyFont="1" applyBorder="1"/>
    <xf numFmtId="0" fontId="20" fillId="0" borderId="12" xfId="52" applyFont="1" applyBorder="1"/>
    <xf numFmtId="173" fontId="20" fillId="0" borderId="12" xfId="52" applyNumberFormat="1" applyFont="1" applyBorder="1"/>
    <xf numFmtId="173" fontId="20" fillId="0" borderId="22" xfId="52" applyNumberFormat="1" applyFont="1" applyBorder="1"/>
    <xf numFmtId="207" fontId="2" fillId="0" borderId="0" xfId="52" applyNumberFormat="1" applyFont="1" applyAlignment="1">
      <alignment horizontal="right"/>
    </xf>
    <xf numFmtId="7" fontId="2" fillId="0" borderId="0" xfId="52" applyNumberFormat="1" applyFont="1"/>
    <xf numFmtId="43" fontId="2" fillId="0" borderId="0" xfId="52" applyNumberFormat="1" applyFont="1"/>
    <xf numFmtId="173" fontId="77" fillId="0" borderId="0" xfId="35" applyNumberFormat="1" applyFont="1"/>
    <xf numFmtId="173" fontId="20" fillId="0" borderId="0" xfId="34" applyNumberFormat="1" applyFont="1"/>
    <xf numFmtId="0" fontId="20" fillId="0" borderId="14" xfId="52" applyFont="1" applyBorder="1"/>
    <xf numFmtId="0" fontId="20" fillId="0" borderId="15" xfId="52" applyFont="1" applyBorder="1"/>
    <xf numFmtId="207" fontId="20" fillId="0" borderId="15" xfId="52" applyNumberFormat="1" applyFont="1" applyBorder="1" applyAlignment="1">
      <alignment horizontal="right"/>
    </xf>
    <xf numFmtId="207" fontId="20" fillId="0" borderId="16" xfId="52" applyNumberFormat="1" applyFont="1" applyBorder="1" applyAlignment="1">
      <alignment horizontal="right"/>
    </xf>
    <xf numFmtId="0" fontId="20" fillId="0" borderId="17" xfId="52" applyFont="1" applyBorder="1"/>
    <xf numFmtId="207" fontId="20" fillId="0" borderId="0" xfId="52" applyNumberFormat="1" applyFont="1" applyBorder="1" applyAlignment="1">
      <alignment horizontal="right"/>
    </xf>
    <xf numFmtId="207" fontId="20" fillId="0" borderId="18" xfId="52" applyNumberFormat="1" applyFont="1" applyBorder="1" applyAlignment="1">
      <alignment horizontal="right"/>
    </xf>
    <xf numFmtId="0" fontId="20" fillId="0" borderId="19" xfId="52" applyFont="1" applyBorder="1"/>
    <xf numFmtId="0" fontId="20" fillId="0" borderId="13" xfId="52" applyFont="1" applyBorder="1"/>
    <xf numFmtId="165" fontId="20" fillId="0" borderId="13" xfId="52" applyNumberFormat="1" applyFont="1" applyBorder="1" applyAlignment="1">
      <alignment horizontal="right"/>
    </xf>
    <xf numFmtId="165" fontId="20" fillId="0" borderId="20" xfId="52" applyNumberFormat="1" applyFont="1" applyBorder="1" applyAlignment="1">
      <alignment horizontal="right"/>
    </xf>
    <xf numFmtId="0" fontId="3" fillId="0" borderId="21" xfId="52" applyFont="1" applyBorder="1"/>
    <xf numFmtId="0" fontId="2" fillId="0" borderId="12" xfId="52" applyFont="1" applyBorder="1"/>
    <xf numFmtId="173" fontId="3" fillId="0" borderId="12" xfId="52" applyNumberFormat="1" applyFont="1" applyBorder="1"/>
    <xf numFmtId="173" fontId="3" fillId="0" borderId="22" xfId="52" applyNumberFormat="1" applyFont="1" applyBorder="1"/>
    <xf numFmtId="165" fontId="20" fillId="0" borderId="13" xfId="52" applyNumberFormat="1" applyFont="1" applyBorder="1"/>
    <xf numFmtId="165" fontId="15" fillId="16" borderId="29" xfId="62" applyNumberFormat="1" applyFont="1" applyFill="1" applyBorder="1"/>
    <xf numFmtId="0" fontId="20" fillId="0" borderId="0" xfId="0" applyFont="1"/>
    <xf numFmtId="9" fontId="20" fillId="0" borderId="0" xfId="0" applyNumberFormat="1" applyFont="1"/>
    <xf numFmtId="165" fontId="2" fillId="0" borderId="0" xfId="0" applyNumberFormat="1" applyFont="1"/>
    <xf numFmtId="43" fontId="27" fillId="19" borderId="27" xfId="34" applyNumberFormat="1" applyFont="1" applyFill="1" applyBorder="1" applyAlignment="1">
      <alignment horizontal="left"/>
    </xf>
    <xf numFmtId="9" fontId="27" fillId="19" borderId="27" xfId="34" applyNumberFormat="1" applyFont="1" applyFill="1" applyBorder="1" applyAlignment="1">
      <alignment horizontal="left"/>
    </xf>
    <xf numFmtId="208" fontId="74" fillId="0" borderId="0" xfId="2" applyNumberFormat="1" applyFont="1" applyAlignment="1">
      <alignment horizontal="right"/>
    </xf>
    <xf numFmtId="208" fontId="74" fillId="0" borderId="0" xfId="52" applyNumberFormat="1" applyFont="1"/>
    <xf numFmtId="9" fontId="27" fillId="19" borderId="27" xfId="58" applyNumberFormat="1" applyFont="1" applyFill="1" applyBorder="1" applyAlignment="1">
      <alignment horizontal="left"/>
    </xf>
    <xf numFmtId="0" fontId="37" fillId="17" borderId="0" xfId="0" applyFont="1" applyFill="1" applyBorder="1" applyAlignment="1">
      <alignment horizontal="center"/>
    </xf>
    <xf numFmtId="165" fontId="37" fillId="17" borderId="0" xfId="0" applyNumberFormat="1" applyFont="1" applyFill="1" applyBorder="1" applyAlignment="1">
      <alignment horizontal="left"/>
    </xf>
    <xf numFmtId="3" fontId="14" fillId="21" borderId="17" xfId="62" applyNumberFormat="1" applyFont="1" applyFill="1" applyBorder="1"/>
    <xf numFmtId="3" fontId="14" fillId="21" borderId="27" xfId="0" applyNumberFormat="1" applyFont="1" applyFill="1" applyBorder="1"/>
    <xf numFmtId="3" fontId="16" fillId="21" borderId="0" xfId="0" applyNumberFormat="1" applyFont="1" applyFill="1" applyBorder="1"/>
    <xf numFmtId="3" fontId="16" fillId="21" borderId="27" xfId="0" applyNumberFormat="1" applyFont="1" applyFill="1" applyBorder="1"/>
    <xf numFmtId="1" fontId="14" fillId="21" borderId="17" xfId="62" applyNumberFormat="1" applyFont="1" applyFill="1" applyBorder="1"/>
    <xf numFmtId="1" fontId="14" fillId="21" borderId="0" xfId="62" applyNumberFormat="1" applyFont="1" applyFill="1" applyBorder="1"/>
    <xf numFmtId="1" fontId="14" fillId="21" borderId="27" xfId="0" applyNumberFormat="1" applyFont="1" applyFill="1" applyBorder="1"/>
    <xf numFmtId="165" fontId="14" fillId="21" borderId="17" xfId="62" applyNumberFormat="1" applyFont="1" applyFill="1" applyBorder="1"/>
    <xf numFmtId="165" fontId="14" fillId="21" borderId="0" xfId="62" applyNumberFormat="1" applyFont="1" applyFill="1" applyBorder="1"/>
    <xf numFmtId="165" fontId="14" fillId="21" borderId="27" xfId="62" applyNumberFormat="1" applyFont="1" applyFill="1" applyBorder="1"/>
    <xf numFmtId="3" fontId="14" fillId="21" borderId="0" xfId="0" applyNumberFormat="1" applyFont="1" applyFill="1" applyBorder="1"/>
    <xf numFmtId="3" fontId="14" fillId="21" borderId="17" xfId="0" applyNumberFormat="1" applyFont="1" applyFill="1" applyBorder="1"/>
    <xf numFmtId="165" fontId="16" fillId="21" borderId="0" xfId="63" applyNumberFormat="1" applyFont="1" applyFill="1" applyBorder="1"/>
    <xf numFmtId="165" fontId="16" fillId="21" borderId="0" xfId="62" applyNumberFormat="1" applyFont="1" applyFill="1" applyBorder="1"/>
    <xf numFmtId="165" fontId="16" fillId="21" borderId="27" xfId="62" applyNumberFormat="1" applyFont="1" applyFill="1" applyBorder="1"/>
    <xf numFmtId="165" fontId="11" fillId="21" borderId="17" xfId="62" applyNumberFormat="1" applyFont="1" applyFill="1" applyBorder="1"/>
    <xf numFmtId="165" fontId="11" fillId="21" borderId="0" xfId="62" applyNumberFormat="1" applyFont="1" applyFill="1" applyBorder="1"/>
    <xf numFmtId="165" fontId="11" fillId="21" borderId="27" xfId="62" applyNumberFormat="1" applyFont="1" applyFill="1" applyBorder="1"/>
    <xf numFmtId="168" fontId="16" fillId="0" borderId="18" xfId="63" applyNumberFormat="1" applyFont="1" applyFill="1" applyBorder="1"/>
    <xf numFmtId="7" fontId="15" fillId="17" borderId="0" xfId="62" applyNumberFormat="1" applyFont="1" applyFill="1" applyBorder="1" applyAlignment="1">
      <alignment horizontal="left"/>
    </xf>
    <xf numFmtId="6" fontId="16" fillId="0" borderId="27" xfId="0" applyNumberFormat="1" applyFont="1" applyFill="1" applyBorder="1"/>
    <xf numFmtId="165" fontId="16" fillId="21" borderId="29" xfId="62" applyNumberFormat="1" applyFont="1" applyFill="1" applyBorder="1"/>
    <xf numFmtId="165" fontId="15" fillId="17" borderId="0" xfId="62" applyNumberFormat="1" applyFont="1" applyFill="1" applyBorder="1" applyAlignment="1" applyProtection="1">
      <alignment horizontal="right"/>
      <protection locked="0"/>
    </xf>
    <xf numFmtId="165" fontId="27" fillId="17" borderId="0" xfId="62" applyNumberFormat="1" applyFont="1" applyFill="1" applyBorder="1" applyAlignment="1">
      <alignment horizontal="left"/>
    </xf>
    <xf numFmtId="0" fontId="14" fillId="17" borderId="0" xfId="62" applyNumberFormat="1" applyFont="1" applyFill="1" applyBorder="1" applyAlignment="1">
      <alignment horizontal="left"/>
    </xf>
    <xf numFmtId="169" fontId="37" fillId="17" borderId="0" xfId="0" applyNumberFormat="1" applyFont="1" applyFill="1" applyBorder="1" applyAlignment="1">
      <alignment horizontal="left"/>
    </xf>
    <xf numFmtId="165" fontId="37" fillId="17" borderId="0" xfId="62" applyNumberFormat="1" applyFont="1" applyFill="1" applyBorder="1" applyAlignment="1">
      <alignment horizontal="left"/>
    </xf>
    <xf numFmtId="168" fontId="27" fillId="17" borderId="0" xfId="58" applyNumberFormat="1" applyFont="1" applyFill="1" applyBorder="1" applyAlignment="1">
      <alignment horizontal="left"/>
    </xf>
    <xf numFmtId="2" fontId="11" fillId="18" borderId="0" xfId="62" applyNumberFormat="1" applyFont="1" applyFill="1" applyBorder="1"/>
    <xf numFmtId="2" fontId="11" fillId="18" borderId="0" xfId="62" applyNumberFormat="1" applyFont="1" applyFill="1" applyBorder="1" applyAlignment="1"/>
    <xf numFmtId="3" fontId="37" fillId="17" borderId="0" xfId="0" applyNumberFormat="1" applyFont="1" applyFill="1" applyBorder="1" applyAlignment="1">
      <alignment horizontal="left"/>
    </xf>
    <xf numFmtId="1" fontId="37" fillId="17" borderId="0" xfId="0" applyNumberFormat="1" applyFont="1" applyFill="1" applyBorder="1" applyAlignment="1">
      <alignment horizontal="left"/>
    </xf>
    <xf numFmtId="165" fontId="10" fillId="17" borderId="0" xfId="62" applyNumberFormat="1" applyFont="1" applyFill="1" applyBorder="1" applyAlignment="1">
      <alignment horizontal="center"/>
    </xf>
    <xf numFmtId="1" fontId="15" fillId="17" borderId="0" xfId="58" applyNumberFormat="1" applyFont="1" applyFill="1" applyBorder="1" applyAlignment="1">
      <alignment horizontal="center"/>
    </xf>
    <xf numFmtId="1" fontId="14" fillId="17" borderId="0" xfId="58" applyNumberFormat="1" applyFont="1" applyFill="1" applyBorder="1" applyAlignment="1" applyProtection="1">
      <alignment horizontal="center"/>
      <protection locked="0"/>
    </xf>
    <xf numFmtId="0" fontId="15" fillId="17" borderId="0" xfId="0" applyNumberFormat="1" applyFont="1" applyFill="1" applyBorder="1" applyAlignment="1"/>
    <xf numFmtId="0" fontId="14" fillId="17" borderId="0" xfId="0" applyNumberFormat="1" applyFont="1" applyFill="1" applyBorder="1" applyAlignment="1"/>
    <xf numFmtId="0" fontId="26" fillId="17" borderId="0" xfId="58" applyNumberFormat="1" applyFont="1" applyFill="1" applyBorder="1" applyAlignment="1"/>
    <xf numFmtId="0" fontId="14" fillId="17" borderId="0" xfId="58" applyNumberFormat="1" applyFont="1" applyFill="1" applyBorder="1" applyAlignment="1" applyProtection="1">
      <protection locked="0"/>
    </xf>
    <xf numFmtId="0" fontId="26" fillId="17" borderId="0" xfId="62" applyNumberFormat="1" applyFont="1" applyFill="1" applyBorder="1" applyAlignment="1">
      <alignment horizontal="left"/>
    </xf>
    <xf numFmtId="0" fontId="14" fillId="17" borderId="0" xfId="0" applyNumberFormat="1" applyFont="1" applyFill="1" applyBorder="1" applyAlignment="1">
      <alignment horizontal="left"/>
    </xf>
    <xf numFmtId="165" fontId="63" fillId="16" borderId="0" xfId="62" applyNumberFormat="1" applyFont="1" applyFill="1"/>
    <xf numFmtId="165" fontId="27" fillId="17" borderId="0" xfId="58" applyNumberFormat="1" applyFont="1" applyFill="1" applyBorder="1" applyAlignment="1">
      <alignment horizontal="left"/>
    </xf>
    <xf numFmtId="165" fontId="3" fillId="0" borderId="0" xfId="52" applyNumberFormat="1" applyFont="1"/>
    <xf numFmtId="168" fontId="16" fillId="16" borderId="0" xfId="62" applyNumberFormat="1" applyFont="1" applyFill="1" applyBorder="1" applyAlignment="1">
      <alignment horizontal="right"/>
    </xf>
    <xf numFmtId="165" fontId="6" fillId="16" borderId="17" xfId="62" applyNumberFormat="1" applyFont="1" applyFill="1" applyBorder="1"/>
    <xf numFmtId="165" fontId="6" fillId="16" borderId="17" xfId="62" applyNumberFormat="1" applyFont="1" applyFill="1" applyBorder="1" applyAlignment="1">
      <alignment horizontal="center"/>
    </xf>
    <xf numFmtId="169" fontId="6" fillId="16" borderId="17" xfId="0" applyNumberFormat="1" applyFont="1" applyFill="1" applyBorder="1"/>
    <xf numFmtId="169" fontId="6" fillId="16" borderId="0" xfId="0" applyNumberFormat="1" applyFont="1" applyFill="1" applyBorder="1"/>
    <xf numFmtId="165" fontId="6" fillId="16" borderId="0" xfId="62" applyNumberFormat="1" applyFont="1" applyFill="1" applyBorder="1"/>
    <xf numFmtId="2" fontId="6" fillId="16" borderId="17" xfId="0" applyNumberFormat="1" applyFont="1" applyFill="1" applyBorder="1"/>
    <xf numFmtId="2" fontId="6" fillId="16" borderId="0" xfId="0" applyNumberFormat="1" applyFont="1" applyFill="1" applyBorder="1"/>
    <xf numFmtId="9" fontId="6" fillId="16" borderId="0" xfId="0" applyNumberFormat="1" applyFont="1" applyFill="1" applyBorder="1"/>
    <xf numFmtId="10" fontId="6" fillId="16" borderId="0" xfId="0" applyNumberFormat="1" applyFont="1" applyFill="1" applyBorder="1"/>
    <xf numFmtId="1" fontId="15" fillId="17" borderId="0" xfId="0" applyNumberFormat="1" applyFont="1" applyFill="1" applyBorder="1" applyAlignment="1">
      <alignment horizontal="center"/>
    </xf>
    <xf numFmtId="3" fontId="14" fillId="17" borderId="0" xfId="34" applyNumberFormat="1" applyFont="1" applyFill="1" applyBorder="1" applyAlignment="1">
      <alignment vertical="center"/>
    </xf>
    <xf numFmtId="173" fontId="10" fillId="17" borderId="0" xfId="34" applyNumberFormat="1" applyFont="1" applyFill="1" applyBorder="1" applyAlignment="1"/>
    <xf numFmtId="0" fontId="14" fillId="17" borderId="0" xfId="0" applyFont="1" applyFill="1" applyBorder="1" applyAlignment="1"/>
    <xf numFmtId="10" fontId="14" fillId="17" borderId="0" xfId="0" applyNumberFormat="1" applyFont="1" applyFill="1" applyBorder="1" applyAlignment="1"/>
    <xf numFmtId="3" fontId="14" fillId="17" borderId="0" xfId="34" applyNumberFormat="1" applyFont="1" applyFill="1" applyBorder="1" applyAlignment="1">
      <alignment horizontal="left" vertical="center"/>
    </xf>
    <xf numFmtId="165" fontId="14" fillId="17" borderId="0" xfId="62" applyNumberFormat="1" applyFont="1" applyFill="1" applyBorder="1" applyAlignment="1">
      <alignment horizontal="center"/>
    </xf>
    <xf numFmtId="165" fontId="78" fillId="17" borderId="0" xfId="62" applyNumberFormat="1" applyFont="1" applyFill="1" applyBorder="1" applyAlignment="1">
      <alignment horizontal="center"/>
    </xf>
    <xf numFmtId="0" fontId="11" fillId="18" borderId="0" xfId="0" applyFont="1" applyFill="1" applyBorder="1"/>
    <xf numFmtId="165" fontId="15" fillId="17" borderId="0" xfId="62" applyNumberFormat="1" applyFont="1" applyFill="1" applyBorder="1" applyAlignment="1">
      <alignment horizontal="center"/>
    </xf>
    <xf numFmtId="168" fontId="14" fillId="18" borderId="24" xfId="0" applyNumberFormat="1" applyFont="1" applyFill="1" applyBorder="1"/>
    <xf numFmtId="169" fontId="78" fillId="17" borderId="0" xfId="0" applyNumberFormat="1" applyFont="1" applyFill="1" applyBorder="1" applyAlignment="1">
      <alignment horizontal="center"/>
    </xf>
    <xf numFmtId="169" fontId="14" fillId="17" borderId="0" xfId="0" applyNumberFormat="1" applyFont="1" applyFill="1" applyBorder="1" applyAlignment="1">
      <alignment horizontal="center"/>
    </xf>
    <xf numFmtId="7" fontId="16" fillId="16" borderId="0" xfId="0" applyNumberFormat="1" applyFont="1" applyFill="1" applyBorder="1"/>
    <xf numFmtId="1" fontId="37" fillId="17" borderId="0" xfId="62" applyNumberFormat="1" applyFont="1" applyFill="1" applyBorder="1" applyAlignment="1">
      <alignment horizontal="left"/>
    </xf>
    <xf numFmtId="165" fontId="3" fillId="0" borderId="0" xfId="62" applyNumberFormat="1" applyFont="1"/>
    <xf numFmtId="14" fontId="15" fillId="17" borderId="0" xfId="62" applyNumberFormat="1" applyFont="1" applyFill="1" applyBorder="1" applyAlignment="1">
      <alignment horizontal="left"/>
    </xf>
    <xf numFmtId="168" fontId="16" fillId="21" borderId="27" xfId="62" applyNumberFormat="1" applyFont="1" applyFill="1" applyBorder="1"/>
    <xf numFmtId="168" fontId="16" fillId="21" borderId="0" xfId="62" applyNumberFormat="1" applyFont="1" applyFill="1" applyBorder="1"/>
    <xf numFmtId="165" fontId="2" fillId="0" borderId="0" xfId="62" applyNumberFormat="1" applyFont="1"/>
    <xf numFmtId="5" fontId="16" fillId="16" borderId="0" xfId="0" quotePrefix="1" applyNumberFormat="1" applyFont="1" applyFill="1" applyBorder="1"/>
    <xf numFmtId="170" fontId="15" fillId="17" borderId="0" xfId="62" applyNumberFormat="1" applyFont="1" applyFill="1" applyBorder="1" applyAlignment="1">
      <alignment horizontal="left"/>
    </xf>
    <xf numFmtId="165" fontId="37" fillId="17" borderId="0" xfId="62" applyNumberFormat="1" applyFont="1" applyFill="1" applyBorder="1" applyAlignment="1">
      <alignment horizontal="center"/>
    </xf>
    <xf numFmtId="169" fontId="6" fillId="17" borderId="0" xfId="0" applyNumberFormat="1" applyFont="1" applyFill="1" applyBorder="1" applyAlignment="1">
      <alignment horizontal="left"/>
    </xf>
    <xf numFmtId="169" fontId="37" fillId="17" borderId="0" xfId="0" applyNumberFormat="1" applyFont="1" applyFill="1" applyBorder="1" applyAlignment="1">
      <alignment horizontal="center"/>
    </xf>
    <xf numFmtId="1" fontId="15" fillId="17" borderId="0" xfId="62" applyNumberFormat="1" applyFont="1" applyFill="1" applyBorder="1" applyAlignment="1">
      <alignment horizontal="center"/>
    </xf>
    <xf numFmtId="168" fontId="37" fillId="17" borderId="0" xfId="0" applyNumberFormat="1" applyFont="1" applyFill="1" applyBorder="1" applyAlignment="1">
      <alignment horizontal="center"/>
    </xf>
    <xf numFmtId="5" fontId="37" fillId="17" borderId="0" xfId="0" applyNumberFormat="1" applyFont="1" applyFill="1" applyBorder="1" applyAlignment="1">
      <alignment horizontal="left"/>
    </xf>
    <xf numFmtId="10" fontId="15" fillId="17" borderId="0" xfId="62" applyNumberFormat="1" applyFont="1" applyFill="1" applyBorder="1" applyAlignment="1">
      <alignment horizontal="left"/>
    </xf>
    <xf numFmtId="4" fontId="3" fillId="0" borderId="0" xfId="62" applyNumberFormat="1" applyFont="1"/>
    <xf numFmtId="9" fontId="15" fillId="17" borderId="0" xfId="62" applyNumberFormat="1" applyFont="1" applyFill="1" applyBorder="1" applyAlignment="1">
      <alignment horizontal="left"/>
    </xf>
    <xf numFmtId="5" fontId="27" fillId="17" borderId="0" xfId="58" applyNumberFormat="1" applyFont="1" applyFill="1" applyBorder="1" applyAlignment="1">
      <alignment horizontal="left"/>
    </xf>
    <xf numFmtId="7" fontId="27" fillId="19" borderId="27" xfId="58" applyNumberFormat="1" applyFont="1" applyFill="1" applyBorder="1" applyAlignment="1">
      <alignment horizontal="left"/>
    </xf>
    <xf numFmtId="209" fontId="14" fillId="17" borderId="0" xfId="0" applyNumberFormat="1" applyFont="1" applyFill="1" applyBorder="1"/>
    <xf numFmtId="166" fontId="14" fillId="16" borderId="27" xfId="53" applyNumberFormat="1" applyFont="1" applyFill="1" applyBorder="1"/>
    <xf numFmtId="166" fontId="14" fillId="16" borderId="0" xfId="53" applyNumberFormat="1" applyFont="1" applyFill="1"/>
    <xf numFmtId="168" fontId="16" fillId="0" borderId="0" xfId="63" applyNumberFormat="1" applyFont="1" applyFill="1" applyBorder="1"/>
    <xf numFmtId="5" fontId="14" fillId="17" borderId="0" xfId="0" applyNumberFormat="1" applyFont="1" applyFill="1" applyBorder="1" applyAlignment="1">
      <alignment horizontal="left" indent="1"/>
    </xf>
    <xf numFmtId="5" fontId="6" fillId="17" borderId="0" xfId="0" applyNumberFormat="1" applyFont="1" applyFill="1" applyBorder="1" applyAlignment="1">
      <alignment horizontal="right"/>
    </xf>
    <xf numFmtId="5" fontId="14" fillId="17" borderId="13" xfId="58" applyNumberFormat="1" applyFont="1" applyFill="1" applyBorder="1" applyAlignment="1" applyProtection="1">
      <alignment horizontal="right"/>
      <protection locked="0"/>
    </xf>
    <xf numFmtId="5" fontId="14" fillId="17" borderId="0" xfId="58" applyNumberFormat="1" applyFont="1" applyFill="1" applyBorder="1" applyAlignment="1" applyProtection="1">
      <alignment horizontal="right"/>
      <protection locked="0"/>
    </xf>
    <xf numFmtId="6" fontId="27" fillId="19" borderId="27" xfId="58" applyNumberFormat="1" applyFont="1" applyFill="1" applyBorder="1" applyAlignment="1">
      <alignment horizontal="left"/>
    </xf>
    <xf numFmtId="3" fontId="79" fillId="21" borderId="17" xfId="0" applyNumberFormat="1" applyFont="1" applyFill="1" applyBorder="1"/>
    <xf numFmtId="3" fontId="79" fillId="21" borderId="17" xfId="62" applyNumberFormat="1" applyFont="1" applyFill="1" applyBorder="1"/>
    <xf numFmtId="169" fontId="79" fillId="16" borderId="17" xfId="58" applyNumberFormat="1" applyFont="1" applyFill="1" applyBorder="1" applyAlignment="1" applyProtection="1">
      <alignment horizontal="right"/>
      <protection locked="0"/>
    </xf>
    <xf numFmtId="169" fontId="80" fillId="17" borderId="17" xfId="58" applyNumberFormat="1" applyFont="1" applyFill="1" applyBorder="1" applyAlignment="1" applyProtection="1">
      <alignment horizontal="right"/>
      <protection locked="0"/>
    </xf>
    <xf numFmtId="169" fontId="79" fillId="0" borderId="17" xfId="0" applyNumberFormat="1" applyFont="1" applyFill="1" applyBorder="1"/>
    <xf numFmtId="3" fontId="79" fillId="0" borderId="17" xfId="62" applyNumberFormat="1" applyFont="1" applyFill="1" applyBorder="1"/>
    <xf numFmtId="168" fontId="79" fillId="0" borderId="32" xfId="0" applyNumberFormat="1" applyFont="1" applyFill="1" applyBorder="1"/>
    <xf numFmtId="169" fontId="79" fillId="0" borderId="17" xfId="62" applyNumberFormat="1" applyFont="1" applyFill="1" applyBorder="1"/>
    <xf numFmtId="169" fontId="79" fillId="16" borderId="17" xfId="0" applyNumberFormat="1" applyFont="1" applyFill="1" applyBorder="1"/>
    <xf numFmtId="5" fontId="79" fillId="16" borderId="17" xfId="0" applyNumberFormat="1" applyFont="1" applyFill="1" applyBorder="1"/>
    <xf numFmtId="1" fontId="79" fillId="0" borderId="17" xfId="0" applyNumberFormat="1" applyFont="1" applyFill="1" applyBorder="1"/>
    <xf numFmtId="168" fontId="79" fillId="16" borderId="0" xfId="0" applyNumberFormat="1" applyFont="1" applyFill="1" applyBorder="1"/>
    <xf numFmtId="168" fontId="79" fillId="0" borderId="0" xfId="0" applyNumberFormat="1" applyFont="1" applyFill="1" applyBorder="1"/>
    <xf numFmtId="5" fontId="79" fillId="16" borderId="0" xfId="0" applyNumberFormat="1" applyFont="1" applyFill="1" applyBorder="1"/>
    <xf numFmtId="5" fontId="80" fillId="17" borderId="12" xfId="0" applyNumberFormat="1" applyFont="1" applyFill="1" applyBorder="1"/>
    <xf numFmtId="5" fontId="80" fillId="16" borderId="0" xfId="0" applyNumberFormat="1" applyFont="1" applyFill="1" applyBorder="1"/>
    <xf numFmtId="5" fontId="80" fillId="16" borderId="24" xfId="0" applyNumberFormat="1" applyFont="1" applyFill="1" applyBorder="1"/>
    <xf numFmtId="5" fontId="79" fillId="16" borderId="0" xfId="0" applyNumberFormat="1" applyFont="1" applyFill="1" applyBorder="1" applyAlignment="1">
      <alignment horizontal="right"/>
    </xf>
    <xf numFmtId="5" fontId="80" fillId="16" borderId="25" xfId="0" applyNumberFormat="1" applyFont="1" applyFill="1" applyBorder="1"/>
    <xf numFmtId="5" fontId="79" fillId="25" borderId="0" xfId="0" applyNumberFormat="1" applyFont="1" applyFill="1" applyBorder="1"/>
    <xf numFmtId="3" fontId="79" fillId="21" borderId="0" xfId="0" applyNumberFormat="1" applyFont="1" applyFill="1" applyBorder="1"/>
    <xf numFmtId="3" fontId="79" fillId="21" borderId="0" xfId="62" applyNumberFormat="1" applyFont="1" applyFill="1" applyBorder="1"/>
    <xf numFmtId="169" fontId="80" fillId="24" borderId="17" xfId="58" applyNumberFormat="1" applyFont="1" applyFill="1" applyBorder="1" applyAlignment="1" applyProtection="1">
      <alignment horizontal="right"/>
      <protection locked="0"/>
    </xf>
    <xf numFmtId="169" fontId="80" fillId="17" borderId="0" xfId="58" applyNumberFormat="1" applyFont="1" applyFill="1" applyBorder="1" applyAlignment="1" applyProtection="1">
      <alignment horizontal="right"/>
      <protection locked="0"/>
    </xf>
    <xf numFmtId="169" fontId="79" fillId="16" borderId="0" xfId="58" applyNumberFormat="1" applyFont="1" applyFill="1" applyBorder="1" applyAlignment="1" applyProtection="1">
      <alignment horizontal="right"/>
      <protection locked="0"/>
    </xf>
    <xf numFmtId="169" fontId="80" fillId="24" borderId="0" xfId="58" applyNumberFormat="1" applyFont="1" applyFill="1" applyBorder="1" applyAlignment="1" applyProtection="1">
      <alignment horizontal="right"/>
      <protection locked="0"/>
    </xf>
    <xf numFmtId="169" fontId="79" fillId="0" borderId="0" xfId="0" applyNumberFormat="1" applyFont="1" applyFill="1" applyBorder="1"/>
    <xf numFmtId="3" fontId="79" fillId="0" borderId="0" xfId="62" applyNumberFormat="1" applyFont="1" applyFill="1" applyBorder="1"/>
    <xf numFmtId="168" fontId="79" fillId="0" borderId="24" xfId="0" applyNumberFormat="1" applyFont="1" applyFill="1" applyBorder="1"/>
    <xf numFmtId="169" fontId="79" fillId="16" borderId="0" xfId="62" applyNumberFormat="1" applyFont="1" applyFill="1" applyBorder="1"/>
    <xf numFmtId="169" fontId="79" fillId="16" borderId="15" xfId="0" applyNumberFormat="1" applyFont="1" applyFill="1" applyBorder="1"/>
    <xf numFmtId="169" fontId="79" fillId="16" borderId="0" xfId="0" applyNumberFormat="1" applyFont="1" applyFill="1" applyBorder="1"/>
    <xf numFmtId="1" fontId="79" fillId="0" borderId="0" xfId="0" applyNumberFormat="1" applyFont="1" applyFill="1" applyBorder="1"/>
    <xf numFmtId="169" fontId="79" fillId="0" borderId="0" xfId="62" applyNumberFormat="1" applyFont="1" applyFill="1" applyBorder="1"/>
    <xf numFmtId="1" fontId="16" fillId="0" borderId="27" xfId="62" applyNumberFormat="1" applyFont="1" applyFill="1" applyBorder="1"/>
    <xf numFmtId="166" fontId="16" fillId="0" borderId="27" xfId="62" applyNumberFormat="1" applyFont="1" applyFill="1" applyBorder="1" applyAlignment="1"/>
    <xf numFmtId="5" fontId="16" fillId="16" borderId="27" xfId="62" applyNumberFormat="1" applyFont="1" applyFill="1" applyBorder="1" applyAlignment="1"/>
    <xf numFmtId="5" fontId="79" fillId="16" borderId="27" xfId="0" applyNumberFormat="1" applyFont="1" applyFill="1" applyBorder="1"/>
    <xf numFmtId="5" fontId="80" fillId="17" borderId="10" xfId="0" applyNumberFormat="1" applyFont="1" applyFill="1" applyBorder="1"/>
    <xf numFmtId="5" fontId="80" fillId="16" borderId="27" xfId="0" applyNumberFormat="1" applyFont="1" applyFill="1" applyBorder="1"/>
    <xf numFmtId="5" fontId="80" fillId="16" borderId="29" xfId="0" applyNumberFormat="1" applyFont="1" applyFill="1" applyBorder="1"/>
    <xf numFmtId="5" fontId="79" fillId="16" borderId="27" xfId="0" applyNumberFormat="1" applyFont="1" applyFill="1" applyBorder="1" applyAlignment="1">
      <alignment horizontal="right"/>
    </xf>
    <xf numFmtId="5" fontId="79" fillId="0" borderId="27" xfId="0" applyNumberFormat="1" applyFont="1" applyFill="1" applyBorder="1"/>
    <xf numFmtId="6" fontId="3" fillId="23" borderId="12" xfId="52" applyNumberFormat="1" applyFont="1" applyFill="1" applyBorder="1"/>
    <xf numFmtId="6" fontId="3" fillId="23" borderId="22" xfId="52" applyNumberFormat="1" applyFont="1" applyFill="1" applyBorder="1"/>
    <xf numFmtId="6" fontId="2" fillId="0" borderId="0" xfId="52" applyNumberFormat="1" applyFont="1"/>
    <xf numFmtId="6" fontId="76" fillId="0" borderId="0" xfId="52" applyNumberFormat="1" applyFont="1"/>
    <xf numFmtId="0" fontId="27" fillId="26" borderId="0" xfId="58" applyFont="1" applyFill="1" applyBorder="1" applyAlignment="1" applyProtection="1">
      <alignment horizontal="centerContinuous" wrapText="1"/>
    </xf>
    <xf numFmtId="0" fontId="27" fillId="26" borderId="27" xfId="58" applyFont="1" applyFill="1" applyBorder="1" applyAlignment="1" applyProtection="1">
      <alignment horizontal="center"/>
    </xf>
    <xf numFmtId="0" fontId="27" fillId="26" borderId="13" xfId="58" applyFont="1" applyFill="1" applyBorder="1" applyAlignment="1" applyProtection="1">
      <alignment horizontal="center"/>
    </xf>
    <xf numFmtId="0" fontId="27" fillId="26" borderId="28" xfId="58" applyFont="1" applyFill="1" applyBorder="1" applyAlignment="1" applyProtection="1">
      <alignment horizontal="center"/>
    </xf>
    <xf numFmtId="2" fontId="15" fillId="17" borderId="0" xfId="62" applyNumberFormat="1" applyFont="1" applyFill="1" applyBorder="1" applyAlignment="1">
      <alignment horizontal="right"/>
    </xf>
    <xf numFmtId="165" fontId="14" fillId="0" borderId="27" xfId="62" quotePrefix="1" applyNumberFormat="1" applyFont="1" applyFill="1" applyBorder="1"/>
    <xf numFmtId="165" fontId="14" fillId="0" borderId="29" xfId="62" applyNumberFormat="1" applyFont="1" applyFill="1" applyBorder="1"/>
    <xf numFmtId="165" fontId="2" fillId="0" borderId="0" xfId="52" applyNumberFormat="1" applyFont="1" applyFill="1"/>
    <xf numFmtId="43" fontId="79" fillId="16" borderId="0" xfId="34" applyNumberFormat="1" applyFont="1" applyFill="1" applyBorder="1" applyAlignment="1" applyProtection="1">
      <alignment horizontal="right"/>
      <protection locked="0"/>
    </xf>
    <xf numFmtId="8" fontId="3" fillId="0" borderId="0" xfId="62" applyNumberFormat="1" applyFont="1"/>
    <xf numFmtId="0" fontId="15" fillId="17" borderId="0" xfId="58" applyFont="1" applyFill="1" applyBorder="1" applyAlignment="1">
      <alignment horizontal="left"/>
    </xf>
    <xf numFmtId="43" fontId="15" fillId="17" borderId="0" xfId="34" applyFont="1" applyFill="1" applyBorder="1" applyAlignment="1">
      <alignment horizontal="right"/>
    </xf>
    <xf numFmtId="43" fontId="14" fillId="17" borderId="0" xfId="34" applyFont="1" applyFill="1" applyBorder="1" applyAlignment="1">
      <alignment horizontal="left"/>
    </xf>
    <xf numFmtId="165" fontId="14" fillId="17" borderId="0" xfId="62" applyNumberFormat="1" applyFont="1" applyFill="1" applyBorder="1" applyAlignment="1">
      <alignment horizontal="right"/>
    </xf>
    <xf numFmtId="177" fontId="15" fillId="17" borderId="0" xfId="39" applyNumberFormat="1" applyFont="1" applyFill="1" applyBorder="1" applyAlignment="1">
      <alignment horizontal="left"/>
    </xf>
    <xf numFmtId="168" fontId="37" fillId="17" borderId="0" xfId="0" applyNumberFormat="1" applyFont="1" applyFill="1" applyBorder="1" applyAlignment="1">
      <alignment horizontal="left"/>
    </xf>
    <xf numFmtId="173" fontId="2" fillId="0" borderId="0" xfId="35" applyNumberFormat="1" applyFont="1" applyFill="1"/>
    <xf numFmtId="9" fontId="20" fillId="0" borderId="0" xfId="0" applyNumberFormat="1" applyFont="1" applyFill="1"/>
    <xf numFmtId="0" fontId="2" fillId="0" borderId="0" xfId="52" applyFont="1" applyFill="1"/>
    <xf numFmtId="0" fontId="2" fillId="0" borderId="0" xfId="52" applyNumberFormat="1" applyFont="1" applyFill="1"/>
    <xf numFmtId="173" fontId="2" fillId="0" borderId="0" xfId="52" applyNumberFormat="1" applyFont="1" applyFill="1"/>
    <xf numFmtId="207" fontId="2" fillId="0" borderId="0" xfId="52" applyNumberFormat="1" applyFont="1" applyFill="1" applyAlignment="1">
      <alignment horizontal="right"/>
    </xf>
    <xf numFmtId="9" fontId="2" fillId="0" borderId="0" xfId="52" applyNumberFormat="1" applyFont="1" applyFill="1"/>
    <xf numFmtId="5" fontId="79" fillId="0" borderId="0" xfId="0" applyNumberFormat="1" applyFont="1" applyFill="1" applyBorder="1"/>
    <xf numFmtId="43" fontId="14" fillId="16" borderId="17" xfId="34" applyNumberFormat="1" applyFont="1" applyFill="1" applyBorder="1" applyAlignment="1" applyProtection="1">
      <alignment horizontal="right"/>
      <protection locked="0"/>
    </xf>
    <xf numFmtId="165" fontId="14" fillId="16" borderId="0" xfId="58" applyNumberFormat="1" applyFont="1" applyFill="1" applyBorder="1" applyAlignment="1" applyProtection="1">
      <alignment horizontal="left" indent="1"/>
      <protection locked="0"/>
    </xf>
    <xf numFmtId="165" fontId="15" fillId="16" borderId="0" xfId="58" applyNumberFormat="1" applyFont="1" applyFill="1" applyBorder="1" applyAlignment="1" applyProtection="1">
      <alignment horizontal="left" indent="1"/>
      <protection locked="0"/>
    </xf>
    <xf numFmtId="169" fontId="15" fillId="16" borderId="27" xfId="58" applyNumberFormat="1" applyFont="1" applyFill="1" applyBorder="1" applyAlignment="1" applyProtection="1">
      <alignment horizontal="right"/>
      <protection locked="0"/>
    </xf>
    <xf numFmtId="169" fontId="14" fillId="0" borderId="0" xfId="58" applyNumberFormat="1" applyFont="1" applyFill="1" applyBorder="1" applyAlignment="1" applyProtection="1">
      <alignment horizontal="left" indent="1"/>
      <protection locked="0"/>
    </xf>
    <xf numFmtId="2" fontId="15" fillId="16" borderId="0" xfId="55" applyNumberFormat="1" applyFont="1" applyFill="1" applyBorder="1" applyAlignment="1">
      <alignment horizontal="left" indent="1"/>
    </xf>
    <xf numFmtId="2" fontId="15" fillId="16" borderId="0" xfId="62" applyNumberFormat="1" applyFont="1" applyFill="1" applyBorder="1"/>
    <xf numFmtId="2" fontId="15" fillId="16" borderId="27" xfId="55" applyNumberFormat="1" applyFont="1" applyFill="1" applyBorder="1"/>
    <xf numFmtId="2" fontId="15" fillId="16" borderId="17" xfId="62" applyNumberFormat="1" applyFont="1" applyFill="1" applyBorder="1"/>
    <xf numFmtId="2" fontId="15" fillId="16" borderId="27" xfId="0" applyNumberFormat="1" applyFont="1" applyFill="1" applyBorder="1"/>
    <xf numFmtId="2" fontId="15" fillId="16" borderId="17" xfId="0" applyNumberFormat="1" applyFont="1" applyFill="1" applyBorder="1"/>
    <xf numFmtId="2" fontId="15" fillId="18" borderId="0" xfId="62" applyNumberFormat="1" applyFont="1" applyFill="1" applyBorder="1"/>
    <xf numFmtId="2" fontId="15" fillId="0" borderId="17" xfId="62" applyNumberFormat="1" applyFont="1" applyFill="1" applyBorder="1"/>
    <xf numFmtId="5" fontId="15" fillId="25" borderId="0" xfId="0" applyNumberFormat="1" applyFont="1" applyFill="1" applyBorder="1"/>
    <xf numFmtId="9" fontId="2" fillId="0" borderId="0" xfId="62" applyFont="1"/>
    <xf numFmtId="3" fontId="14" fillId="0" borderId="17" xfId="0" applyNumberFormat="1" applyFont="1" applyFill="1" applyBorder="1"/>
    <xf numFmtId="3" fontId="79" fillId="0" borderId="17" xfId="0" applyNumberFormat="1" applyFont="1" applyFill="1" applyBorder="1"/>
    <xf numFmtId="9" fontId="0" fillId="0" borderId="0" xfId="62" applyFont="1"/>
    <xf numFmtId="173" fontId="0" fillId="0" borderId="0" xfId="0" applyNumberFormat="1"/>
    <xf numFmtId="9" fontId="14" fillId="17" borderId="0" xfId="62" applyFont="1" applyFill="1" applyBorder="1" applyAlignment="1">
      <alignment horizontal="left"/>
    </xf>
    <xf numFmtId="43" fontId="15" fillId="17" borderId="0" xfId="34" applyFont="1" applyFill="1" applyBorder="1" applyAlignment="1">
      <alignment horizontal="left"/>
    </xf>
    <xf numFmtId="173" fontId="3" fillId="0" borderId="0" xfId="35" applyNumberFormat="1" applyFont="1" applyFill="1"/>
    <xf numFmtId="173" fontId="2" fillId="0" borderId="0" xfId="83" applyNumberFormat="1" applyFont="1" applyFill="1"/>
    <xf numFmtId="0" fontId="2" fillId="0" borderId="0" xfId="90" applyFont="1" applyFill="1"/>
    <xf numFmtId="0" fontId="2" fillId="0" borderId="0" xfId="90" applyNumberFormat="1" applyFont="1" applyFill="1"/>
    <xf numFmtId="173" fontId="2" fillId="0" borderId="0" xfId="90" applyNumberFormat="1" applyFont="1" applyFill="1"/>
    <xf numFmtId="207" fontId="2" fillId="0" borderId="0" xfId="90" applyNumberFormat="1" applyFont="1" applyFill="1" applyAlignment="1">
      <alignment horizontal="right"/>
    </xf>
    <xf numFmtId="9" fontId="2" fillId="0" borderId="0" xfId="90" applyNumberFormat="1" applyFont="1" applyFill="1"/>
    <xf numFmtId="169" fontId="79" fillId="0" borderId="17" xfId="58" applyNumberFormat="1" applyFont="1" applyFill="1" applyBorder="1" applyAlignment="1" applyProtection="1">
      <alignment horizontal="right"/>
      <protection locked="0"/>
    </xf>
    <xf numFmtId="5" fontId="79" fillId="0" borderId="17" xfId="0" applyNumberFormat="1" applyFont="1" applyFill="1" applyBorder="1"/>
    <xf numFmtId="0" fontId="15" fillId="18" borderId="0" xfId="58" applyFont="1" applyFill="1" applyBorder="1" applyAlignment="1">
      <alignment horizontal="left"/>
    </xf>
    <xf numFmtId="0" fontId="15" fillId="16" borderId="17" xfId="58" applyFont="1" applyFill="1" applyBorder="1" applyAlignment="1">
      <alignment horizontal="left"/>
    </xf>
    <xf numFmtId="0" fontId="15" fillId="16" borderId="0" xfId="58" applyFont="1" applyFill="1" applyBorder="1" applyAlignment="1">
      <alignment horizontal="left"/>
    </xf>
    <xf numFmtId="0" fontId="81" fillId="0" borderId="0" xfId="52" applyFont="1" applyAlignment="1">
      <alignment horizontal="center"/>
    </xf>
    <xf numFmtId="6" fontId="81" fillId="0" borderId="0" xfId="52" applyNumberFormat="1" applyFont="1" applyAlignment="1">
      <alignment horizontal="center"/>
    </xf>
    <xf numFmtId="9" fontId="81" fillId="0" borderId="0" xfId="62" applyFont="1" applyAlignment="1">
      <alignment horizontal="center"/>
    </xf>
    <xf numFmtId="9" fontId="15" fillId="17" borderId="0" xfId="62" applyFont="1" applyFill="1" applyBorder="1" applyAlignment="1">
      <alignment horizontal="left"/>
    </xf>
    <xf numFmtId="44" fontId="2" fillId="0" borderId="0" xfId="39" applyFont="1"/>
    <xf numFmtId="0" fontId="32" fillId="0" borderId="0" xfId="52" applyFont="1" applyAlignment="1">
      <alignment horizontal="center"/>
    </xf>
    <xf numFmtId="44" fontId="2" fillId="0" borderId="0" xfId="52" applyNumberFormat="1" applyFont="1"/>
    <xf numFmtId="14" fontId="27" fillId="18" borderId="0" xfId="58" applyNumberFormat="1" applyFont="1" applyFill="1" applyBorder="1" applyAlignment="1">
      <alignment horizontal="center"/>
    </xf>
    <xf numFmtId="0" fontId="6" fillId="0" borderId="0" xfId="0" applyFont="1" applyAlignment="1">
      <alignment horizontal="center"/>
    </xf>
    <xf numFmtId="0" fontId="15" fillId="20" borderId="37" xfId="0" applyFont="1" applyFill="1" applyBorder="1" applyAlignment="1">
      <alignment horizontal="center" vertical="center" wrapText="1"/>
    </xf>
    <xf numFmtId="0" fontId="15" fillId="20" borderId="0" xfId="0" applyFont="1" applyFill="1" applyBorder="1" applyAlignment="1">
      <alignment horizontal="center" vertical="center" wrapText="1"/>
    </xf>
    <xf numFmtId="0" fontId="15" fillId="20" borderId="23" xfId="0" applyFont="1" applyFill="1" applyBorder="1" applyAlignment="1">
      <alignment horizontal="center" vertical="center" wrapText="1"/>
    </xf>
    <xf numFmtId="0" fontId="2" fillId="0" borderId="0" xfId="88"/>
    <xf numFmtId="0" fontId="2" fillId="27" borderId="0" xfId="96" applyFont="1" applyFill="1" applyAlignment="1">
      <alignment vertical="top"/>
    </xf>
    <xf numFmtId="0" fontId="2" fillId="27" borderId="0" xfId="88" applyFill="1" applyAlignment="1">
      <alignment vertical="top"/>
    </xf>
    <xf numFmtId="0" fontId="2" fillId="27" borderId="0" xfId="88" applyFill="1"/>
    <xf numFmtId="0" fontId="82" fillId="27" borderId="0" xfId="96" applyFont="1" applyFill="1" applyAlignment="1">
      <alignment horizontal="left" vertical="top"/>
    </xf>
    <xf numFmtId="0" fontId="2" fillId="27" borderId="0" xfId="88" applyFont="1" applyFill="1" applyAlignment="1">
      <alignment vertical="top"/>
    </xf>
    <xf numFmtId="0" fontId="20" fillId="27" borderId="0" xfId="96" applyFont="1" applyFill="1" applyAlignment="1">
      <alignment vertical="top"/>
    </xf>
    <xf numFmtId="0" fontId="0" fillId="27" borderId="0" xfId="0" applyFill="1" applyAlignment="1">
      <alignment vertical="top"/>
    </xf>
    <xf numFmtId="0" fontId="83" fillId="27" borderId="0" xfId="0" applyFont="1" applyFill="1" applyAlignment="1">
      <alignment vertical="top"/>
    </xf>
    <xf numFmtId="0" fontId="84" fillId="27" borderId="0" xfId="0" applyFont="1" applyFill="1" applyAlignment="1">
      <alignment vertical="top"/>
    </xf>
    <xf numFmtId="0" fontId="84" fillId="27" borderId="0" xfId="0" applyFont="1" applyFill="1" applyAlignment="1">
      <alignment vertical="top"/>
    </xf>
    <xf numFmtId="0" fontId="83" fillId="27" borderId="0" xfId="0" applyFont="1" applyFill="1" applyAlignment="1">
      <alignment vertical="top"/>
    </xf>
    <xf numFmtId="0" fontId="0" fillId="27" borderId="0" xfId="0" applyFill="1" applyAlignment="1">
      <alignment vertical="top"/>
    </xf>
    <xf numFmtId="0" fontId="0" fillId="27" borderId="42" xfId="0" applyFill="1" applyBorder="1" applyAlignment="1">
      <alignment vertical="top"/>
    </xf>
    <xf numFmtId="0" fontId="83" fillId="27" borderId="38" xfId="0" applyFont="1" applyFill="1" applyBorder="1" applyAlignment="1">
      <alignment vertical="top"/>
    </xf>
    <xf numFmtId="0" fontId="83" fillId="27" borderId="39" xfId="0" applyFont="1" applyFill="1" applyBorder="1" applyAlignment="1">
      <alignment vertical="top"/>
    </xf>
    <xf numFmtId="0" fontId="83" fillId="27" borderId="40" xfId="0" applyFont="1" applyFill="1" applyBorder="1" applyAlignment="1">
      <alignment vertical="top"/>
    </xf>
    <xf numFmtId="0" fontId="83" fillId="27" borderId="41" xfId="0" applyFont="1" applyFill="1" applyBorder="1" applyAlignment="1">
      <alignment vertical="top"/>
    </xf>
    <xf numFmtId="9" fontId="83" fillId="27" borderId="38" xfId="0" applyNumberFormat="1" applyFont="1" applyFill="1" applyBorder="1" applyAlignment="1">
      <alignment vertical="top"/>
    </xf>
    <xf numFmtId="3" fontId="83" fillId="27" borderId="38" xfId="0" applyNumberFormat="1" applyFont="1" applyFill="1" applyBorder="1" applyAlignment="1">
      <alignment vertical="top"/>
    </xf>
    <xf numFmtId="0" fontId="0" fillId="27" borderId="43" xfId="0" applyFill="1" applyBorder="1" applyAlignment="1">
      <alignment vertical="top"/>
    </xf>
    <xf numFmtId="2" fontId="2" fillId="0" borderId="0" xfId="88" applyNumberFormat="1" applyAlignment="1">
      <alignment horizontal="left"/>
    </xf>
    <xf numFmtId="0" fontId="2" fillId="0" borderId="0" xfId="88" applyNumberFormat="1" applyAlignment="1">
      <alignment horizontal="left"/>
    </xf>
    <xf numFmtId="1" fontId="2" fillId="0" borderId="0" xfId="88" applyNumberFormat="1" applyAlignment="1">
      <alignment horizontal="left"/>
    </xf>
    <xf numFmtId="0" fontId="2" fillId="0" borderId="0" xfId="88" applyFont="1"/>
    <xf numFmtId="215" fontId="2" fillId="0" borderId="0" xfId="88" applyNumberFormat="1" applyAlignment="1">
      <alignment horizontal="left"/>
    </xf>
    <xf numFmtId="49" fontId="2" fillId="0" borderId="0" xfId="88" applyNumberFormat="1"/>
  </cellXfs>
  <cellStyles count="97">
    <cellStyle name=" 1" xfId="1"/>
    <cellStyle name=" 1 2" xfId="81"/>
    <cellStyle name="******************************************" xfId="2"/>
    <cellStyle name="_SUMMARY " xfId="3"/>
    <cellStyle name="_SUMMARY  2" xfId="82"/>
    <cellStyle name="0_Capex &amp; Depreciation " xfId="4"/>
    <cellStyle name="0_Valuing BP " xfId="5"/>
    <cellStyle name="20% - Accent1" xfId="6" builtinId="30" customBuiltin="1"/>
    <cellStyle name="20% - Accent2" xfId="7" builtinId="34" customBuiltin="1"/>
    <cellStyle name="20% - Accent3" xfId="8" builtinId="38" customBuiltin="1"/>
    <cellStyle name="20% - Accent4" xfId="9" builtinId="42" customBuiltin="1"/>
    <cellStyle name="20% - Accent5" xfId="10" builtinId="46" customBuiltin="1"/>
    <cellStyle name="20% - Accent6" xfId="11" builtinId="50" customBuiltin="1"/>
    <cellStyle name="40% - Accent1" xfId="12" builtinId="31" customBuiltin="1"/>
    <cellStyle name="40% - Accent2" xfId="13" builtinId="35" customBuiltin="1"/>
    <cellStyle name="40% - Accent3" xfId="14" builtinId="39" customBuiltin="1"/>
    <cellStyle name="40% - Accent4" xfId="15" builtinId="43" customBuiltin="1"/>
    <cellStyle name="40% - Accent5" xfId="16" builtinId="47" customBuiltin="1"/>
    <cellStyle name="40% - Accent6" xfId="17" builtinId="51" customBuiltin="1"/>
    <cellStyle name="60% - Accent1" xfId="18" builtinId="32" customBuiltin="1"/>
    <cellStyle name="60% - Accent2" xfId="19" builtinId="36" customBuiltin="1"/>
    <cellStyle name="60% - Accent3" xfId="20" builtinId="40" customBuiltin="1"/>
    <cellStyle name="60% - Accent4" xfId="21" builtinId="44" customBuiltin="1"/>
    <cellStyle name="60% - Accent5" xfId="22" builtinId="48" customBuiltin="1"/>
    <cellStyle name="60% - Accent6" xfId="23" builtinId="52" customBuiltin="1"/>
    <cellStyle name="Accent1" xfId="24" builtinId="29" customBuiltin="1"/>
    <cellStyle name="Accent2" xfId="25" builtinId="33" customBuiltin="1"/>
    <cellStyle name="Accent3" xfId="26" builtinId="37" customBuiltin="1"/>
    <cellStyle name="Accent4" xfId="27" builtinId="41" customBuiltin="1"/>
    <cellStyle name="Accent5" xfId="28" builtinId="45" customBuiltin="1"/>
    <cellStyle name="Accent6" xfId="29" builtinId="49" customBuiltin="1"/>
    <cellStyle name="Bad" xfId="30" builtinId="27" customBuiltin="1"/>
    <cellStyle name="c_HardInc " xfId="31"/>
    <cellStyle name="Calculation" xfId="32" builtinId="22" customBuiltin="1"/>
    <cellStyle name="Check Cell" xfId="33" builtinId="23" customBuiltin="1"/>
    <cellStyle name="Comma" xfId="34" builtinId="3"/>
    <cellStyle name="Comma 2" xfId="76"/>
    <cellStyle name="Comma 2 2" xfId="35"/>
    <cellStyle name="Comma 2 2 2" xfId="83"/>
    <cellStyle name="Comma 3" xfId="36"/>
    <cellStyle name="Comma 3 2" xfId="84"/>
    <cellStyle name="Comma 4" xfId="37"/>
    <cellStyle name="Comma 4 2" xfId="85"/>
    <cellStyle name="Comma 5" xfId="38"/>
    <cellStyle name="Comma 5 2" xfId="86"/>
    <cellStyle name="Currency" xfId="39" builtinId="4"/>
    <cellStyle name="Currency 2" xfId="79"/>
    <cellStyle name="Currency 3" xfId="40"/>
    <cellStyle name="Currency 3 2" xfId="87"/>
    <cellStyle name="Explanatory Text" xfId="41" builtinId="53" customBuiltin="1"/>
    <cellStyle name="Good" xfId="42" builtinId="26" customBuiltin="1"/>
    <cellStyle name="Heading 1" xfId="43" builtinId="16" customBuiltin="1"/>
    <cellStyle name="Heading 2" xfId="44" builtinId="17" customBuiltin="1"/>
    <cellStyle name="Heading 3" xfId="45" builtinId="18" customBuiltin="1"/>
    <cellStyle name="Heading 4" xfId="46" builtinId="19" customBuiltin="1"/>
    <cellStyle name="Input" xfId="47" builtinId="20" customBuiltin="1"/>
    <cellStyle name="Linked Cell" xfId="48" builtinId="24" customBuiltin="1"/>
    <cellStyle name="Neutral" xfId="49" builtinId="28" customBuiltin="1"/>
    <cellStyle name="Normal" xfId="0" builtinId="0"/>
    <cellStyle name="Normal 2" xfId="50"/>
    <cellStyle name="Normal 2 2" xfId="88"/>
    <cellStyle name="Normal 3" xfId="51"/>
    <cellStyle name="Normal 3 2" xfId="52"/>
    <cellStyle name="Normal 3 2 2" xfId="90"/>
    <cellStyle name="Normal 3 3" xfId="89"/>
    <cellStyle name="Normal 4" xfId="75"/>
    <cellStyle name="Normal 5" xfId="80"/>
    <cellStyle name="Normal_AAI.model.BuiltOut" xfId="53"/>
    <cellStyle name="Normal_CF and Bal Sheet" xfId="54"/>
    <cellStyle name="Normal_DisclaimerSheet Samples" xfId="96"/>
    <cellStyle name="Normal_Inc Statement" xfId="55"/>
    <cellStyle name="Normal_Inc Statement_1" xfId="56"/>
    <cellStyle name="Normal_Inc Statement_1_Model" xfId="57"/>
    <cellStyle name="Normal_JBHTqq" xfId="58"/>
    <cellStyle name="Note" xfId="59" builtinId="10" customBuiltin="1"/>
    <cellStyle name="Note 2" xfId="91"/>
    <cellStyle name="Output" xfId="60" builtinId="21" customBuiltin="1"/>
    <cellStyle name="p " xfId="61"/>
    <cellStyle name="Percent" xfId="62" builtinId="5"/>
    <cellStyle name="Percent 2" xfId="63"/>
    <cellStyle name="Percent 2 2" xfId="92"/>
    <cellStyle name="Percent 3" xfId="64"/>
    <cellStyle name="Percent 3 2" xfId="93"/>
    <cellStyle name="Percent 4" xfId="65"/>
    <cellStyle name="Percent 4 2" xfId="94"/>
    <cellStyle name="Percent 5" xfId="77"/>
    <cellStyle name="RRSInstruction" xfId="66"/>
    <cellStyle name="s_HardInc " xfId="67"/>
    <cellStyle name="s_Valuation " xfId="68"/>
    <cellStyle name="ssp " xfId="69"/>
    <cellStyle name="Style 1" xfId="78"/>
    <cellStyle name="Style 1 2" xfId="70"/>
    <cellStyle name="Style 32" xfId="71"/>
    <cellStyle name="Style 32 2" xfId="95"/>
    <cellStyle name="Title" xfId="72" builtinId="15" customBuiltin="1"/>
    <cellStyle name="Total" xfId="73" builtinId="25" customBuiltin="1"/>
    <cellStyle name="Warning Text" xfId="74" builtinId="11" customBuiltin="1"/>
  </cellStyles>
  <dxfs count="28">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43C"/>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2.xml" Type="http://schemas.openxmlformats.org/officeDocument/2006/relationships/externalLink"/>
<Relationship Id="rId11" Target="externalLinks/externalLink3.xml" Type="http://schemas.openxmlformats.org/officeDocument/2006/relationships/externalLink"/>
<Relationship Id="rId12" Target="theme/theme1.xml" Type="http://schemas.openxmlformats.org/officeDocument/2006/relationships/theme"/>
<Relationship Id="rId13" Target="styles.xml" Type="http://schemas.openxmlformats.org/officeDocument/2006/relationships/styles"/>
<Relationship Id="rId14" Target="sharedStrings.xml" Type="http://schemas.openxmlformats.org/officeDocument/2006/relationships/sharedStrings"/>
<Relationship Id="rId15" Target="calcChain.xml" Type="http://schemas.openxmlformats.org/officeDocument/2006/relationships/calcChain"/>
<Relationship Id="rId16" Target="../customXml/item1.xml" Type="http://schemas.openxmlformats.org/officeDocument/2006/relationships/customXml"/>
<Relationship Id="rId17" Target="../customXml/item2.xml" Type="http://schemas.openxmlformats.org/officeDocument/2006/relationships/customXml"/>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externalLinks/externalLink1.xml" Type="http://schemas.openxmlformats.org/officeDocument/2006/relationships/externalLink"/>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104775</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2</xdr:col>
      <xdr:colOff>228600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177</xdr:row>
      <xdr:rowOff>0</xdr:rowOff>
    </xdr:from>
    <xdr:to>
      <xdr:col>9</xdr:col>
      <xdr:colOff>114300</xdr:colOff>
      <xdr:row>200</xdr:row>
      <xdr:rowOff>104775</xdr:rowOff>
    </xdr:to>
    <xdr:pic>
      <xdr:nvPicPr>
        <xdr:cNvPr id="3996673" name="Picture 1" descr="C:\Users\sharpmat\AppData\Local\Temp\MercuryPriceRatingHistoryChart\DAL.N_2018_04_20_00_10_27.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6129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file://///msad/root/Documents%20and%20Settings/warjohn/Local%20Settings/Temporary%20Internet%20Files/OLK1DA/Funded%20status%20Chart.xls" TargetMode="External" Type="http://schemas.openxmlformats.org/officeDocument/2006/relationships/externalLinkPath"/>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COP"/>
      <sheetName val="Income Statement"/>
      <sheetName val="Revenue&amp;EBIT"/>
      <sheetName val="Fin. Summary"/>
      <sheetName val="Inputs"/>
      <sheetName val="XOM"/>
      <sheetName val="New Source Charts"/>
      <sheetName val="Modelware"/>
      <sheetName val="R&amp;MIS"/>
      <sheetName val="E&amp;P Growth &amp; Returns"/>
      <sheetName val="Global Product Sum"/>
      <sheetName val="Scenario"/>
      <sheetName val="Quarter"/>
      <sheetName val="Annual"/>
      <sheetName val="AN"/>
      <sheetName val="COC"/>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Flow"/>
      <sheetName val="upside_downside"/>
      <sheetName val="Income Statement"/>
      <sheetName val="Balance Sheet"/>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RI"/>
      <sheetName val="BULLBEAR"/>
      <sheetName val="Sheet2"/>
      <sheetName val="DCF"/>
      <sheetName val="MWA RR"/>
      <sheetName val="REVENUE BY GEOGRAPHY"/>
      <sheetName val="NonQtr"/>
      <sheetName val="Data 20d"/>
      <sheetName val="Data"/>
      <sheetName val="Risk-Reward_View_Chart"/>
      <sheetName val="Valsum"/>
      <sheetName val="Interims"/>
      <sheetName val="Financial Statements"/>
      <sheetName val="CPB"/>
      <sheetName val="Total_Food_Promo"/>
      <sheetName val="CPB_2yr"/>
      <sheetName val="FX"/>
      <sheetName val="Inputs"/>
      <sheetName val="Good 12-00 (2)"/>
      <sheetName val="Good 11-36"/>
      <sheetName val="Good 11-50"/>
      <sheetName val="Sheet3 (5)"/>
      <sheetName val="B11_BarSingle_AverageLine"/>
      <sheetName val="Summary"/>
      <sheetName val="Floater Demand"/>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 Detail "/>
      <sheetName val="Model"/>
      <sheetName val="Sheet4"/>
      <sheetName val="ForeignStake"/>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Charts"/>
      <sheetName val="Pension"/>
      <sheetName val="Walk"/>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500"/>
      <sheetName val="Sheet1"/>
    </sheetNames>
    <sheetDataSet>
      <sheetData sheetId="0"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Funded Status (%)</v>
          </cell>
          <cell r="AD8">
            <v>0</v>
          </cell>
        </row>
        <row r="10">
          <cell r="C10" t="str">
            <v>Input your data here:</v>
          </cell>
          <cell r="BC10" t="str">
            <v>.</v>
          </cell>
        </row>
        <row r="11">
          <cell r="D11" t="str">
            <v>Funded Status (%)</v>
          </cell>
          <cell r="E11" t="str">
            <v>% of Market Cap</v>
          </cell>
          <cell r="BC11" t="str">
            <v>.</v>
          </cell>
        </row>
        <row r="12">
          <cell r="C12">
            <v>2005</v>
          </cell>
          <cell r="D12">
            <v>0.91</v>
          </cell>
          <cell r="E12">
            <v>0.45</v>
          </cell>
        </row>
        <row r="13">
          <cell r="C13">
            <v>2006</v>
          </cell>
          <cell r="D13">
            <v>0.98</v>
          </cell>
          <cell r="E13">
            <v>0.5</v>
          </cell>
        </row>
        <row r="14">
          <cell r="C14">
            <v>2007</v>
          </cell>
          <cell r="D14">
            <v>1.05</v>
          </cell>
          <cell r="E14">
            <v>0.35</v>
          </cell>
          <cell r="BC14" t="str">
            <v>.</v>
          </cell>
        </row>
        <row r="15">
          <cell r="C15">
            <v>2008</v>
          </cell>
          <cell r="D15">
            <v>0.77</v>
          </cell>
          <cell r="E15">
            <v>0.6</v>
          </cell>
          <cell r="BC15" t="str">
            <v>.</v>
          </cell>
        </row>
        <row r="16">
          <cell r="C16">
            <v>2009</v>
          </cell>
          <cell r="D16">
            <v>0.82</v>
          </cell>
          <cell r="E16">
            <v>0.56000000000000005</v>
          </cell>
          <cell r="BC16" t="str">
            <v>.</v>
          </cell>
        </row>
        <row r="17">
          <cell r="C17">
            <v>2010</v>
          </cell>
          <cell r="D17">
            <v>0.84</v>
          </cell>
          <cell r="E17">
            <v>0.52</v>
          </cell>
          <cell r="BC17" t="str">
            <v>.</v>
          </cell>
        </row>
        <row r="18">
          <cell r="C18">
            <v>2011</v>
          </cell>
          <cell r="D18">
            <v>0.78</v>
          </cell>
          <cell r="E18">
            <v>0.6</v>
          </cell>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X2"/>
  <sheetViews>
    <sheetView workbookViewId="0"/>
  </sheetViews>
  <sheetFormatPr defaultRowHeight="12.75" x14ac:dyDescent="0.2"/>
  <sheetData>
    <row r="1" spans="1:102" x14ac:dyDescent="0.2">
      <c r="A1" t="s">
        <v>57</v>
      </c>
    </row>
    <row r="2" spans="1:102" x14ac:dyDescent="0.2">
      <c r="A2" s="3" t="s">
        <v>63</v>
      </c>
      <c r="B2" s="3" t="s">
        <v>93</v>
      </c>
      <c r="C2" s="3" t="s">
        <v>176</v>
      </c>
      <c r="D2" s="3" t="s">
        <v>272</v>
      </c>
      <c r="E2" s="3" t="s">
        <v>24</v>
      </c>
      <c r="F2" s="3" t="s">
        <v>25</v>
      </c>
      <c r="G2" s="3" t="s">
        <v>277</v>
      </c>
      <c r="H2" s="3" t="s">
        <v>93</v>
      </c>
      <c r="I2" s="3" t="s">
        <v>210</v>
      </c>
      <c r="J2" s="3" t="s">
        <v>433</v>
      </c>
      <c r="K2" s="3" t="s">
        <v>71</v>
      </c>
      <c r="L2" s="3" t="s">
        <v>72</v>
      </c>
      <c r="M2" s="3" t="s">
        <v>311</v>
      </c>
      <c r="N2" s="3" t="s">
        <v>128</v>
      </c>
      <c r="O2" s="3" t="s">
        <v>64</v>
      </c>
      <c r="P2" s="3" t="s">
        <v>93</v>
      </c>
      <c r="Q2" s="3" t="s">
        <v>354</v>
      </c>
      <c r="R2" s="3" t="s">
        <v>128</v>
      </c>
      <c r="S2" s="3" t="s">
        <v>440</v>
      </c>
      <c r="T2" s="3" t="s">
        <v>128</v>
      </c>
      <c r="U2" s="3" t="s">
        <v>19</v>
      </c>
      <c r="V2" s="3" t="s">
        <v>20</v>
      </c>
      <c r="W2" s="3" t="s">
        <v>416</v>
      </c>
      <c r="X2" s="3" t="s">
        <v>592</v>
      </c>
      <c r="Y2" s="3" t="s">
        <v>175</v>
      </c>
      <c r="Z2" s="3" t="s">
        <v>128</v>
      </c>
      <c r="AA2" s="3" t="s">
        <v>291</v>
      </c>
      <c r="AB2" s="3" t="s">
        <v>128</v>
      </c>
      <c r="AC2" s="3" t="s">
        <v>91</v>
      </c>
      <c r="AD2" s="3" t="s">
        <v>128</v>
      </c>
      <c r="AE2" s="3" t="s">
        <v>305</v>
      </c>
      <c r="AF2" s="3" t="s">
        <v>25</v>
      </c>
      <c r="AG2" s="3" t="s">
        <v>66</v>
      </c>
      <c r="AH2" s="3" t="s">
        <v>128</v>
      </c>
      <c r="AI2" s="3" t="s">
        <v>65</v>
      </c>
      <c r="AJ2" s="3" t="s">
        <v>93</v>
      </c>
      <c r="AK2" s="3" t="s">
        <v>22</v>
      </c>
      <c r="AL2" s="3" t="s">
        <v>23</v>
      </c>
      <c r="AM2" s="3" t="s">
        <v>308</v>
      </c>
      <c r="AN2" s="3" t="s">
        <v>25</v>
      </c>
      <c r="AO2" s="3" t="s">
        <v>95</v>
      </c>
      <c r="AP2" s="3" t="s">
        <v>128</v>
      </c>
      <c r="AQ2" s="3" t="s">
        <v>223</v>
      </c>
      <c r="AR2" s="3" t="s">
        <v>128</v>
      </c>
      <c r="AS2" s="3" t="s">
        <v>92</v>
      </c>
      <c r="AT2" s="3" t="s">
        <v>93</v>
      </c>
      <c r="AU2" s="3" t="s">
        <v>436</v>
      </c>
      <c r="AV2" s="3" t="s">
        <v>437</v>
      </c>
      <c r="AW2" s="3" t="s">
        <v>355</v>
      </c>
      <c r="AX2" s="3" t="s">
        <v>128</v>
      </c>
      <c r="AY2" s="3" t="s">
        <v>310</v>
      </c>
      <c r="AZ2" s="3" t="s">
        <v>25</v>
      </c>
      <c r="BA2" s="3" t="s">
        <v>309</v>
      </c>
      <c r="BB2" s="3" t="s">
        <v>128</v>
      </c>
      <c r="BC2" s="3" t="s">
        <v>94</v>
      </c>
      <c r="BD2" s="3" t="s">
        <v>128</v>
      </c>
      <c r="BE2" s="3" t="s">
        <v>321</v>
      </c>
      <c r="BF2" s="3" t="s">
        <v>353</v>
      </c>
      <c r="BG2" s="3" t="s">
        <v>21</v>
      </c>
      <c r="BH2" s="3" t="s">
        <v>128</v>
      </c>
      <c r="BI2" s="3" t="s">
        <v>222</v>
      </c>
      <c r="BJ2" s="3" t="s">
        <v>128</v>
      </c>
      <c r="BK2" s="3" t="s">
        <v>13</v>
      </c>
      <c r="BL2" s="3" t="s">
        <v>128</v>
      </c>
      <c r="BM2" s="3" t="s">
        <v>292</v>
      </c>
      <c r="BN2" s="3" t="s">
        <v>128</v>
      </c>
      <c r="BO2" s="3" t="s">
        <v>146</v>
      </c>
      <c r="BP2" s="3" t="s">
        <v>147</v>
      </c>
      <c r="BQ2" s="3" t="s">
        <v>54</v>
      </c>
      <c r="BR2" s="3" t="s">
        <v>128</v>
      </c>
      <c r="BS2" s="3" t="s">
        <v>55</v>
      </c>
      <c r="BT2" s="3" t="s">
        <v>25</v>
      </c>
      <c r="BU2" s="3" t="s">
        <v>68</v>
      </c>
      <c r="BV2" s="3" t="s">
        <v>93</v>
      </c>
      <c r="BW2" s="3" t="s">
        <v>17</v>
      </c>
      <c r="BX2" s="3" t="s">
        <v>128</v>
      </c>
      <c r="BY2" s="3" t="s">
        <v>56</v>
      </c>
      <c r="BZ2" s="3" t="s">
        <v>25</v>
      </c>
      <c r="CA2" s="3" t="s">
        <v>75</v>
      </c>
      <c r="CB2" s="3" t="s">
        <v>76</v>
      </c>
      <c r="CC2" s="3" t="s">
        <v>306</v>
      </c>
      <c r="CD2" s="3" t="s">
        <v>128</v>
      </c>
      <c r="CE2" s="3" t="s">
        <v>73</v>
      </c>
      <c r="CF2" s="3" t="s">
        <v>74</v>
      </c>
      <c r="CG2" s="3" t="s">
        <v>150</v>
      </c>
      <c r="CH2" s="3" t="s">
        <v>353</v>
      </c>
      <c r="CI2" s="3" t="s">
        <v>67</v>
      </c>
      <c r="CJ2" s="3" t="s">
        <v>93</v>
      </c>
      <c r="CK2" s="3" t="s">
        <v>69</v>
      </c>
      <c r="CL2" s="3" t="s">
        <v>417</v>
      </c>
      <c r="CM2" s="3" t="s">
        <v>307</v>
      </c>
      <c r="CN2" s="3" t="s">
        <v>25</v>
      </c>
      <c r="CO2" s="3" t="s">
        <v>18</v>
      </c>
      <c r="CP2" s="3" t="s">
        <v>128</v>
      </c>
      <c r="CQ2" s="3" t="s">
        <v>415</v>
      </c>
      <c r="CR2" s="3" t="s">
        <v>353</v>
      </c>
      <c r="CS2" s="3" t="s">
        <v>148</v>
      </c>
      <c r="CT2" s="3" t="s">
        <v>149</v>
      </c>
      <c r="CU2" s="3" t="s">
        <v>77</v>
      </c>
      <c r="CV2" s="3" t="s">
        <v>78</v>
      </c>
      <c r="CW2" s="3" t="s">
        <v>179</v>
      </c>
      <c r="CX2" s="3" t="s">
        <v>25</v>
      </c>
    </row>
  </sheetData>
  <phoneticPr fontId="6"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4"/>
  <sheetViews>
    <sheetView showGridLines="0" tabSelected="1" workbookViewId="0">
      <selection activeCell="Z1" sqref="Z1"/>
    </sheetView>
  </sheetViews>
  <sheetFormatPr defaultRowHeight="12.75" x14ac:dyDescent="0.2"/>
  <cols>
    <col min="1" max="1" width="25.83203125" style="987" customWidth="1"/>
    <col min="2" max="5" width="9.33203125" style="987"/>
    <col min="6" max="6" width="18.83203125" style="987" customWidth="1"/>
    <col min="7" max="256" width="9.33203125" style="987"/>
    <col min="257" max="257" width="117.5" style="987" customWidth="1"/>
    <col min="258" max="512" width="9.33203125" style="987"/>
    <col min="513" max="513" width="117.5" style="987" customWidth="1"/>
    <col min="514" max="768" width="9.33203125" style="987"/>
    <col min="769" max="769" width="117.5" style="987" customWidth="1"/>
    <col min="770" max="1024" width="9.33203125" style="987"/>
    <col min="1025" max="1025" width="117.5" style="987" customWidth="1"/>
    <col min="1026" max="1280" width="9.33203125" style="987"/>
    <col min="1281" max="1281" width="117.5" style="987" customWidth="1"/>
    <col min="1282" max="1536" width="9.33203125" style="987"/>
    <col min="1537" max="1537" width="117.5" style="987" customWidth="1"/>
    <col min="1538" max="1792" width="9.33203125" style="987"/>
    <col min="1793" max="1793" width="117.5" style="987" customWidth="1"/>
    <col min="1794" max="2048" width="9.33203125" style="987"/>
    <col min="2049" max="2049" width="117.5" style="987" customWidth="1"/>
    <col min="2050" max="2304" width="9.33203125" style="987"/>
    <col min="2305" max="2305" width="117.5" style="987" customWidth="1"/>
    <col min="2306" max="2560" width="9.33203125" style="987"/>
    <col min="2561" max="2561" width="117.5" style="987" customWidth="1"/>
    <col min="2562" max="2816" width="9.33203125" style="987"/>
    <col min="2817" max="2817" width="117.5" style="987" customWidth="1"/>
    <col min="2818" max="3072" width="9.33203125" style="987"/>
    <col min="3073" max="3073" width="117.5" style="987" customWidth="1"/>
    <col min="3074" max="3328" width="9.33203125" style="987"/>
    <col min="3329" max="3329" width="117.5" style="987" customWidth="1"/>
    <col min="3330" max="3584" width="9.33203125" style="987"/>
    <col min="3585" max="3585" width="117.5" style="987" customWidth="1"/>
    <col min="3586" max="3840" width="9.33203125" style="987"/>
    <col min="3841" max="3841" width="117.5" style="987" customWidth="1"/>
    <col min="3842" max="4096" width="9.33203125" style="987"/>
    <col min="4097" max="4097" width="117.5" style="987" customWidth="1"/>
    <col min="4098" max="4352" width="9.33203125" style="987"/>
    <col min="4353" max="4353" width="117.5" style="987" customWidth="1"/>
    <col min="4354" max="4608" width="9.33203125" style="987"/>
    <col min="4609" max="4609" width="117.5" style="987" customWidth="1"/>
    <col min="4610" max="4864" width="9.33203125" style="987"/>
    <col min="4865" max="4865" width="117.5" style="987" customWidth="1"/>
    <col min="4866" max="5120" width="9.33203125" style="987"/>
    <col min="5121" max="5121" width="117.5" style="987" customWidth="1"/>
    <col min="5122" max="5376" width="9.33203125" style="987"/>
    <col min="5377" max="5377" width="117.5" style="987" customWidth="1"/>
    <col min="5378" max="5632" width="9.33203125" style="987"/>
    <col min="5633" max="5633" width="117.5" style="987" customWidth="1"/>
    <col min="5634" max="5888" width="9.33203125" style="987"/>
    <col min="5889" max="5889" width="117.5" style="987" customWidth="1"/>
    <col min="5890" max="6144" width="9.33203125" style="987"/>
    <col min="6145" max="6145" width="117.5" style="987" customWidth="1"/>
    <col min="6146" max="6400" width="9.33203125" style="987"/>
    <col min="6401" max="6401" width="117.5" style="987" customWidth="1"/>
    <col min="6402" max="6656" width="9.33203125" style="987"/>
    <col min="6657" max="6657" width="117.5" style="987" customWidth="1"/>
    <col min="6658" max="6912" width="9.33203125" style="987"/>
    <col min="6913" max="6913" width="117.5" style="987" customWidth="1"/>
    <col min="6914" max="7168" width="9.33203125" style="987"/>
    <col min="7169" max="7169" width="117.5" style="987" customWidth="1"/>
    <col min="7170" max="7424" width="9.33203125" style="987"/>
    <col min="7425" max="7425" width="117.5" style="987" customWidth="1"/>
    <col min="7426" max="7680" width="9.33203125" style="987"/>
    <col min="7681" max="7681" width="117.5" style="987" customWidth="1"/>
    <col min="7682" max="7936" width="9.33203125" style="987"/>
    <col min="7937" max="7937" width="117.5" style="987" customWidth="1"/>
    <col min="7938" max="8192" width="9.33203125" style="987"/>
    <col min="8193" max="8193" width="117.5" style="987" customWidth="1"/>
    <col min="8194" max="8448" width="9.33203125" style="987"/>
    <col min="8449" max="8449" width="117.5" style="987" customWidth="1"/>
    <col min="8450" max="8704" width="9.33203125" style="987"/>
    <col min="8705" max="8705" width="117.5" style="987" customWidth="1"/>
    <col min="8706" max="8960" width="9.33203125" style="987"/>
    <col min="8961" max="8961" width="117.5" style="987" customWidth="1"/>
    <col min="8962" max="9216" width="9.33203125" style="987"/>
    <col min="9217" max="9217" width="117.5" style="987" customWidth="1"/>
    <col min="9218" max="9472" width="9.33203125" style="987"/>
    <col min="9473" max="9473" width="117.5" style="987" customWidth="1"/>
    <col min="9474" max="9728" width="9.33203125" style="987"/>
    <col min="9729" max="9729" width="117.5" style="987" customWidth="1"/>
    <col min="9730" max="9984" width="9.33203125" style="987"/>
    <col min="9985" max="9985" width="117.5" style="987" customWidth="1"/>
    <col min="9986" max="10240" width="9.33203125" style="987"/>
    <col min="10241" max="10241" width="117.5" style="987" customWidth="1"/>
    <col min="10242" max="10496" width="9.33203125" style="987"/>
    <col min="10497" max="10497" width="117.5" style="987" customWidth="1"/>
    <col min="10498" max="10752" width="9.33203125" style="987"/>
    <col min="10753" max="10753" width="117.5" style="987" customWidth="1"/>
    <col min="10754" max="11008" width="9.33203125" style="987"/>
    <col min="11009" max="11009" width="117.5" style="987" customWidth="1"/>
    <col min="11010" max="11264" width="9.33203125" style="987"/>
    <col min="11265" max="11265" width="117.5" style="987" customWidth="1"/>
    <col min="11266" max="11520" width="9.33203125" style="987"/>
    <col min="11521" max="11521" width="117.5" style="987" customWidth="1"/>
    <col min="11522" max="11776" width="9.33203125" style="987"/>
    <col min="11777" max="11777" width="117.5" style="987" customWidth="1"/>
    <col min="11778" max="12032" width="9.33203125" style="987"/>
    <col min="12033" max="12033" width="117.5" style="987" customWidth="1"/>
    <col min="12034" max="12288" width="9.33203125" style="987"/>
    <col min="12289" max="12289" width="117.5" style="987" customWidth="1"/>
    <col min="12290" max="12544" width="9.33203125" style="987"/>
    <col min="12545" max="12545" width="117.5" style="987" customWidth="1"/>
    <col min="12546" max="12800" width="9.33203125" style="987"/>
    <col min="12801" max="12801" width="117.5" style="987" customWidth="1"/>
    <col min="12802" max="13056" width="9.33203125" style="987"/>
    <col min="13057" max="13057" width="117.5" style="987" customWidth="1"/>
    <col min="13058" max="13312" width="9.33203125" style="987"/>
    <col min="13313" max="13313" width="117.5" style="987" customWidth="1"/>
    <col min="13314" max="13568" width="9.33203125" style="987"/>
    <col min="13569" max="13569" width="117.5" style="987" customWidth="1"/>
    <col min="13570" max="13824" width="9.33203125" style="987"/>
    <col min="13825" max="13825" width="117.5" style="987" customWidth="1"/>
    <col min="13826" max="14080" width="9.33203125" style="987"/>
    <col min="14081" max="14081" width="117.5" style="987" customWidth="1"/>
    <col min="14082" max="14336" width="9.33203125" style="987"/>
    <col min="14337" max="14337" width="117.5" style="987" customWidth="1"/>
    <col min="14338" max="14592" width="9.33203125" style="987"/>
    <col min="14593" max="14593" width="117.5" style="987" customWidth="1"/>
    <col min="14594" max="14848" width="9.33203125" style="987"/>
    <col min="14849" max="14849" width="117.5" style="987" customWidth="1"/>
    <col min="14850" max="15104" width="9.33203125" style="987"/>
    <col min="15105" max="15105" width="117.5" style="987" customWidth="1"/>
    <col min="15106" max="15360" width="9.33203125" style="987"/>
    <col min="15361" max="15361" width="117.5" style="987" customWidth="1"/>
    <col min="15362" max="15616" width="9.33203125" style="987"/>
    <col min="15617" max="15617" width="117.5" style="987" customWidth="1"/>
    <col min="15618" max="15872" width="9.33203125" style="987"/>
    <col min="15873" max="15873" width="117.5" style="987" customWidth="1"/>
    <col min="15874" max="16128" width="9.33203125" style="987"/>
    <col min="16129" max="16129" width="117.5" style="987" customWidth="1"/>
    <col min="16130" max="16384" width="9.33203125" style="987"/>
  </cols>
  <sheetData>
    <row r="1" spans="1:8" ht="30" customHeight="1" x14ac:dyDescent="0.2">
      <c r="A1" s="985"/>
      <c r="B1" s="986"/>
      <c r="C1" s="986"/>
      <c r="D1" s="986"/>
      <c r="E1" s="986"/>
      <c r="F1" s="986"/>
      <c r="G1" s="986"/>
      <c r="H1" s="986"/>
    </row>
    <row r="2" spans="1:8" ht="14.25" x14ac:dyDescent="0.2">
      <c r="A2" s="988" t="s">
        <v>598</v>
      </c>
      <c r="B2" s="986"/>
      <c r="C2" s="986"/>
      <c r="D2" s="986"/>
      <c r="E2" s="986"/>
      <c r="F2" s="986"/>
      <c r="G2" s="986"/>
      <c r="H2" s="986"/>
    </row>
    <row r="3" spans="1:8" ht="14.25" x14ac:dyDescent="0.2">
      <c r="A3" s="988" t="s">
        <v>599</v>
      </c>
      <c r="B3" s="986"/>
      <c r="C3" s="986"/>
      <c r="D3" s="986"/>
      <c r="E3" s="986"/>
      <c r="F3" s="986"/>
      <c r="G3" s="986"/>
      <c r="H3" s="986"/>
    </row>
    <row r="4" spans="1:8" ht="14.25" x14ac:dyDescent="0.2">
      <c r="A4" s="988" t="s">
        <v>600</v>
      </c>
      <c r="B4" s="986"/>
      <c r="C4" s="986"/>
      <c r="D4" s="986"/>
      <c r="E4" s="986"/>
      <c r="F4" s="986"/>
      <c r="G4" s="986"/>
      <c r="H4" s="986"/>
    </row>
    <row r="5" spans="1:8" ht="14.25" x14ac:dyDescent="0.2">
      <c r="A5" s="988" t="s">
        <v>601</v>
      </c>
      <c r="B5" s="986"/>
      <c r="C5" s="986"/>
      <c r="D5" s="986"/>
      <c r="E5" s="986"/>
      <c r="F5" s="986"/>
      <c r="G5" s="986"/>
      <c r="H5" s="986"/>
    </row>
    <row r="6" spans="1:8" ht="14.25" x14ac:dyDescent="0.2">
      <c r="A6" s="988"/>
      <c r="B6" s="986"/>
      <c r="C6" s="986"/>
      <c r="D6" s="986"/>
      <c r="E6" s="986"/>
      <c r="F6" s="986"/>
      <c r="G6" s="986"/>
      <c r="H6" s="986"/>
    </row>
    <row r="7" spans="1:8" x14ac:dyDescent="0.2">
      <c r="A7" s="985" t="s">
        <v>602</v>
      </c>
      <c r="B7" s="986"/>
      <c r="C7" s="986"/>
      <c r="D7" s="986"/>
      <c r="E7" s="986"/>
      <c r="F7" s="986"/>
      <c r="G7" s="986"/>
      <c r="H7" s="986"/>
    </row>
    <row r="8" spans="1:8" x14ac:dyDescent="0.2">
      <c r="A8" s="985" t="s">
        <v>603</v>
      </c>
      <c r="B8" s="986"/>
      <c r="C8" s="986"/>
      <c r="D8" s="986"/>
      <c r="E8" s="986"/>
      <c r="F8" s="986"/>
      <c r="G8" s="986"/>
      <c r="H8" s="986"/>
    </row>
    <row r="9" spans="1:8" x14ac:dyDescent="0.2">
      <c r="A9" s="985"/>
      <c r="B9" s="986"/>
      <c r="C9" s="986"/>
      <c r="D9" s="986"/>
      <c r="E9" s="986"/>
      <c r="F9" s="986"/>
      <c r="G9" s="986"/>
      <c r="H9" s="986"/>
    </row>
    <row r="10" spans="1:8" x14ac:dyDescent="0.2">
      <c r="A10" s="989" t="s">
        <v>604</v>
      </c>
      <c r="B10" s="986"/>
      <c r="C10" s="986"/>
      <c r="D10" s="986"/>
      <c r="E10" s="986"/>
      <c r="F10" s="986"/>
      <c r="G10" s="986"/>
      <c r="H10" s="986"/>
    </row>
    <row r="11" spans="1:8" x14ac:dyDescent="0.2">
      <c r="A11" s="989" t="s">
        <v>605</v>
      </c>
      <c r="B11" s="986"/>
      <c r="C11" s="986"/>
      <c r="D11" s="986"/>
      <c r="E11" s="986"/>
      <c r="F11" s="986"/>
      <c r="G11" s="986"/>
      <c r="H11" s="986"/>
    </row>
    <row r="12" spans="1:8" x14ac:dyDescent="0.2">
      <c r="A12" s="989" t="s">
        <v>606</v>
      </c>
      <c r="B12" s="986"/>
      <c r="C12" s="986"/>
      <c r="D12" s="986"/>
      <c r="E12" s="986"/>
      <c r="F12" s="986"/>
      <c r="G12" s="986"/>
      <c r="H12" s="986"/>
    </row>
    <row r="13" spans="1:8" x14ac:dyDescent="0.2">
      <c r="A13" s="989" t="s">
        <v>607</v>
      </c>
      <c r="B13" s="986"/>
      <c r="C13" s="986"/>
      <c r="D13" s="986"/>
      <c r="E13" s="986"/>
      <c r="F13" s="986"/>
      <c r="G13" s="986"/>
      <c r="H13" s="986"/>
    </row>
    <row r="14" spans="1:8" x14ac:dyDescent="0.2">
      <c r="A14" s="989" t="s">
        <v>608</v>
      </c>
      <c r="B14" s="986"/>
      <c r="C14" s="986"/>
      <c r="D14" s="986"/>
      <c r="E14" s="986"/>
      <c r="F14" s="986"/>
      <c r="G14" s="986"/>
      <c r="H14" s="986"/>
    </row>
    <row r="15" spans="1:8" x14ac:dyDescent="0.2">
      <c r="A15" s="989" t="s">
        <v>609</v>
      </c>
      <c r="B15" s="986"/>
      <c r="C15" s="986"/>
      <c r="D15" s="986"/>
      <c r="E15" s="986"/>
      <c r="F15" s="986"/>
      <c r="G15" s="986"/>
      <c r="H15" s="986"/>
    </row>
    <row r="16" spans="1:8" x14ac:dyDescent="0.2">
      <c r="A16" s="989"/>
      <c r="B16" s="986"/>
      <c r="C16" s="986"/>
      <c r="D16" s="986"/>
      <c r="E16" s="986"/>
      <c r="F16" s="986"/>
      <c r="G16" s="986"/>
      <c r="H16" s="986"/>
    </row>
    <row r="17" spans="1:8" x14ac:dyDescent="0.2">
      <c r="A17" s="989" t="s">
        <v>595</v>
      </c>
      <c r="B17" s="986"/>
      <c r="C17" s="986"/>
      <c r="D17" s="986"/>
      <c r="E17" s="986"/>
      <c r="F17" s="986"/>
      <c r="G17" s="986"/>
      <c r="H17" s="986"/>
    </row>
    <row r="18" spans="1:8" x14ac:dyDescent="0.2">
      <c r="A18" s="989"/>
      <c r="B18" s="986"/>
      <c r="C18" s="986"/>
      <c r="D18" s="986"/>
      <c r="E18" s="986"/>
      <c r="F18" s="986"/>
      <c r="G18" s="986"/>
      <c r="H18" s="986"/>
    </row>
    <row r="19" spans="1:8" x14ac:dyDescent="0.2">
      <c r="A19" s="989" t="s">
        <v>596</v>
      </c>
      <c r="B19" s="986"/>
      <c r="C19" s="986"/>
      <c r="D19" s="986"/>
      <c r="E19" s="986"/>
      <c r="F19" s="986"/>
      <c r="G19" s="986"/>
      <c r="H19" s="986"/>
    </row>
    <row r="20" spans="1:8" x14ac:dyDescent="0.2">
      <c r="A20" s="985"/>
      <c r="B20" s="986"/>
      <c r="C20" s="986"/>
      <c r="D20" s="986"/>
      <c r="E20" s="986"/>
      <c r="F20" s="986"/>
      <c r="G20" s="986"/>
      <c r="H20" s="986"/>
    </row>
    <row r="21" spans="1:8" x14ac:dyDescent="0.2">
      <c r="A21" s="990" t="s">
        <v>597</v>
      </c>
      <c r="B21" s="986"/>
      <c r="C21" s="986"/>
      <c r="D21" s="986"/>
      <c r="E21" s="986"/>
      <c r="F21" s="986"/>
      <c r="G21" s="986"/>
      <c r="H21" s="986"/>
    </row>
    <row r="22" spans="1:8" x14ac:dyDescent="0.2">
      <c r="A22" s="991"/>
      <c r="B22" s="991"/>
      <c r="C22" s="991"/>
      <c r="D22" s="991"/>
      <c r="E22" s="991"/>
      <c r="F22" s="991"/>
      <c r="G22" s="991"/>
      <c r="H22" s="991"/>
    </row>
    <row r="23" spans="1:8" x14ac:dyDescent="0.2">
      <c r="A23" s="992" t="s">
        <v>890</v>
      </c>
      <c r="B23" s="991"/>
      <c r="C23" s="991"/>
      <c r="D23" s="991"/>
      <c r="E23" s="991"/>
      <c r="F23" s="991"/>
      <c r="G23" s="991"/>
      <c r="H23" s="991"/>
    </row>
    <row r="24" spans="1:8" x14ac:dyDescent="0.2">
      <c r="A24" s="992" t="s">
        <v>891</v>
      </c>
      <c r="B24" s="991"/>
      <c r="C24" s="991"/>
      <c r="D24" s="991"/>
      <c r="E24" s="991"/>
      <c r="F24" s="991"/>
      <c r="G24" s="991"/>
      <c r="H24" s="991"/>
    </row>
    <row r="25" spans="1:8" x14ac:dyDescent="0.2">
      <c r="A25" s="992" t="s">
        <v>892</v>
      </c>
      <c r="B25" s="991"/>
      <c r="C25" s="991"/>
      <c r="D25" s="991"/>
      <c r="E25" s="991"/>
      <c r="F25" s="991"/>
      <c r="G25" s="991"/>
      <c r="H25" s="991"/>
    </row>
    <row r="26" spans="1:8" x14ac:dyDescent="0.2">
      <c r="A26" s="992" t="s">
        <v>893</v>
      </c>
      <c r="B26" s="991"/>
      <c r="C26" s="991"/>
      <c r="D26" s="991"/>
      <c r="E26" s="991"/>
      <c r="F26" s="991"/>
      <c r="G26" s="991"/>
      <c r="H26" s="991"/>
    </row>
    <row r="27" spans="1:8" x14ac:dyDescent="0.2">
      <c r="A27" s="991"/>
      <c r="B27" s="991"/>
      <c r="C27" s="991"/>
      <c r="D27" s="991"/>
      <c r="E27" s="991"/>
      <c r="F27" s="991"/>
      <c r="G27" s="991"/>
      <c r="H27" s="991"/>
    </row>
    <row r="28" spans="1:8" x14ac:dyDescent="0.2">
      <c r="A28" s="991"/>
      <c r="B28" s="991"/>
      <c r="C28" s="991"/>
      <c r="D28" s="991"/>
      <c r="E28" s="991"/>
      <c r="F28" s="991"/>
      <c r="G28" s="991"/>
      <c r="H28" s="991"/>
    </row>
    <row r="29" spans="1:8" x14ac:dyDescent="0.2">
      <c r="A29" s="992" t="s">
        <v>885</v>
      </c>
      <c r="B29" s="991"/>
      <c r="C29" s="991"/>
      <c r="D29" s="991"/>
      <c r="E29" s="991"/>
      <c r="F29" s="991"/>
      <c r="G29" s="991"/>
      <c r="H29" s="991"/>
    </row>
    <row r="30" spans="1:8" x14ac:dyDescent="0.2">
      <c r="A30" s="992" t="s">
        <v>886</v>
      </c>
      <c r="B30" s="991"/>
      <c r="C30" s="991"/>
      <c r="D30" s="991"/>
      <c r="E30" s="991"/>
      <c r="F30" s="991"/>
      <c r="G30" s="991"/>
      <c r="H30" s="991"/>
    </row>
    <row r="31" spans="1:8" x14ac:dyDescent="0.2">
      <c r="A31" s="992" t="s">
        <v>887</v>
      </c>
      <c r="B31" s="991"/>
      <c r="C31" s="991"/>
      <c r="D31" s="991"/>
      <c r="E31" s="991"/>
      <c r="F31" s="991"/>
      <c r="G31" s="991"/>
      <c r="H31" s="991"/>
    </row>
    <row r="32" spans="1:8" x14ac:dyDescent="0.2">
      <c r="A32" s="992" t="s">
        <v>888</v>
      </c>
      <c r="B32" s="991"/>
      <c r="C32" s="991"/>
      <c r="D32" s="991"/>
      <c r="E32" s="991"/>
      <c r="F32" s="991"/>
      <c r="G32" s="991"/>
      <c r="H32" s="991"/>
    </row>
    <row r="33" spans="1:8" x14ac:dyDescent="0.2">
      <c r="A33" s="992" t="s">
        <v>889</v>
      </c>
      <c r="B33" s="991"/>
      <c r="C33" s="991"/>
      <c r="D33" s="991"/>
      <c r="E33" s="991"/>
      <c r="F33" s="991"/>
      <c r="G33" s="991"/>
      <c r="H33" s="991"/>
    </row>
    <row r="34" spans="1:8" x14ac:dyDescent="0.2">
      <c r="A34" s="991"/>
      <c r="B34" s="991"/>
      <c r="C34" s="991"/>
      <c r="D34" s="991"/>
      <c r="E34" s="991"/>
      <c r="F34" s="991"/>
      <c r="G34" s="991"/>
      <c r="H34" s="991"/>
    </row>
    <row r="35" spans="1:8" x14ac:dyDescent="0.2">
      <c r="A35" s="992" t="s">
        <v>881</v>
      </c>
      <c r="B35" s="991"/>
      <c r="C35" s="991"/>
      <c r="D35" s="991"/>
      <c r="E35" s="991"/>
      <c r="F35" s="991"/>
      <c r="G35" s="991"/>
      <c r="H35" s="991"/>
    </row>
    <row r="36" spans="1:8" x14ac:dyDescent="0.2">
      <c r="A36" s="992" t="s">
        <v>882</v>
      </c>
      <c r="B36" s="991"/>
      <c r="C36" s="991"/>
      <c r="D36" s="991"/>
      <c r="E36" s="991"/>
      <c r="F36" s="991"/>
      <c r="G36" s="991"/>
      <c r="H36" s="991"/>
    </row>
    <row r="37" spans="1:8" x14ac:dyDescent="0.2">
      <c r="A37" s="992" t="s">
        <v>883</v>
      </c>
      <c r="B37" s="991"/>
      <c r="C37" s="991"/>
      <c r="D37" s="991"/>
      <c r="E37" s="991"/>
      <c r="F37" s="991"/>
      <c r="G37" s="991"/>
      <c r="H37" s="991"/>
    </row>
    <row r="38" spans="1:8" x14ac:dyDescent="0.2">
      <c r="A38" s="992" t="s">
        <v>884</v>
      </c>
      <c r="B38" s="991"/>
      <c r="C38" s="991"/>
      <c r="D38" s="991"/>
      <c r="E38" s="991"/>
      <c r="F38" s="991"/>
      <c r="G38" s="991"/>
      <c r="H38" s="991"/>
    </row>
    <row r="39" spans="1:8" x14ac:dyDescent="0.2">
      <c r="A39" s="991"/>
      <c r="B39" s="991"/>
      <c r="C39" s="991"/>
      <c r="D39" s="991"/>
      <c r="E39" s="991"/>
      <c r="F39" s="991"/>
      <c r="G39" s="991"/>
      <c r="H39" s="991"/>
    </row>
    <row r="40" spans="1:8" x14ac:dyDescent="0.2">
      <c r="A40" s="992" t="s">
        <v>875</v>
      </c>
      <c r="B40" s="991"/>
      <c r="C40" s="991"/>
      <c r="D40" s="991"/>
      <c r="E40" s="991"/>
      <c r="F40" s="991"/>
      <c r="G40" s="991"/>
      <c r="H40" s="991"/>
    </row>
    <row r="41" spans="1:8" x14ac:dyDescent="0.2">
      <c r="A41" s="992" t="s">
        <v>876</v>
      </c>
      <c r="B41" s="991"/>
      <c r="C41" s="991"/>
      <c r="D41" s="991"/>
      <c r="E41" s="991"/>
      <c r="F41" s="991"/>
      <c r="G41" s="991"/>
      <c r="H41" s="991"/>
    </row>
    <row r="42" spans="1:8" x14ac:dyDescent="0.2">
      <c r="A42" s="992" t="s">
        <v>877</v>
      </c>
      <c r="B42" s="991"/>
      <c r="C42" s="991"/>
      <c r="D42" s="991"/>
      <c r="E42" s="991"/>
      <c r="F42" s="991"/>
      <c r="G42" s="991"/>
      <c r="H42" s="991"/>
    </row>
    <row r="43" spans="1:8" x14ac:dyDescent="0.2">
      <c r="A43" s="992" t="s">
        <v>878</v>
      </c>
      <c r="B43" s="991"/>
      <c r="C43" s="991"/>
      <c r="D43" s="991"/>
      <c r="E43" s="991"/>
      <c r="F43" s="991"/>
      <c r="G43" s="991"/>
      <c r="H43" s="991"/>
    </row>
    <row r="44" spans="1:8" x14ac:dyDescent="0.2">
      <c r="A44" s="992" t="s">
        <v>879</v>
      </c>
      <c r="B44" s="991"/>
      <c r="C44" s="991"/>
      <c r="D44" s="991"/>
      <c r="E44" s="991"/>
      <c r="F44" s="991"/>
      <c r="G44" s="991"/>
      <c r="H44" s="991"/>
    </row>
    <row r="45" spans="1:8" x14ac:dyDescent="0.2">
      <c r="A45" s="992" t="s">
        <v>880</v>
      </c>
      <c r="B45" s="991"/>
      <c r="C45" s="991"/>
      <c r="D45" s="991"/>
      <c r="E45" s="991"/>
      <c r="F45" s="991"/>
      <c r="G45" s="991"/>
      <c r="H45" s="991"/>
    </row>
    <row r="46" spans="1:8" x14ac:dyDescent="0.2">
      <c r="A46" s="991"/>
      <c r="B46" s="991"/>
      <c r="C46" s="991"/>
      <c r="D46" s="991"/>
      <c r="E46" s="991"/>
      <c r="F46" s="991"/>
      <c r="G46" s="991"/>
      <c r="H46" s="991"/>
    </row>
    <row r="47" spans="1:8" ht="15.75" x14ac:dyDescent="0.2">
      <c r="A47" s="993" t="s">
        <v>610</v>
      </c>
      <c r="B47" s="991"/>
      <c r="C47" s="991"/>
      <c r="D47" s="991"/>
      <c r="E47" s="991"/>
      <c r="F47" s="991"/>
      <c r="G47" s="991"/>
      <c r="H47" s="991"/>
    </row>
    <row r="48" spans="1:8" x14ac:dyDescent="0.2">
      <c r="A48" s="991"/>
      <c r="B48" s="991"/>
      <c r="C48" s="991"/>
      <c r="D48" s="991"/>
      <c r="E48" s="991"/>
      <c r="F48" s="991"/>
      <c r="G48" s="991"/>
      <c r="H48" s="991"/>
    </row>
    <row r="49" spans="1:8" x14ac:dyDescent="0.2">
      <c r="A49" s="992" t="s">
        <v>871</v>
      </c>
      <c r="B49" s="991"/>
      <c r="C49" s="991"/>
      <c r="D49" s="991"/>
      <c r="E49" s="991"/>
      <c r="F49" s="991"/>
      <c r="G49" s="991"/>
      <c r="H49" s="991"/>
    </row>
    <row r="50" spans="1:8" x14ac:dyDescent="0.2">
      <c r="A50" s="992" t="s">
        <v>872</v>
      </c>
      <c r="B50" s="991"/>
      <c r="C50" s="991"/>
      <c r="D50" s="991"/>
      <c r="E50" s="991"/>
      <c r="F50" s="991"/>
      <c r="G50" s="991"/>
      <c r="H50" s="991"/>
    </row>
    <row r="51" spans="1:8" x14ac:dyDescent="0.2">
      <c r="A51" s="992" t="s">
        <v>873</v>
      </c>
      <c r="B51" s="991"/>
      <c r="C51" s="991"/>
      <c r="D51" s="991"/>
      <c r="E51" s="991"/>
      <c r="F51" s="991"/>
      <c r="G51" s="991"/>
      <c r="H51" s="991"/>
    </row>
    <row r="52" spans="1:8" x14ac:dyDescent="0.2">
      <c r="A52" s="992" t="s">
        <v>874</v>
      </c>
      <c r="B52" s="991"/>
      <c r="C52" s="991"/>
      <c r="D52" s="991"/>
      <c r="E52" s="991"/>
      <c r="F52" s="991"/>
      <c r="G52" s="991"/>
      <c r="H52" s="991"/>
    </row>
    <row r="53" spans="1:8" x14ac:dyDescent="0.2">
      <c r="A53" s="991"/>
      <c r="B53" s="991"/>
      <c r="C53" s="991"/>
      <c r="D53" s="991"/>
      <c r="E53" s="991"/>
      <c r="F53" s="991"/>
      <c r="G53" s="991"/>
      <c r="H53" s="991"/>
    </row>
    <row r="54" spans="1:8" x14ac:dyDescent="0.2">
      <c r="A54" s="992" t="s">
        <v>611</v>
      </c>
      <c r="B54" s="991"/>
      <c r="C54" s="991"/>
      <c r="D54" s="991"/>
      <c r="E54" s="991"/>
      <c r="F54" s="991"/>
      <c r="G54" s="991"/>
      <c r="H54" s="991"/>
    </row>
    <row r="55" spans="1:8" x14ac:dyDescent="0.2">
      <c r="A55" s="991"/>
      <c r="B55" s="991"/>
      <c r="C55" s="991"/>
      <c r="D55" s="991"/>
      <c r="E55" s="991"/>
      <c r="F55" s="991"/>
      <c r="G55" s="991"/>
      <c r="H55" s="991"/>
    </row>
    <row r="56" spans="1:8" ht="15.75" x14ac:dyDescent="0.2">
      <c r="A56" s="993" t="s">
        <v>612</v>
      </c>
      <c r="B56" s="991"/>
      <c r="C56" s="991"/>
      <c r="D56" s="991"/>
      <c r="E56" s="991"/>
      <c r="F56" s="991"/>
      <c r="G56" s="991"/>
      <c r="H56" s="991"/>
    </row>
    <row r="57" spans="1:8" x14ac:dyDescent="0.2">
      <c r="A57" s="991"/>
      <c r="B57" s="991"/>
      <c r="C57" s="991"/>
      <c r="D57" s="991"/>
      <c r="E57" s="991"/>
      <c r="F57" s="991"/>
      <c r="G57" s="991"/>
      <c r="H57" s="991"/>
    </row>
    <row r="58" spans="1:8" x14ac:dyDescent="0.2">
      <c r="A58" s="992" t="s">
        <v>869</v>
      </c>
      <c r="B58" s="991"/>
      <c r="C58" s="991"/>
      <c r="D58" s="991"/>
      <c r="E58" s="991"/>
      <c r="F58" s="991"/>
      <c r="G58" s="991"/>
      <c r="H58" s="991"/>
    </row>
    <row r="59" spans="1:8" x14ac:dyDescent="0.2">
      <c r="A59" s="992" t="s">
        <v>870</v>
      </c>
      <c r="B59" s="991"/>
      <c r="C59" s="991"/>
      <c r="D59" s="991"/>
      <c r="E59" s="991"/>
      <c r="F59" s="991"/>
      <c r="G59" s="991"/>
      <c r="H59" s="991"/>
    </row>
    <row r="60" spans="1:8" x14ac:dyDescent="0.2">
      <c r="A60" s="991"/>
      <c r="B60" s="991"/>
      <c r="C60" s="991"/>
      <c r="D60" s="991"/>
      <c r="E60" s="991"/>
      <c r="F60" s="991"/>
      <c r="G60" s="991"/>
      <c r="H60" s="991"/>
    </row>
    <row r="61" spans="1:8" ht="15.75" x14ac:dyDescent="0.2">
      <c r="A61" s="993" t="s">
        <v>613</v>
      </c>
      <c r="B61" s="991"/>
      <c r="C61" s="991"/>
      <c r="D61" s="991"/>
      <c r="E61" s="991"/>
      <c r="F61" s="991"/>
      <c r="G61" s="991"/>
      <c r="H61" s="991"/>
    </row>
    <row r="62" spans="1:8" x14ac:dyDescent="0.2">
      <c r="A62" s="991"/>
      <c r="B62" s="991"/>
      <c r="C62" s="991"/>
      <c r="D62" s="991"/>
      <c r="E62" s="991"/>
      <c r="F62" s="991"/>
      <c r="G62" s="991"/>
      <c r="H62" s="991"/>
    </row>
    <row r="63" spans="1:8" x14ac:dyDescent="0.2">
      <c r="A63" s="992" t="s">
        <v>867</v>
      </c>
      <c r="B63" s="991"/>
      <c r="C63" s="991"/>
      <c r="D63" s="991"/>
      <c r="E63" s="991"/>
      <c r="F63" s="991"/>
      <c r="G63" s="991"/>
      <c r="H63" s="991"/>
    </row>
    <row r="64" spans="1:8" x14ac:dyDescent="0.2">
      <c r="A64" s="992" t="s">
        <v>868</v>
      </c>
      <c r="B64" s="991"/>
      <c r="C64" s="991"/>
      <c r="D64" s="991"/>
      <c r="E64" s="991"/>
      <c r="F64" s="991"/>
      <c r="G64" s="991"/>
      <c r="H64" s="991"/>
    </row>
    <row r="65" spans="1:8" x14ac:dyDescent="0.2">
      <c r="A65" s="991"/>
      <c r="B65" s="991"/>
      <c r="C65" s="991"/>
      <c r="D65" s="991"/>
      <c r="E65" s="991"/>
      <c r="F65" s="991"/>
      <c r="G65" s="991"/>
      <c r="H65" s="991"/>
    </row>
    <row r="66" spans="1:8" x14ac:dyDescent="0.2">
      <c r="A66" s="992" t="s">
        <v>865</v>
      </c>
      <c r="B66" s="991"/>
      <c r="C66" s="991"/>
      <c r="D66" s="991"/>
      <c r="E66" s="991"/>
      <c r="F66" s="991"/>
      <c r="G66" s="991"/>
      <c r="H66" s="991"/>
    </row>
    <row r="67" spans="1:8" x14ac:dyDescent="0.2">
      <c r="A67" s="992" t="s">
        <v>866</v>
      </c>
      <c r="B67" s="991"/>
      <c r="C67" s="991"/>
      <c r="D67" s="991"/>
      <c r="E67" s="991"/>
      <c r="F67" s="991"/>
      <c r="G67" s="991"/>
      <c r="H67" s="991"/>
    </row>
    <row r="68" spans="1:8" x14ac:dyDescent="0.2">
      <c r="A68" s="991"/>
      <c r="B68" s="991"/>
      <c r="C68" s="991"/>
      <c r="D68" s="991"/>
      <c r="E68" s="991"/>
      <c r="F68" s="991"/>
      <c r="G68" s="991"/>
      <c r="H68" s="991"/>
    </row>
    <row r="69" spans="1:8" x14ac:dyDescent="0.2">
      <c r="A69" s="992" t="s">
        <v>863</v>
      </c>
      <c r="B69" s="991"/>
      <c r="C69" s="991"/>
      <c r="D69" s="991"/>
      <c r="E69" s="991"/>
      <c r="F69" s="991"/>
      <c r="G69" s="991"/>
      <c r="H69" s="991"/>
    </row>
    <row r="70" spans="1:8" x14ac:dyDescent="0.2">
      <c r="A70" s="992" t="s">
        <v>864</v>
      </c>
      <c r="B70" s="991"/>
      <c r="C70" s="991"/>
      <c r="D70" s="991"/>
      <c r="E70" s="991"/>
      <c r="F70" s="991"/>
      <c r="G70" s="991"/>
      <c r="H70" s="991"/>
    </row>
    <row r="71" spans="1:8" x14ac:dyDescent="0.2">
      <c r="A71" s="991"/>
      <c r="B71" s="991"/>
      <c r="C71" s="991"/>
      <c r="D71" s="991"/>
      <c r="E71" s="991"/>
      <c r="F71" s="991"/>
      <c r="G71" s="991"/>
      <c r="H71" s="991"/>
    </row>
    <row r="72" spans="1:8" x14ac:dyDescent="0.2">
      <c r="A72" s="992" t="s">
        <v>861</v>
      </c>
      <c r="B72" s="991"/>
      <c r="C72" s="991"/>
      <c r="D72" s="991"/>
      <c r="E72" s="991"/>
      <c r="F72" s="991"/>
      <c r="G72" s="991"/>
      <c r="H72" s="991"/>
    </row>
    <row r="73" spans="1:8" x14ac:dyDescent="0.2">
      <c r="A73" s="992" t="s">
        <v>862</v>
      </c>
      <c r="B73" s="991"/>
      <c r="C73" s="991"/>
      <c r="D73" s="991"/>
      <c r="E73" s="991"/>
      <c r="F73" s="991"/>
      <c r="G73" s="991"/>
      <c r="H73" s="991"/>
    </row>
    <row r="74" spans="1:8" x14ac:dyDescent="0.2">
      <c r="A74" s="991"/>
      <c r="B74" s="991"/>
      <c r="C74" s="991"/>
      <c r="D74" s="991"/>
      <c r="E74" s="991"/>
      <c r="F74" s="991"/>
      <c r="G74" s="991"/>
      <c r="H74" s="991"/>
    </row>
    <row r="75" spans="1:8" x14ac:dyDescent="0.2">
      <c r="A75" s="992" t="s">
        <v>858</v>
      </c>
      <c r="B75" s="991"/>
      <c r="C75" s="991"/>
      <c r="D75" s="991"/>
      <c r="E75" s="991"/>
      <c r="F75" s="991"/>
      <c r="G75" s="991"/>
      <c r="H75" s="991"/>
    </row>
    <row r="76" spans="1:8" x14ac:dyDescent="0.2">
      <c r="A76" s="992" t="s">
        <v>859</v>
      </c>
      <c r="B76" s="991"/>
      <c r="C76" s="991"/>
      <c r="D76" s="991"/>
      <c r="E76" s="991"/>
      <c r="F76" s="991"/>
      <c r="G76" s="991"/>
      <c r="H76" s="991"/>
    </row>
    <row r="77" spans="1:8" x14ac:dyDescent="0.2">
      <c r="A77" s="992" t="s">
        <v>860</v>
      </c>
      <c r="B77" s="991"/>
      <c r="C77" s="991"/>
      <c r="D77" s="991"/>
      <c r="E77" s="991"/>
      <c r="F77" s="991"/>
      <c r="G77" s="991"/>
      <c r="H77" s="991"/>
    </row>
    <row r="78" spans="1:8" x14ac:dyDescent="0.2">
      <c r="A78" s="991"/>
      <c r="B78" s="991"/>
      <c r="C78" s="991"/>
      <c r="D78" s="991"/>
      <c r="E78" s="991"/>
      <c r="F78" s="991"/>
      <c r="G78" s="991"/>
      <c r="H78" s="991"/>
    </row>
    <row r="79" spans="1:8" x14ac:dyDescent="0.2">
      <c r="A79" s="992" t="s">
        <v>614</v>
      </c>
      <c r="B79" s="991"/>
      <c r="C79" s="991"/>
      <c r="D79" s="991"/>
      <c r="E79" s="991"/>
      <c r="F79" s="991"/>
      <c r="G79" s="991"/>
      <c r="H79" s="991"/>
    </row>
    <row r="80" spans="1:8" x14ac:dyDescent="0.2">
      <c r="A80" s="991"/>
      <c r="B80" s="991"/>
      <c r="C80" s="991"/>
      <c r="D80" s="991"/>
      <c r="E80" s="991"/>
      <c r="F80" s="991"/>
      <c r="G80" s="991"/>
      <c r="H80" s="991"/>
    </row>
    <row r="81" spans="1:8" x14ac:dyDescent="0.2">
      <c r="A81" s="992" t="s">
        <v>853</v>
      </c>
      <c r="B81" s="991"/>
      <c r="C81" s="991"/>
      <c r="D81" s="991"/>
      <c r="E81" s="991"/>
      <c r="F81" s="991"/>
      <c r="G81" s="991"/>
      <c r="H81" s="991"/>
    </row>
    <row r="82" spans="1:8" x14ac:dyDescent="0.2">
      <c r="A82" s="992" t="s">
        <v>854</v>
      </c>
      <c r="B82" s="991"/>
      <c r="C82" s="991"/>
      <c r="D82" s="991"/>
      <c r="E82" s="991"/>
      <c r="F82" s="991"/>
      <c r="G82" s="991"/>
      <c r="H82" s="991"/>
    </row>
    <row r="83" spans="1:8" x14ac:dyDescent="0.2">
      <c r="A83" s="992" t="s">
        <v>855</v>
      </c>
      <c r="B83" s="991"/>
      <c r="C83" s="991"/>
      <c r="D83" s="991"/>
      <c r="E83" s="991"/>
      <c r="F83" s="991"/>
      <c r="G83" s="991"/>
      <c r="H83" s="991"/>
    </row>
    <row r="84" spans="1:8" x14ac:dyDescent="0.2">
      <c r="A84" s="992" t="s">
        <v>856</v>
      </c>
      <c r="B84" s="991"/>
      <c r="C84" s="991"/>
      <c r="D84" s="991"/>
      <c r="E84" s="991"/>
      <c r="F84" s="991"/>
      <c r="G84" s="991"/>
      <c r="H84" s="991"/>
    </row>
    <row r="85" spans="1:8" x14ac:dyDescent="0.2">
      <c r="A85" s="992" t="s">
        <v>857</v>
      </c>
      <c r="B85" s="991"/>
      <c r="C85" s="991"/>
      <c r="D85" s="991"/>
      <c r="E85" s="991"/>
      <c r="F85" s="991"/>
      <c r="G85" s="991"/>
      <c r="H85" s="991"/>
    </row>
    <row r="86" spans="1:8" x14ac:dyDescent="0.2">
      <c r="A86" s="992" t="s">
        <v>740</v>
      </c>
      <c r="B86" s="991"/>
      <c r="C86" s="991"/>
      <c r="D86" s="991"/>
      <c r="E86" s="991"/>
      <c r="F86" s="991"/>
      <c r="G86" s="991"/>
      <c r="H86" s="991"/>
    </row>
    <row r="87" spans="1:8" x14ac:dyDescent="0.2">
      <c r="A87" s="991"/>
      <c r="B87" s="991"/>
      <c r="C87" s="991"/>
      <c r="D87" s="991"/>
      <c r="E87" s="991"/>
      <c r="F87" s="991"/>
      <c r="G87" s="991"/>
      <c r="H87" s="991"/>
    </row>
    <row r="88" spans="1:8" x14ac:dyDescent="0.2">
      <c r="A88" s="992" t="s">
        <v>846</v>
      </c>
      <c r="B88" s="991"/>
      <c r="C88" s="991"/>
      <c r="D88" s="991"/>
      <c r="E88" s="991"/>
      <c r="F88" s="991"/>
      <c r="G88" s="991"/>
      <c r="H88" s="991"/>
    </row>
    <row r="89" spans="1:8" x14ac:dyDescent="0.2">
      <c r="A89" s="992" t="s">
        <v>847</v>
      </c>
      <c r="B89" s="991"/>
      <c r="C89" s="991"/>
      <c r="D89" s="991"/>
      <c r="E89" s="991"/>
      <c r="F89" s="991"/>
      <c r="G89" s="991"/>
      <c r="H89" s="991"/>
    </row>
    <row r="90" spans="1:8" x14ac:dyDescent="0.2">
      <c r="A90" s="992" t="s">
        <v>848</v>
      </c>
      <c r="B90" s="991"/>
      <c r="C90" s="991"/>
      <c r="D90" s="991"/>
      <c r="E90" s="991"/>
      <c r="F90" s="991"/>
      <c r="G90" s="991"/>
      <c r="H90" s="991"/>
    </row>
    <row r="91" spans="1:8" x14ac:dyDescent="0.2">
      <c r="A91" s="992" t="s">
        <v>849</v>
      </c>
      <c r="B91" s="991"/>
      <c r="C91" s="991"/>
      <c r="D91" s="991"/>
      <c r="E91" s="991"/>
      <c r="F91" s="991"/>
      <c r="G91" s="991"/>
      <c r="H91" s="991"/>
    </row>
    <row r="92" spans="1:8" x14ac:dyDescent="0.2">
      <c r="A92" s="992" t="s">
        <v>850</v>
      </c>
      <c r="B92" s="991"/>
      <c r="C92" s="991"/>
      <c r="D92" s="991"/>
      <c r="E92" s="991"/>
      <c r="F92" s="991"/>
      <c r="G92" s="991"/>
      <c r="H92" s="991"/>
    </row>
    <row r="93" spans="1:8" x14ac:dyDescent="0.2">
      <c r="A93" s="992" t="s">
        <v>851</v>
      </c>
      <c r="B93" s="991"/>
      <c r="C93" s="991"/>
      <c r="D93" s="991"/>
      <c r="E93" s="991"/>
      <c r="F93" s="991"/>
      <c r="G93" s="991"/>
      <c r="H93" s="991"/>
    </row>
    <row r="94" spans="1:8" x14ac:dyDescent="0.2">
      <c r="A94" s="992" t="s">
        <v>852</v>
      </c>
      <c r="B94" s="991"/>
      <c r="C94" s="991"/>
      <c r="D94" s="991"/>
      <c r="E94" s="991"/>
      <c r="F94" s="991"/>
      <c r="G94" s="991"/>
      <c r="H94" s="991"/>
    </row>
    <row r="95" spans="1:8" x14ac:dyDescent="0.2">
      <c r="A95" s="991"/>
      <c r="B95" s="991"/>
      <c r="C95" s="991"/>
      <c r="D95" s="991"/>
      <c r="E95" s="991"/>
      <c r="F95" s="991"/>
      <c r="G95" s="991"/>
      <c r="H95" s="991"/>
    </row>
    <row r="96" spans="1:8" x14ac:dyDescent="0.2">
      <c r="A96" s="992" t="s">
        <v>844</v>
      </c>
      <c r="B96" s="991"/>
      <c r="C96" s="991"/>
      <c r="D96" s="991"/>
      <c r="E96" s="991"/>
      <c r="F96" s="991"/>
      <c r="G96" s="991"/>
      <c r="H96" s="991"/>
    </row>
    <row r="97" spans="1:8" x14ac:dyDescent="0.2">
      <c r="A97" s="992" t="s">
        <v>845</v>
      </c>
      <c r="B97" s="991"/>
      <c r="C97" s="991"/>
      <c r="D97" s="991"/>
      <c r="E97" s="991"/>
      <c r="F97" s="991"/>
      <c r="G97" s="991"/>
      <c r="H97" s="991"/>
    </row>
    <row r="98" spans="1:8" x14ac:dyDescent="0.2">
      <c r="A98" s="991"/>
      <c r="B98" s="991"/>
      <c r="C98" s="991"/>
      <c r="D98" s="991"/>
      <c r="E98" s="991"/>
      <c r="F98" s="991"/>
      <c r="G98" s="991"/>
      <c r="H98" s="991"/>
    </row>
    <row r="99" spans="1:8" ht="15.75" x14ac:dyDescent="0.2">
      <c r="A99" s="993" t="s">
        <v>615</v>
      </c>
      <c r="B99" s="991"/>
      <c r="C99" s="991"/>
      <c r="D99" s="991"/>
      <c r="E99" s="991"/>
      <c r="F99" s="991"/>
      <c r="G99" s="991"/>
      <c r="H99" s="991"/>
    </row>
    <row r="100" spans="1:8" x14ac:dyDescent="0.2">
      <c r="A100" s="991"/>
      <c r="B100" s="991"/>
      <c r="C100" s="991"/>
      <c r="D100" s="991"/>
      <c r="E100" s="991"/>
      <c r="F100" s="991"/>
      <c r="G100" s="991"/>
      <c r="H100" s="991"/>
    </row>
    <row r="101" spans="1:8" x14ac:dyDescent="0.2">
      <c r="A101" s="992" t="s">
        <v>835</v>
      </c>
      <c r="B101" s="991"/>
      <c r="C101" s="991"/>
      <c r="D101" s="991"/>
      <c r="E101" s="991"/>
      <c r="F101" s="991"/>
      <c r="G101" s="991"/>
      <c r="H101" s="991"/>
    </row>
    <row r="102" spans="1:8" x14ac:dyDescent="0.2">
      <c r="A102" s="992" t="s">
        <v>836</v>
      </c>
      <c r="B102" s="991"/>
      <c r="C102" s="991"/>
      <c r="D102" s="991"/>
      <c r="E102" s="991"/>
      <c r="F102" s="991"/>
      <c r="G102" s="991"/>
      <c r="H102" s="991"/>
    </row>
    <row r="103" spans="1:8" x14ac:dyDescent="0.2">
      <c r="A103" s="992" t="s">
        <v>837</v>
      </c>
      <c r="B103" s="991"/>
      <c r="C103" s="991"/>
      <c r="D103" s="991"/>
      <c r="E103" s="991"/>
      <c r="F103" s="991"/>
      <c r="G103" s="991"/>
      <c r="H103" s="991"/>
    </row>
    <row r="104" spans="1:8" x14ac:dyDescent="0.2">
      <c r="A104" s="992" t="s">
        <v>838</v>
      </c>
      <c r="B104" s="991"/>
      <c r="C104" s="991"/>
      <c r="D104" s="991"/>
      <c r="E104" s="991"/>
      <c r="F104" s="991"/>
      <c r="G104" s="991"/>
      <c r="H104" s="991"/>
    </row>
    <row r="105" spans="1:8" x14ac:dyDescent="0.2">
      <c r="A105" s="992" t="s">
        <v>839</v>
      </c>
      <c r="B105" s="991"/>
      <c r="C105" s="991"/>
      <c r="D105" s="991"/>
      <c r="E105" s="991"/>
      <c r="F105" s="991"/>
      <c r="G105" s="991"/>
      <c r="H105" s="991"/>
    </row>
    <row r="106" spans="1:8" x14ac:dyDescent="0.2">
      <c r="A106" s="992" t="s">
        <v>840</v>
      </c>
      <c r="B106" s="991"/>
      <c r="C106" s="991"/>
      <c r="D106" s="991"/>
      <c r="E106" s="991"/>
      <c r="F106" s="991"/>
      <c r="G106" s="991"/>
      <c r="H106" s="991"/>
    </row>
    <row r="107" spans="1:8" x14ac:dyDescent="0.2">
      <c r="A107" s="992" t="s">
        <v>841</v>
      </c>
      <c r="B107" s="991"/>
      <c r="C107" s="991"/>
      <c r="D107" s="991"/>
      <c r="E107" s="991"/>
      <c r="F107" s="991"/>
      <c r="G107" s="991"/>
      <c r="H107" s="991"/>
    </row>
    <row r="108" spans="1:8" x14ac:dyDescent="0.2">
      <c r="A108" s="992" t="s">
        <v>842</v>
      </c>
      <c r="B108" s="991"/>
      <c r="C108" s="991"/>
      <c r="D108" s="991"/>
      <c r="E108" s="991"/>
      <c r="F108" s="991"/>
      <c r="G108" s="991"/>
      <c r="H108" s="991"/>
    </row>
    <row r="109" spans="1:8" x14ac:dyDescent="0.2">
      <c r="A109" s="992" t="s">
        <v>843</v>
      </c>
      <c r="B109" s="991"/>
      <c r="C109" s="991"/>
      <c r="D109" s="991"/>
      <c r="E109" s="991"/>
      <c r="F109" s="991"/>
      <c r="G109" s="991"/>
      <c r="H109" s="991"/>
    </row>
    <row r="110" spans="1:8" x14ac:dyDescent="0.2">
      <c r="A110" s="991"/>
      <c r="B110" s="991"/>
      <c r="C110" s="991"/>
      <c r="D110" s="991"/>
      <c r="E110" s="991"/>
      <c r="F110" s="991"/>
      <c r="G110" s="991"/>
      <c r="H110" s="991"/>
    </row>
    <row r="111" spans="1:8" ht="15.75" x14ac:dyDescent="0.2">
      <c r="A111" s="994" t="s">
        <v>616</v>
      </c>
      <c r="B111" s="994"/>
      <c r="C111" s="994"/>
      <c r="D111" s="994"/>
      <c r="E111" s="994"/>
      <c r="F111" s="994"/>
      <c r="G111" s="994"/>
      <c r="H111" s="994"/>
    </row>
    <row r="112" spans="1:8" x14ac:dyDescent="0.2">
      <c r="A112" s="995" t="s">
        <v>617</v>
      </c>
      <c r="B112" s="995"/>
      <c r="C112" s="995"/>
      <c r="D112" s="995"/>
      <c r="E112" s="995"/>
      <c r="F112" s="995"/>
      <c r="G112" s="995"/>
      <c r="H112" s="995"/>
    </row>
    <row r="113" spans="1:8" x14ac:dyDescent="0.2">
      <c r="A113" s="996"/>
      <c r="B113" s="996"/>
      <c r="C113" s="996"/>
      <c r="D113" s="996"/>
      <c r="E113" s="996"/>
      <c r="F113" s="996"/>
      <c r="G113" s="996"/>
      <c r="H113" s="996"/>
    </row>
    <row r="114" spans="1:8" x14ac:dyDescent="0.2">
      <c r="A114" s="995" t="s">
        <v>833</v>
      </c>
      <c r="B114" s="995"/>
      <c r="C114" s="995"/>
      <c r="D114" s="995"/>
      <c r="E114" s="995"/>
      <c r="F114" s="995"/>
      <c r="G114" s="995"/>
      <c r="H114" s="995"/>
    </row>
    <row r="115" spans="1:8" x14ac:dyDescent="0.2">
      <c r="A115" s="992" t="s">
        <v>834</v>
      </c>
      <c r="B115" s="992"/>
      <c r="C115" s="992"/>
      <c r="D115" s="992"/>
      <c r="E115" s="992"/>
      <c r="F115" s="992"/>
      <c r="G115" s="992"/>
      <c r="H115" s="992"/>
    </row>
    <row r="116" spans="1:8" x14ac:dyDescent="0.2">
      <c r="A116" s="996"/>
      <c r="B116" s="996"/>
      <c r="C116" s="996"/>
      <c r="D116" s="996"/>
      <c r="E116" s="996"/>
      <c r="F116" s="996"/>
      <c r="G116" s="996"/>
      <c r="H116" s="996"/>
    </row>
    <row r="117" spans="1:8" x14ac:dyDescent="0.2">
      <c r="A117" s="995" t="s">
        <v>826</v>
      </c>
      <c r="B117" s="995"/>
      <c r="C117" s="995"/>
      <c r="D117" s="995"/>
      <c r="E117" s="995"/>
      <c r="F117" s="995"/>
      <c r="G117" s="995"/>
      <c r="H117" s="995"/>
    </row>
    <row r="118" spans="1:8" x14ac:dyDescent="0.2">
      <c r="A118" s="992" t="s">
        <v>827</v>
      </c>
      <c r="B118" s="992"/>
      <c r="C118" s="992"/>
      <c r="D118" s="992"/>
      <c r="E118" s="992"/>
      <c r="F118" s="992"/>
      <c r="G118" s="992"/>
      <c r="H118" s="992"/>
    </row>
    <row r="119" spans="1:8" x14ac:dyDescent="0.2">
      <c r="A119" s="992" t="s">
        <v>828</v>
      </c>
      <c r="B119" s="992"/>
      <c r="C119" s="992"/>
      <c r="D119" s="992"/>
      <c r="E119" s="992"/>
      <c r="F119" s="992"/>
      <c r="G119" s="992"/>
      <c r="H119" s="992"/>
    </row>
    <row r="120" spans="1:8" x14ac:dyDescent="0.2">
      <c r="A120" s="992" t="s">
        <v>829</v>
      </c>
      <c r="B120" s="992"/>
      <c r="C120" s="992"/>
      <c r="D120" s="992"/>
      <c r="E120" s="992"/>
      <c r="F120" s="992"/>
      <c r="G120" s="992"/>
      <c r="H120" s="992"/>
    </row>
    <row r="121" spans="1:8" x14ac:dyDescent="0.2">
      <c r="A121" s="992" t="s">
        <v>830</v>
      </c>
      <c r="B121" s="992"/>
      <c r="C121" s="992"/>
      <c r="D121" s="992"/>
      <c r="E121" s="992"/>
      <c r="F121" s="992"/>
      <c r="G121" s="992"/>
      <c r="H121" s="992"/>
    </row>
    <row r="122" spans="1:8" x14ac:dyDescent="0.2">
      <c r="A122" s="992" t="s">
        <v>831</v>
      </c>
      <c r="B122" s="992"/>
      <c r="C122" s="992"/>
      <c r="D122" s="992"/>
      <c r="E122" s="992"/>
      <c r="F122" s="992"/>
      <c r="G122" s="992"/>
      <c r="H122" s="992"/>
    </row>
    <row r="123" spans="1:8" x14ac:dyDescent="0.2">
      <c r="A123" s="992" t="s">
        <v>832</v>
      </c>
      <c r="B123" s="992"/>
      <c r="C123" s="992"/>
      <c r="D123" s="992"/>
      <c r="E123" s="992"/>
      <c r="F123" s="992"/>
      <c r="G123" s="992"/>
      <c r="H123" s="992"/>
    </row>
    <row r="124" spans="1:8" x14ac:dyDescent="0.2">
      <c r="A124" s="997"/>
      <c r="B124" s="997"/>
      <c r="C124" s="997"/>
      <c r="D124" s="997"/>
      <c r="E124" s="997"/>
      <c r="F124" s="997"/>
      <c r="G124" s="997"/>
      <c r="H124" s="997"/>
    </row>
    <row r="125" spans="1:8" x14ac:dyDescent="0.2">
      <c r="A125" s="998"/>
      <c r="B125" s="999" t="s">
        <v>618</v>
      </c>
      <c r="C125" s="1000"/>
      <c r="D125" s="999" t="s">
        <v>619</v>
      </c>
      <c r="E125" s="1001"/>
      <c r="F125" s="1000"/>
      <c r="G125" s="999" t="s">
        <v>620</v>
      </c>
      <c r="H125" s="1000"/>
    </row>
    <row r="126" spans="1:8" x14ac:dyDescent="0.2">
      <c r="A126" s="998" t="s">
        <v>621</v>
      </c>
      <c r="B126" s="998" t="s">
        <v>274</v>
      </c>
      <c r="C126" s="998" t="s">
        <v>622</v>
      </c>
      <c r="D126" s="998" t="s">
        <v>274</v>
      </c>
      <c r="E126" s="998" t="s">
        <v>623</v>
      </c>
      <c r="F126" s="998" t="s">
        <v>624</v>
      </c>
      <c r="G126" s="998" t="s">
        <v>274</v>
      </c>
      <c r="H126" s="998" t="s">
        <v>625</v>
      </c>
    </row>
    <row r="127" spans="1:8" x14ac:dyDescent="0.2">
      <c r="A127" s="998" t="s">
        <v>626</v>
      </c>
      <c r="B127" s="998">
        <v>1189</v>
      </c>
      <c r="C127" s="1002">
        <v>0.38</v>
      </c>
      <c r="D127" s="998">
        <v>315</v>
      </c>
      <c r="E127" s="1002">
        <v>0.41</v>
      </c>
      <c r="F127" s="1002">
        <v>0.26</v>
      </c>
      <c r="G127" s="998">
        <v>555</v>
      </c>
      <c r="H127" s="1002">
        <v>0.39</v>
      </c>
    </row>
    <row r="128" spans="1:8" x14ac:dyDescent="0.2">
      <c r="A128" s="998" t="s">
        <v>627</v>
      </c>
      <c r="B128" s="998">
        <v>1355</v>
      </c>
      <c r="C128" s="1002">
        <v>0.43</v>
      </c>
      <c r="D128" s="998">
        <v>364</v>
      </c>
      <c r="E128" s="1002">
        <v>0.47</v>
      </c>
      <c r="F128" s="1002">
        <v>0.27</v>
      </c>
      <c r="G128" s="998">
        <v>644</v>
      </c>
      <c r="H128" s="1002">
        <v>0.45</v>
      </c>
    </row>
    <row r="129" spans="1:8" x14ac:dyDescent="0.2">
      <c r="A129" s="998" t="s">
        <v>628</v>
      </c>
      <c r="B129" s="998">
        <v>53</v>
      </c>
      <c r="C129" s="1002">
        <v>0.02</v>
      </c>
      <c r="D129" s="998">
        <v>4</v>
      </c>
      <c r="E129" s="1002">
        <v>0.01</v>
      </c>
      <c r="F129" s="1002">
        <v>0.08</v>
      </c>
      <c r="G129" s="998">
        <v>7</v>
      </c>
      <c r="H129" s="1002">
        <v>0</v>
      </c>
    </row>
    <row r="130" spans="1:8" x14ac:dyDescent="0.2">
      <c r="A130" s="998" t="s">
        <v>629</v>
      </c>
      <c r="B130" s="998">
        <v>545</v>
      </c>
      <c r="C130" s="1002">
        <v>0.17</v>
      </c>
      <c r="D130" s="998">
        <v>84</v>
      </c>
      <c r="E130" s="1002">
        <v>0.11</v>
      </c>
      <c r="F130" s="1002">
        <v>0.15</v>
      </c>
      <c r="G130" s="998">
        <v>214</v>
      </c>
      <c r="H130" s="1002">
        <v>0.15</v>
      </c>
    </row>
    <row r="131" spans="1:8" x14ac:dyDescent="0.2">
      <c r="A131" s="998" t="s">
        <v>161</v>
      </c>
      <c r="B131" s="1003">
        <v>3142</v>
      </c>
      <c r="C131" s="998"/>
      <c r="D131" s="998">
        <v>767</v>
      </c>
      <c r="E131" s="998"/>
      <c r="F131" s="998"/>
      <c r="G131" s="998">
        <v>1420</v>
      </c>
      <c r="H131" s="998"/>
    </row>
    <row r="132" spans="1:8" x14ac:dyDescent="0.2">
      <c r="A132" s="1004"/>
      <c r="B132" s="1004"/>
      <c r="C132" s="1004"/>
      <c r="D132" s="1004"/>
      <c r="E132" s="1004"/>
      <c r="F132" s="1004"/>
      <c r="G132" s="1004"/>
      <c r="H132" s="1004"/>
    </row>
    <row r="133" spans="1:8" x14ac:dyDescent="0.2">
      <c r="A133" s="995" t="s">
        <v>822</v>
      </c>
      <c r="B133" s="995"/>
      <c r="C133" s="995"/>
      <c r="D133" s="995"/>
      <c r="E133" s="995"/>
      <c r="F133" s="995"/>
      <c r="G133" s="995"/>
      <c r="H133" s="995"/>
    </row>
    <row r="134" spans="1:8" x14ac:dyDescent="0.2">
      <c r="A134" s="992" t="s">
        <v>823</v>
      </c>
      <c r="B134" s="992"/>
      <c r="C134" s="992"/>
      <c r="D134" s="992"/>
      <c r="E134" s="992"/>
      <c r="F134" s="992"/>
      <c r="G134" s="992"/>
      <c r="H134" s="992"/>
    </row>
    <row r="135" spans="1:8" x14ac:dyDescent="0.2">
      <c r="A135" s="992" t="s">
        <v>824</v>
      </c>
      <c r="B135" s="992"/>
      <c r="C135" s="992"/>
      <c r="D135" s="992"/>
      <c r="E135" s="992"/>
      <c r="F135" s="992"/>
      <c r="G135" s="992"/>
      <c r="H135" s="992"/>
    </row>
    <row r="136" spans="1:8" x14ac:dyDescent="0.2">
      <c r="A136" s="992" t="s">
        <v>825</v>
      </c>
      <c r="B136" s="992"/>
      <c r="C136" s="992"/>
      <c r="D136" s="992"/>
      <c r="E136" s="992"/>
      <c r="F136" s="992"/>
      <c r="G136" s="992"/>
      <c r="H136" s="992"/>
    </row>
    <row r="137" spans="1:8" x14ac:dyDescent="0.2">
      <c r="A137" s="991"/>
      <c r="B137" s="991"/>
      <c r="C137" s="991"/>
      <c r="D137" s="991"/>
      <c r="E137" s="991"/>
      <c r="F137" s="991"/>
      <c r="G137" s="991"/>
      <c r="H137" s="991"/>
    </row>
    <row r="138" spans="1:8" ht="15.75" x14ac:dyDescent="0.2">
      <c r="A138" s="993" t="s">
        <v>630</v>
      </c>
      <c r="B138" s="991"/>
      <c r="C138" s="991"/>
      <c r="D138" s="991"/>
      <c r="E138" s="991"/>
      <c r="F138" s="991"/>
      <c r="G138" s="991"/>
      <c r="H138" s="991"/>
    </row>
    <row r="139" spans="1:8" x14ac:dyDescent="0.2">
      <c r="A139" s="991"/>
      <c r="B139" s="991"/>
      <c r="C139" s="991"/>
      <c r="D139" s="991"/>
      <c r="E139" s="991"/>
      <c r="F139" s="991"/>
      <c r="G139" s="991"/>
      <c r="H139" s="991"/>
    </row>
    <row r="140" spans="1:8" x14ac:dyDescent="0.2">
      <c r="A140" s="992" t="s">
        <v>820</v>
      </c>
      <c r="B140" s="991"/>
      <c r="C140" s="991"/>
      <c r="D140" s="991"/>
      <c r="E140" s="991"/>
      <c r="F140" s="991"/>
      <c r="G140" s="991"/>
      <c r="H140" s="991"/>
    </row>
    <row r="141" spans="1:8" x14ac:dyDescent="0.2">
      <c r="A141" s="992" t="s">
        <v>821</v>
      </c>
      <c r="B141" s="991"/>
      <c r="C141" s="991"/>
      <c r="D141" s="991"/>
      <c r="E141" s="991"/>
      <c r="F141" s="991"/>
      <c r="G141" s="991"/>
      <c r="H141" s="991"/>
    </row>
    <row r="142" spans="1:8" x14ac:dyDescent="0.2">
      <c r="A142" s="991"/>
      <c r="B142" s="991"/>
      <c r="C142" s="991"/>
      <c r="D142" s="991"/>
      <c r="E142" s="991"/>
      <c r="F142" s="991"/>
      <c r="G142" s="991"/>
      <c r="H142" s="991"/>
    </row>
    <row r="143" spans="1:8" x14ac:dyDescent="0.2">
      <c r="A143" s="992" t="s">
        <v>817</v>
      </c>
      <c r="B143" s="991"/>
      <c r="C143" s="991"/>
      <c r="D143" s="991"/>
      <c r="E143" s="991"/>
      <c r="F143" s="991"/>
      <c r="G143" s="991"/>
      <c r="H143" s="991"/>
    </row>
    <row r="144" spans="1:8" x14ac:dyDescent="0.2">
      <c r="A144" s="992" t="s">
        <v>818</v>
      </c>
      <c r="B144" s="991"/>
      <c r="C144" s="991"/>
      <c r="D144" s="991"/>
      <c r="E144" s="991"/>
      <c r="F144" s="991"/>
      <c r="G144" s="991"/>
      <c r="H144" s="991"/>
    </row>
    <row r="145" spans="1:8" x14ac:dyDescent="0.2">
      <c r="A145" s="992" t="s">
        <v>819</v>
      </c>
      <c r="B145" s="991"/>
      <c r="C145" s="991"/>
      <c r="D145" s="991"/>
      <c r="E145" s="991"/>
      <c r="F145" s="991"/>
      <c r="G145" s="991"/>
      <c r="H145" s="991"/>
    </row>
    <row r="146" spans="1:8" x14ac:dyDescent="0.2">
      <c r="A146" s="991"/>
      <c r="B146" s="991"/>
      <c r="C146" s="991"/>
      <c r="D146" s="991"/>
      <c r="E146" s="991"/>
      <c r="F146" s="991"/>
      <c r="G146" s="991"/>
      <c r="H146" s="991"/>
    </row>
    <row r="147" spans="1:8" x14ac:dyDescent="0.2">
      <c r="A147" s="992" t="s">
        <v>814</v>
      </c>
      <c r="B147" s="991"/>
      <c r="C147" s="991"/>
      <c r="D147" s="991"/>
      <c r="E147" s="991"/>
      <c r="F147" s="991"/>
      <c r="G147" s="991"/>
      <c r="H147" s="991"/>
    </row>
    <row r="148" spans="1:8" x14ac:dyDescent="0.2">
      <c r="A148" s="992" t="s">
        <v>815</v>
      </c>
      <c r="B148" s="991"/>
      <c r="C148" s="991"/>
      <c r="D148" s="991"/>
      <c r="E148" s="991"/>
      <c r="F148" s="991"/>
      <c r="G148" s="991"/>
      <c r="H148" s="991"/>
    </row>
    <row r="149" spans="1:8" x14ac:dyDescent="0.2">
      <c r="A149" s="992" t="s">
        <v>816</v>
      </c>
      <c r="B149" s="991"/>
      <c r="C149" s="991"/>
      <c r="D149" s="991"/>
      <c r="E149" s="991"/>
      <c r="F149" s="991"/>
      <c r="G149" s="991"/>
      <c r="H149" s="991"/>
    </row>
    <row r="150" spans="1:8" x14ac:dyDescent="0.2">
      <c r="A150" s="991"/>
      <c r="B150" s="991"/>
      <c r="C150" s="991"/>
      <c r="D150" s="991"/>
      <c r="E150" s="991"/>
      <c r="F150" s="991"/>
      <c r="G150" s="991"/>
      <c r="H150" s="991"/>
    </row>
    <row r="151" spans="1:8" x14ac:dyDescent="0.2">
      <c r="A151" s="992" t="s">
        <v>811</v>
      </c>
      <c r="B151" s="991"/>
      <c r="C151" s="991"/>
      <c r="D151" s="991"/>
      <c r="E151" s="991"/>
      <c r="F151" s="991"/>
      <c r="G151" s="991"/>
      <c r="H151" s="991"/>
    </row>
    <row r="152" spans="1:8" x14ac:dyDescent="0.2">
      <c r="A152" s="992" t="s">
        <v>812</v>
      </c>
      <c r="B152" s="991"/>
      <c r="C152" s="991"/>
      <c r="D152" s="991"/>
      <c r="E152" s="991"/>
      <c r="F152" s="991"/>
      <c r="G152" s="991"/>
      <c r="H152" s="991"/>
    </row>
    <row r="153" spans="1:8" x14ac:dyDescent="0.2">
      <c r="A153" s="992" t="s">
        <v>813</v>
      </c>
      <c r="B153" s="991"/>
      <c r="C153" s="991"/>
      <c r="D153" s="991"/>
      <c r="E153" s="991"/>
      <c r="F153" s="991"/>
      <c r="G153" s="991"/>
      <c r="H153" s="991"/>
    </row>
    <row r="154" spans="1:8" x14ac:dyDescent="0.2">
      <c r="A154" s="991"/>
      <c r="B154" s="991"/>
      <c r="C154" s="991"/>
      <c r="D154" s="991"/>
      <c r="E154" s="991"/>
      <c r="F154" s="991"/>
      <c r="G154" s="991"/>
      <c r="H154" s="991"/>
    </row>
    <row r="155" spans="1:8" x14ac:dyDescent="0.2">
      <c r="A155" s="992" t="s">
        <v>809</v>
      </c>
      <c r="B155" s="991"/>
      <c r="C155" s="991"/>
      <c r="D155" s="991"/>
      <c r="E155" s="991"/>
      <c r="F155" s="991"/>
      <c r="G155" s="991"/>
      <c r="H155" s="991"/>
    </row>
    <row r="156" spans="1:8" x14ac:dyDescent="0.2">
      <c r="A156" s="992" t="s">
        <v>810</v>
      </c>
      <c r="B156" s="991"/>
      <c r="C156" s="991"/>
      <c r="D156" s="991"/>
      <c r="E156" s="991"/>
      <c r="F156" s="991"/>
      <c r="G156" s="991"/>
      <c r="H156" s="991"/>
    </row>
    <row r="157" spans="1:8" x14ac:dyDescent="0.2">
      <c r="A157" s="991"/>
      <c r="B157" s="991"/>
      <c r="C157" s="991"/>
      <c r="D157" s="991"/>
      <c r="E157" s="991"/>
      <c r="F157" s="991"/>
      <c r="G157" s="991"/>
      <c r="H157" s="991"/>
    </row>
    <row r="158" spans="1:8" ht="15.75" x14ac:dyDescent="0.2">
      <c r="A158" s="993" t="s">
        <v>631</v>
      </c>
      <c r="B158" s="991"/>
      <c r="C158" s="991"/>
      <c r="D158" s="991"/>
      <c r="E158" s="991"/>
      <c r="F158" s="991"/>
      <c r="G158" s="991"/>
      <c r="H158" s="991"/>
    </row>
    <row r="159" spans="1:8" x14ac:dyDescent="0.2">
      <c r="A159" s="991"/>
      <c r="B159" s="991"/>
      <c r="C159" s="991"/>
      <c r="D159" s="991"/>
      <c r="E159" s="991"/>
      <c r="F159" s="991"/>
      <c r="G159" s="991"/>
      <c r="H159" s="991"/>
    </row>
    <row r="160" spans="1:8" x14ac:dyDescent="0.2">
      <c r="A160" s="992" t="s">
        <v>807</v>
      </c>
      <c r="B160" s="991"/>
      <c r="C160" s="991"/>
      <c r="D160" s="991"/>
      <c r="E160" s="991"/>
      <c r="F160" s="991"/>
      <c r="G160" s="991"/>
      <c r="H160" s="991"/>
    </row>
    <row r="161" spans="1:8" x14ac:dyDescent="0.2">
      <c r="A161" s="992" t="s">
        <v>808</v>
      </c>
      <c r="B161" s="991"/>
      <c r="C161" s="991"/>
      <c r="D161" s="991"/>
      <c r="E161" s="991"/>
      <c r="F161" s="991"/>
      <c r="G161" s="991"/>
      <c r="H161" s="991"/>
    </row>
    <row r="162" spans="1:8" x14ac:dyDescent="0.2">
      <c r="A162" s="991"/>
      <c r="B162" s="991"/>
      <c r="C162" s="991"/>
      <c r="D162" s="991"/>
      <c r="E162" s="991"/>
      <c r="F162" s="991"/>
      <c r="G162" s="991"/>
      <c r="H162" s="991"/>
    </row>
    <row r="163" spans="1:8" x14ac:dyDescent="0.2">
      <c r="A163" s="992" t="s">
        <v>805</v>
      </c>
      <c r="B163" s="991"/>
      <c r="C163" s="991"/>
      <c r="D163" s="991"/>
      <c r="E163" s="991"/>
      <c r="F163" s="991"/>
      <c r="G163" s="991"/>
      <c r="H163" s="991"/>
    </row>
    <row r="164" spans="1:8" x14ac:dyDescent="0.2">
      <c r="A164" s="992" t="s">
        <v>806</v>
      </c>
      <c r="B164" s="991"/>
      <c r="C164" s="991"/>
      <c r="D164" s="991"/>
      <c r="E164" s="991"/>
      <c r="F164" s="991"/>
      <c r="G164" s="991"/>
      <c r="H164" s="991"/>
    </row>
    <row r="165" spans="1:8" x14ac:dyDescent="0.2">
      <c r="A165" s="991"/>
      <c r="B165" s="991"/>
      <c r="C165" s="991"/>
      <c r="D165" s="991"/>
      <c r="E165" s="991"/>
      <c r="F165" s="991"/>
      <c r="G165" s="991"/>
      <c r="H165" s="991"/>
    </row>
    <row r="166" spans="1:8" x14ac:dyDescent="0.2">
      <c r="A166" s="992" t="s">
        <v>803</v>
      </c>
      <c r="B166" s="991"/>
      <c r="C166" s="991"/>
      <c r="D166" s="991"/>
      <c r="E166" s="991"/>
      <c r="F166" s="991"/>
      <c r="G166" s="991"/>
      <c r="H166" s="991"/>
    </row>
    <row r="167" spans="1:8" x14ac:dyDescent="0.2">
      <c r="A167" s="992" t="s">
        <v>804</v>
      </c>
      <c r="B167" s="991"/>
      <c r="C167" s="991"/>
      <c r="D167" s="991"/>
      <c r="E167" s="991"/>
      <c r="F167" s="991"/>
      <c r="G167" s="991"/>
      <c r="H167" s="991"/>
    </row>
    <row r="168" spans="1:8" x14ac:dyDescent="0.2">
      <c r="A168" s="991"/>
      <c r="B168" s="991"/>
      <c r="C168" s="991"/>
      <c r="D168" s="991"/>
      <c r="E168" s="991"/>
      <c r="F168" s="991"/>
      <c r="G168" s="991"/>
      <c r="H168" s="991"/>
    </row>
    <row r="169" spans="1:8" x14ac:dyDescent="0.2">
      <c r="A169" s="992" t="s">
        <v>800</v>
      </c>
      <c r="B169" s="991"/>
      <c r="C169" s="991"/>
      <c r="D169" s="991"/>
      <c r="E169" s="991"/>
      <c r="F169" s="991"/>
      <c r="G169" s="991"/>
      <c r="H169" s="991"/>
    </row>
    <row r="170" spans="1:8" x14ac:dyDescent="0.2">
      <c r="A170" s="992" t="s">
        <v>801</v>
      </c>
      <c r="B170" s="991"/>
      <c r="C170" s="991"/>
      <c r="D170" s="991"/>
      <c r="E170" s="991"/>
      <c r="F170" s="991"/>
      <c r="G170" s="991"/>
      <c r="H170" s="991"/>
    </row>
    <row r="171" spans="1:8" x14ac:dyDescent="0.2">
      <c r="A171" s="992" t="s">
        <v>802</v>
      </c>
      <c r="B171" s="991"/>
      <c r="C171" s="991"/>
      <c r="D171" s="991"/>
      <c r="E171" s="991"/>
      <c r="F171" s="991"/>
      <c r="G171" s="991"/>
      <c r="H171" s="991"/>
    </row>
    <row r="172" spans="1:8" x14ac:dyDescent="0.2">
      <c r="A172" s="991"/>
      <c r="B172" s="991"/>
      <c r="C172" s="991"/>
      <c r="D172" s="991"/>
      <c r="E172" s="991"/>
      <c r="F172" s="991"/>
      <c r="G172" s="991"/>
      <c r="H172" s="991"/>
    </row>
    <row r="173" spans="1:8" x14ac:dyDescent="0.2">
      <c r="A173" s="991"/>
      <c r="B173" s="991"/>
      <c r="C173" s="991"/>
      <c r="D173" s="991"/>
      <c r="E173" s="991"/>
      <c r="F173" s="991"/>
      <c r="G173" s="991"/>
      <c r="H173" s="991"/>
    </row>
    <row r="174" spans="1:8" x14ac:dyDescent="0.2">
      <c r="A174" s="992" t="s">
        <v>632</v>
      </c>
      <c r="B174" s="991"/>
      <c r="C174" s="991"/>
      <c r="D174" s="991"/>
      <c r="E174" s="991"/>
      <c r="F174" s="991"/>
      <c r="G174" s="991"/>
      <c r="H174" s="991"/>
    </row>
    <row r="175" spans="1:8" x14ac:dyDescent="0.2">
      <c r="A175" s="991"/>
      <c r="B175" s="991"/>
      <c r="C175" s="991"/>
      <c r="D175" s="991"/>
      <c r="E175" s="991"/>
      <c r="F175" s="991"/>
      <c r="G175" s="991"/>
      <c r="H175" s="991"/>
    </row>
    <row r="176" spans="1:8" ht="15.75" x14ac:dyDescent="0.2">
      <c r="A176" s="993" t="s">
        <v>633</v>
      </c>
      <c r="B176" s="991"/>
      <c r="C176" s="991"/>
      <c r="D176" s="991"/>
      <c r="E176" s="991"/>
      <c r="F176" s="991"/>
      <c r="G176" s="991"/>
      <c r="H176" s="991"/>
    </row>
    <row r="177" spans="1:8" x14ac:dyDescent="0.2">
      <c r="A177" s="991"/>
      <c r="B177" s="991"/>
      <c r="C177" s="991"/>
      <c r="D177" s="991"/>
      <c r="E177" s="991"/>
      <c r="F177" s="991"/>
      <c r="G177" s="991"/>
      <c r="H177" s="991"/>
    </row>
    <row r="178" spans="1:8" x14ac:dyDescent="0.2">
      <c r="A178" s="991"/>
      <c r="B178" s="991"/>
      <c r="C178" s="991"/>
      <c r="D178" s="991"/>
      <c r="E178" s="991"/>
      <c r="F178" s="991"/>
      <c r="G178" s="991"/>
      <c r="H178" s="991"/>
    </row>
    <row r="179" spans="1:8" x14ac:dyDescent="0.2">
      <c r="A179" s="991"/>
      <c r="B179" s="991"/>
      <c r="C179" s="991"/>
      <c r="D179" s="991"/>
      <c r="E179" s="991"/>
      <c r="F179" s="991"/>
      <c r="G179" s="991"/>
      <c r="H179" s="991"/>
    </row>
    <row r="180" spans="1:8" x14ac:dyDescent="0.2">
      <c r="A180" s="991"/>
      <c r="B180" s="991"/>
      <c r="C180" s="991"/>
      <c r="D180" s="991"/>
      <c r="E180" s="991"/>
      <c r="F180" s="991"/>
      <c r="G180" s="991"/>
      <c r="H180" s="991"/>
    </row>
    <row r="181" spans="1:8" x14ac:dyDescent="0.2">
      <c r="A181" s="991"/>
      <c r="B181" s="991"/>
      <c r="C181" s="991"/>
      <c r="D181" s="991"/>
      <c r="E181" s="991"/>
      <c r="F181" s="991"/>
      <c r="G181" s="991"/>
      <c r="H181" s="991"/>
    </row>
    <row r="182" spans="1:8" x14ac:dyDescent="0.2">
      <c r="A182" s="991"/>
      <c r="B182" s="991"/>
      <c r="C182" s="991"/>
      <c r="D182" s="991"/>
      <c r="E182" s="991"/>
      <c r="F182" s="991"/>
      <c r="G182" s="991"/>
      <c r="H182" s="991"/>
    </row>
    <row r="183" spans="1:8" x14ac:dyDescent="0.2">
      <c r="A183" s="991"/>
      <c r="B183" s="991"/>
      <c r="C183" s="991"/>
      <c r="D183" s="991"/>
      <c r="E183" s="991"/>
      <c r="F183" s="991"/>
      <c r="G183" s="991"/>
      <c r="H183" s="991"/>
    </row>
    <row r="184" spans="1:8" x14ac:dyDescent="0.2">
      <c r="A184" s="991"/>
      <c r="B184" s="991"/>
      <c r="C184" s="991"/>
      <c r="D184" s="991"/>
      <c r="E184" s="991"/>
      <c r="F184" s="991"/>
      <c r="G184" s="991"/>
      <c r="H184" s="991"/>
    </row>
    <row r="185" spans="1:8" x14ac:dyDescent="0.2">
      <c r="A185" s="991"/>
      <c r="B185" s="991"/>
      <c r="C185" s="991"/>
      <c r="D185" s="991"/>
      <c r="E185" s="991"/>
      <c r="F185" s="991"/>
      <c r="G185" s="991"/>
      <c r="H185" s="991"/>
    </row>
    <row r="186" spans="1:8" x14ac:dyDescent="0.2">
      <c r="A186" s="991"/>
      <c r="B186" s="991"/>
      <c r="C186" s="991"/>
      <c r="D186" s="991"/>
      <c r="E186" s="991"/>
      <c r="F186" s="991"/>
      <c r="G186" s="991"/>
      <c r="H186" s="991"/>
    </row>
    <row r="187" spans="1:8" x14ac:dyDescent="0.2">
      <c r="A187" s="991"/>
      <c r="B187" s="991"/>
      <c r="C187" s="991"/>
      <c r="D187" s="991"/>
      <c r="E187" s="991"/>
      <c r="F187" s="991"/>
      <c r="G187" s="991"/>
      <c r="H187" s="991"/>
    </row>
    <row r="188" spans="1:8" x14ac:dyDescent="0.2">
      <c r="A188" s="991"/>
      <c r="B188" s="991"/>
      <c r="C188" s="991"/>
      <c r="D188" s="991"/>
      <c r="E188" s="991"/>
      <c r="F188" s="991"/>
      <c r="G188" s="991"/>
      <c r="H188" s="991"/>
    </row>
    <row r="189" spans="1:8" x14ac:dyDescent="0.2">
      <c r="A189" s="991"/>
      <c r="B189" s="991"/>
      <c r="C189" s="991"/>
      <c r="D189" s="991"/>
      <c r="E189" s="991"/>
      <c r="F189" s="991"/>
      <c r="G189" s="991"/>
      <c r="H189" s="991"/>
    </row>
    <row r="190" spans="1:8" x14ac:dyDescent="0.2">
      <c r="A190" s="991"/>
      <c r="B190" s="991"/>
      <c r="C190" s="991"/>
      <c r="D190" s="991"/>
      <c r="E190" s="991"/>
      <c r="F190" s="991"/>
      <c r="G190" s="991"/>
      <c r="H190" s="991"/>
    </row>
    <row r="191" spans="1:8" x14ac:dyDescent="0.2">
      <c r="A191" s="991"/>
      <c r="B191" s="991"/>
      <c r="C191" s="991"/>
      <c r="D191" s="991"/>
      <c r="E191" s="991"/>
      <c r="F191" s="991"/>
      <c r="G191" s="991"/>
      <c r="H191" s="991"/>
    </row>
    <row r="192" spans="1:8" x14ac:dyDescent="0.2">
      <c r="A192" s="991"/>
      <c r="B192" s="991"/>
      <c r="C192" s="991"/>
      <c r="D192" s="991"/>
      <c r="E192" s="991"/>
      <c r="F192" s="991"/>
      <c r="G192" s="991"/>
      <c r="H192" s="991"/>
    </row>
    <row r="193" spans="1:8" x14ac:dyDescent="0.2">
      <c r="A193" s="991"/>
      <c r="B193" s="991"/>
      <c r="C193" s="991"/>
      <c r="D193" s="991"/>
      <c r="E193" s="991"/>
      <c r="F193" s="991"/>
      <c r="G193" s="991"/>
      <c r="H193" s="991"/>
    </row>
    <row r="194" spans="1:8" x14ac:dyDescent="0.2">
      <c r="A194" s="991"/>
      <c r="B194" s="991"/>
      <c r="C194" s="991"/>
      <c r="D194" s="991"/>
      <c r="E194" s="991"/>
      <c r="F194" s="991"/>
      <c r="G194" s="991"/>
      <c r="H194" s="991"/>
    </row>
    <row r="195" spans="1:8" x14ac:dyDescent="0.2">
      <c r="A195" s="991"/>
      <c r="B195" s="991"/>
      <c r="C195" s="991"/>
      <c r="D195" s="991"/>
      <c r="E195" s="991"/>
      <c r="F195" s="991"/>
      <c r="G195" s="991"/>
      <c r="H195" s="991"/>
    </row>
    <row r="196" spans="1:8" x14ac:dyDescent="0.2">
      <c r="A196" s="991"/>
      <c r="B196" s="991"/>
      <c r="C196" s="991"/>
      <c r="D196" s="991"/>
      <c r="E196" s="991"/>
      <c r="F196" s="991"/>
      <c r="G196" s="991"/>
      <c r="H196" s="991"/>
    </row>
    <row r="197" spans="1:8" x14ac:dyDescent="0.2">
      <c r="A197" s="991"/>
      <c r="B197" s="991"/>
      <c r="C197" s="991"/>
      <c r="D197" s="991"/>
      <c r="E197" s="991"/>
      <c r="F197" s="991"/>
      <c r="G197" s="991"/>
      <c r="H197" s="991"/>
    </row>
    <row r="198" spans="1:8" x14ac:dyDescent="0.2">
      <c r="A198" s="991"/>
      <c r="B198" s="991"/>
      <c r="C198" s="991"/>
      <c r="D198" s="991"/>
      <c r="E198" s="991"/>
      <c r="F198" s="991"/>
      <c r="G198" s="991"/>
      <c r="H198" s="991"/>
    </row>
    <row r="199" spans="1:8" x14ac:dyDescent="0.2">
      <c r="A199" s="991"/>
      <c r="B199" s="991"/>
      <c r="C199" s="991"/>
      <c r="D199" s="991"/>
      <c r="E199" s="991"/>
      <c r="F199" s="991"/>
      <c r="G199" s="991"/>
      <c r="H199" s="991"/>
    </row>
    <row r="200" spans="1:8" x14ac:dyDescent="0.2">
      <c r="A200" s="991"/>
      <c r="B200" s="991"/>
      <c r="C200" s="991"/>
      <c r="D200" s="991"/>
      <c r="E200" s="991"/>
      <c r="F200" s="991"/>
      <c r="G200" s="991"/>
      <c r="H200" s="991"/>
    </row>
    <row r="201" spans="1:8" x14ac:dyDescent="0.2">
      <c r="A201" s="991"/>
      <c r="B201" s="991"/>
      <c r="C201" s="991"/>
      <c r="D201" s="991"/>
      <c r="E201" s="991"/>
      <c r="F201" s="991"/>
      <c r="G201" s="991"/>
      <c r="H201" s="991"/>
    </row>
    <row r="202" spans="1:8" x14ac:dyDescent="0.2">
      <c r="A202" s="991"/>
      <c r="B202" s="991"/>
      <c r="C202" s="991"/>
      <c r="D202" s="991"/>
      <c r="E202" s="991"/>
      <c r="F202" s="991"/>
      <c r="G202" s="991"/>
      <c r="H202" s="991"/>
    </row>
    <row r="203" spans="1:8" ht="15.75" x14ac:dyDescent="0.2">
      <c r="A203" s="993" t="s">
        <v>634</v>
      </c>
      <c r="B203" s="991"/>
      <c r="C203" s="991"/>
      <c r="D203" s="991"/>
      <c r="E203" s="991"/>
      <c r="F203" s="991"/>
      <c r="G203" s="991"/>
      <c r="H203" s="991"/>
    </row>
    <row r="204" spans="1:8" x14ac:dyDescent="0.2">
      <c r="A204" s="991"/>
      <c r="B204" s="991"/>
      <c r="C204" s="991"/>
      <c r="D204" s="991"/>
      <c r="E204" s="991"/>
      <c r="F204" s="991"/>
      <c r="G204" s="991"/>
      <c r="H204" s="991"/>
    </row>
    <row r="205" spans="1:8" x14ac:dyDescent="0.2">
      <c r="A205" s="992" t="s">
        <v>795</v>
      </c>
      <c r="B205" s="991"/>
      <c r="C205" s="991"/>
      <c r="D205" s="991"/>
      <c r="E205" s="991"/>
      <c r="F205" s="991"/>
      <c r="G205" s="991"/>
      <c r="H205" s="991"/>
    </row>
    <row r="206" spans="1:8" x14ac:dyDescent="0.2">
      <c r="A206" s="992" t="s">
        <v>796</v>
      </c>
      <c r="B206" s="991"/>
      <c r="C206" s="991"/>
      <c r="D206" s="991"/>
      <c r="E206" s="991"/>
      <c r="F206" s="991"/>
      <c r="G206" s="991"/>
      <c r="H206" s="991"/>
    </row>
    <row r="207" spans="1:8" x14ac:dyDescent="0.2">
      <c r="A207" s="992" t="s">
        <v>797</v>
      </c>
      <c r="B207" s="991"/>
      <c r="C207" s="991"/>
      <c r="D207" s="991"/>
      <c r="E207" s="991"/>
      <c r="F207" s="991"/>
      <c r="G207" s="991"/>
      <c r="H207" s="991"/>
    </row>
    <row r="208" spans="1:8" x14ac:dyDescent="0.2">
      <c r="A208" s="992" t="s">
        <v>798</v>
      </c>
      <c r="B208" s="991"/>
      <c r="C208" s="991"/>
      <c r="D208" s="991"/>
      <c r="E208" s="991"/>
      <c r="F208" s="991"/>
      <c r="G208" s="991"/>
      <c r="H208" s="991"/>
    </row>
    <row r="209" spans="1:8" x14ac:dyDescent="0.2">
      <c r="A209" s="992" t="s">
        <v>799</v>
      </c>
      <c r="B209" s="991"/>
      <c r="C209" s="991"/>
      <c r="D209" s="991"/>
      <c r="E209" s="991"/>
      <c r="F209" s="991"/>
      <c r="G209" s="991"/>
      <c r="H209" s="991"/>
    </row>
    <row r="210" spans="1:8" x14ac:dyDescent="0.2">
      <c r="A210" s="991"/>
      <c r="B210" s="991"/>
      <c r="C210" s="991"/>
      <c r="D210" s="991"/>
      <c r="E210" s="991"/>
      <c r="F210" s="991"/>
      <c r="G210" s="991"/>
      <c r="H210" s="991"/>
    </row>
    <row r="211" spans="1:8" x14ac:dyDescent="0.2">
      <c r="A211" s="992" t="s">
        <v>792</v>
      </c>
      <c r="B211" s="991"/>
      <c r="C211" s="991"/>
      <c r="D211" s="991"/>
      <c r="E211" s="991"/>
      <c r="F211" s="991"/>
      <c r="G211" s="991"/>
      <c r="H211" s="991"/>
    </row>
    <row r="212" spans="1:8" x14ac:dyDescent="0.2">
      <c r="A212" s="992" t="s">
        <v>793</v>
      </c>
      <c r="B212" s="991"/>
      <c r="C212" s="991"/>
      <c r="D212" s="991"/>
      <c r="E212" s="991"/>
      <c r="F212" s="991"/>
      <c r="G212" s="991"/>
      <c r="H212" s="991"/>
    </row>
    <row r="213" spans="1:8" x14ac:dyDescent="0.2">
      <c r="A213" s="992" t="s">
        <v>794</v>
      </c>
      <c r="B213" s="991"/>
      <c r="C213" s="991"/>
      <c r="D213" s="991"/>
      <c r="E213" s="991"/>
      <c r="F213" s="991"/>
      <c r="G213" s="991"/>
      <c r="H213" s="991"/>
    </row>
    <row r="214" spans="1:8" ht="15.75" x14ac:dyDescent="0.2">
      <c r="A214" s="993" t="s">
        <v>635</v>
      </c>
      <c r="B214" s="991"/>
      <c r="C214" s="991"/>
      <c r="D214" s="991"/>
      <c r="E214" s="991"/>
      <c r="F214" s="991"/>
      <c r="G214" s="991"/>
      <c r="H214" s="991"/>
    </row>
    <row r="215" spans="1:8" x14ac:dyDescent="0.2">
      <c r="A215" s="991"/>
      <c r="B215" s="991"/>
      <c r="C215" s="991"/>
      <c r="D215" s="991"/>
      <c r="E215" s="991"/>
      <c r="F215" s="991"/>
      <c r="G215" s="991"/>
      <c r="H215" s="991"/>
    </row>
    <row r="216" spans="1:8" x14ac:dyDescent="0.2">
      <c r="A216" s="992" t="s">
        <v>790</v>
      </c>
      <c r="B216" s="991"/>
      <c r="C216" s="991"/>
      <c r="D216" s="991"/>
      <c r="E216" s="991"/>
      <c r="F216" s="991"/>
      <c r="G216" s="991"/>
      <c r="H216" s="991"/>
    </row>
    <row r="217" spans="1:8" x14ac:dyDescent="0.2">
      <c r="A217" s="992" t="s">
        <v>791</v>
      </c>
      <c r="B217" s="991"/>
      <c r="C217" s="991"/>
      <c r="D217" s="991"/>
      <c r="E217" s="991"/>
      <c r="F217" s="991"/>
      <c r="G217" s="991"/>
      <c r="H217" s="991"/>
    </row>
    <row r="218" spans="1:8" x14ac:dyDescent="0.2">
      <c r="A218" s="991"/>
      <c r="B218" s="991"/>
      <c r="C218" s="991"/>
      <c r="D218" s="991"/>
      <c r="E218" s="991"/>
      <c r="F218" s="991"/>
      <c r="G218" s="991"/>
      <c r="H218" s="991"/>
    </row>
    <row r="219" spans="1:8" x14ac:dyDescent="0.2">
      <c r="A219" s="992" t="s">
        <v>783</v>
      </c>
      <c r="B219" s="991"/>
      <c r="C219" s="991"/>
      <c r="D219" s="991"/>
      <c r="E219" s="991"/>
      <c r="F219" s="991"/>
      <c r="G219" s="991"/>
      <c r="H219" s="991"/>
    </row>
    <row r="220" spans="1:8" x14ac:dyDescent="0.2">
      <c r="A220" s="992" t="s">
        <v>784</v>
      </c>
      <c r="B220" s="991"/>
      <c r="C220" s="991"/>
      <c r="D220" s="991"/>
      <c r="E220" s="991"/>
      <c r="F220" s="991"/>
      <c r="G220" s="991"/>
      <c r="H220" s="991"/>
    </row>
    <row r="221" spans="1:8" x14ac:dyDescent="0.2">
      <c r="A221" s="992" t="s">
        <v>785</v>
      </c>
      <c r="B221" s="991"/>
      <c r="C221" s="991"/>
      <c r="D221" s="991"/>
      <c r="E221" s="991"/>
      <c r="F221" s="991"/>
      <c r="G221" s="991"/>
      <c r="H221" s="991"/>
    </row>
    <row r="222" spans="1:8" x14ac:dyDescent="0.2">
      <c r="A222" s="992" t="s">
        <v>786</v>
      </c>
      <c r="B222" s="991"/>
      <c r="C222" s="991"/>
      <c r="D222" s="991"/>
      <c r="E222" s="991"/>
      <c r="F222" s="991"/>
      <c r="G222" s="991"/>
      <c r="H222" s="991"/>
    </row>
    <row r="223" spans="1:8" x14ac:dyDescent="0.2">
      <c r="A223" s="992" t="s">
        <v>787</v>
      </c>
      <c r="B223" s="991"/>
      <c r="C223" s="991"/>
      <c r="D223" s="991"/>
      <c r="E223" s="991"/>
      <c r="F223" s="991"/>
      <c r="G223" s="991"/>
      <c r="H223" s="991"/>
    </row>
    <row r="224" spans="1:8" x14ac:dyDescent="0.2">
      <c r="A224" s="992" t="s">
        <v>788</v>
      </c>
      <c r="B224" s="991"/>
      <c r="C224" s="991"/>
      <c r="D224" s="991"/>
      <c r="E224" s="991"/>
      <c r="F224" s="991"/>
      <c r="G224" s="991"/>
      <c r="H224" s="991"/>
    </row>
    <row r="225" spans="1:8" x14ac:dyDescent="0.2">
      <c r="A225" s="992" t="s">
        <v>789</v>
      </c>
      <c r="B225" s="991"/>
      <c r="C225" s="991"/>
      <c r="D225" s="991"/>
      <c r="E225" s="991"/>
      <c r="F225" s="991"/>
      <c r="G225" s="991"/>
      <c r="H225" s="991"/>
    </row>
    <row r="226" spans="1:8" x14ac:dyDescent="0.2">
      <c r="A226" s="991"/>
      <c r="B226" s="991"/>
      <c r="C226" s="991"/>
      <c r="D226" s="991"/>
      <c r="E226" s="991"/>
      <c r="F226" s="991"/>
      <c r="G226" s="991"/>
      <c r="H226" s="991"/>
    </row>
    <row r="227" spans="1:8" x14ac:dyDescent="0.2">
      <c r="A227" s="992" t="s">
        <v>780</v>
      </c>
      <c r="B227" s="991"/>
      <c r="C227" s="991"/>
      <c r="D227" s="991"/>
      <c r="E227" s="991"/>
      <c r="F227" s="991"/>
      <c r="G227" s="991"/>
      <c r="H227" s="991"/>
    </row>
    <row r="228" spans="1:8" x14ac:dyDescent="0.2">
      <c r="A228" s="992" t="s">
        <v>781</v>
      </c>
      <c r="B228" s="991"/>
      <c r="C228" s="991"/>
      <c r="D228" s="991"/>
      <c r="E228" s="991"/>
      <c r="F228" s="991"/>
      <c r="G228" s="991"/>
      <c r="H228" s="991"/>
    </row>
    <row r="229" spans="1:8" x14ac:dyDescent="0.2">
      <c r="A229" s="992" t="s">
        <v>782</v>
      </c>
      <c r="B229" s="991"/>
      <c r="C229" s="991"/>
      <c r="D229" s="991"/>
      <c r="E229" s="991"/>
      <c r="F229" s="991"/>
      <c r="G229" s="991"/>
      <c r="H229" s="991"/>
    </row>
    <row r="230" spans="1:8" x14ac:dyDescent="0.2">
      <c r="A230" s="991"/>
      <c r="B230" s="991"/>
      <c r="C230" s="991"/>
      <c r="D230" s="991"/>
      <c r="E230" s="991"/>
      <c r="F230" s="991"/>
      <c r="G230" s="991"/>
      <c r="H230" s="991"/>
    </row>
    <row r="231" spans="1:8" x14ac:dyDescent="0.2">
      <c r="A231" s="992" t="s">
        <v>775</v>
      </c>
      <c r="B231" s="991"/>
      <c r="C231" s="991"/>
      <c r="D231" s="991"/>
      <c r="E231" s="991"/>
      <c r="F231" s="991"/>
      <c r="G231" s="991"/>
      <c r="H231" s="991"/>
    </row>
    <row r="232" spans="1:8" x14ac:dyDescent="0.2">
      <c r="A232" s="992" t="s">
        <v>776</v>
      </c>
      <c r="B232" s="991"/>
      <c r="C232" s="991"/>
      <c r="D232" s="991"/>
      <c r="E232" s="991"/>
      <c r="F232" s="991"/>
      <c r="G232" s="991"/>
      <c r="H232" s="991"/>
    </row>
    <row r="233" spans="1:8" x14ac:dyDescent="0.2">
      <c r="A233" s="992" t="s">
        <v>777</v>
      </c>
      <c r="B233" s="991"/>
      <c r="C233" s="991"/>
      <c r="D233" s="991"/>
      <c r="E233" s="991"/>
      <c r="F233" s="991"/>
      <c r="G233" s="991"/>
      <c r="H233" s="991"/>
    </row>
    <row r="234" spans="1:8" x14ac:dyDescent="0.2">
      <c r="A234" s="992" t="s">
        <v>778</v>
      </c>
      <c r="B234" s="991"/>
      <c r="C234" s="991"/>
      <c r="D234" s="991"/>
      <c r="E234" s="991"/>
      <c r="F234" s="991"/>
      <c r="G234" s="991"/>
      <c r="H234" s="991"/>
    </row>
    <row r="235" spans="1:8" x14ac:dyDescent="0.2">
      <c r="A235" s="992" t="s">
        <v>779</v>
      </c>
      <c r="B235" s="991"/>
      <c r="C235" s="991"/>
      <c r="D235" s="991"/>
      <c r="E235" s="991"/>
      <c r="F235" s="991"/>
      <c r="G235" s="991"/>
      <c r="H235" s="991"/>
    </row>
    <row r="236" spans="1:8" x14ac:dyDescent="0.2">
      <c r="A236" s="991"/>
      <c r="B236" s="991"/>
      <c r="C236" s="991"/>
      <c r="D236" s="991"/>
      <c r="E236" s="991"/>
      <c r="F236" s="991"/>
      <c r="G236" s="991"/>
      <c r="H236" s="991"/>
    </row>
    <row r="237" spans="1:8" x14ac:dyDescent="0.2">
      <c r="A237" s="992" t="s">
        <v>769</v>
      </c>
      <c r="B237" s="991"/>
      <c r="C237" s="991"/>
      <c r="D237" s="991"/>
      <c r="E237" s="991"/>
      <c r="F237" s="991"/>
      <c r="G237" s="991"/>
      <c r="H237" s="991"/>
    </row>
    <row r="238" spans="1:8" x14ac:dyDescent="0.2">
      <c r="A238" s="992" t="s">
        <v>770</v>
      </c>
      <c r="B238" s="991"/>
      <c r="C238" s="991"/>
      <c r="D238" s="991"/>
      <c r="E238" s="991"/>
      <c r="F238" s="991"/>
      <c r="G238" s="991"/>
      <c r="H238" s="991"/>
    </row>
    <row r="239" spans="1:8" x14ac:dyDescent="0.2">
      <c r="A239" s="992" t="s">
        <v>771</v>
      </c>
      <c r="B239" s="991"/>
      <c r="C239" s="991"/>
      <c r="D239" s="991"/>
      <c r="E239" s="991"/>
      <c r="F239" s="991"/>
      <c r="G239" s="991"/>
      <c r="H239" s="991"/>
    </row>
    <row r="240" spans="1:8" x14ac:dyDescent="0.2">
      <c r="A240" s="992" t="s">
        <v>772</v>
      </c>
      <c r="B240" s="991"/>
      <c r="C240" s="991"/>
      <c r="D240" s="991"/>
      <c r="E240" s="991"/>
      <c r="F240" s="991"/>
      <c r="G240" s="991"/>
      <c r="H240" s="991"/>
    </row>
    <row r="241" spans="1:8" x14ac:dyDescent="0.2">
      <c r="A241" s="992" t="s">
        <v>773</v>
      </c>
      <c r="B241" s="991"/>
      <c r="C241" s="991"/>
      <c r="D241" s="991"/>
      <c r="E241" s="991"/>
      <c r="F241" s="991"/>
      <c r="G241" s="991"/>
      <c r="H241" s="991"/>
    </row>
    <row r="242" spans="1:8" x14ac:dyDescent="0.2">
      <c r="A242" s="992" t="s">
        <v>774</v>
      </c>
      <c r="B242" s="991"/>
      <c r="C242" s="991"/>
      <c r="D242" s="991"/>
      <c r="E242" s="991"/>
      <c r="F242" s="991"/>
      <c r="G242" s="991"/>
      <c r="H242" s="991"/>
    </row>
    <row r="243" spans="1:8" x14ac:dyDescent="0.2">
      <c r="A243" s="991"/>
      <c r="B243" s="991"/>
      <c r="C243" s="991"/>
      <c r="D243" s="991"/>
      <c r="E243" s="991"/>
      <c r="F243" s="991"/>
      <c r="G243" s="991"/>
      <c r="H243" s="991"/>
    </row>
    <row r="244" spans="1:8" x14ac:dyDescent="0.2">
      <c r="A244" s="992" t="s">
        <v>759</v>
      </c>
      <c r="B244" s="991"/>
      <c r="C244" s="991"/>
      <c r="D244" s="991"/>
      <c r="E244" s="991"/>
      <c r="F244" s="991"/>
      <c r="G244" s="991"/>
      <c r="H244" s="991"/>
    </row>
    <row r="245" spans="1:8" x14ac:dyDescent="0.2">
      <c r="A245" s="992" t="s">
        <v>760</v>
      </c>
      <c r="B245" s="991"/>
      <c r="C245" s="991"/>
      <c r="D245" s="991"/>
      <c r="E245" s="991"/>
      <c r="F245" s="991"/>
      <c r="G245" s="991"/>
      <c r="H245" s="991"/>
    </row>
    <row r="246" spans="1:8" x14ac:dyDescent="0.2">
      <c r="A246" s="992" t="s">
        <v>761</v>
      </c>
      <c r="B246" s="991"/>
      <c r="C246" s="991"/>
      <c r="D246" s="991"/>
      <c r="E246" s="991"/>
      <c r="F246" s="991"/>
      <c r="G246" s="991"/>
      <c r="H246" s="991"/>
    </row>
    <row r="247" spans="1:8" x14ac:dyDescent="0.2">
      <c r="A247" s="992" t="s">
        <v>762</v>
      </c>
      <c r="B247" s="991"/>
      <c r="C247" s="991"/>
      <c r="D247" s="991"/>
      <c r="E247" s="991"/>
      <c r="F247" s="991"/>
      <c r="G247" s="991"/>
      <c r="H247" s="991"/>
    </row>
    <row r="248" spans="1:8" x14ac:dyDescent="0.2">
      <c r="A248" s="992" t="s">
        <v>763</v>
      </c>
      <c r="B248" s="991"/>
      <c r="C248" s="991"/>
      <c r="D248" s="991"/>
      <c r="E248" s="991"/>
      <c r="F248" s="991"/>
      <c r="G248" s="991"/>
      <c r="H248" s="991"/>
    </row>
    <row r="249" spans="1:8" x14ac:dyDescent="0.2">
      <c r="A249" s="992" t="s">
        <v>764</v>
      </c>
      <c r="B249" s="991"/>
      <c r="C249" s="991"/>
      <c r="D249" s="991"/>
      <c r="E249" s="991"/>
      <c r="F249" s="991"/>
      <c r="G249" s="991"/>
      <c r="H249" s="991"/>
    </row>
    <row r="250" spans="1:8" x14ac:dyDescent="0.2">
      <c r="A250" s="992" t="s">
        <v>765</v>
      </c>
      <c r="B250" s="991"/>
      <c r="C250" s="991"/>
      <c r="D250" s="991"/>
      <c r="E250" s="991"/>
      <c r="F250" s="991"/>
      <c r="G250" s="991"/>
      <c r="H250" s="991"/>
    </row>
    <row r="251" spans="1:8" x14ac:dyDescent="0.2">
      <c r="A251" s="992" t="s">
        <v>766</v>
      </c>
      <c r="B251" s="991"/>
      <c r="C251" s="991"/>
      <c r="D251" s="991"/>
      <c r="E251" s="991"/>
      <c r="F251" s="991"/>
      <c r="G251" s="991"/>
      <c r="H251" s="991"/>
    </row>
    <row r="252" spans="1:8" x14ac:dyDescent="0.2">
      <c r="A252" s="992" t="s">
        <v>767</v>
      </c>
      <c r="B252" s="991"/>
      <c r="C252" s="991"/>
      <c r="D252" s="991"/>
      <c r="E252" s="991"/>
      <c r="F252" s="991"/>
      <c r="G252" s="991"/>
      <c r="H252" s="991"/>
    </row>
    <row r="253" spans="1:8" x14ac:dyDescent="0.2">
      <c r="A253" s="992" t="s">
        <v>768</v>
      </c>
      <c r="B253" s="991"/>
      <c r="C253" s="991"/>
      <c r="D253" s="991"/>
      <c r="E253" s="991"/>
      <c r="F253" s="991"/>
      <c r="G253" s="991"/>
      <c r="H253" s="991"/>
    </row>
    <row r="254" spans="1:8" x14ac:dyDescent="0.2">
      <c r="A254" s="991"/>
      <c r="B254" s="991"/>
      <c r="C254" s="991"/>
      <c r="D254" s="991"/>
      <c r="E254" s="991"/>
      <c r="F254" s="991"/>
      <c r="G254" s="991"/>
      <c r="H254" s="991"/>
    </row>
    <row r="255" spans="1:8" x14ac:dyDescent="0.2">
      <c r="A255" s="992" t="s">
        <v>757</v>
      </c>
      <c r="B255" s="991"/>
      <c r="C255" s="991"/>
      <c r="D255" s="991"/>
      <c r="E255" s="991"/>
      <c r="F255" s="991"/>
      <c r="G255" s="991"/>
      <c r="H255" s="991"/>
    </row>
    <row r="256" spans="1:8" x14ac:dyDescent="0.2">
      <c r="A256" s="992" t="s">
        <v>758</v>
      </c>
      <c r="B256" s="991"/>
      <c r="C256" s="991"/>
      <c r="D256" s="991"/>
      <c r="E256" s="991"/>
      <c r="F256" s="991"/>
      <c r="G256" s="991"/>
      <c r="H256" s="991"/>
    </row>
    <row r="257" spans="1:8" x14ac:dyDescent="0.2">
      <c r="A257" s="991"/>
      <c r="B257" s="991"/>
      <c r="C257" s="991"/>
      <c r="D257" s="991"/>
      <c r="E257" s="991"/>
      <c r="F257" s="991"/>
      <c r="G257" s="991"/>
      <c r="H257" s="991"/>
    </row>
    <row r="258" spans="1:8" x14ac:dyDescent="0.2">
      <c r="A258" s="992" t="s">
        <v>741</v>
      </c>
      <c r="B258" s="991"/>
      <c r="C258" s="991"/>
      <c r="D258" s="991"/>
      <c r="E258" s="991"/>
      <c r="F258" s="991"/>
      <c r="G258" s="991"/>
      <c r="H258" s="991"/>
    </row>
    <row r="259" spans="1:8" x14ac:dyDescent="0.2">
      <c r="A259" s="992" t="s">
        <v>742</v>
      </c>
      <c r="B259" s="991"/>
      <c r="C259" s="991"/>
      <c r="D259" s="991"/>
      <c r="E259" s="991"/>
      <c r="F259" s="991"/>
      <c r="G259" s="991"/>
      <c r="H259" s="991"/>
    </row>
    <row r="260" spans="1:8" x14ac:dyDescent="0.2">
      <c r="A260" s="992" t="s">
        <v>743</v>
      </c>
      <c r="B260" s="991"/>
      <c r="C260" s="991"/>
      <c r="D260" s="991"/>
      <c r="E260" s="991"/>
      <c r="F260" s="991"/>
      <c r="G260" s="991"/>
      <c r="H260" s="991"/>
    </row>
    <row r="261" spans="1:8" x14ac:dyDescent="0.2">
      <c r="A261" s="992" t="s">
        <v>744</v>
      </c>
      <c r="B261" s="991"/>
      <c r="C261" s="991"/>
      <c r="D261" s="991"/>
      <c r="E261" s="991"/>
      <c r="F261" s="991"/>
      <c r="G261" s="991"/>
      <c r="H261" s="991"/>
    </row>
    <row r="262" spans="1:8" x14ac:dyDescent="0.2">
      <c r="A262" s="992" t="s">
        <v>745</v>
      </c>
      <c r="B262" s="991"/>
      <c r="C262" s="991"/>
      <c r="D262" s="991"/>
      <c r="E262" s="991"/>
      <c r="F262" s="991"/>
      <c r="G262" s="991"/>
      <c r="H262" s="991"/>
    </row>
    <row r="263" spans="1:8" x14ac:dyDescent="0.2">
      <c r="A263" s="992" t="s">
        <v>746</v>
      </c>
      <c r="B263" s="991"/>
      <c r="C263" s="991"/>
      <c r="D263" s="991"/>
      <c r="E263" s="991"/>
      <c r="F263" s="991"/>
      <c r="G263" s="991"/>
      <c r="H263" s="991"/>
    </row>
    <row r="264" spans="1:8" x14ac:dyDescent="0.2">
      <c r="A264" s="992" t="s">
        <v>747</v>
      </c>
      <c r="B264" s="991"/>
      <c r="C264" s="991"/>
      <c r="D264" s="991"/>
      <c r="E264" s="991"/>
      <c r="F264" s="991"/>
      <c r="G264" s="991"/>
      <c r="H264" s="991"/>
    </row>
    <row r="265" spans="1:8" x14ac:dyDescent="0.2">
      <c r="A265" s="992" t="s">
        <v>748</v>
      </c>
      <c r="B265" s="991"/>
      <c r="C265" s="991"/>
      <c r="D265" s="991"/>
      <c r="E265" s="991"/>
      <c r="F265" s="991"/>
      <c r="G265" s="991"/>
      <c r="H265" s="991"/>
    </row>
    <row r="266" spans="1:8" x14ac:dyDescent="0.2">
      <c r="A266" s="992" t="s">
        <v>749</v>
      </c>
      <c r="B266" s="991"/>
      <c r="C266" s="991"/>
      <c r="D266" s="991"/>
      <c r="E266" s="991"/>
      <c r="F266" s="991"/>
      <c r="G266" s="991"/>
      <c r="H266" s="991"/>
    </row>
    <row r="267" spans="1:8" x14ac:dyDescent="0.2">
      <c r="A267" s="992" t="s">
        <v>750</v>
      </c>
      <c r="B267" s="991"/>
      <c r="C267" s="991"/>
      <c r="D267" s="991"/>
      <c r="E267" s="991"/>
      <c r="F267" s="991"/>
      <c r="G267" s="991"/>
      <c r="H267" s="991"/>
    </row>
    <row r="268" spans="1:8" x14ac:dyDescent="0.2">
      <c r="A268" s="992" t="s">
        <v>751</v>
      </c>
      <c r="B268" s="991"/>
      <c r="C268" s="991"/>
      <c r="D268" s="991"/>
      <c r="E268" s="991"/>
      <c r="F268" s="991"/>
      <c r="G268" s="991"/>
      <c r="H268" s="991"/>
    </row>
    <row r="269" spans="1:8" x14ac:dyDescent="0.2">
      <c r="A269" s="992" t="s">
        <v>752</v>
      </c>
      <c r="B269" s="991"/>
      <c r="C269" s="991"/>
      <c r="D269" s="991"/>
      <c r="E269" s="991"/>
      <c r="F269" s="991"/>
      <c r="G269" s="991"/>
      <c r="H269" s="991"/>
    </row>
    <row r="270" spans="1:8" x14ac:dyDescent="0.2">
      <c r="A270" s="992" t="s">
        <v>753</v>
      </c>
      <c r="B270" s="991"/>
      <c r="C270" s="991"/>
      <c r="D270" s="991"/>
      <c r="E270" s="991"/>
      <c r="F270" s="991"/>
      <c r="G270" s="991"/>
      <c r="H270" s="991"/>
    </row>
    <row r="271" spans="1:8" x14ac:dyDescent="0.2">
      <c r="A271" s="992" t="s">
        <v>754</v>
      </c>
      <c r="B271" s="991"/>
      <c r="C271" s="991"/>
      <c r="D271" s="991"/>
      <c r="E271" s="991"/>
      <c r="F271" s="991"/>
      <c r="G271" s="991"/>
      <c r="H271" s="991"/>
    </row>
    <row r="272" spans="1:8" x14ac:dyDescent="0.2">
      <c r="A272" s="992" t="s">
        <v>755</v>
      </c>
      <c r="B272" s="991"/>
      <c r="C272" s="991"/>
      <c r="D272" s="991"/>
      <c r="E272" s="991"/>
      <c r="F272" s="991"/>
      <c r="G272" s="991"/>
      <c r="H272" s="991"/>
    </row>
    <row r="273" spans="1:8" x14ac:dyDescent="0.2">
      <c r="A273" s="992" t="s">
        <v>756</v>
      </c>
      <c r="B273" s="991"/>
      <c r="C273" s="991"/>
      <c r="D273" s="991"/>
      <c r="E273" s="991"/>
      <c r="F273" s="991"/>
      <c r="G273" s="991"/>
      <c r="H273" s="991"/>
    </row>
    <row r="274" spans="1:8" x14ac:dyDescent="0.2">
      <c r="A274" s="991"/>
      <c r="B274" s="991"/>
      <c r="C274" s="991"/>
      <c r="D274" s="991"/>
      <c r="E274" s="991"/>
      <c r="F274" s="991"/>
      <c r="G274" s="991"/>
      <c r="H274" s="991"/>
    </row>
    <row r="275" spans="1:8" x14ac:dyDescent="0.2">
      <c r="A275" s="992" t="s">
        <v>734</v>
      </c>
      <c r="B275" s="991"/>
      <c r="C275" s="991"/>
      <c r="D275" s="991"/>
      <c r="E275" s="991"/>
      <c r="F275" s="991"/>
      <c r="G275" s="991"/>
      <c r="H275" s="991"/>
    </row>
    <row r="276" spans="1:8" x14ac:dyDescent="0.2">
      <c r="A276" s="992" t="s">
        <v>735</v>
      </c>
      <c r="B276" s="991"/>
      <c r="C276" s="991"/>
      <c r="D276" s="991"/>
      <c r="E276" s="991"/>
      <c r="F276" s="991"/>
      <c r="G276" s="991"/>
      <c r="H276" s="991"/>
    </row>
    <row r="277" spans="1:8" x14ac:dyDescent="0.2">
      <c r="A277" s="992" t="s">
        <v>736</v>
      </c>
      <c r="B277" s="991"/>
      <c r="C277" s="991"/>
      <c r="D277" s="991"/>
      <c r="E277" s="991"/>
      <c r="F277" s="991"/>
      <c r="G277" s="991"/>
      <c r="H277" s="991"/>
    </row>
    <row r="278" spans="1:8" x14ac:dyDescent="0.2">
      <c r="A278" s="992" t="s">
        <v>737</v>
      </c>
      <c r="B278" s="991"/>
      <c r="C278" s="991"/>
      <c r="D278" s="991"/>
      <c r="E278" s="991"/>
      <c r="F278" s="991"/>
      <c r="G278" s="991"/>
      <c r="H278" s="991"/>
    </row>
    <row r="279" spans="1:8" x14ac:dyDescent="0.2">
      <c r="A279" s="992" t="s">
        <v>738</v>
      </c>
      <c r="B279" s="991"/>
      <c r="C279" s="991"/>
      <c r="D279" s="991"/>
      <c r="E279" s="991"/>
      <c r="F279" s="991"/>
      <c r="G279" s="991"/>
      <c r="H279" s="991"/>
    </row>
    <row r="280" spans="1:8" x14ac:dyDescent="0.2">
      <c r="A280" s="992" t="s">
        <v>739</v>
      </c>
      <c r="B280" s="991"/>
      <c r="C280" s="991"/>
      <c r="D280" s="991"/>
      <c r="E280" s="991"/>
      <c r="F280" s="991"/>
      <c r="G280" s="991"/>
      <c r="H280" s="991"/>
    </row>
    <row r="281" spans="1:8" x14ac:dyDescent="0.2">
      <c r="A281" s="992" t="s">
        <v>740</v>
      </c>
      <c r="B281" s="991"/>
      <c r="C281" s="991"/>
      <c r="D281" s="991"/>
      <c r="E281" s="991"/>
      <c r="F281" s="991"/>
      <c r="G281" s="991"/>
      <c r="H281" s="991"/>
    </row>
    <row r="282" spans="1:8" x14ac:dyDescent="0.2">
      <c r="A282" s="991"/>
      <c r="B282" s="991"/>
      <c r="C282" s="991"/>
      <c r="D282" s="991"/>
      <c r="E282" s="991"/>
      <c r="F282" s="991"/>
      <c r="G282" s="991"/>
      <c r="H282" s="991"/>
    </row>
    <row r="283" spans="1:8" x14ac:dyDescent="0.2">
      <c r="A283" s="992" t="s">
        <v>725</v>
      </c>
      <c r="B283" s="991"/>
      <c r="C283" s="991"/>
      <c r="D283" s="991"/>
      <c r="E283" s="991"/>
      <c r="F283" s="991"/>
      <c r="G283" s="991"/>
      <c r="H283" s="991"/>
    </row>
    <row r="284" spans="1:8" x14ac:dyDescent="0.2">
      <c r="A284" s="992" t="s">
        <v>726</v>
      </c>
      <c r="B284" s="991"/>
      <c r="C284" s="991"/>
      <c r="D284" s="991"/>
      <c r="E284" s="991"/>
      <c r="F284" s="991"/>
      <c r="G284" s="991"/>
      <c r="H284" s="991"/>
    </row>
    <row r="285" spans="1:8" x14ac:dyDescent="0.2">
      <c r="A285" s="992" t="s">
        <v>727</v>
      </c>
      <c r="B285" s="991"/>
      <c r="C285" s="991"/>
      <c r="D285" s="991"/>
      <c r="E285" s="991"/>
      <c r="F285" s="991"/>
      <c r="G285" s="991"/>
      <c r="H285" s="991"/>
    </row>
    <row r="286" spans="1:8" x14ac:dyDescent="0.2">
      <c r="A286" s="992" t="s">
        <v>728</v>
      </c>
      <c r="B286" s="991"/>
      <c r="C286" s="991"/>
      <c r="D286" s="991"/>
      <c r="E286" s="991"/>
      <c r="F286" s="991"/>
      <c r="G286" s="991"/>
      <c r="H286" s="991"/>
    </row>
    <row r="287" spans="1:8" x14ac:dyDescent="0.2">
      <c r="A287" s="992" t="s">
        <v>729</v>
      </c>
      <c r="B287" s="991"/>
      <c r="C287" s="991"/>
      <c r="D287" s="991"/>
      <c r="E287" s="991"/>
      <c r="F287" s="991"/>
      <c r="G287" s="991"/>
      <c r="H287" s="991"/>
    </row>
    <row r="288" spans="1:8" x14ac:dyDescent="0.2">
      <c r="A288" s="992" t="s">
        <v>730</v>
      </c>
      <c r="B288" s="991"/>
      <c r="C288" s="991"/>
      <c r="D288" s="991"/>
      <c r="E288" s="991"/>
      <c r="F288" s="991"/>
      <c r="G288" s="991"/>
      <c r="H288" s="991"/>
    </row>
    <row r="289" spans="1:8" x14ac:dyDescent="0.2">
      <c r="A289" s="992" t="s">
        <v>731</v>
      </c>
      <c r="B289" s="991"/>
      <c r="C289" s="991"/>
      <c r="D289" s="991"/>
      <c r="E289" s="991"/>
      <c r="F289" s="991"/>
      <c r="G289" s="991"/>
      <c r="H289" s="991"/>
    </row>
    <row r="290" spans="1:8" x14ac:dyDescent="0.2">
      <c r="A290" s="992" t="s">
        <v>732</v>
      </c>
      <c r="B290" s="991"/>
      <c r="C290" s="991"/>
      <c r="D290" s="991"/>
      <c r="E290" s="991"/>
      <c r="F290" s="991"/>
      <c r="G290" s="991"/>
      <c r="H290" s="991"/>
    </row>
    <row r="291" spans="1:8" x14ac:dyDescent="0.2">
      <c r="A291" s="992" t="s">
        <v>733</v>
      </c>
      <c r="B291" s="991"/>
      <c r="C291" s="991"/>
      <c r="D291" s="991"/>
      <c r="E291" s="991"/>
      <c r="F291" s="991"/>
      <c r="G291" s="991"/>
      <c r="H291" s="991"/>
    </row>
    <row r="292" spans="1:8" x14ac:dyDescent="0.2">
      <c r="A292" s="991"/>
      <c r="B292" s="991"/>
      <c r="C292" s="991"/>
      <c r="D292" s="991"/>
      <c r="E292" s="991"/>
      <c r="F292" s="991"/>
      <c r="G292" s="991"/>
      <c r="H292" s="991"/>
    </row>
    <row r="293" spans="1:8" x14ac:dyDescent="0.2">
      <c r="A293" s="992" t="s">
        <v>718</v>
      </c>
      <c r="B293" s="991"/>
      <c r="C293" s="991"/>
      <c r="D293" s="991"/>
      <c r="E293" s="991"/>
      <c r="F293" s="991"/>
      <c r="G293" s="991"/>
      <c r="H293" s="991"/>
    </row>
    <row r="294" spans="1:8" x14ac:dyDescent="0.2">
      <c r="A294" s="992" t="s">
        <v>719</v>
      </c>
      <c r="B294" s="991"/>
      <c r="C294" s="991"/>
      <c r="D294" s="991"/>
      <c r="E294" s="991"/>
      <c r="F294" s="991"/>
      <c r="G294" s="991"/>
      <c r="H294" s="991"/>
    </row>
    <row r="295" spans="1:8" x14ac:dyDescent="0.2">
      <c r="A295" s="992" t="s">
        <v>720</v>
      </c>
      <c r="B295" s="991"/>
      <c r="C295" s="991"/>
      <c r="D295" s="991"/>
      <c r="E295" s="991"/>
      <c r="F295" s="991"/>
      <c r="G295" s="991"/>
      <c r="H295" s="991"/>
    </row>
    <row r="296" spans="1:8" x14ac:dyDescent="0.2">
      <c r="A296" s="992" t="s">
        <v>721</v>
      </c>
      <c r="B296" s="991"/>
      <c r="C296" s="991"/>
      <c r="D296" s="991"/>
      <c r="E296" s="991"/>
      <c r="F296" s="991"/>
      <c r="G296" s="991"/>
      <c r="H296" s="991"/>
    </row>
    <row r="297" spans="1:8" x14ac:dyDescent="0.2">
      <c r="A297" s="992" t="s">
        <v>722</v>
      </c>
      <c r="B297" s="991"/>
      <c r="C297" s="991"/>
      <c r="D297" s="991"/>
      <c r="E297" s="991"/>
      <c r="F297" s="991"/>
      <c r="G297" s="991"/>
      <c r="H297" s="991"/>
    </row>
    <row r="298" spans="1:8" x14ac:dyDescent="0.2">
      <c r="A298" s="992" t="s">
        <v>723</v>
      </c>
      <c r="B298" s="991"/>
      <c r="C298" s="991"/>
      <c r="D298" s="991"/>
      <c r="E298" s="991"/>
      <c r="F298" s="991"/>
      <c r="G298" s="991"/>
      <c r="H298" s="991"/>
    </row>
    <row r="299" spans="1:8" x14ac:dyDescent="0.2">
      <c r="A299" s="992" t="s">
        <v>724</v>
      </c>
      <c r="B299" s="991"/>
      <c r="C299" s="991"/>
      <c r="D299" s="991"/>
      <c r="E299" s="991"/>
      <c r="F299" s="991"/>
      <c r="G299" s="991"/>
      <c r="H299" s="991"/>
    </row>
    <row r="300" spans="1:8" x14ac:dyDescent="0.2">
      <c r="A300" s="991"/>
      <c r="B300" s="991"/>
      <c r="C300" s="991"/>
      <c r="D300" s="991"/>
      <c r="E300" s="991"/>
      <c r="F300" s="991"/>
      <c r="G300" s="991"/>
      <c r="H300" s="991"/>
    </row>
    <row r="301" spans="1:8" x14ac:dyDescent="0.2">
      <c r="A301" s="992" t="s">
        <v>715</v>
      </c>
      <c r="B301" s="991"/>
      <c r="C301" s="991"/>
      <c r="D301" s="991"/>
      <c r="E301" s="991"/>
      <c r="F301" s="991"/>
      <c r="G301" s="991"/>
      <c r="H301" s="991"/>
    </row>
    <row r="302" spans="1:8" x14ac:dyDescent="0.2">
      <c r="A302" s="992" t="s">
        <v>716</v>
      </c>
      <c r="B302" s="991"/>
      <c r="C302" s="991"/>
      <c r="D302" s="991"/>
      <c r="E302" s="991"/>
      <c r="F302" s="991"/>
      <c r="G302" s="991"/>
      <c r="H302" s="991"/>
    </row>
    <row r="303" spans="1:8" x14ac:dyDescent="0.2">
      <c r="A303" s="992" t="s">
        <v>717</v>
      </c>
      <c r="B303" s="991"/>
      <c r="C303" s="991"/>
      <c r="D303" s="991"/>
      <c r="E303" s="991"/>
      <c r="F303" s="991"/>
      <c r="G303" s="991"/>
      <c r="H303" s="991"/>
    </row>
    <row r="304" spans="1:8" x14ac:dyDescent="0.2">
      <c r="A304" s="991"/>
      <c r="B304" s="991"/>
      <c r="C304" s="991"/>
      <c r="D304" s="991"/>
      <c r="E304" s="991"/>
      <c r="F304" s="991"/>
      <c r="G304" s="991"/>
      <c r="H304" s="991"/>
    </row>
    <row r="305" spans="1:8" x14ac:dyDescent="0.2">
      <c r="A305" s="992" t="s">
        <v>713</v>
      </c>
      <c r="B305" s="991"/>
      <c r="C305" s="991"/>
      <c r="D305" s="991"/>
      <c r="E305" s="991"/>
      <c r="F305" s="991"/>
      <c r="G305" s="991"/>
      <c r="H305" s="991"/>
    </row>
    <row r="306" spans="1:8" x14ac:dyDescent="0.2">
      <c r="A306" s="992" t="s">
        <v>714</v>
      </c>
      <c r="B306" s="991"/>
      <c r="C306" s="991"/>
      <c r="D306" s="991"/>
      <c r="E306" s="991"/>
      <c r="F306" s="991"/>
      <c r="G306" s="991"/>
      <c r="H306" s="991"/>
    </row>
    <row r="307" spans="1:8" x14ac:dyDescent="0.2">
      <c r="A307" s="991"/>
      <c r="B307" s="991"/>
      <c r="C307" s="991"/>
      <c r="D307" s="991"/>
      <c r="E307" s="991"/>
      <c r="F307" s="991"/>
      <c r="G307" s="991"/>
      <c r="H307" s="991"/>
    </row>
    <row r="308" spans="1:8" x14ac:dyDescent="0.2">
      <c r="A308" s="992" t="s">
        <v>700</v>
      </c>
      <c r="B308" s="991"/>
      <c r="C308" s="991"/>
      <c r="D308" s="991"/>
      <c r="E308" s="991"/>
      <c r="F308" s="991"/>
      <c r="G308" s="991"/>
      <c r="H308" s="991"/>
    </row>
    <row r="309" spans="1:8" x14ac:dyDescent="0.2">
      <c r="A309" s="992" t="s">
        <v>701</v>
      </c>
      <c r="B309" s="991"/>
      <c r="C309" s="991"/>
      <c r="D309" s="991"/>
      <c r="E309" s="991"/>
      <c r="F309" s="991"/>
      <c r="G309" s="991"/>
      <c r="H309" s="991"/>
    </row>
    <row r="310" spans="1:8" x14ac:dyDescent="0.2">
      <c r="A310" s="992" t="s">
        <v>702</v>
      </c>
      <c r="B310" s="991"/>
      <c r="C310" s="991"/>
      <c r="D310" s="991"/>
      <c r="E310" s="991"/>
      <c r="F310" s="991"/>
      <c r="G310" s="991"/>
      <c r="H310" s="991"/>
    </row>
    <row r="311" spans="1:8" x14ac:dyDescent="0.2">
      <c r="A311" s="992" t="s">
        <v>703</v>
      </c>
      <c r="B311" s="991"/>
      <c r="C311" s="991"/>
      <c r="D311" s="991"/>
      <c r="E311" s="991"/>
      <c r="F311" s="991"/>
      <c r="G311" s="991"/>
      <c r="H311" s="991"/>
    </row>
    <row r="312" spans="1:8" x14ac:dyDescent="0.2">
      <c r="A312" s="992" t="s">
        <v>704</v>
      </c>
      <c r="B312" s="991"/>
      <c r="C312" s="991"/>
      <c r="D312" s="991"/>
      <c r="E312" s="991"/>
      <c r="F312" s="991"/>
      <c r="G312" s="991"/>
      <c r="H312" s="991"/>
    </row>
    <row r="313" spans="1:8" x14ac:dyDescent="0.2">
      <c r="A313" s="992" t="s">
        <v>705</v>
      </c>
      <c r="B313" s="991"/>
      <c r="C313" s="991"/>
      <c r="D313" s="991"/>
      <c r="E313" s="991"/>
      <c r="F313" s="991"/>
      <c r="G313" s="991"/>
      <c r="H313" s="991"/>
    </row>
    <row r="314" spans="1:8" x14ac:dyDescent="0.2">
      <c r="A314" s="992" t="s">
        <v>706</v>
      </c>
      <c r="B314" s="991"/>
      <c r="C314" s="991"/>
      <c r="D314" s="991"/>
      <c r="E314" s="991"/>
      <c r="F314" s="991"/>
      <c r="G314" s="991"/>
      <c r="H314" s="991"/>
    </row>
    <row r="315" spans="1:8" x14ac:dyDescent="0.2">
      <c r="A315" s="992" t="s">
        <v>707</v>
      </c>
      <c r="B315" s="991"/>
      <c r="C315" s="991"/>
      <c r="D315" s="991"/>
      <c r="E315" s="991"/>
      <c r="F315" s="991"/>
      <c r="G315" s="991"/>
      <c r="H315" s="991"/>
    </row>
    <row r="316" spans="1:8" x14ac:dyDescent="0.2">
      <c r="A316" s="992" t="s">
        <v>708</v>
      </c>
      <c r="B316" s="991"/>
      <c r="C316" s="991"/>
      <c r="D316" s="991"/>
      <c r="E316" s="991"/>
      <c r="F316" s="991"/>
      <c r="G316" s="991"/>
      <c r="H316" s="991"/>
    </row>
    <row r="317" spans="1:8" x14ac:dyDescent="0.2">
      <c r="A317" s="992" t="s">
        <v>709</v>
      </c>
      <c r="B317" s="991"/>
      <c r="C317" s="991"/>
      <c r="D317" s="991"/>
      <c r="E317" s="991"/>
      <c r="F317" s="991"/>
      <c r="G317" s="991"/>
      <c r="H317" s="991"/>
    </row>
    <row r="318" spans="1:8" x14ac:dyDescent="0.2">
      <c r="A318" s="992" t="s">
        <v>710</v>
      </c>
      <c r="B318" s="991"/>
      <c r="C318" s="991"/>
      <c r="D318" s="991"/>
      <c r="E318" s="991"/>
      <c r="F318" s="991"/>
      <c r="G318" s="991"/>
      <c r="H318" s="991"/>
    </row>
    <row r="319" spans="1:8" x14ac:dyDescent="0.2">
      <c r="A319" s="992" t="s">
        <v>711</v>
      </c>
      <c r="B319" s="991"/>
      <c r="C319" s="991"/>
      <c r="D319" s="991"/>
      <c r="E319" s="991"/>
      <c r="F319" s="991"/>
      <c r="G319" s="991"/>
      <c r="H319" s="991"/>
    </row>
    <row r="320" spans="1:8" x14ac:dyDescent="0.2">
      <c r="A320" s="992" t="s">
        <v>712</v>
      </c>
      <c r="B320" s="991"/>
      <c r="C320" s="991"/>
      <c r="D320" s="991"/>
      <c r="E320" s="991"/>
      <c r="F320" s="991"/>
      <c r="G320" s="991"/>
      <c r="H320" s="991"/>
    </row>
    <row r="321" spans="1:8" x14ac:dyDescent="0.2">
      <c r="A321" s="991"/>
      <c r="B321" s="991"/>
      <c r="C321" s="991"/>
      <c r="D321" s="991"/>
      <c r="E321" s="991"/>
      <c r="F321" s="991"/>
      <c r="G321" s="991"/>
      <c r="H321" s="991"/>
    </row>
    <row r="322" spans="1:8" x14ac:dyDescent="0.2">
      <c r="A322" s="992" t="s">
        <v>692</v>
      </c>
      <c r="B322" s="991"/>
      <c r="C322" s="991"/>
      <c r="D322" s="991"/>
      <c r="E322" s="991"/>
      <c r="F322" s="991"/>
      <c r="G322" s="991"/>
      <c r="H322" s="991"/>
    </row>
    <row r="323" spans="1:8" x14ac:dyDescent="0.2">
      <c r="A323" s="992" t="s">
        <v>693</v>
      </c>
      <c r="B323" s="991"/>
      <c r="C323" s="991"/>
      <c r="D323" s="991"/>
      <c r="E323" s="991"/>
      <c r="F323" s="991"/>
      <c r="G323" s="991"/>
      <c r="H323" s="991"/>
    </row>
    <row r="324" spans="1:8" x14ac:dyDescent="0.2">
      <c r="A324" s="992" t="s">
        <v>694</v>
      </c>
      <c r="B324" s="991"/>
      <c r="C324" s="991"/>
      <c r="D324" s="991"/>
      <c r="E324" s="991"/>
      <c r="F324" s="991"/>
      <c r="G324" s="991"/>
      <c r="H324" s="991"/>
    </row>
    <row r="325" spans="1:8" x14ac:dyDescent="0.2">
      <c r="A325" s="992" t="s">
        <v>695</v>
      </c>
      <c r="B325" s="991"/>
      <c r="C325" s="991"/>
      <c r="D325" s="991"/>
      <c r="E325" s="991"/>
      <c r="F325" s="991"/>
      <c r="G325" s="991"/>
      <c r="H325" s="991"/>
    </row>
    <row r="326" spans="1:8" x14ac:dyDescent="0.2">
      <c r="A326" s="992" t="s">
        <v>696</v>
      </c>
      <c r="B326" s="991"/>
      <c r="C326" s="991"/>
      <c r="D326" s="991"/>
      <c r="E326" s="991"/>
      <c r="F326" s="991"/>
      <c r="G326" s="991"/>
      <c r="H326" s="991"/>
    </row>
    <row r="327" spans="1:8" x14ac:dyDescent="0.2">
      <c r="A327" s="992" t="s">
        <v>697</v>
      </c>
      <c r="B327" s="991"/>
      <c r="C327" s="991"/>
      <c r="D327" s="991"/>
      <c r="E327" s="991"/>
      <c r="F327" s="991"/>
      <c r="G327" s="991"/>
      <c r="H327" s="991"/>
    </row>
    <row r="328" spans="1:8" x14ac:dyDescent="0.2">
      <c r="A328" s="992" t="s">
        <v>698</v>
      </c>
      <c r="B328" s="991"/>
      <c r="C328" s="991"/>
      <c r="D328" s="991"/>
      <c r="E328" s="991"/>
      <c r="F328" s="991"/>
      <c r="G328" s="991"/>
      <c r="H328" s="991"/>
    </row>
    <row r="329" spans="1:8" x14ac:dyDescent="0.2">
      <c r="A329" s="992" t="s">
        <v>699</v>
      </c>
      <c r="B329" s="991"/>
      <c r="C329" s="991"/>
      <c r="D329" s="991"/>
      <c r="E329" s="991"/>
      <c r="F329" s="991"/>
      <c r="G329" s="991"/>
      <c r="H329" s="991"/>
    </row>
    <row r="330" spans="1:8" x14ac:dyDescent="0.2">
      <c r="A330" s="991"/>
      <c r="B330" s="991"/>
      <c r="C330" s="991"/>
      <c r="D330" s="991"/>
      <c r="E330" s="991"/>
      <c r="F330" s="991"/>
      <c r="G330" s="991"/>
      <c r="H330" s="991"/>
    </row>
    <row r="331" spans="1:8" x14ac:dyDescent="0.2">
      <c r="A331" s="992" t="s">
        <v>657</v>
      </c>
      <c r="B331" s="991"/>
      <c r="C331" s="991"/>
      <c r="D331" s="991"/>
      <c r="E331" s="991"/>
      <c r="F331" s="991"/>
      <c r="G331" s="991"/>
      <c r="H331" s="991"/>
    </row>
    <row r="332" spans="1:8" x14ac:dyDescent="0.2">
      <c r="A332" s="992" t="s">
        <v>658</v>
      </c>
      <c r="B332" s="991"/>
      <c r="C332" s="991"/>
      <c r="D332" s="991"/>
      <c r="E332" s="991"/>
      <c r="F332" s="991"/>
      <c r="G332" s="991"/>
      <c r="H332" s="991"/>
    </row>
    <row r="333" spans="1:8" x14ac:dyDescent="0.2">
      <c r="A333" s="992" t="s">
        <v>659</v>
      </c>
      <c r="B333" s="991"/>
      <c r="C333" s="991"/>
      <c r="D333" s="991"/>
      <c r="E333" s="991"/>
      <c r="F333" s="991"/>
      <c r="G333" s="991"/>
      <c r="H333" s="991"/>
    </row>
    <row r="334" spans="1:8" x14ac:dyDescent="0.2">
      <c r="A334" s="992" t="s">
        <v>660</v>
      </c>
      <c r="B334" s="991"/>
      <c r="C334" s="991"/>
      <c r="D334" s="991"/>
      <c r="E334" s="991"/>
      <c r="F334" s="991"/>
      <c r="G334" s="991"/>
      <c r="H334" s="991"/>
    </row>
    <row r="335" spans="1:8" x14ac:dyDescent="0.2">
      <c r="A335" s="992" t="s">
        <v>661</v>
      </c>
      <c r="B335" s="991"/>
      <c r="C335" s="991"/>
      <c r="D335" s="991"/>
      <c r="E335" s="991"/>
      <c r="F335" s="991"/>
      <c r="G335" s="991"/>
      <c r="H335" s="991"/>
    </row>
    <row r="336" spans="1:8" x14ac:dyDescent="0.2">
      <c r="A336" s="992" t="s">
        <v>662</v>
      </c>
      <c r="B336" s="991"/>
      <c r="C336" s="991"/>
      <c r="D336" s="991"/>
      <c r="E336" s="991"/>
      <c r="F336" s="991"/>
      <c r="G336" s="991"/>
      <c r="H336" s="991"/>
    </row>
    <row r="337" spans="1:8" x14ac:dyDescent="0.2">
      <c r="A337" s="992" t="s">
        <v>663</v>
      </c>
      <c r="B337" s="991"/>
      <c r="C337" s="991"/>
      <c r="D337" s="991"/>
      <c r="E337" s="991"/>
      <c r="F337" s="991"/>
      <c r="G337" s="991"/>
      <c r="H337" s="991"/>
    </row>
    <row r="338" spans="1:8" x14ac:dyDescent="0.2">
      <c r="A338" s="992" t="s">
        <v>664</v>
      </c>
      <c r="B338" s="991"/>
      <c r="C338" s="991"/>
      <c r="D338" s="991"/>
      <c r="E338" s="991"/>
      <c r="F338" s="991"/>
      <c r="G338" s="991"/>
      <c r="H338" s="991"/>
    </row>
    <row r="339" spans="1:8" x14ac:dyDescent="0.2">
      <c r="A339" s="992" t="s">
        <v>665</v>
      </c>
      <c r="B339" s="991"/>
      <c r="C339" s="991"/>
      <c r="D339" s="991"/>
      <c r="E339" s="991"/>
      <c r="F339" s="991"/>
      <c r="G339" s="991"/>
      <c r="H339" s="991"/>
    </row>
    <row r="340" spans="1:8" x14ac:dyDescent="0.2">
      <c r="A340" s="992" t="s">
        <v>666</v>
      </c>
      <c r="B340" s="991"/>
      <c r="C340" s="991"/>
      <c r="D340" s="991"/>
      <c r="E340" s="991"/>
      <c r="F340" s="991"/>
      <c r="G340" s="991"/>
      <c r="H340" s="991"/>
    </row>
    <row r="341" spans="1:8" x14ac:dyDescent="0.2">
      <c r="A341" s="992" t="s">
        <v>667</v>
      </c>
      <c r="B341" s="991"/>
      <c r="C341" s="991"/>
      <c r="D341" s="991"/>
      <c r="E341" s="991"/>
      <c r="F341" s="991"/>
      <c r="G341" s="991"/>
      <c r="H341" s="991"/>
    </row>
    <row r="342" spans="1:8" x14ac:dyDescent="0.2">
      <c r="A342" s="992" t="s">
        <v>668</v>
      </c>
      <c r="B342" s="991"/>
      <c r="C342" s="991"/>
      <c r="D342" s="991"/>
      <c r="E342" s="991"/>
      <c r="F342" s="991"/>
      <c r="G342" s="991"/>
      <c r="H342" s="991"/>
    </row>
    <row r="343" spans="1:8" x14ac:dyDescent="0.2">
      <c r="A343" s="992" t="s">
        <v>669</v>
      </c>
      <c r="B343" s="991"/>
      <c r="C343" s="991"/>
      <c r="D343" s="991"/>
      <c r="E343" s="991"/>
      <c r="F343" s="991"/>
      <c r="G343" s="991"/>
      <c r="H343" s="991"/>
    </row>
    <row r="344" spans="1:8" x14ac:dyDescent="0.2">
      <c r="A344" s="992" t="s">
        <v>670</v>
      </c>
      <c r="B344" s="991"/>
      <c r="C344" s="991"/>
      <c r="D344" s="991"/>
      <c r="E344" s="991"/>
      <c r="F344" s="991"/>
      <c r="G344" s="991"/>
      <c r="H344" s="991"/>
    </row>
    <row r="345" spans="1:8" x14ac:dyDescent="0.2">
      <c r="A345" s="992" t="s">
        <v>671</v>
      </c>
      <c r="B345" s="991"/>
      <c r="C345" s="991"/>
      <c r="D345" s="991"/>
      <c r="E345" s="991"/>
      <c r="F345" s="991"/>
      <c r="G345" s="991"/>
      <c r="H345" s="991"/>
    </row>
    <row r="346" spans="1:8" x14ac:dyDescent="0.2">
      <c r="A346" s="992" t="s">
        <v>672</v>
      </c>
      <c r="B346" s="991"/>
      <c r="C346" s="991"/>
      <c r="D346" s="991"/>
      <c r="E346" s="991"/>
      <c r="F346" s="991"/>
      <c r="G346" s="991"/>
      <c r="H346" s="991"/>
    </row>
    <row r="347" spans="1:8" x14ac:dyDescent="0.2">
      <c r="A347" s="992" t="s">
        <v>673</v>
      </c>
      <c r="B347" s="991"/>
      <c r="C347" s="991"/>
      <c r="D347" s="991"/>
      <c r="E347" s="991"/>
      <c r="F347" s="991"/>
      <c r="G347" s="991"/>
      <c r="H347" s="991"/>
    </row>
    <row r="348" spans="1:8" x14ac:dyDescent="0.2">
      <c r="A348" s="992" t="s">
        <v>674</v>
      </c>
      <c r="B348" s="991"/>
      <c r="C348" s="991"/>
      <c r="D348" s="991"/>
      <c r="E348" s="991"/>
      <c r="F348" s="991"/>
      <c r="G348" s="991"/>
      <c r="H348" s="991"/>
    </row>
    <row r="349" spans="1:8" x14ac:dyDescent="0.2">
      <c r="A349" s="992" t="s">
        <v>675</v>
      </c>
      <c r="B349" s="991"/>
      <c r="C349" s="991"/>
      <c r="D349" s="991"/>
      <c r="E349" s="991"/>
      <c r="F349" s="991"/>
      <c r="G349" s="991"/>
      <c r="H349" s="991"/>
    </row>
    <row r="350" spans="1:8" x14ac:dyDescent="0.2">
      <c r="A350" s="992" t="s">
        <v>676</v>
      </c>
      <c r="B350" s="991"/>
      <c r="C350" s="991"/>
      <c r="D350" s="991"/>
      <c r="E350" s="991"/>
      <c r="F350" s="991"/>
      <c r="G350" s="991"/>
      <c r="H350" s="991"/>
    </row>
    <row r="351" spans="1:8" x14ac:dyDescent="0.2">
      <c r="A351" s="992" t="s">
        <v>677</v>
      </c>
      <c r="B351" s="991"/>
      <c r="C351" s="991"/>
      <c r="D351" s="991"/>
      <c r="E351" s="991"/>
      <c r="F351" s="991"/>
      <c r="G351" s="991"/>
      <c r="H351" s="991"/>
    </row>
    <row r="352" spans="1:8" x14ac:dyDescent="0.2">
      <c r="A352" s="992" t="s">
        <v>678</v>
      </c>
      <c r="B352" s="991"/>
      <c r="C352" s="991"/>
      <c r="D352" s="991"/>
      <c r="E352" s="991"/>
      <c r="F352" s="991"/>
      <c r="G352" s="991"/>
      <c r="H352" s="991"/>
    </row>
    <row r="353" spans="1:8" x14ac:dyDescent="0.2">
      <c r="A353" s="992" t="s">
        <v>679</v>
      </c>
      <c r="B353" s="991"/>
      <c r="C353" s="991"/>
      <c r="D353" s="991"/>
      <c r="E353" s="991"/>
      <c r="F353" s="991"/>
      <c r="G353" s="991"/>
      <c r="H353" s="991"/>
    </row>
    <row r="354" spans="1:8" x14ac:dyDescent="0.2">
      <c r="A354" s="992" t="s">
        <v>680</v>
      </c>
      <c r="B354" s="991"/>
      <c r="C354" s="991"/>
      <c r="D354" s="991"/>
      <c r="E354" s="991"/>
      <c r="F354" s="991"/>
      <c r="G354" s="991"/>
      <c r="H354" s="991"/>
    </row>
    <row r="355" spans="1:8" x14ac:dyDescent="0.2">
      <c r="A355" s="992" t="s">
        <v>681</v>
      </c>
      <c r="B355" s="991"/>
      <c r="C355" s="991"/>
      <c r="D355" s="991"/>
      <c r="E355" s="991"/>
      <c r="F355" s="991"/>
      <c r="G355" s="991"/>
      <c r="H355" s="991"/>
    </row>
    <row r="356" spans="1:8" x14ac:dyDescent="0.2">
      <c r="A356" s="992" t="s">
        <v>682</v>
      </c>
      <c r="B356" s="991"/>
      <c r="C356" s="991"/>
      <c r="D356" s="991"/>
      <c r="E356" s="991"/>
      <c r="F356" s="991"/>
      <c r="G356" s="991"/>
      <c r="H356" s="991"/>
    </row>
    <row r="357" spans="1:8" x14ac:dyDescent="0.2">
      <c r="A357" s="992" t="s">
        <v>683</v>
      </c>
      <c r="B357" s="991"/>
      <c r="C357" s="991"/>
      <c r="D357" s="991"/>
      <c r="E357" s="991"/>
      <c r="F357" s="991"/>
      <c r="G357" s="991"/>
      <c r="H357" s="991"/>
    </row>
    <row r="358" spans="1:8" x14ac:dyDescent="0.2">
      <c r="A358" s="992" t="s">
        <v>684</v>
      </c>
      <c r="B358" s="991"/>
      <c r="C358" s="991"/>
      <c r="D358" s="991"/>
      <c r="E358" s="991"/>
      <c r="F358" s="991"/>
      <c r="G358" s="991"/>
      <c r="H358" s="991"/>
    </row>
    <row r="359" spans="1:8" x14ac:dyDescent="0.2">
      <c r="A359" s="992" t="s">
        <v>685</v>
      </c>
      <c r="B359" s="991"/>
      <c r="C359" s="991"/>
      <c r="D359" s="991"/>
      <c r="E359" s="991"/>
      <c r="F359" s="991"/>
      <c r="G359" s="991"/>
      <c r="H359" s="991"/>
    </row>
    <row r="360" spans="1:8" x14ac:dyDescent="0.2">
      <c r="A360" s="992" t="s">
        <v>686</v>
      </c>
      <c r="B360" s="991"/>
      <c r="C360" s="991"/>
      <c r="D360" s="991"/>
      <c r="E360" s="991"/>
      <c r="F360" s="991"/>
      <c r="G360" s="991"/>
      <c r="H360" s="991"/>
    </row>
    <row r="361" spans="1:8" x14ac:dyDescent="0.2">
      <c r="A361" s="992" t="s">
        <v>687</v>
      </c>
      <c r="B361" s="991"/>
      <c r="C361" s="991"/>
      <c r="D361" s="991"/>
      <c r="E361" s="991"/>
      <c r="F361" s="991"/>
      <c r="G361" s="991"/>
      <c r="H361" s="991"/>
    </row>
    <row r="362" spans="1:8" x14ac:dyDescent="0.2">
      <c r="A362" s="992" t="s">
        <v>688</v>
      </c>
      <c r="B362" s="991"/>
      <c r="C362" s="991"/>
      <c r="D362" s="991"/>
      <c r="E362" s="991"/>
      <c r="F362" s="991"/>
      <c r="G362" s="991"/>
      <c r="H362" s="991"/>
    </row>
    <row r="363" spans="1:8" x14ac:dyDescent="0.2">
      <c r="A363" s="992" t="s">
        <v>689</v>
      </c>
      <c r="B363" s="991"/>
      <c r="C363" s="991"/>
      <c r="D363" s="991"/>
      <c r="E363" s="991"/>
      <c r="F363" s="991"/>
      <c r="G363" s="991"/>
      <c r="H363" s="991"/>
    </row>
    <row r="364" spans="1:8" x14ac:dyDescent="0.2">
      <c r="A364" s="992" t="s">
        <v>690</v>
      </c>
      <c r="B364" s="991"/>
      <c r="C364" s="991"/>
      <c r="D364" s="991"/>
      <c r="E364" s="991"/>
      <c r="F364" s="991"/>
      <c r="G364" s="991"/>
      <c r="H364" s="991"/>
    </row>
    <row r="365" spans="1:8" x14ac:dyDescent="0.2">
      <c r="A365" s="992" t="s">
        <v>691</v>
      </c>
      <c r="B365" s="991"/>
      <c r="C365" s="991"/>
      <c r="D365" s="991"/>
      <c r="E365" s="991"/>
      <c r="F365" s="991"/>
      <c r="G365" s="991"/>
      <c r="H365" s="991"/>
    </row>
    <row r="366" spans="1:8" x14ac:dyDescent="0.2">
      <c r="A366" s="991"/>
      <c r="B366" s="991"/>
      <c r="C366" s="991"/>
      <c r="D366" s="991"/>
      <c r="E366" s="991"/>
      <c r="F366" s="991"/>
      <c r="G366" s="991"/>
      <c r="H366" s="991"/>
    </row>
    <row r="367" spans="1:8" x14ac:dyDescent="0.2">
      <c r="A367" s="992" t="s">
        <v>649</v>
      </c>
      <c r="B367" s="991"/>
      <c r="C367" s="991"/>
      <c r="D367" s="991"/>
      <c r="E367" s="991"/>
      <c r="F367" s="991"/>
      <c r="G367" s="991"/>
      <c r="H367" s="991"/>
    </row>
    <row r="368" spans="1:8" x14ac:dyDescent="0.2">
      <c r="A368" s="992" t="s">
        <v>653</v>
      </c>
      <c r="B368" s="991"/>
      <c r="C368" s="991"/>
      <c r="D368" s="991"/>
      <c r="E368" s="991"/>
      <c r="F368" s="991"/>
      <c r="G368" s="991"/>
      <c r="H368" s="991"/>
    </row>
    <row r="369" spans="1:8" x14ac:dyDescent="0.2">
      <c r="A369" s="992" t="s">
        <v>654</v>
      </c>
      <c r="B369" s="991"/>
      <c r="C369" s="991"/>
      <c r="D369" s="991"/>
      <c r="E369" s="991"/>
      <c r="F369" s="991"/>
      <c r="G369" s="991"/>
      <c r="H369" s="991"/>
    </row>
    <row r="370" spans="1:8" x14ac:dyDescent="0.2">
      <c r="A370" s="992" t="s">
        <v>655</v>
      </c>
      <c r="B370" s="991"/>
      <c r="C370" s="991"/>
      <c r="D370" s="991"/>
      <c r="E370" s="991"/>
      <c r="F370" s="991"/>
      <c r="G370" s="991"/>
      <c r="H370" s="991"/>
    </row>
    <row r="371" spans="1:8" x14ac:dyDescent="0.2">
      <c r="A371" s="992" t="s">
        <v>656</v>
      </c>
      <c r="B371" s="991"/>
      <c r="C371" s="991"/>
      <c r="D371" s="991"/>
      <c r="E371" s="991"/>
      <c r="F371" s="991"/>
      <c r="G371" s="991"/>
      <c r="H371" s="991"/>
    </row>
    <row r="372" spans="1:8" x14ac:dyDescent="0.2">
      <c r="A372" s="991"/>
      <c r="B372" s="991"/>
      <c r="C372" s="991"/>
      <c r="D372" s="991"/>
      <c r="E372" s="991"/>
      <c r="F372" s="991"/>
      <c r="G372" s="991"/>
      <c r="H372" s="991"/>
    </row>
    <row r="373" spans="1:8" x14ac:dyDescent="0.2">
      <c r="A373" s="992" t="s">
        <v>649</v>
      </c>
      <c r="B373" s="991"/>
      <c r="C373" s="991"/>
      <c r="D373" s="991"/>
      <c r="E373" s="991"/>
      <c r="F373" s="991"/>
      <c r="G373" s="991"/>
      <c r="H373" s="991"/>
    </row>
    <row r="374" spans="1:8" x14ac:dyDescent="0.2">
      <c r="A374" s="992" t="s">
        <v>650</v>
      </c>
      <c r="B374" s="991"/>
      <c r="C374" s="991"/>
      <c r="D374" s="991"/>
      <c r="E374" s="991"/>
      <c r="F374" s="991"/>
      <c r="G374" s="991"/>
      <c r="H374" s="991"/>
    </row>
    <row r="375" spans="1:8" x14ac:dyDescent="0.2">
      <c r="A375" s="992" t="s">
        <v>651</v>
      </c>
      <c r="B375" s="991"/>
      <c r="C375" s="991"/>
      <c r="D375" s="991"/>
      <c r="E375" s="991"/>
      <c r="F375" s="991"/>
      <c r="G375" s="991"/>
      <c r="H375" s="991"/>
    </row>
    <row r="376" spans="1:8" x14ac:dyDescent="0.2">
      <c r="A376" s="992" t="s">
        <v>652</v>
      </c>
      <c r="B376" s="991"/>
      <c r="C376" s="991"/>
      <c r="D376" s="991"/>
      <c r="E376" s="991"/>
      <c r="F376" s="991"/>
      <c r="G376" s="991"/>
      <c r="H376" s="991"/>
    </row>
    <row r="377" spans="1:8" x14ac:dyDescent="0.2">
      <c r="A377" s="991"/>
      <c r="B377" s="991"/>
      <c r="C377" s="991"/>
      <c r="D377" s="991"/>
      <c r="E377" s="991"/>
      <c r="F377" s="991"/>
      <c r="G377" s="991"/>
      <c r="H377" s="991"/>
    </row>
    <row r="378" spans="1:8" x14ac:dyDescent="0.2">
      <c r="A378" s="992" t="s">
        <v>643</v>
      </c>
      <c r="B378" s="991"/>
      <c r="C378" s="991"/>
      <c r="D378" s="991"/>
      <c r="E378" s="991"/>
      <c r="F378" s="991"/>
      <c r="G378" s="991"/>
      <c r="H378" s="991"/>
    </row>
    <row r="379" spans="1:8" x14ac:dyDescent="0.2">
      <c r="A379" s="992" t="s">
        <v>644</v>
      </c>
      <c r="B379" s="991"/>
      <c r="C379" s="991"/>
      <c r="D379" s="991"/>
      <c r="E379" s="991"/>
      <c r="F379" s="991"/>
      <c r="G379" s="991"/>
      <c r="H379" s="991"/>
    </row>
    <row r="380" spans="1:8" x14ac:dyDescent="0.2">
      <c r="A380" s="992" t="s">
        <v>645</v>
      </c>
      <c r="B380" s="991"/>
      <c r="C380" s="991"/>
      <c r="D380" s="991"/>
      <c r="E380" s="991"/>
      <c r="F380" s="991"/>
      <c r="G380" s="991"/>
      <c r="H380" s="991"/>
    </row>
    <row r="381" spans="1:8" x14ac:dyDescent="0.2">
      <c r="A381" s="992" t="s">
        <v>646</v>
      </c>
      <c r="B381" s="991"/>
      <c r="C381" s="991"/>
      <c r="D381" s="991"/>
      <c r="E381" s="991"/>
      <c r="F381" s="991"/>
      <c r="G381" s="991"/>
      <c r="H381" s="991"/>
    </row>
    <row r="382" spans="1:8" x14ac:dyDescent="0.2">
      <c r="A382" s="992" t="s">
        <v>647</v>
      </c>
      <c r="B382" s="991"/>
      <c r="C382" s="991"/>
      <c r="D382" s="991"/>
      <c r="E382" s="991"/>
      <c r="F382" s="991"/>
      <c r="G382" s="991"/>
      <c r="H382" s="991"/>
    </row>
    <row r="383" spans="1:8" x14ac:dyDescent="0.2">
      <c r="A383" s="992" t="s">
        <v>648</v>
      </c>
      <c r="B383" s="991"/>
      <c r="C383" s="991"/>
      <c r="D383" s="991"/>
      <c r="E383" s="991"/>
      <c r="F383" s="991"/>
      <c r="G383" s="991"/>
      <c r="H383" s="991"/>
    </row>
    <row r="384" spans="1:8" x14ac:dyDescent="0.2">
      <c r="A384" s="991"/>
      <c r="B384" s="991"/>
      <c r="C384" s="991"/>
      <c r="D384" s="991"/>
      <c r="E384" s="991"/>
      <c r="F384" s="991"/>
      <c r="G384" s="991"/>
      <c r="H384" s="991"/>
    </row>
    <row r="385" spans="1:8" x14ac:dyDescent="0.2">
      <c r="A385" s="992" t="s">
        <v>638</v>
      </c>
      <c r="B385" s="991"/>
      <c r="C385" s="991"/>
      <c r="D385" s="991"/>
      <c r="E385" s="991"/>
      <c r="F385" s="991"/>
      <c r="G385" s="991"/>
      <c r="H385" s="991"/>
    </row>
    <row r="386" spans="1:8" x14ac:dyDescent="0.2">
      <c r="A386" s="992" t="s">
        <v>639</v>
      </c>
      <c r="B386" s="991"/>
      <c r="C386" s="991"/>
      <c r="D386" s="991"/>
      <c r="E386" s="991"/>
      <c r="F386" s="991"/>
      <c r="G386" s="991"/>
      <c r="H386" s="991"/>
    </row>
    <row r="387" spans="1:8" x14ac:dyDescent="0.2">
      <c r="A387" s="992" t="s">
        <v>640</v>
      </c>
      <c r="B387" s="991"/>
      <c r="C387" s="991"/>
      <c r="D387" s="991"/>
      <c r="E387" s="991"/>
      <c r="F387" s="991"/>
      <c r="G387" s="991"/>
      <c r="H387" s="991"/>
    </row>
    <row r="388" spans="1:8" x14ac:dyDescent="0.2">
      <c r="A388" s="992" t="s">
        <v>641</v>
      </c>
      <c r="B388" s="991"/>
      <c r="C388" s="991"/>
      <c r="D388" s="991"/>
      <c r="E388" s="991"/>
      <c r="F388" s="991"/>
      <c r="G388" s="991"/>
      <c r="H388" s="991"/>
    </row>
    <row r="389" spans="1:8" x14ac:dyDescent="0.2">
      <c r="A389" s="992" t="s">
        <v>642</v>
      </c>
      <c r="B389" s="991"/>
      <c r="C389" s="991"/>
      <c r="D389" s="991"/>
      <c r="E389" s="991"/>
      <c r="F389" s="991"/>
      <c r="G389" s="991"/>
      <c r="H389" s="991"/>
    </row>
    <row r="390" spans="1:8" x14ac:dyDescent="0.2">
      <c r="A390" s="991"/>
      <c r="B390" s="991"/>
      <c r="C390" s="991"/>
      <c r="D390" s="991"/>
      <c r="E390" s="991"/>
      <c r="F390" s="991"/>
      <c r="G390" s="991"/>
      <c r="H390" s="991"/>
    </row>
    <row r="391" spans="1:8" x14ac:dyDescent="0.2">
      <c r="A391" s="992" t="s">
        <v>636</v>
      </c>
      <c r="B391" s="991"/>
      <c r="C391" s="991"/>
      <c r="D391" s="991"/>
      <c r="E391" s="991"/>
      <c r="F391" s="991"/>
      <c r="G391" s="991"/>
      <c r="H391" s="991"/>
    </row>
    <row r="392" spans="1:8" x14ac:dyDescent="0.2">
      <c r="A392" s="992" t="s">
        <v>637</v>
      </c>
      <c r="B392" s="991"/>
      <c r="C392" s="991"/>
      <c r="D392" s="991"/>
      <c r="E392" s="991"/>
      <c r="F392" s="991"/>
      <c r="G392" s="991"/>
      <c r="H392" s="991"/>
    </row>
    <row r="394" spans="1:8" x14ac:dyDescent="0.2">
      <c r="A394" s="987" t="s">
        <v>894</v>
      </c>
    </row>
  </sheetData>
  <mergeCells count="12">
    <mergeCell ref="A132:H132"/>
    <mergeCell ref="A133:H133"/>
    <mergeCell ref="B125:C125"/>
    <mergeCell ref="D125:F125"/>
    <mergeCell ref="G125:H125"/>
    <mergeCell ref="A111:H111"/>
    <mergeCell ref="A112:H112"/>
    <mergeCell ref="A113:H113"/>
    <mergeCell ref="A114:H114"/>
    <mergeCell ref="A116:H116"/>
    <mergeCell ref="A117:H117"/>
    <mergeCell ref="A124:H124"/>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V65536"/>
  <sheetViews>
    <sheetView zoomScaleNormal="100" workbookViewId="0"/>
  </sheetViews>
  <sheetFormatPr defaultRowHeight="12.75" x14ac:dyDescent="0.2"/>
  <cols>
    <col min="2" max="2" width="44.83203125" customWidth="1"/>
    <col min="3" max="3" width="15" customWidth="1"/>
  </cols>
  <sheetData>
    <row r="1" spans="1:256" x14ac:dyDescent="0.2">
      <c r="A1" s="683"/>
      <c r="B1" s="683"/>
      <c r="C1" s="683"/>
      <c r="D1" s="683"/>
      <c r="E1" s="683"/>
      <c r="F1" s="683"/>
      <c r="G1" s="683"/>
      <c r="H1" s="683"/>
      <c r="I1" s="683"/>
      <c r="J1" s="683"/>
      <c r="K1" s="683"/>
      <c r="L1" s="683"/>
      <c r="M1" s="683"/>
      <c r="N1" s="683"/>
      <c r="O1" s="683"/>
      <c r="P1" s="683"/>
      <c r="Q1" s="683"/>
      <c r="R1" s="683"/>
      <c r="S1" s="683"/>
      <c r="T1" s="683"/>
      <c r="U1" s="683"/>
      <c r="V1" s="683"/>
      <c r="W1" s="683"/>
      <c r="X1" s="683"/>
      <c r="Y1" s="683"/>
      <c r="Z1" s="683"/>
      <c r="AA1" s="683"/>
      <c r="AB1" s="683"/>
      <c r="AC1" s="683"/>
      <c r="AD1" s="683"/>
      <c r="AE1" s="683"/>
      <c r="AF1" s="683"/>
      <c r="AG1" s="683"/>
      <c r="AH1" s="683"/>
      <c r="AI1" s="683"/>
      <c r="AJ1" s="683"/>
      <c r="AK1" s="683"/>
      <c r="AL1" s="683"/>
      <c r="AM1" s="683"/>
      <c r="AN1" s="683"/>
      <c r="AO1" s="683"/>
      <c r="AP1" s="683"/>
      <c r="AQ1" s="683"/>
      <c r="AR1" s="683"/>
      <c r="AS1" s="683"/>
      <c r="AT1" s="683"/>
      <c r="AU1" s="683"/>
      <c r="AV1" s="683"/>
      <c r="AW1" s="683"/>
      <c r="AX1" s="683"/>
      <c r="AY1" s="683"/>
      <c r="AZ1" s="683"/>
      <c r="BA1" s="683"/>
      <c r="BB1" s="683"/>
      <c r="BC1" s="683"/>
      <c r="BD1" s="683"/>
      <c r="BE1" s="683"/>
      <c r="BF1" s="683"/>
      <c r="BG1" s="683"/>
      <c r="BH1" s="683"/>
      <c r="BI1" s="683"/>
      <c r="BJ1" s="683"/>
      <c r="BK1" s="683"/>
      <c r="BL1" s="683"/>
      <c r="BM1" s="683"/>
      <c r="BN1" s="683"/>
      <c r="BO1" s="683"/>
      <c r="BP1" s="683"/>
      <c r="BQ1" s="683"/>
      <c r="BR1" s="683"/>
      <c r="BS1" s="683"/>
      <c r="BT1" s="683"/>
      <c r="BU1" s="683"/>
      <c r="BV1" s="683"/>
      <c r="BW1" s="683"/>
      <c r="BX1" s="683"/>
      <c r="BY1" s="683"/>
      <c r="BZ1" s="683"/>
      <c r="CA1" s="683"/>
      <c r="CB1" s="683"/>
      <c r="CC1" s="683"/>
      <c r="CD1" s="683"/>
      <c r="CE1" s="683"/>
      <c r="CF1" s="683"/>
      <c r="CG1" s="683"/>
      <c r="CH1" s="683"/>
      <c r="CI1" s="683"/>
      <c r="CJ1" s="683"/>
      <c r="CK1" s="683"/>
      <c r="CL1" s="683"/>
      <c r="CM1" s="683"/>
      <c r="CN1" s="683"/>
      <c r="CO1" s="683"/>
      <c r="CP1" s="683"/>
      <c r="CQ1" s="683"/>
      <c r="CR1" s="683"/>
      <c r="CS1" s="683"/>
      <c r="CT1" s="683"/>
      <c r="CU1" s="683"/>
      <c r="CV1" s="683"/>
      <c r="CW1" s="683"/>
      <c r="CX1" s="683"/>
      <c r="CY1" s="683"/>
      <c r="CZ1" s="683"/>
      <c r="DA1" s="683"/>
      <c r="DB1" s="683"/>
      <c r="DC1" s="683"/>
      <c r="DD1" s="683"/>
      <c r="DE1" s="683"/>
      <c r="DF1" s="683"/>
      <c r="DG1" s="683"/>
      <c r="DH1" s="683"/>
      <c r="DI1" s="683"/>
      <c r="DJ1" s="683"/>
      <c r="DK1" s="683"/>
      <c r="DL1" s="683"/>
      <c r="DM1" s="683"/>
      <c r="DN1" s="683"/>
      <c r="DO1" s="683"/>
      <c r="DP1" s="683"/>
      <c r="DQ1" s="683"/>
      <c r="DR1" s="683"/>
      <c r="DS1" s="683"/>
      <c r="DT1" s="683"/>
      <c r="DU1" s="683"/>
      <c r="DV1" s="683"/>
      <c r="DW1" s="683"/>
      <c r="DX1" s="683"/>
      <c r="DY1" s="683"/>
      <c r="DZ1" s="683"/>
      <c r="EA1" s="683"/>
      <c r="EB1" s="683"/>
      <c r="EC1" s="683"/>
      <c r="ED1" s="683"/>
      <c r="EE1" s="683"/>
      <c r="EF1" s="683"/>
      <c r="EG1" s="683"/>
      <c r="EH1" s="683"/>
      <c r="EI1" s="683"/>
      <c r="EJ1" s="683"/>
      <c r="EK1" s="683"/>
      <c r="EL1" s="683"/>
      <c r="EM1" s="683"/>
      <c r="EN1" s="683"/>
      <c r="EO1" s="683"/>
      <c r="EP1" s="683"/>
      <c r="EQ1" s="683"/>
      <c r="ER1" s="683"/>
      <c r="ES1" s="683"/>
      <c r="ET1" s="683"/>
      <c r="EU1" s="683"/>
      <c r="EV1" s="683"/>
      <c r="EW1" s="683"/>
      <c r="EX1" s="683"/>
      <c r="EY1" s="683"/>
      <c r="EZ1" s="683"/>
      <c r="FA1" s="683"/>
      <c r="FB1" s="683"/>
      <c r="FC1" s="683"/>
      <c r="FD1" s="683"/>
      <c r="FE1" s="683"/>
      <c r="FF1" s="683"/>
      <c r="FG1" s="683"/>
      <c r="FH1" s="683"/>
      <c r="FI1" s="683"/>
      <c r="FJ1" s="683"/>
      <c r="FK1" s="683"/>
      <c r="FL1" s="683"/>
      <c r="FM1" s="683"/>
      <c r="FN1" s="683"/>
      <c r="FO1" s="683"/>
      <c r="FP1" s="683"/>
      <c r="FQ1" s="683"/>
      <c r="FR1" s="683"/>
      <c r="FS1" s="683"/>
      <c r="FT1" s="683"/>
      <c r="FU1" s="683"/>
      <c r="FV1" s="683"/>
      <c r="FW1" s="683"/>
      <c r="FX1" s="683"/>
      <c r="FY1" s="683"/>
      <c r="FZ1" s="683"/>
      <c r="GA1" s="683"/>
      <c r="GB1" s="683"/>
      <c r="GC1" s="683"/>
      <c r="GD1" s="683"/>
      <c r="GE1" s="683"/>
      <c r="GF1" s="683"/>
      <c r="GG1" s="683"/>
      <c r="GH1" s="683"/>
      <c r="GI1" s="683"/>
      <c r="GJ1" s="683"/>
      <c r="GK1" s="683"/>
      <c r="GL1" s="683"/>
      <c r="GM1" s="683"/>
      <c r="GN1" s="683"/>
      <c r="GO1" s="683"/>
      <c r="GP1" s="683"/>
      <c r="GQ1" s="683"/>
      <c r="GR1" s="683"/>
      <c r="GS1" s="683"/>
      <c r="GT1" s="683"/>
      <c r="GU1" s="683"/>
      <c r="GV1" s="683"/>
      <c r="GW1" s="683"/>
      <c r="GX1" s="683"/>
      <c r="GY1" s="683"/>
      <c r="GZ1" s="683"/>
      <c r="HA1" s="683"/>
      <c r="HB1" s="683"/>
      <c r="HC1" s="683"/>
      <c r="HD1" s="683"/>
      <c r="HE1" s="683"/>
      <c r="HF1" s="683"/>
      <c r="HG1" s="683"/>
      <c r="HH1" s="683"/>
      <c r="HI1" s="683"/>
      <c r="HJ1" s="683"/>
      <c r="HK1" s="683"/>
      <c r="HL1" s="683"/>
      <c r="HM1" s="683"/>
      <c r="HN1" s="683"/>
      <c r="HO1" s="683"/>
      <c r="HP1" s="683"/>
      <c r="HQ1" s="683"/>
      <c r="HR1" s="683"/>
      <c r="HS1" s="683"/>
      <c r="HT1" s="683"/>
      <c r="HU1" s="683"/>
      <c r="HV1" s="683"/>
      <c r="HW1" s="683"/>
      <c r="HX1" s="683"/>
      <c r="HY1" s="683"/>
      <c r="HZ1" s="683"/>
      <c r="IA1" s="683"/>
      <c r="IB1" s="683"/>
      <c r="IC1" s="683"/>
      <c r="ID1" s="683"/>
      <c r="IE1" s="683"/>
      <c r="IF1" s="683"/>
      <c r="IG1" s="683"/>
      <c r="IH1" s="683"/>
      <c r="II1" s="683"/>
      <c r="IJ1" s="683"/>
      <c r="IK1" s="683"/>
      <c r="IL1" s="683"/>
      <c r="IM1" s="683"/>
      <c r="IN1" s="683"/>
      <c r="IO1" s="683"/>
      <c r="IP1" s="683"/>
      <c r="IQ1" s="683"/>
      <c r="IR1" s="683"/>
      <c r="IS1" s="683"/>
      <c r="IT1" s="683"/>
      <c r="IU1" s="683"/>
      <c r="IV1" s="683"/>
    </row>
    <row r="2" spans="1:256" ht="28.5" customHeight="1" x14ac:dyDescent="0.35">
      <c r="A2" s="683"/>
      <c r="B2" s="684" t="s">
        <v>245</v>
      </c>
      <c r="C2" s="683"/>
      <c r="D2" s="683"/>
      <c r="E2" s="683"/>
      <c r="F2" s="683"/>
      <c r="G2" s="683"/>
      <c r="H2" s="683"/>
      <c r="I2" s="683"/>
      <c r="J2" s="683"/>
      <c r="K2" s="683"/>
      <c r="L2" s="683"/>
      <c r="M2" s="683"/>
      <c r="N2" s="683"/>
      <c r="O2" s="683"/>
      <c r="P2" s="683"/>
      <c r="Q2" s="683"/>
      <c r="R2" s="683"/>
      <c r="S2" s="683"/>
      <c r="T2" s="683"/>
      <c r="U2" s="683"/>
      <c r="V2" s="683"/>
      <c r="W2" s="683"/>
      <c r="X2" s="683"/>
      <c r="Y2" s="683"/>
      <c r="Z2" s="683"/>
      <c r="AA2" s="683"/>
      <c r="AB2" s="683"/>
      <c r="AC2" s="683"/>
      <c r="AD2" s="683"/>
      <c r="AE2" s="683"/>
      <c r="AF2" s="683"/>
      <c r="AG2" s="683"/>
      <c r="AH2" s="683"/>
      <c r="AI2" s="683"/>
      <c r="AJ2" s="683"/>
      <c r="AK2" s="683"/>
      <c r="AL2" s="683"/>
      <c r="AM2" s="683"/>
      <c r="AN2" s="683"/>
      <c r="AO2" s="683"/>
      <c r="AP2" s="683"/>
      <c r="AQ2" s="683"/>
      <c r="AR2" s="683"/>
      <c r="AS2" s="683"/>
      <c r="AT2" s="683"/>
      <c r="AU2" s="683"/>
      <c r="AV2" s="683"/>
      <c r="AW2" s="683"/>
      <c r="AX2" s="683"/>
      <c r="AY2" s="683"/>
      <c r="AZ2" s="683"/>
      <c r="BA2" s="683"/>
      <c r="BB2" s="683"/>
      <c r="BC2" s="683"/>
      <c r="BD2" s="683"/>
      <c r="BE2" s="683"/>
      <c r="BF2" s="683"/>
      <c r="BG2" s="683"/>
      <c r="BH2" s="683"/>
      <c r="BI2" s="683"/>
      <c r="BJ2" s="683"/>
      <c r="BK2" s="683"/>
      <c r="BL2" s="683"/>
      <c r="BM2" s="683"/>
      <c r="BN2" s="683"/>
      <c r="BO2" s="683"/>
      <c r="BP2" s="683"/>
      <c r="BQ2" s="683"/>
      <c r="BR2" s="683"/>
      <c r="BS2" s="683"/>
      <c r="BT2" s="683"/>
      <c r="BU2" s="683"/>
      <c r="BV2" s="683"/>
      <c r="BW2" s="683"/>
      <c r="BX2" s="683"/>
      <c r="BY2" s="683"/>
      <c r="BZ2" s="683"/>
      <c r="CA2" s="683"/>
      <c r="CB2" s="683"/>
      <c r="CC2" s="683"/>
      <c r="CD2" s="683"/>
      <c r="CE2" s="683"/>
      <c r="CF2" s="683"/>
      <c r="CG2" s="683"/>
      <c r="CH2" s="683"/>
      <c r="CI2" s="683"/>
      <c r="CJ2" s="683"/>
      <c r="CK2" s="683"/>
      <c r="CL2" s="683"/>
      <c r="CM2" s="683"/>
      <c r="CN2" s="683"/>
      <c r="CO2" s="683"/>
      <c r="CP2" s="683"/>
      <c r="CQ2" s="683"/>
      <c r="CR2" s="683"/>
      <c r="CS2" s="683"/>
      <c r="CT2" s="683"/>
      <c r="CU2" s="683"/>
      <c r="CV2" s="683"/>
      <c r="CW2" s="683"/>
      <c r="CX2" s="683"/>
      <c r="CY2" s="683"/>
      <c r="CZ2" s="683"/>
      <c r="DA2" s="683"/>
      <c r="DB2" s="683"/>
      <c r="DC2" s="683"/>
      <c r="DD2" s="683"/>
      <c r="DE2" s="683"/>
      <c r="DF2" s="683"/>
      <c r="DG2" s="683"/>
      <c r="DH2" s="683"/>
      <c r="DI2" s="683"/>
      <c r="DJ2" s="683"/>
      <c r="DK2" s="683"/>
      <c r="DL2" s="683"/>
      <c r="DM2" s="683"/>
      <c r="DN2" s="683"/>
      <c r="DO2" s="683"/>
      <c r="DP2" s="683"/>
      <c r="DQ2" s="683"/>
      <c r="DR2" s="683"/>
      <c r="DS2" s="683"/>
      <c r="DT2" s="683"/>
      <c r="DU2" s="683"/>
      <c r="DV2" s="683"/>
      <c r="DW2" s="683"/>
      <c r="DX2" s="683"/>
      <c r="DY2" s="683"/>
      <c r="DZ2" s="683"/>
      <c r="EA2" s="683"/>
      <c r="EB2" s="683"/>
      <c r="EC2" s="683"/>
      <c r="ED2" s="683"/>
      <c r="EE2" s="683"/>
      <c r="EF2" s="683"/>
      <c r="EG2" s="683"/>
      <c r="EH2" s="683"/>
      <c r="EI2" s="683"/>
      <c r="EJ2" s="683"/>
      <c r="EK2" s="683"/>
      <c r="EL2" s="683"/>
      <c r="EM2" s="683"/>
      <c r="EN2" s="683"/>
      <c r="EO2" s="683"/>
      <c r="EP2" s="683"/>
      <c r="EQ2" s="683"/>
      <c r="ER2" s="683"/>
      <c r="ES2" s="683"/>
      <c r="ET2" s="683"/>
      <c r="EU2" s="683"/>
      <c r="EV2" s="683"/>
      <c r="EW2" s="683"/>
      <c r="EX2" s="683"/>
      <c r="EY2" s="683"/>
      <c r="EZ2" s="683"/>
      <c r="FA2" s="683"/>
      <c r="FB2" s="683"/>
      <c r="FC2" s="683"/>
      <c r="FD2" s="683"/>
      <c r="FE2" s="683"/>
      <c r="FF2" s="683"/>
      <c r="FG2" s="683"/>
      <c r="FH2" s="683"/>
      <c r="FI2" s="683"/>
      <c r="FJ2" s="683"/>
      <c r="FK2" s="683"/>
      <c r="FL2" s="683"/>
      <c r="FM2" s="683"/>
      <c r="FN2" s="683"/>
      <c r="FO2" s="683"/>
      <c r="FP2" s="683"/>
      <c r="FQ2" s="683"/>
      <c r="FR2" s="683"/>
      <c r="FS2" s="683"/>
      <c r="FT2" s="683"/>
      <c r="FU2" s="683"/>
      <c r="FV2" s="683"/>
      <c r="FW2" s="683"/>
      <c r="FX2" s="683"/>
      <c r="FY2" s="683"/>
      <c r="FZ2" s="683"/>
      <c r="GA2" s="683"/>
      <c r="GB2" s="683"/>
      <c r="GC2" s="683"/>
      <c r="GD2" s="683"/>
      <c r="GE2" s="683"/>
      <c r="GF2" s="683"/>
      <c r="GG2" s="683"/>
      <c r="GH2" s="683"/>
      <c r="GI2" s="683"/>
      <c r="GJ2" s="683"/>
      <c r="GK2" s="683"/>
      <c r="GL2" s="683"/>
      <c r="GM2" s="683"/>
      <c r="GN2" s="683"/>
      <c r="GO2" s="683"/>
      <c r="GP2" s="683"/>
      <c r="GQ2" s="683"/>
      <c r="GR2" s="683"/>
      <c r="GS2" s="683"/>
      <c r="GT2" s="683"/>
      <c r="GU2" s="683"/>
      <c r="GV2" s="683"/>
      <c r="GW2" s="683"/>
      <c r="GX2" s="683"/>
      <c r="GY2" s="683"/>
      <c r="GZ2" s="683"/>
      <c r="HA2" s="683"/>
      <c r="HB2" s="683"/>
      <c r="HC2" s="683"/>
      <c r="HD2" s="683"/>
      <c r="HE2" s="683"/>
      <c r="HF2" s="683"/>
      <c r="HG2" s="683"/>
      <c r="HH2" s="683"/>
      <c r="HI2" s="683"/>
      <c r="HJ2" s="683"/>
      <c r="HK2" s="683"/>
      <c r="HL2" s="683"/>
      <c r="HM2" s="683"/>
      <c r="HN2" s="683"/>
      <c r="HO2" s="683"/>
      <c r="HP2" s="683"/>
      <c r="HQ2" s="683"/>
      <c r="HR2" s="683"/>
      <c r="HS2" s="683"/>
      <c r="HT2" s="683"/>
      <c r="HU2" s="683"/>
      <c r="HV2" s="683"/>
      <c r="HW2" s="683"/>
      <c r="HX2" s="683"/>
      <c r="HY2" s="683"/>
      <c r="HZ2" s="683"/>
      <c r="IA2" s="683"/>
      <c r="IB2" s="683"/>
      <c r="IC2" s="683"/>
      <c r="ID2" s="683"/>
      <c r="IE2" s="683"/>
      <c r="IF2" s="683"/>
      <c r="IG2" s="683"/>
      <c r="IH2" s="683"/>
      <c r="II2" s="683"/>
      <c r="IJ2" s="683"/>
      <c r="IK2" s="683"/>
      <c r="IL2" s="683"/>
      <c r="IM2" s="683"/>
      <c r="IN2" s="683"/>
      <c r="IO2" s="683"/>
      <c r="IP2" s="683"/>
      <c r="IQ2" s="683"/>
      <c r="IR2" s="683"/>
      <c r="IS2" s="683"/>
      <c r="IT2" s="683"/>
      <c r="IU2" s="683"/>
      <c r="IV2" s="683"/>
    </row>
    <row r="3" spans="1:256" ht="15.75" x14ac:dyDescent="0.25">
      <c r="A3" s="683"/>
      <c r="B3" s="685" t="s">
        <v>62</v>
      </c>
      <c r="C3" s="685" t="s">
        <v>433</v>
      </c>
      <c r="D3" s="683"/>
      <c r="E3" s="683"/>
      <c r="F3" s="683"/>
      <c r="G3" s="683"/>
      <c r="H3" s="683"/>
      <c r="I3" s="683"/>
      <c r="J3" s="683"/>
      <c r="K3" s="683"/>
      <c r="L3" s="683"/>
      <c r="M3" s="683"/>
      <c r="N3" s="683"/>
      <c r="O3" s="683"/>
      <c r="P3" s="683"/>
      <c r="Q3" s="683"/>
      <c r="R3" s="683"/>
      <c r="S3" s="683"/>
      <c r="T3" s="683"/>
      <c r="U3" s="683"/>
      <c r="V3" s="683"/>
      <c r="W3" s="683"/>
      <c r="X3" s="683"/>
      <c r="Y3" s="683"/>
      <c r="Z3" s="683"/>
      <c r="AA3" s="683"/>
      <c r="AB3" s="683"/>
      <c r="AC3" s="683"/>
      <c r="AD3" s="683"/>
      <c r="AE3" s="683"/>
      <c r="AF3" s="683"/>
      <c r="AG3" s="683"/>
      <c r="AH3" s="683"/>
      <c r="AI3" s="683"/>
      <c r="AJ3" s="683"/>
      <c r="AK3" s="683"/>
      <c r="AL3" s="683"/>
      <c r="AM3" s="683"/>
      <c r="AN3" s="683"/>
      <c r="AO3" s="683"/>
      <c r="AP3" s="683"/>
      <c r="AQ3" s="683"/>
      <c r="AR3" s="683"/>
      <c r="AS3" s="683"/>
      <c r="AT3" s="683"/>
      <c r="AU3" s="683"/>
      <c r="AV3" s="683"/>
      <c r="AW3" s="683"/>
      <c r="AX3" s="683"/>
      <c r="AY3" s="683"/>
      <c r="AZ3" s="683"/>
      <c r="BA3" s="683"/>
      <c r="BB3" s="683"/>
      <c r="BC3" s="683"/>
      <c r="BD3" s="683"/>
      <c r="BE3" s="683"/>
      <c r="BF3" s="683"/>
      <c r="BG3" s="683"/>
      <c r="BH3" s="683"/>
      <c r="BI3" s="683"/>
      <c r="BJ3" s="683"/>
      <c r="BK3" s="683"/>
      <c r="BL3" s="683"/>
      <c r="BM3" s="683"/>
      <c r="BN3" s="683"/>
      <c r="BO3" s="683"/>
      <c r="BP3" s="683"/>
      <c r="BQ3" s="683"/>
      <c r="BR3" s="683"/>
      <c r="BS3" s="683"/>
      <c r="BT3" s="683"/>
      <c r="BU3" s="683"/>
      <c r="BV3" s="683"/>
      <c r="BW3" s="683"/>
      <c r="BX3" s="683"/>
      <c r="BY3" s="683"/>
      <c r="BZ3" s="683"/>
      <c r="CA3" s="683"/>
      <c r="CB3" s="683"/>
      <c r="CC3" s="683"/>
      <c r="CD3" s="683"/>
      <c r="CE3" s="683"/>
      <c r="CF3" s="683"/>
      <c r="CG3" s="683"/>
      <c r="CH3" s="683"/>
      <c r="CI3" s="683"/>
      <c r="CJ3" s="683"/>
      <c r="CK3" s="683"/>
      <c r="CL3" s="683"/>
      <c r="CM3" s="683"/>
      <c r="CN3" s="683"/>
      <c r="CO3" s="683"/>
      <c r="CP3" s="683"/>
      <c r="CQ3" s="683"/>
      <c r="CR3" s="683"/>
      <c r="CS3" s="683"/>
      <c r="CT3" s="683"/>
      <c r="CU3" s="683"/>
      <c r="CV3" s="683"/>
      <c r="CW3" s="683"/>
      <c r="CX3" s="683"/>
      <c r="CY3" s="683"/>
      <c r="CZ3" s="683"/>
      <c r="DA3" s="683"/>
      <c r="DB3" s="683"/>
      <c r="DC3" s="683"/>
      <c r="DD3" s="683"/>
      <c r="DE3" s="683"/>
      <c r="DF3" s="683"/>
      <c r="DG3" s="683"/>
      <c r="DH3" s="683"/>
      <c r="DI3" s="683"/>
      <c r="DJ3" s="683"/>
      <c r="DK3" s="683"/>
      <c r="DL3" s="683"/>
      <c r="DM3" s="683"/>
      <c r="DN3" s="683"/>
      <c r="DO3" s="683"/>
      <c r="DP3" s="683"/>
      <c r="DQ3" s="683"/>
      <c r="DR3" s="683"/>
      <c r="DS3" s="683"/>
      <c r="DT3" s="683"/>
      <c r="DU3" s="683"/>
      <c r="DV3" s="683"/>
      <c r="DW3" s="683"/>
      <c r="DX3" s="683"/>
      <c r="DY3" s="683"/>
      <c r="DZ3" s="683"/>
      <c r="EA3" s="683"/>
      <c r="EB3" s="683"/>
      <c r="EC3" s="683"/>
      <c r="ED3" s="683"/>
      <c r="EE3" s="683"/>
      <c r="EF3" s="683"/>
      <c r="EG3" s="683"/>
      <c r="EH3" s="683"/>
      <c r="EI3" s="683"/>
      <c r="EJ3" s="683"/>
      <c r="EK3" s="683"/>
      <c r="EL3" s="683"/>
      <c r="EM3" s="683"/>
      <c r="EN3" s="683"/>
      <c r="EO3" s="683"/>
      <c r="EP3" s="683"/>
      <c r="EQ3" s="683"/>
      <c r="ER3" s="683"/>
      <c r="ES3" s="683"/>
      <c r="ET3" s="683"/>
      <c r="EU3" s="683"/>
      <c r="EV3" s="683"/>
      <c r="EW3" s="683"/>
      <c r="EX3" s="683"/>
      <c r="EY3" s="683"/>
      <c r="EZ3" s="683"/>
      <c r="FA3" s="683"/>
      <c r="FB3" s="683"/>
      <c r="FC3" s="683"/>
      <c r="FD3" s="683"/>
      <c r="FE3" s="683"/>
      <c r="FF3" s="683"/>
      <c r="FG3" s="683"/>
      <c r="FH3" s="683"/>
      <c r="FI3" s="683"/>
      <c r="FJ3" s="683"/>
      <c r="FK3" s="683"/>
      <c r="FL3" s="683"/>
      <c r="FM3" s="683"/>
      <c r="FN3" s="683"/>
      <c r="FO3" s="683"/>
      <c r="FP3" s="683"/>
      <c r="FQ3" s="683"/>
      <c r="FR3" s="683"/>
      <c r="FS3" s="683"/>
      <c r="FT3" s="683"/>
      <c r="FU3" s="683"/>
      <c r="FV3" s="683"/>
      <c r="FW3" s="683"/>
      <c r="FX3" s="683"/>
      <c r="FY3" s="683"/>
      <c r="FZ3" s="683"/>
      <c r="GA3" s="683"/>
      <c r="GB3" s="683"/>
      <c r="GC3" s="683"/>
      <c r="GD3" s="683"/>
      <c r="GE3" s="683"/>
      <c r="GF3" s="683"/>
      <c r="GG3" s="683"/>
      <c r="GH3" s="683"/>
      <c r="GI3" s="683"/>
      <c r="GJ3" s="683"/>
      <c r="GK3" s="683"/>
      <c r="GL3" s="683"/>
      <c r="GM3" s="683"/>
      <c r="GN3" s="683"/>
      <c r="GO3" s="683"/>
      <c r="GP3" s="683"/>
      <c r="GQ3" s="683"/>
      <c r="GR3" s="683"/>
      <c r="GS3" s="683"/>
      <c r="GT3" s="683"/>
      <c r="GU3" s="683"/>
      <c r="GV3" s="683"/>
      <c r="GW3" s="683"/>
      <c r="GX3" s="683"/>
      <c r="GY3" s="683"/>
      <c r="GZ3" s="683"/>
      <c r="HA3" s="683"/>
      <c r="HB3" s="683"/>
      <c r="HC3" s="683"/>
      <c r="HD3" s="683"/>
      <c r="HE3" s="683"/>
      <c r="HF3" s="683"/>
      <c r="HG3" s="683"/>
      <c r="HH3" s="683"/>
      <c r="HI3" s="683"/>
      <c r="HJ3" s="683"/>
      <c r="HK3" s="683"/>
      <c r="HL3" s="683"/>
      <c r="HM3" s="683"/>
      <c r="HN3" s="683"/>
      <c r="HO3" s="683"/>
      <c r="HP3" s="683"/>
      <c r="HQ3" s="683"/>
      <c r="HR3" s="683"/>
      <c r="HS3" s="683"/>
      <c r="HT3" s="683"/>
      <c r="HU3" s="683"/>
      <c r="HV3" s="683"/>
      <c r="HW3" s="683"/>
      <c r="HX3" s="683"/>
      <c r="HY3" s="683"/>
      <c r="HZ3" s="683"/>
      <c r="IA3" s="683"/>
      <c r="IB3" s="683"/>
      <c r="IC3" s="683"/>
      <c r="ID3" s="683"/>
      <c r="IE3" s="683"/>
      <c r="IF3" s="683"/>
      <c r="IG3" s="683"/>
      <c r="IH3" s="683"/>
      <c r="II3" s="683"/>
      <c r="IJ3" s="683"/>
      <c r="IK3" s="683"/>
      <c r="IL3" s="683"/>
      <c r="IM3" s="683"/>
      <c r="IN3" s="683"/>
      <c r="IO3" s="683"/>
      <c r="IP3" s="683"/>
      <c r="IQ3" s="683"/>
      <c r="IR3" s="683"/>
      <c r="IS3" s="683"/>
      <c r="IT3" s="683"/>
      <c r="IU3" s="683"/>
      <c r="IV3" s="683"/>
    </row>
    <row r="4" spans="1:256" ht="15.75" x14ac:dyDescent="0.25">
      <c r="A4" s="683"/>
      <c r="B4" s="685" t="s">
        <v>446</v>
      </c>
      <c r="C4" s="685" t="s">
        <v>447</v>
      </c>
      <c r="D4" s="683"/>
      <c r="E4" s="683"/>
      <c r="F4" s="683"/>
      <c r="G4" s="683"/>
      <c r="H4" s="683"/>
      <c r="I4" s="683"/>
      <c r="J4" s="683"/>
      <c r="K4" s="683"/>
      <c r="L4" s="683"/>
      <c r="M4" s="683"/>
      <c r="N4" s="683"/>
      <c r="O4" s="683"/>
      <c r="P4" s="683"/>
      <c r="Q4" s="683"/>
      <c r="R4" s="683"/>
      <c r="S4" s="683"/>
      <c r="T4" s="683"/>
      <c r="U4" s="683"/>
      <c r="V4" s="683"/>
      <c r="W4" s="683"/>
      <c r="X4" s="683"/>
      <c r="Y4" s="683"/>
      <c r="Z4" s="683"/>
      <c r="AA4" s="683"/>
      <c r="AB4" s="683"/>
      <c r="AC4" s="683"/>
      <c r="AD4" s="683"/>
      <c r="AE4" s="683"/>
      <c r="AF4" s="683"/>
      <c r="AG4" s="683"/>
      <c r="AH4" s="683"/>
      <c r="AI4" s="683"/>
      <c r="AJ4" s="683"/>
      <c r="AK4" s="683"/>
      <c r="AL4" s="683"/>
      <c r="AM4" s="683"/>
      <c r="AN4" s="683"/>
      <c r="AO4" s="683"/>
      <c r="AP4" s="683"/>
      <c r="AQ4" s="683"/>
      <c r="AR4" s="683"/>
      <c r="AS4" s="683"/>
      <c r="AT4" s="683"/>
      <c r="AU4" s="683"/>
      <c r="AV4" s="683"/>
      <c r="AW4" s="683"/>
      <c r="AX4" s="683"/>
      <c r="AY4" s="683"/>
      <c r="AZ4" s="683"/>
      <c r="BA4" s="683"/>
      <c r="BB4" s="683"/>
      <c r="BC4" s="683"/>
      <c r="BD4" s="683"/>
      <c r="BE4" s="683"/>
      <c r="BF4" s="683"/>
      <c r="BG4" s="683"/>
      <c r="BH4" s="683"/>
      <c r="BI4" s="683"/>
      <c r="BJ4" s="683"/>
      <c r="BK4" s="683"/>
      <c r="BL4" s="683"/>
      <c r="BM4" s="683"/>
      <c r="BN4" s="683"/>
      <c r="BO4" s="683"/>
      <c r="BP4" s="683"/>
      <c r="BQ4" s="683"/>
      <c r="BR4" s="683"/>
      <c r="BS4" s="683"/>
      <c r="BT4" s="683"/>
      <c r="BU4" s="683"/>
      <c r="BV4" s="683"/>
      <c r="BW4" s="683"/>
      <c r="BX4" s="683"/>
      <c r="BY4" s="683"/>
      <c r="BZ4" s="683"/>
      <c r="CA4" s="683"/>
      <c r="CB4" s="683"/>
      <c r="CC4" s="683"/>
      <c r="CD4" s="683"/>
      <c r="CE4" s="683"/>
      <c r="CF4" s="683"/>
      <c r="CG4" s="683"/>
      <c r="CH4" s="683"/>
      <c r="CI4" s="683"/>
      <c r="CJ4" s="683"/>
      <c r="CK4" s="683"/>
      <c r="CL4" s="683"/>
      <c r="CM4" s="683"/>
      <c r="CN4" s="683"/>
      <c r="CO4" s="683"/>
      <c r="CP4" s="683"/>
      <c r="CQ4" s="683"/>
      <c r="CR4" s="683"/>
      <c r="CS4" s="683"/>
      <c r="CT4" s="683"/>
      <c r="CU4" s="683"/>
      <c r="CV4" s="683"/>
      <c r="CW4" s="683"/>
      <c r="CX4" s="683"/>
      <c r="CY4" s="683"/>
      <c r="CZ4" s="683"/>
      <c r="DA4" s="683"/>
      <c r="DB4" s="683"/>
      <c r="DC4" s="683"/>
      <c r="DD4" s="683"/>
      <c r="DE4" s="683"/>
      <c r="DF4" s="683"/>
      <c r="DG4" s="683"/>
      <c r="DH4" s="683"/>
      <c r="DI4" s="683"/>
      <c r="DJ4" s="683"/>
      <c r="DK4" s="683"/>
      <c r="DL4" s="683"/>
      <c r="DM4" s="683"/>
      <c r="DN4" s="683"/>
      <c r="DO4" s="683"/>
      <c r="DP4" s="683"/>
      <c r="DQ4" s="683"/>
      <c r="DR4" s="683"/>
      <c r="DS4" s="683"/>
      <c r="DT4" s="683"/>
      <c r="DU4" s="683"/>
      <c r="DV4" s="683"/>
      <c r="DW4" s="683"/>
      <c r="DX4" s="683"/>
      <c r="DY4" s="683"/>
      <c r="DZ4" s="683"/>
      <c r="EA4" s="683"/>
      <c r="EB4" s="683"/>
      <c r="EC4" s="683"/>
      <c r="ED4" s="683"/>
      <c r="EE4" s="683"/>
      <c r="EF4" s="683"/>
      <c r="EG4" s="683"/>
      <c r="EH4" s="683"/>
      <c r="EI4" s="683"/>
      <c r="EJ4" s="683"/>
      <c r="EK4" s="683"/>
      <c r="EL4" s="683"/>
      <c r="EM4" s="683"/>
      <c r="EN4" s="683"/>
      <c r="EO4" s="683"/>
      <c r="EP4" s="683"/>
      <c r="EQ4" s="683"/>
      <c r="ER4" s="683"/>
      <c r="ES4" s="683"/>
      <c r="ET4" s="683"/>
      <c r="EU4" s="683"/>
      <c r="EV4" s="683"/>
      <c r="EW4" s="683"/>
      <c r="EX4" s="683"/>
      <c r="EY4" s="683"/>
      <c r="EZ4" s="683"/>
      <c r="FA4" s="683"/>
      <c r="FB4" s="683"/>
      <c r="FC4" s="683"/>
      <c r="FD4" s="683"/>
      <c r="FE4" s="683"/>
      <c r="FF4" s="683"/>
      <c r="FG4" s="683"/>
      <c r="FH4" s="683"/>
      <c r="FI4" s="683"/>
      <c r="FJ4" s="683"/>
      <c r="FK4" s="683"/>
      <c r="FL4" s="683"/>
      <c r="FM4" s="683"/>
      <c r="FN4" s="683"/>
      <c r="FO4" s="683"/>
      <c r="FP4" s="683"/>
      <c r="FQ4" s="683"/>
      <c r="FR4" s="683"/>
      <c r="FS4" s="683"/>
      <c r="FT4" s="683"/>
      <c r="FU4" s="683"/>
      <c r="FV4" s="683"/>
      <c r="FW4" s="683"/>
      <c r="FX4" s="683"/>
      <c r="FY4" s="683"/>
      <c r="FZ4" s="683"/>
      <c r="GA4" s="683"/>
      <c r="GB4" s="683"/>
      <c r="GC4" s="683"/>
      <c r="GD4" s="683"/>
      <c r="GE4" s="683"/>
      <c r="GF4" s="683"/>
      <c r="GG4" s="683"/>
      <c r="GH4" s="683"/>
      <c r="GI4" s="683"/>
      <c r="GJ4" s="683"/>
      <c r="GK4" s="683"/>
      <c r="GL4" s="683"/>
      <c r="GM4" s="683"/>
      <c r="GN4" s="683"/>
      <c r="GO4" s="683"/>
      <c r="GP4" s="683"/>
      <c r="GQ4" s="683"/>
      <c r="GR4" s="683"/>
      <c r="GS4" s="683"/>
      <c r="GT4" s="683"/>
      <c r="GU4" s="683"/>
      <c r="GV4" s="683"/>
      <c r="GW4" s="683"/>
      <c r="GX4" s="683"/>
      <c r="GY4" s="683"/>
      <c r="GZ4" s="683"/>
      <c r="HA4" s="683"/>
      <c r="HB4" s="683"/>
      <c r="HC4" s="683"/>
      <c r="HD4" s="683"/>
      <c r="HE4" s="683"/>
      <c r="HF4" s="683"/>
      <c r="HG4" s="683"/>
      <c r="HH4" s="683"/>
      <c r="HI4" s="683"/>
      <c r="HJ4" s="683"/>
      <c r="HK4" s="683"/>
      <c r="HL4" s="683"/>
      <c r="HM4" s="683"/>
      <c r="HN4" s="683"/>
      <c r="HO4" s="683"/>
      <c r="HP4" s="683"/>
      <c r="HQ4" s="683"/>
      <c r="HR4" s="683"/>
      <c r="HS4" s="683"/>
      <c r="HT4" s="683"/>
      <c r="HU4" s="683"/>
      <c r="HV4" s="683"/>
      <c r="HW4" s="683"/>
      <c r="HX4" s="683"/>
      <c r="HY4" s="683"/>
      <c r="HZ4" s="683"/>
      <c r="IA4" s="683"/>
      <c r="IB4" s="683"/>
      <c r="IC4" s="683"/>
      <c r="ID4" s="683"/>
      <c r="IE4" s="683"/>
      <c r="IF4" s="683"/>
      <c r="IG4" s="683"/>
      <c r="IH4" s="683"/>
      <c r="II4" s="683"/>
      <c r="IJ4" s="683"/>
      <c r="IK4" s="683"/>
      <c r="IL4" s="683"/>
      <c r="IM4" s="683"/>
      <c r="IN4" s="683"/>
      <c r="IO4" s="683"/>
      <c r="IP4" s="683"/>
      <c r="IQ4" s="683"/>
      <c r="IR4" s="683"/>
      <c r="IS4" s="683"/>
      <c r="IT4" s="683"/>
      <c r="IU4" s="683"/>
      <c r="IV4" s="683"/>
    </row>
    <row r="5" spans="1:256" ht="15.75" x14ac:dyDescent="0.25">
      <c r="A5" s="683"/>
      <c r="B5" s="685" t="s">
        <v>448</v>
      </c>
      <c r="C5" s="686">
        <f>Valuation!G9</f>
        <v>72</v>
      </c>
      <c r="D5" s="683"/>
      <c r="E5" s="683"/>
      <c r="F5" s="683"/>
      <c r="G5" s="683"/>
      <c r="H5" s="683"/>
      <c r="I5" s="683"/>
      <c r="J5" s="683"/>
      <c r="K5" s="683"/>
      <c r="L5" s="683"/>
      <c r="M5" s="683"/>
      <c r="N5" s="683"/>
      <c r="O5" s="683"/>
      <c r="P5" s="683"/>
      <c r="Q5" s="683"/>
      <c r="R5" s="683"/>
      <c r="S5" s="683"/>
      <c r="T5" s="683"/>
      <c r="U5" s="683"/>
      <c r="V5" s="683"/>
      <c r="W5" s="683"/>
      <c r="X5" s="683"/>
      <c r="Y5" s="683"/>
      <c r="Z5" s="683"/>
      <c r="AA5" s="683"/>
      <c r="AB5" s="683"/>
      <c r="AC5" s="683"/>
      <c r="AD5" s="683"/>
      <c r="AE5" s="683"/>
      <c r="AF5" s="683"/>
      <c r="AG5" s="683"/>
      <c r="AH5" s="683"/>
      <c r="AI5" s="683"/>
      <c r="AJ5" s="683"/>
      <c r="AK5" s="683"/>
      <c r="AL5" s="683"/>
      <c r="AM5" s="683"/>
      <c r="AN5" s="683"/>
      <c r="AO5" s="683"/>
      <c r="AP5" s="683"/>
      <c r="AQ5" s="683"/>
      <c r="AR5" s="683"/>
      <c r="AS5" s="683"/>
      <c r="AT5" s="683"/>
      <c r="AU5" s="683"/>
      <c r="AV5" s="683"/>
      <c r="AW5" s="683"/>
      <c r="AX5" s="683"/>
      <c r="AY5" s="683"/>
      <c r="AZ5" s="683"/>
      <c r="BA5" s="683"/>
      <c r="BB5" s="683"/>
      <c r="BC5" s="683"/>
      <c r="BD5" s="683"/>
      <c r="BE5" s="683"/>
      <c r="BF5" s="683"/>
      <c r="BG5" s="683"/>
      <c r="BH5" s="683"/>
      <c r="BI5" s="683"/>
      <c r="BJ5" s="683"/>
      <c r="BK5" s="683"/>
      <c r="BL5" s="683"/>
      <c r="BM5" s="683"/>
      <c r="BN5" s="683"/>
      <c r="BO5" s="683"/>
      <c r="BP5" s="683"/>
      <c r="BQ5" s="683"/>
      <c r="BR5" s="683"/>
      <c r="BS5" s="683"/>
      <c r="BT5" s="683"/>
      <c r="BU5" s="683"/>
      <c r="BV5" s="683"/>
      <c r="BW5" s="683"/>
      <c r="BX5" s="683"/>
      <c r="BY5" s="683"/>
      <c r="BZ5" s="683"/>
      <c r="CA5" s="683"/>
      <c r="CB5" s="683"/>
      <c r="CC5" s="683"/>
      <c r="CD5" s="683"/>
      <c r="CE5" s="683"/>
      <c r="CF5" s="683"/>
      <c r="CG5" s="683"/>
      <c r="CH5" s="683"/>
      <c r="CI5" s="683"/>
      <c r="CJ5" s="683"/>
      <c r="CK5" s="683"/>
      <c r="CL5" s="683"/>
      <c r="CM5" s="683"/>
      <c r="CN5" s="683"/>
      <c r="CO5" s="683"/>
      <c r="CP5" s="683"/>
      <c r="CQ5" s="683"/>
      <c r="CR5" s="683"/>
      <c r="CS5" s="683"/>
      <c r="CT5" s="683"/>
      <c r="CU5" s="683"/>
      <c r="CV5" s="683"/>
      <c r="CW5" s="683"/>
      <c r="CX5" s="683"/>
      <c r="CY5" s="683"/>
      <c r="CZ5" s="683"/>
      <c r="DA5" s="683"/>
      <c r="DB5" s="683"/>
      <c r="DC5" s="683"/>
      <c r="DD5" s="683"/>
      <c r="DE5" s="683"/>
      <c r="DF5" s="683"/>
      <c r="DG5" s="683"/>
      <c r="DH5" s="683"/>
      <c r="DI5" s="683"/>
      <c r="DJ5" s="683"/>
      <c r="DK5" s="683"/>
      <c r="DL5" s="683"/>
      <c r="DM5" s="683"/>
      <c r="DN5" s="683"/>
      <c r="DO5" s="683"/>
      <c r="DP5" s="683"/>
      <c r="DQ5" s="683"/>
      <c r="DR5" s="683"/>
      <c r="DS5" s="683"/>
      <c r="DT5" s="683"/>
      <c r="DU5" s="683"/>
      <c r="DV5" s="683"/>
      <c r="DW5" s="683"/>
      <c r="DX5" s="683"/>
      <c r="DY5" s="683"/>
      <c r="DZ5" s="683"/>
      <c r="EA5" s="683"/>
      <c r="EB5" s="683"/>
      <c r="EC5" s="683"/>
      <c r="ED5" s="683"/>
      <c r="EE5" s="683"/>
      <c r="EF5" s="683"/>
      <c r="EG5" s="683"/>
      <c r="EH5" s="683"/>
      <c r="EI5" s="683"/>
      <c r="EJ5" s="683"/>
      <c r="EK5" s="683"/>
      <c r="EL5" s="683"/>
      <c r="EM5" s="683"/>
      <c r="EN5" s="683"/>
      <c r="EO5" s="683"/>
      <c r="EP5" s="683"/>
      <c r="EQ5" s="683"/>
      <c r="ER5" s="683"/>
      <c r="ES5" s="683"/>
      <c r="ET5" s="683"/>
      <c r="EU5" s="683"/>
      <c r="EV5" s="683"/>
      <c r="EW5" s="683"/>
      <c r="EX5" s="683"/>
      <c r="EY5" s="683"/>
      <c r="EZ5" s="683"/>
      <c r="FA5" s="683"/>
      <c r="FB5" s="683"/>
      <c r="FC5" s="683"/>
      <c r="FD5" s="683"/>
      <c r="FE5" s="683"/>
      <c r="FF5" s="683"/>
      <c r="FG5" s="683"/>
      <c r="FH5" s="683"/>
      <c r="FI5" s="683"/>
      <c r="FJ5" s="683"/>
      <c r="FK5" s="683"/>
      <c r="FL5" s="683"/>
      <c r="FM5" s="683"/>
      <c r="FN5" s="683"/>
      <c r="FO5" s="683"/>
      <c r="FP5" s="683"/>
      <c r="FQ5" s="683"/>
      <c r="FR5" s="683"/>
      <c r="FS5" s="683"/>
      <c r="FT5" s="683"/>
      <c r="FU5" s="683"/>
      <c r="FV5" s="683"/>
      <c r="FW5" s="683"/>
      <c r="FX5" s="683"/>
      <c r="FY5" s="683"/>
      <c r="FZ5" s="683"/>
      <c r="GA5" s="683"/>
      <c r="GB5" s="683"/>
      <c r="GC5" s="683"/>
      <c r="GD5" s="683"/>
      <c r="GE5" s="683"/>
      <c r="GF5" s="683"/>
      <c r="GG5" s="683"/>
      <c r="GH5" s="683"/>
      <c r="GI5" s="683"/>
      <c r="GJ5" s="683"/>
      <c r="GK5" s="683"/>
      <c r="GL5" s="683"/>
      <c r="GM5" s="683"/>
      <c r="GN5" s="683"/>
      <c r="GO5" s="683"/>
      <c r="GP5" s="683"/>
      <c r="GQ5" s="683"/>
      <c r="GR5" s="683"/>
      <c r="GS5" s="683"/>
      <c r="GT5" s="683"/>
      <c r="GU5" s="683"/>
      <c r="GV5" s="683"/>
      <c r="GW5" s="683"/>
      <c r="GX5" s="683"/>
      <c r="GY5" s="683"/>
      <c r="GZ5" s="683"/>
      <c r="HA5" s="683"/>
      <c r="HB5" s="683"/>
      <c r="HC5" s="683"/>
      <c r="HD5" s="683"/>
      <c r="HE5" s="683"/>
      <c r="HF5" s="683"/>
      <c r="HG5" s="683"/>
      <c r="HH5" s="683"/>
      <c r="HI5" s="683"/>
      <c r="HJ5" s="683"/>
      <c r="HK5" s="683"/>
      <c r="HL5" s="683"/>
      <c r="HM5" s="683"/>
      <c r="HN5" s="683"/>
      <c r="HO5" s="683"/>
      <c r="HP5" s="683"/>
      <c r="HQ5" s="683"/>
      <c r="HR5" s="683"/>
      <c r="HS5" s="683"/>
      <c r="HT5" s="683"/>
      <c r="HU5" s="683"/>
      <c r="HV5" s="683"/>
      <c r="HW5" s="683"/>
      <c r="HX5" s="683"/>
      <c r="HY5" s="683"/>
      <c r="HZ5" s="683"/>
      <c r="IA5" s="683"/>
      <c r="IB5" s="683"/>
      <c r="IC5" s="683"/>
      <c r="ID5" s="683"/>
      <c r="IE5" s="683"/>
      <c r="IF5" s="683"/>
      <c r="IG5" s="683"/>
      <c r="IH5" s="683"/>
      <c r="II5" s="683"/>
      <c r="IJ5" s="683"/>
      <c r="IK5" s="683"/>
      <c r="IL5" s="683"/>
      <c r="IM5" s="683"/>
      <c r="IN5" s="683"/>
      <c r="IO5" s="683"/>
      <c r="IP5" s="683"/>
      <c r="IQ5" s="683"/>
      <c r="IR5" s="683"/>
      <c r="IS5" s="683"/>
      <c r="IT5" s="683"/>
      <c r="IU5" s="683"/>
      <c r="IV5" s="683"/>
    </row>
    <row r="6" spans="1:256" ht="15.75" x14ac:dyDescent="0.25">
      <c r="A6" s="683"/>
      <c r="B6" s="685" t="s">
        <v>449</v>
      </c>
      <c r="C6" s="687">
        <f ca="1">NOW()</f>
        <v>43210.377371643517</v>
      </c>
      <c r="D6" s="683"/>
      <c r="E6" s="683"/>
      <c r="F6" s="683"/>
      <c r="G6" s="683"/>
      <c r="H6" s="683"/>
      <c r="I6" s="683"/>
      <c r="J6" s="683"/>
      <c r="K6" s="683"/>
      <c r="L6" s="683"/>
      <c r="M6" s="683"/>
      <c r="N6" s="683"/>
      <c r="O6" s="683"/>
      <c r="P6" s="683"/>
      <c r="Q6" s="683"/>
      <c r="R6" s="683"/>
      <c r="S6" s="683"/>
      <c r="T6" s="683"/>
      <c r="U6" s="683"/>
      <c r="V6" s="683"/>
      <c r="W6" s="683"/>
      <c r="X6" s="683"/>
      <c r="Y6" s="683"/>
      <c r="Z6" s="683"/>
      <c r="AA6" s="683"/>
      <c r="AB6" s="683"/>
      <c r="AC6" s="683"/>
      <c r="AD6" s="683"/>
      <c r="AE6" s="683"/>
      <c r="AF6" s="683"/>
      <c r="AG6" s="683"/>
      <c r="AH6" s="683"/>
      <c r="AI6" s="683"/>
      <c r="AJ6" s="683"/>
      <c r="AK6" s="683"/>
      <c r="AL6" s="683"/>
      <c r="AM6" s="683"/>
      <c r="AN6" s="683"/>
      <c r="AO6" s="683"/>
      <c r="AP6" s="683"/>
      <c r="AQ6" s="683"/>
      <c r="AR6" s="683"/>
      <c r="AS6" s="683"/>
      <c r="AT6" s="683"/>
      <c r="AU6" s="683"/>
      <c r="AV6" s="683"/>
      <c r="AW6" s="683"/>
      <c r="AX6" s="683"/>
      <c r="AY6" s="683"/>
      <c r="AZ6" s="683"/>
      <c r="BA6" s="683"/>
      <c r="BB6" s="683"/>
      <c r="BC6" s="683"/>
      <c r="BD6" s="683"/>
      <c r="BE6" s="683"/>
      <c r="BF6" s="683"/>
      <c r="BG6" s="683"/>
      <c r="BH6" s="683"/>
      <c r="BI6" s="683"/>
      <c r="BJ6" s="683"/>
      <c r="BK6" s="683"/>
      <c r="BL6" s="683"/>
      <c r="BM6" s="683"/>
      <c r="BN6" s="683"/>
      <c r="BO6" s="683"/>
      <c r="BP6" s="683"/>
      <c r="BQ6" s="683"/>
      <c r="BR6" s="683"/>
      <c r="BS6" s="683"/>
      <c r="BT6" s="683"/>
      <c r="BU6" s="683"/>
      <c r="BV6" s="683"/>
      <c r="BW6" s="683"/>
      <c r="BX6" s="683"/>
      <c r="BY6" s="683"/>
      <c r="BZ6" s="683"/>
      <c r="CA6" s="683"/>
      <c r="CB6" s="683"/>
      <c r="CC6" s="683"/>
      <c r="CD6" s="683"/>
      <c r="CE6" s="683"/>
      <c r="CF6" s="683"/>
      <c r="CG6" s="683"/>
      <c r="CH6" s="683"/>
      <c r="CI6" s="683"/>
      <c r="CJ6" s="683"/>
      <c r="CK6" s="683"/>
      <c r="CL6" s="683"/>
      <c r="CM6" s="683"/>
      <c r="CN6" s="683"/>
      <c r="CO6" s="683"/>
      <c r="CP6" s="683"/>
      <c r="CQ6" s="683"/>
      <c r="CR6" s="683"/>
      <c r="CS6" s="683"/>
      <c r="CT6" s="683"/>
      <c r="CU6" s="683"/>
      <c r="CV6" s="683"/>
      <c r="CW6" s="683"/>
      <c r="CX6" s="683"/>
      <c r="CY6" s="683"/>
      <c r="CZ6" s="683"/>
      <c r="DA6" s="683"/>
      <c r="DB6" s="683"/>
      <c r="DC6" s="683"/>
      <c r="DD6" s="683"/>
      <c r="DE6" s="683"/>
      <c r="DF6" s="683"/>
      <c r="DG6" s="683"/>
      <c r="DH6" s="683"/>
      <c r="DI6" s="683"/>
      <c r="DJ6" s="683"/>
      <c r="DK6" s="683"/>
      <c r="DL6" s="683"/>
      <c r="DM6" s="683"/>
      <c r="DN6" s="683"/>
      <c r="DO6" s="683"/>
      <c r="DP6" s="683"/>
      <c r="DQ6" s="683"/>
      <c r="DR6" s="683"/>
      <c r="DS6" s="683"/>
      <c r="DT6" s="683"/>
      <c r="DU6" s="683"/>
      <c r="DV6" s="683"/>
      <c r="DW6" s="683"/>
      <c r="DX6" s="683"/>
      <c r="DY6" s="683"/>
      <c r="DZ6" s="683"/>
      <c r="EA6" s="683"/>
      <c r="EB6" s="683"/>
      <c r="EC6" s="683"/>
      <c r="ED6" s="683"/>
      <c r="EE6" s="683"/>
      <c r="EF6" s="683"/>
      <c r="EG6" s="683"/>
      <c r="EH6" s="683"/>
      <c r="EI6" s="683"/>
      <c r="EJ6" s="683"/>
      <c r="EK6" s="683"/>
      <c r="EL6" s="683"/>
      <c r="EM6" s="683"/>
      <c r="EN6" s="683"/>
      <c r="EO6" s="683"/>
      <c r="EP6" s="683"/>
      <c r="EQ6" s="683"/>
      <c r="ER6" s="683"/>
      <c r="ES6" s="683"/>
      <c r="ET6" s="683"/>
      <c r="EU6" s="683"/>
      <c r="EV6" s="683"/>
      <c r="EW6" s="683"/>
      <c r="EX6" s="683"/>
      <c r="EY6" s="683"/>
      <c r="EZ6" s="683"/>
      <c r="FA6" s="683"/>
      <c r="FB6" s="683"/>
      <c r="FC6" s="683"/>
      <c r="FD6" s="683"/>
      <c r="FE6" s="683"/>
      <c r="FF6" s="683"/>
      <c r="FG6" s="683"/>
      <c r="FH6" s="683"/>
      <c r="FI6" s="683"/>
      <c r="FJ6" s="683"/>
      <c r="FK6" s="683"/>
      <c r="FL6" s="683"/>
      <c r="FM6" s="683"/>
      <c r="FN6" s="683"/>
      <c r="FO6" s="683"/>
      <c r="FP6" s="683"/>
      <c r="FQ6" s="683"/>
      <c r="FR6" s="683"/>
      <c r="FS6" s="683"/>
      <c r="FT6" s="683"/>
      <c r="FU6" s="683"/>
      <c r="FV6" s="683"/>
      <c r="FW6" s="683"/>
      <c r="FX6" s="683"/>
      <c r="FY6" s="683"/>
      <c r="FZ6" s="683"/>
      <c r="GA6" s="683"/>
      <c r="GB6" s="683"/>
      <c r="GC6" s="683"/>
      <c r="GD6" s="683"/>
      <c r="GE6" s="683"/>
      <c r="GF6" s="683"/>
      <c r="GG6" s="683"/>
      <c r="GH6" s="683"/>
      <c r="GI6" s="683"/>
      <c r="GJ6" s="683"/>
      <c r="GK6" s="683"/>
      <c r="GL6" s="683"/>
      <c r="GM6" s="683"/>
      <c r="GN6" s="683"/>
      <c r="GO6" s="683"/>
      <c r="GP6" s="683"/>
      <c r="GQ6" s="683"/>
      <c r="GR6" s="683"/>
      <c r="GS6" s="683"/>
      <c r="GT6" s="683"/>
      <c r="GU6" s="683"/>
      <c r="GV6" s="683"/>
      <c r="GW6" s="683"/>
      <c r="GX6" s="683"/>
      <c r="GY6" s="683"/>
      <c r="GZ6" s="683"/>
      <c r="HA6" s="683"/>
      <c r="HB6" s="683"/>
      <c r="HC6" s="683"/>
      <c r="HD6" s="683"/>
      <c r="HE6" s="683"/>
      <c r="HF6" s="683"/>
      <c r="HG6" s="683"/>
      <c r="HH6" s="683"/>
      <c r="HI6" s="683"/>
      <c r="HJ6" s="683"/>
      <c r="HK6" s="683"/>
      <c r="HL6" s="683"/>
      <c r="HM6" s="683"/>
      <c r="HN6" s="683"/>
      <c r="HO6" s="683"/>
      <c r="HP6" s="683"/>
      <c r="HQ6" s="683"/>
      <c r="HR6" s="683"/>
      <c r="HS6" s="683"/>
      <c r="HT6" s="683"/>
      <c r="HU6" s="683"/>
      <c r="HV6" s="683"/>
      <c r="HW6" s="683"/>
      <c r="HX6" s="683"/>
      <c r="HY6" s="683"/>
      <c r="HZ6" s="683"/>
      <c r="IA6" s="683"/>
      <c r="IB6" s="683"/>
      <c r="IC6" s="683"/>
      <c r="ID6" s="683"/>
      <c r="IE6" s="683"/>
      <c r="IF6" s="683"/>
      <c r="IG6" s="683"/>
      <c r="IH6" s="683"/>
      <c r="II6" s="683"/>
      <c r="IJ6" s="683"/>
      <c r="IK6" s="683"/>
      <c r="IL6" s="683"/>
      <c r="IM6" s="683"/>
      <c r="IN6" s="683"/>
      <c r="IO6" s="683"/>
      <c r="IP6" s="683"/>
      <c r="IQ6" s="683"/>
      <c r="IR6" s="683"/>
      <c r="IS6" s="683"/>
      <c r="IT6" s="683"/>
      <c r="IU6" s="683"/>
      <c r="IV6" s="683"/>
    </row>
    <row r="7" spans="1:256" x14ac:dyDescent="0.2">
      <c r="A7" s="683"/>
      <c r="B7" s="683"/>
      <c r="C7" s="683"/>
      <c r="D7" s="683"/>
      <c r="E7" s="683"/>
      <c r="F7" s="683"/>
      <c r="G7" s="683"/>
      <c r="H7" s="683"/>
      <c r="I7" s="683"/>
      <c r="J7" s="683"/>
      <c r="K7" s="683"/>
      <c r="L7" s="683"/>
      <c r="M7" s="683"/>
      <c r="N7" s="683"/>
      <c r="O7" s="683"/>
      <c r="P7" s="683"/>
      <c r="Q7" s="683"/>
      <c r="R7" s="683"/>
      <c r="S7" s="683"/>
      <c r="T7" s="683"/>
      <c r="U7" s="683"/>
      <c r="V7" s="683"/>
      <c r="W7" s="683"/>
      <c r="X7" s="683"/>
      <c r="Y7" s="683"/>
      <c r="Z7" s="683"/>
      <c r="AA7" s="683"/>
      <c r="AB7" s="683"/>
      <c r="AC7" s="683"/>
      <c r="AD7" s="683"/>
      <c r="AE7" s="683"/>
      <c r="AF7" s="683"/>
      <c r="AG7" s="683"/>
      <c r="AH7" s="683"/>
      <c r="AI7" s="683"/>
      <c r="AJ7" s="683"/>
      <c r="AK7" s="683"/>
      <c r="AL7" s="683"/>
      <c r="AM7" s="683"/>
      <c r="AN7" s="683"/>
      <c r="AO7" s="683"/>
      <c r="AP7" s="683"/>
      <c r="AQ7" s="683"/>
      <c r="AR7" s="683"/>
      <c r="AS7" s="683"/>
      <c r="AT7" s="683"/>
      <c r="AU7" s="683"/>
      <c r="AV7" s="683"/>
      <c r="AW7" s="683"/>
      <c r="AX7" s="683"/>
      <c r="AY7" s="683"/>
      <c r="AZ7" s="683"/>
      <c r="BA7" s="683"/>
      <c r="BB7" s="683"/>
      <c r="BC7" s="683"/>
      <c r="BD7" s="683"/>
      <c r="BE7" s="683"/>
      <c r="BF7" s="683"/>
      <c r="BG7" s="683"/>
      <c r="BH7" s="683"/>
      <c r="BI7" s="683"/>
      <c r="BJ7" s="683"/>
      <c r="BK7" s="683"/>
      <c r="BL7" s="683"/>
      <c r="BM7" s="683"/>
      <c r="BN7" s="683"/>
      <c r="BO7" s="683"/>
      <c r="BP7" s="683"/>
      <c r="BQ7" s="683"/>
      <c r="BR7" s="683"/>
      <c r="BS7" s="683"/>
      <c r="BT7" s="683"/>
      <c r="BU7" s="683"/>
      <c r="BV7" s="683"/>
      <c r="BW7" s="683"/>
      <c r="BX7" s="683"/>
      <c r="BY7" s="683"/>
      <c r="BZ7" s="683"/>
      <c r="CA7" s="683"/>
      <c r="CB7" s="683"/>
      <c r="CC7" s="683"/>
      <c r="CD7" s="683"/>
      <c r="CE7" s="683"/>
      <c r="CF7" s="683"/>
      <c r="CG7" s="683"/>
      <c r="CH7" s="683"/>
      <c r="CI7" s="683"/>
      <c r="CJ7" s="683"/>
      <c r="CK7" s="683"/>
      <c r="CL7" s="683"/>
      <c r="CM7" s="683"/>
      <c r="CN7" s="683"/>
      <c r="CO7" s="683"/>
      <c r="CP7" s="683"/>
      <c r="CQ7" s="683"/>
      <c r="CR7" s="683"/>
      <c r="CS7" s="683"/>
      <c r="CT7" s="683"/>
      <c r="CU7" s="683"/>
      <c r="CV7" s="683"/>
      <c r="CW7" s="683"/>
      <c r="CX7" s="683"/>
      <c r="CY7" s="683"/>
      <c r="CZ7" s="683"/>
      <c r="DA7" s="683"/>
      <c r="DB7" s="683"/>
      <c r="DC7" s="683"/>
      <c r="DD7" s="683"/>
      <c r="DE7" s="683"/>
      <c r="DF7" s="683"/>
      <c r="DG7" s="683"/>
      <c r="DH7" s="683"/>
      <c r="DI7" s="683"/>
      <c r="DJ7" s="683"/>
      <c r="DK7" s="683"/>
      <c r="DL7" s="683"/>
      <c r="DM7" s="683"/>
      <c r="DN7" s="683"/>
      <c r="DO7" s="683"/>
      <c r="DP7" s="683"/>
      <c r="DQ7" s="683"/>
      <c r="DR7" s="683"/>
      <c r="DS7" s="683"/>
      <c r="DT7" s="683"/>
      <c r="DU7" s="683"/>
      <c r="DV7" s="683"/>
      <c r="DW7" s="683"/>
      <c r="DX7" s="683"/>
      <c r="DY7" s="683"/>
      <c r="DZ7" s="683"/>
      <c r="EA7" s="683"/>
      <c r="EB7" s="683"/>
      <c r="EC7" s="683"/>
      <c r="ED7" s="683"/>
      <c r="EE7" s="683"/>
      <c r="EF7" s="683"/>
      <c r="EG7" s="683"/>
      <c r="EH7" s="683"/>
      <c r="EI7" s="683"/>
      <c r="EJ7" s="683"/>
      <c r="EK7" s="683"/>
      <c r="EL7" s="683"/>
      <c r="EM7" s="683"/>
      <c r="EN7" s="683"/>
      <c r="EO7" s="683"/>
      <c r="EP7" s="683"/>
      <c r="EQ7" s="683"/>
      <c r="ER7" s="683"/>
      <c r="ES7" s="683"/>
      <c r="ET7" s="683"/>
      <c r="EU7" s="683"/>
      <c r="EV7" s="683"/>
      <c r="EW7" s="683"/>
      <c r="EX7" s="683"/>
      <c r="EY7" s="683"/>
      <c r="EZ7" s="683"/>
      <c r="FA7" s="683"/>
      <c r="FB7" s="683"/>
      <c r="FC7" s="683"/>
      <c r="FD7" s="683"/>
      <c r="FE7" s="683"/>
      <c r="FF7" s="683"/>
      <c r="FG7" s="683"/>
      <c r="FH7" s="683"/>
      <c r="FI7" s="683"/>
      <c r="FJ7" s="683"/>
      <c r="FK7" s="683"/>
      <c r="FL7" s="683"/>
      <c r="FM7" s="683"/>
      <c r="FN7" s="683"/>
      <c r="FO7" s="683"/>
      <c r="FP7" s="683"/>
      <c r="FQ7" s="683"/>
      <c r="FR7" s="683"/>
      <c r="FS7" s="683"/>
      <c r="FT7" s="683"/>
      <c r="FU7" s="683"/>
      <c r="FV7" s="683"/>
      <c r="FW7" s="683"/>
      <c r="FX7" s="683"/>
      <c r="FY7" s="683"/>
      <c r="FZ7" s="683"/>
      <c r="GA7" s="683"/>
      <c r="GB7" s="683"/>
      <c r="GC7" s="683"/>
      <c r="GD7" s="683"/>
      <c r="GE7" s="683"/>
      <c r="GF7" s="683"/>
      <c r="GG7" s="683"/>
      <c r="GH7" s="683"/>
      <c r="GI7" s="683"/>
      <c r="GJ7" s="683"/>
      <c r="GK7" s="683"/>
      <c r="GL7" s="683"/>
      <c r="GM7" s="683"/>
      <c r="GN7" s="683"/>
      <c r="GO7" s="683"/>
      <c r="GP7" s="683"/>
      <c r="GQ7" s="683"/>
      <c r="GR7" s="683"/>
      <c r="GS7" s="683"/>
      <c r="GT7" s="683"/>
      <c r="GU7" s="683"/>
      <c r="GV7" s="683"/>
      <c r="GW7" s="683"/>
      <c r="GX7" s="683"/>
      <c r="GY7" s="683"/>
      <c r="GZ7" s="683"/>
      <c r="HA7" s="683"/>
      <c r="HB7" s="683"/>
      <c r="HC7" s="683"/>
      <c r="HD7" s="683"/>
      <c r="HE7" s="683"/>
      <c r="HF7" s="683"/>
      <c r="HG7" s="683"/>
      <c r="HH7" s="683"/>
      <c r="HI7" s="683"/>
      <c r="HJ7" s="683"/>
      <c r="HK7" s="683"/>
      <c r="HL7" s="683"/>
      <c r="HM7" s="683"/>
      <c r="HN7" s="683"/>
      <c r="HO7" s="683"/>
      <c r="HP7" s="683"/>
      <c r="HQ7" s="683"/>
      <c r="HR7" s="683"/>
      <c r="HS7" s="683"/>
      <c r="HT7" s="683"/>
      <c r="HU7" s="683"/>
      <c r="HV7" s="683"/>
      <c r="HW7" s="683"/>
      <c r="HX7" s="683"/>
      <c r="HY7" s="683"/>
      <c r="HZ7" s="683"/>
      <c r="IA7" s="683"/>
      <c r="IB7" s="683"/>
      <c r="IC7" s="683"/>
      <c r="ID7" s="683"/>
      <c r="IE7" s="683"/>
      <c r="IF7" s="683"/>
      <c r="IG7" s="683"/>
      <c r="IH7" s="683"/>
      <c r="II7" s="683"/>
      <c r="IJ7" s="683"/>
      <c r="IK7" s="683"/>
      <c r="IL7" s="683"/>
      <c r="IM7" s="683"/>
      <c r="IN7" s="683"/>
      <c r="IO7" s="683"/>
      <c r="IP7" s="683"/>
      <c r="IQ7" s="683"/>
      <c r="IR7" s="683"/>
      <c r="IS7" s="683"/>
      <c r="IT7" s="683"/>
      <c r="IU7" s="683"/>
      <c r="IV7" s="683"/>
    </row>
    <row r="8" spans="1:256" x14ac:dyDescent="0.2">
      <c r="A8" s="688"/>
      <c r="B8" s="689"/>
      <c r="C8" s="689"/>
      <c r="D8" s="689"/>
      <c r="E8" s="689"/>
      <c r="F8" s="689"/>
      <c r="G8" s="689"/>
      <c r="H8" s="689"/>
      <c r="I8" s="689"/>
      <c r="J8" s="689"/>
      <c r="K8" s="689"/>
      <c r="L8" s="689"/>
      <c r="M8" s="689"/>
      <c r="N8" s="689"/>
      <c r="O8" s="689"/>
      <c r="P8" s="689"/>
      <c r="Q8" s="689"/>
      <c r="R8" s="689"/>
      <c r="S8" s="689"/>
      <c r="T8" s="689"/>
      <c r="U8" s="689"/>
      <c r="V8" s="689"/>
      <c r="W8" s="689"/>
      <c r="X8" s="689"/>
      <c r="Y8" s="689"/>
      <c r="Z8" s="689"/>
      <c r="AA8" s="689"/>
      <c r="AB8" s="689"/>
      <c r="AC8" s="689"/>
      <c r="AD8" s="689"/>
      <c r="AE8" s="689"/>
      <c r="AF8" s="689"/>
      <c r="AG8" s="689"/>
      <c r="AH8" s="689"/>
      <c r="AI8" s="689"/>
      <c r="AJ8" s="689"/>
      <c r="AK8" s="689"/>
      <c r="AL8" s="689"/>
      <c r="AM8" s="689"/>
      <c r="AN8" s="689"/>
      <c r="AO8" s="689"/>
      <c r="AP8" s="689"/>
      <c r="AQ8" s="689"/>
      <c r="AR8" s="689"/>
      <c r="AS8" s="689"/>
      <c r="AT8" s="689"/>
      <c r="AU8" s="689"/>
      <c r="AV8" s="689"/>
      <c r="AW8" s="689"/>
      <c r="AX8" s="689"/>
      <c r="AY8" s="689"/>
      <c r="AZ8" s="689"/>
      <c r="BA8" s="689"/>
      <c r="BB8" s="689"/>
      <c r="BC8" s="689"/>
      <c r="BD8" s="689"/>
      <c r="BE8" s="689"/>
      <c r="BF8" s="689"/>
      <c r="BG8" s="689"/>
      <c r="BH8" s="689"/>
      <c r="BI8" s="689"/>
      <c r="BJ8" s="689"/>
      <c r="BK8" s="689"/>
      <c r="BL8" s="689"/>
      <c r="BM8" s="689"/>
      <c r="BN8" s="689"/>
      <c r="BO8" s="689"/>
      <c r="BP8" s="689"/>
      <c r="BQ8" s="689"/>
      <c r="BR8" s="689"/>
      <c r="BS8" s="689"/>
      <c r="BT8" s="689"/>
      <c r="BU8" s="689"/>
      <c r="BV8" s="689"/>
      <c r="BW8" s="689"/>
      <c r="BX8" s="689"/>
      <c r="BY8" s="689"/>
      <c r="BZ8" s="689"/>
      <c r="CA8" s="689"/>
      <c r="CB8" s="689"/>
      <c r="CC8" s="689"/>
      <c r="CD8" s="689"/>
      <c r="CE8" s="689"/>
      <c r="CF8" s="689"/>
      <c r="CG8" s="689"/>
      <c r="CH8" s="689"/>
      <c r="CI8" s="689"/>
      <c r="CJ8" s="689"/>
      <c r="CK8" s="689"/>
      <c r="CL8" s="689"/>
      <c r="CM8" s="689"/>
      <c r="CN8" s="689"/>
      <c r="CO8" s="689"/>
      <c r="CP8" s="689"/>
      <c r="CQ8" s="689"/>
      <c r="CR8" s="689"/>
      <c r="CS8" s="689"/>
      <c r="CT8" s="689"/>
      <c r="CU8" s="689"/>
      <c r="CV8" s="689"/>
      <c r="CW8" s="689"/>
      <c r="CX8" s="689"/>
      <c r="CY8" s="689"/>
      <c r="CZ8" s="689"/>
      <c r="DA8" s="689"/>
      <c r="DB8" s="689"/>
      <c r="DC8" s="689"/>
      <c r="DD8" s="689"/>
      <c r="DE8" s="689"/>
      <c r="DF8" s="689"/>
      <c r="DG8" s="689"/>
      <c r="DH8" s="689"/>
      <c r="DI8" s="689"/>
      <c r="DJ8" s="689"/>
      <c r="DK8" s="689"/>
      <c r="DL8" s="689"/>
      <c r="DM8" s="689"/>
      <c r="DN8" s="689"/>
      <c r="DO8" s="689"/>
      <c r="DP8" s="689"/>
      <c r="DQ8" s="689"/>
      <c r="DR8" s="689"/>
      <c r="DS8" s="689"/>
      <c r="DT8" s="689"/>
      <c r="DU8" s="689"/>
      <c r="DV8" s="689"/>
      <c r="DW8" s="689"/>
      <c r="DX8" s="689"/>
      <c r="DY8" s="689"/>
      <c r="DZ8" s="689"/>
      <c r="EA8" s="689"/>
      <c r="EB8" s="689"/>
      <c r="EC8" s="689"/>
      <c r="ED8" s="689"/>
      <c r="EE8" s="689"/>
      <c r="EF8" s="689"/>
      <c r="EG8" s="689"/>
      <c r="EH8" s="689"/>
      <c r="EI8" s="689"/>
      <c r="EJ8" s="689"/>
      <c r="EK8" s="689"/>
      <c r="EL8" s="689"/>
      <c r="EM8" s="689"/>
      <c r="EN8" s="689"/>
      <c r="EO8" s="689"/>
      <c r="EP8" s="689"/>
      <c r="EQ8" s="689"/>
      <c r="ER8" s="689"/>
      <c r="ES8" s="689"/>
      <c r="ET8" s="689"/>
      <c r="EU8" s="689"/>
      <c r="EV8" s="689"/>
      <c r="EW8" s="689"/>
      <c r="EX8" s="689"/>
      <c r="EY8" s="689"/>
      <c r="EZ8" s="689"/>
      <c r="FA8" s="689"/>
      <c r="FB8" s="689"/>
      <c r="FC8" s="689"/>
      <c r="FD8" s="689"/>
      <c r="FE8" s="689"/>
      <c r="FF8" s="689"/>
      <c r="FG8" s="689"/>
      <c r="FH8" s="689"/>
      <c r="FI8" s="689"/>
      <c r="FJ8" s="689"/>
      <c r="FK8" s="689"/>
      <c r="FL8" s="689"/>
      <c r="FM8" s="689"/>
      <c r="FN8" s="689"/>
      <c r="FO8" s="689"/>
      <c r="FP8" s="689"/>
      <c r="FQ8" s="689"/>
      <c r="FR8" s="689"/>
      <c r="FS8" s="689"/>
      <c r="FT8" s="689"/>
      <c r="FU8" s="689"/>
      <c r="FV8" s="689"/>
      <c r="FW8" s="689"/>
      <c r="FX8" s="689"/>
      <c r="FY8" s="689"/>
      <c r="FZ8" s="689"/>
      <c r="GA8" s="689"/>
      <c r="GB8" s="689"/>
      <c r="GC8" s="689"/>
      <c r="GD8" s="689"/>
      <c r="GE8" s="689"/>
      <c r="GF8" s="689"/>
      <c r="GG8" s="689"/>
      <c r="GH8" s="689"/>
      <c r="GI8" s="689"/>
      <c r="GJ8" s="689"/>
      <c r="GK8" s="689"/>
      <c r="GL8" s="689"/>
      <c r="GM8" s="689"/>
      <c r="GN8" s="689"/>
      <c r="GO8" s="689"/>
      <c r="GP8" s="689"/>
      <c r="GQ8" s="689"/>
      <c r="GR8" s="689"/>
      <c r="GS8" s="689"/>
      <c r="GT8" s="689"/>
      <c r="GU8" s="689"/>
      <c r="GV8" s="689"/>
      <c r="GW8" s="689"/>
      <c r="GX8" s="689"/>
      <c r="GY8" s="689"/>
      <c r="GZ8" s="689"/>
      <c r="HA8" s="689"/>
      <c r="HB8" s="689"/>
      <c r="HC8" s="689"/>
      <c r="HD8" s="689"/>
      <c r="HE8" s="689"/>
      <c r="HF8" s="689"/>
      <c r="HG8" s="689"/>
      <c r="HH8" s="689"/>
      <c r="HI8" s="689"/>
      <c r="HJ8" s="689"/>
      <c r="HK8" s="689"/>
      <c r="HL8" s="689"/>
      <c r="HM8" s="689"/>
      <c r="HN8" s="689"/>
      <c r="HO8" s="689"/>
      <c r="HP8" s="689"/>
      <c r="HQ8" s="689"/>
      <c r="HR8" s="689"/>
      <c r="HS8" s="689"/>
      <c r="HT8" s="689"/>
      <c r="HU8" s="689"/>
      <c r="HV8" s="689"/>
      <c r="HW8" s="689"/>
      <c r="HX8" s="689"/>
      <c r="HY8" s="689"/>
      <c r="HZ8" s="689"/>
      <c r="IA8" s="689"/>
      <c r="IB8" s="689"/>
      <c r="IC8" s="689"/>
      <c r="ID8" s="689"/>
      <c r="IE8" s="689"/>
      <c r="IF8" s="689"/>
      <c r="IG8" s="689"/>
      <c r="IH8" s="689"/>
      <c r="II8" s="689"/>
      <c r="IJ8" s="689"/>
      <c r="IK8" s="689"/>
      <c r="IL8" s="689"/>
      <c r="IM8" s="689"/>
      <c r="IN8" s="689"/>
      <c r="IO8" s="689"/>
      <c r="IP8" s="689"/>
      <c r="IQ8" s="689"/>
      <c r="IR8" s="689"/>
      <c r="IS8" s="689"/>
      <c r="IT8" s="689"/>
      <c r="IU8" s="689"/>
      <c r="IV8" s="689"/>
    </row>
    <row r="9" spans="1:256" x14ac:dyDescent="0.2">
      <c r="A9" s="688"/>
      <c r="B9" s="689"/>
      <c r="C9" s="689"/>
      <c r="D9" s="689"/>
      <c r="E9" s="689"/>
      <c r="F9" s="689"/>
      <c r="G9" s="689"/>
      <c r="H9" s="689"/>
      <c r="I9" s="689"/>
      <c r="J9" s="689"/>
      <c r="K9" s="689"/>
      <c r="L9" s="689"/>
      <c r="M9" s="689"/>
      <c r="N9" s="689"/>
      <c r="O9" s="689"/>
      <c r="P9" s="689"/>
      <c r="Q9" s="689"/>
      <c r="R9" s="689"/>
      <c r="S9" s="689"/>
      <c r="T9" s="689"/>
      <c r="U9" s="689"/>
      <c r="V9" s="689"/>
      <c r="W9" s="689"/>
      <c r="X9" s="689"/>
      <c r="Y9" s="689"/>
      <c r="Z9" s="689"/>
      <c r="AA9" s="689"/>
      <c r="AB9" s="689"/>
      <c r="AC9" s="689"/>
      <c r="AD9" s="689"/>
      <c r="AE9" s="689"/>
      <c r="AF9" s="689"/>
      <c r="AG9" s="689"/>
      <c r="AH9" s="689"/>
      <c r="AI9" s="689"/>
      <c r="AJ9" s="689"/>
      <c r="AK9" s="689"/>
      <c r="AL9" s="689"/>
      <c r="AM9" s="689"/>
      <c r="AN9" s="689"/>
      <c r="AO9" s="689"/>
      <c r="AP9" s="689"/>
      <c r="AQ9" s="689"/>
      <c r="AR9" s="689"/>
      <c r="AS9" s="689"/>
      <c r="AT9" s="689"/>
      <c r="AU9" s="689"/>
      <c r="AV9" s="689"/>
      <c r="AW9" s="689"/>
      <c r="AX9" s="689"/>
      <c r="AY9" s="689"/>
      <c r="AZ9" s="689"/>
      <c r="BA9" s="689"/>
      <c r="BB9" s="689"/>
      <c r="BC9" s="689"/>
      <c r="BD9" s="689"/>
      <c r="BE9" s="689"/>
      <c r="BF9" s="689"/>
      <c r="BG9" s="689"/>
      <c r="BH9" s="689"/>
      <c r="BI9" s="689"/>
      <c r="BJ9" s="689"/>
      <c r="BK9" s="689"/>
      <c r="BL9" s="689"/>
      <c r="BM9" s="689"/>
      <c r="BN9" s="689"/>
      <c r="BO9" s="689"/>
      <c r="BP9" s="689"/>
      <c r="BQ9" s="689"/>
      <c r="BR9" s="689"/>
      <c r="BS9" s="689"/>
      <c r="BT9" s="689"/>
      <c r="BU9" s="689"/>
      <c r="BV9" s="689"/>
      <c r="BW9" s="689"/>
      <c r="BX9" s="689"/>
      <c r="BY9" s="689"/>
      <c r="BZ9" s="689"/>
      <c r="CA9" s="689"/>
      <c r="CB9" s="689"/>
      <c r="CC9" s="689"/>
      <c r="CD9" s="689"/>
      <c r="CE9" s="689"/>
      <c r="CF9" s="689"/>
      <c r="CG9" s="689"/>
      <c r="CH9" s="689"/>
      <c r="CI9" s="689"/>
      <c r="CJ9" s="689"/>
      <c r="CK9" s="689"/>
      <c r="CL9" s="689"/>
      <c r="CM9" s="689"/>
      <c r="CN9" s="689"/>
      <c r="CO9" s="689"/>
      <c r="CP9" s="689"/>
      <c r="CQ9" s="689"/>
      <c r="CR9" s="689"/>
      <c r="CS9" s="689"/>
      <c r="CT9" s="689"/>
      <c r="CU9" s="689"/>
      <c r="CV9" s="689"/>
      <c r="CW9" s="689"/>
      <c r="CX9" s="689"/>
      <c r="CY9" s="689"/>
      <c r="CZ9" s="689"/>
      <c r="DA9" s="689"/>
      <c r="DB9" s="689"/>
      <c r="DC9" s="689"/>
      <c r="DD9" s="689"/>
      <c r="DE9" s="689"/>
      <c r="DF9" s="689"/>
      <c r="DG9" s="689"/>
      <c r="DH9" s="689"/>
      <c r="DI9" s="689"/>
      <c r="DJ9" s="689"/>
      <c r="DK9" s="689"/>
      <c r="DL9" s="689"/>
      <c r="DM9" s="689"/>
      <c r="DN9" s="689"/>
      <c r="DO9" s="689"/>
      <c r="DP9" s="689"/>
      <c r="DQ9" s="689"/>
      <c r="DR9" s="689"/>
      <c r="DS9" s="689"/>
      <c r="DT9" s="689"/>
      <c r="DU9" s="689"/>
      <c r="DV9" s="689"/>
      <c r="DW9" s="689"/>
      <c r="DX9" s="689"/>
      <c r="DY9" s="689"/>
      <c r="DZ9" s="689"/>
      <c r="EA9" s="689"/>
      <c r="EB9" s="689"/>
      <c r="EC9" s="689"/>
      <c r="ED9" s="689"/>
      <c r="EE9" s="689"/>
      <c r="EF9" s="689"/>
      <c r="EG9" s="689"/>
      <c r="EH9" s="689"/>
      <c r="EI9" s="689"/>
      <c r="EJ9" s="689"/>
      <c r="EK9" s="689"/>
      <c r="EL9" s="689"/>
      <c r="EM9" s="689"/>
      <c r="EN9" s="689"/>
      <c r="EO9" s="689"/>
      <c r="EP9" s="689"/>
      <c r="EQ9" s="689"/>
      <c r="ER9" s="689"/>
      <c r="ES9" s="689"/>
      <c r="ET9" s="689"/>
      <c r="EU9" s="689"/>
      <c r="EV9" s="689"/>
      <c r="EW9" s="689"/>
      <c r="EX9" s="689"/>
      <c r="EY9" s="689"/>
      <c r="EZ9" s="689"/>
      <c r="FA9" s="689"/>
      <c r="FB9" s="689"/>
      <c r="FC9" s="689"/>
      <c r="FD9" s="689"/>
      <c r="FE9" s="689"/>
      <c r="FF9" s="689"/>
      <c r="FG9" s="689"/>
      <c r="FH9" s="689"/>
      <c r="FI9" s="689"/>
      <c r="FJ9" s="689"/>
      <c r="FK9" s="689"/>
      <c r="FL9" s="689"/>
      <c r="FM9" s="689"/>
      <c r="FN9" s="689"/>
      <c r="FO9" s="689"/>
      <c r="FP9" s="689"/>
      <c r="FQ9" s="689"/>
      <c r="FR9" s="689"/>
      <c r="FS9" s="689"/>
      <c r="FT9" s="689"/>
      <c r="FU9" s="689"/>
      <c r="FV9" s="689"/>
      <c r="FW9" s="689"/>
      <c r="FX9" s="689"/>
      <c r="FY9" s="689"/>
      <c r="FZ9" s="689"/>
      <c r="GA9" s="689"/>
      <c r="GB9" s="689"/>
      <c r="GC9" s="689"/>
      <c r="GD9" s="689"/>
      <c r="GE9" s="689"/>
      <c r="GF9" s="689"/>
      <c r="GG9" s="689"/>
      <c r="GH9" s="689"/>
      <c r="GI9" s="689"/>
      <c r="GJ9" s="689"/>
      <c r="GK9" s="689"/>
      <c r="GL9" s="689"/>
      <c r="GM9" s="689"/>
      <c r="GN9" s="689"/>
      <c r="GO9" s="689"/>
      <c r="GP9" s="689"/>
      <c r="GQ9" s="689"/>
      <c r="GR9" s="689"/>
      <c r="GS9" s="689"/>
      <c r="GT9" s="689"/>
      <c r="GU9" s="689"/>
      <c r="GV9" s="689"/>
      <c r="GW9" s="689"/>
      <c r="GX9" s="689"/>
      <c r="GY9" s="689"/>
      <c r="GZ9" s="689"/>
      <c r="HA9" s="689"/>
      <c r="HB9" s="689"/>
      <c r="HC9" s="689"/>
      <c r="HD9" s="689"/>
      <c r="HE9" s="689"/>
      <c r="HF9" s="689"/>
      <c r="HG9" s="689"/>
      <c r="HH9" s="689"/>
      <c r="HI9" s="689"/>
      <c r="HJ9" s="689"/>
      <c r="HK9" s="689"/>
      <c r="HL9" s="689"/>
      <c r="HM9" s="689"/>
      <c r="HN9" s="689"/>
      <c r="HO9" s="689"/>
      <c r="HP9" s="689"/>
      <c r="HQ9" s="689"/>
      <c r="HR9" s="689"/>
      <c r="HS9" s="689"/>
      <c r="HT9" s="689"/>
      <c r="HU9" s="689"/>
      <c r="HV9" s="689"/>
      <c r="HW9" s="689"/>
      <c r="HX9" s="689"/>
      <c r="HY9" s="689"/>
      <c r="HZ9" s="689"/>
      <c r="IA9" s="689"/>
      <c r="IB9" s="689"/>
      <c r="IC9" s="689"/>
      <c r="ID9" s="689"/>
      <c r="IE9" s="689"/>
      <c r="IF9" s="689"/>
      <c r="IG9" s="689"/>
      <c r="IH9" s="689"/>
      <c r="II9" s="689"/>
      <c r="IJ9" s="689"/>
      <c r="IK9" s="689"/>
      <c r="IL9" s="689"/>
      <c r="IM9" s="689"/>
      <c r="IN9" s="689"/>
      <c r="IO9" s="689"/>
      <c r="IP9" s="689"/>
      <c r="IQ9" s="689"/>
      <c r="IR9" s="689"/>
      <c r="IS9" s="689"/>
      <c r="IT9" s="689"/>
      <c r="IU9" s="689"/>
      <c r="IV9" s="689"/>
    </row>
    <row r="10" spans="1:256" ht="15" x14ac:dyDescent="0.25">
      <c r="A10" s="690"/>
      <c r="B10" s="691" t="s">
        <v>450</v>
      </c>
      <c r="C10" s="691" t="s">
        <v>572</v>
      </c>
      <c r="D10" s="689"/>
      <c r="E10" s="689"/>
      <c r="F10" s="689"/>
      <c r="G10" s="691"/>
      <c r="H10" s="689"/>
      <c r="I10" s="689"/>
      <c r="J10" s="689"/>
      <c r="K10" s="689"/>
      <c r="L10" s="689"/>
      <c r="M10" s="689"/>
      <c r="N10" s="689"/>
      <c r="O10" s="689"/>
      <c r="P10" s="689"/>
      <c r="Q10" s="689"/>
      <c r="R10" s="689"/>
      <c r="S10" s="689"/>
      <c r="T10" s="689"/>
      <c r="U10" s="689"/>
      <c r="V10" s="689"/>
      <c r="W10" s="689"/>
      <c r="X10" s="689"/>
      <c r="Y10" s="689"/>
      <c r="Z10" s="689"/>
      <c r="AA10" s="689"/>
      <c r="AB10" s="689"/>
      <c r="AC10" s="689"/>
      <c r="AD10" s="689"/>
      <c r="AE10" s="689"/>
      <c r="AF10" s="689"/>
      <c r="AG10" s="689"/>
      <c r="AH10" s="689"/>
      <c r="AI10" s="689"/>
      <c r="AJ10" s="689"/>
      <c r="AK10" s="689"/>
      <c r="AL10" s="689"/>
      <c r="AM10" s="689"/>
      <c r="AN10" s="689"/>
      <c r="AO10" s="689"/>
      <c r="AP10" s="689"/>
      <c r="AQ10" s="689"/>
      <c r="AR10" s="689"/>
      <c r="AS10" s="689"/>
      <c r="AT10" s="689"/>
      <c r="AU10" s="689"/>
      <c r="AV10" s="689"/>
      <c r="AW10" s="689"/>
      <c r="AX10" s="689"/>
      <c r="AY10" s="689"/>
      <c r="AZ10" s="689"/>
      <c r="BA10" s="689"/>
      <c r="BB10" s="689"/>
      <c r="BC10" s="689"/>
      <c r="BD10" s="689"/>
      <c r="BE10" s="689"/>
      <c r="BF10" s="689"/>
      <c r="BG10" s="689"/>
      <c r="BH10" s="689"/>
      <c r="BI10" s="689"/>
      <c r="BJ10" s="689"/>
      <c r="BK10" s="689"/>
      <c r="BL10" s="689"/>
      <c r="BM10" s="689"/>
      <c r="BN10" s="689"/>
      <c r="BO10" s="689"/>
      <c r="BP10" s="689"/>
      <c r="BQ10" s="689"/>
      <c r="BR10" s="689"/>
      <c r="BS10" s="689"/>
      <c r="BT10" s="689"/>
      <c r="BU10" s="689"/>
      <c r="BV10" s="689"/>
      <c r="BW10" s="689"/>
      <c r="BX10" s="689"/>
      <c r="BY10" s="689"/>
      <c r="BZ10" s="689"/>
      <c r="CA10" s="689"/>
      <c r="CB10" s="689"/>
      <c r="CC10" s="689"/>
      <c r="CD10" s="689"/>
      <c r="CE10" s="689"/>
      <c r="CF10" s="689"/>
      <c r="CG10" s="689"/>
      <c r="CH10" s="689"/>
      <c r="CI10" s="689"/>
      <c r="CJ10" s="689"/>
      <c r="CK10" s="689"/>
      <c r="CL10" s="689"/>
      <c r="CM10" s="689"/>
      <c r="CN10" s="689"/>
      <c r="CO10" s="689"/>
      <c r="CP10" s="689"/>
      <c r="CQ10" s="689"/>
      <c r="CR10" s="689"/>
      <c r="CS10" s="689"/>
      <c r="CT10" s="689"/>
      <c r="CU10" s="689"/>
      <c r="CV10" s="689"/>
      <c r="CW10" s="689"/>
      <c r="CX10" s="689"/>
      <c r="CY10" s="689"/>
      <c r="CZ10" s="689"/>
      <c r="DA10" s="689"/>
      <c r="DB10" s="689"/>
      <c r="DC10" s="689"/>
      <c r="DD10" s="689"/>
      <c r="DE10" s="689"/>
      <c r="DF10" s="689"/>
      <c r="DG10" s="689"/>
      <c r="DH10" s="689"/>
      <c r="DI10" s="689"/>
      <c r="DJ10" s="689"/>
      <c r="DK10" s="689"/>
      <c r="DL10" s="689"/>
      <c r="DM10" s="689"/>
      <c r="DN10" s="689"/>
      <c r="DO10" s="689"/>
      <c r="DP10" s="689"/>
      <c r="DQ10" s="689"/>
      <c r="DR10" s="689"/>
      <c r="DS10" s="689"/>
      <c r="DT10" s="689"/>
      <c r="DU10" s="689"/>
      <c r="DV10" s="689"/>
      <c r="DW10" s="689"/>
      <c r="DX10" s="689"/>
      <c r="DY10" s="689"/>
      <c r="DZ10" s="689"/>
      <c r="EA10" s="689"/>
      <c r="EB10" s="689"/>
      <c r="EC10" s="689"/>
      <c r="ED10" s="689"/>
      <c r="EE10" s="689"/>
      <c r="EF10" s="689"/>
      <c r="EG10" s="689"/>
      <c r="EH10" s="689"/>
      <c r="EI10" s="689"/>
      <c r="EJ10" s="689"/>
      <c r="EK10" s="689"/>
      <c r="EL10" s="689"/>
      <c r="EM10" s="689"/>
      <c r="EN10" s="689"/>
      <c r="EO10" s="689"/>
      <c r="EP10" s="689"/>
      <c r="EQ10" s="689"/>
      <c r="ER10" s="689"/>
      <c r="ES10" s="689"/>
      <c r="ET10" s="689"/>
      <c r="EU10" s="689"/>
      <c r="EV10" s="689"/>
      <c r="EW10" s="689"/>
      <c r="EX10" s="689"/>
      <c r="EY10" s="689"/>
      <c r="EZ10" s="689"/>
      <c r="FA10" s="689"/>
      <c r="FB10" s="689"/>
      <c r="FC10" s="689"/>
      <c r="FD10" s="689"/>
      <c r="FE10" s="689"/>
      <c r="FF10" s="689"/>
      <c r="FG10" s="689"/>
      <c r="FH10" s="689"/>
      <c r="FI10" s="689"/>
      <c r="FJ10" s="689"/>
      <c r="FK10" s="689"/>
      <c r="FL10" s="689"/>
      <c r="FM10" s="689"/>
      <c r="FN10" s="689"/>
      <c r="FO10" s="689"/>
      <c r="FP10" s="689"/>
      <c r="FQ10" s="689"/>
      <c r="FR10" s="689"/>
      <c r="FS10" s="689"/>
      <c r="FT10" s="689"/>
      <c r="FU10" s="689"/>
      <c r="FV10" s="689"/>
      <c r="FW10" s="689"/>
      <c r="FX10" s="689"/>
      <c r="FY10" s="689"/>
      <c r="FZ10" s="689"/>
      <c r="GA10" s="689"/>
      <c r="GB10" s="689"/>
      <c r="GC10" s="689"/>
      <c r="GD10" s="689"/>
      <c r="GE10" s="689"/>
      <c r="GF10" s="689"/>
      <c r="GG10" s="689"/>
      <c r="GH10" s="689"/>
      <c r="GI10" s="689"/>
      <c r="GJ10" s="689"/>
      <c r="GK10" s="689"/>
      <c r="GL10" s="689"/>
      <c r="GM10" s="689"/>
      <c r="GN10" s="689"/>
      <c r="GO10" s="689"/>
      <c r="GP10" s="689"/>
      <c r="GQ10" s="689"/>
      <c r="GR10" s="689"/>
      <c r="GS10" s="689"/>
      <c r="GT10" s="689"/>
      <c r="GU10" s="689"/>
      <c r="GV10" s="689"/>
      <c r="GW10" s="689"/>
      <c r="GX10" s="689"/>
      <c r="GY10" s="689"/>
      <c r="GZ10" s="689"/>
      <c r="HA10" s="689"/>
      <c r="HB10" s="689"/>
      <c r="HC10" s="689"/>
      <c r="HD10" s="689"/>
      <c r="HE10" s="689"/>
      <c r="HF10" s="689"/>
      <c r="HG10" s="689"/>
      <c r="HH10" s="689"/>
      <c r="HI10" s="689"/>
      <c r="HJ10" s="689"/>
      <c r="HK10" s="689"/>
      <c r="HL10" s="689"/>
      <c r="HM10" s="689"/>
      <c r="HN10" s="689"/>
      <c r="HO10" s="689"/>
      <c r="HP10" s="689"/>
      <c r="HQ10" s="689"/>
      <c r="HR10" s="689"/>
      <c r="HS10" s="689"/>
      <c r="HT10" s="689"/>
      <c r="HU10" s="689"/>
      <c r="HV10" s="689"/>
      <c r="HW10" s="689"/>
      <c r="HX10" s="689"/>
      <c r="HY10" s="689"/>
      <c r="HZ10" s="689"/>
      <c r="IA10" s="689"/>
      <c r="IB10" s="689"/>
      <c r="IC10" s="689"/>
      <c r="ID10" s="689"/>
      <c r="IE10" s="689"/>
      <c r="IF10" s="689"/>
      <c r="IG10" s="689"/>
      <c r="IH10" s="689"/>
      <c r="II10" s="689"/>
      <c r="IJ10" s="689"/>
      <c r="IK10" s="689"/>
      <c r="IL10" s="689"/>
      <c r="IM10" s="689"/>
      <c r="IN10" s="689"/>
      <c r="IO10" s="689"/>
      <c r="IP10" s="689"/>
      <c r="IQ10" s="689"/>
      <c r="IR10" s="689"/>
      <c r="IS10" s="689"/>
      <c r="IT10" s="689"/>
      <c r="IU10" s="689"/>
      <c r="IV10" s="689"/>
    </row>
    <row r="11" spans="1:256" ht="15" x14ac:dyDescent="0.25">
      <c r="A11" s="690"/>
      <c r="B11" s="691" t="s">
        <v>451</v>
      </c>
      <c r="C11" s="691" t="s">
        <v>573</v>
      </c>
      <c r="D11" s="689"/>
      <c r="E11" s="689"/>
      <c r="F11" s="689"/>
      <c r="G11" s="691"/>
      <c r="H11" s="689"/>
      <c r="I11" s="689"/>
      <c r="J11" s="689"/>
      <c r="K11" s="689"/>
      <c r="L11" s="689"/>
      <c r="M11" s="689"/>
      <c r="N11" s="689"/>
      <c r="O11" s="689"/>
      <c r="P11" s="689"/>
      <c r="Q11" s="689"/>
      <c r="R11" s="689"/>
      <c r="S11" s="689"/>
      <c r="T11" s="689"/>
      <c r="U11" s="689"/>
      <c r="V11" s="689"/>
      <c r="W11" s="689"/>
      <c r="X11" s="689"/>
      <c r="Y11" s="689"/>
      <c r="Z11" s="689"/>
      <c r="AA11" s="689"/>
      <c r="AB11" s="689"/>
      <c r="AC11" s="689"/>
      <c r="AD11" s="689"/>
      <c r="AE11" s="689"/>
      <c r="AF11" s="689"/>
      <c r="AG11" s="689"/>
      <c r="AH11" s="689"/>
      <c r="AI11" s="689"/>
      <c r="AJ11" s="689"/>
      <c r="AK11" s="689"/>
      <c r="AL11" s="689"/>
      <c r="AM11" s="689"/>
      <c r="AN11" s="689"/>
      <c r="AO11" s="689"/>
      <c r="AP11" s="689"/>
      <c r="AQ11" s="689"/>
      <c r="AR11" s="689"/>
      <c r="AS11" s="689"/>
      <c r="AT11" s="689"/>
      <c r="AU11" s="689"/>
      <c r="AV11" s="689"/>
      <c r="AW11" s="689"/>
      <c r="AX11" s="689"/>
      <c r="AY11" s="689"/>
      <c r="AZ11" s="689"/>
      <c r="BA11" s="689"/>
      <c r="BB11" s="689"/>
      <c r="BC11" s="689"/>
      <c r="BD11" s="689"/>
      <c r="BE11" s="689"/>
      <c r="BF11" s="689"/>
      <c r="BG11" s="689"/>
      <c r="BH11" s="689"/>
      <c r="BI11" s="689"/>
      <c r="BJ11" s="689"/>
      <c r="BK11" s="689"/>
      <c r="BL11" s="689"/>
      <c r="BM11" s="689"/>
      <c r="BN11" s="689"/>
      <c r="BO11" s="689"/>
      <c r="BP11" s="689"/>
      <c r="BQ11" s="689"/>
      <c r="BR11" s="689"/>
      <c r="BS11" s="689"/>
      <c r="BT11" s="689"/>
      <c r="BU11" s="689"/>
      <c r="BV11" s="689"/>
      <c r="BW11" s="689"/>
      <c r="BX11" s="689"/>
      <c r="BY11" s="689"/>
      <c r="BZ11" s="689"/>
      <c r="CA11" s="689"/>
      <c r="CB11" s="689"/>
      <c r="CC11" s="689"/>
      <c r="CD11" s="689"/>
      <c r="CE11" s="689"/>
      <c r="CF11" s="689"/>
      <c r="CG11" s="689"/>
      <c r="CH11" s="689"/>
      <c r="CI11" s="689"/>
      <c r="CJ11" s="689"/>
      <c r="CK11" s="689"/>
      <c r="CL11" s="689"/>
      <c r="CM11" s="689"/>
      <c r="CN11" s="689"/>
      <c r="CO11" s="689"/>
      <c r="CP11" s="689"/>
      <c r="CQ11" s="689"/>
      <c r="CR11" s="689"/>
      <c r="CS11" s="689"/>
      <c r="CT11" s="689"/>
      <c r="CU11" s="689"/>
      <c r="CV11" s="689"/>
      <c r="CW11" s="689"/>
      <c r="CX11" s="689"/>
      <c r="CY11" s="689"/>
      <c r="CZ11" s="689"/>
      <c r="DA11" s="689"/>
      <c r="DB11" s="689"/>
      <c r="DC11" s="689"/>
      <c r="DD11" s="689"/>
      <c r="DE11" s="689"/>
      <c r="DF11" s="689"/>
      <c r="DG11" s="689"/>
      <c r="DH11" s="689"/>
      <c r="DI11" s="689"/>
      <c r="DJ11" s="689"/>
      <c r="DK11" s="689"/>
      <c r="DL11" s="689"/>
      <c r="DM11" s="689"/>
      <c r="DN11" s="689"/>
      <c r="DO11" s="689"/>
      <c r="DP11" s="689"/>
      <c r="DQ11" s="689"/>
      <c r="DR11" s="689"/>
      <c r="DS11" s="689"/>
      <c r="DT11" s="689"/>
      <c r="DU11" s="689"/>
      <c r="DV11" s="689"/>
      <c r="DW11" s="689"/>
      <c r="DX11" s="689"/>
      <c r="DY11" s="689"/>
      <c r="DZ11" s="689"/>
      <c r="EA11" s="689"/>
      <c r="EB11" s="689"/>
      <c r="EC11" s="689"/>
      <c r="ED11" s="689"/>
      <c r="EE11" s="689"/>
      <c r="EF11" s="689"/>
      <c r="EG11" s="689"/>
      <c r="EH11" s="689"/>
      <c r="EI11" s="689"/>
      <c r="EJ11" s="689"/>
      <c r="EK11" s="689"/>
      <c r="EL11" s="689"/>
      <c r="EM11" s="689"/>
      <c r="EN11" s="689"/>
      <c r="EO11" s="689"/>
      <c r="EP11" s="689"/>
      <c r="EQ11" s="689"/>
      <c r="ER11" s="689"/>
      <c r="ES11" s="689"/>
      <c r="ET11" s="689"/>
      <c r="EU11" s="689"/>
      <c r="EV11" s="689"/>
      <c r="EW11" s="689"/>
      <c r="EX11" s="689"/>
      <c r="EY11" s="689"/>
      <c r="EZ11" s="689"/>
      <c r="FA11" s="689"/>
      <c r="FB11" s="689"/>
      <c r="FC11" s="689"/>
      <c r="FD11" s="689"/>
      <c r="FE11" s="689"/>
      <c r="FF11" s="689"/>
      <c r="FG11" s="689"/>
      <c r="FH11" s="689"/>
      <c r="FI11" s="689"/>
      <c r="FJ11" s="689"/>
      <c r="FK11" s="689"/>
      <c r="FL11" s="689"/>
      <c r="FM11" s="689"/>
      <c r="FN11" s="689"/>
      <c r="FO11" s="689"/>
      <c r="FP11" s="689"/>
      <c r="FQ11" s="689"/>
      <c r="FR11" s="689"/>
      <c r="FS11" s="689"/>
      <c r="FT11" s="689"/>
      <c r="FU11" s="689"/>
      <c r="FV11" s="689"/>
      <c r="FW11" s="689"/>
      <c r="FX11" s="689"/>
      <c r="FY11" s="689"/>
      <c r="FZ11" s="689"/>
      <c r="GA11" s="689"/>
      <c r="GB11" s="689"/>
      <c r="GC11" s="689"/>
      <c r="GD11" s="689"/>
      <c r="GE11" s="689"/>
      <c r="GF11" s="689"/>
      <c r="GG11" s="689"/>
      <c r="GH11" s="689"/>
      <c r="GI11" s="689"/>
      <c r="GJ11" s="689"/>
      <c r="GK11" s="689"/>
      <c r="GL11" s="689"/>
      <c r="GM11" s="689"/>
      <c r="GN11" s="689"/>
      <c r="GO11" s="689"/>
      <c r="GP11" s="689"/>
      <c r="GQ11" s="689"/>
      <c r="GR11" s="689"/>
      <c r="GS11" s="689"/>
      <c r="GT11" s="689"/>
      <c r="GU11" s="689"/>
      <c r="GV11" s="689"/>
      <c r="GW11" s="689"/>
      <c r="GX11" s="689"/>
      <c r="GY11" s="689"/>
      <c r="GZ11" s="689"/>
      <c r="HA11" s="689"/>
      <c r="HB11" s="689"/>
      <c r="HC11" s="689"/>
      <c r="HD11" s="689"/>
      <c r="HE11" s="689"/>
      <c r="HF11" s="689"/>
      <c r="HG11" s="689"/>
      <c r="HH11" s="689"/>
      <c r="HI11" s="689"/>
      <c r="HJ11" s="689"/>
      <c r="HK11" s="689"/>
      <c r="HL11" s="689"/>
      <c r="HM11" s="689"/>
      <c r="HN11" s="689"/>
      <c r="HO11" s="689"/>
      <c r="HP11" s="689"/>
      <c r="HQ11" s="689"/>
      <c r="HR11" s="689"/>
      <c r="HS11" s="689"/>
      <c r="HT11" s="689"/>
      <c r="HU11" s="689"/>
      <c r="HV11" s="689"/>
      <c r="HW11" s="689"/>
      <c r="HX11" s="689"/>
      <c r="HY11" s="689"/>
      <c r="HZ11" s="689"/>
      <c r="IA11" s="689"/>
      <c r="IB11" s="689"/>
      <c r="IC11" s="689"/>
      <c r="ID11" s="689"/>
      <c r="IE11" s="689"/>
      <c r="IF11" s="689"/>
      <c r="IG11" s="689"/>
      <c r="IH11" s="689"/>
      <c r="II11" s="689"/>
      <c r="IJ11" s="689"/>
      <c r="IK11" s="689"/>
      <c r="IL11" s="689"/>
      <c r="IM11" s="689"/>
      <c r="IN11" s="689"/>
      <c r="IO11" s="689"/>
      <c r="IP11" s="689"/>
      <c r="IQ11" s="689"/>
      <c r="IR11" s="689"/>
      <c r="IS11" s="689"/>
      <c r="IT11" s="689"/>
      <c r="IU11" s="689"/>
      <c r="IV11" s="689"/>
    </row>
    <row r="12" spans="1:256" ht="15" x14ac:dyDescent="0.25">
      <c r="A12" s="690"/>
      <c r="B12" s="691" t="s">
        <v>452</v>
      </c>
      <c r="C12" s="691" t="s">
        <v>574</v>
      </c>
      <c r="D12" s="689"/>
      <c r="E12" s="689"/>
      <c r="F12" s="689"/>
      <c r="G12" s="691"/>
      <c r="H12" s="689"/>
      <c r="I12" s="689"/>
      <c r="J12" s="689"/>
      <c r="K12" s="689"/>
      <c r="L12" s="689"/>
      <c r="M12" s="689"/>
      <c r="N12" s="689"/>
      <c r="O12" s="689"/>
      <c r="P12" s="689"/>
      <c r="Q12" s="689"/>
      <c r="R12" s="689"/>
      <c r="S12" s="689"/>
      <c r="T12" s="689"/>
      <c r="U12" s="689"/>
      <c r="V12" s="689"/>
      <c r="W12" s="689"/>
      <c r="X12" s="689"/>
      <c r="Y12" s="689"/>
      <c r="Z12" s="689"/>
      <c r="AA12" s="689"/>
      <c r="AB12" s="689"/>
      <c r="AC12" s="689"/>
      <c r="AD12" s="689"/>
      <c r="AE12" s="689"/>
      <c r="AF12" s="689"/>
      <c r="AG12" s="689"/>
      <c r="AH12" s="689"/>
      <c r="AI12" s="689"/>
      <c r="AJ12" s="689"/>
      <c r="AK12" s="689"/>
      <c r="AL12" s="689"/>
      <c r="AM12" s="689"/>
      <c r="AN12" s="689"/>
      <c r="AO12" s="689"/>
      <c r="AP12" s="689"/>
      <c r="AQ12" s="689"/>
      <c r="AR12" s="689"/>
      <c r="AS12" s="689"/>
      <c r="AT12" s="689"/>
      <c r="AU12" s="689"/>
      <c r="AV12" s="689"/>
      <c r="AW12" s="689"/>
      <c r="AX12" s="689"/>
      <c r="AY12" s="689"/>
      <c r="AZ12" s="689"/>
      <c r="BA12" s="689"/>
      <c r="BB12" s="689"/>
      <c r="BC12" s="689"/>
      <c r="BD12" s="689"/>
      <c r="BE12" s="689"/>
      <c r="BF12" s="689"/>
      <c r="BG12" s="689"/>
      <c r="BH12" s="689"/>
      <c r="BI12" s="689"/>
      <c r="BJ12" s="689"/>
      <c r="BK12" s="689"/>
      <c r="BL12" s="689"/>
      <c r="BM12" s="689"/>
      <c r="BN12" s="689"/>
      <c r="BO12" s="689"/>
      <c r="BP12" s="689"/>
      <c r="BQ12" s="689"/>
      <c r="BR12" s="689"/>
      <c r="BS12" s="689"/>
      <c r="BT12" s="689"/>
      <c r="BU12" s="689"/>
      <c r="BV12" s="689"/>
      <c r="BW12" s="689"/>
      <c r="BX12" s="689"/>
      <c r="BY12" s="689"/>
      <c r="BZ12" s="689"/>
      <c r="CA12" s="689"/>
      <c r="CB12" s="689"/>
      <c r="CC12" s="689"/>
      <c r="CD12" s="689"/>
      <c r="CE12" s="689"/>
      <c r="CF12" s="689"/>
      <c r="CG12" s="689"/>
      <c r="CH12" s="689"/>
      <c r="CI12" s="689"/>
      <c r="CJ12" s="689"/>
      <c r="CK12" s="689"/>
      <c r="CL12" s="689"/>
      <c r="CM12" s="689"/>
      <c r="CN12" s="689"/>
      <c r="CO12" s="689"/>
      <c r="CP12" s="689"/>
      <c r="CQ12" s="689"/>
      <c r="CR12" s="689"/>
      <c r="CS12" s="689"/>
      <c r="CT12" s="689"/>
      <c r="CU12" s="689"/>
      <c r="CV12" s="689"/>
      <c r="CW12" s="689"/>
      <c r="CX12" s="689"/>
      <c r="CY12" s="689"/>
      <c r="CZ12" s="689"/>
      <c r="DA12" s="689"/>
      <c r="DB12" s="689"/>
      <c r="DC12" s="689"/>
      <c r="DD12" s="689"/>
      <c r="DE12" s="689"/>
      <c r="DF12" s="689"/>
      <c r="DG12" s="689"/>
      <c r="DH12" s="689"/>
      <c r="DI12" s="689"/>
      <c r="DJ12" s="689"/>
      <c r="DK12" s="689"/>
      <c r="DL12" s="689"/>
      <c r="DM12" s="689"/>
      <c r="DN12" s="689"/>
      <c r="DO12" s="689"/>
      <c r="DP12" s="689"/>
      <c r="DQ12" s="689"/>
      <c r="DR12" s="689"/>
      <c r="DS12" s="689"/>
      <c r="DT12" s="689"/>
      <c r="DU12" s="689"/>
      <c r="DV12" s="689"/>
      <c r="DW12" s="689"/>
      <c r="DX12" s="689"/>
      <c r="DY12" s="689"/>
      <c r="DZ12" s="689"/>
      <c r="EA12" s="689"/>
      <c r="EB12" s="689"/>
      <c r="EC12" s="689"/>
      <c r="ED12" s="689"/>
      <c r="EE12" s="689"/>
      <c r="EF12" s="689"/>
      <c r="EG12" s="689"/>
      <c r="EH12" s="689"/>
      <c r="EI12" s="689"/>
      <c r="EJ12" s="689"/>
      <c r="EK12" s="689"/>
      <c r="EL12" s="689"/>
      <c r="EM12" s="689"/>
      <c r="EN12" s="689"/>
      <c r="EO12" s="689"/>
      <c r="EP12" s="689"/>
      <c r="EQ12" s="689"/>
      <c r="ER12" s="689"/>
      <c r="ES12" s="689"/>
      <c r="ET12" s="689"/>
      <c r="EU12" s="689"/>
      <c r="EV12" s="689"/>
      <c r="EW12" s="689"/>
      <c r="EX12" s="689"/>
      <c r="EY12" s="689"/>
      <c r="EZ12" s="689"/>
      <c r="FA12" s="689"/>
      <c r="FB12" s="689"/>
      <c r="FC12" s="689"/>
      <c r="FD12" s="689"/>
      <c r="FE12" s="689"/>
      <c r="FF12" s="689"/>
      <c r="FG12" s="689"/>
      <c r="FH12" s="689"/>
      <c r="FI12" s="689"/>
      <c r="FJ12" s="689"/>
      <c r="FK12" s="689"/>
      <c r="FL12" s="689"/>
      <c r="FM12" s="689"/>
      <c r="FN12" s="689"/>
      <c r="FO12" s="689"/>
      <c r="FP12" s="689"/>
      <c r="FQ12" s="689"/>
      <c r="FR12" s="689"/>
      <c r="FS12" s="689"/>
      <c r="FT12" s="689"/>
      <c r="FU12" s="689"/>
      <c r="FV12" s="689"/>
      <c r="FW12" s="689"/>
      <c r="FX12" s="689"/>
      <c r="FY12" s="689"/>
      <c r="FZ12" s="689"/>
      <c r="GA12" s="689"/>
      <c r="GB12" s="689"/>
      <c r="GC12" s="689"/>
      <c r="GD12" s="689"/>
      <c r="GE12" s="689"/>
      <c r="GF12" s="689"/>
      <c r="GG12" s="689"/>
      <c r="GH12" s="689"/>
      <c r="GI12" s="689"/>
      <c r="GJ12" s="689"/>
      <c r="GK12" s="689"/>
      <c r="GL12" s="689"/>
      <c r="GM12" s="689"/>
      <c r="GN12" s="689"/>
      <c r="GO12" s="689"/>
      <c r="GP12" s="689"/>
      <c r="GQ12" s="689"/>
      <c r="GR12" s="689"/>
      <c r="GS12" s="689"/>
      <c r="GT12" s="689"/>
      <c r="GU12" s="689"/>
      <c r="GV12" s="689"/>
      <c r="GW12" s="689"/>
      <c r="GX12" s="689"/>
      <c r="GY12" s="689"/>
      <c r="GZ12" s="689"/>
      <c r="HA12" s="689"/>
      <c r="HB12" s="689"/>
      <c r="HC12" s="689"/>
      <c r="HD12" s="689"/>
      <c r="HE12" s="689"/>
      <c r="HF12" s="689"/>
      <c r="HG12" s="689"/>
      <c r="HH12" s="689"/>
      <c r="HI12" s="689"/>
      <c r="HJ12" s="689"/>
      <c r="HK12" s="689"/>
      <c r="HL12" s="689"/>
      <c r="HM12" s="689"/>
      <c r="HN12" s="689"/>
      <c r="HO12" s="689"/>
      <c r="HP12" s="689"/>
      <c r="HQ12" s="689"/>
      <c r="HR12" s="689"/>
      <c r="HS12" s="689"/>
      <c r="HT12" s="689"/>
      <c r="HU12" s="689"/>
      <c r="HV12" s="689"/>
      <c r="HW12" s="689"/>
      <c r="HX12" s="689"/>
      <c r="HY12" s="689"/>
      <c r="HZ12" s="689"/>
      <c r="IA12" s="689"/>
      <c r="IB12" s="689"/>
      <c r="IC12" s="689"/>
      <c r="ID12" s="689"/>
      <c r="IE12" s="689"/>
      <c r="IF12" s="689"/>
      <c r="IG12" s="689"/>
      <c r="IH12" s="689"/>
      <c r="II12" s="689"/>
      <c r="IJ12" s="689"/>
      <c r="IK12" s="689"/>
      <c r="IL12" s="689"/>
      <c r="IM12" s="689"/>
      <c r="IN12" s="689"/>
      <c r="IO12" s="689"/>
      <c r="IP12" s="689"/>
      <c r="IQ12" s="689"/>
      <c r="IR12" s="689"/>
      <c r="IS12" s="689"/>
      <c r="IT12" s="689"/>
      <c r="IU12" s="689"/>
      <c r="IV12" s="689"/>
    </row>
    <row r="13" spans="1:256" s="689" customFormat="1" x14ac:dyDescent="0.2"/>
    <row r="14" spans="1:256" s="689" customFormat="1" x14ac:dyDescent="0.2"/>
    <row r="15" spans="1:256" s="689" customFormat="1" x14ac:dyDescent="0.2"/>
    <row r="16" spans="1:256" s="689" customFormat="1" x14ac:dyDescent="0.2"/>
    <row r="17" spans="6:6" s="689" customFormat="1" x14ac:dyDescent="0.2"/>
    <row r="18" spans="6:6" s="689" customFormat="1" x14ac:dyDescent="0.2"/>
    <row r="19" spans="6:6" s="689" customFormat="1" x14ac:dyDescent="0.2"/>
    <row r="20" spans="6:6" s="689" customFormat="1" x14ac:dyDescent="0.2"/>
    <row r="21" spans="6:6" s="689" customFormat="1" x14ac:dyDescent="0.2"/>
    <row r="22" spans="6:6" s="689" customFormat="1" x14ac:dyDescent="0.2"/>
    <row r="23" spans="6:6" s="689" customFormat="1" x14ac:dyDescent="0.2"/>
    <row r="24" spans="6:6" s="689" customFormat="1" x14ac:dyDescent="0.2"/>
    <row r="25" spans="6:6" s="689" customFormat="1" x14ac:dyDescent="0.2"/>
    <row r="26" spans="6:6" s="689" customFormat="1" x14ac:dyDescent="0.2">
      <c r="F26" s="813"/>
    </row>
    <row r="27" spans="6:6" s="689" customFormat="1" x14ac:dyDescent="0.2"/>
    <row r="28" spans="6:6" s="689" customFormat="1" x14ac:dyDescent="0.2"/>
    <row r="29" spans="6:6" s="689" customFormat="1" x14ac:dyDescent="0.2"/>
    <row r="30" spans="6:6" s="689" customFormat="1" x14ac:dyDescent="0.2"/>
    <row r="31" spans="6:6" s="689" customFormat="1" x14ac:dyDescent="0.2"/>
    <row r="32" spans="6:6" s="689" customFormat="1" x14ac:dyDescent="0.2"/>
    <row r="33" s="689" customFormat="1" x14ac:dyDescent="0.2"/>
    <row r="34" s="689" customFormat="1" x14ac:dyDescent="0.2"/>
    <row r="35" s="689" customFormat="1" x14ac:dyDescent="0.2"/>
    <row r="36" s="689" customFormat="1" x14ac:dyDescent="0.2"/>
    <row r="37" s="689" customFormat="1" x14ac:dyDescent="0.2"/>
    <row r="38" s="689" customFormat="1" x14ac:dyDescent="0.2"/>
    <row r="39" s="689" customFormat="1" x14ac:dyDescent="0.2"/>
    <row r="40" s="689" customFormat="1" x14ac:dyDescent="0.2"/>
    <row r="41" s="689" customFormat="1" x14ac:dyDescent="0.2"/>
    <row r="42" s="689" customFormat="1" x14ac:dyDescent="0.2"/>
    <row r="43" s="689" customFormat="1" x14ac:dyDescent="0.2"/>
    <row r="44" s="689" customFormat="1" x14ac:dyDescent="0.2"/>
    <row r="45" s="689" customFormat="1" x14ac:dyDescent="0.2"/>
    <row r="46" s="689" customFormat="1" x14ac:dyDescent="0.2"/>
    <row r="47" s="689" customFormat="1" x14ac:dyDescent="0.2"/>
    <row r="48" s="689" customFormat="1" x14ac:dyDescent="0.2"/>
    <row r="49" s="689" customFormat="1" x14ac:dyDescent="0.2"/>
    <row r="50" s="689" customFormat="1" x14ac:dyDescent="0.2"/>
    <row r="51" s="689" customFormat="1" x14ac:dyDescent="0.2"/>
    <row r="52" s="689" customFormat="1" x14ac:dyDescent="0.2"/>
    <row r="53" s="689" customFormat="1" x14ac:dyDescent="0.2"/>
    <row r="54" s="689" customFormat="1" x14ac:dyDescent="0.2"/>
    <row r="55" s="689" customFormat="1" x14ac:dyDescent="0.2"/>
    <row r="56" s="689" customFormat="1" x14ac:dyDescent="0.2"/>
    <row r="57" s="689" customFormat="1" x14ac:dyDescent="0.2"/>
    <row r="58" s="689" customFormat="1" x14ac:dyDescent="0.2"/>
    <row r="59" s="689" customFormat="1" x14ac:dyDescent="0.2"/>
    <row r="60" s="689" customFormat="1" x14ac:dyDescent="0.2"/>
    <row r="61" s="689" customFormat="1" x14ac:dyDescent="0.2"/>
    <row r="62" s="689" customFormat="1" x14ac:dyDescent="0.2"/>
    <row r="63" s="689" customFormat="1" x14ac:dyDescent="0.2"/>
    <row r="64" s="689" customFormat="1" x14ac:dyDescent="0.2"/>
    <row r="65" s="689" customFormat="1" x14ac:dyDescent="0.2"/>
    <row r="66" s="689" customFormat="1" x14ac:dyDescent="0.2"/>
    <row r="67" s="689" customFormat="1" x14ac:dyDescent="0.2"/>
    <row r="68" s="689" customFormat="1" x14ac:dyDescent="0.2"/>
    <row r="69" s="689" customFormat="1" x14ac:dyDescent="0.2"/>
    <row r="70" s="689" customFormat="1" x14ac:dyDescent="0.2"/>
    <row r="71" s="689" customFormat="1" x14ac:dyDescent="0.2"/>
    <row r="72" s="689" customFormat="1" x14ac:dyDescent="0.2"/>
    <row r="73" s="689" customFormat="1" x14ac:dyDescent="0.2"/>
    <row r="74" s="689" customFormat="1" x14ac:dyDescent="0.2"/>
    <row r="75" s="689" customFormat="1" x14ac:dyDescent="0.2"/>
    <row r="76" s="689" customFormat="1" x14ac:dyDescent="0.2"/>
    <row r="77" s="689" customFormat="1" x14ac:dyDescent="0.2"/>
    <row r="78" s="689" customFormat="1" x14ac:dyDescent="0.2"/>
    <row r="79" s="689" customFormat="1" x14ac:dyDescent="0.2"/>
    <row r="80" s="689" customFormat="1" x14ac:dyDescent="0.2"/>
    <row r="81" s="689" customFormat="1" x14ac:dyDescent="0.2"/>
    <row r="82" s="689" customFormat="1" x14ac:dyDescent="0.2"/>
    <row r="83" s="689" customFormat="1" x14ac:dyDescent="0.2"/>
    <row r="84" s="689" customFormat="1" x14ac:dyDescent="0.2"/>
    <row r="85" s="689" customFormat="1" x14ac:dyDescent="0.2"/>
    <row r="86" s="689" customFormat="1" x14ac:dyDescent="0.2"/>
    <row r="87" s="689" customFormat="1" x14ac:dyDescent="0.2"/>
    <row r="88" s="689" customFormat="1" x14ac:dyDescent="0.2"/>
    <row r="89" s="689" customFormat="1" x14ac:dyDescent="0.2"/>
    <row r="90" s="689" customFormat="1" x14ac:dyDescent="0.2"/>
    <row r="91" s="689" customFormat="1" x14ac:dyDescent="0.2"/>
    <row r="92" s="689" customFormat="1" x14ac:dyDescent="0.2"/>
    <row r="93" s="689" customFormat="1" x14ac:dyDescent="0.2"/>
    <row r="94" s="689" customFormat="1" x14ac:dyDescent="0.2"/>
    <row r="95" s="689" customFormat="1" x14ac:dyDescent="0.2"/>
    <row r="96" s="689" customFormat="1" x14ac:dyDescent="0.2"/>
    <row r="97" s="689" customFormat="1" x14ac:dyDescent="0.2"/>
    <row r="98" s="689" customFormat="1" x14ac:dyDescent="0.2"/>
    <row r="99" s="689" customFormat="1" x14ac:dyDescent="0.2"/>
    <row r="100" s="689" customFormat="1" x14ac:dyDescent="0.2"/>
    <row r="101" s="689" customFormat="1" x14ac:dyDescent="0.2"/>
    <row r="102" s="689" customFormat="1" x14ac:dyDescent="0.2"/>
    <row r="103" s="689" customFormat="1" x14ac:dyDescent="0.2"/>
    <row r="104" s="689" customFormat="1" x14ac:dyDescent="0.2"/>
    <row r="105" s="689" customFormat="1" x14ac:dyDescent="0.2"/>
    <row r="106" s="689" customFormat="1" x14ac:dyDescent="0.2"/>
    <row r="107" s="689" customFormat="1" x14ac:dyDescent="0.2"/>
    <row r="108" s="689" customFormat="1" x14ac:dyDescent="0.2"/>
    <row r="109" s="689" customFormat="1" x14ac:dyDescent="0.2"/>
    <row r="110" s="689" customFormat="1" x14ac:dyDescent="0.2"/>
    <row r="111" s="689" customFormat="1" x14ac:dyDescent="0.2"/>
    <row r="112" s="689" customFormat="1" x14ac:dyDescent="0.2"/>
    <row r="113" s="689" customFormat="1" x14ac:dyDescent="0.2"/>
    <row r="114" s="689" customFormat="1" x14ac:dyDescent="0.2"/>
    <row r="115" s="689" customFormat="1" x14ac:dyDescent="0.2"/>
    <row r="116" s="689" customFormat="1" x14ac:dyDescent="0.2"/>
    <row r="117" s="689" customFormat="1" x14ac:dyDescent="0.2"/>
    <row r="118" s="689" customFormat="1" x14ac:dyDescent="0.2"/>
    <row r="119" s="689" customFormat="1" x14ac:dyDescent="0.2"/>
    <row r="120" s="689" customFormat="1" x14ac:dyDescent="0.2"/>
    <row r="121" s="689" customFormat="1" x14ac:dyDescent="0.2"/>
    <row r="122" s="689" customFormat="1" x14ac:dyDescent="0.2"/>
    <row r="123" s="689" customFormat="1" x14ac:dyDescent="0.2"/>
    <row r="124" s="689" customFormat="1" x14ac:dyDescent="0.2"/>
    <row r="125" s="689" customFormat="1" x14ac:dyDescent="0.2"/>
    <row r="126" s="689" customFormat="1" x14ac:dyDescent="0.2"/>
    <row r="127" s="689" customFormat="1" x14ac:dyDescent="0.2"/>
    <row r="128" s="689" customFormat="1" x14ac:dyDescent="0.2"/>
    <row r="129" s="689" customFormat="1" x14ac:dyDescent="0.2"/>
    <row r="130" s="689" customFormat="1" x14ac:dyDescent="0.2"/>
    <row r="131" s="689" customFormat="1" x14ac:dyDescent="0.2"/>
    <row r="132" s="689" customFormat="1" x14ac:dyDescent="0.2"/>
    <row r="133" s="689" customFormat="1" x14ac:dyDescent="0.2"/>
    <row r="134" s="689" customFormat="1" x14ac:dyDescent="0.2"/>
    <row r="135" s="689" customFormat="1" x14ac:dyDescent="0.2"/>
    <row r="136" s="689" customFormat="1" x14ac:dyDescent="0.2"/>
    <row r="137" s="689" customFormat="1" x14ac:dyDescent="0.2"/>
    <row r="138" s="689" customFormat="1" x14ac:dyDescent="0.2"/>
    <row r="139" s="689" customFormat="1" x14ac:dyDescent="0.2"/>
    <row r="140" s="689" customFormat="1" x14ac:dyDescent="0.2"/>
    <row r="141" s="689" customFormat="1" x14ac:dyDescent="0.2"/>
    <row r="142" s="689" customFormat="1" x14ac:dyDescent="0.2"/>
    <row r="143" s="689" customFormat="1" x14ac:dyDescent="0.2"/>
    <row r="144" s="689" customFormat="1" x14ac:dyDescent="0.2"/>
    <row r="145" s="689" customFormat="1" x14ac:dyDescent="0.2"/>
    <row r="146" s="689" customFormat="1" x14ac:dyDescent="0.2"/>
    <row r="147" s="689" customFormat="1" x14ac:dyDescent="0.2"/>
    <row r="148" s="689" customFormat="1" x14ac:dyDescent="0.2"/>
    <row r="149" s="689" customFormat="1" x14ac:dyDescent="0.2"/>
    <row r="150" s="689" customFormat="1" x14ac:dyDescent="0.2"/>
    <row r="151" s="689" customFormat="1" x14ac:dyDescent="0.2"/>
    <row r="152" s="689" customFormat="1" x14ac:dyDescent="0.2"/>
    <row r="153" s="689" customFormat="1" x14ac:dyDescent="0.2"/>
    <row r="154" s="689" customFormat="1" x14ac:dyDescent="0.2"/>
    <row r="155" s="689" customFormat="1" x14ac:dyDescent="0.2"/>
    <row r="156" s="689" customFormat="1" x14ac:dyDescent="0.2"/>
    <row r="157" s="689" customFormat="1" x14ac:dyDescent="0.2"/>
    <row r="158" s="689" customFormat="1" x14ac:dyDescent="0.2"/>
    <row r="159" s="689" customFormat="1" x14ac:dyDescent="0.2"/>
    <row r="160" s="689" customFormat="1" x14ac:dyDescent="0.2"/>
    <row r="161" s="689" customFormat="1" x14ac:dyDescent="0.2"/>
    <row r="162" s="689" customFormat="1" x14ac:dyDescent="0.2"/>
    <row r="163" s="689" customFormat="1" x14ac:dyDescent="0.2"/>
    <row r="164" s="689" customFormat="1" x14ac:dyDescent="0.2"/>
    <row r="165" s="689" customFormat="1" x14ac:dyDescent="0.2"/>
    <row r="166" s="689" customFormat="1" x14ac:dyDescent="0.2"/>
    <row r="167" s="689" customFormat="1" x14ac:dyDescent="0.2"/>
    <row r="168" s="689" customFormat="1" x14ac:dyDescent="0.2"/>
    <row r="169" s="689" customFormat="1" x14ac:dyDescent="0.2"/>
    <row r="170" s="689" customFormat="1" x14ac:dyDescent="0.2"/>
    <row r="171" s="689" customFormat="1" x14ac:dyDescent="0.2"/>
    <row r="172" s="689" customFormat="1" x14ac:dyDescent="0.2"/>
    <row r="173" s="689" customFormat="1" x14ac:dyDescent="0.2"/>
    <row r="174" s="689" customFormat="1" x14ac:dyDescent="0.2"/>
    <row r="175" s="689" customFormat="1" x14ac:dyDescent="0.2"/>
    <row r="176" s="689" customFormat="1" x14ac:dyDescent="0.2"/>
    <row r="177" s="689" customFormat="1" x14ac:dyDescent="0.2"/>
    <row r="178" s="689" customFormat="1" x14ac:dyDescent="0.2"/>
    <row r="179" s="689" customFormat="1" x14ac:dyDescent="0.2"/>
    <row r="180" s="689" customFormat="1" x14ac:dyDescent="0.2"/>
    <row r="181" s="689" customFormat="1" x14ac:dyDescent="0.2"/>
    <row r="182" s="689" customFormat="1" x14ac:dyDescent="0.2"/>
    <row r="183" s="689" customFormat="1" x14ac:dyDescent="0.2"/>
    <row r="184" s="689" customFormat="1" x14ac:dyDescent="0.2"/>
    <row r="185" s="689" customFormat="1" x14ac:dyDescent="0.2"/>
    <row r="186" s="689" customFormat="1" x14ac:dyDescent="0.2"/>
    <row r="187" s="689" customFormat="1" x14ac:dyDescent="0.2"/>
    <row r="188" s="689" customFormat="1" x14ac:dyDescent="0.2"/>
    <row r="189" s="689" customFormat="1" x14ac:dyDescent="0.2"/>
    <row r="190" s="689" customFormat="1" x14ac:dyDescent="0.2"/>
    <row r="191" s="689" customFormat="1" x14ac:dyDescent="0.2"/>
    <row r="192" s="689" customFormat="1" x14ac:dyDescent="0.2"/>
    <row r="193" s="689" customFormat="1" x14ac:dyDescent="0.2"/>
    <row r="194" s="689" customFormat="1" x14ac:dyDescent="0.2"/>
    <row r="195" s="689" customFormat="1" x14ac:dyDescent="0.2"/>
    <row r="196" s="689" customFormat="1" x14ac:dyDescent="0.2"/>
    <row r="197" s="689" customFormat="1" x14ac:dyDescent="0.2"/>
    <row r="198" s="689" customFormat="1" x14ac:dyDescent="0.2"/>
    <row r="199" s="689" customFormat="1" x14ac:dyDescent="0.2"/>
    <row r="200" s="689" customFormat="1" x14ac:dyDescent="0.2"/>
    <row r="201" s="689" customFormat="1" x14ac:dyDescent="0.2"/>
    <row r="202" s="689" customFormat="1" x14ac:dyDescent="0.2"/>
    <row r="203" s="689" customFormat="1" x14ac:dyDescent="0.2"/>
    <row r="204" s="689" customFormat="1" x14ac:dyDescent="0.2"/>
    <row r="205" s="689" customFormat="1" x14ac:dyDescent="0.2"/>
    <row r="206" s="689" customFormat="1" x14ac:dyDescent="0.2"/>
    <row r="207" s="689" customFormat="1" x14ac:dyDescent="0.2"/>
    <row r="208" s="689" customFormat="1" x14ac:dyDescent="0.2"/>
    <row r="209" s="689" customFormat="1" x14ac:dyDescent="0.2"/>
    <row r="210" s="689" customFormat="1" x14ac:dyDescent="0.2"/>
    <row r="211" s="689" customFormat="1" x14ac:dyDescent="0.2"/>
    <row r="212" s="689" customFormat="1" x14ac:dyDescent="0.2"/>
    <row r="213" s="689" customFormat="1" x14ac:dyDescent="0.2"/>
    <row r="214" s="689" customFormat="1" x14ac:dyDescent="0.2"/>
    <row r="215" s="689" customFormat="1" x14ac:dyDescent="0.2"/>
    <row r="216" s="689" customFormat="1" x14ac:dyDescent="0.2"/>
    <row r="217" s="689" customFormat="1" x14ac:dyDescent="0.2"/>
    <row r="218" s="689" customFormat="1" x14ac:dyDescent="0.2"/>
    <row r="219" s="689" customFormat="1" x14ac:dyDescent="0.2"/>
    <row r="220" s="689" customFormat="1" x14ac:dyDescent="0.2"/>
    <row r="221" s="689" customFormat="1" x14ac:dyDescent="0.2"/>
    <row r="222" s="689" customFormat="1" x14ac:dyDescent="0.2"/>
    <row r="223" s="689" customFormat="1" x14ac:dyDescent="0.2"/>
    <row r="224" s="689" customFormat="1" x14ac:dyDescent="0.2"/>
    <row r="225" s="689" customFormat="1" x14ac:dyDescent="0.2"/>
    <row r="226" s="689" customFormat="1" x14ac:dyDescent="0.2"/>
    <row r="227" s="689" customFormat="1" x14ac:dyDescent="0.2"/>
    <row r="228" s="689" customFormat="1" x14ac:dyDescent="0.2"/>
    <row r="229" s="689" customFormat="1" x14ac:dyDescent="0.2"/>
    <row r="230" s="689" customFormat="1" x14ac:dyDescent="0.2"/>
    <row r="231" s="689" customFormat="1" x14ac:dyDescent="0.2"/>
    <row r="232" s="689" customFormat="1" x14ac:dyDescent="0.2"/>
    <row r="233" s="689" customFormat="1" x14ac:dyDescent="0.2"/>
    <row r="234" s="689" customFormat="1" x14ac:dyDescent="0.2"/>
    <row r="235" s="689" customFormat="1" x14ac:dyDescent="0.2"/>
    <row r="236" s="689" customFormat="1" x14ac:dyDescent="0.2"/>
    <row r="237" s="689" customFormat="1" x14ac:dyDescent="0.2"/>
    <row r="238" s="689" customFormat="1" x14ac:dyDescent="0.2"/>
    <row r="239" s="689" customFormat="1" x14ac:dyDescent="0.2"/>
    <row r="240" s="689" customFormat="1" x14ac:dyDescent="0.2"/>
    <row r="241" s="689" customFormat="1" x14ac:dyDescent="0.2"/>
    <row r="242" s="689" customFormat="1" x14ac:dyDescent="0.2"/>
    <row r="243" s="689" customFormat="1" x14ac:dyDescent="0.2"/>
    <row r="244" s="689" customFormat="1" x14ac:dyDescent="0.2"/>
    <row r="245" s="689" customFormat="1" x14ac:dyDescent="0.2"/>
    <row r="246" s="689" customFormat="1" x14ac:dyDescent="0.2"/>
    <row r="247" s="689" customFormat="1" x14ac:dyDescent="0.2"/>
    <row r="248" s="689" customFormat="1" x14ac:dyDescent="0.2"/>
    <row r="249" s="689" customFormat="1" x14ac:dyDescent="0.2"/>
    <row r="250" s="689" customFormat="1" x14ac:dyDescent="0.2"/>
    <row r="251" s="689" customFormat="1" x14ac:dyDescent="0.2"/>
    <row r="252" s="689" customFormat="1" x14ac:dyDescent="0.2"/>
    <row r="253" s="689" customFormat="1" x14ac:dyDescent="0.2"/>
    <row r="254" s="689" customFormat="1" x14ac:dyDescent="0.2"/>
    <row r="255" s="689" customFormat="1" x14ac:dyDescent="0.2"/>
    <row r="256" s="689" customFormat="1" x14ac:dyDescent="0.2"/>
    <row r="257" s="689" customFormat="1" x14ac:dyDescent="0.2"/>
    <row r="258" s="689" customFormat="1" x14ac:dyDescent="0.2"/>
    <row r="259" s="689" customFormat="1" x14ac:dyDescent="0.2"/>
    <row r="260" s="689" customFormat="1" x14ac:dyDescent="0.2"/>
    <row r="261" s="689" customFormat="1" x14ac:dyDescent="0.2"/>
    <row r="262" s="689" customFormat="1" x14ac:dyDescent="0.2"/>
    <row r="263" s="689" customFormat="1" x14ac:dyDescent="0.2"/>
    <row r="264" s="689" customFormat="1" x14ac:dyDescent="0.2"/>
    <row r="265" s="689" customFormat="1" x14ac:dyDescent="0.2"/>
    <row r="266" s="689" customFormat="1" x14ac:dyDescent="0.2"/>
    <row r="267" s="689" customFormat="1" x14ac:dyDescent="0.2"/>
    <row r="268" s="689" customFormat="1" x14ac:dyDescent="0.2"/>
    <row r="269" s="689" customFormat="1" x14ac:dyDescent="0.2"/>
    <row r="270" s="689" customFormat="1" x14ac:dyDescent="0.2"/>
    <row r="271" s="689" customFormat="1" x14ac:dyDescent="0.2"/>
    <row r="272" s="689" customFormat="1" x14ac:dyDescent="0.2"/>
    <row r="273" s="689" customFormat="1" x14ac:dyDescent="0.2"/>
    <row r="274" s="689" customFormat="1" x14ac:dyDescent="0.2"/>
    <row r="275" s="689" customFormat="1" x14ac:dyDescent="0.2"/>
    <row r="276" s="689" customFormat="1" x14ac:dyDescent="0.2"/>
    <row r="277" s="689" customFormat="1" x14ac:dyDescent="0.2"/>
    <row r="278" s="689" customFormat="1" x14ac:dyDescent="0.2"/>
    <row r="279" s="689" customFormat="1" x14ac:dyDescent="0.2"/>
    <row r="280" s="689" customFormat="1" x14ac:dyDescent="0.2"/>
    <row r="281" s="689" customFormat="1" x14ac:dyDescent="0.2"/>
    <row r="282" s="689" customFormat="1" x14ac:dyDescent="0.2"/>
    <row r="283" s="689" customFormat="1" x14ac:dyDescent="0.2"/>
    <row r="284" s="689" customFormat="1" x14ac:dyDescent="0.2"/>
    <row r="285" s="689" customFormat="1" x14ac:dyDescent="0.2"/>
    <row r="286" s="689" customFormat="1" x14ac:dyDescent="0.2"/>
    <row r="287" s="689" customFormat="1" x14ac:dyDescent="0.2"/>
    <row r="288" s="689" customFormat="1" x14ac:dyDescent="0.2"/>
    <row r="289" s="689" customFormat="1" x14ac:dyDescent="0.2"/>
    <row r="290" s="689" customFormat="1" x14ac:dyDescent="0.2"/>
    <row r="291" s="689" customFormat="1" x14ac:dyDescent="0.2"/>
    <row r="292" s="689" customFormat="1" x14ac:dyDescent="0.2"/>
    <row r="293" s="689" customFormat="1" x14ac:dyDescent="0.2"/>
    <row r="294" s="689" customFormat="1" x14ac:dyDescent="0.2"/>
    <row r="295" s="689" customFormat="1" x14ac:dyDescent="0.2"/>
    <row r="296" s="689" customFormat="1" x14ac:dyDescent="0.2"/>
    <row r="297" s="689" customFormat="1" x14ac:dyDescent="0.2"/>
    <row r="298" s="689" customFormat="1" x14ac:dyDescent="0.2"/>
    <row r="299" s="689" customFormat="1" x14ac:dyDescent="0.2"/>
    <row r="300" s="689" customFormat="1" x14ac:dyDescent="0.2"/>
    <row r="301" s="689" customFormat="1" x14ac:dyDescent="0.2"/>
    <row r="302" s="689" customFormat="1" x14ac:dyDescent="0.2"/>
    <row r="303" s="689" customFormat="1" x14ac:dyDescent="0.2"/>
    <row r="304" s="689" customFormat="1" x14ac:dyDescent="0.2"/>
    <row r="305" s="689" customFormat="1" x14ac:dyDescent="0.2"/>
    <row r="306" s="689" customFormat="1" x14ac:dyDescent="0.2"/>
    <row r="307" s="689" customFormat="1" x14ac:dyDescent="0.2"/>
    <row r="308" s="689" customFormat="1" x14ac:dyDescent="0.2"/>
    <row r="309" s="689" customFormat="1" x14ac:dyDescent="0.2"/>
    <row r="310" s="689" customFormat="1" x14ac:dyDescent="0.2"/>
    <row r="311" s="689" customFormat="1" x14ac:dyDescent="0.2"/>
    <row r="312" s="689" customFormat="1" x14ac:dyDescent="0.2"/>
    <row r="313" s="689" customFormat="1" x14ac:dyDescent="0.2"/>
    <row r="314" s="689" customFormat="1" x14ac:dyDescent="0.2"/>
    <row r="315" s="689" customFormat="1" x14ac:dyDescent="0.2"/>
    <row r="316" s="689" customFormat="1" x14ac:dyDescent="0.2"/>
    <row r="317" s="689" customFormat="1" x14ac:dyDescent="0.2"/>
    <row r="318" s="689" customFormat="1" x14ac:dyDescent="0.2"/>
    <row r="319" s="689" customFormat="1" x14ac:dyDescent="0.2"/>
    <row r="320" s="689" customFormat="1" x14ac:dyDescent="0.2"/>
    <row r="321" s="689" customFormat="1" x14ac:dyDescent="0.2"/>
    <row r="322" s="689" customFormat="1" x14ac:dyDescent="0.2"/>
    <row r="323" s="689" customFormat="1" x14ac:dyDescent="0.2"/>
    <row r="324" s="689" customFormat="1" x14ac:dyDescent="0.2"/>
    <row r="325" s="689" customFormat="1" x14ac:dyDescent="0.2"/>
    <row r="326" s="689" customFormat="1" x14ac:dyDescent="0.2"/>
    <row r="327" s="689" customFormat="1" x14ac:dyDescent="0.2"/>
    <row r="328" s="689" customFormat="1" x14ac:dyDescent="0.2"/>
    <row r="329" s="689" customFormat="1" x14ac:dyDescent="0.2"/>
    <row r="330" s="689" customFormat="1" x14ac:dyDescent="0.2"/>
    <row r="331" s="689" customFormat="1" x14ac:dyDescent="0.2"/>
    <row r="332" s="689" customFormat="1" x14ac:dyDescent="0.2"/>
    <row r="333" s="689" customFormat="1" x14ac:dyDescent="0.2"/>
    <row r="334" s="689" customFormat="1" x14ac:dyDescent="0.2"/>
    <row r="335" s="689" customFormat="1" x14ac:dyDescent="0.2"/>
    <row r="336" s="689" customFormat="1" x14ac:dyDescent="0.2"/>
    <row r="337" s="689" customFormat="1" x14ac:dyDescent="0.2"/>
    <row r="338" s="689" customFormat="1" x14ac:dyDescent="0.2"/>
    <row r="339" s="689" customFormat="1" x14ac:dyDescent="0.2"/>
    <row r="340" s="689" customFormat="1" x14ac:dyDescent="0.2"/>
    <row r="341" s="689" customFormat="1" x14ac:dyDescent="0.2"/>
    <row r="342" s="689" customFormat="1" x14ac:dyDescent="0.2"/>
    <row r="343" s="689" customFormat="1" x14ac:dyDescent="0.2"/>
    <row r="344" s="689" customFormat="1" x14ac:dyDescent="0.2"/>
    <row r="345" s="689" customFormat="1" x14ac:dyDescent="0.2"/>
    <row r="346" s="689" customFormat="1" x14ac:dyDescent="0.2"/>
    <row r="347" s="689" customFormat="1" x14ac:dyDescent="0.2"/>
    <row r="348" s="689" customFormat="1" x14ac:dyDescent="0.2"/>
    <row r="349" s="689" customFormat="1" x14ac:dyDescent="0.2"/>
    <row r="350" s="689" customFormat="1" x14ac:dyDescent="0.2"/>
    <row r="351" s="689" customFormat="1" x14ac:dyDescent="0.2"/>
    <row r="352" s="689" customFormat="1" x14ac:dyDescent="0.2"/>
    <row r="353" s="689" customFormat="1" x14ac:dyDescent="0.2"/>
    <row r="354" s="689" customFormat="1" x14ac:dyDescent="0.2"/>
    <row r="355" s="689" customFormat="1" x14ac:dyDescent="0.2"/>
    <row r="356" s="689" customFormat="1" x14ac:dyDescent="0.2"/>
    <row r="357" s="689" customFormat="1" x14ac:dyDescent="0.2"/>
    <row r="358" s="689" customFormat="1" x14ac:dyDescent="0.2"/>
    <row r="359" s="689" customFormat="1" x14ac:dyDescent="0.2"/>
    <row r="360" s="689" customFormat="1" x14ac:dyDescent="0.2"/>
    <row r="361" s="689" customFormat="1" x14ac:dyDescent="0.2"/>
    <row r="362" s="689" customFormat="1" x14ac:dyDescent="0.2"/>
    <row r="363" s="689" customFormat="1" x14ac:dyDescent="0.2"/>
    <row r="364" s="689" customFormat="1" x14ac:dyDescent="0.2"/>
    <row r="365" s="689" customFormat="1" x14ac:dyDescent="0.2"/>
    <row r="366" s="689" customFormat="1" x14ac:dyDescent="0.2"/>
    <row r="367" s="689" customFormat="1" x14ac:dyDescent="0.2"/>
    <row r="368" s="689" customFormat="1" x14ac:dyDescent="0.2"/>
    <row r="369" s="689" customFormat="1" x14ac:dyDescent="0.2"/>
    <row r="370" s="689" customFormat="1" x14ac:dyDescent="0.2"/>
    <row r="371" s="689" customFormat="1" x14ac:dyDescent="0.2"/>
    <row r="372" s="689" customFormat="1" x14ac:dyDescent="0.2"/>
    <row r="373" s="689" customFormat="1" x14ac:dyDescent="0.2"/>
    <row r="374" s="689" customFormat="1" x14ac:dyDescent="0.2"/>
    <row r="375" s="689" customFormat="1" x14ac:dyDescent="0.2"/>
    <row r="376" s="689" customFormat="1" x14ac:dyDescent="0.2"/>
    <row r="377" s="689" customFormat="1" x14ac:dyDescent="0.2"/>
    <row r="378" s="689" customFormat="1" x14ac:dyDescent="0.2"/>
    <row r="379" s="689" customFormat="1" x14ac:dyDescent="0.2"/>
    <row r="380" s="689" customFormat="1" x14ac:dyDescent="0.2"/>
    <row r="381" s="689" customFormat="1" x14ac:dyDescent="0.2"/>
    <row r="382" s="689" customFormat="1" x14ac:dyDescent="0.2"/>
    <row r="383" s="689" customFormat="1" x14ac:dyDescent="0.2"/>
    <row r="384" s="689" customFormat="1" x14ac:dyDescent="0.2"/>
    <row r="385" s="689" customFormat="1" x14ac:dyDescent="0.2"/>
    <row r="386" s="689" customFormat="1" x14ac:dyDescent="0.2"/>
    <row r="387" s="689" customFormat="1" x14ac:dyDescent="0.2"/>
    <row r="388" s="689" customFormat="1" x14ac:dyDescent="0.2"/>
    <row r="389" s="689" customFormat="1" x14ac:dyDescent="0.2"/>
    <row r="390" s="689" customFormat="1" x14ac:dyDescent="0.2"/>
    <row r="391" s="689" customFormat="1" x14ac:dyDescent="0.2"/>
    <row r="392" s="689" customFormat="1" x14ac:dyDescent="0.2"/>
    <row r="393" s="689" customFormat="1" x14ac:dyDescent="0.2"/>
    <row r="394" s="689" customFormat="1" x14ac:dyDescent="0.2"/>
    <row r="395" s="689" customFormat="1" x14ac:dyDescent="0.2"/>
    <row r="396" s="689" customFormat="1" x14ac:dyDescent="0.2"/>
    <row r="397" s="689" customFormat="1" x14ac:dyDescent="0.2"/>
    <row r="398" s="689" customFormat="1" x14ac:dyDescent="0.2"/>
    <row r="399" s="689" customFormat="1" x14ac:dyDescent="0.2"/>
    <row r="400" s="689" customFormat="1" x14ac:dyDescent="0.2"/>
    <row r="401" s="689" customFormat="1" x14ac:dyDescent="0.2"/>
    <row r="402" s="689" customFormat="1" x14ac:dyDescent="0.2"/>
    <row r="403" s="689" customFormat="1" x14ac:dyDescent="0.2"/>
    <row r="404" s="689" customFormat="1" x14ac:dyDescent="0.2"/>
    <row r="405" s="689" customFormat="1" x14ac:dyDescent="0.2"/>
    <row r="406" s="689" customFormat="1" x14ac:dyDescent="0.2"/>
    <row r="407" s="689" customFormat="1" x14ac:dyDescent="0.2"/>
    <row r="408" s="689" customFormat="1" x14ac:dyDescent="0.2"/>
    <row r="409" s="689" customFormat="1" x14ac:dyDescent="0.2"/>
    <row r="410" s="689" customFormat="1" x14ac:dyDescent="0.2"/>
    <row r="411" s="689" customFormat="1" x14ac:dyDescent="0.2"/>
    <row r="412" s="689" customFormat="1" x14ac:dyDescent="0.2"/>
    <row r="413" s="689" customFormat="1" x14ac:dyDescent="0.2"/>
    <row r="414" s="689" customFormat="1" x14ac:dyDescent="0.2"/>
    <row r="415" s="689" customFormat="1" x14ac:dyDescent="0.2"/>
    <row r="416" s="689" customFormat="1" x14ac:dyDescent="0.2"/>
    <row r="417" s="689" customFormat="1" x14ac:dyDescent="0.2"/>
    <row r="418" s="689" customFormat="1" x14ac:dyDescent="0.2"/>
    <row r="419" s="689" customFormat="1" x14ac:dyDescent="0.2"/>
    <row r="420" s="689" customFormat="1" x14ac:dyDescent="0.2"/>
    <row r="421" s="689" customFormat="1" x14ac:dyDescent="0.2"/>
    <row r="422" s="689" customFormat="1" x14ac:dyDescent="0.2"/>
    <row r="423" s="689" customFormat="1" x14ac:dyDescent="0.2"/>
    <row r="424" s="689" customFormat="1" x14ac:dyDescent="0.2"/>
    <row r="425" s="689" customFormat="1" x14ac:dyDescent="0.2"/>
    <row r="426" s="689" customFormat="1" x14ac:dyDescent="0.2"/>
    <row r="427" s="689" customFormat="1" x14ac:dyDescent="0.2"/>
    <row r="428" s="689" customFormat="1" x14ac:dyDescent="0.2"/>
    <row r="429" s="689" customFormat="1" x14ac:dyDescent="0.2"/>
    <row r="430" s="689" customFormat="1" x14ac:dyDescent="0.2"/>
    <row r="431" s="689" customFormat="1" x14ac:dyDescent="0.2"/>
    <row r="432" s="689" customFormat="1" x14ac:dyDescent="0.2"/>
    <row r="433" s="689" customFormat="1" x14ac:dyDescent="0.2"/>
    <row r="434" s="689" customFormat="1" x14ac:dyDescent="0.2"/>
    <row r="435" s="689" customFormat="1" x14ac:dyDescent="0.2"/>
    <row r="436" s="689" customFormat="1" x14ac:dyDescent="0.2"/>
    <row r="437" s="689" customFormat="1" x14ac:dyDescent="0.2"/>
    <row r="438" s="689" customFormat="1" x14ac:dyDescent="0.2"/>
    <row r="439" s="689" customFormat="1" x14ac:dyDescent="0.2"/>
    <row r="440" s="689" customFormat="1" x14ac:dyDescent="0.2"/>
    <row r="441" s="689" customFormat="1" x14ac:dyDescent="0.2"/>
    <row r="442" s="689" customFormat="1" x14ac:dyDescent="0.2"/>
    <row r="443" s="689" customFormat="1" x14ac:dyDescent="0.2"/>
    <row r="444" s="689" customFormat="1" x14ac:dyDescent="0.2"/>
    <row r="445" s="689" customFormat="1" x14ac:dyDescent="0.2"/>
    <row r="446" s="689" customFormat="1" x14ac:dyDescent="0.2"/>
    <row r="447" s="689" customFormat="1" x14ac:dyDescent="0.2"/>
    <row r="448" s="689" customFormat="1" x14ac:dyDescent="0.2"/>
    <row r="449" s="689" customFormat="1" x14ac:dyDescent="0.2"/>
    <row r="450" s="689" customFormat="1" x14ac:dyDescent="0.2"/>
    <row r="451" s="689" customFormat="1" x14ac:dyDescent="0.2"/>
    <row r="452" s="689" customFormat="1" x14ac:dyDescent="0.2"/>
    <row r="453" s="689" customFormat="1" x14ac:dyDescent="0.2"/>
    <row r="454" s="689" customFormat="1" x14ac:dyDescent="0.2"/>
    <row r="455" s="689" customFormat="1" x14ac:dyDescent="0.2"/>
    <row r="456" s="689" customFormat="1" x14ac:dyDescent="0.2"/>
    <row r="457" s="689" customFormat="1" x14ac:dyDescent="0.2"/>
    <row r="458" s="689" customFormat="1" x14ac:dyDescent="0.2"/>
    <row r="459" s="689" customFormat="1" x14ac:dyDescent="0.2"/>
    <row r="460" s="689" customFormat="1" x14ac:dyDescent="0.2"/>
    <row r="461" s="689" customFormat="1" x14ac:dyDescent="0.2"/>
    <row r="462" s="689" customFormat="1" x14ac:dyDescent="0.2"/>
    <row r="463" s="689" customFormat="1" x14ac:dyDescent="0.2"/>
    <row r="464" s="689" customFormat="1" x14ac:dyDescent="0.2"/>
    <row r="465" s="689" customFormat="1" x14ac:dyDescent="0.2"/>
    <row r="466" s="689" customFormat="1" x14ac:dyDescent="0.2"/>
    <row r="467" s="689" customFormat="1" x14ac:dyDescent="0.2"/>
    <row r="468" s="689" customFormat="1" x14ac:dyDescent="0.2"/>
    <row r="469" s="689" customFormat="1" x14ac:dyDescent="0.2"/>
    <row r="470" s="689" customFormat="1" x14ac:dyDescent="0.2"/>
    <row r="471" s="689" customFormat="1" x14ac:dyDescent="0.2"/>
    <row r="472" s="689" customFormat="1" x14ac:dyDescent="0.2"/>
    <row r="473" s="689" customFormat="1" x14ac:dyDescent="0.2"/>
    <row r="474" s="689" customFormat="1" x14ac:dyDescent="0.2"/>
    <row r="475" s="689" customFormat="1" x14ac:dyDescent="0.2"/>
    <row r="476" s="689" customFormat="1" x14ac:dyDescent="0.2"/>
    <row r="477" s="689" customFormat="1" x14ac:dyDescent="0.2"/>
    <row r="478" s="689" customFormat="1" x14ac:dyDescent="0.2"/>
    <row r="479" s="689" customFormat="1" x14ac:dyDescent="0.2"/>
    <row r="480" s="689" customFormat="1" x14ac:dyDescent="0.2"/>
    <row r="481" s="689" customFormat="1" x14ac:dyDescent="0.2"/>
    <row r="482" s="689" customFormat="1" x14ac:dyDescent="0.2"/>
    <row r="483" s="689" customFormat="1" x14ac:dyDescent="0.2"/>
    <row r="484" s="689" customFormat="1" x14ac:dyDescent="0.2"/>
    <row r="485" s="689" customFormat="1" x14ac:dyDescent="0.2"/>
    <row r="486" s="689" customFormat="1" x14ac:dyDescent="0.2"/>
    <row r="487" s="689" customFormat="1" x14ac:dyDescent="0.2"/>
    <row r="488" s="689" customFormat="1" x14ac:dyDescent="0.2"/>
    <row r="489" s="689" customFormat="1" x14ac:dyDescent="0.2"/>
    <row r="490" s="689" customFormat="1" x14ac:dyDescent="0.2"/>
    <row r="491" s="689" customFormat="1" x14ac:dyDescent="0.2"/>
    <row r="492" s="689" customFormat="1" x14ac:dyDescent="0.2"/>
    <row r="493" s="689" customFormat="1" x14ac:dyDescent="0.2"/>
    <row r="494" s="689" customFormat="1" x14ac:dyDescent="0.2"/>
    <row r="495" s="689" customFormat="1" x14ac:dyDescent="0.2"/>
    <row r="496" s="689" customFormat="1" x14ac:dyDescent="0.2"/>
    <row r="497" s="689" customFormat="1" x14ac:dyDescent="0.2"/>
    <row r="498" s="689" customFormat="1" x14ac:dyDescent="0.2"/>
    <row r="499" s="689" customFormat="1" x14ac:dyDescent="0.2"/>
    <row r="500" s="689" customFormat="1" x14ac:dyDescent="0.2"/>
    <row r="501" s="689" customFormat="1" x14ac:dyDescent="0.2"/>
    <row r="502" s="689" customFormat="1" x14ac:dyDescent="0.2"/>
    <row r="503" s="689" customFormat="1" x14ac:dyDescent="0.2"/>
    <row r="504" s="689" customFormat="1" x14ac:dyDescent="0.2"/>
    <row r="505" s="689" customFormat="1" x14ac:dyDescent="0.2"/>
    <row r="506" s="689" customFormat="1" x14ac:dyDescent="0.2"/>
    <row r="507" s="689" customFormat="1" x14ac:dyDescent="0.2"/>
    <row r="508" s="689" customFormat="1" x14ac:dyDescent="0.2"/>
    <row r="509" s="689" customFormat="1" x14ac:dyDescent="0.2"/>
    <row r="510" s="689" customFormat="1" x14ac:dyDescent="0.2"/>
    <row r="511" s="689" customFormat="1" x14ac:dyDescent="0.2"/>
    <row r="512" s="689" customFormat="1" x14ac:dyDescent="0.2"/>
    <row r="513" s="689" customFormat="1" x14ac:dyDescent="0.2"/>
    <row r="514" s="689" customFormat="1" x14ac:dyDescent="0.2"/>
    <row r="515" s="689" customFormat="1" x14ac:dyDescent="0.2"/>
    <row r="516" s="689" customFormat="1" x14ac:dyDescent="0.2"/>
    <row r="517" s="689" customFormat="1" x14ac:dyDescent="0.2"/>
    <row r="518" s="689" customFormat="1" x14ac:dyDescent="0.2"/>
    <row r="519" s="689" customFormat="1" x14ac:dyDescent="0.2"/>
    <row r="520" s="689" customFormat="1" x14ac:dyDescent="0.2"/>
    <row r="521" s="689" customFormat="1" x14ac:dyDescent="0.2"/>
    <row r="522" s="689" customFormat="1" x14ac:dyDescent="0.2"/>
    <row r="523" s="689" customFormat="1" x14ac:dyDescent="0.2"/>
    <row r="524" s="689" customFormat="1" x14ac:dyDescent="0.2"/>
    <row r="525" s="689" customFormat="1" x14ac:dyDescent="0.2"/>
    <row r="526" s="689" customFormat="1" x14ac:dyDescent="0.2"/>
    <row r="527" s="689" customFormat="1" x14ac:dyDescent="0.2"/>
    <row r="528" s="689" customFormat="1" x14ac:dyDescent="0.2"/>
    <row r="529" s="689" customFormat="1" x14ac:dyDescent="0.2"/>
    <row r="530" s="689" customFormat="1" x14ac:dyDescent="0.2"/>
    <row r="531" s="689" customFormat="1" x14ac:dyDescent="0.2"/>
    <row r="532" s="689" customFormat="1" x14ac:dyDescent="0.2"/>
    <row r="533" s="689" customFormat="1" x14ac:dyDescent="0.2"/>
    <row r="534" s="689" customFormat="1" x14ac:dyDescent="0.2"/>
    <row r="535" s="689" customFormat="1" x14ac:dyDescent="0.2"/>
    <row r="536" s="689" customFormat="1" x14ac:dyDescent="0.2"/>
    <row r="537" s="689" customFormat="1" x14ac:dyDescent="0.2"/>
    <row r="538" s="689" customFormat="1" x14ac:dyDescent="0.2"/>
    <row r="539" s="689" customFormat="1" x14ac:dyDescent="0.2"/>
    <row r="540" s="689" customFormat="1" x14ac:dyDescent="0.2"/>
    <row r="541" s="689" customFormat="1" x14ac:dyDescent="0.2"/>
    <row r="542" s="689" customFormat="1" x14ac:dyDescent="0.2"/>
    <row r="543" s="689" customFormat="1" x14ac:dyDescent="0.2"/>
    <row r="544" s="689" customFormat="1" x14ac:dyDescent="0.2"/>
    <row r="545" s="689" customFormat="1" x14ac:dyDescent="0.2"/>
    <row r="546" s="689" customFormat="1" x14ac:dyDescent="0.2"/>
    <row r="547" s="689" customFormat="1" x14ac:dyDescent="0.2"/>
    <row r="548" s="689" customFormat="1" x14ac:dyDescent="0.2"/>
    <row r="549" s="689" customFormat="1" x14ac:dyDescent="0.2"/>
    <row r="550" s="689" customFormat="1" x14ac:dyDescent="0.2"/>
    <row r="551" s="689" customFormat="1" x14ac:dyDescent="0.2"/>
    <row r="552" s="689" customFormat="1" x14ac:dyDescent="0.2"/>
    <row r="553" s="689" customFormat="1" x14ac:dyDescent="0.2"/>
    <row r="554" s="689" customFormat="1" x14ac:dyDescent="0.2"/>
    <row r="555" s="689" customFormat="1" x14ac:dyDescent="0.2"/>
    <row r="556" s="689" customFormat="1" x14ac:dyDescent="0.2"/>
    <row r="557" s="689" customFormat="1" x14ac:dyDescent="0.2"/>
    <row r="558" s="689" customFormat="1" x14ac:dyDescent="0.2"/>
    <row r="559" s="689" customFormat="1" x14ac:dyDescent="0.2"/>
    <row r="560" s="689" customFormat="1" x14ac:dyDescent="0.2"/>
    <row r="561" s="689" customFormat="1" x14ac:dyDescent="0.2"/>
    <row r="562" s="689" customFormat="1" x14ac:dyDescent="0.2"/>
    <row r="563" s="689" customFormat="1" x14ac:dyDescent="0.2"/>
    <row r="564" s="689" customFormat="1" x14ac:dyDescent="0.2"/>
    <row r="565" s="689" customFormat="1" x14ac:dyDescent="0.2"/>
    <row r="566" s="689" customFormat="1" x14ac:dyDescent="0.2"/>
    <row r="567" s="689" customFormat="1" x14ac:dyDescent="0.2"/>
    <row r="568" s="689" customFormat="1" x14ac:dyDescent="0.2"/>
    <row r="569" s="689" customFormat="1" x14ac:dyDescent="0.2"/>
    <row r="570" s="689" customFormat="1" x14ac:dyDescent="0.2"/>
    <row r="571" s="689" customFormat="1" x14ac:dyDescent="0.2"/>
    <row r="572" s="689" customFormat="1" x14ac:dyDescent="0.2"/>
    <row r="573" s="689" customFormat="1" x14ac:dyDescent="0.2"/>
    <row r="574" s="689" customFormat="1" x14ac:dyDescent="0.2"/>
    <row r="575" s="689" customFormat="1" x14ac:dyDescent="0.2"/>
    <row r="576" s="689" customFormat="1" x14ac:dyDescent="0.2"/>
    <row r="577" s="689" customFormat="1" x14ac:dyDescent="0.2"/>
    <row r="578" s="689" customFormat="1" x14ac:dyDescent="0.2"/>
    <row r="579" s="689" customFormat="1" x14ac:dyDescent="0.2"/>
    <row r="580" s="689" customFormat="1" x14ac:dyDescent="0.2"/>
    <row r="581" s="689" customFormat="1" x14ac:dyDescent="0.2"/>
    <row r="582" s="689" customFormat="1" x14ac:dyDescent="0.2"/>
    <row r="583" s="689" customFormat="1" x14ac:dyDescent="0.2"/>
    <row r="584" s="689" customFormat="1" x14ac:dyDescent="0.2"/>
    <row r="585" s="689" customFormat="1" x14ac:dyDescent="0.2"/>
    <row r="586" s="689" customFormat="1" x14ac:dyDescent="0.2"/>
    <row r="587" s="689" customFormat="1" x14ac:dyDescent="0.2"/>
    <row r="588" s="689" customFormat="1" x14ac:dyDescent="0.2"/>
    <row r="589" s="689" customFormat="1" x14ac:dyDescent="0.2"/>
    <row r="590" s="689" customFormat="1" x14ac:dyDescent="0.2"/>
    <row r="591" s="689" customFormat="1" x14ac:dyDescent="0.2"/>
    <row r="592" s="689" customFormat="1" x14ac:dyDescent="0.2"/>
    <row r="593" s="689" customFormat="1" x14ac:dyDescent="0.2"/>
    <row r="594" s="689" customFormat="1" x14ac:dyDescent="0.2"/>
    <row r="595" s="689" customFormat="1" x14ac:dyDescent="0.2"/>
    <row r="596" s="689" customFormat="1" x14ac:dyDescent="0.2"/>
    <row r="597" s="689" customFormat="1" x14ac:dyDescent="0.2"/>
    <row r="598" s="689" customFormat="1" x14ac:dyDescent="0.2"/>
    <row r="599" s="689" customFormat="1" x14ac:dyDescent="0.2"/>
    <row r="600" s="689" customFormat="1" x14ac:dyDescent="0.2"/>
    <row r="601" s="689" customFormat="1" x14ac:dyDescent="0.2"/>
    <row r="602" s="689" customFormat="1" x14ac:dyDescent="0.2"/>
    <row r="603" s="689" customFormat="1" x14ac:dyDescent="0.2"/>
    <row r="604" s="689" customFormat="1" x14ac:dyDescent="0.2"/>
    <row r="605" s="689" customFormat="1" x14ac:dyDescent="0.2"/>
    <row r="606" s="689" customFormat="1" x14ac:dyDescent="0.2"/>
    <row r="607" s="689" customFormat="1" x14ac:dyDescent="0.2"/>
    <row r="608" s="689" customFormat="1" x14ac:dyDescent="0.2"/>
    <row r="609" s="689" customFormat="1" x14ac:dyDescent="0.2"/>
    <row r="610" s="689" customFormat="1" x14ac:dyDescent="0.2"/>
    <row r="611" s="689" customFormat="1" x14ac:dyDescent="0.2"/>
    <row r="612" s="689" customFormat="1" x14ac:dyDescent="0.2"/>
    <row r="613" s="689" customFormat="1" x14ac:dyDescent="0.2"/>
    <row r="614" s="689" customFormat="1" x14ac:dyDescent="0.2"/>
    <row r="615" s="689" customFormat="1" x14ac:dyDescent="0.2"/>
    <row r="616" s="689" customFormat="1" x14ac:dyDescent="0.2"/>
    <row r="617" s="689" customFormat="1" x14ac:dyDescent="0.2"/>
    <row r="618" s="689" customFormat="1" x14ac:dyDescent="0.2"/>
    <row r="619" s="689" customFormat="1" x14ac:dyDescent="0.2"/>
    <row r="620" s="689" customFormat="1" x14ac:dyDescent="0.2"/>
    <row r="621" s="689" customFormat="1" x14ac:dyDescent="0.2"/>
    <row r="622" s="689" customFormat="1" x14ac:dyDescent="0.2"/>
    <row r="623" s="689" customFormat="1" x14ac:dyDescent="0.2"/>
    <row r="624" s="689" customFormat="1" x14ac:dyDescent="0.2"/>
    <row r="625" s="689" customFormat="1" x14ac:dyDescent="0.2"/>
    <row r="626" s="689" customFormat="1" x14ac:dyDescent="0.2"/>
    <row r="627" s="689" customFormat="1" x14ac:dyDescent="0.2"/>
    <row r="628" s="689" customFormat="1" x14ac:dyDescent="0.2"/>
    <row r="629" s="689" customFormat="1" x14ac:dyDescent="0.2"/>
    <row r="630" s="689" customFormat="1" x14ac:dyDescent="0.2"/>
    <row r="631" s="689" customFormat="1" x14ac:dyDescent="0.2"/>
    <row r="632" s="689" customFormat="1" x14ac:dyDescent="0.2"/>
    <row r="633" s="689" customFormat="1" x14ac:dyDescent="0.2"/>
    <row r="634" s="689" customFormat="1" x14ac:dyDescent="0.2"/>
    <row r="635" s="689" customFormat="1" x14ac:dyDescent="0.2"/>
    <row r="636" s="689" customFormat="1" x14ac:dyDescent="0.2"/>
    <row r="637" s="689" customFormat="1" x14ac:dyDescent="0.2"/>
    <row r="638" s="689" customFormat="1" x14ac:dyDescent="0.2"/>
    <row r="639" s="689" customFormat="1" x14ac:dyDescent="0.2"/>
    <row r="640" s="689" customFormat="1" x14ac:dyDescent="0.2"/>
    <row r="641" s="689" customFormat="1" x14ac:dyDescent="0.2"/>
    <row r="642" s="689" customFormat="1" x14ac:dyDescent="0.2"/>
    <row r="643" s="689" customFormat="1" x14ac:dyDescent="0.2"/>
    <row r="644" s="689" customFormat="1" x14ac:dyDescent="0.2"/>
    <row r="645" s="689" customFormat="1" x14ac:dyDescent="0.2"/>
    <row r="646" s="689" customFormat="1" x14ac:dyDescent="0.2"/>
    <row r="647" s="689" customFormat="1" x14ac:dyDescent="0.2"/>
    <row r="648" s="689" customFormat="1" x14ac:dyDescent="0.2"/>
    <row r="649" s="689" customFormat="1" x14ac:dyDescent="0.2"/>
    <row r="650" s="689" customFormat="1" x14ac:dyDescent="0.2"/>
    <row r="651" s="689" customFormat="1" x14ac:dyDescent="0.2"/>
    <row r="652" s="689" customFormat="1" x14ac:dyDescent="0.2"/>
    <row r="653" s="689" customFormat="1" x14ac:dyDescent="0.2"/>
    <row r="654" s="689" customFormat="1" x14ac:dyDescent="0.2"/>
    <row r="655" s="689" customFormat="1" x14ac:dyDescent="0.2"/>
    <row r="656" s="689" customFormat="1" x14ac:dyDescent="0.2"/>
    <row r="657" s="689" customFormat="1" x14ac:dyDescent="0.2"/>
    <row r="658" s="689" customFormat="1" x14ac:dyDescent="0.2"/>
    <row r="659" s="689" customFormat="1" x14ac:dyDescent="0.2"/>
    <row r="660" s="689" customFormat="1" x14ac:dyDescent="0.2"/>
    <row r="661" s="689" customFormat="1" x14ac:dyDescent="0.2"/>
    <row r="662" s="689" customFormat="1" x14ac:dyDescent="0.2"/>
    <row r="663" s="689" customFormat="1" x14ac:dyDescent="0.2"/>
    <row r="664" s="689" customFormat="1" x14ac:dyDescent="0.2"/>
    <row r="665" s="689" customFormat="1" x14ac:dyDescent="0.2"/>
    <row r="666" s="689" customFormat="1" x14ac:dyDescent="0.2"/>
    <row r="667" s="689" customFormat="1" x14ac:dyDescent="0.2"/>
    <row r="668" s="689" customFormat="1" x14ac:dyDescent="0.2"/>
    <row r="669" s="689" customFormat="1" x14ac:dyDescent="0.2"/>
    <row r="670" s="689" customFormat="1" x14ac:dyDescent="0.2"/>
    <row r="671" s="689" customFormat="1" x14ac:dyDescent="0.2"/>
    <row r="672" s="689" customFormat="1" x14ac:dyDescent="0.2"/>
    <row r="673" s="689" customFormat="1" x14ac:dyDescent="0.2"/>
    <row r="674" s="689" customFormat="1" x14ac:dyDescent="0.2"/>
    <row r="675" s="689" customFormat="1" x14ac:dyDescent="0.2"/>
    <row r="676" s="689" customFormat="1" x14ac:dyDescent="0.2"/>
    <row r="677" s="689" customFormat="1" x14ac:dyDescent="0.2"/>
    <row r="678" s="689" customFormat="1" x14ac:dyDescent="0.2"/>
    <row r="679" s="689" customFormat="1" x14ac:dyDescent="0.2"/>
    <row r="680" s="689" customFormat="1" x14ac:dyDescent="0.2"/>
    <row r="681" s="689" customFormat="1" x14ac:dyDescent="0.2"/>
    <row r="682" s="689" customFormat="1" x14ac:dyDescent="0.2"/>
    <row r="683" s="689" customFormat="1" x14ac:dyDescent="0.2"/>
    <row r="684" s="689" customFormat="1" x14ac:dyDescent="0.2"/>
    <row r="685" s="689" customFormat="1" x14ac:dyDescent="0.2"/>
    <row r="686" s="689" customFormat="1" x14ac:dyDescent="0.2"/>
    <row r="687" s="689" customFormat="1" x14ac:dyDescent="0.2"/>
    <row r="688" s="689" customFormat="1" x14ac:dyDescent="0.2"/>
    <row r="689" s="689" customFormat="1" x14ac:dyDescent="0.2"/>
    <row r="690" s="689" customFormat="1" x14ac:dyDescent="0.2"/>
    <row r="691" s="689" customFormat="1" x14ac:dyDescent="0.2"/>
    <row r="692" s="689" customFormat="1" x14ac:dyDescent="0.2"/>
    <row r="693" s="689" customFormat="1" x14ac:dyDescent="0.2"/>
    <row r="694" s="689" customFormat="1" x14ac:dyDescent="0.2"/>
    <row r="695" s="689" customFormat="1" x14ac:dyDescent="0.2"/>
    <row r="696" s="689" customFormat="1" x14ac:dyDescent="0.2"/>
    <row r="697" s="689" customFormat="1" x14ac:dyDescent="0.2"/>
    <row r="698" s="689" customFormat="1" x14ac:dyDescent="0.2"/>
    <row r="699" s="689" customFormat="1" x14ac:dyDescent="0.2"/>
    <row r="700" s="689" customFormat="1" x14ac:dyDescent="0.2"/>
    <row r="701" s="689" customFormat="1" x14ac:dyDescent="0.2"/>
    <row r="702" s="689" customFormat="1" x14ac:dyDescent="0.2"/>
    <row r="703" s="689" customFormat="1" x14ac:dyDescent="0.2"/>
    <row r="704" s="689" customFormat="1" x14ac:dyDescent="0.2"/>
    <row r="705" s="689" customFormat="1" x14ac:dyDescent="0.2"/>
    <row r="706" s="689" customFormat="1" x14ac:dyDescent="0.2"/>
    <row r="707" s="689" customFormat="1" x14ac:dyDescent="0.2"/>
    <row r="708" s="689" customFormat="1" x14ac:dyDescent="0.2"/>
    <row r="709" s="689" customFormat="1" x14ac:dyDescent="0.2"/>
    <row r="710" s="689" customFormat="1" x14ac:dyDescent="0.2"/>
    <row r="711" s="689" customFormat="1" x14ac:dyDescent="0.2"/>
    <row r="712" s="689" customFormat="1" x14ac:dyDescent="0.2"/>
    <row r="713" s="689" customFormat="1" x14ac:dyDescent="0.2"/>
    <row r="714" s="689" customFormat="1" x14ac:dyDescent="0.2"/>
    <row r="715" s="689" customFormat="1" x14ac:dyDescent="0.2"/>
    <row r="716" s="689" customFormat="1" x14ac:dyDescent="0.2"/>
    <row r="717" s="689" customFormat="1" x14ac:dyDescent="0.2"/>
    <row r="718" s="689" customFormat="1" x14ac:dyDescent="0.2"/>
    <row r="719" s="689" customFormat="1" x14ac:dyDescent="0.2"/>
    <row r="720" s="689" customFormat="1" x14ac:dyDescent="0.2"/>
    <row r="721" s="689" customFormat="1" x14ac:dyDescent="0.2"/>
    <row r="722" s="689" customFormat="1" x14ac:dyDescent="0.2"/>
    <row r="723" s="689" customFormat="1" x14ac:dyDescent="0.2"/>
    <row r="724" s="689" customFormat="1" x14ac:dyDescent="0.2"/>
    <row r="725" s="689" customFormat="1" x14ac:dyDescent="0.2"/>
    <row r="726" s="689" customFormat="1" x14ac:dyDescent="0.2"/>
    <row r="727" s="689" customFormat="1" x14ac:dyDescent="0.2"/>
    <row r="728" s="689" customFormat="1" x14ac:dyDescent="0.2"/>
    <row r="729" s="689" customFormat="1" x14ac:dyDescent="0.2"/>
    <row r="730" s="689" customFormat="1" x14ac:dyDescent="0.2"/>
    <row r="731" s="689" customFormat="1" x14ac:dyDescent="0.2"/>
    <row r="732" s="689" customFormat="1" x14ac:dyDescent="0.2"/>
    <row r="733" s="689" customFormat="1" x14ac:dyDescent="0.2"/>
    <row r="734" s="689" customFormat="1" x14ac:dyDescent="0.2"/>
    <row r="735" s="689" customFormat="1" x14ac:dyDescent="0.2"/>
    <row r="736" s="689" customFormat="1" x14ac:dyDescent="0.2"/>
    <row r="737" s="689" customFormat="1" x14ac:dyDescent="0.2"/>
    <row r="738" s="689" customFormat="1" x14ac:dyDescent="0.2"/>
    <row r="739" s="689" customFormat="1" x14ac:dyDescent="0.2"/>
    <row r="740" s="689" customFormat="1" x14ac:dyDescent="0.2"/>
    <row r="741" s="689" customFormat="1" x14ac:dyDescent="0.2"/>
    <row r="742" s="689" customFormat="1" x14ac:dyDescent="0.2"/>
    <row r="743" s="689" customFormat="1" x14ac:dyDescent="0.2"/>
    <row r="744" s="689" customFormat="1" x14ac:dyDescent="0.2"/>
    <row r="745" s="689" customFormat="1" x14ac:dyDescent="0.2"/>
    <row r="746" s="689" customFormat="1" x14ac:dyDescent="0.2"/>
    <row r="747" s="689" customFormat="1" x14ac:dyDescent="0.2"/>
    <row r="748" s="689" customFormat="1" x14ac:dyDescent="0.2"/>
    <row r="749" s="689" customFormat="1" x14ac:dyDescent="0.2"/>
    <row r="750" s="689" customFormat="1" x14ac:dyDescent="0.2"/>
    <row r="751" s="689" customFormat="1" x14ac:dyDescent="0.2"/>
    <row r="752" s="689" customFormat="1" x14ac:dyDescent="0.2"/>
    <row r="753" s="689" customFormat="1" x14ac:dyDescent="0.2"/>
    <row r="754" s="689" customFormat="1" x14ac:dyDescent="0.2"/>
    <row r="755" s="689" customFormat="1" x14ac:dyDescent="0.2"/>
    <row r="756" s="689" customFormat="1" x14ac:dyDescent="0.2"/>
    <row r="757" s="689" customFormat="1" x14ac:dyDescent="0.2"/>
    <row r="758" s="689" customFormat="1" x14ac:dyDescent="0.2"/>
    <row r="759" s="689" customFormat="1" x14ac:dyDescent="0.2"/>
    <row r="760" s="689" customFormat="1" x14ac:dyDescent="0.2"/>
    <row r="761" s="689" customFormat="1" x14ac:dyDescent="0.2"/>
    <row r="762" s="689" customFormat="1" x14ac:dyDescent="0.2"/>
    <row r="763" s="689" customFormat="1" x14ac:dyDescent="0.2"/>
    <row r="764" s="689" customFormat="1" x14ac:dyDescent="0.2"/>
    <row r="765" s="689" customFormat="1" x14ac:dyDescent="0.2"/>
    <row r="766" s="689" customFormat="1" x14ac:dyDescent="0.2"/>
    <row r="767" s="689" customFormat="1" x14ac:dyDescent="0.2"/>
    <row r="768" s="689" customFormat="1" x14ac:dyDescent="0.2"/>
    <row r="769" s="689" customFormat="1" x14ac:dyDescent="0.2"/>
    <row r="770" s="689" customFormat="1" x14ac:dyDescent="0.2"/>
    <row r="771" s="689" customFormat="1" x14ac:dyDescent="0.2"/>
    <row r="772" s="689" customFormat="1" x14ac:dyDescent="0.2"/>
    <row r="773" s="689" customFormat="1" x14ac:dyDescent="0.2"/>
    <row r="774" s="689" customFormat="1" x14ac:dyDescent="0.2"/>
    <row r="775" s="689" customFormat="1" x14ac:dyDescent="0.2"/>
    <row r="776" s="689" customFormat="1" x14ac:dyDescent="0.2"/>
    <row r="777" s="689" customFormat="1" x14ac:dyDescent="0.2"/>
    <row r="778" s="689" customFormat="1" x14ac:dyDescent="0.2"/>
    <row r="779" s="689" customFormat="1" x14ac:dyDescent="0.2"/>
    <row r="780" s="689" customFormat="1" x14ac:dyDescent="0.2"/>
    <row r="781" s="689" customFormat="1" x14ac:dyDescent="0.2"/>
    <row r="782" s="689" customFormat="1" x14ac:dyDescent="0.2"/>
    <row r="783" s="689" customFormat="1" x14ac:dyDescent="0.2"/>
    <row r="784" s="689" customFormat="1" x14ac:dyDescent="0.2"/>
    <row r="785" s="689" customFormat="1" x14ac:dyDescent="0.2"/>
    <row r="786" s="689" customFormat="1" x14ac:dyDescent="0.2"/>
    <row r="787" s="689" customFormat="1" x14ac:dyDescent="0.2"/>
    <row r="788" s="689" customFormat="1" x14ac:dyDescent="0.2"/>
    <row r="789" s="689" customFormat="1" x14ac:dyDescent="0.2"/>
    <row r="790" s="689" customFormat="1" x14ac:dyDescent="0.2"/>
    <row r="791" s="689" customFormat="1" x14ac:dyDescent="0.2"/>
    <row r="792" s="689" customFormat="1" x14ac:dyDescent="0.2"/>
    <row r="793" s="689" customFormat="1" x14ac:dyDescent="0.2"/>
    <row r="794" s="689" customFormat="1" x14ac:dyDescent="0.2"/>
    <row r="795" s="689" customFormat="1" x14ac:dyDescent="0.2"/>
    <row r="796" s="689" customFormat="1" x14ac:dyDescent="0.2"/>
    <row r="797" s="689" customFormat="1" x14ac:dyDescent="0.2"/>
    <row r="798" s="689" customFormat="1" x14ac:dyDescent="0.2"/>
    <row r="799" s="689" customFormat="1" x14ac:dyDescent="0.2"/>
    <row r="800" s="689" customFormat="1" x14ac:dyDescent="0.2"/>
    <row r="801" s="689" customFormat="1" x14ac:dyDescent="0.2"/>
    <row r="802" s="689" customFormat="1" x14ac:dyDescent="0.2"/>
    <row r="803" s="689" customFormat="1" x14ac:dyDescent="0.2"/>
    <row r="804" s="689" customFormat="1" x14ac:dyDescent="0.2"/>
    <row r="805" s="689" customFormat="1" x14ac:dyDescent="0.2"/>
    <row r="806" s="689" customFormat="1" x14ac:dyDescent="0.2"/>
    <row r="807" s="689" customFormat="1" x14ac:dyDescent="0.2"/>
    <row r="808" s="689" customFormat="1" x14ac:dyDescent="0.2"/>
    <row r="809" s="689" customFormat="1" x14ac:dyDescent="0.2"/>
    <row r="810" s="689" customFormat="1" x14ac:dyDescent="0.2"/>
    <row r="811" s="689" customFormat="1" x14ac:dyDescent="0.2"/>
    <row r="812" s="689" customFormat="1" x14ac:dyDescent="0.2"/>
    <row r="813" s="689" customFormat="1" x14ac:dyDescent="0.2"/>
    <row r="814" s="689" customFormat="1" x14ac:dyDescent="0.2"/>
    <row r="815" s="689" customFormat="1" x14ac:dyDescent="0.2"/>
    <row r="816" s="689" customFormat="1" x14ac:dyDescent="0.2"/>
    <row r="817" s="689" customFormat="1" x14ac:dyDescent="0.2"/>
    <row r="818" s="689" customFormat="1" x14ac:dyDescent="0.2"/>
    <row r="819" s="689" customFormat="1" x14ac:dyDescent="0.2"/>
    <row r="820" s="689" customFormat="1" x14ac:dyDescent="0.2"/>
    <row r="821" s="689" customFormat="1" x14ac:dyDescent="0.2"/>
    <row r="822" s="689" customFormat="1" x14ac:dyDescent="0.2"/>
    <row r="823" s="689" customFormat="1" x14ac:dyDescent="0.2"/>
    <row r="824" s="689" customFormat="1" x14ac:dyDescent="0.2"/>
    <row r="825" s="689" customFormat="1" x14ac:dyDescent="0.2"/>
    <row r="826" s="689" customFormat="1" x14ac:dyDescent="0.2"/>
    <row r="827" s="689" customFormat="1" x14ac:dyDescent="0.2"/>
    <row r="828" s="689" customFormat="1" x14ac:dyDescent="0.2"/>
    <row r="829" s="689" customFormat="1" x14ac:dyDescent="0.2"/>
    <row r="830" s="689" customFormat="1" x14ac:dyDescent="0.2"/>
    <row r="831" s="689" customFormat="1" x14ac:dyDescent="0.2"/>
    <row r="832" s="689" customFormat="1" x14ac:dyDescent="0.2"/>
    <row r="833" s="689" customFormat="1" x14ac:dyDescent="0.2"/>
    <row r="834" s="689" customFormat="1" x14ac:dyDescent="0.2"/>
    <row r="835" s="689" customFormat="1" x14ac:dyDescent="0.2"/>
    <row r="836" s="689" customFormat="1" x14ac:dyDescent="0.2"/>
    <row r="837" s="689" customFormat="1" x14ac:dyDescent="0.2"/>
    <row r="838" s="689" customFormat="1" x14ac:dyDescent="0.2"/>
    <row r="839" s="689" customFormat="1" x14ac:dyDescent="0.2"/>
    <row r="840" s="689" customFormat="1" x14ac:dyDescent="0.2"/>
    <row r="841" s="689" customFormat="1" x14ac:dyDescent="0.2"/>
    <row r="842" s="689" customFormat="1" x14ac:dyDescent="0.2"/>
    <row r="843" s="689" customFormat="1" x14ac:dyDescent="0.2"/>
    <row r="844" s="689" customFormat="1" x14ac:dyDescent="0.2"/>
    <row r="845" s="689" customFormat="1" x14ac:dyDescent="0.2"/>
    <row r="846" s="689" customFormat="1" x14ac:dyDescent="0.2"/>
    <row r="847" s="689" customFormat="1" x14ac:dyDescent="0.2"/>
    <row r="848" s="689" customFormat="1" x14ac:dyDescent="0.2"/>
    <row r="849" s="689" customFormat="1" x14ac:dyDescent="0.2"/>
    <row r="850" s="689" customFormat="1" x14ac:dyDescent="0.2"/>
    <row r="851" s="689" customFormat="1" x14ac:dyDescent="0.2"/>
    <row r="852" s="689" customFormat="1" x14ac:dyDescent="0.2"/>
    <row r="853" s="689" customFormat="1" x14ac:dyDescent="0.2"/>
    <row r="854" s="689" customFormat="1" x14ac:dyDescent="0.2"/>
    <row r="855" s="689" customFormat="1" x14ac:dyDescent="0.2"/>
    <row r="856" s="689" customFormat="1" x14ac:dyDescent="0.2"/>
    <row r="857" s="689" customFormat="1" x14ac:dyDescent="0.2"/>
    <row r="858" s="689" customFormat="1" x14ac:dyDescent="0.2"/>
    <row r="859" s="689" customFormat="1" x14ac:dyDescent="0.2"/>
    <row r="860" s="689" customFormat="1" x14ac:dyDescent="0.2"/>
    <row r="861" s="689" customFormat="1" x14ac:dyDescent="0.2"/>
    <row r="862" s="689" customFormat="1" x14ac:dyDescent="0.2"/>
    <row r="863" s="689" customFormat="1" x14ac:dyDescent="0.2"/>
    <row r="864" s="689" customFormat="1" x14ac:dyDescent="0.2"/>
    <row r="865" s="689" customFormat="1" x14ac:dyDescent="0.2"/>
    <row r="866" s="689" customFormat="1" x14ac:dyDescent="0.2"/>
    <row r="867" s="689" customFormat="1" x14ac:dyDescent="0.2"/>
    <row r="868" s="689" customFormat="1" x14ac:dyDescent="0.2"/>
    <row r="869" s="689" customFormat="1" x14ac:dyDescent="0.2"/>
    <row r="870" s="689" customFormat="1" x14ac:dyDescent="0.2"/>
    <row r="871" s="689" customFormat="1" x14ac:dyDescent="0.2"/>
    <row r="872" s="689" customFormat="1" x14ac:dyDescent="0.2"/>
    <row r="873" s="689" customFormat="1" x14ac:dyDescent="0.2"/>
    <row r="874" s="689" customFormat="1" x14ac:dyDescent="0.2"/>
    <row r="875" s="689" customFormat="1" x14ac:dyDescent="0.2"/>
    <row r="876" s="689" customFormat="1" x14ac:dyDescent="0.2"/>
    <row r="877" s="689" customFormat="1" x14ac:dyDescent="0.2"/>
    <row r="878" s="689" customFormat="1" x14ac:dyDescent="0.2"/>
    <row r="879" s="689" customFormat="1" x14ac:dyDescent="0.2"/>
    <row r="880" s="689" customFormat="1" x14ac:dyDescent="0.2"/>
    <row r="881" s="689" customFormat="1" x14ac:dyDescent="0.2"/>
    <row r="882" s="689" customFormat="1" x14ac:dyDescent="0.2"/>
    <row r="883" s="689" customFormat="1" x14ac:dyDescent="0.2"/>
    <row r="884" s="689" customFormat="1" x14ac:dyDescent="0.2"/>
    <row r="885" s="689" customFormat="1" x14ac:dyDescent="0.2"/>
    <row r="886" s="689" customFormat="1" x14ac:dyDescent="0.2"/>
    <row r="887" s="689" customFormat="1" x14ac:dyDescent="0.2"/>
    <row r="888" s="689" customFormat="1" x14ac:dyDescent="0.2"/>
    <row r="889" s="689" customFormat="1" x14ac:dyDescent="0.2"/>
    <row r="890" s="689" customFormat="1" x14ac:dyDescent="0.2"/>
    <row r="891" s="689" customFormat="1" x14ac:dyDescent="0.2"/>
    <row r="892" s="689" customFormat="1" x14ac:dyDescent="0.2"/>
    <row r="893" s="689" customFormat="1" x14ac:dyDescent="0.2"/>
    <row r="894" s="689" customFormat="1" x14ac:dyDescent="0.2"/>
    <row r="895" s="689" customFormat="1" x14ac:dyDescent="0.2"/>
    <row r="896" s="689" customFormat="1" x14ac:dyDescent="0.2"/>
    <row r="897" s="689" customFormat="1" x14ac:dyDescent="0.2"/>
    <row r="898" s="689" customFormat="1" x14ac:dyDescent="0.2"/>
    <row r="899" s="689" customFormat="1" x14ac:dyDescent="0.2"/>
    <row r="900" s="689" customFormat="1" x14ac:dyDescent="0.2"/>
    <row r="901" s="689" customFormat="1" x14ac:dyDescent="0.2"/>
    <row r="902" s="689" customFormat="1" x14ac:dyDescent="0.2"/>
    <row r="903" s="689" customFormat="1" x14ac:dyDescent="0.2"/>
    <row r="904" s="689" customFormat="1" x14ac:dyDescent="0.2"/>
    <row r="905" s="689" customFormat="1" x14ac:dyDescent="0.2"/>
    <row r="906" s="689" customFormat="1" x14ac:dyDescent="0.2"/>
    <row r="907" s="689" customFormat="1" x14ac:dyDescent="0.2"/>
    <row r="908" s="689" customFormat="1" x14ac:dyDescent="0.2"/>
    <row r="909" s="689" customFormat="1" x14ac:dyDescent="0.2"/>
    <row r="910" s="689" customFormat="1" x14ac:dyDescent="0.2"/>
    <row r="911" s="689" customFormat="1" x14ac:dyDescent="0.2"/>
    <row r="912" s="689" customFormat="1" x14ac:dyDescent="0.2"/>
    <row r="913" s="689" customFormat="1" x14ac:dyDescent="0.2"/>
    <row r="914" s="689" customFormat="1" x14ac:dyDescent="0.2"/>
    <row r="915" s="689" customFormat="1" x14ac:dyDescent="0.2"/>
    <row r="916" s="689" customFormat="1" x14ac:dyDescent="0.2"/>
    <row r="917" s="689" customFormat="1" x14ac:dyDescent="0.2"/>
    <row r="918" s="689" customFormat="1" x14ac:dyDescent="0.2"/>
    <row r="919" s="689" customFormat="1" x14ac:dyDescent="0.2"/>
    <row r="920" s="689" customFormat="1" x14ac:dyDescent="0.2"/>
    <row r="921" s="689" customFormat="1" x14ac:dyDescent="0.2"/>
    <row r="922" s="689" customFormat="1" x14ac:dyDescent="0.2"/>
    <row r="923" s="689" customFormat="1" x14ac:dyDescent="0.2"/>
    <row r="924" s="689" customFormat="1" x14ac:dyDescent="0.2"/>
    <row r="925" s="689" customFormat="1" x14ac:dyDescent="0.2"/>
    <row r="926" s="689" customFormat="1" x14ac:dyDescent="0.2"/>
    <row r="927" s="689" customFormat="1" x14ac:dyDescent="0.2"/>
    <row r="928" s="689" customFormat="1" x14ac:dyDescent="0.2"/>
    <row r="929" s="689" customFormat="1" x14ac:dyDescent="0.2"/>
    <row r="930" s="689" customFormat="1" x14ac:dyDescent="0.2"/>
    <row r="931" s="689" customFormat="1" x14ac:dyDescent="0.2"/>
    <row r="932" s="689" customFormat="1" x14ac:dyDescent="0.2"/>
    <row r="933" s="689" customFormat="1" x14ac:dyDescent="0.2"/>
    <row r="934" s="689" customFormat="1" x14ac:dyDescent="0.2"/>
    <row r="935" s="689" customFormat="1" x14ac:dyDescent="0.2"/>
    <row r="936" s="689" customFormat="1" x14ac:dyDescent="0.2"/>
    <row r="937" s="689" customFormat="1" x14ac:dyDescent="0.2"/>
    <row r="938" s="689" customFormat="1" x14ac:dyDescent="0.2"/>
    <row r="939" s="689" customFormat="1" x14ac:dyDescent="0.2"/>
    <row r="940" s="689" customFormat="1" x14ac:dyDescent="0.2"/>
    <row r="941" s="689" customFormat="1" x14ac:dyDescent="0.2"/>
    <row r="942" s="689" customFormat="1" x14ac:dyDescent="0.2"/>
    <row r="943" s="689" customFormat="1" x14ac:dyDescent="0.2"/>
    <row r="944" s="689" customFormat="1" x14ac:dyDescent="0.2"/>
    <row r="945" s="689" customFormat="1" x14ac:dyDescent="0.2"/>
    <row r="946" s="689" customFormat="1" x14ac:dyDescent="0.2"/>
    <row r="947" s="689" customFormat="1" x14ac:dyDescent="0.2"/>
    <row r="948" s="689" customFormat="1" x14ac:dyDescent="0.2"/>
    <row r="949" s="689" customFormat="1" x14ac:dyDescent="0.2"/>
    <row r="950" s="689" customFormat="1" x14ac:dyDescent="0.2"/>
    <row r="951" s="689" customFormat="1" x14ac:dyDescent="0.2"/>
    <row r="952" s="689" customFormat="1" x14ac:dyDescent="0.2"/>
    <row r="953" s="689" customFormat="1" x14ac:dyDescent="0.2"/>
    <row r="954" s="689" customFormat="1" x14ac:dyDescent="0.2"/>
    <row r="955" s="689" customFormat="1" x14ac:dyDescent="0.2"/>
    <row r="956" s="689" customFormat="1" x14ac:dyDescent="0.2"/>
    <row r="957" s="689" customFormat="1" x14ac:dyDescent="0.2"/>
    <row r="958" s="689" customFormat="1" x14ac:dyDescent="0.2"/>
    <row r="959" s="689" customFormat="1" x14ac:dyDescent="0.2"/>
    <row r="960" s="689" customFormat="1" x14ac:dyDescent="0.2"/>
    <row r="961" s="689" customFormat="1" x14ac:dyDescent="0.2"/>
    <row r="962" s="689" customFormat="1" x14ac:dyDescent="0.2"/>
    <row r="963" s="689" customFormat="1" x14ac:dyDescent="0.2"/>
    <row r="964" s="689" customFormat="1" x14ac:dyDescent="0.2"/>
    <row r="965" s="689" customFormat="1" x14ac:dyDescent="0.2"/>
    <row r="966" s="689" customFormat="1" x14ac:dyDescent="0.2"/>
    <row r="967" s="689" customFormat="1" x14ac:dyDescent="0.2"/>
    <row r="968" s="689" customFormat="1" x14ac:dyDescent="0.2"/>
    <row r="969" s="689" customFormat="1" x14ac:dyDescent="0.2"/>
    <row r="970" s="689" customFormat="1" x14ac:dyDescent="0.2"/>
    <row r="971" s="689" customFormat="1" x14ac:dyDescent="0.2"/>
    <row r="972" s="689" customFormat="1" x14ac:dyDescent="0.2"/>
    <row r="973" s="689" customFormat="1" x14ac:dyDescent="0.2"/>
    <row r="974" s="689" customFormat="1" x14ac:dyDescent="0.2"/>
    <row r="975" s="689" customFormat="1" x14ac:dyDescent="0.2"/>
    <row r="976" s="689" customFormat="1" x14ac:dyDescent="0.2"/>
    <row r="977" s="689" customFormat="1" x14ac:dyDescent="0.2"/>
    <row r="978" s="689" customFormat="1" x14ac:dyDescent="0.2"/>
    <row r="979" s="689" customFormat="1" x14ac:dyDescent="0.2"/>
    <row r="980" s="689" customFormat="1" x14ac:dyDescent="0.2"/>
    <row r="981" s="689" customFormat="1" x14ac:dyDescent="0.2"/>
    <row r="982" s="689" customFormat="1" x14ac:dyDescent="0.2"/>
    <row r="983" s="689" customFormat="1" x14ac:dyDescent="0.2"/>
    <row r="984" s="689" customFormat="1" x14ac:dyDescent="0.2"/>
    <row r="985" s="689" customFormat="1" x14ac:dyDescent="0.2"/>
    <row r="986" s="689" customFormat="1" x14ac:dyDescent="0.2"/>
    <row r="987" s="689" customFormat="1" x14ac:dyDescent="0.2"/>
    <row r="988" s="689" customFormat="1" x14ac:dyDescent="0.2"/>
    <row r="989" s="689" customFormat="1" x14ac:dyDescent="0.2"/>
    <row r="990" s="689" customFormat="1" x14ac:dyDescent="0.2"/>
    <row r="991" s="689" customFormat="1" x14ac:dyDescent="0.2"/>
    <row r="992" s="689" customFormat="1" x14ac:dyDescent="0.2"/>
    <row r="993" s="689" customFormat="1" x14ac:dyDescent="0.2"/>
    <row r="994" s="689" customFormat="1" x14ac:dyDescent="0.2"/>
    <row r="995" s="689" customFormat="1" x14ac:dyDescent="0.2"/>
    <row r="996" s="689" customFormat="1" x14ac:dyDescent="0.2"/>
    <row r="997" s="689" customFormat="1" x14ac:dyDescent="0.2"/>
    <row r="998" s="689" customFormat="1" x14ac:dyDescent="0.2"/>
    <row r="999" s="689" customFormat="1" x14ac:dyDescent="0.2"/>
    <row r="1000" s="689" customFormat="1" x14ac:dyDescent="0.2"/>
    <row r="1001" s="689" customFormat="1" x14ac:dyDescent="0.2"/>
    <row r="1002" s="689" customFormat="1" x14ac:dyDescent="0.2"/>
    <row r="1003" s="689" customFormat="1" x14ac:dyDescent="0.2"/>
    <row r="1004" s="689" customFormat="1" x14ac:dyDescent="0.2"/>
    <row r="1005" s="689" customFormat="1" x14ac:dyDescent="0.2"/>
    <row r="1006" s="689" customFormat="1" x14ac:dyDescent="0.2"/>
    <row r="1007" s="689" customFormat="1" x14ac:dyDescent="0.2"/>
    <row r="1008" s="689" customFormat="1" x14ac:dyDescent="0.2"/>
    <row r="1009" s="689" customFormat="1" x14ac:dyDescent="0.2"/>
    <row r="1010" s="689" customFormat="1" x14ac:dyDescent="0.2"/>
    <row r="1011" s="689" customFormat="1" x14ac:dyDescent="0.2"/>
    <row r="1012" s="689" customFormat="1" x14ac:dyDescent="0.2"/>
    <row r="1013" s="689" customFormat="1" x14ac:dyDescent="0.2"/>
    <row r="1014" s="689" customFormat="1" x14ac:dyDescent="0.2"/>
    <row r="1015" s="689" customFormat="1" x14ac:dyDescent="0.2"/>
    <row r="1016" s="689" customFormat="1" x14ac:dyDescent="0.2"/>
    <row r="1017" s="689" customFormat="1" x14ac:dyDescent="0.2"/>
    <row r="1018" s="689" customFormat="1" x14ac:dyDescent="0.2"/>
    <row r="1019" s="689" customFormat="1" x14ac:dyDescent="0.2"/>
    <row r="1020" s="689" customFormat="1" x14ac:dyDescent="0.2"/>
    <row r="1021" s="689" customFormat="1" x14ac:dyDescent="0.2"/>
    <row r="1022" s="689" customFormat="1" x14ac:dyDescent="0.2"/>
    <row r="1023" s="689" customFormat="1" x14ac:dyDescent="0.2"/>
    <row r="1024" s="689" customFormat="1" x14ac:dyDescent="0.2"/>
    <row r="1025" s="689" customFormat="1" x14ac:dyDescent="0.2"/>
    <row r="1026" s="689" customFormat="1" x14ac:dyDescent="0.2"/>
    <row r="1027" s="689" customFormat="1" x14ac:dyDescent="0.2"/>
    <row r="1028" s="689" customFormat="1" x14ac:dyDescent="0.2"/>
    <row r="1029" s="689" customFormat="1" x14ac:dyDescent="0.2"/>
    <row r="1030" s="689" customFormat="1" x14ac:dyDescent="0.2"/>
    <row r="1031" s="689" customFormat="1" x14ac:dyDescent="0.2"/>
    <row r="1032" s="689" customFormat="1" x14ac:dyDescent="0.2"/>
    <row r="1033" s="689" customFormat="1" x14ac:dyDescent="0.2"/>
    <row r="1034" s="689" customFormat="1" x14ac:dyDescent="0.2"/>
    <row r="1035" s="689" customFormat="1" x14ac:dyDescent="0.2"/>
    <row r="1036" s="689" customFormat="1" x14ac:dyDescent="0.2"/>
    <row r="1037" s="689" customFormat="1" x14ac:dyDescent="0.2"/>
    <row r="1038" s="689" customFormat="1" x14ac:dyDescent="0.2"/>
    <row r="1039" s="689" customFormat="1" x14ac:dyDescent="0.2"/>
    <row r="1040" s="689" customFormat="1" x14ac:dyDescent="0.2"/>
    <row r="1041" s="689" customFormat="1" x14ac:dyDescent="0.2"/>
    <row r="1042" s="689" customFormat="1" x14ac:dyDescent="0.2"/>
    <row r="1043" s="689" customFormat="1" x14ac:dyDescent="0.2"/>
    <row r="1044" s="689" customFormat="1" x14ac:dyDescent="0.2"/>
    <row r="1045" s="689" customFormat="1" x14ac:dyDescent="0.2"/>
    <row r="1046" s="689" customFormat="1" x14ac:dyDescent="0.2"/>
    <row r="1047" s="689" customFormat="1" x14ac:dyDescent="0.2"/>
    <row r="1048" s="689" customFormat="1" x14ac:dyDescent="0.2"/>
    <row r="1049" s="689" customFormat="1" x14ac:dyDescent="0.2"/>
    <row r="1050" s="689" customFormat="1" x14ac:dyDescent="0.2"/>
    <row r="1051" s="689" customFormat="1" x14ac:dyDescent="0.2"/>
    <row r="1052" s="689" customFormat="1" x14ac:dyDescent="0.2"/>
    <row r="1053" s="689" customFormat="1" x14ac:dyDescent="0.2"/>
    <row r="1054" s="689" customFormat="1" x14ac:dyDescent="0.2"/>
    <row r="1055" s="689" customFormat="1" x14ac:dyDescent="0.2"/>
    <row r="1056" s="689" customFormat="1" x14ac:dyDescent="0.2"/>
    <row r="1057" s="689" customFormat="1" x14ac:dyDescent="0.2"/>
    <row r="1058" s="689" customFormat="1" x14ac:dyDescent="0.2"/>
    <row r="1059" s="689" customFormat="1" x14ac:dyDescent="0.2"/>
    <row r="1060" s="689" customFormat="1" x14ac:dyDescent="0.2"/>
    <row r="1061" s="689" customFormat="1" x14ac:dyDescent="0.2"/>
    <row r="1062" s="689" customFormat="1" x14ac:dyDescent="0.2"/>
    <row r="1063" s="689" customFormat="1" x14ac:dyDescent="0.2"/>
    <row r="1064" s="689" customFormat="1" x14ac:dyDescent="0.2"/>
    <row r="1065" s="689" customFormat="1" x14ac:dyDescent="0.2"/>
    <row r="1066" s="689" customFormat="1" x14ac:dyDescent="0.2"/>
    <row r="1067" s="689" customFormat="1" x14ac:dyDescent="0.2"/>
    <row r="1068" s="689" customFormat="1" x14ac:dyDescent="0.2"/>
    <row r="1069" s="689" customFormat="1" x14ac:dyDescent="0.2"/>
    <row r="1070" s="689" customFormat="1" x14ac:dyDescent="0.2"/>
    <row r="1071" s="689" customFormat="1" x14ac:dyDescent="0.2"/>
    <row r="1072" s="689" customFormat="1" x14ac:dyDescent="0.2"/>
    <row r="1073" s="689" customFormat="1" x14ac:dyDescent="0.2"/>
    <row r="1074" s="689" customFormat="1" x14ac:dyDescent="0.2"/>
    <row r="1075" s="689" customFormat="1" x14ac:dyDescent="0.2"/>
    <row r="1076" s="689" customFormat="1" x14ac:dyDescent="0.2"/>
    <row r="1077" s="689" customFormat="1" x14ac:dyDescent="0.2"/>
    <row r="1078" s="689" customFormat="1" x14ac:dyDescent="0.2"/>
    <row r="1079" s="689" customFormat="1" x14ac:dyDescent="0.2"/>
    <row r="1080" s="689" customFormat="1" x14ac:dyDescent="0.2"/>
    <row r="1081" s="689" customFormat="1" x14ac:dyDescent="0.2"/>
    <row r="1082" s="689" customFormat="1" x14ac:dyDescent="0.2"/>
    <row r="1083" s="689" customFormat="1" x14ac:dyDescent="0.2"/>
    <row r="1084" s="689" customFormat="1" x14ac:dyDescent="0.2"/>
    <row r="1085" s="689" customFormat="1" x14ac:dyDescent="0.2"/>
    <row r="1086" s="689" customFormat="1" x14ac:dyDescent="0.2"/>
    <row r="1087" s="689" customFormat="1" x14ac:dyDescent="0.2"/>
    <row r="1088" s="689" customFormat="1" x14ac:dyDescent="0.2"/>
    <row r="1089" s="689" customFormat="1" x14ac:dyDescent="0.2"/>
    <row r="1090" s="689" customFormat="1" x14ac:dyDescent="0.2"/>
    <row r="1091" s="689" customFormat="1" x14ac:dyDescent="0.2"/>
    <row r="1092" s="689" customFormat="1" x14ac:dyDescent="0.2"/>
    <row r="1093" s="689" customFormat="1" x14ac:dyDescent="0.2"/>
    <row r="1094" s="689" customFormat="1" x14ac:dyDescent="0.2"/>
    <row r="1095" s="689" customFormat="1" x14ac:dyDescent="0.2"/>
    <row r="1096" s="689" customFormat="1" x14ac:dyDescent="0.2"/>
    <row r="1097" s="689" customFormat="1" x14ac:dyDescent="0.2"/>
    <row r="1098" s="689" customFormat="1" x14ac:dyDescent="0.2"/>
    <row r="1099" s="689" customFormat="1" x14ac:dyDescent="0.2"/>
    <row r="1100" s="689" customFormat="1" x14ac:dyDescent="0.2"/>
    <row r="1101" s="689" customFormat="1" x14ac:dyDescent="0.2"/>
    <row r="1102" s="689" customFormat="1" x14ac:dyDescent="0.2"/>
    <row r="1103" s="689" customFormat="1" x14ac:dyDescent="0.2"/>
    <row r="1104" s="689" customFormat="1" x14ac:dyDescent="0.2"/>
    <row r="1105" s="689" customFormat="1" x14ac:dyDescent="0.2"/>
    <row r="1106" s="689" customFormat="1" x14ac:dyDescent="0.2"/>
    <row r="1107" s="689" customFormat="1" x14ac:dyDescent="0.2"/>
    <row r="1108" s="689" customFormat="1" x14ac:dyDescent="0.2"/>
    <row r="1109" s="689" customFormat="1" x14ac:dyDescent="0.2"/>
    <row r="1110" s="689" customFormat="1" x14ac:dyDescent="0.2"/>
    <row r="1111" s="689" customFormat="1" x14ac:dyDescent="0.2"/>
    <row r="1112" s="689" customFormat="1" x14ac:dyDescent="0.2"/>
    <row r="1113" s="689" customFormat="1" x14ac:dyDescent="0.2"/>
    <row r="1114" s="689" customFormat="1" x14ac:dyDescent="0.2"/>
    <row r="1115" s="689" customFormat="1" x14ac:dyDescent="0.2"/>
    <row r="1116" s="689" customFormat="1" x14ac:dyDescent="0.2"/>
    <row r="1117" s="689" customFormat="1" x14ac:dyDescent="0.2"/>
    <row r="1118" s="689" customFormat="1" x14ac:dyDescent="0.2"/>
    <row r="1119" s="689" customFormat="1" x14ac:dyDescent="0.2"/>
    <row r="1120" s="689" customFormat="1" x14ac:dyDescent="0.2"/>
    <row r="1121" s="689" customFormat="1" x14ac:dyDescent="0.2"/>
    <row r="1122" s="689" customFormat="1" x14ac:dyDescent="0.2"/>
    <row r="1123" s="689" customFormat="1" x14ac:dyDescent="0.2"/>
    <row r="1124" s="689" customFormat="1" x14ac:dyDescent="0.2"/>
    <row r="1125" s="689" customFormat="1" x14ac:dyDescent="0.2"/>
    <row r="1126" s="689" customFormat="1" x14ac:dyDescent="0.2"/>
    <row r="1127" s="689" customFormat="1" x14ac:dyDescent="0.2"/>
    <row r="1128" s="689" customFormat="1" x14ac:dyDescent="0.2"/>
    <row r="1129" s="689" customFormat="1" x14ac:dyDescent="0.2"/>
    <row r="1130" s="689" customFormat="1" x14ac:dyDescent="0.2"/>
    <row r="1131" s="689" customFormat="1" x14ac:dyDescent="0.2"/>
    <row r="1132" s="689" customFormat="1" x14ac:dyDescent="0.2"/>
    <row r="1133" s="689" customFormat="1" x14ac:dyDescent="0.2"/>
    <row r="1134" s="689" customFormat="1" x14ac:dyDescent="0.2"/>
    <row r="1135" s="689" customFormat="1" x14ac:dyDescent="0.2"/>
    <row r="1136" s="689" customFormat="1" x14ac:dyDescent="0.2"/>
    <row r="1137" s="689" customFormat="1" x14ac:dyDescent="0.2"/>
    <row r="1138" s="689" customFormat="1" x14ac:dyDescent="0.2"/>
    <row r="1139" s="689" customFormat="1" x14ac:dyDescent="0.2"/>
    <row r="1140" s="689" customFormat="1" x14ac:dyDescent="0.2"/>
    <row r="1141" s="689" customFormat="1" x14ac:dyDescent="0.2"/>
    <row r="1142" s="689" customFormat="1" x14ac:dyDescent="0.2"/>
    <row r="1143" s="689" customFormat="1" x14ac:dyDescent="0.2"/>
    <row r="1144" s="689" customFormat="1" x14ac:dyDescent="0.2"/>
    <row r="1145" s="689" customFormat="1" x14ac:dyDescent="0.2"/>
    <row r="1146" s="689" customFormat="1" x14ac:dyDescent="0.2"/>
    <row r="1147" s="689" customFormat="1" x14ac:dyDescent="0.2"/>
    <row r="1148" s="689" customFormat="1" x14ac:dyDescent="0.2"/>
    <row r="1149" s="689" customFormat="1" x14ac:dyDescent="0.2"/>
    <row r="1150" s="689" customFormat="1" x14ac:dyDescent="0.2"/>
    <row r="1151" s="689" customFormat="1" x14ac:dyDescent="0.2"/>
    <row r="1152" s="689" customFormat="1" x14ac:dyDescent="0.2"/>
    <row r="1153" s="689" customFormat="1" x14ac:dyDescent="0.2"/>
    <row r="1154" s="689" customFormat="1" x14ac:dyDescent="0.2"/>
    <row r="1155" s="689" customFormat="1" x14ac:dyDescent="0.2"/>
    <row r="1156" s="689" customFormat="1" x14ac:dyDescent="0.2"/>
    <row r="1157" s="689" customFormat="1" x14ac:dyDescent="0.2"/>
    <row r="1158" s="689" customFormat="1" x14ac:dyDescent="0.2"/>
    <row r="1159" s="689" customFormat="1" x14ac:dyDescent="0.2"/>
    <row r="1160" s="689" customFormat="1" x14ac:dyDescent="0.2"/>
    <row r="1161" s="689" customFormat="1" x14ac:dyDescent="0.2"/>
    <row r="1162" s="689" customFormat="1" x14ac:dyDescent="0.2"/>
    <row r="1163" s="689" customFormat="1" x14ac:dyDescent="0.2"/>
    <row r="1164" s="689" customFormat="1" x14ac:dyDescent="0.2"/>
    <row r="1165" s="689" customFormat="1" x14ac:dyDescent="0.2"/>
    <row r="1166" s="689" customFormat="1" x14ac:dyDescent="0.2"/>
    <row r="1167" s="689" customFormat="1" x14ac:dyDescent="0.2"/>
    <row r="1168" s="689" customFormat="1" x14ac:dyDescent="0.2"/>
    <row r="1169" s="689" customFormat="1" x14ac:dyDescent="0.2"/>
    <row r="1170" s="689" customFormat="1" x14ac:dyDescent="0.2"/>
    <row r="1171" s="689" customFormat="1" x14ac:dyDescent="0.2"/>
    <row r="1172" s="689" customFormat="1" x14ac:dyDescent="0.2"/>
    <row r="1173" s="689" customFormat="1" x14ac:dyDescent="0.2"/>
    <row r="1174" s="689" customFormat="1" x14ac:dyDescent="0.2"/>
    <row r="1175" s="689" customFormat="1" x14ac:dyDescent="0.2"/>
    <row r="1176" s="689" customFormat="1" x14ac:dyDescent="0.2"/>
    <row r="1177" s="689" customFormat="1" x14ac:dyDescent="0.2"/>
    <row r="1178" s="689" customFormat="1" x14ac:dyDescent="0.2"/>
    <row r="1179" s="689" customFormat="1" x14ac:dyDescent="0.2"/>
    <row r="1180" s="689" customFormat="1" x14ac:dyDescent="0.2"/>
    <row r="1181" s="689" customFormat="1" x14ac:dyDescent="0.2"/>
    <row r="1182" s="689" customFormat="1" x14ac:dyDescent="0.2"/>
    <row r="1183" s="689" customFormat="1" x14ac:dyDescent="0.2"/>
    <row r="1184" s="689" customFormat="1" x14ac:dyDescent="0.2"/>
    <row r="1185" s="689" customFormat="1" x14ac:dyDescent="0.2"/>
    <row r="1186" s="689" customFormat="1" x14ac:dyDescent="0.2"/>
    <row r="1187" s="689" customFormat="1" x14ac:dyDescent="0.2"/>
    <row r="1188" s="689" customFormat="1" x14ac:dyDescent="0.2"/>
    <row r="1189" s="689" customFormat="1" x14ac:dyDescent="0.2"/>
    <row r="1190" s="689" customFormat="1" x14ac:dyDescent="0.2"/>
    <row r="1191" s="689" customFormat="1" x14ac:dyDescent="0.2"/>
    <row r="1192" s="689" customFormat="1" x14ac:dyDescent="0.2"/>
    <row r="1193" s="689" customFormat="1" x14ac:dyDescent="0.2"/>
    <row r="1194" s="689" customFormat="1" x14ac:dyDescent="0.2"/>
    <row r="1195" s="689" customFormat="1" x14ac:dyDescent="0.2"/>
    <row r="1196" s="689" customFormat="1" x14ac:dyDescent="0.2"/>
    <row r="1197" s="689" customFormat="1" x14ac:dyDescent="0.2"/>
    <row r="1198" s="689" customFormat="1" x14ac:dyDescent="0.2"/>
    <row r="1199" s="689" customFormat="1" x14ac:dyDescent="0.2"/>
    <row r="1200" s="689" customFormat="1" x14ac:dyDescent="0.2"/>
    <row r="1201" s="689" customFormat="1" x14ac:dyDescent="0.2"/>
    <row r="1202" s="689" customFormat="1" x14ac:dyDescent="0.2"/>
    <row r="1203" s="689" customFormat="1" x14ac:dyDescent="0.2"/>
    <row r="1204" s="689" customFormat="1" x14ac:dyDescent="0.2"/>
    <row r="1205" s="689" customFormat="1" x14ac:dyDescent="0.2"/>
    <row r="1206" s="689" customFormat="1" x14ac:dyDescent="0.2"/>
    <row r="1207" s="689" customFormat="1" x14ac:dyDescent="0.2"/>
    <row r="1208" s="689" customFormat="1" x14ac:dyDescent="0.2"/>
    <row r="1209" s="689" customFormat="1" x14ac:dyDescent="0.2"/>
    <row r="1210" s="689" customFormat="1" x14ac:dyDescent="0.2"/>
    <row r="1211" s="689" customFormat="1" x14ac:dyDescent="0.2"/>
    <row r="1212" s="689" customFormat="1" x14ac:dyDescent="0.2"/>
    <row r="1213" s="689" customFormat="1" x14ac:dyDescent="0.2"/>
    <row r="1214" s="689" customFormat="1" x14ac:dyDescent="0.2"/>
    <row r="1215" s="689" customFormat="1" x14ac:dyDescent="0.2"/>
    <row r="1216" s="689" customFormat="1" x14ac:dyDescent="0.2"/>
    <row r="1217" s="689" customFormat="1" x14ac:dyDescent="0.2"/>
    <row r="1218" s="689" customFormat="1" x14ac:dyDescent="0.2"/>
    <row r="1219" s="689" customFormat="1" x14ac:dyDescent="0.2"/>
    <row r="1220" s="689" customFormat="1" x14ac:dyDescent="0.2"/>
    <row r="1221" s="689" customFormat="1" x14ac:dyDescent="0.2"/>
    <row r="1222" s="689" customFormat="1" x14ac:dyDescent="0.2"/>
    <row r="1223" s="689" customFormat="1" x14ac:dyDescent="0.2"/>
    <row r="1224" s="689" customFormat="1" x14ac:dyDescent="0.2"/>
    <row r="1225" s="689" customFormat="1" x14ac:dyDescent="0.2"/>
    <row r="1226" s="689" customFormat="1" x14ac:dyDescent="0.2"/>
    <row r="1227" s="689" customFormat="1" x14ac:dyDescent="0.2"/>
    <row r="1228" s="689" customFormat="1" x14ac:dyDescent="0.2"/>
    <row r="1229" s="689" customFormat="1" x14ac:dyDescent="0.2"/>
    <row r="1230" s="689" customFormat="1" x14ac:dyDescent="0.2"/>
    <row r="1231" s="689" customFormat="1" x14ac:dyDescent="0.2"/>
    <row r="1232" s="689" customFormat="1" x14ac:dyDescent="0.2"/>
    <row r="1233" s="689" customFormat="1" x14ac:dyDescent="0.2"/>
    <row r="1234" s="689" customFormat="1" x14ac:dyDescent="0.2"/>
    <row r="1235" s="689" customFormat="1" x14ac:dyDescent="0.2"/>
    <row r="1236" s="689" customFormat="1" x14ac:dyDescent="0.2"/>
    <row r="1237" s="689" customFormat="1" x14ac:dyDescent="0.2"/>
    <row r="1238" s="689" customFormat="1" x14ac:dyDescent="0.2"/>
    <row r="1239" s="689" customFormat="1" x14ac:dyDescent="0.2"/>
    <row r="1240" s="689" customFormat="1" x14ac:dyDescent="0.2"/>
    <row r="1241" s="689" customFormat="1" x14ac:dyDescent="0.2"/>
    <row r="1242" s="689" customFormat="1" x14ac:dyDescent="0.2"/>
    <row r="1243" s="689" customFormat="1" x14ac:dyDescent="0.2"/>
    <row r="1244" s="689" customFormat="1" x14ac:dyDescent="0.2"/>
    <row r="1245" s="689" customFormat="1" x14ac:dyDescent="0.2"/>
    <row r="1246" s="689" customFormat="1" x14ac:dyDescent="0.2"/>
    <row r="1247" s="689" customFormat="1" x14ac:dyDescent="0.2"/>
    <row r="1248" s="689" customFormat="1" x14ac:dyDescent="0.2"/>
    <row r="1249" s="689" customFormat="1" x14ac:dyDescent="0.2"/>
    <row r="1250" s="689" customFormat="1" x14ac:dyDescent="0.2"/>
    <row r="1251" s="689" customFormat="1" x14ac:dyDescent="0.2"/>
    <row r="1252" s="689" customFormat="1" x14ac:dyDescent="0.2"/>
    <row r="1253" s="689" customFormat="1" x14ac:dyDescent="0.2"/>
    <row r="1254" s="689" customFormat="1" x14ac:dyDescent="0.2"/>
    <row r="1255" s="689" customFormat="1" x14ac:dyDescent="0.2"/>
    <row r="1256" s="689" customFormat="1" x14ac:dyDescent="0.2"/>
    <row r="1257" s="689" customFormat="1" x14ac:dyDescent="0.2"/>
    <row r="1258" s="689" customFormat="1" x14ac:dyDescent="0.2"/>
    <row r="1259" s="689" customFormat="1" x14ac:dyDescent="0.2"/>
    <row r="1260" s="689" customFormat="1" x14ac:dyDescent="0.2"/>
    <row r="1261" s="689" customFormat="1" x14ac:dyDescent="0.2"/>
    <row r="1262" s="689" customFormat="1" x14ac:dyDescent="0.2"/>
    <row r="1263" s="689" customFormat="1" x14ac:dyDescent="0.2"/>
    <row r="1264" s="689" customFormat="1" x14ac:dyDescent="0.2"/>
    <row r="1265" s="689" customFormat="1" x14ac:dyDescent="0.2"/>
    <row r="1266" s="689" customFormat="1" x14ac:dyDescent="0.2"/>
    <row r="1267" s="689" customFormat="1" x14ac:dyDescent="0.2"/>
    <row r="1268" s="689" customFormat="1" x14ac:dyDescent="0.2"/>
    <row r="1269" s="689" customFormat="1" x14ac:dyDescent="0.2"/>
    <row r="1270" s="689" customFormat="1" x14ac:dyDescent="0.2"/>
    <row r="1271" s="689" customFormat="1" x14ac:dyDescent="0.2"/>
    <row r="1272" s="689" customFormat="1" x14ac:dyDescent="0.2"/>
    <row r="1273" s="689" customFormat="1" x14ac:dyDescent="0.2"/>
    <row r="1274" s="689" customFormat="1" x14ac:dyDescent="0.2"/>
    <row r="1275" s="689" customFormat="1" x14ac:dyDescent="0.2"/>
    <row r="1276" s="689" customFormat="1" x14ac:dyDescent="0.2"/>
    <row r="1277" s="689" customFormat="1" x14ac:dyDescent="0.2"/>
    <row r="1278" s="689" customFormat="1" x14ac:dyDescent="0.2"/>
    <row r="1279" s="689" customFormat="1" x14ac:dyDescent="0.2"/>
    <row r="1280" s="689" customFormat="1" x14ac:dyDescent="0.2"/>
    <row r="1281" s="689" customFormat="1" x14ac:dyDescent="0.2"/>
    <row r="1282" s="689" customFormat="1" x14ac:dyDescent="0.2"/>
    <row r="1283" s="689" customFormat="1" x14ac:dyDescent="0.2"/>
    <row r="1284" s="689" customFormat="1" x14ac:dyDescent="0.2"/>
    <row r="1285" s="689" customFormat="1" x14ac:dyDescent="0.2"/>
    <row r="1286" s="689" customFormat="1" x14ac:dyDescent="0.2"/>
    <row r="1287" s="689" customFormat="1" x14ac:dyDescent="0.2"/>
    <row r="1288" s="689" customFormat="1" x14ac:dyDescent="0.2"/>
    <row r="1289" s="689" customFormat="1" x14ac:dyDescent="0.2"/>
    <row r="1290" s="689" customFormat="1" x14ac:dyDescent="0.2"/>
    <row r="1291" s="689" customFormat="1" x14ac:dyDescent="0.2"/>
    <row r="1292" s="689" customFormat="1" x14ac:dyDescent="0.2"/>
    <row r="1293" s="689" customFormat="1" x14ac:dyDescent="0.2"/>
    <row r="1294" s="689" customFormat="1" x14ac:dyDescent="0.2"/>
    <row r="1295" s="689" customFormat="1" x14ac:dyDescent="0.2"/>
    <row r="1296" s="689" customFormat="1" x14ac:dyDescent="0.2"/>
    <row r="1297" s="689" customFormat="1" x14ac:dyDescent="0.2"/>
    <row r="1298" s="689" customFormat="1" x14ac:dyDescent="0.2"/>
    <row r="1299" s="689" customFormat="1" x14ac:dyDescent="0.2"/>
    <row r="1300" s="689" customFormat="1" x14ac:dyDescent="0.2"/>
    <row r="1301" s="689" customFormat="1" x14ac:dyDescent="0.2"/>
    <row r="1302" s="689" customFormat="1" x14ac:dyDescent="0.2"/>
    <row r="1303" s="689" customFormat="1" x14ac:dyDescent="0.2"/>
    <row r="1304" s="689" customFormat="1" x14ac:dyDescent="0.2"/>
    <row r="1305" s="689" customFormat="1" x14ac:dyDescent="0.2"/>
    <row r="1306" s="689" customFormat="1" x14ac:dyDescent="0.2"/>
    <row r="1307" s="689" customFormat="1" x14ac:dyDescent="0.2"/>
    <row r="1308" s="689" customFormat="1" x14ac:dyDescent="0.2"/>
    <row r="1309" s="689" customFormat="1" x14ac:dyDescent="0.2"/>
    <row r="1310" s="689" customFormat="1" x14ac:dyDescent="0.2"/>
    <row r="1311" s="689" customFormat="1" x14ac:dyDescent="0.2"/>
    <row r="1312" s="689" customFormat="1" x14ac:dyDescent="0.2"/>
    <row r="1313" s="689" customFormat="1" x14ac:dyDescent="0.2"/>
    <row r="1314" s="689" customFormat="1" x14ac:dyDescent="0.2"/>
    <row r="1315" s="689" customFormat="1" x14ac:dyDescent="0.2"/>
    <row r="1316" s="689" customFormat="1" x14ac:dyDescent="0.2"/>
    <row r="1317" s="689" customFormat="1" x14ac:dyDescent="0.2"/>
    <row r="1318" s="689" customFormat="1" x14ac:dyDescent="0.2"/>
    <row r="1319" s="689" customFormat="1" x14ac:dyDescent="0.2"/>
    <row r="1320" s="689" customFormat="1" x14ac:dyDescent="0.2"/>
    <row r="1321" s="689" customFormat="1" x14ac:dyDescent="0.2"/>
    <row r="1322" s="689" customFormat="1" x14ac:dyDescent="0.2"/>
    <row r="1323" s="689" customFormat="1" x14ac:dyDescent="0.2"/>
    <row r="1324" s="689" customFormat="1" x14ac:dyDescent="0.2"/>
    <row r="1325" s="689" customFormat="1" x14ac:dyDescent="0.2"/>
    <row r="1326" s="689" customFormat="1" x14ac:dyDescent="0.2"/>
    <row r="1327" s="689" customFormat="1" x14ac:dyDescent="0.2"/>
    <row r="1328" s="689" customFormat="1" x14ac:dyDescent="0.2"/>
    <row r="1329" s="689" customFormat="1" x14ac:dyDescent="0.2"/>
    <row r="1330" s="689" customFormat="1" x14ac:dyDescent="0.2"/>
    <row r="1331" s="689" customFormat="1" x14ac:dyDescent="0.2"/>
    <row r="1332" s="689" customFormat="1" x14ac:dyDescent="0.2"/>
    <row r="1333" s="689" customFormat="1" x14ac:dyDescent="0.2"/>
    <row r="1334" s="689" customFormat="1" x14ac:dyDescent="0.2"/>
    <row r="1335" s="689" customFormat="1" x14ac:dyDescent="0.2"/>
    <row r="1336" s="689" customFormat="1" x14ac:dyDescent="0.2"/>
    <row r="1337" s="689" customFormat="1" x14ac:dyDescent="0.2"/>
    <row r="1338" s="689" customFormat="1" x14ac:dyDescent="0.2"/>
    <row r="1339" s="689" customFormat="1" x14ac:dyDescent="0.2"/>
    <row r="1340" s="689" customFormat="1" x14ac:dyDescent="0.2"/>
    <row r="1341" s="689" customFormat="1" x14ac:dyDescent="0.2"/>
    <row r="1342" s="689" customFormat="1" x14ac:dyDescent="0.2"/>
    <row r="1343" s="689" customFormat="1" x14ac:dyDescent="0.2"/>
    <row r="1344" s="689" customFormat="1" x14ac:dyDescent="0.2"/>
    <row r="1345" s="689" customFormat="1" x14ac:dyDescent="0.2"/>
    <row r="1346" s="689" customFormat="1" x14ac:dyDescent="0.2"/>
    <row r="1347" s="689" customFormat="1" x14ac:dyDescent="0.2"/>
    <row r="1348" s="689" customFormat="1" x14ac:dyDescent="0.2"/>
    <row r="1349" s="689" customFormat="1" x14ac:dyDescent="0.2"/>
    <row r="1350" s="689" customFormat="1" x14ac:dyDescent="0.2"/>
    <row r="1351" s="689" customFormat="1" x14ac:dyDescent="0.2"/>
    <row r="1352" s="689" customFormat="1" x14ac:dyDescent="0.2"/>
    <row r="1353" s="689" customFormat="1" x14ac:dyDescent="0.2"/>
    <row r="1354" s="689" customFormat="1" x14ac:dyDescent="0.2"/>
    <row r="1355" s="689" customFormat="1" x14ac:dyDescent="0.2"/>
    <row r="1356" s="689" customFormat="1" x14ac:dyDescent="0.2"/>
    <row r="1357" s="689" customFormat="1" x14ac:dyDescent="0.2"/>
    <row r="1358" s="689" customFormat="1" x14ac:dyDescent="0.2"/>
    <row r="1359" s="689" customFormat="1" x14ac:dyDescent="0.2"/>
    <row r="1360" s="689" customFormat="1" x14ac:dyDescent="0.2"/>
    <row r="1361" s="689" customFormat="1" x14ac:dyDescent="0.2"/>
    <row r="1362" s="689" customFormat="1" x14ac:dyDescent="0.2"/>
    <row r="1363" s="689" customFormat="1" x14ac:dyDescent="0.2"/>
    <row r="1364" s="689" customFormat="1" x14ac:dyDescent="0.2"/>
    <row r="1365" s="689" customFormat="1" x14ac:dyDescent="0.2"/>
    <row r="1366" s="689" customFormat="1" x14ac:dyDescent="0.2"/>
    <row r="1367" s="689" customFormat="1" x14ac:dyDescent="0.2"/>
    <row r="1368" s="689" customFormat="1" x14ac:dyDescent="0.2"/>
    <row r="1369" s="689" customFormat="1" x14ac:dyDescent="0.2"/>
    <row r="1370" s="689" customFormat="1" x14ac:dyDescent="0.2"/>
    <row r="1371" s="689" customFormat="1" x14ac:dyDescent="0.2"/>
    <row r="1372" s="689" customFormat="1" x14ac:dyDescent="0.2"/>
    <row r="1373" s="689" customFormat="1" x14ac:dyDescent="0.2"/>
    <row r="1374" s="689" customFormat="1" x14ac:dyDescent="0.2"/>
    <row r="1375" s="689" customFormat="1" x14ac:dyDescent="0.2"/>
    <row r="1376" s="689" customFormat="1" x14ac:dyDescent="0.2"/>
    <row r="1377" s="689" customFormat="1" x14ac:dyDescent="0.2"/>
    <row r="1378" s="689" customFormat="1" x14ac:dyDescent="0.2"/>
    <row r="1379" s="689" customFormat="1" x14ac:dyDescent="0.2"/>
    <row r="1380" s="689" customFormat="1" x14ac:dyDescent="0.2"/>
    <row r="1381" s="689" customFormat="1" x14ac:dyDescent="0.2"/>
    <row r="1382" s="689" customFormat="1" x14ac:dyDescent="0.2"/>
    <row r="1383" s="689" customFormat="1" x14ac:dyDescent="0.2"/>
    <row r="1384" s="689" customFormat="1" x14ac:dyDescent="0.2"/>
    <row r="1385" s="689" customFormat="1" x14ac:dyDescent="0.2"/>
    <row r="1386" s="689" customFormat="1" x14ac:dyDescent="0.2"/>
    <row r="1387" s="689" customFormat="1" x14ac:dyDescent="0.2"/>
    <row r="1388" s="689" customFormat="1" x14ac:dyDescent="0.2"/>
    <row r="1389" s="689" customFormat="1" x14ac:dyDescent="0.2"/>
    <row r="1390" s="689" customFormat="1" x14ac:dyDescent="0.2"/>
    <row r="1391" s="689" customFormat="1" x14ac:dyDescent="0.2"/>
    <row r="1392" s="689" customFormat="1" x14ac:dyDescent="0.2"/>
    <row r="1393" s="689" customFormat="1" x14ac:dyDescent="0.2"/>
    <row r="1394" s="689" customFormat="1" x14ac:dyDescent="0.2"/>
    <row r="1395" s="689" customFormat="1" x14ac:dyDescent="0.2"/>
    <row r="1396" s="689" customFormat="1" x14ac:dyDescent="0.2"/>
    <row r="1397" s="689" customFormat="1" x14ac:dyDescent="0.2"/>
    <row r="1398" s="689" customFormat="1" x14ac:dyDescent="0.2"/>
    <row r="1399" s="689" customFormat="1" x14ac:dyDescent="0.2"/>
    <row r="1400" s="689" customFormat="1" x14ac:dyDescent="0.2"/>
    <row r="1401" s="689" customFormat="1" x14ac:dyDescent="0.2"/>
    <row r="1402" s="689" customFormat="1" x14ac:dyDescent="0.2"/>
    <row r="1403" s="689" customFormat="1" x14ac:dyDescent="0.2"/>
    <row r="1404" s="689" customFormat="1" x14ac:dyDescent="0.2"/>
    <row r="1405" s="689" customFormat="1" x14ac:dyDescent="0.2"/>
    <row r="1406" s="689" customFormat="1" x14ac:dyDescent="0.2"/>
    <row r="1407" s="689" customFormat="1" x14ac:dyDescent="0.2"/>
    <row r="1408" s="689" customFormat="1" x14ac:dyDescent="0.2"/>
    <row r="1409" s="689" customFormat="1" x14ac:dyDescent="0.2"/>
    <row r="1410" s="689" customFormat="1" x14ac:dyDescent="0.2"/>
    <row r="1411" s="689" customFormat="1" x14ac:dyDescent="0.2"/>
    <row r="1412" s="689" customFormat="1" x14ac:dyDescent="0.2"/>
    <row r="1413" s="689" customFormat="1" x14ac:dyDescent="0.2"/>
    <row r="1414" s="689" customFormat="1" x14ac:dyDescent="0.2"/>
    <row r="1415" s="689" customFormat="1" x14ac:dyDescent="0.2"/>
    <row r="1416" s="689" customFormat="1" x14ac:dyDescent="0.2"/>
    <row r="1417" s="689" customFormat="1" x14ac:dyDescent="0.2"/>
    <row r="1418" s="689" customFormat="1" x14ac:dyDescent="0.2"/>
    <row r="1419" s="689" customFormat="1" x14ac:dyDescent="0.2"/>
    <row r="1420" s="689" customFormat="1" x14ac:dyDescent="0.2"/>
    <row r="1421" s="689" customFormat="1" x14ac:dyDescent="0.2"/>
    <row r="1422" s="689" customFormat="1" x14ac:dyDescent="0.2"/>
    <row r="1423" s="689" customFormat="1" x14ac:dyDescent="0.2"/>
    <row r="1424" s="689" customFormat="1" x14ac:dyDescent="0.2"/>
    <row r="1425" s="689" customFormat="1" x14ac:dyDescent="0.2"/>
    <row r="1426" s="689" customFormat="1" x14ac:dyDescent="0.2"/>
    <row r="1427" s="689" customFormat="1" x14ac:dyDescent="0.2"/>
    <row r="1428" s="689" customFormat="1" x14ac:dyDescent="0.2"/>
    <row r="1429" s="689" customFormat="1" x14ac:dyDescent="0.2"/>
    <row r="1430" s="689" customFormat="1" x14ac:dyDescent="0.2"/>
    <row r="1431" s="689" customFormat="1" x14ac:dyDescent="0.2"/>
    <row r="1432" s="689" customFormat="1" x14ac:dyDescent="0.2"/>
    <row r="1433" s="689" customFormat="1" x14ac:dyDescent="0.2"/>
    <row r="1434" s="689" customFormat="1" x14ac:dyDescent="0.2"/>
    <row r="1435" s="689" customFormat="1" x14ac:dyDescent="0.2"/>
    <row r="1436" s="689" customFormat="1" x14ac:dyDescent="0.2"/>
    <row r="1437" s="689" customFormat="1" x14ac:dyDescent="0.2"/>
    <row r="1438" s="689" customFormat="1" x14ac:dyDescent="0.2"/>
    <row r="1439" s="689" customFormat="1" x14ac:dyDescent="0.2"/>
    <row r="1440" s="689" customFormat="1" x14ac:dyDescent="0.2"/>
    <row r="1441" s="689" customFormat="1" x14ac:dyDescent="0.2"/>
    <row r="1442" s="689" customFormat="1" x14ac:dyDescent="0.2"/>
    <row r="1443" s="689" customFormat="1" x14ac:dyDescent="0.2"/>
    <row r="1444" s="689" customFormat="1" x14ac:dyDescent="0.2"/>
    <row r="1445" s="689" customFormat="1" x14ac:dyDescent="0.2"/>
    <row r="1446" s="689" customFormat="1" x14ac:dyDescent="0.2"/>
    <row r="1447" s="689" customFormat="1" x14ac:dyDescent="0.2"/>
    <row r="1448" s="689" customFormat="1" x14ac:dyDescent="0.2"/>
    <row r="1449" s="689" customFormat="1" x14ac:dyDescent="0.2"/>
    <row r="1450" s="689" customFormat="1" x14ac:dyDescent="0.2"/>
    <row r="1451" s="689" customFormat="1" x14ac:dyDescent="0.2"/>
    <row r="1452" s="689" customFormat="1" x14ac:dyDescent="0.2"/>
    <row r="1453" s="689" customFormat="1" x14ac:dyDescent="0.2"/>
    <row r="1454" s="689" customFormat="1" x14ac:dyDescent="0.2"/>
    <row r="1455" s="689" customFormat="1" x14ac:dyDescent="0.2"/>
    <row r="1456" s="689" customFormat="1" x14ac:dyDescent="0.2"/>
    <row r="1457" s="689" customFormat="1" x14ac:dyDescent="0.2"/>
    <row r="1458" s="689" customFormat="1" x14ac:dyDescent="0.2"/>
    <row r="1459" s="689" customFormat="1" x14ac:dyDescent="0.2"/>
    <row r="1460" s="689" customFormat="1" x14ac:dyDescent="0.2"/>
    <row r="1461" s="689" customFormat="1" x14ac:dyDescent="0.2"/>
    <row r="1462" s="689" customFormat="1" x14ac:dyDescent="0.2"/>
    <row r="1463" s="689" customFormat="1" x14ac:dyDescent="0.2"/>
    <row r="1464" s="689" customFormat="1" x14ac:dyDescent="0.2"/>
    <row r="1465" s="689" customFormat="1" x14ac:dyDescent="0.2"/>
    <row r="1466" s="689" customFormat="1" x14ac:dyDescent="0.2"/>
    <row r="1467" s="689" customFormat="1" x14ac:dyDescent="0.2"/>
    <row r="1468" s="689" customFormat="1" x14ac:dyDescent="0.2"/>
    <row r="1469" s="689" customFormat="1" x14ac:dyDescent="0.2"/>
    <row r="1470" s="689" customFormat="1" x14ac:dyDescent="0.2"/>
    <row r="1471" s="689" customFormat="1" x14ac:dyDescent="0.2"/>
    <row r="1472" s="689" customFormat="1" x14ac:dyDescent="0.2"/>
    <row r="1473" s="689" customFormat="1" x14ac:dyDescent="0.2"/>
    <row r="1474" s="689" customFormat="1" x14ac:dyDescent="0.2"/>
    <row r="1475" s="689" customFormat="1" x14ac:dyDescent="0.2"/>
    <row r="1476" s="689" customFormat="1" x14ac:dyDescent="0.2"/>
    <row r="1477" s="689" customFormat="1" x14ac:dyDescent="0.2"/>
    <row r="1478" s="689" customFormat="1" x14ac:dyDescent="0.2"/>
    <row r="1479" s="689" customFormat="1" x14ac:dyDescent="0.2"/>
    <row r="1480" s="689" customFormat="1" x14ac:dyDescent="0.2"/>
    <row r="1481" s="689" customFormat="1" x14ac:dyDescent="0.2"/>
    <row r="1482" s="689" customFormat="1" x14ac:dyDescent="0.2"/>
    <row r="1483" s="689" customFormat="1" x14ac:dyDescent="0.2"/>
    <row r="1484" s="689" customFormat="1" x14ac:dyDescent="0.2"/>
    <row r="1485" s="689" customFormat="1" x14ac:dyDescent="0.2"/>
    <row r="1486" s="689" customFormat="1" x14ac:dyDescent="0.2"/>
    <row r="1487" s="689" customFormat="1" x14ac:dyDescent="0.2"/>
    <row r="1488" s="689" customFormat="1" x14ac:dyDescent="0.2"/>
    <row r="1489" s="689" customFormat="1" x14ac:dyDescent="0.2"/>
    <row r="1490" s="689" customFormat="1" x14ac:dyDescent="0.2"/>
    <row r="1491" s="689" customFormat="1" x14ac:dyDescent="0.2"/>
    <row r="1492" s="689" customFormat="1" x14ac:dyDescent="0.2"/>
    <row r="1493" s="689" customFormat="1" x14ac:dyDescent="0.2"/>
    <row r="1494" s="689" customFormat="1" x14ac:dyDescent="0.2"/>
    <row r="1495" s="689" customFormat="1" x14ac:dyDescent="0.2"/>
    <row r="1496" s="689" customFormat="1" x14ac:dyDescent="0.2"/>
    <row r="1497" s="689" customFormat="1" x14ac:dyDescent="0.2"/>
    <row r="1498" s="689" customFormat="1" x14ac:dyDescent="0.2"/>
    <row r="1499" s="689" customFormat="1" x14ac:dyDescent="0.2"/>
    <row r="1500" s="689" customFormat="1" x14ac:dyDescent="0.2"/>
    <row r="1501" s="689" customFormat="1" x14ac:dyDescent="0.2"/>
    <row r="1502" s="689" customFormat="1" x14ac:dyDescent="0.2"/>
    <row r="1503" s="689" customFormat="1" x14ac:dyDescent="0.2"/>
    <row r="1504" s="689" customFormat="1" x14ac:dyDescent="0.2"/>
    <row r="1505" s="689" customFormat="1" x14ac:dyDescent="0.2"/>
    <row r="1506" s="689" customFormat="1" x14ac:dyDescent="0.2"/>
    <row r="1507" s="689" customFormat="1" x14ac:dyDescent="0.2"/>
    <row r="1508" s="689" customFormat="1" x14ac:dyDescent="0.2"/>
    <row r="1509" s="689" customFormat="1" x14ac:dyDescent="0.2"/>
    <row r="1510" s="689" customFormat="1" x14ac:dyDescent="0.2"/>
    <row r="1511" s="689" customFormat="1" x14ac:dyDescent="0.2"/>
    <row r="1512" s="689" customFormat="1" x14ac:dyDescent="0.2"/>
    <row r="1513" s="689" customFormat="1" x14ac:dyDescent="0.2"/>
    <row r="1514" s="689" customFormat="1" x14ac:dyDescent="0.2"/>
    <row r="1515" s="689" customFormat="1" x14ac:dyDescent="0.2"/>
    <row r="1516" s="689" customFormat="1" x14ac:dyDescent="0.2"/>
    <row r="1517" s="689" customFormat="1" x14ac:dyDescent="0.2"/>
    <row r="1518" s="689" customFormat="1" x14ac:dyDescent="0.2"/>
    <row r="1519" s="689" customFormat="1" x14ac:dyDescent="0.2"/>
    <row r="1520" s="689" customFormat="1" x14ac:dyDescent="0.2"/>
    <row r="1521" s="689" customFormat="1" x14ac:dyDescent="0.2"/>
    <row r="1522" s="689" customFormat="1" x14ac:dyDescent="0.2"/>
    <row r="1523" s="689" customFormat="1" x14ac:dyDescent="0.2"/>
    <row r="1524" s="689" customFormat="1" x14ac:dyDescent="0.2"/>
    <row r="1525" s="689" customFormat="1" x14ac:dyDescent="0.2"/>
    <row r="1526" s="689" customFormat="1" x14ac:dyDescent="0.2"/>
    <row r="1527" s="689" customFormat="1" x14ac:dyDescent="0.2"/>
    <row r="1528" s="689" customFormat="1" x14ac:dyDescent="0.2"/>
    <row r="1529" s="689" customFormat="1" x14ac:dyDescent="0.2"/>
    <row r="1530" s="689" customFormat="1" x14ac:dyDescent="0.2"/>
    <row r="1531" s="689" customFormat="1" x14ac:dyDescent="0.2"/>
    <row r="1532" s="689" customFormat="1" x14ac:dyDescent="0.2"/>
    <row r="1533" s="689" customFormat="1" x14ac:dyDescent="0.2"/>
    <row r="1534" s="689" customFormat="1" x14ac:dyDescent="0.2"/>
    <row r="1535" s="689" customFormat="1" x14ac:dyDescent="0.2"/>
    <row r="1536" s="689" customFormat="1" x14ac:dyDescent="0.2"/>
    <row r="1537" s="689" customFormat="1" x14ac:dyDescent="0.2"/>
    <row r="1538" s="689" customFormat="1" x14ac:dyDescent="0.2"/>
    <row r="1539" s="689" customFormat="1" x14ac:dyDescent="0.2"/>
    <row r="1540" s="689" customFormat="1" x14ac:dyDescent="0.2"/>
    <row r="1541" s="689" customFormat="1" x14ac:dyDescent="0.2"/>
    <row r="1542" s="689" customFormat="1" x14ac:dyDescent="0.2"/>
    <row r="1543" s="689" customFormat="1" x14ac:dyDescent="0.2"/>
    <row r="1544" s="689" customFormat="1" x14ac:dyDescent="0.2"/>
    <row r="1545" s="689" customFormat="1" x14ac:dyDescent="0.2"/>
    <row r="1546" s="689" customFormat="1" x14ac:dyDescent="0.2"/>
    <row r="1547" s="689" customFormat="1" x14ac:dyDescent="0.2"/>
    <row r="1548" s="689" customFormat="1" x14ac:dyDescent="0.2"/>
    <row r="1549" s="689" customFormat="1" x14ac:dyDescent="0.2"/>
    <row r="1550" s="689" customFormat="1" x14ac:dyDescent="0.2"/>
    <row r="1551" s="689" customFormat="1" x14ac:dyDescent="0.2"/>
    <row r="1552" s="689" customFormat="1" x14ac:dyDescent="0.2"/>
    <row r="1553" s="689" customFormat="1" x14ac:dyDescent="0.2"/>
    <row r="1554" s="689" customFormat="1" x14ac:dyDescent="0.2"/>
    <row r="1555" s="689" customFormat="1" x14ac:dyDescent="0.2"/>
    <row r="1556" s="689" customFormat="1" x14ac:dyDescent="0.2"/>
    <row r="1557" s="689" customFormat="1" x14ac:dyDescent="0.2"/>
    <row r="1558" s="689" customFormat="1" x14ac:dyDescent="0.2"/>
    <row r="1559" s="689" customFormat="1" x14ac:dyDescent="0.2"/>
    <row r="1560" s="689" customFormat="1" x14ac:dyDescent="0.2"/>
    <row r="1561" s="689" customFormat="1" x14ac:dyDescent="0.2"/>
    <row r="1562" s="689" customFormat="1" x14ac:dyDescent="0.2"/>
    <row r="1563" s="689" customFormat="1" x14ac:dyDescent="0.2"/>
    <row r="1564" s="689" customFormat="1" x14ac:dyDescent="0.2"/>
    <row r="1565" s="689" customFormat="1" x14ac:dyDescent="0.2"/>
    <row r="1566" s="689" customFormat="1" x14ac:dyDescent="0.2"/>
    <row r="1567" s="689" customFormat="1" x14ac:dyDescent="0.2"/>
    <row r="1568" s="689" customFormat="1" x14ac:dyDescent="0.2"/>
    <row r="1569" s="689" customFormat="1" x14ac:dyDescent="0.2"/>
    <row r="1570" s="689" customFormat="1" x14ac:dyDescent="0.2"/>
    <row r="1571" s="689" customFormat="1" x14ac:dyDescent="0.2"/>
    <row r="1572" s="689" customFormat="1" x14ac:dyDescent="0.2"/>
    <row r="1573" s="689" customFormat="1" x14ac:dyDescent="0.2"/>
    <row r="1574" s="689" customFormat="1" x14ac:dyDescent="0.2"/>
    <row r="1575" s="689" customFormat="1" x14ac:dyDescent="0.2"/>
    <row r="1576" s="689" customFormat="1" x14ac:dyDescent="0.2"/>
    <row r="1577" s="689" customFormat="1" x14ac:dyDescent="0.2"/>
    <row r="1578" s="689" customFormat="1" x14ac:dyDescent="0.2"/>
    <row r="1579" s="689" customFormat="1" x14ac:dyDescent="0.2"/>
    <row r="1580" s="689" customFormat="1" x14ac:dyDescent="0.2"/>
    <row r="1581" s="689" customFormat="1" x14ac:dyDescent="0.2"/>
    <row r="1582" s="689" customFormat="1" x14ac:dyDescent="0.2"/>
    <row r="1583" s="689" customFormat="1" x14ac:dyDescent="0.2"/>
    <row r="1584" s="689" customFormat="1" x14ac:dyDescent="0.2"/>
    <row r="1585" s="689" customFormat="1" x14ac:dyDescent="0.2"/>
    <row r="1586" s="689" customFormat="1" x14ac:dyDescent="0.2"/>
    <row r="1587" s="689" customFormat="1" x14ac:dyDescent="0.2"/>
    <row r="1588" s="689" customFormat="1" x14ac:dyDescent="0.2"/>
    <row r="1589" s="689" customFormat="1" x14ac:dyDescent="0.2"/>
    <row r="1590" s="689" customFormat="1" x14ac:dyDescent="0.2"/>
    <row r="1591" s="689" customFormat="1" x14ac:dyDescent="0.2"/>
    <row r="1592" s="689" customFormat="1" x14ac:dyDescent="0.2"/>
    <row r="1593" s="689" customFormat="1" x14ac:dyDescent="0.2"/>
    <row r="1594" s="689" customFormat="1" x14ac:dyDescent="0.2"/>
    <row r="1595" s="689" customFormat="1" x14ac:dyDescent="0.2"/>
    <row r="1596" s="689" customFormat="1" x14ac:dyDescent="0.2"/>
    <row r="1597" s="689" customFormat="1" x14ac:dyDescent="0.2"/>
    <row r="1598" s="689" customFormat="1" x14ac:dyDescent="0.2"/>
    <row r="1599" s="689" customFormat="1" x14ac:dyDescent="0.2"/>
    <row r="1600" s="689" customFormat="1" x14ac:dyDescent="0.2"/>
    <row r="1601" s="689" customFormat="1" x14ac:dyDescent="0.2"/>
    <row r="1602" s="689" customFormat="1" x14ac:dyDescent="0.2"/>
    <row r="1603" s="689" customFormat="1" x14ac:dyDescent="0.2"/>
    <row r="1604" s="689" customFormat="1" x14ac:dyDescent="0.2"/>
    <row r="1605" s="689" customFormat="1" x14ac:dyDescent="0.2"/>
    <row r="1606" s="689" customFormat="1" x14ac:dyDescent="0.2"/>
    <row r="1607" s="689" customFormat="1" x14ac:dyDescent="0.2"/>
    <row r="1608" s="689" customFormat="1" x14ac:dyDescent="0.2"/>
    <row r="1609" s="689" customFormat="1" x14ac:dyDescent="0.2"/>
    <row r="1610" s="689" customFormat="1" x14ac:dyDescent="0.2"/>
    <row r="1611" s="689" customFormat="1" x14ac:dyDescent="0.2"/>
    <row r="1612" s="689" customFormat="1" x14ac:dyDescent="0.2"/>
    <row r="1613" s="689" customFormat="1" x14ac:dyDescent="0.2"/>
    <row r="1614" s="689" customFormat="1" x14ac:dyDescent="0.2"/>
    <row r="1615" s="689" customFormat="1" x14ac:dyDescent="0.2"/>
    <row r="1616" s="689" customFormat="1" x14ac:dyDescent="0.2"/>
    <row r="1617" s="689" customFormat="1" x14ac:dyDescent="0.2"/>
    <row r="1618" s="689" customFormat="1" x14ac:dyDescent="0.2"/>
    <row r="1619" s="689" customFormat="1" x14ac:dyDescent="0.2"/>
    <row r="1620" s="689" customFormat="1" x14ac:dyDescent="0.2"/>
    <row r="1621" s="689" customFormat="1" x14ac:dyDescent="0.2"/>
    <row r="1622" s="689" customFormat="1" x14ac:dyDescent="0.2"/>
    <row r="1623" s="689" customFormat="1" x14ac:dyDescent="0.2"/>
    <row r="1624" s="689" customFormat="1" x14ac:dyDescent="0.2"/>
    <row r="1625" s="689" customFormat="1" x14ac:dyDescent="0.2"/>
    <row r="1626" s="689" customFormat="1" x14ac:dyDescent="0.2"/>
    <row r="1627" s="689" customFormat="1" x14ac:dyDescent="0.2"/>
    <row r="1628" s="689" customFormat="1" x14ac:dyDescent="0.2"/>
    <row r="1629" s="689" customFormat="1" x14ac:dyDescent="0.2"/>
    <row r="1630" s="689" customFormat="1" x14ac:dyDescent="0.2"/>
    <row r="1631" s="689" customFormat="1" x14ac:dyDescent="0.2"/>
    <row r="1632" s="689" customFormat="1" x14ac:dyDescent="0.2"/>
    <row r="1633" s="689" customFormat="1" x14ac:dyDescent="0.2"/>
    <row r="1634" s="689" customFormat="1" x14ac:dyDescent="0.2"/>
    <row r="1635" s="689" customFormat="1" x14ac:dyDescent="0.2"/>
    <row r="1636" s="689" customFormat="1" x14ac:dyDescent="0.2"/>
    <row r="1637" s="689" customFormat="1" x14ac:dyDescent="0.2"/>
    <row r="1638" s="689" customFormat="1" x14ac:dyDescent="0.2"/>
    <row r="1639" s="689" customFormat="1" x14ac:dyDescent="0.2"/>
    <row r="1640" s="689" customFormat="1" x14ac:dyDescent="0.2"/>
    <row r="1641" s="689" customFormat="1" x14ac:dyDescent="0.2"/>
    <row r="1642" s="689" customFormat="1" x14ac:dyDescent="0.2"/>
    <row r="1643" s="689" customFormat="1" x14ac:dyDescent="0.2"/>
    <row r="1644" s="689" customFormat="1" x14ac:dyDescent="0.2"/>
    <row r="1645" s="689" customFormat="1" x14ac:dyDescent="0.2"/>
    <row r="1646" s="689" customFormat="1" x14ac:dyDescent="0.2"/>
    <row r="1647" s="689" customFormat="1" x14ac:dyDescent="0.2"/>
    <row r="1648" s="689" customFormat="1" x14ac:dyDescent="0.2"/>
    <row r="1649" s="689" customFormat="1" x14ac:dyDescent="0.2"/>
    <row r="1650" s="689" customFormat="1" x14ac:dyDescent="0.2"/>
    <row r="1651" s="689" customFormat="1" x14ac:dyDescent="0.2"/>
    <row r="1652" s="689" customFormat="1" x14ac:dyDescent="0.2"/>
    <row r="1653" s="689" customFormat="1" x14ac:dyDescent="0.2"/>
    <row r="1654" s="689" customFormat="1" x14ac:dyDescent="0.2"/>
    <row r="1655" s="689" customFormat="1" x14ac:dyDescent="0.2"/>
    <row r="1656" s="689" customFormat="1" x14ac:dyDescent="0.2"/>
    <row r="1657" s="689" customFormat="1" x14ac:dyDescent="0.2"/>
    <row r="1658" s="689" customFormat="1" x14ac:dyDescent="0.2"/>
    <row r="1659" s="689" customFormat="1" x14ac:dyDescent="0.2"/>
    <row r="1660" s="689" customFormat="1" x14ac:dyDescent="0.2"/>
    <row r="1661" s="689" customFormat="1" x14ac:dyDescent="0.2"/>
    <row r="1662" s="689" customFormat="1" x14ac:dyDescent="0.2"/>
    <row r="1663" s="689" customFormat="1" x14ac:dyDescent="0.2"/>
    <row r="1664" s="689" customFormat="1" x14ac:dyDescent="0.2"/>
    <row r="1665" s="689" customFormat="1" x14ac:dyDescent="0.2"/>
    <row r="1666" s="689" customFormat="1" x14ac:dyDescent="0.2"/>
    <row r="1667" s="689" customFormat="1" x14ac:dyDescent="0.2"/>
    <row r="1668" s="689" customFormat="1" x14ac:dyDescent="0.2"/>
    <row r="1669" s="689" customFormat="1" x14ac:dyDescent="0.2"/>
    <row r="1670" s="689" customFormat="1" x14ac:dyDescent="0.2"/>
    <row r="1671" s="689" customFormat="1" x14ac:dyDescent="0.2"/>
    <row r="1672" s="689" customFormat="1" x14ac:dyDescent="0.2"/>
    <row r="1673" s="689" customFormat="1" x14ac:dyDescent="0.2"/>
    <row r="1674" s="689" customFormat="1" x14ac:dyDescent="0.2"/>
    <row r="1675" s="689" customFormat="1" x14ac:dyDescent="0.2"/>
    <row r="1676" s="689" customFormat="1" x14ac:dyDescent="0.2"/>
    <row r="1677" s="689" customFormat="1" x14ac:dyDescent="0.2"/>
    <row r="1678" s="689" customFormat="1" x14ac:dyDescent="0.2"/>
    <row r="1679" s="689" customFormat="1" x14ac:dyDescent="0.2"/>
    <row r="1680" s="689" customFormat="1" x14ac:dyDescent="0.2"/>
    <row r="1681" s="689" customFormat="1" x14ac:dyDescent="0.2"/>
    <row r="1682" s="689" customFormat="1" x14ac:dyDescent="0.2"/>
    <row r="1683" s="689" customFormat="1" x14ac:dyDescent="0.2"/>
    <row r="1684" s="689" customFormat="1" x14ac:dyDescent="0.2"/>
    <row r="1685" s="689" customFormat="1" x14ac:dyDescent="0.2"/>
    <row r="1686" s="689" customFormat="1" x14ac:dyDescent="0.2"/>
    <row r="1687" s="689" customFormat="1" x14ac:dyDescent="0.2"/>
    <row r="1688" s="689" customFormat="1" x14ac:dyDescent="0.2"/>
    <row r="1689" s="689" customFormat="1" x14ac:dyDescent="0.2"/>
    <row r="1690" s="689" customFormat="1" x14ac:dyDescent="0.2"/>
    <row r="1691" s="689" customFormat="1" x14ac:dyDescent="0.2"/>
    <row r="1692" s="689" customFormat="1" x14ac:dyDescent="0.2"/>
    <row r="1693" s="689" customFormat="1" x14ac:dyDescent="0.2"/>
    <row r="1694" s="689" customFormat="1" x14ac:dyDescent="0.2"/>
    <row r="1695" s="689" customFormat="1" x14ac:dyDescent="0.2"/>
    <row r="1696" s="689" customFormat="1" x14ac:dyDescent="0.2"/>
    <row r="1697" s="689" customFormat="1" x14ac:dyDescent="0.2"/>
    <row r="1698" s="689" customFormat="1" x14ac:dyDescent="0.2"/>
    <row r="1699" s="689" customFormat="1" x14ac:dyDescent="0.2"/>
    <row r="1700" s="689" customFormat="1" x14ac:dyDescent="0.2"/>
    <row r="1701" s="689" customFormat="1" x14ac:dyDescent="0.2"/>
    <row r="1702" s="689" customFormat="1" x14ac:dyDescent="0.2"/>
    <row r="1703" s="689" customFormat="1" x14ac:dyDescent="0.2"/>
    <row r="1704" s="689" customFormat="1" x14ac:dyDescent="0.2"/>
    <row r="1705" s="689" customFormat="1" x14ac:dyDescent="0.2"/>
    <row r="1706" s="689" customFormat="1" x14ac:dyDescent="0.2"/>
    <row r="1707" s="689" customFormat="1" x14ac:dyDescent="0.2"/>
    <row r="1708" s="689" customFormat="1" x14ac:dyDescent="0.2"/>
    <row r="1709" s="689" customFormat="1" x14ac:dyDescent="0.2"/>
    <row r="1710" s="689" customFormat="1" x14ac:dyDescent="0.2"/>
    <row r="1711" s="689" customFormat="1" x14ac:dyDescent="0.2"/>
    <row r="1712" s="689" customFormat="1" x14ac:dyDescent="0.2"/>
    <row r="1713" s="689" customFormat="1" x14ac:dyDescent="0.2"/>
    <row r="1714" s="689" customFormat="1" x14ac:dyDescent="0.2"/>
    <row r="1715" s="689" customFormat="1" x14ac:dyDescent="0.2"/>
    <row r="1716" s="689" customFormat="1" x14ac:dyDescent="0.2"/>
    <row r="1717" s="689" customFormat="1" x14ac:dyDescent="0.2"/>
    <row r="1718" s="689" customFormat="1" x14ac:dyDescent="0.2"/>
    <row r="1719" s="689" customFormat="1" x14ac:dyDescent="0.2"/>
    <row r="1720" s="689" customFormat="1" x14ac:dyDescent="0.2"/>
    <row r="1721" s="689" customFormat="1" x14ac:dyDescent="0.2"/>
    <row r="1722" s="689" customFormat="1" x14ac:dyDescent="0.2"/>
    <row r="1723" s="689" customFormat="1" x14ac:dyDescent="0.2"/>
    <row r="1724" s="689" customFormat="1" x14ac:dyDescent="0.2"/>
    <row r="1725" s="689" customFormat="1" x14ac:dyDescent="0.2"/>
    <row r="1726" s="689" customFormat="1" x14ac:dyDescent="0.2"/>
    <row r="1727" s="689" customFormat="1" x14ac:dyDescent="0.2"/>
    <row r="1728" s="689" customFormat="1" x14ac:dyDescent="0.2"/>
    <row r="1729" s="689" customFormat="1" x14ac:dyDescent="0.2"/>
    <row r="1730" s="689" customFormat="1" x14ac:dyDescent="0.2"/>
    <row r="1731" s="689" customFormat="1" x14ac:dyDescent="0.2"/>
    <row r="1732" s="689" customFormat="1" x14ac:dyDescent="0.2"/>
    <row r="1733" s="689" customFormat="1" x14ac:dyDescent="0.2"/>
    <row r="1734" s="689" customFormat="1" x14ac:dyDescent="0.2"/>
    <row r="1735" s="689" customFormat="1" x14ac:dyDescent="0.2"/>
    <row r="1736" s="689" customFormat="1" x14ac:dyDescent="0.2"/>
    <row r="1737" s="689" customFormat="1" x14ac:dyDescent="0.2"/>
    <row r="1738" s="689" customFormat="1" x14ac:dyDescent="0.2"/>
    <row r="1739" s="689" customFormat="1" x14ac:dyDescent="0.2"/>
    <row r="1740" s="689" customFormat="1" x14ac:dyDescent="0.2"/>
    <row r="1741" s="689" customFormat="1" x14ac:dyDescent="0.2"/>
    <row r="1742" s="689" customFormat="1" x14ac:dyDescent="0.2"/>
    <row r="1743" s="689" customFormat="1" x14ac:dyDescent="0.2"/>
    <row r="1744" s="689" customFormat="1" x14ac:dyDescent="0.2"/>
    <row r="1745" s="689" customFormat="1" x14ac:dyDescent="0.2"/>
    <row r="1746" s="689" customFormat="1" x14ac:dyDescent="0.2"/>
    <row r="1747" s="689" customFormat="1" x14ac:dyDescent="0.2"/>
    <row r="1748" s="689" customFormat="1" x14ac:dyDescent="0.2"/>
    <row r="1749" s="689" customFormat="1" x14ac:dyDescent="0.2"/>
    <row r="1750" s="689" customFormat="1" x14ac:dyDescent="0.2"/>
    <row r="1751" s="689" customFormat="1" x14ac:dyDescent="0.2"/>
    <row r="1752" s="689" customFormat="1" x14ac:dyDescent="0.2"/>
    <row r="1753" s="689" customFormat="1" x14ac:dyDescent="0.2"/>
    <row r="1754" s="689" customFormat="1" x14ac:dyDescent="0.2"/>
    <row r="1755" s="689" customFormat="1" x14ac:dyDescent="0.2"/>
    <row r="1756" s="689" customFormat="1" x14ac:dyDescent="0.2"/>
    <row r="1757" s="689" customFormat="1" x14ac:dyDescent="0.2"/>
    <row r="1758" s="689" customFormat="1" x14ac:dyDescent="0.2"/>
    <row r="1759" s="689" customFormat="1" x14ac:dyDescent="0.2"/>
    <row r="1760" s="689" customFormat="1" x14ac:dyDescent="0.2"/>
    <row r="1761" s="689" customFormat="1" x14ac:dyDescent="0.2"/>
    <row r="1762" s="689" customFormat="1" x14ac:dyDescent="0.2"/>
    <row r="1763" s="689" customFormat="1" x14ac:dyDescent="0.2"/>
    <row r="1764" s="689" customFormat="1" x14ac:dyDescent="0.2"/>
    <row r="1765" s="689" customFormat="1" x14ac:dyDescent="0.2"/>
    <row r="1766" s="689" customFormat="1" x14ac:dyDescent="0.2"/>
    <row r="1767" s="689" customFormat="1" x14ac:dyDescent="0.2"/>
    <row r="1768" s="689" customFormat="1" x14ac:dyDescent="0.2"/>
    <row r="1769" s="689" customFormat="1" x14ac:dyDescent="0.2"/>
    <row r="1770" s="689" customFormat="1" x14ac:dyDescent="0.2"/>
    <row r="1771" s="689" customFormat="1" x14ac:dyDescent="0.2"/>
    <row r="1772" s="689" customFormat="1" x14ac:dyDescent="0.2"/>
    <row r="1773" s="689" customFormat="1" x14ac:dyDescent="0.2"/>
    <row r="1774" s="689" customFormat="1" x14ac:dyDescent="0.2"/>
    <row r="1775" s="689" customFormat="1" x14ac:dyDescent="0.2"/>
    <row r="1776" s="689" customFormat="1" x14ac:dyDescent="0.2"/>
    <row r="1777" s="689" customFormat="1" x14ac:dyDescent="0.2"/>
    <row r="1778" s="689" customFormat="1" x14ac:dyDescent="0.2"/>
    <row r="1779" s="689" customFormat="1" x14ac:dyDescent="0.2"/>
    <row r="1780" s="689" customFormat="1" x14ac:dyDescent="0.2"/>
    <row r="1781" s="689" customFormat="1" x14ac:dyDescent="0.2"/>
    <row r="1782" s="689" customFormat="1" x14ac:dyDescent="0.2"/>
    <row r="1783" s="689" customFormat="1" x14ac:dyDescent="0.2"/>
    <row r="1784" s="689" customFormat="1" x14ac:dyDescent="0.2"/>
    <row r="1785" s="689" customFormat="1" x14ac:dyDescent="0.2"/>
    <row r="1786" s="689" customFormat="1" x14ac:dyDescent="0.2"/>
    <row r="1787" s="689" customFormat="1" x14ac:dyDescent="0.2"/>
    <row r="1788" s="689" customFormat="1" x14ac:dyDescent="0.2"/>
    <row r="1789" s="689" customFormat="1" x14ac:dyDescent="0.2"/>
    <row r="1790" s="689" customFormat="1" x14ac:dyDescent="0.2"/>
    <row r="1791" s="689" customFormat="1" x14ac:dyDescent="0.2"/>
    <row r="1792" s="689" customFormat="1" x14ac:dyDescent="0.2"/>
    <row r="1793" s="689" customFormat="1" x14ac:dyDescent="0.2"/>
    <row r="1794" s="689" customFormat="1" x14ac:dyDescent="0.2"/>
    <row r="1795" s="689" customFormat="1" x14ac:dyDescent="0.2"/>
    <row r="1796" s="689" customFormat="1" x14ac:dyDescent="0.2"/>
    <row r="1797" s="689" customFormat="1" x14ac:dyDescent="0.2"/>
    <row r="1798" s="689" customFormat="1" x14ac:dyDescent="0.2"/>
    <row r="1799" s="689" customFormat="1" x14ac:dyDescent="0.2"/>
    <row r="1800" s="689" customFormat="1" x14ac:dyDescent="0.2"/>
    <row r="1801" s="689" customFormat="1" x14ac:dyDescent="0.2"/>
    <row r="1802" s="689" customFormat="1" x14ac:dyDescent="0.2"/>
    <row r="1803" s="689" customFormat="1" x14ac:dyDescent="0.2"/>
    <row r="1804" s="689" customFormat="1" x14ac:dyDescent="0.2"/>
    <row r="1805" s="689" customFormat="1" x14ac:dyDescent="0.2"/>
    <row r="1806" s="689" customFormat="1" x14ac:dyDescent="0.2"/>
    <row r="1807" s="689" customFormat="1" x14ac:dyDescent="0.2"/>
    <row r="1808" s="689" customFormat="1" x14ac:dyDescent="0.2"/>
    <row r="1809" s="689" customFormat="1" x14ac:dyDescent="0.2"/>
    <row r="1810" s="689" customFormat="1" x14ac:dyDescent="0.2"/>
    <row r="1811" s="689" customFormat="1" x14ac:dyDescent="0.2"/>
    <row r="1812" s="689" customFormat="1" x14ac:dyDescent="0.2"/>
    <row r="1813" s="689" customFormat="1" x14ac:dyDescent="0.2"/>
    <row r="1814" s="689" customFormat="1" x14ac:dyDescent="0.2"/>
    <row r="1815" s="689" customFormat="1" x14ac:dyDescent="0.2"/>
    <row r="1816" s="689" customFormat="1" x14ac:dyDescent="0.2"/>
    <row r="1817" s="689" customFormat="1" x14ac:dyDescent="0.2"/>
    <row r="1818" s="689" customFormat="1" x14ac:dyDescent="0.2"/>
    <row r="1819" s="689" customFormat="1" x14ac:dyDescent="0.2"/>
    <row r="1820" s="689" customFormat="1" x14ac:dyDescent="0.2"/>
    <row r="1821" s="689" customFormat="1" x14ac:dyDescent="0.2"/>
    <row r="1822" s="689" customFormat="1" x14ac:dyDescent="0.2"/>
    <row r="1823" s="689" customFormat="1" x14ac:dyDescent="0.2"/>
    <row r="1824" s="689" customFormat="1" x14ac:dyDescent="0.2"/>
    <row r="1825" s="689" customFormat="1" x14ac:dyDescent="0.2"/>
    <row r="1826" s="689" customFormat="1" x14ac:dyDescent="0.2"/>
    <row r="1827" s="689" customFormat="1" x14ac:dyDescent="0.2"/>
    <row r="1828" s="689" customFormat="1" x14ac:dyDescent="0.2"/>
    <row r="1829" s="689" customFormat="1" x14ac:dyDescent="0.2"/>
    <row r="1830" s="689" customFormat="1" x14ac:dyDescent="0.2"/>
    <row r="1831" s="689" customFormat="1" x14ac:dyDescent="0.2"/>
    <row r="1832" s="689" customFormat="1" x14ac:dyDescent="0.2"/>
    <row r="1833" s="689" customFormat="1" x14ac:dyDescent="0.2"/>
    <row r="1834" s="689" customFormat="1" x14ac:dyDescent="0.2"/>
    <row r="1835" s="689" customFormat="1" x14ac:dyDescent="0.2"/>
    <row r="1836" s="689" customFormat="1" x14ac:dyDescent="0.2"/>
    <row r="1837" s="689" customFormat="1" x14ac:dyDescent="0.2"/>
    <row r="1838" s="689" customFormat="1" x14ac:dyDescent="0.2"/>
    <row r="1839" s="689" customFormat="1" x14ac:dyDescent="0.2"/>
    <row r="1840" s="689" customFormat="1" x14ac:dyDescent="0.2"/>
    <row r="1841" s="689" customFormat="1" x14ac:dyDescent="0.2"/>
    <row r="1842" s="689" customFormat="1" x14ac:dyDescent="0.2"/>
    <row r="1843" s="689" customFormat="1" x14ac:dyDescent="0.2"/>
    <row r="1844" s="689" customFormat="1" x14ac:dyDescent="0.2"/>
    <row r="1845" s="689" customFormat="1" x14ac:dyDescent="0.2"/>
    <row r="1846" s="689" customFormat="1" x14ac:dyDescent="0.2"/>
    <row r="1847" s="689" customFormat="1" x14ac:dyDescent="0.2"/>
    <row r="1848" s="689" customFormat="1" x14ac:dyDescent="0.2"/>
    <row r="1849" s="689" customFormat="1" x14ac:dyDescent="0.2"/>
    <row r="1850" s="689" customFormat="1" x14ac:dyDescent="0.2"/>
    <row r="1851" s="689" customFormat="1" x14ac:dyDescent="0.2"/>
    <row r="1852" s="689" customFormat="1" x14ac:dyDescent="0.2"/>
    <row r="1853" s="689" customFormat="1" x14ac:dyDescent="0.2"/>
    <row r="1854" s="689" customFormat="1" x14ac:dyDescent="0.2"/>
    <row r="1855" s="689" customFormat="1" x14ac:dyDescent="0.2"/>
    <row r="1856" s="689" customFormat="1" x14ac:dyDescent="0.2"/>
    <row r="1857" s="689" customFormat="1" x14ac:dyDescent="0.2"/>
    <row r="1858" s="689" customFormat="1" x14ac:dyDescent="0.2"/>
    <row r="1859" s="689" customFormat="1" x14ac:dyDescent="0.2"/>
    <row r="1860" s="689" customFormat="1" x14ac:dyDescent="0.2"/>
    <row r="1861" s="689" customFormat="1" x14ac:dyDescent="0.2"/>
    <row r="1862" s="689" customFormat="1" x14ac:dyDescent="0.2"/>
    <row r="1863" s="689" customFormat="1" x14ac:dyDescent="0.2"/>
    <row r="1864" s="689" customFormat="1" x14ac:dyDescent="0.2"/>
    <row r="1865" s="689" customFormat="1" x14ac:dyDescent="0.2"/>
    <row r="1866" s="689" customFormat="1" x14ac:dyDescent="0.2"/>
    <row r="1867" s="689" customFormat="1" x14ac:dyDescent="0.2"/>
    <row r="1868" s="689" customFormat="1" x14ac:dyDescent="0.2"/>
    <row r="1869" s="689" customFormat="1" x14ac:dyDescent="0.2"/>
    <row r="1870" s="689" customFormat="1" x14ac:dyDescent="0.2"/>
    <row r="1871" s="689" customFormat="1" x14ac:dyDescent="0.2"/>
    <row r="1872" s="689" customFormat="1" x14ac:dyDescent="0.2"/>
    <row r="1873" s="689" customFormat="1" x14ac:dyDescent="0.2"/>
    <row r="1874" s="689" customFormat="1" x14ac:dyDescent="0.2"/>
    <row r="1875" s="689" customFormat="1" x14ac:dyDescent="0.2"/>
    <row r="1876" s="689" customFormat="1" x14ac:dyDescent="0.2"/>
    <row r="1877" s="689" customFormat="1" x14ac:dyDescent="0.2"/>
    <row r="1878" s="689" customFormat="1" x14ac:dyDescent="0.2"/>
    <row r="1879" s="689" customFormat="1" x14ac:dyDescent="0.2"/>
    <row r="1880" s="689" customFormat="1" x14ac:dyDescent="0.2"/>
    <row r="1881" s="689" customFormat="1" x14ac:dyDescent="0.2"/>
    <row r="1882" s="689" customFormat="1" x14ac:dyDescent="0.2"/>
    <row r="1883" s="689" customFormat="1" x14ac:dyDescent="0.2"/>
    <row r="1884" s="689" customFormat="1" x14ac:dyDescent="0.2"/>
    <row r="1885" s="689" customFormat="1" x14ac:dyDescent="0.2"/>
    <row r="1886" s="689" customFormat="1" x14ac:dyDescent="0.2"/>
    <row r="1887" s="689" customFormat="1" x14ac:dyDescent="0.2"/>
    <row r="1888" s="689" customFormat="1" x14ac:dyDescent="0.2"/>
    <row r="1889" s="689" customFormat="1" x14ac:dyDescent="0.2"/>
    <row r="1890" s="689" customFormat="1" x14ac:dyDescent="0.2"/>
    <row r="1891" s="689" customFormat="1" x14ac:dyDescent="0.2"/>
    <row r="1892" s="689" customFormat="1" x14ac:dyDescent="0.2"/>
    <row r="1893" s="689" customFormat="1" x14ac:dyDescent="0.2"/>
    <row r="1894" s="689" customFormat="1" x14ac:dyDescent="0.2"/>
    <row r="1895" s="689" customFormat="1" x14ac:dyDescent="0.2"/>
    <row r="1896" s="689" customFormat="1" x14ac:dyDescent="0.2"/>
    <row r="1897" s="689" customFormat="1" x14ac:dyDescent="0.2"/>
    <row r="1898" s="689" customFormat="1" x14ac:dyDescent="0.2"/>
    <row r="1899" s="689" customFormat="1" x14ac:dyDescent="0.2"/>
    <row r="1900" s="689" customFormat="1" x14ac:dyDescent="0.2"/>
    <row r="1901" s="689" customFormat="1" x14ac:dyDescent="0.2"/>
    <row r="1902" s="689" customFormat="1" x14ac:dyDescent="0.2"/>
    <row r="1903" s="689" customFormat="1" x14ac:dyDescent="0.2"/>
    <row r="1904" s="689" customFormat="1" x14ac:dyDescent="0.2"/>
    <row r="1905" s="689" customFormat="1" x14ac:dyDescent="0.2"/>
    <row r="1906" s="689" customFormat="1" x14ac:dyDescent="0.2"/>
    <row r="1907" s="689" customFormat="1" x14ac:dyDescent="0.2"/>
    <row r="1908" s="689" customFormat="1" x14ac:dyDescent="0.2"/>
    <row r="1909" s="689" customFormat="1" x14ac:dyDescent="0.2"/>
    <row r="1910" s="689" customFormat="1" x14ac:dyDescent="0.2"/>
    <row r="1911" s="689" customFormat="1" x14ac:dyDescent="0.2"/>
    <row r="1912" s="689" customFormat="1" x14ac:dyDescent="0.2"/>
    <row r="1913" s="689" customFormat="1" x14ac:dyDescent="0.2"/>
    <row r="1914" s="689" customFormat="1" x14ac:dyDescent="0.2"/>
    <row r="1915" s="689" customFormat="1" x14ac:dyDescent="0.2"/>
    <row r="1916" s="689" customFormat="1" x14ac:dyDescent="0.2"/>
    <row r="1917" s="689" customFormat="1" x14ac:dyDescent="0.2"/>
    <row r="1918" s="689" customFormat="1" x14ac:dyDescent="0.2"/>
    <row r="1919" s="689" customFormat="1" x14ac:dyDescent="0.2"/>
    <row r="1920" s="689" customFormat="1" x14ac:dyDescent="0.2"/>
    <row r="1921" s="689" customFormat="1" x14ac:dyDescent="0.2"/>
    <row r="1922" s="689" customFormat="1" x14ac:dyDescent="0.2"/>
    <row r="1923" s="689" customFormat="1" x14ac:dyDescent="0.2"/>
    <row r="1924" s="689" customFormat="1" x14ac:dyDescent="0.2"/>
    <row r="1925" s="689" customFormat="1" x14ac:dyDescent="0.2"/>
    <row r="1926" s="689" customFormat="1" x14ac:dyDescent="0.2"/>
    <row r="1927" s="689" customFormat="1" x14ac:dyDescent="0.2"/>
    <row r="1928" s="689" customFormat="1" x14ac:dyDescent="0.2"/>
    <row r="1929" s="689" customFormat="1" x14ac:dyDescent="0.2"/>
    <row r="1930" s="689" customFormat="1" x14ac:dyDescent="0.2"/>
    <row r="1931" s="689" customFormat="1" x14ac:dyDescent="0.2"/>
    <row r="1932" s="689" customFormat="1" x14ac:dyDescent="0.2"/>
    <row r="1933" s="689" customFormat="1" x14ac:dyDescent="0.2"/>
    <row r="1934" s="689" customFormat="1" x14ac:dyDescent="0.2"/>
    <row r="1935" s="689" customFormat="1" x14ac:dyDescent="0.2"/>
    <row r="1936" s="689" customFormat="1" x14ac:dyDescent="0.2"/>
    <row r="1937" s="689" customFormat="1" x14ac:dyDescent="0.2"/>
    <row r="1938" s="689" customFormat="1" x14ac:dyDescent="0.2"/>
    <row r="1939" s="689" customFormat="1" x14ac:dyDescent="0.2"/>
    <row r="1940" s="689" customFormat="1" x14ac:dyDescent="0.2"/>
    <row r="1941" s="689" customFormat="1" x14ac:dyDescent="0.2"/>
    <row r="1942" s="689" customFormat="1" x14ac:dyDescent="0.2"/>
    <row r="1943" s="689" customFormat="1" x14ac:dyDescent="0.2"/>
    <row r="1944" s="689" customFormat="1" x14ac:dyDescent="0.2"/>
    <row r="1945" s="689" customFormat="1" x14ac:dyDescent="0.2"/>
    <row r="1946" s="689" customFormat="1" x14ac:dyDescent="0.2"/>
    <row r="1947" s="689" customFormat="1" x14ac:dyDescent="0.2"/>
    <row r="1948" s="689" customFormat="1" x14ac:dyDescent="0.2"/>
    <row r="1949" s="689" customFormat="1" x14ac:dyDescent="0.2"/>
    <row r="1950" s="689" customFormat="1" x14ac:dyDescent="0.2"/>
    <row r="1951" s="689" customFormat="1" x14ac:dyDescent="0.2"/>
    <row r="1952" s="689" customFormat="1" x14ac:dyDescent="0.2"/>
    <row r="1953" s="689" customFormat="1" x14ac:dyDescent="0.2"/>
    <row r="1954" s="689" customFormat="1" x14ac:dyDescent="0.2"/>
    <row r="1955" s="689" customFormat="1" x14ac:dyDescent="0.2"/>
    <row r="1956" s="689" customFormat="1" x14ac:dyDescent="0.2"/>
    <row r="1957" s="689" customFormat="1" x14ac:dyDescent="0.2"/>
    <row r="1958" s="689" customFormat="1" x14ac:dyDescent="0.2"/>
    <row r="1959" s="689" customFormat="1" x14ac:dyDescent="0.2"/>
    <row r="1960" s="689" customFormat="1" x14ac:dyDescent="0.2"/>
    <row r="1961" s="689" customFormat="1" x14ac:dyDescent="0.2"/>
    <row r="1962" s="689" customFormat="1" x14ac:dyDescent="0.2"/>
    <row r="1963" s="689" customFormat="1" x14ac:dyDescent="0.2"/>
    <row r="1964" s="689" customFormat="1" x14ac:dyDescent="0.2"/>
    <row r="1965" s="689" customFormat="1" x14ac:dyDescent="0.2"/>
    <row r="1966" s="689" customFormat="1" x14ac:dyDescent="0.2"/>
    <row r="1967" s="689" customFormat="1" x14ac:dyDescent="0.2"/>
    <row r="1968" s="689" customFormat="1" x14ac:dyDescent="0.2"/>
    <row r="1969" s="689" customFormat="1" x14ac:dyDescent="0.2"/>
    <row r="1970" s="689" customFormat="1" x14ac:dyDescent="0.2"/>
    <row r="1971" s="689" customFormat="1" x14ac:dyDescent="0.2"/>
    <row r="1972" s="689" customFormat="1" x14ac:dyDescent="0.2"/>
    <row r="1973" s="689" customFormat="1" x14ac:dyDescent="0.2"/>
    <row r="1974" s="689" customFormat="1" x14ac:dyDescent="0.2"/>
    <row r="1975" s="689" customFormat="1" x14ac:dyDescent="0.2"/>
    <row r="1976" s="689" customFormat="1" x14ac:dyDescent="0.2"/>
    <row r="1977" s="689" customFormat="1" x14ac:dyDescent="0.2"/>
    <row r="1978" s="689" customFormat="1" x14ac:dyDescent="0.2"/>
    <row r="1979" s="689" customFormat="1" x14ac:dyDescent="0.2"/>
    <row r="1980" s="689" customFormat="1" x14ac:dyDescent="0.2"/>
    <row r="1981" s="689" customFormat="1" x14ac:dyDescent="0.2"/>
    <row r="1982" s="689" customFormat="1" x14ac:dyDescent="0.2"/>
    <row r="1983" s="689" customFormat="1" x14ac:dyDescent="0.2"/>
    <row r="1984" s="689" customFormat="1" x14ac:dyDescent="0.2"/>
    <row r="1985" s="689" customFormat="1" x14ac:dyDescent="0.2"/>
    <row r="1986" s="689" customFormat="1" x14ac:dyDescent="0.2"/>
    <row r="1987" s="689" customFormat="1" x14ac:dyDescent="0.2"/>
    <row r="1988" s="689" customFormat="1" x14ac:dyDescent="0.2"/>
    <row r="1989" s="689" customFormat="1" x14ac:dyDescent="0.2"/>
    <row r="1990" s="689" customFormat="1" x14ac:dyDescent="0.2"/>
    <row r="1991" s="689" customFormat="1" x14ac:dyDescent="0.2"/>
    <row r="1992" s="689" customFormat="1" x14ac:dyDescent="0.2"/>
    <row r="1993" s="689" customFormat="1" x14ac:dyDescent="0.2"/>
    <row r="1994" s="689" customFormat="1" x14ac:dyDescent="0.2"/>
    <row r="1995" s="689" customFormat="1" x14ac:dyDescent="0.2"/>
    <row r="1996" s="689" customFormat="1" x14ac:dyDescent="0.2"/>
    <row r="1997" s="689" customFormat="1" x14ac:dyDescent="0.2"/>
    <row r="1998" s="689" customFormat="1" x14ac:dyDescent="0.2"/>
    <row r="1999" s="689" customFormat="1" x14ac:dyDescent="0.2"/>
    <row r="2000" s="689" customFormat="1" x14ac:dyDescent="0.2"/>
    <row r="2001" s="689" customFormat="1" x14ac:dyDescent="0.2"/>
    <row r="2002" s="689" customFormat="1" x14ac:dyDescent="0.2"/>
    <row r="2003" s="689" customFormat="1" x14ac:dyDescent="0.2"/>
    <row r="2004" s="689" customFormat="1" x14ac:dyDescent="0.2"/>
    <row r="2005" s="689" customFormat="1" x14ac:dyDescent="0.2"/>
    <row r="2006" s="689" customFormat="1" x14ac:dyDescent="0.2"/>
    <row r="2007" s="689" customFormat="1" x14ac:dyDescent="0.2"/>
    <row r="2008" s="689" customFormat="1" x14ac:dyDescent="0.2"/>
    <row r="2009" s="689" customFormat="1" x14ac:dyDescent="0.2"/>
    <row r="2010" s="689" customFormat="1" x14ac:dyDescent="0.2"/>
    <row r="2011" s="689" customFormat="1" x14ac:dyDescent="0.2"/>
    <row r="2012" s="689" customFormat="1" x14ac:dyDescent="0.2"/>
    <row r="2013" s="689" customFormat="1" x14ac:dyDescent="0.2"/>
    <row r="2014" s="689" customFormat="1" x14ac:dyDescent="0.2"/>
    <row r="2015" s="689" customFormat="1" x14ac:dyDescent="0.2"/>
    <row r="2016" s="689" customFormat="1" x14ac:dyDescent="0.2"/>
    <row r="2017" s="689" customFormat="1" x14ac:dyDescent="0.2"/>
    <row r="2018" s="689" customFormat="1" x14ac:dyDescent="0.2"/>
    <row r="2019" s="689" customFormat="1" x14ac:dyDescent="0.2"/>
    <row r="2020" s="689" customFormat="1" x14ac:dyDescent="0.2"/>
    <row r="2021" s="689" customFormat="1" x14ac:dyDescent="0.2"/>
    <row r="2022" s="689" customFormat="1" x14ac:dyDescent="0.2"/>
    <row r="2023" s="689" customFormat="1" x14ac:dyDescent="0.2"/>
    <row r="2024" s="689" customFormat="1" x14ac:dyDescent="0.2"/>
    <row r="2025" s="689" customFormat="1" x14ac:dyDescent="0.2"/>
    <row r="2026" s="689" customFormat="1" x14ac:dyDescent="0.2"/>
    <row r="2027" s="689" customFormat="1" x14ac:dyDescent="0.2"/>
    <row r="2028" s="689" customFormat="1" x14ac:dyDescent="0.2"/>
    <row r="2029" s="689" customFormat="1" x14ac:dyDescent="0.2"/>
    <row r="2030" s="689" customFormat="1" x14ac:dyDescent="0.2"/>
    <row r="2031" s="689" customFormat="1" x14ac:dyDescent="0.2"/>
    <row r="2032" s="689" customFormat="1" x14ac:dyDescent="0.2"/>
    <row r="2033" s="689" customFormat="1" x14ac:dyDescent="0.2"/>
    <row r="2034" s="689" customFormat="1" x14ac:dyDescent="0.2"/>
    <row r="2035" s="689" customFormat="1" x14ac:dyDescent="0.2"/>
    <row r="2036" s="689" customFormat="1" x14ac:dyDescent="0.2"/>
    <row r="2037" s="689" customFormat="1" x14ac:dyDescent="0.2"/>
    <row r="2038" s="689" customFormat="1" x14ac:dyDescent="0.2"/>
    <row r="2039" s="689" customFormat="1" x14ac:dyDescent="0.2"/>
    <row r="2040" s="689" customFormat="1" x14ac:dyDescent="0.2"/>
    <row r="2041" s="689" customFormat="1" x14ac:dyDescent="0.2"/>
    <row r="2042" s="689" customFormat="1" x14ac:dyDescent="0.2"/>
    <row r="2043" s="689" customFormat="1" x14ac:dyDescent="0.2"/>
    <row r="2044" s="689" customFormat="1" x14ac:dyDescent="0.2"/>
    <row r="2045" s="689" customFormat="1" x14ac:dyDescent="0.2"/>
    <row r="2046" s="689" customFormat="1" x14ac:dyDescent="0.2"/>
    <row r="2047" s="689" customFormat="1" x14ac:dyDescent="0.2"/>
    <row r="2048" s="689" customFormat="1" x14ac:dyDescent="0.2"/>
    <row r="2049" s="689" customFormat="1" x14ac:dyDescent="0.2"/>
    <row r="2050" s="689" customFormat="1" x14ac:dyDescent="0.2"/>
    <row r="2051" s="689" customFormat="1" x14ac:dyDescent="0.2"/>
    <row r="2052" s="689" customFormat="1" x14ac:dyDescent="0.2"/>
    <row r="2053" s="689" customFormat="1" x14ac:dyDescent="0.2"/>
    <row r="2054" s="689" customFormat="1" x14ac:dyDescent="0.2"/>
    <row r="2055" s="689" customFormat="1" x14ac:dyDescent="0.2"/>
    <row r="2056" s="689" customFormat="1" x14ac:dyDescent="0.2"/>
    <row r="2057" s="689" customFormat="1" x14ac:dyDescent="0.2"/>
    <row r="2058" s="689" customFormat="1" x14ac:dyDescent="0.2"/>
    <row r="2059" s="689" customFormat="1" x14ac:dyDescent="0.2"/>
    <row r="2060" s="689" customFormat="1" x14ac:dyDescent="0.2"/>
    <row r="2061" s="689" customFormat="1" x14ac:dyDescent="0.2"/>
    <row r="2062" s="689" customFormat="1" x14ac:dyDescent="0.2"/>
    <row r="2063" s="689" customFormat="1" x14ac:dyDescent="0.2"/>
    <row r="2064" s="689" customFormat="1" x14ac:dyDescent="0.2"/>
    <row r="2065" s="689" customFormat="1" x14ac:dyDescent="0.2"/>
    <row r="2066" s="689" customFormat="1" x14ac:dyDescent="0.2"/>
    <row r="2067" s="689" customFormat="1" x14ac:dyDescent="0.2"/>
    <row r="2068" s="689" customFormat="1" x14ac:dyDescent="0.2"/>
    <row r="2069" s="689" customFormat="1" x14ac:dyDescent="0.2"/>
    <row r="2070" s="689" customFormat="1" x14ac:dyDescent="0.2"/>
    <row r="2071" s="689" customFormat="1" x14ac:dyDescent="0.2"/>
    <row r="2072" s="689" customFormat="1" x14ac:dyDescent="0.2"/>
    <row r="2073" s="689" customFormat="1" x14ac:dyDescent="0.2"/>
    <row r="2074" s="689" customFormat="1" x14ac:dyDescent="0.2"/>
    <row r="2075" s="689" customFormat="1" x14ac:dyDescent="0.2"/>
    <row r="2076" s="689" customFormat="1" x14ac:dyDescent="0.2"/>
    <row r="2077" s="689" customFormat="1" x14ac:dyDescent="0.2"/>
    <row r="2078" s="689" customFormat="1" x14ac:dyDescent="0.2"/>
    <row r="2079" s="689" customFormat="1" x14ac:dyDescent="0.2"/>
    <row r="2080" s="689" customFormat="1" x14ac:dyDescent="0.2"/>
    <row r="2081" s="689" customFormat="1" x14ac:dyDescent="0.2"/>
    <row r="2082" s="689" customFormat="1" x14ac:dyDescent="0.2"/>
    <row r="2083" s="689" customFormat="1" x14ac:dyDescent="0.2"/>
    <row r="2084" s="689" customFormat="1" x14ac:dyDescent="0.2"/>
    <row r="2085" s="689" customFormat="1" x14ac:dyDescent="0.2"/>
    <row r="2086" s="689" customFormat="1" x14ac:dyDescent="0.2"/>
    <row r="2087" s="689" customFormat="1" x14ac:dyDescent="0.2"/>
    <row r="2088" s="689" customFormat="1" x14ac:dyDescent="0.2"/>
    <row r="2089" s="689" customFormat="1" x14ac:dyDescent="0.2"/>
    <row r="2090" s="689" customFormat="1" x14ac:dyDescent="0.2"/>
    <row r="2091" s="689" customFormat="1" x14ac:dyDescent="0.2"/>
    <row r="2092" s="689" customFormat="1" x14ac:dyDescent="0.2"/>
    <row r="2093" s="689" customFormat="1" x14ac:dyDescent="0.2"/>
    <row r="2094" s="689" customFormat="1" x14ac:dyDescent="0.2"/>
    <row r="2095" s="689" customFormat="1" x14ac:dyDescent="0.2"/>
    <row r="2096" s="689" customFormat="1" x14ac:dyDescent="0.2"/>
    <row r="2097" s="689" customFormat="1" x14ac:dyDescent="0.2"/>
    <row r="2098" s="689" customFormat="1" x14ac:dyDescent="0.2"/>
    <row r="2099" s="689" customFormat="1" x14ac:dyDescent="0.2"/>
    <row r="2100" s="689" customFormat="1" x14ac:dyDescent="0.2"/>
    <row r="2101" s="689" customFormat="1" x14ac:dyDescent="0.2"/>
    <row r="2102" s="689" customFormat="1" x14ac:dyDescent="0.2"/>
    <row r="2103" s="689" customFormat="1" x14ac:dyDescent="0.2"/>
    <row r="2104" s="689" customFormat="1" x14ac:dyDescent="0.2"/>
    <row r="2105" s="689" customFormat="1" x14ac:dyDescent="0.2"/>
    <row r="2106" s="689" customFormat="1" x14ac:dyDescent="0.2"/>
    <row r="2107" s="689" customFormat="1" x14ac:dyDescent="0.2"/>
    <row r="2108" s="689" customFormat="1" x14ac:dyDescent="0.2"/>
    <row r="2109" s="689" customFormat="1" x14ac:dyDescent="0.2"/>
    <row r="2110" s="689" customFormat="1" x14ac:dyDescent="0.2"/>
    <row r="2111" s="689" customFormat="1" x14ac:dyDescent="0.2"/>
    <row r="2112" s="689" customFormat="1" x14ac:dyDescent="0.2"/>
    <row r="2113" s="689" customFormat="1" x14ac:dyDescent="0.2"/>
    <row r="2114" s="689" customFormat="1" x14ac:dyDescent="0.2"/>
    <row r="2115" s="689" customFormat="1" x14ac:dyDescent="0.2"/>
    <row r="2116" s="689" customFormat="1" x14ac:dyDescent="0.2"/>
    <row r="2117" s="689" customFormat="1" x14ac:dyDescent="0.2"/>
    <row r="2118" s="689" customFormat="1" x14ac:dyDescent="0.2"/>
    <row r="2119" s="689" customFormat="1" x14ac:dyDescent="0.2"/>
    <row r="2120" s="689" customFormat="1" x14ac:dyDescent="0.2"/>
    <row r="2121" s="689" customFormat="1" x14ac:dyDescent="0.2"/>
    <row r="2122" s="689" customFormat="1" x14ac:dyDescent="0.2"/>
    <row r="2123" s="689" customFormat="1" x14ac:dyDescent="0.2"/>
    <row r="2124" s="689" customFormat="1" x14ac:dyDescent="0.2"/>
    <row r="2125" s="689" customFormat="1" x14ac:dyDescent="0.2"/>
    <row r="2126" s="689" customFormat="1" x14ac:dyDescent="0.2"/>
    <row r="2127" s="689" customFormat="1" x14ac:dyDescent="0.2"/>
    <row r="2128" s="689" customFormat="1" x14ac:dyDescent="0.2"/>
    <row r="2129" s="689" customFormat="1" x14ac:dyDescent="0.2"/>
    <row r="2130" s="689" customFormat="1" x14ac:dyDescent="0.2"/>
    <row r="2131" s="689" customFormat="1" x14ac:dyDescent="0.2"/>
    <row r="2132" s="689" customFormat="1" x14ac:dyDescent="0.2"/>
    <row r="2133" s="689" customFormat="1" x14ac:dyDescent="0.2"/>
    <row r="2134" s="689" customFormat="1" x14ac:dyDescent="0.2"/>
    <row r="2135" s="689" customFormat="1" x14ac:dyDescent="0.2"/>
    <row r="2136" s="689" customFormat="1" x14ac:dyDescent="0.2"/>
    <row r="2137" s="689" customFormat="1" x14ac:dyDescent="0.2"/>
    <row r="2138" s="689" customFormat="1" x14ac:dyDescent="0.2"/>
    <row r="2139" s="689" customFormat="1" x14ac:dyDescent="0.2"/>
    <row r="2140" s="689" customFormat="1" x14ac:dyDescent="0.2"/>
    <row r="2141" s="689" customFormat="1" x14ac:dyDescent="0.2"/>
    <row r="2142" s="689" customFormat="1" x14ac:dyDescent="0.2"/>
    <row r="2143" s="689" customFormat="1" x14ac:dyDescent="0.2"/>
    <row r="2144" s="689" customFormat="1" x14ac:dyDescent="0.2"/>
    <row r="2145" s="689" customFormat="1" x14ac:dyDescent="0.2"/>
    <row r="2146" s="689" customFormat="1" x14ac:dyDescent="0.2"/>
    <row r="2147" s="689" customFormat="1" x14ac:dyDescent="0.2"/>
    <row r="2148" s="689" customFormat="1" x14ac:dyDescent="0.2"/>
    <row r="2149" s="689" customFormat="1" x14ac:dyDescent="0.2"/>
    <row r="2150" s="689" customFormat="1" x14ac:dyDescent="0.2"/>
    <row r="2151" s="689" customFormat="1" x14ac:dyDescent="0.2"/>
    <row r="2152" s="689" customFormat="1" x14ac:dyDescent="0.2"/>
    <row r="2153" s="689" customFormat="1" x14ac:dyDescent="0.2"/>
    <row r="2154" s="689" customFormat="1" x14ac:dyDescent="0.2"/>
    <row r="2155" s="689" customFormat="1" x14ac:dyDescent="0.2"/>
    <row r="2156" s="689" customFormat="1" x14ac:dyDescent="0.2"/>
    <row r="2157" s="689" customFormat="1" x14ac:dyDescent="0.2"/>
    <row r="2158" s="689" customFormat="1" x14ac:dyDescent="0.2"/>
    <row r="2159" s="689" customFormat="1" x14ac:dyDescent="0.2"/>
    <row r="2160" s="689" customFormat="1" x14ac:dyDescent="0.2"/>
    <row r="2161" s="689" customFormat="1" x14ac:dyDescent="0.2"/>
    <row r="2162" s="689" customFormat="1" x14ac:dyDescent="0.2"/>
    <row r="2163" s="689" customFormat="1" x14ac:dyDescent="0.2"/>
    <row r="2164" s="689" customFormat="1" x14ac:dyDescent="0.2"/>
    <row r="2165" s="689" customFormat="1" x14ac:dyDescent="0.2"/>
    <row r="2166" s="689" customFormat="1" x14ac:dyDescent="0.2"/>
    <row r="2167" s="689" customFormat="1" x14ac:dyDescent="0.2"/>
    <row r="2168" s="689" customFormat="1" x14ac:dyDescent="0.2"/>
    <row r="2169" s="689" customFormat="1" x14ac:dyDescent="0.2"/>
    <row r="2170" s="689" customFormat="1" x14ac:dyDescent="0.2"/>
    <row r="2171" s="689" customFormat="1" x14ac:dyDescent="0.2"/>
    <row r="2172" s="689" customFormat="1" x14ac:dyDescent="0.2"/>
    <row r="2173" s="689" customFormat="1" x14ac:dyDescent="0.2"/>
    <row r="2174" s="689" customFormat="1" x14ac:dyDescent="0.2"/>
    <row r="2175" s="689" customFormat="1" x14ac:dyDescent="0.2"/>
    <row r="2176" s="689" customFormat="1" x14ac:dyDescent="0.2"/>
    <row r="2177" s="689" customFormat="1" x14ac:dyDescent="0.2"/>
    <row r="2178" s="689" customFormat="1" x14ac:dyDescent="0.2"/>
    <row r="2179" s="689" customFormat="1" x14ac:dyDescent="0.2"/>
    <row r="2180" s="689" customFormat="1" x14ac:dyDescent="0.2"/>
    <row r="2181" s="689" customFormat="1" x14ac:dyDescent="0.2"/>
    <row r="2182" s="689" customFormat="1" x14ac:dyDescent="0.2"/>
    <row r="2183" s="689" customFormat="1" x14ac:dyDescent="0.2"/>
    <row r="2184" s="689" customFormat="1" x14ac:dyDescent="0.2"/>
    <row r="2185" s="689" customFormat="1" x14ac:dyDescent="0.2"/>
    <row r="2186" s="689" customFormat="1" x14ac:dyDescent="0.2"/>
    <row r="2187" s="689" customFormat="1" x14ac:dyDescent="0.2"/>
    <row r="2188" s="689" customFormat="1" x14ac:dyDescent="0.2"/>
    <row r="2189" s="689" customFormat="1" x14ac:dyDescent="0.2"/>
    <row r="2190" s="689" customFormat="1" x14ac:dyDescent="0.2"/>
    <row r="2191" s="689" customFormat="1" x14ac:dyDescent="0.2"/>
    <row r="2192" s="689" customFormat="1" x14ac:dyDescent="0.2"/>
    <row r="2193" s="689" customFormat="1" x14ac:dyDescent="0.2"/>
    <row r="2194" s="689" customFormat="1" x14ac:dyDescent="0.2"/>
    <row r="2195" s="689" customFormat="1" x14ac:dyDescent="0.2"/>
    <row r="2196" s="689" customFormat="1" x14ac:dyDescent="0.2"/>
    <row r="2197" s="689" customFormat="1" x14ac:dyDescent="0.2"/>
    <row r="2198" s="689" customFormat="1" x14ac:dyDescent="0.2"/>
    <row r="2199" s="689" customFormat="1" x14ac:dyDescent="0.2"/>
    <row r="2200" s="689" customFormat="1" x14ac:dyDescent="0.2"/>
    <row r="2201" s="689" customFormat="1" x14ac:dyDescent="0.2"/>
    <row r="2202" s="689" customFormat="1" x14ac:dyDescent="0.2"/>
    <row r="2203" s="689" customFormat="1" x14ac:dyDescent="0.2"/>
    <row r="2204" s="689" customFormat="1" x14ac:dyDescent="0.2"/>
    <row r="2205" s="689" customFormat="1" x14ac:dyDescent="0.2"/>
    <row r="2206" s="689" customFormat="1" x14ac:dyDescent="0.2"/>
    <row r="2207" s="689" customFormat="1" x14ac:dyDescent="0.2"/>
    <row r="2208" s="689" customFormat="1" x14ac:dyDescent="0.2"/>
    <row r="2209" s="689" customFormat="1" x14ac:dyDescent="0.2"/>
    <row r="2210" s="689" customFormat="1" x14ac:dyDescent="0.2"/>
    <row r="2211" s="689" customFormat="1" x14ac:dyDescent="0.2"/>
    <row r="2212" s="689" customFormat="1" x14ac:dyDescent="0.2"/>
    <row r="2213" s="689" customFormat="1" x14ac:dyDescent="0.2"/>
    <row r="2214" s="689" customFormat="1" x14ac:dyDescent="0.2"/>
    <row r="2215" s="689" customFormat="1" x14ac:dyDescent="0.2"/>
    <row r="2216" s="689" customFormat="1" x14ac:dyDescent="0.2"/>
    <row r="2217" s="689" customFormat="1" x14ac:dyDescent="0.2"/>
    <row r="2218" s="689" customFormat="1" x14ac:dyDescent="0.2"/>
    <row r="2219" s="689" customFormat="1" x14ac:dyDescent="0.2"/>
    <row r="2220" s="689" customFormat="1" x14ac:dyDescent="0.2"/>
    <row r="2221" s="689" customFormat="1" x14ac:dyDescent="0.2"/>
    <row r="2222" s="689" customFormat="1" x14ac:dyDescent="0.2"/>
    <row r="2223" s="689" customFormat="1" x14ac:dyDescent="0.2"/>
    <row r="2224" s="689" customFormat="1" x14ac:dyDescent="0.2"/>
    <row r="2225" s="689" customFormat="1" x14ac:dyDescent="0.2"/>
    <row r="2226" s="689" customFormat="1" x14ac:dyDescent="0.2"/>
    <row r="2227" s="689" customFormat="1" x14ac:dyDescent="0.2"/>
    <row r="2228" s="689" customFormat="1" x14ac:dyDescent="0.2"/>
    <row r="2229" s="689" customFormat="1" x14ac:dyDescent="0.2"/>
    <row r="2230" s="689" customFormat="1" x14ac:dyDescent="0.2"/>
    <row r="2231" s="689" customFormat="1" x14ac:dyDescent="0.2"/>
    <row r="2232" s="689" customFormat="1" x14ac:dyDescent="0.2"/>
    <row r="2233" s="689" customFormat="1" x14ac:dyDescent="0.2"/>
    <row r="2234" s="689" customFormat="1" x14ac:dyDescent="0.2"/>
    <row r="2235" s="689" customFormat="1" x14ac:dyDescent="0.2"/>
    <row r="2236" s="689" customFormat="1" x14ac:dyDescent="0.2"/>
    <row r="2237" s="689" customFormat="1" x14ac:dyDescent="0.2"/>
    <row r="2238" s="689" customFormat="1" x14ac:dyDescent="0.2"/>
    <row r="2239" s="689" customFormat="1" x14ac:dyDescent="0.2"/>
    <row r="2240" s="689" customFormat="1" x14ac:dyDescent="0.2"/>
    <row r="2241" s="689" customFormat="1" x14ac:dyDescent="0.2"/>
    <row r="2242" s="689" customFormat="1" x14ac:dyDescent="0.2"/>
    <row r="2243" s="689" customFormat="1" x14ac:dyDescent="0.2"/>
    <row r="2244" s="689" customFormat="1" x14ac:dyDescent="0.2"/>
    <row r="2245" s="689" customFormat="1" x14ac:dyDescent="0.2"/>
    <row r="2246" s="689" customFormat="1" x14ac:dyDescent="0.2"/>
    <row r="2247" s="689" customFormat="1" x14ac:dyDescent="0.2"/>
    <row r="2248" s="689" customFormat="1" x14ac:dyDescent="0.2"/>
    <row r="2249" s="689" customFormat="1" x14ac:dyDescent="0.2"/>
    <row r="2250" s="689" customFormat="1" x14ac:dyDescent="0.2"/>
    <row r="2251" s="689" customFormat="1" x14ac:dyDescent="0.2"/>
    <row r="2252" s="689" customFormat="1" x14ac:dyDescent="0.2"/>
    <row r="2253" s="689" customFormat="1" x14ac:dyDescent="0.2"/>
    <row r="2254" s="689" customFormat="1" x14ac:dyDescent="0.2"/>
    <row r="2255" s="689" customFormat="1" x14ac:dyDescent="0.2"/>
    <row r="2256" s="689" customFormat="1" x14ac:dyDescent="0.2"/>
    <row r="2257" s="689" customFormat="1" x14ac:dyDescent="0.2"/>
    <row r="2258" s="689" customFormat="1" x14ac:dyDescent="0.2"/>
    <row r="2259" s="689" customFormat="1" x14ac:dyDescent="0.2"/>
    <row r="2260" s="689" customFormat="1" x14ac:dyDescent="0.2"/>
    <row r="2261" s="689" customFormat="1" x14ac:dyDescent="0.2"/>
    <row r="2262" s="689" customFormat="1" x14ac:dyDescent="0.2"/>
    <row r="2263" s="689" customFormat="1" x14ac:dyDescent="0.2"/>
    <row r="2264" s="689" customFormat="1" x14ac:dyDescent="0.2"/>
    <row r="2265" s="689" customFormat="1" x14ac:dyDescent="0.2"/>
    <row r="2266" s="689" customFormat="1" x14ac:dyDescent="0.2"/>
    <row r="2267" s="689" customFormat="1" x14ac:dyDescent="0.2"/>
    <row r="2268" s="689" customFormat="1" x14ac:dyDescent="0.2"/>
    <row r="2269" s="689" customFormat="1" x14ac:dyDescent="0.2"/>
    <row r="2270" s="689" customFormat="1" x14ac:dyDescent="0.2"/>
    <row r="2271" s="689" customFormat="1" x14ac:dyDescent="0.2"/>
    <row r="2272" s="689" customFormat="1" x14ac:dyDescent="0.2"/>
    <row r="2273" s="689" customFormat="1" x14ac:dyDescent="0.2"/>
    <row r="2274" s="689" customFormat="1" x14ac:dyDescent="0.2"/>
    <row r="2275" s="689" customFormat="1" x14ac:dyDescent="0.2"/>
    <row r="2276" s="689" customFormat="1" x14ac:dyDescent="0.2"/>
    <row r="2277" s="689" customFormat="1" x14ac:dyDescent="0.2"/>
    <row r="2278" s="689" customFormat="1" x14ac:dyDescent="0.2"/>
    <row r="2279" s="689" customFormat="1" x14ac:dyDescent="0.2"/>
    <row r="2280" s="689" customFormat="1" x14ac:dyDescent="0.2"/>
    <row r="2281" s="689" customFormat="1" x14ac:dyDescent="0.2"/>
    <row r="2282" s="689" customFormat="1" x14ac:dyDescent="0.2"/>
    <row r="2283" s="689" customFormat="1" x14ac:dyDescent="0.2"/>
    <row r="2284" s="689" customFormat="1" x14ac:dyDescent="0.2"/>
    <row r="2285" s="689" customFormat="1" x14ac:dyDescent="0.2"/>
    <row r="2286" s="689" customFormat="1" x14ac:dyDescent="0.2"/>
    <row r="2287" s="689" customFormat="1" x14ac:dyDescent="0.2"/>
    <row r="2288" s="689" customFormat="1" x14ac:dyDescent="0.2"/>
    <row r="2289" s="689" customFormat="1" x14ac:dyDescent="0.2"/>
    <row r="2290" s="689" customFormat="1" x14ac:dyDescent="0.2"/>
    <row r="2291" s="689" customFormat="1" x14ac:dyDescent="0.2"/>
    <row r="2292" s="689" customFormat="1" x14ac:dyDescent="0.2"/>
    <row r="2293" s="689" customFormat="1" x14ac:dyDescent="0.2"/>
    <row r="2294" s="689" customFormat="1" x14ac:dyDescent="0.2"/>
    <row r="2295" s="689" customFormat="1" x14ac:dyDescent="0.2"/>
    <row r="2296" s="689" customFormat="1" x14ac:dyDescent="0.2"/>
    <row r="2297" s="689" customFormat="1" x14ac:dyDescent="0.2"/>
    <row r="2298" s="689" customFormat="1" x14ac:dyDescent="0.2"/>
    <row r="2299" s="689" customFormat="1" x14ac:dyDescent="0.2"/>
    <row r="2300" s="689" customFormat="1" x14ac:dyDescent="0.2"/>
    <row r="2301" s="689" customFormat="1" x14ac:dyDescent="0.2"/>
    <row r="2302" s="689" customFormat="1" x14ac:dyDescent="0.2"/>
    <row r="2303" s="689" customFormat="1" x14ac:dyDescent="0.2"/>
    <row r="2304" s="689" customFormat="1" x14ac:dyDescent="0.2"/>
    <row r="2305" s="689" customFormat="1" x14ac:dyDescent="0.2"/>
    <row r="2306" s="689" customFormat="1" x14ac:dyDescent="0.2"/>
    <row r="2307" s="689" customFormat="1" x14ac:dyDescent="0.2"/>
    <row r="2308" s="689" customFormat="1" x14ac:dyDescent="0.2"/>
    <row r="2309" s="689" customFormat="1" x14ac:dyDescent="0.2"/>
    <row r="2310" s="689" customFormat="1" x14ac:dyDescent="0.2"/>
    <row r="2311" s="689" customFormat="1" x14ac:dyDescent="0.2"/>
    <row r="2312" s="689" customFormat="1" x14ac:dyDescent="0.2"/>
    <row r="2313" s="689" customFormat="1" x14ac:dyDescent="0.2"/>
    <row r="2314" s="689" customFormat="1" x14ac:dyDescent="0.2"/>
    <row r="2315" s="689" customFormat="1" x14ac:dyDescent="0.2"/>
    <row r="2316" s="689" customFormat="1" x14ac:dyDescent="0.2"/>
    <row r="2317" s="689" customFormat="1" x14ac:dyDescent="0.2"/>
    <row r="2318" s="689" customFormat="1" x14ac:dyDescent="0.2"/>
    <row r="2319" s="689" customFormat="1" x14ac:dyDescent="0.2"/>
    <row r="2320" s="689" customFormat="1" x14ac:dyDescent="0.2"/>
    <row r="2321" s="689" customFormat="1" x14ac:dyDescent="0.2"/>
    <row r="2322" s="689" customFormat="1" x14ac:dyDescent="0.2"/>
    <row r="2323" s="689" customFormat="1" x14ac:dyDescent="0.2"/>
    <row r="2324" s="689" customFormat="1" x14ac:dyDescent="0.2"/>
    <row r="2325" s="689" customFormat="1" x14ac:dyDescent="0.2"/>
    <row r="2326" s="689" customFormat="1" x14ac:dyDescent="0.2"/>
    <row r="2327" s="689" customFormat="1" x14ac:dyDescent="0.2"/>
    <row r="2328" s="689" customFormat="1" x14ac:dyDescent="0.2"/>
    <row r="2329" s="689" customFormat="1" x14ac:dyDescent="0.2"/>
    <row r="2330" s="689" customFormat="1" x14ac:dyDescent="0.2"/>
    <row r="2331" s="689" customFormat="1" x14ac:dyDescent="0.2"/>
    <row r="2332" s="689" customFormat="1" x14ac:dyDescent="0.2"/>
    <row r="2333" s="689" customFormat="1" x14ac:dyDescent="0.2"/>
    <row r="2334" s="689" customFormat="1" x14ac:dyDescent="0.2"/>
    <row r="2335" s="689" customFormat="1" x14ac:dyDescent="0.2"/>
    <row r="2336" s="689" customFormat="1" x14ac:dyDescent="0.2"/>
    <row r="2337" s="689" customFormat="1" x14ac:dyDescent="0.2"/>
    <row r="2338" s="689" customFormat="1" x14ac:dyDescent="0.2"/>
    <row r="2339" s="689" customFormat="1" x14ac:dyDescent="0.2"/>
    <row r="2340" s="689" customFormat="1" x14ac:dyDescent="0.2"/>
    <row r="2341" s="689" customFormat="1" x14ac:dyDescent="0.2"/>
    <row r="2342" s="689" customFormat="1" x14ac:dyDescent="0.2"/>
    <row r="2343" s="689" customFormat="1" x14ac:dyDescent="0.2"/>
    <row r="2344" s="689" customFormat="1" x14ac:dyDescent="0.2"/>
    <row r="2345" s="689" customFormat="1" x14ac:dyDescent="0.2"/>
    <row r="2346" s="689" customFormat="1" x14ac:dyDescent="0.2"/>
    <row r="2347" s="689" customFormat="1" x14ac:dyDescent="0.2"/>
    <row r="2348" s="689" customFormat="1" x14ac:dyDescent="0.2"/>
    <row r="2349" s="689" customFormat="1" x14ac:dyDescent="0.2"/>
    <row r="2350" s="689" customFormat="1" x14ac:dyDescent="0.2"/>
    <row r="2351" s="689" customFormat="1" x14ac:dyDescent="0.2"/>
    <row r="2352" s="689" customFormat="1" x14ac:dyDescent="0.2"/>
    <row r="2353" s="689" customFormat="1" x14ac:dyDescent="0.2"/>
    <row r="2354" s="689" customFormat="1" x14ac:dyDescent="0.2"/>
    <row r="2355" s="689" customFormat="1" x14ac:dyDescent="0.2"/>
    <row r="2356" s="689" customFormat="1" x14ac:dyDescent="0.2"/>
    <row r="2357" s="689" customFormat="1" x14ac:dyDescent="0.2"/>
    <row r="2358" s="689" customFormat="1" x14ac:dyDescent="0.2"/>
    <row r="2359" s="689" customFormat="1" x14ac:dyDescent="0.2"/>
    <row r="2360" s="689" customFormat="1" x14ac:dyDescent="0.2"/>
    <row r="2361" s="689" customFormat="1" x14ac:dyDescent="0.2"/>
    <row r="2362" s="689" customFormat="1" x14ac:dyDescent="0.2"/>
    <row r="2363" s="689" customFormat="1" x14ac:dyDescent="0.2"/>
    <row r="2364" s="689" customFormat="1" x14ac:dyDescent="0.2"/>
    <row r="2365" s="689" customFormat="1" x14ac:dyDescent="0.2"/>
    <row r="2366" s="689" customFormat="1" x14ac:dyDescent="0.2"/>
    <row r="2367" s="689" customFormat="1" x14ac:dyDescent="0.2"/>
    <row r="2368" s="689" customFormat="1" x14ac:dyDescent="0.2"/>
    <row r="2369" s="689" customFormat="1" x14ac:dyDescent="0.2"/>
    <row r="2370" s="689" customFormat="1" x14ac:dyDescent="0.2"/>
    <row r="2371" s="689" customFormat="1" x14ac:dyDescent="0.2"/>
    <row r="2372" s="689" customFormat="1" x14ac:dyDescent="0.2"/>
    <row r="2373" s="689" customFormat="1" x14ac:dyDescent="0.2"/>
    <row r="2374" s="689" customFormat="1" x14ac:dyDescent="0.2"/>
    <row r="2375" s="689" customFormat="1" x14ac:dyDescent="0.2"/>
    <row r="2376" s="689" customFormat="1" x14ac:dyDescent="0.2"/>
    <row r="2377" s="689" customFormat="1" x14ac:dyDescent="0.2"/>
    <row r="2378" s="689" customFormat="1" x14ac:dyDescent="0.2"/>
    <row r="2379" s="689" customFormat="1" x14ac:dyDescent="0.2"/>
    <row r="2380" s="689" customFormat="1" x14ac:dyDescent="0.2"/>
    <row r="2381" s="689" customFormat="1" x14ac:dyDescent="0.2"/>
    <row r="2382" s="689" customFormat="1" x14ac:dyDescent="0.2"/>
    <row r="2383" s="689" customFormat="1" x14ac:dyDescent="0.2"/>
    <row r="2384" s="689" customFormat="1" x14ac:dyDescent="0.2"/>
    <row r="2385" s="689" customFormat="1" x14ac:dyDescent="0.2"/>
    <row r="2386" s="689" customFormat="1" x14ac:dyDescent="0.2"/>
    <row r="2387" s="689" customFormat="1" x14ac:dyDescent="0.2"/>
    <row r="2388" s="689" customFormat="1" x14ac:dyDescent="0.2"/>
    <row r="2389" s="689" customFormat="1" x14ac:dyDescent="0.2"/>
    <row r="2390" s="689" customFormat="1" x14ac:dyDescent="0.2"/>
    <row r="2391" s="689" customFormat="1" x14ac:dyDescent="0.2"/>
    <row r="2392" s="689" customFormat="1" x14ac:dyDescent="0.2"/>
    <row r="2393" s="689" customFormat="1" x14ac:dyDescent="0.2"/>
    <row r="2394" s="689" customFormat="1" x14ac:dyDescent="0.2"/>
    <row r="2395" s="689" customFormat="1" x14ac:dyDescent="0.2"/>
    <row r="2396" s="689" customFormat="1" x14ac:dyDescent="0.2"/>
    <row r="2397" s="689" customFormat="1" x14ac:dyDescent="0.2"/>
    <row r="2398" s="689" customFormat="1" x14ac:dyDescent="0.2"/>
    <row r="2399" s="689" customFormat="1" x14ac:dyDescent="0.2"/>
    <row r="2400" s="689" customFormat="1" x14ac:dyDescent="0.2"/>
    <row r="2401" s="689" customFormat="1" x14ac:dyDescent="0.2"/>
    <row r="2402" s="689" customFormat="1" x14ac:dyDescent="0.2"/>
    <row r="2403" s="689" customFormat="1" x14ac:dyDescent="0.2"/>
    <row r="2404" s="689" customFormat="1" x14ac:dyDescent="0.2"/>
    <row r="2405" s="689" customFormat="1" x14ac:dyDescent="0.2"/>
    <row r="2406" s="689" customFormat="1" x14ac:dyDescent="0.2"/>
    <row r="2407" s="689" customFormat="1" x14ac:dyDescent="0.2"/>
    <row r="2408" s="689" customFormat="1" x14ac:dyDescent="0.2"/>
    <row r="2409" s="689" customFormat="1" x14ac:dyDescent="0.2"/>
    <row r="2410" s="689" customFormat="1" x14ac:dyDescent="0.2"/>
    <row r="2411" s="689" customFormat="1" x14ac:dyDescent="0.2"/>
    <row r="2412" s="689" customFormat="1" x14ac:dyDescent="0.2"/>
    <row r="2413" s="689" customFormat="1" x14ac:dyDescent="0.2"/>
    <row r="2414" s="689" customFormat="1" x14ac:dyDescent="0.2"/>
    <row r="2415" s="689" customFormat="1" x14ac:dyDescent="0.2"/>
    <row r="2416" s="689" customFormat="1" x14ac:dyDescent="0.2"/>
    <row r="2417" s="689" customFormat="1" x14ac:dyDescent="0.2"/>
    <row r="2418" s="689" customFormat="1" x14ac:dyDescent="0.2"/>
    <row r="2419" s="689" customFormat="1" x14ac:dyDescent="0.2"/>
    <row r="2420" s="689" customFormat="1" x14ac:dyDescent="0.2"/>
    <row r="2421" s="689" customFormat="1" x14ac:dyDescent="0.2"/>
    <row r="2422" s="689" customFormat="1" x14ac:dyDescent="0.2"/>
    <row r="2423" s="689" customFormat="1" x14ac:dyDescent="0.2"/>
    <row r="2424" s="689" customFormat="1" x14ac:dyDescent="0.2"/>
    <row r="2425" s="689" customFormat="1" x14ac:dyDescent="0.2"/>
    <row r="2426" s="689" customFormat="1" x14ac:dyDescent="0.2"/>
    <row r="2427" s="689" customFormat="1" x14ac:dyDescent="0.2"/>
    <row r="2428" s="689" customFormat="1" x14ac:dyDescent="0.2"/>
    <row r="2429" s="689" customFormat="1" x14ac:dyDescent="0.2"/>
    <row r="2430" s="689" customFormat="1" x14ac:dyDescent="0.2"/>
    <row r="2431" s="689" customFormat="1" x14ac:dyDescent="0.2"/>
    <row r="2432" s="689" customFormat="1" x14ac:dyDescent="0.2"/>
    <row r="2433" s="689" customFormat="1" x14ac:dyDescent="0.2"/>
    <row r="2434" s="689" customFormat="1" x14ac:dyDescent="0.2"/>
    <row r="2435" s="689" customFormat="1" x14ac:dyDescent="0.2"/>
    <row r="2436" s="689" customFormat="1" x14ac:dyDescent="0.2"/>
    <row r="2437" s="689" customFormat="1" x14ac:dyDescent="0.2"/>
    <row r="2438" s="689" customFormat="1" x14ac:dyDescent="0.2"/>
    <row r="2439" s="689" customFormat="1" x14ac:dyDescent="0.2"/>
    <row r="2440" s="689" customFormat="1" x14ac:dyDescent="0.2"/>
    <row r="2441" s="689" customFormat="1" x14ac:dyDescent="0.2"/>
    <row r="2442" s="689" customFormat="1" x14ac:dyDescent="0.2"/>
    <row r="2443" s="689" customFormat="1" x14ac:dyDescent="0.2"/>
    <row r="2444" s="689" customFormat="1" x14ac:dyDescent="0.2"/>
    <row r="2445" s="689" customFormat="1" x14ac:dyDescent="0.2"/>
    <row r="2446" s="689" customFormat="1" x14ac:dyDescent="0.2"/>
    <row r="2447" s="689" customFormat="1" x14ac:dyDescent="0.2"/>
    <row r="2448" s="689" customFormat="1" x14ac:dyDescent="0.2"/>
    <row r="2449" s="689" customFormat="1" x14ac:dyDescent="0.2"/>
    <row r="2450" s="689" customFormat="1" x14ac:dyDescent="0.2"/>
    <row r="2451" s="689" customFormat="1" x14ac:dyDescent="0.2"/>
    <row r="2452" s="689" customFormat="1" x14ac:dyDescent="0.2"/>
    <row r="2453" s="689" customFormat="1" x14ac:dyDescent="0.2"/>
    <row r="2454" s="689" customFormat="1" x14ac:dyDescent="0.2"/>
    <row r="2455" s="689" customFormat="1" x14ac:dyDescent="0.2"/>
    <row r="2456" s="689" customFormat="1" x14ac:dyDescent="0.2"/>
    <row r="2457" s="689" customFormat="1" x14ac:dyDescent="0.2"/>
    <row r="2458" s="689" customFormat="1" x14ac:dyDescent="0.2"/>
    <row r="2459" s="689" customFormat="1" x14ac:dyDescent="0.2"/>
    <row r="2460" s="689" customFormat="1" x14ac:dyDescent="0.2"/>
    <row r="2461" s="689" customFormat="1" x14ac:dyDescent="0.2"/>
    <row r="2462" s="689" customFormat="1" x14ac:dyDescent="0.2"/>
    <row r="2463" s="689" customFormat="1" x14ac:dyDescent="0.2"/>
    <row r="2464" s="689" customFormat="1" x14ac:dyDescent="0.2"/>
    <row r="2465" s="689" customFormat="1" x14ac:dyDescent="0.2"/>
    <row r="2466" s="689" customFormat="1" x14ac:dyDescent="0.2"/>
    <row r="2467" s="689" customFormat="1" x14ac:dyDescent="0.2"/>
    <row r="2468" s="689" customFormat="1" x14ac:dyDescent="0.2"/>
    <row r="2469" s="689" customFormat="1" x14ac:dyDescent="0.2"/>
    <row r="2470" s="689" customFormat="1" x14ac:dyDescent="0.2"/>
    <row r="2471" s="689" customFormat="1" x14ac:dyDescent="0.2"/>
    <row r="2472" s="689" customFormat="1" x14ac:dyDescent="0.2"/>
    <row r="2473" s="689" customFormat="1" x14ac:dyDescent="0.2"/>
    <row r="2474" s="689" customFormat="1" x14ac:dyDescent="0.2"/>
    <row r="2475" s="689" customFormat="1" x14ac:dyDescent="0.2"/>
    <row r="2476" s="689" customFormat="1" x14ac:dyDescent="0.2"/>
    <row r="2477" s="689" customFormat="1" x14ac:dyDescent="0.2"/>
    <row r="2478" s="689" customFormat="1" x14ac:dyDescent="0.2"/>
    <row r="2479" s="689" customFormat="1" x14ac:dyDescent="0.2"/>
    <row r="2480" s="689" customFormat="1" x14ac:dyDescent="0.2"/>
    <row r="2481" s="689" customFormat="1" x14ac:dyDescent="0.2"/>
    <row r="2482" s="689" customFormat="1" x14ac:dyDescent="0.2"/>
    <row r="2483" s="689" customFormat="1" x14ac:dyDescent="0.2"/>
    <row r="2484" s="689" customFormat="1" x14ac:dyDescent="0.2"/>
    <row r="2485" s="689" customFormat="1" x14ac:dyDescent="0.2"/>
    <row r="2486" s="689" customFormat="1" x14ac:dyDescent="0.2"/>
    <row r="2487" s="689" customFormat="1" x14ac:dyDescent="0.2"/>
    <row r="2488" s="689" customFormat="1" x14ac:dyDescent="0.2"/>
    <row r="2489" s="689" customFormat="1" x14ac:dyDescent="0.2"/>
    <row r="2490" s="689" customFormat="1" x14ac:dyDescent="0.2"/>
    <row r="2491" s="689" customFormat="1" x14ac:dyDescent="0.2"/>
    <row r="2492" s="689" customFormat="1" x14ac:dyDescent="0.2"/>
    <row r="2493" s="689" customFormat="1" x14ac:dyDescent="0.2"/>
    <row r="2494" s="689" customFormat="1" x14ac:dyDescent="0.2"/>
    <row r="2495" s="689" customFormat="1" x14ac:dyDescent="0.2"/>
    <row r="2496" s="689" customFormat="1" x14ac:dyDescent="0.2"/>
    <row r="2497" s="689" customFormat="1" x14ac:dyDescent="0.2"/>
    <row r="2498" s="689" customFormat="1" x14ac:dyDescent="0.2"/>
    <row r="2499" s="689" customFormat="1" x14ac:dyDescent="0.2"/>
    <row r="2500" s="689" customFormat="1" x14ac:dyDescent="0.2"/>
    <row r="2501" s="689" customFormat="1" x14ac:dyDescent="0.2"/>
    <row r="2502" s="689" customFormat="1" x14ac:dyDescent="0.2"/>
    <row r="2503" s="689" customFormat="1" x14ac:dyDescent="0.2"/>
    <row r="2504" s="689" customFormat="1" x14ac:dyDescent="0.2"/>
    <row r="2505" s="689" customFormat="1" x14ac:dyDescent="0.2"/>
    <row r="2506" s="689" customFormat="1" x14ac:dyDescent="0.2"/>
    <row r="2507" s="689" customFormat="1" x14ac:dyDescent="0.2"/>
    <row r="2508" s="689" customFormat="1" x14ac:dyDescent="0.2"/>
    <row r="2509" s="689" customFormat="1" x14ac:dyDescent="0.2"/>
    <row r="2510" s="689" customFormat="1" x14ac:dyDescent="0.2"/>
    <row r="2511" s="689" customFormat="1" x14ac:dyDescent="0.2"/>
    <row r="2512" s="689" customFormat="1" x14ac:dyDescent="0.2"/>
    <row r="2513" s="689" customFormat="1" x14ac:dyDescent="0.2"/>
    <row r="2514" s="689" customFormat="1" x14ac:dyDescent="0.2"/>
    <row r="2515" s="689" customFormat="1" x14ac:dyDescent="0.2"/>
    <row r="2516" s="689" customFormat="1" x14ac:dyDescent="0.2"/>
    <row r="2517" s="689" customFormat="1" x14ac:dyDescent="0.2"/>
    <row r="2518" s="689" customFormat="1" x14ac:dyDescent="0.2"/>
    <row r="2519" s="689" customFormat="1" x14ac:dyDescent="0.2"/>
    <row r="2520" s="689" customFormat="1" x14ac:dyDescent="0.2"/>
    <row r="2521" s="689" customFormat="1" x14ac:dyDescent="0.2"/>
    <row r="2522" s="689" customFormat="1" x14ac:dyDescent="0.2"/>
    <row r="2523" s="689" customFormat="1" x14ac:dyDescent="0.2"/>
    <row r="2524" s="689" customFormat="1" x14ac:dyDescent="0.2"/>
    <row r="2525" s="689" customFormat="1" x14ac:dyDescent="0.2"/>
    <row r="2526" s="689" customFormat="1" x14ac:dyDescent="0.2"/>
    <row r="2527" s="689" customFormat="1" x14ac:dyDescent="0.2"/>
    <row r="2528" s="689" customFormat="1" x14ac:dyDescent="0.2"/>
    <row r="2529" s="689" customFormat="1" x14ac:dyDescent="0.2"/>
    <row r="2530" s="689" customFormat="1" x14ac:dyDescent="0.2"/>
    <row r="2531" s="689" customFormat="1" x14ac:dyDescent="0.2"/>
    <row r="2532" s="689" customFormat="1" x14ac:dyDescent="0.2"/>
    <row r="2533" s="689" customFormat="1" x14ac:dyDescent="0.2"/>
    <row r="2534" s="689" customFormat="1" x14ac:dyDescent="0.2"/>
    <row r="2535" s="689" customFormat="1" x14ac:dyDescent="0.2"/>
    <row r="2536" s="689" customFormat="1" x14ac:dyDescent="0.2"/>
    <row r="2537" s="689" customFormat="1" x14ac:dyDescent="0.2"/>
    <row r="2538" s="689" customFormat="1" x14ac:dyDescent="0.2"/>
    <row r="2539" s="689" customFormat="1" x14ac:dyDescent="0.2"/>
    <row r="2540" s="689" customFormat="1" x14ac:dyDescent="0.2"/>
    <row r="2541" s="689" customFormat="1" x14ac:dyDescent="0.2"/>
    <row r="2542" s="689" customFormat="1" x14ac:dyDescent="0.2"/>
    <row r="2543" s="689" customFormat="1" x14ac:dyDescent="0.2"/>
    <row r="2544" s="689" customFormat="1" x14ac:dyDescent="0.2"/>
    <row r="2545" s="689" customFormat="1" x14ac:dyDescent="0.2"/>
    <row r="2546" s="689" customFormat="1" x14ac:dyDescent="0.2"/>
    <row r="2547" s="689" customFormat="1" x14ac:dyDescent="0.2"/>
    <row r="2548" s="689" customFormat="1" x14ac:dyDescent="0.2"/>
    <row r="2549" s="689" customFormat="1" x14ac:dyDescent="0.2"/>
    <row r="2550" s="689" customFormat="1" x14ac:dyDescent="0.2"/>
    <row r="2551" s="689" customFormat="1" x14ac:dyDescent="0.2"/>
    <row r="2552" s="689" customFormat="1" x14ac:dyDescent="0.2"/>
    <row r="2553" s="689" customFormat="1" x14ac:dyDescent="0.2"/>
    <row r="2554" s="689" customFormat="1" x14ac:dyDescent="0.2"/>
    <row r="2555" s="689" customFormat="1" x14ac:dyDescent="0.2"/>
    <row r="2556" s="689" customFormat="1" x14ac:dyDescent="0.2"/>
    <row r="2557" s="689" customFormat="1" x14ac:dyDescent="0.2"/>
    <row r="2558" s="689" customFormat="1" x14ac:dyDescent="0.2"/>
    <row r="2559" s="689" customFormat="1" x14ac:dyDescent="0.2"/>
    <row r="2560" s="689" customFormat="1" x14ac:dyDescent="0.2"/>
    <row r="2561" s="689" customFormat="1" x14ac:dyDescent="0.2"/>
    <row r="2562" s="689" customFormat="1" x14ac:dyDescent="0.2"/>
    <row r="2563" s="689" customFormat="1" x14ac:dyDescent="0.2"/>
    <row r="2564" s="689" customFormat="1" x14ac:dyDescent="0.2"/>
    <row r="2565" s="689" customFormat="1" x14ac:dyDescent="0.2"/>
    <row r="2566" s="689" customFormat="1" x14ac:dyDescent="0.2"/>
    <row r="2567" s="689" customFormat="1" x14ac:dyDescent="0.2"/>
    <row r="2568" s="689" customFormat="1" x14ac:dyDescent="0.2"/>
    <row r="2569" s="689" customFormat="1" x14ac:dyDescent="0.2"/>
    <row r="2570" s="689" customFormat="1" x14ac:dyDescent="0.2"/>
    <row r="2571" s="689" customFormat="1" x14ac:dyDescent="0.2"/>
    <row r="2572" s="689" customFormat="1" x14ac:dyDescent="0.2"/>
    <row r="2573" s="689" customFormat="1" x14ac:dyDescent="0.2"/>
    <row r="2574" s="689" customFormat="1" x14ac:dyDescent="0.2"/>
    <row r="2575" s="689" customFormat="1" x14ac:dyDescent="0.2"/>
    <row r="2576" s="689" customFormat="1" x14ac:dyDescent="0.2"/>
    <row r="2577" s="689" customFormat="1" x14ac:dyDescent="0.2"/>
    <row r="2578" s="689" customFormat="1" x14ac:dyDescent="0.2"/>
    <row r="2579" s="689" customFormat="1" x14ac:dyDescent="0.2"/>
    <row r="2580" s="689" customFormat="1" x14ac:dyDescent="0.2"/>
    <row r="2581" s="689" customFormat="1" x14ac:dyDescent="0.2"/>
    <row r="2582" s="689" customFormat="1" x14ac:dyDescent="0.2"/>
    <row r="2583" s="689" customFormat="1" x14ac:dyDescent="0.2"/>
    <row r="2584" s="689" customFormat="1" x14ac:dyDescent="0.2"/>
    <row r="2585" s="689" customFormat="1" x14ac:dyDescent="0.2"/>
    <row r="2586" s="689" customFormat="1" x14ac:dyDescent="0.2"/>
    <row r="2587" s="689" customFormat="1" x14ac:dyDescent="0.2"/>
    <row r="2588" s="689" customFormat="1" x14ac:dyDescent="0.2"/>
    <row r="2589" s="689" customFormat="1" x14ac:dyDescent="0.2"/>
    <row r="2590" s="689" customFormat="1" x14ac:dyDescent="0.2"/>
    <row r="2591" s="689" customFormat="1" x14ac:dyDescent="0.2"/>
    <row r="2592" s="689" customFormat="1" x14ac:dyDescent="0.2"/>
    <row r="2593" s="689" customFormat="1" x14ac:dyDescent="0.2"/>
    <row r="2594" s="689" customFormat="1" x14ac:dyDescent="0.2"/>
    <row r="2595" s="689" customFormat="1" x14ac:dyDescent="0.2"/>
    <row r="2596" s="689" customFormat="1" x14ac:dyDescent="0.2"/>
    <row r="2597" s="689" customFormat="1" x14ac:dyDescent="0.2"/>
    <row r="2598" s="689" customFormat="1" x14ac:dyDescent="0.2"/>
    <row r="2599" s="689" customFormat="1" x14ac:dyDescent="0.2"/>
    <row r="2600" s="689" customFormat="1" x14ac:dyDescent="0.2"/>
    <row r="2601" s="689" customFormat="1" x14ac:dyDescent="0.2"/>
    <row r="2602" s="689" customFormat="1" x14ac:dyDescent="0.2"/>
    <row r="2603" s="689" customFormat="1" x14ac:dyDescent="0.2"/>
    <row r="2604" s="689" customFormat="1" x14ac:dyDescent="0.2"/>
    <row r="2605" s="689" customFormat="1" x14ac:dyDescent="0.2"/>
    <row r="2606" s="689" customFormat="1" x14ac:dyDescent="0.2"/>
    <row r="2607" s="689" customFormat="1" x14ac:dyDescent="0.2"/>
    <row r="2608" s="689" customFormat="1" x14ac:dyDescent="0.2"/>
    <row r="2609" s="689" customFormat="1" x14ac:dyDescent="0.2"/>
    <row r="2610" s="689" customFormat="1" x14ac:dyDescent="0.2"/>
    <row r="2611" s="689" customFormat="1" x14ac:dyDescent="0.2"/>
    <row r="2612" s="689" customFormat="1" x14ac:dyDescent="0.2"/>
    <row r="2613" s="689" customFormat="1" x14ac:dyDescent="0.2"/>
    <row r="2614" s="689" customFormat="1" x14ac:dyDescent="0.2"/>
    <row r="2615" s="689" customFormat="1" x14ac:dyDescent="0.2"/>
    <row r="2616" s="689" customFormat="1" x14ac:dyDescent="0.2"/>
    <row r="2617" s="689" customFormat="1" x14ac:dyDescent="0.2"/>
    <row r="2618" s="689" customFormat="1" x14ac:dyDescent="0.2"/>
    <row r="2619" s="689" customFormat="1" x14ac:dyDescent="0.2"/>
    <row r="2620" s="689" customFormat="1" x14ac:dyDescent="0.2"/>
    <row r="2621" s="689" customFormat="1" x14ac:dyDescent="0.2"/>
    <row r="2622" s="689" customFormat="1" x14ac:dyDescent="0.2"/>
    <row r="2623" s="689" customFormat="1" x14ac:dyDescent="0.2"/>
    <row r="2624" s="689" customFormat="1" x14ac:dyDescent="0.2"/>
    <row r="2625" s="689" customFormat="1" x14ac:dyDescent="0.2"/>
    <row r="2626" s="689" customFormat="1" x14ac:dyDescent="0.2"/>
    <row r="2627" s="689" customFormat="1" x14ac:dyDescent="0.2"/>
    <row r="2628" s="689" customFormat="1" x14ac:dyDescent="0.2"/>
    <row r="2629" s="689" customFormat="1" x14ac:dyDescent="0.2"/>
    <row r="2630" s="689" customFormat="1" x14ac:dyDescent="0.2"/>
    <row r="2631" s="689" customFormat="1" x14ac:dyDescent="0.2"/>
    <row r="2632" s="689" customFormat="1" x14ac:dyDescent="0.2"/>
    <row r="2633" s="689" customFormat="1" x14ac:dyDescent="0.2"/>
    <row r="2634" s="689" customFormat="1" x14ac:dyDescent="0.2"/>
    <row r="2635" s="689" customFormat="1" x14ac:dyDescent="0.2"/>
    <row r="2636" s="689" customFormat="1" x14ac:dyDescent="0.2"/>
    <row r="2637" s="689" customFormat="1" x14ac:dyDescent="0.2"/>
    <row r="2638" s="689" customFormat="1" x14ac:dyDescent="0.2"/>
    <row r="2639" s="689" customFormat="1" x14ac:dyDescent="0.2"/>
    <row r="2640" s="689" customFormat="1" x14ac:dyDescent="0.2"/>
    <row r="2641" s="689" customFormat="1" x14ac:dyDescent="0.2"/>
    <row r="2642" s="689" customFormat="1" x14ac:dyDescent="0.2"/>
    <row r="2643" s="689" customFormat="1" x14ac:dyDescent="0.2"/>
    <row r="2644" s="689" customFormat="1" x14ac:dyDescent="0.2"/>
    <row r="2645" s="689" customFormat="1" x14ac:dyDescent="0.2"/>
    <row r="2646" s="689" customFormat="1" x14ac:dyDescent="0.2"/>
    <row r="2647" s="689" customFormat="1" x14ac:dyDescent="0.2"/>
    <row r="2648" s="689" customFormat="1" x14ac:dyDescent="0.2"/>
    <row r="2649" s="689" customFormat="1" x14ac:dyDescent="0.2"/>
    <row r="2650" s="689" customFormat="1" x14ac:dyDescent="0.2"/>
    <row r="2651" s="689" customFormat="1" x14ac:dyDescent="0.2"/>
    <row r="2652" s="689" customFormat="1" x14ac:dyDescent="0.2"/>
    <row r="2653" s="689" customFormat="1" x14ac:dyDescent="0.2"/>
    <row r="2654" s="689" customFormat="1" x14ac:dyDescent="0.2"/>
    <row r="2655" s="689" customFormat="1" x14ac:dyDescent="0.2"/>
    <row r="2656" s="689" customFormat="1" x14ac:dyDescent="0.2"/>
    <row r="2657" s="689" customFormat="1" x14ac:dyDescent="0.2"/>
    <row r="2658" s="689" customFormat="1" x14ac:dyDescent="0.2"/>
    <row r="2659" s="689" customFormat="1" x14ac:dyDescent="0.2"/>
    <row r="2660" s="689" customFormat="1" x14ac:dyDescent="0.2"/>
    <row r="2661" s="689" customFormat="1" x14ac:dyDescent="0.2"/>
    <row r="2662" s="689" customFormat="1" x14ac:dyDescent="0.2"/>
    <row r="2663" s="689" customFormat="1" x14ac:dyDescent="0.2"/>
    <row r="2664" s="689" customFormat="1" x14ac:dyDescent="0.2"/>
    <row r="2665" s="689" customFormat="1" x14ac:dyDescent="0.2"/>
    <row r="2666" s="689" customFormat="1" x14ac:dyDescent="0.2"/>
    <row r="2667" s="689" customFormat="1" x14ac:dyDescent="0.2"/>
    <row r="2668" s="689" customFormat="1" x14ac:dyDescent="0.2"/>
    <row r="2669" s="689" customFormat="1" x14ac:dyDescent="0.2"/>
    <row r="2670" s="689" customFormat="1" x14ac:dyDescent="0.2"/>
    <row r="2671" s="689" customFormat="1" x14ac:dyDescent="0.2"/>
    <row r="2672" s="689" customFormat="1" x14ac:dyDescent="0.2"/>
    <row r="2673" s="689" customFormat="1" x14ac:dyDescent="0.2"/>
    <row r="2674" s="689" customFormat="1" x14ac:dyDescent="0.2"/>
    <row r="2675" s="689" customFormat="1" x14ac:dyDescent="0.2"/>
    <row r="2676" s="689" customFormat="1" x14ac:dyDescent="0.2"/>
    <row r="2677" s="689" customFormat="1" x14ac:dyDescent="0.2"/>
    <row r="2678" s="689" customFormat="1" x14ac:dyDescent="0.2"/>
    <row r="2679" s="689" customFormat="1" x14ac:dyDescent="0.2"/>
    <row r="2680" s="689" customFormat="1" x14ac:dyDescent="0.2"/>
    <row r="2681" s="689" customFormat="1" x14ac:dyDescent="0.2"/>
    <row r="2682" s="689" customFormat="1" x14ac:dyDescent="0.2"/>
    <row r="2683" s="689" customFormat="1" x14ac:dyDescent="0.2"/>
    <row r="2684" s="689" customFormat="1" x14ac:dyDescent="0.2"/>
    <row r="2685" s="689" customFormat="1" x14ac:dyDescent="0.2"/>
    <row r="2686" s="689" customFormat="1" x14ac:dyDescent="0.2"/>
    <row r="2687" s="689" customFormat="1" x14ac:dyDescent="0.2"/>
    <row r="2688" s="689" customFormat="1" x14ac:dyDescent="0.2"/>
    <row r="2689" s="689" customFormat="1" x14ac:dyDescent="0.2"/>
    <row r="2690" s="689" customFormat="1" x14ac:dyDescent="0.2"/>
    <row r="2691" s="689" customFormat="1" x14ac:dyDescent="0.2"/>
    <row r="2692" s="689" customFormat="1" x14ac:dyDescent="0.2"/>
    <row r="2693" s="689" customFormat="1" x14ac:dyDescent="0.2"/>
    <row r="2694" s="689" customFormat="1" x14ac:dyDescent="0.2"/>
    <row r="2695" s="689" customFormat="1" x14ac:dyDescent="0.2"/>
    <row r="2696" s="689" customFormat="1" x14ac:dyDescent="0.2"/>
    <row r="2697" s="689" customFormat="1" x14ac:dyDescent="0.2"/>
    <row r="2698" s="689" customFormat="1" x14ac:dyDescent="0.2"/>
    <row r="2699" s="689" customFormat="1" x14ac:dyDescent="0.2"/>
    <row r="2700" s="689" customFormat="1" x14ac:dyDescent="0.2"/>
    <row r="2701" s="689" customFormat="1" x14ac:dyDescent="0.2"/>
    <row r="2702" s="689" customFormat="1" x14ac:dyDescent="0.2"/>
    <row r="2703" s="689" customFormat="1" x14ac:dyDescent="0.2"/>
    <row r="2704" s="689" customFormat="1" x14ac:dyDescent="0.2"/>
    <row r="2705" s="689" customFormat="1" x14ac:dyDescent="0.2"/>
    <row r="2706" s="689" customFormat="1" x14ac:dyDescent="0.2"/>
    <row r="2707" s="689" customFormat="1" x14ac:dyDescent="0.2"/>
    <row r="2708" s="689" customFormat="1" x14ac:dyDescent="0.2"/>
    <row r="2709" s="689" customFormat="1" x14ac:dyDescent="0.2"/>
    <row r="2710" s="689" customFormat="1" x14ac:dyDescent="0.2"/>
    <row r="2711" s="689" customFormat="1" x14ac:dyDescent="0.2"/>
    <row r="2712" s="689" customFormat="1" x14ac:dyDescent="0.2"/>
    <row r="2713" s="689" customFormat="1" x14ac:dyDescent="0.2"/>
    <row r="2714" s="689" customFormat="1" x14ac:dyDescent="0.2"/>
    <row r="2715" s="689" customFormat="1" x14ac:dyDescent="0.2"/>
    <row r="2716" s="689" customFormat="1" x14ac:dyDescent="0.2"/>
    <row r="2717" s="689" customFormat="1" x14ac:dyDescent="0.2"/>
    <row r="2718" s="689" customFormat="1" x14ac:dyDescent="0.2"/>
    <row r="2719" s="689" customFormat="1" x14ac:dyDescent="0.2"/>
    <row r="2720" s="689" customFormat="1" x14ac:dyDescent="0.2"/>
    <row r="2721" s="689" customFormat="1" x14ac:dyDescent="0.2"/>
    <row r="2722" s="689" customFormat="1" x14ac:dyDescent="0.2"/>
    <row r="2723" s="689" customFormat="1" x14ac:dyDescent="0.2"/>
    <row r="2724" s="689" customFormat="1" x14ac:dyDescent="0.2"/>
    <row r="2725" s="689" customFormat="1" x14ac:dyDescent="0.2"/>
    <row r="2726" s="689" customFormat="1" x14ac:dyDescent="0.2"/>
    <row r="2727" s="689" customFormat="1" x14ac:dyDescent="0.2"/>
    <row r="2728" s="689" customFormat="1" x14ac:dyDescent="0.2"/>
    <row r="2729" s="689" customFormat="1" x14ac:dyDescent="0.2"/>
    <row r="2730" s="689" customFormat="1" x14ac:dyDescent="0.2"/>
    <row r="2731" s="689" customFormat="1" x14ac:dyDescent="0.2"/>
    <row r="2732" s="689" customFormat="1" x14ac:dyDescent="0.2"/>
    <row r="2733" s="689" customFormat="1" x14ac:dyDescent="0.2"/>
    <row r="2734" s="689" customFormat="1" x14ac:dyDescent="0.2"/>
    <row r="2735" s="689" customFormat="1" x14ac:dyDescent="0.2"/>
    <row r="2736" s="689" customFormat="1" x14ac:dyDescent="0.2"/>
    <row r="2737" s="689" customFormat="1" x14ac:dyDescent="0.2"/>
    <row r="2738" s="689" customFormat="1" x14ac:dyDescent="0.2"/>
    <row r="2739" s="689" customFormat="1" x14ac:dyDescent="0.2"/>
    <row r="2740" s="689" customFormat="1" x14ac:dyDescent="0.2"/>
    <row r="2741" s="689" customFormat="1" x14ac:dyDescent="0.2"/>
    <row r="2742" s="689" customFormat="1" x14ac:dyDescent="0.2"/>
    <row r="2743" s="689" customFormat="1" x14ac:dyDescent="0.2"/>
    <row r="2744" s="689" customFormat="1" x14ac:dyDescent="0.2"/>
    <row r="2745" s="689" customFormat="1" x14ac:dyDescent="0.2"/>
    <row r="2746" s="689" customFormat="1" x14ac:dyDescent="0.2"/>
    <row r="2747" s="689" customFormat="1" x14ac:dyDescent="0.2"/>
    <row r="2748" s="689" customFormat="1" x14ac:dyDescent="0.2"/>
    <row r="2749" s="689" customFormat="1" x14ac:dyDescent="0.2"/>
    <row r="2750" s="689" customFormat="1" x14ac:dyDescent="0.2"/>
    <row r="2751" s="689" customFormat="1" x14ac:dyDescent="0.2"/>
    <row r="2752" s="689" customFormat="1" x14ac:dyDescent="0.2"/>
    <row r="2753" s="689" customFormat="1" x14ac:dyDescent="0.2"/>
    <row r="2754" s="689" customFormat="1" x14ac:dyDescent="0.2"/>
    <row r="2755" s="689" customFormat="1" x14ac:dyDescent="0.2"/>
    <row r="2756" s="689" customFormat="1" x14ac:dyDescent="0.2"/>
    <row r="2757" s="689" customFormat="1" x14ac:dyDescent="0.2"/>
    <row r="2758" s="689" customFormat="1" x14ac:dyDescent="0.2"/>
    <row r="2759" s="689" customFormat="1" x14ac:dyDescent="0.2"/>
    <row r="2760" s="689" customFormat="1" x14ac:dyDescent="0.2"/>
    <row r="2761" s="689" customFormat="1" x14ac:dyDescent="0.2"/>
    <row r="2762" s="689" customFormat="1" x14ac:dyDescent="0.2"/>
    <row r="2763" s="689" customFormat="1" x14ac:dyDescent="0.2"/>
    <row r="2764" s="689" customFormat="1" x14ac:dyDescent="0.2"/>
    <row r="2765" s="689" customFormat="1" x14ac:dyDescent="0.2"/>
    <row r="2766" s="689" customFormat="1" x14ac:dyDescent="0.2"/>
    <row r="2767" s="689" customFormat="1" x14ac:dyDescent="0.2"/>
    <row r="2768" s="689" customFormat="1" x14ac:dyDescent="0.2"/>
    <row r="2769" s="689" customFormat="1" x14ac:dyDescent="0.2"/>
    <row r="2770" s="689" customFormat="1" x14ac:dyDescent="0.2"/>
    <row r="2771" s="689" customFormat="1" x14ac:dyDescent="0.2"/>
    <row r="2772" s="689" customFormat="1" x14ac:dyDescent="0.2"/>
    <row r="2773" s="689" customFormat="1" x14ac:dyDescent="0.2"/>
    <row r="2774" s="689" customFormat="1" x14ac:dyDescent="0.2"/>
    <row r="2775" s="689" customFormat="1" x14ac:dyDescent="0.2"/>
    <row r="2776" s="689" customFormat="1" x14ac:dyDescent="0.2"/>
    <row r="2777" s="689" customFormat="1" x14ac:dyDescent="0.2"/>
    <row r="2778" s="689" customFormat="1" x14ac:dyDescent="0.2"/>
    <row r="2779" s="689" customFormat="1" x14ac:dyDescent="0.2"/>
    <row r="2780" s="689" customFormat="1" x14ac:dyDescent="0.2"/>
    <row r="2781" s="689" customFormat="1" x14ac:dyDescent="0.2"/>
    <row r="2782" s="689" customFormat="1" x14ac:dyDescent="0.2"/>
    <row r="2783" s="689" customFormat="1" x14ac:dyDescent="0.2"/>
    <row r="2784" s="689" customFormat="1" x14ac:dyDescent="0.2"/>
    <row r="2785" s="689" customFormat="1" x14ac:dyDescent="0.2"/>
    <row r="2786" s="689" customFormat="1" x14ac:dyDescent="0.2"/>
    <row r="2787" s="689" customFormat="1" x14ac:dyDescent="0.2"/>
    <row r="2788" s="689" customFormat="1" x14ac:dyDescent="0.2"/>
    <row r="2789" s="689" customFormat="1" x14ac:dyDescent="0.2"/>
    <row r="2790" s="689" customFormat="1" x14ac:dyDescent="0.2"/>
    <row r="2791" s="689" customFormat="1" x14ac:dyDescent="0.2"/>
    <row r="2792" s="689" customFormat="1" x14ac:dyDescent="0.2"/>
    <row r="2793" s="689" customFormat="1" x14ac:dyDescent="0.2"/>
    <row r="2794" s="689" customFormat="1" x14ac:dyDescent="0.2"/>
    <row r="2795" s="689" customFormat="1" x14ac:dyDescent="0.2"/>
    <row r="2796" s="689" customFormat="1" x14ac:dyDescent="0.2"/>
    <row r="2797" s="689" customFormat="1" x14ac:dyDescent="0.2"/>
    <row r="2798" s="689" customFormat="1" x14ac:dyDescent="0.2"/>
    <row r="2799" s="689" customFormat="1" x14ac:dyDescent="0.2"/>
    <row r="2800" s="689" customFormat="1" x14ac:dyDescent="0.2"/>
    <row r="2801" s="689" customFormat="1" x14ac:dyDescent="0.2"/>
    <row r="2802" s="689" customFormat="1" x14ac:dyDescent="0.2"/>
    <row r="2803" s="689" customFormat="1" x14ac:dyDescent="0.2"/>
    <row r="2804" s="689" customFormat="1" x14ac:dyDescent="0.2"/>
    <row r="2805" s="689" customFormat="1" x14ac:dyDescent="0.2"/>
    <row r="2806" s="689" customFormat="1" x14ac:dyDescent="0.2"/>
    <row r="2807" s="689" customFormat="1" x14ac:dyDescent="0.2"/>
    <row r="2808" s="689" customFormat="1" x14ac:dyDescent="0.2"/>
    <row r="2809" s="689" customFormat="1" x14ac:dyDescent="0.2"/>
    <row r="2810" s="689" customFormat="1" x14ac:dyDescent="0.2"/>
    <row r="2811" s="689" customFormat="1" x14ac:dyDescent="0.2"/>
    <row r="2812" s="689" customFormat="1" x14ac:dyDescent="0.2"/>
    <row r="2813" s="689" customFormat="1" x14ac:dyDescent="0.2"/>
    <row r="2814" s="689" customFormat="1" x14ac:dyDescent="0.2"/>
    <row r="2815" s="689" customFormat="1" x14ac:dyDescent="0.2"/>
    <row r="2816" s="689" customFormat="1" x14ac:dyDescent="0.2"/>
    <row r="2817" s="689" customFormat="1" x14ac:dyDescent="0.2"/>
    <row r="2818" s="689" customFormat="1" x14ac:dyDescent="0.2"/>
    <row r="2819" s="689" customFormat="1" x14ac:dyDescent="0.2"/>
    <row r="2820" s="689" customFormat="1" x14ac:dyDescent="0.2"/>
    <row r="2821" s="689" customFormat="1" x14ac:dyDescent="0.2"/>
    <row r="2822" s="689" customFormat="1" x14ac:dyDescent="0.2"/>
    <row r="2823" s="689" customFormat="1" x14ac:dyDescent="0.2"/>
    <row r="2824" s="689" customFormat="1" x14ac:dyDescent="0.2"/>
    <row r="2825" s="689" customFormat="1" x14ac:dyDescent="0.2"/>
    <row r="2826" s="689" customFormat="1" x14ac:dyDescent="0.2"/>
    <row r="2827" s="689" customFormat="1" x14ac:dyDescent="0.2"/>
    <row r="2828" s="689" customFormat="1" x14ac:dyDescent="0.2"/>
    <row r="2829" s="689" customFormat="1" x14ac:dyDescent="0.2"/>
    <row r="2830" s="689" customFormat="1" x14ac:dyDescent="0.2"/>
    <row r="2831" s="689" customFormat="1" x14ac:dyDescent="0.2"/>
    <row r="2832" s="689" customFormat="1" x14ac:dyDescent="0.2"/>
    <row r="2833" s="689" customFormat="1" x14ac:dyDescent="0.2"/>
    <row r="2834" s="689" customFormat="1" x14ac:dyDescent="0.2"/>
    <row r="2835" s="689" customFormat="1" x14ac:dyDescent="0.2"/>
    <row r="2836" s="689" customFormat="1" x14ac:dyDescent="0.2"/>
    <row r="2837" s="689" customFormat="1" x14ac:dyDescent="0.2"/>
    <row r="2838" s="689" customFormat="1" x14ac:dyDescent="0.2"/>
    <row r="2839" s="689" customFormat="1" x14ac:dyDescent="0.2"/>
    <row r="2840" s="689" customFormat="1" x14ac:dyDescent="0.2"/>
    <row r="2841" s="689" customFormat="1" x14ac:dyDescent="0.2"/>
    <row r="2842" s="689" customFormat="1" x14ac:dyDescent="0.2"/>
    <row r="2843" s="689" customFormat="1" x14ac:dyDescent="0.2"/>
    <row r="2844" s="689" customFormat="1" x14ac:dyDescent="0.2"/>
    <row r="2845" s="689" customFormat="1" x14ac:dyDescent="0.2"/>
    <row r="2846" s="689" customFormat="1" x14ac:dyDescent="0.2"/>
    <row r="2847" s="689" customFormat="1" x14ac:dyDescent="0.2"/>
    <row r="2848" s="689" customFormat="1" x14ac:dyDescent="0.2"/>
    <row r="2849" s="689" customFormat="1" x14ac:dyDescent="0.2"/>
    <row r="2850" s="689" customFormat="1" x14ac:dyDescent="0.2"/>
    <row r="2851" s="689" customFormat="1" x14ac:dyDescent="0.2"/>
    <row r="2852" s="689" customFormat="1" x14ac:dyDescent="0.2"/>
    <row r="2853" s="689" customFormat="1" x14ac:dyDescent="0.2"/>
    <row r="2854" s="689" customFormat="1" x14ac:dyDescent="0.2"/>
    <row r="2855" s="689" customFormat="1" x14ac:dyDescent="0.2"/>
    <row r="2856" s="689" customFormat="1" x14ac:dyDescent="0.2"/>
    <row r="2857" s="689" customFormat="1" x14ac:dyDescent="0.2"/>
    <row r="2858" s="689" customFormat="1" x14ac:dyDescent="0.2"/>
    <row r="2859" s="689" customFormat="1" x14ac:dyDescent="0.2"/>
    <row r="2860" s="689" customFormat="1" x14ac:dyDescent="0.2"/>
    <row r="2861" s="689" customFormat="1" x14ac:dyDescent="0.2"/>
    <row r="2862" s="689" customFormat="1" x14ac:dyDescent="0.2"/>
    <row r="2863" s="689" customFormat="1" x14ac:dyDescent="0.2"/>
    <row r="2864" s="689" customFormat="1" x14ac:dyDescent="0.2"/>
    <row r="2865" s="689" customFormat="1" x14ac:dyDescent="0.2"/>
    <row r="2866" s="689" customFormat="1" x14ac:dyDescent="0.2"/>
    <row r="2867" s="689" customFormat="1" x14ac:dyDescent="0.2"/>
    <row r="2868" s="689" customFormat="1" x14ac:dyDescent="0.2"/>
    <row r="2869" s="689" customFormat="1" x14ac:dyDescent="0.2"/>
    <row r="2870" s="689" customFormat="1" x14ac:dyDescent="0.2"/>
    <row r="2871" s="689" customFormat="1" x14ac:dyDescent="0.2"/>
    <row r="2872" s="689" customFormat="1" x14ac:dyDescent="0.2"/>
    <row r="2873" s="689" customFormat="1" x14ac:dyDescent="0.2"/>
    <row r="2874" s="689" customFormat="1" x14ac:dyDescent="0.2"/>
    <row r="2875" s="689" customFormat="1" x14ac:dyDescent="0.2"/>
    <row r="2876" s="689" customFormat="1" x14ac:dyDescent="0.2"/>
    <row r="2877" s="689" customFormat="1" x14ac:dyDescent="0.2"/>
    <row r="2878" s="689" customFormat="1" x14ac:dyDescent="0.2"/>
    <row r="2879" s="689" customFormat="1" x14ac:dyDescent="0.2"/>
    <row r="2880" s="689" customFormat="1" x14ac:dyDescent="0.2"/>
    <row r="2881" s="689" customFormat="1" x14ac:dyDescent="0.2"/>
    <row r="2882" s="689" customFormat="1" x14ac:dyDescent="0.2"/>
    <row r="2883" s="689" customFormat="1" x14ac:dyDescent="0.2"/>
    <row r="2884" s="689" customFormat="1" x14ac:dyDescent="0.2"/>
    <row r="2885" s="689" customFormat="1" x14ac:dyDescent="0.2"/>
    <row r="2886" s="689" customFormat="1" x14ac:dyDescent="0.2"/>
    <row r="2887" s="689" customFormat="1" x14ac:dyDescent="0.2"/>
    <row r="2888" s="689" customFormat="1" x14ac:dyDescent="0.2"/>
    <row r="2889" s="689" customFormat="1" x14ac:dyDescent="0.2"/>
    <row r="2890" s="689" customFormat="1" x14ac:dyDescent="0.2"/>
    <row r="2891" s="689" customFormat="1" x14ac:dyDescent="0.2"/>
    <row r="2892" s="689" customFormat="1" x14ac:dyDescent="0.2"/>
    <row r="2893" s="689" customFormat="1" x14ac:dyDescent="0.2"/>
    <row r="2894" s="689" customFormat="1" x14ac:dyDescent="0.2"/>
    <row r="2895" s="689" customFormat="1" x14ac:dyDescent="0.2"/>
    <row r="2896" s="689" customFormat="1" x14ac:dyDescent="0.2"/>
    <row r="2897" s="689" customFormat="1" x14ac:dyDescent="0.2"/>
    <row r="2898" s="689" customFormat="1" x14ac:dyDescent="0.2"/>
    <row r="2899" s="689" customFormat="1" x14ac:dyDescent="0.2"/>
    <row r="2900" s="689" customFormat="1" x14ac:dyDescent="0.2"/>
    <row r="2901" s="689" customFormat="1" x14ac:dyDescent="0.2"/>
    <row r="2902" s="689" customFormat="1" x14ac:dyDescent="0.2"/>
    <row r="2903" s="689" customFormat="1" x14ac:dyDescent="0.2"/>
    <row r="2904" s="689" customFormat="1" x14ac:dyDescent="0.2"/>
    <row r="2905" s="689" customFormat="1" x14ac:dyDescent="0.2"/>
    <row r="2906" s="689" customFormat="1" x14ac:dyDescent="0.2"/>
    <row r="2907" s="689" customFormat="1" x14ac:dyDescent="0.2"/>
    <row r="2908" s="689" customFormat="1" x14ac:dyDescent="0.2"/>
    <row r="2909" s="689" customFormat="1" x14ac:dyDescent="0.2"/>
    <row r="2910" s="689" customFormat="1" x14ac:dyDescent="0.2"/>
    <row r="2911" s="689" customFormat="1" x14ac:dyDescent="0.2"/>
    <row r="2912" s="689" customFormat="1" x14ac:dyDescent="0.2"/>
    <row r="2913" s="689" customFormat="1" x14ac:dyDescent="0.2"/>
    <row r="2914" s="689" customFormat="1" x14ac:dyDescent="0.2"/>
    <row r="2915" s="689" customFormat="1" x14ac:dyDescent="0.2"/>
    <row r="2916" s="689" customFormat="1" x14ac:dyDescent="0.2"/>
    <row r="2917" s="689" customFormat="1" x14ac:dyDescent="0.2"/>
    <row r="2918" s="689" customFormat="1" x14ac:dyDescent="0.2"/>
    <row r="2919" s="689" customFormat="1" x14ac:dyDescent="0.2"/>
    <row r="2920" s="689" customFormat="1" x14ac:dyDescent="0.2"/>
    <row r="2921" s="689" customFormat="1" x14ac:dyDescent="0.2"/>
    <row r="2922" s="689" customFormat="1" x14ac:dyDescent="0.2"/>
    <row r="2923" s="689" customFormat="1" x14ac:dyDescent="0.2"/>
    <row r="2924" s="689" customFormat="1" x14ac:dyDescent="0.2"/>
    <row r="2925" s="689" customFormat="1" x14ac:dyDescent="0.2"/>
    <row r="2926" s="689" customFormat="1" x14ac:dyDescent="0.2"/>
    <row r="2927" s="689" customFormat="1" x14ac:dyDescent="0.2"/>
    <row r="2928" s="689" customFormat="1" x14ac:dyDescent="0.2"/>
    <row r="2929" s="689" customFormat="1" x14ac:dyDescent="0.2"/>
    <row r="2930" s="689" customFormat="1" x14ac:dyDescent="0.2"/>
    <row r="2931" s="689" customFormat="1" x14ac:dyDescent="0.2"/>
    <row r="2932" s="689" customFormat="1" x14ac:dyDescent="0.2"/>
    <row r="2933" s="689" customFormat="1" x14ac:dyDescent="0.2"/>
    <row r="2934" s="689" customFormat="1" x14ac:dyDescent="0.2"/>
    <row r="2935" s="689" customFormat="1" x14ac:dyDescent="0.2"/>
    <row r="2936" s="689" customFormat="1" x14ac:dyDescent="0.2"/>
    <row r="2937" s="689" customFormat="1" x14ac:dyDescent="0.2"/>
    <row r="2938" s="689" customFormat="1" x14ac:dyDescent="0.2"/>
    <row r="2939" s="689" customFormat="1" x14ac:dyDescent="0.2"/>
    <row r="2940" s="689" customFormat="1" x14ac:dyDescent="0.2"/>
    <row r="2941" s="689" customFormat="1" x14ac:dyDescent="0.2"/>
    <row r="2942" s="689" customFormat="1" x14ac:dyDescent="0.2"/>
    <row r="2943" s="689" customFormat="1" x14ac:dyDescent="0.2"/>
    <row r="2944" s="689" customFormat="1" x14ac:dyDescent="0.2"/>
    <row r="2945" s="689" customFormat="1" x14ac:dyDescent="0.2"/>
    <row r="2946" s="689" customFormat="1" x14ac:dyDescent="0.2"/>
    <row r="2947" s="689" customFormat="1" x14ac:dyDescent="0.2"/>
    <row r="2948" s="689" customFormat="1" x14ac:dyDescent="0.2"/>
    <row r="2949" s="689" customFormat="1" x14ac:dyDescent="0.2"/>
    <row r="2950" s="689" customFormat="1" x14ac:dyDescent="0.2"/>
    <row r="2951" s="689" customFormat="1" x14ac:dyDescent="0.2"/>
    <row r="2952" s="689" customFormat="1" x14ac:dyDescent="0.2"/>
    <row r="2953" s="689" customFormat="1" x14ac:dyDescent="0.2"/>
    <row r="2954" s="689" customFormat="1" x14ac:dyDescent="0.2"/>
    <row r="2955" s="689" customFormat="1" x14ac:dyDescent="0.2"/>
    <row r="2956" s="689" customFormat="1" x14ac:dyDescent="0.2"/>
    <row r="2957" s="689" customFormat="1" x14ac:dyDescent="0.2"/>
    <row r="2958" s="689" customFormat="1" x14ac:dyDescent="0.2"/>
    <row r="2959" s="689" customFormat="1" x14ac:dyDescent="0.2"/>
    <row r="2960" s="689" customFormat="1" x14ac:dyDescent="0.2"/>
    <row r="2961" s="689" customFormat="1" x14ac:dyDescent="0.2"/>
    <row r="2962" s="689" customFormat="1" x14ac:dyDescent="0.2"/>
    <row r="2963" s="689" customFormat="1" x14ac:dyDescent="0.2"/>
    <row r="2964" s="689" customFormat="1" x14ac:dyDescent="0.2"/>
    <row r="2965" s="689" customFormat="1" x14ac:dyDescent="0.2"/>
    <row r="2966" s="689" customFormat="1" x14ac:dyDescent="0.2"/>
    <row r="2967" s="689" customFormat="1" x14ac:dyDescent="0.2"/>
    <row r="2968" s="689" customFormat="1" x14ac:dyDescent="0.2"/>
    <row r="2969" s="689" customFormat="1" x14ac:dyDescent="0.2"/>
    <row r="2970" s="689" customFormat="1" x14ac:dyDescent="0.2"/>
    <row r="2971" s="689" customFormat="1" x14ac:dyDescent="0.2"/>
    <row r="2972" s="689" customFormat="1" x14ac:dyDescent="0.2"/>
    <row r="2973" s="689" customFormat="1" x14ac:dyDescent="0.2"/>
    <row r="2974" s="689" customFormat="1" x14ac:dyDescent="0.2"/>
    <row r="2975" s="689" customFormat="1" x14ac:dyDescent="0.2"/>
    <row r="2976" s="689" customFormat="1" x14ac:dyDescent="0.2"/>
    <row r="2977" s="689" customFormat="1" x14ac:dyDescent="0.2"/>
    <row r="2978" s="689" customFormat="1" x14ac:dyDescent="0.2"/>
    <row r="2979" s="689" customFormat="1" x14ac:dyDescent="0.2"/>
    <row r="2980" s="689" customFormat="1" x14ac:dyDescent="0.2"/>
    <row r="2981" s="689" customFormat="1" x14ac:dyDescent="0.2"/>
    <row r="2982" s="689" customFormat="1" x14ac:dyDescent="0.2"/>
    <row r="2983" s="689" customFormat="1" x14ac:dyDescent="0.2"/>
    <row r="2984" s="689" customFormat="1" x14ac:dyDescent="0.2"/>
    <row r="2985" s="689" customFormat="1" x14ac:dyDescent="0.2"/>
    <row r="2986" s="689" customFormat="1" x14ac:dyDescent="0.2"/>
    <row r="2987" s="689" customFormat="1" x14ac:dyDescent="0.2"/>
    <row r="2988" s="689" customFormat="1" x14ac:dyDescent="0.2"/>
    <row r="2989" s="689" customFormat="1" x14ac:dyDescent="0.2"/>
    <row r="2990" s="689" customFormat="1" x14ac:dyDescent="0.2"/>
    <row r="2991" s="689" customFormat="1" x14ac:dyDescent="0.2"/>
    <row r="2992" s="689" customFormat="1" x14ac:dyDescent="0.2"/>
    <row r="2993" s="689" customFormat="1" x14ac:dyDescent="0.2"/>
    <row r="2994" s="689" customFormat="1" x14ac:dyDescent="0.2"/>
    <row r="2995" s="689" customFormat="1" x14ac:dyDescent="0.2"/>
    <row r="2996" s="689" customFormat="1" x14ac:dyDescent="0.2"/>
    <row r="2997" s="689" customFormat="1" x14ac:dyDescent="0.2"/>
    <row r="2998" s="689" customFormat="1" x14ac:dyDescent="0.2"/>
    <row r="2999" s="689" customFormat="1" x14ac:dyDescent="0.2"/>
    <row r="3000" s="689" customFormat="1" x14ac:dyDescent="0.2"/>
    <row r="3001" s="689" customFormat="1" x14ac:dyDescent="0.2"/>
    <row r="3002" s="689" customFormat="1" x14ac:dyDescent="0.2"/>
    <row r="3003" s="689" customFormat="1" x14ac:dyDescent="0.2"/>
    <row r="3004" s="689" customFormat="1" x14ac:dyDescent="0.2"/>
    <row r="3005" s="689" customFormat="1" x14ac:dyDescent="0.2"/>
    <row r="3006" s="689" customFormat="1" x14ac:dyDescent="0.2"/>
    <row r="3007" s="689" customFormat="1" x14ac:dyDescent="0.2"/>
    <row r="3008" s="689" customFormat="1" x14ac:dyDescent="0.2"/>
    <row r="3009" s="689" customFormat="1" x14ac:dyDescent="0.2"/>
    <row r="3010" s="689" customFormat="1" x14ac:dyDescent="0.2"/>
    <row r="3011" s="689" customFormat="1" x14ac:dyDescent="0.2"/>
    <row r="3012" s="689" customFormat="1" x14ac:dyDescent="0.2"/>
    <row r="3013" s="689" customFormat="1" x14ac:dyDescent="0.2"/>
    <row r="3014" s="689" customFormat="1" x14ac:dyDescent="0.2"/>
    <row r="3015" s="689" customFormat="1" x14ac:dyDescent="0.2"/>
    <row r="3016" s="689" customFormat="1" x14ac:dyDescent="0.2"/>
    <row r="3017" s="689" customFormat="1" x14ac:dyDescent="0.2"/>
    <row r="3018" s="689" customFormat="1" x14ac:dyDescent="0.2"/>
    <row r="3019" s="689" customFormat="1" x14ac:dyDescent="0.2"/>
    <row r="3020" s="689" customFormat="1" x14ac:dyDescent="0.2"/>
    <row r="3021" s="689" customFormat="1" x14ac:dyDescent="0.2"/>
    <row r="3022" s="689" customFormat="1" x14ac:dyDescent="0.2"/>
    <row r="3023" s="689" customFormat="1" x14ac:dyDescent="0.2"/>
    <row r="3024" s="689" customFormat="1" x14ac:dyDescent="0.2"/>
    <row r="3025" s="689" customFormat="1" x14ac:dyDescent="0.2"/>
    <row r="3026" s="689" customFormat="1" x14ac:dyDescent="0.2"/>
    <row r="3027" s="689" customFormat="1" x14ac:dyDescent="0.2"/>
    <row r="3028" s="689" customFormat="1" x14ac:dyDescent="0.2"/>
    <row r="3029" s="689" customFormat="1" x14ac:dyDescent="0.2"/>
    <row r="3030" s="689" customFormat="1" x14ac:dyDescent="0.2"/>
    <row r="3031" s="689" customFormat="1" x14ac:dyDescent="0.2"/>
    <row r="3032" s="689" customFormat="1" x14ac:dyDescent="0.2"/>
    <row r="3033" s="689" customFormat="1" x14ac:dyDescent="0.2"/>
    <row r="3034" s="689" customFormat="1" x14ac:dyDescent="0.2"/>
    <row r="3035" s="689" customFormat="1" x14ac:dyDescent="0.2"/>
    <row r="3036" s="689" customFormat="1" x14ac:dyDescent="0.2"/>
    <row r="3037" s="689" customFormat="1" x14ac:dyDescent="0.2"/>
    <row r="3038" s="689" customFormat="1" x14ac:dyDescent="0.2"/>
    <row r="3039" s="689" customFormat="1" x14ac:dyDescent="0.2"/>
    <row r="3040" s="689" customFormat="1" x14ac:dyDescent="0.2"/>
    <row r="3041" s="689" customFormat="1" x14ac:dyDescent="0.2"/>
    <row r="3042" s="689" customFormat="1" x14ac:dyDescent="0.2"/>
    <row r="3043" s="689" customFormat="1" x14ac:dyDescent="0.2"/>
    <row r="3044" s="689" customFormat="1" x14ac:dyDescent="0.2"/>
    <row r="3045" s="689" customFormat="1" x14ac:dyDescent="0.2"/>
    <row r="3046" s="689" customFormat="1" x14ac:dyDescent="0.2"/>
    <row r="3047" s="689" customFormat="1" x14ac:dyDescent="0.2"/>
    <row r="3048" s="689" customFormat="1" x14ac:dyDescent="0.2"/>
    <row r="3049" s="689" customFormat="1" x14ac:dyDescent="0.2"/>
    <row r="3050" s="689" customFormat="1" x14ac:dyDescent="0.2"/>
    <row r="3051" s="689" customFormat="1" x14ac:dyDescent="0.2"/>
    <row r="3052" s="689" customFormat="1" x14ac:dyDescent="0.2"/>
    <row r="3053" s="689" customFormat="1" x14ac:dyDescent="0.2"/>
    <row r="3054" s="689" customFormat="1" x14ac:dyDescent="0.2"/>
    <row r="3055" s="689" customFormat="1" x14ac:dyDescent="0.2"/>
    <row r="3056" s="689" customFormat="1" x14ac:dyDescent="0.2"/>
    <row r="3057" s="689" customFormat="1" x14ac:dyDescent="0.2"/>
    <row r="3058" s="689" customFormat="1" x14ac:dyDescent="0.2"/>
    <row r="3059" s="689" customFormat="1" x14ac:dyDescent="0.2"/>
    <row r="3060" s="689" customFormat="1" x14ac:dyDescent="0.2"/>
    <row r="3061" s="689" customFormat="1" x14ac:dyDescent="0.2"/>
    <row r="3062" s="689" customFormat="1" x14ac:dyDescent="0.2"/>
    <row r="3063" s="689" customFormat="1" x14ac:dyDescent="0.2"/>
    <row r="3064" s="689" customFormat="1" x14ac:dyDescent="0.2"/>
    <row r="3065" s="689" customFormat="1" x14ac:dyDescent="0.2"/>
    <row r="3066" s="689" customFormat="1" x14ac:dyDescent="0.2"/>
    <row r="3067" s="689" customFormat="1" x14ac:dyDescent="0.2"/>
    <row r="3068" s="689" customFormat="1" x14ac:dyDescent="0.2"/>
    <row r="3069" s="689" customFormat="1" x14ac:dyDescent="0.2"/>
    <row r="3070" s="689" customFormat="1" x14ac:dyDescent="0.2"/>
    <row r="3071" s="689" customFormat="1" x14ac:dyDescent="0.2"/>
    <row r="3072" s="689" customFormat="1" x14ac:dyDescent="0.2"/>
    <row r="3073" s="689" customFormat="1" x14ac:dyDescent="0.2"/>
    <row r="3074" s="689" customFormat="1" x14ac:dyDescent="0.2"/>
    <row r="3075" s="689" customFormat="1" x14ac:dyDescent="0.2"/>
    <row r="3076" s="689" customFormat="1" x14ac:dyDescent="0.2"/>
    <row r="3077" s="689" customFormat="1" x14ac:dyDescent="0.2"/>
    <row r="3078" s="689" customFormat="1" x14ac:dyDescent="0.2"/>
    <row r="3079" s="689" customFormat="1" x14ac:dyDescent="0.2"/>
    <row r="3080" s="689" customFormat="1" x14ac:dyDescent="0.2"/>
    <row r="3081" s="689" customFormat="1" x14ac:dyDescent="0.2"/>
    <row r="3082" s="689" customFormat="1" x14ac:dyDescent="0.2"/>
    <row r="3083" s="689" customFormat="1" x14ac:dyDescent="0.2"/>
    <row r="3084" s="689" customFormat="1" x14ac:dyDescent="0.2"/>
    <row r="3085" s="689" customFormat="1" x14ac:dyDescent="0.2"/>
    <row r="3086" s="689" customFormat="1" x14ac:dyDescent="0.2"/>
    <row r="3087" s="689" customFormat="1" x14ac:dyDescent="0.2"/>
    <row r="3088" s="689" customFormat="1" x14ac:dyDescent="0.2"/>
    <row r="3089" s="689" customFormat="1" x14ac:dyDescent="0.2"/>
    <row r="3090" s="689" customFormat="1" x14ac:dyDescent="0.2"/>
    <row r="3091" s="689" customFormat="1" x14ac:dyDescent="0.2"/>
    <row r="3092" s="689" customFormat="1" x14ac:dyDescent="0.2"/>
    <row r="3093" s="689" customFormat="1" x14ac:dyDescent="0.2"/>
    <row r="3094" s="689" customFormat="1" x14ac:dyDescent="0.2"/>
    <row r="3095" s="689" customFormat="1" x14ac:dyDescent="0.2"/>
    <row r="3096" s="689" customFormat="1" x14ac:dyDescent="0.2"/>
    <row r="3097" s="689" customFormat="1" x14ac:dyDescent="0.2"/>
    <row r="3098" s="689" customFormat="1" x14ac:dyDescent="0.2"/>
    <row r="3099" s="689" customFormat="1" x14ac:dyDescent="0.2"/>
    <row r="3100" s="689" customFormat="1" x14ac:dyDescent="0.2"/>
    <row r="3101" s="689" customFormat="1" x14ac:dyDescent="0.2"/>
    <row r="3102" s="689" customFormat="1" x14ac:dyDescent="0.2"/>
    <row r="3103" s="689" customFormat="1" x14ac:dyDescent="0.2"/>
    <row r="3104" s="689" customFormat="1" x14ac:dyDescent="0.2"/>
    <row r="3105" s="689" customFormat="1" x14ac:dyDescent="0.2"/>
    <row r="3106" s="689" customFormat="1" x14ac:dyDescent="0.2"/>
    <row r="3107" s="689" customFormat="1" x14ac:dyDescent="0.2"/>
    <row r="3108" s="689" customFormat="1" x14ac:dyDescent="0.2"/>
    <row r="3109" s="689" customFormat="1" x14ac:dyDescent="0.2"/>
    <row r="3110" s="689" customFormat="1" x14ac:dyDescent="0.2"/>
    <row r="3111" s="689" customFormat="1" x14ac:dyDescent="0.2"/>
    <row r="3112" s="689" customFormat="1" x14ac:dyDescent="0.2"/>
    <row r="3113" s="689" customFormat="1" x14ac:dyDescent="0.2"/>
    <row r="3114" s="689" customFormat="1" x14ac:dyDescent="0.2"/>
    <row r="3115" s="689" customFormat="1" x14ac:dyDescent="0.2"/>
    <row r="3116" s="689" customFormat="1" x14ac:dyDescent="0.2"/>
    <row r="3117" s="689" customFormat="1" x14ac:dyDescent="0.2"/>
    <row r="3118" s="689" customFormat="1" x14ac:dyDescent="0.2"/>
    <row r="3119" s="689" customFormat="1" x14ac:dyDescent="0.2"/>
    <row r="3120" s="689" customFormat="1" x14ac:dyDescent="0.2"/>
    <row r="3121" s="689" customFormat="1" x14ac:dyDescent="0.2"/>
    <row r="3122" s="689" customFormat="1" x14ac:dyDescent="0.2"/>
    <row r="3123" s="689" customFormat="1" x14ac:dyDescent="0.2"/>
    <row r="3124" s="689" customFormat="1" x14ac:dyDescent="0.2"/>
    <row r="3125" s="689" customFormat="1" x14ac:dyDescent="0.2"/>
    <row r="3126" s="689" customFormat="1" x14ac:dyDescent="0.2"/>
    <row r="3127" s="689" customFormat="1" x14ac:dyDescent="0.2"/>
    <row r="3128" s="689" customFormat="1" x14ac:dyDescent="0.2"/>
    <row r="3129" s="689" customFormat="1" x14ac:dyDescent="0.2"/>
    <row r="3130" s="689" customFormat="1" x14ac:dyDescent="0.2"/>
    <row r="3131" s="689" customFormat="1" x14ac:dyDescent="0.2"/>
    <row r="3132" s="689" customFormat="1" x14ac:dyDescent="0.2"/>
    <row r="3133" s="689" customFormat="1" x14ac:dyDescent="0.2"/>
    <row r="3134" s="689" customFormat="1" x14ac:dyDescent="0.2"/>
    <row r="3135" s="689" customFormat="1" x14ac:dyDescent="0.2"/>
    <row r="3136" s="689" customFormat="1" x14ac:dyDescent="0.2"/>
    <row r="3137" s="689" customFormat="1" x14ac:dyDescent="0.2"/>
    <row r="3138" s="689" customFormat="1" x14ac:dyDescent="0.2"/>
    <row r="3139" s="689" customFormat="1" x14ac:dyDescent="0.2"/>
    <row r="3140" s="689" customFormat="1" x14ac:dyDescent="0.2"/>
    <row r="3141" s="689" customFormat="1" x14ac:dyDescent="0.2"/>
    <row r="3142" s="689" customFormat="1" x14ac:dyDescent="0.2"/>
    <row r="3143" s="689" customFormat="1" x14ac:dyDescent="0.2"/>
    <row r="3144" s="689" customFormat="1" x14ac:dyDescent="0.2"/>
    <row r="3145" s="689" customFormat="1" x14ac:dyDescent="0.2"/>
    <row r="3146" s="689" customFormat="1" x14ac:dyDescent="0.2"/>
    <row r="3147" s="689" customFormat="1" x14ac:dyDescent="0.2"/>
    <row r="3148" s="689" customFormat="1" x14ac:dyDescent="0.2"/>
    <row r="3149" s="689" customFormat="1" x14ac:dyDescent="0.2"/>
    <row r="3150" s="689" customFormat="1" x14ac:dyDescent="0.2"/>
    <row r="3151" s="689" customFormat="1" x14ac:dyDescent="0.2"/>
    <row r="3152" s="689" customFormat="1" x14ac:dyDescent="0.2"/>
    <row r="3153" s="689" customFormat="1" x14ac:dyDescent="0.2"/>
    <row r="3154" s="689" customFormat="1" x14ac:dyDescent="0.2"/>
    <row r="3155" s="689" customFormat="1" x14ac:dyDescent="0.2"/>
    <row r="3156" s="689" customFormat="1" x14ac:dyDescent="0.2"/>
    <row r="3157" s="689" customFormat="1" x14ac:dyDescent="0.2"/>
    <row r="3158" s="689" customFormat="1" x14ac:dyDescent="0.2"/>
    <row r="3159" s="689" customFormat="1" x14ac:dyDescent="0.2"/>
    <row r="3160" s="689" customFormat="1" x14ac:dyDescent="0.2"/>
    <row r="3161" s="689" customFormat="1" x14ac:dyDescent="0.2"/>
    <row r="3162" s="689" customFormat="1" x14ac:dyDescent="0.2"/>
    <row r="3163" s="689" customFormat="1" x14ac:dyDescent="0.2"/>
    <row r="3164" s="689" customFormat="1" x14ac:dyDescent="0.2"/>
    <row r="3165" s="689" customFormat="1" x14ac:dyDescent="0.2"/>
    <row r="3166" s="689" customFormat="1" x14ac:dyDescent="0.2"/>
    <row r="3167" s="689" customFormat="1" x14ac:dyDescent="0.2"/>
    <row r="3168" s="689" customFormat="1" x14ac:dyDescent="0.2"/>
    <row r="3169" s="689" customFormat="1" x14ac:dyDescent="0.2"/>
    <row r="3170" s="689" customFormat="1" x14ac:dyDescent="0.2"/>
    <row r="3171" s="689" customFormat="1" x14ac:dyDescent="0.2"/>
    <row r="3172" s="689" customFormat="1" x14ac:dyDescent="0.2"/>
    <row r="3173" s="689" customFormat="1" x14ac:dyDescent="0.2"/>
    <row r="3174" s="689" customFormat="1" x14ac:dyDescent="0.2"/>
    <row r="3175" s="689" customFormat="1" x14ac:dyDescent="0.2"/>
    <row r="3176" s="689" customFormat="1" x14ac:dyDescent="0.2"/>
    <row r="3177" s="689" customFormat="1" x14ac:dyDescent="0.2"/>
    <row r="3178" s="689" customFormat="1" x14ac:dyDescent="0.2"/>
    <row r="3179" s="689" customFormat="1" x14ac:dyDescent="0.2"/>
    <row r="3180" s="689" customFormat="1" x14ac:dyDescent="0.2"/>
    <row r="3181" s="689" customFormat="1" x14ac:dyDescent="0.2"/>
    <row r="3182" s="689" customFormat="1" x14ac:dyDescent="0.2"/>
    <row r="3183" s="689" customFormat="1" x14ac:dyDescent="0.2"/>
    <row r="3184" s="689" customFormat="1" x14ac:dyDescent="0.2"/>
    <row r="3185" s="689" customFormat="1" x14ac:dyDescent="0.2"/>
    <row r="3186" s="689" customFormat="1" x14ac:dyDescent="0.2"/>
    <row r="3187" s="689" customFormat="1" x14ac:dyDescent="0.2"/>
    <row r="3188" s="689" customFormat="1" x14ac:dyDescent="0.2"/>
    <row r="3189" s="689" customFormat="1" x14ac:dyDescent="0.2"/>
    <row r="3190" s="689" customFormat="1" x14ac:dyDescent="0.2"/>
    <row r="3191" s="689" customFormat="1" x14ac:dyDescent="0.2"/>
    <row r="3192" s="689" customFormat="1" x14ac:dyDescent="0.2"/>
    <row r="3193" s="689" customFormat="1" x14ac:dyDescent="0.2"/>
    <row r="3194" s="689" customFormat="1" x14ac:dyDescent="0.2"/>
    <row r="3195" s="689" customFormat="1" x14ac:dyDescent="0.2"/>
    <row r="3196" s="689" customFormat="1" x14ac:dyDescent="0.2"/>
    <row r="3197" s="689" customFormat="1" x14ac:dyDescent="0.2"/>
    <row r="3198" s="689" customFormat="1" x14ac:dyDescent="0.2"/>
    <row r="3199" s="689" customFormat="1" x14ac:dyDescent="0.2"/>
    <row r="3200" s="689" customFormat="1" x14ac:dyDescent="0.2"/>
    <row r="3201" s="689" customFormat="1" x14ac:dyDescent="0.2"/>
    <row r="3202" s="689" customFormat="1" x14ac:dyDescent="0.2"/>
    <row r="3203" s="689" customFormat="1" x14ac:dyDescent="0.2"/>
    <row r="3204" s="689" customFormat="1" x14ac:dyDescent="0.2"/>
    <row r="3205" s="689" customFormat="1" x14ac:dyDescent="0.2"/>
    <row r="3206" s="689" customFormat="1" x14ac:dyDescent="0.2"/>
    <row r="3207" s="689" customFormat="1" x14ac:dyDescent="0.2"/>
    <row r="3208" s="689" customFormat="1" x14ac:dyDescent="0.2"/>
    <row r="3209" s="689" customFormat="1" x14ac:dyDescent="0.2"/>
    <row r="3210" s="689" customFormat="1" x14ac:dyDescent="0.2"/>
    <row r="3211" s="689" customFormat="1" x14ac:dyDescent="0.2"/>
    <row r="3212" s="689" customFormat="1" x14ac:dyDescent="0.2"/>
    <row r="3213" s="689" customFormat="1" x14ac:dyDescent="0.2"/>
    <row r="3214" s="689" customFormat="1" x14ac:dyDescent="0.2"/>
    <row r="3215" s="689" customFormat="1" x14ac:dyDescent="0.2"/>
    <row r="3216" s="689" customFormat="1" x14ac:dyDescent="0.2"/>
    <row r="3217" s="689" customFormat="1" x14ac:dyDescent="0.2"/>
    <row r="3218" s="689" customFormat="1" x14ac:dyDescent="0.2"/>
    <row r="3219" s="689" customFormat="1" x14ac:dyDescent="0.2"/>
    <row r="3220" s="689" customFormat="1" x14ac:dyDescent="0.2"/>
    <row r="3221" s="689" customFormat="1" x14ac:dyDescent="0.2"/>
    <row r="3222" s="689" customFormat="1" x14ac:dyDescent="0.2"/>
    <row r="3223" s="689" customFormat="1" x14ac:dyDescent="0.2"/>
    <row r="3224" s="689" customFormat="1" x14ac:dyDescent="0.2"/>
    <row r="3225" s="689" customFormat="1" x14ac:dyDescent="0.2"/>
    <row r="3226" s="689" customFormat="1" x14ac:dyDescent="0.2"/>
    <row r="3227" s="689" customFormat="1" x14ac:dyDescent="0.2"/>
    <row r="3228" s="689" customFormat="1" x14ac:dyDescent="0.2"/>
    <row r="3229" s="689" customFormat="1" x14ac:dyDescent="0.2"/>
    <row r="3230" s="689" customFormat="1" x14ac:dyDescent="0.2"/>
    <row r="3231" s="689" customFormat="1" x14ac:dyDescent="0.2"/>
    <row r="3232" s="689" customFormat="1" x14ac:dyDescent="0.2"/>
    <row r="3233" s="689" customFormat="1" x14ac:dyDescent="0.2"/>
    <row r="3234" s="689" customFormat="1" x14ac:dyDescent="0.2"/>
    <row r="3235" s="689" customFormat="1" x14ac:dyDescent="0.2"/>
    <row r="3236" s="689" customFormat="1" x14ac:dyDescent="0.2"/>
    <row r="3237" s="689" customFormat="1" x14ac:dyDescent="0.2"/>
    <row r="3238" s="689" customFormat="1" x14ac:dyDescent="0.2"/>
    <row r="3239" s="689" customFormat="1" x14ac:dyDescent="0.2"/>
    <row r="3240" s="689" customFormat="1" x14ac:dyDescent="0.2"/>
    <row r="3241" s="689" customFormat="1" x14ac:dyDescent="0.2"/>
    <row r="3242" s="689" customFormat="1" x14ac:dyDescent="0.2"/>
    <row r="3243" s="689" customFormat="1" x14ac:dyDescent="0.2"/>
    <row r="3244" s="689" customFormat="1" x14ac:dyDescent="0.2"/>
    <row r="3245" s="689" customFormat="1" x14ac:dyDescent="0.2"/>
    <row r="3246" s="689" customFormat="1" x14ac:dyDescent="0.2"/>
    <row r="3247" s="689" customFormat="1" x14ac:dyDescent="0.2"/>
    <row r="3248" s="689" customFormat="1" x14ac:dyDescent="0.2"/>
    <row r="3249" s="689" customFormat="1" x14ac:dyDescent="0.2"/>
    <row r="3250" s="689" customFormat="1" x14ac:dyDescent="0.2"/>
    <row r="3251" s="689" customFormat="1" x14ac:dyDescent="0.2"/>
    <row r="3252" s="689" customFormat="1" x14ac:dyDescent="0.2"/>
    <row r="3253" s="689" customFormat="1" x14ac:dyDescent="0.2"/>
    <row r="3254" s="689" customFormat="1" x14ac:dyDescent="0.2"/>
    <row r="3255" s="689" customFormat="1" x14ac:dyDescent="0.2"/>
    <row r="3256" s="689" customFormat="1" x14ac:dyDescent="0.2"/>
    <row r="3257" s="689" customFormat="1" x14ac:dyDescent="0.2"/>
    <row r="3258" s="689" customFormat="1" x14ac:dyDescent="0.2"/>
    <row r="3259" s="689" customFormat="1" x14ac:dyDescent="0.2"/>
    <row r="3260" s="689" customFormat="1" x14ac:dyDescent="0.2"/>
    <row r="3261" s="689" customFormat="1" x14ac:dyDescent="0.2"/>
    <row r="3262" s="689" customFormat="1" x14ac:dyDescent="0.2"/>
    <row r="3263" s="689" customFormat="1" x14ac:dyDescent="0.2"/>
    <row r="3264" s="689" customFormat="1" x14ac:dyDescent="0.2"/>
    <row r="3265" s="689" customFormat="1" x14ac:dyDescent="0.2"/>
    <row r="3266" s="689" customFormat="1" x14ac:dyDescent="0.2"/>
    <row r="3267" s="689" customFormat="1" x14ac:dyDescent="0.2"/>
    <row r="3268" s="689" customFormat="1" x14ac:dyDescent="0.2"/>
    <row r="3269" s="689" customFormat="1" x14ac:dyDescent="0.2"/>
    <row r="3270" s="689" customFormat="1" x14ac:dyDescent="0.2"/>
    <row r="3271" s="689" customFormat="1" x14ac:dyDescent="0.2"/>
    <row r="3272" s="689" customFormat="1" x14ac:dyDescent="0.2"/>
    <row r="3273" s="689" customFormat="1" x14ac:dyDescent="0.2"/>
    <row r="3274" s="689" customFormat="1" x14ac:dyDescent="0.2"/>
    <row r="3275" s="689" customFormat="1" x14ac:dyDescent="0.2"/>
    <row r="3276" s="689" customFormat="1" x14ac:dyDescent="0.2"/>
    <row r="3277" s="689" customFormat="1" x14ac:dyDescent="0.2"/>
    <row r="3278" s="689" customFormat="1" x14ac:dyDescent="0.2"/>
    <row r="3279" s="689" customFormat="1" x14ac:dyDescent="0.2"/>
    <row r="3280" s="689" customFormat="1" x14ac:dyDescent="0.2"/>
    <row r="3281" s="689" customFormat="1" x14ac:dyDescent="0.2"/>
    <row r="3282" s="689" customFormat="1" x14ac:dyDescent="0.2"/>
    <row r="3283" s="689" customFormat="1" x14ac:dyDescent="0.2"/>
    <row r="3284" s="689" customFormat="1" x14ac:dyDescent="0.2"/>
    <row r="3285" s="689" customFormat="1" x14ac:dyDescent="0.2"/>
    <row r="3286" s="689" customFormat="1" x14ac:dyDescent="0.2"/>
    <row r="3287" s="689" customFormat="1" x14ac:dyDescent="0.2"/>
    <row r="3288" s="689" customFormat="1" x14ac:dyDescent="0.2"/>
    <row r="3289" s="689" customFormat="1" x14ac:dyDescent="0.2"/>
    <row r="3290" s="689" customFormat="1" x14ac:dyDescent="0.2"/>
    <row r="3291" s="689" customFormat="1" x14ac:dyDescent="0.2"/>
    <row r="3292" s="689" customFormat="1" x14ac:dyDescent="0.2"/>
    <row r="3293" s="689" customFormat="1" x14ac:dyDescent="0.2"/>
    <row r="3294" s="689" customFormat="1" x14ac:dyDescent="0.2"/>
    <row r="3295" s="689" customFormat="1" x14ac:dyDescent="0.2"/>
    <row r="3296" s="689" customFormat="1" x14ac:dyDescent="0.2"/>
    <row r="3297" s="689" customFormat="1" x14ac:dyDescent="0.2"/>
    <row r="3298" s="689" customFormat="1" x14ac:dyDescent="0.2"/>
    <row r="3299" s="689" customFormat="1" x14ac:dyDescent="0.2"/>
    <row r="3300" s="689" customFormat="1" x14ac:dyDescent="0.2"/>
    <row r="3301" s="689" customFormat="1" x14ac:dyDescent="0.2"/>
    <row r="3302" s="689" customFormat="1" x14ac:dyDescent="0.2"/>
    <row r="3303" s="689" customFormat="1" x14ac:dyDescent="0.2"/>
    <row r="3304" s="689" customFormat="1" x14ac:dyDescent="0.2"/>
    <row r="3305" s="689" customFormat="1" x14ac:dyDescent="0.2"/>
    <row r="3306" s="689" customFormat="1" x14ac:dyDescent="0.2"/>
    <row r="3307" s="689" customFormat="1" x14ac:dyDescent="0.2"/>
    <row r="3308" s="689" customFormat="1" x14ac:dyDescent="0.2"/>
    <row r="3309" s="689" customFormat="1" x14ac:dyDescent="0.2"/>
    <row r="3310" s="689" customFormat="1" x14ac:dyDescent="0.2"/>
    <row r="3311" s="689" customFormat="1" x14ac:dyDescent="0.2"/>
    <row r="3312" s="689" customFormat="1" x14ac:dyDescent="0.2"/>
    <row r="3313" s="689" customFormat="1" x14ac:dyDescent="0.2"/>
    <row r="3314" s="689" customFormat="1" x14ac:dyDescent="0.2"/>
    <row r="3315" s="689" customFormat="1" x14ac:dyDescent="0.2"/>
    <row r="3316" s="689" customFormat="1" x14ac:dyDescent="0.2"/>
    <row r="3317" s="689" customFormat="1" x14ac:dyDescent="0.2"/>
    <row r="3318" s="689" customFormat="1" x14ac:dyDescent="0.2"/>
    <row r="3319" s="689" customFormat="1" x14ac:dyDescent="0.2"/>
    <row r="3320" s="689" customFormat="1" x14ac:dyDescent="0.2"/>
    <row r="3321" s="689" customFormat="1" x14ac:dyDescent="0.2"/>
    <row r="3322" s="689" customFormat="1" x14ac:dyDescent="0.2"/>
    <row r="3323" s="689" customFormat="1" x14ac:dyDescent="0.2"/>
    <row r="3324" s="689" customFormat="1" x14ac:dyDescent="0.2"/>
    <row r="3325" s="689" customFormat="1" x14ac:dyDescent="0.2"/>
    <row r="3326" s="689" customFormat="1" x14ac:dyDescent="0.2"/>
    <row r="3327" s="689" customFormat="1" x14ac:dyDescent="0.2"/>
    <row r="3328" s="689" customFormat="1" x14ac:dyDescent="0.2"/>
    <row r="3329" s="689" customFormat="1" x14ac:dyDescent="0.2"/>
    <row r="3330" s="689" customFormat="1" x14ac:dyDescent="0.2"/>
    <row r="3331" s="689" customFormat="1" x14ac:dyDescent="0.2"/>
    <row r="3332" s="689" customFormat="1" x14ac:dyDescent="0.2"/>
    <row r="3333" s="689" customFormat="1" x14ac:dyDescent="0.2"/>
    <row r="3334" s="689" customFormat="1" x14ac:dyDescent="0.2"/>
    <row r="3335" s="689" customFormat="1" x14ac:dyDescent="0.2"/>
    <row r="3336" s="689" customFormat="1" x14ac:dyDescent="0.2"/>
    <row r="3337" s="689" customFormat="1" x14ac:dyDescent="0.2"/>
    <row r="3338" s="689" customFormat="1" x14ac:dyDescent="0.2"/>
    <row r="3339" s="689" customFormat="1" x14ac:dyDescent="0.2"/>
    <row r="3340" s="689" customFormat="1" x14ac:dyDescent="0.2"/>
    <row r="3341" s="689" customFormat="1" x14ac:dyDescent="0.2"/>
    <row r="3342" s="689" customFormat="1" x14ac:dyDescent="0.2"/>
    <row r="3343" s="689" customFormat="1" x14ac:dyDescent="0.2"/>
    <row r="3344" s="689" customFormat="1" x14ac:dyDescent="0.2"/>
    <row r="3345" s="689" customFormat="1" x14ac:dyDescent="0.2"/>
    <row r="3346" s="689" customFormat="1" x14ac:dyDescent="0.2"/>
    <row r="3347" s="689" customFormat="1" x14ac:dyDescent="0.2"/>
    <row r="3348" s="689" customFormat="1" x14ac:dyDescent="0.2"/>
    <row r="3349" s="689" customFormat="1" x14ac:dyDescent="0.2"/>
    <row r="3350" s="689" customFormat="1" x14ac:dyDescent="0.2"/>
    <row r="3351" s="689" customFormat="1" x14ac:dyDescent="0.2"/>
    <row r="3352" s="689" customFormat="1" x14ac:dyDescent="0.2"/>
    <row r="3353" s="689" customFormat="1" x14ac:dyDescent="0.2"/>
    <row r="3354" s="689" customFormat="1" x14ac:dyDescent="0.2"/>
    <row r="3355" s="689" customFormat="1" x14ac:dyDescent="0.2"/>
    <row r="3356" s="689" customFormat="1" x14ac:dyDescent="0.2"/>
    <row r="3357" s="689" customFormat="1" x14ac:dyDescent="0.2"/>
    <row r="3358" s="689" customFormat="1" x14ac:dyDescent="0.2"/>
    <row r="3359" s="689" customFormat="1" x14ac:dyDescent="0.2"/>
    <row r="3360" s="689" customFormat="1" x14ac:dyDescent="0.2"/>
    <row r="3361" s="689" customFormat="1" x14ac:dyDescent="0.2"/>
    <row r="3362" s="689" customFormat="1" x14ac:dyDescent="0.2"/>
    <row r="3363" s="689" customFormat="1" x14ac:dyDescent="0.2"/>
    <row r="3364" s="689" customFormat="1" x14ac:dyDescent="0.2"/>
    <row r="3365" s="689" customFormat="1" x14ac:dyDescent="0.2"/>
    <row r="3366" s="689" customFormat="1" x14ac:dyDescent="0.2"/>
    <row r="3367" s="689" customFormat="1" x14ac:dyDescent="0.2"/>
    <row r="3368" s="689" customFormat="1" x14ac:dyDescent="0.2"/>
    <row r="3369" s="689" customFormat="1" x14ac:dyDescent="0.2"/>
    <row r="3370" s="689" customFormat="1" x14ac:dyDescent="0.2"/>
    <row r="3371" s="689" customFormat="1" x14ac:dyDescent="0.2"/>
    <row r="3372" s="689" customFormat="1" x14ac:dyDescent="0.2"/>
    <row r="3373" s="689" customFormat="1" x14ac:dyDescent="0.2"/>
    <row r="3374" s="689" customFormat="1" x14ac:dyDescent="0.2"/>
    <row r="3375" s="689" customFormat="1" x14ac:dyDescent="0.2"/>
    <row r="3376" s="689" customFormat="1" x14ac:dyDescent="0.2"/>
    <row r="3377" s="689" customFormat="1" x14ac:dyDescent="0.2"/>
    <row r="3378" s="689" customFormat="1" x14ac:dyDescent="0.2"/>
    <row r="3379" s="689" customFormat="1" x14ac:dyDescent="0.2"/>
    <row r="3380" s="689" customFormat="1" x14ac:dyDescent="0.2"/>
    <row r="3381" s="689" customFormat="1" x14ac:dyDescent="0.2"/>
    <row r="3382" s="689" customFormat="1" x14ac:dyDescent="0.2"/>
    <row r="3383" s="689" customFormat="1" x14ac:dyDescent="0.2"/>
    <row r="3384" s="689" customFormat="1" x14ac:dyDescent="0.2"/>
    <row r="3385" s="689" customFormat="1" x14ac:dyDescent="0.2"/>
    <row r="3386" s="689" customFormat="1" x14ac:dyDescent="0.2"/>
    <row r="3387" s="689" customFormat="1" x14ac:dyDescent="0.2"/>
    <row r="3388" s="689" customFormat="1" x14ac:dyDescent="0.2"/>
    <row r="3389" s="689" customFormat="1" x14ac:dyDescent="0.2"/>
    <row r="3390" s="689" customFormat="1" x14ac:dyDescent="0.2"/>
    <row r="3391" s="689" customFormat="1" x14ac:dyDescent="0.2"/>
    <row r="3392" s="689" customFormat="1" x14ac:dyDescent="0.2"/>
    <row r="3393" s="689" customFormat="1" x14ac:dyDescent="0.2"/>
    <row r="3394" s="689" customFormat="1" x14ac:dyDescent="0.2"/>
    <row r="3395" s="689" customFormat="1" x14ac:dyDescent="0.2"/>
    <row r="3396" s="689" customFormat="1" x14ac:dyDescent="0.2"/>
    <row r="3397" s="689" customFormat="1" x14ac:dyDescent="0.2"/>
    <row r="3398" s="689" customFormat="1" x14ac:dyDescent="0.2"/>
    <row r="3399" s="689" customFormat="1" x14ac:dyDescent="0.2"/>
    <row r="3400" s="689" customFormat="1" x14ac:dyDescent="0.2"/>
    <row r="3401" s="689" customFormat="1" x14ac:dyDescent="0.2"/>
    <row r="3402" s="689" customFormat="1" x14ac:dyDescent="0.2"/>
    <row r="3403" s="689" customFormat="1" x14ac:dyDescent="0.2"/>
    <row r="3404" s="689" customFormat="1" x14ac:dyDescent="0.2"/>
    <row r="3405" s="689" customFormat="1" x14ac:dyDescent="0.2"/>
    <row r="3406" s="689" customFormat="1" x14ac:dyDescent="0.2"/>
    <row r="3407" s="689" customFormat="1" x14ac:dyDescent="0.2"/>
    <row r="3408" s="689" customFormat="1" x14ac:dyDescent="0.2"/>
    <row r="3409" s="689" customFormat="1" x14ac:dyDescent="0.2"/>
    <row r="3410" s="689" customFormat="1" x14ac:dyDescent="0.2"/>
    <row r="3411" s="689" customFormat="1" x14ac:dyDescent="0.2"/>
    <row r="3412" s="689" customFormat="1" x14ac:dyDescent="0.2"/>
    <row r="3413" s="689" customFormat="1" x14ac:dyDescent="0.2"/>
    <row r="3414" s="689" customFormat="1" x14ac:dyDescent="0.2"/>
    <row r="3415" s="689" customFormat="1" x14ac:dyDescent="0.2"/>
    <row r="3416" s="689" customFormat="1" x14ac:dyDescent="0.2"/>
    <row r="3417" s="689" customFormat="1" x14ac:dyDescent="0.2"/>
    <row r="3418" s="689" customFormat="1" x14ac:dyDescent="0.2"/>
    <row r="3419" s="689" customFormat="1" x14ac:dyDescent="0.2"/>
    <row r="3420" s="689" customFormat="1" x14ac:dyDescent="0.2"/>
    <row r="3421" s="689" customFormat="1" x14ac:dyDescent="0.2"/>
    <row r="3422" s="689" customFormat="1" x14ac:dyDescent="0.2"/>
    <row r="3423" s="689" customFormat="1" x14ac:dyDescent="0.2"/>
    <row r="3424" s="689" customFormat="1" x14ac:dyDescent="0.2"/>
    <row r="3425" s="689" customFormat="1" x14ac:dyDescent="0.2"/>
    <row r="3426" s="689" customFormat="1" x14ac:dyDescent="0.2"/>
    <row r="3427" s="689" customFormat="1" x14ac:dyDescent="0.2"/>
    <row r="3428" s="689" customFormat="1" x14ac:dyDescent="0.2"/>
    <row r="3429" s="689" customFormat="1" x14ac:dyDescent="0.2"/>
    <row r="3430" s="689" customFormat="1" x14ac:dyDescent="0.2"/>
    <row r="3431" s="689" customFormat="1" x14ac:dyDescent="0.2"/>
    <row r="3432" s="689" customFormat="1" x14ac:dyDescent="0.2"/>
    <row r="3433" s="689" customFormat="1" x14ac:dyDescent="0.2"/>
    <row r="3434" s="689" customFormat="1" x14ac:dyDescent="0.2"/>
    <row r="3435" s="689" customFormat="1" x14ac:dyDescent="0.2"/>
    <row r="3436" s="689" customFormat="1" x14ac:dyDescent="0.2"/>
    <row r="3437" s="689" customFormat="1" x14ac:dyDescent="0.2"/>
    <row r="3438" s="689" customFormat="1" x14ac:dyDescent="0.2"/>
    <row r="3439" s="689" customFormat="1" x14ac:dyDescent="0.2"/>
    <row r="3440" s="689" customFormat="1" x14ac:dyDescent="0.2"/>
    <row r="3441" s="689" customFormat="1" x14ac:dyDescent="0.2"/>
    <row r="3442" s="689" customFormat="1" x14ac:dyDescent="0.2"/>
    <row r="3443" s="689" customFormat="1" x14ac:dyDescent="0.2"/>
    <row r="3444" s="689" customFormat="1" x14ac:dyDescent="0.2"/>
    <row r="3445" s="689" customFormat="1" x14ac:dyDescent="0.2"/>
    <row r="3446" s="689" customFormat="1" x14ac:dyDescent="0.2"/>
    <row r="3447" s="689" customFormat="1" x14ac:dyDescent="0.2"/>
    <row r="3448" s="689" customFormat="1" x14ac:dyDescent="0.2"/>
    <row r="3449" s="689" customFormat="1" x14ac:dyDescent="0.2"/>
    <row r="3450" s="689" customFormat="1" x14ac:dyDescent="0.2"/>
    <row r="3451" s="689" customFormat="1" x14ac:dyDescent="0.2"/>
    <row r="3452" s="689" customFormat="1" x14ac:dyDescent="0.2"/>
    <row r="3453" s="689" customFormat="1" x14ac:dyDescent="0.2"/>
    <row r="3454" s="689" customFormat="1" x14ac:dyDescent="0.2"/>
    <row r="3455" s="689" customFormat="1" x14ac:dyDescent="0.2"/>
    <row r="3456" s="689" customFormat="1" x14ac:dyDescent="0.2"/>
    <row r="3457" s="689" customFormat="1" x14ac:dyDescent="0.2"/>
    <row r="3458" s="689" customFormat="1" x14ac:dyDescent="0.2"/>
    <row r="3459" s="689" customFormat="1" x14ac:dyDescent="0.2"/>
    <row r="3460" s="689" customFormat="1" x14ac:dyDescent="0.2"/>
    <row r="3461" s="689" customFormat="1" x14ac:dyDescent="0.2"/>
    <row r="3462" s="689" customFormat="1" x14ac:dyDescent="0.2"/>
    <row r="3463" s="689" customFormat="1" x14ac:dyDescent="0.2"/>
    <row r="3464" s="689" customFormat="1" x14ac:dyDescent="0.2"/>
    <row r="3465" s="689" customFormat="1" x14ac:dyDescent="0.2"/>
    <row r="3466" s="689" customFormat="1" x14ac:dyDescent="0.2"/>
    <row r="3467" s="689" customFormat="1" x14ac:dyDescent="0.2"/>
    <row r="3468" s="689" customFormat="1" x14ac:dyDescent="0.2"/>
    <row r="3469" s="689" customFormat="1" x14ac:dyDescent="0.2"/>
    <row r="3470" s="689" customFormat="1" x14ac:dyDescent="0.2"/>
    <row r="3471" s="689" customFormat="1" x14ac:dyDescent="0.2"/>
    <row r="3472" s="689" customFormat="1" x14ac:dyDescent="0.2"/>
    <row r="3473" s="689" customFormat="1" x14ac:dyDescent="0.2"/>
    <row r="3474" s="689" customFormat="1" x14ac:dyDescent="0.2"/>
    <row r="3475" s="689" customFormat="1" x14ac:dyDescent="0.2"/>
    <row r="3476" s="689" customFormat="1" x14ac:dyDescent="0.2"/>
    <row r="3477" s="689" customFormat="1" x14ac:dyDescent="0.2"/>
    <row r="3478" s="689" customFormat="1" x14ac:dyDescent="0.2"/>
    <row r="3479" s="689" customFormat="1" x14ac:dyDescent="0.2"/>
    <row r="3480" s="689" customFormat="1" x14ac:dyDescent="0.2"/>
    <row r="3481" s="689" customFormat="1" x14ac:dyDescent="0.2"/>
    <row r="3482" s="689" customFormat="1" x14ac:dyDescent="0.2"/>
    <row r="3483" s="689" customFormat="1" x14ac:dyDescent="0.2"/>
    <row r="3484" s="689" customFormat="1" x14ac:dyDescent="0.2"/>
    <row r="3485" s="689" customFormat="1" x14ac:dyDescent="0.2"/>
    <row r="3486" s="689" customFormat="1" x14ac:dyDescent="0.2"/>
    <row r="3487" s="689" customFormat="1" x14ac:dyDescent="0.2"/>
    <row r="3488" s="689" customFormat="1" x14ac:dyDescent="0.2"/>
    <row r="3489" s="689" customFormat="1" x14ac:dyDescent="0.2"/>
    <row r="3490" s="689" customFormat="1" x14ac:dyDescent="0.2"/>
    <row r="3491" s="689" customFormat="1" x14ac:dyDescent="0.2"/>
    <row r="3492" s="689" customFormat="1" x14ac:dyDescent="0.2"/>
    <row r="3493" s="689" customFormat="1" x14ac:dyDescent="0.2"/>
    <row r="3494" s="689" customFormat="1" x14ac:dyDescent="0.2"/>
    <row r="3495" s="689" customFormat="1" x14ac:dyDescent="0.2"/>
    <row r="3496" s="689" customFormat="1" x14ac:dyDescent="0.2"/>
    <row r="3497" s="689" customFormat="1" x14ac:dyDescent="0.2"/>
    <row r="3498" s="689" customFormat="1" x14ac:dyDescent="0.2"/>
    <row r="3499" s="689" customFormat="1" x14ac:dyDescent="0.2"/>
    <row r="3500" s="689" customFormat="1" x14ac:dyDescent="0.2"/>
    <row r="3501" s="689" customFormat="1" x14ac:dyDescent="0.2"/>
    <row r="3502" s="689" customFormat="1" x14ac:dyDescent="0.2"/>
    <row r="3503" s="689" customFormat="1" x14ac:dyDescent="0.2"/>
    <row r="3504" s="689" customFormat="1" x14ac:dyDescent="0.2"/>
    <row r="3505" s="689" customFormat="1" x14ac:dyDescent="0.2"/>
    <row r="3506" s="689" customFormat="1" x14ac:dyDescent="0.2"/>
    <row r="3507" s="689" customFormat="1" x14ac:dyDescent="0.2"/>
    <row r="3508" s="689" customFormat="1" x14ac:dyDescent="0.2"/>
    <row r="3509" s="689" customFormat="1" x14ac:dyDescent="0.2"/>
    <row r="3510" s="689" customFormat="1" x14ac:dyDescent="0.2"/>
    <row r="3511" s="689" customFormat="1" x14ac:dyDescent="0.2"/>
    <row r="3512" s="689" customFormat="1" x14ac:dyDescent="0.2"/>
    <row r="3513" s="689" customFormat="1" x14ac:dyDescent="0.2"/>
    <row r="3514" s="689" customFormat="1" x14ac:dyDescent="0.2"/>
    <row r="3515" s="689" customFormat="1" x14ac:dyDescent="0.2"/>
    <row r="3516" s="689" customFormat="1" x14ac:dyDescent="0.2"/>
    <row r="3517" s="689" customFormat="1" x14ac:dyDescent="0.2"/>
    <row r="3518" s="689" customFormat="1" x14ac:dyDescent="0.2"/>
    <row r="3519" s="689" customFormat="1" x14ac:dyDescent="0.2"/>
    <row r="3520" s="689" customFormat="1" x14ac:dyDescent="0.2"/>
    <row r="3521" s="689" customFormat="1" x14ac:dyDescent="0.2"/>
    <row r="3522" s="689" customFormat="1" x14ac:dyDescent="0.2"/>
    <row r="3523" s="689" customFormat="1" x14ac:dyDescent="0.2"/>
    <row r="3524" s="689" customFormat="1" x14ac:dyDescent="0.2"/>
    <row r="3525" s="689" customFormat="1" x14ac:dyDescent="0.2"/>
    <row r="3526" s="689" customFormat="1" x14ac:dyDescent="0.2"/>
    <row r="3527" s="689" customFormat="1" x14ac:dyDescent="0.2"/>
    <row r="3528" s="689" customFormat="1" x14ac:dyDescent="0.2"/>
    <row r="3529" s="689" customFormat="1" x14ac:dyDescent="0.2"/>
    <row r="3530" s="689" customFormat="1" x14ac:dyDescent="0.2"/>
    <row r="3531" s="689" customFormat="1" x14ac:dyDescent="0.2"/>
    <row r="3532" s="689" customFormat="1" x14ac:dyDescent="0.2"/>
    <row r="3533" s="689" customFormat="1" x14ac:dyDescent="0.2"/>
    <row r="3534" s="689" customFormat="1" x14ac:dyDescent="0.2"/>
    <row r="3535" s="689" customFormat="1" x14ac:dyDescent="0.2"/>
    <row r="3536" s="689" customFormat="1" x14ac:dyDescent="0.2"/>
    <row r="3537" s="689" customFormat="1" x14ac:dyDescent="0.2"/>
    <row r="3538" s="689" customFormat="1" x14ac:dyDescent="0.2"/>
    <row r="3539" s="689" customFormat="1" x14ac:dyDescent="0.2"/>
    <row r="3540" s="689" customFormat="1" x14ac:dyDescent="0.2"/>
    <row r="3541" s="689" customFormat="1" x14ac:dyDescent="0.2"/>
    <row r="3542" s="689" customFormat="1" x14ac:dyDescent="0.2"/>
    <row r="3543" s="689" customFormat="1" x14ac:dyDescent="0.2"/>
    <row r="3544" s="689" customFormat="1" x14ac:dyDescent="0.2"/>
    <row r="3545" s="689" customFormat="1" x14ac:dyDescent="0.2"/>
    <row r="3546" s="689" customFormat="1" x14ac:dyDescent="0.2"/>
    <row r="3547" s="689" customFormat="1" x14ac:dyDescent="0.2"/>
    <row r="3548" s="689" customFormat="1" x14ac:dyDescent="0.2"/>
    <row r="3549" s="689" customFormat="1" x14ac:dyDescent="0.2"/>
    <row r="3550" s="689" customFormat="1" x14ac:dyDescent="0.2"/>
    <row r="3551" s="689" customFormat="1" x14ac:dyDescent="0.2"/>
    <row r="3552" s="689" customFormat="1" x14ac:dyDescent="0.2"/>
    <row r="3553" s="689" customFormat="1" x14ac:dyDescent="0.2"/>
    <row r="3554" s="689" customFormat="1" x14ac:dyDescent="0.2"/>
    <row r="3555" s="689" customFormat="1" x14ac:dyDescent="0.2"/>
    <row r="3556" s="689" customFormat="1" x14ac:dyDescent="0.2"/>
    <row r="3557" s="689" customFormat="1" x14ac:dyDescent="0.2"/>
    <row r="3558" s="689" customFormat="1" x14ac:dyDescent="0.2"/>
    <row r="3559" s="689" customFormat="1" x14ac:dyDescent="0.2"/>
    <row r="3560" s="689" customFormat="1" x14ac:dyDescent="0.2"/>
    <row r="3561" s="689" customFormat="1" x14ac:dyDescent="0.2"/>
    <row r="3562" s="689" customFormat="1" x14ac:dyDescent="0.2"/>
    <row r="3563" s="689" customFormat="1" x14ac:dyDescent="0.2"/>
    <row r="3564" s="689" customFormat="1" x14ac:dyDescent="0.2"/>
    <row r="3565" s="689" customFormat="1" x14ac:dyDescent="0.2"/>
    <row r="3566" s="689" customFormat="1" x14ac:dyDescent="0.2"/>
    <row r="3567" s="689" customFormat="1" x14ac:dyDescent="0.2"/>
    <row r="3568" s="689" customFormat="1" x14ac:dyDescent="0.2"/>
    <row r="3569" s="689" customFormat="1" x14ac:dyDescent="0.2"/>
    <row r="3570" s="689" customFormat="1" x14ac:dyDescent="0.2"/>
    <row r="3571" s="689" customFormat="1" x14ac:dyDescent="0.2"/>
    <row r="3572" s="689" customFormat="1" x14ac:dyDescent="0.2"/>
    <row r="3573" s="689" customFormat="1" x14ac:dyDescent="0.2"/>
    <row r="3574" s="689" customFormat="1" x14ac:dyDescent="0.2"/>
    <row r="3575" s="689" customFormat="1" x14ac:dyDescent="0.2"/>
    <row r="3576" s="689" customFormat="1" x14ac:dyDescent="0.2"/>
    <row r="3577" s="689" customFormat="1" x14ac:dyDescent="0.2"/>
    <row r="3578" s="689" customFormat="1" x14ac:dyDescent="0.2"/>
    <row r="3579" s="689" customFormat="1" x14ac:dyDescent="0.2"/>
    <row r="3580" s="689" customFormat="1" x14ac:dyDescent="0.2"/>
    <row r="3581" s="689" customFormat="1" x14ac:dyDescent="0.2"/>
    <row r="3582" s="689" customFormat="1" x14ac:dyDescent="0.2"/>
    <row r="3583" s="689" customFormat="1" x14ac:dyDescent="0.2"/>
    <row r="3584" s="689" customFormat="1" x14ac:dyDescent="0.2"/>
    <row r="3585" s="689" customFormat="1" x14ac:dyDescent="0.2"/>
    <row r="3586" s="689" customFormat="1" x14ac:dyDescent="0.2"/>
    <row r="3587" s="689" customFormat="1" x14ac:dyDescent="0.2"/>
    <row r="3588" s="689" customFormat="1" x14ac:dyDescent="0.2"/>
    <row r="3589" s="689" customFormat="1" x14ac:dyDescent="0.2"/>
    <row r="3590" s="689" customFormat="1" x14ac:dyDescent="0.2"/>
    <row r="3591" s="689" customFormat="1" x14ac:dyDescent="0.2"/>
    <row r="3592" s="689" customFormat="1" x14ac:dyDescent="0.2"/>
    <row r="3593" s="689" customFormat="1" x14ac:dyDescent="0.2"/>
    <row r="3594" s="689" customFormat="1" x14ac:dyDescent="0.2"/>
    <row r="3595" s="689" customFormat="1" x14ac:dyDescent="0.2"/>
    <row r="3596" s="689" customFormat="1" x14ac:dyDescent="0.2"/>
    <row r="3597" s="689" customFormat="1" x14ac:dyDescent="0.2"/>
    <row r="3598" s="689" customFormat="1" x14ac:dyDescent="0.2"/>
    <row r="3599" s="689" customFormat="1" x14ac:dyDescent="0.2"/>
    <row r="3600" s="689" customFormat="1" x14ac:dyDescent="0.2"/>
    <row r="3601" s="689" customFormat="1" x14ac:dyDescent="0.2"/>
    <row r="3602" s="689" customFormat="1" x14ac:dyDescent="0.2"/>
    <row r="3603" s="689" customFormat="1" x14ac:dyDescent="0.2"/>
    <row r="3604" s="689" customFormat="1" x14ac:dyDescent="0.2"/>
    <row r="3605" s="689" customFormat="1" x14ac:dyDescent="0.2"/>
    <row r="3606" s="689" customFormat="1" x14ac:dyDescent="0.2"/>
    <row r="3607" s="689" customFormat="1" x14ac:dyDescent="0.2"/>
    <row r="3608" s="689" customFormat="1" x14ac:dyDescent="0.2"/>
    <row r="3609" s="689" customFormat="1" x14ac:dyDescent="0.2"/>
    <row r="3610" s="689" customFormat="1" x14ac:dyDescent="0.2"/>
    <row r="3611" s="689" customFormat="1" x14ac:dyDescent="0.2"/>
    <row r="3612" s="689" customFormat="1" x14ac:dyDescent="0.2"/>
    <row r="3613" s="689" customFormat="1" x14ac:dyDescent="0.2"/>
    <row r="3614" s="689" customFormat="1" x14ac:dyDescent="0.2"/>
    <row r="3615" s="689" customFormat="1" x14ac:dyDescent="0.2"/>
    <row r="3616" s="689" customFormat="1" x14ac:dyDescent="0.2"/>
    <row r="3617" s="689" customFormat="1" x14ac:dyDescent="0.2"/>
    <row r="3618" s="689" customFormat="1" x14ac:dyDescent="0.2"/>
    <row r="3619" s="689" customFormat="1" x14ac:dyDescent="0.2"/>
    <row r="3620" s="689" customFormat="1" x14ac:dyDescent="0.2"/>
    <row r="3621" s="689" customFormat="1" x14ac:dyDescent="0.2"/>
    <row r="3622" s="689" customFormat="1" x14ac:dyDescent="0.2"/>
    <row r="3623" s="689" customFormat="1" x14ac:dyDescent="0.2"/>
    <row r="3624" s="689" customFormat="1" x14ac:dyDescent="0.2"/>
    <row r="3625" s="689" customFormat="1" x14ac:dyDescent="0.2"/>
    <row r="3626" s="689" customFormat="1" x14ac:dyDescent="0.2"/>
    <row r="3627" s="689" customFormat="1" x14ac:dyDescent="0.2"/>
    <row r="3628" s="689" customFormat="1" x14ac:dyDescent="0.2"/>
    <row r="3629" s="689" customFormat="1" x14ac:dyDescent="0.2"/>
    <row r="3630" s="689" customFormat="1" x14ac:dyDescent="0.2"/>
    <row r="3631" s="689" customFormat="1" x14ac:dyDescent="0.2"/>
    <row r="3632" s="689" customFormat="1" x14ac:dyDescent="0.2"/>
    <row r="3633" s="689" customFormat="1" x14ac:dyDescent="0.2"/>
    <row r="3634" s="689" customFormat="1" x14ac:dyDescent="0.2"/>
    <row r="3635" s="689" customFormat="1" x14ac:dyDescent="0.2"/>
    <row r="3636" s="689" customFormat="1" x14ac:dyDescent="0.2"/>
    <row r="3637" s="689" customFormat="1" x14ac:dyDescent="0.2"/>
    <row r="3638" s="689" customFormat="1" x14ac:dyDescent="0.2"/>
    <row r="3639" s="689" customFormat="1" x14ac:dyDescent="0.2"/>
    <row r="3640" s="689" customFormat="1" x14ac:dyDescent="0.2"/>
    <row r="3641" s="689" customFormat="1" x14ac:dyDescent="0.2"/>
    <row r="3642" s="689" customFormat="1" x14ac:dyDescent="0.2"/>
    <row r="3643" s="689" customFormat="1" x14ac:dyDescent="0.2"/>
    <row r="3644" s="689" customFormat="1" x14ac:dyDescent="0.2"/>
    <row r="3645" s="689" customFormat="1" x14ac:dyDescent="0.2"/>
    <row r="3646" s="689" customFormat="1" x14ac:dyDescent="0.2"/>
    <row r="3647" s="689" customFormat="1" x14ac:dyDescent="0.2"/>
    <row r="3648" s="689" customFormat="1" x14ac:dyDescent="0.2"/>
    <row r="3649" s="689" customFormat="1" x14ac:dyDescent="0.2"/>
    <row r="3650" s="689" customFormat="1" x14ac:dyDescent="0.2"/>
    <row r="3651" s="689" customFormat="1" x14ac:dyDescent="0.2"/>
    <row r="3652" s="689" customFormat="1" x14ac:dyDescent="0.2"/>
    <row r="3653" s="689" customFormat="1" x14ac:dyDescent="0.2"/>
    <row r="3654" s="689" customFormat="1" x14ac:dyDescent="0.2"/>
    <row r="3655" s="689" customFormat="1" x14ac:dyDescent="0.2"/>
    <row r="3656" s="689" customFormat="1" x14ac:dyDescent="0.2"/>
    <row r="3657" s="689" customFormat="1" x14ac:dyDescent="0.2"/>
    <row r="3658" s="689" customFormat="1" x14ac:dyDescent="0.2"/>
    <row r="3659" s="689" customFormat="1" x14ac:dyDescent="0.2"/>
    <row r="3660" s="689" customFormat="1" x14ac:dyDescent="0.2"/>
    <row r="3661" s="689" customFormat="1" x14ac:dyDescent="0.2"/>
    <row r="3662" s="689" customFormat="1" x14ac:dyDescent="0.2"/>
    <row r="3663" s="689" customFormat="1" x14ac:dyDescent="0.2"/>
    <row r="3664" s="689" customFormat="1" x14ac:dyDescent="0.2"/>
    <row r="3665" s="689" customFormat="1" x14ac:dyDescent="0.2"/>
    <row r="3666" s="689" customFormat="1" x14ac:dyDescent="0.2"/>
    <row r="3667" s="689" customFormat="1" x14ac:dyDescent="0.2"/>
    <row r="3668" s="689" customFormat="1" x14ac:dyDescent="0.2"/>
    <row r="3669" s="689" customFormat="1" x14ac:dyDescent="0.2"/>
    <row r="3670" s="689" customFormat="1" x14ac:dyDescent="0.2"/>
    <row r="3671" s="689" customFormat="1" x14ac:dyDescent="0.2"/>
    <row r="3672" s="689" customFormat="1" x14ac:dyDescent="0.2"/>
    <row r="3673" s="689" customFormat="1" x14ac:dyDescent="0.2"/>
    <row r="3674" s="689" customFormat="1" x14ac:dyDescent="0.2"/>
    <row r="3675" s="689" customFormat="1" x14ac:dyDescent="0.2"/>
    <row r="3676" s="689" customFormat="1" x14ac:dyDescent="0.2"/>
    <row r="3677" s="689" customFormat="1" x14ac:dyDescent="0.2"/>
    <row r="3678" s="689" customFormat="1" x14ac:dyDescent="0.2"/>
    <row r="3679" s="689" customFormat="1" x14ac:dyDescent="0.2"/>
    <row r="3680" s="689" customFormat="1" x14ac:dyDescent="0.2"/>
    <row r="3681" s="689" customFormat="1" x14ac:dyDescent="0.2"/>
    <row r="3682" s="689" customFormat="1" x14ac:dyDescent="0.2"/>
    <row r="3683" s="689" customFormat="1" x14ac:dyDescent="0.2"/>
    <row r="3684" s="689" customFormat="1" x14ac:dyDescent="0.2"/>
    <row r="3685" s="689" customFormat="1" x14ac:dyDescent="0.2"/>
    <row r="3686" s="689" customFormat="1" x14ac:dyDescent="0.2"/>
    <row r="3687" s="689" customFormat="1" x14ac:dyDescent="0.2"/>
    <row r="3688" s="689" customFormat="1" x14ac:dyDescent="0.2"/>
    <row r="3689" s="689" customFormat="1" x14ac:dyDescent="0.2"/>
    <row r="3690" s="689" customFormat="1" x14ac:dyDescent="0.2"/>
    <row r="3691" s="689" customFormat="1" x14ac:dyDescent="0.2"/>
    <row r="3692" s="689" customFormat="1" x14ac:dyDescent="0.2"/>
    <row r="3693" s="689" customFormat="1" x14ac:dyDescent="0.2"/>
    <row r="3694" s="689" customFormat="1" x14ac:dyDescent="0.2"/>
    <row r="3695" s="689" customFormat="1" x14ac:dyDescent="0.2"/>
    <row r="3696" s="689" customFormat="1" x14ac:dyDescent="0.2"/>
    <row r="3697" s="689" customFormat="1" x14ac:dyDescent="0.2"/>
    <row r="3698" s="689" customFormat="1" x14ac:dyDescent="0.2"/>
    <row r="3699" s="689" customFormat="1" x14ac:dyDescent="0.2"/>
    <row r="3700" s="689" customFormat="1" x14ac:dyDescent="0.2"/>
    <row r="3701" s="689" customFormat="1" x14ac:dyDescent="0.2"/>
    <row r="3702" s="689" customFormat="1" x14ac:dyDescent="0.2"/>
    <row r="3703" s="689" customFormat="1" x14ac:dyDescent="0.2"/>
    <row r="3704" s="689" customFormat="1" x14ac:dyDescent="0.2"/>
    <row r="3705" s="689" customFormat="1" x14ac:dyDescent="0.2"/>
    <row r="3706" s="689" customFormat="1" x14ac:dyDescent="0.2"/>
    <row r="3707" s="689" customFormat="1" x14ac:dyDescent="0.2"/>
    <row r="3708" s="689" customFormat="1" x14ac:dyDescent="0.2"/>
    <row r="3709" s="689" customFormat="1" x14ac:dyDescent="0.2"/>
    <row r="3710" s="689" customFormat="1" x14ac:dyDescent="0.2"/>
    <row r="3711" s="689" customFormat="1" x14ac:dyDescent="0.2"/>
    <row r="3712" s="689" customFormat="1" x14ac:dyDescent="0.2"/>
    <row r="3713" s="689" customFormat="1" x14ac:dyDescent="0.2"/>
    <row r="3714" s="689" customFormat="1" x14ac:dyDescent="0.2"/>
    <row r="3715" s="689" customFormat="1" x14ac:dyDescent="0.2"/>
    <row r="3716" s="689" customFormat="1" x14ac:dyDescent="0.2"/>
    <row r="3717" s="689" customFormat="1" x14ac:dyDescent="0.2"/>
    <row r="3718" s="689" customFormat="1" x14ac:dyDescent="0.2"/>
    <row r="3719" s="689" customFormat="1" x14ac:dyDescent="0.2"/>
    <row r="3720" s="689" customFormat="1" x14ac:dyDescent="0.2"/>
    <row r="3721" s="689" customFormat="1" x14ac:dyDescent="0.2"/>
    <row r="3722" s="689" customFormat="1" x14ac:dyDescent="0.2"/>
    <row r="3723" s="689" customFormat="1" x14ac:dyDescent="0.2"/>
    <row r="3724" s="689" customFormat="1" x14ac:dyDescent="0.2"/>
    <row r="3725" s="689" customFormat="1" x14ac:dyDescent="0.2"/>
    <row r="3726" s="689" customFormat="1" x14ac:dyDescent="0.2"/>
    <row r="3727" s="689" customFormat="1" x14ac:dyDescent="0.2"/>
    <row r="3728" s="689" customFormat="1" x14ac:dyDescent="0.2"/>
    <row r="3729" s="689" customFormat="1" x14ac:dyDescent="0.2"/>
    <row r="3730" s="689" customFormat="1" x14ac:dyDescent="0.2"/>
    <row r="3731" s="689" customFormat="1" x14ac:dyDescent="0.2"/>
    <row r="3732" s="689" customFormat="1" x14ac:dyDescent="0.2"/>
    <row r="3733" s="689" customFormat="1" x14ac:dyDescent="0.2"/>
    <row r="3734" s="689" customFormat="1" x14ac:dyDescent="0.2"/>
    <row r="3735" s="689" customFormat="1" x14ac:dyDescent="0.2"/>
    <row r="3736" s="689" customFormat="1" x14ac:dyDescent="0.2"/>
    <row r="3737" s="689" customFormat="1" x14ac:dyDescent="0.2"/>
    <row r="3738" s="689" customFormat="1" x14ac:dyDescent="0.2"/>
    <row r="3739" s="689" customFormat="1" x14ac:dyDescent="0.2"/>
    <row r="3740" s="689" customFormat="1" x14ac:dyDescent="0.2"/>
    <row r="3741" s="689" customFormat="1" x14ac:dyDescent="0.2"/>
    <row r="3742" s="689" customFormat="1" x14ac:dyDescent="0.2"/>
    <row r="3743" s="689" customFormat="1" x14ac:dyDescent="0.2"/>
    <row r="3744" s="689" customFormat="1" x14ac:dyDescent="0.2"/>
    <row r="3745" s="689" customFormat="1" x14ac:dyDescent="0.2"/>
    <row r="3746" s="689" customFormat="1" x14ac:dyDescent="0.2"/>
    <row r="3747" s="689" customFormat="1" x14ac:dyDescent="0.2"/>
    <row r="3748" s="689" customFormat="1" x14ac:dyDescent="0.2"/>
    <row r="3749" s="689" customFormat="1" x14ac:dyDescent="0.2"/>
    <row r="3750" s="689" customFormat="1" x14ac:dyDescent="0.2"/>
    <row r="3751" s="689" customFormat="1" x14ac:dyDescent="0.2"/>
    <row r="3752" s="689" customFormat="1" x14ac:dyDescent="0.2"/>
    <row r="3753" s="689" customFormat="1" x14ac:dyDescent="0.2"/>
    <row r="3754" s="689" customFormat="1" x14ac:dyDescent="0.2"/>
    <row r="3755" s="689" customFormat="1" x14ac:dyDescent="0.2"/>
    <row r="3756" s="689" customFormat="1" x14ac:dyDescent="0.2"/>
    <row r="3757" s="689" customFormat="1" x14ac:dyDescent="0.2"/>
    <row r="3758" s="689" customFormat="1" x14ac:dyDescent="0.2"/>
    <row r="3759" s="689" customFormat="1" x14ac:dyDescent="0.2"/>
    <row r="3760" s="689" customFormat="1" x14ac:dyDescent="0.2"/>
    <row r="3761" s="689" customFormat="1" x14ac:dyDescent="0.2"/>
    <row r="3762" s="689" customFormat="1" x14ac:dyDescent="0.2"/>
    <row r="3763" s="689" customFormat="1" x14ac:dyDescent="0.2"/>
    <row r="3764" s="689" customFormat="1" x14ac:dyDescent="0.2"/>
    <row r="3765" s="689" customFormat="1" x14ac:dyDescent="0.2"/>
    <row r="3766" s="689" customFormat="1" x14ac:dyDescent="0.2"/>
    <row r="3767" s="689" customFormat="1" x14ac:dyDescent="0.2"/>
    <row r="3768" s="689" customFormat="1" x14ac:dyDescent="0.2"/>
    <row r="3769" s="689" customFormat="1" x14ac:dyDescent="0.2"/>
    <row r="3770" s="689" customFormat="1" x14ac:dyDescent="0.2"/>
    <row r="3771" s="689" customFormat="1" x14ac:dyDescent="0.2"/>
    <row r="3772" s="689" customFormat="1" x14ac:dyDescent="0.2"/>
    <row r="3773" s="689" customFormat="1" x14ac:dyDescent="0.2"/>
    <row r="3774" s="689" customFormat="1" x14ac:dyDescent="0.2"/>
    <row r="3775" s="689" customFormat="1" x14ac:dyDescent="0.2"/>
    <row r="3776" s="689" customFormat="1" x14ac:dyDescent="0.2"/>
    <row r="3777" s="689" customFormat="1" x14ac:dyDescent="0.2"/>
    <row r="3778" s="689" customFormat="1" x14ac:dyDescent="0.2"/>
    <row r="3779" s="689" customFormat="1" x14ac:dyDescent="0.2"/>
    <row r="3780" s="689" customFormat="1" x14ac:dyDescent="0.2"/>
    <row r="3781" s="689" customFormat="1" x14ac:dyDescent="0.2"/>
    <row r="3782" s="689" customFormat="1" x14ac:dyDescent="0.2"/>
    <row r="3783" s="689" customFormat="1" x14ac:dyDescent="0.2"/>
    <row r="3784" s="689" customFormat="1" x14ac:dyDescent="0.2"/>
    <row r="3785" s="689" customFormat="1" x14ac:dyDescent="0.2"/>
    <row r="3786" s="689" customFormat="1" x14ac:dyDescent="0.2"/>
    <row r="3787" s="689" customFormat="1" x14ac:dyDescent="0.2"/>
    <row r="3788" s="689" customFormat="1" x14ac:dyDescent="0.2"/>
    <row r="3789" s="689" customFormat="1" x14ac:dyDescent="0.2"/>
    <row r="3790" s="689" customFormat="1" x14ac:dyDescent="0.2"/>
    <row r="3791" s="689" customFormat="1" x14ac:dyDescent="0.2"/>
    <row r="3792" s="689" customFormat="1" x14ac:dyDescent="0.2"/>
    <row r="3793" s="689" customFormat="1" x14ac:dyDescent="0.2"/>
    <row r="3794" s="689" customFormat="1" x14ac:dyDescent="0.2"/>
    <row r="3795" s="689" customFormat="1" x14ac:dyDescent="0.2"/>
    <row r="3796" s="689" customFormat="1" x14ac:dyDescent="0.2"/>
    <row r="3797" s="689" customFormat="1" x14ac:dyDescent="0.2"/>
    <row r="3798" s="689" customFormat="1" x14ac:dyDescent="0.2"/>
    <row r="3799" s="689" customFormat="1" x14ac:dyDescent="0.2"/>
    <row r="3800" s="689" customFormat="1" x14ac:dyDescent="0.2"/>
    <row r="3801" s="689" customFormat="1" x14ac:dyDescent="0.2"/>
    <row r="3802" s="689" customFormat="1" x14ac:dyDescent="0.2"/>
    <row r="3803" s="689" customFormat="1" x14ac:dyDescent="0.2"/>
    <row r="3804" s="689" customFormat="1" x14ac:dyDescent="0.2"/>
    <row r="3805" s="689" customFormat="1" x14ac:dyDescent="0.2"/>
    <row r="3806" s="689" customFormat="1" x14ac:dyDescent="0.2"/>
    <row r="3807" s="689" customFormat="1" x14ac:dyDescent="0.2"/>
    <row r="3808" s="689" customFormat="1" x14ac:dyDescent="0.2"/>
    <row r="3809" s="689" customFormat="1" x14ac:dyDescent="0.2"/>
    <row r="3810" s="689" customFormat="1" x14ac:dyDescent="0.2"/>
    <row r="3811" s="689" customFormat="1" x14ac:dyDescent="0.2"/>
    <row r="3812" s="689" customFormat="1" x14ac:dyDescent="0.2"/>
    <row r="3813" s="689" customFormat="1" x14ac:dyDescent="0.2"/>
    <row r="3814" s="689" customFormat="1" x14ac:dyDescent="0.2"/>
    <row r="3815" s="689" customFormat="1" x14ac:dyDescent="0.2"/>
    <row r="3816" s="689" customFormat="1" x14ac:dyDescent="0.2"/>
    <row r="3817" s="689" customFormat="1" x14ac:dyDescent="0.2"/>
    <row r="3818" s="689" customFormat="1" x14ac:dyDescent="0.2"/>
    <row r="3819" s="689" customFormat="1" x14ac:dyDescent="0.2"/>
    <row r="3820" s="689" customFormat="1" x14ac:dyDescent="0.2"/>
    <row r="3821" s="689" customFormat="1" x14ac:dyDescent="0.2"/>
    <row r="3822" s="689" customFormat="1" x14ac:dyDescent="0.2"/>
    <row r="3823" s="689" customFormat="1" x14ac:dyDescent="0.2"/>
    <row r="3824" s="689" customFormat="1" x14ac:dyDescent="0.2"/>
    <row r="3825" s="689" customFormat="1" x14ac:dyDescent="0.2"/>
    <row r="3826" s="689" customFormat="1" x14ac:dyDescent="0.2"/>
    <row r="3827" s="689" customFormat="1" x14ac:dyDescent="0.2"/>
    <row r="3828" s="689" customFormat="1" x14ac:dyDescent="0.2"/>
    <row r="3829" s="689" customFormat="1" x14ac:dyDescent="0.2"/>
    <row r="3830" s="689" customFormat="1" x14ac:dyDescent="0.2"/>
    <row r="3831" s="689" customFormat="1" x14ac:dyDescent="0.2"/>
    <row r="3832" s="689" customFormat="1" x14ac:dyDescent="0.2"/>
    <row r="3833" s="689" customFormat="1" x14ac:dyDescent="0.2"/>
    <row r="3834" s="689" customFormat="1" x14ac:dyDescent="0.2"/>
    <row r="3835" s="689" customFormat="1" x14ac:dyDescent="0.2"/>
    <row r="3836" s="689" customFormat="1" x14ac:dyDescent="0.2"/>
    <row r="3837" s="689" customFormat="1" x14ac:dyDescent="0.2"/>
    <row r="3838" s="689" customFormat="1" x14ac:dyDescent="0.2"/>
    <row r="3839" s="689" customFormat="1" x14ac:dyDescent="0.2"/>
    <row r="3840" s="689" customFormat="1" x14ac:dyDescent="0.2"/>
    <row r="3841" s="689" customFormat="1" x14ac:dyDescent="0.2"/>
    <row r="3842" s="689" customFormat="1" x14ac:dyDescent="0.2"/>
    <row r="3843" s="689" customFormat="1" x14ac:dyDescent="0.2"/>
    <row r="3844" s="689" customFormat="1" x14ac:dyDescent="0.2"/>
    <row r="3845" s="689" customFormat="1" x14ac:dyDescent="0.2"/>
    <row r="3846" s="689" customFormat="1" x14ac:dyDescent="0.2"/>
    <row r="3847" s="689" customFormat="1" x14ac:dyDescent="0.2"/>
    <row r="3848" s="689" customFormat="1" x14ac:dyDescent="0.2"/>
    <row r="3849" s="689" customFormat="1" x14ac:dyDescent="0.2"/>
    <row r="3850" s="689" customFormat="1" x14ac:dyDescent="0.2"/>
    <row r="3851" s="689" customFormat="1" x14ac:dyDescent="0.2"/>
    <row r="3852" s="689" customFormat="1" x14ac:dyDescent="0.2"/>
    <row r="3853" s="689" customFormat="1" x14ac:dyDescent="0.2"/>
    <row r="3854" s="689" customFormat="1" x14ac:dyDescent="0.2"/>
    <row r="3855" s="689" customFormat="1" x14ac:dyDescent="0.2"/>
    <row r="3856" s="689" customFormat="1" x14ac:dyDescent="0.2"/>
    <row r="3857" s="689" customFormat="1" x14ac:dyDescent="0.2"/>
    <row r="3858" s="689" customFormat="1" x14ac:dyDescent="0.2"/>
    <row r="3859" s="689" customFormat="1" x14ac:dyDescent="0.2"/>
    <row r="3860" s="689" customFormat="1" x14ac:dyDescent="0.2"/>
    <row r="3861" s="689" customFormat="1" x14ac:dyDescent="0.2"/>
    <row r="3862" s="689" customFormat="1" x14ac:dyDescent="0.2"/>
    <row r="3863" s="689" customFormat="1" x14ac:dyDescent="0.2"/>
    <row r="3864" s="689" customFormat="1" x14ac:dyDescent="0.2"/>
    <row r="3865" s="689" customFormat="1" x14ac:dyDescent="0.2"/>
    <row r="3866" s="689" customFormat="1" x14ac:dyDescent="0.2"/>
    <row r="3867" s="689" customFormat="1" x14ac:dyDescent="0.2"/>
    <row r="3868" s="689" customFormat="1" x14ac:dyDescent="0.2"/>
    <row r="3869" s="689" customFormat="1" x14ac:dyDescent="0.2"/>
    <row r="3870" s="689" customFormat="1" x14ac:dyDescent="0.2"/>
    <row r="3871" s="689" customFormat="1" x14ac:dyDescent="0.2"/>
    <row r="3872" s="689" customFormat="1" x14ac:dyDescent="0.2"/>
    <row r="3873" s="689" customFormat="1" x14ac:dyDescent="0.2"/>
    <row r="3874" s="689" customFormat="1" x14ac:dyDescent="0.2"/>
    <row r="3875" s="689" customFormat="1" x14ac:dyDescent="0.2"/>
    <row r="3876" s="689" customFormat="1" x14ac:dyDescent="0.2"/>
    <row r="3877" s="689" customFormat="1" x14ac:dyDescent="0.2"/>
    <row r="3878" s="689" customFormat="1" x14ac:dyDescent="0.2"/>
    <row r="3879" s="689" customFormat="1" x14ac:dyDescent="0.2"/>
    <row r="3880" s="689" customFormat="1" x14ac:dyDescent="0.2"/>
    <row r="3881" s="689" customFormat="1" x14ac:dyDescent="0.2"/>
    <row r="3882" s="689" customFormat="1" x14ac:dyDescent="0.2"/>
    <row r="3883" s="689" customFormat="1" x14ac:dyDescent="0.2"/>
    <row r="3884" s="689" customFormat="1" x14ac:dyDescent="0.2"/>
    <row r="3885" s="689" customFormat="1" x14ac:dyDescent="0.2"/>
    <row r="3886" s="689" customFormat="1" x14ac:dyDescent="0.2"/>
    <row r="3887" s="689" customFormat="1" x14ac:dyDescent="0.2"/>
    <row r="3888" s="689" customFormat="1" x14ac:dyDescent="0.2"/>
    <row r="3889" s="689" customFormat="1" x14ac:dyDescent="0.2"/>
    <row r="3890" s="689" customFormat="1" x14ac:dyDescent="0.2"/>
    <row r="3891" s="689" customFormat="1" x14ac:dyDescent="0.2"/>
    <row r="3892" s="689" customFormat="1" x14ac:dyDescent="0.2"/>
    <row r="3893" s="689" customFormat="1" x14ac:dyDescent="0.2"/>
    <row r="3894" s="689" customFormat="1" x14ac:dyDescent="0.2"/>
    <row r="3895" s="689" customFormat="1" x14ac:dyDescent="0.2"/>
    <row r="3896" s="689" customFormat="1" x14ac:dyDescent="0.2"/>
    <row r="3897" s="689" customFormat="1" x14ac:dyDescent="0.2"/>
    <row r="3898" s="689" customFormat="1" x14ac:dyDescent="0.2"/>
    <row r="3899" s="689" customFormat="1" x14ac:dyDescent="0.2"/>
    <row r="3900" s="689" customFormat="1" x14ac:dyDescent="0.2"/>
    <row r="3901" s="689" customFormat="1" x14ac:dyDescent="0.2"/>
    <row r="3902" s="689" customFormat="1" x14ac:dyDescent="0.2"/>
    <row r="3903" s="689" customFormat="1" x14ac:dyDescent="0.2"/>
    <row r="3904" s="689" customFormat="1" x14ac:dyDescent="0.2"/>
    <row r="3905" s="689" customFormat="1" x14ac:dyDescent="0.2"/>
    <row r="3906" s="689" customFormat="1" x14ac:dyDescent="0.2"/>
    <row r="3907" s="689" customFormat="1" x14ac:dyDescent="0.2"/>
    <row r="3908" s="689" customFormat="1" x14ac:dyDescent="0.2"/>
    <row r="3909" s="689" customFormat="1" x14ac:dyDescent="0.2"/>
    <row r="3910" s="689" customFormat="1" x14ac:dyDescent="0.2"/>
    <row r="3911" s="689" customFormat="1" x14ac:dyDescent="0.2"/>
    <row r="3912" s="689" customFormat="1" x14ac:dyDescent="0.2"/>
    <row r="3913" s="689" customFormat="1" x14ac:dyDescent="0.2"/>
    <row r="3914" s="689" customFormat="1" x14ac:dyDescent="0.2"/>
    <row r="3915" s="689" customFormat="1" x14ac:dyDescent="0.2"/>
    <row r="3916" s="689" customFormat="1" x14ac:dyDescent="0.2"/>
    <row r="3917" s="689" customFormat="1" x14ac:dyDescent="0.2"/>
    <row r="3918" s="689" customFormat="1" x14ac:dyDescent="0.2"/>
    <row r="3919" s="689" customFormat="1" x14ac:dyDescent="0.2"/>
    <row r="3920" s="689" customFormat="1" x14ac:dyDescent="0.2"/>
    <row r="3921" s="689" customFormat="1" x14ac:dyDescent="0.2"/>
    <row r="3922" s="689" customFormat="1" x14ac:dyDescent="0.2"/>
    <row r="3923" s="689" customFormat="1" x14ac:dyDescent="0.2"/>
    <row r="3924" s="689" customFormat="1" x14ac:dyDescent="0.2"/>
    <row r="3925" s="689" customFormat="1" x14ac:dyDescent="0.2"/>
    <row r="3926" s="689" customFormat="1" x14ac:dyDescent="0.2"/>
    <row r="3927" s="689" customFormat="1" x14ac:dyDescent="0.2"/>
    <row r="3928" s="689" customFormat="1" x14ac:dyDescent="0.2"/>
    <row r="3929" s="689" customFormat="1" x14ac:dyDescent="0.2"/>
    <row r="3930" s="689" customFormat="1" x14ac:dyDescent="0.2"/>
    <row r="3931" s="689" customFormat="1" x14ac:dyDescent="0.2"/>
    <row r="3932" s="689" customFormat="1" x14ac:dyDescent="0.2"/>
    <row r="3933" s="689" customFormat="1" x14ac:dyDescent="0.2"/>
    <row r="3934" s="689" customFormat="1" x14ac:dyDescent="0.2"/>
    <row r="3935" s="689" customFormat="1" x14ac:dyDescent="0.2"/>
    <row r="3936" s="689" customFormat="1" x14ac:dyDescent="0.2"/>
    <row r="3937" s="689" customFormat="1" x14ac:dyDescent="0.2"/>
    <row r="3938" s="689" customFormat="1" x14ac:dyDescent="0.2"/>
    <row r="3939" s="689" customFormat="1" x14ac:dyDescent="0.2"/>
    <row r="3940" s="689" customFormat="1" x14ac:dyDescent="0.2"/>
    <row r="3941" s="689" customFormat="1" x14ac:dyDescent="0.2"/>
    <row r="3942" s="689" customFormat="1" x14ac:dyDescent="0.2"/>
    <row r="3943" s="689" customFormat="1" x14ac:dyDescent="0.2"/>
    <row r="3944" s="689" customFormat="1" x14ac:dyDescent="0.2"/>
    <row r="3945" s="689" customFormat="1" x14ac:dyDescent="0.2"/>
    <row r="3946" s="689" customFormat="1" x14ac:dyDescent="0.2"/>
    <row r="3947" s="689" customFormat="1" x14ac:dyDescent="0.2"/>
    <row r="3948" s="689" customFormat="1" x14ac:dyDescent="0.2"/>
    <row r="3949" s="689" customFormat="1" x14ac:dyDescent="0.2"/>
    <row r="3950" s="689" customFormat="1" x14ac:dyDescent="0.2"/>
    <row r="3951" s="689" customFormat="1" x14ac:dyDescent="0.2"/>
    <row r="3952" s="689" customFormat="1" x14ac:dyDescent="0.2"/>
    <row r="3953" s="689" customFormat="1" x14ac:dyDescent="0.2"/>
    <row r="3954" s="689" customFormat="1" x14ac:dyDescent="0.2"/>
    <row r="3955" s="689" customFormat="1" x14ac:dyDescent="0.2"/>
    <row r="3956" s="689" customFormat="1" x14ac:dyDescent="0.2"/>
    <row r="3957" s="689" customFormat="1" x14ac:dyDescent="0.2"/>
    <row r="3958" s="689" customFormat="1" x14ac:dyDescent="0.2"/>
    <row r="3959" s="689" customFormat="1" x14ac:dyDescent="0.2"/>
    <row r="3960" s="689" customFormat="1" x14ac:dyDescent="0.2"/>
    <row r="3961" s="689" customFormat="1" x14ac:dyDescent="0.2"/>
    <row r="3962" s="689" customFormat="1" x14ac:dyDescent="0.2"/>
    <row r="3963" s="689" customFormat="1" x14ac:dyDescent="0.2"/>
    <row r="3964" s="689" customFormat="1" x14ac:dyDescent="0.2"/>
    <row r="3965" s="689" customFormat="1" x14ac:dyDescent="0.2"/>
    <row r="3966" s="689" customFormat="1" x14ac:dyDescent="0.2"/>
    <row r="3967" s="689" customFormat="1" x14ac:dyDescent="0.2"/>
    <row r="3968" s="689" customFormat="1" x14ac:dyDescent="0.2"/>
    <row r="3969" s="689" customFormat="1" x14ac:dyDescent="0.2"/>
    <row r="3970" s="689" customFormat="1" x14ac:dyDescent="0.2"/>
    <row r="3971" s="689" customFormat="1" x14ac:dyDescent="0.2"/>
    <row r="3972" s="689" customFormat="1" x14ac:dyDescent="0.2"/>
    <row r="3973" s="689" customFormat="1" x14ac:dyDescent="0.2"/>
    <row r="3974" s="689" customFormat="1" x14ac:dyDescent="0.2"/>
    <row r="3975" s="689" customFormat="1" x14ac:dyDescent="0.2"/>
    <row r="3976" s="689" customFormat="1" x14ac:dyDescent="0.2"/>
    <row r="3977" s="689" customFormat="1" x14ac:dyDescent="0.2"/>
    <row r="3978" s="689" customFormat="1" x14ac:dyDescent="0.2"/>
    <row r="3979" s="689" customFormat="1" x14ac:dyDescent="0.2"/>
    <row r="3980" s="689" customFormat="1" x14ac:dyDescent="0.2"/>
    <row r="3981" s="689" customFormat="1" x14ac:dyDescent="0.2"/>
    <row r="3982" s="689" customFormat="1" x14ac:dyDescent="0.2"/>
    <row r="3983" s="689" customFormat="1" x14ac:dyDescent="0.2"/>
    <row r="3984" s="689" customFormat="1" x14ac:dyDescent="0.2"/>
    <row r="3985" s="689" customFormat="1" x14ac:dyDescent="0.2"/>
    <row r="3986" s="689" customFormat="1" x14ac:dyDescent="0.2"/>
    <row r="3987" s="689" customFormat="1" x14ac:dyDescent="0.2"/>
    <row r="3988" s="689" customFormat="1" x14ac:dyDescent="0.2"/>
    <row r="3989" s="689" customFormat="1" x14ac:dyDescent="0.2"/>
    <row r="3990" s="689" customFormat="1" x14ac:dyDescent="0.2"/>
    <row r="3991" s="689" customFormat="1" x14ac:dyDescent="0.2"/>
    <row r="3992" s="689" customFormat="1" x14ac:dyDescent="0.2"/>
    <row r="3993" s="689" customFormat="1" x14ac:dyDescent="0.2"/>
    <row r="3994" s="689" customFormat="1" x14ac:dyDescent="0.2"/>
    <row r="3995" s="689" customFormat="1" x14ac:dyDescent="0.2"/>
    <row r="3996" s="689" customFormat="1" x14ac:dyDescent="0.2"/>
    <row r="3997" s="689" customFormat="1" x14ac:dyDescent="0.2"/>
    <row r="3998" s="689" customFormat="1" x14ac:dyDescent="0.2"/>
    <row r="3999" s="689" customFormat="1" x14ac:dyDescent="0.2"/>
    <row r="4000" s="689" customFormat="1" x14ac:dyDescent="0.2"/>
    <row r="4001" s="689" customFormat="1" x14ac:dyDescent="0.2"/>
    <row r="4002" s="689" customFormat="1" x14ac:dyDescent="0.2"/>
    <row r="4003" s="689" customFormat="1" x14ac:dyDescent="0.2"/>
    <row r="4004" s="689" customFormat="1" x14ac:dyDescent="0.2"/>
    <row r="4005" s="689" customFormat="1" x14ac:dyDescent="0.2"/>
    <row r="4006" s="689" customFormat="1" x14ac:dyDescent="0.2"/>
    <row r="4007" s="689" customFormat="1" x14ac:dyDescent="0.2"/>
    <row r="4008" s="689" customFormat="1" x14ac:dyDescent="0.2"/>
    <row r="4009" s="689" customFormat="1" x14ac:dyDescent="0.2"/>
    <row r="4010" s="689" customFormat="1" x14ac:dyDescent="0.2"/>
    <row r="4011" s="689" customFormat="1" x14ac:dyDescent="0.2"/>
    <row r="4012" s="689" customFormat="1" x14ac:dyDescent="0.2"/>
    <row r="4013" s="689" customFormat="1" x14ac:dyDescent="0.2"/>
    <row r="4014" s="689" customFormat="1" x14ac:dyDescent="0.2"/>
    <row r="4015" s="689" customFormat="1" x14ac:dyDescent="0.2"/>
    <row r="4016" s="689" customFormat="1" x14ac:dyDescent="0.2"/>
    <row r="4017" s="689" customFormat="1" x14ac:dyDescent="0.2"/>
    <row r="4018" s="689" customFormat="1" x14ac:dyDescent="0.2"/>
    <row r="4019" s="689" customFormat="1" x14ac:dyDescent="0.2"/>
    <row r="4020" s="689" customFormat="1" x14ac:dyDescent="0.2"/>
    <row r="4021" s="689" customFormat="1" x14ac:dyDescent="0.2"/>
    <row r="4022" s="689" customFormat="1" x14ac:dyDescent="0.2"/>
    <row r="4023" s="689" customFormat="1" x14ac:dyDescent="0.2"/>
    <row r="4024" s="689" customFormat="1" x14ac:dyDescent="0.2"/>
    <row r="4025" s="689" customFormat="1" x14ac:dyDescent="0.2"/>
    <row r="4026" s="689" customFormat="1" x14ac:dyDescent="0.2"/>
    <row r="4027" s="689" customFormat="1" x14ac:dyDescent="0.2"/>
    <row r="4028" s="689" customFormat="1" x14ac:dyDescent="0.2"/>
    <row r="4029" s="689" customFormat="1" x14ac:dyDescent="0.2"/>
    <row r="4030" s="689" customFormat="1" x14ac:dyDescent="0.2"/>
    <row r="4031" s="689" customFormat="1" x14ac:dyDescent="0.2"/>
    <row r="4032" s="689" customFormat="1" x14ac:dyDescent="0.2"/>
    <row r="4033" s="689" customFormat="1" x14ac:dyDescent="0.2"/>
    <row r="4034" s="689" customFormat="1" x14ac:dyDescent="0.2"/>
    <row r="4035" s="689" customFormat="1" x14ac:dyDescent="0.2"/>
    <row r="4036" s="689" customFormat="1" x14ac:dyDescent="0.2"/>
    <row r="4037" s="689" customFormat="1" x14ac:dyDescent="0.2"/>
    <row r="4038" s="689" customFormat="1" x14ac:dyDescent="0.2"/>
    <row r="4039" s="689" customFormat="1" x14ac:dyDescent="0.2"/>
    <row r="4040" s="689" customFormat="1" x14ac:dyDescent="0.2"/>
    <row r="4041" s="689" customFormat="1" x14ac:dyDescent="0.2"/>
    <row r="4042" s="689" customFormat="1" x14ac:dyDescent="0.2"/>
    <row r="4043" s="689" customFormat="1" x14ac:dyDescent="0.2"/>
    <row r="4044" s="689" customFormat="1" x14ac:dyDescent="0.2"/>
    <row r="4045" s="689" customFormat="1" x14ac:dyDescent="0.2"/>
    <row r="4046" s="689" customFormat="1" x14ac:dyDescent="0.2"/>
    <row r="4047" s="689" customFormat="1" x14ac:dyDescent="0.2"/>
    <row r="4048" s="689" customFormat="1" x14ac:dyDescent="0.2"/>
    <row r="4049" s="689" customFormat="1" x14ac:dyDescent="0.2"/>
    <row r="4050" s="689" customFormat="1" x14ac:dyDescent="0.2"/>
    <row r="4051" s="689" customFormat="1" x14ac:dyDescent="0.2"/>
    <row r="4052" s="689" customFormat="1" x14ac:dyDescent="0.2"/>
    <row r="4053" s="689" customFormat="1" x14ac:dyDescent="0.2"/>
    <row r="4054" s="689" customFormat="1" x14ac:dyDescent="0.2"/>
    <row r="4055" s="689" customFormat="1" x14ac:dyDescent="0.2"/>
    <row r="4056" s="689" customFormat="1" x14ac:dyDescent="0.2"/>
    <row r="4057" s="689" customFormat="1" x14ac:dyDescent="0.2"/>
    <row r="4058" s="689" customFormat="1" x14ac:dyDescent="0.2"/>
    <row r="4059" s="689" customFormat="1" x14ac:dyDescent="0.2"/>
    <row r="4060" s="689" customFormat="1" x14ac:dyDescent="0.2"/>
    <row r="4061" s="689" customFormat="1" x14ac:dyDescent="0.2"/>
    <row r="4062" s="689" customFormat="1" x14ac:dyDescent="0.2"/>
    <row r="4063" s="689" customFormat="1" x14ac:dyDescent="0.2"/>
    <row r="4064" s="689" customFormat="1" x14ac:dyDescent="0.2"/>
    <row r="4065" s="689" customFormat="1" x14ac:dyDescent="0.2"/>
    <row r="4066" s="689" customFormat="1" x14ac:dyDescent="0.2"/>
    <row r="4067" s="689" customFormat="1" x14ac:dyDescent="0.2"/>
    <row r="4068" s="689" customFormat="1" x14ac:dyDescent="0.2"/>
    <row r="4069" s="689" customFormat="1" x14ac:dyDescent="0.2"/>
    <row r="4070" s="689" customFormat="1" x14ac:dyDescent="0.2"/>
    <row r="4071" s="689" customFormat="1" x14ac:dyDescent="0.2"/>
    <row r="4072" s="689" customFormat="1" x14ac:dyDescent="0.2"/>
    <row r="4073" s="689" customFormat="1" x14ac:dyDescent="0.2"/>
    <row r="4074" s="689" customFormat="1" x14ac:dyDescent="0.2"/>
    <row r="4075" s="689" customFormat="1" x14ac:dyDescent="0.2"/>
    <row r="4076" s="689" customFormat="1" x14ac:dyDescent="0.2"/>
    <row r="4077" s="689" customFormat="1" x14ac:dyDescent="0.2"/>
    <row r="4078" s="689" customFormat="1" x14ac:dyDescent="0.2"/>
    <row r="4079" s="689" customFormat="1" x14ac:dyDescent="0.2"/>
    <row r="4080" s="689" customFormat="1" x14ac:dyDescent="0.2"/>
    <row r="4081" s="689" customFormat="1" x14ac:dyDescent="0.2"/>
    <row r="4082" s="689" customFormat="1" x14ac:dyDescent="0.2"/>
    <row r="4083" s="689" customFormat="1" x14ac:dyDescent="0.2"/>
    <row r="4084" s="689" customFormat="1" x14ac:dyDescent="0.2"/>
    <row r="4085" s="689" customFormat="1" x14ac:dyDescent="0.2"/>
    <row r="4086" s="689" customFormat="1" x14ac:dyDescent="0.2"/>
    <row r="4087" s="689" customFormat="1" x14ac:dyDescent="0.2"/>
    <row r="4088" s="689" customFormat="1" x14ac:dyDescent="0.2"/>
    <row r="4089" s="689" customFormat="1" x14ac:dyDescent="0.2"/>
    <row r="4090" s="689" customFormat="1" x14ac:dyDescent="0.2"/>
    <row r="4091" s="689" customFormat="1" x14ac:dyDescent="0.2"/>
    <row r="4092" s="689" customFormat="1" x14ac:dyDescent="0.2"/>
    <row r="4093" s="689" customFormat="1" x14ac:dyDescent="0.2"/>
    <row r="4094" s="689" customFormat="1" x14ac:dyDescent="0.2"/>
    <row r="4095" s="689" customFormat="1" x14ac:dyDescent="0.2"/>
    <row r="4096" s="689" customFormat="1" x14ac:dyDescent="0.2"/>
    <row r="4097" s="689" customFormat="1" x14ac:dyDescent="0.2"/>
    <row r="4098" s="689" customFormat="1" x14ac:dyDescent="0.2"/>
    <row r="4099" s="689" customFormat="1" x14ac:dyDescent="0.2"/>
    <row r="4100" s="689" customFormat="1" x14ac:dyDescent="0.2"/>
    <row r="4101" s="689" customFormat="1" x14ac:dyDescent="0.2"/>
    <row r="4102" s="689" customFormat="1" x14ac:dyDescent="0.2"/>
    <row r="4103" s="689" customFormat="1" x14ac:dyDescent="0.2"/>
    <row r="4104" s="689" customFormat="1" x14ac:dyDescent="0.2"/>
    <row r="4105" s="689" customFormat="1" x14ac:dyDescent="0.2"/>
    <row r="4106" s="689" customFormat="1" x14ac:dyDescent="0.2"/>
    <row r="4107" s="689" customFormat="1" x14ac:dyDescent="0.2"/>
    <row r="4108" s="689" customFormat="1" x14ac:dyDescent="0.2"/>
    <row r="4109" s="689" customFormat="1" x14ac:dyDescent="0.2"/>
    <row r="4110" s="689" customFormat="1" x14ac:dyDescent="0.2"/>
    <row r="4111" s="689" customFormat="1" x14ac:dyDescent="0.2"/>
    <row r="4112" s="689" customFormat="1" x14ac:dyDescent="0.2"/>
    <row r="4113" s="689" customFormat="1" x14ac:dyDescent="0.2"/>
    <row r="4114" s="689" customFormat="1" x14ac:dyDescent="0.2"/>
    <row r="4115" s="689" customFormat="1" x14ac:dyDescent="0.2"/>
    <row r="4116" s="689" customFormat="1" x14ac:dyDescent="0.2"/>
    <row r="4117" s="689" customFormat="1" x14ac:dyDescent="0.2"/>
    <row r="4118" s="689" customFormat="1" x14ac:dyDescent="0.2"/>
    <row r="4119" s="689" customFormat="1" x14ac:dyDescent="0.2"/>
    <row r="4120" s="689" customFormat="1" x14ac:dyDescent="0.2"/>
    <row r="4121" s="689" customFormat="1" x14ac:dyDescent="0.2"/>
    <row r="4122" s="689" customFormat="1" x14ac:dyDescent="0.2"/>
    <row r="4123" s="689" customFormat="1" x14ac:dyDescent="0.2"/>
    <row r="4124" s="689" customFormat="1" x14ac:dyDescent="0.2"/>
    <row r="4125" s="689" customFormat="1" x14ac:dyDescent="0.2"/>
    <row r="4126" s="689" customFormat="1" x14ac:dyDescent="0.2"/>
    <row r="4127" s="689" customFormat="1" x14ac:dyDescent="0.2"/>
    <row r="4128" s="689" customFormat="1" x14ac:dyDescent="0.2"/>
    <row r="4129" s="689" customFormat="1" x14ac:dyDescent="0.2"/>
    <row r="4130" s="689" customFormat="1" x14ac:dyDescent="0.2"/>
    <row r="4131" s="689" customFormat="1" x14ac:dyDescent="0.2"/>
    <row r="4132" s="689" customFormat="1" x14ac:dyDescent="0.2"/>
    <row r="4133" s="689" customFormat="1" x14ac:dyDescent="0.2"/>
    <row r="4134" s="689" customFormat="1" x14ac:dyDescent="0.2"/>
    <row r="4135" s="689" customFormat="1" x14ac:dyDescent="0.2"/>
    <row r="4136" s="689" customFormat="1" x14ac:dyDescent="0.2"/>
    <row r="4137" s="689" customFormat="1" x14ac:dyDescent="0.2"/>
    <row r="4138" s="689" customFormat="1" x14ac:dyDescent="0.2"/>
    <row r="4139" s="689" customFormat="1" x14ac:dyDescent="0.2"/>
    <row r="4140" s="689" customFormat="1" x14ac:dyDescent="0.2"/>
    <row r="4141" s="689" customFormat="1" x14ac:dyDescent="0.2"/>
    <row r="4142" s="689" customFormat="1" x14ac:dyDescent="0.2"/>
    <row r="4143" s="689" customFormat="1" x14ac:dyDescent="0.2"/>
    <row r="4144" s="689" customFormat="1" x14ac:dyDescent="0.2"/>
    <row r="4145" s="689" customFormat="1" x14ac:dyDescent="0.2"/>
    <row r="4146" s="689" customFormat="1" x14ac:dyDescent="0.2"/>
    <row r="4147" s="689" customFormat="1" x14ac:dyDescent="0.2"/>
    <row r="4148" s="689" customFormat="1" x14ac:dyDescent="0.2"/>
    <row r="4149" s="689" customFormat="1" x14ac:dyDescent="0.2"/>
    <row r="4150" s="689" customFormat="1" x14ac:dyDescent="0.2"/>
    <row r="4151" s="689" customFormat="1" x14ac:dyDescent="0.2"/>
    <row r="4152" s="689" customFormat="1" x14ac:dyDescent="0.2"/>
    <row r="4153" s="689" customFormat="1" x14ac:dyDescent="0.2"/>
    <row r="4154" s="689" customFormat="1" x14ac:dyDescent="0.2"/>
    <row r="4155" s="689" customFormat="1" x14ac:dyDescent="0.2"/>
    <row r="4156" s="689" customFormat="1" x14ac:dyDescent="0.2"/>
    <row r="4157" s="689" customFormat="1" x14ac:dyDescent="0.2"/>
    <row r="4158" s="689" customFormat="1" x14ac:dyDescent="0.2"/>
    <row r="4159" s="689" customFormat="1" x14ac:dyDescent="0.2"/>
    <row r="4160" s="689" customFormat="1" x14ac:dyDescent="0.2"/>
    <row r="4161" s="689" customFormat="1" x14ac:dyDescent="0.2"/>
    <row r="4162" s="689" customFormat="1" x14ac:dyDescent="0.2"/>
    <row r="4163" s="689" customFormat="1" x14ac:dyDescent="0.2"/>
    <row r="4164" s="689" customFormat="1" x14ac:dyDescent="0.2"/>
    <row r="4165" s="689" customFormat="1" x14ac:dyDescent="0.2"/>
    <row r="4166" s="689" customFormat="1" x14ac:dyDescent="0.2"/>
    <row r="4167" s="689" customFormat="1" x14ac:dyDescent="0.2"/>
    <row r="4168" s="689" customFormat="1" x14ac:dyDescent="0.2"/>
    <row r="4169" s="689" customFormat="1" x14ac:dyDescent="0.2"/>
    <row r="4170" s="689" customFormat="1" x14ac:dyDescent="0.2"/>
    <row r="4171" s="689" customFormat="1" x14ac:dyDescent="0.2"/>
    <row r="4172" s="689" customFormat="1" x14ac:dyDescent="0.2"/>
    <row r="4173" s="689" customFormat="1" x14ac:dyDescent="0.2"/>
    <row r="4174" s="689" customFormat="1" x14ac:dyDescent="0.2"/>
    <row r="4175" s="689" customFormat="1" x14ac:dyDescent="0.2"/>
    <row r="4176" s="689" customFormat="1" x14ac:dyDescent="0.2"/>
    <row r="4177" s="689" customFormat="1" x14ac:dyDescent="0.2"/>
    <row r="4178" s="689" customFormat="1" x14ac:dyDescent="0.2"/>
    <row r="4179" s="689" customFormat="1" x14ac:dyDescent="0.2"/>
    <row r="4180" s="689" customFormat="1" x14ac:dyDescent="0.2"/>
    <row r="4181" s="689" customFormat="1" x14ac:dyDescent="0.2"/>
    <row r="4182" s="689" customFormat="1" x14ac:dyDescent="0.2"/>
    <row r="4183" s="689" customFormat="1" x14ac:dyDescent="0.2"/>
    <row r="4184" s="689" customFormat="1" x14ac:dyDescent="0.2"/>
    <row r="4185" s="689" customFormat="1" x14ac:dyDescent="0.2"/>
    <row r="4186" s="689" customFormat="1" x14ac:dyDescent="0.2"/>
    <row r="4187" s="689" customFormat="1" x14ac:dyDescent="0.2"/>
    <row r="4188" s="689" customFormat="1" x14ac:dyDescent="0.2"/>
    <row r="4189" s="689" customFormat="1" x14ac:dyDescent="0.2"/>
    <row r="4190" s="689" customFormat="1" x14ac:dyDescent="0.2"/>
    <row r="4191" s="689" customFormat="1" x14ac:dyDescent="0.2"/>
    <row r="4192" s="689" customFormat="1" x14ac:dyDescent="0.2"/>
    <row r="4193" s="689" customFormat="1" x14ac:dyDescent="0.2"/>
    <row r="4194" s="689" customFormat="1" x14ac:dyDescent="0.2"/>
    <row r="4195" s="689" customFormat="1" x14ac:dyDescent="0.2"/>
    <row r="4196" s="689" customFormat="1" x14ac:dyDescent="0.2"/>
    <row r="4197" s="689" customFormat="1" x14ac:dyDescent="0.2"/>
    <row r="4198" s="689" customFormat="1" x14ac:dyDescent="0.2"/>
    <row r="4199" s="689" customFormat="1" x14ac:dyDescent="0.2"/>
    <row r="4200" s="689" customFormat="1" x14ac:dyDescent="0.2"/>
    <row r="4201" s="689" customFormat="1" x14ac:dyDescent="0.2"/>
    <row r="4202" s="689" customFormat="1" x14ac:dyDescent="0.2"/>
    <row r="4203" s="689" customFormat="1" x14ac:dyDescent="0.2"/>
    <row r="4204" s="689" customFormat="1" x14ac:dyDescent="0.2"/>
    <row r="4205" s="689" customFormat="1" x14ac:dyDescent="0.2"/>
    <row r="4206" s="689" customFormat="1" x14ac:dyDescent="0.2"/>
    <row r="4207" s="689" customFormat="1" x14ac:dyDescent="0.2"/>
    <row r="4208" s="689" customFormat="1" x14ac:dyDescent="0.2"/>
    <row r="4209" s="689" customFormat="1" x14ac:dyDescent="0.2"/>
    <row r="4210" s="689" customFormat="1" x14ac:dyDescent="0.2"/>
    <row r="4211" s="689" customFormat="1" x14ac:dyDescent="0.2"/>
    <row r="4212" s="689" customFormat="1" x14ac:dyDescent="0.2"/>
    <row r="4213" s="689" customFormat="1" x14ac:dyDescent="0.2"/>
    <row r="4214" s="689" customFormat="1" x14ac:dyDescent="0.2"/>
    <row r="4215" s="689" customFormat="1" x14ac:dyDescent="0.2"/>
    <row r="4216" s="689" customFormat="1" x14ac:dyDescent="0.2"/>
    <row r="4217" s="689" customFormat="1" x14ac:dyDescent="0.2"/>
    <row r="4218" s="689" customFormat="1" x14ac:dyDescent="0.2"/>
    <row r="4219" s="689" customFormat="1" x14ac:dyDescent="0.2"/>
    <row r="4220" s="689" customFormat="1" x14ac:dyDescent="0.2"/>
    <row r="4221" s="689" customFormat="1" x14ac:dyDescent="0.2"/>
    <row r="4222" s="689" customFormat="1" x14ac:dyDescent="0.2"/>
    <row r="4223" s="689" customFormat="1" x14ac:dyDescent="0.2"/>
    <row r="4224" s="689" customFormat="1" x14ac:dyDescent="0.2"/>
    <row r="4225" s="689" customFormat="1" x14ac:dyDescent="0.2"/>
    <row r="4226" s="689" customFormat="1" x14ac:dyDescent="0.2"/>
    <row r="4227" s="689" customFormat="1" x14ac:dyDescent="0.2"/>
    <row r="4228" s="689" customFormat="1" x14ac:dyDescent="0.2"/>
    <row r="4229" s="689" customFormat="1" x14ac:dyDescent="0.2"/>
    <row r="4230" s="689" customFormat="1" x14ac:dyDescent="0.2"/>
    <row r="4231" s="689" customFormat="1" x14ac:dyDescent="0.2"/>
    <row r="4232" s="689" customFormat="1" x14ac:dyDescent="0.2"/>
    <row r="4233" s="689" customFormat="1" x14ac:dyDescent="0.2"/>
    <row r="4234" s="689" customFormat="1" x14ac:dyDescent="0.2"/>
    <row r="4235" s="689" customFormat="1" x14ac:dyDescent="0.2"/>
    <row r="4236" s="689" customFormat="1" x14ac:dyDescent="0.2"/>
    <row r="4237" s="689" customFormat="1" x14ac:dyDescent="0.2"/>
    <row r="4238" s="689" customFormat="1" x14ac:dyDescent="0.2"/>
    <row r="4239" s="689" customFormat="1" x14ac:dyDescent="0.2"/>
    <row r="4240" s="689" customFormat="1" x14ac:dyDescent="0.2"/>
    <row r="4241" s="689" customFormat="1" x14ac:dyDescent="0.2"/>
    <row r="4242" s="689" customFormat="1" x14ac:dyDescent="0.2"/>
    <row r="4243" s="689" customFormat="1" x14ac:dyDescent="0.2"/>
    <row r="4244" s="689" customFormat="1" x14ac:dyDescent="0.2"/>
    <row r="4245" s="689" customFormat="1" x14ac:dyDescent="0.2"/>
    <row r="4246" s="689" customFormat="1" x14ac:dyDescent="0.2"/>
    <row r="4247" s="689" customFormat="1" x14ac:dyDescent="0.2"/>
    <row r="4248" s="689" customFormat="1" x14ac:dyDescent="0.2"/>
    <row r="4249" s="689" customFormat="1" x14ac:dyDescent="0.2"/>
    <row r="4250" s="689" customFormat="1" x14ac:dyDescent="0.2"/>
    <row r="4251" s="689" customFormat="1" x14ac:dyDescent="0.2"/>
    <row r="4252" s="689" customFormat="1" x14ac:dyDescent="0.2"/>
    <row r="4253" s="689" customFormat="1" x14ac:dyDescent="0.2"/>
    <row r="4254" s="689" customFormat="1" x14ac:dyDescent="0.2"/>
    <row r="4255" s="689" customFormat="1" x14ac:dyDescent="0.2"/>
    <row r="4256" s="689" customFormat="1" x14ac:dyDescent="0.2"/>
    <row r="4257" s="689" customFormat="1" x14ac:dyDescent="0.2"/>
    <row r="4258" s="689" customFormat="1" x14ac:dyDescent="0.2"/>
    <row r="4259" s="689" customFormat="1" x14ac:dyDescent="0.2"/>
    <row r="4260" s="689" customFormat="1" x14ac:dyDescent="0.2"/>
    <row r="4261" s="689" customFormat="1" x14ac:dyDescent="0.2"/>
    <row r="4262" s="689" customFormat="1" x14ac:dyDescent="0.2"/>
    <row r="4263" s="689" customFormat="1" x14ac:dyDescent="0.2"/>
    <row r="4264" s="689" customFormat="1" x14ac:dyDescent="0.2"/>
    <row r="4265" s="689" customFormat="1" x14ac:dyDescent="0.2"/>
    <row r="4266" s="689" customFormat="1" x14ac:dyDescent="0.2"/>
    <row r="4267" s="689" customFormat="1" x14ac:dyDescent="0.2"/>
    <row r="4268" s="689" customFormat="1" x14ac:dyDescent="0.2"/>
    <row r="4269" s="689" customFormat="1" x14ac:dyDescent="0.2"/>
    <row r="4270" s="689" customFormat="1" x14ac:dyDescent="0.2"/>
    <row r="4271" s="689" customFormat="1" x14ac:dyDescent="0.2"/>
    <row r="4272" s="689" customFormat="1" x14ac:dyDescent="0.2"/>
    <row r="4273" s="689" customFormat="1" x14ac:dyDescent="0.2"/>
    <row r="4274" s="689" customFormat="1" x14ac:dyDescent="0.2"/>
    <row r="4275" s="689" customFormat="1" x14ac:dyDescent="0.2"/>
    <row r="4276" s="689" customFormat="1" x14ac:dyDescent="0.2"/>
    <row r="4277" s="689" customFormat="1" x14ac:dyDescent="0.2"/>
    <row r="4278" s="689" customFormat="1" x14ac:dyDescent="0.2"/>
    <row r="4279" s="689" customFormat="1" x14ac:dyDescent="0.2"/>
    <row r="4280" s="689" customFormat="1" x14ac:dyDescent="0.2"/>
    <row r="4281" s="689" customFormat="1" x14ac:dyDescent="0.2"/>
    <row r="4282" s="689" customFormat="1" x14ac:dyDescent="0.2"/>
    <row r="4283" s="689" customFormat="1" x14ac:dyDescent="0.2"/>
    <row r="4284" s="689" customFormat="1" x14ac:dyDescent="0.2"/>
    <row r="4285" s="689" customFormat="1" x14ac:dyDescent="0.2"/>
    <row r="4286" s="689" customFormat="1" x14ac:dyDescent="0.2"/>
    <row r="4287" s="689" customFormat="1" x14ac:dyDescent="0.2"/>
    <row r="4288" s="689" customFormat="1" x14ac:dyDescent="0.2"/>
    <row r="4289" s="689" customFormat="1" x14ac:dyDescent="0.2"/>
    <row r="4290" s="689" customFormat="1" x14ac:dyDescent="0.2"/>
    <row r="4291" s="689" customFormat="1" x14ac:dyDescent="0.2"/>
    <row r="4292" s="689" customFormat="1" x14ac:dyDescent="0.2"/>
    <row r="4293" s="689" customFormat="1" x14ac:dyDescent="0.2"/>
    <row r="4294" s="689" customFormat="1" x14ac:dyDescent="0.2"/>
    <row r="4295" s="689" customFormat="1" x14ac:dyDescent="0.2"/>
    <row r="4296" s="689" customFormat="1" x14ac:dyDescent="0.2"/>
    <row r="4297" s="689" customFormat="1" x14ac:dyDescent="0.2"/>
    <row r="4298" s="689" customFormat="1" x14ac:dyDescent="0.2"/>
    <row r="4299" s="689" customFormat="1" x14ac:dyDescent="0.2"/>
    <row r="4300" s="689" customFormat="1" x14ac:dyDescent="0.2"/>
    <row r="4301" s="689" customFormat="1" x14ac:dyDescent="0.2"/>
    <row r="4302" s="689" customFormat="1" x14ac:dyDescent="0.2"/>
    <row r="4303" s="689" customFormat="1" x14ac:dyDescent="0.2"/>
    <row r="4304" s="689" customFormat="1" x14ac:dyDescent="0.2"/>
    <row r="4305" s="689" customFormat="1" x14ac:dyDescent="0.2"/>
    <row r="4306" s="689" customFormat="1" x14ac:dyDescent="0.2"/>
    <row r="4307" s="689" customFormat="1" x14ac:dyDescent="0.2"/>
    <row r="4308" s="689" customFormat="1" x14ac:dyDescent="0.2"/>
    <row r="4309" s="689" customFormat="1" x14ac:dyDescent="0.2"/>
    <row r="4310" s="689" customFormat="1" x14ac:dyDescent="0.2"/>
    <row r="4311" s="689" customFormat="1" x14ac:dyDescent="0.2"/>
    <row r="4312" s="689" customFormat="1" x14ac:dyDescent="0.2"/>
    <row r="4313" s="689" customFormat="1" x14ac:dyDescent="0.2"/>
    <row r="4314" s="689" customFormat="1" x14ac:dyDescent="0.2"/>
    <row r="4315" s="689" customFormat="1" x14ac:dyDescent="0.2"/>
    <row r="4316" s="689" customFormat="1" x14ac:dyDescent="0.2"/>
    <row r="4317" s="689" customFormat="1" x14ac:dyDescent="0.2"/>
    <row r="4318" s="689" customFormat="1" x14ac:dyDescent="0.2"/>
    <row r="4319" s="689" customFormat="1" x14ac:dyDescent="0.2"/>
    <row r="4320" s="689" customFormat="1" x14ac:dyDescent="0.2"/>
    <row r="4321" s="689" customFormat="1" x14ac:dyDescent="0.2"/>
    <row r="4322" s="689" customFormat="1" x14ac:dyDescent="0.2"/>
    <row r="4323" s="689" customFormat="1" x14ac:dyDescent="0.2"/>
    <row r="4324" s="689" customFormat="1" x14ac:dyDescent="0.2"/>
    <row r="4325" s="689" customFormat="1" x14ac:dyDescent="0.2"/>
    <row r="4326" s="689" customFormat="1" x14ac:dyDescent="0.2"/>
    <row r="4327" s="689" customFormat="1" x14ac:dyDescent="0.2"/>
    <row r="4328" s="689" customFormat="1" x14ac:dyDescent="0.2"/>
    <row r="4329" s="689" customFormat="1" x14ac:dyDescent="0.2"/>
    <row r="4330" s="689" customFormat="1" x14ac:dyDescent="0.2"/>
    <row r="4331" s="689" customFormat="1" x14ac:dyDescent="0.2"/>
    <row r="4332" s="689" customFormat="1" x14ac:dyDescent="0.2"/>
    <row r="4333" s="689" customFormat="1" x14ac:dyDescent="0.2"/>
    <row r="4334" s="689" customFormat="1" x14ac:dyDescent="0.2"/>
    <row r="4335" s="689" customFormat="1" x14ac:dyDescent="0.2"/>
    <row r="4336" s="689" customFormat="1" x14ac:dyDescent="0.2"/>
    <row r="4337" s="689" customFormat="1" x14ac:dyDescent="0.2"/>
    <row r="4338" s="689" customFormat="1" x14ac:dyDescent="0.2"/>
    <row r="4339" s="689" customFormat="1" x14ac:dyDescent="0.2"/>
    <row r="4340" s="689" customFormat="1" x14ac:dyDescent="0.2"/>
    <row r="4341" s="689" customFormat="1" x14ac:dyDescent="0.2"/>
    <row r="4342" s="689" customFormat="1" x14ac:dyDescent="0.2"/>
    <row r="4343" s="689" customFormat="1" x14ac:dyDescent="0.2"/>
    <row r="4344" s="689" customFormat="1" x14ac:dyDescent="0.2"/>
    <row r="4345" s="689" customFormat="1" x14ac:dyDescent="0.2"/>
    <row r="4346" s="689" customFormat="1" x14ac:dyDescent="0.2"/>
    <row r="4347" s="689" customFormat="1" x14ac:dyDescent="0.2"/>
    <row r="4348" s="689" customFormat="1" x14ac:dyDescent="0.2"/>
    <row r="4349" s="689" customFormat="1" x14ac:dyDescent="0.2"/>
    <row r="4350" s="689" customFormat="1" x14ac:dyDescent="0.2"/>
    <row r="4351" s="689" customFormat="1" x14ac:dyDescent="0.2"/>
    <row r="4352" s="689" customFormat="1" x14ac:dyDescent="0.2"/>
    <row r="4353" s="689" customFormat="1" x14ac:dyDescent="0.2"/>
    <row r="4354" s="689" customFormat="1" x14ac:dyDescent="0.2"/>
    <row r="4355" s="689" customFormat="1" x14ac:dyDescent="0.2"/>
    <row r="4356" s="689" customFormat="1" x14ac:dyDescent="0.2"/>
    <row r="4357" s="689" customFormat="1" x14ac:dyDescent="0.2"/>
    <row r="4358" s="689" customFormat="1" x14ac:dyDescent="0.2"/>
    <row r="4359" s="689" customFormat="1" x14ac:dyDescent="0.2"/>
    <row r="4360" s="689" customFormat="1" x14ac:dyDescent="0.2"/>
    <row r="4361" s="689" customFormat="1" x14ac:dyDescent="0.2"/>
    <row r="4362" s="689" customFormat="1" x14ac:dyDescent="0.2"/>
    <row r="4363" s="689" customFormat="1" x14ac:dyDescent="0.2"/>
    <row r="4364" s="689" customFormat="1" x14ac:dyDescent="0.2"/>
    <row r="4365" s="689" customFormat="1" x14ac:dyDescent="0.2"/>
    <row r="4366" s="689" customFormat="1" x14ac:dyDescent="0.2"/>
    <row r="4367" s="689" customFormat="1" x14ac:dyDescent="0.2"/>
    <row r="4368" s="689" customFormat="1" x14ac:dyDescent="0.2"/>
    <row r="4369" s="689" customFormat="1" x14ac:dyDescent="0.2"/>
    <row r="4370" s="689" customFormat="1" x14ac:dyDescent="0.2"/>
    <row r="4371" s="689" customFormat="1" x14ac:dyDescent="0.2"/>
    <row r="4372" s="689" customFormat="1" x14ac:dyDescent="0.2"/>
    <row r="4373" s="689" customFormat="1" x14ac:dyDescent="0.2"/>
    <row r="4374" s="689" customFormat="1" x14ac:dyDescent="0.2"/>
    <row r="4375" s="689" customFormat="1" x14ac:dyDescent="0.2"/>
    <row r="4376" s="689" customFormat="1" x14ac:dyDescent="0.2"/>
    <row r="4377" s="689" customFormat="1" x14ac:dyDescent="0.2"/>
    <row r="4378" s="689" customFormat="1" x14ac:dyDescent="0.2"/>
    <row r="4379" s="689" customFormat="1" x14ac:dyDescent="0.2"/>
    <row r="4380" s="689" customFormat="1" x14ac:dyDescent="0.2"/>
    <row r="4381" s="689" customFormat="1" x14ac:dyDescent="0.2"/>
    <row r="4382" s="689" customFormat="1" x14ac:dyDescent="0.2"/>
    <row r="4383" s="689" customFormat="1" x14ac:dyDescent="0.2"/>
    <row r="4384" s="689" customFormat="1" x14ac:dyDescent="0.2"/>
    <row r="4385" s="689" customFormat="1" x14ac:dyDescent="0.2"/>
    <row r="4386" s="689" customFormat="1" x14ac:dyDescent="0.2"/>
    <row r="4387" s="689" customFormat="1" x14ac:dyDescent="0.2"/>
    <row r="4388" s="689" customFormat="1" x14ac:dyDescent="0.2"/>
    <row r="4389" s="689" customFormat="1" x14ac:dyDescent="0.2"/>
    <row r="4390" s="689" customFormat="1" x14ac:dyDescent="0.2"/>
    <row r="4391" s="689" customFormat="1" x14ac:dyDescent="0.2"/>
    <row r="4392" s="689" customFormat="1" x14ac:dyDescent="0.2"/>
    <row r="4393" s="689" customFormat="1" x14ac:dyDescent="0.2"/>
    <row r="4394" s="689" customFormat="1" x14ac:dyDescent="0.2"/>
    <row r="4395" s="689" customFormat="1" x14ac:dyDescent="0.2"/>
    <row r="4396" s="689" customFormat="1" x14ac:dyDescent="0.2"/>
    <row r="4397" s="689" customFormat="1" x14ac:dyDescent="0.2"/>
    <row r="4398" s="689" customFormat="1" x14ac:dyDescent="0.2"/>
    <row r="4399" s="689" customFormat="1" x14ac:dyDescent="0.2"/>
    <row r="4400" s="689" customFormat="1" x14ac:dyDescent="0.2"/>
    <row r="4401" s="689" customFormat="1" x14ac:dyDescent="0.2"/>
    <row r="4402" s="689" customFormat="1" x14ac:dyDescent="0.2"/>
    <row r="4403" s="689" customFormat="1" x14ac:dyDescent="0.2"/>
    <row r="4404" s="689" customFormat="1" x14ac:dyDescent="0.2"/>
    <row r="4405" s="689" customFormat="1" x14ac:dyDescent="0.2"/>
    <row r="4406" s="689" customFormat="1" x14ac:dyDescent="0.2"/>
    <row r="4407" s="689" customFormat="1" x14ac:dyDescent="0.2"/>
    <row r="4408" s="689" customFormat="1" x14ac:dyDescent="0.2"/>
    <row r="4409" s="689" customFormat="1" x14ac:dyDescent="0.2"/>
    <row r="4410" s="689" customFormat="1" x14ac:dyDescent="0.2"/>
    <row r="4411" s="689" customFormat="1" x14ac:dyDescent="0.2"/>
    <row r="4412" s="689" customFormat="1" x14ac:dyDescent="0.2"/>
    <row r="4413" s="689" customFormat="1" x14ac:dyDescent="0.2"/>
    <row r="4414" s="689" customFormat="1" x14ac:dyDescent="0.2"/>
    <row r="4415" s="689" customFormat="1" x14ac:dyDescent="0.2"/>
    <row r="4416" s="689" customFormat="1" x14ac:dyDescent="0.2"/>
    <row r="4417" s="689" customFormat="1" x14ac:dyDescent="0.2"/>
    <row r="4418" s="689" customFormat="1" x14ac:dyDescent="0.2"/>
    <row r="4419" s="689" customFormat="1" x14ac:dyDescent="0.2"/>
    <row r="4420" s="689" customFormat="1" x14ac:dyDescent="0.2"/>
    <row r="4421" s="689" customFormat="1" x14ac:dyDescent="0.2"/>
    <row r="4422" s="689" customFormat="1" x14ac:dyDescent="0.2"/>
    <row r="4423" s="689" customFormat="1" x14ac:dyDescent="0.2"/>
    <row r="4424" s="689" customFormat="1" x14ac:dyDescent="0.2"/>
    <row r="4425" s="689" customFormat="1" x14ac:dyDescent="0.2"/>
    <row r="4426" s="689" customFormat="1" x14ac:dyDescent="0.2"/>
    <row r="4427" s="689" customFormat="1" x14ac:dyDescent="0.2"/>
    <row r="4428" s="689" customFormat="1" x14ac:dyDescent="0.2"/>
    <row r="4429" s="689" customFormat="1" x14ac:dyDescent="0.2"/>
    <row r="4430" s="689" customFormat="1" x14ac:dyDescent="0.2"/>
    <row r="4431" s="689" customFormat="1" x14ac:dyDescent="0.2"/>
    <row r="4432" s="689" customFormat="1" x14ac:dyDescent="0.2"/>
    <row r="4433" s="689" customFormat="1" x14ac:dyDescent="0.2"/>
    <row r="4434" s="689" customFormat="1" x14ac:dyDescent="0.2"/>
    <row r="4435" s="689" customFormat="1" x14ac:dyDescent="0.2"/>
    <row r="4436" s="689" customFormat="1" x14ac:dyDescent="0.2"/>
    <row r="4437" s="689" customFormat="1" x14ac:dyDescent="0.2"/>
    <row r="4438" s="689" customFormat="1" x14ac:dyDescent="0.2"/>
    <row r="4439" s="689" customFormat="1" x14ac:dyDescent="0.2"/>
    <row r="4440" s="689" customFormat="1" x14ac:dyDescent="0.2"/>
    <row r="4441" s="689" customFormat="1" x14ac:dyDescent="0.2"/>
    <row r="4442" s="689" customFormat="1" x14ac:dyDescent="0.2"/>
    <row r="4443" s="689" customFormat="1" x14ac:dyDescent="0.2"/>
    <row r="4444" s="689" customFormat="1" x14ac:dyDescent="0.2"/>
    <row r="4445" s="689" customFormat="1" x14ac:dyDescent="0.2"/>
    <row r="4446" s="689" customFormat="1" x14ac:dyDescent="0.2"/>
    <row r="4447" s="689" customFormat="1" x14ac:dyDescent="0.2"/>
    <row r="4448" s="689" customFormat="1" x14ac:dyDescent="0.2"/>
    <row r="4449" s="689" customFormat="1" x14ac:dyDescent="0.2"/>
    <row r="4450" s="689" customFormat="1" x14ac:dyDescent="0.2"/>
    <row r="4451" s="689" customFormat="1" x14ac:dyDescent="0.2"/>
    <row r="4452" s="689" customFormat="1" x14ac:dyDescent="0.2"/>
    <row r="4453" s="689" customFormat="1" x14ac:dyDescent="0.2"/>
    <row r="4454" s="689" customFormat="1" x14ac:dyDescent="0.2"/>
    <row r="4455" s="689" customFormat="1" x14ac:dyDescent="0.2"/>
    <row r="4456" s="689" customFormat="1" x14ac:dyDescent="0.2"/>
    <row r="4457" s="689" customFormat="1" x14ac:dyDescent="0.2"/>
    <row r="4458" s="689" customFormat="1" x14ac:dyDescent="0.2"/>
    <row r="4459" s="689" customFormat="1" x14ac:dyDescent="0.2"/>
    <row r="4460" s="689" customFormat="1" x14ac:dyDescent="0.2"/>
    <row r="4461" s="689" customFormat="1" x14ac:dyDescent="0.2"/>
    <row r="4462" s="689" customFormat="1" x14ac:dyDescent="0.2"/>
    <row r="4463" s="689" customFormat="1" x14ac:dyDescent="0.2"/>
    <row r="4464" s="689" customFormat="1" x14ac:dyDescent="0.2"/>
    <row r="4465" s="689" customFormat="1" x14ac:dyDescent="0.2"/>
    <row r="4466" s="689" customFormat="1" x14ac:dyDescent="0.2"/>
    <row r="4467" s="689" customFormat="1" x14ac:dyDescent="0.2"/>
    <row r="4468" s="689" customFormat="1" x14ac:dyDescent="0.2"/>
    <row r="4469" s="689" customFormat="1" x14ac:dyDescent="0.2"/>
    <row r="4470" s="689" customFormat="1" x14ac:dyDescent="0.2"/>
    <row r="4471" s="689" customFormat="1" x14ac:dyDescent="0.2"/>
    <row r="4472" s="689" customFormat="1" x14ac:dyDescent="0.2"/>
    <row r="4473" s="689" customFormat="1" x14ac:dyDescent="0.2"/>
    <row r="4474" s="689" customFormat="1" x14ac:dyDescent="0.2"/>
    <row r="4475" s="689" customFormat="1" x14ac:dyDescent="0.2"/>
    <row r="4476" s="689" customFormat="1" x14ac:dyDescent="0.2"/>
    <row r="4477" s="689" customFormat="1" x14ac:dyDescent="0.2"/>
    <row r="4478" s="689" customFormat="1" x14ac:dyDescent="0.2"/>
    <row r="4479" s="689" customFormat="1" x14ac:dyDescent="0.2"/>
    <row r="4480" s="689" customFormat="1" x14ac:dyDescent="0.2"/>
    <row r="4481" s="689" customFormat="1" x14ac:dyDescent="0.2"/>
    <row r="4482" s="689" customFormat="1" x14ac:dyDescent="0.2"/>
    <row r="4483" s="689" customFormat="1" x14ac:dyDescent="0.2"/>
    <row r="4484" s="689" customFormat="1" x14ac:dyDescent="0.2"/>
    <row r="4485" s="689" customFormat="1" x14ac:dyDescent="0.2"/>
    <row r="4486" s="689" customFormat="1" x14ac:dyDescent="0.2"/>
    <row r="4487" s="689" customFormat="1" x14ac:dyDescent="0.2"/>
    <row r="4488" s="689" customFormat="1" x14ac:dyDescent="0.2"/>
    <row r="4489" s="689" customFormat="1" x14ac:dyDescent="0.2"/>
    <row r="4490" s="689" customFormat="1" x14ac:dyDescent="0.2"/>
    <row r="4491" s="689" customFormat="1" x14ac:dyDescent="0.2"/>
    <row r="4492" s="689" customFormat="1" x14ac:dyDescent="0.2"/>
    <row r="4493" s="689" customFormat="1" x14ac:dyDescent="0.2"/>
    <row r="4494" s="689" customFormat="1" x14ac:dyDescent="0.2"/>
    <row r="4495" s="689" customFormat="1" x14ac:dyDescent="0.2"/>
    <row r="4496" s="689" customFormat="1" x14ac:dyDescent="0.2"/>
    <row r="4497" s="689" customFormat="1" x14ac:dyDescent="0.2"/>
    <row r="4498" s="689" customFormat="1" x14ac:dyDescent="0.2"/>
    <row r="4499" s="689" customFormat="1" x14ac:dyDescent="0.2"/>
    <row r="4500" s="689" customFormat="1" x14ac:dyDescent="0.2"/>
    <row r="4501" s="689" customFormat="1" x14ac:dyDescent="0.2"/>
    <row r="4502" s="689" customFormat="1" x14ac:dyDescent="0.2"/>
    <row r="4503" s="689" customFormat="1" x14ac:dyDescent="0.2"/>
    <row r="4504" s="689" customFormat="1" x14ac:dyDescent="0.2"/>
    <row r="4505" s="689" customFormat="1" x14ac:dyDescent="0.2"/>
    <row r="4506" s="689" customFormat="1" x14ac:dyDescent="0.2"/>
    <row r="4507" s="689" customFormat="1" x14ac:dyDescent="0.2"/>
    <row r="4508" s="689" customFormat="1" x14ac:dyDescent="0.2"/>
    <row r="4509" s="689" customFormat="1" x14ac:dyDescent="0.2"/>
    <row r="4510" s="689" customFormat="1" x14ac:dyDescent="0.2"/>
    <row r="4511" s="689" customFormat="1" x14ac:dyDescent="0.2"/>
    <row r="4512" s="689" customFormat="1" x14ac:dyDescent="0.2"/>
    <row r="4513" s="689" customFormat="1" x14ac:dyDescent="0.2"/>
    <row r="4514" s="689" customFormat="1" x14ac:dyDescent="0.2"/>
    <row r="4515" s="689" customFormat="1" x14ac:dyDescent="0.2"/>
    <row r="4516" s="689" customFormat="1" x14ac:dyDescent="0.2"/>
    <row r="4517" s="689" customFormat="1" x14ac:dyDescent="0.2"/>
    <row r="4518" s="689" customFormat="1" x14ac:dyDescent="0.2"/>
    <row r="4519" s="689" customFormat="1" x14ac:dyDescent="0.2"/>
    <row r="4520" s="689" customFormat="1" x14ac:dyDescent="0.2"/>
    <row r="4521" s="689" customFormat="1" x14ac:dyDescent="0.2"/>
    <row r="4522" s="689" customFormat="1" x14ac:dyDescent="0.2"/>
    <row r="4523" s="689" customFormat="1" x14ac:dyDescent="0.2"/>
    <row r="4524" s="689" customFormat="1" x14ac:dyDescent="0.2"/>
    <row r="4525" s="689" customFormat="1" x14ac:dyDescent="0.2"/>
    <row r="4526" s="689" customFormat="1" x14ac:dyDescent="0.2"/>
    <row r="4527" s="689" customFormat="1" x14ac:dyDescent="0.2"/>
    <row r="4528" s="689" customFormat="1" x14ac:dyDescent="0.2"/>
    <row r="4529" s="689" customFormat="1" x14ac:dyDescent="0.2"/>
    <row r="4530" s="689" customFormat="1" x14ac:dyDescent="0.2"/>
    <row r="4531" s="689" customFormat="1" x14ac:dyDescent="0.2"/>
    <row r="4532" s="689" customFormat="1" x14ac:dyDescent="0.2"/>
    <row r="4533" s="689" customFormat="1" x14ac:dyDescent="0.2"/>
    <row r="4534" s="689" customFormat="1" x14ac:dyDescent="0.2"/>
    <row r="4535" s="689" customFormat="1" x14ac:dyDescent="0.2"/>
    <row r="4536" s="689" customFormat="1" x14ac:dyDescent="0.2"/>
    <row r="4537" s="689" customFormat="1" x14ac:dyDescent="0.2"/>
    <row r="4538" s="689" customFormat="1" x14ac:dyDescent="0.2"/>
    <row r="4539" s="689" customFormat="1" x14ac:dyDescent="0.2"/>
    <row r="4540" s="689" customFormat="1" x14ac:dyDescent="0.2"/>
    <row r="4541" s="689" customFormat="1" x14ac:dyDescent="0.2"/>
    <row r="4542" s="689" customFormat="1" x14ac:dyDescent="0.2"/>
    <row r="4543" s="689" customFormat="1" x14ac:dyDescent="0.2"/>
    <row r="4544" s="689" customFormat="1" x14ac:dyDescent="0.2"/>
    <row r="4545" s="689" customFormat="1" x14ac:dyDescent="0.2"/>
    <row r="4546" s="689" customFormat="1" x14ac:dyDescent="0.2"/>
    <row r="4547" s="689" customFormat="1" x14ac:dyDescent="0.2"/>
    <row r="4548" s="689" customFormat="1" x14ac:dyDescent="0.2"/>
    <row r="4549" s="689" customFormat="1" x14ac:dyDescent="0.2"/>
    <row r="4550" s="689" customFormat="1" x14ac:dyDescent="0.2"/>
    <row r="4551" s="689" customFormat="1" x14ac:dyDescent="0.2"/>
    <row r="4552" s="689" customFormat="1" x14ac:dyDescent="0.2"/>
    <row r="4553" s="689" customFormat="1" x14ac:dyDescent="0.2"/>
    <row r="4554" s="689" customFormat="1" x14ac:dyDescent="0.2"/>
    <row r="4555" s="689" customFormat="1" x14ac:dyDescent="0.2"/>
    <row r="4556" s="689" customFormat="1" x14ac:dyDescent="0.2"/>
    <row r="4557" s="689" customFormat="1" x14ac:dyDescent="0.2"/>
    <row r="4558" s="689" customFormat="1" x14ac:dyDescent="0.2"/>
    <row r="4559" s="689" customFormat="1" x14ac:dyDescent="0.2"/>
    <row r="4560" s="689" customFormat="1" x14ac:dyDescent="0.2"/>
    <row r="4561" s="689" customFormat="1" x14ac:dyDescent="0.2"/>
    <row r="4562" s="689" customFormat="1" x14ac:dyDescent="0.2"/>
    <row r="4563" s="689" customFormat="1" x14ac:dyDescent="0.2"/>
    <row r="4564" s="689" customFormat="1" x14ac:dyDescent="0.2"/>
    <row r="4565" s="689" customFormat="1" x14ac:dyDescent="0.2"/>
    <row r="4566" s="689" customFormat="1" x14ac:dyDescent="0.2"/>
    <row r="4567" s="689" customFormat="1" x14ac:dyDescent="0.2"/>
    <row r="4568" s="689" customFormat="1" x14ac:dyDescent="0.2"/>
    <row r="4569" s="689" customFormat="1" x14ac:dyDescent="0.2"/>
    <row r="4570" s="689" customFormat="1" x14ac:dyDescent="0.2"/>
    <row r="4571" s="689" customFormat="1" x14ac:dyDescent="0.2"/>
    <row r="4572" s="689" customFormat="1" x14ac:dyDescent="0.2"/>
    <row r="4573" s="689" customFormat="1" x14ac:dyDescent="0.2"/>
    <row r="4574" s="689" customFormat="1" x14ac:dyDescent="0.2"/>
    <row r="4575" s="689" customFormat="1" x14ac:dyDescent="0.2"/>
    <row r="4576" s="689" customFormat="1" x14ac:dyDescent="0.2"/>
    <row r="4577" s="689" customFormat="1" x14ac:dyDescent="0.2"/>
    <row r="4578" s="689" customFormat="1" x14ac:dyDescent="0.2"/>
    <row r="4579" s="689" customFormat="1" x14ac:dyDescent="0.2"/>
    <row r="4580" s="689" customFormat="1" x14ac:dyDescent="0.2"/>
    <row r="4581" s="689" customFormat="1" x14ac:dyDescent="0.2"/>
    <row r="4582" s="689" customFormat="1" x14ac:dyDescent="0.2"/>
    <row r="4583" s="689" customFormat="1" x14ac:dyDescent="0.2"/>
    <row r="4584" s="689" customFormat="1" x14ac:dyDescent="0.2"/>
    <row r="4585" s="689" customFormat="1" x14ac:dyDescent="0.2"/>
    <row r="4586" s="689" customFormat="1" x14ac:dyDescent="0.2"/>
    <row r="4587" s="689" customFormat="1" x14ac:dyDescent="0.2"/>
    <row r="4588" s="689" customFormat="1" x14ac:dyDescent="0.2"/>
    <row r="4589" s="689" customFormat="1" x14ac:dyDescent="0.2"/>
    <row r="4590" s="689" customFormat="1" x14ac:dyDescent="0.2"/>
    <row r="4591" s="689" customFormat="1" x14ac:dyDescent="0.2"/>
    <row r="4592" s="689" customFormat="1" x14ac:dyDescent="0.2"/>
    <row r="4593" s="689" customFormat="1" x14ac:dyDescent="0.2"/>
    <row r="4594" s="689" customFormat="1" x14ac:dyDescent="0.2"/>
    <row r="4595" s="689" customFormat="1" x14ac:dyDescent="0.2"/>
    <row r="4596" s="689" customFormat="1" x14ac:dyDescent="0.2"/>
    <row r="4597" s="689" customFormat="1" x14ac:dyDescent="0.2"/>
    <row r="4598" s="689" customFormat="1" x14ac:dyDescent="0.2"/>
    <row r="4599" s="689" customFormat="1" x14ac:dyDescent="0.2"/>
    <row r="4600" s="689" customFormat="1" x14ac:dyDescent="0.2"/>
    <row r="4601" s="689" customFormat="1" x14ac:dyDescent="0.2"/>
    <row r="4602" s="689" customFormat="1" x14ac:dyDescent="0.2"/>
    <row r="4603" s="689" customFormat="1" x14ac:dyDescent="0.2"/>
    <row r="4604" s="689" customFormat="1" x14ac:dyDescent="0.2"/>
    <row r="4605" s="689" customFormat="1" x14ac:dyDescent="0.2"/>
    <row r="4606" s="689" customFormat="1" x14ac:dyDescent="0.2"/>
    <row r="4607" s="689" customFormat="1" x14ac:dyDescent="0.2"/>
    <row r="4608" s="689" customFormat="1" x14ac:dyDescent="0.2"/>
    <row r="4609" s="689" customFormat="1" x14ac:dyDescent="0.2"/>
    <row r="4610" s="689" customFormat="1" x14ac:dyDescent="0.2"/>
    <row r="4611" s="689" customFormat="1" x14ac:dyDescent="0.2"/>
    <row r="4612" s="689" customFormat="1" x14ac:dyDescent="0.2"/>
    <row r="4613" s="689" customFormat="1" x14ac:dyDescent="0.2"/>
    <row r="4614" s="689" customFormat="1" x14ac:dyDescent="0.2"/>
    <row r="4615" s="689" customFormat="1" x14ac:dyDescent="0.2"/>
    <row r="4616" s="689" customFormat="1" x14ac:dyDescent="0.2"/>
    <row r="4617" s="689" customFormat="1" x14ac:dyDescent="0.2"/>
    <row r="4618" s="689" customFormat="1" x14ac:dyDescent="0.2"/>
    <row r="4619" s="689" customFormat="1" x14ac:dyDescent="0.2"/>
    <row r="4620" s="689" customFormat="1" x14ac:dyDescent="0.2"/>
    <row r="4621" s="689" customFormat="1" x14ac:dyDescent="0.2"/>
    <row r="4622" s="689" customFormat="1" x14ac:dyDescent="0.2"/>
    <row r="4623" s="689" customFormat="1" x14ac:dyDescent="0.2"/>
    <row r="4624" s="689" customFormat="1" x14ac:dyDescent="0.2"/>
    <row r="4625" s="689" customFormat="1" x14ac:dyDescent="0.2"/>
    <row r="4626" s="689" customFormat="1" x14ac:dyDescent="0.2"/>
    <row r="4627" s="689" customFormat="1" x14ac:dyDescent="0.2"/>
    <row r="4628" s="689" customFormat="1" x14ac:dyDescent="0.2"/>
    <row r="4629" s="689" customFormat="1" x14ac:dyDescent="0.2"/>
    <row r="4630" s="689" customFormat="1" x14ac:dyDescent="0.2"/>
    <row r="4631" s="689" customFormat="1" x14ac:dyDescent="0.2"/>
    <row r="4632" s="689" customFormat="1" x14ac:dyDescent="0.2"/>
    <row r="4633" s="689" customFormat="1" x14ac:dyDescent="0.2"/>
    <row r="4634" s="689" customFormat="1" x14ac:dyDescent="0.2"/>
    <row r="4635" s="689" customFormat="1" x14ac:dyDescent="0.2"/>
    <row r="4636" s="689" customFormat="1" x14ac:dyDescent="0.2"/>
    <row r="4637" s="689" customFormat="1" x14ac:dyDescent="0.2"/>
    <row r="4638" s="689" customFormat="1" x14ac:dyDescent="0.2"/>
    <row r="4639" s="689" customFormat="1" x14ac:dyDescent="0.2"/>
    <row r="4640" s="689" customFormat="1" x14ac:dyDescent="0.2"/>
    <row r="4641" s="689" customFormat="1" x14ac:dyDescent="0.2"/>
    <row r="4642" s="689" customFormat="1" x14ac:dyDescent="0.2"/>
    <row r="4643" s="689" customFormat="1" x14ac:dyDescent="0.2"/>
    <row r="4644" s="689" customFormat="1" x14ac:dyDescent="0.2"/>
    <row r="4645" s="689" customFormat="1" x14ac:dyDescent="0.2"/>
    <row r="4646" s="689" customFormat="1" x14ac:dyDescent="0.2"/>
    <row r="4647" s="689" customFormat="1" x14ac:dyDescent="0.2"/>
    <row r="4648" s="689" customFormat="1" x14ac:dyDescent="0.2"/>
    <row r="4649" s="689" customFormat="1" x14ac:dyDescent="0.2"/>
    <row r="4650" s="689" customFormat="1" x14ac:dyDescent="0.2"/>
    <row r="4651" s="689" customFormat="1" x14ac:dyDescent="0.2"/>
    <row r="4652" s="689" customFormat="1" x14ac:dyDescent="0.2"/>
    <row r="4653" s="689" customFormat="1" x14ac:dyDescent="0.2"/>
    <row r="4654" s="689" customFormat="1" x14ac:dyDescent="0.2"/>
    <row r="4655" s="689" customFormat="1" x14ac:dyDescent="0.2"/>
    <row r="4656" s="689" customFormat="1" x14ac:dyDescent="0.2"/>
    <row r="4657" s="689" customFormat="1" x14ac:dyDescent="0.2"/>
    <row r="4658" s="689" customFormat="1" x14ac:dyDescent="0.2"/>
    <row r="4659" s="689" customFormat="1" x14ac:dyDescent="0.2"/>
    <row r="4660" s="689" customFormat="1" x14ac:dyDescent="0.2"/>
    <row r="4661" s="689" customFormat="1" x14ac:dyDescent="0.2"/>
    <row r="4662" s="689" customFormat="1" x14ac:dyDescent="0.2"/>
    <row r="4663" s="689" customFormat="1" x14ac:dyDescent="0.2"/>
    <row r="4664" s="689" customFormat="1" x14ac:dyDescent="0.2"/>
    <row r="4665" s="689" customFormat="1" x14ac:dyDescent="0.2"/>
    <row r="4666" s="689" customFormat="1" x14ac:dyDescent="0.2"/>
    <row r="4667" s="689" customFormat="1" x14ac:dyDescent="0.2"/>
    <row r="4668" s="689" customFormat="1" x14ac:dyDescent="0.2"/>
    <row r="4669" s="689" customFormat="1" x14ac:dyDescent="0.2"/>
    <row r="4670" s="689" customFormat="1" x14ac:dyDescent="0.2"/>
    <row r="4671" s="689" customFormat="1" x14ac:dyDescent="0.2"/>
    <row r="4672" s="689" customFormat="1" x14ac:dyDescent="0.2"/>
    <row r="4673" s="689" customFormat="1" x14ac:dyDescent="0.2"/>
    <row r="4674" s="689" customFormat="1" x14ac:dyDescent="0.2"/>
    <row r="4675" s="689" customFormat="1" x14ac:dyDescent="0.2"/>
    <row r="4676" s="689" customFormat="1" x14ac:dyDescent="0.2"/>
    <row r="4677" s="689" customFormat="1" x14ac:dyDescent="0.2"/>
    <row r="4678" s="689" customFormat="1" x14ac:dyDescent="0.2"/>
    <row r="4679" s="689" customFormat="1" x14ac:dyDescent="0.2"/>
    <row r="4680" s="689" customFormat="1" x14ac:dyDescent="0.2"/>
    <row r="4681" s="689" customFormat="1" x14ac:dyDescent="0.2"/>
    <row r="4682" s="689" customFormat="1" x14ac:dyDescent="0.2"/>
    <row r="4683" s="689" customFormat="1" x14ac:dyDescent="0.2"/>
    <row r="4684" s="689" customFormat="1" x14ac:dyDescent="0.2"/>
    <row r="4685" s="689" customFormat="1" x14ac:dyDescent="0.2"/>
    <row r="4686" s="689" customFormat="1" x14ac:dyDescent="0.2"/>
    <row r="4687" s="689" customFormat="1" x14ac:dyDescent="0.2"/>
    <row r="4688" s="689" customFormat="1" x14ac:dyDescent="0.2"/>
    <row r="4689" s="689" customFormat="1" x14ac:dyDescent="0.2"/>
    <row r="4690" s="689" customFormat="1" x14ac:dyDescent="0.2"/>
    <row r="4691" s="689" customFormat="1" x14ac:dyDescent="0.2"/>
    <row r="4692" s="689" customFormat="1" x14ac:dyDescent="0.2"/>
    <row r="4693" s="689" customFormat="1" x14ac:dyDescent="0.2"/>
    <row r="4694" s="689" customFormat="1" x14ac:dyDescent="0.2"/>
    <row r="4695" s="689" customFormat="1" x14ac:dyDescent="0.2"/>
    <row r="4696" s="689" customFormat="1" x14ac:dyDescent="0.2"/>
    <row r="4697" s="689" customFormat="1" x14ac:dyDescent="0.2"/>
    <row r="4698" s="689" customFormat="1" x14ac:dyDescent="0.2"/>
    <row r="4699" s="689" customFormat="1" x14ac:dyDescent="0.2"/>
    <row r="4700" s="689" customFormat="1" x14ac:dyDescent="0.2"/>
    <row r="4701" s="689" customFormat="1" x14ac:dyDescent="0.2"/>
    <row r="4702" s="689" customFormat="1" x14ac:dyDescent="0.2"/>
    <row r="4703" s="689" customFormat="1" x14ac:dyDescent="0.2"/>
    <row r="4704" s="689" customFormat="1" x14ac:dyDescent="0.2"/>
    <row r="4705" s="689" customFormat="1" x14ac:dyDescent="0.2"/>
    <row r="4706" s="689" customFormat="1" x14ac:dyDescent="0.2"/>
    <row r="4707" s="689" customFormat="1" x14ac:dyDescent="0.2"/>
    <row r="4708" s="689" customFormat="1" x14ac:dyDescent="0.2"/>
    <row r="4709" s="689" customFormat="1" x14ac:dyDescent="0.2"/>
    <row r="4710" s="689" customFormat="1" x14ac:dyDescent="0.2"/>
    <row r="4711" s="689" customFormat="1" x14ac:dyDescent="0.2"/>
    <row r="4712" s="689" customFormat="1" x14ac:dyDescent="0.2"/>
    <row r="4713" s="689" customFormat="1" x14ac:dyDescent="0.2"/>
    <row r="4714" s="689" customFormat="1" x14ac:dyDescent="0.2"/>
    <row r="4715" s="689" customFormat="1" x14ac:dyDescent="0.2"/>
    <row r="4716" s="689" customFormat="1" x14ac:dyDescent="0.2"/>
    <row r="4717" s="689" customFormat="1" x14ac:dyDescent="0.2"/>
    <row r="4718" s="689" customFormat="1" x14ac:dyDescent="0.2"/>
    <row r="4719" s="689" customFormat="1" x14ac:dyDescent="0.2"/>
    <row r="4720" s="689" customFormat="1" x14ac:dyDescent="0.2"/>
    <row r="4721" s="689" customFormat="1" x14ac:dyDescent="0.2"/>
    <row r="4722" s="689" customFormat="1" x14ac:dyDescent="0.2"/>
    <row r="4723" s="689" customFormat="1" x14ac:dyDescent="0.2"/>
    <row r="4724" s="689" customFormat="1" x14ac:dyDescent="0.2"/>
    <row r="4725" s="689" customFormat="1" x14ac:dyDescent="0.2"/>
    <row r="4726" s="689" customFormat="1" x14ac:dyDescent="0.2"/>
    <row r="4727" s="689" customFormat="1" x14ac:dyDescent="0.2"/>
    <row r="4728" s="689" customFormat="1" x14ac:dyDescent="0.2"/>
    <row r="4729" s="689" customFormat="1" x14ac:dyDescent="0.2"/>
    <row r="4730" s="689" customFormat="1" x14ac:dyDescent="0.2"/>
    <row r="4731" s="689" customFormat="1" x14ac:dyDescent="0.2"/>
    <row r="4732" s="689" customFormat="1" x14ac:dyDescent="0.2"/>
    <row r="4733" s="689" customFormat="1" x14ac:dyDescent="0.2"/>
    <row r="4734" s="689" customFormat="1" x14ac:dyDescent="0.2"/>
    <row r="4735" s="689" customFormat="1" x14ac:dyDescent="0.2"/>
    <row r="4736" s="689" customFormat="1" x14ac:dyDescent="0.2"/>
    <row r="4737" s="689" customFormat="1" x14ac:dyDescent="0.2"/>
    <row r="4738" s="689" customFormat="1" x14ac:dyDescent="0.2"/>
    <row r="4739" s="689" customFormat="1" x14ac:dyDescent="0.2"/>
    <row r="4740" s="689" customFormat="1" x14ac:dyDescent="0.2"/>
    <row r="4741" s="689" customFormat="1" x14ac:dyDescent="0.2"/>
    <row r="4742" s="689" customFormat="1" x14ac:dyDescent="0.2"/>
    <row r="4743" s="689" customFormat="1" x14ac:dyDescent="0.2"/>
    <row r="4744" s="689" customFormat="1" x14ac:dyDescent="0.2"/>
    <row r="4745" s="689" customFormat="1" x14ac:dyDescent="0.2"/>
    <row r="4746" s="689" customFormat="1" x14ac:dyDescent="0.2"/>
    <row r="4747" s="689" customFormat="1" x14ac:dyDescent="0.2"/>
    <row r="4748" s="689" customFormat="1" x14ac:dyDescent="0.2"/>
    <row r="4749" s="689" customFormat="1" x14ac:dyDescent="0.2"/>
    <row r="4750" s="689" customFormat="1" x14ac:dyDescent="0.2"/>
    <row r="4751" s="689" customFormat="1" x14ac:dyDescent="0.2"/>
    <row r="4752" s="689" customFormat="1" x14ac:dyDescent="0.2"/>
    <row r="4753" s="689" customFormat="1" x14ac:dyDescent="0.2"/>
    <row r="4754" s="689" customFormat="1" x14ac:dyDescent="0.2"/>
    <row r="4755" s="689" customFormat="1" x14ac:dyDescent="0.2"/>
    <row r="4756" s="689" customFormat="1" x14ac:dyDescent="0.2"/>
    <row r="4757" s="689" customFormat="1" x14ac:dyDescent="0.2"/>
    <row r="4758" s="689" customFormat="1" x14ac:dyDescent="0.2"/>
    <row r="4759" s="689" customFormat="1" x14ac:dyDescent="0.2"/>
    <row r="4760" s="689" customFormat="1" x14ac:dyDescent="0.2"/>
    <row r="4761" s="689" customFormat="1" x14ac:dyDescent="0.2"/>
    <row r="4762" s="689" customFormat="1" x14ac:dyDescent="0.2"/>
    <row r="4763" s="689" customFormat="1" x14ac:dyDescent="0.2"/>
    <row r="4764" s="689" customFormat="1" x14ac:dyDescent="0.2"/>
    <row r="4765" s="689" customFormat="1" x14ac:dyDescent="0.2"/>
    <row r="4766" s="689" customFormat="1" x14ac:dyDescent="0.2"/>
    <row r="4767" s="689" customFormat="1" x14ac:dyDescent="0.2"/>
    <row r="4768" s="689" customFormat="1" x14ac:dyDescent="0.2"/>
    <row r="4769" s="689" customFormat="1" x14ac:dyDescent="0.2"/>
    <row r="4770" s="689" customFormat="1" x14ac:dyDescent="0.2"/>
    <row r="4771" s="689" customFormat="1" x14ac:dyDescent="0.2"/>
    <row r="4772" s="689" customFormat="1" x14ac:dyDescent="0.2"/>
    <row r="4773" s="689" customFormat="1" x14ac:dyDescent="0.2"/>
    <row r="4774" s="689" customFormat="1" x14ac:dyDescent="0.2"/>
    <row r="4775" s="689" customFormat="1" x14ac:dyDescent="0.2"/>
    <row r="4776" s="689" customFormat="1" x14ac:dyDescent="0.2"/>
    <row r="4777" s="689" customFormat="1" x14ac:dyDescent="0.2"/>
    <row r="4778" s="689" customFormat="1" x14ac:dyDescent="0.2"/>
    <row r="4779" s="689" customFormat="1" x14ac:dyDescent="0.2"/>
    <row r="4780" s="689" customFormat="1" x14ac:dyDescent="0.2"/>
    <row r="4781" s="689" customFormat="1" x14ac:dyDescent="0.2"/>
    <row r="4782" s="689" customFormat="1" x14ac:dyDescent="0.2"/>
    <row r="4783" s="689" customFormat="1" x14ac:dyDescent="0.2"/>
    <row r="4784" s="689" customFormat="1" x14ac:dyDescent="0.2"/>
    <row r="4785" s="689" customFormat="1" x14ac:dyDescent="0.2"/>
    <row r="4786" s="689" customFormat="1" x14ac:dyDescent="0.2"/>
    <row r="4787" s="689" customFormat="1" x14ac:dyDescent="0.2"/>
    <row r="4788" s="689" customFormat="1" x14ac:dyDescent="0.2"/>
    <row r="4789" s="689" customFormat="1" x14ac:dyDescent="0.2"/>
    <row r="4790" s="689" customFormat="1" x14ac:dyDescent="0.2"/>
    <row r="4791" s="689" customFormat="1" x14ac:dyDescent="0.2"/>
    <row r="4792" s="689" customFormat="1" x14ac:dyDescent="0.2"/>
    <row r="4793" s="689" customFormat="1" x14ac:dyDescent="0.2"/>
    <row r="4794" s="689" customFormat="1" x14ac:dyDescent="0.2"/>
    <row r="4795" s="689" customFormat="1" x14ac:dyDescent="0.2"/>
    <row r="4796" s="689" customFormat="1" x14ac:dyDescent="0.2"/>
    <row r="4797" s="689" customFormat="1" x14ac:dyDescent="0.2"/>
    <row r="4798" s="689" customFormat="1" x14ac:dyDescent="0.2"/>
    <row r="4799" s="689" customFormat="1" x14ac:dyDescent="0.2"/>
    <row r="4800" s="689" customFormat="1" x14ac:dyDescent="0.2"/>
    <row r="4801" s="689" customFormat="1" x14ac:dyDescent="0.2"/>
    <row r="4802" s="689" customFormat="1" x14ac:dyDescent="0.2"/>
    <row r="4803" s="689" customFormat="1" x14ac:dyDescent="0.2"/>
    <row r="4804" s="689" customFormat="1" x14ac:dyDescent="0.2"/>
    <row r="4805" s="689" customFormat="1" x14ac:dyDescent="0.2"/>
    <row r="4806" s="689" customFormat="1" x14ac:dyDescent="0.2"/>
    <row r="4807" s="689" customFormat="1" x14ac:dyDescent="0.2"/>
    <row r="4808" s="689" customFormat="1" x14ac:dyDescent="0.2"/>
    <row r="4809" s="689" customFormat="1" x14ac:dyDescent="0.2"/>
    <row r="4810" s="689" customFormat="1" x14ac:dyDescent="0.2"/>
    <row r="4811" s="689" customFormat="1" x14ac:dyDescent="0.2"/>
    <row r="4812" s="689" customFormat="1" x14ac:dyDescent="0.2"/>
    <row r="4813" s="689" customFormat="1" x14ac:dyDescent="0.2"/>
    <row r="4814" s="689" customFormat="1" x14ac:dyDescent="0.2"/>
    <row r="4815" s="689" customFormat="1" x14ac:dyDescent="0.2"/>
    <row r="4816" s="689" customFormat="1" x14ac:dyDescent="0.2"/>
    <row r="4817" s="689" customFormat="1" x14ac:dyDescent="0.2"/>
    <row r="4818" s="689" customFormat="1" x14ac:dyDescent="0.2"/>
    <row r="4819" s="689" customFormat="1" x14ac:dyDescent="0.2"/>
    <row r="4820" s="689" customFormat="1" x14ac:dyDescent="0.2"/>
    <row r="4821" s="689" customFormat="1" x14ac:dyDescent="0.2"/>
    <row r="4822" s="689" customFormat="1" x14ac:dyDescent="0.2"/>
    <row r="4823" s="689" customFormat="1" x14ac:dyDescent="0.2"/>
    <row r="4824" s="689" customFormat="1" x14ac:dyDescent="0.2"/>
    <row r="4825" s="689" customFormat="1" x14ac:dyDescent="0.2"/>
    <row r="4826" s="689" customFormat="1" x14ac:dyDescent="0.2"/>
    <row r="4827" s="689" customFormat="1" x14ac:dyDescent="0.2"/>
    <row r="4828" s="689" customFormat="1" x14ac:dyDescent="0.2"/>
    <row r="4829" s="689" customFormat="1" x14ac:dyDescent="0.2"/>
    <row r="4830" s="689" customFormat="1" x14ac:dyDescent="0.2"/>
    <row r="4831" s="689" customFormat="1" x14ac:dyDescent="0.2"/>
    <row r="4832" s="689" customFormat="1" x14ac:dyDescent="0.2"/>
    <row r="4833" s="689" customFormat="1" x14ac:dyDescent="0.2"/>
    <row r="4834" s="689" customFormat="1" x14ac:dyDescent="0.2"/>
    <row r="4835" s="689" customFormat="1" x14ac:dyDescent="0.2"/>
    <row r="4836" s="689" customFormat="1" x14ac:dyDescent="0.2"/>
    <row r="4837" s="689" customFormat="1" x14ac:dyDescent="0.2"/>
    <row r="4838" s="689" customFormat="1" x14ac:dyDescent="0.2"/>
    <row r="4839" s="689" customFormat="1" x14ac:dyDescent="0.2"/>
    <row r="4840" s="689" customFormat="1" x14ac:dyDescent="0.2"/>
    <row r="4841" s="689" customFormat="1" x14ac:dyDescent="0.2"/>
    <row r="4842" s="689" customFormat="1" x14ac:dyDescent="0.2"/>
    <row r="4843" s="689" customFormat="1" x14ac:dyDescent="0.2"/>
    <row r="4844" s="689" customFormat="1" x14ac:dyDescent="0.2"/>
    <row r="4845" s="689" customFormat="1" x14ac:dyDescent="0.2"/>
    <row r="4846" s="689" customFormat="1" x14ac:dyDescent="0.2"/>
    <row r="4847" s="689" customFormat="1" x14ac:dyDescent="0.2"/>
    <row r="4848" s="689" customFormat="1" x14ac:dyDescent="0.2"/>
    <row r="4849" s="689" customFormat="1" x14ac:dyDescent="0.2"/>
    <row r="4850" s="689" customFormat="1" x14ac:dyDescent="0.2"/>
    <row r="4851" s="689" customFormat="1" x14ac:dyDescent="0.2"/>
    <row r="4852" s="689" customFormat="1" x14ac:dyDescent="0.2"/>
    <row r="4853" s="689" customFormat="1" x14ac:dyDescent="0.2"/>
    <row r="4854" s="689" customFormat="1" x14ac:dyDescent="0.2"/>
    <row r="4855" s="689" customFormat="1" x14ac:dyDescent="0.2"/>
    <row r="4856" s="689" customFormat="1" x14ac:dyDescent="0.2"/>
    <row r="4857" s="689" customFormat="1" x14ac:dyDescent="0.2"/>
    <row r="4858" s="689" customFormat="1" x14ac:dyDescent="0.2"/>
    <row r="4859" s="689" customFormat="1" x14ac:dyDescent="0.2"/>
    <row r="4860" s="689" customFormat="1" x14ac:dyDescent="0.2"/>
    <row r="4861" s="689" customFormat="1" x14ac:dyDescent="0.2"/>
    <row r="4862" s="689" customFormat="1" x14ac:dyDescent="0.2"/>
    <row r="4863" s="689" customFormat="1" x14ac:dyDescent="0.2"/>
    <row r="4864" s="689" customFormat="1" x14ac:dyDescent="0.2"/>
    <row r="4865" s="689" customFormat="1" x14ac:dyDescent="0.2"/>
    <row r="4866" s="689" customFormat="1" x14ac:dyDescent="0.2"/>
    <row r="4867" s="689" customFormat="1" x14ac:dyDescent="0.2"/>
    <row r="4868" s="689" customFormat="1" x14ac:dyDescent="0.2"/>
    <row r="4869" s="689" customFormat="1" x14ac:dyDescent="0.2"/>
    <row r="4870" s="689" customFormat="1" x14ac:dyDescent="0.2"/>
    <row r="4871" s="689" customFormat="1" x14ac:dyDescent="0.2"/>
    <row r="4872" s="689" customFormat="1" x14ac:dyDescent="0.2"/>
    <row r="4873" s="689" customFormat="1" x14ac:dyDescent="0.2"/>
    <row r="4874" s="689" customFormat="1" x14ac:dyDescent="0.2"/>
    <row r="4875" s="689" customFormat="1" x14ac:dyDescent="0.2"/>
    <row r="4876" s="689" customFormat="1" x14ac:dyDescent="0.2"/>
    <row r="4877" s="689" customFormat="1" x14ac:dyDescent="0.2"/>
    <row r="4878" s="689" customFormat="1" x14ac:dyDescent="0.2"/>
    <row r="4879" s="689" customFormat="1" x14ac:dyDescent="0.2"/>
    <row r="4880" s="689" customFormat="1" x14ac:dyDescent="0.2"/>
    <row r="4881" s="689" customFormat="1" x14ac:dyDescent="0.2"/>
    <row r="4882" s="689" customFormat="1" x14ac:dyDescent="0.2"/>
    <row r="4883" s="689" customFormat="1" x14ac:dyDescent="0.2"/>
    <row r="4884" s="689" customFormat="1" x14ac:dyDescent="0.2"/>
    <row r="4885" s="689" customFormat="1" x14ac:dyDescent="0.2"/>
    <row r="4886" s="689" customFormat="1" x14ac:dyDescent="0.2"/>
    <row r="4887" s="689" customFormat="1" x14ac:dyDescent="0.2"/>
    <row r="4888" s="689" customFormat="1" x14ac:dyDescent="0.2"/>
    <row r="4889" s="689" customFormat="1" x14ac:dyDescent="0.2"/>
    <row r="4890" s="689" customFormat="1" x14ac:dyDescent="0.2"/>
    <row r="4891" s="689" customFormat="1" x14ac:dyDescent="0.2"/>
    <row r="4892" s="689" customFormat="1" x14ac:dyDescent="0.2"/>
    <row r="4893" s="689" customFormat="1" x14ac:dyDescent="0.2"/>
    <row r="4894" s="689" customFormat="1" x14ac:dyDescent="0.2"/>
    <row r="4895" s="689" customFormat="1" x14ac:dyDescent="0.2"/>
    <row r="4896" s="689" customFormat="1" x14ac:dyDescent="0.2"/>
    <row r="4897" s="689" customFormat="1" x14ac:dyDescent="0.2"/>
    <row r="4898" s="689" customFormat="1" x14ac:dyDescent="0.2"/>
    <row r="4899" s="689" customFormat="1" x14ac:dyDescent="0.2"/>
    <row r="4900" s="689" customFormat="1" x14ac:dyDescent="0.2"/>
    <row r="4901" s="689" customFormat="1" x14ac:dyDescent="0.2"/>
    <row r="4902" s="689" customFormat="1" x14ac:dyDescent="0.2"/>
    <row r="4903" s="689" customFormat="1" x14ac:dyDescent="0.2"/>
    <row r="4904" s="689" customFormat="1" x14ac:dyDescent="0.2"/>
    <row r="4905" s="689" customFormat="1" x14ac:dyDescent="0.2"/>
    <row r="4906" s="689" customFormat="1" x14ac:dyDescent="0.2"/>
    <row r="4907" s="689" customFormat="1" x14ac:dyDescent="0.2"/>
    <row r="4908" s="689" customFormat="1" x14ac:dyDescent="0.2"/>
    <row r="4909" s="689" customFormat="1" x14ac:dyDescent="0.2"/>
    <row r="4910" s="689" customFormat="1" x14ac:dyDescent="0.2"/>
    <row r="4911" s="689" customFormat="1" x14ac:dyDescent="0.2"/>
    <row r="4912" s="689" customFormat="1" x14ac:dyDescent="0.2"/>
    <row r="4913" s="689" customFormat="1" x14ac:dyDescent="0.2"/>
    <row r="4914" s="689" customFormat="1" x14ac:dyDescent="0.2"/>
    <row r="4915" s="689" customFormat="1" x14ac:dyDescent="0.2"/>
    <row r="4916" s="689" customFormat="1" x14ac:dyDescent="0.2"/>
    <row r="4917" s="689" customFormat="1" x14ac:dyDescent="0.2"/>
    <row r="4918" s="689" customFormat="1" x14ac:dyDescent="0.2"/>
    <row r="4919" s="689" customFormat="1" x14ac:dyDescent="0.2"/>
    <row r="4920" s="689" customFormat="1" x14ac:dyDescent="0.2"/>
    <row r="4921" s="689" customFormat="1" x14ac:dyDescent="0.2"/>
    <row r="4922" s="689" customFormat="1" x14ac:dyDescent="0.2"/>
    <row r="4923" s="689" customFormat="1" x14ac:dyDescent="0.2"/>
    <row r="4924" s="689" customFormat="1" x14ac:dyDescent="0.2"/>
    <row r="4925" s="689" customFormat="1" x14ac:dyDescent="0.2"/>
    <row r="4926" s="689" customFormat="1" x14ac:dyDescent="0.2"/>
    <row r="4927" s="689" customFormat="1" x14ac:dyDescent="0.2"/>
    <row r="4928" s="689" customFormat="1" x14ac:dyDescent="0.2"/>
    <row r="4929" s="689" customFormat="1" x14ac:dyDescent="0.2"/>
    <row r="4930" s="689" customFormat="1" x14ac:dyDescent="0.2"/>
    <row r="4931" s="689" customFormat="1" x14ac:dyDescent="0.2"/>
    <row r="4932" s="689" customFormat="1" x14ac:dyDescent="0.2"/>
    <row r="4933" s="689" customFormat="1" x14ac:dyDescent="0.2"/>
    <row r="4934" s="689" customFormat="1" x14ac:dyDescent="0.2"/>
    <row r="4935" s="689" customFormat="1" x14ac:dyDescent="0.2"/>
    <row r="4936" s="689" customFormat="1" x14ac:dyDescent="0.2"/>
    <row r="4937" s="689" customFormat="1" x14ac:dyDescent="0.2"/>
    <row r="4938" s="689" customFormat="1" x14ac:dyDescent="0.2"/>
    <row r="4939" s="689" customFormat="1" x14ac:dyDescent="0.2"/>
    <row r="4940" s="689" customFormat="1" x14ac:dyDescent="0.2"/>
    <row r="4941" s="689" customFormat="1" x14ac:dyDescent="0.2"/>
    <row r="4942" s="689" customFormat="1" x14ac:dyDescent="0.2"/>
    <row r="4943" s="689" customFormat="1" x14ac:dyDescent="0.2"/>
    <row r="4944" s="689" customFormat="1" x14ac:dyDescent="0.2"/>
    <row r="4945" s="689" customFormat="1" x14ac:dyDescent="0.2"/>
    <row r="4946" s="689" customFormat="1" x14ac:dyDescent="0.2"/>
    <row r="4947" s="689" customFormat="1" x14ac:dyDescent="0.2"/>
    <row r="4948" s="689" customFormat="1" x14ac:dyDescent="0.2"/>
    <row r="4949" s="689" customFormat="1" x14ac:dyDescent="0.2"/>
    <row r="4950" s="689" customFormat="1" x14ac:dyDescent="0.2"/>
    <row r="4951" s="689" customFormat="1" x14ac:dyDescent="0.2"/>
    <row r="4952" s="689" customFormat="1" x14ac:dyDescent="0.2"/>
    <row r="4953" s="689" customFormat="1" x14ac:dyDescent="0.2"/>
    <row r="4954" s="689" customFormat="1" x14ac:dyDescent="0.2"/>
    <row r="4955" s="689" customFormat="1" x14ac:dyDescent="0.2"/>
    <row r="4956" s="689" customFormat="1" x14ac:dyDescent="0.2"/>
    <row r="4957" s="689" customFormat="1" x14ac:dyDescent="0.2"/>
    <row r="4958" s="689" customFormat="1" x14ac:dyDescent="0.2"/>
    <row r="4959" s="689" customFormat="1" x14ac:dyDescent="0.2"/>
    <row r="4960" s="689" customFormat="1" x14ac:dyDescent="0.2"/>
    <row r="4961" s="689" customFormat="1" x14ac:dyDescent="0.2"/>
    <row r="4962" s="689" customFormat="1" x14ac:dyDescent="0.2"/>
    <row r="4963" s="689" customFormat="1" x14ac:dyDescent="0.2"/>
    <row r="4964" s="689" customFormat="1" x14ac:dyDescent="0.2"/>
    <row r="4965" s="689" customFormat="1" x14ac:dyDescent="0.2"/>
    <row r="4966" s="689" customFormat="1" x14ac:dyDescent="0.2"/>
    <row r="4967" s="689" customFormat="1" x14ac:dyDescent="0.2"/>
    <row r="4968" s="689" customFormat="1" x14ac:dyDescent="0.2"/>
    <row r="4969" s="689" customFormat="1" x14ac:dyDescent="0.2"/>
    <row r="4970" s="689" customFormat="1" x14ac:dyDescent="0.2"/>
    <row r="4971" s="689" customFormat="1" x14ac:dyDescent="0.2"/>
    <row r="4972" s="689" customFormat="1" x14ac:dyDescent="0.2"/>
    <row r="4973" s="689" customFormat="1" x14ac:dyDescent="0.2"/>
    <row r="4974" s="689" customFormat="1" x14ac:dyDescent="0.2"/>
    <row r="4975" s="689" customFormat="1" x14ac:dyDescent="0.2"/>
    <row r="4976" s="689" customFormat="1" x14ac:dyDescent="0.2"/>
    <row r="4977" s="689" customFormat="1" x14ac:dyDescent="0.2"/>
    <row r="4978" s="689" customFormat="1" x14ac:dyDescent="0.2"/>
    <row r="4979" s="689" customFormat="1" x14ac:dyDescent="0.2"/>
    <row r="4980" s="689" customFormat="1" x14ac:dyDescent="0.2"/>
    <row r="4981" s="689" customFormat="1" x14ac:dyDescent="0.2"/>
    <row r="4982" s="689" customFormat="1" x14ac:dyDescent="0.2"/>
    <row r="4983" s="689" customFormat="1" x14ac:dyDescent="0.2"/>
    <row r="4984" s="689" customFormat="1" x14ac:dyDescent="0.2"/>
    <row r="4985" s="689" customFormat="1" x14ac:dyDescent="0.2"/>
    <row r="4986" s="689" customFormat="1" x14ac:dyDescent="0.2"/>
    <row r="4987" s="689" customFormat="1" x14ac:dyDescent="0.2"/>
    <row r="4988" s="689" customFormat="1" x14ac:dyDescent="0.2"/>
    <row r="4989" s="689" customFormat="1" x14ac:dyDescent="0.2"/>
    <row r="4990" s="689" customFormat="1" x14ac:dyDescent="0.2"/>
    <row r="4991" s="689" customFormat="1" x14ac:dyDescent="0.2"/>
    <row r="4992" s="689" customFormat="1" x14ac:dyDescent="0.2"/>
    <row r="4993" s="689" customFormat="1" x14ac:dyDescent="0.2"/>
    <row r="4994" s="689" customFormat="1" x14ac:dyDescent="0.2"/>
    <row r="4995" s="689" customFormat="1" x14ac:dyDescent="0.2"/>
    <row r="4996" s="689" customFormat="1" x14ac:dyDescent="0.2"/>
    <row r="4997" s="689" customFormat="1" x14ac:dyDescent="0.2"/>
    <row r="4998" s="689" customFormat="1" x14ac:dyDescent="0.2"/>
    <row r="4999" s="689" customFormat="1" x14ac:dyDescent="0.2"/>
    <row r="5000" s="689" customFormat="1" x14ac:dyDescent="0.2"/>
    <row r="5001" s="689" customFormat="1" x14ac:dyDescent="0.2"/>
    <row r="5002" s="689" customFormat="1" x14ac:dyDescent="0.2"/>
    <row r="5003" s="689" customFormat="1" x14ac:dyDescent="0.2"/>
    <row r="5004" s="689" customFormat="1" x14ac:dyDescent="0.2"/>
    <row r="5005" s="689" customFormat="1" x14ac:dyDescent="0.2"/>
    <row r="5006" s="689" customFormat="1" x14ac:dyDescent="0.2"/>
    <row r="5007" s="689" customFormat="1" x14ac:dyDescent="0.2"/>
    <row r="5008" s="689" customFormat="1" x14ac:dyDescent="0.2"/>
    <row r="5009" s="689" customFormat="1" x14ac:dyDescent="0.2"/>
    <row r="5010" s="689" customFormat="1" x14ac:dyDescent="0.2"/>
    <row r="5011" s="689" customFormat="1" x14ac:dyDescent="0.2"/>
    <row r="5012" s="689" customFormat="1" x14ac:dyDescent="0.2"/>
    <row r="5013" s="689" customFormat="1" x14ac:dyDescent="0.2"/>
    <row r="5014" s="689" customFormat="1" x14ac:dyDescent="0.2"/>
    <row r="5015" s="689" customFormat="1" x14ac:dyDescent="0.2"/>
    <row r="5016" s="689" customFormat="1" x14ac:dyDescent="0.2"/>
    <row r="5017" s="689" customFormat="1" x14ac:dyDescent="0.2"/>
    <row r="5018" s="689" customFormat="1" x14ac:dyDescent="0.2"/>
    <row r="5019" s="689" customFormat="1" x14ac:dyDescent="0.2"/>
    <row r="5020" s="689" customFormat="1" x14ac:dyDescent="0.2"/>
    <row r="5021" s="689" customFormat="1" x14ac:dyDescent="0.2"/>
    <row r="5022" s="689" customFormat="1" x14ac:dyDescent="0.2"/>
    <row r="5023" s="689" customFormat="1" x14ac:dyDescent="0.2"/>
    <row r="5024" s="689" customFormat="1" x14ac:dyDescent="0.2"/>
    <row r="5025" s="689" customFormat="1" x14ac:dyDescent="0.2"/>
    <row r="5026" s="689" customFormat="1" x14ac:dyDescent="0.2"/>
    <row r="5027" s="689" customFormat="1" x14ac:dyDescent="0.2"/>
    <row r="5028" s="689" customFormat="1" x14ac:dyDescent="0.2"/>
    <row r="5029" s="689" customFormat="1" x14ac:dyDescent="0.2"/>
    <row r="5030" s="689" customFormat="1" x14ac:dyDescent="0.2"/>
    <row r="5031" s="689" customFormat="1" x14ac:dyDescent="0.2"/>
    <row r="5032" s="689" customFormat="1" x14ac:dyDescent="0.2"/>
    <row r="5033" s="689" customFormat="1" x14ac:dyDescent="0.2"/>
    <row r="5034" s="689" customFormat="1" x14ac:dyDescent="0.2"/>
    <row r="5035" s="689" customFormat="1" x14ac:dyDescent="0.2"/>
    <row r="5036" s="689" customFormat="1" x14ac:dyDescent="0.2"/>
    <row r="5037" s="689" customFormat="1" x14ac:dyDescent="0.2"/>
    <row r="5038" s="689" customFormat="1" x14ac:dyDescent="0.2"/>
    <row r="5039" s="689" customFormat="1" x14ac:dyDescent="0.2"/>
    <row r="5040" s="689" customFormat="1" x14ac:dyDescent="0.2"/>
    <row r="5041" s="689" customFormat="1" x14ac:dyDescent="0.2"/>
    <row r="5042" s="689" customFormat="1" x14ac:dyDescent="0.2"/>
    <row r="5043" s="689" customFormat="1" x14ac:dyDescent="0.2"/>
    <row r="5044" s="689" customFormat="1" x14ac:dyDescent="0.2"/>
    <row r="5045" s="689" customFormat="1" x14ac:dyDescent="0.2"/>
    <row r="5046" s="689" customFormat="1" x14ac:dyDescent="0.2"/>
    <row r="5047" s="689" customFormat="1" x14ac:dyDescent="0.2"/>
    <row r="5048" s="689" customFormat="1" x14ac:dyDescent="0.2"/>
    <row r="5049" s="689" customFormat="1" x14ac:dyDescent="0.2"/>
    <row r="5050" s="689" customFormat="1" x14ac:dyDescent="0.2"/>
    <row r="5051" s="689" customFormat="1" x14ac:dyDescent="0.2"/>
    <row r="5052" s="689" customFormat="1" x14ac:dyDescent="0.2"/>
    <row r="5053" s="689" customFormat="1" x14ac:dyDescent="0.2"/>
    <row r="5054" s="689" customFormat="1" x14ac:dyDescent="0.2"/>
    <row r="5055" s="689" customFormat="1" x14ac:dyDescent="0.2"/>
    <row r="5056" s="689" customFormat="1" x14ac:dyDescent="0.2"/>
    <row r="5057" s="689" customFormat="1" x14ac:dyDescent="0.2"/>
    <row r="5058" s="689" customFormat="1" x14ac:dyDescent="0.2"/>
    <row r="5059" s="689" customFormat="1" x14ac:dyDescent="0.2"/>
    <row r="5060" s="689" customFormat="1" x14ac:dyDescent="0.2"/>
    <row r="5061" s="689" customFormat="1" x14ac:dyDescent="0.2"/>
    <row r="5062" s="689" customFormat="1" x14ac:dyDescent="0.2"/>
    <row r="5063" s="689" customFormat="1" x14ac:dyDescent="0.2"/>
    <row r="5064" s="689" customFormat="1" x14ac:dyDescent="0.2"/>
    <row r="5065" s="689" customFormat="1" x14ac:dyDescent="0.2"/>
    <row r="5066" s="689" customFormat="1" x14ac:dyDescent="0.2"/>
    <row r="5067" s="689" customFormat="1" x14ac:dyDescent="0.2"/>
    <row r="5068" s="689" customFormat="1" x14ac:dyDescent="0.2"/>
    <row r="5069" s="689" customFormat="1" x14ac:dyDescent="0.2"/>
    <row r="5070" s="689" customFormat="1" x14ac:dyDescent="0.2"/>
    <row r="5071" s="689" customFormat="1" x14ac:dyDescent="0.2"/>
    <row r="5072" s="689" customFormat="1" x14ac:dyDescent="0.2"/>
    <row r="5073" s="689" customFormat="1" x14ac:dyDescent="0.2"/>
    <row r="5074" s="689" customFormat="1" x14ac:dyDescent="0.2"/>
    <row r="5075" s="689" customFormat="1" x14ac:dyDescent="0.2"/>
    <row r="5076" s="689" customFormat="1" x14ac:dyDescent="0.2"/>
    <row r="5077" s="689" customFormat="1" x14ac:dyDescent="0.2"/>
    <row r="5078" s="689" customFormat="1" x14ac:dyDescent="0.2"/>
    <row r="5079" s="689" customFormat="1" x14ac:dyDescent="0.2"/>
    <row r="5080" s="689" customFormat="1" x14ac:dyDescent="0.2"/>
    <row r="5081" s="689" customFormat="1" x14ac:dyDescent="0.2"/>
    <row r="5082" s="689" customFormat="1" x14ac:dyDescent="0.2"/>
    <row r="5083" s="689" customFormat="1" x14ac:dyDescent="0.2"/>
    <row r="5084" s="689" customFormat="1" x14ac:dyDescent="0.2"/>
    <row r="5085" s="689" customFormat="1" x14ac:dyDescent="0.2"/>
    <row r="5086" s="689" customFormat="1" x14ac:dyDescent="0.2"/>
    <row r="5087" s="689" customFormat="1" x14ac:dyDescent="0.2"/>
    <row r="5088" s="689" customFormat="1" x14ac:dyDescent="0.2"/>
    <row r="5089" s="689" customFormat="1" x14ac:dyDescent="0.2"/>
    <row r="5090" s="689" customFormat="1" x14ac:dyDescent="0.2"/>
    <row r="5091" s="689" customFormat="1" x14ac:dyDescent="0.2"/>
    <row r="5092" s="689" customFormat="1" x14ac:dyDescent="0.2"/>
    <row r="5093" s="689" customFormat="1" x14ac:dyDescent="0.2"/>
    <row r="5094" s="689" customFormat="1" x14ac:dyDescent="0.2"/>
    <row r="5095" s="689" customFormat="1" x14ac:dyDescent="0.2"/>
    <row r="5096" s="689" customFormat="1" x14ac:dyDescent="0.2"/>
    <row r="5097" s="689" customFormat="1" x14ac:dyDescent="0.2"/>
    <row r="5098" s="689" customFormat="1" x14ac:dyDescent="0.2"/>
    <row r="5099" s="689" customFormat="1" x14ac:dyDescent="0.2"/>
    <row r="5100" s="689" customFormat="1" x14ac:dyDescent="0.2"/>
    <row r="5101" s="689" customFormat="1" x14ac:dyDescent="0.2"/>
    <row r="5102" s="689" customFormat="1" x14ac:dyDescent="0.2"/>
    <row r="5103" s="689" customFormat="1" x14ac:dyDescent="0.2"/>
    <row r="5104" s="689" customFormat="1" x14ac:dyDescent="0.2"/>
    <row r="5105" s="689" customFormat="1" x14ac:dyDescent="0.2"/>
    <row r="5106" s="689" customFormat="1" x14ac:dyDescent="0.2"/>
    <row r="5107" s="689" customFormat="1" x14ac:dyDescent="0.2"/>
    <row r="5108" s="689" customFormat="1" x14ac:dyDescent="0.2"/>
    <row r="5109" s="689" customFormat="1" x14ac:dyDescent="0.2"/>
    <row r="5110" s="689" customFormat="1" x14ac:dyDescent="0.2"/>
    <row r="5111" s="689" customFormat="1" x14ac:dyDescent="0.2"/>
    <row r="5112" s="689" customFormat="1" x14ac:dyDescent="0.2"/>
    <row r="5113" s="689" customFormat="1" x14ac:dyDescent="0.2"/>
    <row r="5114" s="689" customFormat="1" x14ac:dyDescent="0.2"/>
    <row r="5115" s="689" customFormat="1" x14ac:dyDescent="0.2"/>
    <row r="5116" s="689" customFormat="1" x14ac:dyDescent="0.2"/>
    <row r="5117" s="689" customFormat="1" x14ac:dyDescent="0.2"/>
    <row r="5118" s="689" customFormat="1" x14ac:dyDescent="0.2"/>
    <row r="5119" s="689" customFormat="1" x14ac:dyDescent="0.2"/>
    <row r="5120" s="689" customFormat="1" x14ac:dyDescent="0.2"/>
    <row r="5121" s="689" customFormat="1" x14ac:dyDescent="0.2"/>
    <row r="5122" s="689" customFormat="1" x14ac:dyDescent="0.2"/>
    <row r="5123" s="689" customFormat="1" x14ac:dyDescent="0.2"/>
    <row r="5124" s="689" customFormat="1" x14ac:dyDescent="0.2"/>
    <row r="5125" s="689" customFormat="1" x14ac:dyDescent="0.2"/>
    <row r="5126" s="689" customFormat="1" x14ac:dyDescent="0.2"/>
    <row r="5127" s="689" customFormat="1" x14ac:dyDescent="0.2"/>
    <row r="5128" s="689" customFormat="1" x14ac:dyDescent="0.2"/>
    <row r="5129" s="689" customFormat="1" x14ac:dyDescent="0.2"/>
    <row r="5130" s="689" customFormat="1" x14ac:dyDescent="0.2"/>
    <row r="5131" s="689" customFormat="1" x14ac:dyDescent="0.2"/>
    <row r="5132" s="689" customFormat="1" x14ac:dyDescent="0.2"/>
    <row r="5133" s="689" customFormat="1" x14ac:dyDescent="0.2"/>
    <row r="5134" s="689" customFormat="1" x14ac:dyDescent="0.2"/>
    <row r="5135" s="689" customFormat="1" x14ac:dyDescent="0.2"/>
    <row r="5136" s="689" customFormat="1" x14ac:dyDescent="0.2"/>
    <row r="5137" s="689" customFormat="1" x14ac:dyDescent="0.2"/>
    <row r="5138" s="689" customFormat="1" x14ac:dyDescent="0.2"/>
    <row r="5139" s="689" customFormat="1" x14ac:dyDescent="0.2"/>
    <row r="5140" s="689" customFormat="1" x14ac:dyDescent="0.2"/>
    <row r="5141" s="689" customFormat="1" x14ac:dyDescent="0.2"/>
    <row r="5142" s="689" customFormat="1" x14ac:dyDescent="0.2"/>
    <row r="5143" s="689" customFormat="1" x14ac:dyDescent="0.2"/>
    <row r="5144" s="689" customFormat="1" x14ac:dyDescent="0.2"/>
    <row r="5145" s="689" customFormat="1" x14ac:dyDescent="0.2"/>
    <row r="5146" s="689" customFormat="1" x14ac:dyDescent="0.2"/>
    <row r="5147" s="689" customFormat="1" x14ac:dyDescent="0.2"/>
    <row r="5148" s="689" customFormat="1" x14ac:dyDescent="0.2"/>
    <row r="5149" s="689" customFormat="1" x14ac:dyDescent="0.2"/>
    <row r="5150" s="689" customFormat="1" x14ac:dyDescent="0.2"/>
    <row r="5151" s="689" customFormat="1" x14ac:dyDescent="0.2"/>
    <row r="5152" s="689" customFormat="1" x14ac:dyDescent="0.2"/>
    <row r="5153" s="689" customFormat="1" x14ac:dyDescent="0.2"/>
    <row r="5154" s="689" customFormat="1" x14ac:dyDescent="0.2"/>
    <row r="5155" s="689" customFormat="1" x14ac:dyDescent="0.2"/>
    <row r="5156" s="689" customFormat="1" x14ac:dyDescent="0.2"/>
    <row r="5157" s="689" customFormat="1" x14ac:dyDescent="0.2"/>
    <row r="5158" s="689" customFormat="1" x14ac:dyDescent="0.2"/>
    <row r="5159" s="689" customFormat="1" x14ac:dyDescent="0.2"/>
    <row r="5160" s="689" customFormat="1" x14ac:dyDescent="0.2"/>
    <row r="5161" s="689" customFormat="1" x14ac:dyDescent="0.2"/>
    <row r="5162" s="689" customFormat="1" x14ac:dyDescent="0.2"/>
    <row r="5163" s="689" customFormat="1" x14ac:dyDescent="0.2"/>
    <row r="5164" s="689" customFormat="1" x14ac:dyDescent="0.2"/>
    <row r="5165" s="689" customFormat="1" x14ac:dyDescent="0.2"/>
    <row r="5166" s="689" customFormat="1" x14ac:dyDescent="0.2"/>
    <row r="5167" s="689" customFormat="1" x14ac:dyDescent="0.2"/>
    <row r="5168" s="689" customFormat="1" x14ac:dyDescent="0.2"/>
    <row r="5169" s="689" customFormat="1" x14ac:dyDescent="0.2"/>
    <row r="5170" s="689" customFormat="1" x14ac:dyDescent="0.2"/>
    <row r="5171" s="689" customFormat="1" x14ac:dyDescent="0.2"/>
    <row r="5172" s="689" customFormat="1" x14ac:dyDescent="0.2"/>
    <row r="5173" s="689" customFormat="1" x14ac:dyDescent="0.2"/>
    <row r="5174" s="689" customFormat="1" x14ac:dyDescent="0.2"/>
    <row r="5175" s="689" customFormat="1" x14ac:dyDescent="0.2"/>
    <row r="5176" s="689" customFormat="1" x14ac:dyDescent="0.2"/>
    <row r="5177" s="689" customFormat="1" x14ac:dyDescent="0.2"/>
    <row r="5178" s="689" customFormat="1" x14ac:dyDescent="0.2"/>
    <row r="5179" s="689" customFormat="1" x14ac:dyDescent="0.2"/>
    <row r="5180" s="689" customFormat="1" x14ac:dyDescent="0.2"/>
    <row r="5181" s="689" customFormat="1" x14ac:dyDescent="0.2"/>
    <row r="5182" s="689" customFormat="1" x14ac:dyDescent="0.2"/>
    <row r="5183" s="689" customFormat="1" x14ac:dyDescent="0.2"/>
    <row r="5184" s="689" customFormat="1" x14ac:dyDescent="0.2"/>
    <row r="5185" s="689" customFormat="1" x14ac:dyDescent="0.2"/>
    <row r="5186" s="689" customFormat="1" x14ac:dyDescent="0.2"/>
    <row r="5187" s="689" customFormat="1" x14ac:dyDescent="0.2"/>
    <row r="5188" s="689" customFormat="1" x14ac:dyDescent="0.2"/>
    <row r="5189" s="689" customFormat="1" x14ac:dyDescent="0.2"/>
    <row r="5190" s="689" customFormat="1" x14ac:dyDescent="0.2"/>
    <row r="5191" s="689" customFormat="1" x14ac:dyDescent="0.2"/>
    <row r="5192" s="689" customFormat="1" x14ac:dyDescent="0.2"/>
    <row r="5193" s="689" customFormat="1" x14ac:dyDescent="0.2"/>
    <row r="5194" s="689" customFormat="1" x14ac:dyDescent="0.2"/>
    <row r="5195" s="689" customFormat="1" x14ac:dyDescent="0.2"/>
    <row r="5196" s="689" customFormat="1" x14ac:dyDescent="0.2"/>
    <row r="5197" s="689" customFormat="1" x14ac:dyDescent="0.2"/>
    <row r="5198" s="689" customFormat="1" x14ac:dyDescent="0.2"/>
    <row r="5199" s="689" customFormat="1" x14ac:dyDescent="0.2"/>
    <row r="5200" s="689" customFormat="1" x14ac:dyDescent="0.2"/>
    <row r="5201" s="689" customFormat="1" x14ac:dyDescent="0.2"/>
    <row r="5202" s="689" customFormat="1" x14ac:dyDescent="0.2"/>
    <row r="5203" s="689" customFormat="1" x14ac:dyDescent="0.2"/>
    <row r="5204" s="689" customFormat="1" x14ac:dyDescent="0.2"/>
    <row r="5205" s="689" customFormat="1" x14ac:dyDescent="0.2"/>
    <row r="5206" s="689" customFormat="1" x14ac:dyDescent="0.2"/>
    <row r="5207" s="689" customFormat="1" x14ac:dyDescent="0.2"/>
    <row r="5208" s="689" customFormat="1" x14ac:dyDescent="0.2"/>
    <row r="5209" s="689" customFormat="1" x14ac:dyDescent="0.2"/>
    <row r="5210" s="689" customFormat="1" x14ac:dyDescent="0.2"/>
    <row r="5211" s="689" customFormat="1" x14ac:dyDescent="0.2"/>
    <row r="5212" s="689" customFormat="1" x14ac:dyDescent="0.2"/>
    <row r="5213" s="689" customFormat="1" x14ac:dyDescent="0.2"/>
    <row r="5214" s="689" customFormat="1" x14ac:dyDescent="0.2"/>
    <row r="5215" s="689" customFormat="1" x14ac:dyDescent="0.2"/>
    <row r="5216" s="689" customFormat="1" x14ac:dyDescent="0.2"/>
    <row r="5217" s="689" customFormat="1" x14ac:dyDescent="0.2"/>
    <row r="5218" s="689" customFormat="1" x14ac:dyDescent="0.2"/>
    <row r="5219" s="689" customFormat="1" x14ac:dyDescent="0.2"/>
    <row r="5220" s="689" customFormat="1" x14ac:dyDescent="0.2"/>
    <row r="5221" s="689" customFormat="1" x14ac:dyDescent="0.2"/>
    <row r="5222" s="689" customFormat="1" x14ac:dyDescent="0.2"/>
    <row r="5223" s="689" customFormat="1" x14ac:dyDescent="0.2"/>
    <row r="5224" s="689" customFormat="1" x14ac:dyDescent="0.2"/>
    <row r="5225" s="689" customFormat="1" x14ac:dyDescent="0.2"/>
    <row r="5226" s="689" customFormat="1" x14ac:dyDescent="0.2"/>
    <row r="5227" s="689" customFormat="1" x14ac:dyDescent="0.2"/>
    <row r="5228" s="689" customFormat="1" x14ac:dyDescent="0.2"/>
    <row r="5229" s="689" customFormat="1" x14ac:dyDescent="0.2"/>
    <row r="5230" s="689" customFormat="1" x14ac:dyDescent="0.2"/>
    <row r="5231" s="689" customFormat="1" x14ac:dyDescent="0.2"/>
    <row r="5232" s="689" customFormat="1" x14ac:dyDescent="0.2"/>
    <row r="5233" s="689" customFormat="1" x14ac:dyDescent="0.2"/>
    <row r="5234" s="689" customFormat="1" x14ac:dyDescent="0.2"/>
    <row r="5235" s="689" customFormat="1" x14ac:dyDescent="0.2"/>
    <row r="5236" s="689" customFormat="1" x14ac:dyDescent="0.2"/>
    <row r="5237" s="689" customFormat="1" x14ac:dyDescent="0.2"/>
    <row r="5238" s="689" customFormat="1" x14ac:dyDescent="0.2"/>
    <row r="5239" s="689" customFormat="1" x14ac:dyDescent="0.2"/>
    <row r="5240" s="689" customFormat="1" x14ac:dyDescent="0.2"/>
    <row r="5241" s="689" customFormat="1" x14ac:dyDescent="0.2"/>
    <row r="5242" s="689" customFormat="1" x14ac:dyDescent="0.2"/>
    <row r="5243" s="689" customFormat="1" x14ac:dyDescent="0.2"/>
    <row r="5244" s="689" customFormat="1" x14ac:dyDescent="0.2"/>
    <row r="5245" s="689" customFormat="1" x14ac:dyDescent="0.2"/>
    <row r="5246" s="689" customFormat="1" x14ac:dyDescent="0.2"/>
    <row r="5247" s="689" customFormat="1" x14ac:dyDescent="0.2"/>
    <row r="5248" s="689" customFormat="1" x14ac:dyDescent="0.2"/>
    <row r="5249" s="689" customFormat="1" x14ac:dyDescent="0.2"/>
    <row r="5250" s="689" customFormat="1" x14ac:dyDescent="0.2"/>
    <row r="5251" s="689" customFormat="1" x14ac:dyDescent="0.2"/>
    <row r="5252" s="689" customFormat="1" x14ac:dyDescent="0.2"/>
    <row r="5253" s="689" customFormat="1" x14ac:dyDescent="0.2"/>
    <row r="5254" s="689" customFormat="1" x14ac:dyDescent="0.2"/>
    <row r="5255" s="689" customFormat="1" x14ac:dyDescent="0.2"/>
    <row r="5256" s="689" customFormat="1" x14ac:dyDescent="0.2"/>
    <row r="5257" s="689" customFormat="1" x14ac:dyDescent="0.2"/>
    <row r="5258" s="689" customFormat="1" x14ac:dyDescent="0.2"/>
    <row r="5259" s="689" customFormat="1" x14ac:dyDescent="0.2"/>
    <row r="5260" s="689" customFormat="1" x14ac:dyDescent="0.2"/>
    <row r="5261" s="689" customFormat="1" x14ac:dyDescent="0.2"/>
    <row r="5262" s="689" customFormat="1" x14ac:dyDescent="0.2"/>
    <row r="5263" s="689" customFormat="1" x14ac:dyDescent="0.2"/>
    <row r="5264" s="689" customFormat="1" x14ac:dyDescent="0.2"/>
    <row r="5265" s="689" customFormat="1" x14ac:dyDescent="0.2"/>
    <row r="5266" s="689" customFormat="1" x14ac:dyDescent="0.2"/>
    <row r="5267" s="689" customFormat="1" x14ac:dyDescent="0.2"/>
    <row r="5268" s="689" customFormat="1" x14ac:dyDescent="0.2"/>
    <row r="5269" s="689" customFormat="1" x14ac:dyDescent="0.2"/>
    <row r="5270" s="689" customFormat="1" x14ac:dyDescent="0.2"/>
    <row r="5271" s="689" customFormat="1" x14ac:dyDescent="0.2"/>
    <row r="5272" s="689" customFormat="1" x14ac:dyDescent="0.2"/>
    <row r="5273" s="689" customFormat="1" x14ac:dyDescent="0.2"/>
    <row r="5274" s="689" customFormat="1" x14ac:dyDescent="0.2"/>
    <row r="5275" s="689" customFormat="1" x14ac:dyDescent="0.2"/>
    <row r="5276" s="689" customFormat="1" x14ac:dyDescent="0.2"/>
    <row r="5277" s="689" customFormat="1" x14ac:dyDescent="0.2"/>
    <row r="5278" s="689" customFormat="1" x14ac:dyDescent="0.2"/>
    <row r="5279" s="689" customFormat="1" x14ac:dyDescent="0.2"/>
    <row r="5280" s="689" customFormat="1" x14ac:dyDescent="0.2"/>
    <row r="5281" s="689" customFormat="1" x14ac:dyDescent="0.2"/>
    <row r="5282" s="689" customFormat="1" x14ac:dyDescent="0.2"/>
    <row r="5283" s="689" customFormat="1" x14ac:dyDescent="0.2"/>
    <row r="5284" s="689" customFormat="1" x14ac:dyDescent="0.2"/>
    <row r="5285" s="689" customFormat="1" x14ac:dyDescent="0.2"/>
    <row r="5286" s="689" customFormat="1" x14ac:dyDescent="0.2"/>
    <row r="5287" s="689" customFormat="1" x14ac:dyDescent="0.2"/>
    <row r="5288" s="689" customFormat="1" x14ac:dyDescent="0.2"/>
    <row r="5289" s="689" customFormat="1" x14ac:dyDescent="0.2"/>
    <row r="5290" s="689" customFormat="1" x14ac:dyDescent="0.2"/>
    <row r="5291" s="689" customFormat="1" x14ac:dyDescent="0.2"/>
    <row r="5292" s="689" customFormat="1" x14ac:dyDescent="0.2"/>
    <row r="5293" s="689" customFormat="1" x14ac:dyDescent="0.2"/>
    <row r="5294" s="689" customFormat="1" x14ac:dyDescent="0.2"/>
    <row r="5295" s="689" customFormat="1" x14ac:dyDescent="0.2"/>
    <row r="5296" s="689" customFormat="1" x14ac:dyDescent="0.2"/>
    <row r="5297" s="689" customFormat="1" x14ac:dyDescent="0.2"/>
    <row r="5298" s="689" customFormat="1" x14ac:dyDescent="0.2"/>
    <row r="5299" s="689" customFormat="1" x14ac:dyDescent="0.2"/>
    <row r="5300" s="689" customFormat="1" x14ac:dyDescent="0.2"/>
    <row r="5301" s="689" customFormat="1" x14ac:dyDescent="0.2"/>
    <row r="5302" s="689" customFormat="1" x14ac:dyDescent="0.2"/>
    <row r="5303" s="689" customFormat="1" x14ac:dyDescent="0.2"/>
    <row r="5304" s="689" customFormat="1" x14ac:dyDescent="0.2"/>
    <row r="5305" s="689" customFormat="1" x14ac:dyDescent="0.2"/>
    <row r="5306" s="689" customFormat="1" x14ac:dyDescent="0.2"/>
    <row r="5307" s="689" customFormat="1" x14ac:dyDescent="0.2"/>
    <row r="5308" s="689" customFormat="1" x14ac:dyDescent="0.2"/>
    <row r="5309" s="689" customFormat="1" x14ac:dyDescent="0.2"/>
    <row r="5310" s="689" customFormat="1" x14ac:dyDescent="0.2"/>
    <row r="5311" s="689" customFormat="1" x14ac:dyDescent="0.2"/>
    <row r="5312" s="689" customFormat="1" x14ac:dyDescent="0.2"/>
    <row r="5313" s="689" customFormat="1" x14ac:dyDescent="0.2"/>
    <row r="5314" s="689" customFormat="1" x14ac:dyDescent="0.2"/>
    <row r="5315" s="689" customFormat="1" x14ac:dyDescent="0.2"/>
    <row r="5316" s="689" customFormat="1" x14ac:dyDescent="0.2"/>
    <row r="5317" s="689" customFormat="1" x14ac:dyDescent="0.2"/>
    <row r="5318" s="689" customFormat="1" x14ac:dyDescent="0.2"/>
    <row r="5319" s="689" customFormat="1" x14ac:dyDescent="0.2"/>
    <row r="5320" s="689" customFormat="1" x14ac:dyDescent="0.2"/>
    <row r="5321" s="689" customFormat="1" x14ac:dyDescent="0.2"/>
    <row r="5322" s="689" customFormat="1" x14ac:dyDescent="0.2"/>
    <row r="5323" s="689" customFormat="1" x14ac:dyDescent="0.2"/>
    <row r="5324" s="689" customFormat="1" x14ac:dyDescent="0.2"/>
    <row r="5325" s="689" customFormat="1" x14ac:dyDescent="0.2"/>
    <row r="5326" s="689" customFormat="1" x14ac:dyDescent="0.2"/>
    <row r="5327" s="689" customFormat="1" x14ac:dyDescent="0.2"/>
    <row r="5328" s="689" customFormat="1" x14ac:dyDescent="0.2"/>
    <row r="5329" s="689" customFormat="1" x14ac:dyDescent="0.2"/>
    <row r="5330" s="689" customFormat="1" x14ac:dyDescent="0.2"/>
    <row r="5331" s="689" customFormat="1" x14ac:dyDescent="0.2"/>
    <row r="5332" s="689" customFormat="1" x14ac:dyDescent="0.2"/>
    <row r="5333" s="689" customFormat="1" x14ac:dyDescent="0.2"/>
    <row r="5334" s="689" customFormat="1" x14ac:dyDescent="0.2"/>
    <row r="5335" s="689" customFormat="1" x14ac:dyDescent="0.2"/>
    <row r="5336" s="689" customFormat="1" x14ac:dyDescent="0.2"/>
    <row r="5337" s="689" customFormat="1" x14ac:dyDescent="0.2"/>
    <row r="5338" s="689" customFormat="1" x14ac:dyDescent="0.2"/>
    <row r="5339" s="689" customFormat="1" x14ac:dyDescent="0.2"/>
    <row r="5340" s="689" customFormat="1" x14ac:dyDescent="0.2"/>
    <row r="5341" s="689" customFormat="1" x14ac:dyDescent="0.2"/>
    <row r="5342" s="689" customFormat="1" x14ac:dyDescent="0.2"/>
    <row r="5343" s="689" customFormat="1" x14ac:dyDescent="0.2"/>
    <row r="5344" s="689" customFormat="1" x14ac:dyDescent="0.2"/>
    <row r="5345" s="689" customFormat="1" x14ac:dyDescent="0.2"/>
    <row r="5346" s="689" customFormat="1" x14ac:dyDescent="0.2"/>
    <row r="5347" s="689" customFormat="1" x14ac:dyDescent="0.2"/>
    <row r="5348" s="689" customFormat="1" x14ac:dyDescent="0.2"/>
    <row r="5349" s="689" customFormat="1" x14ac:dyDescent="0.2"/>
    <row r="5350" s="689" customFormat="1" x14ac:dyDescent="0.2"/>
    <row r="5351" s="689" customFormat="1" x14ac:dyDescent="0.2"/>
    <row r="5352" s="689" customFormat="1" x14ac:dyDescent="0.2"/>
    <row r="5353" s="689" customFormat="1" x14ac:dyDescent="0.2"/>
    <row r="5354" s="689" customFormat="1" x14ac:dyDescent="0.2"/>
    <row r="5355" s="689" customFormat="1" x14ac:dyDescent="0.2"/>
    <row r="5356" s="689" customFormat="1" x14ac:dyDescent="0.2"/>
    <row r="5357" s="689" customFormat="1" x14ac:dyDescent="0.2"/>
    <row r="5358" s="689" customFormat="1" x14ac:dyDescent="0.2"/>
    <row r="5359" s="689" customFormat="1" x14ac:dyDescent="0.2"/>
    <row r="5360" s="689" customFormat="1" x14ac:dyDescent="0.2"/>
    <row r="5361" s="689" customFormat="1" x14ac:dyDescent="0.2"/>
    <row r="5362" s="689" customFormat="1" x14ac:dyDescent="0.2"/>
    <row r="5363" s="689" customFormat="1" x14ac:dyDescent="0.2"/>
    <row r="5364" s="689" customFormat="1" x14ac:dyDescent="0.2"/>
    <row r="5365" s="689" customFormat="1" x14ac:dyDescent="0.2"/>
    <row r="5366" s="689" customFormat="1" x14ac:dyDescent="0.2"/>
    <row r="5367" s="689" customFormat="1" x14ac:dyDescent="0.2"/>
    <row r="5368" s="689" customFormat="1" x14ac:dyDescent="0.2"/>
    <row r="5369" s="689" customFormat="1" x14ac:dyDescent="0.2"/>
    <row r="5370" s="689" customFormat="1" x14ac:dyDescent="0.2"/>
    <row r="5371" s="689" customFormat="1" x14ac:dyDescent="0.2"/>
    <row r="5372" s="689" customFormat="1" x14ac:dyDescent="0.2"/>
    <row r="5373" s="689" customFormat="1" x14ac:dyDescent="0.2"/>
    <row r="5374" s="689" customFormat="1" x14ac:dyDescent="0.2"/>
    <row r="5375" s="689" customFormat="1" x14ac:dyDescent="0.2"/>
    <row r="5376" s="689" customFormat="1" x14ac:dyDescent="0.2"/>
    <row r="5377" s="689" customFormat="1" x14ac:dyDescent="0.2"/>
    <row r="5378" s="689" customFormat="1" x14ac:dyDescent="0.2"/>
    <row r="5379" s="689" customFormat="1" x14ac:dyDescent="0.2"/>
    <row r="5380" s="689" customFormat="1" x14ac:dyDescent="0.2"/>
    <row r="5381" s="689" customFormat="1" x14ac:dyDescent="0.2"/>
    <row r="5382" s="689" customFormat="1" x14ac:dyDescent="0.2"/>
    <row r="5383" s="689" customFormat="1" x14ac:dyDescent="0.2"/>
    <row r="5384" s="689" customFormat="1" x14ac:dyDescent="0.2"/>
    <row r="5385" s="689" customFormat="1" x14ac:dyDescent="0.2"/>
    <row r="5386" s="689" customFormat="1" x14ac:dyDescent="0.2"/>
    <row r="5387" s="689" customFormat="1" x14ac:dyDescent="0.2"/>
    <row r="5388" s="689" customFormat="1" x14ac:dyDescent="0.2"/>
    <row r="5389" s="689" customFormat="1" x14ac:dyDescent="0.2"/>
    <row r="5390" s="689" customFormat="1" x14ac:dyDescent="0.2"/>
    <row r="5391" s="689" customFormat="1" x14ac:dyDescent="0.2"/>
    <row r="5392" s="689" customFormat="1" x14ac:dyDescent="0.2"/>
    <row r="5393" s="689" customFormat="1" x14ac:dyDescent="0.2"/>
    <row r="5394" s="689" customFormat="1" x14ac:dyDescent="0.2"/>
    <row r="5395" s="689" customFormat="1" x14ac:dyDescent="0.2"/>
    <row r="5396" s="689" customFormat="1" x14ac:dyDescent="0.2"/>
    <row r="5397" s="689" customFormat="1" x14ac:dyDescent="0.2"/>
    <row r="5398" s="689" customFormat="1" x14ac:dyDescent="0.2"/>
    <row r="5399" s="689" customFormat="1" x14ac:dyDescent="0.2"/>
    <row r="5400" s="689" customFormat="1" x14ac:dyDescent="0.2"/>
    <row r="5401" s="689" customFormat="1" x14ac:dyDescent="0.2"/>
    <row r="5402" s="689" customFormat="1" x14ac:dyDescent="0.2"/>
    <row r="5403" s="689" customFormat="1" x14ac:dyDescent="0.2"/>
    <row r="5404" s="689" customFormat="1" x14ac:dyDescent="0.2"/>
    <row r="5405" s="689" customFormat="1" x14ac:dyDescent="0.2"/>
    <row r="5406" s="689" customFormat="1" x14ac:dyDescent="0.2"/>
    <row r="5407" s="689" customFormat="1" x14ac:dyDescent="0.2"/>
    <row r="5408" s="689" customFormat="1" x14ac:dyDescent="0.2"/>
    <row r="5409" s="689" customFormat="1" x14ac:dyDescent="0.2"/>
    <row r="5410" s="689" customFormat="1" x14ac:dyDescent="0.2"/>
    <row r="5411" s="689" customFormat="1" x14ac:dyDescent="0.2"/>
    <row r="5412" s="689" customFormat="1" x14ac:dyDescent="0.2"/>
    <row r="5413" s="689" customFormat="1" x14ac:dyDescent="0.2"/>
    <row r="5414" s="689" customFormat="1" x14ac:dyDescent="0.2"/>
    <row r="5415" s="689" customFormat="1" x14ac:dyDescent="0.2"/>
    <row r="5416" s="689" customFormat="1" x14ac:dyDescent="0.2"/>
    <row r="5417" s="689" customFormat="1" x14ac:dyDescent="0.2"/>
    <row r="5418" s="689" customFormat="1" x14ac:dyDescent="0.2"/>
    <row r="5419" s="689" customFormat="1" x14ac:dyDescent="0.2"/>
    <row r="5420" s="689" customFormat="1" x14ac:dyDescent="0.2"/>
    <row r="5421" s="689" customFormat="1" x14ac:dyDescent="0.2"/>
    <row r="5422" s="689" customFormat="1" x14ac:dyDescent="0.2"/>
    <row r="5423" s="689" customFormat="1" x14ac:dyDescent="0.2"/>
    <row r="5424" s="689" customFormat="1" x14ac:dyDescent="0.2"/>
    <row r="5425" s="689" customFormat="1" x14ac:dyDescent="0.2"/>
    <row r="5426" s="689" customFormat="1" x14ac:dyDescent="0.2"/>
    <row r="5427" s="689" customFormat="1" x14ac:dyDescent="0.2"/>
    <row r="5428" s="689" customFormat="1" x14ac:dyDescent="0.2"/>
    <row r="5429" s="689" customFormat="1" x14ac:dyDescent="0.2"/>
    <row r="5430" s="689" customFormat="1" x14ac:dyDescent="0.2"/>
    <row r="5431" s="689" customFormat="1" x14ac:dyDescent="0.2"/>
    <row r="5432" s="689" customFormat="1" x14ac:dyDescent="0.2"/>
    <row r="5433" s="689" customFormat="1" x14ac:dyDescent="0.2"/>
    <row r="5434" s="689" customFormat="1" x14ac:dyDescent="0.2"/>
    <row r="5435" s="689" customFormat="1" x14ac:dyDescent="0.2"/>
    <row r="5436" s="689" customFormat="1" x14ac:dyDescent="0.2"/>
    <row r="5437" s="689" customFormat="1" x14ac:dyDescent="0.2"/>
    <row r="5438" s="689" customFormat="1" x14ac:dyDescent="0.2"/>
    <row r="5439" s="689" customFormat="1" x14ac:dyDescent="0.2"/>
    <row r="5440" s="689" customFormat="1" x14ac:dyDescent="0.2"/>
    <row r="5441" s="689" customFormat="1" x14ac:dyDescent="0.2"/>
    <row r="5442" s="689" customFormat="1" x14ac:dyDescent="0.2"/>
    <row r="5443" s="689" customFormat="1" x14ac:dyDescent="0.2"/>
    <row r="5444" s="689" customFormat="1" x14ac:dyDescent="0.2"/>
    <row r="5445" s="689" customFormat="1" x14ac:dyDescent="0.2"/>
    <row r="5446" s="689" customFormat="1" x14ac:dyDescent="0.2"/>
    <row r="5447" s="689" customFormat="1" x14ac:dyDescent="0.2"/>
    <row r="5448" s="689" customFormat="1" x14ac:dyDescent="0.2"/>
    <row r="5449" s="689" customFormat="1" x14ac:dyDescent="0.2"/>
    <row r="5450" s="689" customFormat="1" x14ac:dyDescent="0.2"/>
    <row r="5451" s="689" customFormat="1" x14ac:dyDescent="0.2"/>
    <row r="5452" s="689" customFormat="1" x14ac:dyDescent="0.2"/>
    <row r="5453" s="689" customFormat="1" x14ac:dyDescent="0.2"/>
    <row r="5454" s="689" customFormat="1" x14ac:dyDescent="0.2"/>
    <row r="5455" s="689" customFormat="1" x14ac:dyDescent="0.2"/>
    <row r="5456" s="689" customFormat="1" x14ac:dyDescent="0.2"/>
    <row r="5457" s="689" customFormat="1" x14ac:dyDescent="0.2"/>
    <row r="5458" s="689" customFormat="1" x14ac:dyDescent="0.2"/>
    <row r="5459" s="689" customFormat="1" x14ac:dyDescent="0.2"/>
    <row r="5460" s="689" customFormat="1" x14ac:dyDescent="0.2"/>
    <row r="5461" s="689" customFormat="1" x14ac:dyDescent="0.2"/>
    <row r="5462" s="689" customFormat="1" x14ac:dyDescent="0.2"/>
    <row r="5463" s="689" customFormat="1" x14ac:dyDescent="0.2"/>
    <row r="5464" s="689" customFormat="1" x14ac:dyDescent="0.2"/>
    <row r="5465" s="689" customFormat="1" x14ac:dyDescent="0.2"/>
    <row r="5466" s="689" customFormat="1" x14ac:dyDescent="0.2"/>
    <row r="5467" s="689" customFormat="1" x14ac:dyDescent="0.2"/>
    <row r="5468" s="689" customFormat="1" x14ac:dyDescent="0.2"/>
    <row r="5469" s="689" customFormat="1" x14ac:dyDescent="0.2"/>
    <row r="5470" s="689" customFormat="1" x14ac:dyDescent="0.2"/>
    <row r="5471" s="689" customFormat="1" x14ac:dyDescent="0.2"/>
    <row r="5472" s="689" customFormat="1" x14ac:dyDescent="0.2"/>
    <row r="5473" s="689" customFormat="1" x14ac:dyDescent="0.2"/>
    <row r="5474" s="689" customFormat="1" x14ac:dyDescent="0.2"/>
    <row r="5475" s="689" customFormat="1" x14ac:dyDescent="0.2"/>
    <row r="5476" s="689" customFormat="1" x14ac:dyDescent="0.2"/>
    <row r="5477" s="689" customFormat="1" x14ac:dyDescent="0.2"/>
    <row r="5478" s="689" customFormat="1" x14ac:dyDescent="0.2"/>
    <row r="5479" s="689" customFormat="1" x14ac:dyDescent="0.2"/>
    <row r="5480" s="689" customFormat="1" x14ac:dyDescent="0.2"/>
    <row r="5481" s="689" customFormat="1" x14ac:dyDescent="0.2"/>
    <row r="5482" s="689" customFormat="1" x14ac:dyDescent="0.2"/>
    <row r="5483" s="689" customFormat="1" x14ac:dyDescent="0.2"/>
    <row r="5484" s="689" customFormat="1" x14ac:dyDescent="0.2"/>
    <row r="5485" s="689" customFormat="1" x14ac:dyDescent="0.2"/>
    <row r="5486" s="689" customFormat="1" x14ac:dyDescent="0.2"/>
    <row r="5487" s="689" customFormat="1" x14ac:dyDescent="0.2"/>
    <row r="5488" s="689" customFormat="1" x14ac:dyDescent="0.2"/>
    <row r="5489" s="689" customFormat="1" x14ac:dyDescent="0.2"/>
    <row r="5490" s="689" customFormat="1" x14ac:dyDescent="0.2"/>
    <row r="5491" s="689" customFormat="1" x14ac:dyDescent="0.2"/>
    <row r="5492" s="689" customFormat="1" x14ac:dyDescent="0.2"/>
    <row r="5493" s="689" customFormat="1" x14ac:dyDescent="0.2"/>
    <row r="5494" s="689" customFormat="1" x14ac:dyDescent="0.2"/>
    <row r="5495" s="689" customFormat="1" x14ac:dyDescent="0.2"/>
    <row r="5496" s="689" customFormat="1" x14ac:dyDescent="0.2"/>
    <row r="5497" s="689" customFormat="1" x14ac:dyDescent="0.2"/>
    <row r="5498" s="689" customFormat="1" x14ac:dyDescent="0.2"/>
    <row r="5499" s="689" customFormat="1" x14ac:dyDescent="0.2"/>
    <row r="5500" s="689" customFormat="1" x14ac:dyDescent="0.2"/>
    <row r="5501" s="689" customFormat="1" x14ac:dyDescent="0.2"/>
    <row r="5502" s="689" customFormat="1" x14ac:dyDescent="0.2"/>
    <row r="5503" s="689" customFormat="1" x14ac:dyDescent="0.2"/>
    <row r="5504" s="689" customFormat="1" x14ac:dyDescent="0.2"/>
    <row r="5505" s="689" customFormat="1" x14ac:dyDescent="0.2"/>
    <row r="5506" s="689" customFormat="1" x14ac:dyDescent="0.2"/>
    <row r="5507" s="689" customFormat="1" x14ac:dyDescent="0.2"/>
    <row r="5508" s="689" customFormat="1" x14ac:dyDescent="0.2"/>
    <row r="5509" s="689" customFormat="1" x14ac:dyDescent="0.2"/>
    <row r="5510" s="689" customFormat="1" x14ac:dyDescent="0.2"/>
    <row r="5511" s="689" customFormat="1" x14ac:dyDescent="0.2"/>
    <row r="5512" s="689" customFormat="1" x14ac:dyDescent="0.2"/>
    <row r="5513" s="689" customFormat="1" x14ac:dyDescent="0.2"/>
    <row r="5514" s="689" customFormat="1" x14ac:dyDescent="0.2"/>
    <row r="5515" s="689" customFormat="1" x14ac:dyDescent="0.2"/>
    <row r="5516" s="689" customFormat="1" x14ac:dyDescent="0.2"/>
    <row r="5517" s="689" customFormat="1" x14ac:dyDescent="0.2"/>
    <row r="5518" s="689" customFormat="1" x14ac:dyDescent="0.2"/>
    <row r="5519" s="689" customFormat="1" x14ac:dyDescent="0.2"/>
    <row r="5520" s="689" customFormat="1" x14ac:dyDescent="0.2"/>
    <row r="5521" s="689" customFormat="1" x14ac:dyDescent="0.2"/>
    <row r="5522" s="689" customFormat="1" x14ac:dyDescent="0.2"/>
    <row r="5523" s="689" customFormat="1" x14ac:dyDescent="0.2"/>
    <row r="5524" s="689" customFormat="1" x14ac:dyDescent="0.2"/>
    <row r="5525" s="689" customFormat="1" x14ac:dyDescent="0.2"/>
    <row r="5526" s="689" customFormat="1" x14ac:dyDescent="0.2"/>
    <row r="5527" s="689" customFormat="1" x14ac:dyDescent="0.2"/>
    <row r="5528" s="689" customFormat="1" x14ac:dyDescent="0.2"/>
    <row r="5529" s="689" customFormat="1" x14ac:dyDescent="0.2"/>
    <row r="5530" s="689" customFormat="1" x14ac:dyDescent="0.2"/>
    <row r="5531" s="689" customFormat="1" x14ac:dyDescent="0.2"/>
    <row r="5532" s="689" customFormat="1" x14ac:dyDescent="0.2"/>
    <row r="5533" s="689" customFormat="1" x14ac:dyDescent="0.2"/>
    <row r="5534" s="689" customFormat="1" x14ac:dyDescent="0.2"/>
    <row r="5535" s="689" customFormat="1" x14ac:dyDescent="0.2"/>
    <row r="5536" s="689" customFormat="1" x14ac:dyDescent="0.2"/>
    <row r="5537" s="689" customFormat="1" x14ac:dyDescent="0.2"/>
    <row r="5538" s="689" customFormat="1" x14ac:dyDescent="0.2"/>
    <row r="5539" s="689" customFormat="1" x14ac:dyDescent="0.2"/>
    <row r="5540" s="689" customFormat="1" x14ac:dyDescent="0.2"/>
    <row r="5541" s="689" customFormat="1" x14ac:dyDescent="0.2"/>
    <row r="5542" s="689" customFormat="1" x14ac:dyDescent="0.2"/>
    <row r="5543" s="689" customFormat="1" x14ac:dyDescent="0.2"/>
    <row r="5544" s="689" customFormat="1" x14ac:dyDescent="0.2"/>
    <row r="5545" s="689" customFormat="1" x14ac:dyDescent="0.2"/>
    <row r="5546" s="689" customFormat="1" x14ac:dyDescent="0.2"/>
    <row r="5547" s="689" customFormat="1" x14ac:dyDescent="0.2"/>
    <row r="5548" s="689" customFormat="1" x14ac:dyDescent="0.2"/>
    <row r="5549" s="689" customFormat="1" x14ac:dyDescent="0.2"/>
    <row r="5550" s="689" customFormat="1" x14ac:dyDescent="0.2"/>
    <row r="5551" s="689" customFormat="1" x14ac:dyDescent="0.2"/>
    <row r="5552" s="689" customFormat="1" x14ac:dyDescent="0.2"/>
    <row r="5553" s="689" customFormat="1" x14ac:dyDescent="0.2"/>
    <row r="5554" s="689" customFormat="1" x14ac:dyDescent="0.2"/>
    <row r="5555" s="689" customFormat="1" x14ac:dyDescent="0.2"/>
    <row r="5556" s="689" customFormat="1" x14ac:dyDescent="0.2"/>
    <row r="5557" s="689" customFormat="1" x14ac:dyDescent="0.2"/>
    <row r="5558" s="689" customFormat="1" x14ac:dyDescent="0.2"/>
    <row r="5559" s="689" customFormat="1" x14ac:dyDescent="0.2"/>
    <row r="5560" s="689" customFormat="1" x14ac:dyDescent="0.2"/>
    <row r="5561" s="689" customFormat="1" x14ac:dyDescent="0.2"/>
    <row r="5562" s="689" customFormat="1" x14ac:dyDescent="0.2"/>
    <row r="5563" s="689" customFormat="1" x14ac:dyDescent="0.2"/>
    <row r="5564" s="689" customFormat="1" x14ac:dyDescent="0.2"/>
    <row r="5565" s="689" customFormat="1" x14ac:dyDescent="0.2"/>
    <row r="5566" s="689" customFormat="1" x14ac:dyDescent="0.2"/>
    <row r="5567" s="689" customFormat="1" x14ac:dyDescent="0.2"/>
    <row r="5568" s="689" customFormat="1" x14ac:dyDescent="0.2"/>
    <row r="5569" s="689" customFormat="1" x14ac:dyDescent="0.2"/>
    <row r="5570" s="689" customFormat="1" x14ac:dyDescent="0.2"/>
    <row r="5571" s="689" customFormat="1" x14ac:dyDescent="0.2"/>
    <row r="5572" s="689" customFormat="1" x14ac:dyDescent="0.2"/>
    <row r="5573" s="689" customFormat="1" x14ac:dyDescent="0.2"/>
    <row r="5574" s="689" customFormat="1" x14ac:dyDescent="0.2"/>
    <row r="5575" s="689" customFormat="1" x14ac:dyDescent="0.2"/>
    <row r="5576" s="689" customFormat="1" x14ac:dyDescent="0.2"/>
    <row r="5577" s="689" customFormat="1" x14ac:dyDescent="0.2"/>
    <row r="5578" s="689" customFormat="1" x14ac:dyDescent="0.2"/>
    <row r="5579" s="689" customFormat="1" x14ac:dyDescent="0.2"/>
    <row r="5580" s="689" customFormat="1" x14ac:dyDescent="0.2"/>
    <row r="5581" s="689" customFormat="1" x14ac:dyDescent="0.2"/>
    <row r="5582" s="689" customFormat="1" x14ac:dyDescent="0.2"/>
    <row r="5583" s="689" customFormat="1" x14ac:dyDescent="0.2"/>
    <row r="5584" s="689" customFormat="1" x14ac:dyDescent="0.2"/>
    <row r="5585" s="689" customFormat="1" x14ac:dyDescent="0.2"/>
    <row r="5586" s="689" customFormat="1" x14ac:dyDescent="0.2"/>
    <row r="5587" s="689" customFormat="1" x14ac:dyDescent="0.2"/>
    <row r="5588" s="689" customFormat="1" x14ac:dyDescent="0.2"/>
    <row r="5589" s="689" customFormat="1" x14ac:dyDescent="0.2"/>
    <row r="5590" s="689" customFormat="1" x14ac:dyDescent="0.2"/>
    <row r="5591" s="689" customFormat="1" x14ac:dyDescent="0.2"/>
    <row r="5592" s="689" customFormat="1" x14ac:dyDescent="0.2"/>
    <row r="5593" s="689" customFormat="1" x14ac:dyDescent="0.2"/>
    <row r="5594" s="689" customFormat="1" x14ac:dyDescent="0.2"/>
    <row r="5595" s="689" customFormat="1" x14ac:dyDescent="0.2"/>
    <row r="5596" s="689" customFormat="1" x14ac:dyDescent="0.2"/>
    <row r="5597" s="689" customFormat="1" x14ac:dyDescent="0.2"/>
    <row r="5598" s="689" customFormat="1" x14ac:dyDescent="0.2"/>
    <row r="5599" s="689" customFormat="1" x14ac:dyDescent="0.2"/>
    <row r="5600" s="689" customFormat="1" x14ac:dyDescent="0.2"/>
    <row r="5601" s="689" customFormat="1" x14ac:dyDescent="0.2"/>
    <row r="5602" s="689" customFormat="1" x14ac:dyDescent="0.2"/>
    <row r="5603" s="689" customFormat="1" x14ac:dyDescent="0.2"/>
    <row r="5604" s="689" customFormat="1" x14ac:dyDescent="0.2"/>
    <row r="5605" s="689" customFormat="1" x14ac:dyDescent="0.2"/>
    <row r="5606" s="689" customFormat="1" x14ac:dyDescent="0.2"/>
    <row r="5607" s="689" customFormat="1" x14ac:dyDescent="0.2"/>
    <row r="5608" s="689" customFormat="1" x14ac:dyDescent="0.2"/>
    <row r="5609" s="689" customFormat="1" x14ac:dyDescent="0.2"/>
    <row r="5610" s="689" customFormat="1" x14ac:dyDescent="0.2"/>
    <row r="5611" s="689" customFormat="1" x14ac:dyDescent="0.2"/>
    <row r="5612" s="689" customFormat="1" x14ac:dyDescent="0.2"/>
    <row r="5613" s="689" customFormat="1" x14ac:dyDescent="0.2"/>
    <row r="5614" s="689" customFormat="1" x14ac:dyDescent="0.2"/>
    <row r="5615" s="689" customFormat="1" x14ac:dyDescent="0.2"/>
    <row r="5616" s="689" customFormat="1" x14ac:dyDescent="0.2"/>
    <row r="5617" s="689" customFormat="1" x14ac:dyDescent="0.2"/>
    <row r="5618" s="689" customFormat="1" x14ac:dyDescent="0.2"/>
    <row r="5619" s="689" customFormat="1" x14ac:dyDescent="0.2"/>
    <row r="5620" s="689" customFormat="1" x14ac:dyDescent="0.2"/>
    <row r="5621" s="689" customFormat="1" x14ac:dyDescent="0.2"/>
    <row r="5622" s="689" customFormat="1" x14ac:dyDescent="0.2"/>
    <row r="5623" s="689" customFormat="1" x14ac:dyDescent="0.2"/>
    <row r="5624" s="689" customFormat="1" x14ac:dyDescent="0.2"/>
    <row r="5625" s="689" customFormat="1" x14ac:dyDescent="0.2"/>
    <row r="5626" s="689" customFormat="1" x14ac:dyDescent="0.2"/>
    <row r="5627" s="689" customFormat="1" x14ac:dyDescent="0.2"/>
    <row r="5628" s="689" customFormat="1" x14ac:dyDescent="0.2"/>
    <row r="5629" s="689" customFormat="1" x14ac:dyDescent="0.2"/>
    <row r="5630" s="689" customFormat="1" x14ac:dyDescent="0.2"/>
    <row r="5631" s="689" customFormat="1" x14ac:dyDescent="0.2"/>
    <row r="5632" s="689" customFormat="1" x14ac:dyDescent="0.2"/>
    <row r="5633" s="689" customFormat="1" x14ac:dyDescent="0.2"/>
    <row r="5634" s="689" customFormat="1" x14ac:dyDescent="0.2"/>
    <row r="5635" s="689" customFormat="1" x14ac:dyDescent="0.2"/>
    <row r="5636" s="689" customFormat="1" x14ac:dyDescent="0.2"/>
    <row r="5637" s="689" customFormat="1" x14ac:dyDescent="0.2"/>
    <row r="5638" s="689" customFormat="1" x14ac:dyDescent="0.2"/>
    <row r="5639" s="689" customFormat="1" x14ac:dyDescent="0.2"/>
    <row r="5640" s="689" customFormat="1" x14ac:dyDescent="0.2"/>
    <row r="5641" s="689" customFormat="1" x14ac:dyDescent="0.2"/>
    <row r="5642" s="689" customFormat="1" x14ac:dyDescent="0.2"/>
    <row r="5643" s="689" customFormat="1" x14ac:dyDescent="0.2"/>
    <row r="5644" s="689" customFormat="1" x14ac:dyDescent="0.2"/>
    <row r="5645" s="689" customFormat="1" x14ac:dyDescent="0.2"/>
    <row r="5646" s="689" customFormat="1" x14ac:dyDescent="0.2"/>
    <row r="5647" s="689" customFormat="1" x14ac:dyDescent="0.2"/>
    <row r="5648" s="689" customFormat="1" x14ac:dyDescent="0.2"/>
    <row r="5649" s="689" customFormat="1" x14ac:dyDescent="0.2"/>
    <row r="5650" s="689" customFormat="1" x14ac:dyDescent="0.2"/>
    <row r="5651" s="689" customFormat="1" x14ac:dyDescent="0.2"/>
    <row r="5652" s="689" customFormat="1" x14ac:dyDescent="0.2"/>
    <row r="5653" s="689" customFormat="1" x14ac:dyDescent="0.2"/>
    <row r="5654" s="689" customFormat="1" x14ac:dyDescent="0.2"/>
    <row r="5655" s="689" customFormat="1" x14ac:dyDescent="0.2"/>
    <row r="5656" s="689" customFormat="1" x14ac:dyDescent="0.2"/>
    <row r="5657" s="689" customFormat="1" x14ac:dyDescent="0.2"/>
    <row r="5658" s="689" customFormat="1" x14ac:dyDescent="0.2"/>
    <row r="5659" s="689" customFormat="1" x14ac:dyDescent="0.2"/>
    <row r="5660" s="689" customFormat="1" x14ac:dyDescent="0.2"/>
    <row r="5661" s="689" customFormat="1" x14ac:dyDescent="0.2"/>
    <row r="5662" s="689" customFormat="1" x14ac:dyDescent="0.2"/>
    <row r="5663" s="689" customFormat="1" x14ac:dyDescent="0.2"/>
    <row r="5664" s="689" customFormat="1" x14ac:dyDescent="0.2"/>
    <row r="5665" s="689" customFormat="1" x14ac:dyDescent="0.2"/>
    <row r="5666" s="689" customFormat="1" x14ac:dyDescent="0.2"/>
    <row r="5667" s="689" customFormat="1" x14ac:dyDescent="0.2"/>
    <row r="5668" s="689" customFormat="1" x14ac:dyDescent="0.2"/>
    <row r="5669" s="689" customFormat="1" x14ac:dyDescent="0.2"/>
    <row r="5670" s="689" customFormat="1" x14ac:dyDescent="0.2"/>
    <row r="5671" s="689" customFormat="1" x14ac:dyDescent="0.2"/>
    <row r="5672" s="689" customFormat="1" x14ac:dyDescent="0.2"/>
    <row r="5673" s="689" customFormat="1" x14ac:dyDescent="0.2"/>
    <row r="5674" s="689" customFormat="1" x14ac:dyDescent="0.2"/>
    <row r="5675" s="689" customFormat="1" x14ac:dyDescent="0.2"/>
    <row r="5676" s="689" customFormat="1" x14ac:dyDescent="0.2"/>
    <row r="5677" s="689" customFormat="1" x14ac:dyDescent="0.2"/>
    <row r="5678" s="689" customFormat="1" x14ac:dyDescent="0.2"/>
    <row r="5679" s="689" customFormat="1" x14ac:dyDescent="0.2"/>
    <row r="5680" s="689" customFormat="1" x14ac:dyDescent="0.2"/>
    <row r="5681" s="689" customFormat="1" x14ac:dyDescent="0.2"/>
    <row r="5682" s="689" customFormat="1" x14ac:dyDescent="0.2"/>
    <row r="5683" s="689" customFormat="1" x14ac:dyDescent="0.2"/>
    <row r="5684" s="689" customFormat="1" x14ac:dyDescent="0.2"/>
    <row r="5685" s="689" customFormat="1" x14ac:dyDescent="0.2"/>
    <row r="5686" s="689" customFormat="1" x14ac:dyDescent="0.2"/>
    <row r="5687" s="689" customFormat="1" x14ac:dyDescent="0.2"/>
    <row r="5688" s="689" customFormat="1" x14ac:dyDescent="0.2"/>
    <row r="5689" s="689" customFormat="1" x14ac:dyDescent="0.2"/>
    <row r="5690" s="689" customFormat="1" x14ac:dyDescent="0.2"/>
    <row r="5691" s="689" customFormat="1" x14ac:dyDescent="0.2"/>
    <row r="5692" s="689" customFormat="1" x14ac:dyDescent="0.2"/>
    <row r="5693" s="689" customFormat="1" x14ac:dyDescent="0.2"/>
    <row r="5694" s="689" customFormat="1" x14ac:dyDescent="0.2"/>
    <row r="5695" s="689" customFormat="1" x14ac:dyDescent="0.2"/>
    <row r="5696" s="689" customFormat="1" x14ac:dyDescent="0.2"/>
    <row r="5697" s="689" customFormat="1" x14ac:dyDescent="0.2"/>
    <row r="5698" s="689" customFormat="1" x14ac:dyDescent="0.2"/>
    <row r="5699" s="689" customFormat="1" x14ac:dyDescent="0.2"/>
    <row r="5700" s="689" customFormat="1" x14ac:dyDescent="0.2"/>
    <row r="5701" s="689" customFormat="1" x14ac:dyDescent="0.2"/>
    <row r="5702" s="689" customFormat="1" x14ac:dyDescent="0.2"/>
    <row r="5703" s="689" customFormat="1" x14ac:dyDescent="0.2"/>
    <row r="5704" s="689" customFormat="1" x14ac:dyDescent="0.2"/>
    <row r="5705" s="689" customFormat="1" x14ac:dyDescent="0.2"/>
    <row r="5706" s="689" customFormat="1" x14ac:dyDescent="0.2"/>
    <row r="5707" s="689" customFormat="1" x14ac:dyDescent="0.2"/>
    <row r="5708" s="689" customFormat="1" x14ac:dyDescent="0.2"/>
    <row r="5709" s="689" customFormat="1" x14ac:dyDescent="0.2"/>
    <row r="5710" s="689" customFormat="1" x14ac:dyDescent="0.2"/>
    <row r="5711" s="689" customFormat="1" x14ac:dyDescent="0.2"/>
    <row r="5712" s="689" customFormat="1" x14ac:dyDescent="0.2"/>
    <row r="5713" s="689" customFormat="1" x14ac:dyDescent="0.2"/>
    <row r="5714" s="689" customFormat="1" x14ac:dyDescent="0.2"/>
    <row r="5715" s="689" customFormat="1" x14ac:dyDescent="0.2"/>
    <row r="5716" s="689" customFormat="1" x14ac:dyDescent="0.2"/>
    <row r="5717" s="689" customFormat="1" x14ac:dyDescent="0.2"/>
    <row r="5718" s="689" customFormat="1" x14ac:dyDescent="0.2"/>
    <row r="5719" s="689" customFormat="1" x14ac:dyDescent="0.2"/>
    <row r="5720" s="689" customFormat="1" x14ac:dyDescent="0.2"/>
    <row r="5721" s="689" customFormat="1" x14ac:dyDescent="0.2"/>
    <row r="5722" s="689" customFormat="1" x14ac:dyDescent="0.2"/>
    <row r="5723" s="689" customFormat="1" x14ac:dyDescent="0.2"/>
    <row r="5724" s="689" customFormat="1" x14ac:dyDescent="0.2"/>
    <row r="5725" s="689" customFormat="1" x14ac:dyDescent="0.2"/>
    <row r="5726" s="689" customFormat="1" x14ac:dyDescent="0.2"/>
    <row r="5727" s="689" customFormat="1" x14ac:dyDescent="0.2"/>
    <row r="5728" s="689" customFormat="1" x14ac:dyDescent="0.2"/>
    <row r="5729" s="689" customFormat="1" x14ac:dyDescent="0.2"/>
    <row r="5730" s="689" customFormat="1" x14ac:dyDescent="0.2"/>
    <row r="5731" s="689" customFormat="1" x14ac:dyDescent="0.2"/>
    <row r="5732" s="689" customFormat="1" x14ac:dyDescent="0.2"/>
    <row r="5733" s="689" customFormat="1" x14ac:dyDescent="0.2"/>
    <row r="5734" s="689" customFormat="1" x14ac:dyDescent="0.2"/>
    <row r="5735" s="689" customFormat="1" x14ac:dyDescent="0.2"/>
    <row r="5736" s="689" customFormat="1" x14ac:dyDescent="0.2"/>
    <row r="5737" s="689" customFormat="1" x14ac:dyDescent="0.2"/>
    <row r="5738" s="689" customFormat="1" x14ac:dyDescent="0.2"/>
    <row r="5739" s="689" customFormat="1" x14ac:dyDescent="0.2"/>
    <row r="5740" s="689" customFormat="1" x14ac:dyDescent="0.2"/>
    <row r="5741" s="689" customFormat="1" x14ac:dyDescent="0.2"/>
    <row r="5742" s="689" customFormat="1" x14ac:dyDescent="0.2"/>
    <row r="5743" s="689" customFormat="1" x14ac:dyDescent="0.2"/>
    <row r="5744" s="689" customFormat="1" x14ac:dyDescent="0.2"/>
    <row r="5745" s="689" customFormat="1" x14ac:dyDescent="0.2"/>
    <row r="5746" s="689" customFormat="1" x14ac:dyDescent="0.2"/>
    <row r="5747" s="689" customFormat="1" x14ac:dyDescent="0.2"/>
    <row r="5748" s="689" customFormat="1" x14ac:dyDescent="0.2"/>
    <row r="5749" s="689" customFormat="1" x14ac:dyDescent="0.2"/>
    <row r="5750" s="689" customFormat="1" x14ac:dyDescent="0.2"/>
    <row r="5751" s="689" customFormat="1" x14ac:dyDescent="0.2"/>
    <row r="5752" s="689" customFormat="1" x14ac:dyDescent="0.2"/>
    <row r="5753" s="689" customFormat="1" x14ac:dyDescent="0.2"/>
    <row r="5754" s="689" customFormat="1" x14ac:dyDescent="0.2"/>
    <row r="5755" s="689" customFormat="1" x14ac:dyDescent="0.2"/>
    <row r="5756" s="689" customFormat="1" x14ac:dyDescent="0.2"/>
    <row r="5757" s="689" customFormat="1" x14ac:dyDescent="0.2"/>
    <row r="5758" s="689" customFormat="1" x14ac:dyDescent="0.2"/>
    <row r="5759" s="689" customFormat="1" x14ac:dyDescent="0.2"/>
    <row r="5760" s="689" customFormat="1" x14ac:dyDescent="0.2"/>
    <row r="5761" s="689" customFormat="1" x14ac:dyDescent="0.2"/>
    <row r="5762" s="689" customFormat="1" x14ac:dyDescent="0.2"/>
    <row r="5763" s="689" customFormat="1" x14ac:dyDescent="0.2"/>
    <row r="5764" s="689" customFormat="1" x14ac:dyDescent="0.2"/>
    <row r="5765" s="689" customFormat="1" x14ac:dyDescent="0.2"/>
    <row r="5766" s="689" customFormat="1" x14ac:dyDescent="0.2"/>
    <row r="5767" s="689" customFormat="1" x14ac:dyDescent="0.2"/>
    <row r="5768" s="689" customFormat="1" x14ac:dyDescent="0.2"/>
    <row r="5769" s="689" customFormat="1" x14ac:dyDescent="0.2"/>
    <row r="5770" s="689" customFormat="1" x14ac:dyDescent="0.2"/>
    <row r="5771" s="689" customFormat="1" x14ac:dyDescent="0.2"/>
    <row r="5772" s="689" customFormat="1" x14ac:dyDescent="0.2"/>
    <row r="5773" s="689" customFormat="1" x14ac:dyDescent="0.2"/>
    <row r="5774" s="689" customFormat="1" x14ac:dyDescent="0.2"/>
    <row r="5775" s="689" customFormat="1" x14ac:dyDescent="0.2"/>
    <row r="5776" s="689" customFormat="1" x14ac:dyDescent="0.2"/>
    <row r="5777" s="689" customFormat="1" x14ac:dyDescent="0.2"/>
    <row r="5778" s="689" customFormat="1" x14ac:dyDescent="0.2"/>
    <row r="5779" s="689" customFormat="1" x14ac:dyDescent="0.2"/>
    <row r="5780" s="689" customFormat="1" x14ac:dyDescent="0.2"/>
    <row r="5781" s="689" customFormat="1" x14ac:dyDescent="0.2"/>
    <row r="5782" s="689" customFormat="1" x14ac:dyDescent="0.2"/>
    <row r="5783" s="689" customFormat="1" x14ac:dyDescent="0.2"/>
    <row r="5784" s="689" customFormat="1" x14ac:dyDescent="0.2"/>
    <row r="5785" s="689" customFormat="1" x14ac:dyDescent="0.2"/>
    <row r="5786" s="689" customFormat="1" x14ac:dyDescent="0.2"/>
    <row r="5787" s="689" customFormat="1" x14ac:dyDescent="0.2"/>
    <row r="5788" s="689" customFormat="1" x14ac:dyDescent="0.2"/>
    <row r="5789" s="689" customFormat="1" x14ac:dyDescent="0.2"/>
    <row r="5790" s="689" customFormat="1" x14ac:dyDescent="0.2"/>
    <row r="5791" s="689" customFormat="1" x14ac:dyDescent="0.2"/>
    <row r="5792" s="689" customFormat="1" x14ac:dyDescent="0.2"/>
    <row r="5793" s="689" customFormat="1" x14ac:dyDescent="0.2"/>
    <row r="5794" s="689" customFormat="1" x14ac:dyDescent="0.2"/>
    <row r="5795" s="689" customFormat="1" x14ac:dyDescent="0.2"/>
    <row r="5796" s="689" customFormat="1" x14ac:dyDescent="0.2"/>
    <row r="5797" s="689" customFormat="1" x14ac:dyDescent="0.2"/>
    <row r="5798" s="689" customFormat="1" x14ac:dyDescent="0.2"/>
    <row r="5799" s="689" customFormat="1" x14ac:dyDescent="0.2"/>
    <row r="5800" s="689" customFormat="1" x14ac:dyDescent="0.2"/>
    <row r="5801" s="689" customFormat="1" x14ac:dyDescent="0.2"/>
    <row r="5802" s="689" customFormat="1" x14ac:dyDescent="0.2"/>
    <row r="5803" s="689" customFormat="1" x14ac:dyDescent="0.2"/>
    <row r="5804" s="689" customFormat="1" x14ac:dyDescent="0.2"/>
    <row r="5805" s="689" customFormat="1" x14ac:dyDescent="0.2"/>
    <row r="5806" s="689" customFormat="1" x14ac:dyDescent="0.2"/>
    <row r="5807" s="689" customFormat="1" x14ac:dyDescent="0.2"/>
    <row r="5808" s="689" customFormat="1" x14ac:dyDescent="0.2"/>
    <row r="5809" s="689" customFormat="1" x14ac:dyDescent="0.2"/>
    <row r="5810" s="689" customFormat="1" x14ac:dyDescent="0.2"/>
    <row r="5811" s="689" customFormat="1" x14ac:dyDescent="0.2"/>
    <row r="5812" s="689" customFormat="1" x14ac:dyDescent="0.2"/>
    <row r="5813" s="689" customFormat="1" x14ac:dyDescent="0.2"/>
    <row r="5814" s="689" customFormat="1" x14ac:dyDescent="0.2"/>
    <row r="5815" s="689" customFormat="1" x14ac:dyDescent="0.2"/>
    <row r="5816" s="689" customFormat="1" x14ac:dyDescent="0.2"/>
    <row r="5817" s="689" customFormat="1" x14ac:dyDescent="0.2"/>
    <row r="5818" s="689" customFormat="1" x14ac:dyDescent="0.2"/>
    <row r="5819" s="689" customFormat="1" x14ac:dyDescent="0.2"/>
    <row r="5820" s="689" customFormat="1" x14ac:dyDescent="0.2"/>
    <row r="5821" s="689" customFormat="1" x14ac:dyDescent="0.2"/>
    <row r="5822" s="689" customFormat="1" x14ac:dyDescent="0.2"/>
    <row r="5823" s="689" customFormat="1" x14ac:dyDescent="0.2"/>
    <row r="5824" s="689" customFormat="1" x14ac:dyDescent="0.2"/>
    <row r="5825" s="689" customFormat="1" x14ac:dyDescent="0.2"/>
    <row r="5826" s="689" customFormat="1" x14ac:dyDescent="0.2"/>
    <row r="5827" s="689" customFormat="1" x14ac:dyDescent="0.2"/>
    <row r="5828" s="689" customFormat="1" x14ac:dyDescent="0.2"/>
    <row r="5829" s="689" customFormat="1" x14ac:dyDescent="0.2"/>
    <row r="5830" s="689" customFormat="1" x14ac:dyDescent="0.2"/>
    <row r="5831" s="689" customFormat="1" x14ac:dyDescent="0.2"/>
    <row r="5832" s="689" customFormat="1" x14ac:dyDescent="0.2"/>
    <row r="5833" s="689" customFormat="1" x14ac:dyDescent="0.2"/>
    <row r="5834" s="689" customFormat="1" x14ac:dyDescent="0.2"/>
    <row r="5835" s="689" customFormat="1" x14ac:dyDescent="0.2"/>
    <row r="5836" s="689" customFormat="1" x14ac:dyDescent="0.2"/>
    <row r="5837" s="689" customFormat="1" x14ac:dyDescent="0.2"/>
    <row r="5838" s="689" customFormat="1" x14ac:dyDescent="0.2"/>
    <row r="5839" s="689" customFormat="1" x14ac:dyDescent="0.2"/>
    <row r="5840" s="689" customFormat="1" x14ac:dyDescent="0.2"/>
    <row r="5841" s="689" customFormat="1" x14ac:dyDescent="0.2"/>
    <row r="5842" s="689" customFormat="1" x14ac:dyDescent="0.2"/>
    <row r="5843" s="689" customFormat="1" x14ac:dyDescent="0.2"/>
    <row r="5844" s="689" customFormat="1" x14ac:dyDescent="0.2"/>
    <row r="5845" s="689" customFormat="1" x14ac:dyDescent="0.2"/>
    <row r="5846" s="689" customFormat="1" x14ac:dyDescent="0.2"/>
    <row r="5847" s="689" customFormat="1" x14ac:dyDescent="0.2"/>
    <row r="5848" s="689" customFormat="1" x14ac:dyDescent="0.2"/>
    <row r="5849" s="689" customFormat="1" x14ac:dyDescent="0.2"/>
    <row r="5850" s="689" customFormat="1" x14ac:dyDescent="0.2"/>
    <row r="5851" s="689" customFormat="1" x14ac:dyDescent="0.2"/>
    <row r="5852" s="689" customFormat="1" x14ac:dyDescent="0.2"/>
    <row r="5853" s="689" customFormat="1" x14ac:dyDescent="0.2"/>
    <row r="5854" s="689" customFormat="1" x14ac:dyDescent="0.2"/>
    <row r="5855" s="689" customFormat="1" x14ac:dyDescent="0.2"/>
    <row r="5856" s="689" customFormat="1" x14ac:dyDescent="0.2"/>
    <row r="5857" s="689" customFormat="1" x14ac:dyDescent="0.2"/>
    <row r="5858" s="689" customFormat="1" x14ac:dyDescent="0.2"/>
    <row r="5859" s="689" customFormat="1" x14ac:dyDescent="0.2"/>
    <row r="5860" s="689" customFormat="1" x14ac:dyDescent="0.2"/>
    <row r="5861" s="689" customFormat="1" x14ac:dyDescent="0.2"/>
    <row r="5862" s="689" customFormat="1" x14ac:dyDescent="0.2"/>
    <row r="5863" s="689" customFormat="1" x14ac:dyDescent="0.2"/>
    <row r="5864" s="689" customFormat="1" x14ac:dyDescent="0.2"/>
    <row r="5865" s="689" customFormat="1" x14ac:dyDescent="0.2"/>
    <row r="5866" s="689" customFormat="1" x14ac:dyDescent="0.2"/>
    <row r="5867" s="689" customFormat="1" x14ac:dyDescent="0.2"/>
    <row r="5868" s="689" customFormat="1" x14ac:dyDescent="0.2"/>
    <row r="5869" s="689" customFormat="1" x14ac:dyDescent="0.2"/>
    <row r="5870" s="689" customFormat="1" x14ac:dyDescent="0.2"/>
    <row r="5871" s="689" customFormat="1" x14ac:dyDescent="0.2"/>
    <row r="5872" s="689" customFormat="1" x14ac:dyDescent="0.2"/>
    <row r="5873" s="689" customFormat="1" x14ac:dyDescent="0.2"/>
    <row r="5874" s="689" customFormat="1" x14ac:dyDescent="0.2"/>
    <row r="5875" s="689" customFormat="1" x14ac:dyDescent="0.2"/>
    <row r="5876" s="689" customFormat="1" x14ac:dyDescent="0.2"/>
    <row r="5877" s="689" customFormat="1" x14ac:dyDescent="0.2"/>
    <row r="5878" s="689" customFormat="1" x14ac:dyDescent="0.2"/>
    <row r="5879" s="689" customFormat="1" x14ac:dyDescent="0.2"/>
    <row r="5880" s="689" customFormat="1" x14ac:dyDescent="0.2"/>
    <row r="5881" s="689" customFormat="1" x14ac:dyDescent="0.2"/>
    <row r="5882" s="689" customFormat="1" x14ac:dyDescent="0.2"/>
    <row r="5883" s="689" customFormat="1" x14ac:dyDescent="0.2"/>
    <row r="5884" s="689" customFormat="1" x14ac:dyDescent="0.2"/>
    <row r="5885" s="689" customFormat="1" x14ac:dyDescent="0.2"/>
    <row r="5886" s="689" customFormat="1" x14ac:dyDescent="0.2"/>
    <row r="5887" s="689" customFormat="1" x14ac:dyDescent="0.2"/>
    <row r="5888" s="689" customFormat="1" x14ac:dyDescent="0.2"/>
    <row r="5889" s="689" customFormat="1" x14ac:dyDescent="0.2"/>
    <row r="5890" s="689" customFormat="1" x14ac:dyDescent="0.2"/>
    <row r="5891" s="689" customFormat="1" x14ac:dyDescent="0.2"/>
    <row r="5892" s="689" customFormat="1" x14ac:dyDescent="0.2"/>
    <row r="5893" s="689" customFormat="1" x14ac:dyDescent="0.2"/>
    <row r="5894" s="689" customFormat="1" x14ac:dyDescent="0.2"/>
    <row r="5895" s="689" customFormat="1" x14ac:dyDescent="0.2"/>
    <row r="5896" s="689" customFormat="1" x14ac:dyDescent="0.2"/>
    <row r="5897" s="689" customFormat="1" x14ac:dyDescent="0.2"/>
    <row r="5898" s="689" customFormat="1" x14ac:dyDescent="0.2"/>
    <row r="5899" s="689" customFormat="1" x14ac:dyDescent="0.2"/>
    <row r="5900" s="689" customFormat="1" x14ac:dyDescent="0.2"/>
    <row r="5901" s="689" customFormat="1" x14ac:dyDescent="0.2"/>
    <row r="5902" s="689" customFormat="1" x14ac:dyDescent="0.2"/>
    <row r="5903" s="689" customFormat="1" x14ac:dyDescent="0.2"/>
    <row r="5904" s="689" customFormat="1" x14ac:dyDescent="0.2"/>
    <row r="5905" s="689" customFormat="1" x14ac:dyDescent="0.2"/>
    <row r="5906" s="689" customFormat="1" x14ac:dyDescent="0.2"/>
    <row r="5907" s="689" customFormat="1" x14ac:dyDescent="0.2"/>
    <row r="5908" s="689" customFormat="1" x14ac:dyDescent="0.2"/>
    <row r="5909" s="689" customFormat="1" x14ac:dyDescent="0.2"/>
    <row r="5910" s="689" customFormat="1" x14ac:dyDescent="0.2"/>
    <row r="5911" s="689" customFormat="1" x14ac:dyDescent="0.2"/>
    <row r="5912" s="689" customFormat="1" x14ac:dyDescent="0.2"/>
    <row r="5913" s="689" customFormat="1" x14ac:dyDescent="0.2"/>
    <row r="5914" s="689" customFormat="1" x14ac:dyDescent="0.2"/>
    <row r="5915" s="689" customFormat="1" x14ac:dyDescent="0.2"/>
    <row r="5916" s="689" customFormat="1" x14ac:dyDescent="0.2"/>
    <row r="5917" s="689" customFormat="1" x14ac:dyDescent="0.2"/>
    <row r="5918" s="689" customFormat="1" x14ac:dyDescent="0.2"/>
    <row r="5919" s="689" customFormat="1" x14ac:dyDescent="0.2"/>
    <row r="5920" s="689" customFormat="1" x14ac:dyDescent="0.2"/>
    <row r="5921" s="689" customFormat="1" x14ac:dyDescent="0.2"/>
    <row r="5922" s="689" customFormat="1" x14ac:dyDescent="0.2"/>
    <row r="5923" s="689" customFormat="1" x14ac:dyDescent="0.2"/>
    <row r="5924" s="689" customFormat="1" x14ac:dyDescent="0.2"/>
    <row r="5925" s="689" customFormat="1" x14ac:dyDescent="0.2"/>
    <row r="5926" s="689" customFormat="1" x14ac:dyDescent="0.2"/>
    <row r="5927" s="689" customFormat="1" x14ac:dyDescent="0.2"/>
    <row r="5928" s="689" customFormat="1" x14ac:dyDescent="0.2"/>
    <row r="5929" s="689" customFormat="1" x14ac:dyDescent="0.2"/>
    <row r="5930" s="689" customFormat="1" x14ac:dyDescent="0.2"/>
    <row r="5931" s="689" customFormat="1" x14ac:dyDescent="0.2"/>
    <row r="5932" s="689" customFormat="1" x14ac:dyDescent="0.2"/>
    <row r="5933" s="689" customFormat="1" x14ac:dyDescent="0.2"/>
    <row r="5934" s="689" customFormat="1" x14ac:dyDescent="0.2"/>
    <row r="5935" s="689" customFormat="1" x14ac:dyDescent="0.2"/>
    <row r="5936" s="689" customFormat="1" x14ac:dyDescent="0.2"/>
    <row r="5937" s="689" customFormat="1" x14ac:dyDescent="0.2"/>
    <row r="5938" s="689" customFormat="1" x14ac:dyDescent="0.2"/>
    <row r="5939" s="689" customFormat="1" x14ac:dyDescent="0.2"/>
    <row r="5940" s="689" customFormat="1" x14ac:dyDescent="0.2"/>
    <row r="5941" s="689" customFormat="1" x14ac:dyDescent="0.2"/>
    <row r="5942" s="689" customFormat="1" x14ac:dyDescent="0.2"/>
    <row r="5943" s="689" customFormat="1" x14ac:dyDescent="0.2"/>
    <row r="5944" s="689" customFormat="1" x14ac:dyDescent="0.2"/>
    <row r="5945" s="689" customFormat="1" x14ac:dyDescent="0.2"/>
    <row r="5946" s="689" customFormat="1" x14ac:dyDescent="0.2"/>
    <row r="5947" s="689" customFormat="1" x14ac:dyDescent="0.2"/>
    <row r="5948" s="689" customFormat="1" x14ac:dyDescent="0.2"/>
    <row r="5949" s="689" customFormat="1" x14ac:dyDescent="0.2"/>
    <row r="5950" s="689" customFormat="1" x14ac:dyDescent="0.2"/>
    <row r="5951" s="689" customFormat="1" x14ac:dyDescent="0.2"/>
    <row r="5952" s="689" customFormat="1" x14ac:dyDescent="0.2"/>
    <row r="5953" s="689" customFormat="1" x14ac:dyDescent="0.2"/>
    <row r="5954" s="689" customFormat="1" x14ac:dyDescent="0.2"/>
    <row r="5955" s="689" customFormat="1" x14ac:dyDescent="0.2"/>
    <row r="5956" s="689" customFormat="1" x14ac:dyDescent="0.2"/>
    <row r="5957" s="689" customFormat="1" x14ac:dyDescent="0.2"/>
    <row r="5958" s="689" customFormat="1" x14ac:dyDescent="0.2"/>
    <row r="5959" s="689" customFormat="1" x14ac:dyDescent="0.2"/>
    <row r="5960" s="689" customFormat="1" x14ac:dyDescent="0.2"/>
    <row r="5961" s="689" customFormat="1" x14ac:dyDescent="0.2"/>
    <row r="5962" s="689" customFormat="1" x14ac:dyDescent="0.2"/>
    <row r="5963" s="689" customFormat="1" x14ac:dyDescent="0.2"/>
    <row r="5964" s="689" customFormat="1" x14ac:dyDescent="0.2"/>
    <row r="5965" s="689" customFormat="1" x14ac:dyDescent="0.2"/>
    <row r="5966" s="689" customFormat="1" x14ac:dyDescent="0.2"/>
    <row r="5967" s="689" customFormat="1" x14ac:dyDescent="0.2"/>
    <row r="5968" s="689" customFormat="1" x14ac:dyDescent="0.2"/>
    <row r="5969" s="689" customFormat="1" x14ac:dyDescent="0.2"/>
    <row r="5970" s="689" customFormat="1" x14ac:dyDescent="0.2"/>
    <row r="5971" s="689" customFormat="1" x14ac:dyDescent="0.2"/>
    <row r="5972" s="689" customFormat="1" x14ac:dyDescent="0.2"/>
    <row r="5973" s="689" customFormat="1" x14ac:dyDescent="0.2"/>
    <row r="5974" s="689" customFormat="1" x14ac:dyDescent="0.2"/>
    <row r="5975" s="689" customFormat="1" x14ac:dyDescent="0.2"/>
    <row r="5976" s="689" customFormat="1" x14ac:dyDescent="0.2"/>
    <row r="5977" s="689" customFormat="1" x14ac:dyDescent="0.2"/>
    <row r="5978" s="689" customFormat="1" x14ac:dyDescent="0.2"/>
    <row r="5979" s="689" customFormat="1" x14ac:dyDescent="0.2"/>
    <row r="5980" s="689" customFormat="1" x14ac:dyDescent="0.2"/>
    <row r="5981" s="689" customFormat="1" x14ac:dyDescent="0.2"/>
    <row r="5982" s="689" customFormat="1" x14ac:dyDescent="0.2"/>
    <row r="5983" s="689" customFormat="1" x14ac:dyDescent="0.2"/>
    <row r="5984" s="689" customFormat="1" x14ac:dyDescent="0.2"/>
    <row r="5985" s="689" customFormat="1" x14ac:dyDescent="0.2"/>
    <row r="5986" s="689" customFormat="1" x14ac:dyDescent="0.2"/>
    <row r="5987" s="689" customFormat="1" x14ac:dyDescent="0.2"/>
    <row r="5988" s="689" customFormat="1" x14ac:dyDescent="0.2"/>
    <row r="5989" s="689" customFormat="1" x14ac:dyDescent="0.2"/>
    <row r="5990" s="689" customFormat="1" x14ac:dyDescent="0.2"/>
    <row r="5991" s="689" customFormat="1" x14ac:dyDescent="0.2"/>
    <row r="5992" s="689" customFormat="1" x14ac:dyDescent="0.2"/>
    <row r="5993" s="689" customFormat="1" x14ac:dyDescent="0.2"/>
    <row r="5994" s="689" customFormat="1" x14ac:dyDescent="0.2"/>
    <row r="5995" s="689" customFormat="1" x14ac:dyDescent="0.2"/>
    <row r="5996" s="689" customFormat="1" x14ac:dyDescent="0.2"/>
    <row r="5997" s="689" customFormat="1" x14ac:dyDescent="0.2"/>
    <row r="5998" s="689" customFormat="1" x14ac:dyDescent="0.2"/>
    <row r="5999" s="689" customFormat="1" x14ac:dyDescent="0.2"/>
    <row r="6000" s="689" customFormat="1" x14ac:dyDescent="0.2"/>
    <row r="6001" s="689" customFormat="1" x14ac:dyDescent="0.2"/>
    <row r="6002" s="689" customFormat="1" x14ac:dyDescent="0.2"/>
    <row r="6003" s="689" customFormat="1" x14ac:dyDescent="0.2"/>
    <row r="6004" s="689" customFormat="1" x14ac:dyDescent="0.2"/>
    <row r="6005" s="689" customFormat="1" x14ac:dyDescent="0.2"/>
    <row r="6006" s="689" customFormat="1" x14ac:dyDescent="0.2"/>
    <row r="6007" s="689" customFormat="1" x14ac:dyDescent="0.2"/>
    <row r="6008" s="689" customFormat="1" x14ac:dyDescent="0.2"/>
    <row r="6009" s="689" customFormat="1" x14ac:dyDescent="0.2"/>
    <row r="6010" s="689" customFormat="1" x14ac:dyDescent="0.2"/>
    <row r="6011" s="689" customFormat="1" x14ac:dyDescent="0.2"/>
    <row r="6012" s="689" customFormat="1" x14ac:dyDescent="0.2"/>
    <row r="6013" s="689" customFormat="1" x14ac:dyDescent="0.2"/>
    <row r="6014" s="689" customFormat="1" x14ac:dyDescent="0.2"/>
    <row r="6015" s="689" customFormat="1" x14ac:dyDescent="0.2"/>
    <row r="6016" s="689" customFormat="1" x14ac:dyDescent="0.2"/>
    <row r="6017" s="689" customFormat="1" x14ac:dyDescent="0.2"/>
    <row r="6018" s="689" customFormat="1" x14ac:dyDescent="0.2"/>
    <row r="6019" s="689" customFormat="1" x14ac:dyDescent="0.2"/>
    <row r="6020" s="689" customFormat="1" x14ac:dyDescent="0.2"/>
    <row r="6021" s="689" customFormat="1" x14ac:dyDescent="0.2"/>
    <row r="6022" s="689" customFormat="1" x14ac:dyDescent="0.2"/>
    <row r="6023" s="689" customFormat="1" x14ac:dyDescent="0.2"/>
    <row r="6024" s="689" customFormat="1" x14ac:dyDescent="0.2"/>
    <row r="6025" s="689" customFormat="1" x14ac:dyDescent="0.2"/>
    <row r="6026" s="689" customFormat="1" x14ac:dyDescent="0.2"/>
    <row r="6027" s="689" customFormat="1" x14ac:dyDescent="0.2"/>
    <row r="6028" s="689" customFormat="1" x14ac:dyDescent="0.2"/>
    <row r="6029" s="689" customFormat="1" x14ac:dyDescent="0.2"/>
    <row r="6030" s="689" customFormat="1" x14ac:dyDescent="0.2"/>
    <row r="6031" s="689" customFormat="1" x14ac:dyDescent="0.2"/>
    <row r="6032" s="689" customFormat="1" x14ac:dyDescent="0.2"/>
    <row r="6033" s="689" customFormat="1" x14ac:dyDescent="0.2"/>
    <row r="6034" s="689" customFormat="1" x14ac:dyDescent="0.2"/>
    <row r="6035" s="689" customFormat="1" x14ac:dyDescent="0.2"/>
    <row r="6036" s="689" customFormat="1" x14ac:dyDescent="0.2"/>
    <row r="6037" s="689" customFormat="1" x14ac:dyDescent="0.2"/>
    <row r="6038" s="689" customFormat="1" x14ac:dyDescent="0.2"/>
    <row r="6039" s="689" customFormat="1" x14ac:dyDescent="0.2"/>
    <row r="6040" s="689" customFormat="1" x14ac:dyDescent="0.2"/>
    <row r="6041" s="689" customFormat="1" x14ac:dyDescent="0.2"/>
    <row r="6042" s="689" customFormat="1" x14ac:dyDescent="0.2"/>
    <row r="6043" s="689" customFormat="1" x14ac:dyDescent="0.2"/>
    <row r="6044" s="689" customFormat="1" x14ac:dyDescent="0.2"/>
    <row r="6045" s="689" customFormat="1" x14ac:dyDescent="0.2"/>
    <row r="6046" s="689" customFormat="1" x14ac:dyDescent="0.2"/>
    <row r="6047" s="689" customFormat="1" x14ac:dyDescent="0.2"/>
    <row r="6048" s="689" customFormat="1" x14ac:dyDescent="0.2"/>
    <row r="6049" s="689" customFormat="1" x14ac:dyDescent="0.2"/>
    <row r="6050" s="689" customFormat="1" x14ac:dyDescent="0.2"/>
    <row r="6051" s="689" customFormat="1" x14ac:dyDescent="0.2"/>
    <row r="6052" s="689" customFormat="1" x14ac:dyDescent="0.2"/>
    <row r="6053" s="689" customFormat="1" x14ac:dyDescent="0.2"/>
    <row r="6054" s="689" customFormat="1" x14ac:dyDescent="0.2"/>
    <row r="6055" s="689" customFormat="1" x14ac:dyDescent="0.2"/>
    <row r="6056" s="689" customFormat="1" x14ac:dyDescent="0.2"/>
    <row r="6057" s="689" customFormat="1" x14ac:dyDescent="0.2"/>
    <row r="6058" s="689" customFormat="1" x14ac:dyDescent="0.2"/>
    <row r="6059" s="689" customFormat="1" x14ac:dyDescent="0.2"/>
    <row r="6060" s="689" customFormat="1" x14ac:dyDescent="0.2"/>
    <row r="6061" s="689" customFormat="1" x14ac:dyDescent="0.2"/>
    <row r="6062" s="689" customFormat="1" x14ac:dyDescent="0.2"/>
    <row r="6063" s="689" customFormat="1" x14ac:dyDescent="0.2"/>
    <row r="6064" s="689" customFormat="1" x14ac:dyDescent="0.2"/>
    <row r="6065" s="689" customFormat="1" x14ac:dyDescent="0.2"/>
    <row r="6066" s="689" customFormat="1" x14ac:dyDescent="0.2"/>
    <row r="6067" s="689" customFormat="1" x14ac:dyDescent="0.2"/>
    <row r="6068" s="689" customFormat="1" x14ac:dyDescent="0.2"/>
    <row r="6069" s="689" customFormat="1" x14ac:dyDescent="0.2"/>
    <row r="6070" s="689" customFormat="1" x14ac:dyDescent="0.2"/>
    <row r="6071" s="689" customFormat="1" x14ac:dyDescent="0.2"/>
    <row r="6072" s="689" customFormat="1" x14ac:dyDescent="0.2"/>
    <row r="6073" s="689" customFormat="1" x14ac:dyDescent="0.2"/>
    <row r="6074" s="689" customFormat="1" x14ac:dyDescent="0.2"/>
    <row r="6075" s="689" customFormat="1" x14ac:dyDescent="0.2"/>
    <row r="6076" s="689" customFormat="1" x14ac:dyDescent="0.2"/>
    <row r="6077" s="689" customFormat="1" x14ac:dyDescent="0.2"/>
    <row r="6078" s="689" customFormat="1" x14ac:dyDescent="0.2"/>
    <row r="6079" s="689" customFormat="1" x14ac:dyDescent="0.2"/>
    <row r="6080" s="689" customFormat="1" x14ac:dyDescent="0.2"/>
    <row r="6081" s="689" customFormat="1" x14ac:dyDescent="0.2"/>
    <row r="6082" s="689" customFormat="1" x14ac:dyDescent="0.2"/>
    <row r="6083" s="689" customFormat="1" x14ac:dyDescent="0.2"/>
    <row r="6084" s="689" customFormat="1" x14ac:dyDescent="0.2"/>
    <row r="6085" s="689" customFormat="1" x14ac:dyDescent="0.2"/>
    <row r="6086" s="689" customFormat="1" x14ac:dyDescent="0.2"/>
    <row r="6087" s="689" customFormat="1" x14ac:dyDescent="0.2"/>
    <row r="6088" s="689" customFormat="1" x14ac:dyDescent="0.2"/>
    <row r="6089" s="689" customFormat="1" x14ac:dyDescent="0.2"/>
    <row r="6090" s="689" customFormat="1" x14ac:dyDescent="0.2"/>
    <row r="6091" s="689" customFormat="1" x14ac:dyDescent="0.2"/>
    <row r="6092" s="689" customFormat="1" x14ac:dyDescent="0.2"/>
    <row r="6093" s="689" customFormat="1" x14ac:dyDescent="0.2"/>
    <row r="6094" s="689" customFormat="1" x14ac:dyDescent="0.2"/>
    <row r="6095" s="689" customFormat="1" x14ac:dyDescent="0.2"/>
    <row r="6096" s="689" customFormat="1" x14ac:dyDescent="0.2"/>
    <row r="6097" s="689" customFormat="1" x14ac:dyDescent="0.2"/>
    <row r="6098" s="689" customFormat="1" x14ac:dyDescent="0.2"/>
    <row r="6099" s="689" customFormat="1" x14ac:dyDescent="0.2"/>
    <row r="6100" s="689" customFormat="1" x14ac:dyDescent="0.2"/>
    <row r="6101" s="689" customFormat="1" x14ac:dyDescent="0.2"/>
    <row r="6102" s="689" customFormat="1" x14ac:dyDescent="0.2"/>
    <row r="6103" s="689" customFormat="1" x14ac:dyDescent="0.2"/>
    <row r="6104" s="689" customFormat="1" x14ac:dyDescent="0.2"/>
    <row r="6105" s="689" customFormat="1" x14ac:dyDescent="0.2"/>
    <row r="6106" s="689" customFormat="1" x14ac:dyDescent="0.2"/>
    <row r="6107" s="689" customFormat="1" x14ac:dyDescent="0.2"/>
    <row r="6108" s="689" customFormat="1" x14ac:dyDescent="0.2"/>
    <row r="6109" s="689" customFormat="1" x14ac:dyDescent="0.2"/>
    <row r="6110" s="689" customFormat="1" x14ac:dyDescent="0.2"/>
    <row r="6111" s="689" customFormat="1" x14ac:dyDescent="0.2"/>
    <row r="6112" s="689" customFormat="1" x14ac:dyDescent="0.2"/>
    <row r="6113" s="689" customFormat="1" x14ac:dyDescent="0.2"/>
    <row r="6114" s="689" customFormat="1" x14ac:dyDescent="0.2"/>
    <row r="6115" s="689" customFormat="1" x14ac:dyDescent="0.2"/>
    <row r="6116" s="689" customFormat="1" x14ac:dyDescent="0.2"/>
    <row r="6117" s="689" customFormat="1" x14ac:dyDescent="0.2"/>
    <row r="6118" s="689" customFormat="1" x14ac:dyDescent="0.2"/>
    <row r="6119" s="689" customFormat="1" x14ac:dyDescent="0.2"/>
    <row r="6120" s="689" customFormat="1" x14ac:dyDescent="0.2"/>
    <row r="6121" s="689" customFormat="1" x14ac:dyDescent="0.2"/>
    <row r="6122" s="689" customFormat="1" x14ac:dyDescent="0.2"/>
    <row r="6123" s="689" customFormat="1" x14ac:dyDescent="0.2"/>
    <row r="6124" s="689" customFormat="1" x14ac:dyDescent="0.2"/>
    <row r="6125" s="689" customFormat="1" x14ac:dyDescent="0.2"/>
    <row r="6126" s="689" customFormat="1" x14ac:dyDescent="0.2"/>
    <row r="6127" s="689" customFormat="1" x14ac:dyDescent="0.2"/>
    <row r="6128" s="689" customFormat="1" x14ac:dyDescent="0.2"/>
    <row r="6129" s="689" customFormat="1" x14ac:dyDescent="0.2"/>
    <row r="6130" s="689" customFormat="1" x14ac:dyDescent="0.2"/>
    <row r="6131" s="689" customFormat="1" x14ac:dyDescent="0.2"/>
    <row r="6132" s="689" customFormat="1" x14ac:dyDescent="0.2"/>
    <row r="6133" s="689" customFormat="1" x14ac:dyDescent="0.2"/>
    <row r="6134" s="689" customFormat="1" x14ac:dyDescent="0.2"/>
    <row r="6135" s="689" customFormat="1" x14ac:dyDescent="0.2"/>
    <row r="6136" s="689" customFormat="1" x14ac:dyDescent="0.2"/>
    <row r="6137" s="689" customFormat="1" x14ac:dyDescent="0.2"/>
    <row r="6138" s="689" customFormat="1" x14ac:dyDescent="0.2"/>
    <row r="6139" s="689" customFormat="1" x14ac:dyDescent="0.2"/>
    <row r="6140" s="689" customFormat="1" x14ac:dyDescent="0.2"/>
    <row r="6141" s="689" customFormat="1" x14ac:dyDescent="0.2"/>
    <row r="6142" s="689" customFormat="1" x14ac:dyDescent="0.2"/>
    <row r="6143" s="689" customFormat="1" x14ac:dyDescent="0.2"/>
    <row r="6144" s="689" customFormat="1" x14ac:dyDescent="0.2"/>
    <row r="6145" s="689" customFormat="1" x14ac:dyDescent="0.2"/>
    <row r="6146" s="689" customFormat="1" x14ac:dyDescent="0.2"/>
    <row r="6147" s="689" customFormat="1" x14ac:dyDescent="0.2"/>
    <row r="6148" s="689" customFormat="1" x14ac:dyDescent="0.2"/>
    <row r="6149" s="689" customFormat="1" x14ac:dyDescent="0.2"/>
    <row r="6150" s="689" customFormat="1" x14ac:dyDescent="0.2"/>
    <row r="6151" s="689" customFormat="1" x14ac:dyDescent="0.2"/>
    <row r="6152" s="689" customFormat="1" x14ac:dyDescent="0.2"/>
    <row r="6153" s="689" customFormat="1" x14ac:dyDescent="0.2"/>
    <row r="6154" s="689" customFormat="1" x14ac:dyDescent="0.2"/>
    <row r="6155" s="689" customFormat="1" x14ac:dyDescent="0.2"/>
    <row r="6156" s="689" customFormat="1" x14ac:dyDescent="0.2"/>
    <row r="6157" s="689" customFormat="1" x14ac:dyDescent="0.2"/>
    <row r="6158" s="689" customFormat="1" x14ac:dyDescent="0.2"/>
    <row r="6159" s="689" customFormat="1" x14ac:dyDescent="0.2"/>
    <row r="6160" s="689" customFormat="1" x14ac:dyDescent="0.2"/>
    <row r="6161" s="689" customFormat="1" x14ac:dyDescent="0.2"/>
    <row r="6162" s="689" customFormat="1" x14ac:dyDescent="0.2"/>
    <row r="6163" s="689" customFormat="1" x14ac:dyDescent="0.2"/>
    <row r="6164" s="689" customFormat="1" x14ac:dyDescent="0.2"/>
    <row r="6165" s="689" customFormat="1" x14ac:dyDescent="0.2"/>
    <row r="6166" s="689" customFormat="1" x14ac:dyDescent="0.2"/>
    <row r="6167" s="689" customFormat="1" x14ac:dyDescent="0.2"/>
    <row r="6168" s="689" customFormat="1" x14ac:dyDescent="0.2"/>
    <row r="6169" s="689" customFormat="1" x14ac:dyDescent="0.2"/>
    <row r="6170" s="689" customFormat="1" x14ac:dyDescent="0.2"/>
    <row r="6171" s="689" customFormat="1" x14ac:dyDescent="0.2"/>
    <row r="6172" s="689" customFormat="1" x14ac:dyDescent="0.2"/>
    <row r="6173" s="689" customFormat="1" x14ac:dyDescent="0.2"/>
    <row r="6174" s="689" customFormat="1" x14ac:dyDescent="0.2"/>
    <row r="6175" s="689" customFormat="1" x14ac:dyDescent="0.2"/>
    <row r="6176" s="689" customFormat="1" x14ac:dyDescent="0.2"/>
    <row r="6177" s="689" customFormat="1" x14ac:dyDescent="0.2"/>
    <row r="6178" s="689" customFormat="1" x14ac:dyDescent="0.2"/>
    <row r="6179" s="689" customFormat="1" x14ac:dyDescent="0.2"/>
    <row r="6180" s="689" customFormat="1" x14ac:dyDescent="0.2"/>
    <row r="6181" s="689" customFormat="1" x14ac:dyDescent="0.2"/>
    <row r="6182" s="689" customFormat="1" x14ac:dyDescent="0.2"/>
    <row r="6183" s="689" customFormat="1" x14ac:dyDescent="0.2"/>
    <row r="6184" s="689" customFormat="1" x14ac:dyDescent="0.2"/>
    <row r="6185" s="689" customFormat="1" x14ac:dyDescent="0.2"/>
    <row r="6186" s="689" customFormat="1" x14ac:dyDescent="0.2"/>
    <row r="6187" s="689" customFormat="1" x14ac:dyDescent="0.2"/>
    <row r="6188" s="689" customFormat="1" x14ac:dyDescent="0.2"/>
    <row r="6189" s="689" customFormat="1" x14ac:dyDescent="0.2"/>
    <row r="6190" s="689" customFormat="1" x14ac:dyDescent="0.2"/>
    <row r="6191" s="689" customFormat="1" x14ac:dyDescent="0.2"/>
    <row r="6192" s="689" customFormat="1" x14ac:dyDescent="0.2"/>
    <row r="6193" s="689" customFormat="1" x14ac:dyDescent="0.2"/>
    <row r="6194" s="689" customFormat="1" x14ac:dyDescent="0.2"/>
    <row r="6195" s="689" customFormat="1" x14ac:dyDescent="0.2"/>
    <row r="6196" s="689" customFormat="1" x14ac:dyDescent="0.2"/>
    <row r="6197" s="689" customFormat="1" x14ac:dyDescent="0.2"/>
    <row r="6198" s="689" customFormat="1" x14ac:dyDescent="0.2"/>
    <row r="6199" s="689" customFormat="1" x14ac:dyDescent="0.2"/>
    <row r="6200" s="689" customFormat="1" x14ac:dyDescent="0.2"/>
    <row r="6201" s="689" customFormat="1" x14ac:dyDescent="0.2"/>
    <row r="6202" s="689" customFormat="1" x14ac:dyDescent="0.2"/>
    <row r="6203" s="689" customFormat="1" x14ac:dyDescent="0.2"/>
    <row r="6204" s="689" customFormat="1" x14ac:dyDescent="0.2"/>
    <row r="6205" s="689" customFormat="1" x14ac:dyDescent="0.2"/>
    <row r="6206" s="689" customFormat="1" x14ac:dyDescent="0.2"/>
    <row r="6207" s="689" customFormat="1" x14ac:dyDescent="0.2"/>
    <row r="6208" s="689" customFormat="1" x14ac:dyDescent="0.2"/>
    <row r="6209" s="689" customFormat="1" x14ac:dyDescent="0.2"/>
    <row r="6210" s="689" customFormat="1" x14ac:dyDescent="0.2"/>
    <row r="6211" s="689" customFormat="1" x14ac:dyDescent="0.2"/>
    <row r="6212" s="689" customFormat="1" x14ac:dyDescent="0.2"/>
    <row r="6213" s="689" customFormat="1" x14ac:dyDescent="0.2"/>
    <row r="6214" s="689" customFormat="1" x14ac:dyDescent="0.2"/>
    <row r="6215" s="689" customFormat="1" x14ac:dyDescent="0.2"/>
    <row r="6216" s="689" customFormat="1" x14ac:dyDescent="0.2"/>
    <row r="6217" s="689" customFormat="1" x14ac:dyDescent="0.2"/>
    <row r="6218" s="689" customFormat="1" x14ac:dyDescent="0.2"/>
    <row r="6219" s="689" customFormat="1" x14ac:dyDescent="0.2"/>
    <row r="6220" s="689" customFormat="1" x14ac:dyDescent="0.2"/>
    <row r="6221" s="689" customFormat="1" x14ac:dyDescent="0.2"/>
    <row r="6222" s="689" customFormat="1" x14ac:dyDescent="0.2"/>
    <row r="6223" s="689" customFormat="1" x14ac:dyDescent="0.2"/>
    <row r="6224" s="689" customFormat="1" x14ac:dyDescent="0.2"/>
    <row r="6225" s="689" customFormat="1" x14ac:dyDescent="0.2"/>
    <row r="6226" s="689" customFormat="1" x14ac:dyDescent="0.2"/>
    <row r="6227" s="689" customFormat="1" x14ac:dyDescent="0.2"/>
    <row r="6228" s="689" customFormat="1" x14ac:dyDescent="0.2"/>
    <row r="6229" s="689" customFormat="1" x14ac:dyDescent="0.2"/>
    <row r="6230" s="689" customFormat="1" x14ac:dyDescent="0.2"/>
    <row r="6231" s="689" customFormat="1" x14ac:dyDescent="0.2"/>
    <row r="6232" s="689" customFormat="1" x14ac:dyDescent="0.2"/>
    <row r="6233" s="689" customFormat="1" x14ac:dyDescent="0.2"/>
    <row r="6234" s="689" customFormat="1" x14ac:dyDescent="0.2"/>
    <row r="6235" s="689" customFormat="1" x14ac:dyDescent="0.2"/>
    <row r="6236" s="689" customFormat="1" x14ac:dyDescent="0.2"/>
    <row r="6237" s="689" customFormat="1" x14ac:dyDescent="0.2"/>
    <row r="6238" s="689" customFormat="1" x14ac:dyDescent="0.2"/>
    <row r="6239" s="689" customFormat="1" x14ac:dyDescent="0.2"/>
    <row r="6240" s="689" customFormat="1" x14ac:dyDescent="0.2"/>
    <row r="6241" s="689" customFormat="1" x14ac:dyDescent="0.2"/>
    <row r="6242" s="689" customFormat="1" x14ac:dyDescent="0.2"/>
    <row r="6243" s="689" customFormat="1" x14ac:dyDescent="0.2"/>
    <row r="6244" s="689" customFormat="1" x14ac:dyDescent="0.2"/>
    <row r="6245" s="689" customFormat="1" x14ac:dyDescent="0.2"/>
    <row r="6246" s="689" customFormat="1" x14ac:dyDescent="0.2"/>
    <row r="6247" s="689" customFormat="1" x14ac:dyDescent="0.2"/>
    <row r="6248" s="689" customFormat="1" x14ac:dyDescent="0.2"/>
    <row r="6249" s="689" customFormat="1" x14ac:dyDescent="0.2"/>
    <row r="6250" s="689" customFormat="1" x14ac:dyDescent="0.2"/>
    <row r="6251" s="689" customFormat="1" x14ac:dyDescent="0.2"/>
    <row r="6252" s="689" customFormat="1" x14ac:dyDescent="0.2"/>
    <row r="6253" s="689" customFormat="1" x14ac:dyDescent="0.2"/>
    <row r="6254" s="689" customFormat="1" x14ac:dyDescent="0.2"/>
    <row r="6255" s="689" customFormat="1" x14ac:dyDescent="0.2"/>
    <row r="6256" s="689" customFormat="1" x14ac:dyDescent="0.2"/>
    <row r="6257" s="689" customFormat="1" x14ac:dyDescent="0.2"/>
    <row r="6258" s="689" customFormat="1" x14ac:dyDescent="0.2"/>
    <row r="6259" s="689" customFormat="1" x14ac:dyDescent="0.2"/>
    <row r="6260" s="689" customFormat="1" x14ac:dyDescent="0.2"/>
    <row r="6261" s="689" customFormat="1" x14ac:dyDescent="0.2"/>
    <row r="6262" s="689" customFormat="1" x14ac:dyDescent="0.2"/>
    <row r="6263" s="689" customFormat="1" x14ac:dyDescent="0.2"/>
    <row r="6264" s="689" customFormat="1" x14ac:dyDescent="0.2"/>
    <row r="6265" s="689" customFormat="1" x14ac:dyDescent="0.2"/>
    <row r="6266" s="689" customFormat="1" x14ac:dyDescent="0.2"/>
    <row r="6267" s="689" customFormat="1" x14ac:dyDescent="0.2"/>
    <row r="6268" s="689" customFormat="1" x14ac:dyDescent="0.2"/>
    <row r="6269" s="689" customFormat="1" x14ac:dyDescent="0.2"/>
    <row r="6270" s="689" customFormat="1" x14ac:dyDescent="0.2"/>
    <row r="6271" s="689" customFormat="1" x14ac:dyDescent="0.2"/>
    <row r="6272" s="689" customFormat="1" x14ac:dyDescent="0.2"/>
    <row r="6273" s="689" customFormat="1" x14ac:dyDescent="0.2"/>
    <row r="6274" s="689" customFormat="1" x14ac:dyDescent="0.2"/>
    <row r="6275" s="689" customFormat="1" x14ac:dyDescent="0.2"/>
    <row r="6276" s="689" customFormat="1" x14ac:dyDescent="0.2"/>
    <row r="6277" s="689" customFormat="1" x14ac:dyDescent="0.2"/>
    <row r="6278" s="689" customFormat="1" x14ac:dyDescent="0.2"/>
    <row r="6279" s="689" customFormat="1" x14ac:dyDescent="0.2"/>
    <row r="6280" s="689" customFormat="1" x14ac:dyDescent="0.2"/>
    <row r="6281" s="689" customFormat="1" x14ac:dyDescent="0.2"/>
    <row r="6282" s="689" customFormat="1" x14ac:dyDescent="0.2"/>
    <row r="6283" s="689" customFormat="1" x14ac:dyDescent="0.2"/>
    <row r="6284" s="689" customFormat="1" x14ac:dyDescent="0.2"/>
    <row r="6285" s="689" customFormat="1" x14ac:dyDescent="0.2"/>
    <row r="6286" s="689" customFormat="1" x14ac:dyDescent="0.2"/>
    <row r="6287" s="689" customFormat="1" x14ac:dyDescent="0.2"/>
    <row r="6288" s="689" customFormat="1" x14ac:dyDescent="0.2"/>
    <row r="6289" s="689" customFormat="1" x14ac:dyDescent="0.2"/>
    <row r="6290" s="689" customFormat="1" x14ac:dyDescent="0.2"/>
    <row r="6291" s="689" customFormat="1" x14ac:dyDescent="0.2"/>
    <row r="6292" s="689" customFormat="1" x14ac:dyDescent="0.2"/>
    <row r="6293" s="689" customFormat="1" x14ac:dyDescent="0.2"/>
    <row r="6294" s="689" customFormat="1" x14ac:dyDescent="0.2"/>
    <row r="6295" s="689" customFormat="1" x14ac:dyDescent="0.2"/>
    <row r="6296" s="689" customFormat="1" x14ac:dyDescent="0.2"/>
    <row r="6297" s="689" customFormat="1" x14ac:dyDescent="0.2"/>
    <row r="6298" s="689" customFormat="1" x14ac:dyDescent="0.2"/>
    <row r="6299" s="689" customFormat="1" x14ac:dyDescent="0.2"/>
    <row r="6300" s="689" customFormat="1" x14ac:dyDescent="0.2"/>
    <row r="6301" s="689" customFormat="1" x14ac:dyDescent="0.2"/>
    <row r="6302" s="689" customFormat="1" x14ac:dyDescent="0.2"/>
    <row r="6303" s="689" customFormat="1" x14ac:dyDescent="0.2"/>
    <row r="6304" s="689" customFormat="1" x14ac:dyDescent="0.2"/>
    <row r="6305" s="689" customFormat="1" x14ac:dyDescent="0.2"/>
    <row r="6306" s="689" customFormat="1" x14ac:dyDescent="0.2"/>
    <row r="6307" s="689" customFormat="1" x14ac:dyDescent="0.2"/>
    <row r="6308" s="689" customFormat="1" x14ac:dyDescent="0.2"/>
    <row r="6309" s="689" customFormat="1" x14ac:dyDescent="0.2"/>
    <row r="6310" s="689" customFormat="1" x14ac:dyDescent="0.2"/>
    <row r="6311" s="689" customFormat="1" x14ac:dyDescent="0.2"/>
    <row r="6312" s="689" customFormat="1" x14ac:dyDescent="0.2"/>
    <row r="6313" s="689" customFormat="1" x14ac:dyDescent="0.2"/>
    <row r="6314" s="689" customFormat="1" x14ac:dyDescent="0.2"/>
    <row r="6315" s="689" customFormat="1" x14ac:dyDescent="0.2"/>
    <row r="6316" s="689" customFormat="1" x14ac:dyDescent="0.2"/>
    <row r="6317" s="689" customFormat="1" x14ac:dyDescent="0.2"/>
    <row r="6318" s="689" customFormat="1" x14ac:dyDescent="0.2"/>
    <row r="6319" s="689" customFormat="1" x14ac:dyDescent="0.2"/>
    <row r="6320" s="689" customFormat="1" x14ac:dyDescent="0.2"/>
    <row r="6321" s="689" customFormat="1" x14ac:dyDescent="0.2"/>
    <row r="6322" s="689" customFormat="1" x14ac:dyDescent="0.2"/>
    <row r="6323" s="689" customFormat="1" x14ac:dyDescent="0.2"/>
    <row r="6324" s="689" customFormat="1" x14ac:dyDescent="0.2"/>
    <row r="6325" s="689" customFormat="1" x14ac:dyDescent="0.2"/>
    <row r="6326" s="689" customFormat="1" x14ac:dyDescent="0.2"/>
    <row r="6327" s="689" customFormat="1" x14ac:dyDescent="0.2"/>
    <row r="6328" s="689" customFormat="1" x14ac:dyDescent="0.2"/>
    <row r="6329" s="689" customFormat="1" x14ac:dyDescent="0.2"/>
    <row r="6330" s="689" customFormat="1" x14ac:dyDescent="0.2"/>
    <row r="6331" s="689" customFormat="1" x14ac:dyDescent="0.2"/>
    <row r="6332" s="689" customFormat="1" x14ac:dyDescent="0.2"/>
    <row r="6333" s="689" customFormat="1" x14ac:dyDescent="0.2"/>
    <row r="6334" s="689" customFormat="1" x14ac:dyDescent="0.2"/>
    <row r="6335" s="689" customFormat="1" x14ac:dyDescent="0.2"/>
    <row r="6336" s="689" customFormat="1" x14ac:dyDescent="0.2"/>
    <row r="6337" s="689" customFormat="1" x14ac:dyDescent="0.2"/>
    <row r="6338" s="689" customFormat="1" x14ac:dyDescent="0.2"/>
    <row r="6339" s="689" customFormat="1" x14ac:dyDescent="0.2"/>
    <row r="6340" s="689" customFormat="1" x14ac:dyDescent="0.2"/>
    <row r="6341" s="689" customFormat="1" x14ac:dyDescent="0.2"/>
    <row r="6342" s="689" customFormat="1" x14ac:dyDescent="0.2"/>
    <row r="6343" s="689" customFormat="1" x14ac:dyDescent="0.2"/>
    <row r="6344" s="689" customFormat="1" x14ac:dyDescent="0.2"/>
    <row r="6345" s="689" customFormat="1" x14ac:dyDescent="0.2"/>
    <row r="6346" s="689" customFormat="1" x14ac:dyDescent="0.2"/>
    <row r="6347" s="689" customFormat="1" x14ac:dyDescent="0.2"/>
    <row r="6348" s="689" customFormat="1" x14ac:dyDescent="0.2"/>
    <row r="6349" s="689" customFormat="1" x14ac:dyDescent="0.2"/>
    <row r="6350" s="689" customFormat="1" x14ac:dyDescent="0.2"/>
    <row r="6351" s="689" customFormat="1" x14ac:dyDescent="0.2"/>
    <row r="6352" s="689" customFormat="1" x14ac:dyDescent="0.2"/>
    <row r="6353" s="689" customFormat="1" x14ac:dyDescent="0.2"/>
    <row r="6354" s="689" customFormat="1" x14ac:dyDescent="0.2"/>
    <row r="6355" s="689" customFormat="1" x14ac:dyDescent="0.2"/>
    <row r="6356" s="689" customFormat="1" x14ac:dyDescent="0.2"/>
    <row r="6357" s="689" customFormat="1" x14ac:dyDescent="0.2"/>
    <row r="6358" s="689" customFormat="1" x14ac:dyDescent="0.2"/>
    <row r="6359" s="689" customFormat="1" x14ac:dyDescent="0.2"/>
    <row r="6360" s="689" customFormat="1" x14ac:dyDescent="0.2"/>
    <row r="6361" s="689" customFormat="1" x14ac:dyDescent="0.2"/>
    <row r="6362" s="689" customFormat="1" x14ac:dyDescent="0.2"/>
    <row r="6363" s="689" customFormat="1" x14ac:dyDescent="0.2"/>
    <row r="6364" s="689" customFormat="1" x14ac:dyDescent="0.2"/>
    <row r="6365" s="689" customFormat="1" x14ac:dyDescent="0.2"/>
    <row r="6366" s="689" customFormat="1" x14ac:dyDescent="0.2"/>
    <row r="6367" s="689" customFormat="1" x14ac:dyDescent="0.2"/>
    <row r="6368" s="689" customFormat="1" x14ac:dyDescent="0.2"/>
    <row r="6369" s="689" customFormat="1" x14ac:dyDescent="0.2"/>
    <row r="6370" s="689" customFormat="1" x14ac:dyDescent="0.2"/>
    <row r="6371" s="689" customFormat="1" x14ac:dyDescent="0.2"/>
    <row r="6372" s="689" customFormat="1" x14ac:dyDescent="0.2"/>
    <row r="6373" s="689" customFormat="1" x14ac:dyDescent="0.2"/>
    <row r="6374" s="689" customFormat="1" x14ac:dyDescent="0.2"/>
    <row r="6375" s="689" customFormat="1" x14ac:dyDescent="0.2"/>
    <row r="6376" s="689" customFormat="1" x14ac:dyDescent="0.2"/>
    <row r="6377" s="689" customFormat="1" x14ac:dyDescent="0.2"/>
    <row r="6378" s="689" customFormat="1" x14ac:dyDescent="0.2"/>
    <row r="6379" s="689" customFormat="1" x14ac:dyDescent="0.2"/>
    <row r="6380" s="689" customFormat="1" x14ac:dyDescent="0.2"/>
    <row r="6381" s="689" customFormat="1" x14ac:dyDescent="0.2"/>
    <row r="6382" s="689" customFormat="1" x14ac:dyDescent="0.2"/>
    <row r="6383" s="689" customFormat="1" x14ac:dyDescent="0.2"/>
    <row r="6384" s="689" customFormat="1" x14ac:dyDescent="0.2"/>
    <row r="6385" s="689" customFormat="1" x14ac:dyDescent="0.2"/>
    <row r="6386" s="689" customFormat="1" x14ac:dyDescent="0.2"/>
    <row r="6387" s="689" customFormat="1" x14ac:dyDescent="0.2"/>
    <row r="6388" s="689" customFormat="1" x14ac:dyDescent="0.2"/>
    <row r="6389" s="689" customFormat="1" x14ac:dyDescent="0.2"/>
    <row r="6390" s="689" customFormat="1" x14ac:dyDescent="0.2"/>
    <row r="6391" s="689" customFormat="1" x14ac:dyDescent="0.2"/>
    <row r="6392" s="689" customFormat="1" x14ac:dyDescent="0.2"/>
    <row r="6393" s="689" customFormat="1" x14ac:dyDescent="0.2"/>
    <row r="6394" s="689" customFormat="1" x14ac:dyDescent="0.2"/>
    <row r="6395" s="689" customFormat="1" x14ac:dyDescent="0.2"/>
    <row r="6396" s="689" customFormat="1" x14ac:dyDescent="0.2"/>
    <row r="6397" s="689" customFormat="1" x14ac:dyDescent="0.2"/>
    <row r="6398" s="689" customFormat="1" x14ac:dyDescent="0.2"/>
    <row r="6399" s="689" customFormat="1" x14ac:dyDescent="0.2"/>
    <row r="6400" s="689" customFormat="1" x14ac:dyDescent="0.2"/>
    <row r="6401" s="689" customFormat="1" x14ac:dyDescent="0.2"/>
    <row r="6402" s="689" customFormat="1" x14ac:dyDescent="0.2"/>
    <row r="6403" s="689" customFormat="1" x14ac:dyDescent="0.2"/>
    <row r="6404" s="689" customFormat="1" x14ac:dyDescent="0.2"/>
    <row r="6405" s="689" customFormat="1" x14ac:dyDescent="0.2"/>
    <row r="6406" s="689" customFormat="1" x14ac:dyDescent="0.2"/>
    <row r="6407" s="689" customFormat="1" x14ac:dyDescent="0.2"/>
    <row r="6408" s="689" customFormat="1" x14ac:dyDescent="0.2"/>
    <row r="6409" s="689" customFormat="1" x14ac:dyDescent="0.2"/>
    <row r="6410" s="689" customFormat="1" x14ac:dyDescent="0.2"/>
    <row r="6411" s="689" customFormat="1" x14ac:dyDescent="0.2"/>
    <row r="6412" s="689" customFormat="1" x14ac:dyDescent="0.2"/>
    <row r="6413" s="689" customFormat="1" x14ac:dyDescent="0.2"/>
    <row r="6414" s="689" customFormat="1" x14ac:dyDescent="0.2"/>
    <row r="6415" s="689" customFormat="1" x14ac:dyDescent="0.2"/>
    <row r="6416" s="689" customFormat="1" x14ac:dyDescent="0.2"/>
    <row r="6417" s="689" customFormat="1" x14ac:dyDescent="0.2"/>
    <row r="6418" s="689" customFormat="1" x14ac:dyDescent="0.2"/>
    <row r="6419" s="689" customFormat="1" x14ac:dyDescent="0.2"/>
    <row r="6420" s="689" customFormat="1" x14ac:dyDescent="0.2"/>
    <row r="6421" s="689" customFormat="1" x14ac:dyDescent="0.2"/>
    <row r="6422" s="689" customFormat="1" x14ac:dyDescent="0.2"/>
    <row r="6423" s="689" customFormat="1" x14ac:dyDescent="0.2"/>
    <row r="6424" s="689" customFormat="1" x14ac:dyDescent="0.2"/>
    <row r="6425" s="689" customFormat="1" x14ac:dyDescent="0.2"/>
    <row r="6426" s="689" customFormat="1" x14ac:dyDescent="0.2"/>
    <row r="6427" s="689" customFormat="1" x14ac:dyDescent="0.2"/>
    <row r="6428" s="689" customFormat="1" x14ac:dyDescent="0.2"/>
    <row r="6429" s="689" customFormat="1" x14ac:dyDescent="0.2"/>
    <row r="6430" s="689" customFormat="1" x14ac:dyDescent="0.2"/>
    <row r="6431" s="689" customFormat="1" x14ac:dyDescent="0.2"/>
    <row r="6432" s="689" customFormat="1" x14ac:dyDescent="0.2"/>
    <row r="6433" s="689" customFormat="1" x14ac:dyDescent="0.2"/>
    <row r="6434" s="689" customFormat="1" x14ac:dyDescent="0.2"/>
    <row r="6435" s="689" customFormat="1" x14ac:dyDescent="0.2"/>
    <row r="6436" s="689" customFormat="1" x14ac:dyDescent="0.2"/>
    <row r="6437" s="689" customFormat="1" x14ac:dyDescent="0.2"/>
    <row r="6438" s="689" customFormat="1" x14ac:dyDescent="0.2"/>
    <row r="6439" s="689" customFormat="1" x14ac:dyDescent="0.2"/>
    <row r="6440" s="689" customFormat="1" x14ac:dyDescent="0.2"/>
    <row r="6441" s="689" customFormat="1" x14ac:dyDescent="0.2"/>
    <row r="6442" s="689" customFormat="1" x14ac:dyDescent="0.2"/>
    <row r="6443" s="689" customFormat="1" x14ac:dyDescent="0.2"/>
    <row r="6444" s="689" customFormat="1" x14ac:dyDescent="0.2"/>
    <row r="6445" s="689" customFormat="1" x14ac:dyDescent="0.2"/>
    <row r="6446" s="689" customFormat="1" x14ac:dyDescent="0.2"/>
    <row r="6447" s="689" customFormat="1" x14ac:dyDescent="0.2"/>
    <row r="6448" s="689" customFormat="1" x14ac:dyDescent="0.2"/>
    <row r="6449" s="689" customFormat="1" x14ac:dyDescent="0.2"/>
    <row r="6450" s="689" customFormat="1" x14ac:dyDescent="0.2"/>
    <row r="6451" s="689" customFormat="1" x14ac:dyDescent="0.2"/>
    <row r="6452" s="689" customFormat="1" x14ac:dyDescent="0.2"/>
    <row r="6453" s="689" customFormat="1" x14ac:dyDescent="0.2"/>
    <row r="6454" s="689" customFormat="1" x14ac:dyDescent="0.2"/>
    <row r="6455" s="689" customFormat="1" x14ac:dyDescent="0.2"/>
    <row r="6456" s="689" customFormat="1" x14ac:dyDescent="0.2"/>
    <row r="6457" s="689" customFormat="1" x14ac:dyDescent="0.2"/>
    <row r="6458" s="689" customFormat="1" x14ac:dyDescent="0.2"/>
    <row r="6459" s="689" customFormat="1" x14ac:dyDescent="0.2"/>
    <row r="6460" s="689" customFormat="1" x14ac:dyDescent="0.2"/>
    <row r="6461" s="689" customFormat="1" x14ac:dyDescent="0.2"/>
    <row r="6462" s="689" customFormat="1" x14ac:dyDescent="0.2"/>
    <row r="6463" s="689" customFormat="1" x14ac:dyDescent="0.2"/>
    <row r="6464" s="689" customFormat="1" x14ac:dyDescent="0.2"/>
    <row r="6465" s="689" customFormat="1" x14ac:dyDescent="0.2"/>
    <row r="6466" s="689" customFormat="1" x14ac:dyDescent="0.2"/>
    <row r="6467" s="689" customFormat="1" x14ac:dyDescent="0.2"/>
    <row r="6468" s="689" customFormat="1" x14ac:dyDescent="0.2"/>
    <row r="6469" s="689" customFormat="1" x14ac:dyDescent="0.2"/>
    <row r="6470" s="689" customFormat="1" x14ac:dyDescent="0.2"/>
    <row r="6471" s="689" customFormat="1" x14ac:dyDescent="0.2"/>
    <row r="6472" s="689" customFormat="1" x14ac:dyDescent="0.2"/>
    <row r="6473" s="689" customFormat="1" x14ac:dyDescent="0.2"/>
    <row r="6474" s="689" customFormat="1" x14ac:dyDescent="0.2"/>
    <row r="6475" s="689" customFormat="1" x14ac:dyDescent="0.2"/>
    <row r="6476" s="689" customFormat="1" x14ac:dyDescent="0.2"/>
    <row r="6477" s="689" customFormat="1" x14ac:dyDescent="0.2"/>
    <row r="6478" s="689" customFormat="1" x14ac:dyDescent="0.2"/>
    <row r="6479" s="689" customFormat="1" x14ac:dyDescent="0.2"/>
    <row r="6480" s="689" customFormat="1" x14ac:dyDescent="0.2"/>
    <row r="6481" s="689" customFormat="1" x14ac:dyDescent="0.2"/>
    <row r="6482" s="689" customFormat="1" x14ac:dyDescent="0.2"/>
    <row r="6483" s="689" customFormat="1" x14ac:dyDescent="0.2"/>
    <row r="6484" s="689" customFormat="1" x14ac:dyDescent="0.2"/>
    <row r="6485" s="689" customFormat="1" x14ac:dyDescent="0.2"/>
    <row r="6486" s="689" customFormat="1" x14ac:dyDescent="0.2"/>
    <row r="6487" s="689" customFormat="1" x14ac:dyDescent="0.2"/>
    <row r="6488" s="689" customFormat="1" x14ac:dyDescent="0.2"/>
    <row r="6489" s="689" customFormat="1" x14ac:dyDescent="0.2"/>
    <row r="6490" s="689" customFormat="1" x14ac:dyDescent="0.2"/>
    <row r="6491" s="689" customFormat="1" x14ac:dyDescent="0.2"/>
    <row r="6492" s="689" customFormat="1" x14ac:dyDescent="0.2"/>
    <row r="6493" s="689" customFormat="1" x14ac:dyDescent="0.2"/>
    <row r="6494" s="689" customFormat="1" x14ac:dyDescent="0.2"/>
    <row r="6495" s="689" customFormat="1" x14ac:dyDescent="0.2"/>
    <row r="6496" s="689" customFormat="1" x14ac:dyDescent="0.2"/>
    <row r="6497" s="689" customFormat="1" x14ac:dyDescent="0.2"/>
    <row r="6498" s="689" customFormat="1" x14ac:dyDescent="0.2"/>
    <row r="6499" s="689" customFormat="1" x14ac:dyDescent="0.2"/>
    <row r="6500" s="689" customFormat="1" x14ac:dyDescent="0.2"/>
    <row r="6501" s="689" customFormat="1" x14ac:dyDescent="0.2"/>
    <row r="6502" s="689" customFormat="1" x14ac:dyDescent="0.2"/>
    <row r="6503" s="689" customFormat="1" x14ac:dyDescent="0.2"/>
    <row r="6504" s="689" customFormat="1" x14ac:dyDescent="0.2"/>
    <row r="6505" s="689" customFormat="1" x14ac:dyDescent="0.2"/>
    <row r="6506" s="689" customFormat="1" x14ac:dyDescent="0.2"/>
    <row r="6507" s="689" customFormat="1" x14ac:dyDescent="0.2"/>
    <row r="6508" s="689" customFormat="1" x14ac:dyDescent="0.2"/>
    <row r="6509" s="689" customFormat="1" x14ac:dyDescent="0.2"/>
    <row r="6510" s="689" customFormat="1" x14ac:dyDescent="0.2"/>
    <row r="6511" s="689" customFormat="1" x14ac:dyDescent="0.2"/>
    <row r="6512" s="689" customFormat="1" x14ac:dyDescent="0.2"/>
    <row r="6513" s="689" customFormat="1" x14ac:dyDescent="0.2"/>
    <row r="6514" s="689" customFormat="1" x14ac:dyDescent="0.2"/>
    <row r="6515" s="689" customFormat="1" x14ac:dyDescent="0.2"/>
    <row r="6516" s="689" customFormat="1" x14ac:dyDescent="0.2"/>
    <row r="6517" s="689" customFormat="1" x14ac:dyDescent="0.2"/>
    <row r="6518" s="689" customFormat="1" x14ac:dyDescent="0.2"/>
    <row r="6519" s="689" customFormat="1" x14ac:dyDescent="0.2"/>
    <row r="6520" s="689" customFormat="1" x14ac:dyDescent="0.2"/>
    <row r="6521" s="689" customFormat="1" x14ac:dyDescent="0.2"/>
    <row r="6522" s="689" customFormat="1" x14ac:dyDescent="0.2"/>
    <row r="6523" s="689" customFormat="1" x14ac:dyDescent="0.2"/>
    <row r="6524" s="689" customFormat="1" x14ac:dyDescent="0.2"/>
    <row r="6525" s="689" customFormat="1" x14ac:dyDescent="0.2"/>
    <row r="6526" s="689" customFormat="1" x14ac:dyDescent="0.2"/>
    <row r="6527" s="689" customFormat="1" x14ac:dyDescent="0.2"/>
    <row r="6528" s="689" customFormat="1" x14ac:dyDescent="0.2"/>
    <row r="6529" s="689" customFormat="1" x14ac:dyDescent="0.2"/>
    <row r="6530" s="689" customFormat="1" x14ac:dyDescent="0.2"/>
    <row r="6531" s="689" customFormat="1" x14ac:dyDescent="0.2"/>
    <row r="6532" s="689" customFormat="1" x14ac:dyDescent="0.2"/>
    <row r="6533" s="689" customFormat="1" x14ac:dyDescent="0.2"/>
    <row r="6534" s="689" customFormat="1" x14ac:dyDescent="0.2"/>
    <row r="6535" s="689" customFormat="1" x14ac:dyDescent="0.2"/>
    <row r="6536" s="689" customFormat="1" x14ac:dyDescent="0.2"/>
    <row r="6537" s="689" customFormat="1" x14ac:dyDescent="0.2"/>
    <row r="6538" s="689" customFormat="1" x14ac:dyDescent="0.2"/>
    <row r="6539" s="689" customFormat="1" x14ac:dyDescent="0.2"/>
    <row r="6540" s="689" customFormat="1" x14ac:dyDescent="0.2"/>
    <row r="6541" s="689" customFormat="1" x14ac:dyDescent="0.2"/>
    <row r="6542" s="689" customFormat="1" x14ac:dyDescent="0.2"/>
    <row r="6543" s="689" customFormat="1" x14ac:dyDescent="0.2"/>
    <row r="6544" s="689" customFormat="1" x14ac:dyDescent="0.2"/>
    <row r="6545" s="689" customFormat="1" x14ac:dyDescent="0.2"/>
    <row r="6546" s="689" customFormat="1" x14ac:dyDescent="0.2"/>
    <row r="6547" s="689" customFormat="1" x14ac:dyDescent="0.2"/>
    <row r="6548" s="689" customFormat="1" x14ac:dyDescent="0.2"/>
    <row r="6549" s="689" customFormat="1" x14ac:dyDescent="0.2"/>
    <row r="6550" s="689" customFormat="1" x14ac:dyDescent="0.2"/>
    <row r="6551" s="689" customFormat="1" x14ac:dyDescent="0.2"/>
    <row r="6552" s="689" customFormat="1" x14ac:dyDescent="0.2"/>
    <row r="6553" s="689" customFormat="1" x14ac:dyDescent="0.2"/>
    <row r="6554" s="689" customFormat="1" x14ac:dyDescent="0.2"/>
    <row r="6555" s="689" customFormat="1" x14ac:dyDescent="0.2"/>
    <row r="6556" s="689" customFormat="1" x14ac:dyDescent="0.2"/>
    <row r="6557" s="689" customFormat="1" x14ac:dyDescent="0.2"/>
    <row r="6558" s="689" customFormat="1" x14ac:dyDescent="0.2"/>
    <row r="6559" s="689" customFormat="1" x14ac:dyDescent="0.2"/>
    <row r="6560" s="689" customFormat="1" x14ac:dyDescent="0.2"/>
    <row r="6561" s="689" customFormat="1" x14ac:dyDescent="0.2"/>
    <row r="6562" s="689" customFormat="1" x14ac:dyDescent="0.2"/>
    <row r="6563" s="689" customFormat="1" x14ac:dyDescent="0.2"/>
    <row r="6564" s="689" customFormat="1" x14ac:dyDescent="0.2"/>
    <row r="6565" s="689" customFormat="1" x14ac:dyDescent="0.2"/>
    <row r="6566" s="689" customFormat="1" x14ac:dyDescent="0.2"/>
    <row r="6567" s="689" customFormat="1" x14ac:dyDescent="0.2"/>
    <row r="6568" s="689" customFormat="1" x14ac:dyDescent="0.2"/>
    <row r="6569" s="689" customFormat="1" x14ac:dyDescent="0.2"/>
    <row r="6570" s="689" customFormat="1" x14ac:dyDescent="0.2"/>
    <row r="6571" s="689" customFormat="1" x14ac:dyDescent="0.2"/>
    <row r="6572" s="689" customFormat="1" x14ac:dyDescent="0.2"/>
    <row r="6573" s="689" customFormat="1" x14ac:dyDescent="0.2"/>
    <row r="6574" s="689" customFormat="1" x14ac:dyDescent="0.2"/>
    <row r="6575" s="689" customFormat="1" x14ac:dyDescent="0.2"/>
    <row r="6576" s="689" customFormat="1" x14ac:dyDescent="0.2"/>
    <row r="6577" s="689" customFormat="1" x14ac:dyDescent="0.2"/>
    <row r="6578" s="689" customFormat="1" x14ac:dyDescent="0.2"/>
    <row r="6579" s="689" customFormat="1" x14ac:dyDescent="0.2"/>
    <row r="6580" s="689" customFormat="1" x14ac:dyDescent="0.2"/>
    <row r="6581" s="689" customFormat="1" x14ac:dyDescent="0.2"/>
    <row r="6582" s="689" customFormat="1" x14ac:dyDescent="0.2"/>
    <row r="6583" s="689" customFormat="1" x14ac:dyDescent="0.2"/>
    <row r="6584" s="689" customFormat="1" x14ac:dyDescent="0.2"/>
    <row r="6585" s="689" customFormat="1" x14ac:dyDescent="0.2"/>
    <row r="6586" s="689" customFormat="1" x14ac:dyDescent="0.2"/>
    <row r="6587" s="689" customFormat="1" x14ac:dyDescent="0.2"/>
    <row r="6588" s="689" customFormat="1" x14ac:dyDescent="0.2"/>
    <row r="6589" s="689" customFormat="1" x14ac:dyDescent="0.2"/>
    <row r="6590" s="689" customFormat="1" x14ac:dyDescent="0.2"/>
    <row r="6591" s="689" customFormat="1" x14ac:dyDescent="0.2"/>
    <row r="6592" s="689" customFormat="1" x14ac:dyDescent="0.2"/>
    <row r="6593" s="689" customFormat="1" x14ac:dyDescent="0.2"/>
    <row r="6594" s="689" customFormat="1" x14ac:dyDescent="0.2"/>
    <row r="6595" s="689" customFormat="1" x14ac:dyDescent="0.2"/>
    <row r="6596" s="689" customFormat="1" x14ac:dyDescent="0.2"/>
    <row r="6597" s="689" customFormat="1" x14ac:dyDescent="0.2"/>
    <row r="6598" s="689" customFormat="1" x14ac:dyDescent="0.2"/>
    <row r="6599" s="689" customFormat="1" x14ac:dyDescent="0.2"/>
    <row r="6600" s="689" customFormat="1" x14ac:dyDescent="0.2"/>
    <row r="6601" s="689" customFormat="1" x14ac:dyDescent="0.2"/>
    <row r="6602" s="689" customFormat="1" x14ac:dyDescent="0.2"/>
    <row r="6603" s="689" customFormat="1" x14ac:dyDescent="0.2"/>
    <row r="6604" s="689" customFormat="1" x14ac:dyDescent="0.2"/>
    <row r="6605" s="689" customFormat="1" x14ac:dyDescent="0.2"/>
    <row r="6606" s="689" customFormat="1" x14ac:dyDescent="0.2"/>
    <row r="6607" s="689" customFormat="1" x14ac:dyDescent="0.2"/>
    <row r="6608" s="689" customFormat="1" x14ac:dyDescent="0.2"/>
    <row r="6609" s="689" customFormat="1" x14ac:dyDescent="0.2"/>
    <row r="6610" s="689" customFormat="1" x14ac:dyDescent="0.2"/>
    <row r="6611" s="689" customFormat="1" x14ac:dyDescent="0.2"/>
    <row r="6612" s="689" customFormat="1" x14ac:dyDescent="0.2"/>
    <row r="6613" s="689" customFormat="1" x14ac:dyDescent="0.2"/>
    <row r="6614" s="689" customFormat="1" x14ac:dyDescent="0.2"/>
    <row r="6615" s="689" customFormat="1" x14ac:dyDescent="0.2"/>
    <row r="6616" s="689" customFormat="1" x14ac:dyDescent="0.2"/>
    <row r="6617" s="689" customFormat="1" x14ac:dyDescent="0.2"/>
    <row r="6618" s="689" customFormat="1" x14ac:dyDescent="0.2"/>
    <row r="6619" s="689" customFormat="1" x14ac:dyDescent="0.2"/>
    <row r="6620" s="689" customFormat="1" x14ac:dyDescent="0.2"/>
    <row r="6621" s="689" customFormat="1" x14ac:dyDescent="0.2"/>
    <row r="6622" s="689" customFormat="1" x14ac:dyDescent="0.2"/>
    <row r="6623" s="689" customFormat="1" x14ac:dyDescent="0.2"/>
    <row r="6624" s="689" customFormat="1" x14ac:dyDescent="0.2"/>
    <row r="6625" s="689" customFormat="1" x14ac:dyDescent="0.2"/>
    <row r="6626" s="689" customFormat="1" x14ac:dyDescent="0.2"/>
    <row r="6627" s="689" customFormat="1" x14ac:dyDescent="0.2"/>
    <row r="6628" s="689" customFormat="1" x14ac:dyDescent="0.2"/>
    <row r="6629" s="689" customFormat="1" x14ac:dyDescent="0.2"/>
    <row r="6630" s="689" customFormat="1" x14ac:dyDescent="0.2"/>
    <row r="6631" s="689" customFormat="1" x14ac:dyDescent="0.2"/>
    <row r="6632" s="689" customFormat="1" x14ac:dyDescent="0.2"/>
    <row r="6633" s="689" customFormat="1" x14ac:dyDescent="0.2"/>
    <row r="6634" s="689" customFormat="1" x14ac:dyDescent="0.2"/>
    <row r="6635" s="689" customFormat="1" x14ac:dyDescent="0.2"/>
    <row r="6636" s="689" customFormat="1" x14ac:dyDescent="0.2"/>
    <row r="6637" s="689" customFormat="1" x14ac:dyDescent="0.2"/>
    <row r="6638" s="689" customFormat="1" x14ac:dyDescent="0.2"/>
    <row r="6639" s="689" customFormat="1" x14ac:dyDescent="0.2"/>
    <row r="6640" s="689" customFormat="1" x14ac:dyDescent="0.2"/>
    <row r="6641" s="689" customFormat="1" x14ac:dyDescent="0.2"/>
    <row r="6642" s="689" customFormat="1" x14ac:dyDescent="0.2"/>
    <row r="6643" s="689" customFormat="1" x14ac:dyDescent="0.2"/>
    <row r="6644" s="689" customFormat="1" x14ac:dyDescent="0.2"/>
    <row r="6645" s="689" customFormat="1" x14ac:dyDescent="0.2"/>
    <row r="6646" s="689" customFormat="1" x14ac:dyDescent="0.2"/>
    <row r="6647" s="689" customFormat="1" x14ac:dyDescent="0.2"/>
    <row r="6648" s="689" customFormat="1" x14ac:dyDescent="0.2"/>
    <row r="6649" s="689" customFormat="1" x14ac:dyDescent="0.2"/>
    <row r="6650" s="689" customFormat="1" x14ac:dyDescent="0.2"/>
    <row r="6651" s="689" customFormat="1" x14ac:dyDescent="0.2"/>
    <row r="6652" s="689" customFormat="1" x14ac:dyDescent="0.2"/>
    <row r="6653" s="689" customFormat="1" x14ac:dyDescent="0.2"/>
    <row r="6654" s="689" customFormat="1" x14ac:dyDescent="0.2"/>
    <row r="6655" s="689" customFormat="1" x14ac:dyDescent="0.2"/>
    <row r="6656" s="689" customFormat="1" x14ac:dyDescent="0.2"/>
    <row r="6657" s="689" customFormat="1" x14ac:dyDescent="0.2"/>
    <row r="6658" s="689" customFormat="1" x14ac:dyDescent="0.2"/>
    <row r="6659" s="689" customFormat="1" x14ac:dyDescent="0.2"/>
    <row r="6660" s="689" customFormat="1" x14ac:dyDescent="0.2"/>
    <row r="6661" s="689" customFormat="1" x14ac:dyDescent="0.2"/>
    <row r="6662" s="689" customFormat="1" x14ac:dyDescent="0.2"/>
    <row r="6663" s="689" customFormat="1" x14ac:dyDescent="0.2"/>
    <row r="6664" s="689" customFormat="1" x14ac:dyDescent="0.2"/>
    <row r="6665" s="689" customFormat="1" x14ac:dyDescent="0.2"/>
    <row r="6666" s="689" customFormat="1" x14ac:dyDescent="0.2"/>
    <row r="6667" s="689" customFormat="1" x14ac:dyDescent="0.2"/>
    <row r="6668" s="689" customFormat="1" x14ac:dyDescent="0.2"/>
    <row r="6669" s="689" customFormat="1" x14ac:dyDescent="0.2"/>
    <row r="6670" s="689" customFormat="1" x14ac:dyDescent="0.2"/>
    <row r="6671" s="689" customFormat="1" x14ac:dyDescent="0.2"/>
    <row r="6672" s="689" customFormat="1" x14ac:dyDescent="0.2"/>
    <row r="6673" s="689" customFormat="1" x14ac:dyDescent="0.2"/>
    <row r="6674" s="689" customFormat="1" x14ac:dyDescent="0.2"/>
    <row r="6675" s="689" customFormat="1" x14ac:dyDescent="0.2"/>
    <row r="6676" s="689" customFormat="1" x14ac:dyDescent="0.2"/>
    <row r="6677" s="689" customFormat="1" x14ac:dyDescent="0.2"/>
    <row r="6678" s="689" customFormat="1" x14ac:dyDescent="0.2"/>
    <row r="6679" s="689" customFormat="1" x14ac:dyDescent="0.2"/>
    <row r="6680" s="689" customFormat="1" x14ac:dyDescent="0.2"/>
    <row r="6681" s="689" customFormat="1" x14ac:dyDescent="0.2"/>
    <row r="6682" s="689" customFormat="1" x14ac:dyDescent="0.2"/>
    <row r="6683" s="689" customFormat="1" x14ac:dyDescent="0.2"/>
    <row r="6684" s="689" customFormat="1" x14ac:dyDescent="0.2"/>
    <row r="6685" s="689" customFormat="1" x14ac:dyDescent="0.2"/>
    <row r="6686" s="689" customFormat="1" x14ac:dyDescent="0.2"/>
    <row r="6687" s="689" customFormat="1" x14ac:dyDescent="0.2"/>
    <row r="6688" s="689" customFormat="1" x14ac:dyDescent="0.2"/>
    <row r="6689" s="689" customFormat="1" x14ac:dyDescent="0.2"/>
    <row r="6690" s="689" customFormat="1" x14ac:dyDescent="0.2"/>
    <row r="6691" s="689" customFormat="1" x14ac:dyDescent="0.2"/>
    <row r="6692" s="689" customFormat="1" x14ac:dyDescent="0.2"/>
    <row r="6693" s="689" customFormat="1" x14ac:dyDescent="0.2"/>
    <row r="6694" s="689" customFormat="1" x14ac:dyDescent="0.2"/>
    <row r="6695" s="689" customFormat="1" x14ac:dyDescent="0.2"/>
    <row r="6696" s="689" customFormat="1" x14ac:dyDescent="0.2"/>
    <row r="6697" s="689" customFormat="1" x14ac:dyDescent="0.2"/>
    <row r="6698" s="689" customFormat="1" x14ac:dyDescent="0.2"/>
    <row r="6699" s="689" customFormat="1" x14ac:dyDescent="0.2"/>
    <row r="6700" s="689" customFormat="1" x14ac:dyDescent="0.2"/>
    <row r="6701" s="689" customFormat="1" x14ac:dyDescent="0.2"/>
    <row r="6702" s="689" customFormat="1" x14ac:dyDescent="0.2"/>
    <row r="6703" s="689" customFormat="1" x14ac:dyDescent="0.2"/>
    <row r="6704" s="689" customFormat="1" x14ac:dyDescent="0.2"/>
    <row r="6705" s="689" customFormat="1" x14ac:dyDescent="0.2"/>
    <row r="6706" s="689" customFormat="1" x14ac:dyDescent="0.2"/>
    <row r="6707" s="689" customFormat="1" x14ac:dyDescent="0.2"/>
    <row r="6708" s="689" customFormat="1" x14ac:dyDescent="0.2"/>
    <row r="6709" s="689" customFormat="1" x14ac:dyDescent="0.2"/>
    <row r="6710" s="689" customFormat="1" x14ac:dyDescent="0.2"/>
    <row r="6711" s="689" customFormat="1" x14ac:dyDescent="0.2"/>
    <row r="6712" s="689" customFormat="1" x14ac:dyDescent="0.2"/>
    <row r="6713" s="689" customFormat="1" x14ac:dyDescent="0.2"/>
    <row r="6714" s="689" customFormat="1" x14ac:dyDescent="0.2"/>
    <row r="6715" s="689" customFormat="1" x14ac:dyDescent="0.2"/>
    <row r="6716" s="689" customFormat="1" x14ac:dyDescent="0.2"/>
    <row r="6717" s="689" customFormat="1" x14ac:dyDescent="0.2"/>
    <row r="6718" s="689" customFormat="1" x14ac:dyDescent="0.2"/>
    <row r="6719" s="689" customFormat="1" x14ac:dyDescent="0.2"/>
    <row r="6720" s="689" customFormat="1" x14ac:dyDescent="0.2"/>
    <row r="6721" s="689" customFormat="1" x14ac:dyDescent="0.2"/>
    <row r="6722" s="689" customFormat="1" x14ac:dyDescent="0.2"/>
    <row r="6723" s="689" customFormat="1" x14ac:dyDescent="0.2"/>
    <row r="6724" s="689" customFormat="1" x14ac:dyDescent="0.2"/>
    <row r="6725" s="689" customFormat="1" x14ac:dyDescent="0.2"/>
    <row r="6726" s="689" customFormat="1" x14ac:dyDescent="0.2"/>
    <row r="6727" s="689" customFormat="1" x14ac:dyDescent="0.2"/>
    <row r="6728" s="689" customFormat="1" x14ac:dyDescent="0.2"/>
    <row r="6729" s="689" customFormat="1" x14ac:dyDescent="0.2"/>
    <row r="6730" s="689" customFormat="1" x14ac:dyDescent="0.2"/>
    <row r="6731" s="689" customFormat="1" x14ac:dyDescent="0.2"/>
    <row r="6732" s="689" customFormat="1" x14ac:dyDescent="0.2"/>
    <row r="6733" s="689" customFormat="1" x14ac:dyDescent="0.2"/>
    <row r="6734" s="689" customFormat="1" x14ac:dyDescent="0.2"/>
    <row r="6735" s="689" customFormat="1" x14ac:dyDescent="0.2"/>
    <row r="6736" s="689" customFormat="1" x14ac:dyDescent="0.2"/>
    <row r="6737" s="689" customFormat="1" x14ac:dyDescent="0.2"/>
    <row r="6738" s="689" customFormat="1" x14ac:dyDescent="0.2"/>
    <row r="6739" s="689" customFormat="1" x14ac:dyDescent="0.2"/>
    <row r="6740" s="689" customFormat="1" x14ac:dyDescent="0.2"/>
    <row r="6741" s="689" customFormat="1" x14ac:dyDescent="0.2"/>
    <row r="6742" s="689" customFormat="1" x14ac:dyDescent="0.2"/>
    <row r="6743" s="689" customFormat="1" x14ac:dyDescent="0.2"/>
    <row r="6744" s="689" customFormat="1" x14ac:dyDescent="0.2"/>
    <row r="6745" s="689" customFormat="1" x14ac:dyDescent="0.2"/>
    <row r="6746" s="689" customFormat="1" x14ac:dyDescent="0.2"/>
    <row r="6747" s="689" customFormat="1" x14ac:dyDescent="0.2"/>
    <row r="6748" s="689" customFormat="1" x14ac:dyDescent="0.2"/>
    <row r="6749" s="689" customFormat="1" x14ac:dyDescent="0.2"/>
    <row r="6750" s="689" customFormat="1" x14ac:dyDescent="0.2"/>
    <row r="6751" s="689" customFormat="1" x14ac:dyDescent="0.2"/>
    <row r="6752" s="689" customFormat="1" x14ac:dyDescent="0.2"/>
    <row r="6753" s="689" customFormat="1" x14ac:dyDescent="0.2"/>
    <row r="6754" s="689" customFormat="1" x14ac:dyDescent="0.2"/>
    <row r="6755" s="689" customFormat="1" x14ac:dyDescent="0.2"/>
    <row r="6756" s="689" customFormat="1" x14ac:dyDescent="0.2"/>
    <row r="6757" s="689" customFormat="1" x14ac:dyDescent="0.2"/>
    <row r="6758" s="689" customFormat="1" x14ac:dyDescent="0.2"/>
    <row r="6759" s="689" customFormat="1" x14ac:dyDescent="0.2"/>
    <row r="6760" s="689" customFormat="1" x14ac:dyDescent="0.2"/>
    <row r="6761" s="689" customFormat="1" x14ac:dyDescent="0.2"/>
    <row r="6762" s="689" customFormat="1" x14ac:dyDescent="0.2"/>
    <row r="6763" s="689" customFormat="1" x14ac:dyDescent="0.2"/>
    <row r="6764" s="689" customFormat="1" x14ac:dyDescent="0.2"/>
    <row r="6765" s="689" customFormat="1" x14ac:dyDescent="0.2"/>
    <row r="6766" s="689" customFormat="1" x14ac:dyDescent="0.2"/>
    <row r="6767" s="689" customFormat="1" x14ac:dyDescent="0.2"/>
    <row r="6768" s="689" customFormat="1" x14ac:dyDescent="0.2"/>
    <row r="6769" s="689" customFormat="1" x14ac:dyDescent="0.2"/>
    <row r="6770" s="689" customFormat="1" x14ac:dyDescent="0.2"/>
    <row r="6771" s="689" customFormat="1" x14ac:dyDescent="0.2"/>
    <row r="6772" s="689" customFormat="1" x14ac:dyDescent="0.2"/>
    <row r="6773" s="689" customFormat="1" x14ac:dyDescent="0.2"/>
    <row r="6774" s="689" customFormat="1" x14ac:dyDescent="0.2"/>
    <row r="6775" s="689" customFormat="1" x14ac:dyDescent="0.2"/>
    <row r="6776" s="689" customFormat="1" x14ac:dyDescent="0.2"/>
    <row r="6777" s="689" customFormat="1" x14ac:dyDescent="0.2"/>
    <row r="6778" s="689" customFormat="1" x14ac:dyDescent="0.2"/>
    <row r="6779" s="689" customFormat="1" x14ac:dyDescent="0.2"/>
    <row r="6780" s="689" customFormat="1" x14ac:dyDescent="0.2"/>
    <row r="6781" s="689" customFormat="1" x14ac:dyDescent="0.2"/>
    <row r="6782" s="689" customFormat="1" x14ac:dyDescent="0.2"/>
    <row r="6783" s="689" customFormat="1" x14ac:dyDescent="0.2"/>
    <row r="6784" s="689" customFormat="1" x14ac:dyDescent="0.2"/>
    <row r="6785" s="689" customFormat="1" x14ac:dyDescent="0.2"/>
    <row r="6786" s="689" customFormat="1" x14ac:dyDescent="0.2"/>
    <row r="6787" s="689" customFormat="1" x14ac:dyDescent="0.2"/>
    <row r="6788" s="689" customFormat="1" x14ac:dyDescent="0.2"/>
    <row r="6789" s="689" customFormat="1" x14ac:dyDescent="0.2"/>
    <row r="6790" s="689" customFormat="1" x14ac:dyDescent="0.2"/>
    <row r="6791" s="689" customFormat="1" x14ac:dyDescent="0.2"/>
    <row r="6792" s="689" customFormat="1" x14ac:dyDescent="0.2"/>
    <row r="6793" s="689" customFormat="1" x14ac:dyDescent="0.2"/>
    <row r="6794" s="689" customFormat="1" x14ac:dyDescent="0.2"/>
    <row r="6795" s="689" customFormat="1" x14ac:dyDescent="0.2"/>
    <row r="6796" s="689" customFormat="1" x14ac:dyDescent="0.2"/>
    <row r="6797" s="689" customFormat="1" x14ac:dyDescent="0.2"/>
    <row r="6798" s="689" customFormat="1" x14ac:dyDescent="0.2"/>
    <row r="6799" s="689" customFormat="1" x14ac:dyDescent="0.2"/>
    <row r="6800" s="689" customFormat="1" x14ac:dyDescent="0.2"/>
    <row r="6801" s="689" customFormat="1" x14ac:dyDescent="0.2"/>
    <row r="6802" s="689" customFormat="1" x14ac:dyDescent="0.2"/>
    <row r="6803" s="689" customFormat="1" x14ac:dyDescent="0.2"/>
    <row r="6804" s="689" customFormat="1" x14ac:dyDescent="0.2"/>
    <row r="6805" s="689" customFormat="1" x14ac:dyDescent="0.2"/>
    <row r="6806" s="689" customFormat="1" x14ac:dyDescent="0.2"/>
    <row r="6807" s="689" customFormat="1" x14ac:dyDescent="0.2"/>
    <row r="6808" s="689" customFormat="1" x14ac:dyDescent="0.2"/>
    <row r="6809" s="689" customFormat="1" x14ac:dyDescent="0.2"/>
    <row r="6810" s="689" customFormat="1" x14ac:dyDescent="0.2"/>
    <row r="6811" s="689" customFormat="1" x14ac:dyDescent="0.2"/>
    <row r="6812" s="689" customFormat="1" x14ac:dyDescent="0.2"/>
    <row r="6813" s="689" customFormat="1" x14ac:dyDescent="0.2"/>
    <row r="6814" s="689" customFormat="1" x14ac:dyDescent="0.2"/>
    <row r="6815" s="689" customFormat="1" x14ac:dyDescent="0.2"/>
    <row r="6816" s="689" customFormat="1" x14ac:dyDescent="0.2"/>
    <row r="6817" s="689" customFormat="1" x14ac:dyDescent="0.2"/>
    <row r="6818" s="689" customFormat="1" x14ac:dyDescent="0.2"/>
    <row r="6819" s="689" customFormat="1" x14ac:dyDescent="0.2"/>
    <row r="6820" s="689" customFormat="1" x14ac:dyDescent="0.2"/>
    <row r="6821" s="689" customFormat="1" x14ac:dyDescent="0.2"/>
    <row r="6822" s="689" customFormat="1" x14ac:dyDescent="0.2"/>
    <row r="6823" s="689" customFormat="1" x14ac:dyDescent="0.2"/>
    <row r="6824" s="689" customFormat="1" x14ac:dyDescent="0.2"/>
    <row r="6825" s="689" customFormat="1" x14ac:dyDescent="0.2"/>
    <row r="6826" s="689" customFormat="1" x14ac:dyDescent="0.2"/>
    <row r="6827" s="689" customFormat="1" x14ac:dyDescent="0.2"/>
    <row r="6828" s="689" customFormat="1" x14ac:dyDescent="0.2"/>
    <row r="6829" s="689" customFormat="1" x14ac:dyDescent="0.2"/>
    <row r="6830" s="689" customFormat="1" x14ac:dyDescent="0.2"/>
    <row r="6831" s="689" customFormat="1" x14ac:dyDescent="0.2"/>
    <row r="6832" s="689" customFormat="1" x14ac:dyDescent="0.2"/>
    <row r="6833" s="689" customFormat="1" x14ac:dyDescent="0.2"/>
    <row r="6834" s="689" customFormat="1" x14ac:dyDescent="0.2"/>
    <row r="6835" s="689" customFormat="1" x14ac:dyDescent="0.2"/>
    <row r="6836" s="689" customFormat="1" x14ac:dyDescent="0.2"/>
    <row r="6837" s="689" customFormat="1" x14ac:dyDescent="0.2"/>
    <row r="6838" s="689" customFormat="1" x14ac:dyDescent="0.2"/>
    <row r="6839" s="689" customFormat="1" x14ac:dyDescent="0.2"/>
    <row r="6840" s="689" customFormat="1" x14ac:dyDescent="0.2"/>
    <row r="6841" s="689" customFormat="1" x14ac:dyDescent="0.2"/>
    <row r="6842" s="689" customFormat="1" x14ac:dyDescent="0.2"/>
    <row r="6843" s="689" customFormat="1" x14ac:dyDescent="0.2"/>
    <row r="6844" s="689" customFormat="1" x14ac:dyDescent="0.2"/>
    <row r="6845" s="689" customFormat="1" x14ac:dyDescent="0.2"/>
    <row r="6846" s="689" customFormat="1" x14ac:dyDescent="0.2"/>
    <row r="6847" s="689" customFormat="1" x14ac:dyDescent="0.2"/>
    <row r="6848" s="689" customFormat="1" x14ac:dyDescent="0.2"/>
    <row r="6849" s="689" customFormat="1" x14ac:dyDescent="0.2"/>
    <row r="6850" s="689" customFormat="1" x14ac:dyDescent="0.2"/>
    <row r="6851" s="689" customFormat="1" x14ac:dyDescent="0.2"/>
    <row r="6852" s="689" customFormat="1" x14ac:dyDescent="0.2"/>
    <row r="6853" s="689" customFormat="1" x14ac:dyDescent="0.2"/>
    <row r="6854" s="689" customFormat="1" x14ac:dyDescent="0.2"/>
    <row r="6855" s="689" customFormat="1" x14ac:dyDescent="0.2"/>
    <row r="6856" s="689" customFormat="1" x14ac:dyDescent="0.2"/>
    <row r="6857" s="689" customFormat="1" x14ac:dyDescent="0.2"/>
    <row r="6858" s="689" customFormat="1" x14ac:dyDescent="0.2"/>
    <row r="6859" s="689" customFormat="1" x14ac:dyDescent="0.2"/>
    <row r="6860" s="689" customFormat="1" x14ac:dyDescent="0.2"/>
    <row r="6861" s="689" customFormat="1" x14ac:dyDescent="0.2"/>
    <row r="6862" s="689" customFormat="1" x14ac:dyDescent="0.2"/>
    <row r="6863" s="689" customFormat="1" x14ac:dyDescent="0.2"/>
    <row r="6864" s="689" customFormat="1" x14ac:dyDescent="0.2"/>
    <row r="6865" s="689" customFormat="1" x14ac:dyDescent="0.2"/>
    <row r="6866" s="689" customFormat="1" x14ac:dyDescent="0.2"/>
    <row r="6867" s="689" customFormat="1" x14ac:dyDescent="0.2"/>
    <row r="6868" s="689" customFormat="1" x14ac:dyDescent="0.2"/>
    <row r="6869" s="689" customFormat="1" x14ac:dyDescent="0.2"/>
    <row r="6870" s="689" customFormat="1" x14ac:dyDescent="0.2"/>
    <row r="6871" s="689" customFormat="1" x14ac:dyDescent="0.2"/>
    <row r="6872" s="689" customFormat="1" x14ac:dyDescent="0.2"/>
    <row r="6873" s="689" customFormat="1" x14ac:dyDescent="0.2"/>
    <row r="6874" s="689" customFormat="1" x14ac:dyDescent="0.2"/>
    <row r="6875" s="689" customFormat="1" x14ac:dyDescent="0.2"/>
    <row r="6876" s="689" customFormat="1" x14ac:dyDescent="0.2"/>
    <row r="6877" s="689" customFormat="1" x14ac:dyDescent="0.2"/>
    <row r="6878" s="689" customFormat="1" x14ac:dyDescent="0.2"/>
    <row r="6879" s="689" customFormat="1" x14ac:dyDescent="0.2"/>
    <row r="6880" s="689" customFormat="1" x14ac:dyDescent="0.2"/>
    <row r="6881" s="689" customFormat="1" x14ac:dyDescent="0.2"/>
    <row r="6882" s="689" customFormat="1" x14ac:dyDescent="0.2"/>
    <row r="6883" s="689" customFormat="1" x14ac:dyDescent="0.2"/>
    <row r="6884" s="689" customFormat="1" x14ac:dyDescent="0.2"/>
    <row r="6885" s="689" customFormat="1" x14ac:dyDescent="0.2"/>
    <row r="6886" s="689" customFormat="1" x14ac:dyDescent="0.2"/>
    <row r="6887" s="689" customFormat="1" x14ac:dyDescent="0.2"/>
    <row r="6888" s="689" customFormat="1" x14ac:dyDescent="0.2"/>
    <row r="6889" s="689" customFormat="1" x14ac:dyDescent="0.2"/>
    <row r="6890" s="689" customFormat="1" x14ac:dyDescent="0.2"/>
    <row r="6891" s="689" customFormat="1" x14ac:dyDescent="0.2"/>
    <row r="6892" s="689" customFormat="1" x14ac:dyDescent="0.2"/>
    <row r="6893" s="689" customFormat="1" x14ac:dyDescent="0.2"/>
    <row r="6894" s="689" customFormat="1" x14ac:dyDescent="0.2"/>
    <row r="6895" s="689" customFormat="1" x14ac:dyDescent="0.2"/>
    <row r="6896" s="689" customFormat="1" x14ac:dyDescent="0.2"/>
    <row r="6897" s="689" customFormat="1" x14ac:dyDescent="0.2"/>
    <row r="6898" s="689" customFormat="1" x14ac:dyDescent="0.2"/>
    <row r="6899" s="689" customFormat="1" x14ac:dyDescent="0.2"/>
    <row r="6900" s="689" customFormat="1" x14ac:dyDescent="0.2"/>
    <row r="6901" s="689" customFormat="1" x14ac:dyDescent="0.2"/>
    <row r="6902" s="689" customFormat="1" x14ac:dyDescent="0.2"/>
    <row r="6903" s="689" customFormat="1" x14ac:dyDescent="0.2"/>
    <row r="6904" s="689" customFormat="1" x14ac:dyDescent="0.2"/>
    <row r="6905" s="689" customFormat="1" x14ac:dyDescent="0.2"/>
    <row r="6906" s="689" customFormat="1" x14ac:dyDescent="0.2"/>
    <row r="6907" s="689" customFormat="1" x14ac:dyDescent="0.2"/>
    <row r="6908" s="689" customFormat="1" x14ac:dyDescent="0.2"/>
    <row r="6909" s="689" customFormat="1" x14ac:dyDescent="0.2"/>
    <row r="6910" s="689" customFormat="1" x14ac:dyDescent="0.2"/>
    <row r="6911" s="689" customFormat="1" x14ac:dyDescent="0.2"/>
    <row r="6912" s="689" customFormat="1" x14ac:dyDescent="0.2"/>
    <row r="6913" s="689" customFormat="1" x14ac:dyDescent="0.2"/>
    <row r="6914" s="689" customFormat="1" x14ac:dyDescent="0.2"/>
    <row r="6915" s="689" customFormat="1" x14ac:dyDescent="0.2"/>
    <row r="6916" s="689" customFormat="1" x14ac:dyDescent="0.2"/>
    <row r="6917" s="689" customFormat="1" x14ac:dyDescent="0.2"/>
    <row r="6918" s="689" customFormat="1" x14ac:dyDescent="0.2"/>
    <row r="6919" s="689" customFormat="1" x14ac:dyDescent="0.2"/>
    <row r="6920" s="689" customFormat="1" x14ac:dyDescent="0.2"/>
    <row r="6921" s="689" customFormat="1" x14ac:dyDescent="0.2"/>
    <row r="6922" s="689" customFormat="1" x14ac:dyDescent="0.2"/>
    <row r="6923" s="689" customFormat="1" x14ac:dyDescent="0.2"/>
    <row r="6924" s="689" customFormat="1" x14ac:dyDescent="0.2"/>
    <row r="6925" s="689" customFormat="1" x14ac:dyDescent="0.2"/>
    <row r="6926" s="689" customFormat="1" x14ac:dyDescent="0.2"/>
    <row r="6927" s="689" customFormat="1" x14ac:dyDescent="0.2"/>
    <row r="6928" s="689" customFormat="1" x14ac:dyDescent="0.2"/>
    <row r="6929" s="689" customFormat="1" x14ac:dyDescent="0.2"/>
    <row r="6930" s="689" customFormat="1" x14ac:dyDescent="0.2"/>
    <row r="6931" s="689" customFormat="1" x14ac:dyDescent="0.2"/>
    <row r="6932" s="689" customFormat="1" x14ac:dyDescent="0.2"/>
    <row r="6933" s="689" customFormat="1" x14ac:dyDescent="0.2"/>
    <row r="6934" s="689" customFormat="1" x14ac:dyDescent="0.2"/>
    <row r="6935" s="689" customFormat="1" x14ac:dyDescent="0.2"/>
    <row r="6936" s="689" customFormat="1" x14ac:dyDescent="0.2"/>
    <row r="6937" s="689" customFormat="1" x14ac:dyDescent="0.2"/>
    <row r="6938" s="689" customFormat="1" x14ac:dyDescent="0.2"/>
    <row r="6939" s="689" customFormat="1" x14ac:dyDescent="0.2"/>
    <row r="6940" s="689" customFormat="1" x14ac:dyDescent="0.2"/>
    <row r="6941" s="689" customFormat="1" x14ac:dyDescent="0.2"/>
    <row r="6942" s="689" customFormat="1" x14ac:dyDescent="0.2"/>
    <row r="6943" s="689" customFormat="1" x14ac:dyDescent="0.2"/>
    <row r="6944" s="689" customFormat="1" x14ac:dyDescent="0.2"/>
    <row r="6945" s="689" customFormat="1" x14ac:dyDescent="0.2"/>
    <row r="6946" s="689" customFormat="1" x14ac:dyDescent="0.2"/>
    <row r="6947" s="689" customFormat="1" x14ac:dyDescent="0.2"/>
    <row r="6948" s="689" customFormat="1" x14ac:dyDescent="0.2"/>
    <row r="6949" s="689" customFormat="1" x14ac:dyDescent="0.2"/>
    <row r="6950" s="689" customFormat="1" x14ac:dyDescent="0.2"/>
    <row r="6951" s="689" customFormat="1" x14ac:dyDescent="0.2"/>
    <row r="6952" s="689" customFormat="1" x14ac:dyDescent="0.2"/>
    <row r="6953" s="689" customFormat="1" x14ac:dyDescent="0.2"/>
    <row r="6954" s="689" customFormat="1" x14ac:dyDescent="0.2"/>
    <row r="6955" s="689" customFormat="1" x14ac:dyDescent="0.2"/>
    <row r="6956" s="689" customFormat="1" x14ac:dyDescent="0.2"/>
    <row r="6957" s="689" customFormat="1" x14ac:dyDescent="0.2"/>
    <row r="6958" s="689" customFormat="1" x14ac:dyDescent="0.2"/>
    <row r="6959" s="689" customFormat="1" x14ac:dyDescent="0.2"/>
    <row r="6960" s="689" customFormat="1" x14ac:dyDescent="0.2"/>
    <row r="6961" s="689" customFormat="1" x14ac:dyDescent="0.2"/>
    <row r="6962" s="689" customFormat="1" x14ac:dyDescent="0.2"/>
    <row r="6963" s="689" customFormat="1" x14ac:dyDescent="0.2"/>
    <row r="6964" s="689" customFormat="1" x14ac:dyDescent="0.2"/>
    <row r="6965" s="689" customFormat="1" x14ac:dyDescent="0.2"/>
    <row r="6966" s="689" customFormat="1" x14ac:dyDescent="0.2"/>
    <row r="6967" s="689" customFormat="1" x14ac:dyDescent="0.2"/>
    <row r="6968" s="689" customFormat="1" x14ac:dyDescent="0.2"/>
    <row r="6969" s="689" customFormat="1" x14ac:dyDescent="0.2"/>
    <row r="6970" s="689" customFormat="1" x14ac:dyDescent="0.2"/>
    <row r="6971" s="689" customFormat="1" x14ac:dyDescent="0.2"/>
    <row r="6972" s="689" customFormat="1" x14ac:dyDescent="0.2"/>
    <row r="6973" s="689" customFormat="1" x14ac:dyDescent="0.2"/>
    <row r="6974" s="689" customFormat="1" x14ac:dyDescent="0.2"/>
    <row r="6975" s="689" customFormat="1" x14ac:dyDescent="0.2"/>
    <row r="6976" s="689" customFormat="1" x14ac:dyDescent="0.2"/>
    <row r="6977" s="689" customFormat="1" x14ac:dyDescent="0.2"/>
    <row r="6978" s="689" customFormat="1" x14ac:dyDescent="0.2"/>
    <row r="6979" s="689" customFormat="1" x14ac:dyDescent="0.2"/>
    <row r="6980" s="689" customFormat="1" x14ac:dyDescent="0.2"/>
    <row r="6981" s="689" customFormat="1" x14ac:dyDescent="0.2"/>
    <row r="6982" s="689" customFormat="1" x14ac:dyDescent="0.2"/>
    <row r="6983" s="689" customFormat="1" x14ac:dyDescent="0.2"/>
    <row r="6984" s="689" customFormat="1" x14ac:dyDescent="0.2"/>
    <row r="6985" s="689" customFormat="1" x14ac:dyDescent="0.2"/>
    <row r="6986" s="689" customFormat="1" x14ac:dyDescent="0.2"/>
    <row r="6987" s="689" customFormat="1" x14ac:dyDescent="0.2"/>
    <row r="6988" s="689" customFormat="1" x14ac:dyDescent="0.2"/>
    <row r="6989" s="689" customFormat="1" x14ac:dyDescent="0.2"/>
    <row r="6990" s="689" customFormat="1" x14ac:dyDescent="0.2"/>
    <row r="6991" s="689" customFormat="1" x14ac:dyDescent="0.2"/>
    <row r="6992" s="689" customFormat="1" x14ac:dyDescent="0.2"/>
    <row r="6993" s="689" customFormat="1" x14ac:dyDescent="0.2"/>
    <row r="6994" s="689" customFormat="1" x14ac:dyDescent="0.2"/>
    <row r="6995" s="689" customFormat="1" x14ac:dyDescent="0.2"/>
    <row r="6996" s="689" customFormat="1" x14ac:dyDescent="0.2"/>
    <row r="6997" s="689" customFormat="1" x14ac:dyDescent="0.2"/>
    <row r="6998" s="689" customFormat="1" x14ac:dyDescent="0.2"/>
    <row r="6999" s="689" customFormat="1" x14ac:dyDescent="0.2"/>
    <row r="7000" s="689" customFormat="1" x14ac:dyDescent="0.2"/>
    <row r="7001" s="689" customFormat="1" x14ac:dyDescent="0.2"/>
    <row r="7002" s="689" customFormat="1" x14ac:dyDescent="0.2"/>
    <row r="7003" s="689" customFormat="1" x14ac:dyDescent="0.2"/>
    <row r="7004" s="689" customFormat="1" x14ac:dyDescent="0.2"/>
    <row r="7005" s="689" customFormat="1" x14ac:dyDescent="0.2"/>
    <row r="7006" s="689" customFormat="1" x14ac:dyDescent="0.2"/>
    <row r="7007" s="689" customFormat="1" x14ac:dyDescent="0.2"/>
    <row r="7008" s="689" customFormat="1" x14ac:dyDescent="0.2"/>
    <row r="7009" s="689" customFormat="1" x14ac:dyDescent="0.2"/>
    <row r="7010" s="689" customFormat="1" x14ac:dyDescent="0.2"/>
    <row r="7011" s="689" customFormat="1" x14ac:dyDescent="0.2"/>
    <row r="7012" s="689" customFormat="1" x14ac:dyDescent="0.2"/>
    <row r="7013" s="689" customFormat="1" x14ac:dyDescent="0.2"/>
    <row r="7014" s="689" customFormat="1" x14ac:dyDescent="0.2"/>
    <row r="7015" s="689" customFormat="1" x14ac:dyDescent="0.2"/>
    <row r="7016" s="689" customFormat="1" x14ac:dyDescent="0.2"/>
    <row r="7017" s="689" customFormat="1" x14ac:dyDescent="0.2"/>
    <row r="7018" s="689" customFormat="1" x14ac:dyDescent="0.2"/>
    <row r="7019" s="689" customFormat="1" x14ac:dyDescent="0.2"/>
    <row r="7020" s="689" customFormat="1" x14ac:dyDescent="0.2"/>
    <row r="7021" s="689" customFormat="1" x14ac:dyDescent="0.2"/>
    <row r="7022" s="689" customFormat="1" x14ac:dyDescent="0.2"/>
    <row r="7023" s="689" customFormat="1" x14ac:dyDescent="0.2"/>
    <row r="7024" s="689" customFormat="1" x14ac:dyDescent="0.2"/>
    <row r="7025" s="689" customFormat="1" x14ac:dyDescent="0.2"/>
    <row r="7026" s="689" customFormat="1" x14ac:dyDescent="0.2"/>
    <row r="7027" s="689" customFormat="1" x14ac:dyDescent="0.2"/>
    <row r="7028" s="689" customFormat="1" x14ac:dyDescent="0.2"/>
    <row r="7029" s="689" customFormat="1" x14ac:dyDescent="0.2"/>
    <row r="7030" s="689" customFormat="1" x14ac:dyDescent="0.2"/>
    <row r="7031" s="689" customFormat="1" x14ac:dyDescent="0.2"/>
    <row r="7032" s="689" customFormat="1" x14ac:dyDescent="0.2"/>
    <row r="7033" s="689" customFormat="1" x14ac:dyDescent="0.2"/>
    <row r="7034" s="689" customFormat="1" x14ac:dyDescent="0.2"/>
    <row r="7035" s="689" customFormat="1" x14ac:dyDescent="0.2"/>
    <row r="7036" s="689" customFormat="1" x14ac:dyDescent="0.2"/>
    <row r="7037" s="689" customFormat="1" x14ac:dyDescent="0.2"/>
    <row r="7038" s="689" customFormat="1" x14ac:dyDescent="0.2"/>
    <row r="7039" s="689" customFormat="1" x14ac:dyDescent="0.2"/>
    <row r="7040" s="689" customFormat="1" x14ac:dyDescent="0.2"/>
    <row r="7041" s="689" customFormat="1" x14ac:dyDescent="0.2"/>
    <row r="7042" s="689" customFormat="1" x14ac:dyDescent="0.2"/>
    <row r="7043" s="689" customFormat="1" x14ac:dyDescent="0.2"/>
    <row r="7044" s="689" customFormat="1" x14ac:dyDescent="0.2"/>
    <row r="7045" s="689" customFormat="1" x14ac:dyDescent="0.2"/>
    <row r="7046" s="689" customFormat="1" x14ac:dyDescent="0.2"/>
    <row r="7047" s="689" customFormat="1" x14ac:dyDescent="0.2"/>
    <row r="7048" s="689" customFormat="1" x14ac:dyDescent="0.2"/>
    <row r="7049" s="689" customFormat="1" x14ac:dyDescent="0.2"/>
    <row r="7050" s="689" customFormat="1" x14ac:dyDescent="0.2"/>
    <row r="7051" s="689" customFormat="1" x14ac:dyDescent="0.2"/>
    <row r="7052" s="689" customFormat="1" x14ac:dyDescent="0.2"/>
    <row r="7053" s="689" customFormat="1" x14ac:dyDescent="0.2"/>
    <row r="7054" s="689" customFormat="1" x14ac:dyDescent="0.2"/>
    <row r="7055" s="689" customFormat="1" x14ac:dyDescent="0.2"/>
    <row r="7056" s="689" customFormat="1" x14ac:dyDescent="0.2"/>
    <row r="7057" s="689" customFormat="1" x14ac:dyDescent="0.2"/>
    <row r="7058" s="689" customFormat="1" x14ac:dyDescent="0.2"/>
    <row r="7059" s="689" customFormat="1" x14ac:dyDescent="0.2"/>
    <row r="7060" s="689" customFormat="1" x14ac:dyDescent="0.2"/>
    <row r="7061" s="689" customFormat="1" x14ac:dyDescent="0.2"/>
    <row r="7062" s="689" customFormat="1" x14ac:dyDescent="0.2"/>
    <row r="7063" s="689" customFormat="1" x14ac:dyDescent="0.2"/>
    <row r="7064" s="689" customFormat="1" x14ac:dyDescent="0.2"/>
    <row r="7065" s="689" customFormat="1" x14ac:dyDescent="0.2"/>
    <row r="7066" s="689" customFormat="1" x14ac:dyDescent="0.2"/>
    <row r="7067" s="689" customFormat="1" x14ac:dyDescent="0.2"/>
    <row r="7068" s="689" customFormat="1" x14ac:dyDescent="0.2"/>
    <row r="7069" s="689" customFormat="1" x14ac:dyDescent="0.2"/>
    <row r="7070" s="689" customFormat="1" x14ac:dyDescent="0.2"/>
    <row r="7071" s="689" customFormat="1" x14ac:dyDescent="0.2"/>
    <row r="7072" s="689" customFormat="1" x14ac:dyDescent="0.2"/>
    <row r="7073" s="689" customFormat="1" x14ac:dyDescent="0.2"/>
    <row r="7074" s="689" customFormat="1" x14ac:dyDescent="0.2"/>
    <row r="7075" s="689" customFormat="1" x14ac:dyDescent="0.2"/>
    <row r="7076" s="689" customFormat="1" x14ac:dyDescent="0.2"/>
    <row r="7077" s="689" customFormat="1" x14ac:dyDescent="0.2"/>
    <row r="7078" s="689" customFormat="1" x14ac:dyDescent="0.2"/>
    <row r="7079" s="689" customFormat="1" x14ac:dyDescent="0.2"/>
    <row r="7080" s="689" customFormat="1" x14ac:dyDescent="0.2"/>
    <row r="7081" s="689" customFormat="1" x14ac:dyDescent="0.2"/>
    <row r="7082" s="689" customFormat="1" x14ac:dyDescent="0.2"/>
    <row r="7083" s="689" customFormat="1" x14ac:dyDescent="0.2"/>
    <row r="7084" s="689" customFormat="1" x14ac:dyDescent="0.2"/>
    <row r="7085" s="689" customFormat="1" x14ac:dyDescent="0.2"/>
    <row r="7086" s="689" customFormat="1" x14ac:dyDescent="0.2"/>
    <row r="7087" s="689" customFormat="1" x14ac:dyDescent="0.2"/>
    <row r="7088" s="689" customFormat="1" x14ac:dyDescent="0.2"/>
    <row r="7089" s="689" customFormat="1" x14ac:dyDescent="0.2"/>
    <row r="7090" s="689" customFormat="1" x14ac:dyDescent="0.2"/>
    <row r="7091" s="689" customFormat="1" x14ac:dyDescent="0.2"/>
    <row r="7092" s="689" customFormat="1" x14ac:dyDescent="0.2"/>
    <row r="7093" s="689" customFormat="1" x14ac:dyDescent="0.2"/>
    <row r="7094" s="689" customFormat="1" x14ac:dyDescent="0.2"/>
    <row r="7095" s="689" customFormat="1" x14ac:dyDescent="0.2"/>
    <row r="7096" s="689" customFormat="1" x14ac:dyDescent="0.2"/>
    <row r="7097" s="689" customFormat="1" x14ac:dyDescent="0.2"/>
    <row r="7098" s="689" customFormat="1" x14ac:dyDescent="0.2"/>
    <row r="7099" s="689" customFormat="1" x14ac:dyDescent="0.2"/>
    <row r="7100" s="689" customFormat="1" x14ac:dyDescent="0.2"/>
    <row r="7101" s="689" customFormat="1" x14ac:dyDescent="0.2"/>
    <row r="7102" s="689" customFormat="1" x14ac:dyDescent="0.2"/>
    <row r="7103" s="689" customFormat="1" x14ac:dyDescent="0.2"/>
    <row r="7104" s="689" customFormat="1" x14ac:dyDescent="0.2"/>
    <row r="7105" s="689" customFormat="1" x14ac:dyDescent="0.2"/>
    <row r="7106" s="689" customFormat="1" x14ac:dyDescent="0.2"/>
    <row r="7107" s="689" customFormat="1" x14ac:dyDescent="0.2"/>
    <row r="7108" s="689" customFormat="1" x14ac:dyDescent="0.2"/>
    <row r="7109" s="689" customFormat="1" x14ac:dyDescent="0.2"/>
    <row r="7110" s="689" customFormat="1" x14ac:dyDescent="0.2"/>
    <row r="7111" s="689" customFormat="1" x14ac:dyDescent="0.2"/>
    <row r="7112" s="689" customFormat="1" x14ac:dyDescent="0.2"/>
    <row r="7113" s="689" customFormat="1" x14ac:dyDescent="0.2"/>
    <row r="7114" s="689" customFormat="1" x14ac:dyDescent="0.2"/>
    <row r="7115" s="689" customFormat="1" x14ac:dyDescent="0.2"/>
    <row r="7116" s="689" customFormat="1" x14ac:dyDescent="0.2"/>
    <row r="7117" s="689" customFormat="1" x14ac:dyDescent="0.2"/>
    <row r="7118" s="689" customFormat="1" x14ac:dyDescent="0.2"/>
    <row r="7119" s="689" customFormat="1" x14ac:dyDescent="0.2"/>
    <row r="7120" s="689" customFormat="1" x14ac:dyDescent="0.2"/>
    <row r="7121" s="689" customFormat="1" x14ac:dyDescent="0.2"/>
    <row r="7122" s="689" customFormat="1" x14ac:dyDescent="0.2"/>
    <row r="7123" s="689" customFormat="1" x14ac:dyDescent="0.2"/>
    <row r="7124" s="689" customFormat="1" x14ac:dyDescent="0.2"/>
    <row r="7125" s="689" customFormat="1" x14ac:dyDescent="0.2"/>
    <row r="7126" s="689" customFormat="1" x14ac:dyDescent="0.2"/>
    <row r="7127" s="689" customFormat="1" x14ac:dyDescent="0.2"/>
    <row r="7128" s="689" customFormat="1" x14ac:dyDescent="0.2"/>
    <row r="7129" s="689" customFormat="1" x14ac:dyDescent="0.2"/>
    <row r="7130" s="689" customFormat="1" x14ac:dyDescent="0.2"/>
    <row r="7131" s="689" customFormat="1" x14ac:dyDescent="0.2"/>
    <row r="7132" s="689" customFormat="1" x14ac:dyDescent="0.2"/>
    <row r="7133" s="689" customFormat="1" x14ac:dyDescent="0.2"/>
    <row r="7134" s="689" customFormat="1" x14ac:dyDescent="0.2"/>
    <row r="7135" s="689" customFormat="1" x14ac:dyDescent="0.2"/>
    <row r="7136" s="689" customFormat="1" x14ac:dyDescent="0.2"/>
    <row r="7137" s="689" customFormat="1" x14ac:dyDescent="0.2"/>
    <row r="7138" s="689" customFormat="1" x14ac:dyDescent="0.2"/>
    <row r="7139" s="689" customFormat="1" x14ac:dyDescent="0.2"/>
    <row r="7140" s="689" customFormat="1" x14ac:dyDescent="0.2"/>
    <row r="7141" s="689" customFormat="1" x14ac:dyDescent="0.2"/>
    <row r="7142" s="689" customFormat="1" x14ac:dyDescent="0.2"/>
    <row r="7143" s="689" customFormat="1" x14ac:dyDescent="0.2"/>
    <row r="7144" s="689" customFormat="1" x14ac:dyDescent="0.2"/>
    <row r="7145" s="689" customFormat="1" x14ac:dyDescent="0.2"/>
    <row r="7146" s="689" customFormat="1" x14ac:dyDescent="0.2"/>
    <row r="7147" s="689" customFormat="1" x14ac:dyDescent="0.2"/>
    <row r="7148" s="689" customFormat="1" x14ac:dyDescent="0.2"/>
    <row r="7149" s="689" customFormat="1" x14ac:dyDescent="0.2"/>
    <row r="7150" s="689" customFormat="1" x14ac:dyDescent="0.2"/>
    <row r="7151" s="689" customFormat="1" x14ac:dyDescent="0.2"/>
    <row r="7152" s="689" customFormat="1" x14ac:dyDescent="0.2"/>
    <row r="7153" s="689" customFormat="1" x14ac:dyDescent="0.2"/>
    <row r="7154" s="689" customFormat="1" x14ac:dyDescent="0.2"/>
    <row r="7155" s="689" customFormat="1" x14ac:dyDescent="0.2"/>
    <row r="7156" s="689" customFormat="1" x14ac:dyDescent="0.2"/>
    <row r="7157" s="689" customFormat="1" x14ac:dyDescent="0.2"/>
    <row r="7158" s="689" customFormat="1" x14ac:dyDescent="0.2"/>
    <row r="7159" s="689" customFormat="1" x14ac:dyDescent="0.2"/>
    <row r="7160" s="689" customFormat="1" x14ac:dyDescent="0.2"/>
    <row r="7161" s="689" customFormat="1" x14ac:dyDescent="0.2"/>
    <row r="7162" s="689" customFormat="1" x14ac:dyDescent="0.2"/>
    <row r="7163" s="689" customFormat="1" x14ac:dyDescent="0.2"/>
    <row r="7164" s="689" customFormat="1" x14ac:dyDescent="0.2"/>
    <row r="7165" s="689" customFormat="1" x14ac:dyDescent="0.2"/>
    <row r="7166" s="689" customFormat="1" x14ac:dyDescent="0.2"/>
    <row r="7167" s="689" customFormat="1" x14ac:dyDescent="0.2"/>
    <row r="7168" s="689" customFormat="1" x14ac:dyDescent="0.2"/>
    <row r="7169" s="689" customFormat="1" x14ac:dyDescent="0.2"/>
    <row r="7170" s="689" customFormat="1" x14ac:dyDescent="0.2"/>
    <row r="7171" s="689" customFormat="1" x14ac:dyDescent="0.2"/>
    <row r="7172" s="689" customFormat="1" x14ac:dyDescent="0.2"/>
    <row r="7173" s="689" customFormat="1" x14ac:dyDescent="0.2"/>
    <row r="7174" s="689" customFormat="1" x14ac:dyDescent="0.2"/>
    <row r="7175" s="689" customFormat="1" x14ac:dyDescent="0.2"/>
    <row r="7176" s="689" customFormat="1" x14ac:dyDescent="0.2"/>
    <row r="7177" s="689" customFormat="1" x14ac:dyDescent="0.2"/>
    <row r="7178" s="689" customFormat="1" x14ac:dyDescent="0.2"/>
    <row r="7179" s="689" customFormat="1" x14ac:dyDescent="0.2"/>
    <row r="7180" s="689" customFormat="1" x14ac:dyDescent="0.2"/>
    <row r="7181" s="689" customFormat="1" x14ac:dyDescent="0.2"/>
    <row r="7182" s="689" customFormat="1" x14ac:dyDescent="0.2"/>
    <row r="7183" s="689" customFormat="1" x14ac:dyDescent="0.2"/>
    <row r="7184" s="689" customFormat="1" x14ac:dyDescent="0.2"/>
    <row r="7185" s="689" customFormat="1" x14ac:dyDescent="0.2"/>
    <row r="7186" s="689" customFormat="1" x14ac:dyDescent="0.2"/>
    <row r="7187" s="689" customFormat="1" x14ac:dyDescent="0.2"/>
    <row r="7188" s="689" customFormat="1" x14ac:dyDescent="0.2"/>
    <row r="7189" s="689" customFormat="1" x14ac:dyDescent="0.2"/>
    <row r="7190" s="689" customFormat="1" x14ac:dyDescent="0.2"/>
    <row r="7191" s="689" customFormat="1" x14ac:dyDescent="0.2"/>
    <row r="7192" s="689" customFormat="1" x14ac:dyDescent="0.2"/>
    <row r="7193" s="689" customFormat="1" x14ac:dyDescent="0.2"/>
    <row r="7194" s="689" customFormat="1" x14ac:dyDescent="0.2"/>
    <row r="7195" s="689" customFormat="1" x14ac:dyDescent="0.2"/>
    <row r="7196" s="689" customFormat="1" x14ac:dyDescent="0.2"/>
    <row r="7197" s="689" customFormat="1" x14ac:dyDescent="0.2"/>
    <row r="7198" s="689" customFormat="1" x14ac:dyDescent="0.2"/>
    <row r="7199" s="689" customFormat="1" x14ac:dyDescent="0.2"/>
    <row r="7200" s="689" customFormat="1" x14ac:dyDescent="0.2"/>
    <row r="7201" s="689" customFormat="1" x14ac:dyDescent="0.2"/>
    <row r="7202" s="689" customFormat="1" x14ac:dyDescent="0.2"/>
    <row r="7203" s="689" customFormat="1" x14ac:dyDescent="0.2"/>
    <row r="7204" s="689" customFormat="1" x14ac:dyDescent="0.2"/>
    <row r="7205" s="689" customFormat="1" x14ac:dyDescent="0.2"/>
    <row r="7206" s="689" customFormat="1" x14ac:dyDescent="0.2"/>
    <row r="7207" s="689" customFormat="1" x14ac:dyDescent="0.2"/>
    <row r="7208" s="689" customFormat="1" x14ac:dyDescent="0.2"/>
    <row r="7209" s="689" customFormat="1" x14ac:dyDescent="0.2"/>
    <row r="7210" s="689" customFormat="1" x14ac:dyDescent="0.2"/>
    <row r="7211" s="689" customFormat="1" x14ac:dyDescent="0.2"/>
    <row r="7212" s="689" customFormat="1" x14ac:dyDescent="0.2"/>
    <row r="7213" s="689" customFormat="1" x14ac:dyDescent="0.2"/>
    <row r="7214" s="689" customFormat="1" x14ac:dyDescent="0.2"/>
    <row r="7215" s="689" customFormat="1" x14ac:dyDescent="0.2"/>
    <row r="7216" s="689" customFormat="1" x14ac:dyDescent="0.2"/>
    <row r="7217" s="689" customFormat="1" x14ac:dyDescent="0.2"/>
    <row r="7218" s="689" customFormat="1" x14ac:dyDescent="0.2"/>
    <row r="7219" s="689" customFormat="1" x14ac:dyDescent="0.2"/>
    <row r="7220" s="689" customFormat="1" x14ac:dyDescent="0.2"/>
    <row r="7221" s="689" customFormat="1" x14ac:dyDescent="0.2"/>
    <row r="7222" s="689" customFormat="1" x14ac:dyDescent="0.2"/>
    <row r="7223" s="689" customFormat="1" x14ac:dyDescent="0.2"/>
    <row r="7224" s="689" customFormat="1" x14ac:dyDescent="0.2"/>
    <row r="7225" s="689" customFormat="1" x14ac:dyDescent="0.2"/>
    <row r="7226" s="689" customFormat="1" x14ac:dyDescent="0.2"/>
    <row r="7227" s="689" customFormat="1" x14ac:dyDescent="0.2"/>
    <row r="7228" s="689" customFormat="1" x14ac:dyDescent="0.2"/>
    <row r="7229" s="689" customFormat="1" x14ac:dyDescent="0.2"/>
    <row r="7230" s="689" customFormat="1" x14ac:dyDescent="0.2"/>
    <row r="7231" s="689" customFormat="1" x14ac:dyDescent="0.2"/>
    <row r="7232" s="689" customFormat="1" x14ac:dyDescent="0.2"/>
    <row r="7233" s="689" customFormat="1" x14ac:dyDescent="0.2"/>
    <row r="7234" s="689" customFormat="1" x14ac:dyDescent="0.2"/>
    <row r="7235" s="689" customFormat="1" x14ac:dyDescent="0.2"/>
    <row r="7236" s="689" customFormat="1" x14ac:dyDescent="0.2"/>
    <row r="7237" s="689" customFormat="1" x14ac:dyDescent="0.2"/>
    <row r="7238" s="689" customFormat="1" x14ac:dyDescent="0.2"/>
    <row r="7239" s="689" customFormat="1" x14ac:dyDescent="0.2"/>
    <row r="7240" s="689" customFormat="1" x14ac:dyDescent="0.2"/>
    <row r="7241" s="689" customFormat="1" x14ac:dyDescent="0.2"/>
    <row r="7242" s="689" customFormat="1" x14ac:dyDescent="0.2"/>
    <row r="7243" s="689" customFormat="1" x14ac:dyDescent="0.2"/>
    <row r="7244" s="689" customFormat="1" x14ac:dyDescent="0.2"/>
    <row r="7245" s="689" customFormat="1" x14ac:dyDescent="0.2"/>
    <row r="7246" s="689" customFormat="1" x14ac:dyDescent="0.2"/>
    <row r="7247" s="689" customFormat="1" x14ac:dyDescent="0.2"/>
    <row r="7248" s="689" customFormat="1" x14ac:dyDescent="0.2"/>
    <row r="7249" s="689" customFormat="1" x14ac:dyDescent="0.2"/>
    <row r="7250" s="689" customFormat="1" x14ac:dyDescent="0.2"/>
    <row r="7251" s="689" customFormat="1" x14ac:dyDescent="0.2"/>
    <row r="7252" s="689" customFormat="1" x14ac:dyDescent="0.2"/>
    <row r="7253" s="689" customFormat="1" x14ac:dyDescent="0.2"/>
    <row r="7254" s="689" customFormat="1" x14ac:dyDescent="0.2"/>
    <row r="7255" s="689" customFormat="1" x14ac:dyDescent="0.2"/>
    <row r="7256" s="689" customFormat="1" x14ac:dyDescent="0.2"/>
    <row r="7257" s="689" customFormat="1" x14ac:dyDescent="0.2"/>
    <row r="7258" s="689" customFormat="1" x14ac:dyDescent="0.2"/>
    <row r="7259" s="689" customFormat="1" x14ac:dyDescent="0.2"/>
    <row r="7260" s="689" customFormat="1" x14ac:dyDescent="0.2"/>
    <row r="7261" s="689" customFormat="1" x14ac:dyDescent="0.2"/>
    <row r="7262" s="689" customFormat="1" x14ac:dyDescent="0.2"/>
    <row r="7263" s="689" customFormat="1" x14ac:dyDescent="0.2"/>
    <row r="7264" s="689" customFormat="1" x14ac:dyDescent="0.2"/>
    <row r="7265" s="689" customFormat="1" x14ac:dyDescent="0.2"/>
    <row r="7266" s="689" customFormat="1" x14ac:dyDescent="0.2"/>
    <row r="7267" s="689" customFormat="1" x14ac:dyDescent="0.2"/>
    <row r="7268" s="689" customFormat="1" x14ac:dyDescent="0.2"/>
    <row r="7269" s="689" customFormat="1" x14ac:dyDescent="0.2"/>
    <row r="7270" s="689" customFormat="1" x14ac:dyDescent="0.2"/>
    <row r="7271" s="689" customFormat="1" x14ac:dyDescent="0.2"/>
    <row r="7272" s="689" customFormat="1" x14ac:dyDescent="0.2"/>
    <row r="7273" s="689" customFormat="1" x14ac:dyDescent="0.2"/>
    <row r="7274" s="689" customFormat="1" x14ac:dyDescent="0.2"/>
    <row r="7275" s="689" customFormat="1" x14ac:dyDescent="0.2"/>
    <row r="7276" s="689" customFormat="1" x14ac:dyDescent="0.2"/>
    <row r="7277" s="689" customFormat="1" x14ac:dyDescent="0.2"/>
    <row r="7278" s="689" customFormat="1" x14ac:dyDescent="0.2"/>
    <row r="7279" s="689" customFormat="1" x14ac:dyDescent="0.2"/>
    <row r="7280" s="689" customFormat="1" x14ac:dyDescent="0.2"/>
    <row r="7281" s="689" customFormat="1" x14ac:dyDescent="0.2"/>
    <row r="7282" s="689" customFormat="1" x14ac:dyDescent="0.2"/>
    <row r="7283" s="689" customFormat="1" x14ac:dyDescent="0.2"/>
    <row r="7284" s="689" customFormat="1" x14ac:dyDescent="0.2"/>
    <row r="7285" s="689" customFormat="1" x14ac:dyDescent="0.2"/>
    <row r="7286" s="689" customFormat="1" x14ac:dyDescent="0.2"/>
    <row r="7287" s="689" customFormat="1" x14ac:dyDescent="0.2"/>
    <row r="7288" s="689" customFormat="1" x14ac:dyDescent="0.2"/>
    <row r="7289" s="689" customFormat="1" x14ac:dyDescent="0.2"/>
    <row r="7290" s="689" customFormat="1" x14ac:dyDescent="0.2"/>
    <row r="7291" s="689" customFormat="1" x14ac:dyDescent="0.2"/>
    <row r="7292" s="689" customFormat="1" x14ac:dyDescent="0.2"/>
    <row r="7293" s="689" customFormat="1" x14ac:dyDescent="0.2"/>
    <row r="7294" s="689" customFormat="1" x14ac:dyDescent="0.2"/>
    <row r="7295" s="689" customFormat="1" x14ac:dyDescent="0.2"/>
    <row r="7296" s="689" customFormat="1" x14ac:dyDescent="0.2"/>
    <row r="7297" s="689" customFormat="1" x14ac:dyDescent="0.2"/>
    <row r="7298" s="689" customFormat="1" x14ac:dyDescent="0.2"/>
    <row r="7299" s="689" customFormat="1" x14ac:dyDescent="0.2"/>
    <row r="7300" s="689" customFormat="1" x14ac:dyDescent="0.2"/>
    <row r="7301" s="689" customFormat="1" x14ac:dyDescent="0.2"/>
    <row r="7302" s="689" customFormat="1" x14ac:dyDescent="0.2"/>
    <row r="7303" s="689" customFormat="1" x14ac:dyDescent="0.2"/>
    <row r="7304" s="689" customFormat="1" x14ac:dyDescent="0.2"/>
    <row r="7305" s="689" customFormat="1" x14ac:dyDescent="0.2"/>
    <row r="7306" s="689" customFormat="1" x14ac:dyDescent="0.2"/>
    <row r="7307" s="689" customFormat="1" x14ac:dyDescent="0.2"/>
    <row r="7308" s="689" customFormat="1" x14ac:dyDescent="0.2"/>
    <row r="7309" s="689" customFormat="1" x14ac:dyDescent="0.2"/>
    <row r="7310" s="689" customFormat="1" x14ac:dyDescent="0.2"/>
    <row r="7311" s="689" customFormat="1" x14ac:dyDescent="0.2"/>
    <row r="7312" s="689" customFormat="1" x14ac:dyDescent="0.2"/>
    <row r="7313" s="689" customFormat="1" x14ac:dyDescent="0.2"/>
    <row r="7314" s="689" customFormat="1" x14ac:dyDescent="0.2"/>
    <row r="7315" s="689" customFormat="1" x14ac:dyDescent="0.2"/>
    <row r="7316" s="689" customFormat="1" x14ac:dyDescent="0.2"/>
    <row r="7317" s="689" customFormat="1" x14ac:dyDescent="0.2"/>
    <row r="7318" s="689" customFormat="1" x14ac:dyDescent="0.2"/>
    <row r="7319" s="689" customFormat="1" x14ac:dyDescent="0.2"/>
    <row r="7320" s="689" customFormat="1" x14ac:dyDescent="0.2"/>
    <row r="7321" s="689" customFormat="1" x14ac:dyDescent="0.2"/>
    <row r="7322" s="689" customFormat="1" x14ac:dyDescent="0.2"/>
    <row r="7323" s="689" customFormat="1" x14ac:dyDescent="0.2"/>
    <row r="7324" s="689" customFormat="1" x14ac:dyDescent="0.2"/>
    <row r="7325" s="689" customFormat="1" x14ac:dyDescent="0.2"/>
    <row r="7326" s="689" customFormat="1" x14ac:dyDescent="0.2"/>
    <row r="7327" s="689" customFormat="1" x14ac:dyDescent="0.2"/>
    <row r="7328" s="689" customFormat="1" x14ac:dyDescent="0.2"/>
    <row r="7329" s="689" customFormat="1" x14ac:dyDescent="0.2"/>
    <row r="7330" s="689" customFormat="1" x14ac:dyDescent="0.2"/>
    <row r="7331" s="689" customFormat="1" x14ac:dyDescent="0.2"/>
    <row r="7332" s="689" customFormat="1" x14ac:dyDescent="0.2"/>
    <row r="7333" s="689" customFormat="1" x14ac:dyDescent="0.2"/>
    <row r="7334" s="689" customFormat="1" x14ac:dyDescent="0.2"/>
    <row r="7335" s="689" customFormat="1" x14ac:dyDescent="0.2"/>
    <row r="7336" s="689" customFormat="1" x14ac:dyDescent="0.2"/>
    <row r="7337" s="689" customFormat="1" x14ac:dyDescent="0.2"/>
    <row r="7338" s="689" customFormat="1" x14ac:dyDescent="0.2"/>
    <row r="7339" s="689" customFormat="1" x14ac:dyDescent="0.2"/>
    <row r="7340" s="689" customFormat="1" x14ac:dyDescent="0.2"/>
    <row r="7341" s="689" customFormat="1" x14ac:dyDescent="0.2"/>
    <row r="7342" s="689" customFormat="1" x14ac:dyDescent="0.2"/>
    <row r="7343" s="689" customFormat="1" x14ac:dyDescent="0.2"/>
    <row r="7344" s="689" customFormat="1" x14ac:dyDescent="0.2"/>
    <row r="7345" s="689" customFormat="1" x14ac:dyDescent="0.2"/>
    <row r="7346" s="689" customFormat="1" x14ac:dyDescent="0.2"/>
    <row r="7347" s="689" customFormat="1" x14ac:dyDescent="0.2"/>
    <row r="7348" s="689" customFormat="1" x14ac:dyDescent="0.2"/>
    <row r="7349" s="689" customFormat="1" x14ac:dyDescent="0.2"/>
    <row r="7350" s="689" customFormat="1" x14ac:dyDescent="0.2"/>
    <row r="7351" s="689" customFormat="1" x14ac:dyDescent="0.2"/>
    <row r="7352" s="689" customFormat="1" x14ac:dyDescent="0.2"/>
    <row r="7353" s="689" customFormat="1" x14ac:dyDescent="0.2"/>
    <row r="7354" s="689" customFormat="1" x14ac:dyDescent="0.2"/>
    <row r="7355" s="689" customFormat="1" x14ac:dyDescent="0.2"/>
    <row r="7356" s="689" customFormat="1" x14ac:dyDescent="0.2"/>
    <row r="7357" s="689" customFormat="1" x14ac:dyDescent="0.2"/>
    <row r="7358" s="689" customFormat="1" x14ac:dyDescent="0.2"/>
    <row r="7359" s="689" customFormat="1" x14ac:dyDescent="0.2"/>
    <row r="7360" s="689" customFormat="1" x14ac:dyDescent="0.2"/>
    <row r="7361" s="689" customFormat="1" x14ac:dyDescent="0.2"/>
    <row r="7362" s="689" customFormat="1" x14ac:dyDescent="0.2"/>
    <row r="7363" s="689" customFormat="1" x14ac:dyDescent="0.2"/>
    <row r="7364" s="689" customFormat="1" x14ac:dyDescent="0.2"/>
    <row r="7365" s="689" customFormat="1" x14ac:dyDescent="0.2"/>
    <row r="7366" s="689" customFormat="1" x14ac:dyDescent="0.2"/>
    <row r="7367" s="689" customFormat="1" x14ac:dyDescent="0.2"/>
    <row r="7368" s="689" customFormat="1" x14ac:dyDescent="0.2"/>
    <row r="7369" s="689" customFormat="1" x14ac:dyDescent="0.2"/>
    <row r="7370" s="689" customFormat="1" x14ac:dyDescent="0.2"/>
    <row r="7371" s="689" customFormat="1" x14ac:dyDescent="0.2"/>
    <row r="7372" s="689" customFormat="1" x14ac:dyDescent="0.2"/>
    <row r="7373" s="689" customFormat="1" x14ac:dyDescent="0.2"/>
    <row r="7374" s="689" customFormat="1" x14ac:dyDescent="0.2"/>
    <row r="7375" s="689" customFormat="1" x14ac:dyDescent="0.2"/>
    <row r="7376" s="689" customFormat="1" x14ac:dyDescent="0.2"/>
    <row r="7377" s="689" customFormat="1" x14ac:dyDescent="0.2"/>
    <row r="7378" s="689" customFormat="1" x14ac:dyDescent="0.2"/>
    <row r="7379" s="689" customFormat="1" x14ac:dyDescent="0.2"/>
    <row r="7380" s="689" customFormat="1" x14ac:dyDescent="0.2"/>
    <row r="7381" s="689" customFormat="1" x14ac:dyDescent="0.2"/>
    <row r="7382" s="689" customFormat="1" x14ac:dyDescent="0.2"/>
    <row r="7383" s="689" customFormat="1" x14ac:dyDescent="0.2"/>
    <row r="7384" s="689" customFormat="1" x14ac:dyDescent="0.2"/>
    <row r="7385" s="689" customFormat="1" x14ac:dyDescent="0.2"/>
    <row r="7386" s="689" customFormat="1" x14ac:dyDescent="0.2"/>
    <row r="7387" s="689" customFormat="1" x14ac:dyDescent="0.2"/>
    <row r="7388" s="689" customFormat="1" x14ac:dyDescent="0.2"/>
    <row r="7389" s="689" customFormat="1" x14ac:dyDescent="0.2"/>
    <row r="7390" s="689" customFormat="1" x14ac:dyDescent="0.2"/>
    <row r="7391" s="689" customFormat="1" x14ac:dyDescent="0.2"/>
    <row r="7392" s="689" customFormat="1" x14ac:dyDescent="0.2"/>
    <row r="7393" s="689" customFormat="1" x14ac:dyDescent="0.2"/>
    <row r="7394" s="689" customFormat="1" x14ac:dyDescent="0.2"/>
    <row r="7395" s="689" customFormat="1" x14ac:dyDescent="0.2"/>
    <row r="7396" s="689" customFormat="1" x14ac:dyDescent="0.2"/>
    <row r="7397" s="689" customFormat="1" x14ac:dyDescent="0.2"/>
    <row r="7398" s="689" customFormat="1" x14ac:dyDescent="0.2"/>
    <row r="7399" s="689" customFormat="1" x14ac:dyDescent="0.2"/>
    <row r="7400" s="689" customFormat="1" x14ac:dyDescent="0.2"/>
    <row r="7401" s="689" customFormat="1" x14ac:dyDescent="0.2"/>
    <row r="7402" s="689" customFormat="1" x14ac:dyDescent="0.2"/>
    <row r="7403" s="689" customFormat="1" x14ac:dyDescent="0.2"/>
    <row r="7404" s="689" customFormat="1" x14ac:dyDescent="0.2"/>
    <row r="7405" s="689" customFormat="1" x14ac:dyDescent="0.2"/>
    <row r="7406" s="689" customFormat="1" x14ac:dyDescent="0.2"/>
    <row r="7407" s="689" customFormat="1" x14ac:dyDescent="0.2"/>
    <row r="7408" s="689" customFormat="1" x14ac:dyDescent="0.2"/>
    <row r="7409" s="689" customFormat="1" x14ac:dyDescent="0.2"/>
    <row r="7410" s="689" customFormat="1" x14ac:dyDescent="0.2"/>
    <row r="7411" s="689" customFormat="1" x14ac:dyDescent="0.2"/>
    <row r="7412" s="689" customFormat="1" x14ac:dyDescent="0.2"/>
    <row r="7413" s="689" customFormat="1" x14ac:dyDescent="0.2"/>
    <row r="7414" s="689" customFormat="1" x14ac:dyDescent="0.2"/>
    <row r="7415" s="689" customFormat="1" x14ac:dyDescent="0.2"/>
    <row r="7416" s="689" customFormat="1" x14ac:dyDescent="0.2"/>
    <row r="7417" s="689" customFormat="1" x14ac:dyDescent="0.2"/>
    <row r="7418" s="689" customFormat="1" x14ac:dyDescent="0.2"/>
    <row r="7419" s="689" customFormat="1" x14ac:dyDescent="0.2"/>
    <row r="7420" s="689" customFormat="1" x14ac:dyDescent="0.2"/>
    <row r="7421" s="689" customFormat="1" x14ac:dyDescent="0.2"/>
    <row r="7422" s="689" customFormat="1" x14ac:dyDescent="0.2"/>
    <row r="7423" s="689" customFormat="1" x14ac:dyDescent="0.2"/>
    <row r="7424" s="689" customFormat="1" x14ac:dyDescent="0.2"/>
    <row r="7425" s="689" customFormat="1" x14ac:dyDescent="0.2"/>
    <row r="7426" s="689" customFormat="1" x14ac:dyDescent="0.2"/>
    <row r="7427" s="689" customFormat="1" x14ac:dyDescent="0.2"/>
    <row r="7428" s="689" customFormat="1" x14ac:dyDescent="0.2"/>
    <row r="7429" s="689" customFormat="1" x14ac:dyDescent="0.2"/>
    <row r="7430" s="689" customFormat="1" x14ac:dyDescent="0.2"/>
    <row r="7431" s="689" customFormat="1" x14ac:dyDescent="0.2"/>
    <row r="7432" s="689" customFormat="1" x14ac:dyDescent="0.2"/>
    <row r="7433" s="689" customFormat="1" x14ac:dyDescent="0.2"/>
    <row r="7434" s="689" customFormat="1" x14ac:dyDescent="0.2"/>
    <row r="7435" s="689" customFormat="1" x14ac:dyDescent="0.2"/>
    <row r="7436" s="689" customFormat="1" x14ac:dyDescent="0.2"/>
    <row r="7437" s="689" customFormat="1" x14ac:dyDescent="0.2"/>
    <row r="7438" s="689" customFormat="1" x14ac:dyDescent="0.2"/>
    <row r="7439" s="689" customFormat="1" x14ac:dyDescent="0.2"/>
    <row r="7440" s="689" customFormat="1" x14ac:dyDescent="0.2"/>
    <row r="7441" s="689" customFormat="1" x14ac:dyDescent="0.2"/>
    <row r="7442" s="689" customFormat="1" x14ac:dyDescent="0.2"/>
    <row r="7443" s="689" customFormat="1" x14ac:dyDescent="0.2"/>
    <row r="7444" s="689" customFormat="1" x14ac:dyDescent="0.2"/>
    <row r="7445" s="689" customFormat="1" x14ac:dyDescent="0.2"/>
    <row r="7446" s="689" customFormat="1" x14ac:dyDescent="0.2"/>
    <row r="7447" s="689" customFormat="1" x14ac:dyDescent="0.2"/>
    <row r="7448" s="689" customFormat="1" x14ac:dyDescent="0.2"/>
    <row r="7449" s="689" customFormat="1" x14ac:dyDescent="0.2"/>
    <row r="7450" s="689" customFormat="1" x14ac:dyDescent="0.2"/>
    <row r="7451" s="689" customFormat="1" x14ac:dyDescent="0.2"/>
    <row r="7452" s="689" customFormat="1" x14ac:dyDescent="0.2"/>
    <row r="7453" s="689" customFormat="1" x14ac:dyDescent="0.2"/>
    <row r="7454" s="689" customFormat="1" x14ac:dyDescent="0.2"/>
    <row r="7455" s="689" customFormat="1" x14ac:dyDescent="0.2"/>
    <row r="7456" s="689" customFormat="1" x14ac:dyDescent="0.2"/>
    <row r="7457" s="689" customFormat="1" x14ac:dyDescent="0.2"/>
    <row r="7458" s="689" customFormat="1" x14ac:dyDescent="0.2"/>
    <row r="7459" s="689" customFormat="1" x14ac:dyDescent="0.2"/>
    <row r="7460" s="689" customFormat="1" x14ac:dyDescent="0.2"/>
    <row r="7461" s="689" customFormat="1" x14ac:dyDescent="0.2"/>
    <row r="7462" s="689" customFormat="1" x14ac:dyDescent="0.2"/>
    <row r="7463" s="689" customFormat="1" x14ac:dyDescent="0.2"/>
    <row r="7464" s="689" customFormat="1" x14ac:dyDescent="0.2"/>
    <row r="7465" s="689" customFormat="1" x14ac:dyDescent="0.2"/>
    <row r="7466" s="689" customFormat="1" x14ac:dyDescent="0.2"/>
    <row r="7467" s="689" customFormat="1" x14ac:dyDescent="0.2"/>
    <row r="7468" s="689" customFormat="1" x14ac:dyDescent="0.2"/>
    <row r="7469" s="689" customFormat="1" x14ac:dyDescent="0.2"/>
    <row r="7470" s="689" customFormat="1" x14ac:dyDescent="0.2"/>
    <row r="7471" s="689" customFormat="1" x14ac:dyDescent="0.2"/>
    <row r="7472" s="689" customFormat="1" x14ac:dyDescent="0.2"/>
    <row r="7473" s="689" customFormat="1" x14ac:dyDescent="0.2"/>
    <row r="7474" s="689" customFormat="1" x14ac:dyDescent="0.2"/>
    <row r="7475" s="689" customFormat="1" x14ac:dyDescent="0.2"/>
    <row r="7476" s="689" customFormat="1" x14ac:dyDescent="0.2"/>
    <row r="7477" s="689" customFormat="1" x14ac:dyDescent="0.2"/>
    <row r="7478" s="689" customFormat="1" x14ac:dyDescent="0.2"/>
    <row r="7479" s="689" customFormat="1" x14ac:dyDescent="0.2"/>
    <row r="7480" s="689" customFormat="1" x14ac:dyDescent="0.2"/>
    <row r="7481" s="689" customFormat="1" x14ac:dyDescent="0.2"/>
    <row r="7482" s="689" customFormat="1" x14ac:dyDescent="0.2"/>
    <row r="7483" s="689" customFormat="1" x14ac:dyDescent="0.2"/>
    <row r="7484" s="689" customFormat="1" x14ac:dyDescent="0.2"/>
    <row r="7485" s="689" customFormat="1" x14ac:dyDescent="0.2"/>
    <row r="7486" s="689" customFormat="1" x14ac:dyDescent="0.2"/>
    <row r="7487" s="689" customFormat="1" x14ac:dyDescent="0.2"/>
    <row r="7488" s="689" customFormat="1" x14ac:dyDescent="0.2"/>
    <row r="7489" s="689" customFormat="1" x14ac:dyDescent="0.2"/>
    <row r="7490" s="689" customFormat="1" x14ac:dyDescent="0.2"/>
    <row r="7491" s="689" customFormat="1" x14ac:dyDescent="0.2"/>
    <row r="7492" s="689" customFormat="1" x14ac:dyDescent="0.2"/>
    <row r="7493" s="689" customFormat="1" x14ac:dyDescent="0.2"/>
    <row r="7494" s="689" customFormat="1" x14ac:dyDescent="0.2"/>
    <row r="7495" s="689" customFormat="1" x14ac:dyDescent="0.2"/>
    <row r="7496" s="689" customFormat="1" x14ac:dyDescent="0.2"/>
    <row r="7497" s="689" customFormat="1" x14ac:dyDescent="0.2"/>
    <row r="7498" s="689" customFormat="1" x14ac:dyDescent="0.2"/>
    <row r="7499" s="689" customFormat="1" x14ac:dyDescent="0.2"/>
    <row r="7500" s="689" customFormat="1" x14ac:dyDescent="0.2"/>
    <row r="7501" s="689" customFormat="1" x14ac:dyDescent="0.2"/>
    <row r="7502" s="689" customFormat="1" x14ac:dyDescent="0.2"/>
    <row r="7503" s="689" customFormat="1" x14ac:dyDescent="0.2"/>
    <row r="7504" s="689" customFormat="1" x14ac:dyDescent="0.2"/>
    <row r="7505" s="689" customFormat="1" x14ac:dyDescent="0.2"/>
    <row r="7506" s="689" customFormat="1" x14ac:dyDescent="0.2"/>
    <row r="7507" s="689" customFormat="1" x14ac:dyDescent="0.2"/>
    <row r="7508" s="689" customFormat="1" x14ac:dyDescent="0.2"/>
    <row r="7509" s="689" customFormat="1" x14ac:dyDescent="0.2"/>
    <row r="7510" s="689" customFormat="1" x14ac:dyDescent="0.2"/>
    <row r="7511" s="689" customFormat="1" x14ac:dyDescent="0.2"/>
    <row r="7512" s="689" customFormat="1" x14ac:dyDescent="0.2"/>
    <row r="7513" s="689" customFormat="1" x14ac:dyDescent="0.2"/>
    <row r="7514" s="689" customFormat="1" x14ac:dyDescent="0.2"/>
    <row r="7515" s="689" customFormat="1" x14ac:dyDescent="0.2"/>
    <row r="7516" s="689" customFormat="1" x14ac:dyDescent="0.2"/>
    <row r="7517" s="689" customFormat="1" x14ac:dyDescent="0.2"/>
    <row r="7518" s="689" customFormat="1" x14ac:dyDescent="0.2"/>
    <row r="7519" s="689" customFormat="1" x14ac:dyDescent="0.2"/>
    <row r="7520" s="689" customFormat="1" x14ac:dyDescent="0.2"/>
    <row r="7521" s="689" customFormat="1" x14ac:dyDescent="0.2"/>
    <row r="7522" s="689" customFormat="1" x14ac:dyDescent="0.2"/>
    <row r="7523" s="689" customFormat="1" x14ac:dyDescent="0.2"/>
    <row r="7524" s="689" customFormat="1" x14ac:dyDescent="0.2"/>
    <row r="7525" s="689" customFormat="1" x14ac:dyDescent="0.2"/>
    <row r="7526" s="689" customFormat="1" x14ac:dyDescent="0.2"/>
    <row r="7527" s="689" customFormat="1" x14ac:dyDescent="0.2"/>
    <row r="7528" s="689" customFormat="1" x14ac:dyDescent="0.2"/>
    <row r="7529" s="689" customFormat="1" x14ac:dyDescent="0.2"/>
    <row r="7530" s="689" customFormat="1" x14ac:dyDescent="0.2"/>
    <row r="7531" s="689" customFormat="1" x14ac:dyDescent="0.2"/>
    <row r="7532" s="689" customFormat="1" x14ac:dyDescent="0.2"/>
    <row r="7533" s="689" customFormat="1" x14ac:dyDescent="0.2"/>
    <row r="7534" s="689" customFormat="1" x14ac:dyDescent="0.2"/>
    <row r="7535" s="689" customFormat="1" x14ac:dyDescent="0.2"/>
    <row r="7536" s="689" customFormat="1" x14ac:dyDescent="0.2"/>
    <row r="7537" s="689" customFormat="1" x14ac:dyDescent="0.2"/>
    <row r="7538" s="689" customFormat="1" x14ac:dyDescent="0.2"/>
    <row r="7539" s="689" customFormat="1" x14ac:dyDescent="0.2"/>
    <row r="7540" s="689" customFormat="1" x14ac:dyDescent="0.2"/>
    <row r="7541" s="689" customFormat="1" x14ac:dyDescent="0.2"/>
    <row r="7542" s="689" customFormat="1" x14ac:dyDescent="0.2"/>
    <row r="7543" s="689" customFormat="1" x14ac:dyDescent="0.2"/>
    <row r="7544" s="689" customFormat="1" x14ac:dyDescent="0.2"/>
    <row r="7545" s="689" customFormat="1" x14ac:dyDescent="0.2"/>
    <row r="7546" s="689" customFormat="1" x14ac:dyDescent="0.2"/>
    <row r="7547" s="689" customFormat="1" x14ac:dyDescent="0.2"/>
    <row r="7548" s="689" customFormat="1" x14ac:dyDescent="0.2"/>
    <row r="7549" s="689" customFormat="1" x14ac:dyDescent="0.2"/>
    <row r="7550" s="689" customFormat="1" x14ac:dyDescent="0.2"/>
    <row r="7551" s="689" customFormat="1" x14ac:dyDescent="0.2"/>
    <row r="7552" s="689" customFormat="1" x14ac:dyDescent="0.2"/>
    <row r="7553" s="689" customFormat="1" x14ac:dyDescent="0.2"/>
    <row r="7554" s="689" customFormat="1" x14ac:dyDescent="0.2"/>
    <row r="7555" s="689" customFormat="1" x14ac:dyDescent="0.2"/>
    <row r="7556" s="689" customFormat="1" x14ac:dyDescent="0.2"/>
    <row r="7557" s="689" customFormat="1" x14ac:dyDescent="0.2"/>
    <row r="7558" s="689" customFormat="1" x14ac:dyDescent="0.2"/>
    <row r="7559" s="689" customFormat="1" x14ac:dyDescent="0.2"/>
    <row r="7560" s="689" customFormat="1" x14ac:dyDescent="0.2"/>
    <row r="7561" s="689" customFormat="1" x14ac:dyDescent="0.2"/>
    <row r="7562" s="689" customFormat="1" x14ac:dyDescent="0.2"/>
    <row r="7563" s="689" customFormat="1" x14ac:dyDescent="0.2"/>
    <row r="7564" s="689" customFormat="1" x14ac:dyDescent="0.2"/>
    <row r="7565" s="689" customFormat="1" x14ac:dyDescent="0.2"/>
    <row r="7566" s="689" customFormat="1" x14ac:dyDescent="0.2"/>
    <row r="7567" s="689" customFormat="1" x14ac:dyDescent="0.2"/>
    <row r="7568" s="689" customFormat="1" x14ac:dyDescent="0.2"/>
    <row r="7569" s="689" customFormat="1" x14ac:dyDescent="0.2"/>
    <row r="7570" s="689" customFormat="1" x14ac:dyDescent="0.2"/>
    <row r="7571" s="689" customFormat="1" x14ac:dyDescent="0.2"/>
    <row r="7572" s="689" customFormat="1" x14ac:dyDescent="0.2"/>
    <row r="7573" s="689" customFormat="1" x14ac:dyDescent="0.2"/>
    <row r="7574" s="689" customFormat="1" x14ac:dyDescent="0.2"/>
    <row r="7575" s="689" customFormat="1" x14ac:dyDescent="0.2"/>
    <row r="7576" s="689" customFormat="1" x14ac:dyDescent="0.2"/>
    <row r="7577" s="689" customFormat="1" x14ac:dyDescent="0.2"/>
    <row r="7578" s="689" customFormat="1" x14ac:dyDescent="0.2"/>
    <row r="7579" s="689" customFormat="1" x14ac:dyDescent="0.2"/>
    <row r="7580" s="689" customFormat="1" x14ac:dyDescent="0.2"/>
    <row r="7581" s="689" customFormat="1" x14ac:dyDescent="0.2"/>
    <row r="7582" s="689" customFormat="1" x14ac:dyDescent="0.2"/>
    <row r="7583" s="689" customFormat="1" x14ac:dyDescent="0.2"/>
    <row r="7584" s="689" customFormat="1" x14ac:dyDescent="0.2"/>
    <row r="7585" s="689" customFormat="1" x14ac:dyDescent="0.2"/>
    <row r="7586" s="689" customFormat="1" x14ac:dyDescent="0.2"/>
    <row r="7587" s="689" customFormat="1" x14ac:dyDescent="0.2"/>
    <row r="7588" s="689" customFormat="1" x14ac:dyDescent="0.2"/>
    <row r="7589" s="689" customFormat="1" x14ac:dyDescent="0.2"/>
    <row r="7590" s="689" customFormat="1" x14ac:dyDescent="0.2"/>
    <row r="7591" s="689" customFormat="1" x14ac:dyDescent="0.2"/>
    <row r="7592" s="689" customFormat="1" x14ac:dyDescent="0.2"/>
    <row r="7593" s="689" customFormat="1" x14ac:dyDescent="0.2"/>
    <row r="7594" s="689" customFormat="1" x14ac:dyDescent="0.2"/>
    <row r="7595" s="689" customFormat="1" x14ac:dyDescent="0.2"/>
    <row r="7596" s="689" customFormat="1" x14ac:dyDescent="0.2"/>
    <row r="7597" s="689" customFormat="1" x14ac:dyDescent="0.2"/>
    <row r="7598" s="689" customFormat="1" x14ac:dyDescent="0.2"/>
    <row r="7599" s="689" customFormat="1" x14ac:dyDescent="0.2"/>
    <row r="7600" s="689" customFormat="1" x14ac:dyDescent="0.2"/>
    <row r="7601" s="689" customFormat="1" x14ac:dyDescent="0.2"/>
    <row r="7602" s="689" customFormat="1" x14ac:dyDescent="0.2"/>
    <row r="7603" s="689" customFormat="1" x14ac:dyDescent="0.2"/>
    <row r="7604" s="689" customFormat="1" x14ac:dyDescent="0.2"/>
    <row r="7605" s="689" customFormat="1" x14ac:dyDescent="0.2"/>
    <row r="7606" s="689" customFormat="1" x14ac:dyDescent="0.2"/>
    <row r="7607" s="689" customFormat="1" x14ac:dyDescent="0.2"/>
    <row r="7608" s="689" customFormat="1" x14ac:dyDescent="0.2"/>
    <row r="7609" s="689" customFormat="1" x14ac:dyDescent="0.2"/>
    <row r="7610" s="689" customFormat="1" x14ac:dyDescent="0.2"/>
    <row r="7611" s="689" customFormat="1" x14ac:dyDescent="0.2"/>
    <row r="7612" s="689" customFormat="1" x14ac:dyDescent="0.2"/>
    <row r="7613" s="689" customFormat="1" x14ac:dyDescent="0.2"/>
    <row r="7614" s="689" customFormat="1" x14ac:dyDescent="0.2"/>
    <row r="7615" s="689" customFormat="1" x14ac:dyDescent="0.2"/>
    <row r="7616" s="689" customFormat="1" x14ac:dyDescent="0.2"/>
    <row r="7617" s="689" customFormat="1" x14ac:dyDescent="0.2"/>
    <row r="7618" s="689" customFormat="1" x14ac:dyDescent="0.2"/>
    <row r="7619" s="689" customFormat="1" x14ac:dyDescent="0.2"/>
    <row r="7620" s="689" customFormat="1" x14ac:dyDescent="0.2"/>
    <row r="7621" s="689" customFormat="1" x14ac:dyDescent="0.2"/>
    <row r="7622" s="689" customFormat="1" x14ac:dyDescent="0.2"/>
    <row r="7623" s="689" customFormat="1" x14ac:dyDescent="0.2"/>
    <row r="7624" s="689" customFormat="1" x14ac:dyDescent="0.2"/>
    <row r="7625" s="689" customFormat="1" x14ac:dyDescent="0.2"/>
    <row r="7626" s="689" customFormat="1" x14ac:dyDescent="0.2"/>
    <row r="7627" s="689" customFormat="1" x14ac:dyDescent="0.2"/>
    <row r="7628" s="689" customFormat="1" x14ac:dyDescent="0.2"/>
    <row r="7629" s="689" customFormat="1" x14ac:dyDescent="0.2"/>
    <row r="7630" s="689" customFormat="1" x14ac:dyDescent="0.2"/>
    <row r="7631" s="689" customFormat="1" x14ac:dyDescent="0.2"/>
    <row r="7632" s="689" customFormat="1" x14ac:dyDescent="0.2"/>
    <row r="7633" s="689" customFormat="1" x14ac:dyDescent="0.2"/>
    <row r="7634" s="689" customFormat="1" x14ac:dyDescent="0.2"/>
    <row r="7635" s="689" customFormat="1" x14ac:dyDescent="0.2"/>
    <row r="7636" s="689" customFormat="1" x14ac:dyDescent="0.2"/>
    <row r="7637" s="689" customFormat="1" x14ac:dyDescent="0.2"/>
    <row r="7638" s="689" customFormat="1" x14ac:dyDescent="0.2"/>
    <row r="7639" s="689" customFormat="1" x14ac:dyDescent="0.2"/>
    <row r="7640" s="689" customFormat="1" x14ac:dyDescent="0.2"/>
    <row r="7641" s="689" customFormat="1" x14ac:dyDescent="0.2"/>
    <row r="7642" s="689" customFormat="1" x14ac:dyDescent="0.2"/>
    <row r="7643" s="689" customFormat="1" x14ac:dyDescent="0.2"/>
    <row r="7644" s="689" customFormat="1" x14ac:dyDescent="0.2"/>
    <row r="7645" s="689" customFormat="1" x14ac:dyDescent="0.2"/>
    <row r="7646" s="689" customFormat="1" x14ac:dyDescent="0.2"/>
    <row r="7647" s="689" customFormat="1" x14ac:dyDescent="0.2"/>
    <row r="7648" s="689" customFormat="1" x14ac:dyDescent="0.2"/>
    <row r="7649" s="689" customFormat="1" x14ac:dyDescent="0.2"/>
    <row r="7650" s="689" customFormat="1" x14ac:dyDescent="0.2"/>
    <row r="7651" s="689" customFormat="1" x14ac:dyDescent="0.2"/>
    <row r="7652" s="689" customFormat="1" x14ac:dyDescent="0.2"/>
    <row r="7653" s="689" customFormat="1" x14ac:dyDescent="0.2"/>
    <row r="7654" s="689" customFormat="1" x14ac:dyDescent="0.2"/>
    <row r="7655" s="689" customFormat="1" x14ac:dyDescent="0.2"/>
    <row r="7656" s="689" customFormat="1" x14ac:dyDescent="0.2"/>
    <row r="7657" s="689" customFormat="1" x14ac:dyDescent="0.2"/>
    <row r="7658" s="689" customFormat="1" x14ac:dyDescent="0.2"/>
    <row r="7659" s="689" customFormat="1" x14ac:dyDescent="0.2"/>
    <row r="7660" s="689" customFormat="1" x14ac:dyDescent="0.2"/>
    <row r="7661" s="689" customFormat="1" x14ac:dyDescent="0.2"/>
    <row r="7662" s="689" customFormat="1" x14ac:dyDescent="0.2"/>
    <row r="7663" s="689" customFormat="1" x14ac:dyDescent="0.2"/>
    <row r="7664" s="689" customFormat="1" x14ac:dyDescent="0.2"/>
    <row r="7665" s="689" customFormat="1" x14ac:dyDescent="0.2"/>
    <row r="7666" s="689" customFormat="1" x14ac:dyDescent="0.2"/>
    <row r="7667" s="689" customFormat="1" x14ac:dyDescent="0.2"/>
    <row r="7668" s="689" customFormat="1" x14ac:dyDescent="0.2"/>
    <row r="7669" s="689" customFormat="1" x14ac:dyDescent="0.2"/>
    <row r="7670" s="689" customFormat="1" x14ac:dyDescent="0.2"/>
    <row r="7671" s="689" customFormat="1" x14ac:dyDescent="0.2"/>
    <row r="7672" s="689" customFormat="1" x14ac:dyDescent="0.2"/>
    <row r="7673" s="689" customFormat="1" x14ac:dyDescent="0.2"/>
    <row r="7674" s="689" customFormat="1" x14ac:dyDescent="0.2"/>
    <row r="7675" s="689" customFormat="1" x14ac:dyDescent="0.2"/>
    <row r="7676" s="689" customFormat="1" x14ac:dyDescent="0.2"/>
    <row r="7677" s="689" customFormat="1" x14ac:dyDescent="0.2"/>
    <row r="7678" s="689" customFormat="1" x14ac:dyDescent="0.2"/>
    <row r="7679" s="689" customFormat="1" x14ac:dyDescent="0.2"/>
    <row r="7680" s="689" customFormat="1" x14ac:dyDescent="0.2"/>
    <row r="7681" s="689" customFormat="1" x14ac:dyDescent="0.2"/>
    <row r="7682" s="689" customFormat="1" x14ac:dyDescent="0.2"/>
    <row r="7683" s="689" customFormat="1" x14ac:dyDescent="0.2"/>
    <row r="7684" s="689" customFormat="1" x14ac:dyDescent="0.2"/>
    <row r="7685" s="689" customFormat="1" x14ac:dyDescent="0.2"/>
    <row r="7686" s="689" customFormat="1" x14ac:dyDescent="0.2"/>
    <row r="7687" s="689" customFormat="1" x14ac:dyDescent="0.2"/>
    <row r="7688" s="689" customFormat="1" x14ac:dyDescent="0.2"/>
    <row r="7689" s="689" customFormat="1" x14ac:dyDescent="0.2"/>
    <row r="7690" s="689" customFormat="1" x14ac:dyDescent="0.2"/>
    <row r="7691" s="689" customFormat="1" x14ac:dyDescent="0.2"/>
    <row r="7692" s="689" customFormat="1" x14ac:dyDescent="0.2"/>
    <row r="7693" s="689" customFormat="1" x14ac:dyDescent="0.2"/>
    <row r="7694" s="689" customFormat="1" x14ac:dyDescent="0.2"/>
    <row r="7695" s="689" customFormat="1" x14ac:dyDescent="0.2"/>
    <row r="7696" s="689" customFormat="1" x14ac:dyDescent="0.2"/>
    <row r="7697" s="689" customFormat="1" x14ac:dyDescent="0.2"/>
    <row r="7698" s="689" customFormat="1" x14ac:dyDescent="0.2"/>
    <row r="7699" s="689" customFormat="1" x14ac:dyDescent="0.2"/>
    <row r="7700" s="689" customFormat="1" x14ac:dyDescent="0.2"/>
    <row r="7701" s="689" customFormat="1" x14ac:dyDescent="0.2"/>
    <row r="7702" s="689" customFormat="1" x14ac:dyDescent="0.2"/>
    <row r="7703" s="689" customFormat="1" x14ac:dyDescent="0.2"/>
    <row r="7704" s="689" customFormat="1" x14ac:dyDescent="0.2"/>
    <row r="7705" s="689" customFormat="1" x14ac:dyDescent="0.2"/>
    <row r="7706" s="689" customFormat="1" x14ac:dyDescent="0.2"/>
    <row r="7707" s="689" customFormat="1" x14ac:dyDescent="0.2"/>
    <row r="7708" s="689" customFormat="1" x14ac:dyDescent="0.2"/>
    <row r="7709" s="689" customFormat="1" x14ac:dyDescent="0.2"/>
    <row r="7710" s="689" customFormat="1" x14ac:dyDescent="0.2"/>
    <row r="7711" s="689" customFormat="1" x14ac:dyDescent="0.2"/>
    <row r="7712" s="689" customFormat="1" x14ac:dyDescent="0.2"/>
    <row r="7713" s="689" customFormat="1" x14ac:dyDescent="0.2"/>
    <row r="7714" s="689" customFormat="1" x14ac:dyDescent="0.2"/>
    <row r="7715" s="689" customFormat="1" x14ac:dyDescent="0.2"/>
    <row r="7716" s="689" customFormat="1" x14ac:dyDescent="0.2"/>
    <row r="7717" s="689" customFormat="1" x14ac:dyDescent="0.2"/>
    <row r="7718" s="689" customFormat="1" x14ac:dyDescent="0.2"/>
    <row r="7719" s="689" customFormat="1" x14ac:dyDescent="0.2"/>
    <row r="7720" s="689" customFormat="1" x14ac:dyDescent="0.2"/>
    <row r="7721" s="689" customFormat="1" x14ac:dyDescent="0.2"/>
    <row r="7722" s="689" customFormat="1" x14ac:dyDescent="0.2"/>
    <row r="7723" s="689" customFormat="1" x14ac:dyDescent="0.2"/>
    <row r="7724" s="689" customFormat="1" x14ac:dyDescent="0.2"/>
    <row r="7725" s="689" customFormat="1" x14ac:dyDescent="0.2"/>
    <row r="7726" s="689" customFormat="1" x14ac:dyDescent="0.2"/>
    <row r="7727" s="689" customFormat="1" x14ac:dyDescent="0.2"/>
    <row r="7728" s="689" customFormat="1" x14ac:dyDescent="0.2"/>
    <row r="7729" s="689" customFormat="1" x14ac:dyDescent="0.2"/>
    <row r="7730" s="689" customFormat="1" x14ac:dyDescent="0.2"/>
    <row r="7731" s="689" customFormat="1" x14ac:dyDescent="0.2"/>
    <row r="7732" s="689" customFormat="1" x14ac:dyDescent="0.2"/>
    <row r="7733" s="689" customFormat="1" x14ac:dyDescent="0.2"/>
    <row r="7734" s="689" customFormat="1" x14ac:dyDescent="0.2"/>
    <row r="7735" s="689" customFormat="1" x14ac:dyDescent="0.2"/>
    <row r="7736" s="689" customFormat="1" x14ac:dyDescent="0.2"/>
    <row r="7737" s="689" customFormat="1" x14ac:dyDescent="0.2"/>
    <row r="7738" s="689" customFormat="1" x14ac:dyDescent="0.2"/>
    <row r="7739" s="689" customFormat="1" x14ac:dyDescent="0.2"/>
    <row r="7740" s="689" customFormat="1" x14ac:dyDescent="0.2"/>
    <row r="7741" s="689" customFormat="1" x14ac:dyDescent="0.2"/>
    <row r="7742" s="689" customFormat="1" x14ac:dyDescent="0.2"/>
    <row r="7743" s="689" customFormat="1" x14ac:dyDescent="0.2"/>
    <row r="7744" s="689" customFormat="1" x14ac:dyDescent="0.2"/>
    <row r="7745" s="689" customFormat="1" x14ac:dyDescent="0.2"/>
    <row r="7746" s="689" customFormat="1" x14ac:dyDescent="0.2"/>
    <row r="7747" s="689" customFormat="1" x14ac:dyDescent="0.2"/>
    <row r="7748" s="689" customFormat="1" x14ac:dyDescent="0.2"/>
    <row r="7749" s="689" customFormat="1" x14ac:dyDescent="0.2"/>
    <row r="7750" s="689" customFormat="1" x14ac:dyDescent="0.2"/>
    <row r="7751" s="689" customFormat="1" x14ac:dyDescent="0.2"/>
    <row r="7752" s="689" customFormat="1" x14ac:dyDescent="0.2"/>
    <row r="7753" s="689" customFormat="1" x14ac:dyDescent="0.2"/>
    <row r="7754" s="689" customFormat="1" x14ac:dyDescent="0.2"/>
    <row r="7755" s="689" customFormat="1" x14ac:dyDescent="0.2"/>
    <row r="7756" s="689" customFormat="1" x14ac:dyDescent="0.2"/>
    <row r="7757" s="689" customFormat="1" x14ac:dyDescent="0.2"/>
    <row r="7758" s="689" customFormat="1" x14ac:dyDescent="0.2"/>
    <row r="7759" s="689" customFormat="1" x14ac:dyDescent="0.2"/>
    <row r="7760" s="689" customFormat="1" x14ac:dyDescent="0.2"/>
    <row r="7761" s="689" customFormat="1" x14ac:dyDescent="0.2"/>
    <row r="7762" s="689" customFormat="1" x14ac:dyDescent="0.2"/>
    <row r="7763" s="689" customFormat="1" x14ac:dyDescent="0.2"/>
    <row r="7764" s="689" customFormat="1" x14ac:dyDescent="0.2"/>
    <row r="7765" s="689" customFormat="1" x14ac:dyDescent="0.2"/>
    <row r="7766" s="689" customFormat="1" x14ac:dyDescent="0.2"/>
    <row r="7767" s="689" customFormat="1" x14ac:dyDescent="0.2"/>
    <row r="7768" s="689" customFormat="1" x14ac:dyDescent="0.2"/>
    <row r="7769" s="689" customFormat="1" x14ac:dyDescent="0.2"/>
    <row r="7770" s="689" customFormat="1" x14ac:dyDescent="0.2"/>
    <row r="7771" s="689" customFormat="1" x14ac:dyDescent="0.2"/>
    <row r="7772" s="689" customFormat="1" x14ac:dyDescent="0.2"/>
    <row r="7773" s="689" customFormat="1" x14ac:dyDescent="0.2"/>
    <row r="7774" s="689" customFormat="1" x14ac:dyDescent="0.2"/>
    <row r="7775" s="689" customFormat="1" x14ac:dyDescent="0.2"/>
    <row r="7776" s="689" customFormat="1" x14ac:dyDescent="0.2"/>
    <row r="7777" s="689" customFormat="1" x14ac:dyDescent="0.2"/>
    <row r="7778" s="689" customFormat="1" x14ac:dyDescent="0.2"/>
    <row r="7779" s="689" customFormat="1" x14ac:dyDescent="0.2"/>
    <row r="7780" s="689" customFormat="1" x14ac:dyDescent="0.2"/>
    <row r="7781" s="689" customFormat="1" x14ac:dyDescent="0.2"/>
    <row r="7782" s="689" customFormat="1" x14ac:dyDescent="0.2"/>
    <row r="7783" s="689" customFormat="1" x14ac:dyDescent="0.2"/>
    <row r="7784" s="689" customFormat="1" x14ac:dyDescent="0.2"/>
    <row r="7785" s="689" customFormat="1" x14ac:dyDescent="0.2"/>
    <row r="7786" s="689" customFormat="1" x14ac:dyDescent="0.2"/>
    <row r="7787" s="689" customFormat="1" x14ac:dyDescent="0.2"/>
    <row r="7788" s="689" customFormat="1" x14ac:dyDescent="0.2"/>
    <row r="7789" s="689" customFormat="1" x14ac:dyDescent="0.2"/>
    <row r="7790" s="689" customFormat="1" x14ac:dyDescent="0.2"/>
    <row r="7791" s="689" customFormat="1" x14ac:dyDescent="0.2"/>
    <row r="7792" s="689" customFormat="1" x14ac:dyDescent="0.2"/>
    <row r="7793" s="689" customFormat="1" x14ac:dyDescent="0.2"/>
    <row r="7794" s="689" customFormat="1" x14ac:dyDescent="0.2"/>
    <row r="7795" s="689" customFormat="1" x14ac:dyDescent="0.2"/>
    <row r="7796" s="689" customFormat="1" x14ac:dyDescent="0.2"/>
    <row r="7797" s="689" customFormat="1" x14ac:dyDescent="0.2"/>
    <row r="7798" s="689" customFormat="1" x14ac:dyDescent="0.2"/>
    <row r="7799" s="689" customFormat="1" x14ac:dyDescent="0.2"/>
    <row r="7800" s="689" customFormat="1" x14ac:dyDescent="0.2"/>
    <row r="7801" s="689" customFormat="1" x14ac:dyDescent="0.2"/>
    <row r="7802" s="689" customFormat="1" x14ac:dyDescent="0.2"/>
    <row r="7803" s="689" customFormat="1" x14ac:dyDescent="0.2"/>
    <row r="7804" s="689" customFormat="1" x14ac:dyDescent="0.2"/>
    <row r="7805" s="689" customFormat="1" x14ac:dyDescent="0.2"/>
    <row r="7806" s="689" customFormat="1" x14ac:dyDescent="0.2"/>
    <row r="7807" s="689" customFormat="1" x14ac:dyDescent="0.2"/>
    <row r="7808" s="689" customFormat="1" x14ac:dyDescent="0.2"/>
    <row r="7809" s="689" customFormat="1" x14ac:dyDescent="0.2"/>
    <row r="7810" s="689" customFormat="1" x14ac:dyDescent="0.2"/>
    <row r="7811" s="689" customFormat="1" x14ac:dyDescent="0.2"/>
    <row r="7812" s="689" customFormat="1" x14ac:dyDescent="0.2"/>
    <row r="7813" s="689" customFormat="1" x14ac:dyDescent="0.2"/>
    <row r="7814" s="689" customFormat="1" x14ac:dyDescent="0.2"/>
    <row r="7815" s="689" customFormat="1" x14ac:dyDescent="0.2"/>
    <row r="7816" s="689" customFormat="1" x14ac:dyDescent="0.2"/>
    <row r="7817" s="689" customFormat="1" x14ac:dyDescent="0.2"/>
    <row r="7818" s="689" customFormat="1" x14ac:dyDescent="0.2"/>
    <row r="7819" s="689" customFormat="1" x14ac:dyDescent="0.2"/>
    <row r="7820" s="689" customFormat="1" x14ac:dyDescent="0.2"/>
    <row r="7821" s="689" customFormat="1" x14ac:dyDescent="0.2"/>
    <row r="7822" s="689" customFormat="1" x14ac:dyDescent="0.2"/>
    <row r="7823" s="689" customFormat="1" x14ac:dyDescent="0.2"/>
    <row r="7824" s="689" customFormat="1" x14ac:dyDescent="0.2"/>
    <row r="7825" s="689" customFormat="1" x14ac:dyDescent="0.2"/>
    <row r="7826" s="689" customFormat="1" x14ac:dyDescent="0.2"/>
    <row r="7827" s="689" customFormat="1" x14ac:dyDescent="0.2"/>
    <row r="7828" s="689" customFormat="1" x14ac:dyDescent="0.2"/>
    <row r="7829" s="689" customFormat="1" x14ac:dyDescent="0.2"/>
    <row r="7830" s="689" customFormat="1" x14ac:dyDescent="0.2"/>
    <row r="7831" s="689" customFormat="1" x14ac:dyDescent="0.2"/>
    <row r="7832" s="689" customFormat="1" x14ac:dyDescent="0.2"/>
    <row r="7833" s="689" customFormat="1" x14ac:dyDescent="0.2"/>
    <row r="7834" s="689" customFormat="1" x14ac:dyDescent="0.2"/>
    <row r="7835" s="689" customFormat="1" x14ac:dyDescent="0.2"/>
    <row r="7836" s="689" customFormat="1" x14ac:dyDescent="0.2"/>
    <row r="7837" s="689" customFormat="1" x14ac:dyDescent="0.2"/>
    <row r="7838" s="689" customFormat="1" x14ac:dyDescent="0.2"/>
    <row r="7839" s="689" customFormat="1" x14ac:dyDescent="0.2"/>
    <row r="7840" s="689" customFormat="1" x14ac:dyDescent="0.2"/>
    <row r="7841" s="689" customFormat="1" x14ac:dyDescent="0.2"/>
    <row r="7842" s="689" customFormat="1" x14ac:dyDescent="0.2"/>
    <row r="7843" s="689" customFormat="1" x14ac:dyDescent="0.2"/>
    <row r="7844" s="689" customFormat="1" x14ac:dyDescent="0.2"/>
    <row r="7845" s="689" customFormat="1" x14ac:dyDescent="0.2"/>
    <row r="7846" s="689" customFormat="1" x14ac:dyDescent="0.2"/>
    <row r="7847" s="689" customFormat="1" x14ac:dyDescent="0.2"/>
    <row r="7848" s="689" customFormat="1" x14ac:dyDescent="0.2"/>
    <row r="7849" s="689" customFormat="1" x14ac:dyDescent="0.2"/>
    <row r="7850" s="689" customFormat="1" x14ac:dyDescent="0.2"/>
    <row r="7851" s="689" customFormat="1" x14ac:dyDescent="0.2"/>
    <row r="7852" s="689" customFormat="1" x14ac:dyDescent="0.2"/>
    <row r="7853" s="689" customFormat="1" x14ac:dyDescent="0.2"/>
    <row r="7854" s="689" customFormat="1" x14ac:dyDescent="0.2"/>
    <row r="7855" s="689" customFormat="1" x14ac:dyDescent="0.2"/>
    <row r="7856" s="689" customFormat="1" x14ac:dyDescent="0.2"/>
    <row r="7857" s="689" customFormat="1" x14ac:dyDescent="0.2"/>
    <row r="7858" s="689" customFormat="1" x14ac:dyDescent="0.2"/>
    <row r="7859" s="689" customFormat="1" x14ac:dyDescent="0.2"/>
    <row r="7860" s="689" customFormat="1" x14ac:dyDescent="0.2"/>
    <row r="7861" s="689" customFormat="1" x14ac:dyDescent="0.2"/>
    <row r="7862" s="689" customFormat="1" x14ac:dyDescent="0.2"/>
    <row r="7863" s="689" customFormat="1" x14ac:dyDescent="0.2"/>
    <row r="7864" s="689" customFormat="1" x14ac:dyDescent="0.2"/>
    <row r="7865" s="689" customFormat="1" x14ac:dyDescent="0.2"/>
    <row r="7866" s="689" customFormat="1" x14ac:dyDescent="0.2"/>
    <row r="7867" s="689" customFormat="1" x14ac:dyDescent="0.2"/>
    <row r="7868" s="689" customFormat="1" x14ac:dyDescent="0.2"/>
    <row r="7869" s="689" customFormat="1" x14ac:dyDescent="0.2"/>
    <row r="7870" s="689" customFormat="1" x14ac:dyDescent="0.2"/>
    <row r="7871" s="689" customFormat="1" x14ac:dyDescent="0.2"/>
    <row r="7872" s="689" customFormat="1" x14ac:dyDescent="0.2"/>
    <row r="7873" s="689" customFormat="1" x14ac:dyDescent="0.2"/>
    <row r="7874" s="689" customFormat="1" x14ac:dyDescent="0.2"/>
    <row r="7875" s="689" customFormat="1" x14ac:dyDescent="0.2"/>
    <row r="7876" s="689" customFormat="1" x14ac:dyDescent="0.2"/>
    <row r="7877" s="689" customFormat="1" x14ac:dyDescent="0.2"/>
    <row r="7878" s="689" customFormat="1" x14ac:dyDescent="0.2"/>
    <row r="7879" s="689" customFormat="1" x14ac:dyDescent="0.2"/>
    <row r="7880" s="689" customFormat="1" x14ac:dyDescent="0.2"/>
    <row r="7881" s="689" customFormat="1" x14ac:dyDescent="0.2"/>
    <row r="7882" s="689" customFormat="1" x14ac:dyDescent="0.2"/>
    <row r="7883" s="689" customFormat="1" x14ac:dyDescent="0.2"/>
    <row r="7884" s="689" customFormat="1" x14ac:dyDescent="0.2"/>
    <row r="7885" s="689" customFormat="1" x14ac:dyDescent="0.2"/>
    <row r="7886" s="689" customFormat="1" x14ac:dyDescent="0.2"/>
    <row r="7887" s="689" customFormat="1" x14ac:dyDescent="0.2"/>
    <row r="7888" s="689" customFormat="1" x14ac:dyDescent="0.2"/>
    <row r="7889" s="689" customFormat="1" x14ac:dyDescent="0.2"/>
    <row r="7890" s="689" customFormat="1" x14ac:dyDescent="0.2"/>
    <row r="7891" s="689" customFormat="1" x14ac:dyDescent="0.2"/>
    <row r="7892" s="689" customFormat="1" x14ac:dyDescent="0.2"/>
    <row r="7893" s="689" customFormat="1" x14ac:dyDescent="0.2"/>
    <row r="7894" s="689" customFormat="1" x14ac:dyDescent="0.2"/>
    <row r="7895" s="689" customFormat="1" x14ac:dyDescent="0.2"/>
    <row r="7896" s="689" customFormat="1" x14ac:dyDescent="0.2"/>
    <row r="7897" s="689" customFormat="1" x14ac:dyDescent="0.2"/>
    <row r="7898" s="689" customFormat="1" x14ac:dyDescent="0.2"/>
    <row r="7899" s="689" customFormat="1" x14ac:dyDescent="0.2"/>
    <row r="7900" s="689" customFormat="1" x14ac:dyDescent="0.2"/>
    <row r="7901" s="689" customFormat="1" x14ac:dyDescent="0.2"/>
    <row r="7902" s="689" customFormat="1" x14ac:dyDescent="0.2"/>
    <row r="7903" s="689" customFormat="1" x14ac:dyDescent="0.2"/>
    <row r="7904" s="689" customFormat="1" x14ac:dyDescent="0.2"/>
    <row r="7905" s="689" customFormat="1" x14ac:dyDescent="0.2"/>
    <row r="7906" s="689" customFormat="1" x14ac:dyDescent="0.2"/>
    <row r="7907" s="689" customFormat="1" x14ac:dyDescent="0.2"/>
    <row r="7908" s="689" customFormat="1" x14ac:dyDescent="0.2"/>
    <row r="7909" s="689" customFormat="1" x14ac:dyDescent="0.2"/>
    <row r="7910" s="689" customFormat="1" x14ac:dyDescent="0.2"/>
    <row r="7911" s="689" customFormat="1" x14ac:dyDescent="0.2"/>
    <row r="7912" s="689" customFormat="1" x14ac:dyDescent="0.2"/>
    <row r="7913" s="689" customFormat="1" x14ac:dyDescent="0.2"/>
    <row r="7914" s="689" customFormat="1" x14ac:dyDescent="0.2"/>
    <row r="7915" s="689" customFormat="1" x14ac:dyDescent="0.2"/>
    <row r="7916" s="689" customFormat="1" x14ac:dyDescent="0.2"/>
    <row r="7917" s="689" customFormat="1" x14ac:dyDescent="0.2"/>
    <row r="7918" s="689" customFormat="1" x14ac:dyDescent="0.2"/>
    <row r="7919" s="689" customFormat="1" x14ac:dyDescent="0.2"/>
    <row r="7920" s="689" customFormat="1" x14ac:dyDescent="0.2"/>
    <row r="7921" s="689" customFormat="1" x14ac:dyDescent="0.2"/>
    <row r="7922" s="689" customFormat="1" x14ac:dyDescent="0.2"/>
    <row r="7923" s="689" customFormat="1" x14ac:dyDescent="0.2"/>
    <row r="7924" s="689" customFormat="1" x14ac:dyDescent="0.2"/>
    <row r="7925" s="689" customFormat="1" x14ac:dyDescent="0.2"/>
    <row r="7926" s="689" customFormat="1" x14ac:dyDescent="0.2"/>
    <row r="7927" s="689" customFormat="1" x14ac:dyDescent="0.2"/>
    <row r="7928" s="689" customFormat="1" x14ac:dyDescent="0.2"/>
    <row r="7929" s="689" customFormat="1" x14ac:dyDescent="0.2"/>
    <row r="7930" s="689" customFormat="1" x14ac:dyDescent="0.2"/>
    <row r="7931" s="689" customFormat="1" x14ac:dyDescent="0.2"/>
    <row r="7932" s="689" customFormat="1" x14ac:dyDescent="0.2"/>
    <row r="7933" s="689" customFormat="1" x14ac:dyDescent="0.2"/>
    <row r="7934" s="689" customFormat="1" x14ac:dyDescent="0.2"/>
    <row r="7935" s="689" customFormat="1" x14ac:dyDescent="0.2"/>
    <row r="7936" s="689" customFormat="1" x14ac:dyDescent="0.2"/>
    <row r="7937" s="689" customFormat="1" x14ac:dyDescent="0.2"/>
    <row r="7938" s="689" customFormat="1" x14ac:dyDescent="0.2"/>
    <row r="7939" s="689" customFormat="1" x14ac:dyDescent="0.2"/>
    <row r="7940" s="689" customFormat="1" x14ac:dyDescent="0.2"/>
    <row r="7941" s="689" customFormat="1" x14ac:dyDescent="0.2"/>
    <row r="7942" s="689" customFormat="1" x14ac:dyDescent="0.2"/>
    <row r="7943" s="689" customFormat="1" x14ac:dyDescent="0.2"/>
    <row r="7944" s="689" customFormat="1" x14ac:dyDescent="0.2"/>
    <row r="7945" s="689" customFormat="1" x14ac:dyDescent="0.2"/>
    <row r="7946" s="689" customFormat="1" x14ac:dyDescent="0.2"/>
    <row r="7947" s="689" customFormat="1" x14ac:dyDescent="0.2"/>
    <row r="7948" s="689" customFormat="1" x14ac:dyDescent="0.2"/>
    <row r="7949" s="689" customFormat="1" x14ac:dyDescent="0.2"/>
    <row r="7950" s="689" customFormat="1" x14ac:dyDescent="0.2"/>
    <row r="7951" s="689" customFormat="1" x14ac:dyDescent="0.2"/>
    <row r="7952" s="689" customFormat="1" x14ac:dyDescent="0.2"/>
    <row r="7953" s="689" customFormat="1" x14ac:dyDescent="0.2"/>
    <row r="7954" s="689" customFormat="1" x14ac:dyDescent="0.2"/>
    <row r="7955" s="689" customFormat="1" x14ac:dyDescent="0.2"/>
    <row r="7956" s="689" customFormat="1" x14ac:dyDescent="0.2"/>
    <row r="7957" s="689" customFormat="1" x14ac:dyDescent="0.2"/>
    <row r="7958" s="689" customFormat="1" x14ac:dyDescent="0.2"/>
    <row r="7959" s="689" customFormat="1" x14ac:dyDescent="0.2"/>
    <row r="7960" s="689" customFormat="1" x14ac:dyDescent="0.2"/>
    <row r="7961" s="689" customFormat="1" x14ac:dyDescent="0.2"/>
    <row r="7962" s="689" customFormat="1" x14ac:dyDescent="0.2"/>
    <row r="7963" s="689" customFormat="1" x14ac:dyDescent="0.2"/>
    <row r="7964" s="689" customFormat="1" x14ac:dyDescent="0.2"/>
    <row r="7965" s="689" customFormat="1" x14ac:dyDescent="0.2"/>
    <row r="7966" s="689" customFormat="1" x14ac:dyDescent="0.2"/>
    <row r="7967" s="689" customFormat="1" x14ac:dyDescent="0.2"/>
    <row r="7968" s="689" customFormat="1" x14ac:dyDescent="0.2"/>
    <row r="7969" s="689" customFormat="1" x14ac:dyDescent="0.2"/>
    <row r="7970" s="689" customFormat="1" x14ac:dyDescent="0.2"/>
    <row r="7971" s="689" customFormat="1" x14ac:dyDescent="0.2"/>
    <row r="7972" s="689" customFormat="1" x14ac:dyDescent="0.2"/>
    <row r="7973" s="689" customFormat="1" x14ac:dyDescent="0.2"/>
    <row r="7974" s="689" customFormat="1" x14ac:dyDescent="0.2"/>
    <row r="7975" s="689" customFormat="1" x14ac:dyDescent="0.2"/>
    <row r="7976" s="689" customFormat="1" x14ac:dyDescent="0.2"/>
    <row r="7977" s="689" customFormat="1" x14ac:dyDescent="0.2"/>
    <row r="7978" s="689" customFormat="1" x14ac:dyDescent="0.2"/>
    <row r="7979" s="689" customFormat="1" x14ac:dyDescent="0.2"/>
    <row r="7980" s="689" customFormat="1" x14ac:dyDescent="0.2"/>
    <row r="7981" s="689" customFormat="1" x14ac:dyDescent="0.2"/>
    <row r="7982" s="689" customFormat="1" x14ac:dyDescent="0.2"/>
    <row r="7983" s="689" customFormat="1" x14ac:dyDescent="0.2"/>
    <row r="7984" s="689" customFormat="1" x14ac:dyDescent="0.2"/>
    <row r="7985" s="689" customFormat="1" x14ac:dyDescent="0.2"/>
    <row r="7986" s="689" customFormat="1" x14ac:dyDescent="0.2"/>
    <row r="7987" s="689" customFormat="1" x14ac:dyDescent="0.2"/>
    <row r="7988" s="689" customFormat="1" x14ac:dyDescent="0.2"/>
    <row r="7989" s="689" customFormat="1" x14ac:dyDescent="0.2"/>
    <row r="7990" s="689" customFormat="1" x14ac:dyDescent="0.2"/>
    <row r="7991" s="689" customFormat="1" x14ac:dyDescent="0.2"/>
    <row r="7992" s="689" customFormat="1" x14ac:dyDescent="0.2"/>
    <row r="7993" s="689" customFormat="1" x14ac:dyDescent="0.2"/>
    <row r="7994" s="689" customFormat="1" x14ac:dyDescent="0.2"/>
    <row r="7995" s="689" customFormat="1" x14ac:dyDescent="0.2"/>
    <row r="7996" s="689" customFormat="1" x14ac:dyDescent="0.2"/>
    <row r="7997" s="689" customFormat="1" x14ac:dyDescent="0.2"/>
    <row r="7998" s="689" customFormat="1" x14ac:dyDescent="0.2"/>
    <row r="7999" s="689" customFormat="1" x14ac:dyDescent="0.2"/>
    <row r="8000" s="689" customFormat="1" x14ac:dyDescent="0.2"/>
    <row r="8001" s="689" customFormat="1" x14ac:dyDescent="0.2"/>
    <row r="8002" s="689" customFormat="1" x14ac:dyDescent="0.2"/>
    <row r="8003" s="689" customFormat="1" x14ac:dyDescent="0.2"/>
    <row r="8004" s="689" customFormat="1" x14ac:dyDescent="0.2"/>
    <row r="8005" s="689" customFormat="1" x14ac:dyDescent="0.2"/>
    <row r="8006" s="689" customFormat="1" x14ac:dyDescent="0.2"/>
    <row r="8007" s="689" customFormat="1" x14ac:dyDescent="0.2"/>
    <row r="8008" s="689" customFormat="1" x14ac:dyDescent="0.2"/>
    <row r="8009" s="689" customFormat="1" x14ac:dyDescent="0.2"/>
    <row r="8010" s="689" customFormat="1" x14ac:dyDescent="0.2"/>
    <row r="8011" s="689" customFormat="1" x14ac:dyDescent="0.2"/>
    <row r="8012" s="689" customFormat="1" x14ac:dyDescent="0.2"/>
    <row r="8013" s="689" customFormat="1" x14ac:dyDescent="0.2"/>
    <row r="8014" s="689" customFormat="1" x14ac:dyDescent="0.2"/>
    <row r="8015" s="689" customFormat="1" x14ac:dyDescent="0.2"/>
    <row r="8016" s="689" customFormat="1" x14ac:dyDescent="0.2"/>
    <row r="8017" s="689" customFormat="1" x14ac:dyDescent="0.2"/>
    <row r="8018" s="689" customFormat="1" x14ac:dyDescent="0.2"/>
    <row r="8019" s="689" customFormat="1" x14ac:dyDescent="0.2"/>
    <row r="8020" s="689" customFormat="1" x14ac:dyDescent="0.2"/>
    <row r="8021" s="689" customFormat="1" x14ac:dyDescent="0.2"/>
    <row r="8022" s="689" customFormat="1" x14ac:dyDescent="0.2"/>
    <row r="8023" s="689" customFormat="1" x14ac:dyDescent="0.2"/>
    <row r="8024" s="689" customFormat="1" x14ac:dyDescent="0.2"/>
    <row r="8025" s="689" customFormat="1" x14ac:dyDescent="0.2"/>
    <row r="8026" s="689" customFormat="1" x14ac:dyDescent="0.2"/>
    <row r="8027" s="689" customFormat="1" x14ac:dyDescent="0.2"/>
    <row r="8028" s="689" customFormat="1" x14ac:dyDescent="0.2"/>
    <row r="8029" s="689" customFormat="1" x14ac:dyDescent="0.2"/>
    <row r="8030" s="689" customFormat="1" x14ac:dyDescent="0.2"/>
    <row r="8031" s="689" customFormat="1" x14ac:dyDescent="0.2"/>
    <row r="8032" s="689" customFormat="1" x14ac:dyDescent="0.2"/>
    <row r="8033" s="689" customFormat="1" x14ac:dyDescent="0.2"/>
    <row r="8034" s="689" customFormat="1" x14ac:dyDescent="0.2"/>
    <row r="8035" s="689" customFormat="1" x14ac:dyDescent="0.2"/>
    <row r="8036" s="689" customFormat="1" x14ac:dyDescent="0.2"/>
    <row r="8037" s="689" customFormat="1" x14ac:dyDescent="0.2"/>
    <row r="8038" s="689" customFormat="1" x14ac:dyDescent="0.2"/>
    <row r="8039" s="689" customFormat="1" x14ac:dyDescent="0.2"/>
    <row r="8040" s="689" customFormat="1" x14ac:dyDescent="0.2"/>
    <row r="8041" s="689" customFormat="1" x14ac:dyDescent="0.2"/>
    <row r="8042" s="689" customFormat="1" x14ac:dyDescent="0.2"/>
    <row r="8043" s="689" customFormat="1" x14ac:dyDescent="0.2"/>
    <row r="8044" s="689" customFormat="1" x14ac:dyDescent="0.2"/>
    <row r="8045" s="689" customFormat="1" x14ac:dyDescent="0.2"/>
    <row r="8046" s="689" customFormat="1" x14ac:dyDescent="0.2"/>
    <row r="8047" s="689" customFormat="1" x14ac:dyDescent="0.2"/>
    <row r="8048" s="689" customFormat="1" x14ac:dyDescent="0.2"/>
    <row r="8049" s="689" customFormat="1" x14ac:dyDescent="0.2"/>
    <row r="8050" s="689" customFormat="1" x14ac:dyDescent="0.2"/>
    <row r="8051" s="689" customFormat="1" x14ac:dyDescent="0.2"/>
    <row r="8052" s="689" customFormat="1" x14ac:dyDescent="0.2"/>
    <row r="8053" s="689" customFormat="1" x14ac:dyDescent="0.2"/>
    <row r="8054" s="689" customFormat="1" x14ac:dyDescent="0.2"/>
    <row r="8055" s="689" customFormat="1" x14ac:dyDescent="0.2"/>
    <row r="8056" s="689" customFormat="1" x14ac:dyDescent="0.2"/>
    <row r="8057" s="689" customFormat="1" x14ac:dyDescent="0.2"/>
    <row r="8058" s="689" customFormat="1" x14ac:dyDescent="0.2"/>
    <row r="8059" s="689" customFormat="1" x14ac:dyDescent="0.2"/>
    <row r="8060" s="689" customFormat="1" x14ac:dyDescent="0.2"/>
    <row r="8061" s="689" customFormat="1" x14ac:dyDescent="0.2"/>
    <row r="8062" s="689" customFormat="1" x14ac:dyDescent="0.2"/>
    <row r="8063" s="689" customFormat="1" x14ac:dyDescent="0.2"/>
    <row r="8064" s="689" customFormat="1" x14ac:dyDescent="0.2"/>
    <row r="8065" s="689" customFormat="1" x14ac:dyDescent="0.2"/>
    <row r="8066" s="689" customFormat="1" x14ac:dyDescent="0.2"/>
    <row r="8067" s="689" customFormat="1" x14ac:dyDescent="0.2"/>
    <row r="8068" s="689" customFormat="1" x14ac:dyDescent="0.2"/>
    <row r="8069" s="689" customFormat="1" x14ac:dyDescent="0.2"/>
    <row r="8070" s="689" customFormat="1" x14ac:dyDescent="0.2"/>
    <row r="8071" s="689" customFormat="1" x14ac:dyDescent="0.2"/>
    <row r="8072" s="689" customFormat="1" x14ac:dyDescent="0.2"/>
    <row r="8073" s="689" customFormat="1" x14ac:dyDescent="0.2"/>
    <row r="8074" s="689" customFormat="1" x14ac:dyDescent="0.2"/>
    <row r="8075" s="689" customFormat="1" x14ac:dyDescent="0.2"/>
    <row r="8076" s="689" customFormat="1" x14ac:dyDescent="0.2"/>
    <row r="8077" s="689" customFormat="1" x14ac:dyDescent="0.2"/>
    <row r="8078" s="689" customFormat="1" x14ac:dyDescent="0.2"/>
    <row r="8079" s="689" customFormat="1" x14ac:dyDescent="0.2"/>
    <row r="8080" s="689" customFormat="1" x14ac:dyDescent="0.2"/>
    <row r="8081" s="689" customFormat="1" x14ac:dyDescent="0.2"/>
    <row r="8082" s="689" customFormat="1" x14ac:dyDescent="0.2"/>
    <row r="8083" s="689" customFormat="1" x14ac:dyDescent="0.2"/>
    <row r="8084" s="689" customFormat="1" x14ac:dyDescent="0.2"/>
    <row r="8085" s="689" customFormat="1" x14ac:dyDescent="0.2"/>
    <row r="8086" s="689" customFormat="1" x14ac:dyDescent="0.2"/>
    <row r="8087" s="689" customFormat="1" x14ac:dyDescent="0.2"/>
    <row r="8088" s="689" customFormat="1" x14ac:dyDescent="0.2"/>
    <row r="8089" s="689" customFormat="1" x14ac:dyDescent="0.2"/>
    <row r="8090" s="689" customFormat="1" x14ac:dyDescent="0.2"/>
    <row r="8091" s="689" customFormat="1" x14ac:dyDescent="0.2"/>
    <row r="8092" s="689" customFormat="1" x14ac:dyDescent="0.2"/>
    <row r="8093" s="689" customFormat="1" x14ac:dyDescent="0.2"/>
    <row r="8094" s="689" customFormat="1" x14ac:dyDescent="0.2"/>
    <row r="8095" s="689" customFormat="1" x14ac:dyDescent="0.2"/>
    <row r="8096" s="689" customFormat="1" x14ac:dyDescent="0.2"/>
    <row r="8097" s="689" customFormat="1" x14ac:dyDescent="0.2"/>
    <row r="8098" s="689" customFormat="1" x14ac:dyDescent="0.2"/>
    <row r="8099" s="689" customFormat="1" x14ac:dyDescent="0.2"/>
    <row r="8100" s="689" customFormat="1" x14ac:dyDescent="0.2"/>
    <row r="8101" s="689" customFormat="1" x14ac:dyDescent="0.2"/>
    <row r="8102" s="689" customFormat="1" x14ac:dyDescent="0.2"/>
    <row r="8103" s="689" customFormat="1" x14ac:dyDescent="0.2"/>
    <row r="8104" s="689" customFormat="1" x14ac:dyDescent="0.2"/>
    <row r="8105" s="689" customFormat="1" x14ac:dyDescent="0.2"/>
    <row r="8106" s="689" customFormat="1" x14ac:dyDescent="0.2"/>
    <row r="8107" s="689" customFormat="1" x14ac:dyDescent="0.2"/>
    <row r="8108" s="689" customFormat="1" x14ac:dyDescent="0.2"/>
    <row r="8109" s="689" customFormat="1" x14ac:dyDescent="0.2"/>
    <row r="8110" s="689" customFormat="1" x14ac:dyDescent="0.2"/>
    <row r="8111" s="689" customFormat="1" x14ac:dyDescent="0.2"/>
    <row r="8112" s="689" customFormat="1" x14ac:dyDescent="0.2"/>
    <row r="8113" s="689" customFormat="1" x14ac:dyDescent="0.2"/>
    <row r="8114" s="689" customFormat="1" x14ac:dyDescent="0.2"/>
    <row r="8115" s="689" customFormat="1" x14ac:dyDescent="0.2"/>
    <row r="8116" s="689" customFormat="1" x14ac:dyDescent="0.2"/>
    <row r="8117" s="689" customFormat="1" x14ac:dyDescent="0.2"/>
    <row r="8118" s="689" customFormat="1" x14ac:dyDescent="0.2"/>
    <row r="8119" s="689" customFormat="1" x14ac:dyDescent="0.2"/>
    <row r="8120" s="689" customFormat="1" x14ac:dyDescent="0.2"/>
    <row r="8121" s="689" customFormat="1" x14ac:dyDescent="0.2"/>
    <row r="8122" s="689" customFormat="1" x14ac:dyDescent="0.2"/>
    <row r="8123" s="689" customFormat="1" x14ac:dyDescent="0.2"/>
    <row r="8124" s="689" customFormat="1" x14ac:dyDescent="0.2"/>
    <row r="8125" s="689" customFormat="1" x14ac:dyDescent="0.2"/>
    <row r="8126" s="689" customFormat="1" x14ac:dyDescent="0.2"/>
    <row r="8127" s="689" customFormat="1" x14ac:dyDescent="0.2"/>
    <row r="8128" s="689" customFormat="1" x14ac:dyDescent="0.2"/>
    <row r="8129" s="689" customFormat="1" x14ac:dyDescent="0.2"/>
    <row r="8130" s="689" customFormat="1" x14ac:dyDescent="0.2"/>
    <row r="8131" s="689" customFormat="1" x14ac:dyDescent="0.2"/>
    <row r="8132" s="689" customFormat="1" x14ac:dyDescent="0.2"/>
    <row r="8133" s="689" customFormat="1" x14ac:dyDescent="0.2"/>
    <row r="8134" s="689" customFormat="1" x14ac:dyDescent="0.2"/>
    <row r="8135" s="689" customFormat="1" x14ac:dyDescent="0.2"/>
    <row r="8136" s="689" customFormat="1" x14ac:dyDescent="0.2"/>
    <row r="8137" s="689" customFormat="1" x14ac:dyDescent="0.2"/>
    <row r="8138" s="689" customFormat="1" x14ac:dyDescent="0.2"/>
    <row r="8139" s="689" customFormat="1" x14ac:dyDescent="0.2"/>
    <row r="8140" s="689" customFormat="1" x14ac:dyDescent="0.2"/>
    <row r="8141" s="689" customFormat="1" x14ac:dyDescent="0.2"/>
    <row r="8142" s="689" customFormat="1" x14ac:dyDescent="0.2"/>
    <row r="8143" s="689" customFormat="1" x14ac:dyDescent="0.2"/>
    <row r="8144" s="689" customFormat="1" x14ac:dyDescent="0.2"/>
    <row r="8145" s="689" customFormat="1" x14ac:dyDescent="0.2"/>
    <row r="8146" s="689" customFormat="1" x14ac:dyDescent="0.2"/>
    <row r="8147" s="689" customFormat="1" x14ac:dyDescent="0.2"/>
    <row r="8148" s="689" customFormat="1" x14ac:dyDescent="0.2"/>
    <row r="8149" s="689" customFormat="1" x14ac:dyDescent="0.2"/>
    <row r="8150" s="689" customFormat="1" x14ac:dyDescent="0.2"/>
    <row r="8151" s="689" customFormat="1" x14ac:dyDescent="0.2"/>
    <row r="8152" s="689" customFormat="1" x14ac:dyDescent="0.2"/>
    <row r="8153" s="689" customFormat="1" x14ac:dyDescent="0.2"/>
    <row r="8154" s="689" customFormat="1" x14ac:dyDescent="0.2"/>
    <row r="8155" s="689" customFormat="1" x14ac:dyDescent="0.2"/>
    <row r="8156" s="689" customFormat="1" x14ac:dyDescent="0.2"/>
    <row r="8157" s="689" customFormat="1" x14ac:dyDescent="0.2"/>
    <row r="8158" s="689" customFormat="1" x14ac:dyDescent="0.2"/>
    <row r="8159" s="689" customFormat="1" x14ac:dyDescent="0.2"/>
    <row r="8160" s="689" customFormat="1" x14ac:dyDescent="0.2"/>
    <row r="8161" s="689" customFormat="1" x14ac:dyDescent="0.2"/>
    <row r="8162" s="689" customFormat="1" x14ac:dyDescent="0.2"/>
    <row r="8163" s="689" customFormat="1" x14ac:dyDescent="0.2"/>
    <row r="8164" s="689" customFormat="1" x14ac:dyDescent="0.2"/>
    <row r="8165" s="689" customFormat="1" x14ac:dyDescent="0.2"/>
    <row r="8166" s="689" customFormat="1" x14ac:dyDescent="0.2"/>
    <row r="8167" s="689" customFormat="1" x14ac:dyDescent="0.2"/>
    <row r="8168" s="689" customFormat="1" x14ac:dyDescent="0.2"/>
    <row r="8169" s="689" customFormat="1" x14ac:dyDescent="0.2"/>
    <row r="8170" s="689" customFormat="1" x14ac:dyDescent="0.2"/>
    <row r="8171" s="689" customFormat="1" x14ac:dyDescent="0.2"/>
    <row r="8172" s="689" customFormat="1" x14ac:dyDescent="0.2"/>
    <row r="8173" s="689" customFormat="1" x14ac:dyDescent="0.2"/>
    <row r="8174" s="689" customFormat="1" x14ac:dyDescent="0.2"/>
    <row r="8175" s="689" customFormat="1" x14ac:dyDescent="0.2"/>
    <row r="8176" s="689" customFormat="1" x14ac:dyDescent="0.2"/>
    <row r="8177" s="689" customFormat="1" x14ac:dyDescent="0.2"/>
    <row r="8178" s="689" customFormat="1" x14ac:dyDescent="0.2"/>
    <row r="8179" s="689" customFormat="1" x14ac:dyDescent="0.2"/>
    <row r="8180" s="689" customFormat="1" x14ac:dyDescent="0.2"/>
    <row r="8181" s="689" customFormat="1" x14ac:dyDescent="0.2"/>
    <row r="8182" s="689" customFormat="1" x14ac:dyDescent="0.2"/>
    <row r="8183" s="689" customFormat="1" x14ac:dyDescent="0.2"/>
    <row r="8184" s="689" customFormat="1" x14ac:dyDescent="0.2"/>
    <row r="8185" s="689" customFormat="1" x14ac:dyDescent="0.2"/>
    <row r="8186" s="689" customFormat="1" x14ac:dyDescent="0.2"/>
    <row r="8187" s="689" customFormat="1" x14ac:dyDescent="0.2"/>
    <row r="8188" s="689" customFormat="1" x14ac:dyDescent="0.2"/>
    <row r="8189" s="689" customFormat="1" x14ac:dyDescent="0.2"/>
    <row r="8190" s="689" customFormat="1" x14ac:dyDescent="0.2"/>
    <row r="8191" s="689" customFormat="1" x14ac:dyDescent="0.2"/>
    <row r="8192" s="689" customFormat="1" x14ac:dyDescent="0.2"/>
    <row r="8193" s="689" customFormat="1" x14ac:dyDescent="0.2"/>
    <row r="8194" s="689" customFormat="1" x14ac:dyDescent="0.2"/>
    <row r="8195" s="689" customFormat="1" x14ac:dyDescent="0.2"/>
    <row r="8196" s="689" customFormat="1" x14ac:dyDescent="0.2"/>
    <row r="8197" s="689" customFormat="1" x14ac:dyDescent="0.2"/>
    <row r="8198" s="689" customFormat="1" x14ac:dyDescent="0.2"/>
    <row r="8199" s="689" customFormat="1" x14ac:dyDescent="0.2"/>
    <row r="8200" s="689" customFormat="1" x14ac:dyDescent="0.2"/>
    <row r="8201" s="689" customFormat="1" x14ac:dyDescent="0.2"/>
    <row r="8202" s="689" customFormat="1" x14ac:dyDescent="0.2"/>
    <row r="8203" s="689" customFormat="1" x14ac:dyDescent="0.2"/>
    <row r="8204" s="689" customFormat="1" x14ac:dyDescent="0.2"/>
    <row r="8205" s="689" customFormat="1" x14ac:dyDescent="0.2"/>
    <row r="8206" s="689" customFormat="1" x14ac:dyDescent="0.2"/>
    <row r="8207" s="689" customFormat="1" x14ac:dyDescent="0.2"/>
    <row r="8208" s="689" customFormat="1" x14ac:dyDescent="0.2"/>
    <row r="8209" s="689" customFormat="1" x14ac:dyDescent="0.2"/>
    <row r="8210" s="689" customFormat="1" x14ac:dyDescent="0.2"/>
    <row r="8211" s="689" customFormat="1" x14ac:dyDescent="0.2"/>
    <row r="8212" s="689" customFormat="1" x14ac:dyDescent="0.2"/>
    <row r="8213" s="689" customFormat="1" x14ac:dyDescent="0.2"/>
    <row r="8214" s="689" customFormat="1" x14ac:dyDescent="0.2"/>
    <row r="8215" s="689" customFormat="1" x14ac:dyDescent="0.2"/>
    <row r="8216" s="689" customFormat="1" x14ac:dyDescent="0.2"/>
    <row r="8217" s="689" customFormat="1" x14ac:dyDescent="0.2"/>
    <row r="8218" s="689" customFormat="1" x14ac:dyDescent="0.2"/>
    <row r="8219" s="689" customFormat="1" x14ac:dyDescent="0.2"/>
    <row r="8220" s="689" customFormat="1" x14ac:dyDescent="0.2"/>
    <row r="8221" s="689" customFormat="1" x14ac:dyDescent="0.2"/>
    <row r="8222" s="689" customFormat="1" x14ac:dyDescent="0.2"/>
    <row r="8223" s="689" customFormat="1" x14ac:dyDescent="0.2"/>
    <row r="8224" s="689" customFormat="1" x14ac:dyDescent="0.2"/>
    <row r="8225" s="689" customFormat="1" x14ac:dyDescent="0.2"/>
    <row r="8226" s="689" customFormat="1" x14ac:dyDescent="0.2"/>
    <row r="8227" s="689" customFormat="1" x14ac:dyDescent="0.2"/>
    <row r="8228" s="689" customFormat="1" x14ac:dyDescent="0.2"/>
    <row r="8229" s="689" customFormat="1" x14ac:dyDescent="0.2"/>
    <row r="8230" s="689" customFormat="1" x14ac:dyDescent="0.2"/>
    <row r="8231" s="689" customFormat="1" x14ac:dyDescent="0.2"/>
    <row r="8232" s="689" customFormat="1" x14ac:dyDescent="0.2"/>
    <row r="8233" s="689" customFormat="1" x14ac:dyDescent="0.2"/>
    <row r="8234" s="689" customFormat="1" x14ac:dyDescent="0.2"/>
    <row r="8235" s="689" customFormat="1" x14ac:dyDescent="0.2"/>
    <row r="8236" s="689" customFormat="1" x14ac:dyDescent="0.2"/>
    <row r="8237" s="689" customFormat="1" x14ac:dyDescent="0.2"/>
    <row r="8238" s="689" customFormat="1" x14ac:dyDescent="0.2"/>
    <row r="8239" s="689" customFormat="1" x14ac:dyDescent="0.2"/>
    <row r="8240" s="689" customFormat="1" x14ac:dyDescent="0.2"/>
    <row r="8241" s="689" customFormat="1" x14ac:dyDescent="0.2"/>
    <row r="8242" s="689" customFormat="1" x14ac:dyDescent="0.2"/>
    <row r="8243" s="689" customFormat="1" x14ac:dyDescent="0.2"/>
    <row r="8244" s="689" customFormat="1" x14ac:dyDescent="0.2"/>
    <row r="8245" s="689" customFormat="1" x14ac:dyDescent="0.2"/>
    <row r="8246" s="689" customFormat="1" x14ac:dyDescent="0.2"/>
    <row r="8247" s="689" customFormat="1" x14ac:dyDescent="0.2"/>
    <row r="8248" s="689" customFormat="1" x14ac:dyDescent="0.2"/>
    <row r="8249" s="689" customFormat="1" x14ac:dyDescent="0.2"/>
    <row r="8250" s="689" customFormat="1" x14ac:dyDescent="0.2"/>
    <row r="8251" s="689" customFormat="1" x14ac:dyDescent="0.2"/>
    <row r="8252" s="689" customFormat="1" x14ac:dyDescent="0.2"/>
    <row r="8253" s="689" customFormat="1" x14ac:dyDescent="0.2"/>
    <row r="8254" s="689" customFormat="1" x14ac:dyDescent="0.2"/>
    <row r="8255" s="689" customFormat="1" x14ac:dyDescent="0.2"/>
    <row r="8256" s="689" customFormat="1" x14ac:dyDescent="0.2"/>
    <row r="8257" s="689" customFormat="1" x14ac:dyDescent="0.2"/>
    <row r="8258" s="689" customFormat="1" x14ac:dyDescent="0.2"/>
    <row r="8259" s="689" customFormat="1" x14ac:dyDescent="0.2"/>
    <row r="8260" s="689" customFormat="1" x14ac:dyDescent="0.2"/>
    <row r="8261" s="689" customFormat="1" x14ac:dyDescent="0.2"/>
    <row r="8262" s="689" customFormat="1" x14ac:dyDescent="0.2"/>
    <row r="8263" s="689" customFormat="1" x14ac:dyDescent="0.2"/>
    <row r="8264" s="689" customFormat="1" x14ac:dyDescent="0.2"/>
    <row r="8265" s="689" customFormat="1" x14ac:dyDescent="0.2"/>
    <row r="8266" s="689" customFormat="1" x14ac:dyDescent="0.2"/>
    <row r="8267" s="689" customFormat="1" x14ac:dyDescent="0.2"/>
    <row r="8268" s="689" customFormat="1" x14ac:dyDescent="0.2"/>
    <row r="8269" s="689" customFormat="1" x14ac:dyDescent="0.2"/>
    <row r="8270" s="689" customFormat="1" x14ac:dyDescent="0.2"/>
    <row r="8271" s="689" customFormat="1" x14ac:dyDescent="0.2"/>
    <row r="8272" s="689" customFormat="1" x14ac:dyDescent="0.2"/>
    <row r="8273" s="689" customFormat="1" x14ac:dyDescent="0.2"/>
    <row r="8274" s="689" customFormat="1" x14ac:dyDescent="0.2"/>
    <row r="8275" s="689" customFormat="1" x14ac:dyDescent="0.2"/>
    <row r="8276" s="689" customFormat="1" x14ac:dyDescent="0.2"/>
    <row r="8277" s="689" customFormat="1" x14ac:dyDescent="0.2"/>
    <row r="8278" s="689" customFormat="1" x14ac:dyDescent="0.2"/>
    <row r="8279" s="689" customFormat="1" x14ac:dyDescent="0.2"/>
    <row r="8280" s="689" customFormat="1" x14ac:dyDescent="0.2"/>
    <row r="8281" s="689" customFormat="1" x14ac:dyDescent="0.2"/>
    <row r="8282" s="689" customFormat="1" x14ac:dyDescent="0.2"/>
    <row r="8283" s="689" customFormat="1" x14ac:dyDescent="0.2"/>
    <row r="8284" s="689" customFormat="1" x14ac:dyDescent="0.2"/>
    <row r="8285" s="689" customFormat="1" x14ac:dyDescent="0.2"/>
    <row r="8286" s="689" customFormat="1" x14ac:dyDescent="0.2"/>
    <row r="8287" s="689" customFormat="1" x14ac:dyDescent="0.2"/>
    <row r="8288" s="689" customFormat="1" x14ac:dyDescent="0.2"/>
    <row r="8289" s="689" customFormat="1" x14ac:dyDescent="0.2"/>
    <row r="8290" s="689" customFormat="1" x14ac:dyDescent="0.2"/>
    <row r="8291" s="689" customFormat="1" x14ac:dyDescent="0.2"/>
    <row r="8292" s="689" customFormat="1" x14ac:dyDescent="0.2"/>
    <row r="8293" s="689" customFormat="1" x14ac:dyDescent="0.2"/>
    <row r="8294" s="689" customFormat="1" x14ac:dyDescent="0.2"/>
    <row r="8295" s="689" customFormat="1" x14ac:dyDescent="0.2"/>
    <row r="8296" s="689" customFormat="1" x14ac:dyDescent="0.2"/>
    <row r="8297" s="689" customFormat="1" x14ac:dyDescent="0.2"/>
    <row r="8298" s="689" customFormat="1" x14ac:dyDescent="0.2"/>
    <row r="8299" s="689" customFormat="1" x14ac:dyDescent="0.2"/>
    <row r="8300" s="689" customFormat="1" x14ac:dyDescent="0.2"/>
    <row r="8301" s="689" customFormat="1" x14ac:dyDescent="0.2"/>
    <row r="8302" s="689" customFormat="1" x14ac:dyDescent="0.2"/>
    <row r="8303" s="689" customFormat="1" x14ac:dyDescent="0.2"/>
    <row r="8304" s="689" customFormat="1" x14ac:dyDescent="0.2"/>
    <row r="8305" s="689" customFormat="1" x14ac:dyDescent="0.2"/>
    <row r="8306" s="689" customFormat="1" x14ac:dyDescent="0.2"/>
    <row r="8307" s="689" customFormat="1" x14ac:dyDescent="0.2"/>
    <row r="8308" s="689" customFormat="1" x14ac:dyDescent="0.2"/>
    <row r="8309" s="689" customFormat="1" x14ac:dyDescent="0.2"/>
    <row r="8310" s="689" customFormat="1" x14ac:dyDescent="0.2"/>
    <row r="8311" s="689" customFormat="1" x14ac:dyDescent="0.2"/>
    <row r="8312" s="689" customFormat="1" x14ac:dyDescent="0.2"/>
    <row r="8313" s="689" customFormat="1" x14ac:dyDescent="0.2"/>
    <row r="8314" s="689" customFormat="1" x14ac:dyDescent="0.2"/>
    <row r="8315" s="689" customFormat="1" x14ac:dyDescent="0.2"/>
    <row r="8316" s="689" customFormat="1" x14ac:dyDescent="0.2"/>
    <row r="8317" s="689" customFormat="1" x14ac:dyDescent="0.2"/>
    <row r="8318" s="689" customFormat="1" x14ac:dyDescent="0.2"/>
    <row r="8319" s="689" customFormat="1" x14ac:dyDescent="0.2"/>
    <row r="8320" s="689" customFormat="1" x14ac:dyDescent="0.2"/>
    <row r="8321" s="689" customFormat="1" x14ac:dyDescent="0.2"/>
    <row r="8322" s="689" customFormat="1" x14ac:dyDescent="0.2"/>
    <row r="8323" s="689" customFormat="1" x14ac:dyDescent="0.2"/>
    <row r="8324" s="689" customFormat="1" x14ac:dyDescent="0.2"/>
    <row r="8325" s="689" customFormat="1" x14ac:dyDescent="0.2"/>
    <row r="8326" s="689" customFormat="1" x14ac:dyDescent="0.2"/>
    <row r="8327" s="689" customFormat="1" x14ac:dyDescent="0.2"/>
    <row r="8328" s="689" customFormat="1" x14ac:dyDescent="0.2"/>
    <row r="8329" s="689" customFormat="1" x14ac:dyDescent="0.2"/>
    <row r="8330" s="689" customFormat="1" x14ac:dyDescent="0.2"/>
    <row r="8331" s="689" customFormat="1" x14ac:dyDescent="0.2"/>
    <row r="8332" s="689" customFormat="1" x14ac:dyDescent="0.2"/>
    <row r="8333" s="689" customFormat="1" x14ac:dyDescent="0.2"/>
    <row r="8334" s="689" customFormat="1" x14ac:dyDescent="0.2"/>
    <row r="8335" s="689" customFormat="1" x14ac:dyDescent="0.2"/>
    <row r="8336" s="689" customFormat="1" x14ac:dyDescent="0.2"/>
    <row r="8337" s="689" customFormat="1" x14ac:dyDescent="0.2"/>
    <row r="8338" s="689" customFormat="1" x14ac:dyDescent="0.2"/>
    <row r="8339" s="689" customFormat="1" x14ac:dyDescent="0.2"/>
    <row r="8340" s="689" customFormat="1" x14ac:dyDescent="0.2"/>
    <row r="8341" s="689" customFormat="1" x14ac:dyDescent="0.2"/>
    <row r="8342" s="689" customFormat="1" x14ac:dyDescent="0.2"/>
    <row r="8343" s="689" customFormat="1" x14ac:dyDescent="0.2"/>
    <row r="8344" s="689" customFormat="1" x14ac:dyDescent="0.2"/>
    <row r="8345" s="689" customFormat="1" x14ac:dyDescent="0.2"/>
    <row r="8346" s="689" customFormat="1" x14ac:dyDescent="0.2"/>
    <row r="8347" s="689" customFormat="1" x14ac:dyDescent="0.2"/>
    <row r="8348" s="689" customFormat="1" x14ac:dyDescent="0.2"/>
    <row r="8349" s="689" customFormat="1" x14ac:dyDescent="0.2"/>
    <row r="8350" s="689" customFormat="1" x14ac:dyDescent="0.2"/>
    <row r="8351" s="689" customFormat="1" x14ac:dyDescent="0.2"/>
    <row r="8352" s="689" customFormat="1" x14ac:dyDescent="0.2"/>
    <row r="8353" s="689" customFormat="1" x14ac:dyDescent="0.2"/>
    <row r="8354" s="689" customFormat="1" x14ac:dyDescent="0.2"/>
    <row r="8355" s="689" customFormat="1" x14ac:dyDescent="0.2"/>
    <row r="8356" s="689" customFormat="1" x14ac:dyDescent="0.2"/>
    <row r="8357" s="689" customFormat="1" x14ac:dyDescent="0.2"/>
    <row r="8358" s="689" customFormat="1" x14ac:dyDescent="0.2"/>
    <row r="8359" s="689" customFormat="1" x14ac:dyDescent="0.2"/>
    <row r="8360" s="689" customFormat="1" x14ac:dyDescent="0.2"/>
    <row r="8361" s="689" customFormat="1" x14ac:dyDescent="0.2"/>
    <row r="8362" s="689" customFormat="1" x14ac:dyDescent="0.2"/>
    <row r="8363" s="689" customFormat="1" x14ac:dyDescent="0.2"/>
    <row r="8364" s="689" customFormat="1" x14ac:dyDescent="0.2"/>
    <row r="8365" s="689" customFormat="1" x14ac:dyDescent="0.2"/>
    <row r="8366" s="689" customFormat="1" x14ac:dyDescent="0.2"/>
    <row r="8367" s="689" customFormat="1" x14ac:dyDescent="0.2"/>
    <row r="8368" s="689" customFormat="1" x14ac:dyDescent="0.2"/>
    <row r="8369" s="689" customFormat="1" x14ac:dyDescent="0.2"/>
    <row r="8370" s="689" customFormat="1" x14ac:dyDescent="0.2"/>
    <row r="8371" s="689" customFormat="1" x14ac:dyDescent="0.2"/>
    <row r="8372" s="689" customFormat="1" x14ac:dyDescent="0.2"/>
    <row r="8373" s="689" customFormat="1" x14ac:dyDescent="0.2"/>
    <row r="8374" s="689" customFormat="1" x14ac:dyDescent="0.2"/>
    <row r="8375" s="689" customFormat="1" x14ac:dyDescent="0.2"/>
    <row r="8376" s="689" customFormat="1" x14ac:dyDescent="0.2"/>
    <row r="8377" s="689" customFormat="1" x14ac:dyDescent="0.2"/>
    <row r="8378" s="689" customFormat="1" x14ac:dyDescent="0.2"/>
    <row r="8379" s="689" customFormat="1" x14ac:dyDescent="0.2"/>
    <row r="8380" s="689" customFormat="1" x14ac:dyDescent="0.2"/>
    <row r="8381" s="689" customFormat="1" x14ac:dyDescent="0.2"/>
    <row r="8382" s="689" customFormat="1" x14ac:dyDescent="0.2"/>
    <row r="8383" s="689" customFormat="1" x14ac:dyDescent="0.2"/>
    <row r="8384" s="689" customFormat="1" x14ac:dyDescent="0.2"/>
    <row r="8385" s="689" customFormat="1" x14ac:dyDescent="0.2"/>
    <row r="8386" s="689" customFormat="1" x14ac:dyDescent="0.2"/>
    <row r="8387" s="689" customFormat="1" x14ac:dyDescent="0.2"/>
    <row r="8388" s="689" customFormat="1" x14ac:dyDescent="0.2"/>
    <row r="8389" s="689" customFormat="1" x14ac:dyDescent="0.2"/>
    <row r="8390" s="689" customFormat="1" x14ac:dyDescent="0.2"/>
    <row r="8391" s="689" customFormat="1" x14ac:dyDescent="0.2"/>
    <row r="8392" s="689" customFormat="1" x14ac:dyDescent="0.2"/>
    <row r="8393" s="689" customFormat="1" x14ac:dyDescent="0.2"/>
    <row r="8394" s="689" customFormat="1" x14ac:dyDescent="0.2"/>
    <row r="8395" s="689" customFormat="1" x14ac:dyDescent="0.2"/>
    <row r="8396" s="689" customFormat="1" x14ac:dyDescent="0.2"/>
    <row r="8397" s="689" customFormat="1" x14ac:dyDescent="0.2"/>
    <row r="8398" s="689" customFormat="1" x14ac:dyDescent="0.2"/>
    <row r="8399" s="689" customFormat="1" x14ac:dyDescent="0.2"/>
    <row r="8400" s="689" customFormat="1" x14ac:dyDescent="0.2"/>
    <row r="8401" s="689" customFormat="1" x14ac:dyDescent="0.2"/>
    <row r="8402" s="689" customFormat="1" x14ac:dyDescent="0.2"/>
    <row r="8403" s="689" customFormat="1" x14ac:dyDescent="0.2"/>
    <row r="8404" s="689" customFormat="1" x14ac:dyDescent="0.2"/>
    <row r="8405" s="689" customFormat="1" x14ac:dyDescent="0.2"/>
    <row r="8406" s="689" customFormat="1" x14ac:dyDescent="0.2"/>
    <row r="8407" s="689" customFormat="1" x14ac:dyDescent="0.2"/>
    <row r="8408" s="689" customFormat="1" x14ac:dyDescent="0.2"/>
    <row r="8409" s="689" customFormat="1" x14ac:dyDescent="0.2"/>
    <row r="8410" s="689" customFormat="1" x14ac:dyDescent="0.2"/>
    <row r="8411" s="689" customFormat="1" x14ac:dyDescent="0.2"/>
    <row r="8412" s="689" customFormat="1" x14ac:dyDescent="0.2"/>
    <row r="8413" s="689" customFormat="1" x14ac:dyDescent="0.2"/>
    <row r="8414" s="689" customFormat="1" x14ac:dyDescent="0.2"/>
    <row r="8415" s="689" customFormat="1" x14ac:dyDescent="0.2"/>
    <row r="8416" s="689" customFormat="1" x14ac:dyDescent="0.2"/>
    <row r="8417" s="689" customFormat="1" x14ac:dyDescent="0.2"/>
    <row r="8418" s="689" customFormat="1" x14ac:dyDescent="0.2"/>
    <row r="8419" s="689" customFormat="1" x14ac:dyDescent="0.2"/>
    <row r="8420" s="689" customFormat="1" x14ac:dyDescent="0.2"/>
    <row r="8421" s="689" customFormat="1" x14ac:dyDescent="0.2"/>
    <row r="8422" s="689" customFormat="1" x14ac:dyDescent="0.2"/>
    <row r="8423" s="689" customFormat="1" x14ac:dyDescent="0.2"/>
    <row r="8424" s="689" customFormat="1" x14ac:dyDescent="0.2"/>
    <row r="8425" s="689" customFormat="1" x14ac:dyDescent="0.2"/>
    <row r="8426" s="689" customFormat="1" x14ac:dyDescent="0.2"/>
    <row r="8427" s="689" customFormat="1" x14ac:dyDescent="0.2"/>
    <row r="8428" s="689" customFormat="1" x14ac:dyDescent="0.2"/>
    <row r="8429" s="689" customFormat="1" x14ac:dyDescent="0.2"/>
    <row r="8430" s="689" customFormat="1" x14ac:dyDescent="0.2"/>
    <row r="8431" s="689" customFormat="1" x14ac:dyDescent="0.2"/>
    <row r="8432" s="689" customFormat="1" x14ac:dyDescent="0.2"/>
    <row r="8433" s="689" customFormat="1" x14ac:dyDescent="0.2"/>
    <row r="8434" s="689" customFormat="1" x14ac:dyDescent="0.2"/>
    <row r="8435" s="689" customFormat="1" x14ac:dyDescent="0.2"/>
    <row r="8436" s="689" customFormat="1" x14ac:dyDescent="0.2"/>
    <row r="8437" s="689" customFormat="1" x14ac:dyDescent="0.2"/>
    <row r="8438" s="689" customFormat="1" x14ac:dyDescent="0.2"/>
    <row r="8439" s="689" customFormat="1" x14ac:dyDescent="0.2"/>
    <row r="8440" s="689" customFormat="1" x14ac:dyDescent="0.2"/>
    <row r="8441" s="689" customFormat="1" x14ac:dyDescent="0.2"/>
    <row r="8442" s="689" customFormat="1" x14ac:dyDescent="0.2"/>
    <row r="8443" s="689" customFormat="1" x14ac:dyDescent="0.2"/>
    <row r="8444" s="689" customFormat="1" x14ac:dyDescent="0.2"/>
    <row r="8445" s="689" customFormat="1" x14ac:dyDescent="0.2"/>
    <row r="8446" s="689" customFormat="1" x14ac:dyDescent="0.2"/>
    <row r="8447" s="689" customFormat="1" x14ac:dyDescent="0.2"/>
    <row r="8448" s="689" customFormat="1" x14ac:dyDescent="0.2"/>
    <row r="8449" s="689" customFormat="1" x14ac:dyDescent="0.2"/>
    <row r="8450" s="689" customFormat="1" x14ac:dyDescent="0.2"/>
    <row r="8451" s="689" customFormat="1" x14ac:dyDescent="0.2"/>
    <row r="8452" s="689" customFormat="1" x14ac:dyDescent="0.2"/>
    <row r="8453" s="689" customFormat="1" x14ac:dyDescent="0.2"/>
    <row r="8454" s="689" customFormat="1" x14ac:dyDescent="0.2"/>
    <row r="8455" s="689" customFormat="1" x14ac:dyDescent="0.2"/>
    <row r="8456" s="689" customFormat="1" x14ac:dyDescent="0.2"/>
    <row r="8457" s="689" customFormat="1" x14ac:dyDescent="0.2"/>
    <row r="8458" s="689" customFormat="1" x14ac:dyDescent="0.2"/>
    <row r="8459" s="689" customFormat="1" x14ac:dyDescent="0.2"/>
    <row r="8460" s="689" customFormat="1" x14ac:dyDescent="0.2"/>
    <row r="8461" s="689" customFormat="1" x14ac:dyDescent="0.2"/>
    <row r="8462" s="689" customFormat="1" x14ac:dyDescent="0.2"/>
    <row r="8463" s="689" customFormat="1" x14ac:dyDescent="0.2"/>
    <row r="8464" s="689" customFormat="1" x14ac:dyDescent="0.2"/>
    <row r="8465" s="689" customFormat="1" x14ac:dyDescent="0.2"/>
    <row r="8466" s="689" customFormat="1" x14ac:dyDescent="0.2"/>
    <row r="8467" s="689" customFormat="1" x14ac:dyDescent="0.2"/>
    <row r="8468" s="689" customFormat="1" x14ac:dyDescent="0.2"/>
    <row r="8469" s="689" customFormat="1" x14ac:dyDescent="0.2"/>
    <row r="8470" s="689" customFormat="1" x14ac:dyDescent="0.2"/>
    <row r="8471" s="689" customFormat="1" x14ac:dyDescent="0.2"/>
    <row r="8472" s="689" customFormat="1" x14ac:dyDescent="0.2"/>
    <row r="8473" s="689" customFormat="1" x14ac:dyDescent="0.2"/>
    <row r="8474" s="689" customFormat="1" x14ac:dyDescent="0.2"/>
    <row r="8475" s="689" customFormat="1" x14ac:dyDescent="0.2"/>
    <row r="8476" s="689" customFormat="1" x14ac:dyDescent="0.2"/>
    <row r="8477" s="689" customFormat="1" x14ac:dyDescent="0.2"/>
    <row r="8478" s="689" customFormat="1" x14ac:dyDescent="0.2"/>
    <row r="8479" s="689" customFormat="1" x14ac:dyDescent="0.2"/>
    <row r="8480" s="689" customFormat="1" x14ac:dyDescent="0.2"/>
    <row r="8481" s="689" customFormat="1" x14ac:dyDescent="0.2"/>
    <row r="8482" s="689" customFormat="1" x14ac:dyDescent="0.2"/>
    <row r="8483" s="689" customFormat="1" x14ac:dyDescent="0.2"/>
    <row r="8484" s="689" customFormat="1" x14ac:dyDescent="0.2"/>
    <row r="8485" s="689" customFormat="1" x14ac:dyDescent="0.2"/>
    <row r="8486" s="689" customFormat="1" x14ac:dyDescent="0.2"/>
    <row r="8487" s="689" customFormat="1" x14ac:dyDescent="0.2"/>
    <row r="8488" s="689" customFormat="1" x14ac:dyDescent="0.2"/>
    <row r="8489" s="689" customFormat="1" x14ac:dyDescent="0.2"/>
    <row r="8490" s="689" customFormat="1" x14ac:dyDescent="0.2"/>
    <row r="8491" s="689" customFormat="1" x14ac:dyDescent="0.2"/>
    <row r="8492" s="689" customFormat="1" x14ac:dyDescent="0.2"/>
    <row r="8493" s="689" customFormat="1" x14ac:dyDescent="0.2"/>
    <row r="8494" s="689" customFormat="1" x14ac:dyDescent="0.2"/>
    <row r="8495" s="689" customFormat="1" x14ac:dyDescent="0.2"/>
    <row r="8496" s="689" customFormat="1" x14ac:dyDescent="0.2"/>
    <row r="8497" s="689" customFormat="1" x14ac:dyDescent="0.2"/>
    <row r="8498" s="689" customFormat="1" x14ac:dyDescent="0.2"/>
    <row r="8499" s="689" customFormat="1" x14ac:dyDescent="0.2"/>
    <row r="8500" s="689" customFormat="1" x14ac:dyDescent="0.2"/>
    <row r="8501" s="689" customFormat="1" x14ac:dyDescent="0.2"/>
    <row r="8502" s="689" customFormat="1" x14ac:dyDescent="0.2"/>
    <row r="8503" s="689" customFormat="1" x14ac:dyDescent="0.2"/>
    <row r="8504" s="689" customFormat="1" x14ac:dyDescent="0.2"/>
    <row r="8505" s="689" customFormat="1" x14ac:dyDescent="0.2"/>
    <row r="8506" s="689" customFormat="1" x14ac:dyDescent="0.2"/>
    <row r="8507" s="689" customFormat="1" x14ac:dyDescent="0.2"/>
    <row r="8508" s="689" customFormat="1" x14ac:dyDescent="0.2"/>
    <row r="8509" s="689" customFormat="1" x14ac:dyDescent="0.2"/>
    <row r="8510" s="689" customFormat="1" x14ac:dyDescent="0.2"/>
    <row r="8511" s="689" customFormat="1" x14ac:dyDescent="0.2"/>
    <row r="8512" s="689" customFormat="1" x14ac:dyDescent="0.2"/>
    <row r="8513" s="689" customFormat="1" x14ac:dyDescent="0.2"/>
    <row r="8514" s="689" customFormat="1" x14ac:dyDescent="0.2"/>
    <row r="8515" s="689" customFormat="1" x14ac:dyDescent="0.2"/>
    <row r="8516" s="689" customFormat="1" x14ac:dyDescent="0.2"/>
    <row r="8517" s="689" customFormat="1" x14ac:dyDescent="0.2"/>
    <row r="8518" s="689" customFormat="1" x14ac:dyDescent="0.2"/>
    <row r="8519" s="689" customFormat="1" x14ac:dyDescent="0.2"/>
    <row r="8520" s="689" customFormat="1" x14ac:dyDescent="0.2"/>
    <row r="8521" s="689" customFormat="1" x14ac:dyDescent="0.2"/>
    <row r="8522" s="689" customFormat="1" x14ac:dyDescent="0.2"/>
    <row r="8523" s="689" customFormat="1" x14ac:dyDescent="0.2"/>
    <row r="8524" s="689" customFormat="1" x14ac:dyDescent="0.2"/>
    <row r="8525" s="689" customFormat="1" x14ac:dyDescent="0.2"/>
    <row r="8526" s="689" customFormat="1" x14ac:dyDescent="0.2"/>
    <row r="8527" s="689" customFormat="1" x14ac:dyDescent="0.2"/>
    <row r="8528" s="689" customFormat="1" x14ac:dyDescent="0.2"/>
    <row r="8529" s="689" customFormat="1" x14ac:dyDescent="0.2"/>
    <row r="8530" s="689" customFormat="1" x14ac:dyDescent="0.2"/>
    <row r="8531" s="689" customFormat="1" x14ac:dyDescent="0.2"/>
    <row r="8532" s="689" customFormat="1" x14ac:dyDescent="0.2"/>
    <row r="8533" s="689" customFormat="1" x14ac:dyDescent="0.2"/>
    <row r="8534" s="689" customFormat="1" x14ac:dyDescent="0.2"/>
    <row r="8535" s="689" customFormat="1" x14ac:dyDescent="0.2"/>
    <row r="8536" s="689" customFormat="1" x14ac:dyDescent="0.2"/>
    <row r="8537" s="689" customFormat="1" x14ac:dyDescent="0.2"/>
    <row r="8538" s="689" customFormat="1" x14ac:dyDescent="0.2"/>
    <row r="8539" s="689" customFormat="1" x14ac:dyDescent="0.2"/>
    <row r="8540" s="689" customFormat="1" x14ac:dyDescent="0.2"/>
    <row r="8541" s="689" customFormat="1" x14ac:dyDescent="0.2"/>
    <row r="8542" s="689" customFormat="1" x14ac:dyDescent="0.2"/>
    <row r="8543" s="689" customFormat="1" x14ac:dyDescent="0.2"/>
    <row r="8544" s="689" customFormat="1" x14ac:dyDescent="0.2"/>
    <row r="8545" s="689" customFormat="1" x14ac:dyDescent="0.2"/>
    <row r="8546" s="689" customFormat="1" x14ac:dyDescent="0.2"/>
    <row r="8547" s="689" customFormat="1" x14ac:dyDescent="0.2"/>
    <row r="8548" s="689" customFormat="1" x14ac:dyDescent="0.2"/>
    <row r="8549" s="689" customFormat="1" x14ac:dyDescent="0.2"/>
    <row r="8550" s="689" customFormat="1" x14ac:dyDescent="0.2"/>
    <row r="8551" s="689" customFormat="1" x14ac:dyDescent="0.2"/>
    <row r="8552" s="689" customFormat="1" x14ac:dyDescent="0.2"/>
    <row r="8553" s="689" customFormat="1" x14ac:dyDescent="0.2"/>
    <row r="8554" s="689" customFormat="1" x14ac:dyDescent="0.2"/>
    <row r="8555" s="689" customFormat="1" x14ac:dyDescent="0.2"/>
    <row r="8556" s="689" customFormat="1" x14ac:dyDescent="0.2"/>
    <row r="8557" s="689" customFormat="1" x14ac:dyDescent="0.2"/>
    <row r="8558" s="689" customFormat="1" x14ac:dyDescent="0.2"/>
    <row r="8559" s="689" customFormat="1" x14ac:dyDescent="0.2"/>
    <row r="8560" s="689" customFormat="1" x14ac:dyDescent="0.2"/>
    <row r="8561" s="689" customFormat="1" x14ac:dyDescent="0.2"/>
    <row r="8562" s="689" customFormat="1" x14ac:dyDescent="0.2"/>
    <row r="8563" s="689" customFormat="1" x14ac:dyDescent="0.2"/>
    <row r="8564" s="689" customFormat="1" x14ac:dyDescent="0.2"/>
    <row r="8565" s="689" customFormat="1" x14ac:dyDescent="0.2"/>
    <row r="8566" s="689" customFormat="1" x14ac:dyDescent="0.2"/>
    <row r="8567" s="689" customFormat="1" x14ac:dyDescent="0.2"/>
    <row r="8568" s="689" customFormat="1" x14ac:dyDescent="0.2"/>
    <row r="8569" s="689" customFormat="1" x14ac:dyDescent="0.2"/>
    <row r="8570" s="689" customFormat="1" x14ac:dyDescent="0.2"/>
    <row r="8571" s="689" customFormat="1" x14ac:dyDescent="0.2"/>
    <row r="8572" s="689" customFormat="1" x14ac:dyDescent="0.2"/>
    <row r="8573" s="689" customFormat="1" x14ac:dyDescent="0.2"/>
    <row r="8574" s="689" customFormat="1" x14ac:dyDescent="0.2"/>
    <row r="8575" s="689" customFormat="1" x14ac:dyDescent="0.2"/>
    <row r="8576" s="689" customFormat="1" x14ac:dyDescent="0.2"/>
    <row r="8577" s="689" customFormat="1" x14ac:dyDescent="0.2"/>
    <row r="8578" s="689" customFormat="1" x14ac:dyDescent="0.2"/>
    <row r="8579" s="689" customFormat="1" x14ac:dyDescent="0.2"/>
    <row r="8580" s="689" customFormat="1" x14ac:dyDescent="0.2"/>
    <row r="8581" s="689" customFormat="1" x14ac:dyDescent="0.2"/>
    <row r="8582" s="689" customFormat="1" x14ac:dyDescent="0.2"/>
    <row r="8583" s="689" customFormat="1" x14ac:dyDescent="0.2"/>
    <row r="8584" s="689" customFormat="1" x14ac:dyDescent="0.2"/>
    <row r="8585" s="689" customFormat="1" x14ac:dyDescent="0.2"/>
    <row r="8586" s="689" customFormat="1" x14ac:dyDescent="0.2"/>
    <row r="8587" s="689" customFormat="1" x14ac:dyDescent="0.2"/>
    <row r="8588" s="689" customFormat="1" x14ac:dyDescent="0.2"/>
    <row r="8589" s="689" customFormat="1" x14ac:dyDescent="0.2"/>
    <row r="8590" s="689" customFormat="1" x14ac:dyDescent="0.2"/>
    <row r="8591" s="689" customFormat="1" x14ac:dyDescent="0.2"/>
    <row r="8592" s="689" customFormat="1" x14ac:dyDescent="0.2"/>
    <row r="8593" s="689" customFormat="1" x14ac:dyDescent="0.2"/>
    <row r="8594" s="689" customFormat="1" x14ac:dyDescent="0.2"/>
    <row r="8595" s="689" customFormat="1" x14ac:dyDescent="0.2"/>
    <row r="8596" s="689" customFormat="1" x14ac:dyDescent="0.2"/>
    <row r="8597" s="689" customFormat="1" x14ac:dyDescent="0.2"/>
    <row r="8598" s="689" customFormat="1" x14ac:dyDescent="0.2"/>
    <row r="8599" s="689" customFormat="1" x14ac:dyDescent="0.2"/>
    <row r="8600" s="689" customFormat="1" x14ac:dyDescent="0.2"/>
    <row r="8601" s="689" customFormat="1" x14ac:dyDescent="0.2"/>
    <row r="8602" s="689" customFormat="1" x14ac:dyDescent="0.2"/>
    <row r="8603" s="689" customFormat="1" x14ac:dyDescent="0.2"/>
    <row r="8604" s="689" customFormat="1" x14ac:dyDescent="0.2"/>
    <row r="8605" s="689" customFormat="1" x14ac:dyDescent="0.2"/>
    <row r="8606" s="689" customFormat="1" x14ac:dyDescent="0.2"/>
    <row r="8607" s="689" customFormat="1" x14ac:dyDescent="0.2"/>
    <row r="8608" s="689" customFormat="1" x14ac:dyDescent="0.2"/>
    <row r="8609" s="689" customFormat="1" x14ac:dyDescent="0.2"/>
    <row r="8610" s="689" customFormat="1" x14ac:dyDescent="0.2"/>
    <row r="8611" s="689" customFormat="1" x14ac:dyDescent="0.2"/>
    <row r="8612" s="689" customFormat="1" x14ac:dyDescent="0.2"/>
    <row r="8613" s="689" customFormat="1" x14ac:dyDescent="0.2"/>
    <row r="8614" s="689" customFormat="1" x14ac:dyDescent="0.2"/>
    <row r="8615" s="689" customFormat="1" x14ac:dyDescent="0.2"/>
    <row r="8616" s="689" customFormat="1" x14ac:dyDescent="0.2"/>
    <row r="8617" s="689" customFormat="1" x14ac:dyDescent="0.2"/>
    <row r="8618" s="689" customFormat="1" x14ac:dyDescent="0.2"/>
    <row r="8619" s="689" customFormat="1" x14ac:dyDescent="0.2"/>
    <row r="8620" s="689" customFormat="1" x14ac:dyDescent="0.2"/>
    <row r="8621" s="689" customFormat="1" x14ac:dyDescent="0.2"/>
    <row r="8622" s="689" customFormat="1" x14ac:dyDescent="0.2"/>
    <row r="8623" s="689" customFormat="1" x14ac:dyDescent="0.2"/>
    <row r="8624" s="689" customFormat="1" x14ac:dyDescent="0.2"/>
    <row r="8625" s="689" customFormat="1" x14ac:dyDescent="0.2"/>
    <row r="8626" s="689" customFormat="1" x14ac:dyDescent="0.2"/>
    <row r="8627" s="689" customFormat="1" x14ac:dyDescent="0.2"/>
    <row r="8628" s="689" customFormat="1" x14ac:dyDescent="0.2"/>
    <row r="8629" s="689" customFormat="1" x14ac:dyDescent="0.2"/>
    <row r="8630" s="689" customFormat="1" x14ac:dyDescent="0.2"/>
    <row r="8631" s="689" customFormat="1" x14ac:dyDescent="0.2"/>
    <row r="8632" s="689" customFormat="1" x14ac:dyDescent="0.2"/>
    <row r="8633" s="689" customFormat="1" x14ac:dyDescent="0.2"/>
    <row r="8634" s="689" customFormat="1" x14ac:dyDescent="0.2"/>
    <row r="8635" s="689" customFormat="1" x14ac:dyDescent="0.2"/>
    <row r="8636" s="689" customFormat="1" x14ac:dyDescent="0.2"/>
    <row r="8637" s="689" customFormat="1" x14ac:dyDescent="0.2"/>
    <row r="8638" s="689" customFormat="1" x14ac:dyDescent="0.2"/>
    <row r="8639" s="689" customFormat="1" x14ac:dyDescent="0.2"/>
    <row r="8640" s="689" customFormat="1" x14ac:dyDescent="0.2"/>
    <row r="8641" s="689" customFormat="1" x14ac:dyDescent="0.2"/>
    <row r="8642" s="689" customFormat="1" x14ac:dyDescent="0.2"/>
    <row r="8643" s="689" customFormat="1" x14ac:dyDescent="0.2"/>
    <row r="8644" s="689" customFormat="1" x14ac:dyDescent="0.2"/>
    <row r="8645" s="689" customFormat="1" x14ac:dyDescent="0.2"/>
    <row r="8646" s="689" customFormat="1" x14ac:dyDescent="0.2"/>
    <row r="8647" s="689" customFormat="1" x14ac:dyDescent="0.2"/>
    <row r="8648" s="689" customFormat="1" x14ac:dyDescent="0.2"/>
    <row r="8649" s="689" customFormat="1" x14ac:dyDescent="0.2"/>
    <row r="8650" s="689" customFormat="1" x14ac:dyDescent="0.2"/>
    <row r="8651" s="689" customFormat="1" x14ac:dyDescent="0.2"/>
    <row r="8652" s="689" customFormat="1" x14ac:dyDescent="0.2"/>
    <row r="8653" s="689" customFormat="1" x14ac:dyDescent="0.2"/>
    <row r="8654" s="689" customFormat="1" x14ac:dyDescent="0.2"/>
    <row r="8655" s="689" customFormat="1" x14ac:dyDescent="0.2"/>
    <row r="8656" s="689" customFormat="1" x14ac:dyDescent="0.2"/>
    <row r="8657" s="689" customFormat="1" x14ac:dyDescent="0.2"/>
    <row r="8658" s="689" customFormat="1" x14ac:dyDescent="0.2"/>
    <row r="8659" s="689" customFormat="1" x14ac:dyDescent="0.2"/>
    <row r="8660" s="689" customFormat="1" x14ac:dyDescent="0.2"/>
    <row r="8661" s="689" customFormat="1" x14ac:dyDescent="0.2"/>
    <row r="8662" s="689" customFormat="1" x14ac:dyDescent="0.2"/>
    <row r="8663" s="689" customFormat="1" x14ac:dyDescent="0.2"/>
    <row r="8664" s="689" customFormat="1" x14ac:dyDescent="0.2"/>
    <row r="8665" s="689" customFormat="1" x14ac:dyDescent="0.2"/>
    <row r="8666" s="689" customFormat="1" x14ac:dyDescent="0.2"/>
    <row r="8667" s="689" customFormat="1" x14ac:dyDescent="0.2"/>
    <row r="8668" s="689" customFormat="1" x14ac:dyDescent="0.2"/>
    <row r="8669" s="689" customFormat="1" x14ac:dyDescent="0.2"/>
    <row r="8670" s="689" customFormat="1" x14ac:dyDescent="0.2"/>
    <row r="8671" s="689" customFormat="1" x14ac:dyDescent="0.2"/>
    <row r="8672" s="689" customFormat="1" x14ac:dyDescent="0.2"/>
    <row r="8673" s="689" customFormat="1" x14ac:dyDescent="0.2"/>
    <row r="8674" s="689" customFormat="1" x14ac:dyDescent="0.2"/>
    <row r="8675" s="689" customFormat="1" x14ac:dyDescent="0.2"/>
    <row r="8676" s="689" customFormat="1" x14ac:dyDescent="0.2"/>
    <row r="8677" s="689" customFormat="1" x14ac:dyDescent="0.2"/>
    <row r="8678" s="689" customFormat="1" x14ac:dyDescent="0.2"/>
    <row r="8679" s="689" customFormat="1" x14ac:dyDescent="0.2"/>
    <row r="8680" s="689" customFormat="1" x14ac:dyDescent="0.2"/>
    <row r="8681" s="689" customFormat="1" x14ac:dyDescent="0.2"/>
    <row r="8682" s="689" customFormat="1" x14ac:dyDescent="0.2"/>
    <row r="8683" s="689" customFormat="1" x14ac:dyDescent="0.2"/>
    <row r="8684" s="689" customFormat="1" x14ac:dyDescent="0.2"/>
    <row r="8685" s="689" customFormat="1" x14ac:dyDescent="0.2"/>
    <row r="8686" s="689" customFormat="1" x14ac:dyDescent="0.2"/>
    <row r="8687" s="689" customFormat="1" x14ac:dyDescent="0.2"/>
    <row r="8688" s="689" customFormat="1" x14ac:dyDescent="0.2"/>
    <row r="8689" s="689" customFormat="1" x14ac:dyDescent="0.2"/>
    <row r="8690" s="689" customFormat="1" x14ac:dyDescent="0.2"/>
    <row r="8691" s="689" customFormat="1" x14ac:dyDescent="0.2"/>
    <row r="8692" s="689" customFormat="1" x14ac:dyDescent="0.2"/>
    <row r="8693" s="689" customFormat="1" x14ac:dyDescent="0.2"/>
    <row r="8694" s="689" customFormat="1" x14ac:dyDescent="0.2"/>
    <row r="8695" s="689" customFormat="1" x14ac:dyDescent="0.2"/>
    <row r="8696" s="689" customFormat="1" x14ac:dyDescent="0.2"/>
    <row r="8697" s="689" customFormat="1" x14ac:dyDescent="0.2"/>
    <row r="8698" s="689" customFormat="1" x14ac:dyDescent="0.2"/>
    <row r="8699" s="689" customFormat="1" x14ac:dyDescent="0.2"/>
    <row r="8700" s="689" customFormat="1" x14ac:dyDescent="0.2"/>
    <row r="8701" s="689" customFormat="1" x14ac:dyDescent="0.2"/>
    <row r="8702" s="689" customFormat="1" x14ac:dyDescent="0.2"/>
    <row r="8703" s="689" customFormat="1" x14ac:dyDescent="0.2"/>
    <row r="8704" s="689" customFormat="1" x14ac:dyDescent="0.2"/>
    <row r="8705" s="689" customFormat="1" x14ac:dyDescent="0.2"/>
    <row r="8706" s="689" customFormat="1" x14ac:dyDescent="0.2"/>
    <row r="8707" s="689" customFormat="1" x14ac:dyDescent="0.2"/>
    <row r="8708" s="689" customFormat="1" x14ac:dyDescent="0.2"/>
    <row r="8709" s="689" customFormat="1" x14ac:dyDescent="0.2"/>
    <row r="8710" s="689" customFormat="1" x14ac:dyDescent="0.2"/>
    <row r="8711" s="689" customFormat="1" x14ac:dyDescent="0.2"/>
    <row r="8712" s="689" customFormat="1" x14ac:dyDescent="0.2"/>
    <row r="8713" s="689" customFormat="1" x14ac:dyDescent="0.2"/>
    <row r="8714" s="689" customFormat="1" x14ac:dyDescent="0.2"/>
    <row r="8715" s="689" customFormat="1" x14ac:dyDescent="0.2"/>
    <row r="8716" s="689" customFormat="1" x14ac:dyDescent="0.2"/>
    <row r="8717" s="689" customFormat="1" x14ac:dyDescent="0.2"/>
    <row r="8718" s="689" customFormat="1" x14ac:dyDescent="0.2"/>
    <row r="8719" s="689" customFormat="1" x14ac:dyDescent="0.2"/>
    <row r="8720" s="689" customFormat="1" x14ac:dyDescent="0.2"/>
    <row r="8721" s="689" customFormat="1" x14ac:dyDescent="0.2"/>
    <row r="8722" s="689" customFormat="1" x14ac:dyDescent="0.2"/>
    <row r="8723" s="689" customFormat="1" x14ac:dyDescent="0.2"/>
    <row r="8724" s="689" customFormat="1" x14ac:dyDescent="0.2"/>
    <row r="8725" s="689" customFormat="1" x14ac:dyDescent="0.2"/>
    <row r="8726" s="689" customFormat="1" x14ac:dyDescent="0.2"/>
    <row r="8727" s="689" customFormat="1" x14ac:dyDescent="0.2"/>
    <row r="8728" s="689" customFormat="1" x14ac:dyDescent="0.2"/>
    <row r="8729" s="689" customFormat="1" x14ac:dyDescent="0.2"/>
    <row r="8730" s="689" customFormat="1" x14ac:dyDescent="0.2"/>
    <row r="8731" s="689" customFormat="1" x14ac:dyDescent="0.2"/>
    <row r="8732" s="689" customFormat="1" x14ac:dyDescent="0.2"/>
    <row r="8733" s="689" customFormat="1" x14ac:dyDescent="0.2"/>
    <row r="8734" s="689" customFormat="1" x14ac:dyDescent="0.2"/>
    <row r="8735" s="689" customFormat="1" x14ac:dyDescent="0.2"/>
    <row r="8736" s="689" customFormat="1" x14ac:dyDescent="0.2"/>
    <row r="8737" s="689" customFormat="1" x14ac:dyDescent="0.2"/>
    <row r="8738" s="689" customFormat="1" x14ac:dyDescent="0.2"/>
    <row r="8739" s="689" customFormat="1" x14ac:dyDescent="0.2"/>
    <row r="8740" s="689" customFormat="1" x14ac:dyDescent="0.2"/>
    <row r="8741" s="689" customFormat="1" x14ac:dyDescent="0.2"/>
    <row r="8742" s="689" customFormat="1" x14ac:dyDescent="0.2"/>
    <row r="8743" s="689" customFormat="1" x14ac:dyDescent="0.2"/>
    <row r="8744" s="689" customFormat="1" x14ac:dyDescent="0.2"/>
    <row r="8745" s="689" customFormat="1" x14ac:dyDescent="0.2"/>
    <row r="8746" s="689" customFormat="1" x14ac:dyDescent="0.2"/>
    <row r="8747" s="689" customFormat="1" x14ac:dyDescent="0.2"/>
    <row r="8748" s="689" customFormat="1" x14ac:dyDescent="0.2"/>
    <row r="8749" s="689" customFormat="1" x14ac:dyDescent="0.2"/>
    <row r="8750" s="689" customFormat="1" x14ac:dyDescent="0.2"/>
    <row r="8751" s="689" customFormat="1" x14ac:dyDescent="0.2"/>
    <row r="8752" s="689" customFormat="1" x14ac:dyDescent="0.2"/>
    <row r="8753" s="689" customFormat="1" x14ac:dyDescent="0.2"/>
    <row r="8754" s="689" customFormat="1" x14ac:dyDescent="0.2"/>
    <row r="8755" s="689" customFormat="1" x14ac:dyDescent="0.2"/>
    <row r="8756" s="689" customFormat="1" x14ac:dyDescent="0.2"/>
    <row r="8757" s="689" customFormat="1" x14ac:dyDescent="0.2"/>
    <row r="8758" s="689" customFormat="1" x14ac:dyDescent="0.2"/>
    <row r="8759" s="689" customFormat="1" x14ac:dyDescent="0.2"/>
    <row r="8760" s="689" customFormat="1" x14ac:dyDescent="0.2"/>
    <row r="8761" s="689" customFormat="1" x14ac:dyDescent="0.2"/>
    <row r="8762" s="689" customFormat="1" x14ac:dyDescent="0.2"/>
    <row r="8763" s="689" customFormat="1" x14ac:dyDescent="0.2"/>
    <row r="8764" s="689" customFormat="1" x14ac:dyDescent="0.2"/>
    <row r="8765" s="689" customFormat="1" x14ac:dyDescent="0.2"/>
    <row r="8766" s="689" customFormat="1" x14ac:dyDescent="0.2"/>
    <row r="8767" s="689" customFormat="1" x14ac:dyDescent="0.2"/>
    <row r="8768" s="689" customFormat="1" x14ac:dyDescent="0.2"/>
    <row r="8769" s="689" customFormat="1" x14ac:dyDescent="0.2"/>
    <row r="8770" s="689" customFormat="1" x14ac:dyDescent="0.2"/>
    <row r="8771" s="689" customFormat="1" x14ac:dyDescent="0.2"/>
    <row r="8772" s="689" customFormat="1" x14ac:dyDescent="0.2"/>
    <row r="8773" s="689" customFormat="1" x14ac:dyDescent="0.2"/>
    <row r="8774" s="689" customFormat="1" x14ac:dyDescent="0.2"/>
    <row r="8775" s="689" customFormat="1" x14ac:dyDescent="0.2"/>
    <row r="8776" s="689" customFormat="1" x14ac:dyDescent="0.2"/>
    <row r="8777" s="689" customFormat="1" x14ac:dyDescent="0.2"/>
    <row r="8778" s="689" customFormat="1" x14ac:dyDescent="0.2"/>
    <row r="8779" s="689" customFormat="1" x14ac:dyDescent="0.2"/>
    <row r="8780" s="689" customFormat="1" x14ac:dyDescent="0.2"/>
    <row r="8781" s="689" customFormat="1" x14ac:dyDescent="0.2"/>
    <row r="8782" s="689" customFormat="1" x14ac:dyDescent="0.2"/>
    <row r="8783" s="689" customFormat="1" x14ac:dyDescent="0.2"/>
    <row r="8784" s="689" customFormat="1" x14ac:dyDescent="0.2"/>
    <row r="8785" s="689" customFormat="1" x14ac:dyDescent="0.2"/>
    <row r="8786" s="689" customFormat="1" x14ac:dyDescent="0.2"/>
    <row r="8787" s="689" customFormat="1" x14ac:dyDescent="0.2"/>
    <row r="8788" s="689" customFormat="1" x14ac:dyDescent="0.2"/>
    <row r="8789" s="689" customFormat="1" x14ac:dyDescent="0.2"/>
    <row r="8790" s="689" customFormat="1" x14ac:dyDescent="0.2"/>
    <row r="8791" s="689" customFormat="1" x14ac:dyDescent="0.2"/>
    <row r="8792" s="689" customFormat="1" x14ac:dyDescent="0.2"/>
    <row r="8793" s="689" customFormat="1" x14ac:dyDescent="0.2"/>
    <row r="8794" s="689" customFormat="1" x14ac:dyDescent="0.2"/>
    <row r="8795" s="689" customFormat="1" x14ac:dyDescent="0.2"/>
    <row r="8796" s="689" customFormat="1" x14ac:dyDescent="0.2"/>
    <row r="8797" s="689" customFormat="1" x14ac:dyDescent="0.2"/>
    <row r="8798" s="689" customFormat="1" x14ac:dyDescent="0.2"/>
    <row r="8799" s="689" customFormat="1" x14ac:dyDescent="0.2"/>
    <row r="8800" s="689" customFormat="1" x14ac:dyDescent="0.2"/>
    <row r="8801" s="689" customFormat="1" x14ac:dyDescent="0.2"/>
    <row r="8802" s="689" customFormat="1" x14ac:dyDescent="0.2"/>
    <row r="8803" s="689" customFormat="1" x14ac:dyDescent="0.2"/>
    <row r="8804" s="689" customFormat="1" x14ac:dyDescent="0.2"/>
    <row r="8805" s="689" customFormat="1" x14ac:dyDescent="0.2"/>
    <row r="8806" s="689" customFormat="1" x14ac:dyDescent="0.2"/>
    <row r="8807" s="689" customFormat="1" x14ac:dyDescent="0.2"/>
    <row r="8808" s="689" customFormat="1" x14ac:dyDescent="0.2"/>
    <row r="8809" s="689" customFormat="1" x14ac:dyDescent="0.2"/>
    <row r="8810" s="689" customFormat="1" x14ac:dyDescent="0.2"/>
    <row r="8811" s="689" customFormat="1" x14ac:dyDescent="0.2"/>
    <row r="8812" s="689" customFormat="1" x14ac:dyDescent="0.2"/>
    <row r="8813" s="689" customFormat="1" x14ac:dyDescent="0.2"/>
    <row r="8814" s="689" customFormat="1" x14ac:dyDescent="0.2"/>
    <row r="8815" s="689" customFormat="1" x14ac:dyDescent="0.2"/>
    <row r="8816" s="689" customFormat="1" x14ac:dyDescent="0.2"/>
    <row r="8817" s="689" customFormat="1" x14ac:dyDescent="0.2"/>
    <row r="8818" s="689" customFormat="1" x14ac:dyDescent="0.2"/>
    <row r="8819" s="689" customFormat="1" x14ac:dyDescent="0.2"/>
    <row r="8820" s="689" customFormat="1" x14ac:dyDescent="0.2"/>
    <row r="8821" s="689" customFormat="1" x14ac:dyDescent="0.2"/>
    <row r="8822" s="689" customFormat="1" x14ac:dyDescent="0.2"/>
    <row r="8823" s="689" customFormat="1" x14ac:dyDescent="0.2"/>
    <row r="8824" s="689" customFormat="1" x14ac:dyDescent="0.2"/>
    <row r="8825" s="689" customFormat="1" x14ac:dyDescent="0.2"/>
    <row r="8826" s="689" customFormat="1" x14ac:dyDescent="0.2"/>
    <row r="8827" s="689" customFormat="1" x14ac:dyDescent="0.2"/>
    <row r="8828" s="689" customFormat="1" x14ac:dyDescent="0.2"/>
    <row r="8829" s="689" customFormat="1" x14ac:dyDescent="0.2"/>
    <row r="8830" s="689" customFormat="1" x14ac:dyDescent="0.2"/>
    <row r="8831" s="689" customFormat="1" x14ac:dyDescent="0.2"/>
    <row r="8832" s="689" customFormat="1" x14ac:dyDescent="0.2"/>
    <row r="8833" s="689" customFormat="1" x14ac:dyDescent="0.2"/>
    <row r="8834" s="689" customFormat="1" x14ac:dyDescent="0.2"/>
    <row r="8835" s="689" customFormat="1" x14ac:dyDescent="0.2"/>
    <row r="8836" s="689" customFormat="1" x14ac:dyDescent="0.2"/>
    <row r="8837" s="689" customFormat="1" x14ac:dyDescent="0.2"/>
    <row r="8838" s="689" customFormat="1" x14ac:dyDescent="0.2"/>
    <row r="8839" s="689" customFormat="1" x14ac:dyDescent="0.2"/>
    <row r="8840" s="689" customFormat="1" x14ac:dyDescent="0.2"/>
    <row r="8841" s="689" customFormat="1" x14ac:dyDescent="0.2"/>
    <row r="8842" s="689" customFormat="1" x14ac:dyDescent="0.2"/>
    <row r="8843" s="689" customFormat="1" x14ac:dyDescent="0.2"/>
    <row r="8844" s="689" customFormat="1" x14ac:dyDescent="0.2"/>
    <row r="8845" s="689" customFormat="1" x14ac:dyDescent="0.2"/>
    <row r="8846" s="689" customFormat="1" x14ac:dyDescent="0.2"/>
    <row r="8847" s="689" customFormat="1" x14ac:dyDescent="0.2"/>
    <row r="8848" s="689" customFormat="1" x14ac:dyDescent="0.2"/>
    <row r="8849" s="689" customFormat="1" x14ac:dyDescent="0.2"/>
    <row r="8850" s="689" customFormat="1" x14ac:dyDescent="0.2"/>
    <row r="8851" s="689" customFormat="1" x14ac:dyDescent="0.2"/>
    <row r="8852" s="689" customFormat="1" x14ac:dyDescent="0.2"/>
    <row r="8853" s="689" customFormat="1" x14ac:dyDescent="0.2"/>
    <row r="8854" s="689" customFormat="1" x14ac:dyDescent="0.2"/>
    <row r="8855" s="689" customFormat="1" x14ac:dyDescent="0.2"/>
    <row r="8856" s="689" customFormat="1" x14ac:dyDescent="0.2"/>
    <row r="8857" s="689" customFormat="1" x14ac:dyDescent="0.2"/>
    <row r="8858" s="689" customFormat="1" x14ac:dyDescent="0.2"/>
    <row r="8859" s="689" customFormat="1" x14ac:dyDescent="0.2"/>
    <row r="8860" s="689" customFormat="1" x14ac:dyDescent="0.2"/>
    <row r="8861" s="689" customFormat="1" x14ac:dyDescent="0.2"/>
    <row r="8862" s="689" customFormat="1" x14ac:dyDescent="0.2"/>
    <row r="8863" s="689" customFormat="1" x14ac:dyDescent="0.2"/>
    <row r="8864" s="689" customFormat="1" x14ac:dyDescent="0.2"/>
    <row r="8865" s="689" customFormat="1" x14ac:dyDescent="0.2"/>
    <row r="8866" s="689" customFormat="1" x14ac:dyDescent="0.2"/>
    <row r="8867" s="689" customFormat="1" x14ac:dyDescent="0.2"/>
    <row r="8868" s="689" customFormat="1" x14ac:dyDescent="0.2"/>
    <row r="8869" s="689" customFormat="1" x14ac:dyDescent="0.2"/>
    <row r="8870" s="689" customFormat="1" x14ac:dyDescent="0.2"/>
    <row r="8871" s="689" customFormat="1" x14ac:dyDescent="0.2"/>
    <row r="8872" s="689" customFormat="1" x14ac:dyDescent="0.2"/>
    <row r="8873" s="689" customFormat="1" x14ac:dyDescent="0.2"/>
    <row r="8874" s="689" customFormat="1" x14ac:dyDescent="0.2"/>
    <row r="8875" s="689" customFormat="1" x14ac:dyDescent="0.2"/>
    <row r="8876" s="689" customFormat="1" x14ac:dyDescent="0.2"/>
    <row r="8877" s="689" customFormat="1" x14ac:dyDescent="0.2"/>
    <row r="8878" s="689" customFormat="1" x14ac:dyDescent="0.2"/>
    <row r="8879" s="689" customFormat="1" x14ac:dyDescent="0.2"/>
    <row r="8880" s="689" customFormat="1" x14ac:dyDescent="0.2"/>
    <row r="8881" s="689" customFormat="1" x14ac:dyDescent="0.2"/>
    <row r="8882" s="689" customFormat="1" x14ac:dyDescent="0.2"/>
    <row r="8883" s="689" customFormat="1" x14ac:dyDescent="0.2"/>
    <row r="8884" s="689" customFormat="1" x14ac:dyDescent="0.2"/>
    <row r="8885" s="689" customFormat="1" x14ac:dyDescent="0.2"/>
    <row r="8886" s="689" customFormat="1" x14ac:dyDescent="0.2"/>
    <row r="8887" s="689" customFormat="1" x14ac:dyDescent="0.2"/>
    <row r="8888" s="689" customFormat="1" x14ac:dyDescent="0.2"/>
    <row r="8889" s="689" customFormat="1" x14ac:dyDescent="0.2"/>
    <row r="8890" s="689" customFormat="1" x14ac:dyDescent="0.2"/>
    <row r="8891" s="689" customFormat="1" x14ac:dyDescent="0.2"/>
    <row r="8892" s="689" customFormat="1" x14ac:dyDescent="0.2"/>
    <row r="8893" s="689" customFormat="1" x14ac:dyDescent="0.2"/>
    <row r="8894" s="689" customFormat="1" x14ac:dyDescent="0.2"/>
    <row r="8895" s="689" customFormat="1" x14ac:dyDescent="0.2"/>
    <row r="8896" s="689" customFormat="1" x14ac:dyDescent="0.2"/>
    <row r="8897" s="689" customFormat="1" x14ac:dyDescent="0.2"/>
    <row r="8898" s="689" customFormat="1" x14ac:dyDescent="0.2"/>
    <row r="8899" s="689" customFormat="1" x14ac:dyDescent="0.2"/>
    <row r="8900" s="689" customFormat="1" x14ac:dyDescent="0.2"/>
    <row r="8901" s="689" customFormat="1" x14ac:dyDescent="0.2"/>
    <row r="8902" s="689" customFormat="1" x14ac:dyDescent="0.2"/>
    <row r="8903" s="689" customFormat="1" x14ac:dyDescent="0.2"/>
    <row r="8904" s="689" customFormat="1" x14ac:dyDescent="0.2"/>
    <row r="8905" s="689" customFormat="1" x14ac:dyDescent="0.2"/>
    <row r="8906" s="689" customFormat="1" x14ac:dyDescent="0.2"/>
    <row r="8907" s="689" customFormat="1" x14ac:dyDescent="0.2"/>
    <row r="8908" s="689" customFormat="1" x14ac:dyDescent="0.2"/>
    <row r="8909" s="689" customFormat="1" x14ac:dyDescent="0.2"/>
    <row r="8910" s="689" customFormat="1" x14ac:dyDescent="0.2"/>
    <row r="8911" s="689" customFormat="1" x14ac:dyDescent="0.2"/>
    <row r="8912" s="689" customFormat="1" x14ac:dyDescent="0.2"/>
    <row r="8913" s="689" customFormat="1" x14ac:dyDescent="0.2"/>
    <row r="8914" s="689" customFormat="1" x14ac:dyDescent="0.2"/>
    <row r="8915" s="689" customFormat="1" x14ac:dyDescent="0.2"/>
    <row r="8916" s="689" customFormat="1" x14ac:dyDescent="0.2"/>
    <row r="8917" s="689" customFormat="1" x14ac:dyDescent="0.2"/>
    <row r="8918" s="689" customFormat="1" x14ac:dyDescent="0.2"/>
    <row r="8919" s="689" customFormat="1" x14ac:dyDescent="0.2"/>
    <row r="8920" s="689" customFormat="1" x14ac:dyDescent="0.2"/>
    <row r="8921" s="689" customFormat="1" x14ac:dyDescent="0.2"/>
    <row r="8922" s="689" customFormat="1" x14ac:dyDescent="0.2"/>
    <row r="8923" s="689" customFormat="1" x14ac:dyDescent="0.2"/>
    <row r="8924" s="689" customFormat="1" x14ac:dyDescent="0.2"/>
    <row r="8925" s="689" customFormat="1" x14ac:dyDescent="0.2"/>
    <row r="8926" s="689" customFormat="1" x14ac:dyDescent="0.2"/>
    <row r="8927" s="689" customFormat="1" x14ac:dyDescent="0.2"/>
    <row r="8928" s="689" customFormat="1" x14ac:dyDescent="0.2"/>
    <row r="8929" s="689" customFormat="1" x14ac:dyDescent="0.2"/>
    <row r="8930" s="689" customFormat="1" x14ac:dyDescent="0.2"/>
    <row r="8931" s="689" customFormat="1" x14ac:dyDescent="0.2"/>
    <row r="8932" s="689" customFormat="1" x14ac:dyDescent="0.2"/>
    <row r="8933" s="689" customFormat="1" x14ac:dyDescent="0.2"/>
    <row r="8934" s="689" customFormat="1" x14ac:dyDescent="0.2"/>
    <row r="8935" s="689" customFormat="1" x14ac:dyDescent="0.2"/>
    <row r="8936" s="689" customFormat="1" x14ac:dyDescent="0.2"/>
    <row r="8937" s="689" customFormat="1" x14ac:dyDescent="0.2"/>
    <row r="8938" s="689" customFormat="1" x14ac:dyDescent="0.2"/>
    <row r="8939" s="689" customFormat="1" x14ac:dyDescent="0.2"/>
    <row r="8940" s="689" customFormat="1" x14ac:dyDescent="0.2"/>
    <row r="8941" s="689" customFormat="1" x14ac:dyDescent="0.2"/>
    <row r="8942" s="689" customFormat="1" x14ac:dyDescent="0.2"/>
    <row r="8943" s="689" customFormat="1" x14ac:dyDescent="0.2"/>
    <row r="8944" s="689" customFormat="1" x14ac:dyDescent="0.2"/>
    <row r="8945" s="689" customFormat="1" x14ac:dyDescent="0.2"/>
    <row r="8946" s="689" customFormat="1" x14ac:dyDescent="0.2"/>
    <row r="8947" s="689" customFormat="1" x14ac:dyDescent="0.2"/>
    <row r="8948" s="689" customFormat="1" x14ac:dyDescent="0.2"/>
    <row r="8949" s="689" customFormat="1" x14ac:dyDescent="0.2"/>
    <row r="8950" s="689" customFormat="1" x14ac:dyDescent="0.2"/>
    <row r="8951" s="689" customFormat="1" x14ac:dyDescent="0.2"/>
    <row r="8952" s="689" customFormat="1" x14ac:dyDescent="0.2"/>
    <row r="8953" s="689" customFormat="1" x14ac:dyDescent="0.2"/>
    <row r="8954" s="689" customFormat="1" x14ac:dyDescent="0.2"/>
    <row r="8955" s="689" customFormat="1" x14ac:dyDescent="0.2"/>
    <row r="8956" s="689" customFormat="1" x14ac:dyDescent="0.2"/>
    <row r="8957" s="689" customFormat="1" x14ac:dyDescent="0.2"/>
    <row r="8958" s="689" customFormat="1" x14ac:dyDescent="0.2"/>
    <row r="8959" s="689" customFormat="1" x14ac:dyDescent="0.2"/>
    <row r="8960" s="689" customFormat="1" x14ac:dyDescent="0.2"/>
    <row r="8961" s="689" customFormat="1" x14ac:dyDescent="0.2"/>
    <row r="8962" s="689" customFormat="1" x14ac:dyDescent="0.2"/>
    <row r="8963" s="689" customFormat="1" x14ac:dyDescent="0.2"/>
    <row r="8964" s="689" customFormat="1" x14ac:dyDescent="0.2"/>
    <row r="8965" s="689" customFormat="1" x14ac:dyDescent="0.2"/>
    <row r="8966" s="689" customFormat="1" x14ac:dyDescent="0.2"/>
    <row r="8967" s="689" customFormat="1" x14ac:dyDescent="0.2"/>
    <row r="8968" s="689" customFormat="1" x14ac:dyDescent="0.2"/>
    <row r="8969" s="689" customFormat="1" x14ac:dyDescent="0.2"/>
    <row r="8970" s="689" customFormat="1" x14ac:dyDescent="0.2"/>
    <row r="8971" s="689" customFormat="1" x14ac:dyDescent="0.2"/>
    <row r="8972" s="689" customFormat="1" x14ac:dyDescent="0.2"/>
    <row r="8973" s="689" customFormat="1" x14ac:dyDescent="0.2"/>
    <row r="8974" s="689" customFormat="1" x14ac:dyDescent="0.2"/>
    <row r="8975" s="689" customFormat="1" x14ac:dyDescent="0.2"/>
    <row r="8976" s="689" customFormat="1" x14ac:dyDescent="0.2"/>
    <row r="8977" s="689" customFormat="1" x14ac:dyDescent="0.2"/>
    <row r="8978" s="689" customFormat="1" x14ac:dyDescent="0.2"/>
    <row r="8979" s="689" customFormat="1" x14ac:dyDescent="0.2"/>
    <row r="8980" s="689" customFormat="1" x14ac:dyDescent="0.2"/>
    <row r="8981" s="689" customFormat="1" x14ac:dyDescent="0.2"/>
    <row r="8982" s="689" customFormat="1" x14ac:dyDescent="0.2"/>
    <row r="8983" s="689" customFormat="1" x14ac:dyDescent="0.2"/>
    <row r="8984" s="689" customFormat="1" x14ac:dyDescent="0.2"/>
    <row r="8985" s="689" customFormat="1" x14ac:dyDescent="0.2"/>
    <row r="8986" s="689" customFormat="1" x14ac:dyDescent="0.2"/>
    <row r="8987" s="689" customFormat="1" x14ac:dyDescent="0.2"/>
    <row r="8988" s="689" customFormat="1" x14ac:dyDescent="0.2"/>
    <row r="8989" s="689" customFormat="1" x14ac:dyDescent="0.2"/>
    <row r="8990" s="689" customFormat="1" x14ac:dyDescent="0.2"/>
    <row r="8991" s="689" customFormat="1" x14ac:dyDescent="0.2"/>
    <row r="8992" s="689" customFormat="1" x14ac:dyDescent="0.2"/>
    <row r="8993" s="689" customFormat="1" x14ac:dyDescent="0.2"/>
    <row r="8994" s="689" customFormat="1" x14ac:dyDescent="0.2"/>
    <row r="8995" s="689" customFormat="1" x14ac:dyDescent="0.2"/>
    <row r="8996" s="689" customFormat="1" x14ac:dyDescent="0.2"/>
    <row r="8997" s="689" customFormat="1" x14ac:dyDescent="0.2"/>
    <row r="8998" s="689" customFormat="1" x14ac:dyDescent="0.2"/>
    <row r="8999" s="689" customFormat="1" x14ac:dyDescent="0.2"/>
    <row r="9000" s="689" customFormat="1" x14ac:dyDescent="0.2"/>
    <row r="9001" s="689" customFormat="1" x14ac:dyDescent="0.2"/>
    <row r="9002" s="689" customFormat="1" x14ac:dyDescent="0.2"/>
    <row r="9003" s="689" customFormat="1" x14ac:dyDescent="0.2"/>
    <row r="9004" s="689" customFormat="1" x14ac:dyDescent="0.2"/>
    <row r="9005" s="689" customFormat="1" x14ac:dyDescent="0.2"/>
    <row r="9006" s="689" customFormat="1" x14ac:dyDescent="0.2"/>
    <row r="9007" s="689" customFormat="1" x14ac:dyDescent="0.2"/>
    <row r="9008" s="689" customFormat="1" x14ac:dyDescent="0.2"/>
    <row r="9009" s="689" customFormat="1" x14ac:dyDescent="0.2"/>
    <row r="9010" s="689" customFormat="1" x14ac:dyDescent="0.2"/>
    <row r="9011" s="689" customFormat="1" x14ac:dyDescent="0.2"/>
    <row r="9012" s="689" customFormat="1" x14ac:dyDescent="0.2"/>
    <row r="9013" s="689" customFormat="1" x14ac:dyDescent="0.2"/>
    <row r="9014" s="689" customFormat="1" x14ac:dyDescent="0.2"/>
    <row r="9015" s="689" customFormat="1" x14ac:dyDescent="0.2"/>
    <row r="9016" s="689" customFormat="1" x14ac:dyDescent="0.2"/>
    <row r="9017" s="689" customFormat="1" x14ac:dyDescent="0.2"/>
    <row r="9018" s="689" customFormat="1" x14ac:dyDescent="0.2"/>
    <row r="9019" s="689" customFormat="1" x14ac:dyDescent="0.2"/>
    <row r="9020" s="689" customFormat="1" x14ac:dyDescent="0.2"/>
    <row r="9021" s="689" customFormat="1" x14ac:dyDescent="0.2"/>
    <row r="9022" s="689" customFormat="1" x14ac:dyDescent="0.2"/>
    <row r="9023" s="689" customFormat="1" x14ac:dyDescent="0.2"/>
    <row r="9024" s="689" customFormat="1" x14ac:dyDescent="0.2"/>
    <row r="9025" s="689" customFormat="1" x14ac:dyDescent="0.2"/>
    <row r="9026" s="689" customFormat="1" x14ac:dyDescent="0.2"/>
    <row r="9027" s="689" customFormat="1" x14ac:dyDescent="0.2"/>
    <row r="9028" s="689" customFormat="1" x14ac:dyDescent="0.2"/>
    <row r="9029" s="689" customFormat="1" x14ac:dyDescent="0.2"/>
    <row r="9030" s="689" customFormat="1" x14ac:dyDescent="0.2"/>
    <row r="9031" s="689" customFormat="1" x14ac:dyDescent="0.2"/>
    <row r="9032" s="689" customFormat="1" x14ac:dyDescent="0.2"/>
    <row r="9033" s="689" customFormat="1" x14ac:dyDescent="0.2"/>
    <row r="9034" s="689" customFormat="1" x14ac:dyDescent="0.2"/>
    <row r="9035" s="689" customFormat="1" x14ac:dyDescent="0.2"/>
    <row r="9036" s="689" customFormat="1" x14ac:dyDescent="0.2"/>
    <row r="9037" s="689" customFormat="1" x14ac:dyDescent="0.2"/>
    <row r="9038" s="689" customFormat="1" x14ac:dyDescent="0.2"/>
    <row r="9039" s="689" customFormat="1" x14ac:dyDescent="0.2"/>
    <row r="9040" s="689" customFormat="1" x14ac:dyDescent="0.2"/>
    <row r="9041" s="689" customFormat="1" x14ac:dyDescent="0.2"/>
    <row r="9042" s="689" customFormat="1" x14ac:dyDescent="0.2"/>
    <row r="9043" s="689" customFormat="1" x14ac:dyDescent="0.2"/>
    <row r="9044" s="689" customFormat="1" x14ac:dyDescent="0.2"/>
    <row r="9045" s="689" customFormat="1" x14ac:dyDescent="0.2"/>
    <row r="9046" s="689" customFormat="1" x14ac:dyDescent="0.2"/>
    <row r="9047" s="689" customFormat="1" x14ac:dyDescent="0.2"/>
    <row r="9048" s="689" customFormat="1" x14ac:dyDescent="0.2"/>
    <row r="9049" s="689" customFormat="1" x14ac:dyDescent="0.2"/>
    <row r="9050" s="689" customFormat="1" x14ac:dyDescent="0.2"/>
    <row r="9051" s="689" customFormat="1" x14ac:dyDescent="0.2"/>
    <row r="9052" s="689" customFormat="1" x14ac:dyDescent="0.2"/>
    <row r="9053" s="689" customFormat="1" x14ac:dyDescent="0.2"/>
    <row r="9054" s="689" customFormat="1" x14ac:dyDescent="0.2"/>
    <row r="9055" s="689" customFormat="1" x14ac:dyDescent="0.2"/>
    <row r="9056" s="689" customFormat="1" x14ac:dyDescent="0.2"/>
    <row r="9057" s="689" customFormat="1" x14ac:dyDescent="0.2"/>
    <row r="9058" s="689" customFormat="1" x14ac:dyDescent="0.2"/>
    <row r="9059" s="689" customFormat="1" x14ac:dyDescent="0.2"/>
    <row r="9060" s="689" customFormat="1" x14ac:dyDescent="0.2"/>
    <row r="9061" s="689" customFormat="1" x14ac:dyDescent="0.2"/>
    <row r="9062" s="689" customFormat="1" x14ac:dyDescent="0.2"/>
    <row r="9063" s="689" customFormat="1" x14ac:dyDescent="0.2"/>
    <row r="9064" s="689" customFormat="1" x14ac:dyDescent="0.2"/>
    <row r="9065" s="689" customFormat="1" x14ac:dyDescent="0.2"/>
    <row r="9066" s="689" customFormat="1" x14ac:dyDescent="0.2"/>
    <row r="9067" s="689" customFormat="1" x14ac:dyDescent="0.2"/>
    <row r="9068" s="689" customFormat="1" x14ac:dyDescent="0.2"/>
    <row r="9069" s="689" customFormat="1" x14ac:dyDescent="0.2"/>
    <row r="9070" s="689" customFormat="1" x14ac:dyDescent="0.2"/>
    <row r="9071" s="689" customFormat="1" x14ac:dyDescent="0.2"/>
    <row r="9072" s="689" customFormat="1" x14ac:dyDescent="0.2"/>
    <row r="9073" s="689" customFormat="1" x14ac:dyDescent="0.2"/>
    <row r="9074" s="689" customFormat="1" x14ac:dyDescent="0.2"/>
    <row r="9075" s="689" customFormat="1" x14ac:dyDescent="0.2"/>
    <row r="9076" s="689" customFormat="1" x14ac:dyDescent="0.2"/>
    <row r="9077" s="689" customFormat="1" x14ac:dyDescent="0.2"/>
    <row r="9078" s="689" customFormat="1" x14ac:dyDescent="0.2"/>
    <row r="9079" s="689" customFormat="1" x14ac:dyDescent="0.2"/>
    <row r="9080" s="689" customFormat="1" x14ac:dyDescent="0.2"/>
    <row r="9081" s="689" customFormat="1" x14ac:dyDescent="0.2"/>
    <row r="9082" s="689" customFormat="1" x14ac:dyDescent="0.2"/>
    <row r="9083" s="689" customFormat="1" x14ac:dyDescent="0.2"/>
    <row r="9084" s="689" customFormat="1" x14ac:dyDescent="0.2"/>
    <row r="9085" s="689" customFormat="1" x14ac:dyDescent="0.2"/>
    <row r="9086" s="689" customFormat="1" x14ac:dyDescent="0.2"/>
    <row r="9087" s="689" customFormat="1" x14ac:dyDescent="0.2"/>
    <row r="9088" s="689" customFormat="1" x14ac:dyDescent="0.2"/>
    <row r="9089" s="689" customFormat="1" x14ac:dyDescent="0.2"/>
    <row r="9090" s="689" customFormat="1" x14ac:dyDescent="0.2"/>
    <row r="9091" s="689" customFormat="1" x14ac:dyDescent="0.2"/>
    <row r="9092" s="689" customFormat="1" x14ac:dyDescent="0.2"/>
    <row r="9093" s="689" customFormat="1" x14ac:dyDescent="0.2"/>
    <row r="9094" s="689" customFormat="1" x14ac:dyDescent="0.2"/>
    <row r="9095" s="689" customFormat="1" x14ac:dyDescent="0.2"/>
    <row r="9096" s="689" customFormat="1" x14ac:dyDescent="0.2"/>
    <row r="9097" s="689" customFormat="1" x14ac:dyDescent="0.2"/>
    <row r="9098" s="689" customFormat="1" x14ac:dyDescent="0.2"/>
    <row r="9099" s="689" customFormat="1" x14ac:dyDescent="0.2"/>
    <row r="9100" s="689" customFormat="1" x14ac:dyDescent="0.2"/>
    <row r="9101" s="689" customFormat="1" x14ac:dyDescent="0.2"/>
    <row r="9102" s="689" customFormat="1" x14ac:dyDescent="0.2"/>
    <row r="9103" s="689" customFormat="1" x14ac:dyDescent="0.2"/>
    <row r="9104" s="689" customFormat="1" x14ac:dyDescent="0.2"/>
    <row r="9105" s="689" customFormat="1" x14ac:dyDescent="0.2"/>
    <row r="9106" s="689" customFormat="1" x14ac:dyDescent="0.2"/>
    <row r="9107" s="689" customFormat="1" x14ac:dyDescent="0.2"/>
    <row r="9108" s="689" customFormat="1" x14ac:dyDescent="0.2"/>
    <row r="9109" s="689" customFormat="1" x14ac:dyDescent="0.2"/>
    <row r="9110" s="689" customFormat="1" x14ac:dyDescent="0.2"/>
    <row r="9111" s="689" customFormat="1" x14ac:dyDescent="0.2"/>
    <row r="9112" s="689" customFormat="1" x14ac:dyDescent="0.2"/>
    <row r="9113" s="689" customFormat="1" x14ac:dyDescent="0.2"/>
    <row r="9114" s="689" customFormat="1" x14ac:dyDescent="0.2"/>
    <row r="9115" s="689" customFormat="1" x14ac:dyDescent="0.2"/>
    <row r="9116" s="689" customFormat="1" x14ac:dyDescent="0.2"/>
    <row r="9117" s="689" customFormat="1" x14ac:dyDescent="0.2"/>
    <row r="9118" s="689" customFormat="1" x14ac:dyDescent="0.2"/>
    <row r="9119" s="689" customFormat="1" x14ac:dyDescent="0.2"/>
    <row r="9120" s="689" customFormat="1" x14ac:dyDescent="0.2"/>
    <row r="9121" s="689" customFormat="1" x14ac:dyDescent="0.2"/>
    <row r="9122" s="689" customFormat="1" x14ac:dyDescent="0.2"/>
    <row r="9123" s="689" customFormat="1" x14ac:dyDescent="0.2"/>
    <row r="9124" s="689" customFormat="1" x14ac:dyDescent="0.2"/>
    <row r="9125" s="689" customFormat="1" x14ac:dyDescent="0.2"/>
    <row r="9126" s="689" customFormat="1" x14ac:dyDescent="0.2"/>
    <row r="9127" s="689" customFormat="1" x14ac:dyDescent="0.2"/>
    <row r="9128" s="689" customFormat="1" x14ac:dyDescent="0.2"/>
    <row r="9129" s="689" customFormat="1" x14ac:dyDescent="0.2"/>
    <row r="9130" s="689" customFormat="1" x14ac:dyDescent="0.2"/>
    <row r="9131" s="689" customFormat="1" x14ac:dyDescent="0.2"/>
    <row r="9132" s="689" customFormat="1" x14ac:dyDescent="0.2"/>
    <row r="9133" s="689" customFormat="1" x14ac:dyDescent="0.2"/>
    <row r="9134" s="689" customFormat="1" x14ac:dyDescent="0.2"/>
    <row r="9135" s="689" customFormat="1" x14ac:dyDescent="0.2"/>
    <row r="9136" s="689" customFormat="1" x14ac:dyDescent="0.2"/>
    <row r="9137" s="689" customFormat="1" x14ac:dyDescent="0.2"/>
    <row r="9138" s="689" customFormat="1" x14ac:dyDescent="0.2"/>
    <row r="9139" s="689" customFormat="1" x14ac:dyDescent="0.2"/>
    <row r="9140" s="689" customFormat="1" x14ac:dyDescent="0.2"/>
    <row r="9141" s="689" customFormat="1" x14ac:dyDescent="0.2"/>
    <row r="9142" s="689" customFormat="1" x14ac:dyDescent="0.2"/>
    <row r="9143" s="689" customFormat="1" x14ac:dyDescent="0.2"/>
    <row r="9144" s="689" customFormat="1" x14ac:dyDescent="0.2"/>
    <row r="9145" s="689" customFormat="1" x14ac:dyDescent="0.2"/>
    <row r="9146" s="689" customFormat="1" x14ac:dyDescent="0.2"/>
    <row r="9147" s="689" customFormat="1" x14ac:dyDescent="0.2"/>
    <row r="9148" s="689" customFormat="1" x14ac:dyDescent="0.2"/>
    <row r="9149" s="689" customFormat="1" x14ac:dyDescent="0.2"/>
    <row r="9150" s="689" customFormat="1" x14ac:dyDescent="0.2"/>
    <row r="9151" s="689" customFormat="1" x14ac:dyDescent="0.2"/>
    <row r="9152" s="689" customFormat="1" x14ac:dyDescent="0.2"/>
    <row r="9153" s="689" customFormat="1" x14ac:dyDescent="0.2"/>
    <row r="9154" s="689" customFormat="1" x14ac:dyDescent="0.2"/>
    <row r="9155" s="689" customFormat="1" x14ac:dyDescent="0.2"/>
    <row r="9156" s="689" customFormat="1" x14ac:dyDescent="0.2"/>
    <row r="9157" s="689" customFormat="1" x14ac:dyDescent="0.2"/>
    <row r="9158" s="689" customFormat="1" x14ac:dyDescent="0.2"/>
    <row r="9159" s="689" customFormat="1" x14ac:dyDescent="0.2"/>
    <row r="9160" s="689" customFormat="1" x14ac:dyDescent="0.2"/>
    <row r="9161" s="689" customFormat="1" x14ac:dyDescent="0.2"/>
    <row r="9162" s="689" customFormat="1" x14ac:dyDescent="0.2"/>
    <row r="9163" s="689" customFormat="1" x14ac:dyDescent="0.2"/>
    <row r="9164" s="689" customFormat="1" x14ac:dyDescent="0.2"/>
    <row r="9165" s="689" customFormat="1" x14ac:dyDescent="0.2"/>
    <row r="9166" s="689" customFormat="1" x14ac:dyDescent="0.2"/>
    <row r="9167" s="689" customFormat="1" x14ac:dyDescent="0.2"/>
    <row r="9168" s="689" customFormat="1" x14ac:dyDescent="0.2"/>
    <row r="9169" s="689" customFormat="1" x14ac:dyDescent="0.2"/>
    <row r="9170" s="689" customFormat="1" x14ac:dyDescent="0.2"/>
    <row r="9171" s="689" customFormat="1" x14ac:dyDescent="0.2"/>
    <row r="9172" s="689" customFormat="1" x14ac:dyDescent="0.2"/>
    <row r="9173" s="689" customFormat="1" x14ac:dyDescent="0.2"/>
    <row r="9174" s="689" customFormat="1" x14ac:dyDescent="0.2"/>
    <row r="9175" s="689" customFormat="1" x14ac:dyDescent="0.2"/>
    <row r="9176" s="689" customFormat="1" x14ac:dyDescent="0.2"/>
    <row r="9177" s="689" customFormat="1" x14ac:dyDescent="0.2"/>
    <row r="9178" s="689" customFormat="1" x14ac:dyDescent="0.2"/>
    <row r="9179" s="689" customFormat="1" x14ac:dyDescent="0.2"/>
    <row r="9180" s="689" customFormat="1" x14ac:dyDescent="0.2"/>
    <row r="9181" s="689" customFormat="1" x14ac:dyDescent="0.2"/>
    <row r="9182" s="689" customFormat="1" x14ac:dyDescent="0.2"/>
    <row r="9183" s="689" customFormat="1" x14ac:dyDescent="0.2"/>
    <row r="9184" s="689" customFormat="1" x14ac:dyDescent="0.2"/>
    <row r="9185" s="689" customFormat="1" x14ac:dyDescent="0.2"/>
    <row r="9186" s="689" customFormat="1" x14ac:dyDescent="0.2"/>
    <row r="9187" s="689" customFormat="1" x14ac:dyDescent="0.2"/>
    <row r="9188" s="689" customFormat="1" x14ac:dyDescent="0.2"/>
    <row r="9189" s="689" customFormat="1" x14ac:dyDescent="0.2"/>
    <row r="9190" s="689" customFormat="1" x14ac:dyDescent="0.2"/>
    <row r="9191" s="689" customFormat="1" x14ac:dyDescent="0.2"/>
    <row r="9192" s="689" customFormat="1" x14ac:dyDescent="0.2"/>
    <row r="9193" s="689" customFormat="1" x14ac:dyDescent="0.2"/>
    <row r="9194" s="689" customFormat="1" x14ac:dyDescent="0.2"/>
    <row r="9195" s="689" customFormat="1" x14ac:dyDescent="0.2"/>
    <row r="9196" s="689" customFormat="1" x14ac:dyDescent="0.2"/>
    <row r="9197" s="689" customFormat="1" x14ac:dyDescent="0.2"/>
    <row r="9198" s="689" customFormat="1" x14ac:dyDescent="0.2"/>
    <row r="9199" s="689" customFormat="1" x14ac:dyDescent="0.2"/>
    <row r="9200" s="689" customFormat="1" x14ac:dyDescent="0.2"/>
    <row r="9201" s="689" customFormat="1" x14ac:dyDescent="0.2"/>
    <row r="9202" s="689" customFormat="1" x14ac:dyDescent="0.2"/>
    <row r="9203" s="689" customFormat="1" x14ac:dyDescent="0.2"/>
    <row r="9204" s="689" customFormat="1" x14ac:dyDescent="0.2"/>
    <row r="9205" s="689" customFormat="1" x14ac:dyDescent="0.2"/>
    <row r="9206" s="689" customFormat="1" x14ac:dyDescent="0.2"/>
    <row r="9207" s="689" customFormat="1" x14ac:dyDescent="0.2"/>
    <row r="9208" s="689" customFormat="1" x14ac:dyDescent="0.2"/>
    <row r="9209" s="689" customFormat="1" x14ac:dyDescent="0.2"/>
    <row r="9210" s="689" customFormat="1" x14ac:dyDescent="0.2"/>
    <row r="9211" s="689" customFormat="1" x14ac:dyDescent="0.2"/>
    <row r="9212" s="689" customFormat="1" x14ac:dyDescent="0.2"/>
    <row r="9213" s="689" customFormat="1" x14ac:dyDescent="0.2"/>
    <row r="9214" s="689" customFormat="1" x14ac:dyDescent="0.2"/>
    <row r="9215" s="689" customFormat="1" x14ac:dyDescent="0.2"/>
    <row r="9216" s="689" customFormat="1" x14ac:dyDescent="0.2"/>
    <row r="9217" s="689" customFormat="1" x14ac:dyDescent="0.2"/>
    <row r="9218" s="689" customFormat="1" x14ac:dyDescent="0.2"/>
    <row r="9219" s="689" customFormat="1" x14ac:dyDescent="0.2"/>
    <row r="9220" s="689" customFormat="1" x14ac:dyDescent="0.2"/>
    <row r="9221" s="689" customFormat="1" x14ac:dyDescent="0.2"/>
    <row r="9222" s="689" customFormat="1" x14ac:dyDescent="0.2"/>
    <row r="9223" s="689" customFormat="1" x14ac:dyDescent="0.2"/>
    <row r="9224" s="689" customFormat="1" x14ac:dyDescent="0.2"/>
    <row r="9225" s="689" customFormat="1" x14ac:dyDescent="0.2"/>
    <row r="9226" s="689" customFormat="1" x14ac:dyDescent="0.2"/>
    <row r="9227" s="689" customFormat="1" x14ac:dyDescent="0.2"/>
    <row r="9228" s="689" customFormat="1" x14ac:dyDescent="0.2"/>
    <row r="9229" s="689" customFormat="1" x14ac:dyDescent="0.2"/>
    <row r="9230" s="689" customFormat="1" x14ac:dyDescent="0.2"/>
    <row r="9231" s="689" customFormat="1" x14ac:dyDescent="0.2"/>
    <row r="9232" s="689" customFormat="1" x14ac:dyDescent="0.2"/>
    <row r="9233" s="689" customFormat="1" x14ac:dyDescent="0.2"/>
    <row r="9234" s="689" customFormat="1" x14ac:dyDescent="0.2"/>
    <row r="9235" s="689" customFormat="1" x14ac:dyDescent="0.2"/>
    <row r="9236" s="689" customFormat="1" x14ac:dyDescent="0.2"/>
    <row r="9237" s="689" customFormat="1" x14ac:dyDescent="0.2"/>
    <row r="9238" s="689" customFormat="1" x14ac:dyDescent="0.2"/>
    <row r="9239" s="689" customFormat="1" x14ac:dyDescent="0.2"/>
    <row r="9240" s="689" customFormat="1" x14ac:dyDescent="0.2"/>
    <row r="9241" s="689" customFormat="1" x14ac:dyDescent="0.2"/>
    <row r="9242" s="689" customFormat="1" x14ac:dyDescent="0.2"/>
    <row r="9243" s="689" customFormat="1" x14ac:dyDescent="0.2"/>
    <row r="9244" s="689" customFormat="1" x14ac:dyDescent="0.2"/>
    <row r="9245" s="689" customFormat="1" x14ac:dyDescent="0.2"/>
    <row r="9246" s="689" customFormat="1" x14ac:dyDescent="0.2"/>
    <row r="9247" s="689" customFormat="1" x14ac:dyDescent="0.2"/>
    <row r="9248" s="689" customFormat="1" x14ac:dyDescent="0.2"/>
    <row r="9249" s="689" customFormat="1" x14ac:dyDescent="0.2"/>
    <row r="9250" s="689" customFormat="1" x14ac:dyDescent="0.2"/>
    <row r="9251" s="689" customFormat="1" x14ac:dyDescent="0.2"/>
    <row r="9252" s="689" customFormat="1" x14ac:dyDescent="0.2"/>
    <row r="9253" s="689" customFormat="1" x14ac:dyDescent="0.2"/>
    <row r="9254" s="689" customFormat="1" x14ac:dyDescent="0.2"/>
    <row r="9255" s="689" customFormat="1" x14ac:dyDescent="0.2"/>
    <row r="9256" s="689" customFormat="1" x14ac:dyDescent="0.2"/>
    <row r="9257" s="689" customFormat="1" x14ac:dyDescent="0.2"/>
    <row r="9258" s="689" customFormat="1" x14ac:dyDescent="0.2"/>
    <row r="9259" s="689" customFormat="1" x14ac:dyDescent="0.2"/>
    <row r="9260" s="689" customFormat="1" x14ac:dyDescent="0.2"/>
    <row r="9261" s="689" customFormat="1" x14ac:dyDescent="0.2"/>
    <row r="9262" s="689" customFormat="1" x14ac:dyDescent="0.2"/>
    <row r="9263" s="689" customFormat="1" x14ac:dyDescent="0.2"/>
    <row r="9264" s="689" customFormat="1" x14ac:dyDescent="0.2"/>
    <row r="9265" s="689" customFormat="1" x14ac:dyDescent="0.2"/>
    <row r="9266" s="689" customFormat="1" x14ac:dyDescent="0.2"/>
    <row r="9267" s="689" customFormat="1" x14ac:dyDescent="0.2"/>
    <row r="9268" s="689" customFormat="1" x14ac:dyDescent="0.2"/>
    <row r="9269" s="689" customFormat="1" x14ac:dyDescent="0.2"/>
    <row r="9270" s="689" customFormat="1" x14ac:dyDescent="0.2"/>
    <row r="9271" s="689" customFormat="1" x14ac:dyDescent="0.2"/>
    <row r="9272" s="689" customFormat="1" x14ac:dyDescent="0.2"/>
    <row r="9273" s="689" customFormat="1" x14ac:dyDescent="0.2"/>
    <row r="9274" s="689" customFormat="1" x14ac:dyDescent="0.2"/>
    <row r="9275" s="689" customFormat="1" x14ac:dyDescent="0.2"/>
    <row r="9276" s="689" customFormat="1" x14ac:dyDescent="0.2"/>
    <row r="9277" s="689" customFormat="1" x14ac:dyDescent="0.2"/>
    <row r="9278" s="689" customFormat="1" x14ac:dyDescent="0.2"/>
    <row r="9279" s="689" customFormat="1" x14ac:dyDescent="0.2"/>
    <row r="9280" s="689" customFormat="1" x14ac:dyDescent="0.2"/>
    <row r="9281" s="689" customFormat="1" x14ac:dyDescent="0.2"/>
    <row r="9282" s="689" customFormat="1" x14ac:dyDescent="0.2"/>
    <row r="9283" s="689" customFormat="1" x14ac:dyDescent="0.2"/>
    <row r="9284" s="689" customFormat="1" x14ac:dyDescent="0.2"/>
    <row r="9285" s="689" customFormat="1" x14ac:dyDescent="0.2"/>
    <row r="9286" s="689" customFormat="1" x14ac:dyDescent="0.2"/>
    <row r="9287" s="689" customFormat="1" x14ac:dyDescent="0.2"/>
    <row r="9288" s="689" customFormat="1" x14ac:dyDescent="0.2"/>
    <row r="9289" s="689" customFormat="1" x14ac:dyDescent="0.2"/>
    <row r="9290" s="689" customFormat="1" x14ac:dyDescent="0.2"/>
    <row r="9291" s="689" customFormat="1" x14ac:dyDescent="0.2"/>
    <row r="9292" s="689" customFormat="1" x14ac:dyDescent="0.2"/>
    <row r="9293" s="689" customFormat="1" x14ac:dyDescent="0.2"/>
    <row r="9294" s="689" customFormat="1" x14ac:dyDescent="0.2"/>
    <row r="9295" s="689" customFormat="1" x14ac:dyDescent="0.2"/>
    <row r="9296" s="689" customFormat="1" x14ac:dyDescent="0.2"/>
    <row r="9297" s="689" customFormat="1" x14ac:dyDescent="0.2"/>
    <row r="9298" s="689" customFormat="1" x14ac:dyDescent="0.2"/>
    <row r="9299" s="689" customFormat="1" x14ac:dyDescent="0.2"/>
    <row r="9300" s="689" customFormat="1" x14ac:dyDescent="0.2"/>
    <row r="9301" s="689" customFormat="1" x14ac:dyDescent="0.2"/>
    <row r="9302" s="689" customFormat="1" x14ac:dyDescent="0.2"/>
    <row r="9303" s="689" customFormat="1" x14ac:dyDescent="0.2"/>
    <row r="9304" s="689" customFormat="1" x14ac:dyDescent="0.2"/>
    <row r="9305" s="689" customFormat="1" x14ac:dyDescent="0.2"/>
    <row r="9306" s="689" customFormat="1" x14ac:dyDescent="0.2"/>
    <row r="9307" s="689" customFormat="1" x14ac:dyDescent="0.2"/>
    <row r="9308" s="689" customFormat="1" x14ac:dyDescent="0.2"/>
    <row r="9309" s="689" customFormat="1" x14ac:dyDescent="0.2"/>
    <row r="9310" s="689" customFormat="1" x14ac:dyDescent="0.2"/>
    <row r="9311" s="689" customFormat="1" x14ac:dyDescent="0.2"/>
    <row r="9312" s="689" customFormat="1" x14ac:dyDescent="0.2"/>
    <row r="9313" s="689" customFormat="1" x14ac:dyDescent="0.2"/>
    <row r="9314" s="689" customFormat="1" x14ac:dyDescent="0.2"/>
    <row r="9315" s="689" customFormat="1" x14ac:dyDescent="0.2"/>
    <row r="9316" s="689" customFormat="1" x14ac:dyDescent="0.2"/>
    <row r="9317" s="689" customFormat="1" x14ac:dyDescent="0.2"/>
    <row r="9318" s="689" customFormat="1" x14ac:dyDescent="0.2"/>
    <row r="9319" s="689" customFormat="1" x14ac:dyDescent="0.2"/>
    <row r="9320" s="689" customFormat="1" x14ac:dyDescent="0.2"/>
    <row r="9321" s="689" customFormat="1" x14ac:dyDescent="0.2"/>
    <row r="9322" s="689" customFormat="1" x14ac:dyDescent="0.2"/>
    <row r="9323" s="689" customFormat="1" x14ac:dyDescent="0.2"/>
    <row r="9324" s="689" customFormat="1" x14ac:dyDescent="0.2"/>
    <row r="9325" s="689" customFormat="1" x14ac:dyDescent="0.2"/>
    <row r="9326" s="689" customFormat="1" x14ac:dyDescent="0.2"/>
    <row r="9327" s="689" customFormat="1" x14ac:dyDescent="0.2"/>
    <row r="9328" s="689" customFormat="1" x14ac:dyDescent="0.2"/>
    <row r="9329" s="689" customFormat="1" x14ac:dyDescent="0.2"/>
    <row r="9330" s="689" customFormat="1" x14ac:dyDescent="0.2"/>
    <row r="9331" s="689" customFormat="1" x14ac:dyDescent="0.2"/>
    <row r="9332" s="689" customFormat="1" x14ac:dyDescent="0.2"/>
    <row r="9333" s="689" customFormat="1" x14ac:dyDescent="0.2"/>
    <row r="9334" s="689" customFormat="1" x14ac:dyDescent="0.2"/>
    <row r="9335" s="689" customFormat="1" x14ac:dyDescent="0.2"/>
    <row r="9336" s="689" customFormat="1" x14ac:dyDescent="0.2"/>
    <row r="9337" s="689" customFormat="1" x14ac:dyDescent="0.2"/>
    <row r="9338" s="689" customFormat="1" x14ac:dyDescent="0.2"/>
    <row r="9339" s="689" customFormat="1" x14ac:dyDescent="0.2"/>
    <row r="9340" s="689" customFormat="1" x14ac:dyDescent="0.2"/>
    <row r="9341" s="689" customFormat="1" x14ac:dyDescent="0.2"/>
    <row r="9342" s="689" customFormat="1" x14ac:dyDescent="0.2"/>
    <row r="9343" s="689" customFormat="1" x14ac:dyDescent="0.2"/>
    <row r="9344" s="689" customFormat="1" x14ac:dyDescent="0.2"/>
    <row r="9345" s="689" customFormat="1" x14ac:dyDescent="0.2"/>
    <row r="9346" s="689" customFormat="1" x14ac:dyDescent="0.2"/>
    <row r="9347" s="689" customFormat="1" x14ac:dyDescent="0.2"/>
    <row r="9348" s="689" customFormat="1" x14ac:dyDescent="0.2"/>
    <row r="9349" s="689" customFormat="1" x14ac:dyDescent="0.2"/>
    <row r="9350" s="689" customFormat="1" x14ac:dyDescent="0.2"/>
    <row r="9351" s="689" customFormat="1" x14ac:dyDescent="0.2"/>
    <row r="9352" s="689" customFormat="1" x14ac:dyDescent="0.2"/>
    <row r="9353" s="689" customFormat="1" x14ac:dyDescent="0.2"/>
    <row r="9354" s="689" customFormat="1" x14ac:dyDescent="0.2"/>
    <row r="9355" s="689" customFormat="1" x14ac:dyDescent="0.2"/>
    <row r="9356" s="689" customFormat="1" x14ac:dyDescent="0.2"/>
    <row r="9357" s="689" customFormat="1" x14ac:dyDescent="0.2"/>
    <row r="9358" s="689" customFormat="1" x14ac:dyDescent="0.2"/>
    <row r="9359" s="689" customFormat="1" x14ac:dyDescent="0.2"/>
    <row r="9360" s="689" customFormat="1" x14ac:dyDescent="0.2"/>
    <row r="9361" s="689" customFormat="1" x14ac:dyDescent="0.2"/>
    <row r="9362" s="689" customFormat="1" x14ac:dyDescent="0.2"/>
    <row r="9363" s="689" customFormat="1" x14ac:dyDescent="0.2"/>
    <row r="9364" s="689" customFormat="1" x14ac:dyDescent="0.2"/>
    <row r="9365" s="689" customFormat="1" x14ac:dyDescent="0.2"/>
    <row r="9366" s="689" customFormat="1" x14ac:dyDescent="0.2"/>
    <row r="9367" s="689" customFormat="1" x14ac:dyDescent="0.2"/>
    <row r="9368" s="689" customFormat="1" x14ac:dyDescent="0.2"/>
    <row r="9369" s="689" customFormat="1" x14ac:dyDescent="0.2"/>
    <row r="9370" s="689" customFormat="1" x14ac:dyDescent="0.2"/>
    <row r="9371" s="689" customFormat="1" x14ac:dyDescent="0.2"/>
    <row r="9372" s="689" customFormat="1" x14ac:dyDescent="0.2"/>
    <row r="9373" s="689" customFormat="1" x14ac:dyDescent="0.2"/>
    <row r="9374" s="689" customFormat="1" x14ac:dyDescent="0.2"/>
    <row r="9375" s="689" customFormat="1" x14ac:dyDescent="0.2"/>
    <row r="9376" s="689" customFormat="1" x14ac:dyDescent="0.2"/>
    <row r="9377" s="689" customFormat="1" x14ac:dyDescent="0.2"/>
    <row r="9378" s="689" customFormat="1" x14ac:dyDescent="0.2"/>
    <row r="9379" s="689" customFormat="1" x14ac:dyDescent="0.2"/>
    <row r="9380" s="689" customFormat="1" x14ac:dyDescent="0.2"/>
    <row r="9381" s="689" customFormat="1" x14ac:dyDescent="0.2"/>
    <row r="9382" s="689" customFormat="1" x14ac:dyDescent="0.2"/>
    <row r="9383" s="689" customFormat="1" x14ac:dyDescent="0.2"/>
    <row r="9384" s="689" customFormat="1" x14ac:dyDescent="0.2"/>
    <row r="9385" s="689" customFormat="1" x14ac:dyDescent="0.2"/>
    <row r="9386" s="689" customFormat="1" x14ac:dyDescent="0.2"/>
    <row r="9387" s="689" customFormat="1" x14ac:dyDescent="0.2"/>
    <row r="9388" s="689" customFormat="1" x14ac:dyDescent="0.2"/>
    <row r="9389" s="689" customFormat="1" x14ac:dyDescent="0.2"/>
    <row r="9390" s="689" customFormat="1" x14ac:dyDescent="0.2"/>
    <row r="9391" s="689" customFormat="1" x14ac:dyDescent="0.2"/>
    <row r="9392" s="689" customFormat="1" x14ac:dyDescent="0.2"/>
    <row r="9393" s="689" customFormat="1" x14ac:dyDescent="0.2"/>
    <row r="9394" s="689" customFormat="1" x14ac:dyDescent="0.2"/>
    <row r="9395" s="689" customFormat="1" x14ac:dyDescent="0.2"/>
    <row r="9396" s="689" customFormat="1" x14ac:dyDescent="0.2"/>
    <row r="9397" s="689" customFormat="1" x14ac:dyDescent="0.2"/>
    <row r="9398" s="689" customFormat="1" x14ac:dyDescent="0.2"/>
    <row r="9399" s="689" customFormat="1" x14ac:dyDescent="0.2"/>
    <row r="9400" s="689" customFormat="1" x14ac:dyDescent="0.2"/>
    <row r="9401" s="689" customFormat="1" x14ac:dyDescent="0.2"/>
    <row r="9402" s="689" customFormat="1" x14ac:dyDescent="0.2"/>
    <row r="9403" s="689" customFormat="1" x14ac:dyDescent="0.2"/>
    <row r="9404" s="689" customFormat="1" x14ac:dyDescent="0.2"/>
    <row r="9405" s="689" customFormat="1" x14ac:dyDescent="0.2"/>
    <row r="9406" s="689" customFormat="1" x14ac:dyDescent="0.2"/>
    <row r="9407" s="689" customFormat="1" x14ac:dyDescent="0.2"/>
    <row r="9408" s="689" customFormat="1" x14ac:dyDescent="0.2"/>
    <row r="9409" s="689" customFormat="1" x14ac:dyDescent="0.2"/>
    <row r="9410" s="689" customFormat="1" x14ac:dyDescent="0.2"/>
    <row r="9411" s="689" customFormat="1" x14ac:dyDescent="0.2"/>
    <row r="9412" s="689" customFormat="1" x14ac:dyDescent="0.2"/>
    <row r="9413" s="689" customFormat="1" x14ac:dyDescent="0.2"/>
    <row r="9414" s="689" customFormat="1" x14ac:dyDescent="0.2"/>
    <row r="9415" s="689" customFormat="1" x14ac:dyDescent="0.2"/>
    <row r="9416" s="689" customFormat="1" x14ac:dyDescent="0.2"/>
    <row r="9417" s="689" customFormat="1" x14ac:dyDescent="0.2"/>
    <row r="9418" s="689" customFormat="1" x14ac:dyDescent="0.2"/>
    <row r="9419" s="689" customFormat="1" x14ac:dyDescent="0.2"/>
    <row r="9420" s="689" customFormat="1" x14ac:dyDescent="0.2"/>
    <row r="9421" s="689" customFormat="1" x14ac:dyDescent="0.2"/>
    <row r="9422" s="689" customFormat="1" x14ac:dyDescent="0.2"/>
    <row r="9423" s="689" customFormat="1" x14ac:dyDescent="0.2"/>
    <row r="9424" s="689" customFormat="1" x14ac:dyDescent="0.2"/>
    <row r="9425" s="689" customFormat="1" x14ac:dyDescent="0.2"/>
    <row r="9426" s="689" customFormat="1" x14ac:dyDescent="0.2"/>
    <row r="9427" s="689" customFormat="1" x14ac:dyDescent="0.2"/>
    <row r="9428" s="689" customFormat="1" x14ac:dyDescent="0.2"/>
    <row r="9429" s="689" customFormat="1" x14ac:dyDescent="0.2"/>
    <row r="9430" s="689" customFormat="1" x14ac:dyDescent="0.2"/>
    <row r="9431" s="689" customFormat="1" x14ac:dyDescent="0.2"/>
    <row r="9432" s="689" customFormat="1" x14ac:dyDescent="0.2"/>
    <row r="9433" s="689" customFormat="1" x14ac:dyDescent="0.2"/>
    <row r="9434" s="689" customFormat="1" x14ac:dyDescent="0.2"/>
    <row r="9435" s="689" customFormat="1" x14ac:dyDescent="0.2"/>
    <row r="9436" s="689" customFormat="1" x14ac:dyDescent="0.2"/>
    <row r="9437" s="689" customFormat="1" x14ac:dyDescent="0.2"/>
    <row r="9438" s="689" customFormat="1" x14ac:dyDescent="0.2"/>
    <row r="9439" s="689" customFormat="1" x14ac:dyDescent="0.2"/>
    <row r="9440" s="689" customFormat="1" x14ac:dyDescent="0.2"/>
    <row r="9441" s="689" customFormat="1" x14ac:dyDescent="0.2"/>
    <row r="9442" s="689" customFormat="1" x14ac:dyDescent="0.2"/>
    <row r="9443" s="689" customFormat="1" x14ac:dyDescent="0.2"/>
    <row r="9444" s="689" customFormat="1" x14ac:dyDescent="0.2"/>
    <row r="9445" s="689" customFormat="1" x14ac:dyDescent="0.2"/>
    <row r="9446" s="689" customFormat="1" x14ac:dyDescent="0.2"/>
    <row r="9447" s="689" customFormat="1" x14ac:dyDescent="0.2"/>
    <row r="9448" s="689" customFormat="1" x14ac:dyDescent="0.2"/>
    <row r="9449" s="689" customFormat="1" x14ac:dyDescent="0.2"/>
    <row r="9450" s="689" customFormat="1" x14ac:dyDescent="0.2"/>
    <row r="9451" s="689" customFormat="1" x14ac:dyDescent="0.2"/>
    <row r="9452" s="689" customFormat="1" x14ac:dyDescent="0.2"/>
    <row r="9453" s="689" customFormat="1" x14ac:dyDescent="0.2"/>
    <row r="9454" s="689" customFormat="1" x14ac:dyDescent="0.2"/>
    <row r="9455" s="689" customFormat="1" x14ac:dyDescent="0.2"/>
    <row r="9456" s="689" customFormat="1" x14ac:dyDescent="0.2"/>
    <row r="9457" s="689" customFormat="1" x14ac:dyDescent="0.2"/>
    <row r="9458" s="689" customFormat="1" x14ac:dyDescent="0.2"/>
    <row r="9459" s="689" customFormat="1" x14ac:dyDescent="0.2"/>
    <row r="9460" s="689" customFormat="1" x14ac:dyDescent="0.2"/>
    <row r="9461" s="689" customFormat="1" x14ac:dyDescent="0.2"/>
    <row r="9462" s="689" customFormat="1" x14ac:dyDescent="0.2"/>
    <row r="9463" s="689" customFormat="1" x14ac:dyDescent="0.2"/>
    <row r="9464" s="689" customFormat="1" x14ac:dyDescent="0.2"/>
    <row r="9465" s="689" customFormat="1" x14ac:dyDescent="0.2"/>
    <row r="9466" s="689" customFormat="1" x14ac:dyDescent="0.2"/>
    <row r="9467" s="689" customFormat="1" x14ac:dyDescent="0.2"/>
    <row r="9468" s="689" customFormat="1" x14ac:dyDescent="0.2"/>
    <row r="9469" s="689" customFormat="1" x14ac:dyDescent="0.2"/>
    <row r="9470" s="689" customFormat="1" x14ac:dyDescent="0.2"/>
    <row r="9471" s="689" customFormat="1" x14ac:dyDescent="0.2"/>
    <row r="9472" s="689" customFormat="1" x14ac:dyDescent="0.2"/>
    <row r="9473" s="689" customFormat="1" x14ac:dyDescent="0.2"/>
    <row r="9474" s="689" customFormat="1" x14ac:dyDescent="0.2"/>
    <row r="9475" s="689" customFormat="1" x14ac:dyDescent="0.2"/>
    <row r="9476" s="689" customFormat="1" x14ac:dyDescent="0.2"/>
    <row r="9477" s="689" customFormat="1" x14ac:dyDescent="0.2"/>
    <row r="9478" s="689" customFormat="1" x14ac:dyDescent="0.2"/>
    <row r="9479" s="689" customFormat="1" x14ac:dyDescent="0.2"/>
    <row r="9480" s="689" customFormat="1" x14ac:dyDescent="0.2"/>
    <row r="9481" s="689" customFormat="1" x14ac:dyDescent="0.2"/>
    <row r="9482" s="689" customFormat="1" x14ac:dyDescent="0.2"/>
    <row r="9483" s="689" customFormat="1" x14ac:dyDescent="0.2"/>
    <row r="9484" s="689" customFormat="1" x14ac:dyDescent="0.2"/>
    <row r="9485" s="689" customFormat="1" x14ac:dyDescent="0.2"/>
    <row r="9486" s="689" customFormat="1" x14ac:dyDescent="0.2"/>
    <row r="9487" s="689" customFormat="1" x14ac:dyDescent="0.2"/>
    <row r="9488" s="689" customFormat="1" x14ac:dyDescent="0.2"/>
    <row r="9489" s="689" customFormat="1" x14ac:dyDescent="0.2"/>
    <row r="9490" s="689" customFormat="1" x14ac:dyDescent="0.2"/>
    <row r="9491" s="689" customFormat="1" x14ac:dyDescent="0.2"/>
    <row r="9492" s="689" customFormat="1" x14ac:dyDescent="0.2"/>
    <row r="9493" s="689" customFormat="1" x14ac:dyDescent="0.2"/>
    <row r="9494" s="689" customFormat="1" x14ac:dyDescent="0.2"/>
    <row r="9495" s="689" customFormat="1" x14ac:dyDescent="0.2"/>
    <row r="9496" s="689" customFormat="1" x14ac:dyDescent="0.2"/>
    <row r="9497" s="689" customFormat="1" x14ac:dyDescent="0.2"/>
    <row r="9498" s="689" customFormat="1" x14ac:dyDescent="0.2"/>
    <row r="9499" s="689" customFormat="1" x14ac:dyDescent="0.2"/>
    <row r="9500" s="689" customFormat="1" x14ac:dyDescent="0.2"/>
    <row r="9501" s="689" customFormat="1" x14ac:dyDescent="0.2"/>
    <row r="9502" s="689" customFormat="1" x14ac:dyDescent="0.2"/>
    <row r="9503" s="689" customFormat="1" x14ac:dyDescent="0.2"/>
    <row r="9504" s="689" customFormat="1" x14ac:dyDescent="0.2"/>
    <row r="9505" s="689" customFormat="1" x14ac:dyDescent="0.2"/>
    <row r="9506" s="689" customFormat="1" x14ac:dyDescent="0.2"/>
    <row r="9507" s="689" customFormat="1" x14ac:dyDescent="0.2"/>
    <row r="9508" s="689" customFormat="1" x14ac:dyDescent="0.2"/>
    <row r="9509" s="689" customFormat="1" x14ac:dyDescent="0.2"/>
    <row r="9510" s="689" customFormat="1" x14ac:dyDescent="0.2"/>
    <row r="9511" s="689" customFormat="1" x14ac:dyDescent="0.2"/>
    <row r="9512" s="689" customFormat="1" x14ac:dyDescent="0.2"/>
    <row r="9513" s="689" customFormat="1" x14ac:dyDescent="0.2"/>
    <row r="9514" s="689" customFormat="1" x14ac:dyDescent="0.2"/>
    <row r="9515" s="689" customFormat="1" x14ac:dyDescent="0.2"/>
    <row r="9516" s="689" customFormat="1" x14ac:dyDescent="0.2"/>
    <row r="9517" s="689" customFormat="1" x14ac:dyDescent="0.2"/>
    <row r="9518" s="689" customFormat="1" x14ac:dyDescent="0.2"/>
    <row r="9519" s="689" customFormat="1" x14ac:dyDescent="0.2"/>
    <row r="9520" s="689" customFormat="1" x14ac:dyDescent="0.2"/>
    <row r="9521" s="689" customFormat="1" x14ac:dyDescent="0.2"/>
    <row r="9522" s="689" customFormat="1" x14ac:dyDescent="0.2"/>
    <row r="9523" s="689" customFormat="1" x14ac:dyDescent="0.2"/>
    <row r="9524" s="689" customFormat="1" x14ac:dyDescent="0.2"/>
    <row r="9525" s="689" customFormat="1" x14ac:dyDescent="0.2"/>
    <row r="9526" s="689" customFormat="1" x14ac:dyDescent="0.2"/>
    <row r="9527" s="689" customFormat="1" x14ac:dyDescent="0.2"/>
    <row r="9528" s="689" customFormat="1" x14ac:dyDescent="0.2"/>
    <row r="9529" s="689" customFormat="1" x14ac:dyDescent="0.2"/>
    <row r="9530" s="689" customFormat="1" x14ac:dyDescent="0.2"/>
    <row r="9531" s="689" customFormat="1" x14ac:dyDescent="0.2"/>
    <row r="9532" s="689" customFormat="1" x14ac:dyDescent="0.2"/>
    <row r="9533" s="689" customFormat="1" x14ac:dyDescent="0.2"/>
    <row r="9534" s="689" customFormat="1" x14ac:dyDescent="0.2"/>
    <row r="9535" s="689" customFormat="1" x14ac:dyDescent="0.2"/>
    <row r="9536" s="689" customFormat="1" x14ac:dyDescent="0.2"/>
    <row r="9537" s="689" customFormat="1" x14ac:dyDescent="0.2"/>
    <row r="9538" s="689" customFormat="1" x14ac:dyDescent="0.2"/>
    <row r="9539" s="689" customFormat="1" x14ac:dyDescent="0.2"/>
    <row r="9540" s="689" customFormat="1" x14ac:dyDescent="0.2"/>
    <row r="9541" s="689" customFormat="1" x14ac:dyDescent="0.2"/>
    <row r="9542" s="689" customFormat="1" x14ac:dyDescent="0.2"/>
    <row r="9543" s="689" customFormat="1" x14ac:dyDescent="0.2"/>
    <row r="9544" s="689" customFormat="1" x14ac:dyDescent="0.2"/>
    <row r="9545" s="689" customFormat="1" x14ac:dyDescent="0.2"/>
    <row r="9546" s="689" customFormat="1" x14ac:dyDescent="0.2"/>
    <row r="9547" s="689" customFormat="1" x14ac:dyDescent="0.2"/>
    <row r="9548" s="689" customFormat="1" x14ac:dyDescent="0.2"/>
    <row r="9549" s="689" customFormat="1" x14ac:dyDescent="0.2"/>
    <row r="9550" s="689" customFormat="1" x14ac:dyDescent="0.2"/>
    <row r="9551" s="689" customFormat="1" x14ac:dyDescent="0.2"/>
    <row r="9552" s="689" customFormat="1" x14ac:dyDescent="0.2"/>
    <row r="9553" s="689" customFormat="1" x14ac:dyDescent="0.2"/>
    <row r="9554" s="689" customFormat="1" x14ac:dyDescent="0.2"/>
    <row r="9555" s="689" customFormat="1" x14ac:dyDescent="0.2"/>
    <row r="9556" s="689" customFormat="1" x14ac:dyDescent="0.2"/>
    <row r="9557" s="689" customFormat="1" x14ac:dyDescent="0.2"/>
    <row r="9558" s="689" customFormat="1" x14ac:dyDescent="0.2"/>
    <row r="9559" s="689" customFormat="1" x14ac:dyDescent="0.2"/>
    <row r="9560" s="689" customFormat="1" x14ac:dyDescent="0.2"/>
    <row r="9561" s="689" customFormat="1" x14ac:dyDescent="0.2"/>
    <row r="9562" s="689" customFormat="1" x14ac:dyDescent="0.2"/>
    <row r="9563" s="689" customFormat="1" x14ac:dyDescent="0.2"/>
    <row r="9564" s="689" customFormat="1" x14ac:dyDescent="0.2"/>
    <row r="9565" s="689" customFormat="1" x14ac:dyDescent="0.2"/>
    <row r="9566" s="689" customFormat="1" x14ac:dyDescent="0.2"/>
    <row r="9567" s="689" customFormat="1" x14ac:dyDescent="0.2"/>
    <row r="9568" s="689" customFormat="1" x14ac:dyDescent="0.2"/>
    <row r="9569" s="689" customFormat="1" x14ac:dyDescent="0.2"/>
    <row r="9570" s="689" customFormat="1" x14ac:dyDescent="0.2"/>
    <row r="9571" s="689" customFormat="1" x14ac:dyDescent="0.2"/>
    <row r="9572" s="689" customFormat="1" x14ac:dyDescent="0.2"/>
    <row r="9573" s="689" customFormat="1" x14ac:dyDescent="0.2"/>
    <row r="9574" s="689" customFormat="1" x14ac:dyDescent="0.2"/>
    <row r="9575" s="689" customFormat="1" x14ac:dyDescent="0.2"/>
    <row r="9576" s="689" customFormat="1" x14ac:dyDescent="0.2"/>
    <row r="9577" s="689" customFormat="1" x14ac:dyDescent="0.2"/>
    <row r="9578" s="689" customFormat="1" x14ac:dyDescent="0.2"/>
    <row r="9579" s="689" customFormat="1" x14ac:dyDescent="0.2"/>
    <row r="9580" s="689" customFormat="1" x14ac:dyDescent="0.2"/>
    <row r="9581" s="689" customFormat="1" x14ac:dyDescent="0.2"/>
    <row r="9582" s="689" customFormat="1" x14ac:dyDescent="0.2"/>
    <row r="9583" s="689" customFormat="1" x14ac:dyDescent="0.2"/>
    <row r="9584" s="689" customFormat="1" x14ac:dyDescent="0.2"/>
    <row r="9585" s="689" customFormat="1" x14ac:dyDescent="0.2"/>
    <row r="9586" s="689" customFormat="1" x14ac:dyDescent="0.2"/>
    <row r="9587" s="689" customFormat="1" x14ac:dyDescent="0.2"/>
    <row r="9588" s="689" customFormat="1" x14ac:dyDescent="0.2"/>
    <row r="9589" s="689" customFormat="1" x14ac:dyDescent="0.2"/>
    <row r="9590" s="689" customFormat="1" x14ac:dyDescent="0.2"/>
    <row r="9591" s="689" customFormat="1" x14ac:dyDescent="0.2"/>
    <row r="9592" s="689" customFormat="1" x14ac:dyDescent="0.2"/>
    <row r="9593" s="689" customFormat="1" x14ac:dyDescent="0.2"/>
    <row r="9594" s="689" customFormat="1" x14ac:dyDescent="0.2"/>
    <row r="9595" s="689" customFormat="1" x14ac:dyDescent="0.2"/>
    <row r="9596" s="689" customFormat="1" x14ac:dyDescent="0.2"/>
    <row r="9597" s="689" customFormat="1" x14ac:dyDescent="0.2"/>
    <row r="9598" s="689" customFormat="1" x14ac:dyDescent="0.2"/>
    <row r="9599" s="689" customFormat="1" x14ac:dyDescent="0.2"/>
    <row r="9600" s="689" customFormat="1" x14ac:dyDescent="0.2"/>
    <row r="9601" s="689" customFormat="1" x14ac:dyDescent="0.2"/>
    <row r="9602" s="689" customFormat="1" x14ac:dyDescent="0.2"/>
    <row r="9603" s="689" customFormat="1" x14ac:dyDescent="0.2"/>
    <row r="9604" s="689" customFormat="1" x14ac:dyDescent="0.2"/>
    <row r="9605" s="689" customFormat="1" x14ac:dyDescent="0.2"/>
    <row r="9606" s="689" customFormat="1" x14ac:dyDescent="0.2"/>
    <row r="9607" s="689" customFormat="1" x14ac:dyDescent="0.2"/>
    <row r="9608" s="689" customFormat="1" x14ac:dyDescent="0.2"/>
    <row r="9609" s="689" customFormat="1" x14ac:dyDescent="0.2"/>
    <row r="9610" s="689" customFormat="1" x14ac:dyDescent="0.2"/>
    <row r="9611" s="689" customFormat="1" x14ac:dyDescent="0.2"/>
    <row r="9612" s="689" customFormat="1" x14ac:dyDescent="0.2"/>
    <row r="9613" s="689" customFormat="1" x14ac:dyDescent="0.2"/>
    <row r="9614" s="689" customFormat="1" x14ac:dyDescent="0.2"/>
    <row r="9615" s="689" customFormat="1" x14ac:dyDescent="0.2"/>
    <row r="9616" s="689" customFormat="1" x14ac:dyDescent="0.2"/>
    <row r="9617" s="689" customFormat="1" x14ac:dyDescent="0.2"/>
    <row r="9618" s="689" customFormat="1" x14ac:dyDescent="0.2"/>
    <row r="9619" s="689" customFormat="1" x14ac:dyDescent="0.2"/>
    <row r="9620" s="689" customFormat="1" x14ac:dyDescent="0.2"/>
    <row r="9621" s="689" customFormat="1" x14ac:dyDescent="0.2"/>
    <row r="9622" s="689" customFormat="1" x14ac:dyDescent="0.2"/>
    <row r="9623" s="689" customFormat="1" x14ac:dyDescent="0.2"/>
    <row r="9624" s="689" customFormat="1" x14ac:dyDescent="0.2"/>
    <row r="9625" s="689" customFormat="1" x14ac:dyDescent="0.2"/>
    <row r="9626" s="689" customFormat="1" x14ac:dyDescent="0.2"/>
    <row r="9627" s="689" customFormat="1" x14ac:dyDescent="0.2"/>
    <row r="9628" s="689" customFormat="1" x14ac:dyDescent="0.2"/>
    <row r="9629" s="689" customFormat="1" x14ac:dyDescent="0.2"/>
    <row r="9630" s="689" customFormat="1" x14ac:dyDescent="0.2"/>
    <row r="9631" s="689" customFormat="1" x14ac:dyDescent="0.2"/>
    <row r="9632" s="689" customFormat="1" x14ac:dyDescent="0.2"/>
    <row r="9633" s="689" customFormat="1" x14ac:dyDescent="0.2"/>
    <row r="9634" s="689" customFormat="1" x14ac:dyDescent="0.2"/>
    <row r="9635" s="689" customFormat="1" x14ac:dyDescent="0.2"/>
    <row r="9636" s="689" customFormat="1" x14ac:dyDescent="0.2"/>
    <row r="9637" s="689" customFormat="1" x14ac:dyDescent="0.2"/>
    <row r="9638" s="689" customFormat="1" x14ac:dyDescent="0.2"/>
    <row r="9639" s="689" customFormat="1" x14ac:dyDescent="0.2"/>
    <row r="9640" s="689" customFormat="1" x14ac:dyDescent="0.2"/>
    <row r="9641" s="689" customFormat="1" x14ac:dyDescent="0.2"/>
    <row r="9642" s="689" customFormat="1" x14ac:dyDescent="0.2"/>
    <row r="9643" s="689" customFormat="1" x14ac:dyDescent="0.2"/>
    <row r="9644" s="689" customFormat="1" x14ac:dyDescent="0.2"/>
    <row r="9645" s="689" customFormat="1" x14ac:dyDescent="0.2"/>
    <row r="9646" s="689" customFormat="1" x14ac:dyDescent="0.2"/>
    <row r="9647" s="689" customFormat="1" x14ac:dyDescent="0.2"/>
    <row r="9648" s="689" customFormat="1" x14ac:dyDescent="0.2"/>
    <row r="9649" s="689" customFormat="1" x14ac:dyDescent="0.2"/>
    <row r="9650" s="689" customFormat="1" x14ac:dyDescent="0.2"/>
    <row r="9651" s="689" customFormat="1" x14ac:dyDescent="0.2"/>
    <row r="9652" s="689" customFormat="1" x14ac:dyDescent="0.2"/>
    <row r="9653" s="689" customFormat="1" x14ac:dyDescent="0.2"/>
    <row r="9654" s="689" customFormat="1" x14ac:dyDescent="0.2"/>
    <row r="9655" s="689" customFormat="1" x14ac:dyDescent="0.2"/>
    <row r="9656" s="689" customFormat="1" x14ac:dyDescent="0.2"/>
    <row r="9657" s="689" customFormat="1" x14ac:dyDescent="0.2"/>
    <row r="9658" s="689" customFormat="1" x14ac:dyDescent="0.2"/>
    <row r="9659" s="689" customFormat="1" x14ac:dyDescent="0.2"/>
    <row r="9660" s="689" customFormat="1" x14ac:dyDescent="0.2"/>
    <row r="9661" s="689" customFormat="1" x14ac:dyDescent="0.2"/>
    <row r="9662" s="689" customFormat="1" x14ac:dyDescent="0.2"/>
    <row r="9663" s="689" customFormat="1" x14ac:dyDescent="0.2"/>
    <row r="9664" s="689" customFormat="1" x14ac:dyDescent="0.2"/>
    <row r="9665" s="689" customFormat="1" x14ac:dyDescent="0.2"/>
    <row r="9666" s="689" customFormat="1" x14ac:dyDescent="0.2"/>
    <row r="9667" s="689" customFormat="1" x14ac:dyDescent="0.2"/>
    <row r="9668" s="689" customFormat="1" x14ac:dyDescent="0.2"/>
    <row r="9669" s="689" customFormat="1" x14ac:dyDescent="0.2"/>
    <row r="9670" s="689" customFormat="1" x14ac:dyDescent="0.2"/>
    <row r="9671" s="689" customFormat="1" x14ac:dyDescent="0.2"/>
    <row r="9672" s="689" customFormat="1" x14ac:dyDescent="0.2"/>
    <row r="9673" s="689" customFormat="1" x14ac:dyDescent="0.2"/>
    <row r="9674" s="689" customFormat="1" x14ac:dyDescent="0.2"/>
    <row r="9675" s="689" customFormat="1" x14ac:dyDescent="0.2"/>
    <row r="9676" s="689" customFormat="1" x14ac:dyDescent="0.2"/>
    <row r="9677" s="689" customFormat="1" x14ac:dyDescent="0.2"/>
    <row r="9678" s="689" customFormat="1" x14ac:dyDescent="0.2"/>
    <row r="9679" s="689" customFormat="1" x14ac:dyDescent="0.2"/>
    <row r="9680" s="689" customFormat="1" x14ac:dyDescent="0.2"/>
    <row r="9681" s="689" customFormat="1" x14ac:dyDescent="0.2"/>
    <row r="9682" s="689" customFormat="1" x14ac:dyDescent="0.2"/>
    <row r="9683" s="689" customFormat="1" x14ac:dyDescent="0.2"/>
    <row r="9684" s="689" customFormat="1" x14ac:dyDescent="0.2"/>
    <row r="9685" s="689" customFormat="1" x14ac:dyDescent="0.2"/>
    <row r="9686" s="689" customFormat="1" x14ac:dyDescent="0.2"/>
    <row r="9687" s="689" customFormat="1" x14ac:dyDescent="0.2"/>
    <row r="9688" s="689" customFormat="1" x14ac:dyDescent="0.2"/>
    <row r="9689" s="689" customFormat="1" x14ac:dyDescent="0.2"/>
    <row r="9690" s="689" customFormat="1" x14ac:dyDescent="0.2"/>
    <row r="9691" s="689" customFormat="1" x14ac:dyDescent="0.2"/>
    <row r="9692" s="689" customFormat="1" x14ac:dyDescent="0.2"/>
    <row r="9693" s="689" customFormat="1" x14ac:dyDescent="0.2"/>
    <row r="9694" s="689" customFormat="1" x14ac:dyDescent="0.2"/>
    <row r="9695" s="689" customFormat="1" x14ac:dyDescent="0.2"/>
    <row r="9696" s="689" customFormat="1" x14ac:dyDescent="0.2"/>
    <row r="9697" s="689" customFormat="1" x14ac:dyDescent="0.2"/>
    <row r="9698" s="689" customFormat="1" x14ac:dyDescent="0.2"/>
    <row r="9699" s="689" customFormat="1" x14ac:dyDescent="0.2"/>
    <row r="9700" s="689" customFormat="1" x14ac:dyDescent="0.2"/>
    <row r="9701" s="689" customFormat="1" x14ac:dyDescent="0.2"/>
    <row r="9702" s="689" customFormat="1" x14ac:dyDescent="0.2"/>
    <row r="9703" s="689" customFormat="1" x14ac:dyDescent="0.2"/>
    <row r="9704" s="689" customFormat="1" x14ac:dyDescent="0.2"/>
    <row r="9705" s="689" customFormat="1" x14ac:dyDescent="0.2"/>
    <row r="9706" s="689" customFormat="1" x14ac:dyDescent="0.2"/>
    <row r="9707" s="689" customFormat="1" x14ac:dyDescent="0.2"/>
    <row r="9708" s="689" customFormat="1" x14ac:dyDescent="0.2"/>
    <row r="9709" s="689" customFormat="1" x14ac:dyDescent="0.2"/>
    <row r="9710" s="689" customFormat="1" x14ac:dyDescent="0.2"/>
    <row r="9711" s="689" customFormat="1" x14ac:dyDescent="0.2"/>
    <row r="9712" s="689" customFormat="1" x14ac:dyDescent="0.2"/>
    <row r="9713" s="689" customFormat="1" x14ac:dyDescent="0.2"/>
    <row r="9714" s="689" customFormat="1" x14ac:dyDescent="0.2"/>
    <row r="9715" s="689" customFormat="1" x14ac:dyDescent="0.2"/>
    <row r="9716" s="689" customFormat="1" x14ac:dyDescent="0.2"/>
    <row r="9717" s="689" customFormat="1" x14ac:dyDescent="0.2"/>
    <row r="9718" s="689" customFormat="1" x14ac:dyDescent="0.2"/>
    <row r="9719" s="689" customFormat="1" x14ac:dyDescent="0.2"/>
    <row r="9720" s="689" customFormat="1" x14ac:dyDescent="0.2"/>
    <row r="9721" s="689" customFormat="1" x14ac:dyDescent="0.2"/>
    <row r="9722" s="689" customFormat="1" x14ac:dyDescent="0.2"/>
    <row r="9723" s="689" customFormat="1" x14ac:dyDescent="0.2"/>
    <row r="9724" s="689" customFormat="1" x14ac:dyDescent="0.2"/>
    <row r="9725" s="689" customFormat="1" x14ac:dyDescent="0.2"/>
    <row r="9726" s="689" customFormat="1" x14ac:dyDescent="0.2"/>
    <row r="9727" s="689" customFormat="1" x14ac:dyDescent="0.2"/>
    <row r="9728" s="689" customFormat="1" x14ac:dyDescent="0.2"/>
    <row r="9729" s="689" customFormat="1" x14ac:dyDescent="0.2"/>
    <row r="9730" s="689" customFormat="1" x14ac:dyDescent="0.2"/>
    <row r="9731" s="689" customFormat="1" x14ac:dyDescent="0.2"/>
    <row r="9732" s="689" customFormat="1" x14ac:dyDescent="0.2"/>
    <row r="9733" s="689" customFormat="1" x14ac:dyDescent="0.2"/>
    <row r="9734" s="689" customFormat="1" x14ac:dyDescent="0.2"/>
    <row r="9735" s="689" customFormat="1" x14ac:dyDescent="0.2"/>
    <row r="9736" s="689" customFormat="1" x14ac:dyDescent="0.2"/>
    <row r="9737" s="689" customFormat="1" x14ac:dyDescent="0.2"/>
    <row r="9738" s="689" customFormat="1" x14ac:dyDescent="0.2"/>
    <row r="9739" s="689" customFormat="1" x14ac:dyDescent="0.2"/>
    <row r="9740" s="689" customFormat="1" x14ac:dyDescent="0.2"/>
    <row r="9741" s="689" customFormat="1" x14ac:dyDescent="0.2"/>
    <row r="9742" s="689" customFormat="1" x14ac:dyDescent="0.2"/>
    <row r="9743" s="689" customFormat="1" x14ac:dyDescent="0.2"/>
    <row r="9744" s="689" customFormat="1" x14ac:dyDescent="0.2"/>
    <row r="9745" s="689" customFormat="1" x14ac:dyDescent="0.2"/>
    <row r="9746" s="689" customFormat="1" x14ac:dyDescent="0.2"/>
    <row r="9747" s="689" customFormat="1" x14ac:dyDescent="0.2"/>
    <row r="9748" s="689" customFormat="1" x14ac:dyDescent="0.2"/>
    <row r="9749" s="689" customFormat="1" x14ac:dyDescent="0.2"/>
    <row r="9750" s="689" customFormat="1" x14ac:dyDescent="0.2"/>
    <row r="9751" s="689" customFormat="1" x14ac:dyDescent="0.2"/>
    <row r="9752" s="689" customFormat="1" x14ac:dyDescent="0.2"/>
    <row r="9753" s="689" customFormat="1" x14ac:dyDescent="0.2"/>
    <row r="9754" s="689" customFormat="1" x14ac:dyDescent="0.2"/>
    <row r="9755" s="689" customFormat="1" x14ac:dyDescent="0.2"/>
    <row r="9756" s="689" customFormat="1" x14ac:dyDescent="0.2"/>
    <row r="9757" s="689" customFormat="1" x14ac:dyDescent="0.2"/>
    <row r="9758" s="689" customFormat="1" x14ac:dyDescent="0.2"/>
    <row r="9759" s="689" customFormat="1" x14ac:dyDescent="0.2"/>
    <row r="9760" s="689" customFormat="1" x14ac:dyDescent="0.2"/>
    <row r="9761" s="689" customFormat="1" x14ac:dyDescent="0.2"/>
    <row r="9762" s="689" customFormat="1" x14ac:dyDescent="0.2"/>
    <row r="9763" s="689" customFormat="1" x14ac:dyDescent="0.2"/>
    <row r="9764" s="689" customFormat="1" x14ac:dyDescent="0.2"/>
    <row r="9765" s="689" customFormat="1" x14ac:dyDescent="0.2"/>
    <row r="9766" s="689" customFormat="1" x14ac:dyDescent="0.2"/>
    <row r="9767" s="689" customFormat="1" x14ac:dyDescent="0.2"/>
    <row r="9768" s="689" customFormat="1" x14ac:dyDescent="0.2"/>
    <row r="9769" s="689" customFormat="1" x14ac:dyDescent="0.2"/>
    <row r="9770" s="689" customFormat="1" x14ac:dyDescent="0.2"/>
    <row r="9771" s="689" customFormat="1" x14ac:dyDescent="0.2"/>
    <row r="9772" s="689" customFormat="1" x14ac:dyDescent="0.2"/>
    <row r="9773" s="689" customFormat="1" x14ac:dyDescent="0.2"/>
    <row r="9774" s="689" customFormat="1" x14ac:dyDescent="0.2"/>
    <row r="9775" s="689" customFormat="1" x14ac:dyDescent="0.2"/>
    <row r="9776" s="689" customFormat="1" x14ac:dyDescent="0.2"/>
    <row r="9777" s="689" customFormat="1" x14ac:dyDescent="0.2"/>
    <row r="9778" s="689" customFormat="1" x14ac:dyDescent="0.2"/>
    <row r="9779" s="689" customFormat="1" x14ac:dyDescent="0.2"/>
    <row r="9780" s="689" customFormat="1" x14ac:dyDescent="0.2"/>
    <row r="9781" s="689" customFormat="1" x14ac:dyDescent="0.2"/>
    <row r="9782" s="689" customFormat="1" x14ac:dyDescent="0.2"/>
    <row r="9783" s="689" customFormat="1" x14ac:dyDescent="0.2"/>
    <row r="9784" s="689" customFormat="1" x14ac:dyDescent="0.2"/>
    <row r="9785" s="689" customFormat="1" x14ac:dyDescent="0.2"/>
    <row r="9786" s="689" customFormat="1" x14ac:dyDescent="0.2"/>
    <row r="9787" s="689" customFormat="1" x14ac:dyDescent="0.2"/>
    <row r="9788" s="689" customFormat="1" x14ac:dyDescent="0.2"/>
    <row r="9789" s="689" customFormat="1" x14ac:dyDescent="0.2"/>
    <row r="9790" s="689" customFormat="1" x14ac:dyDescent="0.2"/>
    <row r="9791" s="689" customFormat="1" x14ac:dyDescent="0.2"/>
    <row r="9792" s="689" customFormat="1" x14ac:dyDescent="0.2"/>
    <row r="9793" s="689" customFormat="1" x14ac:dyDescent="0.2"/>
    <row r="9794" s="689" customFormat="1" x14ac:dyDescent="0.2"/>
    <row r="9795" s="689" customFormat="1" x14ac:dyDescent="0.2"/>
    <row r="9796" s="689" customFormat="1" x14ac:dyDescent="0.2"/>
    <row r="9797" s="689" customFormat="1" x14ac:dyDescent="0.2"/>
    <row r="9798" s="689" customFormat="1" x14ac:dyDescent="0.2"/>
    <row r="9799" s="689" customFormat="1" x14ac:dyDescent="0.2"/>
    <row r="9800" s="689" customFormat="1" x14ac:dyDescent="0.2"/>
    <row r="9801" s="689" customFormat="1" x14ac:dyDescent="0.2"/>
    <row r="9802" s="689" customFormat="1" x14ac:dyDescent="0.2"/>
    <row r="9803" s="689" customFormat="1" x14ac:dyDescent="0.2"/>
    <row r="9804" s="689" customFormat="1" x14ac:dyDescent="0.2"/>
    <row r="9805" s="689" customFormat="1" x14ac:dyDescent="0.2"/>
    <row r="9806" s="689" customFormat="1" x14ac:dyDescent="0.2"/>
    <row r="9807" s="689" customFormat="1" x14ac:dyDescent="0.2"/>
    <row r="9808" s="689" customFormat="1" x14ac:dyDescent="0.2"/>
    <row r="9809" s="689" customFormat="1" x14ac:dyDescent="0.2"/>
    <row r="9810" s="689" customFormat="1" x14ac:dyDescent="0.2"/>
    <row r="9811" s="689" customFormat="1" x14ac:dyDescent="0.2"/>
    <row r="9812" s="689" customFormat="1" x14ac:dyDescent="0.2"/>
    <row r="9813" s="689" customFormat="1" x14ac:dyDescent="0.2"/>
    <row r="9814" s="689" customFormat="1" x14ac:dyDescent="0.2"/>
    <row r="9815" s="689" customFormat="1" x14ac:dyDescent="0.2"/>
    <row r="9816" s="689" customFormat="1" x14ac:dyDescent="0.2"/>
    <row r="9817" s="689" customFormat="1" x14ac:dyDescent="0.2"/>
    <row r="9818" s="689" customFormat="1" x14ac:dyDescent="0.2"/>
    <row r="9819" s="689" customFormat="1" x14ac:dyDescent="0.2"/>
    <row r="9820" s="689" customFormat="1" x14ac:dyDescent="0.2"/>
    <row r="9821" s="689" customFormat="1" x14ac:dyDescent="0.2"/>
    <row r="9822" s="689" customFormat="1" x14ac:dyDescent="0.2"/>
    <row r="9823" s="689" customFormat="1" x14ac:dyDescent="0.2"/>
    <row r="9824" s="689" customFormat="1" x14ac:dyDescent="0.2"/>
    <row r="9825" s="689" customFormat="1" x14ac:dyDescent="0.2"/>
    <row r="9826" s="689" customFormat="1" x14ac:dyDescent="0.2"/>
    <row r="9827" s="689" customFormat="1" x14ac:dyDescent="0.2"/>
    <row r="9828" s="689" customFormat="1" x14ac:dyDescent="0.2"/>
    <row r="9829" s="689" customFormat="1" x14ac:dyDescent="0.2"/>
    <row r="9830" s="689" customFormat="1" x14ac:dyDescent="0.2"/>
    <row r="9831" s="689" customFormat="1" x14ac:dyDescent="0.2"/>
    <row r="9832" s="689" customFormat="1" x14ac:dyDescent="0.2"/>
    <row r="9833" s="689" customFormat="1" x14ac:dyDescent="0.2"/>
    <row r="9834" s="689" customFormat="1" x14ac:dyDescent="0.2"/>
    <row r="9835" s="689" customFormat="1" x14ac:dyDescent="0.2"/>
    <row r="9836" s="689" customFormat="1" x14ac:dyDescent="0.2"/>
    <row r="9837" s="689" customFormat="1" x14ac:dyDescent="0.2"/>
    <row r="9838" s="689" customFormat="1" x14ac:dyDescent="0.2"/>
    <row r="9839" s="689" customFormat="1" x14ac:dyDescent="0.2"/>
    <row r="9840" s="689" customFormat="1" x14ac:dyDescent="0.2"/>
    <row r="9841" s="689" customFormat="1" x14ac:dyDescent="0.2"/>
    <row r="9842" s="689" customFormat="1" x14ac:dyDescent="0.2"/>
    <row r="9843" s="689" customFormat="1" x14ac:dyDescent="0.2"/>
    <row r="9844" s="689" customFormat="1" x14ac:dyDescent="0.2"/>
    <row r="9845" s="689" customFormat="1" x14ac:dyDescent="0.2"/>
    <row r="9846" s="689" customFormat="1" x14ac:dyDescent="0.2"/>
    <row r="9847" s="689" customFormat="1" x14ac:dyDescent="0.2"/>
    <row r="9848" s="689" customFormat="1" x14ac:dyDescent="0.2"/>
    <row r="9849" s="689" customFormat="1" x14ac:dyDescent="0.2"/>
    <row r="9850" s="689" customFormat="1" x14ac:dyDescent="0.2"/>
    <row r="9851" s="689" customFormat="1" x14ac:dyDescent="0.2"/>
    <row r="9852" s="689" customFormat="1" x14ac:dyDescent="0.2"/>
    <row r="9853" s="689" customFormat="1" x14ac:dyDescent="0.2"/>
    <row r="9854" s="689" customFormat="1" x14ac:dyDescent="0.2"/>
    <row r="9855" s="689" customFormat="1" x14ac:dyDescent="0.2"/>
    <row r="9856" s="689" customFormat="1" x14ac:dyDescent="0.2"/>
    <row r="9857" s="689" customFormat="1" x14ac:dyDescent="0.2"/>
    <row r="9858" s="689" customFormat="1" x14ac:dyDescent="0.2"/>
    <row r="9859" s="689" customFormat="1" x14ac:dyDescent="0.2"/>
    <row r="9860" s="689" customFormat="1" x14ac:dyDescent="0.2"/>
    <row r="9861" s="689" customFormat="1" x14ac:dyDescent="0.2"/>
    <row r="9862" s="689" customFormat="1" x14ac:dyDescent="0.2"/>
    <row r="9863" s="689" customFormat="1" x14ac:dyDescent="0.2"/>
    <row r="9864" s="689" customFormat="1" x14ac:dyDescent="0.2"/>
    <row r="9865" s="689" customFormat="1" x14ac:dyDescent="0.2"/>
    <row r="9866" s="689" customFormat="1" x14ac:dyDescent="0.2"/>
    <row r="9867" s="689" customFormat="1" x14ac:dyDescent="0.2"/>
    <row r="9868" s="689" customFormat="1" x14ac:dyDescent="0.2"/>
    <row r="9869" s="689" customFormat="1" x14ac:dyDescent="0.2"/>
    <row r="9870" s="689" customFormat="1" x14ac:dyDescent="0.2"/>
    <row r="9871" s="689" customFormat="1" x14ac:dyDescent="0.2"/>
    <row r="9872" s="689" customFormat="1" x14ac:dyDescent="0.2"/>
    <row r="9873" s="689" customFormat="1" x14ac:dyDescent="0.2"/>
    <row r="9874" s="689" customFormat="1" x14ac:dyDescent="0.2"/>
    <row r="9875" s="689" customFormat="1" x14ac:dyDescent="0.2"/>
    <row r="9876" s="689" customFormat="1" x14ac:dyDescent="0.2"/>
    <row r="9877" s="689" customFormat="1" x14ac:dyDescent="0.2"/>
    <row r="9878" s="689" customFormat="1" x14ac:dyDescent="0.2"/>
    <row r="9879" s="689" customFormat="1" x14ac:dyDescent="0.2"/>
    <row r="9880" s="689" customFormat="1" x14ac:dyDescent="0.2"/>
    <row r="9881" s="689" customFormat="1" x14ac:dyDescent="0.2"/>
    <row r="9882" s="689" customFormat="1" x14ac:dyDescent="0.2"/>
    <row r="9883" s="689" customFormat="1" x14ac:dyDescent="0.2"/>
    <row r="9884" s="689" customFormat="1" x14ac:dyDescent="0.2"/>
    <row r="9885" s="689" customFormat="1" x14ac:dyDescent="0.2"/>
    <row r="9886" s="689" customFormat="1" x14ac:dyDescent="0.2"/>
    <row r="9887" s="689" customFormat="1" x14ac:dyDescent="0.2"/>
    <row r="9888" s="689" customFormat="1" x14ac:dyDescent="0.2"/>
    <row r="9889" s="689" customFormat="1" x14ac:dyDescent="0.2"/>
    <row r="9890" s="689" customFormat="1" x14ac:dyDescent="0.2"/>
    <row r="9891" s="689" customFormat="1" x14ac:dyDescent="0.2"/>
    <row r="9892" s="689" customFormat="1" x14ac:dyDescent="0.2"/>
    <row r="9893" s="689" customFormat="1" x14ac:dyDescent="0.2"/>
    <row r="9894" s="689" customFormat="1" x14ac:dyDescent="0.2"/>
    <row r="9895" s="689" customFormat="1" x14ac:dyDescent="0.2"/>
    <row r="9896" s="689" customFormat="1" x14ac:dyDescent="0.2"/>
    <row r="9897" s="689" customFormat="1" x14ac:dyDescent="0.2"/>
    <row r="9898" s="689" customFormat="1" x14ac:dyDescent="0.2"/>
    <row r="9899" s="689" customFormat="1" x14ac:dyDescent="0.2"/>
    <row r="9900" s="689" customFormat="1" x14ac:dyDescent="0.2"/>
    <row r="9901" s="689" customFormat="1" x14ac:dyDescent="0.2"/>
    <row r="9902" s="689" customFormat="1" x14ac:dyDescent="0.2"/>
    <row r="9903" s="689" customFormat="1" x14ac:dyDescent="0.2"/>
    <row r="9904" s="689" customFormat="1" x14ac:dyDescent="0.2"/>
    <row r="9905" s="689" customFormat="1" x14ac:dyDescent="0.2"/>
    <row r="9906" s="689" customFormat="1" x14ac:dyDescent="0.2"/>
    <row r="9907" s="689" customFormat="1" x14ac:dyDescent="0.2"/>
    <row r="9908" s="689" customFormat="1" x14ac:dyDescent="0.2"/>
    <row r="9909" s="689" customFormat="1" x14ac:dyDescent="0.2"/>
    <row r="9910" s="689" customFormat="1" x14ac:dyDescent="0.2"/>
    <row r="9911" s="689" customFormat="1" x14ac:dyDescent="0.2"/>
    <row r="9912" s="689" customFormat="1" x14ac:dyDescent="0.2"/>
    <row r="9913" s="689" customFormat="1" x14ac:dyDescent="0.2"/>
    <row r="9914" s="689" customFormat="1" x14ac:dyDescent="0.2"/>
    <row r="9915" s="689" customFormat="1" x14ac:dyDescent="0.2"/>
    <row r="9916" s="689" customFormat="1" x14ac:dyDescent="0.2"/>
    <row r="9917" s="689" customFormat="1" x14ac:dyDescent="0.2"/>
    <row r="9918" s="689" customFormat="1" x14ac:dyDescent="0.2"/>
    <row r="9919" s="689" customFormat="1" x14ac:dyDescent="0.2"/>
    <row r="9920" s="689" customFormat="1" x14ac:dyDescent="0.2"/>
    <row r="9921" s="689" customFormat="1" x14ac:dyDescent="0.2"/>
    <row r="9922" s="689" customFormat="1" x14ac:dyDescent="0.2"/>
    <row r="9923" s="689" customFormat="1" x14ac:dyDescent="0.2"/>
    <row r="9924" s="689" customFormat="1" x14ac:dyDescent="0.2"/>
    <row r="9925" s="689" customFormat="1" x14ac:dyDescent="0.2"/>
    <row r="9926" s="689" customFormat="1" x14ac:dyDescent="0.2"/>
    <row r="9927" s="689" customFormat="1" x14ac:dyDescent="0.2"/>
    <row r="9928" s="689" customFormat="1" x14ac:dyDescent="0.2"/>
    <row r="9929" s="689" customFormat="1" x14ac:dyDescent="0.2"/>
    <row r="9930" s="689" customFormat="1" x14ac:dyDescent="0.2"/>
    <row r="9931" s="689" customFormat="1" x14ac:dyDescent="0.2"/>
    <row r="9932" s="689" customFormat="1" x14ac:dyDescent="0.2"/>
    <row r="9933" s="689" customFormat="1" x14ac:dyDescent="0.2"/>
    <row r="9934" s="689" customFormat="1" x14ac:dyDescent="0.2"/>
    <row r="9935" s="689" customFormat="1" x14ac:dyDescent="0.2"/>
    <row r="9936" s="689" customFormat="1" x14ac:dyDescent="0.2"/>
    <row r="9937" s="689" customFormat="1" x14ac:dyDescent="0.2"/>
    <row r="9938" s="689" customFormat="1" x14ac:dyDescent="0.2"/>
    <row r="9939" s="689" customFormat="1" x14ac:dyDescent="0.2"/>
    <row r="9940" s="689" customFormat="1" x14ac:dyDescent="0.2"/>
    <row r="9941" s="689" customFormat="1" x14ac:dyDescent="0.2"/>
    <row r="9942" s="689" customFormat="1" x14ac:dyDescent="0.2"/>
    <row r="9943" s="689" customFormat="1" x14ac:dyDescent="0.2"/>
    <row r="9944" s="689" customFormat="1" x14ac:dyDescent="0.2"/>
    <row r="9945" s="689" customFormat="1" x14ac:dyDescent="0.2"/>
    <row r="9946" s="689" customFormat="1" x14ac:dyDescent="0.2"/>
    <row r="9947" s="689" customFormat="1" x14ac:dyDescent="0.2"/>
    <row r="9948" s="689" customFormat="1" x14ac:dyDescent="0.2"/>
    <row r="9949" s="689" customFormat="1" x14ac:dyDescent="0.2"/>
    <row r="9950" s="689" customFormat="1" x14ac:dyDescent="0.2"/>
    <row r="9951" s="689" customFormat="1" x14ac:dyDescent="0.2"/>
    <row r="9952" s="689" customFormat="1" x14ac:dyDescent="0.2"/>
    <row r="9953" s="689" customFormat="1" x14ac:dyDescent="0.2"/>
    <row r="9954" s="689" customFormat="1" x14ac:dyDescent="0.2"/>
    <row r="9955" s="689" customFormat="1" x14ac:dyDescent="0.2"/>
    <row r="9956" s="689" customFormat="1" x14ac:dyDescent="0.2"/>
    <row r="9957" s="689" customFormat="1" x14ac:dyDescent="0.2"/>
    <row r="9958" s="689" customFormat="1" x14ac:dyDescent="0.2"/>
    <row r="9959" s="689" customFormat="1" x14ac:dyDescent="0.2"/>
    <row r="9960" s="689" customFormat="1" x14ac:dyDescent="0.2"/>
    <row r="9961" s="689" customFormat="1" x14ac:dyDescent="0.2"/>
    <row r="9962" s="689" customFormat="1" x14ac:dyDescent="0.2"/>
    <row r="9963" s="689" customFormat="1" x14ac:dyDescent="0.2"/>
    <row r="9964" s="689" customFormat="1" x14ac:dyDescent="0.2"/>
    <row r="9965" s="689" customFormat="1" x14ac:dyDescent="0.2"/>
    <row r="9966" s="689" customFormat="1" x14ac:dyDescent="0.2"/>
    <row r="9967" s="689" customFormat="1" x14ac:dyDescent="0.2"/>
    <row r="9968" s="689" customFormat="1" x14ac:dyDescent="0.2"/>
    <row r="9969" s="689" customFormat="1" x14ac:dyDescent="0.2"/>
    <row r="9970" s="689" customFormat="1" x14ac:dyDescent="0.2"/>
    <row r="9971" s="689" customFormat="1" x14ac:dyDescent="0.2"/>
    <row r="9972" s="689" customFormat="1" x14ac:dyDescent="0.2"/>
    <row r="9973" s="689" customFormat="1" x14ac:dyDescent="0.2"/>
    <row r="9974" s="689" customFormat="1" x14ac:dyDescent="0.2"/>
    <row r="9975" s="689" customFormat="1" x14ac:dyDescent="0.2"/>
    <row r="9976" s="689" customFormat="1" x14ac:dyDescent="0.2"/>
    <row r="9977" s="689" customFormat="1" x14ac:dyDescent="0.2"/>
    <row r="9978" s="689" customFormat="1" x14ac:dyDescent="0.2"/>
    <row r="9979" s="689" customFormat="1" x14ac:dyDescent="0.2"/>
    <row r="9980" s="689" customFormat="1" x14ac:dyDescent="0.2"/>
    <row r="9981" s="689" customFormat="1" x14ac:dyDescent="0.2"/>
    <row r="9982" s="689" customFormat="1" x14ac:dyDescent="0.2"/>
    <row r="9983" s="689" customFormat="1" x14ac:dyDescent="0.2"/>
    <row r="9984" s="689" customFormat="1" x14ac:dyDescent="0.2"/>
    <row r="9985" s="689" customFormat="1" x14ac:dyDescent="0.2"/>
    <row r="9986" s="689" customFormat="1" x14ac:dyDescent="0.2"/>
    <row r="9987" s="689" customFormat="1" x14ac:dyDescent="0.2"/>
    <row r="9988" s="689" customFormat="1" x14ac:dyDescent="0.2"/>
    <row r="9989" s="689" customFormat="1" x14ac:dyDescent="0.2"/>
    <row r="9990" s="689" customFormat="1" x14ac:dyDescent="0.2"/>
    <row r="9991" s="689" customFormat="1" x14ac:dyDescent="0.2"/>
    <row r="9992" s="689" customFormat="1" x14ac:dyDescent="0.2"/>
    <row r="9993" s="689" customFormat="1" x14ac:dyDescent="0.2"/>
    <row r="9994" s="689" customFormat="1" x14ac:dyDescent="0.2"/>
    <row r="9995" s="689" customFormat="1" x14ac:dyDescent="0.2"/>
    <row r="9996" s="689" customFormat="1" x14ac:dyDescent="0.2"/>
    <row r="9997" s="689" customFormat="1" x14ac:dyDescent="0.2"/>
    <row r="9998" s="689" customFormat="1" x14ac:dyDescent="0.2"/>
    <row r="9999" s="689" customFormat="1" x14ac:dyDescent="0.2"/>
    <row r="10000" s="689" customFormat="1" x14ac:dyDescent="0.2"/>
    <row r="10001" s="689" customFormat="1" x14ac:dyDescent="0.2"/>
    <row r="10002" s="689" customFormat="1" x14ac:dyDescent="0.2"/>
    <row r="10003" s="689" customFormat="1" x14ac:dyDescent="0.2"/>
    <row r="10004" s="689" customFormat="1" x14ac:dyDescent="0.2"/>
    <row r="10005" s="689" customFormat="1" x14ac:dyDescent="0.2"/>
    <row r="10006" s="689" customFormat="1" x14ac:dyDescent="0.2"/>
    <row r="10007" s="689" customFormat="1" x14ac:dyDescent="0.2"/>
    <row r="10008" s="689" customFormat="1" x14ac:dyDescent="0.2"/>
    <row r="10009" s="689" customFormat="1" x14ac:dyDescent="0.2"/>
    <row r="10010" s="689" customFormat="1" x14ac:dyDescent="0.2"/>
    <row r="10011" s="689" customFormat="1" x14ac:dyDescent="0.2"/>
    <row r="10012" s="689" customFormat="1" x14ac:dyDescent="0.2"/>
    <row r="10013" s="689" customFormat="1" x14ac:dyDescent="0.2"/>
    <row r="10014" s="689" customFormat="1" x14ac:dyDescent="0.2"/>
    <row r="10015" s="689" customFormat="1" x14ac:dyDescent="0.2"/>
    <row r="10016" s="689" customFormat="1" x14ac:dyDescent="0.2"/>
    <row r="10017" s="689" customFormat="1" x14ac:dyDescent="0.2"/>
    <row r="10018" s="689" customFormat="1" x14ac:dyDescent="0.2"/>
    <row r="10019" s="689" customFormat="1" x14ac:dyDescent="0.2"/>
    <row r="10020" s="689" customFormat="1" x14ac:dyDescent="0.2"/>
    <row r="10021" s="689" customFormat="1" x14ac:dyDescent="0.2"/>
    <row r="10022" s="689" customFormat="1" x14ac:dyDescent="0.2"/>
    <row r="10023" s="689" customFormat="1" x14ac:dyDescent="0.2"/>
    <row r="10024" s="689" customFormat="1" x14ac:dyDescent="0.2"/>
    <row r="10025" s="689" customFormat="1" x14ac:dyDescent="0.2"/>
    <row r="10026" s="689" customFormat="1" x14ac:dyDescent="0.2"/>
    <row r="10027" s="689" customFormat="1" x14ac:dyDescent="0.2"/>
    <row r="10028" s="689" customFormat="1" x14ac:dyDescent="0.2"/>
    <row r="10029" s="689" customFormat="1" x14ac:dyDescent="0.2"/>
    <row r="10030" s="689" customFormat="1" x14ac:dyDescent="0.2"/>
    <row r="10031" s="689" customFormat="1" x14ac:dyDescent="0.2"/>
    <row r="10032" s="689" customFormat="1" x14ac:dyDescent="0.2"/>
    <row r="10033" s="689" customFormat="1" x14ac:dyDescent="0.2"/>
    <row r="10034" s="689" customFormat="1" x14ac:dyDescent="0.2"/>
    <row r="10035" s="689" customFormat="1" x14ac:dyDescent="0.2"/>
    <row r="10036" s="689" customFormat="1" x14ac:dyDescent="0.2"/>
    <row r="10037" s="689" customFormat="1" x14ac:dyDescent="0.2"/>
    <row r="10038" s="689" customFormat="1" x14ac:dyDescent="0.2"/>
    <row r="10039" s="689" customFormat="1" x14ac:dyDescent="0.2"/>
    <row r="10040" s="689" customFormat="1" x14ac:dyDescent="0.2"/>
    <row r="10041" s="689" customFormat="1" x14ac:dyDescent="0.2"/>
    <row r="10042" s="689" customFormat="1" x14ac:dyDescent="0.2"/>
    <row r="10043" s="689" customFormat="1" x14ac:dyDescent="0.2"/>
    <row r="10044" s="689" customFormat="1" x14ac:dyDescent="0.2"/>
    <row r="10045" s="689" customFormat="1" x14ac:dyDescent="0.2"/>
    <row r="10046" s="689" customFormat="1" x14ac:dyDescent="0.2"/>
    <row r="10047" s="689" customFormat="1" x14ac:dyDescent="0.2"/>
    <row r="10048" s="689" customFormat="1" x14ac:dyDescent="0.2"/>
    <row r="10049" s="689" customFormat="1" x14ac:dyDescent="0.2"/>
    <row r="10050" s="689" customFormat="1" x14ac:dyDescent="0.2"/>
    <row r="10051" s="689" customFormat="1" x14ac:dyDescent="0.2"/>
    <row r="10052" s="689" customFormat="1" x14ac:dyDescent="0.2"/>
    <row r="10053" s="689" customFormat="1" x14ac:dyDescent="0.2"/>
    <row r="10054" s="689" customFormat="1" x14ac:dyDescent="0.2"/>
    <row r="10055" s="689" customFormat="1" x14ac:dyDescent="0.2"/>
    <row r="10056" s="689" customFormat="1" x14ac:dyDescent="0.2"/>
    <row r="10057" s="689" customFormat="1" x14ac:dyDescent="0.2"/>
    <row r="10058" s="689" customFormat="1" x14ac:dyDescent="0.2"/>
    <row r="10059" s="689" customFormat="1" x14ac:dyDescent="0.2"/>
    <row r="10060" s="689" customFormat="1" x14ac:dyDescent="0.2"/>
    <row r="10061" s="689" customFormat="1" x14ac:dyDescent="0.2"/>
    <row r="10062" s="689" customFormat="1" x14ac:dyDescent="0.2"/>
    <row r="10063" s="689" customFormat="1" x14ac:dyDescent="0.2"/>
    <row r="10064" s="689" customFormat="1" x14ac:dyDescent="0.2"/>
    <row r="10065" s="689" customFormat="1" x14ac:dyDescent="0.2"/>
    <row r="10066" s="689" customFormat="1" x14ac:dyDescent="0.2"/>
    <row r="10067" s="689" customFormat="1" x14ac:dyDescent="0.2"/>
    <row r="10068" s="689" customFormat="1" x14ac:dyDescent="0.2"/>
    <row r="10069" s="689" customFormat="1" x14ac:dyDescent="0.2"/>
    <row r="10070" s="689" customFormat="1" x14ac:dyDescent="0.2"/>
    <row r="10071" s="689" customFormat="1" x14ac:dyDescent="0.2"/>
    <row r="10072" s="689" customFormat="1" x14ac:dyDescent="0.2"/>
    <row r="10073" s="689" customFormat="1" x14ac:dyDescent="0.2"/>
    <row r="10074" s="689" customFormat="1" x14ac:dyDescent="0.2"/>
    <row r="10075" s="689" customFormat="1" x14ac:dyDescent="0.2"/>
    <row r="10076" s="689" customFormat="1" x14ac:dyDescent="0.2"/>
    <row r="10077" s="689" customFormat="1" x14ac:dyDescent="0.2"/>
    <row r="10078" s="689" customFormat="1" x14ac:dyDescent="0.2"/>
    <row r="10079" s="689" customFormat="1" x14ac:dyDescent="0.2"/>
    <row r="10080" s="689" customFormat="1" x14ac:dyDescent="0.2"/>
    <row r="10081" s="689" customFormat="1" x14ac:dyDescent="0.2"/>
    <row r="10082" s="689" customFormat="1" x14ac:dyDescent="0.2"/>
    <row r="10083" s="689" customFormat="1" x14ac:dyDescent="0.2"/>
    <row r="10084" s="689" customFormat="1" x14ac:dyDescent="0.2"/>
    <row r="10085" s="689" customFormat="1" x14ac:dyDescent="0.2"/>
    <row r="10086" s="689" customFormat="1" x14ac:dyDescent="0.2"/>
    <row r="10087" s="689" customFormat="1" x14ac:dyDescent="0.2"/>
    <row r="10088" s="689" customFormat="1" x14ac:dyDescent="0.2"/>
    <row r="10089" s="689" customFormat="1" x14ac:dyDescent="0.2"/>
    <row r="10090" s="689" customFormat="1" x14ac:dyDescent="0.2"/>
    <row r="10091" s="689" customFormat="1" x14ac:dyDescent="0.2"/>
    <row r="10092" s="689" customFormat="1" x14ac:dyDescent="0.2"/>
    <row r="10093" s="689" customFormat="1" x14ac:dyDescent="0.2"/>
    <row r="10094" s="689" customFormat="1" x14ac:dyDescent="0.2"/>
    <row r="10095" s="689" customFormat="1" x14ac:dyDescent="0.2"/>
    <row r="10096" s="689" customFormat="1" x14ac:dyDescent="0.2"/>
    <row r="10097" s="689" customFormat="1" x14ac:dyDescent="0.2"/>
    <row r="10098" s="689" customFormat="1" x14ac:dyDescent="0.2"/>
    <row r="10099" s="689" customFormat="1" x14ac:dyDescent="0.2"/>
    <row r="10100" s="689" customFormat="1" x14ac:dyDescent="0.2"/>
    <row r="10101" s="689" customFormat="1" x14ac:dyDescent="0.2"/>
    <row r="10102" s="689" customFormat="1" x14ac:dyDescent="0.2"/>
    <row r="10103" s="689" customFormat="1" x14ac:dyDescent="0.2"/>
    <row r="10104" s="689" customFormat="1" x14ac:dyDescent="0.2"/>
    <row r="10105" s="689" customFormat="1" x14ac:dyDescent="0.2"/>
    <row r="10106" s="689" customFormat="1" x14ac:dyDescent="0.2"/>
    <row r="10107" s="689" customFormat="1" x14ac:dyDescent="0.2"/>
    <row r="10108" s="689" customFormat="1" x14ac:dyDescent="0.2"/>
    <row r="10109" s="689" customFormat="1" x14ac:dyDescent="0.2"/>
    <row r="10110" s="689" customFormat="1" x14ac:dyDescent="0.2"/>
    <row r="10111" s="689" customFormat="1" x14ac:dyDescent="0.2"/>
    <row r="10112" s="689" customFormat="1" x14ac:dyDescent="0.2"/>
    <row r="10113" s="689" customFormat="1" x14ac:dyDescent="0.2"/>
    <row r="10114" s="689" customFormat="1" x14ac:dyDescent="0.2"/>
    <row r="10115" s="689" customFormat="1" x14ac:dyDescent="0.2"/>
    <row r="10116" s="689" customFormat="1" x14ac:dyDescent="0.2"/>
    <row r="10117" s="689" customFormat="1" x14ac:dyDescent="0.2"/>
    <row r="10118" s="689" customFormat="1" x14ac:dyDescent="0.2"/>
    <row r="10119" s="689" customFormat="1" x14ac:dyDescent="0.2"/>
    <row r="10120" s="689" customFormat="1" x14ac:dyDescent="0.2"/>
    <row r="10121" s="689" customFormat="1" x14ac:dyDescent="0.2"/>
    <row r="10122" s="689" customFormat="1" x14ac:dyDescent="0.2"/>
    <row r="10123" s="689" customFormat="1" x14ac:dyDescent="0.2"/>
    <row r="10124" s="689" customFormat="1" x14ac:dyDescent="0.2"/>
    <row r="10125" s="689" customFormat="1" x14ac:dyDescent="0.2"/>
    <row r="10126" s="689" customFormat="1" x14ac:dyDescent="0.2"/>
    <row r="10127" s="689" customFormat="1" x14ac:dyDescent="0.2"/>
    <row r="10128" s="689" customFormat="1" x14ac:dyDescent="0.2"/>
    <row r="10129" s="689" customFormat="1" x14ac:dyDescent="0.2"/>
    <row r="10130" s="689" customFormat="1" x14ac:dyDescent="0.2"/>
    <row r="10131" s="689" customFormat="1" x14ac:dyDescent="0.2"/>
    <row r="10132" s="689" customFormat="1" x14ac:dyDescent="0.2"/>
    <row r="10133" s="689" customFormat="1" x14ac:dyDescent="0.2"/>
    <row r="10134" s="689" customFormat="1" x14ac:dyDescent="0.2"/>
    <row r="10135" s="689" customFormat="1" x14ac:dyDescent="0.2"/>
    <row r="10136" s="689" customFormat="1" x14ac:dyDescent="0.2"/>
    <row r="10137" s="689" customFormat="1" x14ac:dyDescent="0.2"/>
    <row r="10138" s="689" customFormat="1" x14ac:dyDescent="0.2"/>
    <row r="10139" s="689" customFormat="1" x14ac:dyDescent="0.2"/>
    <row r="10140" s="689" customFormat="1" x14ac:dyDescent="0.2"/>
    <row r="10141" s="689" customFormat="1" x14ac:dyDescent="0.2"/>
    <row r="10142" s="689" customFormat="1" x14ac:dyDescent="0.2"/>
    <row r="10143" s="689" customFormat="1" x14ac:dyDescent="0.2"/>
    <row r="10144" s="689" customFormat="1" x14ac:dyDescent="0.2"/>
    <row r="10145" s="689" customFormat="1" x14ac:dyDescent="0.2"/>
    <row r="10146" s="689" customFormat="1" x14ac:dyDescent="0.2"/>
    <row r="10147" s="689" customFormat="1" x14ac:dyDescent="0.2"/>
    <row r="10148" s="689" customFormat="1" x14ac:dyDescent="0.2"/>
    <row r="10149" s="689" customFormat="1" x14ac:dyDescent="0.2"/>
    <row r="10150" s="689" customFormat="1" x14ac:dyDescent="0.2"/>
    <row r="10151" s="689" customFormat="1" x14ac:dyDescent="0.2"/>
    <row r="10152" s="689" customFormat="1" x14ac:dyDescent="0.2"/>
    <row r="10153" s="689" customFormat="1" x14ac:dyDescent="0.2"/>
    <row r="10154" s="689" customFormat="1" x14ac:dyDescent="0.2"/>
    <row r="10155" s="689" customFormat="1" x14ac:dyDescent="0.2"/>
    <row r="10156" s="689" customFormat="1" x14ac:dyDescent="0.2"/>
    <row r="10157" s="689" customFormat="1" x14ac:dyDescent="0.2"/>
    <row r="10158" s="689" customFormat="1" x14ac:dyDescent="0.2"/>
    <row r="10159" s="689" customFormat="1" x14ac:dyDescent="0.2"/>
    <row r="10160" s="689" customFormat="1" x14ac:dyDescent="0.2"/>
    <row r="10161" s="689" customFormat="1" x14ac:dyDescent="0.2"/>
    <row r="10162" s="689" customFormat="1" x14ac:dyDescent="0.2"/>
    <row r="10163" s="689" customFormat="1" x14ac:dyDescent="0.2"/>
    <row r="10164" s="689" customFormat="1" x14ac:dyDescent="0.2"/>
    <row r="10165" s="689" customFormat="1" x14ac:dyDescent="0.2"/>
    <row r="10166" s="689" customFormat="1" x14ac:dyDescent="0.2"/>
    <row r="10167" s="689" customFormat="1" x14ac:dyDescent="0.2"/>
    <row r="10168" s="689" customFormat="1" x14ac:dyDescent="0.2"/>
    <row r="10169" s="689" customFormat="1" x14ac:dyDescent="0.2"/>
    <row r="10170" s="689" customFormat="1" x14ac:dyDescent="0.2"/>
    <row r="10171" s="689" customFormat="1" x14ac:dyDescent="0.2"/>
    <row r="10172" s="689" customFormat="1" x14ac:dyDescent="0.2"/>
    <row r="10173" s="689" customFormat="1" x14ac:dyDescent="0.2"/>
    <row r="10174" s="689" customFormat="1" x14ac:dyDescent="0.2"/>
    <row r="10175" s="689" customFormat="1" x14ac:dyDescent="0.2"/>
    <row r="10176" s="689" customFormat="1" x14ac:dyDescent="0.2"/>
    <row r="10177" s="689" customFormat="1" x14ac:dyDescent="0.2"/>
    <row r="10178" s="689" customFormat="1" x14ac:dyDescent="0.2"/>
    <row r="10179" s="689" customFormat="1" x14ac:dyDescent="0.2"/>
    <row r="10180" s="689" customFormat="1" x14ac:dyDescent="0.2"/>
    <row r="10181" s="689" customFormat="1" x14ac:dyDescent="0.2"/>
    <row r="10182" s="689" customFormat="1" x14ac:dyDescent="0.2"/>
    <row r="10183" s="689" customFormat="1" x14ac:dyDescent="0.2"/>
    <row r="10184" s="689" customFormat="1" x14ac:dyDescent="0.2"/>
    <row r="10185" s="689" customFormat="1" x14ac:dyDescent="0.2"/>
    <row r="10186" s="689" customFormat="1" x14ac:dyDescent="0.2"/>
    <row r="10187" s="689" customFormat="1" x14ac:dyDescent="0.2"/>
    <row r="10188" s="689" customFormat="1" x14ac:dyDescent="0.2"/>
    <row r="10189" s="689" customFormat="1" x14ac:dyDescent="0.2"/>
    <row r="10190" s="689" customFormat="1" x14ac:dyDescent="0.2"/>
    <row r="10191" s="689" customFormat="1" x14ac:dyDescent="0.2"/>
    <row r="10192" s="689" customFormat="1" x14ac:dyDescent="0.2"/>
    <row r="10193" s="689" customFormat="1" x14ac:dyDescent="0.2"/>
    <row r="10194" s="689" customFormat="1" x14ac:dyDescent="0.2"/>
    <row r="10195" s="689" customFormat="1" x14ac:dyDescent="0.2"/>
    <row r="10196" s="689" customFormat="1" x14ac:dyDescent="0.2"/>
    <row r="10197" s="689" customFormat="1" x14ac:dyDescent="0.2"/>
    <row r="10198" s="689" customFormat="1" x14ac:dyDescent="0.2"/>
    <row r="10199" s="689" customFormat="1" x14ac:dyDescent="0.2"/>
    <row r="10200" s="689" customFormat="1" x14ac:dyDescent="0.2"/>
    <row r="10201" s="689" customFormat="1" x14ac:dyDescent="0.2"/>
    <row r="10202" s="689" customFormat="1" x14ac:dyDescent="0.2"/>
    <row r="10203" s="689" customFormat="1" x14ac:dyDescent="0.2"/>
    <row r="10204" s="689" customFormat="1" x14ac:dyDescent="0.2"/>
    <row r="10205" s="689" customFormat="1" x14ac:dyDescent="0.2"/>
    <row r="10206" s="689" customFormat="1" x14ac:dyDescent="0.2"/>
    <row r="10207" s="689" customFormat="1" x14ac:dyDescent="0.2"/>
    <row r="10208" s="689" customFormat="1" x14ac:dyDescent="0.2"/>
    <row r="10209" s="689" customFormat="1" x14ac:dyDescent="0.2"/>
    <row r="10210" s="689" customFormat="1" x14ac:dyDescent="0.2"/>
    <row r="10211" s="689" customFormat="1" x14ac:dyDescent="0.2"/>
    <row r="10212" s="689" customFormat="1" x14ac:dyDescent="0.2"/>
    <row r="10213" s="689" customFormat="1" x14ac:dyDescent="0.2"/>
    <row r="10214" s="689" customFormat="1" x14ac:dyDescent="0.2"/>
    <row r="10215" s="689" customFormat="1" x14ac:dyDescent="0.2"/>
    <row r="10216" s="689" customFormat="1" x14ac:dyDescent="0.2"/>
    <row r="10217" s="689" customFormat="1" x14ac:dyDescent="0.2"/>
    <row r="10218" s="689" customFormat="1" x14ac:dyDescent="0.2"/>
    <row r="10219" s="689" customFormat="1" x14ac:dyDescent="0.2"/>
    <row r="10220" s="689" customFormat="1" x14ac:dyDescent="0.2"/>
    <row r="10221" s="689" customFormat="1" x14ac:dyDescent="0.2"/>
    <row r="10222" s="689" customFormat="1" x14ac:dyDescent="0.2"/>
    <row r="10223" s="689" customFormat="1" x14ac:dyDescent="0.2"/>
    <row r="10224" s="689" customFormat="1" x14ac:dyDescent="0.2"/>
    <row r="10225" s="689" customFormat="1" x14ac:dyDescent="0.2"/>
    <row r="10226" s="689" customFormat="1" x14ac:dyDescent="0.2"/>
    <row r="10227" s="689" customFormat="1" x14ac:dyDescent="0.2"/>
    <row r="10228" s="689" customFormat="1" x14ac:dyDescent="0.2"/>
    <row r="10229" s="689" customFormat="1" x14ac:dyDescent="0.2"/>
    <row r="10230" s="689" customFormat="1" x14ac:dyDescent="0.2"/>
    <row r="10231" s="689" customFormat="1" x14ac:dyDescent="0.2"/>
    <row r="10232" s="689" customFormat="1" x14ac:dyDescent="0.2"/>
    <row r="10233" s="689" customFormat="1" x14ac:dyDescent="0.2"/>
    <row r="10234" s="689" customFormat="1" x14ac:dyDescent="0.2"/>
    <row r="10235" s="689" customFormat="1" x14ac:dyDescent="0.2"/>
    <row r="10236" s="689" customFormat="1" x14ac:dyDescent="0.2"/>
    <row r="10237" s="689" customFormat="1" x14ac:dyDescent="0.2"/>
    <row r="10238" s="689" customFormat="1" x14ac:dyDescent="0.2"/>
    <row r="10239" s="689" customFormat="1" x14ac:dyDescent="0.2"/>
    <row r="10240" s="689" customFormat="1" x14ac:dyDescent="0.2"/>
    <row r="10241" s="689" customFormat="1" x14ac:dyDescent="0.2"/>
    <row r="10242" s="689" customFormat="1" x14ac:dyDescent="0.2"/>
    <row r="10243" s="689" customFormat="1" x14ac:dyDescent="0.2"/>
    <row r="10244" s="689" customFormat="1" x14ac:dyDescent="0.2"/>
    <row r="10245" s="689" customFormat="1" x14ac:dyDescent="0.2"/>
    <row r="10246" s="689" customFormat="1" x14ac:dyDescent="0.2"/>
    <row r="10247" s="689" customFormat="1" x14ac:dyDescent="0.2"/>
    <row r="10248" s="689" customFormat="1" x14ac:dyDescent="0.2"/>
    <row r="10249" s="689" customFormat="1" x14ac:dyDescent="0.2"/>
    <row r="10250" s="689" customFormat="1" x14ac:dyDescent="0.2"/>
    <row r="10251" s="689" customFormat="1" x14ac:dyDescent="0.2"/>
    <row r="10252" s="689" customFormat="1" x14ac:dyDescent="0.2"/>
    <row r="10253" s="689" customFormat="1" x14ac:dyDescent="0.2"/>
    <row r="10254" s="689" customFormat="1" x14ac:dyDescent="0.2"/>
    <row r="10255" s="689" customFormat="1" x14ac:dyDescent="0.2"/>
    <row r="10256" s="689" customFormat="1" x14ac:dyDescent="0.2"/>
    <row r="10257" s="689" customFormat="1" x14ac:dyDescent="0.2"/>
    <row r="10258" s="689" customFormat="1" x14ac:dyDescent="0.2"/>
    <row r="10259" s="689" customFormat="1" x14ac:dyDescent="0.2"/>
    <row r="10260" s="689" customFormat="1" x14ac:dyDescent="0.2"/>
    <row r="10261" s="689" customFormat="1" x14ac:dyDescent="0.2"/>
    <row r="10262" s="689" customFormat="1" x14ac:dyDescent="0.2"/>
    <row r="10263" s="689" customFormat="1" x14ac:dyDescent="0.2"/>
    <row r="10264" s="689" customFormat="1" x14ac:dyDescent="0.2"/>
    <row r="10265" s="689" customFormat="1" x14ac:dyDescent="0.2"/>
    <row r="10266" s="689" customFormat="1" x14ac:dyDescent="0.2"/>
    <row r="10267" s="689" customFormat="1" x14ac:dyDescent="0.2"/>
    <row r="10268" s="689" customFormat="1" x14ac:dyDescent="0.2"/>
    <row r="10269" s="689" customFormat="1" x14ac:dyDescent="0.2"/>
    <row r="10270" s="689" customFormat="1" x14ac:dyDescent="0.2"/>
    <row r="10271" s="689" customFormat="1" x14ac:dyDescent="0.2"/>
    <row r="10272" s="689" customFormat="1" x14ac:dyDescent="0.2"/>
    <row r="10273" s="689" customFormat="1" x14ac:dyDescent="0.2"/>
    <row r="10274" s="689" customFormat="1" x14ac:dyDescent="0.2"/>
    <row r="10275" s="689" customFormat="1" x14ac:dyDescent="0.2"/>
    <row r="10276" s="689" customFormat="1" x14ac:dyDescent="0.2"/>
    <row r="10277" s="689" customFormat="1" x14ac:dyDescent="0.2"/>
    <row r="10278" s="689" customFormat="1" x14ac:dyDescent="0.2"/>
    <row r="10279" s="689" customFormat="1" x14ac:dyDescent="0.2"/>
    <row r="10280" s="689" customFormat="1" x14ac:dyDescent="0.2"/>
    <row r="10281" s="689" customFormat="1" x14ac:dyDescent="0.2"/>
    <row r="10282" s="689" customFormat="1" x14ac:dyDescent="0.2"/>
    <row r="10283" s="689" customFormat="1" x14ac:dyDescent="0.2"/>
    <row r="10284" s="689" customFormat="1" x14ac:dyDescent="0.2"/>
    <row r="10285" s="689" customFormat="1" x14ac:dyDescent="0.2"/>
    <row r="10286" s="689" customFormat="1" x14ac:dyDescent="0.2"/>
    <row r="10287" s="689" customFormat="1" x14ac:dyDescent="0.2"/>
    <row r="10288" s="689" customFormat="1" x14ac:dyDescent="0.2"/>
    <row r="10289" s="689" customFormat="1" x14ac:dyDescent="0.2"/>
    <row r="10290" s="689" customFormat="1" x14ac:dyDescent="0.2"/>
    <row r="10291" s="689" customFormat="1" x14ac:dyDescent="0.2"/>
    <row r="10292" s="689" customFormat="1" x14ac:dyDescent="0.2"/>
    <row r="10293" s="689" customFormat="1" x14ac:dyDescent="0.2"/>
    <row r="10294" s="689" customFormat="1" x14ac:dyDescent="0.2"/>
    <row r="10295" s="689" customFormat="1" x14ac:dyDescent="0.2"/>
    <row r="10296" s="689" customFormat="1" x14ac:dyDescent="0.2"/>
    <row r="10297" s="689" customFormat="1" x14ac:dyDescent="0.2"/>
    <row r="10298" s="689" customFormat="1" x14ac:dyDescent="0.2"/>
    <row r="10299" s="689" customFormat="1" x14ac:dyDescent="0.2"/>
    <row r="10300" s="689" customFormat="1" x14ac:dyDescent="0.2"/>
    <row r="10301" s="689" customFormat="1" x14ac:dyDescent="0.2"/>
    <row r="10302" s="689" customFormat="1" x14ac:dyDescent="0.2"/>
    <row r="10303" s="689" customFormat="1" x14ac:dyDescent="0.2"/>
    <row r="10304" s="689" customFormat="1" x14ac:dyDescent="0.2"/>
    <row r="10305" s="689" customFormat="1" x14ac:dyDescent="0.2"/>
    <row r="10306" s="689" customFormat="1" x14ac:dyDescent="0.2"/>
    <row r="10307" s="689" customFormat="1" x14ac:dyDescent="0.2"/>
    <row r="10308" s="689" customFormat="1" x14ac:dyDescent="0.2"/>
    <row r="10309" s="689" customFormat="1" x14ac:dyDescent="0.2"/>
    <row r="10310" s="689" customFormat="1" x14ac:dyDescent="0.2"/>
    <row r="10311" s="689" customFormat="1" x14ac:dyDescent="0.2"/>
    <row r="10312" s="689" customFormat="1" x14ac:dyDescent="0.2"/>
    <row r="10313" s="689" customFormat="1" x14ac:dyDescent="0.2"/>
    <row r="10314" s="689" customFormat="1" x14ac:dyDescent="0.2"/>
    <row r="10315" s="689" customFormat="1" x14ac:dyDescent="0.2"/>
    <row r="10316" s="689" customFormat="1" x14ac:dyDescent="0.2"/>
    <row r="10317" s="689" customFormat="1" x14ac:dyDescent="0.2"/>
    <row r="10318" s="689" customFormat="1" x14ac:dyDescent="0.2"/>
    <row r="10319" s="689" customFormat="1" x14ac:dyDescent="0.2"/>
    <row r="10320" s="689" customFormat="1" x14ac:dyDescent="0.2"/>
    <row r="10321" s="689" customFormat="1" x14ac:dyDescent="0.2"/>
    <row r="10322" s="689" customFormat="1" x14ac:dyDescent="0.2"/>
    <row r="10323" s="689" customFormat="1" x14ac:dyDescent="0.2"/>
    <row r="10324" s="689" customFormat="1" x14ac:dyDescent="0.2"/>
    <row r="10325" s="689" customFormat="1" x14ac:dyDescent="0.2"/>
    <row r="10326" s="689" customFormat="1" x14ac:dyDescent="0.2"/>
    <row r="10327" s="689" customFormat="1" x14ac:dyDescent="0.2"/>
    <row r="10328" s="689" customFormat="1" x14ac:dyDescent="0.2"/>
    <row r="10329" s="689" customFormat="1" x14ac:dyDescent="0.2"/>
    <row r="10330" s="689" customFormat="1" x14ac:dyDescent="0.2"/>
    <row r="10331" s="689" customFormat="1" x14ac:dyDescent="0.2"/>
    <row r="10332" s="689" customFormat="1" x14ac:dyDescent="0.2"/>
    <row r="10333" s="689" customFormat="1" x14ac:dyDescent="0.2"/>
    <row r="10334" s="689" customFormat="1" x14ac:dyDescent="0.2"/>
    <row r="10335" s="689" customFormat="1" x14ac:dyDescent="0.2"/>
    <row r="10336" s="689" customFormat="1" x14ac:dyDescent="0.2"/>
    <row r="10337" s="689" customFormat="1" x14ac:dyDescent="0.2"/>
    <row r="10338" s="689" customFormat="1" x14ac:dyDescent="0.2"/>
    <row r="10339" s="689" customFormat="1" x14ac:dyDescent="0.2"/>
    <row r="10340" s="689" customFormat="1" x14ac:dyDescent="0.2"/>
    <row r="10341" s="689" customFormat="1" x14ac:dyDescent="0.2"/>
    <row r="10342" s="689" customFormat="1" x14ac:dyDescent="0.2"/>
    <row r="10343" s="689" customFormat="1" x14ac:dyDescent="0.2"/>
    <row r="10344" s="689" customFormat="1" x14ac:dyDescent="0.2"/>
    <row r="10345" s="689" customFormat="1" x14ac:dyDescent="0.2"/>
    <row r="10346" s="689" customFormat="1" x14ac:dyDescent="0.2"/>
    <row r="10347" s="689" customFormat="1" x14ac:dyDescent="0.2"/>
    <row r="10348" s="689" customFormat="1" x14ac:dyDescent="0.2"/>
    <row r="10349" s="689" customFormat="1" x14ac:dyDescent="0.2"/>
    <row r="10350" s="689" customFormat="1" x14ac:dyDescent="0.2"/>
    <row r="10351" s="689" customFormat="1" x14ac:dyDescent="0.2"/>
    <row r="10352" s="689" customFormat="1" x14ac:dyDescent="0.2"/>
    <row r="10353" s="689" customFormat="1" x14ac:dyDescent="0.2"/>
    <row r="10354" s="689" customFormat="1" x14ac:dyDescent="0.2"/>
    <row r="10355" s="689" customFormat="1" x14ac:dyDescent="0.2"/>
    <row r="10356" s="689" customFormat="1" x14ac:dyDescent="0.2"/>
    <row r="10357" s="689" customFormat="1" x14ac:dyDescent="0.2"/>
    <row r="10358" s="689" customFormat="1" x14ac:dyDescent="0.2"/>
    <row r="10359" s="689" customFormat="1" x14ac:dyDescent="0.2"/>
    <row r="10360" s="689" customFormat="1" x14ac:dyDescent="0.2"/>
    <row r="10361" s="689" customFormat="1" x14ac:dyDescent="0.2"/>
    <row r="10362" s="689" customFormat="1" x14ac:dyDescent="0.2"/>
    <row r="10363" s="689" customFormat="1" x14ac:dyDescent="0.2"/>
    <row r="10364" s="689" customFormat="1" x14ac:dyDescent="0.2"/>
    <row r="10365" s="689" customFormat="1" x14ac:dyDescent="0.2"/>
    <row r="10366" s="689" customFormat="1" x14ac:dyDescent="0.2"/>
    <row r="10367" s="689" customFormat="1" x14ac:dyDescent="0.2"/>
    <row r="10368" s="689" customFormat="1" x14ac:dyDescent="0.2"/>
    <row r="10369" s="689" customFormat="1" x14ac:dyDescent="0.2"/>
    <row r="10370" s="689" customFormat="1" x14ac:dyDescent="0.2"/>
    <row r="10371" s="689" customFormat="1" x14ac:dyDescent="0.2"/>
    <row r="10372" s="689" customFormat="1" x14ac:dyDescent="0.2"/>
    <row r="10373" s="689" customFormat="1" x14ac:dyDescent="0.2"/>
    <row r="10374" s="689" customFormat="1" x14ac:dyDescent="0.2"/>
    <row r="10375" s="689" customFormat="1" x14ac:dyDescent="0.2"/>
    <row r="10376" s="689" customFormat="1" x14ac:dyDescent="0.2"/>
    <row r="10377" s="689" customFormat="1" x14ac:dyDescent="0.2"/>
    <row r="10378" s="689" customFormat="1" x14ac:dyDescent="0.2"/>
    <row r="10379" s="689" customFormat="1" x14ac:dyDescent="0.2"/>
    <row r="10380" s="689" customFormat="1" x14ac:dyDescent="0.2"/>
    <row r="10381" s="689" customFormat="1" x14ac:dyDescent="0.2"/>
    <row r="10382" s="689" customFormat="1" x14ac:dyDescent="0.2"/>
    <row r="10383" s="689" customFormat="1" x14ac:dyDescent="0.2"/>
    <row r="10384" s="689" customFormat="1" x14ac:dyDescent="0.2"/>
    <row r="10385" s="689" customFormat="1" x14ac:dyDescent="0.2"/>
    <row r="10386" s="689" customFormat="1" x14ac:dyDescent="0.2"/>
    <row r="10387" s="689" customFormat="1" x14ac:dyDescent="0.2"/>
    <row r="10388" s="689" customFormat="1" x14ac:dyDescent="0.2"/>
    <row r="10389" s="689" customFormat="1" x14ac:dyDescent="0.2"/>
    <row r="10390" s="689" customFormat="1" x14ac:dyDescent="0.2"/>
    <row r="10391" s="689" customFormat="1" x14ac:dyDescent="0.2"/>
    <row r="10392" s="689" customFormat="1" x14ac:dyDescent="0.2"/>
    <row r="10393" s="689" customFormat="1" x14ac:dyDescent="0.2"/>
    <row r="10394" s="689" customFormat="1" x14ac:dyDescent="0.2"/>
    <row r="10395" s="689" customFormat="1" x14ac:dyDescent="0.2"/>
    <row r="10396" s="689" customFormat="1" x14ac:dyDescent="0.2"/>
    <row r="10397" s="689" customFormat="1" x14ac:dyDescent="0.2"/>
    <row r="10398" s="689" customFormat="1" x14ac:dyDescent="0.2"/>
    <row r="10399" s="689" customFormat="1" x14ac:dyDescent="0.2"/>
    <row r="10400" s="689" customFormat="1" x14ac:dyDescent="0.2"/>
    <row r="10401" s="689" customFormat="1" x14ac:dyDescent="0.2"/>
    <row r="10402" s="689" customFormat="1" x14ac:dyDescent="0.2"/>
    <row r="10403" s="689" customFormat="1" x14ac:dyDescent="0.2"/>
    <row r="10404" s="689" customFormat="1" x14ac:dyDescent="0.2"/>
    <row r="10405" s="689" customFormat="1" x14ac:dyDescent="0.2"/>
    <row r="10406" s="689" customFormat="1" x14ac:dyDescent="0.2"/>
    <row r="10407" s="689" customFormat="1" x14ac:dyDescent="0.2"/>
    <row r="10408" s="689" customFormat="1" x14ac:dyDescent="0.2"/>
    <row r="10409" s="689" customFormat="1" x14ac:dyDescent="0.2"/>
    <row r="10410" s="689" customFormat="1" x14ac:dyDescent="0.2"/>
    <row r="10411" s="689" customFormat="1" x14ac:dyDescent="0.2"/>
    <row r="10412" s="689" customFormat="1" x14ac:dyDescent="0.2"/>
    <row r="10413" s="689" customFormat="1" x14ac:dyDescent="0.2"/>
    <row r="10414" s="689" customFormat="1" x14ac:dyDescent="0.2"/>
    <row r="10415" s="689" customFormat="1" x14ac:dyDescent="0.2"/>
    <row r="10416" s="689" customFormat="1" x14ac:dyDescent="0.2"/>
    <row r="10417" s="689" customFormat="1" x14ac:dyDescent="0.2"/>
    <row r="10418" s="689" customFormat="1" x14ac:dyDescent="0.2"/>
    <row r="10419" s="689" customFormat="1" x14ac:dyDescent="0.2"/>
    <row r="10420" s="689" customFormat="1" x14ac:dyDescent="0.2"/>
    <row r="10421" s="689" customFormat="1" x14ac:dyDescent="0.2"/>
    <row r="10422" s="689" customFormat="1" x14ac:dyDescent="0.2"/>
    <row r="10423" s="689" customFormat="1" x14ac:dyDescent="0.2"/>
    <row r="10424" s="689" customFormat="1" x14ac:dyDescent="0.2"/>
    <row r="10425" s="689" customFormat="1" x14ac:dyDescent="0.2"/>
    <row r="10426" s="689" customFormat="1" x14ac:dyDescent="0.2"/>
    <row r="10427" s="689" customFormat="1" x14ac:dyDescent="0.2"/>
    <row r="10428" s="689" customFormat="1" x14ac:dyDescent="0.2"/>
    <row r="10429" s="689" customFormat="1" x14ac:dyDescent="0.2"/>
    <row r="10430" s="689" customFormat="1" x14ac:dyDescent="0.2"/>
    <row r="10431" s="689" customFormat="1" x14ac:dyDescent="0.2"/>
    <row r="10432" s="689" customFormat="1" x14ac:dyDescent="0.2"/>
    <row r="10433" s="689" customFormat="1" x14ac:dyDescent="0.2"/>
    <row r="10434" s="689" customFormat="1" x14ac:dyDescent="0.2"/>
    <row r="10435" s="689" customFormat="1" x14ac:dyDescent="0.2"/>
    <row r="10436" s="689" customFormat="1" x14ac:dyDescent="0.2"/>
    <row r="10437" s="689" customFormat="1" x14ac:dyDescent="0.2"/>
    <row r="10438" s="689" customFormat="1" x14ac:dyDescent="0.2"/>
    <row r="10439" s="689" customFormat="1" x14ac:dyDescent="0.2"/>
    <row r="10440" s="689" customFormat="1" x14ac:dyDescent="0.2"/>
    <row r="10441" s="689" customFormat="1" x14ac:dyDescent="0.2"/>
    <row r="10442" s="689" customFormat="1" x14ac:dyDescent="0.2"/>
    <row r="10443" s="689" customFormat="1" x14ac:dyDescent="0.2"/>
    <row r="10444" s="689" customFormat="1" x14ac:dyDescent="0.2"/>
    <row r="10445" s="689" customFormat="1" x14ac:dyDescent="0.2"/>
    <row r="10446" s="689" customFormat="1" x14ac:dyDescent="0.2"/>
    <row r="10447" s="689" customFormat="1" x14ac:dyDescent="0.2"/>
    <row r="10448" s="689" customFormat="1" x14ac:dyDescent="0.2"/>
    <row r="10449" s="689" customFormat="1" x14ac:dyDescent="0.2"/>
    <row r="10450" s="689" customFormat="1" x14ac:dyDescent="0.2"/>
    <row r="10451" s="689" customFormat="1" x14ac:dyDescent="0.2"/>
    <row r="10452" s="689" customFormat="1" x14ac:dyDescent="0.2"/>
    <row r="10453" s="689" customFormat="1" x14ac:dyDescent="0.2"/>
    <row r="10454" s="689" customFormat="1" x14ac:dyDescent="0.2"/>
    <row r="10455" s="689" customFormat="1" x14ac:dyDescent="0.2"/>
    <row r="10456" s="689" customFormat="1" x14ac:dyDescent="0.2"/>
    <row r="10457" s="689" customFormat="1" x14ac:dyDescent="0.2"/>
    <row r="10458" s="689" customFormat="1" x14ac:dyDescent="0.2"/>
    <row r="10459" s="689" customFormat="1" x14ac:dyDescent="0.2"/>
    <row r="10460" s="689" customFormat="1" x14ac:dyDescent="0.2"/>
    <row r="10461" s="689" customFormat="1" x14ac:dyDescent="0.2"/>
    <row r="10462" s="689" customFormat="1" x14ac:dyDescent="0.2"/>
    <row r="10463" s="689" customFormat="1" x14ac:dyDescent="0.2"/>
    <row r="10464" s="689" customFormat="1" x14ac:dyDescent="0.2"/>
    <row r="10465" s="689" customFormat="1" x14ac:dyDescent="0.2"/>
    <row r="10466" s="689" customFormat="1" x14ac:dyDescent="0.2"/>
    <row r="10467" s="689" customFormat="1" x14ac:dyDescent="0.2"/>
    <row r="10468" s="689" customFormat="1" x14ac:dyDescent="0.2"/>
    <row r="10469" s="689" customFormat="1" x14ac:dyDescent="0.2"/>
    <row r="10470" s="689" customFormat="1" x14ac:dyDescent="0.2"/>
    <row r="10471" s="689" customFormat="1" x14ac:dyDescent="0.2"/>
    <row r="10472" s="689" customFormat="1" x14ac:dyDescent="0.2"/>
    <row r="10473" s="689" customFormat="1" x14ac:dyDescent="0.2"/>
    <row r="10474" s="689" customFormat="1" x14ac:dyDescent="0.2"/>
    <row r="10475" s="689" customFormat="1" x14ac:dyDescent="0.2"/>
    <row r="10476" s="689" customFormat="1" x14ac:dyDescent="0.2"/>
    <row r="10477" s="689" customFormat="1" x14ac:dyDescent="0.2"/>
    <row r="10478" s="689" customFormat="1" x14ac:dyDescent="0.2"/>
    <row r="10479" s="689" customFormat="1" x14ac:dyDescent="0.2"/>
    <row r="10480" s="689" customFormat="1" x14ac:dyDescent="0.2"/>
    <row r="10481" s="689" customFormat="1" x14ac:dyDescent="0.2"/>
    <row r="10482" s="689" customFormat="1" x14ac:dyDescent="0.2"/>
    <row r="10483" s="689" customFormat="1" x14ac:dyDescent="0.2"/>
    <row r="10484" s="689" customFormat="1" x14ac:dyDescent="0.2"/>
    <row r="10485" s="689" customFormat="1" x14ac:dyDescent="0.2"/>
    <row r="10486" s="689" customFormat="1" x14ac:dyDescent="0.2"/>
    <row r="10487" s="689" customFormat="1" x14ac:dyDescent="0.2"/>
    <row r="10488" s="689" customFormat="1" x14ac:dyDescent="0.2"/>
    <row r="10489" s="689" customFormat="1" x14ac:dyDescent="0.2"/>
    <row r="10490" s="689" customFormat="1" x14ac:dyDescent="0.2"/>
    <row r="10491" s="689" customFormat="1" x14ac:dyDescent="0.2"/>
    <row r="10492" s="689" customFormat="1" x14ac:dyDescent="0.2"/>
    <row r="10493" s="689" customFormat="1" x14ac:dyDescent="0.2"/>
    <row r="10494" s="689" customFormat="1" x14ac:dyDescent="0.2"/>
    <row r="10495" s="689" customFormat="1" x14ac:dyDescent="0.2"/>
    <row r="10496" s="689" customFormat="1" x14ac:dyDescent="0.2"/>
    <row r="10497" s="689" customFormat="1" x14ac:dyDescent="0.2"/>
    <row r="10498" s="689" customFormat="1" x14ac:dyDescent="0.2"/>
    <row r="10499" s="689" customFormat="1" x14ac:dyDescent="0.2"/>
    <row r="10500" s="689" customFormat="1" x14ac:dyDescent="0.2"/>
    <row r="10501" s="689" customFormat="1" x14ac:dyDescent="0.2"/>
    <row r="10502" s="689" customFormat="1" x14ac:dyDescent="0.2"/>
    <row r="10503" s="689" customFormat="1" x14ac:dyDescent="0.2"/>
    <row r="10504" s="689" customFormat="1" x14ac:dyDescent="0.2"/>
    <row r="10505" s="689" customFormat="1" x14ac:dyDescent="0.2"/>
    <row r="10506" s="689" customFormat="1" x14ac:dyDescent="0.2"/>
    <row r="10507" s="689" customFormat="1" x14ac:dyDescent="0.2"/>
    <row r="10508" s="689" customFormat="1" x14ac:dyDescent="0.2"/>
    <row r="10509" s="689" customFormat="1" x14ac:dyDescent="0.2"/>
    <row r="10510" s="689" customFormat="1" x14ac:dyDescent="0.2"/>
    <row r="10511" s="689" customFormat="1" x14ac:dyDescent="0.2"/>
    <row r="10512" s="689" customFormat="1" x14ac:dyDescent="0.2"/>
    <row r="10513" s="689" customFormat="1" x14ac:dyDescent="0.2"/>
    <row r="10514" s="689" customFormat="1" x14ac:dyDescent="0.2"/>
    <row r="10515" s="689" customFormat="1" x14ac:dyDescent="0.2"/>
    <row r="10516" s="689" customFormat="1" x14ac:dyDescent="0.2"/>
    <row r="10517" s="689" customFormat="1" x14ac:dyDescent="0.2"/>
    <row r="10518" s="689" customFormat="1" x14ac:dyDescent="0.2"/>
    <row r="10519" s="689" customFormat="1" x14ac:dyDescent="0.2"/>
    <row r="10520" s="689" customFormat="1" x14ac:dyDescent="0.2"/>
    <row r="10521" s="689" customFormat="1" x14ac:dyDescent="0.2"/>
    <row r="10522" s="689" customFormat="1" x14ac:dyDescent="0.2"/>
    <row r="10523" s="689" customFormat="1" x14ac:dyDescent="0.2"/>
    <row r="10524" s="689" customFormat="1" x14ac:dyDescent="0.2"/>
    <row r="10525" s="689" customFormat="1" x14ac:dyDescent="0.2"/>
    <row r="10526" s="689" customFormat="1" x14ac:dyDescent="0.2"/>
    <row r="10527" s="689" customFormat="1" x14ac:dyDescent="0.2"/>
    <row r="10528" s="689" customFormat="1" x14ac:dyDescent="0.2"/>
    <row r="10529" s="689" customFormat="1" x14ac:dyDescent="0.2"/>
    <row r="10530" s="689" customFormat="1" x14ac:dyDescent="0.2"/>
    <row r="10531" s="689" customFormat="1" x14ac:dyDescent="0.2"/>
    <row r="10532" s="689" customFormat="1" x14ac:dyDescent="0.2"/>
    <row r="10533" s="689" customFormat="1" x14ac:dyDescent="0.2"/>
    <row r="10534" s="689" customFormat="1" x14ac:dyDescent="0.2"/>
    <row r="10535" s="689" customFormat="1" x14ac:dyDescent="0.2"/>
    <row r="10536" s="689" customFormat="1" x14ac:dyDescent="0.2"/>
    <row r="10537" s="689" customFormat="1" x14ac:dyDescent="0.2"/>
    <row r="10538" s="689" customFormat="1" x14ac:dyDescent="0.2"/>
    <row r="10539" s="689" customFormat="1" x14ac:dyDescent="0.2"/>
    <row r="10540" s="689" customFormat="1" x14ac:dyDescent="0.2"/>
    <row r="10541" s="689" customFormat="1" x14ac:dyDescent="0.2"/>
    <row r="10542" s="689" customFormat="1" x14ac:dyDescent="0.2"/>
    <row r="10543" s="689" customFormat="1" x14ac:dyDescent="0.2"/>
    <row r="10544" s="689" customFormat="1" x14ac:dyDescent="0.2"/>
    <row r="10545" s="689" customFormat="1" x14ac:dyDescent="0.2"/>
    <row r="10546" s="689" customFormat="1" x14ac:dyDescent="0.2"/>
    <row r="10547" s="689" customFormat="1" x14ac:dyDescent="0.2"/>
    <row r="10548" s="689" customFormat="1" x14ac:dyDescent="0.2"/>
    <row r="10549" s="689" customFormat="1" x14ac:dyDescent="0.2"/>
    <row r="10550" s="689" customFormat="1" x14ac:dyDescent="0.2"/>
    <row r="10551" s="689" customFormat="1" x14ac:dyDescent="0.2"/>
    <row r="10552" s="689" customFormat="1" x14ac:dyDescent="0.2"/>
    <row r="10553" s="689" customFormat="1" x14ac:dyDescent="0.2"/>
    <row r="10554" s="689" customFormat="1" x14ac:dyDescent="0.2"/>
    <row r="10555" s="689" customFormat="1" x14ac:dyDescent="0.2"/>
    <row r="10556" s="689" customFormat="1" x14ac:dyDescent="0.2"/>
    <row r="10557" s="689" customFormat="1" x14ac:dyDescent="0.2"/>
    <row r="10558" s="689" customFormat="1" x14ac:dyDescent="0.2"/>
    <row r="10559" s="689" customFormat="1" x14ac:dyDescent="0.2"/>
    <row r="10560" s="689" customFormat="1" x14ac:dyDescent="0.2"/>
    <row r="10561" s="689" customFormat="1" x14ac:dyDescent="0.2"/>
    <row r="10562" s="689" customFormat="1" x14ac:dyDescent="0.2"/>
    <row r="10563" s="689" customFormat="1" x14ac:dyDescent="0.2"/>
    <row r="10564" s="689" customFormat="1" x14ac:dyDescent="0.2"/>
    <row r="10565" s="689" customFormat="1" x14ac:dyDescent="0.2"/>
    <row r="10566" s="689" customFormat="1" x14ac:dyDescent="0.2"/>
    <row r="10567" s="689" customFormat="1" x14ac:dyDescent="0.2"/>
    <row r="10568" s="689" customFormat="1" x14ac:dyDescent="0.2"/>
    <row r="10569" s="689" customFormat="1" x14ac:dyDescent="0.2"/>
    <row r="10570" s="689" customFormat="1" x14ac:dyDescent="0.2"/>
    <row r="10571" s="689" customFormat="1" x14ac:dyDescent="0.2"/>
    <row r="10572" s="689" customFormat="1" x14ac:dyDescent="0.2"/>
    <row r="10573" s="689" customFormat="1" x14ac:dyDescent="0.2"/>
    <row r="10574" s="689" customFormat="1" x14ac:dyDescent="0.2"/>
    <row r="10575" s="689" customFormat="1" x14ac:dyDescent="0.2"/>
    <row r="10576" s="689" customFormat="1" x14ac:dyDescent="0.2"/>
    <row r="10577" s="689" customFormat="1" x14ac:dyDescent="0.2"/>
    <row r="10578" s="689" customFormat="1" x14ac:dyDescent="0.2"/>
    <row r="10579" s="689" customFormat="1" x14ac:dyDescent="0.2"/>
    <row r="10580" s="689" customFormat="1" x14ac:dyDescent="0.2"/>
    <row r="10581" s="689" customFormat="1" x14ac:dyDescent="0.2"/>
    <row r="10582" s="689" customFormat="1" x14ac:dyDescent="0.2"/>
    <row r="10583" s="689" customFormat="1" x14ac:dyDescent="0.2"/>
    <row r="10584" s="689" customFormat="1" x14ac:dyDescent="0.2"/>
    <row r="10585" s="689" customFormat="1" x14ac:dyDescent="0.2"/>
    <row r="10586" s="689" customFormat="1" x14ac:dyDescent="0.2"/>
    <row r="10587" s="689" customFormat="1" x14ac:dyDescent="0.2"/>
    <row r="10588" s="689" customFormat="1" x14ac:dyDescent="0.2"/>
    <row r="10589" s="689" customFormat="1" x14ac:dyDescent="0.2"/>
    <row r="10590" s="689" customFormat="1" x14ac:dyDescent="0.2"/>
    <row r="10591" s="689" customFormat="1" x14ac:dyDescent="0.2"/>
    <row r="10592" s="689" customFormat="1" x14ac:dyDescent="0.2"/>
    <row r="10593" s="689" customFormat="1" x14ac:dyDescent="0.2"/>
    <row r="10594" s="689" customFormat="1" x14ac:dyDescent="0.2"/>
    <row r="10595" s="689" customFormat="1" x14ac:dyDescent="0.2"/>
    <row r="10596" s="689" customFormat="1" x14ac:dyDescent="0.2"/>
    <row r="10597" s="689" customFormat="1" x14ac:dyDescent="0.2"/>
    <row r="10598" s="689" customFormat="1" x14ac:dyDescent="0.2"/>
    <row r="10599" s="689" customFormat="1" x14ac:dyDescent="0.2"/>
    <row r="10600" s="689" customFormat="1" x14ac:dyDescent="0.2"/>
    <row r="10601" s="689" customFormat="1" x14ac:dyDescent="0.2"/>
    <row r="10602" s="689" customFormat="1" x14ac:dyDescent="0.2"/>
    <row r="10603" s="689" customFormat="1" x14ac:dyDescent="0.2"/>
    <row r="10604" s="689" customFormat="1" x14ac:dyDescent="0.2"/>
    <row r="10605" s="689" customFormat="1" x14ac:dyDescent="0.2"/>
    <row r="10606" s="689" customFormat="1" x14ac:dyDescent="0.2"/>
    <row r="10607" s="689" customFormat="1" x14ac:dyDescent="0.2"/>
    <row r="10608" s="689" customFormat="1" x14ac:dyDescent="0.2"/>
    <row r="10609" s="689" customFormat="1" x14ac:dyDescent="0.2"/>
    <row r="10610" s="689" customFormat="1" x14ac:dyDescent="0.2"/>
    <row r="10611" s="689" customFormat="1" x14ac:dyDescent="0.2"/>
    <row r="10612" s="689" customFormat="1" x14ac:dyDescent="0.2"/>
    <row r="10613" s="689" customFormat="1" x14ac:dyDescent="0.2"/>
    <row r="10614" s="689" customFormat="1" x14ac:dyDescent="0.2"/>
    <row r="10615" s="689" customFormat="1" x14ac:dyDescent="0.2"/>
    <row r="10616" s="689" customFormat="1" x14ac:dyDescent="0.2"/>
    <row r="10617" s="689" customFormat="1" x14ac:dyDescent="0.2"/>
    <row r="10618" s="689" customFormat="1" x14ac:dyDescent="0.2"/>
    <row r="10619" s="689" customFormat="1" x14ac:dyDescent="0.2"/>
    <row r="10620" s="689" customFormat="1" x14ac:dyDescent="0.2"/>
    <row r="10621" s="689" customFormat="1" x14ac:dyDescent="0.2"/>
    <row r="10622" s="689" customFormat="1" x14ac:dyDescent="0.2"/>
    <row r="10623" s="689" customFormat="1" x14ac:dyDescent="0.2"/>
    <row r="10624" s="689" customFormat="1" x14ac:dyDescent="0.2"/>
    <row r="10625" s="689" customFormat="1" x14ac:dyDescent="0.2"/>
    <row r="10626" s="689" customFormat="1" x14ac:dyDescent="0.2"/>
    <row r="10627" s="689" customFormat="1" x14ac:dyDescent="0.2"/>
    <row r="10628" s="689" customFormat="1" x14ac:dyDescent="0.2"/>
    <row r="10629" s="689" customFormat="1" x14ac:dyDescent="0.2"/>
    <row r="10630" s="689" customFormat="1" x14ac:dyDescent="0.2"/>
    <row r="10631" s="689" customFormat="1" x14ac:dyDescent="0.2"/>
    <row r="10632" s="689" customFormat="1" x14ac:dyDescent="0.2"/>
    <row r="10633" s="689" customFormat="1" x14ac:dyDescent="0.2"/>
    <row r="10634" s="689" customFormat="1" x14ac:dyDescent="0.2"/>
    <row r="10635" s="689" customFormat="1" x14ac:dyDescent="0.2"/>
    <row r="10636" s="689" customFormat="1" x14ac:dyDescent="0.2"/>
    <row r="10637" s="689" customFormat="1" x14ac:dyDescent="0.2"/>
    <row r="10638" s="689" customFormat="1" x14ac:dyDescent="0.2"/>
    <row r="10639" s="689" customFormat="1" x14ac:dyDescent="0.2"/>
    <row r="10640" s="689" customFormat="1" x14ac:dyDescent="0.2"/>
    <row r="10641" s="689" customFormat="1" x14ac:dyDescent="0.2"/>
    <row r="10642" s="689" customFormat="1" x14ac:dyDescent="0.2"/>
    <row r="10643" s="689" customFormat="1" x14ac:dyDescent="0.2"/>
    <row r="10644" s="689" customFormat="1" x14ac:dyDescent="0.2"/>
    <row r="10645" s="689" customFormat="1" x14ac:dyDescent="0.2"/>
    <row r="10646" s="689" customFormat="1" x14ac:dyDescent="0.2"/>
    <row r="10647" s="689" customFormat="1" x14ac:dyDescent="0.2"/>
    <row r="10648" s="689" customFormat="1" x14ac:dyDescent="0.2"/>
    <row r="10649" s="689" customFormat="1" x14ac:dyDescent="0.2"/>
    <row r="10650" s="689" customFormat="1" x14ac:dyDescent="0.2"/>
    <row r="10651" s="689" customFormat="1" x14ac:dyDescent="0.2"/>
    <row r="10652" s="689" customFormat="1" x14ac:dyDescent="0.2"/>
    <row r="10653" s="689" customFormat="1" x14ac:dyDescent="0.2"/>
    <row r="10654" s="689" customFormat="1" x14ac:dyDescent="0.2"/>
    <row r="10655" s="689" customFormat="1" x14ac:dyDescent="0.2"/>
    <row r="10656" s="689" customFormat="1" x14ac:dyDescent="0.2"/>
    <row r="10657" s="689" customFormat="1" x14ac:dyDescent="0.2"/>
    <row r="10658" s="689" customFormat="1" x14ac:dyDescent="0.2"/>
    <row r="10659" s="689" customFormat="1" x14ac:dyDescent="0.2"/>
    <row r="10660" s="689" customFormat="1" x14ac:dyDescent="0.2"/>
    <row r="10661" s="689" customFormat="1" x14ac:dyDescent="0.2"/>
    <row r="10662" s="689" customFormat="1" x14ac:dyDescent="0.2"/>
    <row r="10663" s="689" customFormat="1" x14ac:dyDescent="0.2"/>
    <row r="10664" s="689" customFormat="1" x14ac:dyDescent="0.2"/>
    <row r="10665" s="689" customFormat="1" x14ac:dyDescent="0.2"/>
    <row r="10666" s="689" customFormat="1" x14ac:dyDescent="0.2"/>
    <row r="10667" s="689" customFormat="1" x14ac:dyDescent="0.2"/>
    <row r="10668" s="689" customFormat="1" x14ac:dyDescent="0.2"/>
    <row r="10669" s="689" customFormat="1" x14ac:dyDescent="0.2"/>
    <row r="10670" s="689" customFormat="1" x14ac:dyDescent="0.2"/>
    <row r="10671" s="689" customFormat="1" x14ac:dyDescent="0.2"/>
    <row r="10672" s="689" customFormat="1" x14ac:dyDescent="0.2"/>
    <row r="10673" s="689" customFormat="1" x14ac:dyDescent="0.2"/>
    <row r="10674" s="689" customFormat="1" x14ac:dyDescent="0.2"/>
    <row r="10675" s="689" customFormat="1" x14ac:dyDescent="0.2"/>
    <row r="10676" s="689" customFormat="1" x14ac:dyDescent="0.2"/>
    <row r="10677" s="689" customFormat="1" x14ac:dyDescent="0.2"/>
    <row r="10678" s="689" customFormat="1" x14ac:dyDescent="0.2"/>
    <row r="10679" s="689" customFormat="1" x14ac:dyDescent="0.2"/>
    <row r="10680" s="689" customFormat="1" x14ac:dyDescent="0.2"/>
    <row r="10681" s="689" customFormat="1" x14ac:dyDescent="0.2"/>
    <row r="10682" s="689" customFormat="1" x14ac:dyDescent="0.2"/>
    <row r="10683" s="689" customFormat="1" x14ac:dyDescent="0.2"/>
    <row r="10684" s="689" customFormat="1" x14ac:dyDescent="0.2"/>
    <row r="10685" s="689" customFormat="1" x14ac:dyDescent="0.2"/>
    <row r="10686" s="689" customFormat="1" x14ac:dyDescent="0.2"/>
    <row r="10687" s="689" customFormat="1" x14ac:dyDescent="0.2"/>
    <row r="10688" s="689" customFormat="1" x14ac:dyDescent="0.2"/>
    <row r="10689" s="689" customFormat="1" x14ac:dyDescent="0.2"/>
    <row r="10690" s="689" customFormat="1" x14ac:dyDescent="0.2"/>
    <row r="10691" s="689" customFormat="1" x14ac:dyDescent="0.2"/>
    <row r="10692" s="689" customFormat="1" x14ac:dyDescent="0.2"/>
    <row r="10693" s="689" customFormat="1" x14ac:dyDescent="0.2"/>
    <row r="10694" s="689" customFormat="1" x14ac:dyDescent="0.2"/>
    <row r="10695" s="689" customFormat="1" x14ac:dyDescent="0.2"/>
    <row r="10696" s="689" customFormat="1" x14ac:dyDescent="0.2"/>
    <row r="10697" s="689" customFormat="1" x14ac:dyDescent="0.2"/>
    <row r="10698" s="689" customFormat="1" x14ac:dyDescent="0.2"/>
    <row r="10699" s="689" customFormat="1" x14ac:dyDescent="0.2"/>
    <row r="10700" s="689" customFormat="1" x14ac:dyDescent="0.2"/>
    <row r="10701" s="689" customFormat="1" x14ac:dyDescent="0.2"/>
    <row r="10702" s="689" customFormat="1" x14ac:dyDescent="0.2"/>
    <row r="10703" s="689" customFormat="1" x14ac:dyDescent="0.2"/>
    <row r="10704" s="689" customFormat="1" x14ac:dyDescent="0.2"/>
    <row r="10705" s="689" customFormat="1" x14ac:dyDescent="0.2"/>
    <row r="10706" s="689" customFormat="1" x14ac:dyDescent="0.2"/>
    <row r="10707" s="689" customFormat="1" x14ac:dyDescent="0.2"/>
    <row r="10708" s="689" customFormat="1" x14ac:dyDescent="0.2"/>
    <row r="10709" s="689" customFormat="1" x14ac:dyDescent="0.2"/>
    <row r="10710" s="689" customFormat="1" x14ac:dyDescent="0.2"/>
    <row r="10711" s="689" customFormat="1" x14ac:dyDescent="0.2"/>
    <row r="10712" s="689" customFormat="1" x14ac:dyDescent="0.2"/>
    <row r="10713" s="689" customFormat="1" x14ac:dyDescent="0.2"/>
    <row r="10714" s="689" customFormat="1" x14ac:dyDescent="0.2"/>
    <row r="10715" s="689" customFormat="1" x14ac:dyDescent="0.2"/>
    <row r="10716" s="689" customFormat="1" x14ac:dyDescent="0.2"/>
    <row r="10717" s="689" customFormat="1" x14ac:dyDescent="0.2"/>
    <row r="10718" s="689" customFormat="1" x14ac:dyDescent="0.2"/>
    <row r="10719" s="689" customFormat="1" x14ac:dyDescent="0.2"/>
    <row r="10720" s="689" customFormat="1" x14ac:dyDescent="0.2"/>
    <row r="10721" s="689" customFormat="1" x14ac:dyDescent="0.2"/>
    <row r="10722" s="689" customFormat="1" x14ac:dyDescent="0.2"/>
    <row r="10723" s="689" customFormat="1" x14ac:dyDescent="0.2"/>
    <row r="10724" s="689" customFormat="1" x14ac:dyDescent="0.2"/>
    <row r="10725" s="689" customFormat="1" x14ac:dyDescent="0.2"/>
    <row r="10726" s="689" customFormat="1" x14ac:dyDescent="0.2"/>
    <row r="10727" s="689" customFormat="1" x14ac:dyDescent="0.2"/>
    <row r="10728" s="689" customFormat="1" x14ac:dyDescent="0.2"/>
    <row r="10729" s="689" customFormat="1" x14ac:dyDescent="0.2"/>
    <row r="10730" s="689" customFormat="1" x14ac:dyDescent="0.2"/>
    <row r="10731" s="689" customFormat="1" x14ac:dyDescent="0.2"/>
    <row r="10732" s="689" customFormat="1" x14ac:dyDescent="0.2"/>
    <row r="10733" s="689" customFormat="1" x14ac:dyDescent="0.2"/>
    <row r="10734" s="689" customFormat="1" x14ac:dyDescent="0.2"/>
    <row r="10735" s="689" customFormat="1" x14ac:dyDescent="0.2"/>
    <row r="10736" s="689" customFormat="1" x14ac:dyDescent="0.2"/>
    <row r="10737" s="689" customFormat="1" x14ac:dyDescent="0.2"/>
    <row r="10738" s="689" customFormat="1" x14ac:dyDescent="0.2"/>
    <row r="10739" s="689" customFormat="1" x14ac:dyDescent="0.2"/>
    <row r="10740" s="689" customFormat="1" x14ac:dyDescent="0.2"/>
    <row r="10741" s="689" customFormat="1" x14ac:dyDescent="0.2"/>
    <row r="10742" s="689" customFormat="1" x14ac:dyDescent="0.2"/>
    <row r="10743" s="689" customFormat="1" x14ac:dyDescent="0.2"/>
    <row r="10744" s="689" customFormat="1" x14ac:dyDescent="0.2"/>
    <row r="10745" s="689" customFormat="1" x14ac:dyDescent="0.2"/>
    <row r="10746" s="689" customFormat="1" x14ac:dyDescent="0.2"/>
    <row r="10747" s="689" customFormat="1" x14ac:dyDescent="0.2"/>
    <row r="10748" s="689" customFormat="1" x14ac:dyDescent="0.2"/>
    <row r="10749" s="689" customFormat="1" x14ac:dyDescent="0.2"/>
    <row r="10750" s="689" customFormat="1" x14ac:dyDescent="0.2"/>
    <row r="10751" s="689" customFormat="1" x14ac:dyDescent="0.2"/>
    <row r="10752" s="689" customFormat="1" x14ac:dyDescent="0.2"/>
    <row r="10753" s="689" customFormat="1" x14ac:dyDescent="0.2"/>
    <row r="10754" s="689" customFormat="1" x14ac:dyDescent="0.2"/>
    <row r="10755" s="689" customFormat="1" x14ac:dyDescent="0.2"/>
    <row r="10756" s="689" customFormat="1" x14ac:dyDescent="0.2"/>
    <row r="10757" s="689" customFormat="1" x14ac:dyDescent="0.2"/>
    <row r="10758" s="689" customFormat="1" x14ac:dyDescent="0.2"/>
    <row r="10759" s="689" customFormat="1" x14ac:dyDescent="0.2"/>
    <row r="10760" s="689" customFormat="1" x14ac:dyDescent="0.2"/>
    <row r="10761" s="689" customFormat="1" x14ac:dyDescent="0.2"/>
    <row r="10762" s="689" customFormat="1" x14ac:dyDescent="0.2"/>
    <row r="10763" s="689" customFormat="1" x14ac:dyDescent="0.2"/>
    <row r="10764" s="689" customFormat="1" x14ac:dyDescent="0.2"/>
    <row r="10765" s="689" customFormat="1" x14ac:dyDescent="0.2"/>
    <row r="10766" s="689" customFormat="1" x14ac:dyDescent="0.2"/>
    <row r="10767" s="689" customFormat="1" x14ac:dyDescent="0.2"/>
    <row r="10768" s="689" customFormat="1" x14ac:dyDescent="0.2"/>
    <row r="10769" s="689" customFormat="1" x14ac:dyDescent="0.2"/>
    <row r="10770" s="689" customFormat="1" x14ac:dyDescent="0.2"/>
    <row r="10771" s="689" customFormat="1" x14ac:dyDescent="0.2"/>
    <row r="10772" s="689" customFormat="1" x14ac:dyDescent="0.2"/>
    <row r="10773" s="689" customFormat="1" x14ac:dyDescent="0.2"/>
    <row r="10774" s="689" customFormat="1" x14ac:dyDescent="0.2"/>
    <row r="10775" s="689" customFormat="1" x14ac:dyDescent="0.2"/>
    <row r="10776" s="689" customFormat="1" x14ac:dyDescent="0.2"/>
    <row r="10777" s="689" customFormat="1" x14ac:dyDescent="0.2"/>
    <row r="10778" s="689" customFormat="1" x14ac:dyDescent="0.2"/>
    <row r="10779" s="689" customFormat="1" x14ac:dyDescent="0.2"/>
    <row r="10780" s="689" customFormat="1" x14ac:dyDescent="0.2"/>
    <row r="10781" s="689" customFormat="1" x14ac:dyDescent="0.2"/>
    <row r="10782" s="689" customFormat="1" x14ac:dyDescent="0.2"/>
    <row r="10783" s="689" customFormat="1" x14ac:dyDescent="0.2"/>
    <row r="10784" s="689" customFormat="1" x14ac:dyDescent="0.2"/>
    <row r="10785" s="689" customFormat="1" x14ac:dyDescent="0.2"/>
    <row r="10786" s="689" customFormat="1" x14ac:dyDescent="0.2"/>
    <row r="10787" s="689" customFormat="1" x14ac:dyDescent="0.2"/>
    <row r="10788" s="689" customFormat="1" x14ac:dyDescent="0.2"/>
    <row r="10789" s="689" customFormat="1" x14ac:dyDescent="0.2"/>
    <row r="10790" s="689" customFormat="1" x14ac:dyDescent="0.2"/>
    <row r="10791" s="689" customFormat="1" x14ac:dyDescent="0.2"/>
    <row r="10792" s="689" customFormat="1" x14ac:dyDescent="0.2"/>
    <row r="10793" s="689" customFormat="1" x14ac:dyDescent="0.2"/>
    <row r="10794" s="689" customFormat="1" x14ac:dyDescent="0.2"/>
    <row r="10795" s="689" customFormat="1" x14ac:dyDescent="0.2"/>
    <row r="10796" s="689" customFormat="1" x14ac:dyDescent="0.2"/>
    <row r="10797" s="689" customFormat="1" x14ac:dyDescent="0.2"/>
    <row r="10798" s="689" customFormat="1" x14ac:dyDescent="0.2"/>
    <row r="10799" s="689" customFormat="1" x14ac:dyDescent="0.2"/>
    <row r="10800" s="689" customFormat="1" x14ac:dyDescent="0.2"/>
    <row r="10801" s="689" customFormat="1" x14ac:dyDescent="0.2"/>
    <row r="10802" s="689" customFormat="1" x14ac:dyDescent="0.2"/>
    <row r="10803" s="689" customFormat="1" x14ac:dyDescent="0.2"/>
    <row r="10804" s="689" customFormat="1" x14ac:dyDescent="0.2"/>
    <row r="10805" s="689" customFormat="1" x14ac:dyDescent="0.2"/>
    <row r="10806" s="689" customFormat="1" x14ac:dyDescent="0.2"/>
    <row r="10807" s="689" customFormat="1" x14ac:dyDescent="0.2"/>
    <row r="10808" s="689" customFormat="1" x14ac:dyDescent="0.2"/>
    <row r="10809" s="689" customFormat="1" x14ac:dyDescent="0.2"/>
    <row r="10810" s="689" customFormat="1" x14ac:dyDescent="0.2"/>
    <row r="10811" s="689" customFormat="1" x14ac:dyDescent="0.2"/>
    <row r="10812" s="689" customFormat="1" x14ac:dyDescent="0.2"/>
    <row r="10813" s="689" customFormat="1" x14ac:dyDescent="0.2"/>
    <row r="10814" s="689" customFormat="1" x14ac:dyDescent="0.2"/>
    <row r="10815" s="689" customFormat="1" x14ac:dyDescent="0.2"/>
    <row r="10816" s="689" customFormat="1" x14ac:dyDescent="0.2"/>
    <row r="10817" s="689" customFormat="1" x14ac:dyDescent="0.2"/>
    <row r="10818" s="689" customFormat="1" x14ac:dyDescent="0.2"/>
    <row r="10819" s="689" customFormat="1" x14ac:dyDescent="0.2"/>
    <row r="10820" s="689" customFormat="1" x14ac:dyDescent="0.2"/>
    <row r="10821" s="689" customFormat="1" x14ac:dyDescent="0.2"/>
    <row r="10822" s="689" customFormat="1" x14ac:dyDescent="0.2"/>
    <row r="10823" s="689" customFormat="1" x14ac:dyDescent="0.2"/>
    <row r="10824" s="689" customFormat="1" x14ac:dyDescent="0.2"/>
    <row r="10825" s="689" customFormat="1" x14ac:dyDescent="0.2"/>
    <row r="10826" s="689" customFormat="1" x14ac:dyDescent="0.2"/>
    <row r="10827" s="689" customFormat="1" x14ac:dyDescent="0.2"/>
    <row r="10828" s="689" customFormat="1" x14ac:dyDescent="0.2"/>
    <row r="10829" s="689" customFormat="1" x14ac:dyDescent="0.2"/>
    <row r="10830" s="689" customFormat="1" x14ac:dyDescent="0.2"/>
    <row r="10831" s="689" customFormat="1" x14ac:dyDescent="0.2"/>
    <row r="10832" s="689" customFormat="1" x14ac:dyDescent="0.2"/>
    <row r="10833" s="689" customFormat="1" x14ac:dyDescent="0.2"/>
    <row r="10834" s="689" customFormat="1" x14ac:dyDescent="0.2"/>
    <row r="10835" s="689" customFormat="1" x14ac:dyDescent="0.2"/>
    <row r="10836" s="689" customFormat="1" x14ac:dyDescent="0.2"/>
    <row r="10837" s="689" customFormat="1" x14ac:dyDescent="0.2"/>
    <row r="10838" s="689" customFormat="1" x14ac:dyDescent="0.2"/>
    <row r="10839" s="689" customFormat="1" x14ac:dyDescent="0.2"/>
    <row r="10840" s="689" customFormat="1" x14ac:dyDescent="0.2"/>
    <row r="10841" s="689" customFormat="1" x14ac:dyDescent="0.2"/>
    <row r="10842" s="689" customFormat="1" x14ac:dyDescent="0.2"/>
    <row r="10843" s="689" customFormat="1" x14ac:dyDescent="0.2"/>
    <row r="10844" s="689" customFormat="1" x14ac:dyDescent="0.2"/>
    <row r="10845" s="689" customFormat="1" x14ac:dyDescent="0.2"/>
    <row r="10846" s="689" customFormat="1" x14ac:dyDescent="0.2"/>
    <row r="10847" s="689" customFormat="1" x14ac:dyDescent="0.2"/>
    <row r="10848" s="689" customFormat="1" x14ac:dyDescent="0.2"/>
    <row r="10849" s="689" customFormat="1" x14ac:dyDescent="0.2"/>
    <row r="10850" s="689" customFormat="1" x14ac:dyDescent="0.2"/>
    <row r="10851" s="689" customFormat="1" x14ac:dyDescent="0.2"/>
    <row r="10852" s="689" customFormat="1" x14ac:dyDescent="0.2"/>
    <row r="10853" s="689" customFormat="1" x14ac:dyDescent="0.2"/>
    <row r="10854" s="689" customFormat="1" x14ac:dyDescent="0.2"/>
    <row r="10855" s="689" customFormat="1" x14ac:dyDescent="0.2"/>
    <row r="10856" s="689" customFormat="1" x14ac:dyDescent="0.2"/>
    <row r="10857" s="689" customFormat="1" x14ac:dyDescent="0.2"/>
    <row r="10858" s="689" customFormat="1" x14ac:dyDescent="0.2"/>
    <row r="10859" s="689" customFormat="1" x14ac:dyDescent="0.2"/>
    <row r="10860" s="689" customFormat="1" x14ac:dyDescent="0.2"/>
    <row r="10861" s="689" customFormat="1" x14ac:dyDescent="0.2"/>
    <row r="10862" s="689" customFormat="1" x14ac:dyDescent="0.2"/>
    <row r="10863" s="689" customFormat="1" x14ac:dyDescent="0.2"/>
    <row r="10864" s="689" customFormat="1" x14ac:dyDescent="0.2"/>
    <row r="10865" s="689" customFormat="1" x14ac:dyDescent="0.2"/>
    <row r="10866" s="689" customFormat="1" x14ac:dyDescent="0.2"/>
    <row r="10867" s="689" customFormat="1" x14ac:dyDescent="0.2"/>
    <row r="10868" s="689" customFormat="1" x14ac:dyDescent="0.2"/>
    <row r="10869" s="689" customFormat="1" x14ac:dyDescent="0.2"/>
    <row r="10870" s="689" customFormat="1" x14ac:dyDescent="0.2"/>
    <row r="10871" s="689" customFormat="1" x14ac:dyDescent="0.2"/>
    <row r="10872" s="689" customFormat="1" x14ac:dyDescent="0.2"/>
    <row r="10873" s="689" customFormat="1" x14ac:dyDescent="0.2"/>
    <row r="10874" s="689" customFormat="1" x14ac:dyDescent="0.2"/>
    <row r="10875" s="689" customFormat="1" x14ac:dyDescent="0.2"/>
    <row r="10876" s="689" customFormat="1" x14ac:dyDescent="0.2"/>
    <row r="10877" s="689" customFormat="1" x14ac:dyDescent="0.2"/>
    <row r="10878" s="689" customFormat="1" x14ac:dyDescent="0.2"/>
    <row r="10879" s="689" customFormat="1" x14ac:dyDescent="0.2"/>
    <row r="10880" s="689" customFormat="1" x14ac:dyDescent="0.2"/>
    <row r="10881" s="689" customFormat="1" x14ac:dyDescent="0.2"/>
    <row r="10882" s="689" customFormat="1" x14ac:dyDescent="0.2"/>
    <row r="10883" s="689" customFormat="1" x14ac:dyDescent="0.2"/>
    <row r="10884" s="689" customFormat="1" x14ac:dyDescent="0.2"/>
    <row r="10885" s="689" customFormat="1" x14ac:dyDescent="0.2"/>
    <row r="10886" s="689" customFormat="1" x14ac:dyDescent="0.2"/>
    <row r="10887" s="689" customFormat="1" x14ac:dyDescent="0.2"/>
    <row r="10888" s="689" customFormat="1" x14ac:dyDescent="0.2"/>
    <row r="10889" s="689" customFormat="1" x14ac:dyDescent="0.2"/>
    <row r="10890" s="689" customFormat="1" x14ac:dyDescent="0.2"/>
    <row r="10891" s="689" customFormat="1" x14ac:dyDescent="0.2"/>
    <row r="10892" s="689" customFormat="1" x14ac:dyDescent="0.2"/>
    <row r="10893" s="689" customFormat="1" x14ac:dyDescent="0.2"/>
    <row r="10894" s="689" customFormat="1" x14ac:dyDescent="0.2"/>
    <row r="10895" s="689" customFormat="1" x14ac:dyDescent="0.2"/>
    <row r="10896" s="689" customFormat="1" x14ac:dyDescent="0.2"/>
    <row r="10897" s="689" customFormat="1" x14ac:dyDescent="0.2"/>
    <row r="10898" s="689" customFormat="1" x14ac:dyDescent="0.2"/>
    <row r="10899" s="689" customFormat="1" x14ac:dyDescent="0.2"/>
    <row r="10900" s="689" customFormat="1" x14ac:dyDescent="0.2"/>
    <row r="10901" s="689" customFormat="1" x14ac:dyDescent="0.2"/>
    <row r="10902" s="689" customFormat="1" x14ac:dyDescent="0.2"/>
    <row r="10903" s="689" customFormat="1" x14ac:dyDescent="0.2"/>
    <row r="10904" s="689" customFormat="1" x14ac:dyDescent="0.2"/>
    <row r="10905" s="689" customFormat="1" x14ac:dyDescent="0.2"/>
    <row r="10906" s="689" customFormat="1" x14ac:dyDescent="0.2"/>
    <row r="10907" s="689" customFormat="1" x14ac:dyDescent="0.2"/>
    <row r="10908" s="689" customFormat="1" x14ac:dyDescent="0.2"/>
    <row r="10909" s="689" customFormat="1" x14ac:dyDescent="0.2"/>
    <row r="10910" s="689" customFormat="1" x14ac:dyDescent="0.2"/>
    <row r="10911" s="689" customFormat="1" x14ac:dyDescent="0.2"/>
    <row r="10912" s="689" customFormat="1" x14ac:dyDescent="0.2"/>
    <row r="10913" s="689" customFormat="1" x14ac:dyDescent="0.2"/>
    <row r="10914" s="689" customFormat="1" x14ac:dyDescent="0.2"/>
    <row r="10915" s="689" customFormat="1" x14ac:dyDescent="0.2"/>
    <row r="10916" s="689" customFormat="1" x14ac:dyDescent="0.2"/>
    <row r="10917" s="689" customFormat="1" x14ac:dyDescent="0.2"/>
    <row r="10918" s="689" customFormat="1" x14ac:dyDescent="0.2"/>
    <row r="10919" s="689" customFormat="1" x14ac:dyDescent="0.2"/>
    <row r="10920" s="689" customFormat="1" x14ac:dyDescent="0.2"/>
    <row r="10921" s="689" customFormat="1" x14ac:dyDescent="0.2"/>
    <row r="10922" s="689" customFormat="1" x14ac:dyDescent="0.2"/>
    <row r="10923" s="689" customFormat="1" x14ac:dyDescent="0.2"/>
    <row r="10924" s="689" customFormat="1" x14ac:dyDescent="0.2"/>
    <row r="10925" s="689" customFormat="1" x14ac:dyDescent="0.2"/>
    <row r="10926" s="689" customFormat="1" x14ac:dyDescent="0.2"/>
    <row r="10927" s="689" customFormat="1" x14ac:dyDescent="0.2"/>
    <row r="10928" s="689" customFormat="1" x14ac:dyDescent="0.2"/>
    <row r="10929" s="689" customFormat="1" x14ac:dyDescent="0.2"/>
    <row r="10930" s="689" customFormat="1" x14ac:dyDescent="0.2"/>
    <row r="10931" s="689" customFormat="1" x14ac:dyDescent="0.2"/>
    <row r="10932" s="689" customFormat="1" x14ac:dyDescent="0.2"/>
    <row r="10933" s="689" customFormat="1" x14ac:dyDescent="0.2"/>
    <row r="10934" s="689" customFormat="1" x14ac:dyDescent="0.2"/>
    <row r="10935" s="689" customFormat="1" x14ac:dyDescent="0.2"/>
    <row r="10936" s="689" customFormat="1" x14ac:dyDescent="0.2"/>
    <row r="10937" s="689" customFormat="1" x14ac:dyDescent="0.2"/>
    <row r="10938" s="689" customFormat="1" x14ac:dyDescent="0.2"/>
    <row r="10939" s="689" customFormat="1" x14ac:dyDescent="0.2"/>
    <row r="10940" s="689" customFormat="1" x14ac:dyDescent="0.2"/>
    <row r="10941" s="689" customFormat="1" x14ac:dyDescent="0.2"/>
    <row r="10942" s="689" customFormat="1" x14ac:dyDescent="0.2"/>
    <row r="10943" s="689" customFormat="1" x14ac:dyDescent="0.2"/>
    <row r="10944" s="689" customFormat="1" x14ac:dyDescent="0.2"/>
    <row r="10945" s="689" customFormat="1" x14ac:dyDescent="0.2"/>
    <row r="10946" s="689" customFormat="1" x14ac:dyDescent="0.2"/>
    <row r="10947" s="689" customFormat="1" x14ac:dyDescent="0.2"/>
    <row r="10948" s="689" customFormat="1" x14ac:dyDescent="0.2"/>
    <row r="10949" s="689" customFormat="1" x14ac:dyDescent="0.2"/>
    <row r="10950" s="689" customFormat="1" x14ac:dyDescent="0.2"/>
    <row r="10951" s="689" customFormat="1" x14ac:dyDescent="0.2"/>
    <row r="10952" s="689" customFormat="1" x14ac:dyDescent="0.2"/>
    <row r="10953" s="689" customFormat="1" x14ac:dyDescent="0.2"/>
    <row r="10954" s="689" customFormat="1" x14ac:dyDescent="0.2"/>
    <row r="10955" s="689" customFormat="1" x14ac:dyDescent="0.2"/>
    <row r="10956" s="689" customFormat="1" x14ac:dyDescent="0.2"/>
    <row r="10957" s="689" customFormat="1" x14ac:dyDescent="0.2"/>
    <row r="10958" s="689" customFormat="1" x14ac:dyDescent="0.2"/>
    <row r="10959" s="689" customFormat="1" x14ac:dyDescent="0.2"/>
    <row r="10960" s="689" customFormat="1" x14ac:dyDescent="0.2"/>
    <row r="10961" s="689" customFormat="1" x14ac:dyDescent="0.2"/>
    <row r="10962" s="689" customFormat="1" x14ac:dyDescent="0.2"/>
    <row r="10963" s="689" customFormat="1" x14ac:dyDescent="0.2"/>
    <row r="10964" s="689" customFormat="1" x14ac:dyDescent="0.2"/>
    <row r="10965" s="689" customFormat="1" x14ac:dyDescent="0.2"/>
    <row r="10966" s="689" customFormat="1" x14ac:dyDescent="0.2"/>
    <row r="10967" s="689" customFormat="1" x14ac:dyDescent="0.2"/>
    <row r="10968" s="689" customFormat="1" x14ac:dyDescent="0.2"/>
    <row r="10969" s="689" customFormat="1" x14ac:dyDescent="0.2"/>
    <row r="10970" s="689" customFormat="1" x14ac:dyDescent="0.2"/>
    <row r="10971" s="689" customFormat="1" x14ac:dyDescent="0.2"/>
    <row r="10972" s="689" customFormat="1" x14ac:dyDescent="0.2"/>
    <row r="10973" s="689" customFormat="1" x14ac:dyDescent="0.2"/>
    <row r="10974" s="689" customFormat="1" x14ac:dyDescent="0.2"/>
    <row r="10975" s="689" customFormat="1" x14ac:dyDescent="0.2"/>
    <row r="10976" s="689" customFormat="1" x14ac:dyDescent="0.2"/>
    <row r="10977" s="689" customFormat="1" x14ac:dyDescent="0.2"/>
    <row r="10978" s="689" customFormat="1" x14ac:dyDescent="0.2"/>
    <row r="10979" s="689" customFormat="1" x14ac:dyDescent="0.2"/>
    <row r="10980" s="689" customFormat="1" x14ac:dyDescent="0.2"/>
    <row r="10981" s="689" customFormat="1" x14ac:dyDescent="0.2"/>
    <row r="10982" s="689" customFormat="1" x14ac:dyDescent="0.2"/>
    <row r="10983" s="689" customFormat="1" x14ac:dyDescent="0.2"/>
    <row r="10984" s="689" customFormat="1" x14ac:dyDescent="0.2"/>
    <row r="10985" s="689" customFormat="1" x14ac:dyDescent="0.2"/>
    <row r="10986" s="689" customFormat="1" x14ac:dyDescent="0.2"/>
    <row r="10987" s="689" customFormat="1" x14ac:dyDescent="0.2"/>
    <row r="10988" s="689" customFormat="1" x14ac:dyDescent="0.2"/>
    <row r="10989" s="689" customFormat="1" x14ac:dyDescent="0.2"/>
    <row r="10990" s="689" customFormat="1" x14ac:dyDescent="0.2"/>
    <row r="10991" s="689" customFormat="1" x14ac:dyDescent="0.2"/>
    <row r="10992" s="689" customFormat="1" x14ac:dyDescent="0.2"/>
    <row r="10993" s="689" customFormat="1" x14ac:dyDescent="0.2"/>
    <row r="10994" s="689" customFormat="1" x14ac:dyDescent="0.2"/>
    <row r="10995" s="689" customFormat="1" x14ac:dyDescent="0.2"/>
    <row r="10996" s="689" customFormat="1" x14ac:dyDescent="0.2"/>
    <row r="10997" s="689" customFormat="1" x14ac:dyDescent="0.2"/>
    <row r="10998" s="689" customFormat="1" x14ac:dyDescent="0.2"/>
    <row r="10999" s="689" customFormat="1" x14ac:dyDescent="0.2"/>
    <row r="11000" s="689" customFormat="1" x14ac:dyDescent="0.2"/>
    <row r="11001" s="689" customFormat="1" x14ac:dyDescent="0.2"/>
    <row r="11002" s="689" customFormat="1" x14ac:dyDescent="0.2"/>
    <row r="11003" s="689" customFormat="1" x14ac:dyDescent="0.2"/>
    <row r="11004" s="689" customFormat="1" x14ac:dyDescent="0.2"/>
    <row r="11005" s="689" customFormat="1" x14ac:dyDescent="0.2"/>
    <row r="11006" s="689" customFormat="1" x14ac:dyDescent="0.2"/>
    <row r="11007" s="689" customFormat="1" x14ac:dyDescent="0.2"/>
    <row r="11008" s="689" customFormat="1" x14ac:dyDescent="0.2"/>
    <row r="11009" s="689" customFormat="1" x14ac:dyDescent="0.2"/>
    <row r="11010" s="689" customFormat="1" x14ac:dyDescent="0.2"/>
    <row r="11011" s="689" customFormat="1" x14ac:dyDescent="0.2"/>
    <row r="11012" s="689" customFormat="1" x14ac:dyDescent="0.2"/>
    <row r="11013" s="689" customFormat="1" x14ac:dyDescent="0.2"/>
    <row r="11014" s="689" customFormat="1" x14ac:dyDescent="0.2"/>
    <row r="11015" s="689" customFormat="1" x14ac:dyDescent="0.2"/>
    <row r="11016" s="689" customFormat="1" x14ac:dyDescent="0.2"/>
    <row r="11017" s="689" customFormat="1" x14ac:dyDescent="0.2"/>
    <row r="11018" s="689" customFormat="1" x14ac:dyDescent="0.2"/>
    <row r="11019" s="689" customFormat="1" x14ac:dyDescent="0.2"/>
    <row r="11020" s="689" customFormat="1" x14ac:dyDescent="0.2"/>
    <row r="11021" s="689" customFormat="1" x14ac:dyDescent="0.2"/>
    <row r="11022" s="689" customFormat="1" x14ac:dyDescent="0.2"/>
    <row r="11023" s="689" customFormat="1" x14ac:dyDescent="0.2"/>
    <row r="11024" s="689" customFormat="1" x14ac:dyDescent="0.2"/>
    <row r="11025" s="689" customFormat="1" x14ac:dyDescent="0.2"/>
    <row r="11026" s="689" customFormat="1" x14ac:dyDescent="0.2"/>
    <row r="11027" s="689" customFormat="1" x14ac:dyDescent="0.2"/>
    <row r="11028" s="689" customFormat="1" x14ac:dyDescent="0.2"/>
    <row r="11029" s="689" customFormat="1" x14ac:dyDescent="0.2"/>
    <row r="11030" s="689" customFormat="1" x14ac:dyDescent="0.2"/>
    <row r="11031" s="689" customFormat="1" x14ac:dyDescent="0.2"/>
    <row r="11032" s="689" customFormat="1" x14ac:dyDescent="0.2"/>
    <row r="11033" s="689" customFormat="1" x14ac:dyDescent="0.2"/>
    <row r="11034" s="689" customFormat="1" x14ac:dyDescent="0.2"/>
    <row r="11035" s="689" customFormat="1" x14ac:dyDescent="0.2"/>
    <row r="11036" s="689" customFormat="1" x14ac:dyDescent="0.2"/>
    <row r="11037" s="689" customFormat="1" x14ac:dyDescent="0.2"/>
    <row r="11038" s="689" customFormat="1" x14ac:dyDescent="0.2"/>
    <row r="11039" s="689" customFormat="1" x14ac:dyDescent="0.2"/>
    <row r="11040" s="689" customFormat="1" x14ac:dyDescent="0.2"/>
    <row r="11041" s="689" customFormat="1" x14ac:dyDescent="0.2"/>
    <row r="11042" s="689" customFormat="1" x14ac:dyDescent="0.2"/>
    <row r="11043" s="689" customFormat="1" x14ac:dyDescent="0.2"/>
    <row r="11044" s="689" customFormat="1" x14ac:dyDescent="0.2"/>
    <row r="11045" s="689" customFormat="1" x14ac:dyDescent="0.2"/>
    <row r="11046" s="689" customFormat="1" x14ac:dyDescent="0.2"/>
    <row r="11047" s="689" customFormat="1" x14ac:dyDescent="0.2"/>
    <row r="11048" s="689" customFormat="1" x14ac:dyDescent="0.2"/>
    <row r="11049" s="689" customFormat="1" x14ac:dyDescent="0.2"/>
    <row r="11050" s="689" customFormat="1" x14ac:dyDescent="0.2"/>
    <row r="11051" s="689" customFormat="1" x14ac:dyDescent="0.2"/>
    <row r="11052" s="689" customFormat="1" x14ac:dyDescent="0.2"/>
    <row r="11053" s="689" customFormat="1" x14ac:dyDescent="0.2"/>
    <row r="11054" s="689" customFormat="1" x14ac:dyDescent="0.2"/>
    <row r="11055" s="689" customFormat="1" x14ac:dyDescent="0.2"/>
    <row r="11056" s="689" customFormat="1" x14ac:dyDescent="0.2"/>
    <row r="11057" s="689" customFormat="1" x14ac:dyDescent="0.2"/>
    <row r="11058" s="689" customFormat="1" x14ac:dyDescent="0.2"/>
    <row r="11059" s="689" customFormat="1" x14ac:dyDescent="0.2"/>
    <row r="11060" s="689" customFormat="1" x14ac:dyDescent="0.2"/>
    <row r="11061" s="689" customFormat="1" x14ac:dyDescent="0.2"/>
    <row r="11062" s="689" customFormat="1" x14ac:dyDescent="0.2"/>
    <row r="11063" s="689" customFormat="1" x14ac:dyDescent="0.2"/>
    <row r="11064" s="689" customFormat="1" x14ac:dyDescent="0.2"/>
    <row r="11065" s="689" customFormat="1" x14ac:dyDescent="0.2"/>
    <row r="11066" s="689" customFormat="1" x14ac:dyDescent="0.2"/>
    <row r="11067" s="689" customFormat="1" x14ac:dyDescent="0.2"/>
    <row r="11068" s="689" customFormat="1" x14ac:dyDescent="0.2"/>
    <row r="11069" s="689" customFormat="1" x14ac:dyDescent="0.2"/>
    <row r="11070" s="689" customFormat="1" x14ac:dyDescent="0.2"/>
    <row r="11071" s="689" customFormat="1" x14ac:dyDescent="0.2"/>
    <row r="11072" s="689" customFormat="1" x14ac:dyDescent="0.2"/>
    <row r="11073" s="689" customFormat="1" x14ac:dyDescent="0.2"/>
    <row r="11074" s="689" customFormat="1" x14ac:dyDescent="0.2"/>
    <row r="11075" s="689" customFormat="1" x14ac:dyDescent="0.2"/>
    <row r="11076" s="689" customFormat="1" x14ac:dyDescent="0.2"/>
    <row r="11077" s="689" customFormat="1" x14ac:dyDescent="0.2"/>
    <row r="11078" s="689" customFormat="1" x14ac:dyDescent="0.2"/>
    <row r="11079" s="689" customFormat="1" x14ac:dyDescent="0.2"/>
    <row r="11080" s="689" customFormat="1" x14ac:dyDescent="0.2"/>
    <row r="11081" s="689" customFormat="1" x14ac:dyDescent="0.2"/>
    <row r="11082" s="689" customFormat="1" x14ac:dyDescent="0.2"/>
    <row r="11083" s="689" customFormat="1" x14ac:dyDescent="0.2"/>
    <row r="11084" s="689" customFormat="1" x14ac:dyDescent="0.2"/>
    <row r="11085" s="689" customFormat="1" x14ac:dyDescent="0.2"/>
    <row r="11086" s="689" customFormat="1" x14ac:dyDescent="0.2"/>
    <row r="11087" s="689" customFormat="1" x14ac:dyDescent="0.2"/>
    <row r="11088" s="689" customFormat="1" x14ac:dyDescent="0.2"/>
    <row r="11089" s="689" customFormat="1" x14ac:dyDescent="0.2"/>
    <row r="11090" s="689" customFormat="1" x14ac:dyDescent="0.2"/>
    <row r="11091" s="689" customFormat="1" x14ac:dyDescent="0.2"/>
    <row r="11092" s="689" customFormat="1" x14ac:dyDescent="0.2"/>
    <row r="11093" s="689" customFormat="1" x14ac:dyDescent="0.2"/>
    <row r="11094" s="689" customFormat="1" x14ac:dyDescent="0.2"/>
    <row r="11095" s="689" customFormat="1" x14ac:dyDescent="0.2"/>
    <row r="11096" s="689" customFormat="1" x14ac:dyDescent="0.2"/>
    <row r="11097" s="689" customFormat="1" x14ac:dyDescent="0.2"/>
    <row r="11098" s="689" customFormat="1" x14ac:dyDescent="0.2"/>
    <row r="11099" s="689" customFormat="1" x14ac:dyDescent="0.2"/>
    <row r="11100" s="689" customFormat="1" x14ac:dyDescent="0.2"/>
    <row r="11101" s="689" customFormat="1" x14ac:dyDescent="0.2"/>
    <row r="11102" s="689" customFormat="1" x14ac:dyDescent="0.2"/>
    <row r="11103" s="689" customFormat="1" x14ac:dyDescent="0.2"/>
    <row r="11104" s="689" customFormat="1" x14ac:dyDescent="0.2"/>
    <row r="11105" s="689" customFormat="1" x14ac:dyDescent="0.2"/>
    <row r="11106" s="689" customFormat="1" x14ac:dyDescent="0.2"/>
    <row r="11107" s="689" customFormat="1" x14ac:dyDescent="0.2"/>
    <row r="11108" s="689" customFormat="1" x14ac:dyDescent="0.2"/>
    <row r="11109" s="689" customFormat="1" x14ac:dyDescent="0.2"/>
    <row r="11110" s="689" customFormat="1" x14ac:dyDescent="0.2"/>
    <row r="11111" s="689" customFormat="1" x14ac:dyDescent="0.2"/>
    <row r="11112" s="689" customFormat="1" x14ac:dyDescent="0.2"/>
    <row r="11113" s="689" customFormat="1" x14ac:dyDescent="0.2"/>
    <row r="11114" s="689" customFormat="1" x14ac:dyDescent="0.2"/>
    <row r="11115" s="689" customFormat="1" x14ac:dyDescent="0.2"/>
    <row r="11116" s="689" customFormat="1" x14ac:dyDescent="0.2"/>
    <row r="11117" s="689" customFormat="1" x14ac:dyDescent="0.2"/>
    <row r="11118" s="689" customFormat="1" x14ac:dyDescent="0.2"/>
    <row r="11119" s="689" customFormat="1" x14ac:dyDescent="0.2"/>
    <row r="11120" s="689" customFormat="1" x14ac:dyDescent="0.2"/>
    <row r="11121" s="689" customFormat="1" x14ac:dyDescent="0.2"/>
    <row r="11122" s="689" customFormat="1" x14ac:dyDescent="0.2"/>
    <row r="11123" s="689" customFormat="1" x14ac:dyDescent="0.2"/>
    <row r="11124" s="689" customFormat="1" x14ac:dyDescent="0.2"/>
    <row r="11125" s="689" customFormat="1" x14ac:dyDescent="0.2"/>
    <row r="11126" s="689" customFormat="1" x14ac:dyDescent="0.2"/>
    <row r="11127" s="689" customFormat="1" x14ac:dyDescent="0.2"/>
    <row r="11128" s="689" customFormat="1" x14ac:dyDescent="0.2"/>
    <row r="11129" s="689" customFormat="1" x14ac:dyDescent="0.2"/>
    <row r="11130" s="689" customFormat="1" x14ac:dyDescent="0.2"/>
    <row r="11131" s="689" customFormat="1" x14ac:dyDescent="0.2"/>
    <row r="11132" s="689" customFormat="1" x14ac:dyDescent="0.2"/>
    <row r="11133" s="689" customFormat="1" x14ac:dyDescent="0.2"/>
    <row r="11134" s="689" customFormat="1" x14ac:dyDescent="0.2"/>
    <row r="11135" s="689" customFormat="1" x14ac:dyDescent="0.2"/>
    <row r="11136" s="689" customFormat="1" x14ac:dyDescent="0.2"/>
    <row r="11137" s="689" customFormat="1" x14ac:dyDescent="0.2"/>
    <row r="11138" s="689" customFormat="1" x14ac:dyDescent="0.2"/>
    <row r="11139" s="689" customFormat="1" x14ac:dyDescent="0.2"/>
    <row r="11140" s="689" customFormat="1" x14ac:dyDescent="0.2"/>
    <row r="11141" s="689" customFormat="1" x14ac:dyDescent="0.2"/>
    <row r="11142" s="689" customFormat="1" x14ac:dyDescent="0.2"/>
    <row r="11143" s="689" customFormat="1" x14ac:dyDescent="0.2"/>
    <row r="11144" s="689" customFormat="1" x14ac:dyDescent="0.2"/>
    <row r="11145" s="689" customFormat="1" x14ac:dyDescent="0.2"/>
    <row r="11146" s="689" customFormat="1" x14ac:dyDescent="0.2"/>
    <row r="11147" s="689" customFormat="1" x14ac:dyDescent="0.2"/>
    <row r="11148" s="689" customFormat="1" x14ac:dyDescent="0.2"/>
    <row r="11149" s="689" customFormat="1" x14ac:dyDescent="0.2"/>
    <row r="11150" s="689" customFormat="1" x14ac:dyDescent="0.2"/>
    <row r="11151" s="689" customFormat="1" x14ac:dyDescent="0.2"/>
    <row r="11152" s="689" customFormat="1" x14ac:dyDescent="0.2"/>
    <row r="11153" s="689" customFormat="1" x14ac:dyDescent="0.2"/>
    <row r="11154" s="689" customFormat="1" x14ac:dyDescent="0.2"/>
    <row r="11155" s="689" customFormat="1" x14ac:dyDescent="0.2"/>
    <row r="11156" s="689" customFormat="1" x14ac:dyDescent="0.2"/>
    <row r="11157" s="689" customFormat="1" x14ac:dyDescent="0.2"/>
    <row r="11158" s="689" customFormat="1" x14ac:dyDescent="0.2"/>
    <row r="11159" s="689" customFormat="1" x14ac:dyDescent="0.2"/>
    <row r="11160" s="689" customFormat="1" x14ac:dyDescent="0.2"/>
    <row r="11161" s="689" customFormat="1" x14ac:dyDescent="0.2"/>
    <row r="11162" s="689" customFormat="1" x14ac:dyDescent="0.2"/>
    <row r="11163" s="689" customFormat="1" x14ac:dyDescent="0.2"/>
    <row r="11164" s="689" customFormat="1" x14ac:dyDescent="0.2"/>
    <row r="11165" s="689" customFormat="1" x14ac:dyDescent="0.2"/>
    <row r="11166" s="689" customFormat="1" x14ac:dyDescent="0.2"/>
    <row r="11167" s="689" customFormat="1" x14ac:dyDescent="0.2"/>
    <row r="11168" s="689" customFormat="1" x14ac:dyDescent="0.2"/>
    <row r="11169" s="689" customFormat="1" x14ac:dyDescent="0.2"/>
    <row r="11170" s="689" customFormat="1" x14ac:dyDescent="0.2"/>
    <row r="11171" s="689" customFormat="1" x14ac:dyDescent="0.2"/>
    <row r="11172" s="689" customFormat="1" x14ac:dyDescent="0.2"/>
    <row r="11173" s="689" customFormat="1" x14ac:dyDescent="0.2"/>
    <row r="11174" s="689" customFormat="1" x14ac:dyDescent="0.2"/>
    <row r="11175" s="689" customFormat="1" x14ac:dyDescent="0.2"/>
    <row r="11176" s="689" customFormat="1" x14ac:dyDescent="0.2"/>
    <row r="11177" s="689" customFormat="1" x14ac:dyDescent="0.2"/>
    <row r="11178" s="689" customFormat="1" x14ac:dyDescent="0.2"/>
    <row r="11179" s="689" customFormat="1" x14ac:dyDescent="0.2"/>
    <row r="11180" s="689" customFormat="1" x14ac:dyDescent="0.2"/>
    <row r="11181" s="689" customFormat="1" x14ac:dyDescent="0.2"/>
    <row r="11182" s="689" customFormat="1" x14ac:dyDescent="0.2"/>
    <row r="11183" s="689" customFormat="1" x14ac:dyDescent="0.2"/>
    <row r="11184" s="689" customFormat="1" x14ac:dyDescent="0.2"/>
    <row r="11185" s="689" customFormat="1" x14ac:dyDescent="0.2"/>
    <row r="11186" s="689" customFormat="1" x14ac:dyDescent="0.2"/>
    <row r="11187" s="689" customFormat="1" x14ac:dyDescent="0.2"/>
    <row r="11188" s="689" customFormat="1" x14ac:dyDescent="0.2"/>
    <row r="11189" s="689" customFormat="1" x14ac:dyDescent="0.2"/>
    <row r="11190" s="689" customFormat="1" x14ac:dyDescent="0.2"/>
    <row r="11191" s="689" customFormat="1" x14ac:dyDescent="0.2"/>
    <row r="11192" s="689" customFormat="1" x14ac:dyDescent="0.2"/>
    <row r="11193" s="689" customFormat="1" x14ac:dyDescent="0.2"/>
    <row r="11194" s="689" customFormat="1" x14ac:dyDescent="0.2"/>
    <row r="11195" s="689" customFormat="1" x14ac:dyDescent="0.2"/>
    <row r="11196" s="689" customFormat="1" x14ac:dyDescent="0.2"/>
    <row r="11197" s="689" customFormat="1" x14ac:dyDescent="0.2"/>
    <row r="11198" s="689" customFormat="1" x14ac:dyDescent="0.2"/>
    <row r="11199" s="689" customFormat="1" x14ac:dyDescent="0.2"/>
    <row r="11200" s="689" customFormat="1" x14ac:dyDescent="0.2"/>
    <row r="11201" s="689" customFormat="1" x14ac:dyDescent="0.2"/>
    <row r="11202" s="689" customFormat="1" x14ac:dyDescent="0.2"/>
    <row r="11203" s="689" customFormat="1" x14ac:dyDescent="0.2"/>
    <row r="11204" s="689" customFormat="1" x14ac:dyDescent="0.2"/>
    <row r="11205" s="689" customFormat="1" x14ac:dyDescent="0.2"/>
    <row r="11206" s="689" customFormat="1" x14ac:dyDescent="0.2"/>
    <row r="11207" s="689" customFormat="1" x14ac:dyDescent="0.2"/>
    <row r="11208" s="689" customFormat="1" x14ac:dyDescent="0.2"/>
    <row r="11209" s="689" customFormat="1" x14ac:dyDescent="0.2"/>
    <row r="11210" s="689" customFormat="1" x14ac:dyDescent="0.2"/>
    <row r="11211" s="689" customFormat="1" x14ac:dyDescent="0.2"/>
    <row r="11212" s="689" customFormat="1" x14ac:dyDescent="0.2"/>
    <row r="11213" s="689" customFormat="1" x14ac:dyDescent="0.2"/>
    <row r="11214" s="689" customFormat="1" x14ac:dyDescent="0.2"/>
    <row r="11215" s="689" customFormat="1" x14ac:dyDescent="0.2"/>
    <row r="11216" s="689" customFormat="1" x14ac:dyDescent="0.2"/>
    <row r="11217" s="689" customFormat="1" x14ac:dyDescent="0.2"/>
    <row r="11218" s="689" customFormat="1" x14ac:dyDescent="0.2"/>
    <row r="11219" s="689" customFormat="1" x14ac:dyDescent="0.2"/>
    <row r="11220" s="689" customFormat="1" x14ac:dyDescent="0.2"/>
    <row r="11221" s="689" customFormat="1" x14ac:dyDescent="0.2"/>
    <row r="11222" s="689" customFormat="1" x14ac:dyDescent="0.2"/>
    <row r="11223" s="689" customFormat="1" x14ac:dyDescent="0.2"/>
    <row r="11224" s="689" customFormat="1" x14ac:dyDescent="0.2"/>
    <row r="11225" s="689" customFormat="1" x14ac:dyDescent="0.2"/>
    <row r="11226" s="689" customFormat="1" x14ac:dyDescent="0.2"/>
    <row r="11227" s="689" customFormat="1" x14ac:dyDescent="0.2"/>
    <row r="11228" s="689" customFormat="1" x14ac:dyDescent="0.2"/>
    <row r="11229" s="689" customFormat="1" x14ac:dyDescent="0.2"/>
    <row r="11230" s="689" customFormat="1" x14ac:dyDescent="0.2"/>
    <row r="11231" s="689" customFormat="1" x14ac:dyDescent="0.2"/>
    <row r="11232" s="689" customFormat="1" x14ac:dyDescent="0.2"/>
    <row r="11233" s="689" customFormat="1" x14ac:dyDescent="0.2"/>
    <row r="11234" s="689" customFormat="1" x14ac:dyDescent="0.2"/>
    <row r="11235" s="689" customFormat="1" x14ac:dyDescent="0.2"/>
    <row r="11236" s="689" customFormat="1" x14ac:dyDescent="0.2"/>
    <row r="11237" s="689" customFormat="1" x14ac:dyDescent="0.2"/>
    <row r="11238" s="689" customFormat="1" x14ac:dyDescent="0.2"/>
    <row r="11239" s="689" customFormat="1" x14ac:dyDescent="0.2"/>
    <row r="11240" s="689" customFormat="1" x14ac:dyDescent="0.2"/>
    <row r="11241" s="689" customFormat="1" x14ac:dyDescent="0.2"/>
    <row r="11242" s="689" customFormat="1" x14ac:dyDescent="0.2"/>
    <row r="11243" s="689" customFormat="1" x14ac:dyDescent="0.2"/>
    <row r="11244" s="689" customFormat="1" x14ac:dyDescent="0.2"/>
    <row r="11245" s="689" customFormat="1" x14ac:dyDescent="0.2"/>
    <row r="11246" s="689" customFormat="1" x14ac:dyDescent="0.2"/>
    <row r="11247" s="689" customFormat="1" x14ac:dyDescent="0.2"/>
    <row r="11248" s="689" customFormat="1" x14ac:dyDescent="0.2"/>
    <row r="11249" s="689" customFormat="1" x14ac:dyDescent="0.2"/>
    <row r="11250" s="689" customFormat="1" x14ac:dyDescent="0.2"/>
    <row r="11251" s="689" customFormat="1" x14ac:dyDescent="0.2"/>
    <row r="11252" s="689" customFormat="1" x14ac:dyDescent="0.2"/>
    <row r="11253" s="689" customFormat="1" x14ac:dyDescent="0.2"/>
    <row r="11254" s="689" customFormat="1" x14ac:dyDescent="0.2"/>
    <row r="11255" s="689" customFormat="1" x14ac:dyDescent="0.2"/>
    <row r="11256" s="689" customFormat="1" x14ac:dyDescent="0.2"/>
    <row r="11257" s="689" customFormat="1" x14ac:dyDescent="0.2"/>
    <row r="11258" s="689" customFormat="1" x14ac:dyDescent="0.2"/>
    <row r="11259" s="689" customFormat="1" x14ac:dyDescent="0.2"/>
    <row r="11260" s="689" customFormat="1" x14ac:dyDescent="0.2"/>
    <row r="11261" s="689" customFormat="1" x14ac:dyDescent="0.2"/>
    <row r="11262" s="689" customFormat="1" x14ac:dyDescent="0.2"/>
    <row r="11263" s="689" customFormat="1" x14ac:dyDescent="0.2"/>
    <row r="11264" s="689" customFormat="1" x14ac:dyDescent="0.2"/>
    <row r="11265" s="689" customFormat="1" x14ac:dyDescent="0.2"/>
    <row r="11266" s="689" customFormat="1" x14ac:dyDescent="0.2"/>
    <row r="11267" s="689" customFormat="1" x14ac:dyDescent="0.2"/>
    <row r="11268" s="689" customFormat="1" x14ac:dyDescent="0.2"/>
    <row r="11269" s="689" customFormat="1" x14ac:dyDescent="0.2"/>
    <row r="11270" s="689" customFormat="1" x14ac:dyDescent="0.2"/>
    <row r="11271" s="689" customFormat="1" x14ac:dyDescent="0.2"/>
    <row r="11272" s="689" customFormat="1" x14ac:dyDescent="0.2"/>
    <row r="11273" s="689" customFormat="1" x14ac:dyDescent="0.2"/>
    <row r="11274" s="689" customFormat="1" x14ac:dyDescent="0.2"/>
    <row r="11275" s="689" customFormat="1" x14ac:dyDescent="0.2"/>
    <row r="11276" s="689" customFormat="1" x14ac:dyDescent="0.2"/>
    <row r="11277" s="689" customFormat="1" x14ac:dyDescent="0.2"/>
    <row r="11278" s="689" customFormat="1" x14ac:dyDescent="0.2"/>
    <row r="11279" s="689" customFormat="1" x14ac:dyDescent="0.2"/>
    <row r="11280" s="689" customFormat="1" x14ac:dyDescent="0.2"/>
    <row r="11281" s="689" customFormat="1" x14ac:dyDescent="0.2"/>
    <row r="11282" s="689" customFormat="1" x14ac:dyDescent="0.2"/>
    <row r="11283" s="689" customFormat="1" x14ac:dyDescent="0.2"/>
    <row r="11284" s="689" customFormat="1" x14ac:dyDescent="0.2"/>
    <row r="11285" s="689" customFormat="1" x14ac:dyDescent="0.2"/>
    <row r="11286" s="689" customFormat="1" x14ac:dyDescent="0.2"/>
    <row r="11287" s="689" customFormat="1" x14ac:dyDescent="0.2"/>
    <row r="11288" s="689" customFormat="1" x14ac:dyDescent="0.2"/>
    <row r="11289" s="689" customFormat="1" x14ac:dyDescent="0.2"/>
    <row r="11290" s="689" customFormat="1" x14ac:dyDescent="0.2"/>
    <row r="11291" s="689" customFormat="1" x14ac:dyDescent="0.2"/>
    <row r="11292" s="689" customFormat="1" x14ac:dyDescent="0.2"/>
    <row r="11293" s="689" customFormat="1" x14ac:dyDescent="0.2"/>
    <row r="11294" s="689" customFormat="1" x14ac:dyDescent="0.2"/>
    <row r="11295" s="689" customFormat="1" x14ac:dyDescent="0.2"/>
    <row r="11296" s="689" customFormat="1" x14ac:dyDescent="0.2"/>
    <row r="11297" s="689" customFormat="1" x14ac:dyDescent="0.2"/>
    <row r="11298" s="689" customFormat="1" x14ac:dyDescent="0.2"/>
    <row r="11299" s="689" customFormat="1" x14ac:dyDescent="0.2"/>
    <row r="11300" s="689" customFormat="1" x14ac:dyDescent="0.2"/>
    <row r="11301" s="689" customFormat="1" x14ac:dyDescent="0.2"/>
    <row r="11302" s="689" customFormat="1" x14ac:dyDescent="0.2"/>
    <row r="11303" s="689" customFormat="1" x14ac:dyDescent="0.2"/>
    <row r="11304" s="689" customFormat="1" x14ac:dyDescent="0.2"/>
    <row r="11305" s="689" customFormat="1" x14ac:dyDescent="0.2"/>
    <row r="11306" s="689" customFormat="1" x14ac:dyDescent="0.2"/>
    <row r="11307" s="689" customFormat="1" x14ac:dyDescent="0.2"/>
    <row r="11308" s="689" customFormat="1" x14ac:dyDescent="0.2"/>
    <row r="11309" s="689" customFormat="1" x14ac:dyDescent="0.2"/>
    <row r="11310" s="689" customFormat="1" x14ac:dyDescent="0.2"/>
    <row r="11311" s="689" customFormat="1" x14ac:dyDescent="0.2"/>
    <row r="11312" s="689" customFormat="1" x14ac:dyDescent="0.2"/>
    <row r="11313" s="689" customFormat="1" x14ac:dyDescent="0.2"/>
    <row r="11314" s="689" customFormat="1" x14ac:dyDescent="0.2"/>
    <row r="11315" s="689" customFormat="1" x14ac:dyDescent="0.2"/>
    <row r="11316" s="689" customFormat="1" x14ac:dyDescent="0.2"/>
    <row r="11317" s="689" customFormat="1" x14ac:dyDescent="0.2"/>
    <row r="11318" s="689" customFormat="1" x14ac:dyDescent="0.2"/>
    <row r="11319" s="689" customFormat="1" x14ac:dyDescent="0.2"/>
    <row r="11320" s="689" customFormat="1" x14ac:dyDescent="0.2"/>
    <row r="11321" s="689" customFormat="1" x14ac:dyDescent="0.2"/>
    <row r="11322" s="689" customFormat="1" x14ac:dyDescent="0.2"/>
    <row r="11323" s="689" customFormat="1" x14ac:dyDescent="0.2"/>
    <row r="11324" s="689" customFormat="1" x14ac:dyDescent="0.2"/>
    <row r="11325" s="689" customFormat="1" x14ac:dyDescent="0.2"/>
    <row r="11326" s="689" customFormat="1" x14ac:dyDescent="0.2"/>
    <row r="11327" s="689" customFormat="1" x14ac:dyDescent="0.2"/>
    <row r="11328" s="689" customFormat="1" x14ac:dyDescent="0.2"/>
    <row r="11329" s="689" customFormat="1" x14ac:dyDescent="0.2"/>
    <row r="11330" s="689" customFormat="1" x14ac:dyDescent="0.2"/>
    <row r="11331" s="689" customFormat="1" x14ac:dyDescent="0.2"/>
    <row r="11332" s="689" customFormat="1" x14ac:dyDescent="0.2"/>
    <row r="11333" s="689" customFormat="1" x14ac:dyDescent="0.2"/>
    <row r="11334" s="689" customFormat="1" x14ac:dyDescent="0.2"/>
    <row r="11335" s="689" customFormat="1" x14ac:dyDescent="0.2"/>
    <row r="11336" s="689" customFormat="1" x14ac:dyDescent="0.2"/>
    <row r="11337" s="689" customFormat="1" x14ac:dyDescent="0.2"/>
    <row r="11338" s="689" customFormat="1" x14ac:dyDescent="0.2"/>
    <row r="11339" s="689" customFormat="1" x14ac:dyDescent="0.2"/>
    <row r="11340" s="689" customFormat="1" x14ac:dyDescent="0.2"/>
    <row r="11341" s="689" customFormat="1" x14ac:dyDescent="0.2"/>
    <row r="11342" s="689" customFormat="1" x14ac:dyDescent="0.2"/>
    <row r="11343" s="689" customFormat="1" x14ac:dyDescent="0.2"/>
    <row r="11344" s="689" customFormat="1" x14ac:dyDescent="0.2"/>
    <row r="11345" s="689" customFormat="1" x14ac:dyDescent="0.2"/>
    <row r="11346" s="689" customFormat="1" x14ac:dyDescent="0.2"/>
    <row r="11347" s="689" customFormat="1" x14ac:dyDescent="0.2"/>
    <row r="11348" s="689" customFormat="1" x14ac:dyDescent="0.2"/>
    <row r="11349" s="689" customFormat="1" x14ac:dyDescent="0.2"/>
    <row r="11350" s="689" customFormat="1" x14ac:dyDescent="0.2"/>
    <row r="11351" s="689" customFormat="1" x14ac:dyDescent="0.2"/>
    <row r="11352" s="689" customFormat="1" x14ac:dyDescent="0.2"/>
    <row r="11353" s="689" customFormat="1" x14ac:dyDescent="0.2"/>
    <row r="11354" s="689" customFormat="1" x14ac:dyDescent="0.2"/>
    <row r="11355" s="689" customFormat="1" x14ac:dyDescent="0.2"/>
    <row r="11356" s="689" customFormat="1" x14ac:dyDescent="0.2"/>
    <row r="11357" s="689" customFormat="1" x14ac:dyDescent="0.2"/>
    <row r="11358" s="689" customFormat="1" x14ac:dyDescent="0.2"/>
    <row r="11359" s="689" customFormat="1" x14ac:dyDescent="0.2"/>
    <row r="11360" s="689" customFormat="1" x14ac:dyDescent="0.2"/>
    <row r="11361" s="689" customFormat="1" x14ac:dyDescent="0.2"/>
    <row r="11362" s="689" customFormat="1" x14ac:dyDescent="0.2"/>
    <row r="11363" s="689" customFormat="1" x14ac:dyDescent="0.2"/>
    <row r="11364" s="689" customFormat="1" x14ac:dyDescent="0.2"/>
    <row r="11365" s="689" customFormat="1" x14ac:dyDescent="0.2"/>
    <row r="11366" s="689" customFormat="1" x14ac:dyDescent="0.2"/>
    <row r="11367" s="689" customFormat="1" x14ac:dyDescent="0.2"/>
    <row r="11368" s="689" customFormat="1" x14ac:dyDescent="0.2"/>
    <row r="11369" s="689" customFormat="1" x14ac:dyDescent="0.2"/>
    <row r="11370" s="689" customFormat="1" x14ac:dyDescent="0.2"/>
    <row r="11371" s="689" customFormat="1" x14ac:dyDescent="0.2"/>
    <row r="11372" s="689" customFormat="1" x14ac:dyDescent="0.2"/>
    <row r="11373" s="689" customFormat="1" x14ac:dyDescent="0.2"/>
    <row r="11374" s="689" customFormat="1" x14ac:dyDescent="0.2"/>
    <row r="11375" s="689" customFormat="1" x14ac:dyDescent="0.2"/>
    <row r="11376" s="689" customFormat="1" x14ac:dyDescent="0.2"/>
    <row r="11377" s="689" customFormat="1" x14ac:dyDescent="0.2"/>
    <row r="11378" s="689" customFormat="1" x14ac:dyDescent="0.2"/>
    <row r="11379" s="689" customFormat="1" x14ac:dyDescent="0.2"/>
    <row r="11380" s="689" customFormat="1" x14ac:dyDescent="0.2"/>
    <row r="11381" s="689" customFormat="1" x14ac:dyDescent="0.2"/>
    <row r="11382" s="689" customFormat="1" x14ac:dyDescent="0.2"/>
    <row r="11383" s="689" customFormat="1" x14ac:dyDescent="0.2"/>
    <row r="11384" s="689" customFormat="1" x14ac:dyDescent="0.2"/>
    <row r="11385" s="689" customFormat="1" x14ac:dyDescent="0.2"/>
    <row r="11386" s="689" customFormat="1" x14ac:dyDescent="0.2"/>
    <row r="11387" s="689" customFormat="1" x14ac:dyDescent="0.2"/>
    <row r="11388" s="689" customFormat="1" x14ac:dyDescent="0.2"/>
    <row r="11389" s="689" customFormat="1" x14ac:dyDescent="0.2"/>
    <row r="11390" s="689" customFormat="1" x14ac:dyDescent="0.2"/>
    <row r="11391" s="689" customFormat="1" x14ac:dyDescent="0.2"/>
    <row r="11392" s="689" customFormat="1" x14ac:dyDescent="0.2"/>
    <row r="11393" s="689" customFormat="1" x14ac:dyDescent="0.2"/>
    <row r="11394" s="689" customFormat="1" x14ac:dyDescent="0.2"/>
    <row r="11395" s="689" customFormat="1" x14ac:dyDescent="0.2"/>
    <row r="11396" s="689" customFormat="1" x14ac:dyDescent="0.2"/>
    <row r="11397" s="689" customFormat="1" x14ac:dyDescent="0.2"/>
    <row r="11398" s="689" customFormat="1" x14ac:dyDescent="0.2"/>
    <row r="11399" s="689" customFormat="1" x14ac:dyDescent="0.2"/>
    <row r="11400" s="689" customFormat="1" x14ac:dyDescent="0.2"/>
    <row r="11401" s="689" customFormat="1" x14ac:dyDescent="0.2"/>
    <row r="11402" s="689" customFormat="1" x14ac:dyDescent="0.2"/>
    <row r="11403" s="689" customFormat="1" x14ac:dyDescent="0.2"/>
    <row r="11404" s="689" customFormat="1" x14ac:dyDescent="0.2"/>
    <row r="11405" s="689" customFormat="1" x14ac:dyDescent="0.2"/>
    <row r="11406" s="689" customFormat="1" x14ac:dyDescent="0.2"/>
    <row r="11407" s="689" customFormat="1" x14ac:dyDescent="0.2"/>
    <row r="11408" s="689" customFormat="1" x14ac:dyDescent="0.2"/>
    <row r="11409" s="689" customFormat="1" x14ac:dyDescent="0.2"/>
    <row r="11410" s="689" customFormat="1" x14ac:dyDescent="0.2"/>
    <row r="11411" s="689" customFormat="1" x14ac:dyDescent="0.2"/>
    <row r="11412" s="689" customFormat="1" x14ac:dyDescent="0.2"/>
    <row r="11413" s="689" customFormat="1" x14ac:dyDescent="0.2"/>
    <row r="11414" s="689" customFormat="1" x14ac:dyDescent="0.2"/>
    <row r="11415" s="689" customFormat="1" x14ac:dyDescent="0.2"/>
    <row r="11416" s="689" customFormat="1" x14ac:dyDescent="0.2"/>
    <row r="11417" s="689" customFormat="1" x14ac:dyDescent="0.2"/>
    <row r="11418" s="689" customFormat="1" x14ac:dyDescent="0.2"/>
    <row r="11419" s="689" customFormat="1" x14ac:dyDescent="0.2"/>
    <row r="11420" s="689" customFormat="1" x14ac:dyDescent="0.2"/>
    <row r="11421" s="689" customFormat="1" x14ac:dyDescent="0.2"/>
    <row r="11422" s="689" customFormat="1" x14ac:dyDescent="0.2"/>
    <row r="11423" s="689" customFormat="1" x14ac:dyDescent="0.2"/>
    <row r="11424" s="689" customFormat="1" x14ac:dyDescent="0.2"/>
    <row r="11425" s="689" customFormat="1" x14ac:dyDescent="0.2"/>
    <row r="11426" s="689" customFormat="1" x14ac:dyDescent="0.2"/>
    <row r="11427" s="689" customFormat="1" x14ac:dyDescent="0.2"/>
    <row r="11428" s="689" customFormat="1" x14ac:dyDescent="0.2"/>
    <row r="11429" s="689" customFormat="1" x14ac:dyDescent="0.2"/>
    <row r="11430" s="689" customFormat="1" x14ac:dyDescent="0.2"/>
    <row r="11431" s="689" customFormat="1" x14ac:dyDescent="0.2"/>
    <row r="11432" s="689" customFormat="1" x14ac:dyDescent="0.2"/>
    <row r="11433" s="689" customFormat="1" x14ac:dyDescent="0.2"/>
    <row r="11434" s="689" customFormat="1" x14ac:dyDescent="0.2"/>
    <row r="11435" s="689" customFormat="1" x14ac:dyDescent="0.2"/>
    <row r="11436" s="689" customFormat="1" x14ac:dyDescent="0.2"/>
    <row r="11437" s="689" customFormat="1" x14ac:dyDescent="0.2"/>
    <row r="11438" s="689" customFormat="1" x14ac:dyDescent="0.2"/>
    <row r="11439" s="689" customFormat="1" x14ac:dyDescent="0.2"/>
    <row r="11440" s="689" customFormat="1" x14ac:dyDescent="0.2"/>
    <row r="11441" s="689" customFormat="1" x14ac:dyDescent="0.2"/>
    <row r="11442" s="689" customFormat="1" x14ac:dyDescent="0.2"/>
    <row r="11443" s="689" customFormat="1" x14ac:dyDescent="0.2"/>
    <row r="11444" s="689" customFormat="1" x14ac:dyDescent="0.2"/>
    <row r="11445" s="689" customFormat="1" x14ac:dyDescent="0.2"/>
    <row r="11446" s="689" customFormat="1" x14ac:dyDescent="0.2"/>
    <row r="11447" s="689" customFormat="1" x14ac:dyDescent="0.2"/>
    <row r="11448" s="689" customFormat="1" x14ac:dyDescent="0.2"/>
    <row r="11449" s="689" customFormat="1" x14ac:dyDescent="0.2"/>
    <row r="11450" s="689" customFormat="1" x14ac:dyDescent="0.2"/>
    <row r="11451" s="689" customFormat="1" x14ac:dyDescent="0.2"/>
    <row r="11452" s="689" customFormat="1" x14ac:dyDescent="0.2"/>
    <row r="11453" s="689" customFormat="1" x14ac:dyDescent="0.2"/>
    <row r="11454" s="689" customFormat="1" x14ac:dyDescent="0.2"/>
    <row r="11455" s="689" customFormat="1" x14ac:dyDescent="0.2"/>
    <row r="11456" s="689" customFormat="1" x14ac:dyDescent="0.2"/>
    <row r="11457" s="689" customFormat="1" x14ac:dyDescent="0.2"/>
    <row r="11458" s="689" customFormat="1" x14ac:dyDescent="0.2"/>
    <row r="11459" s="689" customFormat="1" x14ac:dyDescent="0.2"/>
    <row r="11460" s="689" customFormat="1" x14ac:dyDescent="0.2"/>
    <row r="11461" s="689" customFormat="1" x14ac:dyDescent="0.2"/>
    <row r="11462" s="689" customFormat="1" x14ac:dyDescent="0.2"/>
    <row r="11463" s="689" customFormat="1" x14ac:dyDescent="0.2"/>
    <row r="11464" s="689" customFormat="1" x14ac:dyDescent="0.2"/>
    <row r="11465" s="689" customFormat="1" x14ac:dyDescent="0.2"/>
    <row r="11466" s="689" customFormat="1" x14ac:dyDescent="0.2"/>
    <row r="11467" s="689" customFormat="1" x14ac:dyDescent="0.2"/>
    <row r="11468" s="689" customFormat="1" x14ac:dyDescent="0.2"/>
    <row r="11469" s="689" customFormat="1" x14ac:dyDescent="0.2"/>
    <row r="11470" s="689" customFormat="1" x14ac:dyDescent="0.2"/>
    <row r="11471" s="689" customFormat="1" x14ac:dyDescent="0.2"/>
    <row r="11472" s="689" customFormat="1" x14ac:dyDescent="0.2"/>
    <row r="11473" s="689" customFormat="1" x14ac:dyDescent="0.2"/>
    <row r="11474" s="689" customFormat="1" x14ac:dyDescent="0.2"/>
    <row r="11475" s="689" customFormat="1" x14ac:dyDescent="0.2"/>
    <row r="11476" s="689" customFormat="1" x14ac:dyDescent="0.2"/>
    <row r="11477" s="689" customFormat="1" x14ac:dyDescent="0.2"/>
    <row r="11478" s="689" customFormat="1" x14ac:dyDescent="0.2"/>
    <row r="11479" s="689" customFormat="1" x14ac:dyDescent="0.2"/>
    <row r="11480" s="689" customFormat="1" x14ac:dyDescent="0.2"/>
    <row r="11481" s="689" customFormat="1" x14ac:dyDescent="0.2"/>
    <row r="11482" s="689" customFormat="1" x14ac:dyDescent="0.2"/>
    <row r="11483" s="689" customFormat="1" x14ac:dyDescent="0.2"/>
    <row r="11484" s="689" customFormat="1" x14ac:dyDescent="0.2"/>
    <row r="11485" s="689" customFormat="1" x14ac:dyDescent="0.2"/>
    <row r="11486" s="689" customFormat="1" x14ac:dyDescent="0.2"/>
    <row r="11487" s="689" customFormat="1" x14ac:dyDescent="0.2"/>
    <row r="11488" s="689" customFormat="1" x14ac:dyDescent="0.2"/>
    <row r="11489" s="689" customFormat="1" x14ac:dyDescent="0.2"/>
    <row r="11490" s="689" customFormat="1" x14ac:dyDescent="0.2"/>
    <row r="11491" s="689" customFormat="1" x14ac:dyDescent="0.2"/>
    <row r="11492" s="689" customFormat="1" x14ac:dyDescent="0.2"/>
    <row r="11493" s="689" customFormat="1" x14ac:dyDescent="0.2"/>
    <row r="11494" s="689" customFormat="1" x14ac:dyDescent="0.2"/>
    <row r="11495" s="689" customFormat="1" x14ac:dyDescent="0.2"/>
    <row r="11496" s="689" customFormat="1" x14ac:dyDescent="0.2"/>
    <row r="11497" s="689" customFormat="1" x14ac:dyDescent="0.2"/>
    <row r="11498" s="689" customFormat="1" x14ac:dyDescent="0.2"/>
    <row r="11499" s="689" customFormat="1" x14ac:dyDescent="0.2"/>
    <row r="11500" s="689" customFormat="1" x14ac:dyDescent="0.2"/>
    <row r="11501" s="689" customFormat="1" x14ac:dyDescent="0.2"/>
    <row r="11502" s="689" customFormat="1" x14ac:dyDescent="0.2"/>
    <row r="11503" s="689" customFormat="1" x14ac:dyDescent="0.2"/>
    <row r="11504" s="689" customFormat="1" x14ac:dyDescent="0.2"/>
    <row r="11505" s="689" customFormat="1" x14ac:dyDescent="0.2"/>
    <row r="11506" s="689" customFormat="1" x14ac:dyDescent="0.2"/>
    <row r="11507" s="689" customFormat="1" x14ac:dyDescent="0.2"/>
    <row r="11508" s="689" customFormat="1" x14ac:dyDescent="0.2"/>
    <row r="11509" s="689" customFormat="1" x14ac:dyDescent="0.2"/>
    <row r="11510" s="689" customFormat="1" x14ac:dyDescent="0.2"/>
    <row r="11511" s="689" customFormat="1" x14ac:dyDescent="0.2"/>
    <row r="11512" s="689" customFormat="1" x14ac:dyDescent="0.2"/>
    <row r="11513" s="689" customFormat="1" x14ac:dyDescent="0.2"/>
    <row r="11514" s="689" customFormat="1" x14ac:dyDescent="0.2"/>
    <row r="11515" s="689" customFormat="1" x14ac:dyDescent="0.2"/>
    <row r="11516" s="689" customFormat="1" x14ac:dyDescent="0.2"/>
    <row r="11517" s="689" customFormat="1" x14ac:dyDescent="0.2"/>
    <row r="11518" s="689" customFormat="1" x14ac:dyDescent="0.2"/>
    <row r="11519" s="689" customFormat="1" x14ac:dyDescent="0.2"/>
    <row r="11520" s="689" customFormat="1" x14ac:dyDescent="0.2"/>
    <row r="11521" s="689" customFormat="1" x14ac:dyDescent="0.2"/>
    <row r="11522" s="689" customFormat="1" x14ac:dyDescent="0.2"/>
    <row r="11523" s="689" customFormat="1" x14ac:dyDescent="0.2"/>
    <row r="11524" s="689" customFormat="1" x14ac:dyDescent="0.2"/>
    <row r="11525" s="689" customFormat="1" x14ac:dyDescent="0.2"/>
    <row r="11526" s="689" customFormat="1" x14ac:dyDescent="0.2"/>
    <row r="11527" s="689" customFormat="1" x14ac:dyDescent="0.2"/>
    <row r="11528" s="689" customFormat="1" x14ac:dyDescent="0.2"/>
    <row r="11529" s="689" customFormat="1" x14ac:dyDescent="0.2"/>
    <row r="11530" s="689" customFormat="1" x14ac:dyDescent="0.2"/>
    <row r="11531" s="689" customFormat="1" x14ac:dyDescent="0.2"/>
    <row r="11532" s="689" customFormat="1" x14ac:dyDescent="0.2"/>
    <row r="11533" s="689" customFormat="1" x14ac:dyDescent="0.2"/>
    <row r="11534" s="689" customFormat="1" x14ac:dyDescent="0.2"/>
    <row r="11535" s="689" customFormat="1" x14ac:dyDescent="0.2"/>
    <row r="11536" s="689" customFormat="1" x14ac:dyDescent="0.2"/>
    <row r="11537" s="689" customFormat="1" x14ac:dyDescent="0.2"/>
    <row r="11538" s="689" customFormat="1" x14ac:dyDescent="0.2"/>
    <row r="11539" s="689" customFormat="1" x14ac:dyDescent="0.2"/>
    <row r="11540" s="689" customFormat="1" x14ac:dyDescent="0.2"/>
    <row r="11541" s="689" customFormat="1" x14ac:dyDescent="0.2"/>
    <row r="11542" s="689" customFormat="1" x14ac:dyDescent="0.2"/>
    <row r="11543" s="689" customFormat="1" x14ac:dyDescent="0.2"/>
    <row r="11544" s="689" customFormat="1" x14ac:dyDescent="0.2"/>
    <row r="11545" s="689" customFormat="1" x14ac:dyDescent="0.2"/>
    <row r="11546" s="689" customFormat="1" x14ac:dyDescent="0.2"/>
    <row r="11547" s="689" customFormat="1" x14ac:dyDescent="0.2"/>
    <row r="11548" s="689" customFormat="1" x14ac:dyDescent="0.2"/>
    <row r="11549" s="689" customFormat="1" x14ac:dyDescent="0.2"/>
    <row r="11550" s="689" customFormat="1" x14ac:dyDescent="0.2"/>
    <row r="11551" s="689" customFormat="1" x14ac:dyDescent="0.2"/>
    <row r="11552" s="689" customFormat="1" x14ac:dyDescent="0.2"/>
    <row r="11553" s="689" customFormat="1" x14ac:dyDescent="0.2"/>
    <row r="11554" s="689" customFormat="1" x14ac:dyDescent="0.2"/>
    <row r="11555" s="689" customFormat="1" x14ac:dyDescent="0.2"/>
    <row r="11556" s="689" customFormat="1" x14ac:dyDescent="0.2"/>
    <row r="11557" s="689" customFormat="1" x14ac:dyDescent="0.2"/>
    <row r="11558" s="689" customFormat="1" x14ac:dyDescent="0.2"/>
    <row r="11559" s="689" customFormat="1" x14ac:dyDescent="0.2"/>
    <row r="11560" s="689" customFormat="1" x14ac:dyDescent="0.2"/>
    <row r="11561" s="689" customFormat="1" x14ac:dyDescent="0.2"/>
    <row r="11562" s="689" customFormat="1" x14ac:dyDescent="0.2"/>
    <row r="11563" s="689" customFormat="1" x14ac:dyDescent="0.2"/>
    <row r="11564" s="689" customFormat="1" x14ac:dyDescent="0.2"/>
    <row r="11565" s="689" customFormat="1" x14ac:dyDescent="0.2"/>
    <row r="11566" s="689" customFormat="1" x14ac:dyDescent="0.2"/>
    <row r="11567" s="689" customFormat="1" x14ac:dyDescent="0.2"/>
    <row r="11568" s="689" customFormat="1" x14ac:dyDescent="0.2"/>
    <row r="11569" s="689" customFormat="1" x14ac:dyDescent="0.2"/>
    <row r="11570" s="689" customFormat="1" x14ac:dyDescent="0.2"/>
    <row r="11571" s="689" customFormat="1" x14ac:dyDescent="0.2"/>
    <row r="11572" s="689" customFormat="1" x14ac:dyDescent="0.2"/>
    <row r="11573" s="689" customFormat="1" x14ac:dyDescent="0.2"/>
    <row r="11574" s="689" customFormat="1" x14ac:dyDescent="0.2"/>
    <row r="11575" s="689" customFormat="1" x14ac:dyDescent="0.2"/>
    <row r="11576" s="689" customFormat="1" x14ac:dyDescent="0.2"/>
    <row r="11577" s="689" customFormat="1" x14ac:dyDescent="0.2"/>
    <row r="11578" s="689" customFormat="1" x14ac:dyDescent="0.2"/>
    <row r="11579" s="689" customFormat="1" x14ac:dyDescent="0.2"/>
    <row r="11580" s="689" customFormat="1" x14ac:dyDescent="0.2"/>
    <row r="11581" s="689" customFormat="1" x14ac:dyDescent="0.2"/>
    <row r="11582" s="689" customFormat="1" x14ac:dyDescent="0.2"/>
    <row r="11583" s="689" customFormat="1" x14ac:dyDescent="0.2"/>
    <row r="11584" s="689" customFormat="1" x14ac:dyDescent="0.2"/>
    <row r="11585" s="689" customFormat="1" x14ac:dyDescent="0.2"/>
    <row r="11586" s="689" customFormat="1" x14ac:dyDescent="0.2"/>
    <row r="11587" s="689" customFormat="1" x14ac:dyDescent="0.2"/>
    <row r="11588" s="689" customFormat="1" x14ac:dyDescent="0.2"/>
    <row r="11589" s="689" customFormat="1" x14ac:dyDescent="0.2"/>
    <row r="11590" s="689" customFormat="1" x14ac:dyDescent="0.2"/>
    <row r="11591" s="689" customFormat="1" x14ac:dyDescent="0.2"/>
    <row r="11592" s="689" customFormat="1" x14ac:dyDescent="0.2"/>
    <row r="11593" s="689" customFormat="1" x14ac:dyDescent="0.2"/>
    <row r="11594" s="689" customFormat="1" x14ac:dyDescent="0.2"/>
    <row r="11595" s="689" customFormat="1" x14ac:dyDescent="0.2"/>
    <row r="11596" s="689" customFormat="1" x14ac:dyDescent="0.2"/>
    <row r="11597" s="689" customFormat="1" x14ac:dyDescent="0.2"/>
    <row r="11598" s="689" customFormat="1" x14ac:dyDescent="0.2"/>
    <row r="11599" s="689" customFormat="1" x14ac:dyDescent="0.2"/>
    <row r="11600" s="689" customFormat="1" x14ac:dyDescent="0.2"/>
    <row r="11601" s="689" customFormat="1" x14ac:dyDescent="0.2"/>
    <row r="11602" s="689" customFormat="1" x14ac:dyDescent="0.2"/>
    <row r="11603" s="689" customFormat="1" x14ac:dyDescent="0.2"/>
    <row r="11604" s="689" customFormat="1" x14ac:dyDescent="0.2"/>
    <row r="11605" s="689" customFormat="1" x14ac:dyDescent="0.2"/>
    <row r="11606" s="689" customFormat="1" x14ac:dyDescent="0.2"/>
    <row r="11607" s="689" customFormat="1" x14ac:dyDescent="0.2"/>
    <row r="11608" s="689" customFormat="1" x14ac:dyDescent="0.2"/>
    <row r="11609" s="689" customFormat="1" x14ac:dyDescent="0.2"/>
    <row r="11610" s="689" customFormat="1" x14ac:dyDescent="0.2"/>
    <row r="11611" s="689" customFormat="1" x14ac:dyDescent="0.2"/>
    <row r="11612" s="689" customFormat="1" x14ac:dyDescent="0.2"/>
    <row r="11613" s="689" customFormat="1" x14ac:dyDescent="0.2"/>
    <row r="11614" s="689" customFormat="1" x14ac:dyDescent="0.2"/>
    <row r="11615" s="689" customFormat="1" x14ac:dyDescent="0.2"/>
    <row r="11616" s="689" customFormat="1" x14ac:dyDescent="0.2"/>
    <row r="11617" s="689" customFormat="1" x14ac:dyDescent="0.2"/>
    <row r="11618" s="689" customFormat="1" x14ac:dyDescent="0.2"/>
    <row r="11619" s="689" customFormat="1" x14ac:dyDescent="0.2"/>
    <row r="11620" s="689" customFormat="1" x14ac:dyDescent="0.2"/>
    <row r="11621" s="689" customFormat="1" x14ac:dyDescent="0.2"/>
    <row r="11622" s="689" customFormat="1" x14ac:dyDescent="0.2"/>
    <row r="11623" s="689" customFormat="1" x14ac:dyDescent="0.2"/>
    <row r="11624" s="689" customFormat="1" x14ac:dyDescent="0.2"/>
    <row r="11625" s="689" customFormat="1" x14ac:dyDescent="0.2"/>
    <row r="11626" s="689" customFormat="1" x14ac:dyDescent="0.2"/>
    <row r="11627" s="689" customFormat="1" x14ac:dyDescent="0.2"/>
    <row r="11628" s="689" customFormat="1" x14ac:dyDescent="0.2"/>
    <row r="11629" s="689" customFormat="1" x14ac:dyDescent="0.2"/>
    <row r="11630" s="689" customFormat="1" x14ac:dyDescent="0.2"/>
    <row r="11631" s="689" customFormat="1" x14ac:dyDescent="0.2"/>
    <row r="11632" s="689" customFormat="1" x14ac:dyDescent="0.2"/>
    <row r="11633" s="689" customFormat="1" x14ac:dyDescent="0.2"/>
    <row r="11634" s="689" customFormat="1" x14ac:dyDescent="0.2"/>
    <row r="11635" s="689" customFormat="1" x14ac:dyDescent="0.2"/>
    <row r="11636" s="689" customFormat="1" x14ac:dyDescent="0.2"/>
    <row r="11637" s="689" customFormat="1" x14ac:dyDescent="0.2"/>
    <row r="11638" s="689" customFormat="1" x14ac:dyDescent="0.2"/>
    <row r="11639" s="689" customFormat="1" x14ac:dyDescent="0.2"/>
    <row r="11640" s="689" customFormat="1" x14ac:dyDescent="0.2"/>
    <row r="11641" s="689" customFormat="1" x14ac:dyDescent="0.2"/>
    <row r="11642" s="689" customFormat="1" x14ac:dyDescent="0.2"/>
    <row r="11643" s="689" customFormat="1" x14ac:dyDescent="0.2"/>
    <row r="11644" s="689" customFormat="1" x14ac:dyDescent="0.2"/>
    <row r="11645" s="689" customFormat="1" x14ac:dyDescent="0.2"/>
    <row r="11646" s="689" customFormat="1" x14ac:dyDescent="0.2"/>
    <row r="11647" s="689" customFormat="1" x14ac:dyDescent="0.2"/>
    <row r="11648" s="689" customFormat="1" x14ac:dyDescent="0.2"/>
    <row r="11649" s="689" customFormat="1" x14ac:dyDescent="0.2"/>
    <row r="11650" s="689" customFormat="1" x14ac:dyDescent="0.2"/>
    <row r="11651" s="689" customFormat="1" x14ac:dyDescent="0.2"/>
    <row r="11652" s="689" customFormat="1" x14ac:dyDescent="0.2"/>
    <row r="11653" s="689" customFormat="1" x14ac:dyDescent="0.2"/>
    <row r="11654" s="689" customFormat="1" x14ac:dyDescent="0.2"/>
    <row r="11655" s="689" customFormat="1" x14ac:dyDescent="0.2"/>
    <row r="11656" s="689" customFormat="1" x14ac:dyDescent="0.2"/>
    <row r="11657" s="689" customFormat="1" x14ac:dyDescent="0.2"/>
    <row r="11658" s="689" customFormat="1" x14ac:dyDescent="0.2"/>
    <row r="11659" s="689" customFormat="1" x14ac:dyDescent="0.2"/>
    <row r="11660" s="689" customFormat="1" x14ac:dyDescent="0.2"/>
    <row r="11661" s="689" customFormat="1" x14ac:dyDescent="0.2"/>
    <row r="11662" s="689" customFormat="1" x14ac:dyDescent="0.2"/>
    <row r="11663" s="689" customFormat="1" x14ac:dyDescent="0.2"/>
    <row r="11664" s="689" customFormat="1" x14ac:dyDescent="0.2"/>
    <row r="11665" s="689" customFormat="1" x14ac:dyDescent="0.2"/>
    <row r="11666" s="689" customFormat="1" x14ac:dyDescent="0.2"/>
    <row r="11667" s="689" customFormat="1" x14ac:dyDescent="0.2"/>
    <row r="11668" s="689" customFormat="1" x14ac:dyDescent="0.2"/>
    <row r="11669" s="689" customFormat="1" x14ac:dyDescent="0.2"/>
    <row r="11670" s="689" customFormat="1" x14ac:dyDescent="0.2"/>
    <row r="11671" s="689" customFormat="1" x14ac:dyDescent="0.2"/>
    <row r="11672" s="689" customFormat="1" x14ac:dyDescent="0.2"/>
    <row r="11673" s="689" customFormat="1" x14ac:dyDescent="0.2"/>
    <row r="11674" s="689" customFormat="1" x14ac:dyDescent="0.2"/>
    <row r="11675" s="689" customFormat="1" x14ac:dyDescent="0.2"/>
    <row r="11676" s="689" customFormat="1" x14ac:dyDescent="0.2"/>
    <row r="11677" s="689" customFormat="1" x14ac:dyDescent="0.2"/>
    <row r="11678" s="689" customFormat="1" x14ac:dyDescent="0.2"/>
    <row r="11679" s="689" customFormat="1" x14ac:dyDescent="0.2"/>
    <row r="11680" s="689" customFormat="1" x14ac:dyDescent="0.2"/>
    <row r="11681" s="689" customFormat="1" x14ac:dyDescent="0.2"/>
    <row r="11682" s="689" customFormat="1" x14ac:dyDescent="0.2"/>
    <row r="11683" s="689" customFormat="1" x14ac:dyDescent="0.2"/>
    <row r="11684" s="689" customFormat="1" x14ac:dyDescent="0.2"/>
    <row r="11685" s="689" customFormat="1" x14ac:dyDescent="0.2"/>
    <row r="11686" s="689" customFormat="1" x14ac:dyDescent="0.2"/>
    <row r="11687" s="689" customFormat="1" x14ac:dyDescent="0.2"/>
    <row r="11688" s="689" customFormat="1" x14ac:dyDescent="0.2"/>
    <row r="11689" s="689" customFormat="1" x14ac:dyDescent="0.2"/>
    <row r="11690" s="689" customFormat="1" x14ac:dyDescent="0.2"/>
    <row r="11691" s="689" customFormat="1" x14ac:dyDescent="0.2"/>
    <row r="11692" s="689" customFormat="1" x14ac:dyDescent="0.2"/>
    <row r="11693" s="689" customFormat="1" x14ac:dyDescent="0.2"/>
    <row r="11694" s="689" customFormat="1" x14ac:dyDescent="0.2"/>
    <row r="11695" s="689" customFormat="1" x14ac:dyDescent="0.2"/>
    <row r="11696" s="689" customFormat="1" x14ac:dyDescent="0.2"/>
    <row r="11697" s="689" customFormat="1" x14ac:dyDescent="0.2"/>
    <row r="11698" s="689" customFormat="1" x14ac:dyDescent="0.2"/>
    <row r="11699" s="689" customFormat="1" x14ac:dyDescent="0.2"/>
    <row r="11700" s="689" customFormat="1" x14ac:dyDescent="0.2"/>
    <row r="11701" s="689" customFormat="1" x14ac:dyDescent="0.2"/>
    <row r="11702" s="689" customFormat="1" x14ac:dyDescent="0.2"/>
    <row r="11703" s="689" customFormat="1" x14ac:dyDescent="0.2"/>
    <row r="11704" s="689" customFormat="1" x14ac:dyDescent="0.2"/>
    <row r="11705" s="689" customFormat="1" x14ac:dyDescent="0.2"/>
    <row r="11706" s="689" customFormat="1" x14ac:dyDescent="0.2"/>
    <row r="11707" s="689" customFormat="1" x14ac:dyDescent="0.2"/>
    <row r="11708" s="689" customFormat="1" x14ac:dyDescent="0.2"/>
    <row r="11709" s="689" customFormat="1" x14ac:dyDescent="0.2"/>
    <row r="11710" s="689" customFormat="1" x14ac:dyDescent="0.2"/>
    <row r="11711" s="689" customFormat="1" x14ac:dyDescent="0.2"/>
    <row r="11712" s="689" customFormat="1" x14ac:dyDescent="0.2"/>
    <row r="11713" s="689" customFormat="1" x14ac:dyDescent="0.2"/>
    <row r="11714" s="689" customFormat="1" x14ac:dyDescent="0.2"/>
    <row r="11715" s="689" customFormat="1" x14ac:dyDescent="0.2"/>
    <row r="11716" s="689" customFormat="1" x14ac:dyDescent="0.2"/>
    <row r="11717" s="689" customFormat="1" x14ac:dyDescent="0.2"/>
    <row r="11718" s="689" customFormat="1" x14ac:dyDescent="0.2"/>
    <row r="11719" s="689" customFormat="1" x14ac:dyDescent="0.2"/>
    <row r="11720" s="689" customFormat="1" x14ac:dyDescent="0.2"/>
    <row r="11721" s="689" customFormat="1" x14ac:dyDescent="0.2"/>
    <row r="11722" s="689" customFormat="1" x14ac:dyDescent="0.2"/>
    <row r="11723" s="689" customFormat="1" x14ac:dyDescent="0.2"/>
    <row r="11724" s="689" customFormat="1" x14ac:dyDescent="0.2"/>
    <row r="11725" s="689" customFormat="1" x14ac:dyDescent="0.2"/>
    <row r="11726" s="689" customFormat="1" x14ac:dyDescent="0.2"/>
    <row r="11727" s="689" customFormat="1" x14ac:dyDescent="0.2"/>
    <row r="11728" s="689" customFormat="1" x14ac:dyDescent="0.2"/>
    <row r="11729" s="689" customFormat="1" x14ac:dyDescent="0.2"/>
    <row r="11730" s="689" customFormat="1" x14ac:dyDescent="0.2"/>
    <row r="11731" s="689" customFormat="1" x14ac:dyDescent="0.2"/>
    <row r="11732" s="689" customFormat="1" x14ac:dyDescent="0.2"/>
    <row r="11733" s="689" customFormat="1" x14ac:dyDescent="0.2"/>
    <row r="11734" s="689" customFormat="1" x14ac:dyDescent="0.2"/>
    <row r="11735" s="689" customFormat="1" x14ac:dyDescent="0.2"/>
    <row r="11736" s="689" customFormat="1" x14ac:dyDescent="0.2"/>
    <row r="11737" s="689" customFormat="1" x14ac:dyDescent="0.2"/>
    <row r="11738" s="689" customFormat="1" x14ac:dyDescent="0.2"/>
    <row r="11739" s="689" customFormat="1" x14ac:dyDescent="0.2"/>
    <row r="11740" s="689" customFormat="1" x14ac:dyDescent="0.2"/>
    <row r="11741" s="689" customFormat="1" x14ac:dyDescent="0.2"/>
    <row r="11742" s="689" customFormat="1" x14ac:dyDescent="0.2"/>
    <row r="11743" s="689" customFormat="1" x14ac:dyDescent="0.2"/>
    <row r="11744" s="689" customFormat="1" x14ac:dyDescent="0.2"/>
    <row r="11745" s="689" customFormat="1" x14ac:dyDescent="0.2"/>
    <row r="11746" s="689" customFormat="1" x14ac:dyDescent="0.2"/>
    <row r="11747" s="689" customFormat="1" x14ac:dyDescent="0.2"/>
    <row r="11748" s="689" customFormat="1" x14ac:dyDescent="0.2"/>
    <row r="11749" s="689" customFormat="1" x14ac:dyDescent="0.2"/>
    <row r="11750" s="689" customFormat="1" x14ac:dyDescent="0.2"/>
    <row r="11751" s="689" customFormat="1" x14ac:dyDescent="0.2"/>
    <row r="11752" s="689" customFormat="1" x14ac:dyDescent="0.2"/>
    <row r="11753" s="689" customFormat="1" x14ac:dyDescent="0.2"/>
    <row r="11754" s="689" customFormat="1" x14ac:dyDescent="0.2"/>
    <row r="11755" s="689" customFormat="1" x14ac:dyDescent="0.2"/>
    <row r="11756" s="689" customFormat="1" x14ac:dyDescent="0.2"/>
    <row r="11757" s="689" customFormat="1" x14ac:dyDescent="0.2"/>
    <row r="11758" s="689" customFormat="1" x14ac:dyDescent="0.2"/>
    <row r="11759" s="689" customFormat="1" x14ac:dyDescent="0.2"/>
    <row r="11760" s="689" customFormat="1" x14ac:dyDescent="0.2"/>
    <row r="11761" s="689" customFormat="1" x14ac:dyDescent="0.2"/>
    <row r="11762" s="689" customFormat="1" x14ac:dyDescent="0.2"/>
    <row r="11763" s="689" customFormat="1" x14ac:dyDescent="0.2"/>
    <row r="11764" s="689" customFormat="1" x14ac:dyDescent="0.2"/>
    <row r="11765" s="689" customFormat="1" x14ac:dyDescent="0.2"/>
    <row r="11766" s="689" customFormat="1" x14ac:dyDescent="0.2"/>
    <row r="11767" s="689" customFormat="1" x14ac:dyDescent="0.2"/>
    <row r="11768" s="689" customFormat="1" x14ac:dyDescent="0.2"/>
    <row r="11769" s="689" customFormat="1" x14ac:dyDescent="0.2"/>
    <row r="11770" s="689" customFormat="1" x14ac:dyDescent="0.2"/>
    <row r="11771" s="689" customFormat="1" x14ac:dyDescent="0.2"/>
    <row r="11772" s="689" customFormat="1" x14ac:dyDescent="0.2"/>
    <row r="11773" s="689" customFormat="1" x14ac:dyDescent="0.2"/>
    <row r="11774" s="689" customFormat="1" x14ac:dyDescent="0.2"/>
    <row r="11775" s="689" customFormat="1" x14ac:dyDescent="0.2"/>
    <row r="11776" s="689" customFormat="1" x14ac:dyDescent="0.2"/>
    <row r="11777" s="689" customFormat="1" x14ac:dyDescent="0.2"/>
    <row r="11778" s="689" customFormat="1" x14ac:dyDescent="0.2"/>
    <row r="11779" s="689" customFormat="1" x14ac:dyDescent="0.2"/>
    <row r="11780" s="689" customFormat="1" x14ac:dyDescent="0.2"/>
    <row r="11781" s="689" customFormat="1" x14ac:dyDescent="0.2"/>
    <row r="11782" s="689" customFormat="1" x14ac:dyDescent="0.2"/>
    <row r="11783" s="689" customFormat="1" x14ac:dyDescent="0.2"/>
    <row r="11784" s="689" customFormat="1" x14ac:dyDescent="0.2"/>
    <row r="11785" s="689" customFormat="1" x14ac:dyDescent="0.2"/>
    <row r="11786" s="689" customFormat="1" x14ac:dyDescent="0.2"/>
    <row r="11787" s="689" customFormat="1" x14ac:dyDescent="0.2"/>
    <row r="11788" s="689" customFormat="1" x14ac:dyDescent="0.2"/>
    <row r="11789" s="689" customFormat="1" x14ac:dyDescent="0.2"/>
    <row r="11790" s="689" customFormat="1" x14ac:dyDescent="0.2"/>
    <row r="11791" s="689" customFormat="1" x14ac:dyDescent="0.2"/>
    <row r="11792" s="689" customFormat="1" x14ac:dyDescent="0.2"/>
    <row r="11793" s="689" customFormat="1" x14ac:dyDescent="0.2"/>
    <row r="11794" s="689" customFormat="1" x14ac:dyDescent="0.2"/>
    <row r="11795" s="689" customFormat="1" x14ac:dyDescent="0.2"/>
    <row r="11796" s="689" customFormat="1" x14ac:dyDescent="0.2"/>
    <row r="11797" s="689" customFormat="1" x14ac:dyDescent="0.2"/>
    <row r="11798" s="689" customFormat="1" x14ac:dyDescent="0.2"/>
    <row r="11799" s="689" customFormat="1" x14ac:dyDescent="0.2"/>
    <row r="11800" s="689" customFormat="1" x14ac:dyDescent="0.2"/>
    <row r="11801" s="689" customFormat="1" x14ac:dyDescent="0.2"/>
    <row r="11802" s="689" customFormat="1" x14ac:dyDescent="0.2"/>
    <row r="11803" s="689" customFormat="1" x14ac:dyDescent="0.2"/>
    <row r="11804" s="689" customFormat="1" x14ac:dyDescent="0.2"/>
    <row r="11805" s="689" customFormat="1" x14ac:dyDescent="0.2"/>
    <row r="11806" s="689" customFormat="1" x14ac:dyDescent="0.2"/>
    <row r="11807" s="689" customFormat="1" x14ac:dyDescent="0.2"/>
    <row r="11808" s="689" customFormat="1" x14ac:dyDescent="0.2"/>
    <row r="11809" s="689" customFormat="1" x14ac:dyDescent="0.2"/>
    <row r="11810" s="689" customFormat="1" x14ac:dyDescent="0.2"/>
    <row r="11811" s="689" customFormat="1" x14ac:dyDescent="0.2"/>
    <row r="11812" s="689" customFormat="1" x14ac:dyDescent="0.2"/>
    <row r="11813" s="689" customFormat="1" x14ac:dyDescent="0.2"/>
    <row r="11814" s="689" customFormat="1" x14ac:dyDescent="0.2"/>
    <row r="11815" s="689" customFormat="1" x14ac:dyDescent="0.2"/>
    <row r="11816" s="689" customFormat="1" x14ac:dyDescent="0.2"/>
    <row r="11817" s="689" customFormat="1" x14ac:dyDescent="0.2"/>
    <row r="11818" s="689" customFormat="1" x14ac:dyDescent="0.2"/>
    <row r="11819" s="689" customFormat="1" x14ac:dyDescent="0.2"/>
    <row r="11820" s="689" customFormat="1" x14ac:dyDescent="0.2"/>
    <row r="11821" s="689" customFormat="1" x14ac:dyDescent="0.2"/>
    <row r="11822" s="689" customFormat="1" x14ac:dyDescent="0.2"/>
    <row r="11823" s="689" customFormat="1" x14ac:dyDescent="0.2"/>
    <row r="11824" s="689" customFormat="1" x14ac:dyDescent="0.2"/>
    <row r="11825" s="689" customFormat="1" x14ac:dyDescent="0.2"/>
    <row r="11826" s="689" customFormat="1" x14ac:dyDescent="0.2"/>
    <row r="11827" s="689" customFormat="1" x14ac:dyDescent="0.2"/>
    <row r="11828" s="689" customFormat="1" x14ac:dyDescent="0.2"/>
    <row r="11829" s="689" customFormat="1" x14ac:dyDescent="0.2"/>
    <row r="11830" s="689" customFormat="1" x14ac:dyDescent="0.2"/>
    <row r="11831" s="689" customFormat="1" x14ac:dyDescent="0.2"/>
    <row r="11832" s="689" customFormat="1" x14ac:dyDescent="0.2"/>
    <row r="11833" s="689" customFormat="1" x14ac:dyDescent="0.2"/>
    <row r="11834" s="689" customFormat="1" x14ac:dyDescent="0.2"/>
    <row r="11835" s="689" customFormat="1" x14ac:dyDescent="0.2"/>
    <row r="11836" s="689" customFormat="1" x14ac:dyDescent="0.2"/>
    <row r="11837" s="689" customFormat="1" x14ac:dyDescent="0.2"/>
    <row r="11838" s="689" customFormat="1" x14ac:dyDescent="0.2"/>
    <row r="11839" s="689" customFormat="1" x14ac:dyDescent="0.2"/>
    <row r="11840" s="689" customFormat="1" x14ac:dyDescent="0.2"/>
    <row r="11841" s="689" customFormat="1" x14ac:dyDescent="0.2"/>
    <row r="11842" s="689" customFormat="1" x14ac:dyDescent="0.2"/>
    <row r="11843" s="689" customFormat="1" x14ac:dyDescent="0.2"/>
    <row r="11844" s="689" customFormat="1" x14ac:dyDescent="0.2"/>
    <row r="11845" s="689" customFormat="1" x14ac:dyDescent="0.2"/>
    <row r="11846" s="689" customFormat="1" x14ac:dyDescent="0.2"/>
    <row r="11847" s="689" customFormat="1" x14ac:dyDescent="0.2"/>
    <row r="11848" s="689" customFormat="1" x14ac:dyDescent="0.2"/>
    <row r="11849" s="689" customFormat="1" x14ac:dyDescent="0.2"/>
    <row r="11850" s="689" customFormat="1" x14ac:dyDescent="0.2"/>
    <row r="11851" s="689" customFormat="1" x14ac:dyDescent="0.2"/>
    <row r="11852" s="689" customFormat="1" x14ac:dyDescent="0.2"/>
    <row r="11853" s="689" customFormat="1" x14ac:dyDescent="0.2"/>
    <row r="11854" s="689" customFormat="1" x14ac:dyDescent="0.2"/>
    <row r="11855" s="689" customFormat="1" x14ac:dyDescent="0.2"/>
    <row r="11856" s="689" customFormat="1" x14ac:dyDescent="0.2"/>
    <row r="11857" s="689" customFormat="1" x14ac:dyDescent="0.2"/>
    <row r="11858" s="689" customFormat="1" x14ac:dyDescent="0.2"/>
    <row r="11859" s="689" customFormat="1" x14ac:dyDescent="0.2"/>
    <row r="11860" s="689" customFormat="1" x14ac:dyDescent="0.2"/>
    <row r="11861" s="689" customFormat="1" x14ac:dyDescent="0.2"/>
    <row r="11862" s="689" customFormat="1" x14ac:dyDescent="0.2"/>
    <row r="11863" s="689" customFormat="1" x14ac:dyDescent="0.2"/>
    <row r="11864" s="689" customFormat="1" x14ac:dyDescent="0.2"/>
    <row r="11865" s="689" customFormat="1" x14ac:dyDescent="0.2"/>
    <row r="11866" s="689" customFormat="1" x14ac:dyDescent="0.2"/>
    <row r="11867" s="689" customFormat="1" x14ac:dyDescent="0.2"/>
    <row r="11868" s="689" customFormat="1" x14ac:dyDescent="0.2"/>
    <row r="11869" s="689" customFormat="1" x14ac:dyDescent="0.2"/>
    <row r="11870" s="689" customFormat="1" x14ac:dyDescent="0.2"/>
    <row r="11871" s="689" customFormat="1" x14ac:dyDescent="0.2"/>
    <row r="11872" s="689" customFormat="1" x14ac:dyDescent="0.2"/>
    <row r="11873" s="689" customFormat="1" x14ac:dyDescent="0.2"/>
    <row r="11874" s="689" customFormat="1" x14ac:dyDescent="0.2"/>
    <row r="11875" s="689" customFormat="1" x14ac:dyDescent="0.2"/>
    <row r="11876" s="689" customFormat="1" x14ac:dyDescent="0.2"/>
    <row r="11877" s="689" customFormat="1" x14ac:dyDescent="0.2"/>
    <row r="11878" s="689" customFormat="1" x14ac:dyDescent="0.2"/>
    <row r="11879" s="689" customFormat="1" x14ac:dyDescent="0.2"/>
    <row r="11880" s="689" customFormat="1" x14ac:dyDescent="0.2"/>
    <row r="11881" s="689" customFormat="1" x14ac:dyDescent="0.2"/>
    <row r="11882" s="689" customFormat="1" x14ac:dyDescent="0.2"/>
    <row r="11883" s="689" customFormat="1" x14ac:dyDescent="0.2"/>
    <row r="11884" s="689" customFormat="1" x14ac:dyDescent="0.2"/>
    <row r="11885" s="689" customFormat="1" x14ac:dyDescent="0.2"/>
    <row r="11886" s="689" customFormat="1" x14ac:dyDescent="0.2"/>
    <row r="11887" s="689" customFormat="1" x14ac:dyDescent="0.2"/>
    <row r="11888" s="689" customFormat="1" x14ac:dyDescent="0.2"/>
    <row r="11889" s="689" customFormat="1" x14ac:dyDescent="0.2"/>
    <row r="11890" s="689" customFormat="1" x14ac:dyDescent="0.2"/>
    <row r="11891" s="689" customFormat="1" x14ac:dyDescent="0.2"/>
    <row r="11892" s="689" customFormat="1" x14ac:dyDescent="0.2"/>
    <row r="11893" s="689" customFormat="1" x14ac:dyDescent="0.2"/>
    <row r="11894" s="689" customFormat="1" x14ac:dyDescent="0.2"/>
    <row r="11895" s="689" customFormat="1" x14ac:dyDescent="0.2"/>
    <row r="11896" s="689" customFormat="1" x14ac:dyDescent="0.2"/>
    <row r="11897" s="689" customFormat="1" x14ac:dyDescent="0.2"/>
    <row r="11898" s="689" customFormat="1" x14ac:dyDescent="0.2"/>
    <row r="11899" s="689" customFormat="1" x14ac:dyDescent="0.2"/>
    <row r="11900" s="689" customFormat="1" x14ac:dyDescent="0.2"/>
    <row r="11901" s="689" customFormat="1" x14ac:dyDescent="0.2"/>
    <row r="11902" s="689" customFormat="1" x14ac:dyDescent="0.2"/>
    <row r="11903" s="689" customFormat="1" x14ac:dyDescent="0.2"/>
    <row r="11904" s="689" customFormat="1" x14ac:dyDescent="0.2"/>
    <row r="11905" s="689" customFormat="1" x14ac:dyDescent="0.2"/>
    <row r="11906" s="689" customFormat="1" x14ac:dyDescent="0.2"/>
    <row r="11907" s="689" customFormat="1" x14ac:dyDescent="0.2"/>
    <row r="11908" s="689" customFormat="1" x14ac:dyDescent="0.2"/>
    <row r="11909" s="689" customFormat="1" x14ac:dyDescent="0.2"/>
    <row r="11910" s="689" customFormat="1" x14ac:dyDescent="0.2"/>
    <row r="11911" s="689" customFormat="1" x14ac:dyDescent="0.2"/>
    <row r="11912" s="689" customFormat="1" x14ac:dyDescent="0.2"/>
    <row r="11913" s="689" customFormat="1" x14ac:dyDescent="0.2"/>
    <row r="11914" s="689" customFormat="1" x14ac:dyDescent="0.2"/>
    <row r="11915" s="689" customFormat="1" x14ac:dyDescent="0.2"/>
    <row r="11916" s="689" customFormat="1" x14ac:dyDescent="0.2"/>
    <row r="11917" s="689" customFormat="1" x14ac:dyDescent="0.2"/>
    <row r="11918" s="689" customFormat="1" x14ac:dyDescent="0.2"/>
    <row r="11919" s="689" customFormat="1" x14ac:dyDescent="0.2"/>
    <row r="11920" s="689" customFormat="1" x14ac:dyDescent="0.2"/>
    <row r="11921" s="689" customFormat="1" x14ac:dyDescent="0.2"/>
    <row r="11922" s="689" customFormat="1" x14ac:dyDescent="0.2"/>
    <row r="11923" s="689" customFormat="1" x14ac:dyDescent="0.2"/>
    <row r="11924" s="689" customFormat="1" x14ac:dyDescent="0.2"/>
    <row r="11925" s="689" customFormat="1" x14ac:dyDescent="0.2"/>
    <row r="11926" s="689" customFormat="1" x14ac:dyDescent="0.2"/>
    <row r="11927" s="689" customFormat="1" x14ac:dyDescent="0.2"/>
    <row r="11928" s="689" customFormat="1" x14ac:dyDescent="0.2"/>
    <row r="11929" s="689" customFormat="1" x14ac:dyDescent="0.2"/>
    <row r="11930" s="689" customFormat="1" x14ac:dyDescent="0.2"/>
    <row r="11931" s="689" customFormat="1" x14ac:dyDescent="0.2"/>
    <row r="11932" s="689" customFormat="1" x14ac:dyDescent="0.2"/>
    <row r="11933" s="689" customFormat="1" x14ac:dyDescent="0.2"/>
    <row r="11934" s="689" customFormat="1" x14ac:dyDescent="0.2"/>
    <row r="11935" s="689" customFormat="1" x14ac:dyDescent="0.2"/>
    <row r="11936" s="689" customFormat="1" x14ac:dyDescent="0.2"/>
    <row r="11937" s="689" customFormat="1" x14ac:dyDescent="0.2"/>
    <row r="11938" s="689" customFormat="1" x14ac:dyDescent="0.2"/>
    <row r="11939" s="689" customFormat="1" x14ac:dyDescent="0.2"/>
    <row r="11940" s="689" customFormat="1" x14ac:dyDescent="0.2"/>
    <row r="11941" s="689" customFormat="1" x14ac:dyDescent="0.2"/>
    <row r="11942" s="689" customFormat="1" x14ac:dyDescent="0.2"/>
    <row r="11943" s="689" customFormat="1" x14ac:dyDescent="0.2"/>
    <row r="11944" s="689" customFormat="1" x14ac:dyDescent="0.2"/>
    <row r="11945" s="689" customFormat="1" x14ac:dyDescent="0.2"/>
    <row r="11946" s="689" customFormat="1" x14ac:dyDescent="0.2"/>
    <row r="11947" s="689" customFormat="1" x14ac:dyDescent="0.2"/>
    <row r="11948" s="689" customFormat="1" x14ac:dyDescent="0.2"/>
    <row r="11949" s="689" customFormat="1" x14ac:dyDescent="0.2"/>
    <row r="11950" s="689" customFormat="1" x14ac:dyDescent="0.2"/>
    <row r="11951" s="689" customFormat="1" x14ac:dyDescent="0.2"/>
    <row r="11952" s="689" customFormat="1" x14ac:dyDescent="0.2"/>
    <row r="11953" s="689" customFormat="1" x14ac:dyDescent="0.2"/>
    <row r="11954" s="689" customFormat="1" x14ac:dyDescent="0.2"/>
    <row r="11955" s="689" customFormat="1" x14ac:dyDescent="0.2"/>
    <row r="11956" s="689" customFormat="1" x14ac:dyDescent="0.2"/>
    <row r="11957" s="689" customFormat="1" x14ac:dyDescent="0.2"/>
    <row r="11958" s="689" customFormat="1" x14ac:dyDescent="0.2"/>
    <row r="11959" s="689" customFormat="1" x14ac:dyDescent="0.2"/>
    <row r="11960" s="689" customFormat="1" x14ac:dyDescent="0.2"/>
    <row r="11961" s="689" customFormat="1" x14ac:dyDescent="0.2"/>
    <row r="11962" s="689" customFormat="1" x14ac:dyDescent="0.2"/>
    <row r="11963" s="689" customFormat="1" x14ac:dyDescent="0.2"/>
    <row r="11964" s="689" customFormat="1" x14ac:dyDescent="0.2"/>
    <row r="11965" s="689" customFormat="1" x14ac:dyDescent="0.2"/>
    <row r="11966" s="689" customFormat="1" x14ac:dyDescent="0.2"/>
    <row r="11967" s="689" customFormat="1" x14ac:dyDescent="0.2"/>
    <row r="11968" s="689" customFormat="1" x14ac:dyDescent="0.2"/>
    <row r="11969" s="689" customFormat="1" x14ac:dyDescent="0.2"/>
    <row r="11970" s="689" customFormat="1" x14ac:dyDescent="0.2"/>
    <row r="11971" s="689" customFormat="1" x14ac:dyDescent="0.2"/>
    <row r="11972" s="689" customFormat="1" x14ac:dyDescent="0.2"/>
    <row r="11973" s="689" customFormat="1" x14ac:dyDescent="0.2"/>
    <row r="11974" s="689" customFormat="1" x14ac:dyDescent="0.2"/>
    <row r="11975" s="689" customFormat="1" x14ac:dyDescent="0.2"/>
    <row r="11976" s="689" customFormat="1" x14ac:dyDescent="0.2"/>
    <row r="11977" s="689" customFormat="1" x14ac:dyDescent="0.2"/>
    <row r="11978" s="689" customFormat="1" x14ac:dyDescent="0.2"/>
    <row r="11979" s="689" customFormat="1" x14ac:dyDescent="0.2"/>
    <row r="11980" s="689" customFormat="1" x14ac:dyDescent="0.2"/>
    <row r="11981" s="689" customFormat="1" x14ac:dyDescent="0.2"/>
    <row r="11982" s="689" customFormat="1" x14ac:dyDescent="0.2"/>
    <row r="11983" s="689" customFormat="1" x14ac:dyDescent="0.2"/>
    <row r="11984" s="689" customFormat="1" x14ac:dyDescent="0.2"/>
    <row r="11985" s="689" customFormat="1" x14ac:dyDescent="0.2"/>
    <row r="11986" s="689" customFormat="1" x14ac:dyDescent="0.2"/>
    <row r="11987" s="689" customFormat="1" x14ac:dyDescent="0.2"/>
    <row r="11988" s="689" customFormat="1" x14ac:dyDescent="0.2"/>
    <row r="11989" s="689" customFormat="1" x14ac:dyDescent="0.2"/>
    <row r="11990" s="689" customFormat="1" x14ac:dyDescent="0.2"/>
    <row r="11991" s="689" customFormat="1" x14ac:dyDescent="0.2"/>
    <row r="11992" s="689" customFormat="1" x14ac:dyDescent="0.2"/>
    <row r="11993" s="689" customFormat="1" x14ac:dyDescent="0.2"/>
    <row r="11994" s="689" customFormat="1" x14ac:dyDescent="0.2"/>
    <row r="11995" s="689" customFormat="1" x14ac:dyDescent="0.2"/>
    <row r="11996" s="689" customFormat="1" x14ac:dyDescent="0.2"/>
    <row r="11997" s="689" customFormat="1" x14ac:dyDescent="0.2"/>
    <row r="11998" s="689" customFormat="1" x14ac:dyDescent="0.2"/>
    <row r="11999" s="689" customFormat="1" x14ac:dyDescent="0.2"/>
    <row r="12000" s="689" customFormat="1" x14ac:dyDescent="0.2"/>
    <row r="12001" s="689" customFormat="1" x14ac:dyDescent="0.2"/>
    <row r="12002" s="689" customFormat="1" x14ac:dyDescent="0.2"/>
    <row r="12003" s="689" customFormat="1" x14ac:dyDescent="0.2"/>
    <row r="12004" s="689" customFormat="1" x14ac:dyDescent="0.2"/>
    <row r="12005" s="689" customFormat="1" x14ac:dyDescent="0.2"/>
    <row r="12006" s="689" customFormat="1" x14ac:dyDescent="0.2"/>
    <row r="12007" s="689" customFormat="1" x14ac:dyDescent="0.2"/>
    <row r="12008" s="689" customFormat="1" x14ac:dyDescent="0.2"/>
    <row r="12009" s="689" customFormat="1" x14ac:dyDescent="0.2"/>
    <row r="12010" s="689" customFormat="1" x14ac:dyDescent="0.2"/>
    <row r="12011" s="689" customFormat="1" x14ac:dyDescent="0.2"/>
    <row r="12012" s="689" customFormat="1" x14ac:dyDescent="0.2"/>
    <row r="12013" s="689" customFormat="1" x14ac:dyDescent="0.2"/>
    <row r="12014" s="689" customFormat="1" x14ac:dyDescent="0.2"/>
    <row r="12015" s="689" customFormat="1" x14ac:dyDescent="0.2"/>
    <row r="12016" s="689" customFormat="1" x14ac:dyDescent="0.2"/>
    <row r="12017" s="689" customFormat="1" x14ac:dyDescent="0.2"/>
    <row r="12018" s="689" customFormat="1" x14ac:dyDescent="0.2"/>
    <row r="12019" s="689" customFormat="1" x14ac:dyDescent="0.2"/>
    <row r="12020" s="689" customFormat="1" x14ac:dyDescent="0.2"/>
    <row r="12021" s="689" customFormat="1" x14ac:dyDescent="0.2"/>
    <row r="12022" s="689" customFormat="1" x14ac:dyDescent="0.2"/>
    <row r="12023" s="689" customFormat="1" x14ac:dyDescent="0.2"/>
    <row r="12024" s="689" customFormat="1" x14ac:dyDescent="0.2"/>
    <row r="12025" s="689" customFormat="1" x14ac:dyDescent="0.2"/>
    <row r="12026" s="689" customFormat="1" x14ac:dyDescent="0.2"/>
    <row r="12027" s="689" customFormat="1" x14ac:dyDescent="0.2"/>
    <row r="12028" s="689" customFormat="1" x14ac:dyDescent="0.2"/>
    <row r="12029" s="689" customFormat="1" x14ac:dyDescent="0.2"/>
    <row r="12030" s="689" customFormat="1" x14ac:dyDescent="0.2"/>
    <row r="12031" s="689" customFormat="1" x14ac:dyDescent="0.2"/>
    <row r="12032" s="689" customFormat="1" x14ac:dyDescent="0.2"/>
    <row r="12033" s="689" customFormat="1" x14ac:dyDescent="0.2"/>
    <row r="12034" s="689" customFormat="1" x14ac:dyDescent="0.2"/>
    <row r="12035" s="689" customFormat="1" x14ac:dyDescent="0.2"/>
    <row r="12036" s="689" customFormat="1" x14ac:dyDescent="0.2"/>
    <row r="12037" s="689" customFormat="1" x14ac:dyDescent="0.2"/>
    <row r="12038" s="689" customFormat="1" x14ac:dyDescent="0.2"/>
    <row r="12039" s="689" customFormat="1" x14ac:dyDescent="0.2"/>
    <row r="12040" s="689" customFormat="1" x14ac:dyDescent="0.2"/>
    <row r="12041" s="689" customFormat="1" x14ac:dyDescent="0.2"/>
    <row r="12042" s="689" customFormat="1" x14ac:dyDescent="0.2"/>
    <row r="12043" s="689" customFormat="1" x14ac:dyDescent="0.2"/>
    <row r="12044" s="689" customFormat="1" x14ac:dyDescent="0.2"/>
    <row r="12045" s="689" customFormat="1" x14ac:dyDescent="0.2"/>
    <row r="12046" s="689" customFormat="1" x14ac:dyDescent="0.2"/>
    <row r="12047" s="689" customFormat="1" x14ac:dyDescent="0.2"/>
    <row r="12048" s="689" customFormat="1" x14ac:dyDescent="0.2"/>
    <row r="12049" s="689" customFormat="1" x14ac:dyDescent="0.2"/>
    <row r="12050" s="689" customFormat="1" x14ac:dyDescent="0.2"/>
    <row r="12051" s="689" customFormat="1" x14ac:dyDescent="0.2"/>
    <row r="12052" s="689" customFormat="1" x14ac:dyDescent="0.2"/>
    <row r="12053" s="689" customFormat="1" x14ac:dyDescent="0.2"/>
    <row r="12054" s="689" customFormat="1" x14ac:dyDescent="0.2"/>
    <row r="12055" s="689" customFormat="1" x14ac:dyDescent="0.2"/>
    <row r="12056" s="689" customFormat="1" x14ac:dyDescent="0.2"/>
    <row r="12057" s="689" customFormat="1" x14ac:dyDescent="0.2"/>
    <row r="12058" s="689" customFormat="1" x14ac:dyDescent="0.2"/>
    <row r="12059" s="689" customFormat="1" x14ac:dyDescent="0.2"/>
    <row r="12060" s="689" customFormat="1" x14ac:dyDescent="0.2"/>
    <row r="12061" s="689" customFormat="1" x14ac:dyDescent="0.2"/>
    <row r="12062" s="689" customFormat="1" x14ac:dyDescent="0.2"/>
    <row r="12063" s="689" customFormat="1" x14ac:dyDescent="0.2"/>
    <row r="12064" s="689" customFormat="1" x14ac:dyDescent="0.2"/>
    <row r="12065" s="689" customFormat="1" x14ac:dyDescent="0.2"/>
    <row r="12066" s="689" customFormat="1" x14ac:dyDescent="0.2"/>
    <row r="12067" s="689" customFormat="1" x14ac:dyDescent="0.2"/>
    <row r="12068" s="689" customFormat="1" x14ac:dyDescent="0.2"/>
    <row r="12069" s="689" customFormat="1" x14ac:dyDescent="0.2"/>
    <row r="12070" s="689" customFormat="1" x14ac:dyDescent="0.2"/>
    <row r="12071" s="689" customFormat="1" x14ac:dyDescent="0.2"/>
    <row r="12072" s="689" customFormat="1" x14ac:dyDescent="0.2"/>
    <row r="12073" s="689" customFormat="1" x14ac:dyDescent="0.2"/>
    <row r="12074" s="689" customFormat="1" x14ac:dyDescent="0.2"/>
    <row r="12075" s="689" customFormat="1" x14ac:dyDescent="0.2"/>
    <row r="12076" s="689" customFormat="1" x14ac:dyDescent="0.2"/>
    <row r="12077" s="689" customFormat="1" x14ac:dyDescent="0.2"/>
    <row r="12078" s="689" customFormat="1" x14ac:dyDescent="0.2"/>
    <row r="12079" s="689" customFormat="1" x14ac:dyDescent="0.2"/>
    <row r="12080" s="689" customFormat="1" x14ac:dyDescent="0.2"/>
    <row r="12081" s="689" customFormat="1" x14ac:dyDescent="0.2"/>
    <row r="12082" s="689" customFormat="1" x14ac:dyDescent="0.2"/>
    <row r="12083" s="689" customFormat="1" x14ac:dyDescent="0.2"/>
    <row r="12084" s="689" customFormat="1" x14ac:dyDescent="0.2"/>
    <row r="12085" s="689" customFormat="1" x14ac:dyDescent="0.2"/>
    <row r="12086" s="689" customFormat="1" x14ac:dyDescent="0.2"/>
    <row r="12087" s="689" customFormat="1" x14ac:dyDescent="0.2"/>
    <row r="12088" s="689" customFormat="1" x14ac:dyDescent="0.2"/>
    <row r="12089" s="689" customFormat="1" x14ac:dyDescent="0.2"/>
    <row r="12090" s="689" customFormat="1" x14ac:dyDescent="0.2"/>
    <row r="12091" s="689" customFormat="1" x14ac:dyDescent="0.2"/>
    <row r="12092" s="689" customFormat="1" x14ac:dyDescent="0.2"/>
    <row r="12093" s="689" customFormat="1" x14ac:dyDescent="0.2"/>
    <row r="12094" s="689" customFormat="1" x14ac:dyDescent="0.2"/>
    <row r="12095" s="689" customFormat="1" x14ac:dyDescent="0.2"/>
    <row r="12096" s="689" customFormat="1" x14ac:dyDescent="0.2"/>
    <row r="12097" s="689" customFormat="1" x14ac:dyDescent="0.2"/>
    <row r="12098" s="689" customFormat="1" x14ac:dyDescent="0.2"/>
    <row r="12099" s="689" customFormat="1" x14ac:dyDescent="0.2"/>
    <row r="12100" s="689" customFormat="1" x14ac:dyDescent="0.2"/>
    <row r="12101" s="689" customFormat="1" x14ac:dyDescent="0.2"/>
    <row r="12102" s="689" customFormat="1" x14ac:dyDescent="0.2"/>
    <row r="12103" s="689" customFormat="1" x14ac:dyDescent="0.2"/>
    <row r="12104" s="689" customFormat="1" x14ac:dyDescent="0.2"/>
    <row r="12105" s="689" customFormat="1" x14ac:dyDescent="0.2"/>
    <row r="12106" s="689" customFormat="1" x14ac:dyDescent="0.2"/>
    <row r="12107" s="689" customFormat="1" x14ac:dyDescent="0.2"/>
    <row r="12108" s="689" customFormat="1" x14ac:dyDescent="0.2"/>
    <row r="12109" s="689" customFormat="1" x14ac:dyDescent="0.2"/>
    <row r="12110" s="689" customFormat="1" x14ac:dyDescent="0.2"/>
    <row r="12111" s="689" customFormat="1" x14ac:dyDescent="0.2"/>
    <row r="12112" s="689" customFormat="1" x14ac:dyDescent="0.2"/>
    <row r="12113" s="689" customFormat="1" x14ac:dyDescent="0.2"/>
    <row r="12114" s="689" customFormat="1" x14ac:dyDescent="0.2"/>
    <row r="12115" s="689" customFormat="1" x14ac:dyDescent="0.2"/>
    <row r="12116" s="689" customFormat="1" x14ac:dyDescent="0.2"/>
    <row r="12117" s="689" customFormat="1" x14ac:dyDescent="0.2"/>
    <row r="12118" s="689" customFormat="1" x14ac:dyDescent="0.2"/>
    <row r="12119" s="689" customFormat="1" x14ac:dyDescent="0.2"/>
    <row r="12120" s="689" customFormat="1" x14ac:dyDescent="0.2"/>
    <row r="12121" s="689" customFormat="1" x14ac:dyDescent="0.2"/>
    <row r="12122" s="689" customFormat="1" x14ac:dyDescent="0.2"/>
    <row r="12123" s="689" customFormat="1" x14ac:dyDescent="0.2"/>
    <row r="12124" s="689" customFormat="1" x14ac:dyDescent="0.2"/>
    <row r="12125" s="689" customFormat="1" x14ac:dyDescent="0.2"/>
    <row r="12126" s="689" customFormat="1" x14ac:dyDescent="0.2"/>
    <row r="12127" s="689" customFormat="1" x14ac:dyDescent="0.2"/>
    <row r="12128" s="689" customFormat="1" x14ac:dyDescent="0.2"/>
    <row r="12129" s="689" customFormat="1" x14ac:dyDescent="0.2"/>
    <row r="12130" s="689" customFormat="1" x14ac:dyDescent="0.2"/>
    <row r="12131" s="689" customFormat="1" x14ac:dyDescent="0.2"/>
    <row r="12132" s="689" customFormat="1" x14ac:dyDescent="0.2"/>
    <row r="12133" s="689" customFormat="1" x14ac:dyDescent="0.2"/>
    <row r="12134" s="689" customFormat="1" x14ac:dyDescent="0.2"/>
    <row r="12135" s="689" customFormat="1" x14ac:dyDescent="0.2"/>
    <row r="12136" s="689" customFormat="1" x14ac:dyDescent="0.2"/>
    <row r="12137" s="689" customFormat="1" x14ac:dyDescent="0.2"/>
    <row r="12138" s="689" customFormat="1" x14ac:dyDescent="0.2"/>
    <row r="12139" s="689" customFormat="1" x14ac:dyDescent="0.2"/>
    <row r="12140" s="689" customFormat="1" x14ac:dyDescent="0.2"/>
    <row r="12141" s="689" customFormat="1" x14ac:dyDescent="0.2"/>
    <row r="12142" s="689" customFormat="1" x14ac:dyDescent="0.2"/>
    <row r="12143" s="689" customFormat="1" x14ac:dyDescent="0.2"/>
    <row r="12144" s="689" customFormat="1" x14ac:dyDescent="0.2"/>
    <row r="12145" s="689" customFormat="1" x14ac:dyDescent="0.2"/>
    <row r="12146" s="689" customFormat="1" x14ac:dyDescent="0.2"/>
    <row r="12147" s="689" customFormat="1" x14ac:dyDescent="0.2"/>
    <row r="12148" s="689" customFormat="1" x14ac:dyDescent="0.2"/>
    <row r="12149" s="689" customFormat="1" x14ac:dyDescent="0.2"/>
    <row r="12150" s="689" customFormat="1" x14ac:dyDescent="0.2"/>
    <row r="12151" s="689" customFormat="1" x14ac:dyDescent="0.2"/>
    <row r="12152" s="689" customFormat="1" x14ac:dyDescent="0.2"/>
    <row r="12153" s="689" customFormat="1" x14ac:dyDescent="0.2"/>
    <row r="12154" s="689" customFormat="1" x14ac:dyDescent="0.2"/>
    <row r="12155" s="689" customFormat="1" x14ac:dyDescent="0.2"/>
    <row r="12156" s="689" customFormat="1" x14ac:dyDescent="0.2"/>
    <row r="12157" s="689" customFormat="1" x14ac:dyDescent="0.2"/>
    <row r="12158" s="689" customFormat="1" x14ac:dyDescent="0.2"/>
    <row r="12159" s="689" customFormat="1" x14ac:dyDescent="0.2"/>
    <row r="12160" s="689" customFormat="1" x14ac:dyDescent="0.2"/>
    <row r="12161" s="689" customFormat="1" x14ac:dyDescent="0.2"/>
    <row r="12162" s="689" customFormat="1" x14ac:dyDescent="0.2"/>
    <row r="12163" s="689" customFormat="1" x14ac:dyDescent="0.2"/>
    <row r="12164" s="689" customFormat="1" x14ac:dyDescent="0.2"/>
    <row r="12165" s="689" customFormat="1" x14ac:dyDescent="0.2"/>
    <row r="12166" s="689" customFormat="1" x14ac:dyDescent="0.2"/>
    <row r="12167" s="689" customFormat="1" x14ac:dyDescent="0.2"/>
    <row r="12168" s="689" customFormat="1" x14ac:dyDescent="0.2"/>
    <row r="12169" s="689" customFormat="1" x14ac:dyDescent="0.2"/>
    <row r="12170" s="689" customFormat="1" x14ac:dyDescent="0.2"/>
    <row r="12171" s="689" customFormat="1" x14ac:dyDescent="0.2"/>
    <row r="12172" s="689" customFormat="1" x14ac:dyDescent="0.2"/>
    <row r="12173" s="689" customFormat="1" x14ac:dyDescent="0.2"/>
    <row r="12174" s="689" customFormat="1" x14ac:dyDescent="0.2"/>
    <row r="12175" s="689" customFormat="1" x14ac:dyDescent="0.2"/>
    <row r="12176" s="689" customFormat="1" x14ac:dyDescent="0.2"/>
    <row r="12177" s="689" customFormat="1" x14ac:dyDescent="0.2"/>
    <row r="12178" s="689" customFormat="1" x14ac:dyDescent="0.2"/>
    <row r="12179" s="689" customFormat="1" x14ac:dyDescent="0.2"/>
    <row r="12180" s="689" customFormat="1" x14ac:dyDescent="0.2"/>
    <row r="12181" s="689" customFormat="1" x14ac:dyDescent="0.2"/>
    <row r="12182" s="689" customFormat="1" x14ac:dyDescent="0.2"/>
    <row r="12183" s="689" customFormat="1" x14ac:dyDescent="0.2"/>
    <row r="12184" s="689" customFormat="1" x14ac:dyDescent="0.2"/>
    <row r="12185" s="689" customFormat="1" x14ac:dyDescent="0.2"/>
    <row r="12186" s="689" customFormat="1" x14ac:dyDescent="0.2"/>
    <row r="12187" s="689" customFormat="1" x14ac:dyDescent="0.2"/>
    <row r="12188" s="689" customFormat="1" x14ac:dyDescent="0.2"/>
    <row r="12189" s="689" customFormat="1" x14ac:dyDescent="0.2"/>
    <row r="12190" s="689" customFormat="1" x14ac:dyDescent="0.2"/>
    <row r="12191" s="689" customFormat="1" x14ac:dyDescent="0.2"/>
    <row r="12192" s="689" customFormat="1" x14ac:dyDescent="0.2"/>
    <row r="12193" s="689" customFormat="1" x14ac:dyDescent="0.2"/>
    <row r="12194" s="689" customFormat="1" x14ac:dyDescent="0.2"/>
    <row r="12195" s="689" customFormat="1" x14ac:dyDescent="0.2"/>
    <row r="12196" s="689" customFormat="1" x14ac:dyDescent="0.2"/>
    <row r="12197" s="689" customFormat="1" x14ac:dyDescent="0.2"/>
    <row r="12198" s="689" customFormat="1" x14ac:dyDescent="0.2"/>
    <row r="12199" s="689" customFormat="1" x14ac:dyDescent="0.2"/>
    <row r="12200" s="689" customFormat="1" x14ac:dyDescent="0.2"/>
    <row r="12201" s="689" customFormat="1" x14ac:dyDescent="0.2"/>
    <row r="12202" s="689" customFormat="1" x14ac:dyDescent="0.2"/>
    <row r="12203" s="689" customFormat="1" x14ac:dyDescent="0.2"/>
    <row r="12204" s="689" customFormat="1" x14ac:dyDescent="0.2"/>
    <row r="12205" s="689" customFormat="1" x14ac:dyDescent="0.2"/>
    <row r="12206" s="689" customFormat="1" x14ac:dyDescent="0.2"/>
    <row r="12207" s="689" customFormat="1" x14ac:dyDescent="0.2"/>
    <row r="12208" s="689" customFormat="1" x14ac:dyDescent="0.2"/>
    <row r="12209" s="689" customFormat="1" x14ac:dyDescent="0.2"/>
    <row r="12210" s="689" customFormat="1" x14ac:dyDescent="0.2"/>
    <row r="12211" s="689" customFormat="1" x14ac:dyDescent="0.2"/>
    <row r="12212" s="689" customFormat="1" x14ac:dyDescent="0.2"/>
    <row r="12213" s="689" customFormat="1" x14ac:dyDescent="0.2"/>
    <row r="12214" s="689" customFormat="1" x14ac:dyDescent="0.2"/>
    <row r="12215" s="689" customFormat="1" x14ac:dyDescent="0.2"/>
    <row r="12216" s="689" customFormat="1" x14ac:dyDescent="0.2"/>
    <row r="12217" s="689" customFormat="1" x14ac:dyDescent="0.2"/>
    <row r="12218" s="689" customFormat="1" x14ac:dyDescent="0.2"/>
    <row r="12219" s="689" customFormat="1" x14ac:dyDescent="0.2"/>
    <row r="12220" s="689" customFormat="1" x14ac:dyDescent="0.2"/>
    <row r="12221" s="689" customFormat="1" x14ac:dyDescent="0.2"/>
    <row r="12222" s="689" customFormat="1" x14ac:dyDescent="0.2"/>
    <row r="12223" s="689" customFormat="1" x14ac:dyDescent="0.2"/>
    <row r="12224" s="689" customFormat="1" x14ac:dyDescent="0.2"/>
    <row r="12225" s="689" customFormat="1" x14ac:dyDescent="0.2"/>
    <row r="12226" s="689" customFormat="1" x14ac:dyDescent="0.2"/>
    <row r="12227" s="689" customFormat="1" x14ac:dyDescent="0.2"/>
    <row r="12228" s="689" customFormat="1" x14ac:dyDescent="0.2"/>
    <row r="12229" s="689" customFormat="1" x14ac:dyDescent="0.2"/>
    <row r="12230" s="689" customFormat="1" x14ac:dyDescent="0.2"/>
    <row r="12231" s="689" customFormat="1" x14ac:dyDescent="0.2"/>
    <row r="12232" s="689" customFormat="1" x14ac:dyDescent="0.2"/>
    <row r="12233" s="689" customFormat="1" x14ac:dyDescent="0.2"/>
    <row r="12234" s="689" customFormat="1" x14ac:dyDescent="0.2"/>
    <row r="12235" s="689" customFormat="1" x14ac:dyDescent="0.2"/>
    <row r="12236" s="689" customFormat="1" x14ac:dyDescent="0.2"/>
    <row r="12237" s="689" customFormat="1" x14ac:dyDescent="0.2"/>
    <row r="12238" s="689" customFormat="1" x14ac:dyDescent="0.2"/>
    <row r="12239" s="689" customFormat="1" x14ac:dyDescent="0.2"/>
    <row r="12240" s="689" customFormat="1" x14ac:dyDescent="0.2"/>
    <row r="12241" s="689" customFormat="1" x14ac:dyDescent="0.2"/>
    <row r="12242" s="689" customFormat="1" x14ac:dyDescent="0.2"/>
    <row r="12243" s="689" customFormat="1" x14ac:dyDescent="0.2"/>
    <row r="12244" s="689" customFormat="1" x14ac:dyDescent="0.2"/>
    <row r="12245" s="689" customFormat="1" x14ac:dyDescent="0.2"/>
    <row r="12246" s="689" customFormat="1" x14ac:dyDescent="0.2"/>
    <row r="12247" s="689" customFormat="1" x14ac:dyDescent="0.2"/>
    <row r="12248" s="689" customFormat="1" x14ac:dyDescent="0.2"/>
    <row r="12249" s="689" customFormat="1" x14ac:dyDescent="0.2"/>
    <row r="12250" s="689" customFormat="1" x14ac:dyDescent="0.2"/>
    <row r="12251" s="689" customFormat="1" x14ac:dyDescent="0.2"/>
    <row r="12252" s="689" customFormat="1" x14ac:dyDescent="0.2"/>
    <row r="12253" s="689" customFormat="1" x14ac:dyDescent="0.2"/>
    <row r="12254" s="689" customFormat="1" x14ac:dyDescent="0.2"/>
    <row r="12255" s="689" customFormat="1" x14ac:dyDescent="0.2"/>
    <row r="12256" s="689" customFormat="1" x14ac:dyDescent="0.2"/>
    <row r="12257" s="689" customFormat="1" x14ac:dyDescent="0.2"/>
    <row r="12258" s="689" customFormat="1" x14ac:dyDescent="0.2"/>
    <row r="12259" s="689" customFormat="1" x14ac:dyDescent="0.2"/>
    <row r="12260" s="689" customFormat="1" x14ac:dyDescent="0.2"/>
    <row r="12261" s="689" customFormat="1" x14ac:dyDescent="0.2"/>
    <row r="12262" s="689" customFormat="1" x14ac:dyDescent="0.2"/>
    <row r="12263" s="689" customFormat="1" x14ac:dyDescent="0.2"/>
    <row r="12264" s="689" customFormat="1" x14ac:dyDescent="0.2"/>
    <row r="12265" s="689" customFormat="1" x14ac:dyDescent="0.2"/>
    <row r="12266" s="689" customFormat="1" x14ac:dyDescent="0.2"/>
    <row r="12267" s="689" customFormat="1" x14ac:dyDescent="0.2"/>
    <row r="12268" s="689" customFormat="1" x14ac:dyDescent="0.2"/>
    <row r="12269" s="689" customFormat="1" x14ac:dyDescent="0.2"/>
    <row r="12270" s="689" customFormat="1" x14ac:dyDescent="0.2"/>
    <row r="12271" s="689" customFormat="1" x14ac:dyDescent="0.2"/>
    <row r="12272" s="689" customFormat="1" x14ac:dyDescent="0.2"/>
    <row r="12273" s="689" customFormat="1" x14ac:dyDescent="0.2"/>
    <row r="12274" s="689" customFormat="1" x14ac:dyDescent="0.2"/>
    <row r="12275" s="689" customFormat="1" x14ac:dyDescent="0.2"/>
    <row r="12276" s="689" customFormat="1" x14ac:dyDescent="0.2"/>
    <row r="12277" s="689" customFormat="1" x14ac:dyDescent="0.2"/>
    <row r="12278" s="689" customFormat="1" x14ac:dyDescent="0.2"/>
    <row r="12279" s="689" customFormat="1" x14ac:dyDescent="0.2"/>
    <row r="12280" s="689" customFormat="1" x14ac:dyDescent="0.2"/>
    <row r="12281" s="689" customFormat="1" x14ac:dyDescent="0.2"/>
    <row r="12282" s="689" customFormat="1" x14ac:dyDescent="0.2"/>
    <row r="12283" s="689" customFormat="1" x14ac:dyDescent="0.2"/>
    <row r="12284" s="689" customFormat="1" x14ac:dyDescent="0.2"/>
    <row r="12285" s="689" customFormat="1" x14ac:dyDescent="0.2"/>
    <row r="12286" s="689" customFormat="1" x14ac:dyDescent="0.2"/>
    <row r="12287" s="689" customFormat="1" x14ac:dyDescent="0.2"/>
    <row r="12288" s="689" customFormat="1" x14ac:dyDescent="0.2"/>
    <row r="12289" s="689" customFormat="1" x14ac:dyDescent="0.2"/>
    <row r="12290" s="689" customFormat="1" x14ac:dyDescent="0.2"/>
    <row r="12291" s="689" customFormat="1" x14ac:dyDescent="0.2"/>
    <row r="12292" s="689" customFormat="1" x14ac:dyDescent="0.2"/>
    <row r="12293" s="689" customFormat="1" x14ac:dyDescent="0.2"/>
    <row r="12294" s="689" customFormat="1" x14ac:dyDescent="0.2"/>
    <row r="12295" s="689" customFormat="1" x14ac:dyDescent="0.2"/>
    <row r="12296" s="689" customFormat="1" x14ac:dyDescent="0.2"/>
    <row r="12297" s="689" customFormat="1" x14ac:dyDescent="0.2"/>
    <row r="12298" s="689" customFormat="1" x14ac:dyDescent="0.2"/>
    <row r="12299" s="689" customFormat="1" x14ac:dyDescent="0.2"/>
    <row r="12300" s="689" customFormat="1" x14ac:dyDescent="0.2"/>
    <row r="12301" s="689" customFormat="1" x14ac:dyDescent="0.2"/>
    <row r="12302" s="689" customFormat="1" x14ac:dyDescent="0.2"/>
    <row r="12303" s="689" customFormat="1" x14ac:dyDescent="0.2"/>
    <row r="12304" s="689" customFormat="1" x14ac:dyDescent="0.2"/>
    <row r="12305" s="689" customFormat="1" x14ac:dyDescent="0.2"/>
    <row r="12306" s="689" customFormat="1" x14ac:dyDescent="0.2"/>
    <row r="12307" s="689" customFormat="1" x14ac:dyDescent="0.2"/>
    <row r="12308" s="689" customFormat="1" x14ac:dyDescent="0.2"/>
    <row r="12309" s="689" customFormat="1" x14ac:dyDescent="0.2"/>
    <row r="12310" s="689" customFormat="1" x14ac:dyDescent="0.2"/>
    <row r="12311" s="689" customFormat="1" x14ac:dyDescent="0.2"/>
    <row r="12312" s="689" customFormat="1" x14ac:dyDescent="0.2"/>
    <row r="12313" s="689" customFormat="1" x14ac:dyDescent="0.2"/>
    <row r="12314" s="689" customFormat="1" x14ac:dyDescent="0.2"/>
    <row r="12315" s="689" customFormat="1" x14ac:dyDescent="0.2"/>
    <row r="12316" s="689" customFormat="1" x14ac:dyDescent="0.2"/>
    <row r="12317" s="689" customFormat="1" x14ac:dyDescent="0.2"/>
    <row r="12318" s="689" customFormat="1" x14ac:dyDescent="0.2"/>
    <row r="12319" s="689" customFormat="1" x14ac:dyDescent="0.2"/>
    <row r="12320" s="689" customFormat="1" x14ac:dyDescent="0.2"/>
    <row r="12321" s="689" customFormat="1" x14ac:dyDescent="0.2"/>
    <row r="12322" s="689" customFormat="1" x14ac:dyDescent="0.2"/>
    <row r="12323" s="689" customFormat="1" x14ac:dyDescent="0.2"/>
    <row r="12324" s="689" customFormat="1" x14ac:dyDescent="0.2"/>
    <row r="12325" s="689" customFormat="1" x14ac:dyDescent="0.2"/>
    <row r="12326" s="689" customFormat="1" x14ac:dyDescent="0.2"/>
    <row r="12327" s="689" customFormat="1" x14ac:dyDescent="0.2"/>
    <row r="12328" s="689" customFormat="1" x14ac:dyDescent="0.2"/>
    <row r="12329" s="689" customFormat="1" x14ac:dyDescent="0.2"/>
    <row r="12330" s="689" customFormat="1" x14ac:dyDescent="0.2"/>
    <row r="12331" s="689" customFormat="1" x14ac:dyDescent="0.2"/>
    <row r="12332" s="689" customFormat="1" x14ac:dyDescent="0.2"/>
    <row r="12333" s="689" customFormat="1" x14ac:dyDescent="0.2"/>
    <row r="12334" s="689" customFormat="1" x14ac:dyDescent="0.2"/>
    <row r="12335" s="689" customFormat="1" x14ac:dyDescent="0.2"/>
    <row r="12336" s="689" customFormat="1" x14ac:dyDescent="0.2"/>
    <row r="12337" s="689" customFormat="1" x14ac:dyDescent="0.2"/>
    <row r="12338" s="689" customFormat="1" x14ac:dyDescent="0.2"/>
    <row r="12339" s="689" customFormat="1" x14ac:dyDescent="0.2"/>
    <row r="12340" s="689" customFormat="1" x14ac:dyDescent="0.2"/>
    <row r="12341" s="689" customFormat="1" x14ac:dyDescent="0.2"/>
    <row r="12342" s="689" customFormat="1" x14ac:dyDescent="0.2"/>
    <row r="12343" s="689" customFormat="1" x14ac:dyDescent="0.2"/>
    <row r="12344" s="689" customFormat="1" x14ac:dyDescent="0.2"/>
    <row r="12345" s="689" customFormat="1" x14ac:dyDescent="0.2"/>
    <row r="12346" s="689" customFormat="1" x14ac:dyDescent="0.2"/>
    <row r="12347" s="689" customFormat="1" x14ac:dyDescent="0.2"/>
    <row r="12348" s="689" customFormat="1" x14ac:dyDescent="0.2"/>
    <row r="12349" s="689" customFormat="1" x14ac:dyDescent="0.2"/>
    <row r="12350" s="689" customFormat="1" x14ac:dyDescent="0.2"/>
    <row r="12351" s="689" customFormat="1" x14ac:dyDescent="0.2"/>
    <row r="12352" s="689" customFormat="1" x14ac:dyDescent="0.2"/>
    <row r="12353" s="689" customFormat="1" x14ac:dyDescent="0.2"/>
    <row r="12354" s="689" customFormat="1" x14ac:dyDescent="0.2"/>
    <row r="12355" s="689" customFormat="1" x14ac:dyDescent="0.2"/>
    <row r="12356" s="689" customFormat="1" x14ac:dyDescent="0.2"/>
    <row r="12357" s="689" customFormat="1" x14ac:dyDescent="0.2"/>
    <row r="12358" s="689" customFormat="1" x14ac:dyDescent="0.2"/>
    <row r="12359" s="689" customFormat="1" x14ac:dyDescent="0.2"/>
    <row r="12360" s="689" customFormat="1" x14ac:dyDescent="0.2"/>
    <row r="12361" s="689" customFormat="1" x14ac:dyDescent="0.2"/>
    <row r="12362" s="689" customFormat="1" x14ac:dyDescent="0.2"/>
    <row r="12363" s="689" customFormat="1" x14ac:dyDescent="0.2"/>
    <row r="12364" s="689" customFormat="1" x14ac:dyDescent="0.2"/>
    <row r="12365" s="689" customFormat="1" x14ac:dyDescent="0.2"/>
    <row r="12366" s="689" customFormat="1" x14ac:dyDescent="0.2"/>
    <row r="12367" s="689" customFormat="1" x14ac:dyDescent="0.2"/>
    <row r="12368" s="689" customFormat="1" x14ac:dyDescent="0.2"/>
    <row r="12369" s="689" customFormat="1" x14ac:dyDescent="0.2"/>
    <row r="12370" s="689" customFormat="1" x14ac:dyDescent="0.2"/>
    <row r="12371" s="689" customFormat="1" x14ac:dyDescent="0.2"/>
    <row r="12372" s="689" customFormat="1" x14ac:dyDescent="0.2"/>
    <row r="12373" s="689" customFormat="1" x14ac:dyDescent="0.2"/>
    <row r="12374" s="689" customFormat="1" x14ac:dyDescent="0.2"/>
    <row r="12375" s="689" customFormat="1" x14ac:dyDescent="0.2"/>
    <row r="12376" s="689" customFormat="1" x14ac:dyDescent="0.2"/>
    <row r="12377" s="689" customFormat="1" x14ac:dyDescent="0.2"/>
    <row r="12378" s="689" customFormat="1" x14ac:dyDescent="0.2"/>
    <row r="12379" s="689" customFormat="1" x14ac:dyDescent="0.2"/>
    <row r="12380" s="689" customFormat="1" x14ac:dyDescent="0.2"/>
    <row r="12381" s="689" customFormat="1" x14ac:dyDescent="0.2"/>
    <row r="12382" s="689" customFormat="1" x14ac:dyDescent="0.2"/>
    <row r="12383" s="689" customFormat="1" x14ac:dyDescent="0.2"/>
    <row r="12384" s="689" customFormat="1" x14ac:dyDescent="0.2"/>
    <row r="12385" s="689" customFormat="1" x14ac:dyDescent="0.2"/>
    <row r="12386" s="689" customFormat="1" x14ac:dyDescent="0.2"/>
    <row r="12387" s="689" customFormat="1" x14ac:dyDescent="0.2"/>
    <row r="12388" s="689" customFormat="1" x14ac:dyDescent="0.2"/>
    <row r="12389" s="689" customFormat="1" x14ac:dyDescent="0.2"/>
    <row r="12390" s="689" customFormat="1" x14ac:dyDescent="0.2"/>
    <row r="12391" s="689" customFormat="1" x14ac:dyDescent="0.2"/>
    <row r="12392" s="689" customFormat="1" x14ac:dyDescent="0.2"/>
    <row r="12393" s="689" customFormat="1" x14ac:dyDescent="0.2"/>
    <row r="12394" s="689" customFormat="1" x14ac:dyDescent="0.2"/>
    <row r="12395" s="689" customFormat="1" x14ac:dyDescent="0.2"/>
    <row r="12396" s="689" customFormat="1" x14ac:dyDescent="0.2"/>
    <row r="12397" s="689" customFormat="1" x14ac:dyDescent="0.2"/>
    <row r="12398" s="689" customFormat="1" x14ac:dyDescent="0.2"/>
    <row r="12399" s="689" customFormat="1" x14ac:dyDescent="0.2"/>
    <row r="12400" s="689" customFormat="1" x14ac:dyDescent="0.2"/>
    <row r="12401" s="689" customFormat="1" x14ac:dyDescent="0.2"/>
    <row r="12402" s="689" customFormat="1" x14ac:dyDescent="0.2"/>
    <row r="12403" s="689" customFormat="1" x14ac:dyDescent="0.2"/>
    <row r="12404" s="689" customFormat="1" x14ac:dyDescent="0.2"/>
    <row r="12405" s="689" customFormat="1" x14ac:dyDescent="0.2"/>
    <row r="12406" s="689" customFormat="1" x14ac:dyDescent="0.2"/>
    <row r="12407" s="689" customFormat="1" x14ac:dyDescent="0.2"/>
    <row r="12408" s="689" customFormat="1" x14ac:dyDescent="0.2"/>
    <row r="12409" s="689" customFormat="1" x14ac:dyDescent="0.2"/>
    <row r="12410" s="689" customFormat="1" x14ac:dyDescent="0.2"/>
    <row r="12411" s="689" customFormat="1" x14ac:dyDescent="0.2"/>
    <row r="12412" s="689" customFormat="1" x14ac:dyDescent="0.2"/>
    <row r="12413" s="689" customFormat="1" x14ac:dyDescent="0.2"/>
    <row r="12414" s="689" customFormat="1" x14ac:dyDescent="0.2"/>
    <row r="12415" s="689" customFormat="1" x14ac:dyDescent="0.2"/>
    <row r="12416" s="689" customFormat="1" x14ac:dyDescent="0.2"/>
    <row r="12417" s="689" customFormat="1" x14ac:dyDescent="0.2"/>
    <row r="12418" s="689" customFormat="1" x14ac:dyDescent="0.2"/>
    <row r="12419" s="689" customFormat="1" x14ac:dyDescent="0.2"/>
    <row r="12420" s="689" customFormat="1" x14ac:dyDescent="0.2"/>
    <row r="12421" s="689" customFormat="1" x14ac:dyDescent="0.2"/>
    <row r="12422" s="689" customFormat="1" x14ac:dyDescent="0.2"/>
    <row r="12423" s="689" customFormat="1" x14ac:dyDescent="0.2"/>
    <row r="12424" s="689" customFormat="1" x14ac:dyDescent="0.2"/>
    <row r="12425" s="689" customFormat="1" x14ac:dyDescent="0.2"/>
    <row r="12426" s="689" customFormat="1" x14ac:dyDescent="0.2"/>
    <row r="12427" s="689" customFormat="1" x14ac:dyDescent="0.2"/>
    <row r="12428" s="689" customFormat="1" x14ac:dyDescent="0.2"/>
    <row r="12429" s="689" customFormat="1" x14ac:dyDescent="0.2"/>
    <row r="12430" s="689" customFormat="1" x14ac:dyDescent="0.2"/>
    <row r="12431" s="689" customFormat="1" x14ac:dyDescent="0.2"/>
    <row r="12432" s="689" customFormat="1" x14ac:dyDescent="0.2"/>
    <row r="12433" s="689" customFormat="1" x14ac:dyDescent="0.2"/>
    <row r="12434" s="689" customFormat="1" x14ac:dyDescent="0.2"/>
    <row r="12435" s="689" customFormat="1" x14ac:dyDescent="0.2"/>
    <row r="12436" s="689" customFormat="1" x14ac:dyDescent="0.2"/>
    <row r="12437" s="689" customFormat="1" x14ac:dyDescent="0.2"/>
    <row r="12438" s="689" customFormat="1" x14ac:dyDescent="0.2"/>
    <row r="12439" s="689" customFormat="1" x14ac:dyDescent="0.2"/>
    <row r="12440" s="689" customFormat="1" x14ac:dyDescent="0.2"/>
    <row r="12441" s="689" customFormat="1" x14ac:dyDescent="0.2"/>
    <row r="12442" s="689" customFormat="1" x14ac:dyDescent="0.2"/>
    <row r="12443" s="689" customFormat="1" x14ac:dyDescent="0.2"/>
    <row r="12444" s="689" customFormat="1" x14ac:dyDescent="0.2"/>
    <row r="12445" s="689" customFormat="1" x14ac:dyDescent="0.2"/>
    <row r="12446" s="689" customFormat="1" x14ac:dyDescent="0.2"/>
    <row r="12447" s="689" customFormat="1" x14ac:dyDescent="0.2"/>
    <row r="12448" s="689" customFormat="1" x14ac:dyDescent="0.2"/>
    <row r="12449" s="689" customFormat="1" x14ac:dyDescent="0.2"/>
    <row r="12450" s="689" customFormat="1" x14ac:dyDescent="0.2"/>
    <row r="12451" s="689" customFormat="1" x14ac:dyDescent="0.2"/>
    <row r="12452" s="689" customFormat="1" x14ac:dyDescent="0.2"/>
    <row r="12453" s="689" customFormat="1" x14ac:dyDescent="0.2"/>
    <row r="12454" s="689" customFormat="1" x14ac:dyDescent="0.2"/>
    <row r="12455" s="689" customFormat="1" x14ac:dyDescent="0.2"/>
    <row r="12456" s="689" customFormat="1" x14ac:dyDescent="0.2"/>
    <row r="12457" s="689" customFormat="1" x14ac:dyDescent="0.2"/>
    <row r="12458" s="689" customFormat="1" x14ac:dyDescent="0.2"/>
    <row r="12459" s="689" customFormat="1" x14ac:dyDescent="0.2"/>
    <row r="12460" s="689" customFormat="1" x14ac:dyDescent="0.2"/>
    <row r="12461" s="689" customFormat="1" x14ac:dyDescent="0.2"/>
    <row r="12462" s="689" customFormat="1" x14ac:dyDescent="0.2"/>
    <row r="12463" s="689" customFormat="1" x14ac:dyDescent="0.2"/>
    <row r="12464" s="689" customFormat="1" x14ac:dyDescent="0.2"/>
    <row r="12465" s="689" customFormat="1" x14ac:dyDescent="0.2"/>
    <row r="12466" s="689" customFormat="1" x14ac:dyDescent="0.2"/>
    <row r="12467" s="689" customFormat="1" x14ac:dyDescent="0.2"/>
    <row r="12468" s="689" customFormat="1" x14ac:dyDescent="0.2"/>
    <row r="12469" s="689" customFormat="1" x14ac:dyDescent="0.2"/>
    <row r="12470" s="689" customFormat="1" x14ac:dyDescent="0.2"/>
    <row r="12471" s="689" customFormat="1" x14ac:dyDescent="0.2"/>
    <row r="12472" s="689" customFormat="1" x14ac:dyDescent="0.2"/>
    <row r="12473" s="689" customFormat="1" x14ac:dyDescent="0.2"/>
    <row r="12474" s="689" customFormat="1" x14ac:dyDescent="0.2"/>
    <row r="12475" s="689" customFormat="1" x14ac:dyDescent="0.2"/>
    <row r="12476" s="689" customFormat="1" x14ac:dyDescent="0.2"/>
    <row r="12477" s="689" customFormat="1" x14ac:dyDescent="0.2"/>
    <row r="12478" s="689" customFormat="1" x14ac:dyDescent="0.2"/>
    <row r="12479" s="689" customFormat="1" x14ac:dyDescent="0.2"/>
    <row r="12480" s="689" customFormat="1" x14ac:dyDescent="0.2"/>
    <row r="12481" s="689" customFormat="1" x14ac:dyDescent="0.2"/>
    <row r="12482" s="689" customFormat="1" x14ac:dyDescent="0.2"/>
    <row r="12483" s="689" customFormat="1" x14ac:dyDescent="0.2"/>
    <row r="12484" s="689" customFormat="1" x14ac:dyDescent="0.2"/>
    <row r="12485" s="689" customFormat="1" x14ac:dyDescent="0.2"/>
    <row r="12486" s="689" customFormat="1" x14ac:dyDescent="0.2"/>
    <row r="12487" s="689" customFormat="1" x14ac:dyDescent="0.2"/>
    <row r="12488" s="689" customFormat="1" x14ac:dyDescent="0.2"/>
    <row r="12489" s="689" customFormat="1" x14ac:dyDescent="0.2"/>
    <row r="12490" s="689" customFormat="1" x14ac:dyDescent="0.2"/>
    <row r="12491" s="689" customFormat="1" x14ac:dyDescent="0.2"/>
    <row r="12492" s="689" customFormat="1" x14ac:dyDescent="0.2"/>
    <row r="12493" s="689" customFormat="1" x14ac:dyDescent="0.2"/>
    <row r="12494" s="689" customFormat="1" x14ac:dyDescent="0.2"/>
    <row r="12495" s="689" customFormat="1" x14ac:dyDescent="0.2"/>
    <row r="12496" s="689" customFormat="1" x14ac:dyDescent="0.2"/>
    <row r="12497" s="689" customFormat="1" x14ac:dyDescent="0.2"/>
    <row r="12498" s="689" customFormat="1" x14ac:dyDescent="0.2"/>
    <row r="12499" s="689" customFormat="1" x14ac:dyDescent="0.2"/>
    <row r="12500" s="689" customFormat="1" x14ac:dyDescent="0.2"/>
    <row r="12501" s="689" customFormat="1" x14ac:dyDescent="0.2"/>
    <row r="12502" s="689" customFormat="1" x14ac:dyDescent="0.2"/>
    <row r="12503" s="689" customFormat="1" x14ac:dyDescent="0.2"/>
    <row r="12504" s="689" customFormat="1" x14ac:dyDescent="0.2"/>
    <row r="12505" s="689" customFormat="1" x14ac:dyDescent="0.2"/>
    <row r="12506" s="689" customFormat="1" x14ac:dyDescent="0.2"/>
    <row r="12507" s="689" customFormat="1" x14ac:dyDescent="0.2"/>
    <row r="12508" s="689" customFormat="1" x14ac:dyDescent="0.2"/>
    <row r="12509" s="689" customFormat="1" x14ac:dyDescent="0.2"/>
    <row r="12510" s="689" customFormat="1" x14ac:dyDescent="0.2"/>
    <row r="12511" s="689" customFormat="1" x14ac:dyDescent="0.2"/>
    <row r="12512" s="689" customFormat="1" x14ac:dyDescent="0.2"/>
    <row r="12513" s="689" customFormat="1" x14ac:dyDescent="0.2"/>
    <row r="12514" s="689" customFormat="1" x14ac:dyDescent="0.2"/>
    <row r="12515" s="689" customFormat="1" x14ac:dyDescent="0.2"/>
    <row r="12516" s="689" customFormat="1" x14ac:dyDescent="0.2"/>
    <row r="12517" s="689" customFormat="1" x14ac:dyDescent="0.2"/>
    <row r="12518" s="689" customFormat="1" x14ac:dyDescent="0.2"/>
    <row r="12519" s="689" customFormat="1" x14ac:dyDescent="0.2"/>
    <row r="12520" s="689" customFormat="1" x14ac:dyDescent="0.2"/>
    <row r="12521" s="689" customFormat="1" x14ac:dyDescent="0.2"/>
    <row r="12522" s="689" customFormat="1" x14ac:dyDescent="0.2"/>
    <row r="12523" s="689" customFormat="1" x14ac:dyDescent="0.2"/>
    <row r="12524" s="689" customFormat="1" x14ac:dyDescent="0.2"/>
    <row r="12525" s="689" customFormat="1" x14ac:dyDescent="0.2"/>
    <row r="12526" s="689" customFormat="1" x14ac:dyDescent="0.2"/>
    <row r="12527" s="689" customFormat="1" x14ac:dyDescent="0.2"/>
    <row r="12528" s="689" customFormat="1" x14ac:dyDescent="0.2"/>
    <row r="12529" s="689" customFormat="1" x14ac:dyDescent="0.2"/>
    <row r="12530" s="689" customFormat="1" x14ac:dyDescent="0.2"/>
    <row r="12531" s="689" customFormat="1" x14ac:dyDescent="0.2"/>
    <row r="12532" s="689" customFormat="1" x14ac:dyDescent="0.2"/>
    <row r="12533" s="689" customFormat="1" x14ac:dyDescent="0.2"/>
    <row r="12534" s="689" customFormat="1" x14ac:dyDescent="0.2"/>
    <row r="12535" s="689" customFormat="1" x14ac:dyDescent="0.2"/>
    <row r="12536" s="689" customFormat="1" x14ac:dyDescent="0.2"/>
    <row r="12537" s="689" customFormat="1" x14ac:dyDescent="0.2"/>
    <row r="12538" s="689" customFormat="1" x14ac:dyDescent="0.2"/>
    <row r="12539" s="689" customFormat="1" x14ac:dyDescent="0.2"/>
    <row r="12540" s="689" customFormat="1" x14ac:dyDescent="0.2"/>
    <row r="12541" s="689" customFormat="1" x14ac:dyDescent="0.2"/>
    <row r="12542" s="689" customFormat="1" x14ac:dyDescent="0.2"/>
    <row r="12543" s="689" customFormat="1" x14ac:dyDescent="0.2"/>
    <row r="12544" s="689" customFormat="1" x14ac:dyDescent="0.2"/>
    <row r="12545" s="689" customFormat="1" x14ac:dyDescent="0.2"/>
    <row r="12546" s="689" customFormat="1" x14ac:dyDescent="0.2"/>
    <row r="12547" s="689" customFormat="1" x14ac:dyDescent="0.2"/>
    <row r="12548" s="689" customFormat="1" x14ac:dyDescent="0.2"/>
    <row r="12549" s="689" customFormat="1" x14ac:dyDescent="0.2"/>
    <row r="12550" s="689" customFormat="1" x14ac:dyDescent="0.2"/>
    <row r="12551" s="689" customFormat="1" x14ac:dyDescent="0.2"/>
    <row r="12552" s="689" customFormat="1" x14ac:dyDescent="0.2"/>
    <row r="12553" s="689" customFormat="1" x14ac:dyDescent="0.2"/>
    <row r="12554" s="689" customFormat="1" x14ac:dyDescent="0.2"/>
    <row r="12555" s="689" customFormat="1" x14ac:dyDescent="0.2"/>
    <row r="12556" s="689" customFormat="1" x14ac:dyDescent="0.2"/>
    <row r="12557" s="689" customFormat="1" x14ac:dyDescent="0.2"/>
    <row r="12558" s="689" customFormat="1" x14ac:dyDescent="0.2"/>
    <row r="12559" s="689" customFormat="1" x14ac:dyDescent="0.2"/>
    <row r="12560" s="689" customFormat="1" x14ac:dyDescent="0.2"/>
    <row r="12561" s="689" customFormat="1" x14ac:dyDescent="0.2"/>
    <row r="12562" s="689" customFormat="1" x14ac:dyDescent="0.2"/>
    <row r="12563" s="689" customFormat="1" x14ac:dyDescent="0.2"/>
    <row r="12564" s="689" customFormat="1" x14ac:dyDescent="0.2"/>
    <row r="12565" s="689" customFormat="1" x14ac:dyDescent="0.2"/>
    <row r="12566" s="689" customFormat="1" x14ac:dyDescent="0.2"/>
    <row r="12567" s="689" customFormat="1" x14ac:dyDescent="0.2"/>
    <row r="12568" s="689" customFormat="1" x14ac:dyDescent="0.2"/>
    <row r="12569" s="689" customFormat="1" x14ac:dyDescent="0.2"/>
    <row r="12570" s="689" customFormat="1" x14ac:dyDescent="0.2"/>
    <row r="12571" s="689" customFormat="1" x14ac:dyDescent="0.2"/>
    <row r="12572" s="689" customFormat="1" x14ac:dyDescent="0.2"/>
    <row r="12573" s="689" customFormat="1" x14ac:dyDescent="0.2"/>
    <row r="12574" s="689" customFormat="1" x14ac:dyDescent="0.2"/>
    <row r="12575" s="689" customFormat="1" x14ac:dyDescent="0.2"/>
    <row r="12576" s="689" customFormat="1" x14ac:dyDescent="0.2"/>
    <row r="12577" s="689" customFormat="1" x14ac:dyDescent="0.2"/>
    <row r="12578" s="689" customFormat="1" x14ac:dyDescent="0.2"/>
    <row r="12579" s="689" customFormat="1" x14ac:dyDescent="0.2"/>
    <row r="12580" s="689" customFormat="1" x14ac:dyDescent="0.2"/>
    <row r="12581" s="689" customFormat="1" x14ac:dyDescent="0.2"/>
    <row r="12582" s="689" customFormat="1" x14ac:dyDescent="0.2"/>
    <row r="12583" s="689" customFormat="1" x14ac:dyDescent="0.2"/>
    <row r="12584" s="689" customFormat="1" x14ac:dyDescent="0.2"/>
    <row r="12585" s="689" customFormat="1" x14ac:dyDescent="0.2"/>
    <row r="12586" s="689" customFormat="1" x14ac:dyDescent="0.2"/>
    <row r="12587" s="689" customFormat="1" x14ac:dyDescent="0.2"/>
    <row r="12588" s="689" customFormat="1" x14ac:dyDescent="0.2"/>
    <row r="12589" s="689" customFormat="1" x14ac:dyDescent="0.2"/>
    <row r="12590" s="689" customFormat="1" x14ac:dyDescent="0.2"/>
    <row r="12591" s="689" customFormat="1" x14ac:dyDescent="0.2"/>
    <row r="12592" s="689" customFormat="1" x14ac:dyDescent="0.2"/>
    <row r="12593" s="689" customFormat="1" x14ac:dyDescent="0.2"/>
    <row r="12594" s="689" customFormat="1" x14ac:dyDescent="0.2"/>
    <row r="12595" s="689" customFormat="1" x14ac:dyDescent="0.2"/>
    <row r="12596" s="689" customFormat="1" x14ac:dyDescent="0.2"/>
    <row r="12597" s="689" customFormat="1" x14ac:dyDescent="0.2"/>
    <row r="12598" s="689" customFormat="1" x14ac:dyDescent="0.2"/>
    <row r="12599" s="689" customFormat="1" x14ac:dyDescent="0.2"/>
    <row r="12600" s="689" customFormat="1" x14ac:dyDescent="0.2"/>
    <row r="12601" s="689" customFormat="1" x14ac:dyDescent="0.2"/>
    <row r="12602" s="689" customFormat="1" x14ac:dyDescent="0.2"/>
    <row r="12603" s="689" customFormat="1" x14ac:dyDescent="0.2"/>
    <row r="12604" s="689" customFormat="1" x14ac:dyDescent="0.2"/>
    <row r="12605" s="689" customFormat="1" x14ac:dyDescent="0.2"/>
    <row r="12606" s="689" customFormat="1" x14ac:dyDescent="0.2"/>
    <row r="12607" s="689" customFormat="1" x14ac:dyDescent="0.2"/>
    <row r="12608" s="689" customFormat="1" x14ac:dyDescent="0.2"/>
    <row r="12609" s="689" customFormat="1" x14ac:dyDescent="0.2"/>
    <row r="12610" s="689" customFormat="1" x14ac:dyDescent="0.2"/>
    <row r="12611" s="689" customFormat="1" x14ac:dyDescent="0.2"/>
    <row r="12612" s="689" customFormat="1" x14ac:dyDescent="0.2"/>
    <row r="12613" s="689" customFormat="1" x14ac:dyDescent="0.2"/>
    <row r="12614" s="689" customFormat="1" x14ac:dyDescent="0.2"/>
    <row r="12615" s="689" customFormat="1" x14ac:dyDescent="0.2"/>
    <row r="12616" s="689" customFormat="1" x14ac:dyDescent="0.2"/>
    <row r="12617" s="689" customFormat="1" x14ac:dyDescent="0.2"/>
    <row r="12618" s="689" customFormat="1" x14ac:dyDescent="0.2"/>
    <row r="12619" s="689" customFormat="1" x14ac:dyDescent="0.2"/>
    <row r="12620" s="689" customFormat="1" x14ac:dyDescent="0.2"/>
    <row r="12621" s="689" customFormat="1" x14ac:dyDescent="0.2"/>
    <row r="12622" s="689" customFormat="1" x14ac:dyDescent="0.2"/>
    <row r="12623" s="689" customFormat="1" x14ac:dyDescent="0.2"/>
    <row r="12624" s="689" customFormat="1" x14ac:dyDescent="0.2"/>
    <row r="12625" s="689" customFormat="1" x14ac:dyDescent="0.2"/>
    <row r="12626" s="689" customFormat="1" x14ac:dyDescent="0.2"/>
    <row r="12627" s="689" customFormat="1" x14ac:dyDescent="0.2"/>
    <row r="12628" s="689" customFormat="1" x14ac:dyDescent="0.2"/>
    <row r="12629" s="689" customFormat="1" x14ac:dyDescent="0.2"/>
    <row r="12630" s="689" customFormat="1" x14ac:dyDescent="0.2"/>
    <row r="12631" s="689" customFormat="1" x14ac:dyDescent="0.2"/>
    <row r="12632" s="689" customFormat="1" x14ac:dyDescent="0.2"/>
    <row r="12633" s="689" customFormat="1" x14ac:dyDescent="0.2"/>
    <row r="12634" s="689" customFormat="1" x14ac:dyDescent="0.2"/>
    <row r="12635" s="689" customFormat="1" x14ac:dyDescent="0.2"/>
    <row r="12636" s="689" customFormat="1" x14ac:dyDescent="0.2"/>
    <row r="12637" s="689" customFormat="1" x14ac:dyDescent="0.2"/>
    <row r="12638" s="689" customFormat="1" x14ac:dyDescent="0.2"/>
    <row r="12639" s="689" customFormat="1" x14ac:dyDescent="0.2"/>
    <row r="12640" s="689" customFormat="1" x14ac:dyDescent="0.2"/>
    <row r="12641" s="689" customFormat="1" x14ac:dyDescent="0.2"/>
    <row r="12642" s="689" customFormat="1" x14ac:dyDescent="0.2"/>
    <row r="12643" s="689" customFormat="1" x14ac:dyDescent="0.2"/>
    <row r="12644" s="689" customFormat="1" x14ac:dyDescent="0.2"/>
    <row r="12645" s="689" customFormat="1" x14ac:dyDescent="0.2"/>
    <row r="12646" s="689" customFormat="1" x14ac:dyDescent="0.2"/>
    <row r="12647" s="689" customFormat="1" x14ac:dyDescent="0.2"/>
    <row r="12648" s="689" customFormat="1" x14ac:dyDescent="0.2"/>
    <row r="12649" s="689" customFormat="1" x14ac:dyDescent="0.2"/>
    <row r="12650" s="689" customFormat="1" x14ac:dyDescent="0.2"/>
    <row r="12651" s="689" customFormat="1" x14ac:dyDescent="0.2"/>
    <row r="12652" s="689" customFormat="1" x14ac:dyDescent="0.2"/>
    <row r="12653" s="689" customFormat="1" x14ac:dyDescent="0.2"/>
    <row r="12654" s="689" customFormat="1" x14ac:dyDescent="0.2"/>
    <row r="12655" s="689" customFormat="1" x14ac:dyDescent="0.2"/>
    <row r="12656" s="689" customFormat="1" x14ac:dyDescent="0.2"/>
    <row r="12657" s="689" customFormat="1" x14ac:dyDescent="0.2"/>
    <row r="12658" s="689" customFormat="1" x14ac:dyDescent="0.2"/>
    <row r="12659" s="689" customFormat="1" x14ac:dyDescent="0.2"/>
    <row r="12660" s="689" customFormat="1" x14ac:dyDescent="0.2"/>
    <row r="12661" s="689" customFormat="1" x14ac:dyDescent="0.2"/>
    <row r="12662" s="689" customFormat="1" x14ac:dyDescent="0.2"/>
    <row r="12663" s="689" customFormat="1" x14ac:dyDescent="0.2"/>
    <row r="12664" s="689" customFormat="1" x14ac:dyDescent="0.2"/>
    <row r="12665" s="689" customFormat="1" x14ac:dyDescent="0.2"/>
    <row r="12666" s="689" customFormat="1" x14ac:dyDescent="0.2"/>
    <row r="12667" s="689" customFormat="1" x14ac:dyDescent="0.2"/>
    <row r="12668" s="689" customFormat="1" x14ac:dyDescent="0.2"/>
    <row r="12669" s="689" customFormat="1" x14ac:dyDescent="0.2"/>
    <row r="12670" s="689" customFormat="1" x14ac:dyDescent="0.2"/>
    <row r="12671" s="689" customFormat="1" x14ac:dyDescent="0.2"/>
    <row r="12672" s="689" customFormat="1" x14ac:dyDescent="0.2"/>
    <row r="12673" s="689" customFormat="1" x14ac:dyDescent="0.2"/>
    <row r="12674" s="689" customFormat="1" x14ac:dyDescent="0.2"/>
    <row r="12675" s="689" customFormat="1" x14ac:dyDescent="0.2"/>
    <row r="12676" s="689" customFormat="1" x14ac:dyDescent="0.2"/>
    <row r="12677" s="689" customFormat="1" x14ac:dyDescent="0.2"/>
    <row r="12678" s="689" customFormat="1" x14ac:dyDescent="0.2"/>
    <row r="12679" s="689" customFormat="1" x14ac:dyDescent="0.2"/>
    <row r="12680" s="689" customFormat="1" x14ac:dyDescent="0.2"/>
    <row r="12681" s="689" customFormat="1" x14ac:dyDescent="0.2"/>
    <row r="12682" s="689" customFormat="1" x14ac:dyDescent="0.2"/>
    <row r="12683" s="689" customFormat="1" x14ac:dyDescent="0.2"/>
    <row r="12684" s="689" customFormat="1" x14ac:dyDescent="0.2"/>
    <row r="12685" s="689" customFormat="1" x14ac:dyDescent="0.2"/>
    <row r="12686" s="689" customFormat="1" x14ac:dyDescent="0.2"/>
    <row r="12687" s="689" customFormat="1" x14ac:dyDescent="0.2"/>
    <row r="12688" s="689" customFormat="1" x14ac:dyDescent="0.2"/>
    <row r="12689" s="689" customFormat="1" x14ac:dyDescent="0.2"/>
    <row r="12690" s="689" customFormat="1" x14ac:dyDescent="0.2"/>
    <row r="12691" s="689" customFormat="1" x14ac:dyDescent="0.2"/>
    <row r="12692" s="689" customFormat="1" x14ac:dyDescent="0.2"/>
    <row r="12693" s="689" customFormat="1" x14ac:dyDescent="0.2"/>
    <row r="12694" s="689" customFormat="1" x14ac:dyDescent="0.2"/>
    <row r="12695" s="689" customFormat="1" x14ac:dyDescent="0.2"/>
    <row r="12696" s="689" customFormat="1" x14ac:dyDescent="0.2"/>
    <row r="12697" s="689" customFormat="1" x14ac:dyDescent="0.2"/>
    <row r="12698" s="689" customFormat="1" x14ac:dyDescent="0.2"/>
    <row r="12699" s="689" customFormat="1" x14ac:dyDescent="0.2"/>
    <row r="12700" s="689" customFormat="1" x14ac:dyDescent="0.2"/>
    <row r="12701" s="689" customFormat="1" x14ac:dyDescent="0.2"/>
    <row r="12702" s="689" customFormat="1" x14ac:dyDescent="0.2"/>
    <row r="12703" s="689" customFormat="1" x14ac:dyDescent="0.2"/>
    <row r="12704" s="689" customFormat="1" x14ac:dyDescent="0.2"/>
    <row r="12705" s="689" customFormat="1" x14ac:dyDescent="0.2"/>
    <row r="12706" s="689" customFormat="1" x14ac:dyDescent="0.2"/>
    <row r="12707" s="689" customFormat="1" x14ac:dyDescent="0.2"/>
    <row r="12708" s="689" customFormat="1" x14ac:dyDescent="0.2"/>
    <row r="12709" s="689" customFormat="1" x14ac:dyDescent="0.2"/>
    <row r="12710" s="689" customFormat="1" x14ac:dyDescent="0.2"/>
    <row r="12711" s="689" customFormat="1" x14ac:dyDescent="0.2"/>
    <row r="12712" s="689" customFormat="1" x14ac:dyDescent="0.2"/>
    <row r="12713" s="689" customFormat="1" x14ac:dyDescent="0.2"/>
    <row r="12714" s="689" customFormat="1" x14ac:dyDescent="0.2"/>
    <row r="12715" s="689" customFormat="1" x14ac:dyDescent="0.2"/>
    <row r="12716" s="689" customFormat="1" x14ac:dyDescent="0.2"/>
    <row r="12717" s="689" customFormat="1" x14ac:dyDescent="0.2"/>
    <row r="12718" s="689" customFormat="1" x14ac:dyDescent="0.2"/>
    <row r="12719" s="689" customFormat="1" x14ac:dyDescent="0.2"/>
    <row r="12720" s="689" customFormat="1" x14ac:dyDescent="0.2"/>
    <row r="12721" s="689" customFormat="1" x14ac:dyDescent="0.2"/>
    <row r="12722" s="689" customFormat="1" x14ac:dyDescent="0.2"/>
    <row r="12723" s="689" customFormat="1" x14ac:dyDescent="0.2"/>
    <row r="12724" s="689" customFormat="1" x14ac:dyDescent="0.2"/>
    <row r="12725" s="689" customFormat="1" x14ac:dyDescent="0.2"/>
    <row r="12726" s="689" customFormat="1" x14ac:dyDescent="0.2"/>
    <row r="12727" s="689" customFormat="1" x14ac:dyDescent="0.2"/>
    <row r="12728" s="689" customFormat="1" x14ac:dyDescent="0.2"/>
    <row r="12729" s="689" customFormat="1" x14ac:dyDescent="0.2"/>
    <row r="12730" s="689" customFormat="1" x14ac:dyDescent="0.2"/>
    <row r="12731" s="689" customFormat="1" x14ac:dyDescent="0.2"/>
    <row r="12732" s="689" customFormat="1" x14ac:dyDescent="0.2"/>
    <row r="12733" s="689" customFormat="1" x14ac:dyDescent="0.2"/>
    <row r="12734" s="689" customFormat="1" x14ac:dyDescent="0.2"/>
    <row r="12735" s="689" customFormat="1" x14ac:dyDescent="0.2"/>
    <row r="12736" s="689" customFormat="1" x14ac:dyDescent="0.2"/>
    <row r="12737" s="689" customFormat="1" x14ac:dyDescent="0.2"/>
    <row r="12738" s="689" customFormat="1" x14ac:dyDescent="0.2"/>
    <row r="12739" s="689" customFormat="1" x14ac:dyDescent="0.2"/>
    <row r="12740" s="689" customFormat="1" x14ac:dyDescent="0.2"/>
    <row r="12741" s="689" customFormat="1" x14ac:dyDescent="0.2"/>
    <row r="12742" s="689" customFormat="1" x14ac:dyDescent="0.2"/>
    <row r="12743" s="689" customFormat="1" x14ac:dyDescent="0.2"/>
    <row r="12744" s="689" customFormat="1" x14ac:dyDescent="0.2"/>
    <row r="12745" s="689" customFormat="1" x14ac:dyDescent="0.2"/>
    <row r="12746" s="689" customFormat="1" x14ac:dyDescent="0.2"/>
    <row r="12747" s="689" customFormat="1" x14ac:dyDescent="0.2"/>
    <row r="12748" s="689" customFormat="1" x14ac:dyDescent="0.2"/>
    <row r="12749" s="689" customFormat="1" x14ac:dyDescent="0.2"/>
    <row r="12750" s="689" customFormat="1" x14ac:dyDescent="0.2"/>
    <row r="12751" s="689" customFormat="1" x14ac:dyDescent="0.2"/>
    <row r="12752" s="689" customFormat="1" x14ac:dyDescent="0.2"/>
    <row r="12753" s="689" customFormat="1" x14ac:dyDescent="0.2"/>
    <row r="12754" s="689" customFormat="1" x14ac:dyDescent="0.2"/>
    <row r="12755" s="689" customFormat="1" x14ac:dyDescent="0.2"/>
    <row r="12756" s="689" customFormat="1" x14ac:dyDescent="0.2"/>
    <row r="12757" s="689" customFormat="1" x14ac:dyDescent="0.2"/>
    <row r="12758" s="689" customFormat="1" x14ac:dyDescent="0.2"/>
    <row r="12759" s="689" customFormat="1" x14ac:dyDescent="0.2"/>
    <row r="12760" s="689" customFormat="1" x14ac:dyDescent="0.2"/>
    <row r="12761" s="689" customFormat="1" x14ac:dyDescent="0.2"/>
    <row r="12762" s="689" customFormat="1" x14ac:dyDescent="0.2"/>
    <row r="12763" s="689" customFormat="1" x14ac:dyDescent="0.2"/>
    <row r="12764" s="689" customFormat="1" x14ac:dyDescent="0.2"/>
    <row r="12765" s="689" customFormat="1" x14ac:dyDescent="0.2"/>
    <row r="12766" s="689" customFormat="1" x14ac:dyDescent="0.2"/>
    <row r="12767" s="689" customFormat="1" x14ac:dyDescent="0.2"/>
    <row r="12768" s="689" customFormat="1" x14ac:dyDescent="0.2"/>
    <row r="12769" s="689" customFormat="1" x14ac:dyDescent="0.2"/>
    <row r="12770" s="689" customFormat="1" x14ac:dyDescent="0.2"/>
    <row r="12771" s="689" customFormat="1" x14ac:dyDescent="0.2"/>
    <row r="12772" s="689" customFormat="1" x14ac:dyDescent="0.2"/>
    <row r="12773" s="689" customFormat="1" x14ac:dyDescent="0.2"/>
    <row r="12774" s="689" customFormat="1" x14ac:dyDescent="0.2"/>
    <row r="12775" s="689" customFormat="1" x14ac:dyDescent="0.2"/>
    <row r="12776" s="689" customFormat="1" x14ac:dyDescent="0.2"/>
    <row r="12777" s="689" customFormat="1" x14ac:dyDescent="0.2"/>
    <row r="12778" s="689" customFormat="1" x14ac:dyDescent="0.2"/>
    <row r="12779" s="689" customFormat="1" x14ac:dyDescent="0.2"/>
    <row r="12780" s="689" customFormat="1" x14ac:dyDescent="0.2"/>
    <row r="12781" s="689" customFormat="1" x14ac:dyDescent="0.2"/>
    <row r="12782" s="689" customFormat="1" x14ac:dyDescent="0.2"/>
    <row r="12783" s="689" customFormat="1" x14ac:dyDescent="0.2"/>
    <row r="12784" s="689" customFormat="1" x14ac:dyDescent="0.2"/>
    <row r="12785" s="689" customFormat="1" x14ac:dyDescent="0.2"/>
    <row r="12786" s="689" customFormat="1" x14ac:dyDescent="0.2"/>
    <row r="12787" s="689" customFormat="1" x14ac:dyDescent="0.2"/>
    <row r="12788" s="689" customFormat="1" x14ac:dyDescent="0.2"/>
    <row r="12789" s="689" customFormat="1" x14ac:dyDescent="0.2"/>
    <row r="12790" s="689" customFormat="1" x14ac:dyDescent="0.2"/>
    <row r="12791" s="689" customFormat="1" x14ac:dyDescent="0.2"/>
    <row r="12792" s="689" customFormat="1" x14ac:dyDescent="0.2"/>
    <row r="12793" s="689" customFormat="1" x14ac:dyDescent="0.2"/>
    <row r="12794" s="689" customFormat="1" x14ac:dyDescent="0.2"/>
    <row r="12795" s="689" customFormat="1" x14ac:dyDescent="0.2"/>
    <row r="12796" s="689" customFormat="1" x14ac:dyDescent="0.2"/>
    <row r="12797" s="689" customFormat="1" x14ac:dyDescent="0.2"/>
    <row r="12798" s="689" customFormat="1" x14ac:dyDescent="0.2"/>
    <row r="12799" s="689" customFormat="1" x14ac:dyDescent="0.2"/>
    <row r="12800" s="689" customFormat="1" x14ac:dyDescent="0.2"/>
    <row r="12801" s="689" customFormat="1" x14ac:dyDescent="0.2"/>
    <row r="12802" s="689" customFormat="1" x14ac:dyDescent="0.2"/>
    <row r="12803" s="689" customFormat="1" x14ac:dyDescent="0.2"/>
    <row r="12804" s="689" customFormat="1" x14ac:dyDescent="0.2"/>
    <row r="12805" s="689" customFormat="1" x14ac:dyDescent="0.2"/>
    <row r="12806" s="689" customFormat="1" x14ac:dyDescent="0.2"/>
    <row r="12807" s="689" customFormat="1" x14ac:dyDescent="0.2"/>
    <row r="12808" s="689" customFormat="1" x14ac:dyDescent="0.2"/>
    <row r="12809" s="689" customFormat="1" x14ac:dyDescent="0.2"/>
    <row r="12810" s="689" customFormat="1" x14ac:dyDescent="0.2"/>
    <row r="12811" s="689" customFormat="1" x14ac:dyDescent="0.2"/>
    <row r="12812" s="689" customFormat="1" x14ac:dyDescent="0.2"/>
    <row r="12813" s="689" customFormat="1" x14ac:dyDescent="0.2"/>
    <row r="12814" s="689" customFormat="1" x14ac:dyDescent="0.2"/>
    <row r="12815" s="689" customFormat="1" x14ac:dyDescent="0.2"/>
    <row r="12816" s="689" customFormat="1" x14ac:dyDescent="0.2"/>
    <row r="12817" s="689" customFormat="1" x14ac:dyDescent="0.2"/>
    <row r="12818" s="689" customFormat="1" x14ac:dyDescent="0.2"/>
    <row r="12819" s="689" customFormat="1" x14ac:dyDescent="0.2"/>
    <row r="12820" s="689" customFormat="1" x14ac:dyDescent="0.2"/>
    <row r="12821" s="689" customFormat="1" x14ac:dyDescent="0.2"/>
    <row r="12822" s="689" customFormat="1" x14ac:dyDescent="0.2"/>
    <row r="12823" s="689" customFormat="1" x14ac:dyDescent="0.2"/>
    <row r="12824" s="689" customFormat="1" x14ac:dyDescent="0.2"/>
    <row r="12825" s="689" customFormat="1" x14ac:dyDescent="0.2"/>
    <row r="12826" s="689" customFormat="1" x14ac:dyDescent="0.2"/>
    <row r="12827" s="689" customFormat="1" x14ac:dyDescent="0.2"/>
    <row r="12828" s="689" customFormat="1" x14ac:dyDescent="0.2"/>
    <row r="12829" s="689" customFormat="1" x14ac:dyDescent="0.2"/>
    <row r="12830" s="689" customFormat="1" x14ac:dyDescent="0.2"/>
    <row r="12831" s="689" customFormat="1" x14ac:dyDescent="0.2"/>
    <row r="12832" s="689" customFormat="1" x14ac:dyDescent="0.2"/>
    <row r="12833" s="689" customFormat="1" x14ac:dyDescent="0.2"/>
    <row r="12834" s="689" customFormat="1" x14ac:dyDescent="0.2"/>
    <row r="12835" s="689" customFormat="1" x14ac:dyDescent="0.2"/>
    <row r="12836" s="689" customFormat="1" x14ac:dyDescent="0.2"/>
    <row r="12837" s="689" customFormat="1" x14ac:dyDescent="0.2"/>
    <row r="12838" s="689" customFormat="1" x14ac:dyDescent="0.2"/>
    <row r="12839" s="689" customFormat="1" x14ac:dyDescent="0.2"/>
    <row r="12840" s="689" customFormat="1" x14ac:dyDescent="0.2"/>
    <row r="12841" s="689" customFormat="1" x14ac:dyDescent="0.2"/>
    <row r="12842" s="689" customFormat="1" x14ac:dyDescent="0.2"/>
    <row r="12843" s="689" customFormat="1" x14ac:dyDescent="0.2"/>
    <row r="12844" s="689" customFormat="1" x14ac:dyDescent="0.2"/>
    <row r="12845" s="689" customFormat="1" x14ac:dyDescent="0.2"/>
    <row r="12846" s="689" customFormat="1" x14ac:dyDescent="0.2"/>
    <row r="12847" s="689" customFormat="1" x14ac:dyDescent="0.2"/>
    <row r="12848" s="689" customFormat="1" x14ac:dyDescent="0.2"/>
    <row r="12849" s="689" customFormat="1" x14ac:dyDescent="0.2"/>
    <row r="12850" s="689" customFormat="1" x14ac:dyDescent="0.2"/>
    <row r="12851" s="689" customFormat="1" x14ac:dyDescent="0.2"/>
    <row r="12852" s="689" customFormat="1" x14ac:dyDescent="0.2"/>
    <row r="12853" s="689" customFormat="1" x14ac:dyDescent="0.2"/>
    <row r="12854" s="689" customFormat="1" x14ac:dyDescent="0.2"/>
    <row r="12855" s="689" customFormat="1" x14ac:dyDescent="0.2"/>
    <row r="12856" s="689" customFormat="1" x14ac:dyDescent="0.2"/>
    <row r="12857" s="689" customFormat="1" x14ac:dyDescent="0.2"/>
    <row r="12858" s="689" customFormat="1" x14ac:dyDescent="0.2"/>
    <row r="12859" s="689" customFormat="1" x14ac:dyDescent="0.2"/>
    <row r="12860" s="689" customFormat="1" x14ac:dyDescent="0.2"/>
    <row r="12861" s="689" customFormat="1" x14ac:dyDescent="0.2"/>
    <row r="12862" s="689" customFormat="1" x14ac:dyDescent="0.2"/>
    <row r="12863" s="689" customFormat="1" x14ac:dyDescent="0.2"/>
    <row r="12864" s="689" customFormat="1" x14ac:dyDescent="0.2"/>
    <row r="12865" s="689" customFormat="1" x14ac:dyDescent="0.2"/>
    <row r="12866" s="689" customFormat="1" x14ac:dyDescent="0.2"/>
    <row r="12867" s="689" customFormat="1" x14ac:dyDescent="0.2"/>
    <row r="12868" s="689" customFormat="1" x14ac:dyDescent="0.2"/>
    <row r="12869" s="689" customFormat="1" x14ac:dyDescent="0.2"/>
    <row r="12870" s="689" customFormat="1" x14ac:dyDescent="0.2"/>
    <row r="12871" s="689" customFormat="1" x14ac:dyDescent="0.2"/>
    <row r="12872" s="689" customFormat="1" x14ac:dyDescent="0.2"/>
    <row r="12873" s="689" customFormat="1" x14ac:dyDescent="0.2"/>
    <row r="12874" s="689" customFormat="1" x14ac:dyDescent="0.2"/>
    <row r="12875" s="689" customFormat="1" x14ac:dyDescent="0.2"/>
    <row r="12876" s="689" customFormat="1" x14ac:dyDescent="0.2"/>
    <row r="12877" s="689" customFormat="1" x14ac:dyDescent="0.2"/>
    <row r="12878" s="689" customFormat="1" x14ac:dyDescent="0.2"/>
    <row r="12879" s="689" customFormat="1" x14ac:dyDescent="0.2"/>
    <row r="12880" s="689" customFormat="1" x14ac:dyDescent="0.2"/>
    <row r="12881" s="689" customFormat="1" x14ac:dyDescent="0.2"/>
    <row r="12882" s="689" customFormat="1" x14ac:dyDescent="0.2"/>
    <row r="12883" s="689" customFormat="1" x14ac:dyDescent="0.2"/>
    <row r="12884" s="689" customFormat="1" x14ac:dyDescent="0.2"/>
    <row r="12885" s="689" customFormat="1" x14ac:dyDescent="0.2"/>
    <row r="12886" s="689" customFormat="1" x14ac:dyDescent="0.2"/>
    <row r="12887" s="689" customFormat="1" x14ac:dyDescent="0.2"/>
    <row r="12888" s="689" customFormat="1" x14ac:dyDescent="0.2"/>
    <row r="12889" s="689" customFormat="1" x14ac:dyDescent="0.2"/>
    <row r="12890" s="689" customFormat="1" x14ac:dyDescent="0.2"/>
    <row r="12891" s="689" customFormat="1" x14ac:dyDescent="0.2"/>
    <row r="12892" s="689" customFormat="1" x14ac:dyDescent="0.2"/>
    <row r="12893" s="689" customFormat="1" x14ac:dyDescent="0.2"/>
    <row r="12894" s="689" customFormat="1" x14ac:dyDescent="0.2"/>
    <row r="12895" s="689" customFormat="1" x14ac:dyDescent="0.2"/>
    <row r="12896" s="689" customFormat="1" x14ac:dyDescent="0.2"/>
    <row r="12897" s="689" customFormat="1" x14ac:dyDescent="0.2"/>
    <row r="12898" s="689" customFormat="1" x14ac:dyDescent="0.2"/>
    <row r="12899" s="689" customFormat="1" x14ac:dyDescent="0.2"/>
    <row r="12900" s="689" customFormat="1" x14ac:dyDescent="0.2"/>
    <row r="12901" s="689" customFormat="1" x14ac:dyDescent="0.2"/>
    <row r="12902" s="689" customFormat="1" x14ac:dyDescent="0.2"/>
    <row r="12903" s="689" customFormat="1" x14ac:dyDescent="0.2"/>
    <row r="12904" s="689" customFormat="1" x14ac:dyDescent="0.2"/>
    <row r="12905" s="689" customFormat="1" x14ac:dyDescent="0.2"/>
    <row r="12906" s="689" customFormat="1" x14ac:dyDescent="0.2"/>
    <row r="12907" s="689" customFormat="1" x14ac:dyDescent="0.2"/>
    <row r="12908" s="689" customFormat="1" x14ac:dyDescent="0.2"/>
    <row r="12909" s="689" customFormat="1" x14ac:dyDescent="0.2"/>
    <row r="12910" s="689" customFormat="1" x14ac:dyDescent="0.2"/>
    <row r="12911" s="689" customFormat="1" x14ac:dyDescent="0.2"/>
    <row r="12912" s="689" customFormat="1" x14ac:dyDescent="0.2"/>
    <row r="12913" s="689" customFormat="1" x14ac:dyDescent="0.2"/>
    <row r="12914" s="689" customFormat="1" x14ac:dyDescent="0.2"/>
    <row r="12915" s="689" customFormat="1" x14ac:dyDescent="0.2"/>
    <row r="12916" s="689" customFormat="1" x14ac:dyDescent="0.2"/>
    <row r="12917" s="689" customFormat="1" x14ac:dyDescent="0.2"/>
    <row r="12918" s="689" customFormat="1" x14ac:dyDescent="0.2"/>
    <row r="12919" s="689" customFormat="1" x14ac:dyDescent="0.2"/>
    <row r="12920" s="689" customFormat="1" x14ac:dyDescent="0.2"/>
    <row r="12921" s="689" customFormat="1" x14ac:dyDescent="0.2"/>
    <row r="12922" s="689" customFormat="1" x14ac:dyDescent="0.2"/>
    <row r="12923" s="689" customFormat="1" x14ac:dyDescent="0.2"/>
    <row r="12924" s="689" customFormat="1" x14ac:dyDescent="0.2"/>
    <row r="12925" s="689" customFormat="1" x14ac:dyDescent="0.2"/>
    <row r="12926" s="689" customFormat="1" x14ac:dyDescent="0.2"/>
    <row r="12927" s="689" customFormat="1" x14ac:dyDescent="0.2"/>
    <row r="12928" s="689" customFormat="1" x14ac:dyDescent="0.2"/>
    <row r="12929" s="689" customFormat="1" x14ac:dyDescent="0.2"/>
    <row r="12930" s="689" customFormat="1" x14ac:dyDescent="0.2"/>
    <row r="12931" s="689" customFormat="1" x14ac:dyDescent="0.2"/>
    <row r="12932" s="689" customFormat="1" x14ac:dyDescent="0.2"/>
    <row r="12933" s="689" customFormat="1" x14ac:dyDescent="0.2"/>
    <row r="12934" s="689" customFormat="1" x14ac:dyDescent="0.2"/>
    <row r="12935" s="689" customFormat="1" x14ac:dyDescent="0.2"/>
    <row r="12936" s="689" customFormat="1" x14ac:dyDescent="0.2"/>
    <row r="12937" s="689" customFormat="1" x14ac:dyDescent="0.2"/>
    <row r="12938" s="689" customFormat="1" x14ac:dyDescent="0.2"/>
    <row r="12939" s="689" customFormat="1" x14ac:dyDescent="0.2"/>
    <row r="12940" s="689" customFormat="1" x14ac:dyDescent="0.2"/>
    <row r="12941" s="689" customFormat="1" x14ac:dyDescent="0.2"/>
    <row r="12942" s="689" customFormat="1" x14ac:dyDescent="0.2"/>
    <row r="12943" s="689" customFormat="1" x14ac:dyDescent="0.2"/>
    <row r="12944" s="689" customFormat="1" x14ac:dyDescent="0.2"/>
    <row r="12945" s="689" customFormat="1" x14ac:dyDescent="0.2"/>
    <row r="12946" s="689" customFormat="1" x14ac:dyDescent="0.2"/>
    <row r="12947" s="689" customFormat="1" x14ac:dyDescent="0.2"/>
    <row r="12948" s="689" customFormat="1" x14ac:dyDescent="0.2"/>
    <row r="12949" s="689" customFormat="1" x14ac:dyDescent="0.2"/>
    <row r="12950" s="689" customFormat="1" x14ac:dyDescent="0.2"/>
    <row r="12951" s="689" customFormat="1" x14ac:dyDescent="0.2"/>
    <row r="12952" s="689" customFormat="1" x14ac:dyDescent="0.2"/>
    <row r="12953" s="689" customFormat="1" x14ac:dyDescent="0.2"/>
    <row r="12954" s="689" customFormat="1" x14ac:dyDescent="0.2"/>
    <row r="12955" s="689" customFormat="1" x14ac:dyDescent="0.2"/>
    <row r="12956" s="689" customFormat="1" x14ac:dyDescent="0.2"/>
    <row r="12957" s="689" customFormat="1" x14ac:dyDescent="0.2"/>
    <row r="12958" s="689" customFormat="1" x14ac:dyDescent="0.2"/>
    <row r="12959" s="689" customFormat="1" x14ac:dyDescent="0.2"/>
    <row r="12960" s="689" customFormat="1" x14ac:dyDescent="0.2"/>
    <row r="12961" s="689" customFormat="1" x14ac:dyDescent="0.2"/>
    <row r="12962" s="689" customFormat="1" x14ac:dyDescent="0.2"/>
    <row r="12963" s="689" customFormat="1" x14ac:dyDescent="0.2"/>
    <row r="12964" s="689" customFormat="1" x14ac:dyDescent="0.2"/>
    <row r="12965" s="689" customFormat="1" x14ac:dyDescent="0.2"/>
    <row r="12966" s="689" customFormat="1" x14ac:dyDescent="0.2"/>
    <row r="12967" s="689" customFormat="1" x14ac:dyDescent="0.2"/>
    <row r="12968" s="689" customFormat="1" x14ac:dyDescent="0.2"/>
    <row r="12969" s="689" customFormat="1" x14ac:dyDescent="0.2"/>
    <row r="12970" s="689" customFormat="1" x14ac:dyDescent="0.2"/>
    <row r="12971" s="689" customFormat="1" x14ac:dyDescent="0.2"/>
    <row r="12972" s="689" customFormat="1" x14ac:dyDescent="0.2"/>
    <row r="12973" s="689" customFormat="1" x14ac:dyDescent="0.2"/>
    <row r="12974" s="689" customFormat="1" x14ac:dyDescent="0.2"/>
    <row r="12975" s="689" customFormat="1" x14ac:dyDescent="0.2"/>
    <row r="12976" s="689" customFormat="1" x14ac:dyDescent="0.2"/>
    <row r="12977" s="689" customFormat="1" x14ac:dyDescent="0.2"/>
    <row r="12978" s="689" customFormat="1" x14ac:dyDescent="0.2"/>
    <row r="12979" s="689" customFormat="1" x14ac:dyDescent="0.2"/>
    <row r="12980" s="689" customFormat="1" x14ac:dyDescent="0.2"/>
    <row r="12981" s="689" customFormat="1" x14ac:dyDescent="0.2"/>
    <row r="12982" s="689" customFormat="1" x14ac:dyDescent="0.2"/>
    <row r="12983" s="689" customFormat="1" x14ac:dyDescent="0.2"/>
    <row r="12984" s="689" customFormat="1" x14ac:dyDescent="0.2"/>
    <row r="12985" s="689" customFormat="1" x14ac:dyDescent="0.2"/>
    <row r="12986" s="689" customFormat="1" x14ac:dyDescent="0.2"/>
    <row r="12987" s="689" customFormat="1" x14ac:dyDescent="0.2"/>
    <row r="12988" s="689" customFormat="1" x14ac:dyDescent="0.2"/>
    <row r="12989" s="689" customFormat="1" x14ac:dyDescent="0.2"/>
    <row r="12990" s="689" customFormat="1" x14ac:dyDescent="0.2"/>
    <row r="12991" s="689" customFormat="1" x14ac:dyDescent="0.2"/>
    <row r="12992" s="689" customFormat="1" x14ac:dyDescent="0.2"/>
    <row r="12993" s="689" customFormat="1" x14ac:dyDescent="0.2"/>
    <row r="12994" s="689" customFormat="1" x14ac:dyDescent="0.2"/>
    <row r="12995" s="689" customFormat="1" x14ac:dyDescent="0.2"/>
    <row r="12996" s="689" customFormat="1" x14ac:dyDescent="0.2"/>
    <row r="12997" s="689" customFormat="1" x14ac:dyDescent="0.2"/>
    <row r="12998" s="689" customFormat="1" x14ac:dyDescent="0.2"/>
    <row r="12999" s="689" customFormat="1" x14ac:dyDescent="0.2"/>
    <row r="13000" s="689" customFormat="1" x14ac:dyDescent="0.2"/>
    <row r="13001" s="689" customFormat="1" x14ac:dyDescent="0.2"/>
    <row r="13002" s="689" customFormat="1" x14ac:dyDescent="0.2"/>
    <row r="13003" s="689" customFormat="1" x14ac:dyDescent="0.2"/>
    <row r="13004" s="689" customFormat="1" x14ac:dyDescent="0.2"/>
    <row r="13005" s="689" customFormat="1" x14ac:dyDescent="0.2"/>
    <row r="13006" s="689" customFormat="1" x14ac:dyDescent="0.2"/>
    <row r="13007" s="689" customFormat="1" x14ac:dyDescent="0.2"/>
    <row r="13008" s="689" customFormat="1" x14ac:dyDescent="0.2"/>
    <row r="13009" s="689" customFormat="1" x14ac:dyDescent="0.2"/>
    <row r="13010" s="689" customFormat="1" x14ac:dyDescent="0.2"/>
    <row r="13011" s="689" customFormat="1" x14ac:dyDescent="0.2"/>
    <row r="13012" s="689" customFormat="1" x14ac:dyDescent="0.2"/>
    <row r="13013" s="689" customFormat="1" x14ac:dyDescent="0.2"/>
    <row r="13014" s="689" customFormat="1" x14ac:dyDescent="0.2"/>
    <row r="13015" s="689" customFormat="1" x14ac:dyDescent="0.2"/>
    <row r="13016" s="689" customFormat="1" x14ac:dyDescent="0.2"/>
    <row r="13017" s="689" customFormat="1" x14ac:dyDescent="0.2"/>
    <row r="13018" s="689" customFormat="1" x14ac:dyDescent="0.2"/>
    <row r="13019" s="689" customFormat="1" x14ac:dyDescent="0.2"/>
    <row r="13020" s="689" customFormat="1" x14ac:dyDescent="0.2"/>
    <row r="13021" s="689" customFormat="1" x14ac:dyDescent="0.2"/>
    <row r="13022" s="689" customFormat="1" x14ac:dyDescent="0.2"/>
    <row r="13023" s="689" customFormat="1" x14ac:dyDescent="0.2"/>
    <row r="13024" s="689" customFormat="1" x14ac:dyDescent="0.2"/>
    <row r="13025" s="689" customFormat="1" x14ac:dyDescent="0.2"/>
    <row r="13026" s="689" customFormat="1" x14ac:dyDescent="0.2"/>
    <row r="13027" s="689" customFormat="1" x14ac:dyDescent="0.2"/>
    <row r="13028" s="689" customFormat="1" x14ac:dyDescent="0.2"/>
    <row r="13029" s="689" customFormat="1" x14ac:dyDescent="0.2"/>
    <row r="13030" s="689" customFormat="1" x14ac:dyDescent="0.2"/>
    <row r="13031" s="689" customFormat="1" x14ac:dyDescent="0.2"/>
    <row r="13032" s="689" customFormat="1" x14ac:dyDescent="0.2"/>
    <row r="13033" s="689" customFormat="1" x14ac:dyDescent="0.2"/>
    <row r="13034" s="689" customFormat="1" x14ac:dyDescent="0.2"/>
    <row r="13035" s="689" customFormat="1" x14ac:dyDescent="0.2"/>
    <row r="13036" s="689" customFormat="1" x14ac:dyDescent="0.2"/>
    <row r="13037" s="689" customFormat="1" x14ac:dyDescent="0.2"/>
    <row r="13038" s="689" customFormat="1" x14ac:dyDescent="0.2"/>
    <row r="13039" s="689" customFormat="1" x14ac:dyDescent="0.2"/>
    <row r="13040" s="689" customFormat="1" x14ac:dyDescent="0.2"/>
    <row r="13041" s="689" customFormat="1" x14ac:dyDescent="0.2"/>
    <row r="13042" s="689" customFormat="1" x14ac:dyDescent="0.2"/>
    <row r="13043" s="689" customFormat="1" x14ac:dyDescent="0.2"/>
    <row r="13044" s="689" customFormat="1" x14ac:dyDescent="0.2"/>
    <row r="13045" s="689" customFormat="1" x14ac:dyDescent="0.2"/>
    <row r="13046" s="689" customFormat="1" x14ac:dyDescent="0.2"/>
    <row r="13047" s="689" customFormat="1" x14ac:dyDescent="0.2"/>
    <row r="13048" s="689" customFormat="1" x14ac:dyDescent="0.2"/>
    <row r="13049" s="689" customFormat="1" x14ac:dyDescent="0.2"/>
    <row r="13050" s="689" customFormat="1" x14ac:dyDescent="0.2"/>
    <row r="13051" s="689" customFormat="1" x14ac:dyDescent="0.2"/>
    <row r="13052" s="689" customFormat="1" x14ac:dyDescent="0.2"/>
    <row r="13053" s="689" customFormat="1" x14ac:dyDescent="0.2"/>
    <row r="13054" s="689" customFormat="1" x14ac:dyDescent="0.2"/>
    <row r="13055" s="689" customFormat="1" x14ac:dyDescent="0.2"/>
    <row r="13056" s="689" customFormat="1" x14ac:dyDescent="0.2"/>
    <row r="13057" s="689" customFormat="1" x14ac:dyDescent="0.2"/>
    <row r="13058" s="689" customFormat="1" x14ac:dyDescent="0.2"/>
    <row r="13059" s="689" customFormat="1" x14ac:dyDescent="0.2"/>
    <row r="13060" s="689" customFormat="1" x14ac:dyDescent="0.2"/>
    <row r="13061" s="689" customFormat="1" x14ac:dyDescent="0.2"/>
    <row r="13062" s="689" customFormat="1" x14ac:dyDescent="0.2"/>
    <row r="13063" s="689" customFormat="1" x14ac:dyDescent="0.2"/>
    <row r="13064" s="689" customFormat="1" x14ac:dyDescent="0.2"/>
    <row r="13065" s="689" customFormat="1" x14ac:dyDescent="0.2"/>
    <row r="13066" s="689" customFormat="1" x14ac:dyDescent="0.2"/>
    <row r="13067" s="689" customFormat="1" x14ac:dyDescent="0.2"/>
    <row r="13068" s="689" customFormat="1" x14ac:dyDescent="0.2"/>
    <row r="13069" s="689" customFormat="1" x14ac:dyDescent="0.2"/>
    <row r="13070" s="689" customFormat="1" x14ac:dyDescent="0.2"/>
    <row r="13071" s="689" customFormat="1" x14ac:dyDescent="0.2"/>
    <row r="13072" s="689" customFormat="1" x14ac:dyDescent="0.2"/>
    <row r="13073" s="689" customFormat="1" x14ac:dyDescent="0.2"/>
    <row r="13074" s="689" customFormat="1" x14ac:dyDescent="0.2"/>
    <row r="13075" s="689" customFormat="1" x14ac:dyDescent="0.2"/>
    <row r="13076" s="689" customFormat="1" x14ac:dyDescent="0.2"/>
    <row r="13077" s="689" customFormat="1" x14ac:dyDescent="0.2"/>
    <row r="13078" s="689" customFormat="1" x14ac:dyDescent="0.2"/>
    <row r="13079" s="689" customFormat="1" x14ac:dyDescent="0.2"/>
    <row r="13080" s="689" customFormat="1" x14ac:dyDescent="0.2"/>
    <row r="13081" s="689" customFormat="1" x14ac:dyDescent="0.2"/>
    <row r="13082" s="689" customFormat="1" x14ac:dyDescent="0.2"/>
    <row r="13083" s="689" customFormat="1" x14ac:dyDescent="0.2"/>
    <row r="13084" s="689" customFormat="1" x14ac:dyDescent="0.2"/>
    <row r="13085" s="689" customFormat="1" x14ac:dyDescent="0.2"/>
    <row r="13086" s="689" customFormat="1" x14ac:dyDescent="0.2"/>
    <row r="13087" s="689" customFormat="1" x14ac:dyDescent="0.2"/>
    <row r="13088" s="689" customFormat="1" x14ac:dyDescent="0.2"/>
    <row r="13089" s="689" customFormat="1" x14ac:dyDescent="0.2"/>
    <row r="13090" s="689" customFormat="1" x14ac:dyDescent="0.2"/>
    <row r="13091" s="689" customFormat="1" x14ac:dyDescent="0.2"/>
    <row r="13092" s="689" customFormat="1" x14ac:dyDescent="0.2"/>
    <row r="13093" s="689" customFormat="1" x14ac:dyDescent="0.2"/>
    <row r="13094" s="689" customFormat="1" x14ac:dyDescent="0.2"/>
    <row r="13095" s="689" customFormat="1" x14ac:dyDescent="0.2"/>
    <row r="13096" s="689" customFormat="1" x14ac:dyDescent="0.2"/>
    <row r="13097" s="689" customFormat="1" x14ac:dyDescent="0.2"/>
    <row r="13098" s="689" customFormat="1" x14ac:dyDescent="0.2"/>
    <row r="13099" s="689" customFormat="1" x14ac:dyDescent="0.2"/>
    <row r="13100" s="689" customFormat="1" x14ac:dyDescent="0.2"/>
    <row r="13101" s="689" customFormat="1" x14ac:dyDescent="0.2"/>
    <row r="13102" s="689" customFormat="1" x14ac:dyDescent="0.2"/>
    <row r="13103" s="689" customFormat="1" x14ac:dyDescent="0.2"/>
    <row r="13104" s="689" customFormat="1" x14ac:dyDescent="0.2"/>
    <row r="13105" s="689" customFormat="1" x14ac:dyDescent="0.2"/>
    <row r="13106" s="689" customFormat="1" x14ac:dyDescent="0.2"/>
    <row r="13107" s="689" customFormat="1" x14ac:dyDescent="0.2"/>
    <row r="13108" s="689" customFormat="1" x14ac:dyDescent="0.2"/>
    <row r="13109" s="689" customFormat="1" x14ac:dyDescent="0.2"/>
    <row r="13110" s="689" customFormat="1" x14ac:dyDescent="0.2"/>
    <row r="13111" s="689" customFormat="1" x14ac:dyDescent="0.2"/>
    <row r="13112" s="689" customFormat="1" x14ac:dyDescent="0.2"/>
    <row r="13113" s="689" customFormat="1" x14ac:dyDescent="0.2"/>
    <row r="13114" s="689" customFormat="1" x14ac:dyDescent="0.2"/>
    <row r="13115" s="689" customFormat="1" x14ac:dyDescent="0.2"/>
    <row r="13116" s="689" customFormat="1" x14ac:dyDescent="0.2"/>
    <row r="13117" s="689" customFormat="1" x14ac:dyDescent="0.2"/>
    <row r="13118" s="689" customFormat="1" x14ac:dyDescent="0.2"/>
    <row r="13119" s="689" customFormat="1" x14ac:dyDescent="0.2"/>
    <row r="13120" s="689" customFormat="1" x14ac:dyDescent="0.2"/>
    <row r="13121" s="689" customFormat="1" x14ac:dyDescent="0.2"/>
    <row r="13122" s="689" customFormat="1" x14ac:dyDescent="0.2"/>
    <row r="13123" s="689" customFormat="1" x14ac:dyDescent="0.2"/>
    <row r="13124" s="689" customFormat="1" x14ac:dyDescent="0.2"/>
    <row r="13125" s="689" customFormat="1" x14ac:dyDescent="0.2"/>
    <row r="13126" s="689" customFormat="1" x14ac:dyDescent="0.2"/>
    <row r="13127" s="689" customFormat="1" x14ac:dyDescent="0.2"/>
    <row r="13128" s="689" customFormat="1" x14ac:dyDescent="0.2"/>
    <row r="13129" s="689" customFormat="1" x14ac:dyDescent="0.2"/>
    <row r="13130" s="689" customFormat="1" x14ac:dyDescent="0.2"/>
    <row r="13131" s="689" customFormat="1" x14ac:dyDescent="0.2"/>
    <row r="13132" s="689" customFormat="1" x14ac:dyDescent="0.2"/>
    <row r="13133" s="689" customFormat="1" x14ac:dyDescent="0.2"/>
    <row r="13134" s="689" customFormat="1" x14ac:dyDescent="0.2"/>
    <row r="13135" s="689" customFormat="1" x14ac:dyDescent="0.2"/>
    <row r="13136" s="689" customFormat="1" x14ac:dyDescent="0.2"/>
    <row r="13137" s="689" customFormat="1" x14ac:dyDescent="0.2"/>
    <row r="13138" s="689" customFormat="1" x14ac:dyDescent="0.2"/>
    <row r="13139" s="689" customFormat="1" x14ac:dyDescent="0.2"/>
    <row r="13140" s="689" customFormat="1" x14ac:dyDescent="0.2"/>
    <row r="13141" s="689" customFormat="1" x14ac:dyDescent="0.2"/>
    <row r="13142" s="689" customFormat="1" x14ac:dyDescent="0.2"/>
    <row r="13143" s="689" customFormat="1" x14ac:dyDescent="0.2"/>
    <row r="13144" s="689" customFormat="1" x14ac:dyDescent="0.2"/>
    <row r="13145" s="689" customFormat="1" x14ac:dyDescent="0.2"/>
    <row r="13146" s="689" customFormat="1" x14ac:dyDescent="0.2"/>
    <row r="13147" s="689" customFormat="1" x14ac:dyDescent="0.2"/>
    <row r="13148" s="689" customFormat="1" x14ac:dyDescent="0.2"/>
    <row r="13149" s="689" customFormat="1" x14ac:dyDescent="0.2"/>
    <row r="13150" s="689" customFormat="1" x14ac:dyDescent="0.2"/>
    <row r="13151" s="689" customFormat="1" x14ac:dyDescent="0.2"/>
    <row r="13152" s="689" customFormat="1" x14ac:dyDescent="0.2"/>
    <row r="13153" s="689" customFormat="1" x14ac:dyDescent="0.2"/>
    <row r="13154" s="689" customFormat="1" x14ac:dyDescent="0.2"/>
    <row r="13155" s="689" customFormat="1" x14ac:dyDescent="0.2"/>
    <row r="13156" s="689" customFormat="1" x14ac:dyDescent="0.2"/>
    <row r="13157" s="689" customFormat="1" x14ac:dyDescent="0.2"/>
    <row r="13158" s="689" customFormat="1" x14ac:dyDescent="0.2"/>
    <row r="13159" s="689" customFormat="1" x14ac:dyDescent="0.2"/>
    <row r="13160" s="689" customFormat="1" x14ac:dyDescent="0.2"/>
    <row r="13161" s="689" customFormat="1" x14ac:dyDescent="0.2"/>
    <row r="13162" s="689" customFormat="1" x14ac:dyDescent="0.2"/>
    <row r="13163" s="689" customFormat="1" x14ac:dyDescent="0.2"/>
    <row r="13164" s="689" customFormat="1" x14ac:dyDescent="0.2"/>
    <row r="13165" s="689" customFormat="1" x14ac:dyDescent="0.2"/>
    <row r="13166" s="689" customFormat="1" x14ac:dyDescent="0.2"/>
    <row r="13167" s="689" customFormat="1" x14ac:dyDescent="0.2"/>
    <row r="13168" s="689" customFormat="1" x14ac:dyDescent="0.2"/>
    <row r="13169" s="689" customFormat="1" x14ac:dyDescent="0.2"/>
    <row r="13170" s="689" customFormat="1" x14ac:dyDescent="0.2"/>
    <row r="13171" s="689" customFormat="1" x14ac:dyDescent="0.2"/>
    <row r="13172" s="689" customFormat="1" x14ac:dyDescent="0.2"/>
    <row r="13173" s="689" customFormat="1" x14ac:dyDescent="0.2"/>
    <row r="13174" s="689" customFormat="1" x14ac:dyDescent="0.2"/>
    <row r="13175" s="689" customFormat="1" x14ac:dyDescent="0.2"/>
    <row r="13176" s="689" customFormat="1" x14ac:dyDescent="0.2"/>
    <row r="13177" s="689" customFormat="1" x14ac:dyDescent="0.2"/>
    <row r="13178" s="689" customFormat="1" x14ac:dyDescent="0.2"/>
    <row r="13179" s="689" customFormat="1" x14ac:dyDescent="0.2"/>
    <row r="13180" s="689" customFormat="1" x14ac:dyDescent="0.2"/>
    <row r="13181" s="689" customFormat="1" x14ac:dyDescent="0.2"/>
    <row r="13182" s="689" customFormat="1" x14ac:dyDescent="0.2"/>
    <row r="13183" s="689" customFormat="1" x14ac:dyDescent="0.2"/>
    <row r="13184" s="689" customFormat="1" x14ac:dyDescent="0.2"/>
    <row r="13185" s="689" customFormat="1" x14ac:dyDescent="0.2"/>
    <row r="13186" s="689" customFormat="1" x14ac:dyDescent="0.2"/>
    <row r="13187" s="689" customFormat="1" x14ac:dyDescent="0.2"/>
    <row r="13188" s="689" customFormat="1" x14ac:dyDescent="0.2"/>
    <row r="13189" s="689" customFormat="1" x14ac:dyDescent="0.2"/>
    <row r="13190" s="689" customFormat="1" x14ac:dyDescent="0.2"/>
    <row r="13191" s="689" customFormat="1" x14ac:dyDescent="0.2"/>
    <row r="13192" s="689" customFormat="1" x14ac:dyDescent="0.2"/>
    <row r="13193" s="689" customFormat="1" x14ac:dyDescent="0.2"/>
    <row r="13194" s="689" customFormat="1" x14ac:dyDescent="0.2"/>
    <row r="13195" s="689" customFormat="1" x14ac:dyDescent="0.2"/>
    <row r="13196" s="689" customFormat="1" x14ac:dyDescent="0.2"/>
    <row r="13197" s="689" customFormat="1" x14ac:dyDescent="0.2"/>
    <row r="13198" s="689" customFormat="1" x14ac:dyDescent="0.2"/>
    <row r="13199" s="689" customFormat="1" x14ac:dyDescent="0.2"/>
    <row r="13200" s="689" customFormat="1" x14ac:dyDescent="0.2"/>
    <row r="13201" s="689" customFormat="1" x14ac:dyDescent="0.2"/>
    <row r="13202" s="689" customFormat="1" x14ac:dyDescent="0.2"/>
    <row r="13203" s="689" customFormat="1" x14ac:dyDescent="0.2"/>
    <row r="13204" s="689" customFormat="1" x14ac:dyDescent="0.2"/>
    <row r="13205" s="689" customFormat="1" x14ac:dyDescent="0.2"/>
    <row r="13206" s="689" customFormat="1" x14ac:dyDescent="0.2"/>
    <row r="13207" s="689" customFormat="1" x14ac:dyDescent="0.2"/>
    <row r="13208" s="689" customFormat="1" x14ac:dyDescent="0.2"/>
    <row r="13209" s="689" customFormat="1" x14ac:dyDescent="0.2"/>
    <row r="13210" s="689" customFormat="1" x14ac:dyDescent="0.2"/>
    <row r="13211" s="689" customFormat="1" x14ac:dyDescent="0.2"/>
    <row r="13212" s="689" customFormat="1" x14ac:dyDescent="0.2"/>
    <row r="13213" s="689" customFormat="1" x14ac:dyDescent="0.2"/>
    <row r="13214" s="689" customFormat="1" x14ac:dyDescent="0.2"/>
    <row r="13215" s="689" customFormat="1" x14ac:dyDescent="0.2"/>
    <row r="13216" s="689" customFormat="1" x14ac:dyDescent="0.2"/>
    <row r="13217" s="689" customFormat="1" x14ac:dyDescent="0.2"/>
    <row r="13218" s="689" customFormat="1" x14ac:dyDescent="0.2"/>
    <row r="13219" s="689" customFormat="1" x14ac:dyDescent="0.2"/>
    <row r="13220" s="689" customFormat="1" x14ac:dyDescent="0.2"/>
    <row r="13221" s="689" customFormat="1" x14ac:dyDescent="0.2"/>
    <row r="13222" s="689" customFormat="1" x14ac:dyDescent="0.2"/>
    <row r="13223" s="689" customFormat="1" x14ac:dyDescent="0.2"/>
    <row r="13224" s="689" customFormat="1" x14ac:dyDescent="0.2"/>
    <row r="13225" s="689" customFormat="1" x14ac:dyDescent="0.2"/>
    <row r="13226" s="689" customFormat="1" x14ac:dyDescent="0.2"/>
    <row r="13227" s="689" customFormat="1" x14ac:dyDescent="0.2"/>
    <row r="13228" s="689" customFormat="1" x14ac:dyDescent="0.2"/>
    <row r="13229" s="689" customFormat="1" x14ac:dyDescent="0.2"/>
    <row r="13230" s="689" customFormat="1" x14ac:dyDescent="0.2"/>
    <row r="13231" s="689" customFormat="1" x14ac:dyDescent="0.2"/>
    <row r="13232" s="689" customFormat="1" x14ac:dyDescent="0.2"/>
    <row r="13233" s="689" customFormat="1" x14ac:dyDescent="0.2"/>
    <row r="13234" s="689" customFormat="1" x14ac:dyDescent="0.2"/>
    <row r="13235" s="689" customFormat="1" x14ac:dyDescent="0.2"/>
    <row r="13236" s="689" customFormat="1" x14ac:dyDescent="0.2"/>
    <row r="13237" s="689" customFormat="1" x14ac:dyDescent="0.2"/>
    <row r="13238" s="689" customFormat="1" x14ac:dyDescent="0.2"/>
    <row r="13239" s="689" customFormat="1" x14ac:dyDescent="0.2"/>
    <row r="13240" s="689" customFormat="1" x14ac:dyDescent="0.2"/>
    <row r="13241" s="689" customFormat="1" x14ac:dyDescent="0.2"/>
    <row r="13242" s="689" customFormat="1" x14ac:dyDescent="0.2"/>
    <row r="13243" s="689" customFormat="1" x14ac:dyDescent="0.2"/>
    <row r="13244" s="689" customFormat="1" x14ac:dyDescent="0.2"/>
    <row r="13245" s="689" customFormat="1" x14ac:dyDescent="0.2"/>
    <row r="13246" s="689" customFormat="1" x14ac:dyDescent="0.2"/>
    <row r="13247" s="689" customFormat="1" x14ac:dyDescent="0.2"/>
    <row r="13248" s="689" customFormat="1" x14ac:dyDescent="0.2"/>
    <row r="13249" s="689" customFormat="1" x14ac:dyDescent="0.2"/>
    <row r="13250" s="689" customFormat="1" x14ac:dyDescent="0.2"/>
    <row r="13251" s="689" customFormat="1" x14ac:dyDescent="0.2"/>
    <row r="13252" s="689" customFormat="1" x14ac:dyDescent="0.2"/>
    <row r="13253" s="689" customFormat="1" x14ac:dyDescent="0.2"/>
    <row r="13254" s="689" customFormat="1" x14ac:dyDescent="0.2"/>
    <row r="13255" s="689" customFormat="1" x14ac:dyDescent="0.2"/>
    <row r="13256" s="689" customFormat="1" x14ac:dyDescent="0.2"/>
    <row r="13257" s="689" customFormat="1" x14ac:dyDescent="0.2"/>
    <row r="13258" s="689" customFormat="1" x14ac:dyDescent="0.2"/>
    <row r="13259" s="689" customFormat="1" x14ac:dyDescent="0.2"/>
    <row r="13260" s="689" customFormat="1" x14ac:dyDescent="0.2"/>
    <row r="13261" s="689" customFormat="1" x14ac:dyDescent="0.2"/>
    <row r="13262" s="689" customFormat="1" x14ac:dyDescent="0.2"/>
    <row r="13263" s="689" customFormat="1" x14ac:dyDescent="0.2"/>
    <row r="13264" s="689" customFormat="1" x14ac:dyDescent="0.2"/>
    <row r="13265" s="689" customFormat="1" x14ac:dyDescent="0.2"/>
    <row r="13266" s="689" customFormat="1" x14ac:dyDescent="0.2"/>
    <row r="13267" s="689" customFormat="1" x14ac:dyDescent="0.2"/>
    <row r="13268" s="689" customFormat="1" x14ac:dyDescent="0.2"/>
    <row r="13269" s="689" customFormat="1" x14ac:dyDescent="0.2"/>
    <row r="13270" s="689" customFormat="1" x14ac:dyDescent="0.2"/>
    <row r="13271" s="689" customFormat="1" x14ac:dyDescent="0.2"/>
    <row r="13272" s="689" customFormat="1" x14ac:dyDescent="0.2"/>
    <row r="13273" s="689" customFormat="1" x14ac:dyDescent="0.2"/>
    <row r="13274" s="689" customFormat="1" x14ac:dyDescent="0.2"/>
    <row r="13275" s="689" customFormat="1" x14ac:dyDescent="0.2"/>
    <row r="13276" s="689" customFormat="1" x14ac:dyDescent="0.2"/>
    <row r="13277" s="689" customFormat="1" x14ac:dyDescent="0.2"/>
    <row r="13278" s="689" customFormat="1" x14ac:dyDescent="0.2"/>
    <row r="13279" s="689" customFormat="1" x14ac:dyDescent="0.2"/>
    <row r="13280" s="689" customFormat="1" x14ac:dyDescent="0.2"/>
    <row r="13281" s="689" customFormat="1" x14ac:dyDescent="0.2"/>
    <row r="13282" s="689" customFormat="1" x14ac:dyDescent="0.2"/>
    <row r="13283" s="689" customFormat="1" x14ac:dyDescent="0.2"/>
    <row r="13284" s="689" customFormat="1" x14ac:dyDescent="0.2"/>
    <row r="13285" s="689" customFormat="1" x14ac:dyDescent="0.2"/>
    <row r="13286" s="689" customFormat="1" x14ac:dyDescent="0.2"/>
    <row r="13287" s="689" customFormat="1" x14ac:dyDescent="0.2"/>
    <row r="13288" s="689" customFormat="1" x14ac:dyDescent="0.2"/>
    <row r="13289" s="689" customFormat="1" x14ac:dyDescent="0.2"/>
    <row r="13290" s="689" customFormat="1" x14ac:dyDescent="0.2"/>
    <row r="13291" s="689" customFormat="1" x14ac:dyDescent="0.2"/>
    <row r="13292" s="689" customFormat="1" x14ac:dyDescent="0.2"/>
    <row r="13293" s="689" customFormat="1" x14ac:dyDescent="0.2"/>
    <row r="13294" s="689" customFormat="1" x14ac:dyDescent="0.2"/>
    <row r="13295" s="689" customFormat="1" x14ac:dyDescent="0.2"/>
    <row r="13296" s="689" customFormat="1" x14ac:dyDescent="0.2"/>
    <row r="13297" s="689" customFormat="1" x14ac:dyDescent="0.2"/>
    <row r="13298" s="689" customFormat="1" x14ac:dyDescent="0.2"/>
    <row r="13299" s="689" customFormat="1" x14ac:dyDescent="0.2"/>
    <row r="13300" s="689" customFormat="1" x14ac:dyDescent="0.2"/>
    <row r="13301" s="689" customFormat="1" x14ac:dyDescent="0.2"/>
    <row r="13302" s="689" customFormat="1" x14ac:dyDescent="0.2"/>
    <row r="13303" s="689" customFormat="1" x14ac:dyDescent="0.2"/>
    <row r="13304" s="689" customFormat="1" x14ac:dyDescent="0.2"/>
    <row r="13305" s="689" customFormat="1" x14ac:dyDescent="0.2"/>
    <row r="13306" s="689" customFormat="1" x14ac:dyDescent="0.2"/>
    <row r="13307" s="689" customFormat="1" x14ac:dyDescent="0.2"/>
    <row r="13308" s="689" customFormat="1" x14ac:dyDescent="0.2"/>
    <row r="13309" s="689" customFormat="1" x14ac:dyDescent="0.2"/>
    <row r="13310" s="689" customFormat="1" x14ac:dyDescent="0.2"/>
    <row r="13311" s="689" customFormat="1" x14ac:dyDescent="0.2"/>
    <row r="13312" s="689" customFormat="1" x14ac:dyDescent="0.2"/>
    <row r="13313" s="689" customFormat="1" x14ac:dyDescent="0.2"/>
    <row r="13314" s="689" customFormat="1" x14ac:dyDescent="0.2"/>
    <row r="13315" s="689" customFormat="1" x14ac:dyDescent="0.2"/>
    <row r="13316" s="689" customFormat="1" x14ac:dyDescent="0.2"/>
    <row r="13317" s="689" customFormat="1" x14ac:dyDescent="0.2"/>
    <row r="13318" s="689" customFormat="1" x14ac:dyDescent="0.2"/>
    <row r="13319" s="689" customFormat="1" x14ac:dyDescent="0.2"/>
    <row r="13320" s="689" customFormat="1" x14ac:dyDescent="0.2"/>
    <row r="13321" s="689" customFormat="1" x14ac:dyDescent="0.2"/>
    <row r="13322" s="689" customFormat="1" x14ac:dyDescent="0.2"/>
    <row r="13323" s="689" customFormat="1" x14ac:dyDescent="0.2"/>
    <row r="13324" s="689" customFormat="1" x14ac:dyDescent="0.2"/>
    <row r="13325" s="689" customFormat="1" x14ac:dyDescent="0.2"/>
    <row r="13326" s="689" customFormat="1" x14ac:dyDescent="0.2"/>
    <row r="13327" s="689" customFormat="1" x14ac:dyDescent="0.2"/>
    <row r="13328" s="689" customFormat="1" x14ac:dyDescent="0.2"/>
    <row r="13329" s="689" customFormat="1" x14ac:dyDescent="0.2"/>
    <row r="13330" s="689" customFormat="1" x14ac:dyDescent="0.2"/>
    <row r="13331" s="689" customFormat="1" x14ac:dyDescent="0.2"/>
    <row r="13332" s="689" customFormat="1" x14ac:dyDescent="0.2"/>
    <row r="13333" s="689" customFormat="1" x14ac:dyDescent="0.2"/>
    <row r="13334" s="689" customFormat="1" x14ac:dyDescent="0.2"/>
    <row r="13335" s="689" customFormat="1" x14ac:dyDescent="0.2"/>
    <row r="13336" s="689" customFormat="1" x14ac:dyDescent="0.2"/>
    <row r="13337" s="689" customFormat="1" x14ac:dyDescent="0.2"/>
    <row r="13338" s="689" customFormat="1" x14ac:dyDescent="0.2"/>
    <row r="13339" s="689" customFormat="1" x14ac:dyDescent="0.2"/>
    <row r="13340" s="689" customFormat="1" x14ac:dyDescent="0.2"/>
    <row r="13341" s="689" customFormat="1" x14ac:dyDescent="0.2"/>
    <row r="13342" s="689" customFormat="1" x14ac:dyDescent="0.2"/>
    <row r="13343" s="689" customFormat="1" x14ac:dyDescent="0.2"/>
    <row r="13344" s="689" customFormat="1" x14ac:dyDescent="0.2"/>
    <row r="13345" s="689" customFormat="1" x14ac:dyDescent="0.2"/>
    <row r="13346" s="689" customFormat="1" x14ac:dyDescent="0.2"/>
    <row r="13347" s="689" customFormat="1" x14ac:dyDescent="0.2"/>
    <row r="13348" s="689" customFormat="1" x14ac:dyDescent="0.2"/>
    <row r="13349" s="689" customFormat="1" x14ac:dyDescent="0.2"/>
    <row r="13350" s="689" customFormat="1" x14ac:dyDescent="0.2"/>
    <row r="13351" s="689" customFormat="1" x14ac:dyDescent="0.2"/>
    <row r="13352" s="689" customFormat="1" x14ac:dyDescent="0.2"/>
    <row r="13353" s="689" customFormat="1" x14ac:dyDescent="0.2"/>
    <row r="13354" s="689" customFormat="1" x14ac:dyDescent="0.2"/>
    <row r="13355" s="689" customFormat="1" x14ac:dyDescent="0.2"/>
    <row r="13356" s="689" customFormat="1" x14ac:dyDescent="0.2"/>
    <row r="13357" s="689" customFormat="1" x14ac:dyDescent="0.2"/>
    <row r="13358" s="689" customFormat="1" x14ac:dyDescent="0.2"/>
    <row r="13359" s="689" customFormat="1" x14ac:dyDescent="0.2"/>
    <row r="13360" s="689" customFormat="1" x14ac:dyDescent="0.2"/>
    <row r="13361" s="689" customFormat="1" x14ac:dyDescent="0.2"/>
    <row r="13362" s="689" customFormat="1" x14ac:dyDescent="0.2"/>
    <row r="13363" s="689" customFormat="1" x14ac:dyDescent="0.2"/>
    <row r="13364" s="689" customFormat="1" x14ac:dyDescent="0.2"/>
    <row r="13365" s="689" customFormat="1" x14ac:dyDescent="0.2"/>
    <row r="13366" s="689" customFormat="1" x14ac:dyDescent="0.2"/>
    <row r="13367" s="689" customFormat="1" x14ac:dyDescent="0.2"/>
    <row r="13368" s="689" customFormat="1" x14ac:dyDescent="0.2"/>
    <row r="13369" s="689" customFormat="1" x14ac:dyDescent="0.2"/>
    <row r="13370" s="689" customFormat="1" x14ac:dyDescent="0.2"/>
    <row r="13371" s="689" customFormat="1" x14ac:dyDescent="0.2"/>
    <row r="13372" s="689" customFormat="1" x14ac:dyDescent="0.2"/>
    <row r="13373" s="689" customFormat="1" x14ac:dyDescent="0.2"/>
    <row r="13374" s="689" customFormat="1" x14ac:dyDescent="0.2"/>
    <row r="13375" s="689" customFormat="1" x14ac:dyDescent="0.2"/>
    <row r="13376" s="689" customFormat="1" x14ac:dyDescent="0.2"/>
    <row r="13377" s="689" customFormat="1" x14ac:dyDescent="0.2"/>
    <row r="13378" s="689" customFormat="1" x14ac:dyDescent="0.2"/>
    <row r="13379" s="689" customFormat="1" x14ac:dyDescent="0.2"/>
    <row r="13380" s="689" customFormat="1" x14ac:dyDescent="0.2"/>
    <row r="13381" s="689" customFormat="1" x14ac:dyDescent="0.2"/>
    <row r="13382" s="689" customFormat="1" x14ac:dyDescent="0.2"/>
    <row r="13383" s="689" customFormat="1" x14ac:dyDescent="0.2"/>
    <row r="13384" s="689" customFormat="1" x14ac:dyDescent="0.2"/>
    <row r="13385" s="689" customFormat="1" x14ac:dyDescent="0.2"/>
    <row r="13386" s="689" customFormat="1" x14ac:dyDescent="0.2"/>
    <row r="13387" s="689" customFormat="1" x14ac:dyDescent="0.2"/>
    <row r="13388" s="689" customFormat="1" x14ac:dyDescent="0.2"/>
    <row r="13389" s="689" customFormat="1" x14ac:dyDescent="0.2"/>
    <row r="13390" s="689" customFormat="1" x14ac:dyDescent="0.2"/>
    <row r="13391" s="689" customFormat="1" x14ac:dyDescent="0.2"/>
    <row r="13392" s="689" customFormat="1" x14ac:dyDescent="0.2"/>
    <row r="13393" s="689" customFormat="1" x14ac:dyDescent="0.2"/>
    <row r="13394" s="689" customFormat="1" x14ac:dyDescent="0.2"/>
    <row r="13395" s="689" customFormat="1" x14ac:dyDescent="0.2"/>
    <row r="13396" s="689" customFormat="1" x14ac:dyDescent="0.2"/>
    <row r="13397" s="689" customFormat="1" x14ac:dyDescent="0.2"/>
    <row r="13398" s="689" customFormat="1" x14ac:dyDescent="0.2"/>
    <row r="13399" s="689" customFormat="1" x14ac:dyDescent="0.2"/>
    <row r="13400" s="689" customFormat="1" x14ac:dyDescent="0.2"/>
    <row r="13401" s="689" customFormat="1" x14ac:dyDescent="0.2"/>
    <row r="13402" s="689" customFormat="1" x14ac:dyDescent="0.2"/>
    <row r="13403" s="689" customFormat="1" x14ac:dyDescent="0.2"/>
    <row r="13404" s="689" customFormat="1" x14ac:dyDescent="0.2"/>
    <row r="13405" s="689" customFormat="1" x14ac:dyDescent="0.2"/>
    <row r="13406" s="689" customFormat="1" x14ac:dyDescent="0.2"/>
    <row r="13407" s="689" customFormat="1" x14ac:dyDescent="0.2"/>
    <row r="13408" s="689" customFormat="1" x14ac:dyDescent="0.2"/>
    <row r="13409" s="689" customFormat="1" x14ac:dyDescent="0.2"/>
    <row r="13410" s="689" customFormat="1" x14ac:dyDescent="0.2"/>
    <row r="13411" s="689" customFormat="1" x14ac:dyDescent="0.2"/>
    <row r="13412" s="689" customFormat="1" x14ac:dyDescent="0.2"/>
    <row r="13413" s="689" customFormat="1" x14ac:dyDescent="0.2"/>
    <row r="13414" s="689" customFormat="1" x14ac:dyDescent="0.2"/>
    <row r="13415" s="689" customFormat="1" x14ac:dyDescent="0.2"/>
    <row r="13416" s="689" customFormat="1" x14ac:dyDescent="0.2"/>
    <row r="13417" s="689" customFormat="1" x14ac:dyDescent="0.2"/>
    <row r="13418" s="689" customFormat="1" x14ac:dyDescent="0.2"/>
    <row r="13419" s="689" customFormat="1" x14ac:dyDescent="0.2"/>
    <row r="13420" s="689" customFormat="1" x14ac:dyDescent="0.2"/>
    <row r="13421" s="689" customFormat="1" x14ac:dyDescent="0.2"/>
    <row r="13422" s="689" customFormat="1" x14ac:dyDescent="0.2"/>
    <row r="13423" s="689" customFormat="1" x14ac:dyDescent="0.2"/>
    <row r="13424" s="689" customFormat="1" x14ac:dyDescent="0.2"/>
    <row r="13425" s="689" customFormat="1" x14ac:dyDescent="0.2"/>
    <row r="13426" s="689" customFormat="1" x14ac:dyDescent="0.2"/>
    <row r="13427" s="689" customFormat="1" x14ac:dyDescent="0.2"/>
    <row r="13428" s="689" customFormat="1" x14ac:dyDescent="0.2"/>
    <row r="13429" s="689" customFormat="1" x14ac:dyDescent="0.2"/>
    <row r="13430" s="689" customFormat="1" x14ac:dyDescent="0.2"/>
    <row r="13431" s="689" customFormat="1" x14ac:dyDescent="0.2"/>
    <row r="13432" s="689" customFormat="1" x14ac:dyDescent="0.2"/>
    <row r="13433" s="689" customFormat="1" x14ac:dyDescent="0.2"/>
    <row r="13434" s="689" customFormat="1" x14ac:dyDescent="0.2"/>
    <row r="13435" s="689" customFormat="1" x14ac:dyDescent="0.2"/>
    <row r="13436" s="689" customFormat="1" x14ac:dyDescent="0.2"/>
    <row r="13437" s="689" customFormat="1" x14ac:dyDescent="0.2"/>
    <row r="13438" s="689" customFormat="1" x14ac:dyDescent="0.2"/>
    <row r="13439" s="689" customFormat="1" x14ac:dyDescent="0.2"/>
    <row r="13440" s="689" customFormat="1" x14ac:dyDescent="0.2"/>
    <row r="13441" s="689" customFormat="1" x14ac:dyDescent="0.2"/>
    <row r="13442" s="689" customFormat="1" x14ac:dyDescent="0.2"/>
    <row r="13443" s="689" customFormat="1" x14ac:dyDescent="0.2"/>
    <row r="13444" s="689" customFormat="1" x14ac:dyDescent="0.2"/>
    <row r="13445" s="689" customFormat="1" x14ac:dyDescent="0.2"/>
    <row r="13446" s="689" customFormat="1" x14ac:dyDescent="0.2"/>
    <row r="13447" s="689" customFormat="1" x14ac:dyDescent="0.2"/>
    <row r="13448" s="689" customFormat="1" x14ac:dyDescent="0.2"/>
    <row r="13449" s="689" customFormat="1" x14ac:dyDescent="0.2"/>
    <row r="13450" s="689" customFormat="1" x14ac:dyDescent="0.2"/>
    <row r="13451" s="689" customFormat="1" x14ac:dyDescent="0.2"/>
    <row r="13452" s="689" customFormat="1" x14ac:dyDescent="0.2"/>
    <row r="13453" s="689" customFormat="1" x14ac:dyDescent="0.2"/>
    <row r="13454" s="689" customFormat="1" x14ac:dyDescent="0.2"/>
    <row r="13455" s="689" customFormat="1" x14ac:dyDescent="0.2"/>
    <row r="13456" s="689" customFormat="1" x14ac:dyDescent="0.2"/>
    <row r="13457" s="689" customFormat="1" x14ac:dyDescent="0.2"/>
    <row r="13458" s="689" customFormat="1" x14ac:dyDescent="0.2"/>
    <row r="13459" s="689" customFormat="1" x14ac:dyDescent="0.2"/>
    <row r="13460" s="689" customFormat="1" x14ac:dyDescent="0.2"/>
    <row r="13461" s="689" customFormat="1" x14ac:dyDescent="0.2"/>
    <row r="13462" s="689" customFormat="1" x14ac:dyDescent="0.2"/>
    <row r="13463" s="689" customFormat="1" x14ac:dyDescent="0.2"/>
    <row r="13464" s="689" customFormat="1" x14ac:dyDescent="0.2"/>
    <row r="13465" s="689" customFormat="1" x14ac:dyDescent="0.2"/>
    <row r="13466" s="689" customFormat="1" x14ac:dyDescent="0.2"/>
    <row r="13467" s="689" customFormat="1" x14ac:dyDescent="0.2"/>
    <row r="13468" s="689" customFormat="1" x14ac:dyDescent="0.2"/>
    <row r="13469" s="689" customFormat="1" x14ac:dyDescent="0.2"/>
    <row r="13470" s="689" customFormat="1" x14ac:dyDescent="0.2"/>
    <row r="13471" s="689" customFormat="1" x14ac:dyDescent="0.2"/>
    <row r="13472" s="689" customFormat="1" x14ac:dyDescent="0.2"/>
    <row r="13473" s="689" customFormat="1" x14ac:dyDescent="0.2"/>
    <row r="13474" s="689" customFormat="1" x14ac:dyDescent="0.2"/>
    <row r="13475" s="689" customFormat="1" x14ac:dyDescent="0.2"/>
    <row r="13476" s="689" customFormat="1" x14ac:dyDescent="0.2"/>
    <row r="13477" s="689" customFormat="1" x14ac:dyDescent="0.2"/>
    <row r="13478" s="689" customFormat="1" x14ac:dyDescent="0.2"/>
    <row r="13479" s="689" customFormat="1" x14ac:dyDescent="0.2"/>
    <row r="13480" s="689" customFormat="1" x14ac:dyDescent="0.2"/>
    <row r="13481" s="689" customFormat="1" x14ac:dyDescent="0.2"/>
    <row r="13482" s="689" customFormat="1" x14ac:dyDescent="0.2"/>
    <row r="13483" s="689" customFormat="1" x14ac:dyDescent="0.2"/>
    <row r="13484" s="689" customFormat="1" x14ac:dyDescent="0.2"/>
    <row r="13485" s="689" customFormat="1" x14ac:dyDescent="0.2"/>
    <row r="13486" s="689" customFormat="1" x14ac:dyDescent="0.2"/>
    <row r="13487" s="689" customFormat="1" x14ac:dyDescent="0.2"/>
    <row r="13488" s="689" customFormat="1" x14ac:dyDescent="0.2"/>
    <row r="13489" s="689" customFormat="1" x14ac:dyDescent="0.2"/>
    <row r="13490" s="689" customFormat="1" x14ac:dyDescent="0.2"/>
    <row r="13491" s="689" customFormat="1" x14ac:dyDescent="0.2"/>
    <row r="13492" s="689" customFormat="1" x14ac:dyDescent="0.2"/>
    <row r="13493" s="689" customFormat="1" x14ac:dyDescent="0.2"/>
    <row r="13494" s="689" customFormat="1" x14ac:dyDescent="0.2"/>
    <row r="13495" s="689" customFormat="1" x14ac:dyDescent="0.2"/>
    <row r="13496" s="689" customFormat="1" x14ac:dyDescent="0.2"/>
    <row r="13497" s="689" customFormat="1" x14ac:dyDescent="0.2"/>
    <row r="13498" s="689" customFormat="1" x14ac:dyDescent="0.2"/>
    <row r="13499" s="689" customFormat="1" x14ac:dyDescent="0.2"/>
    <row r="13500" s="689" customFormat="1" x14ac:dyDescent="0.2"/>
    <row r="13501" s="689" customFormat="1" x14ac:dyDescent="0.2"/>
    <row r="13502" s="689" customFormat="1" x14ac:dyDescent="0.2"/>
    <row r="13503" s="689" customFormat="1" x14ac:dyDescent="0.2"/>
    <row r="13504" s="689" customFormat="1" x14ac:dyDescent="0.2"/>
    <row r="13505" s="689" customFormat="1" x14ac:dyDescent="0.2"/>
    <row r="13506" s="689" customFormat="1" x14ac:dyDescent="0.2"/>
    <row r="13507" s="689" customFormat="1" x14ac:dyDescent="0.2"/>
    <row r="13508" s="689" customFormat="1" x14ac:dyDescent="0.2"/>
    <row r="13509" s="689" customFormat="1" x14ac:dyDescent="0.2"/>
    <row r="13510" s="689" customFormat="1" x14ac:dyDescent="0.2"/>
    <row r="13511" s="689" customFormat="1" x14ac:dyDescent="0.2"/>
    <row r="13512" s="689" customFormat="1" x14ac:dyDescent="0.2"/>
    <row r="13513" s="689" customFormat="1" x14ac:dyDescent="0.2"/>
    <row r="13514" s="689" customFormat="1" x14ac:dyDescent="0.2"/>
    <row r="13515" s="689" customFormat="1" x14ac:dyDescent="0.2"/>
    <row r="13516" s="689" customFormat="1" x14ac:dyDescent="0.2"/>
    <row r="13517" s="689" customFormat="1" x14ac:dyDescent="0.2"/>
    <row r="13518" s="689" customFormat="1" x14ac:dyDescent="0.2"/>
    <row r="13519" s="689" customFormat="1" x14ac:dyDescent="0.2"/>
    <row r="13520" s="689" customFormat="1" x14ac:dyDescent="0.2"/>
    <row r="13521" s="689" customFormat="1" x14ac:dyDescent="0.2"/>
    <row r="13522" s="689" customFormat="1" x14ac:dyDescent="0.2"/>
    <row r="13523" s="689" customFormat="1" x14ac:dyDescent="0.2"/>
    <row r="13524" s="689" customFormat="1" x14ac:dyDescent="0.2"/>
    <row r="13525" s="689" customFormat="1" x14ac:dyDescent="0.2"/>
    <row r="13526" s="689" customFormat="1" x14ac:dyDescent="0.2"/>
    <row r="13527" s="689" customFormat="1" x14ac:dyDescent="0.2"/>
    <row r="13528" s="689" customFormat="1" x14ac:dyDescent="0.2"/>
    <row r="13529" s="689" customFormat="1" x14ac:dyDescent="0.2"/>
    <row r="13530" s="689" customFormat="1" x14ac:dyDescent="0.2"/>
    <row r="13531" s="689" customFormat="1" x14ac:dyDescent="0.2"/>
    <row r="13532" s="689" customFormat="1" x14ac:dyDescent="0.2"/>
    <row r="13533" s="689" customFormat="1" x14ac:dyDescent="0.2"/>
    <row r="13534" s="689" customFormat="1" x14ac:dyDescent="0.2"/>
    <row r="13535" s="689" customFormat="1" x14ac:dyDescent="0.2"/>
    <row r="13536" s="689" customFormat="1" x14ac:dyDescent="0.2"/>
    <row r="13537" s="689" customFormat="1" x14ac:dyDescent="0.2"/>
    <row r="13538" s="689" customFormat="1" x14ac:dyDescent="0.2"/>
    <row r="13539" s="689" customFormat="1" x14ac:dyDescent="0.2"/>
    <row r="13540" s="689" customFormat="1" x14ac:dyDescent="0.2"/>
    <row r="13541" s="689" customFormat="1" x14ac:dyDescent="0.2"/>
    <row r="13542" s="689" customFormat="1" x14ac:dyDescent="0.2"/>
    <row r="13543" s="689" customFormat="1" x14ac:dyDescent="0.2"/>
    <row r="13544" s="689" customFormat="1" x14ac:dyDescent="0.2"/>
    <row r="13545" s="689" customFormat="1" x14ac:dyDescent="0.2"/>
    <row r="13546" s="689" customFormat="1" x14ac:dyDescent="0.2"/>
    <row r="13547" s="689" customFormat="1" x14ac:dyDescent="0.2"/>
    <row r="13548" s="689" customFormat="1" x14ac:dyDescent="0.2"/>
    <row r="13549" s="689" customFormat="1" x14ac:dyDescent="0.2"/>
    <row r="13550" s="689" customFormat="1" x14ac:dyDescent="0.2"/>
    <row r="13551" s="689" customFormat="1" x14ac:dyDescent="0.2"/>
    <row r="13552" s="689" customFormat="1" x14ac:dyDescent="0.2"/>
    <row r="13553" s="689" customFormat="1" x14ac:dyDescent="0.2"/>
    <row r="13554" s="689" customFormat="1" x14ac:dyDescent="0.2"/>
    <row r="13555" s="689" customFormat="1" x14ac:dyDescent="0.2"/>
    <row r="13556" s="689" customFormat="1" x14ac:dyDescent="0.2"/>
    <row r="13557" s="689" customFormat="1" x14ac:dyDescent="0.2"/>
    <row r="13558" s="689" customFormat="1" x14ac:dyDescent="0.2"/>
    <row r="13559" s="689" customFormat="1" x14ac:dyDescent="0.2"/>
    <row r="13560" s="689" customFormat="1" x14ac:dyDescent="0.2"/>
    <row r="13561" s="689" customFormat="1" x14ac:dyDescent="0.2"/>
    <row r="13562" s="689" customFormat="1" x14ac:dyDescent="0.2"/>
    <row r="13563" s="689" customFormat="1" x14ac:dyDescent="0.2"/>
    <row r="13564" s="689" customFormat="1" x14ac:dyDescent="0.2"/>
    <row r="13565" s="689" customFormat="1" x14ac:dyDescent="0.2"/>
    <row r="13566" s="689" customFormat="1" x14ac:dyDescent="0.2"/>
    <row r="13567" s="689" customFormat="1" x14ac:dyDescent="0.2"/>
    <row r="13568" s="689" customFormat="1" x14ac:dyDescent="0.2"/>
    <row r="13569" s="689" customFormat="1" x14ac:dyDescent="0.2"/>
    <row r="13570" s="689" customFormat="1" x14ac:dyDescent="0.2"/>
    <row r="13571" s="689" customFormat="1" x14ac:dyDescent="0.2"/>
    <row r="13572" s="689" customFormat="1" x14ac:dyDescent="0.2"/>
    <row r="13573" s="689" customFormat="1" x14ac:dyDescent="0.2"/>
    <row r="13574" s="689" customFormat="1" x14ac:dyDescent="0.2"/>
    <row r="13575" s="689" customFormat="1" x14ac:dyDescent="0.2"/>
    <row r="13576" s="689" customFormat="1" x14ac:dyDescent="0.2"/>
    <row r="13577" s="689" customFormat="1" x14ac:dyDescent="0.2"/>
    <row r="13578" s="689" customFormat="1" x14ac:dyDescent="0.2"/>
    <row r="13579" s="689" customFormat="1" x14ac:dyDescent="0.2"/>
    <row r="13580" s="689" customFormat="1" x14ac:dyDescent="0.2"/>
    <row r="13581" s="689" customFormat="1" x14ac:dyDescent="0.2"/>
    <row r="13582" s="689" customFormat="1" x14ac:dyDescent="0.2"/>
    <row r="13583" s="689" customFormat="1" x14ac:dyDescent="0.2"/>
    <row r="13584" s="689" customFormat="1" x14ac:dyDescent="0.2"/>
    <row r="13585" s="689" customFormat="1" x14ac:dyDescent="0.2"/>
    <row r="13586" s="689" customFormat="1" x14ac:dyDescent="0.2"/>
    <row r="13587" s="689" customFormat="1" x14ac:dyDescent="0.2"/>
    <row r="13588" s="689" customFormat="1" x14ac:dyDescent="0.2"/>
    <row r="13589" s="689" customFormat="1" x14ac:dyDescent="0.2"/>
    <row r="13590" s="689" customFormat="1" x14ac:dyDescent="0.2"/>
    <row r="13591" s="689" customFormat="1" x14ac:dyDescent="0.2"/>
    <row r="13592" s="689" customFormat="1" x14ac:dyDescent="0.2"/>
    <row r="13593" s="689" customFormat="1" x14ac:dyDescent="0.2"/>
    <row r="13594" s="689" customFormat="1" x14ac:dyDescent="0.2"/>
    <row r="13595" s="689" customFormat="1" x14ac:dyDescent="0.2"/>
    <row r="13596" s="689" customFormat="1" x14ac:dyDescent="0.2"/>
    <row r="13597" s="689" customFormat="1" x14ac:dyDescent="0.2"/>
    <row r="13598" s="689" customFormat="1" x14ac:dyDescent="0.2"/>
    <row r="13599" s="689" customFormat="1" x14ac:dyDescent="0.2"/>
    <row r="13600" s="689" customFormat="1" x14ac:dyDescent="0.2"/>
    <row r="13601" s="689" customFormat="1" x14ac:dyDescent="0.2"/>
    <row r="13602" s="689" customFormat="1" x14ac:dyDescent="0.2"/>
    <row r="13603" s="689" customFormat="1" x14ac:dyDescent="0.2"/>
    <row r="13604" s="689" customFormat="1" x14ac:dyDescent="0.2"/>
    <row r="13605" s="689" customFormat="1" x14ac:dyDescent="0.2"/>
    <row r="13606" s="689" customFormat="1" x14ac:dyDescent="0.2"/>
    <row r="13607" s="689" customFormat="1" x14ac:dyDescent="0.2"/>
    <row r="13608" s="689" customFormat="1" x14ac:dyDescent="0.2"/>
    <row r="13609" s="689" customFormat="1" x14ac:dyDescent="0.2"/>
    <row r="13610" s="689" customFormat="1" x14ac:dyDescent="0.2"/>
    <row r="13611" s="689" customFormat="1" x14ac:dyDescent="0.2"/>
    <row r="13612" s="689" customFormat="1" x14ac:dyDescent="0.2"/>
    <row r="13613" s="689" customFormat="1" x14ac:dyDescent="0.2"/>
    <row r="13614" s="689" customFormat="1" x14ac:dyDescent="0.2"/>
    <row r="13615" s="689" customFormat="1" x14ac:dyDescent="0.2"/>
    <row r="13616" s="689" customFormat="1" x14ac:dyDescent="0.2"/>
    <row r="13617" s="689" customFormat="1" x14ac:dyDescent="0.2"/>
    <row r="13618" s="689" customFormat="1" x14ac:dyDescent="0.2"/>
    <row r="13619" s="689" customFormat="1" x14ac:dyDescent="0.2"/>
    <row r="13620" s="689" customFormat="1" x14ac:dyDescent="0.2"/>
    <row r="13621" s="689" customFormat="1" x14ac:dyDescent="0.2"/>
    <row r="13622" s="689" customFormat="1" x14ac:dyDescent="0.2"/>
    <row r="13623" s="689" customFormat="1" x14ac:dyDescent="0.2"/>
    <row r="13624" s="689" customFormat="1" x14ac:dyDescent="0.2"/>
    <row r="13625" s="689" customFormat="1" x14ac:dyDescent="0.2"/>
    <row r="13626" s="689" customFormat="1" x14ac:dyDescent="0.2"/>
    <row r="13627" s="689" customFormat="1" x14ac:dyDescent="0.2"/>
    <row r="13628" s="689" customFormat="1" x14ac:dyDescent="0.2"/>
    <row r="13629" s="689" customFormat="1" x14ac:dyDescent="0.2"/>
    <row r="13630" s="689" customFormat="1" x14ac:dyDescent="0.2"/>
    <row r="13631" s="689" customFormat="1" x14ac:dyDescent="0.2"/>
    <row r="13632" s="689" customFormat="1" x14ac:dyDescent="0.2"/>
    <row r="13633" s="689" customFormat="1" x14ac:dyDescent="0.2"/>
    <row r="13634" s="689" customFormat="1" x14ac:dyDescent="0.2"/>
    <row r="13635" s="689" customFormat="1" x14ac:dyDescent="0.2"/>
    <row r="13636" s="689" customFormat="1" x14ac:dyDescent="0.2"/>
    <row r="13637" s="689" customFormat="1" x14ac:dyDescent="0.2"/>
    <row r="13638" s="689" customFormat="1" x14ac:dyDescent="0.2"/>
    <row r="13639" s="689" customFormat="1" x14ac:dyDescent="0.2"/>
    <row r="13640" s="689" customFormat="1" x14ac:dyDescent="0.2"/>
    <row r="13641" s="689" customFormat="1" x14ac:dyDescent="0.2"/>
    <row r="13642" s="689" customFormat="1" x14ac:dyDescent="0.2"/>
    <row r="13643" s="689" customFormat="1" x14ac:dyDescent="0.2"/>
    <row r="13644" s="689" customFormat="1" x14ac:dyDescent="0.2"/>
    <row r="13645" s="689" customFormat="1" x14ac:dyDescent="0.2"/>
    <row r="13646" s="689" customFormat="1" x14ac:dyDescent="0.2"/>
    <row r="13647" s="689" customFormat="1" x14ac:dyDescent="0.2"/>
    <row r="13648" s="689" customFormat="1" x14ac:dyDescent="0.2"/>
    <row r="13649" s="689" customFormat="1" x14ac:dyDescent="0.2"/>
    <row r="13650" s="689" customFormat="1" x14ac:dyDescent="0.2"/>
    <row r="13651" s="689" customFormat="1" x14ac:dyDescent="0.2"/>
    <row r="13652" s="689" customFormat="1" x14ac:dyDescent="0.2"/>
    <row r="13653" s="689" customFormat="1" x14ac:dyDescent="0.2"/>
    <row r="13654" s="689" customFormat="1" x14ac:dyDescent="0.2"/>
    <row r="13655" s="689" customFormat="1" x14ac:dyDescent="0.2"/>
    <row r="13656" s="689" customFormat="1" x14ac:dyDescent="0.2"/>
    <row r="13657" s="689" customFormat="1" x14ac:dyDescent="0.2"/>
    <row r="13658" s="689" customFormat="1" x14ac:dyDescent="0.2"/>
    <row r="13659" s="689" customFormat="1" x14ac:dyDescent="0.2"/>
    <row r="13660" s="689" customFormat="1" x14ac:dyDescent="0.2"/>
    <row r="13661" s="689" customFormat="1" x14ac:dyDescent="0.2"/>
    <row r="13662" s="689" customFormat="1" x14ac:dyDescent="0.2"/>
    <row r="13663" s="689" customFormat="1" x14ac:dyDescent="0.2"/>
    <row r="13664" s="689" customFormat="1" x14ac:dyDescent="0.2"/>
    <row r="13665" s="689" customFormat="1" x14ac:dyDescent="0.2"/>
    <row r="13666" s="689" customFormat="1" x14ac:dyDescent="0.2"/>
    <row r="13667" s="689" customFormat="1" x14ac:dyDescent="0.2"/>
    <row r="13668" s="689" customFormat="1" x14ac:dyDescent="0.2"/>
    <row r="13669" s="689" customFormat="1" x14ac:dyDescent="0.2"/>
    <row r="13670" s="689" customFormat="1" x14ac:dyDescent="0.2"/>
    <row r="13671" s="689" customFormat="1" x14ac:dyDescent="0.2"/>
    <row r="13672" s="689" customFormat="1" x14ac:dyDescent="0.2"/>
    <row r="13673" s="689" customFormat="1" x14ac:dyDescent="0.2"/>
    <row r="13674" s="689" customFormat="1" x14ac:dyDescent="0.2"/>
    <row r="13675" s="689" customFormat="1" x14ac:dyDescent="0.2"/>
    <row r="13676" s="689" customFormat="1" x14ac:dyDescent="0.2"/>
    <row r="13677" s="689" customFormat="1" x14ac:dyDescent="0.2"/>
    <row r="13678" s="689" customFormat="1" x14ac:dyDescent="0.2"/>
    <row r="13679" s="689" customFormat="1" x14ac:dyDescent="0.2"/>
    <row r="13680" s="689" customFormat="1" x14ac:dyDescent="0.2"/>
    <row r="13681" s="689" customFormat="1" x14ac:dyDescent="0.2"/>
    <row r="13682" s="689" customFormat="1" x14ac:dyDescent="0.2"/>
    <row r="13683" s="689" customFormat="1" x14ac:dyDescent="0.2"/>
    <row r="13684" s="689" customFormat="1" x14ac:dyDescent="0.2"/>
    <row r="13685" s="689" customFormat="1" x14ac:dyDescent="0.2"/>
    <row r="13686" s="689" customFormat="1" x14ac:dyDescent="0.2"/>
    <row r="13687" s="689" customFormat="1" x14ac:dyDescent="0.2"/>
    <row r="13688" s="689" customFormat="1" x14ac:dyDescent="0.2"/>
    <row r="13689" s="689" customFormat="1" x14ac:dyDescent="0.2"/>
    <row r="13690" s="689" customFormat="1" x14ac:dyDescent="0.2"/>
    <row r="13691" s="689" customFormat="1" x14ac:dyDescent="0.2"/>
    <row r="13692" s="689" customFormat="1" x14ac:dyDescent="0.2"/>
    <row r="13693" s="689" customFormat="1" x14ac:dyDescent="0.2"/>
    <row r="13694" s="689" customFormat="1" x14ac:dyDescent="0.2"/>
    <row r="13695" s="689" customFormat="1" x14ac:dyDescent="0.2"/>
    <row r="13696" s="689" customFormat="1" x14ac:dyDescent="0.2"/>
    <row r="13697" s="689" customFormat="1" x14ac:dyDescent="0.2"/>
    <row r="13698" s="689" customFormat="1" x14ac:dyDescent="0.2"/>
    <row r="13699" s="689" customFormat="1" x14ac:dyDescent="0.2"/>
    <row r="13700" s="689" customFormat="1" x14ac:dyDescent="0.2"/>
    <row r="13701" s="689" customFormat="1" x14ac:dyDescent="0.2"/>
    <row r="13702" s="689" customFormat="1" x14ac:dyDescent="0.2"/>
    <row r="13703" s="689" customFormat="1" x14ac:dyDescent="0.2"/>
    <row r="13704" s="689" customFormat="1" x14ac:dyDescent="0.2"/>
    <row r="13705" s="689" customFormat="1" x14ac:dyDescent="0.2"/>
    <row r="13706" s="689" customFormat="1" x14ac:dyDescent="0.2"/>
    <row r="13707" s="689" customFormat="1" x14ac:dyDescent="0.2"/>
    <row r="13708" s="689" customFormat="1" x14ac:dyDescent="0.2"/>
    <row r="13709" s="689" customFormat="1" x14ac:dyDescent="0.2"/>
    <row r="13710" s="689" customFormat="1" x14ac:dyDescent="0.2"/>
    <row r="13711" s="689" customFormat="1" x14ac:dyDescent="0.2"/>
    <row r="13712" s="689" customFormat="1" x14ac:dyDescent="0.2"/>
    <row r="13713" s="689" customFormat="1" x14ac:dyDescent="0.2"/>
    <row r="13714" s="689" customFormat="1" x14ac:dyDescent="0.2"/>
    <row r="13715" s="689" customFormat="1" x14ac:dyDescent="0.2"/>
    <row r="13716" s="689" customFormat="1" x14ac:dyDescent="0.2"/>
    <row r="13717" s="689" customFormat="1" x14ac:dyDescent="0.2"/>
    <row r="13718" s="689" customFormat="1" x14ac:dyDescent="0.2"/>
    <row r="13719" s="689" customFormat="1" x14ac:dyDescent="0.2"/>
    <row r="13720" s="689" customFormat="1" x14ac:dyDescent="0.2"/>
    <row r="13721" s="689" customFormat="1" x14ac:dyDescent="0.2"/>
    <row r="13722" s="689" customFormat="1" x14ac:dyDescent="0.2"/>
    <row r="13723" s="689" customFormat="1" x14ac:dyDescent="0.2"/>
    <row r="13724" s="689" customFormat="1" x14ac:dyDescent="0.2"/>
    <row r="13725" s="689" customFormat="1" x14ac:dyDescent="0.2"/>
    <row r="13726" s="689" customFormat="1" x14ac:dyDescent="0.2"/>
    <row r="13727" s="689" customFormat="1" x14ac:dyDescent="0.2"/>
    <row r="13728" s="689" customFormat="1" x14ac:dyDescent="0.2"/>
    <row r="13729" s="689" customFormat="1" x14ac:dyDescent="0.2"/>
    <row r="13730" s="689" customFormat="1" x14ac:dyDescent="0.2"/>
    <row r="13731" s="689" customFormat="1" x14ac:dyDescent="0.2"/>
    <row r="13732" s="689" customFormat="1" x14ac:dyDescent="0.2"/>
    <row r="13733" s="689" customFormat="1" x14ac:dyDescent="0.2"/>
    <row r="13734" s="689" customFormat="1" x14ac:dyDescent="0.2"/>
    <row r="13735" s="689" customFormat="1" x14ac:dyDescent="0.2"/>
    <row r="13736" s="689" customFormat="1" x14ac:dyDescent="0.2"/>
    <row r="13737" s="689" customFormat="1" x14ac:dyDescent="0.2"/>
    <row r="13738" s="689" customFormat="1" x14ac:dyDescent="0.2"/>
    <row r="13739" s="689" customFormat="1" x14ac:dyDescent="0.2"/>
    <row r="13740" s="689" customFormat="1" x14ac:dyDescent="0.2"/>
    <row r="13741" s="689" customFormat="1" x14ac:dyDescent="0.2"/>
    <row r="13742" s="689" customFormat="1" x14ac:dyDescent="0.2"/>
    <row r="13743" s="689" customFormat="1" x14ac:dyDescent="0.2"/>
    <row r="13744" s="689" customFormat="1" x14ac:dyDescent="0.2"/>
    <row r="13745" s="689" customFormat="1" x14ac:dyDescent="0.2"/>
    <row r="13746" s="689" customFormat="1" x14ac:dyDescent="0.2"/>
    <row r="13747" s="689" customFormat="1" x14ac:dyDescent="0.2"/>
    <row r="13748" s="689" customFormat="1" x14ac:dyDescent="0.2"/>
    <row r="13749" s="689" customFormat="1" x14ac:dyDescent="0.2"/>
    <row r="13750" s="689" customFormat="1" x14ac:dyDescent="0.2"/>
    <row r="13751" s="689" customFormat="1" x14ac:dyDescent="0.2"/>
    <row r="13752" s="689" customFormat="1" x14ac:dyDescent="0.2"/>
    <row r="13753" s="689" customFormat="1" x14ac:dyDescent="0.2"/>
    <row r="13754" s="689" customFormat="1" x14ac:dyDescent="0.2"/>
    <row r="13755" s="689" customFormat="1" x14ac:dyDescent="0.2"/>
    <row r="13756" s="689" customFormat="1" x14ac:dyDescent="0.2"/>
    <row r="13757" s="689" customFormat="1" x14ac:dyDescent="0.2"/>
    <row r="13758" s="689" customFormat="1" x14ac:dyDescent="0.2"/>
    <row r="13759" s="689" customFormat="1" x14ac:dyDescent="0.2"/>
    <row r="13760" s="689" customFormat="1" x14ac:dyDescent="0.2"/>
    <row r="13761" s="689" customFormat="1" x14ac:dyDescent="0.2"/>
    <row r="13762" s="689" customFormat="1" x14ac:dyDescent="0.2"/>
    <row r="13763" s="689" customFormat="1" x14ac:dyDescent="0.2"/>
    <row r="13764" s="689" customFormat="1" x14ac:dyDescent="0.2"/>
    <row r="13765" s="689" customFormat="1" x14ac:dyDescent="0.2"/>
    <row r="13766" s="689" customFormat="1" x14ac:dyDescent="0.2"/>
    <row r="13767" s="689" customFormat="1" x14ac:dyDescent="0.2"/>
    <row r="13768" s="689" customFormat="1" x14ac:dyDescent="0.2"/>
    <row r="13769" s="689" customFormat="1" x14ac:dyDescent="0.2"/>
    <row r="13770" s="689" customFormat="1" x14ac:dyDescent="0.2"/>
    <row r="13771" s="689" customFormat="1" x14ac:dyDescent="0.2"/>
    <row r="13772" s="689" customFormat="1" x14ac:dyDescent="0.2"/>
    <row r="13773" s="689" customFormat="1" x14ac:dyDescent="0.2"/>
    <row r="13774" s="689" customFormat="1" x14ac:dyDescent="0.2"/>
    <row r="13775" s="689" customFormat="1" x14ac:dyDescent="0.2"/>
    <row r="13776" s="689" customFormat="1" x14ac:dyDescent="0.2"/>
    <row r="13777" s="689" customFormat="1" x14ac:dyDescent="0.2"/>
    <row r="13778" s="689" customFormat="1" x14ac:dyDescent="0.2"/>
    <row r="13779" s="689" customFormat="1" x14ac:dyDescent="0.2"/>
    <row r="13780" s="689" customFormat="1" x14ac:dyDescent="0.2"/>
    <row r="13781" s="689" customFormat="1" x14ac:dyDescent="0.2"/>
    <row r="13782" s="689" customFormat="1" x14ac:dyDescent="0.2"/>
    <row r="13783" s="689" customFormat="1" x14ac:dyDescent="0.2"/>
    <row r="13784" s="689" customFormat="1" x14ac:dyDescent="0.2"/>
    <row r="13785" s="689" customFormat="1" x14ac:dyDescent="0.2"/>
    <row r="13786" s="689" customFormat="1" x14ac:dyDescent="0.2"/>
    <row r="13787" s="689" customFormat="1" x14ac:dyDescent="0.2"/>
    <row r="13788" s="689" customFormat="1" x14ac:dyDescent="0.2"/>
    <row r="13789" s="689" customFormat="1" x14ac:dyDescent="0.2"/>
    <row r="13790" s="689" customFormat="1" x14ac:dyDescent="0.2"/>
    <row r="13791" s="689" customFormat="1" x14ac:dyDescent="0.2"/>
    <row r="13792" s="689" customFormat="1" x14ac:dyDescent="0.2"/>
    <row r="13793" s="689" customFormat="1" x14ac:dyDescent="0.2"/>
    <row r="13794" s="689" customFormat="1" x14ac:dyDescent="0.2"/>
    <row r="13795" s="689" customFormat="1" x14ac:dyDescent="0.2"/>
    <row r="13796" s="689" customFormat="1" x14ac:dyDescent="0.2"/>
    <row r="13797" s="689" customFormat="1" x14ac:dyDescent="0.2"/>
    <row r="13798" s="689" customFormat="1" x14ac:dyDescent="0.2"/>
    <row r="13799" s="689" customFormat="1" x14ac:dyDescent="0.2"/>
    <row r="13800" s="689" customFormat="1" x14ac:dyDescent="0.2"/>
    <row r="13801" s="689" customFormat="1" x14ac:dyDescent="0.2"/>
    <row r="13802" s="689" customFormat="1" x14ac:dyDescent="0.2"/>
    <row r="13803" s="689" customFormat="1" x14ac:dyDescent="0.2"/>
    <row r="13804" s="689" customFormat="1" x14ac:dyDescent="0.2"/>
    <row r="13805" s="689" customFormat="1" x14ac:dyDescent="0.2"/>
    <row r="13806" s="689" customFormat="1" x14ac:dyDescent="0.2"/>
    <row r="13807" s="689" customFormat="1" x14ac:dyDescent="0.2"/>
    <row r="13808" s="689" customFormat="1" x14ac:dyDescent="0.2"/>
    <row r="13809" s="689" customFormat="1" x14ac:dyDescent="0.2"/>
    <row r="13810" s="689" customFormat="1" x14ac:dyDescent="0.2"/>
    <row r="13811" s="689" customFormat="1" x14ac:dyDescent="0.2"/>
    <row r="13812" s="689" customFormat="1" x14ac:dyDescent="0.2"/>
    <row r="13813" s="689" customFormat="1" x14ac:dyDescent="0.2"/>
    <row r="13814" s="689" customFormat="1" x14ac:dyDescent="0.2"/>
    <row r="13815" s="689" customFormat="1" x14ac:dyDescent="0.2"/>
    <row r="13816" s="689" customFormat="1" x14ac:dyDescent="0.2"/>
    <row r="13817" s="689" customFormat="1" x14ac:dyDescent="0.2"/>
    <row r="13818" s="689" customFormat="1" x14ac:dyDescent="0.2"/>
    <row r="13819" s="689" customFormat="1" x14ac:dyDescent="0.2"/>
    <row r="13820" s="689" customFormat="1" x14ac:dyDescent="0.2"/>
    <row r="13821" s="689" customFormat="1" x14ac:dyDescent="0.2"/>
    <row r="13822" s="689" customFormat="1" x14ac:dyDescent="0.2"/>
    <row r="13823" s="689" customFormat="1" x14ac:dyDescent="0.2"/>
    <row r="13824" s="689" customFormat="1" x14ac:dyDescent="0.2"/>
    <row r="13825" s="689" customFormat="1" x14ac:dyDescent="0.2"/>
    <row r="13826" s="689" customFormat="1" x14ac:dyDescent="0.2"/>
    <row r="13827" s="689" customFormat="1" x14ac:dyDescent="0.2"/>
    <row r="13828" s="689" customFormat="1" x14ac:dyDescent="0.2"/>
    <row r="13829" s="689" customFormat="1" x14ac:dyDescent="0.2"/>
    <row r="13830" s="689" customFormat="1" x14ac:dyDescent="0.2"/>
    <row r="13831" s="689" customFormat="1" x14ac:dyDescent="0.2"/>
    <row r="13832" s="689" customFormat="1" x14ac:dyDescent="0.2"/>
    <row r="13833" s="689" customFormat="1" x14ac:dyDescent="0.2"/>
    <row r="13834" s="689" customFormat="1" x14ac:dyDescent="0.2"/>
    <row r="13835" s="689" customFormat="1" x14ac:dyDescent="0.2"/>
    <row r="13836" s="689" customFormat="1" x14ac:dyDescent="0.2"/>
    <row r="13837" s="689" customFormat="1" x14ac:dyDescent="0.2"/>
    <row r="13838" s="689" customFormat="1" x14ac:dyDescent="0.2"/>
    <row r="13839" s="689" customFormat="1" x14ac:dyDescent="0.2"/>
    <row r="13840" s="689" customFormat="1" x14ac:dyDescent="0.2"/>
    <row r="13841" s="689" customFormat="1" x14ac:dyDescent="0.2"/>
    <row r="13842" s="689" customFormat="1" x14ac:dyDescent="0.2"/>
    <row r="13843" s="689" customFormat="1" x14ac:dyDescent="0.2"/>
    <row r="13844" s="689" customFormat="1" x14ac:dyDescent="0.2"/>
    <row r="13845" s="689" customFormat="1" x14ac:dyDescent="0.2"/>
    <row r="13846" s="689" customFormat="1" x14ac:dyDescent="0.2"/>
    <row r="13847" s="689" customFormat="1" x14ac:dyDescent="0.2"/>
    <row r="13848" s="689" customFormat="1" x14ac:dyDescent="0.2"/>
    <row r="13849" s="689" customFormat="1" x14ac:dyDescent="0.2"/>
    <row r="13850" s="689" customFormat="1" x14ac:dyDescent="0.2"/>
    <row r="13851" s="689" customFormat="1" x14ac:dyDescent="0.2"/>
    <row r="13852" s="689" customFormat="1" x14ac:dyDescent="0.2"/>
    <row r="13853" s="689" customFormat="1" x14ac:dyDescent="0.2"/>
    <row r="13854" s="689" customFormat="1" x14ac:dyDescent="0.2"/>
    <row r="13855" s="689" customFormat="1" x14ac:dyDescent="0.2"/>
    <row r="13856" s="689" customFormat="1" x14ac:dyDescent="0.2"/>
    <row r="13857" s="689" customFormat="1" x14ac:dyDescent="0.2"/>
    <row r="13858" s="689" customFormat="1" x14ac:dyDescent="0.2"/>
    <row r="13859" s="689" customFormat="1" x14ac:dyDescent="0.2"/>
    <row r="13860" s="689" customFormat="1" x14ac:dyDescent="0.2"/>
    <row r="13861" s="689" customFormat="1" x14ac:dyDescent="0.2"/>
    <row r="13862" s="689" customFormat="1" x14ac:dyDescent="0.2"/>
    <row r="13863" s="689" customFormat="1" x14ac:dyDescent="0.2"/>
    <row r="13864" s="689" customFormat="1" x14ac:dyDescent="0.2"/>
    <row r="13865" s="689" customFormat="1" x14ac:dyDescent="0.2"/>
    <row r="13866" s="689" customFormat="1" x14ac:dyDescent="0.2"/>
    <row r="13867" s="689" customFormat="1" x14ac:dyDescent="0.2"/>
    <row r="13868" s="689" customFormat="1" x14ac:dyDescent="0.2"/>
    <row r="13869" s="689" customFormat="1" x14ac:dyDescent="0.2"/>
    <row r="13870" s="689" customFormat="1" x14ac:dyDescent="0.2"/>
    <row r="13871" s="689" customFormat="1" x14ac:dyDescent="0.2"/>
    <row r="13872" s="689" customFormat="1" x14ac:dyDescent="0.2"/>
    <row r="13873" s="689" customFormat="1" x14ac:dyDescent="0.2"/>
    <row r="13874" s="689" customFormat="1" x14ac:dyDescent="0.2"/>
    <row r="13875" s="689" customFormat="1" x14ac:dyDescent="0.2"/>
    <row r="13876" s="689" customFormat="1" x14ac:dyDescent="0.2"/>
    <row r="13877" s="689" customFormat="1" x14ac:dyDescent="0.2"/>
    <row r="13878" s="689" customFormat="1" x14ac:dyDescent="0.2"/>
    <row r="13879" s="689" customFormat="1" x14ac:dyDescent="0.2"/>
    <row r="13880" s="689" customFormat="1" x14ac:dyDescent="0.2"/>
    <row r="13881" s="689" customFormat="1" x14ac:dyDescent="0.2"/>
    <row r="13882" s="689" customFormat="1" x14ac:dyDescent="0.2"/>
    <row r="13883" s="689" customFormat="1" x14ac:dyDescent="0.2"/>
    <row r="13884" s="689" customFormat="1" x14ac:dyDescent="0.2"/>
    <row r="13885" s="689" customFormat="1" x14ac:dyDescent="0.2"/>
    <row r="13886" s="689" customFormat="1" x14ac:dyDescent="0.2"/>
    <row r="13887" s="689" customFormat="1" x14ac:dyDescent="0.2"/>
    <row r="13888" s="689" customFormat="1" x14ac:dyDescent="0.2"/>
    <row r="13889" s="689" customFormat="1" x14ac:dyDescent="0.2"/>
    <row r="13890" s="689" customFormat="1" x14ac:dyDescent="0.2"/>
    <row r="13891" s="689" customFormat="1" x14ac:dyDescent="0.2"/>
    <row r="13892" s="689" customFormat="1" x14ac:dyDescent="0.2"/>
    <row r="13893" s="689" customFormat="1" x14ac:dyDescent="0.2"/>
    <row r="13894" s="689" customFormat="1" x14ac:dyDescent="0.2"/>
    <row r="13895" s="689" customFormat="1" x14ac:dyDescent="0.2"/>
    <row r="13896" s="689" customFormat="1" x14ac:dyDescent="0.2"/>
    <row r="13897" s="689" customFormat="1" x14ac:dyDescent="0.2"/>
    <row r="13898" s="689" customFormat="1" x14ac:dyDescent="0.2"/>
    <row r="13899" s="689" customFormat="1" x14ac:dyDescent="0.2"/>
    <row r="13900" s="689" customFormat="1" x14ac:dyDescent="0.2"/>
    <row r="13901" s="689" customFormat="1" x14ac:dyDescent="0.2"/>
    <row r="13902" s="689" customFormat="1" x14ac:dyDescent="0.2"/>
    <row r="13903" s="689" customFormat="1" x14ac:dyDescent="0.2"/>
    <row r="13904" s="689" customFormat="1" x14ac:dyDescent="0.2"/>
    <row r="13905" s="689" customFormat="1" x14ac:dyDescent="0.2"/>
    <row r="13906" s="689" customFormat="1" x14ac:dyDescent="0.2"/>
    <row r="13907" s="689" customFormat="1" x14ac:dyDescent="0.2"/>
    <row r="13908" s="689" customFormat="1" x14ac:dyDescent="0.2"/>
    <row r="13909" s="689" customFormat="1" x14ac:dyDescent="0.2"/>
    <row r="13910" s="689" customFormat="1" x14ac:dyDescent="0.2"/>
    <row r="13911" s="689" customFormat="1" x14ac:dyDescent="0.2"/>
    <row r="13912" s="689" customFormat="1" x14ac:dyDescent="0.2"/>
    <row r="13913" s="689" customFormat="1" x14ac:dyDescent="0.2"/>
    <row r="13914" s="689" customFormat="1" x14ac:dyDescent="0.2"/>
    <row r="13915" s="689" customFormat="1" x14ac:dyDescent="0.2"/>
    <row r="13916" s="689" customFormat="1" x14ac:dyDescent="0.2"/>
    <row r="13917" s="689" customFormat="1" x14ac:dyDescent="0.2"/>
    <row r="13918" s="689" customFormat="1" x14ac:dyDescent="0.2"/>
    <row r="13919" s="689" customFormat="1" x14ac:dyDescent="0.2"/>
    <row r="13920" s="689" customFormat="1" x14ac:dyDescent="0.2"/>
    <row r="13921" s="689" customFormat="1" x14ac:dyDescent="0.2"/>
    <row r="13922" s="689" customFormat="1" x14ac:dyDescent="0.2"/>
    <row r="13923" s="689" customFormat="1" x14ac:dyDescent="0.2"/>
    <row r="13924" s="689" customFormat="1" x14ac:dyDescent="0.2"/>
    <row r="13925" s="689" customFormat="1" x14ac:dyDescent="0.2"/>
    <row r="13926" s="689" customFormat="1" x14ac:dyDescent="0.2"/>
    <row r="13927" s="689" customFormat="1" x14ac:dyDescent="0.2"/>
    <row r="13928" s="689" customFormat="1" x14ac:dyDescent="0.2"/>
    <row r="13929" s="689" customFormat="1" x14ac:dyDescent="0.2"/>
    <row r="13930" s="689" customFormat="1" x14ac:dyDescent="0.2"/>
    <row r="13931" s="689" customFormat="1" x14ac:dyDescent="0.2"/>
    <row r="13932" s="689" customFormat="1" x14ac:dyDescent="0.2"/>
    <row r="13933" s="689" customFormat="1" x14ac:dyDescent="0.2"/>
    <row r="13934" s="689" customFormat="1" x14ac:dyDescent="0.2"/>
    <row r="13935" s="689" customFormat="1" x14ac:dyDescent="0.2"/>
    <row r="13936" s="689" customFormat="1" x14ac:dyDescent="0.2"/>
    <row r="13937" s="689" customFormat="1" x14ac:dyDescent="0.2"/>
    <row r="13938" s="689" customFormat="1" x14ac:dyDescent="0.2"/>
    <row r="13939" s="689" customFormat="1" x14ac:dyDescent="0.2"/>
    <row r="13940" s="689" customFormat="1" x14ac:dyDescent="0.2"/>
    <row r="13941" s="689" customFormat="1" x14ac:dyDescent="0.2"/>
    <row r="13942" s="689" customFormat="1" x14ac:dyDescent="0.2"/>
    <row r="13943" s="689" customFormat="1" x14ac:dyDescent="0.2"/>
    <row r="13944" s="689" customFormat="1" x14ac:dyDescent="0.2"/>
    <row r="13945" s="689" customFormat="1" x14ac:dyDescent="0.2"/>
    <row r="13946" s="689" customFormat="1" x14ac:dyDescent="0.2"/>
    <row r="13947" s="689" customFormat="1" x14ac:dyDescent="0.2"/>
    <row r="13948" s="689" customFormat="1" x14ac:dyDescent="0.2"/>
    <row r="13949" s="689" customFormat="1" x14ac:dyDescent="0.2"/>
    <row r="13950" s="689" customFormat="1" x14ac:dyDescent="0.2"/>
    <row r="13951" s="689" customFormat="1" x14ac:dyDescent="0.2"/>
    <row r="13952" s="689" customFormat="1" x14ac:dyDescent="0.2"/>
    <row r="13953" s="689" customFormat="1" x14ac:dyDescent="0.2"/>
    <row r="13954" s="689" customFormat="1" x14ac:dyDescent="0.2"/>
    <row r="13955" s="689" customFormat="1" x14ac:dyDescent="0.2"/>
    <row r="13956" s="689" customFormat="1" x14ac:dyDescent="0.2"/>
    <row r="13957" s="689" customFormat="1" x14ac:dyDescent="0.2"/>
    <row r="13958" s="689" customFormat="1" x14ac:dyDescent="0.2"/>
    <row r="13959" s="689" customFormat="1" x14ac:dyDescent="0.2"/>
    <row r="13960" s="689" customFormat="1" x14ac:dyDescent="0.2"/>
    <row r="13961" s="689" customFormat="1" x14ac:dyDescent="0.2"/>
    <row r="13962" s="689" customFormat="1" x14ac:dyDescent="0.2"/>
    <row r="13963" s="689" customFormat="1" x14ac:dyDescent="0.2"/>
    <row r="13964" s="689" customFormat="1" x14ac:dyDescent="0.2"/>
    <row r="13965" s="689" customFormat="1" x14ac:dyDescent="0.2"/>
    <row r="13966" s="689" customFormat="1" x14ac:dyDescent="0.2"/>
    <row r="13967" s="689" customFormat="1" x14ac:dyDescent="0.2"/>
    <row r="13968" s="689" customFormat="1" x14ac:dyDescent="0.2"/>
    <row r="13969" s="689" customFormat="1" x14ac:dyDescent="0.2"/>
    <row r="13970" s="689" customFormat="1" x14ac:dyDescent="0.2"/>
    <row r="13971" s="689" customFormat="1" x14ac:dyDescent="0.2"/>
    <row r="13972" s="689" customFormat="1" x14ac:dyDescent="0.2"/>
    <row r="13973" s="689" customFormat="1" x14ac:dyDescent="0.2"/>
    <row r="13974" s="689" customFormat="1" x14ac:dyDescent="0.2"/>
    <row r="13975" s="689" customFormat="1" x14ac:dyDescent="0.2"/>
    <row r="13976" s="689" customFormat="1" x14ac:dyDescent="0.2"/>
    <row r="13977" s="689" customFormat="1" x14ac:dyDescent="0.2"/>
    <row r="13978" s="689" customFormat="1" x14ac:dyDescent="0.2"/>
    <row r="13979" s="689" customFormat="1" x14ac:dyDescent="0.2"/>
    <row r="13980" s="689" customFormat="1" x14ac:dyDescent="0.2"/>
    <row r="13981" s="689" customFormat="1" x14ac:dyDescent="0.2"/>
    <row r="13982" s="689" customFormat="1" x14ac:dyDescent="0.2"/>
    <row r="13983" s="689" customFormat="1" x14ac:dyDescent="0.2"/>
    <row r="13984" s="689" customFormat="1" x14ac:dyDescent="0.2"/>
    <row r="13985" s="689" customFormat="1" x14ac:dyDescent="0.2"/>
    <row r="13986" s="689" customFormat="1" x14ac:dyDescent="0.2"/>
    <row r="13987" s="689" customFormat="1" x14ac:dyDescent="0.2"/>
    <row r="13988" s="689" customFormat="1" x14ac:dyDescent="0.2"/>
    <row r="13989" s="689" customFormat="1" x14ac:dyDescent="0.2"/>
    <row r="13990" s="689" customFormat="1" x14ac:dyDescent="0.2"/>
    <row r="13991" s="689" customFormat="1" x14ac:dyDescent="0.2"/>
    <row r="13992" s="689" customFormat="1" x14ac:dyDescent="0.2"/>
    <row r="13993" s="689" customFormat="1" x14ac:dyDescent="0.2"/>
    <row r="13994" s="689" customFormat="1" x14ac:dyDescent="0.2"/>
    <row r="13995" s="689" customFormat="1" x14ac:dyDescent="0.2"/>
    <row r="13996" s="689" customFormat="1" x14ac:dyDescent="0.2"/>
    <row r="13997" s="689" customFormat="1" x14ac:dyDescent="0.2"/>
    <row r="13998" s="689" customFormat="1" x14ac:dyDescent="0.2"/>
    <row r="13999" s="689" customFormat="1" x14ac:dyDescent="0.2"/>
    <row r="14000" s="689" customFormat="1" x14ac:dyDescent="0.2"/>
    <row r="14001" s="689" customFormat="1" x14ac:dyDescent="0.2"/>
    <row r="14002" s="689" customFormat="1" x14ac:dyDescent="0.2"/>
    <row r="14003" s="689" customFormat="1" x14ac:dyDescent="0.2"/>
    <row r="14004" s="689" customFormat="1" x14ac:dyDescent="0.2"/>
    <row r="14005" s="689" customFormat="1" x14ac:dyDescent="0.2"/>
    <row r="14006" s="689" customFormat="1" x14ac:dyDescent="0.2"/>
    <row r="14007" s="689" customFormat="1" x14ac:dyDescent="0.2"/>
    <row r="14008" s="689" customFormat="1" x14ac:dyDescent="0.2"/>
    <row r="14009" s="689" customFormat="1" x14ac:dyDescent="0.2"/>
    <row r="14010" s="689" customFormat="1" x14ac:dyDescent="0.2"/>
    <row r="14011" s="689" customFormat="1" x14ac:dyDescent="0.2"/>
    <row r="14012" s="689" customFormat="1" x14ac:dyDescent="0.2"/>
    <row r="14013" s="689" customFormat="1" x14ac:dyDescent="0.2"/>
    <row r="14014" s="689" customFormat="1" x14ac:dyDescent="0.2"/>
    <row r="14015" s="689" customFormat="1" x14ac:dyDescent="0.2"/>
    <row r="14016" s="689" customFormat="1" x14ac:dyDescent="0.2"/>
    <row r="14017" s="689" customFormat="1" x14ac:dyDescent="0.2"/>
    <row r="14018" s="689" customFormat="1" x14ac:dyDescent="0.2"/>
    <row r="14019" s="689" customFormat="1" x14ac:dyDescent="0.2"/>
    <row r="14020" s="689" customFormat="1" x14ac:dyDescent="0.2"/>
    <row r="14021" s="689" customFormat="1" x14ac:dyDescent="0.2"/>
    <row r="14022" s="689" customFormat="1" x14ac:dyDescent="0.2"/>
    <row r="14023" s="689" customFormat="1" x14ac:dyDescent="0.2"/>
    <row r="14024" s="689" customFormat="1" x14ac:dyDescent="0.2"/>
    <row r="14025" s="689" customFormat="1" x14ac:dyDescent="0.2"/>
    <row r="14026" s="689" customFormat="1" x14ac:dyDescent="0.2"/>
    <row r="14027" s="689" customFormat="1" x14ac:dyDescent="0.2"/>
    <row r="14028" s="689" customFormat="1" x14ac:dyDescent="0.2"/>
    <row r="14029" s="689" customFormat="1" x14ac:dyDescent="0.2"/>
    <row r="14030" s="689" customFormat="1" x14ac:dyDescent="0.2"/>
    <row r="14031" s="689" customFormat="1" x14ac:dyDescent="0.2"/>
    <row r="14032" s="689" customFormat="1" x14ac:dyDescent="0.2"/>
    <row r="14033" s="689" customFormat="1" x14ac:dyDescent="0.2"/>
    <row r="14034" s="689" customFormat="1" x14ac:dyDescent="0.2"/>
    <row r="14035" s="689" customFormat="1" x14ac:dyDescent="0.2"/>
    <row r="14036" s="689" customFormat="1" x14ac:dyDescent="0.2"/>
    <row r="14037" s="689" customFormat="1" x14ac:dyDescent="0.2"/>
    <row r="14038" s="689" customFormat="1" x14ac:dyDescent="0.2"/>
    <row r="14039" s="689" customFormat="1" x14ac:dyDescent="0.2"/>
    <row r="14040" s="689" customFormat="1" x14ac:dyDescent="0.2"/>
    <row r="14041" s="689" customFormat="1" x14ac:dyDescent="0.2"/>
    <row r="14042" s="689" customFormat="1" x14ac:dyDescent="0.2"/>
    <row r="14043" s="689" customFormat="1" x14ac:dyDescent="0.2"/>
    <row r="14044" s="689" customFormat="1" x14ac:dyDescent="0.2"/>
    <row r="14045" s="689" customFormat="1" x14ac:dyDescent="0.2"/>
    <row r="14046" s="689" customFormat="1" x14ac:dyDescent="0.2"/>
    <row r="14047" s="689" customFormat="1" x14ac:dyDescent="0.2"/>
    <row r="14048" s="689" customFormat="1" x14ac:dyDescent="0.2"/>
    <row r="14049" s="689" customFormat="1" x14ac:dyDescent="0.2"/>
    <row r="14050" s="689" customFormat="1" x14ac:dyDescent="0.2"/>
    <row r="14051" s="689" customFormat="1" x14ac:dyDescent="0.2"/>
    <row r="14052" s="689" customFormat="1" x14ac:dyDescent="0.2"/>
    <row r="14053" s="689" customFormat="1" x14ac:dyDescent="0.2"/>
    <row r="14054" s="689" customFormat="1" x14ac:dyDescent="0.2"/>
    <row r="14055" s="689" customFormat="1" x14ac:dyDescent="0.2"/>
    <row r="14056" s="689" customFormat="1" x14ac:dyDescent="0.2"/>
    <row r="14057" s="689" customFormat="1" x14ac:dyDescent="0.2"/>
    <row r="14058" s="689" customFormat="1" x14ac:dyDescent="0.2"/>
    <row r="14059" s="689" customFormat="1" x14ac:dyDescent="0.2"/>
    <row r="14060" s="689" customFormat="1" x14ac:dyDescent="0.2"/>
    <row r="14061" s="689" customFormat="1" x14ac:dyDescent="0.2"/>
    <row r="14062" s="689" customFormat="1" x14ac:dyDescent="0.2"/>
    <row r="14063" s="689" customFormat="1" x14ac:dyDescent="0.2"/>
    <row r="14064" s="689" customFormat="1" x14ac:dyDescent="0.2"/>
    <row r="14065" s="689" customFormat="1" x14ac:dyDescent="0.2"/>
    <row r="14066" s="689" customFormat="1" x14ac:dyDescent="0.2"/>
    <row r="14067" s="689" customFormat="1" x14ac:dyDescent="0.2"/>
    <row r="14068" s="689" customFormat="1" x14ac:dyDescent="0.2"/>
    <row r="14069" s="689" customFormat="1" x14ac:dyDescent="0.2"/>
    <row r="14070" s="689" customFormat="1" x14ac:dyDescent="0.2"/>
    <row r="14071" s="689" customFormat="1" x14ac:dyDescent="0.2"/>
    <row r="14072" s="689" customFormat="1" x14ac:dyDescent="0.2"/>
    <row r="14073" s="689" customFormat="1" x14ac:dyDescent="0.2"/>
    <row r="14074" s="689" customFormat="1" x14ac:dyDescent="0.2"/>
    <row r="14075" s="689" customFormat="1" x14ac:dyDescent="0.2"/>
    <row r="14076" s="689" customFormat="1" x14ac:dyDescent="0.2"/>
    <row r="14077" s="689" customFormat="1" x14ac:dyDescent="0.2"/>
    <row r="14078" s="689" customFormat="1" x14ac:dyDescent="0.2"/>
    <row r="14079" s="689" customFormat="1" x14ac:dyDescent="0.2"/>
    <row r="14080" s="689" customFormat="1" x14ac:dyDescent="0.2"/>
    <row r="14081" s="689" customFormat="1" x14ac:dyDescent="0.2"/>
    <row r="14082" s="689" customFormat="1" x14ac:dyDescent="0.2"/>
    <row r="14083" s="689" customFormat="1" x14ac:dyDescent="0.2"/>
    <row r="14084" s="689" customFormat="1" x14ac:dyDescent="0.2"/>
    <row r="14085" s="689" customFormat="1" x14ac:dyDescent="0.2"/>
    <row r="14086" s="689" customFormat="1" x14ac:dyDescent="0.2"/>
    <row r="14087" s="689" customFormat="1" x14ac:dyDescent="0.2"/>
    <row r="14088" s="689" customFormat="1" x14ac:dyDescent="0.2"/>
    <row r="14089" s="689" customFormat="1" x14ac:dyDescent="0.2"/>
    <row r="14090" s="689" customFormat="1" x14ac:dyDescent="0.2"/>
    <row r="14091" s="689" customFormat="1" x14ac:dyDescent="0.2"/>
    <row r="14092" s="689" customFormat="1" x14ac:dyDescent="0.2"/>
    <row r="14093" s="689" customFormat="1" x14ac:dyDescent="0.2"/>
    <row r="14094" s="689" customFormat="1" x14ac:dyDescent="0.2"/>
    <row r="14095" s="689" customFormat="1" x14ac:dyDescent="0.2"/>
    <row r="14096" s="689" customFormat="1" x14ac:dyDescent="0.2"/>
    <row r="14097" s="689" customFormat="1" x14ac:dyDescent="0.2"/>
    <row r="14098" s="689" customFormat="1" x14ac:dyDescent="0.2"/>
    <row r="14099" s="689" customFormat="1" x14ac:dyDescent="0.2"/>
    <row r="14100" s="689" customFormat="1" x14ac:dyDescent="0.2"/>
    <row r="14101" s="689" customFormat="1" x14ac:dyDescent="0.2"/>
    <row r="14102" s="689" customFormat="1" x14ac:dyDescent="0.2"/>
    <row r="14103" s="689" customFormat="1" x14ac:dyDescent="0.2"/>
    <row r="14104" s="689" customFormat="1" x14ac:dyDescent="0.2"/>
    <row r="14105" s="689" customFormat="1" x14ac:dyDescent="0.2"/>
    <row r="14106" s="689" customFormat="1" x14ac:dyDescent="0.2"/>
    <row r="14107" s="689" customFormat="1" x14ac:dyDescent="0.2"/>
    <row r="14108" s="689" customFormat="1" x14ac:dyDescent="0.2"/>
    <row r="14109" s="689" customFormat="1" x14ac:dyDescent="0.2"/>
    <row r="14110" s="689" customFormat="1" x14ac:dyDescent="0.2"/>
    <row r="14111" s="689" customFormat="1" x14ac:dyDescent="0.2"/>
    <row r="14112" s="689" customFormat="1" x14ac:dyDescent="0.2"/>
    <row r="14113" s="689" customFormat="1" x14ac:dyDescent="0.2"/>
    <row r="14114" s="689" customFormat="1" x14ac:dyDescent="0.2"/>
    <row r="14115" s="689" customFormat="1" x14ac:dyDescent="0.2"/>
    <row r="14116" s="689" customFormat="1" x14ac:dyDescent="0.2"/>
    <row r="14117" s="689" customFormat="1" x14ac:dyDescent="0.2"/>
    <row r="14118" s="689" customFormat="1" x14ac:dyDescent="0.2"/>
    <row r="14119" s="689" customFormat="1" x14ac:dyDescent="0.2"/>
    <row r="14120" s="689" customFormat="1" x14ac:dyDescent="0.2"/>
    <row r="14121" s="689" customFormat="1" x14ac:dyDescent="0.2"/>
    <row r="14122" s="689" customFormat="1" x14ac:dyDescent="0.2"/>
    <row r="14123" s="689" customFormat="1" x14ac:dyDescent="0.2"/>
    <row r="14124" s="689" customFormat="1" x14ac:dyDescent="0.2"/>
    <row r="14125" s="689" customFormat="1" x14ac:dyDescent="0.2"/>
    <row r="14126" s="689" customFormat="1" x14ac:dyDescent="0.2"/>
    <row r="14127" s="689" customFormat="1" x14ac:dyDescent="0.2"/>
    <row r="14128" s="689" customFormat="1" x14ac:dyDescent="0.2"/>
    <row r="14129" s="689" customFormat="1" x14ac:dyDescent="0.2"/>
    <row r="14130" s="689" customFormat="1" x14ac:dyDescent="0.2"/>
    <row r="14131" s="689" customFormat="1" x14ac:dyDescent="0.2"/>
    <row r="14132" s="689" customFormat="1" x14ac:dyDescent="0.2"/>
    <row r="14133" s="689" customFormat="1" x14ac:dyDescent="0.2"/>
    <row r="14134" s="689" customFormat="1" x14ac:dyDescent="0.2"/>
    <row r="14135" s="689" customFormat="1" x14ac:dyDescent="0.2"/>
    <row r="14136" s="689" customFormat="1" x14ac:dyDescent="0.2"/>
    <row r="14137" s="689" customFormat="1" x14ac:dyDescent="0.2"/>
    <row r="14138" s="689" customFormat="1" x14ac:dyDescent="0.2"/>
    <row r="14139" s="689" customFormat="1" x14ac:dyDescent="0.2"/>
    <row r="14140" s="689" customFormat="1" x14ac:dyDescent="0.2"/>
    <row r="14141" s="689" customFormat="1" x14ac:dyDescent="0.2"/>
    <row r="14142" s="689" customFormat="1" x14ac:dyDescent="0.2"/>
    <row r="14143" s="689" customFormat="1" x14ac:dyDescent="0.2"/>
    <row r="14144" s="689" customFormat="1" x14ac:dyDescent="0.2"/>
    <row r="14145" s="689" customFormat="1" x14ac:dyDescent="0.2"/>
    <row r="14146" s="689" customFormat="1" x14ac:dyDescent="0.2"/>
    <row r="14147" s="689" customFormat="1" x14ac:dyDescent="0.2"/>
    <row r="14148" s="689" customFormat="1" x14ac:dyDescent="0.2"/>
    <row r="14149" s="689" customFormat="1" x14ac:dyDescent="0.2"/>
    <row r="14150" s="689" customFormat="1" x14ac:dyDescent="0.2"/>
    <row r="14151" s="689" customFormat="1" x14ac:dyDescent="0.2"/>
    <row r="14152" s="689" customFormat="1" x14ac:dyDescent="0.2"/>
    <row r="14153" s="689" customFormat="1" x14ac:dyDescent="0.2"/>
    <row r="14154" s="689" customFormat="1" x14ac:dyDescent="0.2"/>
    <row r="14155" s="689" customFormat="1" x14ac:dyDescent="0.2"/>
    <row r="14156" s="689" customFormat="1" x14ac:dyDescent="0.2"/>
    <row r="14157" s="689" customFormat="1" x14ac:dyDescent="0.2"/>
    <row r="14158" s="689" customFormat="1" x14ac:dyDescent="0.2"/>
    <row r="14159" s="689" customFormat="1" x14ac:dyDescent="0.2"/>
    <row r="14160" s="689" customFormat="1" x14ac:dyDescent="0.2"/>
    <row r="14161" s="689" customFormat="1" x14ac:dyDescent="0.2"/>
    <row r="14162" s="689" customFormat="1" x14ac:dyDescent="0.2"/>
    <row r="14163" s="689" customFormat="1" x14ac:dyDescent="0.2"/>
    <row r="14164" s="689" customFormat="1" x14ac:dyDescent="0.2"/>
    <row r="14165" s="689" customFormat="1" x14ac:dyDescent="0.2"/>
    <row r="14166" s="689" customFormat="1" x14ac:dyDescent="0.2"/>
    <row r="14167" s="689" customFormat="1" x14ac:dyDescent="0.2"/>
    <row r="14168" s="689" customFormat="1" x14ac:dyDescent="0.2"/>
    <row r="14169" s="689" customFormat="1" x14ac:dyDescent="0.2"/>
    <row r="14170" s="689" customFormat="1" x14ac:dyDescent="0.2"/>
    <row r="14171" s="689" customFormat="1" x14ac:dyDescent="0.2"/>
    <row r="14172" s="689" customFormat="1" x14ac:dyDescent="0.2"/>
    <row r="14173" s="689" customFormat="1" x14ac:dyDescent="0.2"/>
    <row r="14174" s="689" customFormat="1" x14ac:dyDescent="0.2"/>
    <row r="14175" s="689" customFormat="1" x14ac:dyDescent="0.2"/>
    <row r="14176" s="689" customFormat="1" x14ac:dyDescent="0.2"/>
    <row r="14177" s="689" customFormat="1" x14ac:dyDescent="0.2"/>
    <row r="14178" s="689" customFormat="1" x14ac:dyDescent="0.2"/>
    <row r="14179" s="689" customFormat="1" x14ac:dyDescent="0.2"/>
    <row r="14180" s="689" customFormat="1" x14ac:dyDescent="0.2"/>
    <row r="14181" s="689" customFormat="1" x14ac:dyDescent="0.2"/>
    <row r="14182" s="689" customFormat="1" x14ac:dyDescent="0.2"/>
    <row r="14183" s="689" customFormat="1" x14ac:dyDescent="0.2"/>
    <row r="14184" s="689" customFormat="1" x14ac:dyDescent="0.2"/>
    <row r="14185" s="689" customFormat="1" x14ac:dyDescent="0.2"/>
    <row r="14186" s="689" customFormat="1" x14ac:dyDescent="0.2"/>
    <row r="14187" s="689" customFormat="1" x14ac:dyDescent="0.2"/>
    <row r="14188" s="689" customFormat="1" x14ac:dyDescent="0.2"/>
    <row r="14189" s="689" customFormat="1" x14ac:dyDescent="0.2"/>
    <row r="14190" s="689" customFormat="1" x14ac:dyDescent="0.2"/>
    <row r="14191" s="689" customFormat="1" x14ac:dyDescent="0.2"/>
    <row r="14192" s="689" customFormat="1" x14ac:dyDescent="0.2"/>
    <row r="14193" s="689" customFormat="1" x14ac:dyDescent="0.2"/>
    <row r="14194" s="689" customFormat="1" x14ac:dyDescent="0.2"/>
    <row r="14195" s="689" customFormat="1" x14ac:dyDescent="0.2"/>
    <row r="14196" s="689" customFormat="1" x14ac:dyDescent="0.2"/>
    <row r="14197" s="689" customFormat="1" x14ac:dyDescent="0.2"/>
    <row r="14198" s="689" customFormat="1" x14ac:dyDescent="0.2"/>
    <row r="14199" s="689" customFormat="1" x14ac:dyDescent="0.2"/>
    <row r="14200" s="689" customFormat="1" x14ac:dyDescent="0.2"/>
    <row r="14201" s="689" customFormat="1" x14ac:dyDescent="0.2"/>
    <row r="14202" s="689" customFormat="1" x14ac:dyDescent="0.2"/>
    <row r="14203" s="689" customFormat="1" x14ac:dyDescent="0.2"/>
    <row r="14204" s="689" customFormat="1" x14ac:dyDescent="0.2"/>
    <row r="14205" s="689" customFormat="1" x14ac:dyDescent="0.2"/>
    <row r="14206" s="689" customFormat="1" x14ac:dyDescent="0.2"/>
    <row r="14207" s="689" customFormat="1" x14ac:dyDescent="0.2"/>
    <row r="14208" s="689" customFormat="1" x14ac:dyDescent="0.2"/>
    <row r="14209" s="689" customFormat="1" x14ac:dyDescent="0.2"/>
    <row r="14210" s="689" customFormat="1" x14ac:dyDescent="0.2"/>
    <row r="14211" s="689" customFormat="1" x14ac:dyDescent="0.2"/>
    <row r="14212" s="689" customFormat="1" x14ac:dyDescent="0.2"/>
    <row r="14213" s="689" customFormat="1" x14ac:dyDescent="0.2"/>
    <row r="14214" s="689" customFormat="1" x14ac:dyDescent="0.2"/>
    <row r="14215" s="689" customFormat="1" x14ac:dyDescent="0.2"/>
    <row r="14216" s="689" customFormat="1" x14ac:dyDescent="0.2"/>
    <row r="14217" s="689" customFormat="1" x14ac:dyDescent="0.2"/>
    <row r="14218" s="689" customFormat="1" x14ac:dyDescent="0.2"/>
    <row r="14219" s="689" customFormat="1" x14ac:dyDescent="0.2"/>
    <row r="14220" s="689" customFormat="1" x14ac:dyDescent="0.2"/>
    <row r="14221" s="689" customFormat="1" x14ac:dyDescent="0.2"/>
    <row r="14222" s="689" customFormat="1" x14ac:dyDescent="0.2"/>
    <row r="14223" s="689" customFormat="1" x14ac:dyDescent="0.2"/>
    <row r="14224" s="689" customFormat="1" x14ac:dyDescent="0.2"/>
    <row r="14225" s="689" customFormat="1" x14ac:dyDescent="0.2"/>
    <row r="14226" s="689" customFormat="1" x14ac:dyDescent="0.2"/>
    <row r="14227" s="689" customFormat="1" x14ac:dyDescent="0.2"/>
    <row r="14228" s="689" customFormat="1" x14ac:dyDescent="0.2"/>
    <row r="14229" s="689" customFormat="1" x14ac:dyDescent="0.2"/>
    <row r="14230" s="689" customFormat="1" x14ac:dyDescent="0.2"/>
    <row r="14231" s="689" customFormat="1" x14ac:dyDescent="0.2"/>
    <row r="14232" s="689" customFormat="1" x14ac:dyDescent="0.2"/>
    <row r="14233" s="689" customFormat="1" x14ac:dyDescent="0.2"/>
    <row r="14234" s="689" customFormat="1" x14ac:dyDescent="0.2"/>
    <row r="14235" s="689" customFormat="1" x14ac:dyDescent="0.2"/>
    <row r="14236" s="689" customFormat="1" x14ac:dyDescent="0.2"/>
    <row r="14237" s="689" customFormat="1" x14ac:dyDescent="0.2"/>
    <row r="14238" s="689" customFormat="1" x14ac:dyDescent="0.2"/>
    <row r="14239" s="689" customFormat="1" x14ac:dyDescent="0.2"/>
    <row r="14240" s="689" customFormat="1" x14ac:dyDescent="0.2"/>
    <row r="14241" s="689" customFormat="1" x14ac:dyDescent="0.2"/>
    <row r="14242" s="689" customFormat="1" x14ac:dyDescent="0.2"/>
    <row r="14243" s="689" customFormat="1" x14ac:dyDescent="0.2"/>
    <row r="14244" s="689" customFormat="1" x14ac:dyDescent="0.2"/>
    <row r="14245" s="689" customFormat="1" x14ac:dyDescent="0.2"/>
    <row r="14246" s="689" customFormat="1" x14ac:dyDescent="0.2"/>
    <row r="14247" s="689" customFormat="1" x14ac:dyDescent="0.2"/>
    <row r="14248" s="689" customFormat="1" x14ac:dyDescent="0.2"/>
    <row r="14249" s="689" customFormat="1" x14ac:dyDescent="0.2"/>
    <row r="14250" s="689" customFormat="1" x14ac:dyDescent="0.2"/>
    <row r="14251" s="689" customFormat="1" x14ac:dyDescent="0.2"/>
    <row r="14252" s="689" customFormat="1" x14ac:dyDescent="0.2"/>
    <row r="14253" s="689" customFormat="1" x14ac:dyDescent="0.2"/>
    <row r="14254" s="689" customFormat="1" x14ac:dyDescent="0.2"/>
    <row r="14255" s="689" customFormat="1" x14ac:dyDescent="0.2"/>
    <row r="14256" s="689" customFormat="1" x14ac:dyDescent="0.2"/>
    <row r="14257" s="689" customFormat="1" x14ac:dyDescent="0.2"/>
    <row r="14258" s="689" customFormat="1" x14ac:dyDescent="0.2"/>
    <row r="14259" s="689" customFormat="1" x14ac:dyDescent="0.2"/>
    <row r="14260" s="689" customFormat="1" x14ac:dyDescent="0.2"/>
    <row r="14261" s="689" customFormat="1" x14ac:dyDescent="0.2"/>
    <row r="14262" s="689" customFormat="1" x14ac:dyDescent="0.2"/>
    <row r="14263" s="689" customFormat="1" x14ac:dyDescent="0.2"/>
    <row r="14264" s="689" customFormat="1" x14ac:dyDescent="0.2"/>
    <row r="14265" s="689" customFormat="1" x14ac:dyDescent="0.2"/>
    <row r="14266" s="689" customFormat="1" x14ac:dyDescent="0.2"/>
    <row r="14267" s="689" customFormat="1" x14ac:dyDescent="0.2"/>
    <row r="14268" s="689" customFormat="1" x14ac:dyDescent="0.2"/>
    <row r="14269" s="689" customFormat="1" x14ac:dyDescent="0.2"/>
    <row r="14270" s="689" customFormat="1" x14ac:dyDescent="0.2"/>
    <row r="14271" s="689" customFormat="1" x14ac:dyDescent="0.2"/>
    <row r="14272" s="689" customFormat="1" x14ac:dyDescent="0.2"/>
    <row r="14273" s="689" customFormat="1" x14ac:dyDescent="0.2"/>
    <row r="14274" s="689" customFormat="1" x14ac:dyDescent="0.2"/>
    <row r="14275" s="689" customFormat="1" x14ac:dyDescent="0.2"/>
    <row r="14276" s="689" customFormat="1" x14ac:dyDescent="0.2"/>
    <row r="14277" s="689" customFormat="1" x14ac:dyDescent="0.2"/>
    <row r="14278" s="689" customFormat="1" x14ac:dyDescent="0.2"/>
    <row r="14279" s="689" customFormat="1" x14ac:dyDescent="0.2"/>
    <row r="14280" s="689" customFormat="1" x14ac:dyDescent="0.2"/>
    <row r="14281" s="689" customFormat="1" x14ac:dyDescent="0.2"/>
    <row r="14282" s="689" customFormat="1" x14ac:dyDescent="0.2"/>
    <row r="14283" s="689" customFormat="1" x14ac:dyDescent="0.2"/>
    <row r="14284" s="689" customFormat="1" x14ac:dyDescent="0.2"/>
    <row r="14285" s="689" customFormat="1" x14ac:dyDescent="0.2"/>
    <row r="14286" s="689" customFormat="1" x14ac:dyDescent="0.2"/>
    <row r="14287" s="689" customFormat="1" x14ac:dyDescent="0.2"/>
    <row r="14288" s="689" customFormat="1" x14ac:dyDescent="0.2"/>
    <row r="14289" s="689" customFormat="1" x14ac:dyDescent="0.2"/>
    <row r="14290" s="689" customFormat="1" x14ac:dyDescent="0.2"/>
    <row r="14291" s="689" customFormat="1" x14ac:dyDescent="0.2"/>
    <row r="14292" s="689" customFormat="1" x14ac:dyDescent="0.2"/>
    <row r="14293" s="689" customFormat="1" x14ac:dyDescent="0.2"/>
    <row r="14294" s="689" customFormat="1" x14ac:dyDescent="0.2"/>
    <row r="14295" s="689" customFormat="1" x14ac:dyDescent="0.2"/>
    <row r="14296" s="689" customFormat="1" x14ac:dyDescent="0.2"/>
    <row r="14297" s="689" customFormat="1" x14ac:dyDescent="0.2"/>
    <row r="14298" s="689" customFormat="1" x14ac:dyDescent="0.2"/>
    <row r="14299" s="689" customFormat="1" x14ac:dyDescent="0.2"/>
    <row r="14300" s="689" customFormat="1" x14ac:dyDescent="0.2"/>
    <row r="14301" s="689" customFormat="1" x14ac:dyDescent="0.2"/>
    <row r="14302" s="689" customFormat="1" x14ac:dyDescent="0.2"/>
    <row r="14303" s="689" customFormat="1" x14ac:dyDescent="0.2"/>
    <row r="14304" s="689" customFormat="1" x14ac:dyDescent="0.2"/>
    <row r="14305" s="689" customFormat="1" x14ac:dyDescent="0.2"/>
    <row r="14306" s="689" customFormat="1" x14ac:dyDescent="0.2"/>
    <row r="14307" s="689" customFormat="1" x14ac:dyDescent="0.2"/>
    <row r="14308" s="689" customFormat="1" x14ac:dyDescent="0.2"/>
    <row r="14309" s="689" customFormat="1" x14ac:dyDescent="0.2"/>
    <row r="14310" s="689" customFormat="1" x14ac:dyDescent="0.2"/>
    <row r="14311" s="689" customFormat="1" x14ac:dyDescent="0.2"/>
    <row r="14312" s="689" customFormat="1" x14ac:dyDescent="0.2"/>
    <row r="14313" s="689" customFormat="1" x14ac:dyDescent="0.2"/>
    <row r="14314" s="689" customFormat="1" x14ac:dyDescent="0.2"/>
    <row r="14315" s="689" customFormat="1" x14ac:dyDescent="0.2"/>
    <row r="14316" s="689" customFormat="1" x14ac:dyDescent="0.2"/>
    <row r="14317" s="689" customFormat="1" x14ac:dyDescent="0.2"/>
    <row r="14318" s="689" customFormat="1" x14ac:dyDescent="0.2"/>
    <row r="14319" s="689" customFormat="1" x14ac:dyDescent="0.2"/>
    <row r="14320" s="689" customFormat="1" x14ac:dyDescent="0.2"/>
    <row r="14321" s="689" customFormat="1" x14ac:dyDescent="0.2"/>
    <row r="14322" s="689" customFormat="1" x14ac:dyDescent="0.2"/>
    <row r="14323" s="689" customFormat="1" x14ac:dyDescent="0.2"/>
    <row r="14324" s="689" customFormat="1" x14ac:dyDescent="0.2"/>
    <row r="14325" s="689" customFormat="1" x14ac:dyDescent="0.2"/>
    <row r="14326" s="689" customFormat="1" x14ac:dyDescent="0.2"/>
    <row r="14327" s="689" customFormat="1" x14ac:dyDescent="0.2"/>
    <row r="14328" s="689" customFormat="1" x14ac:dyDescent="0.2"/>
    <row r="14329" s="689" customFormat="1" x14ac:dyDescent="0.2"/>
    <row r="14330" s="689" customFormat="1" x14ac:dyDescent="0.2"/>
    <row r="14331" s="689" customFormat="1" x14ac:dyDescent="0.2"/>
    <row r="14332" s="689" customFormat="1" x14ac:dyDescent="0.2"/>
    <row r="14333" s="689" customFormat="1" x14ac:dyDescent="0.2"/>
    <row r="14334" s="689" customFormat="1" x14ac:dyDescent="0.2"/>
    <row r="14335" s="689" customFormat="1" x14ac:dyDescent="0.2"/>
    <row r="14336" s="689" customFormat="1" x14ac:dyDescent="0.2"/>
    <row r="14337" s="689" customFormat="1" x14ac:dyDescent="0.2"/>
    <row r="14338" s="689" customFormat="1" x14ac:dyDescent="0.2"/>
    <row r="14339" s="689" customFormat="1" x14ac:dyDescent="0.2"/>
    <row r="14340" s="689" customFormat="1" x14ac:dyDescent="0.2"/>
    <row r="14341" s="689" customFormat="1" x14ac:dyDescent="0.2"/>
    <row r="14342" s="689" customFormat="1" x14ac:dyDescent="0.2"/>
    <row r="14343" s="689" customFormat="1" x14ac:dyDescent="0.2"/>
    <row r="14344" s="689" customFormat="1" x14ac:dyDescent="0.2"/>
    <row r="14345" s="689" customFormat="1" x14ac:dyDescent="0.2"/>
    <row r="14346" s="689" customFormat="1" x14ac:dyDescent="0.2"/>
    <row r="14347" s="689" customFormat="1" x14ac:dyDescent="0.2"/>
    <row r="14348" s="689" customFormat="1" x14ac:dyDescent="0.2"/>
    <row r="14349" s="689" customFormat="1" x14ac:dyDescent="0.2"/>
    <row r="14350" s="689" customFormat="1" x14ac:dyDescent="0.2"/>
    <row r="14351" s="689" customFormat="1" x14ac:dyDescent="0.2"/>
    <row r="14352" s="689" customFormat="1" x14ac:dyDescent="0.2"/>
    <row r="14353" s="689" customFormat="1" x14ac:dyDescent="0.2"/>
    <row r="14354" s="689" customFormat="1" x14ac:dyDescent="0.2"/>
    <row r="14355" s="689" customFormat="1" x14ac:dyDescent="0.2"/>
    <row r="14356" s="689" customFormat="1" x14ac:dyDescent="0.2"/>
    <row r="14357" s="689" customFormat="1" x14ac:dyDescent="0.2"/>
    <row r="14358" s="689" customFormat="1" x14ac:dyDescent="0.2"/>
    <row r="14359" s="689" customFormat="1" x14ac:dyDescent="0.2"/>
    <row r="14360" s="689" customFormat="1" x14ac:dyDescent="0.2"/>
    <row r="14361" s="689" customFormat="1" x14ac:dyDescent="0.2"/>
    <row r="14362" s="689" customFormat="1" x14ac:dyDescent="0.2"/>
    <row r="14363" s="689" customFormat="1" x14ac:dyDescent="0.2"/>
    <row r="14364" s="689" customFormat="1" x14ac:dyDescent="0.2"/>
    <row r="14365" s="689" customFormat="1" x14ac:dyDescent="0.2"/>
    <row r="14366" s="689" customFormat="1" x14ac:dyDescent="0.2"/>
    <row r="14367" s="689" customFormat="1" x14ac:dyDescent="0.2"/>
    <row r="14368" s="689" customFormat="1" x14ac:dyDescent="0.2"/>
    <row r="14369" s="689" customFormat="1" x14ac:dyDescent="0.2"/>
    <row r="14370" s="689" customFormat="1" x14ac:dyDescent="0.2"/>
    <row r="14371" s="689" customFormat="1" x14ac:dyDescent="0.2"/>
    <row r="14372" s="689" customFormat="1" x14ac:dyDescent="0.2"/>
    <row r="14373" s="689" customFormat="1" x14ac:dyDescent="0.2"/>
    <row r="14374" s="689" customFormat="1" x14ac:dyDescent="0.2"/>
    <row r="14375" s="689" customFormat="1" x14ac:dyDescent="0.2"/>
    <row r="14376" s="689" customFormat="1" x14ac:dyDescent="0.2"/>
    <row r="14377" s="689" customFormat="1" x14ac:dyDescent="0.2"/>
    <row r="14378" s="689" customFormat="1" x14ac:dyDescent="0.2"/>
    <row r="14379" s="689" customFormat="1" x14ac:dyDescent="0.2"/>
    <row r="14380" s="689" customFormat="1" x14ac:dyDescent="0.2"/>
    <row r="14381" s="689" customFormat="1" x14ac:dyDescent="0.2"/>
    <row r="14382" s="689" customFormat="1" x14ac:dyDescent="0.2"/>
    <row r="14383" s="689" customFormat="1" x14ac:dyDescent="0.2"/>
    <row r="14384" s="689" customFormat="1" x14ac:dyDescent="0.2"/>
    <row r="14385" s="689" customFormat="1" x14ac:dyDescent="0.2"/>
    <row r="14386" s="689" customFormat="1" x14ac:dyDescent="0.2"/>
    <row r="14387" s="689" customFormat="1" x14ac:dyDescent="0.2"/>
    <row r="14388" s="689" customFormat="1" x14ac:dyDescent="0.2"/>
    <row r="14389" s="689" customFormat="1" x14ac:dyDescent="0.2"/>
    <row r="14390" s="689" customFormat="1" x14ac:dyDescent="0.2"/>
    <row r="14391" s="689" customFormat="1" x14ac:dyDescent="0.2"/>
    <row r="14392" s="689" customFormat="1" x14ac:dyDescent="0.2"/>
    <row r="14393" s="689" customFormat="1" x14ac:dyDescent="0.2"/>
    <row r="14394" s="689" customFormat="1" x14ac:dyDescent="0.2"/>
    <row r="14395" s="689" customFormat="1" x14ac:dyDescent="0.2"/>
    <row r="14396" s="689" customFormat="1" x14ac:dyDescent="0.2"/>
    <row r="14397" s="689" customFormat="1" x14ac:dyDescent="0.2"/>
    <row r="14398" s="689" customFormat="1" x14ac:dyDescent="0.2"/>
    <row r="14399" s="689" customFormat="1" x14ac:dyDescent="0.2"/>
    <row r="14400" s="689" customFormat="1" x14ac:dyDescent="0.2"/>
    <row r="14401" s="689" customFormat="1" x14ac:dyDescent="0.2"/>
    <row r="14402" s="689" customFormat="1" x14ac:dyDescent="0.2"/>
    <row r="14403" s="689" customFormat="1" x14ac:dyDescent="0.2"/>
    <row r="14404" s="689" customFormat="1" x14ac:dyDescent="0.2"/>
    <row r="14405" s="689" customFormat="1" x14ac:dyDescent="0.2"/>
    <row r="14406" s="689" customFormat="1" x14ac:dyDescent="0.2"/>
    <row r="14407" s="689" customFormat="1" x14ac:dyDescent="0.2"/>
    <row r="14408" s="689" customFormat="1" x14ac:dyDescent="0.2"/>
    <row r="14409" s="689" customFormat="1" x14ac:dyDescent="0.2"/>
    <row r="14410" s="689" customFormat="1" x14ac:dyDescent="0.2"/>
    <row r="14411" s="689" customFormat="1" x14ac:dyDescent="0.2"/>
    <row r="14412" s="689" customFormat="1" x14ac:dyDescent="0.2"/>
    <row r="14413" s="689" customFormat="1" x14ac:dyDescent="0.2"/>
    <row r="14414" s="689" customFormat="1" x14ac:dyDescent="0.2"/>
    <row r="14415" s="689" customFormat="1" x14ac:dyDescent="0.2"/>
    <row r="14416" s="689" customFormat="1" x14ac:dyDescent="0.2"/>
    <row r="14417" s="689" customFormat="1" x14ac:dyDescent="0.2"/>
    <row r="14418" s="689" customFormat="1" x14ac:dyDescent="0.2"/>
    <row r="14419" s="689" customFormat="1" x14ac:dyDescent="0.2"/>
    <row r="14420" s="689" customFormat="1" x14ac:dyDescent="0.2"/>
    <row r="14421" s="689" customFormat="1" x14ac:dyDescent="0.2"/>
    <row r="14422" s="689" customFormat="1" x14ac:dyDescent="0.2"/>
    <row r="14423" s="689" customFormat="1" x14ac:dyDescent="0.2"/>
    <row r="14424" s="689" customFormat="1" x14ac:dyDescent="0.2"/>
    <row r="14425" s="689" customFormat="1" x14ac:dyDescent="0.2"/>
    <row r="14426" s="689" customFormat="1" x14ac:dyDescent="0.2"/>
    <row r="14427" s="689" customFormat="1" x14ac:dyDescent="0.2"/>
    <row r="14428" s="689" customFormat="1" x14ac:dyDescent="0.2"/>
    <row r="14429" s="689" customFormat="1" x14ac:dyDescent="0.2"/>
    <row r="14430" s="689" customFormat="1" x14ac:dyDescent="0.2"/>
    <row r="14431" s="689" customFormat="1" x14ac:dyDescent="0.2"/>
    <row r="14432" s="689" customFormat="1" x14ac:dyDescent="0.2"/>
    <row r="14433" s="689" customFormat="1" x14ac:dyDescent="0.2"/>
    <row r="14434" s="689" customFormat="1" x14ac:dyDescent="0.2"/>
    <row r="14435" s="689" customFormat="1" x14ac:dyDescent="0.2"/>
    <row r="14436" s="689" customFormat="1" x14ac:dyDescent="0.2"/>
    <row r="14437" s="689" customFormat="1" x14ac:dyDescent="0.2"/>
    <row r="14438" s="689" customFormat="1" x14ac:dyDescent="0.2"/>
    <row r="14439" s="689" customFormat="1" x14ac:dyDescent="0.2"/>
    <row r="14440" s="689" customFormat="1" x14ac:dyDescent="0.2"/>
    <row r="14441" s="689" customFormat="1" x14ac:dyDescent="0.2"/>
    <row r="14442" s="689" customFormat="1" x14ac:dyDescent="0.2"/>
    <row r="14443" s="689" customFormat="1" x14ac:dyDescent="0.2"/>
    <row r="14444" s="689" customFormat="1" x14ac:dyDescent="0.2"/>
    <row r="14445" s="689" customFormat="1" x14ac:dyDescent="0.2"/>
    <row r="14446" s="689" customFormat="1" x14ac:dyDescent="0.2"/>
    <row r="14447" s="689" customFormat="1" x14ac:dyDescent="0.2"/>
    <row r="14448" s="689" customFormat="1" x14ac:dyDescent="0.2"/>
    <row r="14449" s="689" customFormat="1" x14ac:dyDescent="0.2"/>
    <row r="14450" s="689" customFormat="1" x14ac:dyDescent="0.2"/>
    <row r="14451" s="689" customFormat="1" x14ac:dyDescent="0.2"/>
    <row r="14452" s="689" customFormat="1" x14ac:dyDescent="0.2"/>
    <row r="14453" s="689" customFormat="1" x14ac:dyDescent="0.2"/>
    <row r="14454" s="689" customFormat="1" x14ac:dyDescent="0.2"/>
    <row r="14455" s="689" customFormat="1" x14ac:dyDescent="0.2"/>
    <row r="14456" s="689" customFormat="1" x14ac:dyDescent="0.2"/>
    <row r="14457" s="689" customFormat="1" x14ac:dyDescent="0.2"/>
    <row r="14458" s="689" customFormat="1" x14ac:dyDescent="0.2"/>
    <row r="14459" s="689" customFormat="1" x14ac:dyDescent="0.2"/>
    <row r="14460" s="689" customFormat="1" x14ac:dyDescent="0.2"/>
    <row r="14461" s="689" customFormat="1" x14ac:dyDescent="0.2"/>
    <row r="14462" s="689" customFormat="1" x14ac:dyDescent="0.2"/>
    <row r="14463" s="689" customFormat="1" x14ac:dyDescent="0.2"/>
    <row r="14464" s="689" customFormat="1" x14ac:dyDescent="0.2"/>
    <row r="14465" s="689" customFormat="1" x14ac:dyDescent="0.2"/>
    <row r="14466" s="689" customFormat="1" x14ac:dyDescent="0.2"/>
    <row r="14467" s="689" customFormat="1" x14ac:dyDescent="0.2"/>
    <row r="14468" s="689" customFormat="1" x14ac:dyDescent="0.2"/>
    <row r="14469" s="689" customFormat="1" x14ac:dyDescent="0.2"/>
    <row r="14470" s="689" customFormat="1" x14ac:dyDescent="0.2"/>
    <row r="14471" s="689" customFormat="1" x14ac:dyDescent="0.2"/>
    <row r="14472" s="689" customFormat="1" x14ac:dyDescent="0.2"/>
    <row r="14473" s="689" customFormat="1" x14ac:dyDescent="0.2"/>
    <row r="14474" s="689" customFormat="1" x14ac:dyDescent="0.2"/>
    <row r="14475" s="689" customFormat="1" x14ac:dyDescent="0.2"/>
    <row r="14476" s="689" customFormat="1" x14ac:dyDescent="0.2"/>
    <row r="14477" s="689" customFormat="1" x14ac:dyDescent="0.2"/>
    <row r="14478" s="689" customFormat="1" x14ac:dyDescent="0.2"/>
    <row r="14479" s="689" customFormat="1" x14ac:dyDescent="0.2"/>
    <row r="14480" s="689" customFormat="1" x14ac:dyDescent="0.2"/>
    <row r="14481" s="689" customFormat="1" x14ac:dyDescent="0.2"/>
    <row r="14482" s="689" customFormat="1" x14ac:dyDescent="0.2"/>
    <row r="14483" s="689" customFormat="1" x14ac:dyDescent="0.2"/>
    <row r="14484" s="689" customFormat="1" x14ac:dyDescent="0.2"/>
    <row r="14485" s="689" customFormat="1" x14ac:dyDescent="0.2"/>
    <row r="14486" s="689" customFormat="1" x14ac:dyDescent="0.2"/>
    <row r="14487" s="689" customFormat="1" x14ac:dyDescent="0.2"/>
    <row r="14488" s="689" customFormat="1" x14ac:dyDescent="0.2"/>
    <row r="14489" s="689" customFormat="1" x14ac:dyDescent="0.2"/>
    <row r="14490" s="689" customFormat="1" x14ac:dyDescent="0.2"/>
    <row r="14491" s="689" customFormat="1" x14ac:dyDescent="0.2"/>
    <row r="14492" s="689" customFormat="1" x14ac:dyDescent="0.2"/>
    <row r="14493" s="689" customFormat="1" x14ac:dyDescent="0.2"/>
    <row r="14494" s="689" customFormat="1" x14ac:dyDescent="0.2"/>
    <row r="14495" s="689" customFormat="1" x14ac:dyDescent="0.2"/>
    <row r="14496" s="689" customFormat="1" x14ac:dyDescent="0.2"/>
    <row r="14497" s="689" customFormat="1" x14ac:dyDescent="0.2"/>
    <row r="14498" s="689" customFormat="1" x14ac:dyDescent="0.2"/>
    <row r="14499" s="689" customFormat="1" x14ac:dyDescent="0.2"/>
    <row r="14500" s="689" customFormat="1" x14ac:dyDescent="0.2"/>
    <row r="14501" s="689" customFormat="1" x14ac:dyDescent="0.2"/>
    <row r="14502" s="689" customFormat="1" x14ac:dyDescent="0.2"/>
    <row r="14503" s="689" customFormat="1" x14ac:dyDescent="0.2"/>
    <row r="14504" s="689" customFormat="1" x14ac:dyDescent="0.2"/>
    <row r="14505" s="689" customFormat="1" x14ac:dyDescent="0.2"/>
    <row r="14506" s="689" customFormat="1" x14ac:dyDescent="0.2"/>
    <row r="14507" s="689" customFormat="1" x14ac:dyDescent="0.2"/>
    <row r="14508" s="689" customFormat="1" x14ac:dyDescent="0.2"/>
    <row r="14509" s="689" customFormat="1" x14ac:dyDescent="0.2"/>
    <row r="14510" s="689" customFormat="1" x14ac:dyDescent="0.2"/>
    <row r="14511" s="689" customFormat="1" x14ac:dyDescent="0.2"/>
    <row r="14512" s="689" customFormat="1" x14ac:dyDescent="0.2"/>
    <row r="14513" s="689" customFormat="1" x14ac:dyDescent="0.2"/>
    <row r="14514" s="689" customFormat="1" x14ac:dyDescent="0.2"/>
    <row r="14515" s="689" customFormat="1" x14ac:dyDescent="0.2"/>
    <row r="14516" s="689" customFormat="1" x14ac:dyDescent="0.2"/>
    <row r="14517" s="689" customFormat="1" x14ac:dyDescent="0.2"/>
    <row r="14518" s="689" customFormat="1" x14ac:dyDescent="0.2"/>
    <row r="14519" s="689" customFormat="1" x14ac:dyDescent="0.2"/>
    <row r="14520" s="689" customFormat="1" x14ac:dyDescent="0.2"/>
    <row r="14521" s="689" customFormat="1" x14ac:dyDescent="0.2"/>
    <row r="14522" s="689" customFormat="1" x14ac:dyDescent="0.2"/>
    <row r="14523" s="689" customFormat="1" x14ac:dyDescent="0.2"/>
    <row r="14524" s="689" customFormat="1" x14ac:dyDescent="0.2"/>
    <row r="14525" s="689" customFormat="1" x14ac:dyDescent="0.2"/>
    <row r="14526" s="689" customFormat="1" x14ac:dyDescent="0.2"/>
    <row r="14527" s="689" customFormat="1" x14ac:dyDescent="0.2"/>
    <row r="14528" s="689" customFormat="1" x14ac:dyDescent="0.2"/>
    <row r="14529" s="689" customFormat="1" x14ac:dyDescent="0.2"/>
    <row r="14530" s="689" customFormat="1" x14ac:dyDescent="0.2"/>
    <row r="14531" s="689" customFormat="1" x14ac:dyDescent="0.2"/>
    <row r="14532" s="689" customFormat="1" x14ac:dyDescent="0.2"/>
    <row r="14533" s="689" customFormat="1" x14ac:dyDescent="0.2"/>
    <row r="14534" s="689" customFormat="1" x14ac:dyDescent="0.2"/>
    <row r="14535" s="689" customFormat="1" x14ac:dyDescent="0.2"/>
    <row r="14536" s="689" customFormat="1" x14ac:dyDescent="0.2"/>
    <row r="14537" s="689" customFormat="1" x14ac:dyDescent="0.2"/>
    <row r="14538" s="689" customFormat="1" x14ac:dyDescent="0.2"/>
    <row r="14539" s="689" customFormat="1" x14ac:dyDescent="0.2"/>
    <row r="14540" s="689" customFormat="1" x14ac:dyDescent="0.2"/>
    <row r="14541" s="689" customFormat="1" x14ac:dyDescent="0.2"/>
    <row r="14542" s="689" customFormat="1" x14ac:dyDescent="0.2"/>
    <row r="14543" s="689" customFormat="1" x14ac:dyDescent="0.2"/>
    <row r="14544" s="689" customFormat="1" x14ac:dyDescent="0.2"/>
    <row r="14545" s="689" customFormat="1" x14ac:dyDescent="0.2"/>
    <row r="14546" s="689" customFormat="1" x14ac:dyDescent="0.2"/>
    <row r="14547" s="689" customFormat="1" x14ac:dyDescent="0.2"/>
    <row r="14548" s="689" customFormat="1" x14ac:dyDescent="0.2"/>
    <row r="14549" s="689" customFormat="1" x14ac:dyDescent="0.2"/>
    <row r="14550" s="689" customFormat="1" x14ac:dyDescent="0.2"/>
    <row r="14551" s="689" customFormat="1" x14ac:dyDescent="0.2"/>
    <row r="14552" s="689" customFormat="1" x14ac:dyDescent="0.2"/>
    <row r="14553" s="689" customFormat="1" x14ac:dyDescent="0.2"/>
    <row r="14554" s="689" customFormat="1" x14ac:dyDescent="0.2"/>
    <row r="14555" s="689" customFormat="1" x14ac:dyDescent="0.2"/>
    <row r="14556" s="689" customFormat="1" x14ac:dyDescent="0.2"/>
    <row r="14557" s="689" customFormat="1" x14ac:dyDescent="0.2"/>
    <row r="14558" s="689" customFormat="1" x14ac:dyDescent="0.2"/>
    <row r="14559" s="689" customFormat="1" x14ac:dyDescent="0.2"/>
    <row r="14560" s="689" customFormat="1" x14ac:dyDescent="0.2"/>
    <row r="14561" s="689" customFormat="1" x14ac:dyDescent="0.2"/>
    <row r="14562" s="689" customFormat="1" x14ac:dyDescent="0.2"/>
    <row r="14563" s="689" customFormat="1" x14ac:dyDescent="0.2"/>
    <row r="14564" s="689" customFormat="1" x14ac:dyDescent="0.2"/>
    <row r="14565" s="689" customFormat="1" x14ac:dyDescent="0.2"/>
    <row r="14566" s="689" customFormat="1" x14ac:dyDescent="0.2"/>
    <row r="14567" s="689" customFormat="1" x14ac:dyDescent="0.2"/>
    <row r="14568" s="689" customFormat="1" x14ac:dyDescent="0.2"/>
    <row r="14569" s="689" customFormat="1" x14ac:dyDescent="0.2"/>
    <row r="14570" s="689" customFormat="1" x14ac:dyDescent="0.2"/>
    <row r="14571" s="689" customFormat="1" x14ac:dyDescent="0.2"/>
    <row r="14572" s="689" customFormat="1" x14ac:dyDescent="0.2"/>
    <row r="14573" s="689" customFormat="1" x14ac:dyDescent="0.2"/>
    <row r="14574" s="689" customFormat="1" x14ac:dyDescent="0.2"/>
    <row r="14575" s="689" customFormat="1" x14ac:dyDescent="0.2"/>
    <row r="14576" s="689" customFormat="1" x14ac:dyDescent="0.2"/>
    <row r="14577" s="689" customFormat="1" x14ac:dyDescent="0.2"/>
    <row r="14578" s="689" customFormat="1" x14ac:dyDescent="0.2"/>
    <row r="14579" s="689" customFormat="1" x14ac:dyDescent="0.2"/>
    <row r="14580" s="689" customFormat="1" x14ac:dyDescent="0.2"/>
    <row r="14581" s="689" customFormat="1" x14ac:dyDescent="0.2"/>
    <row r="14582" s="689" customFormat="1" x14ac:dyDescent="0.2"/>
    <row r="14583" s="689" customFormat="1" x14ac:dyDescent="0.2"/>
    <row r="14584" s="689" customFormat="1" x14ac:dyDescent="0.2"/>
    <row r="14585" s="689" customFormat="1" x14ac:dyDescent="0.2"/>
    <row r="14586" s="689" customFormat="1" x14ac:dyDescent="0.2"/>
    <row r="14587" s="689" customFormat="1" x14ac:dyDescent="0.2"/>
    <row r="14588" s="689" customFormat="1" x14ac:dyDescent="0.2"/>
    <row r="14589" s="689" customFormat="1" x14ac:dyDescent="0.2"/>
    <row r="14590" s="689" customFormat="1" x14ac:dyDescent="0.2"/>
    <row r="14591" s="689" customFormat="1" x14ac:dyDescent="0.2"/>
    <row r="14592" s="689" customFormat="1" x14ac:dyDescent="0.2"/>
    <row r="14593" s="689" customFormat="1" x14ac:dyDescent="0.2"/>
    <row r="14594" s="689" customFormat="1" x14ac:dyDescent="0.2"/>
    <row r="14595" s="689" customFormat="1" x14ac:dyDescent="0.2"/>
    <row r="14596" s="689" customFormat="1" x14ac:dyDescent="0.2"/>
    <row r="14597" s="689" customFormat="1" x14ac:dyDescent="0.2"/>
    <row r="14598" s="689" customFormat="1" x14ac:dyDescent="0.2"/>
    <row r="14599" s="689" customFormat="1" x14ac:dyDescent="0.2"/>
    <row r="14600" s="689" customFormat="1" x14ac:dyDescent="0.2"/>
    <row r="14601" s="689" customFormat="1" x14ac:dyDescent="0.2"/>
    <row r="14602" s="689" customFormat="1" x14ac:dyDescent="0.2"/>
    <row r="14603" s="689" customFormat="1" x14ac:dyDescent="0.2"/>
    <row r="14604" s="689" customFormat="1" x14ac:dyDescent="0.2"/>
    <row r="14605" s="689" customFormat="1" x14ac:dyDescent="0.2"/>
    <row r="14606" s="689" customFormat="1" x14ac:dyDescent="0.2"/>
    <row r="14607" s="689" customFormat="1" x14ac:dyDescent="0.2"/>
    <row r="14608" s="689" customFormat="1" x14ac:dyDescent="0.2"/>
    <row r="14609" s="689" customFormat="1" x14ac:dyDescent="0.2"/>
    <row r="14610" s="689" customFormat="1" x14ac:dyDescent="0.2"/>
    <row r="14611" s="689" customFormat="1" x14ac:dyDescent="0.2"/>
    <row r="14612" s="689" customFormat="1" x14ac:dyDescent="0.2"/>
    <row r="14613" s="689" customFormat="1" x14ac:dyDescent="0.2"/>
    <row r="14614" s="689" customFormat="1" x14ac:dyDescent="0.2"/>
    <row r="14615" s="689" customFormat="1" x14ac:dyDescent="0.2"/>
    <row r="14616" s="689" customFormat="1" x14ac:dyDescent="0.2"/>
    <row r="14617" s="689" customFormat="1" x14ac:dyDescent="0.2"/>
    <row r="14618" s="689" customFormat="1" x14ac:dyDescent="0.2"/>
    <row r="14619" s="689" customFormat="1" x14ac:dyDescent="0.2"/>
    <row r="14620" s="689" customFormat="1" x14ac:dyDescent="0.2"/>
    <row r="14621" s="689" customFormat="1" x14ac:dyDescent="0.2"/>
    <row r="14622" s="689" customFormat="1" x14ac:dyDescent="0.2"/>
    <row r="14623" s="689" customFormat="1" x14ac:dyDescent="0.2"/>
    <row r="14624" s="689" customFormat="1" x14ac:dyDescent="0.2"/>
    <row r="14625" s="689" customFormat="1" x14ac:dyDescent="0.2"/>
    <row r="14626" s="689" customFormat="1" x14ac:dyDescent="0.2"/>
    <row r="14627" s="689" customFormat="1" x14ac:dyDescent="0.2"/>
    <row r="14628" s="689" customFormat="1" x14ac:dyDescent="0.2"/>
    <row r="14629" s="689" customFormat="1" x14ac:dyDescent="0.2"/>
    <row r="14630" s="689" customFormat="1" x14ac:dyDescent="0.2"/>
    <row r="14631" s="689" customFormat="1" x14ac:dyDescent="0.2"/>
    <row r="14632" s="689" customFormat="1" x14ac:dyDescent="0.2"/>
    <row r="14633" s="689" customFormat="1" x14ac:dyDescent="0.2"/>
    <row r="14634" s="689" customFormat="1" x14ac:dyDescent="0.2"/>
    <row r="14635" s="689" customFormat="1" x14ac:dyDescent="0.2"/>
    <row r="14636" s="689" customFormat="1" x14ac:dyDescent="0.2"/>
    <row r="14637" s="689" customFormat="1" x14ac:dyDescent="0.2"/>
    <row r="14638" s="689" customFormat="1" x14ac:dyDescent="0.2"/>
    <row r="14639" s="689" customFormat="1" x14ac:dyDescent="0.2"/>
    <row r="14640" s="689" customFormat="1" x14ac:dyDescent="0.2"/>
    <row r="14641" s="689" customFormat="1" x14ac:dyDescent="0.2"/>
    <row r="14642" s="689" customFormat="1" x14ac:dyDescent="0.2"/>
    <row r="14643" s="689" customFormat="1" x14ac:dyDescent="0.2"/>
    <row r="14644" s="689" customFormat="1" x14ac:dyDescent="0.2"/>
    <row r="14645" s="689" customFormat="1" x14ac:dyDescent="0.2"/>
    <row r="14646" s="689" customFormat="1" x14ac:dyDescent="0.2"/>
    <row r="14647" s="689" customFormat="1" x14ac:dyDescent="0.2"/>
    <row r="14648" s="689" customFormat="1" x14ac:dyDescent="0.2"/>
    <row r="14649" s="689" customFormat="1" x14ac:dyDescent="0.2"/>
    <row r="14650" s="689" customFormat="1" x14ac:dyDescent="0.2"/>
    <row r="14651" s="689" customFormat="1" x14ac:dyDescent="0.2"/>
    <row r="14652" s="689" customFormat="1" x14ac:dyDescent="0.2"/>
    <row r="14653" s="689" customFormat="1" x14ac:dyDescent="0.2"/>
    <row r="14654" s="689" customFormat="1" x14ac:dyDescent="0.2"/>
    <row r="14655" s="689" customFormat="1" x14ac:dyDescent="0.2"/>
    <row r="14656" s="689" customFormat="1" x14ac:dyDescent="0.2"/>
    <row r="14657" s="689" customFormat="1" x14ac:dyDescent="0.2"/>
    <row r="14658" s="689" customFormat="1" x14ac:dyDescent="0.2"/>
    <row r="14659" s="689" customFormat="1" x14ac:dyDescent="0.2"/>
    <row r="14660" s="689" customFormat="1" x14ac:dyDescent="0.2"/>
    <row r="14661" s="689" customFormat="1" x14ac:dyDescent="0.2"/>
    <row r="14662" s="689" customFormat="1" x14ac:dyDescent="0.2"/>
    <row r="14663" s="689" customFormat="1" x14ac:dyDescent="0.2"/>
    <row r="14664" s="689" customFormat="1" x14ac:dyDescent="0.2"/>
    <row r="14665" s="689" customFormat="1" x14ac:dyDescent="0.2"/>
    <row r="14666" s="689" customFormat="1" x14ac:dyDescent="0.2"/>
    <row r="14667" s="689" customFormat="1" x14ac:dyDescent="0.2"/>
    <row r="14668" s="689" customFormat="1" x14ac:dyDescent="0.2"/>
    <row r="14669" s="689" customFormat="1" x14ac:dyDescent="0.2"/>
    <row r="14670" s="689" customFormat="1" x14ac:dyDescent="0.2"/>
    <row r="14671" s="689" customFormat="1" x14ac:dyDescent="0.2"/>
    <row r="14672" s="689" customFormat="1" x14ac:dyDescent="0.2"/>
    <row r="14673" s="689" customFormat="1" x14ac:dyDescent="0.2"/>
    <row r="14674" s="689" customFormat="1" x14ac:dyDescent="0.2"/>
    <row r="14675" s="689" customFormat="1" x14ac:dyDescent="0.2"/>
    <row r="14676" s="689" customFormat="1" x14ac:dyDescent="0.2"/>
    <row r="14677" s="689" customFormat="1" x14ac:dyDescent="0.2"/>
    <row r="14678" s="689" customFormat="1" x14ac:dyDescent="0.2"/>
    <row r="14679" s="689" customFormat="1" x14ac:dyDescent="0.2"/>
    <row r="14680" s="689" customFormat="1" x14ac:dyDescent="0.2"/>
    <row r="14681" s="689" customFormat="1" x14ac:dyDescent="0.2"/>
    <row r="14682" s="689" customFormat="1" x14ac:dyDescent="0.2"/>
    <row r="14683" s="689" customFormat="1" x14ac:dyDescent="0.2"/>
    <row r="14684" s="689" customFormat="1" x14ac:dyDescent="0.2"/>
    <row r="14685" s="689" customFormat="1" x14ac:dyDescent="0.2"/>
    <row r="14686" s="689" customFormat="1" x14ac:dyDescent="0.2"/>
    <row r="14687" s="689" customFormat="1" x14ac:dyDescent="0.2"/>
    <row r="14688" s="689" customFormat="1" x14ac:dyDescent="0.2"/>
    <row r="14689" s="689" customFormat="1" x14ac:dyDescent="0.2"/>
    <row r="14690" s="689" customFormat="1" x14ac:dyDescent="0.2"/>
    <row r="14691" s="689" customFormat="1" x14ac:dyDescent="0.2"/>
    <row r="14692" s="689" customFormat="1" x14ac:dyDescent="0.2"/>
    <row r="14693" s="689" customFormat="1" x14ac:dyDescent="0.2"/>
    <row r="14694" s="689" customFormat="1" x14ac:dyDescent="0.2"/>
    <row r="14695" s="689" customFormat="1" x14ac:dyDescent="0.2"/>
    <row r="14696" s="689" customFormat="1" x14ac:dyDescent="0.2"/>
    <row r="14697" s="689" customFormat="1" x14ac:dyDescent="0.2"/>
    <row r="14698" s="689" customFormat="1" x14ac:dyDescent="0.2"/>
    <row r="14699" s="689" customFormat="1" x14ac:dyDescent="0.2"/>
    <row r="14700" s="689" customFormat="1" x14ac:dyDescent="0.2"/>
    <row r="14701" s="689" customFormat="1" x14ac:dyDescent="0.2"/>
    <row r="14702" s="689" customFormat="1" x14ac:dyDescent="0.2"/>
    <row r="14703" s="689" customFormat="1" x14ac:dyDescent="0.2"/>
    <row r="14704" s="689" customFormat="1" x14ac:dyDescent="0.2"/>
    <row r="14705" s="689" customFormat="1" x14ac:dyDescent="0.2"/>
    <row r="14706" s="689" customFormat="1" x14ac:dyDescent="0.2"/>
    <row r="14707" s="689" customFormat="1" x14ac:dyDescent="0.2"/>
    <row r="14708" s="689" customFormat="1" x14ac:dyDescent="0.2"/>
    <row r="14709" s="689" customFormat="1" x14ac:dyDescent="0.2"/>
    <row r="14710" s="689" customFormat="1" x14ac:dyDescent="0.2"/>
    <row r="14711" s="689" customFormat="1" x14ac:dyDescent="0.2"/>
    <row r="14712" s="689" customFormat="1" x14ac:dyDescent="0.2"/>
    <row r="14713" s="689" customFormat="1" x14ac:dyDescent="0.2"/>
    <row r="14714" s="689" customFormat="1" x14ac:dyDescent="0.2"/>
    <row r="14715" s="689" customFormat="1" x14ac:dyDescent="0.2"/>
    <row r="14716" s="689" customFormat="1" x14ac:dyDescent="0.2"/>
    <row r="14717" s="689" customFormat="1" x14ac:dyDescent="0.2"/>
    <row r="14718" s="689" customFormat="1" x14ac:dyDescent="0.2"/>
    <row r="14719" s="689" customFormat="1" x14ac:dyDescent="0.2"/>
    <row r="14720" s="689" customFormat="1" x14ac:dyDescent="0.2"/>
    <row r="14721" s="689" customFormat="1" x14ac:dyDescent="0.2"/>
    <row r="14722" s="689" customFormat="1" x14ac:dyDescent="0.2"/>
    <row r="14723" s="689" customFormat="1" x14ac:dyDescent="0.2"/>
    <row r="14724" s="689" customFormat="1" x14ac:dyDescent="0.2"/>
    <row r="14725" s="689" customFormat="1" x14ac:dyDescent="0.2"/>
    <row r="14726" s="689" customFormat="1" x14ac:dyDescent="0.2"/>
    <row r="14727" s="689" customFormat="1" x14ac:dyDescent="0.2"/>
    <row r="14728" s="689" customFormat="1" x14ac:dyDescent="0.2"/>
    <row r="14729" s="689" customFormat="1" x14ac:dyDescent="0.2"/>
    <row r="14730" s="689" customFormat="1" x14ac:dyDescent="0.2"/>
    <row r="14731" s="689" customFormat="1" x14ac:dyDescent="0.2"/>
    <row r="14732" s="689" customFormat="1" x14ac:dyDescent="0.2"/>
    <row r="14733" s="689" customFormat="1" x14ac:dyDescent="0.2"/>
    <row r="14734" s="689" customFormat="1" x14ac:dyDescent="0.2"/>
    <row r="14735" s="689" customFormat="1" x14ac:dyDescent="0.2"/>
    <row r="14736" s="689" customFormat="1" x14ac:dyDescent="0.2"/>
    <row r="14737" s="689" customFormat="1" x14ac:dyDescent="0.2"/>
    <row r="14738" s="689" customFormat="1" x14ac:dyDescent="0.2"/>
    <row r="14739" s="689" customFormat="1" x14ac:dyDescent="0.2"/>
    <row r="14740" s="689" customFormat="1" x14ac:dyDescent="0.2"/>
    <row r="14741" s="689" customFormat="1" x14ac:dyDescent="0.2"/>
    <row r="14742" s="689" customFormat="1" x14ac:dyDescent="0.2"/>
    <row r="14743" s="689" customFormat="1" x14ac:dyDescent="0.2"/>
    <row r="14744" s="689" customFormat="1" x14ac:dyDescent="0.2"/>
    <row r="14745" s="689" customFormat="1" x14ac:dyDescent="0.2"/>
    <row r="14746" s="689" customFormat="1" x14ac:dyDescent="0.2"/>
    <row r="14747" s="689" customFormat="1" x14ac:dyDescent="0.2"/>
    <row r="14748" s="689" customFormat="1" x14ac:dyDescent="0.2"/>
    <row r="14749" s="689" customFormat="1" x14ac:dyDescent="0.2"/>
    <row r="14750" s="689" customFormat="1" x14ac:dyDescent="0.2"/>
    <row r="14751" s="689" customFormat="1" x14ac:dyDescent="0.2"/>
    <row r="14752" s="689" customFormat="1" x14ac:dyDescent="0.2"/>
    <row r="14753" s="689" customFormat="1" x14ac:dyDescent="0.2"/>
    <row r="14754" s="689" customFormat="1" x14ac:dyDescent="0.2"/>
    <row r="14755" s="689" customFormat="1" x14ac:dyDescent="0.2"/>
    <row r="14756" s="689" customFormat="1" x14ac:dyDescent="0.2"/>
    <row r="14757" s="689" customFormat="1" x14ac:dyDescent="0.2"/>
    <row r="14758" s="689" customFormat="1" x14ac:dyDescent="0.2"/>
    <row r="14759" s="689" customFormat="1" x14ac:dyDescent="0.2"/>
    <row r="14760" s="689" customFormat="1" x14ac:dyDescent="0.2"/>
    <row r="14761" s="689" customFormat="1" x14ac:dyDescent="0.2"/>
    <row r="14762" s="689" customFormat="1" x14ac:dyDescent="0.2"/>
    <row r="14763" s="689" customFormat="1" x14ac:dyDescent="0.2"/>
    <row r="14764" s="689" customFormat="1" x14ac:dyDescent="0.2"/>
    <row r="14765" s="689" customFormat="1" x14ac:dyDescent="0.2"/>
    <row r="14766" s="689" customFormat="1" x14ac:dyDescent="0.2"/>
    <row r="14767" s="689" customFormat="1" x14ac:dyDescent="0.2"/>
    <row r="14768" s="689" customFormat="1" x14ac:dyDescent="0.2"/>
    <row r="14769" s="689" customFormat="1" x14ac:dyDescent="0.2"/>
    <row r="14770" s="689" customFormat="1" x14ac:dyDescent="0.2"/>
    <row r="14771" s="689" customFormat="1" x14ac:dyDescent="0.2"/>
    <row r="14772" s="689" customFormat="1" x14ac:dyDescent="0.2"/>
    <row r="14773" s="689" customFormat="1" x14ac:dyDescent="0.2"/>
    <row r="14774" s="689" customFormat="1" x14ac:dyDescent="0.2"/>
    <row r="14775" s="689" customFormat="1" x14ac:dyDescent="0.2"/>
    <row r="14776" s="689" customFormat="1" x14ac:dyDescent="0.2"/>
    <row r="14777" s="689" customFormat="1" x14ac:dyDescent="0.2"/>
    <row r="14778" s="689" customFormat="1" x14ac:dyDescent="0.2"/>
    <row r="14779" s="689" customFormat="1" x14ac:dyDescent="0.2"/>
    <row r="14780" s="689" customFormat="1" x14ac:dyDescent="0.2"/>
    <row r="14781" s="689" customFormat="1" x14ac:dyDescent="0.2"/>
    <row r="14782" s="689" customFormat="1" x14ac:dyDescent="0.2"/>
    <row r="14783" s="689" customFormat="1" x14ac:dyDescent="0.2"/>
    <row r="14784" s="689" customFormat="1" x14ac:dyDescent="0.2"/>
    <row r="14785" s="689" customFormat="1" x14ac:dyDescent="0.2"/>
    <row r="14786" s="689" customFormat="1" x14ac:dyDescent="0.2"/>
    <row r="14787" s="689" customFormat="1" x14ac:dyDescent="0.2"/>
    <row r="14788" s="689" customFormat="1" x14ac:dyDescent="0.2"/>
    <row r="14789" s="689" customFormat="1" x14ac:dyDescent="0.2"/>
    <row r="14790" s="689" customFormat="1" x14ac:dyDescent="0.2"/>
    <row r="14791" s="689" customFormat="1" x14ac:dyDescent="0.2"/>
    <row r="14792" s="689" customFormat="1" x14ac:dyDescent="0.2"/>
    <row r="14793" s="689" customFormat="1" x14ac:dyDescent="0.2"/>
    <row r="14794" s="689" customFormat="1" x14ac:dyDescent="0.2"/>
    <row r="14795" s="689" customFormat="1" x14ac:dyDescent="0.2"/>
    <row r="14796" s="689" customFormat="1" x14ac:dyDescent="0.2"/>
    <row r="14797" s="689" customFormat="1" x14ac:dyDescent="0.2"/>
    <row r="14798" s="689" customFormat="1" x14ac:dyDescent="0.2"/>
    <row r="14799" s="689" customFormat="1" x14ac:dyDescent="0.2"/>
    <row r="14800" s="689" customFormat="1" x14ac:dyDescent="0.2"/>
    <row r="14801" s="689" customFormat="1" x14ac:dyDescent="0.2"/>
    <row r="14802" s="689" customFormat="1" x14ac:dyDescent="0.2"/>
    <row r="14803" s="689" customFormat="1" x14ac:dyDescent="0.2"/>
    <row r="14804" s="689" customFormat="1" x14ac:dyDescent="0.2"/>
    <row r="14805" s="689" customFormat="1" x14ac:dyDescent="0.2"/>
    <row r="14806" s="689" customFormat="1" x14ac:dyDescent="0.2"/>
    <row r="14807" s="689" customFormat="1" x14ac:dyDescent="0.2"/>
    <row r="14808" s="689" customFormat="1" x14ac:dyDescent="0.2"/>
    <row r="14809" s="689" customFormat="1" x14ac:dyDescent="0.2"/>
    <row r="14810" s="689" customFormat="1" x14ac:dyDescent="0.2"/>
    <row r="14811" s="689" customFormat="1" x14ac:dyDescent="0.2"/>
    <row r="14812" s="689" customFormat="1" x14ac:dyDescent="0.2"/>
    <row r="14813" s="689" customFormat="1" x14ac:dyDescent="0.2"/>
    <row r="14814" s="689" customFormat="1" x14ac:dyDescent="0.2"/>
    <row r="14815" s="689" customFormat="1" x14ac:dyDescent="0.2"/>
    <row r="14816" s="689" customFormat="1" x14ac:dyDescent="0.2"/>
    <row r="14817" s="689" customFormat="1" x14ac:dyDescent="0.2"/>
    <row r="14818" s="689" customFormat="1" x14ac:dyDescent="0.2"/>
    <row r="14819" s="689" customFormat="1" x14ac:dyDescent="0.2"/>
    <row r="14820" s="689" customFormat="1" x14ac:dyDescent="0.2"/>
    <row r="14821" s="689" customFormat="1" x14ac:dyDescent="0.2"/>
    <row r="14822" s="689" customFormat="1" x14ac:dyDescent="0.2"/>
    <row r="14823" s="689" customFormat="1" x14ac:dyDescent="0.2"/>
    <row r="14824" s="689" customFormat="1" x14ac:dyDescent="0.2"/>
    <row r="14825" s="689" customFormat="1" x14ac:dyDescent="0.2"/>
    <row r="14826" s="689" customFormat="1" x14ac:dyDescent="0.2"/>
    <row r="14827" s="689" customFormat="1" x14ac:dyDescent="0.2"/>
    <row r="14828" s="689" customFormat="1" x14ac:dyDescent="0.2"/>
    <row r="14829" s="689" customFormat="1" x14ac:dyDescent="0.2"/>
    <row r="14830" s="689" customFormat="1" x14ac:dyDescent="0.2"/>
    <row r="14831" s="689" customFormat="1" x14ac:dyDescent="0.2"/>
    <row r="14832" s="689" customFormat="1" x14ac:dyDescent="0.2"/>
    <row r="14833" s="689" customFormat="1" x14ac:dyDescent="0.2"/>
    <row r="14834" s="689" customFormat="1" x14ac:dyDescent="0.2"/>
    <row r="14835" s="689" customFormat="1" x14ac:dyDescent="0.2"/>
    <row r="14836" s="689" customFormat="1" x14ac:dyDescent="0.2"/>
    <row r="14837" s="689" customFormat="1" x14ac:dyDescent="0.2"/>
    <row r="14838" s="689" customFormat="1" x14ac:dyDescent="0.2"/>
    <row r="14839" s="689" customFormat="1" x14ac:dyDescent="0.2"/>
    <row r="14840" s="689" customFormat="1" x14ac:dyDescent="0.2"/>
    <row r="14841" s="689" customFormat="1" x14ac:dyDescent="0.2"/>
    <row r="14842" s="689" customFormat="1" x14ac:dyDescent="0.2"/>
    <row r="14843" s="689" customFormat="1" x14ac:dyDescent="0.2"/>
    <row r="14844" s="689" customFormat="1" x14ac:dyDescent="0.2"/>
    <row r="14845" s="689" customFormat="1" x14ac:dyDescent="0.2"/>
    <row r="14846" s="689" customFormat="1" x14ac:dyDescent="0.2"/>
    <row r="14847" s="689" customFormat="1" x14ac:dyDescent="0.2"/>
    <row r="14848" s="689" customFormat="1" x14ac:dyDescent="0.2"/>
    <row r="14849" s="689" customFormat="1" x14ac:dyDescent="0.2"/>
    <row r="14850" s="689" customFormat="1" x14ac:dyDescent="0.2"/>
    <row r="14851" s="689" customFormat="1" x14ac:dyDescent="0.2"/>
    <row r="14852" s="689" customFormat="1" x14ac:dyDescent="0.2"/>
    <row r="14853" s="689" customFormat="1" x14ac:dyDescent="0.2"/>
    <row r="14854" s="689" customFormat="1" x14ac:dyDescent="0.2"/>
    <row r="14855" s="689" customFormat="1" x14ac:dyDescent="0.2"/>
    <row r="14856" s="689" customFormat="1" x14ac:dyDescent="0.2"/>
    <row r="14857" s="689" customFormat="1" x14ac:dyDescent="0.2"/>
    <row r="14858" s="689" customFormat="1" x14ac:dyDescent="0.2"/>
    <row r="14859" s="689" customFormat="1" x14ac:dyDescent="0.2"/>
    <row r="14860" s="689" customFormat="1" x14ac:dyDescent="0.2"/>
    <row r="14861" s="689" customFormat="1" x14ac:dyDescent="0.2"/>
    <row r="14862" s="689" customFormat="1" x14ac:dyDescent="0.2"/>
    <row r="14863" s="689" customFormat="1" x14ac:dyDescent="0.2"/>
    <row r="14864" s="689" customFormat="1" x14ac:dyDescent="0.2"/>
    <row r="14865" s="689" customFormat="1" x14ac:dyDescent="0.2"/>
    <row r="14866" s="689" customFormat="1" x14ac:dyDescent="0.2"/>
    <row r="14867" s="689" customFormat="1" x14ac:dyDescent="0.2"/>
    <row r="14868" s="689" customFormat="1" x14ac:dyDescent="0.2"/>
    <row r="14869" s="689" customFormat="1" x14ac:dyDescent="0.2"/>
    <row r="14870" s="689" customFormat="1" x14ac:dyDescent="0.2"/>
    <row r="14871" s="689" customFormat="1" x14ac:dyDescent="0.2"/>
    <row r="14872" s="689" customFormat="1" x14ac:dyDescent="0.2"/>
    <row r="14873" s="689" customFormat="1" x14ac:dyDescent="0.2"/>
    <row r="14874" s="689" customFormat="1" x14ac:dyDescent="0.2"/>
    <row r="14875" s="689" customFormat="1" x14ac:dyDescent="0.2"/>
    <row r="14876" s="689" customFormat="1" x14ac:dyDescent="0.2"/>
    <row r="14877" s="689" customFormat="1" x14ac:dyDescent="0.2"/>
    <row r="14878" s="689" customFormat="1" x14ac:dyDescent="0.2"/>
    <row r="14879" s="689" customFormat="1" x14ac:dyDescent="0.2"/>
    <row r="14880" s="689" customFormat="1" x14ac:dyDescent="0.2"/>
    <row r="14881" s="689" customFormat="1" x14ac:dyDescent="0.2"/>
    <row r="14882" s="689" customFormat="1" x14ac:dyDescent="0.2"/>
    <row r="14883" s="689" customFormat="1" x14ac:dyDescent="0.2"/>
    <row r="14884" s="689" customFormat="1" x14ac:dyDescent="0.2"/>
    <row r="14885" s="689" customFormat="1" x14ac:dyDescent="0.2"/>
    <row r="14886" s="689" customFormat="1" x14ac:dyDescent="0.2"/>
    <row r="14887" s="689" customFormat="1" x14ac:dyDescent="0.2"/>
    <row r="14888" s="689" customFormat="1" x14ac:dyDescent="0.2"/>
    <row r="14889" s="689" customFormat="1" x14ac:dyDescent="0.2"/>
    <row r="14890" s="689" customFormat="1" x14ac:dyDescent="0.2"/>
    <row r="14891" s="689" customFormat="1" x14ac:dyDescent="0.2"/>
    <row r="14892" s="689" customFormat="1" x14ac:dyDescent="0.2"/>
    <row r="14893" s="689" customFormat="1" x14ac:dyDescent="0.2"/>
    <row r="14894" s="689" customFormat="1" x14ac:dyDescent="0.2"/>
    <row r="14895" s="689" customFormat="1" x14ac:dyDescent="0.2"/>
    <row r="14896" s="689" customFormat="1" x14ac:dyDescent="0.2"/>
    <row r="14897" s="689" customFormat="1" x14ac:dyDescent="0.2"/>
    <row r="14898" s="689" customFormat="1" x14ac:dyDescent="0.2"/>
    <row r="14899" s="689" customFormat="1" x14ac:dyDescent="0.2"/>
    <row r="14900" s="689" customFormat="1" x14ac:dyDescent="0.2"/>
    <row r="14901" s="689" customFormat="1" x14ac:dyDescent="0.2"/>
    <row r="14902" s="689" customFormat="1" x14ac:dyDescent="0.2"/>
    <row r="14903" s="689" customFormat="1" x14ac:dyDescent="0.2"/>
    <row r="14904" s="689" customFormat="1" x14ac:dyDescent="0.2"/>
    <row r="14905" s="689" customFormat="1" x14ac:dyDescent="0.2"/>
    <row r="14906" s="689" customFormat="1" x14ac:dyDescent="0.2"/>
    <row r="14907" s="689" customFormat="1" x14ac:dyDescent="0.2"/>
    <row r="14908" s="689" customFormat="1" x14ac:dyDescent="0.2"/>
    <row r="14909" s="689" customFormat="1" x14ac:dyDescent="0.2"/>
    <row r="14910" s="689" customFormat="1" x14ac:dyDescent="0.2"/>
    <row r="14911" s="689" customFormat="1" x14ac:dyDescent="0.2"/>
    <row r="14912" s="689" customFormat="1" x14ac:dyDescent="0.2"/>
    <row r="14913" s="689" customFormat="1" x14ac:dyDescent="0.2"/>
    <row r="14914" s="689" customFormat="1" x14ac:dyDescent="0.2"/>
    <row r="14915" s="689" customFormat="1" x14ac:dyDescent="0.2"/>
    <row r="14916" s="689" customFormat="1" x14ac:dyDescent="0.2"/>
    <row r="14917" s="689" customFormat="1" x14ac:dyDescent="0.2"/>
    <row r="14918" s="689" customFormat="1" x14ac:dyDescent="0.2"/>
    <row r="14919" s="689" customFormat="1" x14ac:dyDescent="0.2"/>
    <row r="14920" s="689" customFormat="1" x14ac:dyDescent="0.2"/>
    <row r="14921" s="689" customFormat="1" x14ac:dyDescent="0.2"/>
    <row r="14922" s="689" customFormat="1" x14ac:dyDescent="0.2"/>
    <row r="14923" s="689" customFormat="1" x14ac:dyDescent="0.2"/>
    <row r="14924" s="689" customFormat="1" x14ac:dyDescent="0.2"/>
    <row r="14925" s="689" customFormat="1" x14ac:dyDescent="0.2"/>
    <row r="14926" s="689" customFormat="1" x14ac:dyDescent="0.2"/>
    <row r="14927" s="689" customFormat="1" x14ac:dyDescent="0.2"/>
    <row r="14928" s="689" customFormat="1" x14ac:dyDescent="0.2"/>
    <row r="14929" s="689" customFormat="1" x14ac:dyDescent="0.2"/>
    <row r="14930" s="689" customFormat="1" x14ac:dyDescent="0.2"/>
    <row r="14931" s="689" customFormat="1" x14ac:dyDescent="0.2"/>
    <row r="14932" s="689" customFormat="1" x14ac:dyDescent="0.2"/>
    <row r="14933" s="689" customFormat="1" x14ac:dyDescent="0.2"/>
    <row r="14934" s="689" customFormat="1" x14ac:dyDescent="0.2"/>
    <row r="14935" s="689" customFormat="1" x14ac:dyDescent="0.2"/>
    <row r="14936" s="689" customFormat="1" x14ac:dyDescent="0.2"/>
    <row r="14937" s="689" customFormat="1" x14ac:dyDescent="0.2"/>
    <row r="14938" s="689" customFormat="1" x14ac:dyDescent="0.2"/>
    <row r="14939" s="689" customFormat="1" x14ac:dyDescent="0.2"/>
    <row r="14940" s="689" customFormat="1" x14ac:dyDescent="0.2"/>
    <row r="14941" s="689" customFormat="1" x14ac:dyDescent="0.2"/>
    <row r="14942" s="689" customFormat="1" x14ac:dyDescent="0.2"/>
    <row r="14943" s="689" customFormat="1" x14ac:dyDescent="0.2"/>
    <row r="14944" s="689" customFormat="1" x14ac:dyDescent="0.2"/>
    <row r="14945" s="689" customFormat="1" x14ac:dyDescent="0.2"/>
    <row r="14946" s="689" customFormat="1" x14ac:dyDescent="0.2"/>
    <row r="14947" s="689" customFormat="1" x14ac:dyDescent="0.2"/>
    <row r="14948" s="689" customFormat="1" x14ac:dyDescent="0.2"/>
    <row r="14949" s="689" customFormat="1" x14ac:dyDescent="0.2"/>
    <row r="14950" s="689" customFormat="1" x14ac:dyDescent="0.2"/>
    <row r="14951" s="689" customFormat="1" x14ac:dyDescent="0.2"/>
    <row r="14952" s="689" customFormat="1" x14ac:dyDescent="0.2"/>
    <row r="14953" s="689" customFormat="1" x14ac:dyDescent="0.2"/>
    <row r="14954" s="689" customFormat="1" x14ac:dyDescent="0.2"/>
    <row r="14955" s="689" customFormat="1" x14ac:dyDescent="0.2"/>
    <row r="14956" s="689" customFormat="1" x14ac:dyDescent="0.2"/>
    <row r="14957" s="689" customFormat="1" x14ac:dyDescent="0.2"/>
    <row r="14958" s="689" customFormat="1" x14ac:dyDescent="0.2"/>
    <row r="14959" s="689" customFormat="1" x14ac:dyDescent="0.2"/>
    <row r="14960" s="689" customFormat="1" x14ac:dyDescent="0.2"/>
    <row r="14961" s="689" customFormat="1" x14ac:dyDescent="0.2"/>
    <row r="14962" s="689" customFormat="1" x14ac:dyDescent="0.2"/>
    <row r="14963" s="689" customFormat="1" x14ac:dyDescent="0.2"/>
    <row r="14964" s="689" customFormat="1" x14ac:dyDescent="0.2"/>
    <row r="14965" s="689" customFormat="1" x14ac:dyDescent="0.2"/>
    <row r="14966" s="689" customFormat="1" x14ac:dyDescent="0.2"/>
    <row r="14967" s="689" customFormat="1" x14ac:dyDescent="0.2"/>
    <row r="14968" s="689" customFormat="1" x14ac:dyDescent="0.2"/>
    <row r="14969" s="689" customFormat="1" x14ac:dyDescent="0.2"/>
    <row r="14970" s="689" customFormat="1" x14ac:dyDescent="0.2"/>
    <row r="14971" s="689" customFormat="1" x14ac:dyDescent="0.2"/>
    <row r="14972" s="689" customFormat="1" x14ac:dyDescent="0.2"/>
    <row r="14973" s="689" customFormat="1" x14ac:dyDescent="0.2"/>
    <row r="14974" s="689" customFormat="1" x14ac:dyDescent="0.2"/>
    <row r="14975" s="689" customFormat="1" x14ac:dyDescent="0.2"/>
    <row r="14976" s="689" customFormat="1" x14ac:dyDescent="0.2"/>
    <row r="14977" s="689" customFormat="1" x14ac:dyDescent="0.2"/>
    <row r="14978" s="689" customFormat="1" x14ac:dyDescent="0.2"/>
    <row r="14979" s="689" customFormat="1" x14ac:dyDescent="0.2"/>
    <row r="14980" s="689" customFormat="1" x14ac:dyDescent="0.2"/>
    <row r="14981" s="689" customFormat="1" x14ac:dyDescent="0.2"/>
    <row r="14982" s="689" customFormat="1" x14ac:dyDescent="0.2"/>
    <row r="14983" s="689" customFormat="1" x14ac:dyDescent="0.2"/>
    <row r="14984" s="689" customFormat="1" x14ac:dyDescent="0.2"/>
    <row r="14985" s="689" customFormat="1" x14ac:dyDescent="0.2"/>
    <row r="14986" s="689" customFormat="1" x14ac:dyDescent="0.2"/>
    <row r="14987" s="689" customFormat="1" x14ac:dyDescent="0.2"/>
    <row r="14988" s="689" customFormat="1" x14ac:dyDescent="0.2"/>
    <row r="14989" s="689" customFormat="1" x14ac:dyDescent="0.2"/>
    <row r="14990" s="689" customFormat="1" x14ac:dyDescent="0.2"/>
    <row r="14991" s="689" customFormat="1" x14ac:dyDescent="0.2"/>
    <row r="14992" s="689" customFormat="1" x14ac:dyDescent="0.2"/>
    <row r="14993" s="689" customFormat="1" x14ac:dyDescent="0.2"/>
    <row r="14994" s="689" customFormat="1" x14ac:dyDescent="0.2"/>
    <row r="14995" s="689" customFormat="1" x14ac:dyDescent="0.2"/>
    <row r="14996" s="689" customFormat="1" x14ac:dyDescent="0.2"/>
    <row r="14997" s="689" customFormat="1" x14ac:dyDescent="0.2"/>
    <row r="14998" s="689" customFormat="1" x14ac:dyDescent="0.2"/>
    <row r="14999" s="689" customFormat="1" x14ac:dyDescent="0.2"/>
    <row r="15000" s="689" customFormat="1" x14ac:dyDescent="0.2"/>
    <row r="15001" s="689" customFormat="1" x14ac:dyDescent="0.2"/>
    <row r="15002" s="689" customFormat="1" x14ac:dyDescent="0.2"/>
    <row r="15003" s="689" customFormat="1" x14ac:dyDescent="0.2"/>
    <row r="15004" s="689" customFormat="1" x14ac:dyDescent="0.2"/>
    <row r="15005" s="689" customFormat="1" x14ac:dyDescent="0.2"/>
    <row r="15006" s="689" customFormat="1" x14ac:dyDescent="0.2"/>
    <row r="15007" s="689" customFormat="1" x14ac:dyDescent="0.2"/>
    <row r="15008" s="689" customFormat="1" x14ac:dyDescent="0.2"/>
    <row r="15009" s="689" customFormat="1" x14ac:dyDescent="0.2"/>
    <row r="15010" s="689" customFormat="1" x14ac:dyDescent="0.2"/>
    <row r="15011" s="689" customFormat="1" x14ac:dyDescent="0.2"/>
    <row r="15012" s="689" customFormat="1" x14ac:dyDescent="0.2"/>
    <row r="15013" s="689" customFormat="1" x14ac:dyDescent="0.2"/>
    <row r="15014" s="689" customFormat="1" x14ac:dyDescent="0.2"/>
    <row r="15015" s="689" customFormat="1" x14ac:dyDescent="0.2"/>
    <row r="15016" s="689" customFormat="1" x14ac:dyDescent="0.2"/>
    <row r="15017" s="689" customFormat="1" x14ac:dyDescent="0.2"/>
    <row r="15018" s="689" customFormat="1" x14ac:dyDescent="0.2"/>
    <row r="15019" s="689" customFormat="1" x14ac:dyDescent="0.2"/>
    <row r="15020" s="689" customFormat="1" x14ac:dyDescent="0.2"/>
    <row r="15021" s="689" customFormat="1" x14ac:dyDescent="0.2"/>
    <row r="15022" s="689" customFormat="1" x14ac:dyDescent="0.2"/>
    <row r="15023" s="689" customFormat="1" x14ac:dyDescent="0.2"/>
    <row r="15024" s="689" customFormat="1" x14ac:dyDescent="0.2"/>
    <row r="15025" s="689" customFormat="1" x14ac:dyDescent="0.2"/>
    <row r="15026" s="689" customFormat="1" x14ac:dyDescent="0.2"/>
    <row r="15027" s="689" customFormat="1" x14ac:dyDescent="0.2"/>
    <row r="15028" s="689" customFormat="1" x14ac:dyDescent="0.2"/>
    <row r="15029" s="689" customFormat="1" x14ac:dyDescent="0.2"/>
    <row r="15030" s="689" customFormat="1" x14ac:dyDescent="0.2"/>
    <row r="15031" s="689" customFormat="1" x14ac:dyDescent="0.2"/>
    <row r="15032" s="689" customFormat="1" x14ac:dyDescent="0.2"/>
    <row r="15033" s="689" customFormat="1" x14ac:dyDescent="0.2"/>
    <row r="15034" s="689" customFormat="1" x14ac:dyDescent="0.2"/>
    <row r="15035" s="689" customFormat="1" x14ac:dyDescent="0.2"/>
    <row r="15036" s="689" customFormat="1" x14ac:dyDescent="0.2"/>
    <row r="15037" s="689" customFormat="1" x14ac:dyDescent="0.2"/>
    <row r="15038" s="689" customFormat="1" x14ac:dyDescent="0.2"/>
    <row r="15039" s="689" customFormat="1" x14ac:dyDescent="0.2"/>
    <row r="15040" s="689" customFormat="1" x14ac:dyDescent="0.2"/>
    <row r="15041" s="689" customFormat="1" x14ac:dyDescent="0.2"/>
    <row r="15042" s="689" customFormat="1" x14ac:dyDescent="0.2"/>
    <row r="15043" s="689" customFormat="1" x14ac:dyDescent="0.2"/>
    <row r="15044" s="689" customFormat="1" x14ac:dyDescent="0.2"/>
    <row r="15045" s="689" customFormat="1" x14ac:dyDescent="0.2"/>
    <row r="15046" s="689" customFormat="1" x14ac:dyDescent="0.2"/>
    <row r="15047" s="689" customFormat="1" x14ac:dyDescent="0.2"/>
    <row r="15048" s="689" customFormat="1" x14ac:dyDescent="0.2"/>
    <row r="15049" s="689" customFormat="1" x14ac:dyDescent="0.2"/>
    <row r="15050" s="689" customFormat="1" x14ac:dyDescent="0.2"/>
    <row r="15051" s="689" customFormat="1" x14ac:dyDescent="0.2"/>
    <row r="15052" s="689" customFormat="1" x14ac:dyDescent="0.2"/>
    <row r="15053" s="689" customFormat="1" x14ac:dyDescent="0.2"/>
    <row r="15054" s="689" customFormat="1" x14ac:dyDescent="0.2"/>
    <row r="15055" s="689" customFormat="1" x14ac:dyDescent="0.2"/>
    <row r="15056" s="689" customFormat="1" x14ac:dyDescent="0.2"/>
    <row r="15057" s="689" customFormat="1" x14ac:dyDescent="0.2"/>
    <row r="15058" s="689" customFormat="1" x14ac:dyDescent="0.2"/>
    <row r="15059" s="689" customFormat="1" x14ac:dyDescent="0.2"/>
    <row r="15060" s="689" customFormat="1" x14ac:dyDescent="0.2"/>
    <row r="15061" s="689" customFormat="1" x14ac:dyDescent="0.2"/>
    <row r="15062" s="689" customFormat="1" x14ac:dyDescent="0.2"/>
    <row r="15063" s="689" customFormat="1" x14ac:dyDescent="0.2"/>
    <row r="15064" s="689" customFormat="1" x14ac:dyDescent="0.2"/>
    <row r="15065" s="689" customFormat="1" x14ac:dyDescent="0.2"/>
    <row r="15066" s="689" customFormat="1" x14ac:dyDescent="0.2"/>
    <row r="15067" s="689" customFormat="1" x14ac:dyDescent="0.2"/>
    <row r="15068" s="689" customFormat="1" x14ac:dyDescent="0.2"/>
    <row r="15069" s="689" customFormat="1" x14ac:dyDescent="0.2"/>
    <row r="15070" s="689" customFormat="1" x14ac:dyDescent="0.2"/>
    <row r="15071" s="689" customFormat="1" x14ac:dyDescent="0.2"/>
    <row r="15072" s="689" customFormat="1" x14ac:dyDescent="0.2"/>
    <row r="15073" s="689" customFormat="1" x14ac:dyDescent="0.2"/>
    <row r="15074" s="689" customFormat="1" x14ac:dyDescent="0.2"/>
    <row r="15075" s="689" customFormat="1" x14ac:dyDescent="0.2"/>
    <row r="15076" s="689" customFormat="1" x14ac:dyDescent="0.2"/>
    <row r="15077" s="689" customFormat="1" x14ac:dyDescent="0.2"/>
    <row r="15078" s="689" customFormat="1" x14ac:dyDescent="0.2"/>
    <row r="15079" s="689" customFormat="1" x14ac:dyDescent="0.2"/>
    <row r="15080" s="689" customFormat="1" x14ac:dyDescent="0.2"/>
    <row r="15081" s="689" customFormat="1" x14ac:dyDescent="0.2"/>
    <row r="15082" s="689" customFormat="1" x14ac:dyDescent="0.2"/>
    <row r="15083" s="689" customFormat="1" x14ac:dyDescent="0.2"/>
    <row r="15084" s="689" customFormat="1" x14ac:dyDescent="0.2"/>
    <row r="15085" s="689" customFormat="1" x14ac:dyDescent="0.2"/>
    <row r="15086" s="689" customFormat="1" x14ac:dyDescent="0.2"/>
    <row r="15087" s="689" customFormat="1" x14ac:dyDescent="0.2"/>
    <row r="15088" s="689" customFormat="1" x14ac:dyDescent="0.2"/>
    <row r="15089" s="689" customFormat="1" x14ac:dyDescent="0.2"/>
    <row r="15090" s="689" customFormat="1" x14ac:dyDescent="0.2"/>
    <row r="15091" s="689" customFormat="1" x14ac:dyDescent="0.2"/>
    <row r="15092" s="689" customFormat="1" x14ac:dyDescent="0.2"/>
    <row r="15093" s="689" customFormat="1" x14ac:dyDescent="0.2"/>
    <row r="15094" s="689" customFormat="1" x14ac:dyDescent="0.2"/>
    <row r="15095" s="689" customFormat="1" x14ac:dyDescent="0.2"/>
    <row r="15096" s="689" customFormat="1" x14ac:dyDescent="0.2"/>
    <row r="15097" s="689" customFormat="1" x14ac:dyDescent="0.2"/>
    <row r="15098" s="689" customFormat="1" x14ac:dyDescent="0.2"/>
    <row r="15099" s="689" customFormat="1" x14ac:dyDescent="0.2"/>
    <row r="15100" s="689" customFormat="1" x14ac:dyDescent="0.2"/>
    <row r="15101" s="689" customFormat="1" x14ac:dyDescent="0.2"/>
    <row r="15102" s="689" customFormat="1" x14ac:dyDescent="0.2"/>
    <row r="15103" s="689" customFormat="1" x14ac:dyDescent="0.2"/>
    <row r="15104" s="689" customFormat="1" x14ac:dyDescent="0.2"/>
    <row r="15105" s="689" customFormat="1" x14ac:dyDescent="0.2"/>
    <row r="15106" s="689" customFormat="1" x14ac:dyDescent="0.2"/>
    <row r="15107" s="689" customFormat="1" x14ac:dyDescent="0.2"/>
    <row r="15108" s="689" customFormat="1" x14ac:dyDescent="0.2"/>
    <row r="15109" s="689" customFormat="1" x14ac:dyDescent="0.2"/>
    <row r="15110" s="689" customFormat="1" x14ac:dyDescent="0.2"/>
    <row r="15111" s="689" customFormat="1" x14ac:dyDescent="0.2"/>
    <row r="15112" s="689" customFormat="1" x14ac:dyDescent="0.2"/>
    <row r="15113" s="689" customFormat="1" x14ac:dyDescent="0.2"/>
    <row r="15114" s="689" customFormat="1" x14ac:dyDescent="0.2"/>
    <row r="15115" s="689" customFormat="1" x14ac:dyDescent="0.2"/>
    <row r="15116" s="689" customFormat="1" x14ac:dyDescent="0.2"/>
    <row r="15117" s="689" customFormat="1" x14ac:dyDescent="0.2"/>
    <row r="15118" s="689" customFormat="1" x14ac:dyDescent="0.2"/>
    <row r="15119" s="689" customFormat="1" x14ac:dyDescent="0.2"/>
    <row r="15120" s="689" customFormat="1" x14ac:dyDescent="0.2"/>
    <row r="15121" s="689" customFormat="1" x14ac:dyDescent="0.2"/>
    <row r="15122" s="689" customFormat="1" x14ac:dyDescent="0.2"/>
    <row r="15123" s="689" customFormat="1" x14ac:dyDescent="0.2"/>
    <row r="15124" s="689" customFormat="1" x14ac:dyDescent="0.2"/>
    <row r="15125" s="689" customFormat="1" x14ac:dyDescent="0.2"/>
    <row r="15126" s="689" customFormat="1" x14ac:dyDescent="0.2"/>
    <row r="15127" s="689" customFormat="1" x14ac:dyDescent="0.2"/>
    <row r="15128" s="689" customFormat="1" x14ac:dyDescent="0.2"/>
    <row r="15129" s="689" customFormat="1" x14ac:dyDescent="0.2"/>
    <row r="15130" s="689" customFormat="1" x14ac:dyDescent="0.2"/>
    <row r="15131" s="689" customFormat="1" x14ac:dyDescent="0.2"/>
    <row r="15132" s="689" customFormat="1" x14ac:dyDescent="0.2"/>
    <row r="15133" s="689" customFormat="1" x14ac:dyDescent="0.2"/>
    <row r="15134" s="689" customFormat="1" x14ac:dyDescent="0.2"/>
    <row r="15135" s="689" customFormat="1" x14ac:dyDescent="0.2"/>
    <row r="15136" s="689" customFormat="1" x14ac:dyDescent="0.2"/>
    <row r="15137" s="689" customFormat="1" x14ac:dyDescent="0.2"/>
    <row r="15138" s="689" customFormat="1" x14ac:dyDescent="0.2"/>
    <row r="15139" s="689" customFormat="1" x14ac:dyDescent="0.2"/>
    <row r="15140" s="689" customFormat="1" x14ac:dyDescent="0.2"/>
    <row r="15141" s="689" customFormat="1" x14ac:dyDescent="0.2"/>
    <row r="15142" s="689" customFormat="1" x14ac:dyDescent="0.2"/>
    <row r="15143" s="689" customFormat="1" x14ac:dyDescent="0.2"/>
    <row r="15144" s="689" customFormat="1" x14ac:dyDescent="0.2"/>
    <row r="15145" s="689" customFormat="1" x14ac:dyDescent="0.2"/>
    <row r="15146" s="689" customFormat="1" x14ac:dyDescent="0.2"/>
    <row r="15147" s="689" customFormat="1" x14ac:dyDescent="0.2"/>
    <row r="15148" s="689" customFormat="1" x14ac:dyDescent="0.2"/>
    <row r="15149" s="689" customFormat="1" x14ac:dyDescent="0.2"/>
    <row r="15150" s="689" customFormat="1" x14ac:dyDescent="0.2"/>
    <row r="15151" s="689" customFormat="1" x14ac:dyDescent="0.2"/>
    <row r="15152" s="689" customFormat="1" x14ac:dyDescent="0.2"/>
    <row r="15153" s="689" customFormat="1" x14ac:dyDescent="0.2"/>
    <row r="15154" s="689" customFormat="1" x14ac:dyDescent="0.2"/>
    <row r="15155" s="689" customFormat="1" x14ac:dyDescent="0.2"/>
    <row r="15156" s="689" customFormat="1" x14ac:dyDescent="0.2"/>
    <row r="15157" s="689" customFormat="1" x14ac:dyDescent="0.2"/>
    <row r="15158" s="689" customFormat="1" x14ac:dyDescent="0.2"/>
    <row r="15159" s="689" customFormat="1" x14ac:dyDescent="0.2"/>
    <row r="15160" s="689" customFormat="1" x14ac:dyDescent="0.2"/>
    <row r="15161" s="689" customFormat="1" x14ac:dyDescent="0.2"/>
    <row r="15162" s="689" customFormat="1" x14ac:dyDescent="0.2"/>
    <row r="15163" s="689" customFormat="1" x14ac:dyDescent="0.2"/>
    <row r="15164" s="689" customFormat="1" x14ac:dyDescent="0.2"/>
    <row r="15165" s="689" customFormat="1" x14ac:dyDescent="0.2"/>
    <row r="15166" s="689" customFormat="1" x14ac:dyDescent="0.2"/>
    <row r="15167" s="689" customFormat="1" x14ac:dyDescent="0.2"/>
    <row r="15168" s="689" customFormat="1" x14ac:dyDescent="0.2"/>
    <row r="15169" s="689" customFormat="1" x14ac:dyDescent="0.2"/>
    <row r="15170" s="689" customFormat="1" x14ac:dyDescent="0.2"/>
    <row r="15171" s="689" customFormat="1" x14ac:dyDescent="0.2"/>
    <row r="15172" s="689" customFormat="1" x14ac:dyDescent="0.2"/>
    <row r="15173" s="689" customFormat="1" x14ac:dyDescent="0.2"/>
    <row r="15174" s="689" customFormat="1" x14ac:dyDescent="0.2"/>
    <row r="15175" s="689" customFormat="1" x14ac:dyDescent="0.2"/>
    <row r="15176" s="689" customFormat="1" x14ac:dyDescent="0.2"/>
    <row r="15177" s="689" customFormat="1" x14ac:dyDescent="0.2"/>
    <row r="15178" s="689" customFormat="1" x14ac:dyDescent="0.2"/>
    <row r="15179" s="689" customFormat="1" x14ac:dyDescent="0.2"/>
    <row r="15180" s="689" customFormat="1" x14ac:dyDescent="0.2"/>
    <row r="15181" s="689" customFormat="1" x14ac:dyDescent="0.2"/>
    <row r="15182" s="689" customFormat="1" x14ac:dyDescent="0.2"/>
    <row r="15183" s="689" customFormat="1" x14ac:dyDescent="0.2"/>
    <row r="15184" s="689" customFormat="1" x14ac:dyDescent="0.2"/>
    <row r="15185" s="689" customFormat="1" x14ac:dyDescent="0.2"/>
    <row r="15186" s="689" customFormat="1" x14ac:dyDescent="0.2"/>
    <row r="15187" s="689" customFormat="1" x14ac:dyDescent="0.2"/>
    <row r="15188" s="689" customFormat="1" x14ac:dyDescent="0.2"/>
    <row r="15189" s="689" customFormat="1" x14ac:dyDescent="0.2"/>
    <row r="15190" s="689" customFormat="1" x14ac:dyDescent="0.2"/>
    <row r="15191" s="689" customFormat="1" x14ac:dyDescent="0.2"/>
    <row r="15192" s="689" customFormat="1" x14ac:dyDescent="0.2"/>
    <row r="15193" s="689" customFormat="1" x14ac:dyDescent="0.2"/>
    <row r="15194" s="689" customFormat="1" x14ac:dyDescent="0.2"/>
    <row r="15195" s="689" customFormat="1" x14ac:dyDescent="0.2"/>
    <row r="15196" s="689" customFormat="1" x14ac:dyDescent="0.2"/>
    <row r="15197" s="689" customFormat="1" x14ac:dyDescent="0.2"/>
    <row r="15198" s="689" customFormat="1" x14ac:dyDescent="0.2"/>
    <row r="15199" s="689" customFormat="1" x14ac:dyDescent="0.2"/>
    <row r="15200" s="689" customFormat="1" x14ac:dyDescent="0.2"/>
    <row r="15201" s="689" customFormat="1" x14ac:dyDescent="0.2"/>
    <row r="15202" s="689" customFormat="1" x14ac:dyDescent="0.2"/>
    <row r="15203" s="689" customFormat="1" x14ac:dyDescent="0.2"/>
    <row r="15204" s="689" customFormat="1" x14ac:dyDescent="0.2"/>
    <row r="15205" s="689" customFormat="1" x14ac:dyDescent="0.2"/>
    <row r="15206" s="689" customFormat="1" x14ac:dyDescent="0.2"/>
    <row r="15207" s="689" customFormat="1" x14ac:dyDescent="0.2"/>
    <row r="15208" s="689" customFormat="1" x14ac:dyDescent="0.2"/>
    <row r="15209" s="689" customFormat="1" x14ac:dyDescent="0.2"/>
    <row r="15210" s="689" customFormat="1" x14ac:dyDescent="0.2"/>
    <row r="15211" s="689" customFormat="1" x14ac:dyDescent="0.2"/>
    <row r="15212" s="689" customFormat="1" x14ac:dyDescent="0.2"/>
    <row r="15213" s="689" customFormat="1" x14ac:dyDescent="0.2"/>
    <row r="15214" s="689" customFormat="1" x14ac:dyDescent="0.2"/>
    <row r="15215" s="689" customFormat="1" x14ac:dyDescent="0.2"/>
    <row r="15216" s="689" customFormat="1" x14ac:dyDescent="0.2"/>
    <row r="15217" s="689" customFormat="1" x14ac:dyDescent="0.2"/>
    <row r="15218" s="689" customFormat="1" x14ac:dyDescent="0.2"/>
    <row r="15219" s="689" customFormat="1" x14ac:dyDescent="0.2"/>
    <row r="15220" s="689" customFormat="1" x14ac:dyDescent="0.2"/>
    <row r="15221" s="689" customFormat="1" x14ac:dyDescent="0.2"/>
    <row r="15222" s="689" customFormat="1" x14ac:dyDescent="0.2"/>
    <row r="15223" s="689" customFormat="1" x14ac:dyDescent="0.2"/>
    <row r="15224" s="689" customFormat="1" x14ac:dyDescent="0.2"/>
    <row r="15225" s="689" customFormat="1" x14ac:dyDescent="0.2"/>
    <row r="15226" s="689" customFormat="1" x14ac:dyDescent="0.2"/>
    <row r="15227" s="689" customFormat="1" x14ac:dyDescent="0.2"/>
    <row r="15228" s="689" customFormat="1" x14ac:dyDescent="0.2"/>
    <row r="15229" s="689" customFormat="1" x14ac:dyDescent="0.2"/>
    <row r="15230" s="689" customFormat="1" x14ac:dyDescent="0.2"/>
    <row r="15231" s="689" customFormat="1" x14ac:dyDescent="0.2"/>
    <row r="15232" s="689" customFormat="1" x14ac:dyDescent="0.2"/>
    <row r="15233" s="689" customFormat="1" x14ac:dyDescent="0.2"/>
    <row r="15234" s="689" customFormat="1" x14ac:dyDescent="0.2"/>
    <row r="15235" s="689" customFormat="1" x14ac:dyDescent="0.2"/>
    <row r="15236" s="689" customFormat="1" x14ac:dyDescent="0.2"/>
    <row r="15237" s="689" customFormat="1" x14ac:dyDescent="0.2"/>
    <row r="15238" s="689" customFormat="1" x14ac:dyDescent="0.2"/>
    <row r="15239" s="689" customFormat="1" x14ac:dyDescent="0.2"/>
    <row r="15240" s="689" customFormat="1" x14ac:dyDescent="0.2"/>
    <row r="15241" s="689" customFormat="1" x14ac:dyDescent="0.2"/>
    <row r="15242" s="689" customFormat="1" x14ac:dyDescent="0.2"/>
    <row r="15243" s="689" customFormat="1" x14ac:dyDescent="0.2"/>
    <row r="15244" s="689" customFormat="1" x14ac:dyDescent="0.2"/>
    <row r="15245" s="689" customFormat="1" x14ac:dyDescent="0.2"/>
    <row r="15246" s="689" customFormat="1" x14ac:dyDescent="0.2"/>
    <row r="15247" s="689" customFormat="1" x14ac:dyDescent="0.2"/>
    <row r="15248" s="689" customFormat="1" x14ac:dyDescent="0.2"/>
    <row r="15249" s="689" customFormat="1" x14ac:dyDescent="0.2"/>
    <row r="15250" s="689" customFormat="1" x14ac:dyDescent="0.2"/>
    <row r="15251" s="689" customFormat="1" x14ac:dyDescent="0.2"/>
    <row r="15252" s="689" customFormat="1" x14ac:dyDescent="0.2"/>
    <row r="15253" s="689" customFormat="1" x14ac:dyDescent="0.2"/>
    <row r="15254" s="689" customFormat="1" x14ac:dyDescent="0.2"/>
    <row r="15255" s="689" customFormat="1" x14ac:dyDescent="0.2"/>
    <row r="15256" s="689" customFormat="1" x14ac:dyDescent="0.2"/>
    <row r="15257" s="689" customFormat="1" x14ac:dyDescent="0.2"/>
    <row r="15258" s="689" customFormat="1" x14ac:dyDescent="0.2"/>
    <row r="15259" s="689" customFormat="1" x14ac:dyDescent="0.2"/>
    <row r="15260" s="689" customFormat="1" x14ac:dyDescent="0.2"/>
    <row r="15261" s="689" customFormat="1" x14ac:dyDescent="0.2"/>
    <row r="15262" s="689" customFormat="1" x14ac:dyDescent="0.2"/>
    <row r="15263" s="689" customFormat="1" x14ac:dyDescent="0.2"/>
    <row r="15264" s="689" customFormat="1" x14ac:dyDescent="0.2"/>
    <row r="15265" s="689" customFormat="1" x14ac:dyDescent="0.2"/>
    <row r="15266" s="689" customFormat="1" x14ac:dyDescent="0.2"/>
    <row r="15267" s="689" customFormat="1" x14ac:dyDescent="0.2"/>
    <row r="15268" s="689" customFormat="1" x14ac:dyDescent="0.2"/>
    <row r="15269" s="689" customFormat="1" x14ac:dyDescent="0.2"/>
    <row r="15270" s="689" customFormat="1" x14ac:dyDescent="0.2"/>
    <row r="15271" s="689" customFormat="1" x14ac:dyDescent="0.2"/>
    <row r="15272" s="689" customFormat="1" x14ac:dyDescent="0.2"/>
    <row r="15273" s="689" customFormat="1" x14ac:dyDescent="0.2"/>
    <row r="15274" s="689" customFormat="1" x14ac:dyDescent="0.2"/>
    <row r="15275" s="689" customFormat="1" x14ac:dyDescent="0.2"/>
    <row r="15276" s="689" customFormat="1" x14ac:dyDescent="0.2"/>
    <row r="15277" s="689" customFormat="1" x14ac:dyDescent="0.2"/>
    <row r="15278" s="689" customFormat="1" x14ac:dyDescent="0.2"/>
    <row r="15279" s="689" customFormat="1" x14ac:dyDescent="0.2"/>
    <row r="15280" s="689" customFormat="1" x14ac:dyDescent="0.2"/>
    <row r="15281" s="689" customFormat="1" x14ac:dyDescent="0.2"/>
    <row r="15282" s="689" customFormat="1" x14ac:dyDescent="0.2"/>
    <row r="15283" s="689" customFormat="1" x14ac:dyDescent="0.2"/>
    <row r="15284" s="689" customFormat="1" x14ac:dyDescent="0.2"/>
    <row r="15285" s="689" customFormat="1" x14ac:dyDescent="0.2"/>
    <row r="15286" s="689" customFormat="1" x14ac:dyDescent="0.2"/>
    <row r="15287" s="689" customFormat="1" x14ac:dyDescent="0.2"/>
    <row r="15288" s="689" customFormat="1" x14ac:dyDescent="0.2"/>
    <row r="15289" s="689" customFormat="1" x14ac:dyDescent="0.2"/>
    <row r="15290" s="689" customFormat="1" x14ac:dyDescent="0.2"/>
    <row r="15291" s="689" customFormat="1" x14ac:dyDescent="0.2"/>
    <row r="15292" s="689" customFormat="1" x14ac:dyDescent="0.2"/>
    <row r="15293" s="689" customFormat="1" x14ac:dyDescent="0.2"/>
    <row r="15294" s="689" customFormat="1" x14ac:dyDescent="0.2"/>
    <row r="15295" s="689" customFormat="1" x14ac:dyDescent="0.2"/>
    <row r="15296" s="689" customFormat="1" x14ac:dyDescent="0.2"/>
    <row r="15297" s="689" customFormat="1" x14ac:dyDescent="0.2"/>
    <row r="15298" s="689" customFormat="1" x14ac:dyDescent="0.2"/>
    <row r="15299" s="689" customFormat="1" x14ac:dyDescent="0.2"/>
    <row r="15300" s="689" customFormat="1" x14ac:dyDescent="0.2"/>
    <row r="15301" s="689" customFormat="1" x14ac:dyDescent="0.2"/>
    <row r="15302" s="689" customFormat="1" x14ac:dyDescent="0.2"/>
    <row r="15303" s="689" customFormat="1" x14ac:dyDescent="0.2"/>
    <row r="15304" s="689" customFormat="1" x14ac:dyDescent="0.2"/>
    <row r="15305" s="689" customFormat="1" x14ac:dyDescent="0.2"/>
    <row r="15306" s="689" customFormat="1" x14ac:dyDescent="0.2"/>
    <row r="15307" s="689" customFormat="1" x14ac:dyDescent="0.2"/>
    <row r="15308" s="689" customFormat="1" x14ac:dyDescent="0.2"/>
    <row r="15309" s="689" customFormat="1" x14ac:dyDescent="0.2"/>
    <row r="15310" s="689" customFormat="1" x14ac:dyDescent="0.2"/>
    <row r="15311" s="689" customFormat="1" x14ac:dyDescent="0.2"/>
    <row r="15312" s="689" customFormat="1" x14ac:dyDescent="0.2"/>
    <row r="15313" s="689" customFormat="1" x14ac:dyDescent="0.2"/>
    <row r="15314" s="689" customFormat="1" x14ac:dyDescent="0.2"/>
    <row r="15315" s="689" customFormat="1" x14ac:dyDescent="0.2"/>
    <row r="15316" s="689" customFormat="1" x14ac:dyDescent="0.2"/>
    <row r="15317" s="689" customFormat="1" x14ac:dyDescent="0.2"/>
    <row r="15318" s="689" customFormat="1" x14ac:dyDescent="0.2"/>
    <row r="15319" s="689" customFormat="1" x14ac:dyDescent="0.2"/>
    <row r="15320" s="689" customFormat="1" x14ac:dyDescent="0.2"/>
    <row r="15321" s="689" customFormat="1" x14ac:dyDescent="0.2"/>
    <row r="15322" s="689" customFormat="1" x14ac:dyDescent="0.2"/>
    <row r="15323" s="689" customFormat="1" x14ac:dyDescent="0.2"/>
    <row r="15324" s="689" customFormat="1" x14ac:dyDescent="0.2"/>
    <row r="15325" s="689" customFormat="1" x14ac:dyDescent="0.2"/>
    <row r="15326" s="689" customFormat="1" x14ac:dyDescent="0.2"/>
    <row r="15327" s="689" customFormat="1" x14ac:dyDescent="0.2"/>
    <row r="15328" s="689" customFormat="1" x14ac:dyDescent="0.2"/>
    <row r="15329" s="689" customFormat="1" x14ac:dyDescent="0.2"/>
    <row r="15330" s="689" customFormat="1" x14ac:dyDescent="0.2"/>
    <row r="15331" s="689" customFormat="1" x14ac:dyDescent="0.2"/>
    <row r="15332" s="689" customFormat="1" x14ac:dyDescent="0.2"/>
    <row r="15333" s="689" customFormat="1" x14ac:dyDescent="0.2"/>
    <row r="15334" s="689" customFormat="1" x14ac:dyDescent="0.2"/>
    <row r="15335" s="689" customFormat="1" x14ac:dyDescent="0.2"/>
    <row r="15336" s="689" customFormat="1" x14ac:dyDescent="0.2"/>
    <row r="15337" s="689" customFormat="1" x14ac:dyDescent="0.2"/>
    <row r="15338" s="689" customFormat="1" x14ac:dyDescent="0.2"/>
    <row r="15339" s="689" customFormat="1" x14ac:dyDescent="0.2"/>
    <row r="15340" s="689" customFormat="1" x14ac:dyDescent="0.2"/>
    <row r="15341" s="689" customFormat="1" x14ac:dyDescent="0.2"/>
    <row r="15342" s="689" customFormat="1" x14ac:dyDescent="0.2"/>
    <row r="15343" s="689" customFormat="1" x14ac:dyDescent="0.2"/>
    <row r="15344" s="689" customFormat="1" x14ac:dyDescent="0.2"/>
    <row r="15345" s="689" customFormat="1" x14ac:dyDescent="0.2"/>
    <row r="15346" s="689" customFormat="1" x14ac:dyDescent="0.2"/>
    <row r="15347" s="689" customFormat="1" x14ac:dyDescent="0.2"/>
    <row r="15348" s="689" customFormat="1" x14ac:dyDescent="0.2"/>
    <row r="15349" s="689" customFormat="1" x14ac:dyDescent="0.2"/>
    <row r="15350" s="689" customFormat="1" x14ac:dyDescent="0.2"/>
    <row r="15351" s="689" customFormat="1" x14ac:dyDescent="0.2"/>
    <row r="15352" s="689" customFormat="1" x14ac:dyDescent="0.2"/>
    <row r="15353" s="689" customFormat="1" x14ac:dyDescent="0.2"/>
    <row r="15354" s="689" customFormat="1" x14ac:dyDescent="0.2"/>
    <row r="15355" s="689" customFormat="1" x14ac:dyDescent="0.2"/>
    <row r="15356" s="689" customFormat="1" x14ac:dyDescent="0.2"/>
    <row r="15357" s="689" customFormat="1" x14ac:dyDescent="0.2"/>
    <row r="15358" s="689" customFormat="1" x14ac:dyDescent="0.2"/>
    <row r="15359" s="689" customFormat="1" x14ac:dyDescent="0.2"/>
    <row r="15360" s="689" customFormat="1" x14ac:dyDescent="0.2"/>
    <row r="15361" s="689" customFormat="1" x14ac:dyDescent="0.2"/>
    <row r="15362" s="689" customFormat="1" x14ac:dyDescent="0.2"/>
    <row r="15363" s="689" customFormat="1" x14ac:dyDescent="0.2"/>
    <row r="15364" s="689" customFormat="1" x14ac:dyDescent="0.2"/>
    <row r="15365" s="689" customFormat="1" x14ac:dyDescent="0.2"/>
    <row r="15366" s="689" customFormat="1" x14ac:dyDescent="0.2"/>
    <row r="15367" s="689" customFormat="1" x14ac:dyDescent="0.2"/>
    <row r="15368" s="689" customFormat="1" x14ac:dyDescent="0.2"/>
    <row r="15369" s="689" customFormat="1" x14ac:dyDescent="0.2"/>
    <row r="15370" s="689" customFormat="1" x14ac:dyDescent="0.2"/>
    <row r="15371" s="689" customFormat="1" x14ac:dyDescent="0.2"/>
    <row r="15372" s="689" customFormat="1" x14ac:dyDescent="0.2"/>
    <row r="15373" s="689" customFormat="1" x14ac:dyDescent="0.2"/>
    <row r="15374" s="689" customFormat="1" x14ac:dyDescent="0.2"/>
    <row r="15375" s="689" customFormat="1" x14ac:dyDescent="0.2"/>
    <row r="15376" s="689" customFormat="1" x14ac:dyDescent="0.2"/>
    <row r="15377" s="689" customFormat="1" x14ac:dyDescent="0.2"/>
    <row r="15378" s="689" customFormat="1" x14ac:dyDescent="0.2"/>
    <row r="15379" s="689" customFormat="1" x14ac:dyDescent="0.2"/>
    <row r="15380" s="689" customFormat="1" x14ac:dyDescent="0.2"/>
    <row r="15381" s="689" customFormat="1" x14ac:dyDescent="0.2"/>
    <row r="15382" s="689" customFormat="1" x14ac:dyDescent="0.2"/>
    <row r="15383" s="689" customFormat="1" x14ac:dyDescent="0.2"/>
    <row r="15384" s="689" customFormat="1" x14ac:dyDescent="0.2"/>
    <row r="15385" s="689" customFormat="1" x14ac:dyDescent="0.2"/>
    <row r="15386" s="689" customFormat="1" x14ac:dyDescent="0.2"/>
    <row r="15387" s="689" customFormat="1" x14ac:dyDescent="0.2"/>
    <row r="15388" s="689" customFormat="1" x14ac:dyDescent="0.2"/>
    <row r="15389" s="689" customFormat="1" x14ac:dyDescent="0.2"/>
    <row r="15390" s="689" customFormat="1" x14ac:dyDescent="0.2"/>
    <row r="15391" s="689" customFormat="1" x14ac:dyDescent="0.2"/>
    <row r="15392" s="689" customFormat="1" x14ac:dyDescent="0.2"/>
    <row r="15393" s="689" customFormat="1" x14ac:dyDescent="0.2"/>
    <row r="15394" s="689" customFormat="1" x14ac:dyDescent="0.2"/>
    <row r="15395" s="689" customFormat="1" x14ac:dyDescent="0.2"/>
    <row r="15396" s="689" customFormat="1" x14ac:dyDescent="0.2"/>
    <row r="15397" s="689" customFormat="1" x14ac:dyDescent="0.2"/>
    <row r="15398" s="689" customFormat="1" x14ac:dyDescent="0.2"/>
    <row r="15399" s="689" customFormat="1" x14ac:dyDescent="0.2"/>
    <row r="15400" s="689" customFormat="1" x14ac:dyDescent="0.2"/>
    <row r="15401" s="689" customFormat="1" x14ac:dyDescent="0.2"/>
    <row r="15402" s="689" customFormat="1" x14ac:dyDescent="0.2"/>
    <row r="15403" s="689" customFormat="1" x14ac:dyDescent="0.2"/>
    <row r="15404" s="689" customFormat="1" x14ac:dyDescent="0.2"/>
    <row r="15405" s="689" customFormat="1" x14ac:dyDescent="0.2"/>
    <row r="15406" s="689" customFormat="1" x14ac:dyDescent="0.2"/>
    <row r="15407" s="689" customFormat="1" x14ac:dyDescent="0.2"/>
    <row r="15408" s="689" customFormat="1" x14ac:dyDescent="0.2"/>
    <row r="15409" s="689" customFormat="1" x14ac:dyDescent="0.2"/>
    <row r="15410" s="689" customFormat="1" x14ac:dyDescent="0.2"/>
    <row r="15411" s="689" customFormat="1" x14ac:dyDescent="0.2"/>
    <row r="15412" s="689" customFormat="1" x14ac:dyDescent="0.2"/>
    <row r="15413" s="689" customFormat="1" x14ac:dyDescent="0.2"/>
    <row r="15414" s="689" customFormat="1" x14ac:dyDescent="0.2"/>
    <row r="15415" s="689" customFormat="1" x14ac:dyDescent="0.2"/>
    <row r="15416" s="689" customFormat="1" x14ac:dyDescent="0.2"/>
    <row r="15417" s="689" customFormat="1" x14ac:dyDescent="0.2"/>
    <row r="15418" s="689" customFormat="1" x14ac:dyDescent="0.2"/>
    <row r="15419" s="689" customFormat="1" x14ac:dyDescent="0.2"/>
    <row r="15420" s="689" customFormat="1" x14ac:dyDescent="0.2"/>
    <row r="15421" s="689" customFormat="1" x14ac:dyDescent="0.2"/>
    <row r="15422" s="689" customFormat="1" x14ac:dyDescent="0.2"/>
    <row r="15423" s="689" customFormat="1" x14ac:dyDescent="0.2"/>
    <row r="15424" s="689" customFormat="1" x14ac:dyDescent="0.2"/>
    <row r="15425" s="689" customFormat="1" x14ac:dyDescent="0.2"/>
    <row r="15426" s="689" customFormat="1" x14ac:dyDescent="0.2"/>
    <row r="15427" s="689" customFormat="1" x14ac:dyDescent="0.2"/>
    <row r="15428" s="689" customFormat="1" x14ac:dyDescent="0.2"/>
    <row r="15429" s="689" customFormat="1" x14ac:dyDescent="0.2"/>
    <row r="15430" s="689" customFormat="1" x14ac:dyDescent="0.2"/>
    <row r="15431" s="689" customFormat="1" x14ac:dyDescent="0.2"/>
    <row r="15432" s="689" customFormat="1" x14ac:dyDescent="0.2"/>
    <row r="15433" s="689" customFormat="1" x14ac:dyDescent="0.2"/>
    <row r="15434" s="689" customFormat="1" x14ac:dyDescent="0.2"/>
    <row r="15435" s="689" customFormat="1" x14ac:dyDescent="0.2"/>
    <row r="15436" s="689" customFormat="1" x14ac:dyDescent="0.2"/>
    <row r="15437" s="689" customFormat="1" x14ac:dyDescent="0.2"/>
    <row r="15438" s="689" customFormat="1" x14ac:dyDescent="0.2"/>
    <row r="15439" s="689" customFormat="1" x14ac:dyDescent="0.2"/>
    <row r="15440" s="689" customFormat="1" x14ac:dyDescent="0.2"/>
    <row r="15441" s="689" customFormat="1" x14ac:dyDescent="0.2"/>
    <row r="15442" s="689" customFormat="1" x14ac:dyDescent="0.2"/>
    <row r="15443" s="689" customFormat="1" x14ac:dyDescent="0.2"/>
    <row r="15444" s="689" customFormat="1" x14ac:dyDescent="0.2"/>
    <row r="15445" s="689" customFormat="1" x14ac:dyDescent="0.2"/>
    <row r="15446" s="689" customFormat="1" x14ac:dyDescent="0.2"/>
    <row r="15447" s="689" customFormat="1" x14ac:dyDescent="0.2"/>
    <row r="15448" s="689" customFormat="1" x14ac:dyDescent="0.2"/>
    <row r="15449" s="689" customFormat="1" x14ac:dyDescent="0.2"/>
    <row r="15450" s="689" customFormat="1" x14ac:dyDescent="0.2"/>
    <row r="15451" s="689" customFormat="1" x14ac:dyDescent="0.2"/>
    <row r="15452" s="689" customFormat="1" x14ac:dyDescent="0.2"/>
    <row r="15453" s="689" customFormat="1" x14ac:dyDescent="0.2"/>
    <row r="15454" s="689" customFormat="1" x14ac:dyDescent="0.2"/>
    <row r="15455" s="689" customFormat="1" x14ac:dyDescent="0.2"/>
    <row r="15456" s="689" customFormat="1" x14ac:dyDescent="0.2"/>
    <row r="15457" s="689" customFormat="1" x14ac:dyDescent="0.2"/>
    <row r="15458" s="689" customFormat="1" x14ac:dyDescent="0.2"/>
    <row r="15459" s="689" customFormat="1" x14ac:dyDescent="0.2"/>
    <row r="15460" s="689" customFormat="1" x14ac:dyDescent="0.2"/>
    <row r="15461" s="689" customFormat="1" x14ac:dyDescent="0.2"/>
    <row r="15462" s="689" customFormat="1" x14ac:dyDescent="0.2"/>
    <row r="15463" s="689" customFormat="1" x14ac:dyDescent="0.2"/>
    <row r="15464" s="689" customFormat="1" x14ac:dyDescent="0.2"/>
    <row r="15465" s="689" customFormat="1" x14ac:dyDescent="0.2"/>
    <row r="15466" s="689" customFormat="1" x14ac:dyDescent="0.2"/>
    <row r="15467" s="689" customFormat="1" x14ac:dyDescent="0.2"/>
    <row r="15468" s="689" customFormat="1" x14ac:dyDescent="0.2"/>
    <row r="15469" s="689" customFormat="1" x14ac:dyDescent="0.2"/>
    <row r="15470" s="689" customFormat="1" x14ac:dyDescent="0.2"/>
    <row r="15471" s="689" customFormat="1" x14ac:dyDescent="0.2"/>
    <row r="15472" s="689" customFormat="1" x14ac:dyDescent="0.2"/>
    <row r="15473" s="689" customFormat="1" x14ac:dyDescent="0.2"/>
    <row r="15474" s="689" customFormat="1" x14ac:dyDescent="0.2"/>
    <row r="15475" s="689" customFormat="1" x14ac:dyDescent="0.2"/>
    <row r="15476" s="689" customFormat="1" x14ac:dyDescent="0.2"/>
    <row r="15477" s="689" customFormat="1" x14ac:dyDescent="0.2"/>
    <row r="15478" s="689" customFormat="1" x14ac:dyDescent="0.2"/>
    <row r="15479" s="689" customFormat="1" x14ac:dyDescent="0.2"/>
    <row r="15480" s="689" customFormat="1" x14ac:dyDescent="0.2"/>
    <row r="15481" s="689" customFormat="1" x14ac:dyDescent="0.2"/>
    <row r="15482" s="689" customFormat="1" x14ac:dyDescent="0.2"/>
    <row r="15483" s="689" customFormat="1" x14ac:dyDescent="0.2"/>
    <row r="15484" s="689" customFormat="1" x14ac:dyDescent="0.2"/>
    <row r="15485" s="689" customFormat="1" x14ac:dyDescent="0.2"/>
    <row r="15486" s="689" customFormat="1" x14ac:dyDescent="0.2"/>
    <row r="15487" s="689" customFormat="1" x14ac:dyDescent="0.2"/>
    <row r="15488" s="689" customFormat="1" x14ac:dyDescent="0.2"/>
    <row r="15489" s="689" customFormat="1" x14ac:dyDescent="0.2"/>
    <row r="15490" s="689" customFormat="1" x14ac:dyDescent="0.2"/>
    <row r="15491" s="689" customFormat="1" x14ac:dyDescent="0.2"/>
    <row r="15492" s="689" customFormat="1" x14ac:dyDescent="0.2"/>
    <row r="15493" s="689" customFormat="1" x14ac:dyDescent="0.2"/>
    <row r="15494" s="689" customFormat="1" x14ac:dyDescent="0.2"/>
    <row r="15495" s="689" customFormat="1" x14ac:dyDescent="0.2"/>
    <row r="15496" s="689" customFormat="1" x14ac:dyDescent="0.2"/>
    <row r="15497" s="689" customFormat="1" x14ac:dyDescent="0.2"/>
    <row r="15498" s="689" customFormat="1" x14ac:dyDescent="0.2"/>
    <row r="15499" s="689" customFormat="1" x14ac:dyDescent="0.2"/>
    <row r="15500" s="689" customFormat="1" x14ac:dyDescent="0.2"/>
    <row r="15501" s="689" customFormat="1" x14ac:dyDescent="0.2"/>
    <row r="15502" s="689" customFormat="1" x14ac:dyDescent="0.2"/>
    <row r="15503" s="689" customFormat="1" x14ac:dyDescent="0.2"/>
    <row r="15504" s="689" customFormat="1" x14ac:dyDescent="0.2"/>
    <row r="15505" s="689" customFormat="1" x14ac:dyDescent="0.2"/>
    <row r="15506" s="689" customFormat="1" x14ac:dyDescent="0.2"/>
    <row r="15507" s="689" customFormat="1" x14ac:dyDescent="0.2"/>
    <row r="15508" s="689" customFormat="1" x14ac:dyDescent="0.2"/>
    <row r="15509" s="689" customFormat="1" x14ac:dyDescent="0.2"/>
    <row r="15510" s="689" customFormat="1" x14ac:dyDescent="0.2"/>
    <row r="15511" s="689" customFormat="1" x14ac:dyDescent="0.2"/>
    <row r="15512" s="689" customFormat="1" x14ac:dyDescent="0.2"/>
    <row r="15513" s="689" customFormat="1" x14ac:dyDescent="0.2"/>
    <row r="15514" s="689" customFormat="1" x14ac:dyDescent="0.2"/>
    <row r="15515" s="689" customFormat="1" x14ac:dyDescent="0.2"/>
    <row r="15516" s="689" customFormat="1" x14ac:dyDescent="0.2"/>
    <row r="15517" s="689" customFormat="1" x14ac:dyDescent="0.2"/>
    <row r="15518" s="689" customFormat="1" x14ac:dyDescent="0.2"/>
    <row r="15519" s="689" customFormat="1" x14ac:dyDescent="0.2"/>
    <row r="15520" s="689" customFormat="1" x14ac:dyDescent="0.2"/>
    <row r="15521" s="689" customFormat="1" x14ac:dyDescent="0.2"/>
    <row r="15522" s="689" customFormat="1" x14ac:dyDescent="0.2"/>
    <row r="15523" s="689" customFormat="1" x14ac:dyDescent="0.2"/>
    <row r="15524" s="689" customFormat="1" x14ac:dyDescent="0.2"/>
    <row r="15525" s="689" customFormat="1" x14ac:dyDescent="0.2"/>
    <row r="15526" s="689" customFormat="1" x14ac:dyDescent="0.2"/>
    <row r="15527" s="689" customFormat="1" x14ac:dyDescent="0.2"/>
    <row r="15528" s="689" customFormat="1" x14ac:dyDescent="0.2"/>
    <row r="15529" s="689" customFormat="1" x14ac:dyDescent="0.2"/>
    <row r="15530" s="689" customFormat="1" x14ac:dyDescent="0.2"/>
    <row r="15531" s="689" customFormat="1" x14ac:dyDescent="0.2"/>
    <row r="15532" s="689" customFormat="1" x14ac:dyDescent="0.2"/>
    <row r="15533" s="689" customFormat="1" x14ac:dyDescent="0.2"/>
    <row r="15534" s="689" customFormat="1" x14ac:dyDescent="0.2"/>
    <row r="15535" s="689" customFormat="1" x14ac:dyDescent="0.2"/>
    <row r="15536" s="689" customFormat="1" x14ac:dyDescent="0.2"/>
    <row r="15537" s="689" customFormat="1" x14ac:dyDescent="0.2"/>
    <row r="15538" s="689" customFormat="1" x14ac:dyDescent="0.2"/>
    <row r="15539" s="689" customFormat="1" x14ac:dyDescent="0.2"/>
    <row r="15540" s="689" customFormat="1" x14ac:dyDescent="0.2"/>
    <row r="15541" s="689" customFormat="1" x14ac:dyDescent="0.2"/>
    <row r="15542" s="689" customFormat="1" x14ac:dyDescent="0.2"/>
    <row r="15543" s="689" customFormat="1" x14ac:dyDescent="0.2"/>
    <row r="15544" s="689" customFormat="1" x14ac:dyDescent="0.2"/>
    <row r="15545" s="689" customFormat="1" x14ac:dyDescent="0.2"/>
    <row r="15546" s="689" customFormat="1" x14ac:dyDescent="0.2"/>
    <row r="15547" s="689" customFormat="1" x14ac:dyDescent="0.2"/>
    <row r="15548" s="689" customFormat="1" x14ac:dyDescent="0.2"/>
    <row r="15549" s="689" customFormat="1" x14ac:dyDescent="0.2"/>
    <row r="15550" s="689" customFormat="1" x14ac:dyDescent="0.2"/>
    <row r="15551" s="689" customFormat="1" x14ac:dyDescent="0.2"/>
    <row r="15552" s="689" customFormat="1" x14ac:dyDescent="0.2"/>
    <row r="15553" s="689" customFormat="1" x14ac:dyDescent="0.2"/>
    <row r="15554" s="689" customFormat="1" x14ac:dyDescent="0.2"/>
    <row r="15555" s="689" customFormat="1" x14ac:dyDescent="0.2"/>
    <row r="15556" s="689" customFormat="1" x14ac:dyDescent="0.2"/>
    <row r="15557" s="689" customFormat="1" x14ac:dyDescent="0.2"/>
    <row r="15558" s="689" customFormat="1" x14ac:dyDescent="0.2"/>
    <row r="15559" s="689" customFormat="1" x14ac:dyDescent="0.2"/>
    <row r="15560" s="689" customFormat="1" x14ac:dyDescent="0.2"/>
    <row r="15561" s="689" customFormat="1" x14ac:dyDescent="0.2"/>
    <row r="15562" s="689" customFormat="1" x14ac:dyDescent="0.2"/>
    <row r="15563" s="689" customFormat="1" x14ac:dyDescent="0.2"/>
    <row r="15564" s="689" customFormat="1" x14ac:dyDescent="0.2"/>
    <row r="15565" s="689" customFormat="1" x14ac:dyDescent="0.2"/>
    <row r="15566" s="689" customFormat="1" x14ac:dyDescent="0.2"/>
    <row r="15567" s="689" customFormat="1" x14ac:dyDescent="0.2"/>
    <row r="15568" s="689" customFormat="1" x14ac:dyDescent="0.2"/>
    <row r="15569" s="689" customFormat="1" x14ac:dyDescent="0.2"/>
    <row r="15570" s="689" customFormat="1" x14ac:dyDescent="0.2"/>
    <row r="15571" s="689" customFormat="1" x14ac:dyDescent="0.2"/>
    <row r="15572" s="689" customFormat="1" x14ac:dyDescent="0.2"/>
    <row r="15573" s="689" customFormat="1" x14ac:dyDescent="0.2"/>
    <row r="15574" s="689" customFormat="1" x14ac:dyDescent="0.2"/>
    <row r="15575" s="689" customFormat="1" x14ac:dyDescent="0.2"/>
    <row r="15576" s="689" customFormat="1" x14ac:dyDescent="0.2"/>
    <row r="15577" s="689" customFormat="1" x14ac:dyDescent="0.2"/>
    <row r="15578" s="689" customFormat="1" x14ac:dyDescent="0.2"/>
    <row r="15579" s="689" customFormat="1" x14ac:dyDescent="0.2"/>
    <row r="15580" s="689" customFormat="1" x14ac:dyDescent="0.2"/>
    <row r="15581" s="689" customFormat="1" x14ac:dyDescent="0.2"/>
    <row r="15582" s="689" customFormat="1" x14ac:dyDescent="0.2"/>
    <row r="15583" s="689" customFormat="1" x14ac:dyDescent="0.2"/>
    <row r="15584" s="689" customFormat="1" x14ac:dyDescent="0.2"/>
    <row r="15585" s="689" customFormat="1" x14ac:dyDescent="0.2"/>
    <row r="15586" s="689" customFormat="1" x14ac:dyDescent="0.2"/>
    <row r="15587" s="689" customFormat="1" x14ac:dyDescent="0.2"/>
    <row r="15588" s="689" customFormat="1" x14ac:dyDescent="0.2"/>
    <row r="15589" s="689" customFormat="1" x14ac:dyDescent="0.2"/>
    <row r="15590" s="689" customFormat="1" x14ac:dyDescent="0.2"/>
    <row r="15591" s="689" customFormat="1" x14ac:dyDescent="0.2"/>
    <row r="15592" s="689" customFormat="1" x14ac:dyDescent="0.2"/>
    <row r="15593" s="689" customFormat="1" x14ac:dyDescent="0.2"/>
    <row r="15594" s="689" customFormat="1" x14ac:dyDescent="0.2"/>
    <row r="15595" s="689" customFormat="1" x14ac:dyDescent="0.2"/>
    <row r="15596" s="689" customFormat="1" x14ac:dyDescent="0.2"/>
    <row r="15597" s="689" customFormat="1" x14ac:dyDescent="0.2"/>
    <row r="15598" s="689" customFormat="1" x14ac:dyDescent="0.2"/>
    <row r="15599" s="689" customFormat="1" x14ac:dyDescent="0.2"/>
    <row r="15600" s="689" customFormat="1" x14ac:dyDescent="0.2"/>
    <row r="15601" s="689" customFormat="1" x14ac:dyDescent="0.2"/>
    <row r="15602" s="689" customFormat="1" x14ac:dyDescent="0.2"/>
    <row r="15603" s="689" customFormat="1" x14ac:dyDescent="0.2"/>
    <row r="15604" s="689" customFormat="1" x14ac:dyDescent="0.2"/>
    <row r="15605" s="689" customFormat="1" x14ac:dyDescent="0.2"/>
    <row r="15606" s="689" customFormat="1" x14ac:dyDescent="0.2"/>
    <row r="15607" s="689" customFormat="1" x14ac:dyDescent="0.2"/>
    <row r="15608" s="689" customFormat="1" x14ac:dyDescent="0.2"/>
    <row r="15609" s="689" customFormat="1" x14ac:dyDescent="0.2"/>
    <row r="15610" s="689" customFormat="1" x14ac:dyDescent="0.2"/>
    <row r="15611" s="689" customFormat="1" x14ac:dyDescent="0.2"/>
    <row r="15612" s="689" customFormat="1" x14ac:dyDescent="0.2"/>
    <row r="15613" s="689" customFormat="1" x14ac:dyDescent="0.2"/>
    <row r="15614" s="689" customFormat="1" x14ac:dyDescent="0.2"/>
    <row r="15615" s="689" customFormat="1" x14ac:dyDescent="0.2"/>
    <row r="15616" s="689" customFormat="1" x14ac:dyDescent="0.2"/>
    <row r="15617" s="689" customFormat="1" x14ac:dyDescent="0.2"/>
    <row r="15618" s="689" customFormat="1" x14ac:dyDescent="0.2"/>
    <row r="15619" s="689" customFormat="1" x14ac:dyDescent="0.2"/>
    <row r="15620" s="689" customFormat="1" x14ac:dyDescent="0.2"/>
    <row r="15621" s="689" customFormat="1" x14ac:dyDescent="0.2"/>
    <row r="15622" s="689" customFormat="1" x14ac:dyDescent="0.2"/>
    <row r="15623" s="689" customFormat="1" x14ac:dyDescent="0.2"/>
    <row r="15624" s="689" customFormat="1" x14ac:dyDescent="0.2"/>
    <row r="15625" s="689" customFormat="1" x14ac:dyDescent="0.2"/>
    <row r="15626" s="689" customFormat="1" x14ac:dyDescent="0.2"/>
    <row r="15627" s="689" customFormat="1" x14ac:dyDescent="0.2"/>
    <row r="15628" s="689" customFormat="1" x14ac:dyDescent="0.2"/>
    <row r="15629" s="689" customFormat="1" x14ac:dyDescent="0.2"/>
    <row r="15630" s="689" customFormat="1" x14ac:dyDescent="0.2"/>
    <row r="15631" s="689" customFormat="1" x14ac:dyDescent="0.2"/>
    <row r="15632" s="689" customFormat="1" x14ac:dyDescent="0.2"/>
    <row r="15633" s="689" customFormat="1" x14ac:dyDescent="0.2"/>
    <row r="15634" s="689" customFormat="1" x14ac:dyDescent="0.2"/>
    <row r="15635" s="689" customFormat="1" x14ac:dyDescent="0.2"/>
    <row r="15636" s="689" customFormat="1" x14ac:dyDescent="0.2"/>
    <row r="15637" s="689" customFormat="1" x14ac:dyDescent="0.2"/>
    <row r="15638" s="689" customFormat="1" x14ac:dyDescent="0.2"/>
    <row r="15639" s="689" customFormat="1" x14ac:dyDescent="0.2"/>
    <row r="15640" s="689" customFormat="1" x14ac:dyDescent="0.2"/>
    <row r="15641" s="689" customFormat="1" x14ac:dyDescent="0.2"/>
    <row r="15642" s="689" customFormat="1" x14ac:dyDescent="0.2"/>
    <row r="15643" s="689" customFormat="1" x14ac:dyDescent="0.2"/>
    <row r="15644" s="689" customFormat="1" x14ac:dyDescent="0.2"/>
    <row r="15645" s="689" customFormat="1" x14ac:dyDescent="0.2"/>
    <row r="15646" s="689" customFormat="1" x14ac:dyDescent="0.2"/>
    <row r="15647" s="689" customFormat="1" x14ac:dyDescent="0.2"/>
    <row r="15648" s="689" customFormat="1" x14ac:dyDescent="0.2"/>
    <row r="15649" s="689" customFormat="1" x14ac:dyDescent="0.2"/>
    <row r="15650" s="689" customFormat="1" x14ac:dyDescent="0.2"/>
    <row r="15651" s="689" customFormat="1" x14ac:dyDescent="0.2"/>
    <row r="15652" s="689" customFormat="1" x14ac:dyDescent="0.2"/>
    <row r="15653" s="689" customFormat="1" x14ac:dyDescent="0.2"/>
    <row r="15654" s="689" customFormat="1" x14ac:dyDescent="0.2"/>
    <row r="15655" s="689" customFormat="1" x14ac:dyDescent="0.2"/>
    <row r="15656" s="689" customFormat="1" x14ac:dyDescent="0.2"/>
    <row r="15657" s="689" customFormat="1" x14ac:dyDescent="0.2"/>
    <row r="15658" s="689" customFormat="1" x14ac:dyDescent="0.2"/>
    <row r="15659" s="689" customFormat="1" x14ac:dyDescent="0.2"/>
    <row r="15660" s="689" customFormat="1" x14ac:dyDescent="0.2"/>
    <row r="15661" s="689" customFormat="1" x14ac:dyDescent="0.2"/>
    <row r="15662" s="689" customFormat="1" x14ac:dyDescent="0.2"/>
    <row r="15663" s="689" customFormat="1" x14ac:dyDescent="0.2"/>
    <row r="15664" s="689" customFormat="1" x14ac:dyDescent="0.2"/>
    <row r="15665" s="689" customFormat="1" x14ac:dyDescent="0.2"/>
    <row r="15666" s="689" customFormat="1" x14ac:dyDescent="0.2"/>
    <row r="15667" s="689" customFormat="1" x14ac:dyDescent="0.2"/>
    <row r="15668" s="689" customFormat="1" x14ac:dyDescent="0.2"/>
    <row r="15669" s="689" customFormat="1" x14ac:dyDescent="0.2"/>
    <row r="15670" s="689" customFormat="1" x14ac:dyDescent="0.2"/>
    <row r="15671" s="689" customFormat="1" x14ac:dyDescent="0.2"/>
    <row r="15672" s="689" customFormat="1" x14ac:dyDescent="0.2"/>
    <row r="15673" s="689" customFormat="1" x14ac:dyDescent="0.2"/>
    <row r="15674" s="689" customFormat="1" x14ac:dyDescent="0.2"/>
    <row r="15675" s="689" customFormat="1" x14ac:dyDescent="0.2"/>
    <row r="15676" s="689" customFormat="1" x14ac:dyDescent="0.2"/>
    <row r="15677" s="689" customFormat="1" x14ac:dyDescent="0.2"/>
    <row r="15678" s="689" customFormat="1" x14ac:dyDescent="0.2"/>
    <row r="15679" s="689" customFormat="1" x14ac:dyDescent="0.2"/>
    <row r="15680" s="689" customFormat="1" x14ac:dyDescent="0.2"/>
    <row r="15681" s="689" customFormat="1" x14ac:dyDescent="0.2"/>
    <row r="15682" s="689" customFormat="1" x14ac:dyDescent="0.2"/>
    <row r="15683" s="689" customFormat="1" x14ac:dyDescent="0.2"/>
    <row r="15684" s="689" customFormat="1" x14ac:dyDescent="0.2"/>
    <row r="15685" s="689" customFormat="1" x14ac:dyDescent="0.2"/>
    <row r="15686" s="689" customFormat="1" x14ac:dyDescent="0.2"/>
    <row r="15687" s="689" customFormat="1" x14ac:dyDescent="0.2"/>
    <row r="15688" s="689" customFormat="1" x14ac:dyDescent="0.2"/>
    <row r="15689" s="689" customFormat="1" x14ac:dyDescent="0.2"/>
    <row r="15690" s="689" customFormat="1" x14ac:dyDescent="0.2"/>
    <row r="15691" s="689" customFormat="1" x14ac:dyDescent="0.2"/>
    <row r="15692" s="689" customFormat="1" x14ac:dyDescent="0.2"/>
    <row r="15693" s="689" customFormat="1" x14ac:dyDescent="0.2"/>
    <row r="15694" s="689" customFormat="1" x14ac:dyDescent="0.2"/>
    <row r="15695" s="689" customFormat="1" x14ac:dyDescent="0.2"/>
    <row r="15696" s="689" customFormat="1" x14ac:dyDescent="0.2"/>
    <row r="15697" s="689" customFormat="1" x14ac:dyDescent="0.2"/>
    <row r="15698" s="689" customFormat="1" x14ac:dyDescent="0.2"/>
    <row r="15699" s="689" customFormat="1" x14ac:dyDescent="0.2"/>
    <row r="15700" s="689" customFormat="1" x14ac:dyDescent="0.2"/>
    <row r="15701" s="689" customFormat="1" x14ac:dyDescent="0.2"/>
    <row r="15702" s="689" customFormat="1" x14ac:dyDescent="0.2"/>
    <row r="15703" s="689" customFormat="1" x14ac:dyDescent="0.2"/>
    <row r="15704" s="689" customFormat="1" x14ac:dyDescent="0.2"/>
    <row r="15705" s="689" customFormat="1" x14ac:dyDescent="0.2"/>
    <row r="15706" s="689" customFormat="1" x14ac:dyDescent="0.2"/>
    <row r="15707" s="689" customFormat="1" x14ac:dyDescent="0.2"/>
    <row r="15708" s="689" customFormat="1" x14ac:dyDescent="0.2"/>
    <row r="15709" s="689" customFormat="1" x14ac:dyDescent="0.2"/>
    <row r="15710" s="689" customFormat="1" x14ac:dyDescent="0.2"/>
    <row r="15711" s="689" customFormat="1" x14ac:dyDescent="0.2"/>
    <row r="15712" s="689" customFormat="1" x14ac:dyDescent="0.2"/>
    <row r="15713" s="689" customFormat="1" x14ac:dyDescent="0.2"/>
    <row r="15714" s="689" customFormat="1" x14ac:dyDescent="0.2"/>
    <row r="15715" s="689" customFormat="1" x14ac:dyDescent="0.2"/>
    <row r="15716" s="689" customFormat="1" x14ac:dyDescent="0.2"/>
    <row r="15717" s="689" customFormat="1" x14ac:dyDescent="0.2"/>
    <row r="15718" s="689" customFormat="1" x14ac:dyDescent="0.2"/>
    <row r="15719" s="689" customFormat="1" x14ac:dyDescent="0.2"/>
    <row r="15720" s="689" customFormat="1" x14ac:dyDescent="0.2"/>
    <row r="15721" s="689" customFormat="1" x14ac:dyDescent="0.2"/>
    <row r="15722" s="689" customFormat="1" x14ac:dyDescent="0.2"/>
    <row r="15723" s="689" customFormat="1" x14ac:dyDescent="0.2"/>
    <row r="15724" s="689" customFormat="1" x14ac:dyDescent="0.2"/>
    <row r="15725" s="689" customFormat="1" x14ac:dyDescent="0.2"/>
    <row r="15726" s="689" customFormat="1" x14ac:dyDescent="0.2"/>
    <row r="15727" s="689" customFormat="1" x14ac:dyDescent="0.2"/>
    <row r="15728" s="689" customFormat="1" x14ac:dyDescent="0.2"/>
    <row r="15729" s="689" customFormat="1" x14ac:dyDescent="0.2"/>
    <row r="15730" s="689" customFormat="1" x14ac:dyDescent="0.2"/>
    <row r="15731" s="689" customFormat="1" x14ac:dyDescent="0.2"/>
    <row r="15732" s="689" customFormat="1" x14ac:dyDescent="0.2"/>
    <row r="15733" s="689" customFormat="1" x14ac:dyDescent="0.2"/>
    <row r="15734" s="689" customFormat="1" x14ac:dyDescent="0.2"/>
    <row r="15735" s="689" customFormat="1" x14ac:dyDescent="0.2"/>
    <row r="15736" s="689" customFormat="1" x14ac:dyDescent="0.2"/>
    <row r="15737" s="689" customFormat="1" x14ac:dyDescent="0.2"/>
    <row r="15738" s="689" customFormat="1" x14ac:dyDescent="0.2"/>
    <row r="15739" s="689" customFormat="1" x14ac:dyDescent="0.2"/>
    <row r="15740" s="689" customFormat="1" x14ac:dyDescent="0.2"/>
    <row r="15741" s="689" customFormat="1" x14ac:dyDescent="0.2"/>
    <row r="15742" s="689" customFormat="1" x14ac:dyDescent="0.2"/>
    <row r="15743" s="689" customFormat="1" x14ac:dyDescent="0.2"/>
    <row r="15744" s="689" customFormat="1" x14ac:dyDescent="0.2"/>
    <row r="15745" s="689" customFormat="1" x14ac:dyDescent="0.2"/>
    <row r="15746" s="689" customFormat="1" x14ac:dyDescent="0.2"/>
    <row r="15747" s="689" customFormat="1" x14ac:dyDescent="0.2"/>
    <row r="15748" s="689" customFormat="1" x14ac:dyDescent="0.2"/>
    <row r="15749" s="689" customFormat="1" x14ac:dyDescent="0.2"/>
    <row r="15750" s="689" customFormat="1" x14ac:dyDescent="0.2"/>
    <row r="15751" s="689" customFormat="1" x14ac:dyDescent="0.2"/>
    <row r="15752" s="689" customFormat="1" x14ac:dyDescent="0.2"/>
    <row r="15753" s="689" customFormat="1" x14ac:dyDescent="0.2"/>
    <row r="15754" s="689" customFormat="1" x14ac:dyDescent="0.2"/>
    <row r="15755" s="689" customFormat="1" x14ac:dyDescent="0.2"/>
    <row r="15756" s="689" customFormat="1" x14ac:dyDescent="0.2"/>
    <row r="15757" s="689" customFormat="1" x14ac:dyDescent="0.2"/>
    <row r="15758" s="689" customFormat="1" x14ac:dyDescent="0.2"/>
    <row r="15759" s="689" customFormat="1" x14ac:dyDescent="0.2"/>
    <row r="15760" s="689" customFormat="1" x14ac:dyDescent="0.2"/>
    <row r="15761" s="689" customFormat="1" x14ac:dyDescent="0.2"/>
    <row r="15762" s="689" customFormat="1" x14ac:dyDescent="0.2"/>
    <row r="15763" s="689" customFormat="1" x14ac:dyDescent="0.2"/>
    <row r="15764" s="689" customFormat="1" x14ac:dyDescent="0.2"/>
    <row r="15765" s="689" customFormat="1" x14ac:dyDescent="0.2"/>
    <row r="15766" s="689" customFormat="1" x14ac:dyDescent="0.2"/>
    <row r="15767" s="689" customFormat="1" x14ac:dyDescent="0.2"/>
    <row r="15768" s="689" customFormat="1" x14ac:dyDescent="0.2"/>
    <row r="15769" s="689" customFormat="1" x14ac:dyDescent="0.2"/>
    <row r="15770" s="689" customFormat="1" x14ac:dyDescent="0.2"/>
    <row r="15771" s="689" customFormat="1" x14ac:dyDescent="0.2"/>
    <row r="15772" s="689" customFormat="1" x14ac:dyDescent="0.2"/>
    <row r="15773" s="689" customFormat="1" x14ac:dyDescent="0.2"/>
    <row r="15774" s="689" customFormat="1" x14ac:dyDescent="0.2"/>
    <row r="15775" s="689" customFormat="1" x14ac:dyDescent="0.2"/>
    <row r="15776" s="689" customFormat="1" x14ac:dyDescent="0.2"/>
    <row r="15777" s="689" customFormat="1" x14ac:dyDescent="0.2"/>
    <row r="15778" s="689" customFormat="1" x14ac:dyDescent="0.2"/>
    <row r="15779" s="689" customFormat="1" x14ac:dyDescent="0.2"/>
    <row r="15780" s="689" customFormat="1" x14ac:dyDescent="0.2"/>
    <row r="15781" s="689" customFormat="1" x14ac:dyDescent="0.2"/>
    <row r="15782" s="689" customFormat="1" x14ac:dyDescent="0.2"/>
    <row r="15783" s="689" customFormat="1" x14ac:dyDescent="0.2"/>
    <row r="15784" s="689" customFormat="1" x14ac:dyDescent="0.2"/>
    <row r="15785" s="689" customFormat="1" x14ac:dyDescent="0.2"/>
    <row r="15786" s="689" customFormat="1" x14ac:dyDescent="0.2"/>
    <row r="15787" s="689" customFormat="1" x14ac:dyDescent="0.2"/>
    <row r="15788" s="689" customFormat="1" x14ac:dyDescent="0.2"/>
    <row r="15789" s="689" customFormat="1" x14ac:dyDescent="0.2"/>
    <row r="15790" s="689" customFormat="1" x14ac:dyDescent="0.2"/>
    <row r="15791" s="689" customFormat="1" x14ac:dyDescent="0.2"/>
    <row r="15792" s="689" customFormat="1" x14ac:dyDescent="0.2"/>
    <row r="15793" s="689" customFormat="1" x14ac:dyDescent="0.2"/>
    <row r="15794" s="689" customFormat="1" x14ac:dyDescent="0.2"/>
    <row r="15795" s="689" customFormat="1" x14ac:dyDescent="0.2"/>
    <row r="15796" s="689" customFormat="1" x14ac:dyDescent="0.2"/>
    <row r="15797" s="689" customFormat="1" x14ac:dyDescent="0.2"/>
    <row r="15798" s="689" customFormat="1" x14ac:dyDescent="0.2"/>
    <row r="15799" s="689" customFormat="1" x14ac:dyDescent="0.2"/>
    <row r="15800" s="689" customFormat="1" x14ac:dyDescent="0.2"/>
    <row r="15801" s="689" customFormat="1" x14ac:dyDescent="0.2"/>
    <row r="15802" s="689" customFormat="1" x14ac:dyDescent="0.2"/>
    <row r="15803" s="689" customFormat="1" x14ac:dyDescent="0.2"/>
    <row r="15804" s="689" customFormat="1" x14ac:dyDescent="0.2"/>
    <row r="15805" s="689" customFormat="1" x14ac:dyDescent="0.2"/>
    <row r="15806" s="689" customFormat="1" x14ac:dyDescent="0.2"/>
    <row r="15807" s="689" customFormat="1" x14ac:dyDescent="0.2"/>
    <row r="15808" s="689" customFormat="1" x14ac:dyDescent="0.2"/>
    <row r="15809" s="689" customFormat="1" x14ac:dyDescent="0.2"/>
    <row r="15810" s="689" customFormat="1" x14ac:dyDescent="0.2"/>
    <row r="15811" s="689" customFormat="1" x14ac:dyDescent="0.2"/>
    <row r="15812" s="689" customFormat="1" x14ac:dyDescent="0.2"/>
    <row r="15813" s="689" customFormat="1" x14ac:dyDescent="0.2"/>
    <row r="15814" s="689" customFormat="1" x14ac:dyDescent="0.2"/>
    <row r="15815" s="689" customFormat="1" x14ac:dyDescent="0.2"/>
    <row r="15816" s="689" customFormat="1" x14ac:dyDescent="0.2"/>
    <row r="15817" s="689" customFormat="1" x14ac:dyDescent="0.2"/>
    <row r="15818" s="689" customFormat="1" x14ac:dyDescent="0.2"/>
    <row r="15819" s="689" customFormat="1" x14ac:dyDescent="0.2"/>
    <row r="15820" s="689" customFormat="1" x14ac:dyDescent="0.2"/>
    <row r="15821" s="689" customFormat="1" x14ac:dyDescent="0.2"/>
    <row r="15822" s="689" customFormat="1" x14ac:dyDescent="0.2"/>
    <row r="15823" s="689" customFormat="1" x14ac:dyDescent="0.2"/>
    <row r="15824" s="689" customFormat="1" x14ac:dyDescent="0.2"/>
    <row r="15825" s="689" customFormat="1" x14ac:dyDescent="0.2"/>
    <row r="15826" s="689" customFormat="1" x14ac:dyDescent="0.2"/>
    <row r="15827" s="689" customFormat="1" x14ac:dyDescent="0.2"/>
    <row r="15828" s="689" customFormat="1" x14ac:dyDescent="0.2"/>
    <row r="15829" s="689" customFormat="1" x14ac:dyDescent="0.2"/>
    <row r="15830" s="689" customFormat="1" x14ac:dyDescent="0.2"/>
    <row r="15831" s="689" customFormat="1" x14ac:dyDescent="0.2"/>
    <row r="15832" s="689" customFormat="1" x14ac:dyDescent="0.2"/>
    <row r="15833" s="689" customFormat="1" x14ac:dyDescent="0.2"/>
    <row r="15834" s="689" customFormat="1" x14ac:dyDescent="0.2"/>
    <row r="15835" s="689" customFormat="1" x14ac:dyDescent="0.2"/>
    <row r="15836" s="689" customFormat="1" x14ac:dyDescent="0.2"/>
    <row r="15837" s="689" customFormat="1" x14ac:dyDescent="0.2"/>
    <row r="15838" s="689" customFormat="1" x14ac:dyDescent="0.2"/>
    <row r="15839" s="689" customFormat="1" x14ac:dyDescent="0.2"/>
    <row r="15840" s="689" customFormat="1" x14ac:dyDescent="0.2"/>
    <row r="15841" s="689" customFormat="1" x14ac:dyDescent="0.2"/>
    <row r="15842" s="689" customFormat="1" x14ac:dyDescent="0.2"/>
    <row r="15843" s="689" customFormat="1" x14ac:dyDescent="0.2"/>
    <row r="15844" s="689" customFormat="1" x14ac:dyDescent="0.2"/>
    <row r="15845" s="689" customFormat="1" x14ac:dyDescent="0.2"/>
    <row r="15846" s="689" customFormat="1" x14ac:dyDescent="0.2"/>
    <row r="15847" s="689" customFormat="1" x14ac:dyDescent="0.2"/>
    <row r="15848" s="689" customFormat="1" x14ac:dyDescent="0.2"/>
    <row r="15849" s="689" customFormat="1" x14ac:dyDescent="0.2"/>
    <row r="15850" s="689" customFormat="1" x14ac:dyDescent="0.2"/>
    <row r="15851" s="689" customFormat="1" x14ac:dyDescent="0.2"/>
    <row r="15852" s="689" customFormat="1" x14ac:dyDescent="0.2"/>
    <row r="15853" s="689" customFormat="1" x14ac:dyDescent="0.2"/>
    <row r="15854" s="689" customFormat="1" x14ac:dyDescent="0.2"/>
    <row r="15855" s="689" customFormat="1" x14ac:dyDescent="0.2"/>
    <row r="15856" s="689" customFormat="1" x14ac:dyDescent="0.2"/>
    <row r="15857" s="689" customFormat="1" x14ac:dyDescent="0.2"/>
    <row r="15858" s="689" customFormat="1" x14ac:dyDescent="0.2"/>
    <row r="15859" s="689" customFormat="1" x14ac:dyDescent="0.2"/>
    <row r="15860" s="689" customFormat="1" x14ac:dyDescent="0.2"/>
    <row r="15861" s="689" customFormat="1" x14ac:dyDescent="0.2"/>
    <row r="15862" s="689" customFormat="1" x14ac:dyDescent="0.2"/>
    <row r="15863" s="689" customFormat="1" x14ac:dyDescent="0.2"/>
    <row r="15864" s="689" customFormat="1" x14ac:dyDescent="0.2"/>
    <row r="15865" s="689" customFormat="1" x14ac:dyDescent="0.2"/>
    <row r="15866" s="689" customFormat="1" x14ac:dyDescent="0.2"/>
    <row r="15867" s="689" customFormat="1" x14ac:dyDescent="0.2"/>
    <row r="15868" s="689" customFormat="1" x14ac:dyDescent="0.2"/>
    <row r="15869" s="689" customFormat="1" x14ac:dyDescent="0.2"/>
    <row r="15870" s="689" customFormat="1" x14ac:dyDescent="0.2"/>
    <row r="15871" s="689" customFormat="1" x14ac:dyDescent="0.2"/>
    <row r="15872" s="689" customFormat="1" x14ac:dyDescent="0.2"/>
    <row r="15873" s="689" customFormat="1" x14ac:dyDescent="0.2"/>
    <row r="15874" s="689" customFormat="1" x14ac:dyDescent="0.2"/>
    <row r="15875" s="689" customFormat="1" x14ac:dyDescent="0.2"/>
    <row r="15876" s="689" customFormat="1" x14ac:dyDescent="0.2"/>
    <row r="15877" s="689" customFormat="1" x14ac:dyDescent="0.2"/>
    <row r="15878" s="689" customFormat="1" x14ac:dyDescent="0.2"/>
    <row r="15879" s="689" customFormat="1" x14ac:dyDescent="0.2"/>
    <row r="15880" s="689" customFormat="1" x14ac:dyDescent="0.2"/>
    <row r="15881" s="689" customFormat="1" x14ac:dyDescent="0.2"/>
    <row r="15882" s="689" customFormat="1" x14ac:dyDescent="0.2"/>
    <row r="15883" s="689" customFormat="1" x14ac:dyDescent="0.2"/>
    <row r="15884" s="689" customFormat="1" x14ac:dyDescent="0.2"/>
    <row r="15885" s="689" customFormat="1" x14ac:dyDescent="0.2"/>
    <row r="15886" s="689" customFormat="1" x14ac:dyDescent="0.2"/>
    <row r="15887" s="689" customFormat="1" x14ac:dyDescent="0.2"/>
    <row r="15888" s="689" customFormat="1" x14ac:dyDescent="0.2"/>
    <row r="15889" s="689" customFormat="1" x14ac:dyDescent="0.2"/>
    <row r="15890" s="689" customFormat="1" x14ac:dyDescent="0.2"/>
    <row r="15891" s="689" customFormat="1" x14ac:dyDescent="0.2"/>
    <row r="15892" s="689" customFormat="1" x14ac:dyDescent="0.2"/>
    <row r="15893" s="689" customFormat="1" x14ac:dyDescent="0.2"/>
    <row r="15894" s="689" customFormat="1" x14ac:dyDescent="0.2"/>
    <row r="15895" s="689" customFormat="1" x14ac:dyDescent="0.2"/>
    <row r="15896" s="689" customFormat="1" x14ac:dyDescent="0.2"/>
    <row r="15897" s="689" customFormat="1" x14ac:dyDescent="0.2"/>
    <row r="15898" s="689" customFormat="1" x14ac:dyDescent="0.2"/>
    <row r="15899" s="689" customFormat="1" x14ac:dyDescent="0.2"/>
    <row r="15900" s="689" customFormat="1" x14ac:dyDescent="0.2"/>
    <row r="15901" s="689" customFormat="1" x14ac:dyDescent="0.2"/>
    <row r="15902" s="689" customFormat="1" x14ac:dyDescent="0.2"/>
    <row r="15903" s="689" customFormat="1" x14ac:dyDescent="0.2"/>
    <row r="15904" s="689" customFormat="1" x14ac:dyDescent="0.2"/>
    <row r="15905" s="689" customFormat="1" x14ac:dyDescent="0.2"/>
    <row r="15906" s="689" customFormat="1" x14ac:dyDescent="0.2"/>
    <row r="15907" s="689" customFormat="1" x14ac:dyDescent="0.2"/>
    <row r="15908" s="689" customFormat="1" x14ac:dyDescent="0.2"/>
    <row r="15909" s="689" customFormat="1" x14ac:dyDescent="0.2"/>
    <row r="15910" s="689" customFormat="1" x14ac:dyDescent="0.2"/>
    <row r="15911" s="689" customFormat="1" x14ac:dyDescent="0.2"/>
    <row r="15912" s="689" customFormat="1" x14ac:dyDescent="0.2"/>
    <row r="15913" s="689" customFormat="1" x14ac:dyDescent="0.2"/>
    <row r="15914" s="689" customFormat="1" x14ac:dyDescent="0.2"/>
    <row r="15915" s="689" customFormat="1" x14ac:dyDescent="0.2"/>
    <row r="15916" s="689" customFormat="1" x14ac:dyDescent="0.2"/>
    <row r="15917" s="689" customFormat="1" x14ac:dyDescent="0.2"/>
    <row r="15918" s="689" customFormat="1" x14ac:dyDescent="0.2"/>
    <row r="15919" s="689" customFormat="1" x14ac:dyDescent="0.2"/>
    <row r="15920" s="689" customFormat="1" x14ac:dyDescent="0.2"/>
    <row r="15921" s="689" customFormat="1" x14ac:dyDescent="0.2"/>
    <row r="15922" s="689" customFormat="1" x14ac:dyDescent="0.2"/>
    <row r="15923" s="689" customFormat="1" x14ac:dyDescent="0.2"/>
    <row r="15924" s="689" customFormat="1" x14ac:dyDescent="0.2"/>
    <row r="15925" s="689" customFormat="1" x14ac:dyDescent="0.2"/>
    <row r="15926" s="689" customFormat="1" x14ac:dyDescent="0.2"/>
    <row r="15927" s="689" customFormat="1" x14ac:dyDescent="0.2"/>
    <row r="15928" s="689" customFormat="1" x14ac:dyDescent="0.2"/>
    <row r="15929" s="689" customFormat="1" x14ac:dyDescent="0.2"/>
    <row r="15930" s="689" customFormat="1" x14ac:dyDescent="0.2"/>
    <row r="15931" s="689" customFormat="1" x14ac:dyDescent="0.2"/>
    <row r="15932" s="689" customFormat="1" x14ac:dyDescent="0.2"/>
    <row r="15933" s="689" customFormat="1" x14ac:dyDescent="0.2"/>
    <row r="15934" s="689" customFormat="1" x14ac:dyDescent="0.2"/>
    <row r="15935" s="689" customFormat="1" x14ac:dyDescent="0.2"/>
    <row r="15936" s="689" customFormat="1" x14ac:dyDescent="0.2"/>
    <row r="15937" s="689" customFormat="1" x14ac:dyDescent="0.2"/>
    <row r="15938" s="689" customFormat="1" x14ac:dyDescent="0.2"/>
    <row r="15939" s="689" customFormat="1" x14ac:dyDescent="0.2"/>
    <row r="15940" s="689" customFormat="1" x14ac:dyDescent="0.2"/>
    <row r="15941" s="689" customFormat="1" x14ac:dyDescent="0.2"/>
    <row r="15942" s="689" customFormat="1" x14ac:dyDescent="0.2"/>
    <row r="15943" s="689" customFormat="1" x14ac:dyDescent="0.2"/>
    <row r="15944" s="689" customFormat="1" x14ac:dyDescent="0.2"/>
    <row r="15945" s="689" customFormat="1" x14ac:dyDescent="0.2"/>
    <row r="15946" s="689" customFormat="1" x14ac:dyDescent="0.2"/>
    <row r="15947" s="689" customFormat="1" x14ac:dyDescent="0.2"/>
    <row r="15948" s="689" customFormat="1" x14ac:dyDescent="0.2"/>
    <row r="15949" s="689" customFormat="1" x14ac:dyDescent="0.2"/>
    <row r="15950" s="689" customFormat="1" x14ac:dyDescent="0.2"/>
    <row r="15951" s="689" customFormat="1" x14ac:dyDescent="0.2"/>
    <row r="15952" s="689" customFormat="1" x14ac:dyDescent="0.2"/>
    <row r="15953" s="689" customFormat="1" x14ac:dyDescent="0.2"/>
    <row r="15954" s="689" customFormat="1" x14ac:dyDescent="0.2"/>
    <row r="15955" s="689" customFormat="1" x14ac:dyDescent="0.2"/>
    <row r="15956" s="689" customFormat="1" x14ac:dyDescent="0.2"/>
    <row r="15957" s="689" customFormat="1" x14ac:dyDescent="0.2"/>
    <row r="15958" s="689" customFormat="1" x14ac:dyDescent="0.2"/>
    <row r="15959" s="689" customFormat="1" x14ac:dyDescent="0.2"/>
    <row r="15960" s="689" customFormat="1" x14ac:dyDescent="0.2"/>
    <row r="15961" s="689" customFormat="1" x14ac:dyDescent="0.2"/>
    <row r="15962" s="689" customFormat="1" x14ac:dyDescent="0.2"/>
    <row r="15963" s="689" customFormat="1" x14ac:dyDescent="0.2"/>
    <row r="15964" s="689" customFormat="1" x14ac:dyDescent="0.2"/>
    <row r="15965" s="689" customFormat="1" x14ac:dyDescent="0.2"/>
    <row r="15966" s="689" customFormat="1" x14ac:dyDescent="0.2"/>
    <row r="15967" s="689" customFormat="1" x14ac:dyDescent="0.2"/>
    <row r="15968" s="689" customFormat="1" x14ac:dyDescent="0.2"/>
    <row r="15969" s="689" customFormat="1" x14ac:dyDescent="0.2"/>
    <row r="15970" s="689" customFormat="1" x14ac:dyDescent="0.2"/>
    <row r="15971" s="689" customFormat="1" x14ac:dyDescent="0.2"/>
    <row r="15972" s="689" customFormat="1" x14ac:dyDescent="0.2"/>
    <row r="15973" s="689" customFormat="1" x14ac:dyDescent="0.2"/>
    <row r="15974" s="689" customFormat="1" x14ac:dyDescent="0.2"/>
    <row r="15975" s="689" customFormat="1" x14ac:dyDescent="0.2"/>
    <row r="15976" s="689" customFormat="1" x14ac:dyDescent="0.2"/>
    <row r="15977" s="689" customFormat="1" x14ac:dyDescent="0.2"/>
    <row r="15978" s="689" customFormat="1" x14ac:dyDescent="0.2"/>
    <row r="15979" s="689" customFormat="1" x14ac:dyDescent="0.2"/>
    <row r="15980" s="689" customFormat="1" x14ac:dyDescent="0.2"/>
    <row r="15981" s="689" customFormat="1" x14ac:dyDescent="0.2"/>
    <row r="15982" s="689" customFormat="1" x14ac:dyDescent="0.2"/>
    <row r="15983" s="689" customFormat="1" x14ac:dyDescent="0.2"/>
    <row r="15984" s="689" customFormat="1" x14ac:dyDescent="0.2"/>
    <row r="15985" s="689" customFormat="1" x14ac:dyDescent="0.2"/>
    <row r="15986" s="689" customFormat="1" x14ac:dyDescent="0.2"/>
    <row r="15987" s="689" customFormat="1" x14ac:dyDescent="0.2"/>
    <row r="15988" s="689" customFormat="1" x14ac:dyDescent="0.2"/>
    <row r="15989" s="689" customFormat="1" x14ac:dyDescent="0.2"/>
    <row r="15990" s="689" customFormat="1" x14ac:dyDescent="0.2"/>
    <row r="15991" s="689" customFormat="1" x14ac:dyDescent="0.2"/>
    <row r="15992" s="689" customFormat="1" x14ac:dyDescent="0.2"/>
    <row r="15993" s="689" customFormat="1" x14ac:dyDescent="0.2"/>
    <row r="15994" s="689" customFormat="1" x14ac:dyDescent="0.2"/>
    <row r="15995" s="689" customFormat="1" x14ac:dyDescent="0.2"/>
    <row r="15996" s="689" customFormat="1" x14ac:dyDescent="0.2"/>
    <row r="15997" s="689" customFormat="1" x14ac:dyDescent="0.2"/>
    <row r="15998" s="689" customFormat="1" x14ac:dyDescent="0.2"/>
    <row r="15999" s="689" customFormat="1" x14ac:dyDescent="0.2"/>
    <row r="16000" s="689" customFormat="1" x14ac:dyDescent="0.2"/>
    <row r="16001" s="689" customFormat="1" x14ac:dyDescent="0.2"/>
    <row r="16002" s="689" customFormat="1" x14ac:dyDescent="0.2"/>
    <row r="16003" s="689" customFormat="1" x14ac:dyDescent="0.2"/>
    <row r="16004" s="689" customFormat="1" x14ac:dyDescent="0.2"/>
    <row r="16005" s="689" customFormat="1" x14ac:dyDescent="0.2"/>
    <row r="16006" s="689" customFormat="1" x14ac:dyDescent="0.2"/>
    <row r="16007" s="689" customFormat="1" x14ac:dyDescent="0.2"/>
    <row r="16008" s="689" customFormat="1" x14ac:dyDescent="0.2"/>
    <row r="16009" s="689" customFormat="1" x14ac:dyDescent="0.2"/>
    <row r="16010" s="689" customFormat="1" x14ac:dyDescent="0.2"/>
    <row r="16011" s="689" customFormat="1" x14ac:dyDescent="0.2"/>
    <row r="16012" s="689" customFormat="1" x14ac:dyDescent="0.2"/>
    <row r="16013" s="689" customFormat="1" x14ac:dyDescent="0.2"/>
    <row r="16014" s="689" customFormat="1" x14ac:dyDescent="0.2"/>
    <row r="16015" s="689" customFormat="1" x14ac:dyDescent="0.2"/>
    <row r="16016" s="689" customFormat="1" x14ac:dyDescent="0.2"/>
    <row r="16017" s="689" customFormat="1" x14ac:dyDescent="0.2"/>
    <row r="16018" s="689" customFormat="1" x14ac:dyDescent="0.2"/>
    <row r="16019" s="689" customFormat="1" x14ac:dyDescent="0.2"/>
    <row r="16020" s="689" customFormat="1" x14ac:dyDescent="0.2"/>
    <row r="16021" s="689" customFormat="1" x14ac:dyDescent="0.2"/>
    <row r="16022" s="689" customFormat="1" x14ac:dyDescent="0.2"/>
    <row r="16023" s="689" customFormat="1" x14ac:dyDescent="0.2"/>
    <row r="16024" s="689" customFormat="1" x14ac:dyDescent="0.2"/>
    <row r="16025" s="689" customFormat="1" x14ac:dyDescent="0.2"/>
    <row r="16026" s="689" customFormat="1" x14ac:dyDescent="0.2"/>
    <row r="16027" s="689" customFormat="1" x14ac:dyDescent="0.2"/>
    <row r="16028" s="689" customFormat="1" x14ac:dyDescent="0.2"/>
    <row r="16029" s="689" customFormat="1" x14ac:dyDescent="0.2"/>
    <row r="16030" s="689" customFormat="1" x14ac:dyDescent="0.2"/>
    <row r="16031" s="689" customFormat="1" x14ac:dyDescent="0.2"/>
    <row r="16032" s="689" customFormat="1" x14ac:dyDescent="0.2"/>
    <row r="16033" s="689" customFormat="1" x14ac:dyDescent="0.2"/>
    <row r="16034" s="689" customFormat="1" x14ac:dyDescent="0.2"/>
    <row r="16035" s="689" customFormat="1" x14ac:dyDescent="0.2"/>
    <row r="16036" s="689" customFormat="1" x14ac:dyDescent="0.2"/>
    <row r="16037" s="689" customFormat="1" x14ac:dyDescent="0.2"/>
    <row r="16038" s="689" customFormat="1" x14ac:dyDescent="0.2"/>
    <row r="16039" s="689" customFormat="1" x14ac:dyDescent="0.2"/>
    <row r="16040" s="689" customFormat="1" x14ac:dyDescent="0.2"/>
    <row r="16041" s="689" customFormat="1" x14ac:dyDescent="0.2"/>
    <row r="16042" s="689" customFormat="1" x14ac:dyDescent="0.2"/>
    <row r="16043" s="689" customFormat="1" x14ac:dyDescent="0.2"/>
    <row r="16044" s="689" customFormat="1" x14ac:dyDescent="0.2"/>
    <row r="16045" s="689" customFormat="1" x14ac:dyDescent="0.2"/>
    <row r="16046" s="689" customFormat="1" x14ac:dyDescent="0.2"/>
    <row r="16047" s="689" customFormat="1" x14ac:dyDescent="0.2"/>
    <row r="16048" s="689" customFormat="1" x14ac:dyDescent="0.2"/>
    <row r="16049" s="689" customFormat="1" x14ac:dyDescent="0.2"/>
    <row r="16050" s="689" customFormat="1" x14ac:dyDescent="0.2"/>
    <row r="16051" s="689" customFormat="1" x14ac:dyDescent="0.2"/>
    <row r="16052" s="689" customFormat="1" x14ac:dyDescent="0.2"/>
    <row r="16053" s="689" customFormat="1" x14ac:dyDescent="0.2"/>
    <row r="16054" s="689" customFormat="1" x14ac:dyDescent="0.2"/>
    <row r="16055" s="689" customFormat="1" x14ac:dyDescent="0.2"/>
    <row r="16056" s="689" customFormat="1" x14ac:dyDescent="0.2"/>
    <row r="16057" s="689" customFormat="1" x14ac:dyDescent="0.2"/>
    <row r="16058" s="689" customFormat="1" x14ac:dyDescent="0.2"/>
    <row r="16059" s="689" customFormat="1" x14ac:dyDescent="0.2"/>
    <row r="16060" s="689" customFormat="1" x14ac:dyDescent="0.2"/>
    <row r="16061" s="689" customFormat="1" x14ac:dyDescent="0.2"/>
    <row r="16062" s="689" customFormat="1" x14ac:dyDescent="0.2"/>
    <row r="16063" s="689" customFormat="1" x14ac:dyDescent="0.2"/>
    <row r="16064" s="689" customFormat="1" x14ac:dyDescent="0.2"/>
    <row r="16065" s="689" customFormat="1" x14ac:dyDescent="0.2"/>
    <row r="16066" s="689" customFormat="1" x14ac:dyDescent="0.2"/>
    <row r="16067" s="689" customFormat="1" x14ac:dyDescent="0.2"/>
    <row r="16068" s="689" customFormat="1" x14ac:dyDescent="0.2"/>
    <row r="16069" s="689" customFormat="1" x14ac:dyDescent="0.2"/>
    <row r="16070" s="689" customFormat="1" x14ac:dyDescent="0.2"/>
    <row r="16071" s="689" customFormat="1" x14ac:dyDescent="0.2"/>
    <row r="16072" s="689" customFormat="1" x14ac:dyDescent="0.2"/>
    <row r="16073" s="689" customFormat="1" x14ac:dyDescent="0.2"/>
    <row r="16074" s="689" customFormat="1" x14ac:dyDescent="0.2"/>
    <row r="16075" s="689" customFormat="1" x14ac:dyDescent="0.2"/>
    <row r="16076" s="689" customFormat="1" x14ac:dyDescent="0.2"/>
    <row r="16077" s="689" customFormat="1" x14ac:dyDescent="0.2"/>
    <row r="16078" s="689" customFormat="1" x14ac:dyDescent="0.2"/>
    <row r="16079" s="689" customFormat="1" x14ac:dyDescent="0.2"/>
    <row r="16080" s="689" customFormat="1" x14ac:dyDescent="0.2"/>
    <row r="16081" s="689" customFormat="1" x14ac:dyDescent="0.2"/>
    <row r="16082" s="689" customFormat="1" x14ac:dyDescent="0.2"/>
    <row r="16083" s="689" customFormat="1" x14ac:dyDescent="0.2"/>
    <row r="16084" s="689" customFormat="1" x14ac:dyDescent="0.2"/>
    <row r="16085" s="689" customFormat="1" x14ac:dyDescent="0.2"/>
    <row r="16086" s="689" customFormat="1" x14ac:dyDescent="0.2"/>
    <row r="16087" s="689" customFormat="1" x14ac:dyDescent="0.2"/>
    <row r="16088" s="689" customFormat="1" x14ac:dyDescent="0.2"/>
    <row r="16089" s="689" customFormat="1" x14ac:dyDescent="0.2"/>
    <row r="16090" s="689" customFormat="1" x14ac:dyDescent="0.2"/>
    <row r="16091" s="689" customFormat="1" x14ac:dyDescent="0.2"/>
    <row r="16092" s="689" customFormat="1" x14ac:dyDescent="0.2"/>
    <row r="16093" s="689" customFormat="1" x14ac:dyDescent="0.2"/>
    <row r="16094" s="689" customFormat="1" x14ac:dyDescent="0.2"/>
    <row r="16095" s="689" customFormat="1" x14ac:dyDescent="0.2"/>
    <row r="16096" s="689" customFormat="1" x14ac:dyDescent="0.2"/>
    <row r="16097" s="689" customFormat="1" x14ac:dyDescent="0.2"/>
    <row r="16098" s="689" customFormat="1" x14ac:dyDescent="0.2"/>
    <row r="16099" s="689" customFormat="1" x14ac:dyDescent="0.2"/>
    <row r="16100" s="689" customFormat="1" x14ac:dyDescent="0.2"/>
    <row r="16101" s="689" customFormat="1" x14ac:dyDescent="0.2"/>
    <row r="16102" s="689" customFormat="1" x14ac:dyDescent="0.2"/>
    <row r="16103" s="689" customFormat="1" x14ac:dyDescent="0.2"/>
    <row r="16104" s="689" customFormat="1" x14ac:dyDescent="0.2"/>
    <row r="16105" s="689" customFormat="1" x14ac:dyDescent="0.2"/>
    <row r="16106" s="689" customFormat="1" x14ac:dyDescent="0.2"/>
    <row r="16107" s="689" customFormat="1" x14ac:dyDescent="0.2"/>
    <row r="16108" s="689" customFormat="1" x14ac:dyDescent="0.2"/>
    <row r="16109" s="689" customFormat="1" x14ac:dyDescent="0.2"/>
    <row r="16110" s="689" customFormat="1" x14ac:dyDescent="0.2"/>
    <row r="16111" s="689" customFormat="1" x14ac:dyDescent="0.2"/>
    <row r="16112" s="689" customFormat="1" x14ac:dyDescent="0.2"/>
    <row r="16113" s="689" customFormat="1" x14ac:dyDescent="0.2"/>
    <row r="16114" s="689" customFormat="1" x14ac:dyDescent="0.2"/>
    <row r="16115" s="689" customFormat="1" x14ac:dyDescent="0.2"/>
    <row r="16116" s="689" customFormat="1" x14ac:dyDescent="0.2"/>
    <row r="16117" s="689" customFormat="1" x14ac:dyDescent="0.2"/>
    <row r="16118" s="689" customFormat="1" x14ac:dyDescent="0.2"/>
    <row r="16119" s="689" customFormat="1" x14ac:dyDescent="0.2"/>
    <row r="16120" s="689" customFormat="1" x14ac:dyDescent="0.2"/>
    <row r="16121" s="689" customFormat="1" x14ac:dyDescent="0.2"/>
    <row r="16122" s="689" customFormat="1" x14ac:dyDescent="0.2"/>
    <row r="16123" s="689" customFormat="1" x14ac:dyDescent="0.2"/>
    <row r="16124" s="689" customFormat="1" x14ac:dyDescent="0.2"/>
    <row r="16125" s="689" customFormat="1" x14ac:dyDescent="0.2"/>
    <row r="16126" s="689" customFormat="1" x14ac:dyDescent="0.2"/>
    <row r="16127" s="689" customFormat="1" x14ac:dyDescent="0.2"/>
    <row r="16128" s="689" customFormat="1" x14ac:dyDescent="0.2"/>
    <row r="16129" s="689" customFormat="1" x14ac:dyDescent="0.2"/>
    <row r="16130" s="689" customFormat="1" x14ac:dyDescent="0.2"/>
    <row r="16131" s="689" customFormat="1" x14ac:dyDescent="0.2"/>
    <row r="16132" s="689" customFormat="1" x14ac:dyDescent="0.2"/>
    <row r="16133" s="689" customFormat="1" x14ac:dyDescent="0.2"/>
    <row r="16134" s="689" customFormat="1" x14ac:dyDescent="0.2"/>
    <row r="16135" s="689" customFormat="1" x14ac:dyDescent="0.2"/>
    <row r="16136" s="689" customFormat="1" x14ac:dyDescent="0.2"/>
    <row r="16137" s="689" customFormat="1" x14ac:dyDescent="0.2"/>
    <row r="16138" s="689" customFormat="1" x14ac:dyDescent="0.2"/>
    <row r="16139" s="689" customFormat="1" x14ac:dyDescent="0.2"/>
    <row r="16140" s="689" customFormat="1" x14ac:dyDescent="0.2"/>
    <row r="16141" s="689" customFormat="1" x14ac:dyDescent="0.2"/>
    <row r="16142" s="689" customFormat="1" x14ac:dyDescent="0.2"/>
    <row r="16143" s="689" customFormat="1" x14ac:dyDescent="0.2"/>
    <row r="16144" s="689" customFormat="1" x14ac:dyDescent="0.2"/>
    <row r="16145" s="689" customFormat="1" x14ac:dyDescent="0.2"/>
    <row r="16146" s="689" customFormat="1" x14ac:dyDescent="0.2"/>
    <row r="16147" s="689" customFormat="1" x14ac:dyDescent="0.2"/>
    <row r="16148" s="689" customFormat="1" x14ac:dyDescent="0.2"/>
    <row r="16149" s="689" customFormat="1" x14ac:dyDescent="0.2"/>
    <row r="16150" s="689" customFormat="1" x14ac:dyDescent="0.2"/>
    <row r="16151" s="689" customFormat="1" x14ac:dyDescent="0.2"/>
    <row r="16152" s="689" customFormat="1" x14ac:dyDescent="0.2"/>
    <row r="16153" s="689" customFormat="1" x14ac:dyDescent="0.2"/>
    <row r="16154" s="689" customFormat="1" x14ac:dyDescent="0.2"/>
    <row r="16155" s="689" customFormat="1" x14ac:dyDescent="0.2"/>
    <row r="16156" s="689" customFormat="1" x14ac:dyDescent="0.2"/>
    <row r="16157" s="689" customFormat="1" x14ac:dyDescent="0.2"/>
    <row r="16158" s="689" customFormat="1" x14ac:dyDescent="0.2"/>
    <row r="16159" s="689" customFormat="1" x14ac:dyDescent="0.2"/>
    <row r="16160" s="689" customFormat="1" x14ac:dyDescent="0.2"/>
    <row r="16161" s="689" customFormat="1" x14ac:dyDescent="0.2"/>
    <row r="16162" s="689" customFormat="1" x14ac:dyDescent="0.2"/>
    <row r="16163" s="689" customFormat="1" x14ac:dyDescent="0.2"/>
    <row r="16164" s="689" customFormat="1" x14ac:dyDescent="0.2"/>
    <row r="16165" s="689" customFormat="1" x14ac:dyDescent="0.2"/>
    <row r="16166" s="689" customFormat="1" x14ac:dyDescent="0.2"/>
    <row r="16167" s="689" customFormat="1" x14ac:dyDescent="0.2"/>
    <row r="16168" s="689" customFormat="1" x14ac:dyDescent="0.2"/>
    <row r="16169" s="689" customFormat="1" x14ac:dyDescent="0.2"/>
    <row r="16170" s="689" customFormat="1" x14ac:dyDescent="0.2"/>
    <row r="16171" s="689" customFormat="1" x14ac:dyDescent="0.2"/>
    <row r="16172" s="689" customFormat="1" x14ac:dyDescent="0.2"/>
    <row r="16173" s="689" customFormat="1" x14ac:dyDescent="0.2"/>
    <row r="16174" s="689" customFormat="1" x14ac:dyDescent="0.2"/>
    <row r="16175" s="689" customFormat="1" x14ac:dyDescent="0.2"/>
    <row r="16176" s="689" customFormat="1" x14ac:dyDescent="0.2"/>
    <row r="16177" s="689" customFormat="1" x14ac:dyDescent="0.2"/>
    <row r="16178" s="689" customFormat="1" x14ac:dyDescent="0.2"/>
    <row r="16179" s="689" customFormat="1" x14ac:dyDescent="0.2"/>
    <row r="16180" s="689" customFormat="1" x14ac:dyDescent="0.2"/>
    <row r="16181" s="689" customFormat="1" x14ac:dyDescent="0.2"/>
    <row r="16182" s="689" customFormat="1" x14ac:dyDescent="0.2"/>
    <row r="16183" s="689" customFormat="1" x14ac:dyDescent="0.2"/>
    <row r="16184" s="689" customFormat="1" x14ac:dyDescent="0.2"/>
    <row r="16185" s="689" customFormat="1" x14ac:dyDescent="0.2"/>
    <row r="16186" s="689" customFormat="1" x14ac:dyDescent="0.2"/>
    <row r="16187" s="689" customFormat="1" x14ac:dyDescent="0.2"/>
    <row r="16188" s="689" customFormat="1" x14ac:dyDescent="0.2"/>
    <row r="16189" s="689" customFormat="1" x14ac:dyDescent="0.2"/>
    <row r="16190" s="689" customFormat="1" x14ac:dyDescent="0.2"/>
    <row r="16191" s="689" customFormat="1" x14ac:dyDescent="0.2"/>
    <row r="16192" s="689" customFormat="1" x14ac:dyDescent="0.2"/>
    <row r="16193" s="689" customFormat="1" x14ac:dyDescent="0.2"/>
    <row r="16194" s="689" customFormat="1" x14ac:dyDescent="0.2"/>
    <row r="16195" s="689" customFormat="1" x14ac:dyDescent="0.2"/>
    <row r="16196" s="689" customFormat="1" x14ac:dyDescent="0.2"/>
    <row r="16197" s="689" customFormat="1" x14ac:dyDescent="0.2"/>
    <row r="16198" s="689" customFormat="1" x14ac:dyDescent="0.2"/>
    <row r="16199" s="689" customFormat="1" x14ac:dyDescent="0.2"/>
    <row r="16200" s="689" customFormat="1" x14ac:dyDescent="0.2"/>
    <row r="16201" s="689" customFormat="1" x14ac:dyDescent="0.2"/>
    <row r="16202" s="689" customFormat="1" x14ac:dyDescent="0.2"/>
    <row r="16203" s="689" customFormat="1" x14ac:dyDescent="0.2"/>
    <row r="16204" s="689" customFormat="1" x14ac:dyDescent="0.2"/>
    <row r="16205" s="689" customFormat="1" x14ac:dyDescent="0.2"/>
    <row r="16206" s="689" customFormat="1" x14ac:dyDescent="0.2"/>
    <row r="16207" s="689" customFormat="1" x14ac:dyDescent="0.2"/>
    <row r="16208" s="689" customFormat="1" x14ac:dyDescent="0.2"/>
    <row r="16209" s="689" customFormat="1" x14ac:dyDescent="0.2"/>
    <row r="16210" s="689" customFormat="1" x14ac:dyDescent="0.2"/>
    <row r="16211" s="689" customFormat="1" x14ac:dyDescent="0.2"/>
    <row r="16212" s="689" customFormat="1" x14ac:dyDescent="0.2"/>
    <row r="16213" s="689" customFormat="1" x14ac:dyDescent="0.2"/>
    <row r="16214" s="689" customFormat="1" x14ac:dyDescent="0.2"/>
    <row r="16215" s="689" customFormat="1" x14ac:dyDescent="0.2"/>
    <row r="16216" s="689" customFormat="1" x14ac:dyDescent="0.2"/>
    <row r="16217" s="689" customFormat="1" x14ac:dyDescent="0.2"/>
    <row r="16218" s="689" customFormat="1" x14ac:dyDescent="0.2"/>
    <row r="16219" s="689" customFormat="1" x14ac:dyDescent="0.2"/>
    <row r="16220" s="689" customFormat="1" x14ac:dyDescent="0.2"/>
    <row r="16221" s="689" customFormat="1" x14ac:dyDescent="0.2"/>
    <row r="16222" s="689" customFormat="1" x14ac:dyDescent="0.2"/>
    <row r="16223" s="689" customFormat="1" x14ac:dyDescent="0.2"/>
    <row r="16224" s="689" customFormat="1" x14ac:dyDescent="0.2"/>
    <row r="16225" s="689" customFormat="1" x14ac:dyDescent="0.2"/>
    <row r="16226" s="689" customFormat="1" x14ac:dyDescent="0.2"/>
    <row r="16227" s="689" customFormat="1" x14ac:dyDescent="0.2"/>
    <row r="16228" s="689" customFormat="1" x14ac:dyDescent="0.2"/>
    <row r="16229" s="689" customFormat="1" x14ac:dyDescent="0.2"/>
    <row r="16230" s="689" customFormat="1" x14ac:dyDescent="0.2"/>
    <row r="16231" s="689" customFormat="1" x14ac:dyDescent="0.2"/>
    <row r="16232" s="689" customFormat="1" x14ac:dyDescent="0.2"/>
    <row r="16233" s="689" customFormat="1" x14ac:dyDescent="0.2"/>
    <row r="16234" s="689" customFormat="1" x14ac:dyDescent="0.2"/>
    <row r="16235" s="689" customFormat="1" x14ac:dyDescent="0.2"/>
    <row r="16236" s="689" customFormat="1" x14ac:dyDescent="0.2"/>
    <row r="16237" s="689" customFormat="1" x14ac:dyDescent="0.2"/>
    <row r="16238" s="689" customFormat="1" x14ac:dyDescent="0.2"/>
    <row r="16239" s="689" customFormat="1" x14ac:dyDescent="0.2"/>
    <row r="16240" s="689" customFormat="1" x14ac:dyDescent="0.2"/>
    <row r="16241" s="689" customFormat="1" x14ac:dyDescent="0.2"/>
    <row r="16242" s="689" customFormat="1" x14ac:dyDescent="0.2"/>
    <row r="16243" s="689" customFormat="1" x14ac:dyDescent="0.2"/>
    <row r="16244" s="689" customFormat="1" x14ac:dyDescent="0.2"/>
    <row r="16245" s="689" customFormat="1" x14ac:dyDescent="0.2"/>
    <row r="16246" s="689" customFormat="1" x14ac:dyDescent="0.2"/>
    <row r="16247" s="689" customFormat="1" x14ac:dyDescent="0.2"/>
    <row r="16248" s="689" customFormat="1" x14ac:dyDescent="0.2"/>
    <row r="16249" s="689" customFormat="1" x14ac:dyDescent="0.2"/>
    <row r="16250" s="689" customFormat="1" x14ac:dyDescent="0.2"/>
    <row r="16251" s="689" customFormat="1" x14ac:dyDescent="0.2"/>
    <row r="16252" s="689" customFormat="1" x14ac:dyDescent="0.2"/>
    <row r="16253" s="689" customFormat="1" x14ac:dyDescent="0.2"/>
    <row r="16254" s="689" customFormat="1" x14ac:dyDescent="0.2"/>
    <row r="16255" s="689" customFormat="1" x14ac:dyDescent="0.2"/>
    <row r="16256" s="689" customFormat="1" x14ac:dyDescent="0.2"/>
    <row r="16257" s="689" customFormat="1" x14ac:dyDescent="0.2"/>
    <row r="16258" s="689" customFormat="1" x14ac:dyDescent="0.2"/>
    <row r="16259" s="689" customFormat="1" x14ac:dyDescent="0.2"/>
    <row r="16260" s="689" customFormat="1" x14ac:dyDescent="0.2"/>
    <row r="16261" s="689" customFormat="1" x14ac:dyDescent="0.2"/>
    <row r="16262" s="689" customFormat="1" x14ac:dyDescent="0.2"/>
    <row r="16263" s="689" customFormat="1" x14ac:dyDescent="0.2"/>
    <row r="16264" s="689" customFormat="1" x14ac:dyDescent="0.2"/>
    <row r="16265" s="689" customFormat="1" x14ac:dyDescent="0.2"/>
    <row r="16266" s="689" customFormat="1" x14ac:dyDescent="0.2"/>
    <row r="16267" s="689" customFormat="1" x14ac:dyDescent="0.2"/>
    <row r="16268" s="689" customFormat="1" x14ac:dyDescent="0.2"/>
    <row r="16269" s="689" customFormat="1" x14ac:dyDescent="0.2"/>
    <row r="16270" s="689" customFormat="1" x14ac:dyDescent="0.2"/>
    <row r="16271" s="689" customFormat="1" x14ac:dyDescent="0.2"/>
    <row r="16272" s="689" customFormat="1" x14ac:dyDescent="0.2"/>
    <row r="16273" s="689" customFormat="1" x14ac:dyDescent="0.2"/>
    <row r="16274" s="689" customFormat="1" x14ac:dyDescent="0.2"/>
    <row r="16275" s="689" customFormat="1" x14ac:dyDescent="0.2"/>
    <row r="16276" s="689" customFormat="1" x14ac:dyDescent="0.2"/>
    <row r="16277" s="689" customFormat="1" x14ac:dyDescent="0.2"/>
    <row r="16278" s="689" customFormat="1" x14ac:dyDescent="0.2"/>
    <row r="16279" s="689" customFormat="1" x14ac:dyDescent="0.2"/>
    <row r="16280" s="689" customFormat="1" x14ac:dyDescent="0.2"/>
    <row r="16281" s="689" customFormat="1" x14ac:dyDescent="0.2"/>
    <row r="16282" s="689" customFormat="1" x14ac:dyDescent="0.2"/>
    <row r="16283" s="689" customFormat="1" x14ac:dyDescent="0.2"/>
    <row r="16284" s="689" customFormat="1" x14ac:dyDescent="0.2"/>
    <row r="16285" s="689" customFormat="1" x14ac:dyDescent="0.2"/>
    <row r="16286" s="689" customFormat="1" x14ac:dyDescent="0.2"/>
    <row r="16287" s="689" customFormat="1" x14ac:dyDescent="0.2"/>
    <row r="16288" s="689" customFormat="1" x14ac:dyDescent="0.2"/>
    <row r="16289" s="689" customFormat="1" x14ac:dyDescent="0.2"/>
    <row r="16290" s="689" customFormat="1" x14ac:dyDescent="0.2"/>
    <row r="16291" s="689" customFormat="1" x14ac:dyDescent="0.2"/>
    <row r="16292" s="689" customFormat="1" x14ac:dyDescent="0.2"/>
    <row r="16293" s="689" customFormat="1" x14ac:dyDescent="0.2"/>
    <row r="16294" s="689" customFormat="1" x14ac:dyDescent="0.2"/>
    <row r="16295" s="689" customFormat="1" x14ac:dyDescent="0.2"/>
    <row r="16296" s="689" customFormat="1" x14ac:dyDescent="0.2"/>
    <row r="16297" s="689" customFormat="1" x14ac:dyDescent="0.2"/>
    <row r="16298" s="689" customFormat="1" x14ac:dyDescent="0.2"/>
    <row r="16299" s="689" customFormat="1" x14ac:dyDescent="0.2"/>
    <row r="16300" s="689" customFormat="1" x14ac:dyDescent="0.2"/>
    <row r="16301" s="689" customFormat="1" x14ac:dyDescent="0.2"/>
    <row r="16302" s="689" customFormat="1" x14ac:dyDescent="0.2"/>
    <row r="16303" s="689" customFormat="1" x14ac:dyDescent="0.2"/>
    <row r="16304" s="689" customFormat="1" x14ac:dyDescent="0.2"/>
    <row r="16305" s="689" customFormat="1" x14ac:dyDescent="0.2"/>
    <row r="16306" s="689" customFormat="1" x14ac:dyDescent="0.2"/>
    <row r="16307" s="689" customFormat="1" x14ac:dyDescent="0.2"/>
    <row r="16308" s="689" customFormat="1" x14ac:dyDescent="0.2"/>
    <row r="16309" s="689" customFormat="1" x14ac:dyDescent="0.2"/>
    <row r="16310" s="689" customFormat="1" x14ac:dyDescent="0.2"/>
    <row r="16311" s="689" customFormat="1" x14ac:dyDescent="0.2"/>
    <row r="16312" s="689" customFormat="1" x14ac:dyDescent="0.2"/>
    <row r="16313" s="689" customFormat="1" x14ac:dyDescent="0.2"/>
    <row r="16314" s="689" customFormat="1" x14ac:dyDescent="0.2"/>
    <row r="16315" s="689" customFormat="1" x14ac:dyDescent="0.2"/>
    <row r="16316" s="689" customFormat="1" x14ac:dyDescent="0.2"/>
    <row r="16317" s="689" customFormat="1" x14ac:dyDescent="0.2"/>
    <row r="16318" s="689" customFormat="1" x14ac:dyDescent="0.2"/>
    <row r="16319" s="689" customFormat="1" x14ac:dyDescent="0.2"/>
    <row r="16320" s="689" customFormat="1" x14ac:dyDescent="0.2"/>
    <row r="16321" s="689" customFormat="1" x14ac:dyDescent="0.2"/>
    <row r="16322" s="689" customFormat="1" x14ac:dyDescent="0.2"/>
    <row r="16323" s="689" customFormat="1" x14ac:dyDescent="0.2"/>
    <row r="16324" s="689" customFormat="1" x14ac:dyDescent="0.2"/>
    <row r="16325" s="689" customFormat="1" x14ac:dyDescent="0.2"/>
    <row r="16326" s="689" customFormat="1" x14ac:dyDescent="0.2"/>
    <row r="16327" s="689" customFormat="1" x14ac:dyDescent="0.2"/>
    <row r="16328" s="689" customFormat="1" x14ac:dyDescent="0.2"/>
    <row r="16329" s="689" customFormat="1" x14ac:dyDescent="0.2"/>
    <row r="16330" s="689" customFormat="1" x14ac:dyDescent="0.2"/>
    <row r="16331" s="689" customFormat="1" x14ac:dyDescent="0.2"/>
    <row r="16332" s="689" customFormat="1" x14ac:dyDescent="0.2"/>
    <row r="16333" s="689" customFormat="1" x14ac:dyDescent="0.2"/>
    <row r="16334" s="689" customFormat="1" x14ac:dyDescent="0.2"/>
    <row r="16335" s="689" customFormat="1" x14ac:dyDescent="0.2"/>
    <row r="16336" s="689" customFormat="1" x14ac:dyDescent="0.2"/>
    <row r="16337" s="689" customFormat="1" x14ac:dyDescent="0.2"/>
    <row r="16338" s="689" customFormat="1" x14ac:dyDescent="0.2"/>
    <row r="16339" s="689" customFormat="1" x14ac:dyDescent="0.2"/>
    <row r="16340" s="689" customFormat="1" x14ac:dyDescent="0.2"/>
    <row r="16341" s="689" customFormat="1" x14ac:dyDescent="0.2"/>
    <row r="16342" s="689" customFormat="1" x14ac:dyDescent="0.2"/>
    <row r="16343" s="689" customFormat="1" x14ac:dyDescent="0.2"/>
    <row r="16344" s="689" customFormat="1" x14ac:dyDescent="0.2"/>
    <row r="16345" s="689" customFormat="1" x14ac:dyDescent="0.2"/>
    <row r="16346" s="689" customFormat="1" x14ac:dyDescent="0.2"/>
    <row r="16347" s="689" customFormat="1" x14ac:dyDescent="0.2"/>
    <row r="16348" s="689" customFormat="1" x14ac:dyDescent="0.2"/>
    <row r="16349" s="689" customFormat="1" x14ac:dyDescent="0.2"/>
    <row r="16350" s="689" customFormat="1" x14ac:dyDescent="0.2"/>
    <row r="16351" s="689" customFormat="1" x14ac:dyDescent="0.2"/>
    <row r="16352" s="689" customFormat="1" x14ac:dyDescent="0.2"/>
    <row r="16353" s="689" customFormat="1" x14ac:dyDescent="0.2"/>
    <row r="16354" s="689" customFormat="1" x14ac:dyDescent="0.2"/>
    <row r="16355" s="689" customFormat="1" x14ac:dyDescent="0.2"/>
    <row r="16356" s="689" customFormat="1" x14ac:dyDescent="0.2"/>
    <row r="16357" s="689" customFormat="1" x14ac:dyDescent="0.2"/>
    <row r="16358" s="689" customFormat="1" x14ac:dyDescent="0.2"/>
    <row r="16359" s="689" customFormat="1" x14ac:dyDescent="0.2"/>
    <row r="16360" s="689" customFormat="1" x14ac:dyDescent="0.2"/>
    <row r="16361" s="689" customFormat="1" x14ac:dyDescent="0.2"/>
    <row r="16362" s="689" customFormat="1" x14ac:dyDescent="0.2"/>
    <row r="16363" s="689" customFormat="1" x14ac:dyDescent="0.2"/>
    <row r="16364" s="689" customFormat="1" x14ac:dyDescent="0.2"/>
    <row r="16365" s="689" customFormat="1" x14ac:dyDescent="0.2"/>
    <row r="16366" s="689" customFormat="1" x14ac:dyDescent="0.2"/>
    <row r="16367" s="689" customFormat="1" x14ac:dyDescent="0.2"/>
    <row r="16368" s="689" customFormat="1" x14ac:dyDescent="0.2"/>
    <row r="16369" s="689" customFormat="1" x14ac:dyDescent="0.2"/>
    <row r="16370" s="689" customFormat="1" x14ac:dyDescent="0.2"/>
    <row r="16371" s="689" customFormat="1" x14ac:dyDescent="0.2"/>
    <row r="16372" s="689" customFormat="1" x14ac:dyDescent="0.2"/>
    <row r="16373" s="689" customFormat="1" x14ac:dyDescent="0.2"/>
    <row r="16374" s="689" customFormat="1" x14ac:dyDescent="0.2"/>
    <row r="16375" s="689" customFormat="1" x14ac:dyDescent="0.2"/>
    <row r="16376" s="689" customFormat="1" x14ac:dyDescent="0.2"/>
    <row r="16377" s="689" customFormat="1" x14ac:dyDescent="0.2"/>
    <row r="16378" s="689" customFormat="1" x14ac:dyDescent="0.2"/>
    <row r="16379" s="689" customFormat="1" x14ac:dyDescent="0.2"/>
    <row r="16380" s="689" customFormat="1" x14ac:dyDescent="0.2"/>
    <row r="16381" s="689" customFormat="1" x14ac:dyDescent="0.2"/>
    <row r="16382" s="689" customFormat="1" x14ac:dyDescent="0.2"/>
    <row r="16383" s="689" customFormat="1" x14ac:dyDescent="0.2"/>
    <row r="16384" s="689" customFormat="1" x14ac:dyDescent="0.2"/>
    <row r="16385" s="689" customFormat="1" x14ac:dyDescent="0.2"/>
    <row r="16386" s="689" customFormat="1" x14ac:dyDescent="0.2"/>
    <row r="16387" s="689" customFormat="1" x14ac:dyDescent="0.2"/>
    <row r="16388" s="689" customFormat="1" x14ac:dyDescent="0.2"/>
    <row r="16389" s="689" customFormat="1" x14ac:dyDescent="0.2"/>
    <row r="16390" s="689" customFormat="1" x14ac:dyDescent="0.2"/>
    <row r="16391" s="689" customFormat="1" x14ac:dyDescent="0.2"/>
    <row r="16392" s="689" customFormat="1" x14ac:dyDescent="0.2"/>
    <row r="16393" s="689" customFormat="1" x14ac:dyDescent="0.2"/>
    <row r="16394" s="689" customFormat="1" x14ac:dyDescent="0.2"/>
    <row r="16395" s="689" customFormat="1" x14ac:dyDescent="0.2"/>
    <row r="16396" s="689" customFormat="1" x14ac:dyDescent="0.2"/>
    <row r="16397" s="689" customFormat="1" x14ac:dyDescent="0.2"/>
    <row r="16398" s="689" customFormat="1" x14ac:dyDescent="0.2"/>
    <row r="16399" s="689" customFormat="1" x14ac:dyDescent="0.2"/>
    <row r="16400" s="689" customFormat="1" x14ac:dyDescent="0.2"/>
    <row r="16401" s="689" customFormat="1" x14ac:dyDescent="0.2"/>
    <row r="16402" s="689" customFormat="1" x14ac:dyDescent="0.2"/>
    <row r="16403" s="689" customFormat="1" x14ac:dyDescent="0.2"/>
    <row r="16404" s="689" customFormat="1" x14ac:dyDescent="0.2"/>
    <row r="16405" s="689" customFormat="1" x14ac:dyDescent="0.2"/>
    <row r="16406" s="689" customFormat="1" x14ac:dyDescent="0.2"/>
    <row r="16407" s="689" customFormat="1" x14ac:dyDescent="0.2"/>
    <row r="16408" s="689" customFormat="1" x14ac:dyDescent="0.2"/>
    <row r="16409" s="689" customFormat="1" x14ac:dyDescent="0.2"/>
    <row r="16410" s="689" customFormat="1" x14ac:dyDescent="0.2"/>
    <row r="16411" s="689" customFormat="1" x14ac:dyDescent="0.2"/>
    <row r="16412" s="689" customFormat="1" x14ac:dyDescent="0.2"/>
    <row r="16413" s="689" customFormat="1" x14ac:dyDescent="0.2"/>
    <row r="16414" s="689" customFormat="1" x14ac:dyDescent="0.2"/>
    <row r="16415" s="689" customFormat="1" x14ac:dyDescent="0.2"/>
    <row r="16416" s="689" customFormat="1" x14ac:dyDescent="0.2"/>
    <row r="16417" s="689" customFormat="1" x14ac:dyDescent="0.2"/>
    <row r="16418" s="689" customFormat="1" x14ac:dyDescent="0.2"/>
    <row r="16419" s="689" customFormat="1" x14ac:dyDescent="0.2"/>
    <row r="16420" s="689" customFormat="1" x14ac:dyDescent="0.2"/>
    <row r="16421" s="689" customFormat="1" x14ac:dyDescent="0.2"/>
    <row r="16422" s="689" customFormat="1" x14ac:dyDescent="0.2"/>
    <row r="16423" s="689" customFormat="1" x14ac:dyDescent="0.2"/>
    <row r="16424" s="689" customFormat="1" x14ac:dyDescent="0.2"/>
    <row r="16425" s="689" customFormat="1" x14ac:dyDescent="0.2"/>
    <row r="16426" s="689" customFormat="1" x14ac:dyDescent="0.2"/>
    <row r="16427" s="689" customFormat="1" x14ac:dyDescent="0.2"/>
    <row r="16428" s="689" customFormat="1" x14ac:dyDescent="0.2"/>
    <row r="16429" s="689" customFormat="1" x14ac:dyDescent="0.2"/>
    <row r="16430" s="689" customFormat="1" x14ac:dyDescent="0.2"/>
    <row r="16431" s="689" customFormat="1" x14ac:dyDescent="0.2"/>
    <row r="16432" s="689" customFormat="1" x14ac:dyDescent="0.2"/>
    <row r="16433" s="689" customFormat="1" x14ac:dyDescent="0.2"/>
    <row r="16434" s="689" customFormat="1" x14ac:dyDescent="0.2"/>
    <row r="16435" s="689" customFormat="1" x14ac:dyDescent="0.2"/>
    <row r="16436" s="689" customFormat="1" x14ac:dyDescent="0.2"/>
    <row r="16437" s="689" customFormat="1" x14ac:dyDescent="0.2"/>
    <row r="16438" s="689" customFormat="1" x14ac:dyDescent="0.2"/>
    <row r="16439" s="689" customFormat="1" x14ac:dyDescent="0.2"/>
    <row r="16440" s="689" customFormat="1" x14ac:dyDescent="0.2"/>
    <row r="16441" s="689" customFormat="1" x14ac:dyDescent="0.2"/>
    <row r="16442" s="689" customFormat="1" x14ac:dyDescent="0.2"/>
    <row r="16443" s="689" customFormat="1" x14ac:dyDescent="0.2"/>
    <row r="16444" s="689" customFormat="1" x14ac:dyDescent="0.2"/>
    <row r="16445" s="689" customFormat="1" x14ac:dyDescent="0.2"/>
    <row r="16446" s="689" customFormat="1" x14ac:dyDescent="0.2"/>
    <row r="16447" s="689" customFormat="1" x14ac:dyDescent="0.2"/>
    <row r="16448" s="689" customFormat="1" x14ac:dyDescent="0.2"/>
    <row r="16449" s="689" customFormat="1" x14ac:dyDescent="0.2"/>
    <row r="16450" s="689" customFormat="1" x14ac:dyDescent="0.2"/>
    <row r="16451" s="689" customFormat="1" x14ac:dyDescent="0.2"/>
    <row r="16452" s="689" customFormat="1" x14ac:dyDescent="0.2"/>
    <row r="16453" s="689" customFormat="1" x14ac:dyDescent="0.2"/>
    <row r="16454" s="689" customFormat="1" x14ac:dyDescent="0.2"/>
    <row r="16455" s="689" customFormat="1" x14ac:dyDescent="0.2"/>
    <row r="16456" s="689" customFormat="1" x14ac:dyDescent="0.2"/>
    <row r="16457" s="689" customFormat="1" x14ac:dyDescent="0.2"/>
    <row r="16458" s="689" customFormat="1" x14ac:dyDescent="0.2"/>
    <row r="16459" s="689" customFormat="1" x14ac:dyDescent="0.2"/>
    <row r="16460" s="689" customFormat="1" x14ac:dyDescent="0.2"/>
    <row r="16461" s="689" customFormat="1" x14ac:dyDescent="0.2"/>
    <row r="16462" s="689" customFormat="1" x14ac:dyDescent="0.2"/>
    <row r="16463" s="689" customFormat="1" x14ac:dyDescent="0.2"/>
    <row r="16464" s="689" customFormat="1" x14ac:dyDescent="0.2"/>
    <row r="16465" s="689" customFormat="1" x14ac:dyDescent="0.2"/>
    <row r="16466" s="689" customFormat="1" x14ac:dyDescent="0.2"/>
    <row r="16467" s="689" customFormat="1" x14ac:dyDescent="0.2"/>
    <row r="16468" s="689" customFormat="1" x14ac:dyDescent="0.2"/>
    <row r="16469" s="689" customFormat="1" x14ac:dyDescent="0.2"/>
    <row r="16470" s="689" customFormat="1" x14ac:dyDescent="0.2"/>
    <row r="16471" s="689" customFormat="1" x14ac:dyDescent="0.2"/>
    <row r="16472" s="689" customFormat="1" x14ac:dyDescent="0.2"/>
    <row r="16473" s="689" customFormat="1" x14ac:dyDescent="0.2"/>
    <row r="16474" s="689" customFormat="1" x14ac:dyDescent="0.2"/>
    <row r="16475" s="689" customFormat="1" x14ac:dyDescent="0.2"/>
    <row r="16476" s="689" customFormat="1" x14ac:dyDescent="0.2"/>
    <row r="16477" s="689" customFormat="1" x14ac:dyDescent="0.2"/>
    <row r="16478" s="689" customFormat="1" x14ac:dyDescent="0.2"/>
    <row r="16479" s="689" customFormat="1" x14ac:dyDescent="0.2"/>
    <row r="16480" s="689" customFormat="1" x14ac:dyDescent="0.2"/>
    <row r="16481" s="689" customFormat="1" x14ac:dyDescent="0.2"/>
    <row r="16482" s="689" customFormat="1" x14ac:dyDescent="0.2"/>
    <row r="16483" s="689" customFormat="1" x14ac:dyDescent="0.2"/>
    <row r="16484" s="689" customFormat="1" x14ac:dyDescent="0.2"/>
    <row r="16485" s="689" customFormat="1" x14ac:dyDescent="0.2"/>
    <row r="16486" s="689" customFormat="1" x14ac:dyDescent="0.2"/>
    <row r="16487" s="689" customFormat="1" x14ac:dyDescent="0.2"/>
    <row r="16488" s="689" customFormat="1" x14ac:dyDescent="0.2"/>
    <row r="16489" s="689" customFormat="1" x14ac:dyDescent="0.2"/>
    <row r="16490" s="689" customFormat="1" x14ac:dyDescent="0.2"/>
    <row r="16491" s="689" customFormat="1" x14ac:dyDescent="0.2"/>
    <row r="16492" s="689" customFormat="1" x14ac:dyDescent="0.2"/>
    <row r="16493" s="689" customFormat="1" x14ac:dyDescent="0.2"/>
    <row r="16494" s="689" customFormat="1" x14ac:dyDescent="0.2"/>
    <row r="16495" s="689" customFormat="1" x14ac:dyDescent="0.2"/>
    <row r="16496" s="689" customFormat="1" x14ac:dyDescent="0.2"/>
    <row r="16497" s="689" customFormat="1" x14ac:dyDescent="0.2"/>
    <row r="16498" s="689" customFormat="1" x14ac:dyDescent="0.2"/>
    <row r="16499" s="689" customFormat="1" x14ac:dyDescent="0.2"/>
    <row r="16500" s="689" customFormat="1" x14ac:dyDescent="0.2"/>
    <row r="16501" s="689" customFormat="1" x14ac:dyDescent="0.2"/>
    <row r="16502" s="689" customFormat="1" x14ac:dyDescent="0.2"/>
    <row r="16503" s="689" customFormat="1" x14ac:dyDescent="0.2"/>
    <row r="16504" s="689" customFormat="1" x14ac:dyDescent="0.2"/>
    <row r="16505" s="689" customFormat="1" x14ac:dyDescent="0.2"/>
    <row r="16506" s="689" customFormat="1" x14ac:dyDescent="0.2"/>
    <row r="16507" s="689" customFormat="1" x14ac:dyDescent="0.2"/>
    <row r="16508" s="689" customFormat="1" x14ac:dyDescent="0.2"/>
    <row r="16509" s="689" customFormat="1" x14ac:dyDescent="0.2"/>
    <row r="16510" s="689" customFormat="1" x14ac:dyDescent="0.2"/>
    <row r="16511" s="689" customFormat="1" x14ac:dyDescent="0.2"/>
    <row r="16512" s="689" customFormat="1" x14ac:dyDescent="0.2"/>
    <row r="16513" s="689" customFormat="1" x14ac:dyDescent="0.2"/>
    <row r="16514" s="689" customFormat="1" x14ac:dyDescent="0.2"/>
    <row r="16515" s="689" customFormat="1" x14ac:dyDescent="0.2"/>
    <row r="16516" s="689" customFormat="1" x14ac:dyDescent="0.2"/>
    <row r="16517" s="689" customFormat="1" x14ac:dyDescent="0.2"/>
    <row r="16518" s="689" customFormat="1" x14ac:dyDescent="0.2"/>
    <row r="16519" s="689" customFormat="1" x14ac:dyDescent="0.2"/>
    <row r="16520" s="689" customFormat="1" x14ac:dyDescent="0.2"/>
    <row r="16521" s="689" customFormat="1" x14ac:dyDescent="0.2"/>
    <row r="16522" s="689" customFormat="1" x14ac:dyDescent="0.2"/>
    <row r="16523" s="689" customFormat="1" x14ac:dyDescent="0.2"/>
    <row r="16524" s="689" customFormat="1" x14ac:dyDescent="0.2"/>
    <row r="16525" s="689" customFormat="1" x14ac:dyDescent="0.2"/>
    <row r="16526" s="689" customFormat="1" x14ac:dyDescent="0.2"/>
    <row r="16527" s="689" customFormat="1" x14ac:dyDescent="0.2"/>
    <row r="16528" s="689" customFormat="1" x14ac:dyDescent="0.2"/>
    <row r="16529" s="689" customFormat="1" x14ac:dyDescent="0.2"/>
    <row r="16530" s="689" customFormat="1" x14ac:dyDescent="0.2"/>
    <row r="16531" s="689" customFormat="1" x14ac:dyDescent="0.2"/>
    <row r="16532" s="689" customFormat="1" x14ac:dyDescent="0.2"/>
    <row r="16533" s="689" customFormat="1" x14ac:dyDescent="0.2"/>
    <row r="16534" s="689" customFormat="1" x14ac:dyDescent="0.2"/>
    <row r="16535" s="689" customFormat="1" x14ac:dyDescent="0.2"/>
    <row r="16536" s="689" customFormat="1" x14ac:dyDescent="0.2"/>
    <row r="16537" s="689" customFormat="1" x14ac:dyDescent="0.2"/>
    <row r="16538" s="689" customFormat="1" x14ac:dyDescent="0.2"/>
    <row r="16539" s="689" customFormat="1" x14ac:dyDescent="0.2"/>
    <row r="16540" s="689" customFormat="1" x14ac:dyDescent="0.2"/>
    <row r="16541" s="689" customFormat="1" x14ac:dyDescent="0.2"/>
    <row r="16542" s="689" customFormat="1" x14ac:dyDescent="0.2"/>
    <row r="16543" s="689" customFormat="1" x14ac:dyDescent="0.2"/>
    <row r="16544" s="689" customFormat="1" x14ac:dyDescent="0.2"/>
    <row r="16545" s="689" customFormat="1" x14ac:dyDescent="0.2"/>
    <row r="16546" s="689" customFormat="1" x14ac:dyDescent="0.2"/>
    <row r="16547" s="689" customFormat="1" x14ac:dyDescent="0.2"/>
    <row r="16548" s="689" customFormat="1" x14ac:dyDescent="0.2"/>
    <row r="16549" s="689" customFormat="1" x14ac:dyDescent="0.2"/>
    <row r="16550" s="689" customFormat="1" x14ac:dyDescent="0.2"/>
    <row r="16551" s="689" customFormat="1" x14ac:dyDescent="0.2"/>
    <row r="16552" s="689" customFormat="1" x14ac:dyDescent="0.2"/>
    <row r="16553" s="689" customFormat="1" x14ac:dyDescent="0.2"/>
    <row r="16554" s="689" customFormat="1" x14ac:dyDescent="0.2"/>
    <row r="16555" s="689" customFormat="1" x14ac:dyDescent="0.2"/>
    <row r="16556" s="689" customFormat="1" x14ac:dyDescent="0.2"/>
    <row r="16557" s="689" customFormat="1" x14ac:dyDescent="0.2"/>
    <row r="16558" s="689" customFormat="1" x14ac:dyDescent="0.2"/>
    <row r="16559" s="689" customFormat="1" x14ac:dyDescent="0.2"/>
    <row r="16560" s="689" customFormat="1" x14ac:dyDescent="0.2"/>
    <row r="16561" s="689" customFormat="1" x14ac:dyDescent="0.2"/>
    <row r="16562" s="689" customFormat="1" x14ac:dyDescent="0.2"/>
    <row r="16563" s="689" customFormat="1" x14ac:dyDescent="0.2"/>
    <row r="16564" s="689" customFormat="1" x14ac:dyDescent="0.2"/>
    <row r="16565" s="689" customFormat="1" x14ac:dyDescent="0.2"/>
    <row r="16566" s="689" customFormat="1" x14ac:dyDescent="0.2"/>
    <row r="16567" s="689" customFormat="1" x14ac:dyDescent="0.2"/>
    <row r="16568" s="689" customFormat="1" x14ac:dyDescent="0.2"/>
    <row r="16569" s="689" customFormat="1" x14ac:dyDescent="0.2"/>
    <row r="16570" s="689" customFormat="1" x14ac:dyDescent="0.2"/>
    <row r="16571" s="689" customFormat="1" x14ac:dyDescent="0.2"/>
    <row r="16572" s="689" customFormat="1" x14ac:dyDescent="0.2"/>
    <row r="16573" s="689" customFormat="1" x14ac:dyDescent="0.2"/>
    <row r="16574" s="689" customFormat="1" x14ac:dyDescent="0.2"/>
    <row r="16575" s="689" customFormat="1" x14ac:dyDescent="0.2"/>
    <row r="16576" s="689" customFormat="1" x14ac:dyDescent="0.2"/>
    <row r="16577" s="689" customFormat="1" x14ac:dyDescent="0.2"/>
    <row r="16578" s="689" customFormat="1" x14ac:dyDescent="0.2"/>
    <row r="16579" s="689" customFormat="1" x14ac:dyDescent="0.2"/>
    <row r="16580" s="689" customFormat="1" x14ac:dyDescent="0.2"/>
    <row r="16581" s="689" customFormat="1" x14ac:dyDescent="0.2"/>
    <row r="16582" s="689" customFormat="1" x14ac:dyDescent="0.2"/>
    <row r="16583" s="689" customFormat="1" x14ac:dyDescent="0.2"/>
    <row r="16584" s="689" customFormat="1" x14ac:dyDescent="0.2"/>
    <row r="16585" s="689" customFormat="1" x14ac:dyDescent="0.2"/>
    <row r="16586" s="689" customFormat="1" x14ac:dyDescent="0.2"/>
    <row r="16587" s="689" customFormat="1" x14ac:dyDescent="0.2"/>
    <row r="16588" s="689" customFormat="1" x14ac:dyDescent="0.2"/>
    <row r="16589" s="689" customFormat="1" x14ac:dyDescent="0.2"/>
    <row r="16590" s="689" customFormat="1" x14ac:dyDescent="0.2"/>
    <row r="16591" s="689" customFormat="1" x14ac:dyDescent="0.2"/>
    <row r="16592" s="689" customFormat="1" x14ac:dyDescent="0.2"/>
    <row r="16593" s="689" customFormat="1" x14ac:dyDescent="0.2"/>
    <row r="16594" s="689" customFormat="1" x14ac:dyDescent="0.2"/>
    <row r="16595" s="689" customFormat="1" x14ac:dyDescent="0.2"/>
    <row r="16596" s="689" customFormat="1" x14ac:dyDescent="0.2"/>
    <row r="16597" s="689" customFormat="1" x14ac:dyDescent="0.2"/>
    <row r="16598" s="689" customFormat="1" x14ac:dyDescent="0.2"/>
    <row r="16599" s="689" customFormat="1" x14ac:dyDescent="0.2"/>
    <row r="16600" s="689" customFormat="1" x14ac:dyDescent="0.2"/>
    <row r="16601" s="689" customFormat="1" x14ac:dyDescent="0.2"/>
    <row r="16602" s="689" customFormat="1" x14ac:dyDescent="0.2"/>
    <row r="16603" s="689" customFormat="1" x14ac:dyDescent="0.2"/>
    <row r="16604" s="689" customFormat="1" x14ac:dyDescent="0.2"/>
    <row r="16605" s="689" customFormat="1" x14ac:dyDescent="0.2"/>
    <row r="16606" s="689" customFormat="1" x14ac:dyDescent="0.2"/>
    <row r="16607" s="689" customFormat="1" x14ac:dyDescent="0.2"/>
    <row r="16608" s="689" customFormat="1" x14ac:dyDescent="0.2"/>
    <row r="16609" s="689" customFormat="1" x14ac:dyDescent="0.2"/>
    <row r="16610" s="689" customFormat="1" x14ac:dyDescent="0.2"/>
    <row r="16611" s="689" customFormat="1" x14ac:dyDescent="0.2"/>
    <row r="16612" s="689" customFormat="1" x14ac:dyDescent="0.2"/>
    <row r="16613" s="689" customFormat="1" x14ac:dyDescent="0.2"/>
    <row r="16614" s="689" customFormat="1" x14ac:dyDescent="0.2"/>
    <row r="16615" s="689" customFormat="1" x14ac:dyDescent="0.2"/>
    <row r="16616" s="689" customFormat="1" x14ac:dyDescent="0.2"/>
    <row r="16617" s="689" customFormat="1" x14ac:dyDescent="0.2"/>
    <row r="16618" s="689" customFormat="1" x14ac:dyDescent="0.2"/>
    <row r="16619" s="689" customFormat="1" x14ac:dyDescent="0.2"/>
    <row r="16620" s="689" customFormat="1" x14ac:dyDescent="0.2"/>
    <row r="16621" s="689" customFormat="1" x14ac:dyDescent="0.2"/>
    <row r="16622" s="689" customFormat="1" x14ac:dyDescent="0.2"/>
    <row r="16623" s="689" customFormat="1" x14ac:dyDescent="0.2"/>
    <row r="16624" s="689" customFormat="1" x14ac:dyDescent="0.2"/>
    <row r="16625" s="689" customFormat="1" x14ac:dyDescent="0.2"/>
    <row r="16626" s="689" customFormat="1" x14ac:dyDescent="0.2"/>
    <row r="16627" s="689" customFormat="1" x14ac:dyDescent="0.2"/>
    <row r="16628" s="689" customFormat="1" x14ac:dyDescent="0.2"/>
    <row r="16629" s="689" customFormat="1" x14ac:dyDescent="0.2"/>
    <row r="16630" s="689" customFormat="1" x14ac:dyDescent="0.2"/>
    <row r="16631" s="689" customFormat="1" x14ac:dyDescent="0.2"/>
    <row r="16632" s="689" customFormat="1" x14ac:dyDescent="0.2"/>
    <row r="16633" s="689" customFormat="1" x14ac:dyDescent="0.2"/>
    <row r="16634" s="689" customFormat="1" x14ac:dyDescent="0.2"/>
    <row r="16635" s="689" customFormat="1" x14ac:dyDescent="0.2"/>
    <row r="16636" s="689" customFormat="1" x14ac:dyDescent="0.2"/>
    <row r="16637" s="689" customFormat="1" x14ac:dyDescent="0.2"/>
    <row r="16638" s="689" customFormat="1" x14ac:dyDescent="0.2"/>
    <row r="16639" s="689" customFormat="1" x14ac:dyDescent="0.2"/>
    <row r="16640" s="689" customFormat="1" x14ac:dyDescent="0.2"/>
    <row r="16641" s="689" customFormat="1" x14ac:dyDescent="0.2"/>
    <row r="16642" s="689" customFormat="1" x14ac:dyDescent="0.2"/>
    <row r="16643" s="689" customFormat="1" x14ac:dyDescent="0.2"/>
    <row r="16644" s="689" customFormat="1" x14ac:dyDescent="0.2"/>
    <row r="16645" s="689" customFormat="1" x14ac:dyDescent="0.2"/>
    <row r="16646" s="689" customFormat="1" x14ac:dyDescent="0.2"/>
    <row r="16647" s="689" customFormat="1" x14ac:dyDescent="0.2"/>
    <row r="16648" s="689" customFormat="1" x14ac:dyDescent="0.2"/>
    <row r="16649" s="689" customFormat="1" x14ac:dyDescent="0.2"/>
    <row r="16650" s="689" customFormat="1" x14ac:dyDescent="0.2"/>
    <row r="16651" s="689" customFormat="1" x14ac:dyDescent="0.2"/>
    <row r="16652" s="689" customFormat="1" x14ac:dyDescent="0.2"/>
    <row r="16653" s="689" customFormat="1" x14ac:dyDescent="0.2"/>
    <row r="16654" s="689" customFormat="1" x14ac:dyDescent="0.2"/>
    <row r="16655" s="689" customFormat="1" x14ac:dyDescent="0.2"/>
    <row r="16656" s="689" customFormat="1" x14ac:dyDescent="0.2"/>
    <row r="16657" s="689" customFormat="1" x14ac:dyDescent="0.2"/>
    <row r="16658" s="689" customFormat="1" x14ac:dyDescent="0.2"/>
    <row r="16659" s="689" customFormat="1" x14ac:dyDescent="0.2"/>
    <row r="16660" s="689" customFormat="1" x14ac:dyDescent="0.2"/>
    <row r="16661" s="689" customFormat="1" x14ac:dyDescent="0.2"/>
    <row r="16662" s="689" customFormat="1" x14ac:dyDescent="0.2"/>
    <row r="16663" s="689" customFormat="1" x14ac:dyDescent="0.2"/>
    <row r="16664" s="689" customFormat="1" x14ac:dyDescent="0.2"/>
    <row r="16665" s="689" customFormat="1" x14ac:dyDescent="0.2"/>
    <row r="16666" s="689" customFormat="1" x14ac:dyDescent="0.2"/>
    <row r="16667" s="689" customFormat="1" x14ac:dyDescent="0.2"/>
    <row r="16668" s="689" customFormat="1" x14ac:dyDescent="0.2"/>
    <row r="16669" s="689" customFormat="1" x14ac:dyDescent="0.2"/>
    <row r="16670" s="689" customFormat="1" x14ac:dyDescent="0.2"/>
    <row r="16671" s="689" customFormat="1" x14ac:dyDescent="0.2"/>
    <row r="16672" s="689" customFormat="1" x14ac:dyDescent="0.2"/>
    <row r="16673" s="689" customFormat="1" x14ac:dyDescent="0.2"/>
    <row r="16674" s="689" customFormat="1" x14ac:dyDescent="0.2"/>
    <row r="16675" s="689" customFormat="1" x14ac:dyDescent="0.2"/>
    <row r="16676" s="689" customFormat="1" x14ac:dyDescent="0.2"/>
    <row r="16677" s="689" customFormat="1" x14ac:dyDescent="0.2"/>
    <row r="16678" s="689" customFormat="1" x14ac:dyDescent="0.2"/>
    <row r="16679" s="689" customFormat="1" x14ac:dyDescent="0.2"/>
    <row r="16680" s="689" customFormat="1" x14ac:dyDescent="0.2"/>
    <row r="16681" s="689" customFormat="1" x14ac:dyDescent="0.2"/>
    <row r="16682" s="689" customFormat="1" x14ac:dyDescent="0.2"/>
    <row r="16683" s="689" customFormat="1" x14ac:dyDescent="0.2"/>
    <row r="16684" s="689" customFormat="1" x14ac:dyDescent="0.2"/>
    <row r="16685" s="689" customFormat="1" x14ac:dyDescent="0.2"/>
    <row r="16686" s="689" customFormat="1" x14ac:dyDescent="0.2"/>
    <row r="16687" s="689" customFormat="1" x14ac:dyDescent="0.2"/>
    <row r="16688" s="689" customFormat="1" x14ac:dyDescent="0.2"/>
    <row r="16689" s="689" customFormat="1" x14ac:dyDescent="0.2"/>
    <row r="16690" s="689" customFormat="1" x14ac:dyDescent="0.2"/>
    <row r="16691" s="689" customFormat="1" x14ac:dyDescent="0.2"/>
    <row r="16692" s="689" customFormat="1" x14ac:dyDescent="0.2"/>
    <row r="16693" s="689" customFormat="1" x14ac:dyDescent="0.2"/>
    <row r="16694" s="689" customFormat="1" x14ac:dyDescent="0.2"/>
    <row r="16695" s="689" customFormat="1" x14ac:dyDescent="0.2"/>
    <row r="16696" s="689" customFormat="1" x14ac:dyDescent="0.2"/>
    <row r="16697" s="689" customFormat="1" x14ac:dyDescent="0.2"/>
    <row r="16698" s="689" customFormat="1" x14ac:dyDescent="0.2"/>
    <row r="16699" s="689" customFormat="1" x14ac:dyDescent="0.2"/>
    <row r="16700" s="689" customFormat="1" x14ac:dyDescent="0.2"/>
    <row r="16701" s="689" customFormat="1" x14ac:dyDescent="0.2"/>
    <row r="16702" s="689" customFormat="1" x14ac:dyDescent="0.2"/>
    <row r="16703" s="689" customFormat="1" x14ac:dyDescent="0.2"/>
    <row r="16704" s="689" customFormat="1" x14ac:dyDescent="0.2"/>
    <row r="16705" s="689" customFormat="1" x14ac:dyDescent="0.2"/>
    <row r="16706" s="689" customFormat="1" x14ac:dyDescent="0.2"/>
    <row r="16707" s="689" customFormat="1" x14ac:dyDescent="0.2"/>
    <row r="16708" s="689" customFormat="1" x14ac:dyDescent="0.2"/>
    <row r="16709" s="689" customFormat="1" x14ac:dyDescent="0.2"/>
    <row r="16710" s="689" customFormat="1" x14ac:dyDescent="0.2"/>
    <row r="16711" s="689" customFormat="1" x14ac:dyDescent="0.2"/>
    <row r="16712" s="689" customFormat="1" x14ac:dyDescent="0.2"/>
    <row r="16713" s="689" customFormat="1" x14ac:dyDescent="0.2"/>
    <row r="16714" s="689" customFormat="1" x14ac:dyDescent="0.2"/>
    <row r="16715" s="689" customFormat="1" x14ac:dyDescent="0.2"/>
    <row r="16716" s="689" customFormat="1" x14ac:dyDescent="0.2"/>
    <row r="16717" s="689" customFormat="1" x14ac:dyDescent="0.2"/>
    <row r="16718" s="689" customFormat="1" x14ac:dyDescent="0.2"/>
    <row r="16719" s="689" customFormat="1" x14ac:dyDescent="0.2"/>
    <row r="16720" s="689" customFormat="1" x14ac:dyDescent="0.2"/>
    <row r="16721" s="689" customFormat="1" x14ac:dyDescent="0.2"/>
    <row r="16722" s="689" customFormat="1" x14ac:dyDescent="0.2"/>
    <row r="16723" s="689" customFormat="1" x14ac:dyDescent="0.2"/>
    <row r="16724" s="689" customFormat="1" x14ac:dyDescent="0.2"/>
    <row r="16725" s="689" customFormat="1" x14ac:dyDescent="0.2"/>
    <row r="16726" s="689" customFormat="1" x14ac:dyDescent="0.2"/>
    <row r="16727" s="689" customFormat="1" x14ac:dyDescent="0.2"/>
    <row r="16728" s="689" customFormat="1" x14ac:dyDescent="0.2"/>
    <row r="16729" s="689" customFormat="1" x14ac:dyDescent="0.2"/>
    <row r="16730" s="689" customFormat="1" x14ac:dyDescent="0.2"/>
    <row r="16731" s="689" customFormat="1" x14ac:dyDescent="0.2"/>
    <row r="16732" s="689" customFormat="1" x14ac:dyDescent="0.2"/>
    <row r="16733" s="689" customFormat="1" x14ac:dyDescent="0.2"/>
    <row r="16734" s="689" customFormat="1" x14ac:dyDescent="0.2"/>
    <row r="16735" s="689" customFormat="1" x14ac:dyDescent="0.2"/>
    <row r="16736" s="689" customFormat="1" x14ac:dyDescent="0.2"/>
    <row r="16737" s="689" customFormat="1" x14ac:dyDescent="0.2"/>
    <row r="16738" s="689" customFormat="1" x14ac:dyDescent="0.2"/>
    <row r="16739" s="689" customFormat="1" x14ac:dyDescent="0.2"/>
    <row r="16740" s="689" customFormat="1" x14ac:dyDescent="0.2"/>
    <row r="16741" s="689" customFormat="1" x14ac:dyDescent="0.2"/>
    <row r="16742" s="689" customFormat="1" x14ac:dyDescent="0.2"/>
    <row r="16743" s="689" customFormat="1" x14ac:dyDescent="0.2"/>
    <row r="16744" s="689" customFormat="1" x14ac:dyDescent="0.2"/>
    <row r="16745" s="689" customFormat="1" x14ac:dyDescent="0.2"/>
    <row r="16746" s="689" customFormat="1" x14ac:dyDescent="0.2"/>
    <row r="16747" s="689" customFormat="1" x14ac:dyDescent="0.2"/>
    <row r="16748" s="689" customFormat="1" x14ac:dyDescent="0.2"/>
    <row r="16749" s="689" customFormat="1" x14ac:dyDescent="0.2"/>
    <row r="16750" s="689" customFormat="1" x14ac:dyDescent="0.2"/>
    <row r="16751" s="689" customFormat="1" x14ac:dyDescent="0.2"/>
    <row r="16752" s="689" customFormat="1" x14ac:dyDescent="0.2"/>
    <row r="16753" s="689" customFormat="1" x14ac:dyDescent="0.2"/>
    <row r="16754" s="689" customFormat="1" x14ac:dyDescent="0.2"/>
    <row r="16755" s="689" customFormat="1" x14ac:dyDescent="0.2"/>
    <row r="16756" s="689" customFormat="1" x14ac:dyDescent="0.2"/>
    <row r="16757" s="689" customFormat="1" x14ac:dyDescent="0.2"/>
    <row r="16758" s="689" customFormat="1" x14ac:dyDescent="0.2"/>
    <row r="16759" s="689" customFormat="1" x14ac:dyDescent="0.2"/>
    <row r="16760" s="689" customFormat="1" x14ac:dyDescent="0.2"/>
    <row r="16761" s="689" customFormat="1" x14ac:dyDescent="0.2"/>
    <row r="16762" s="689" customFormat="1" x14ac:dyDescent="0.2"/>
    <row r="16763" s="689" customFormat="1" x14ac:dyDescent="0.2"/>
    <row r="16764" s="689" customFormat="1" x14ac:dyDescent="0.2"/>
    <row r="16765" s="689" customFormat="1" x14ac:dyDescent="0.2"/>
    <row r="16766" s="689" customFormat="1" x14ac:dyDescent="0.2"/>
    <row r="16767" s="689" customFormat="1" x14ac:dyDescent="0.2"/>
    <row r="16768" s="689" customFormat="1" x14ac:dyDescent="0.2"/>
    <row r="16769" s="689" customFormat="1" x14ac:dyDescent="0.2"/>
    <row r="16770" s="689" customFormat="1" x14ac:dyDescent="0.2"/>
    <row r="16771" s="689" customFormat="1" x14ac:dyDescent="0.2"/>
    <row r="16772" s="689" customFormat="1" x14ac:dyDescent="0.2"/>
    <row r="16773" s="689" customFormat="1" x14ac:dyDescent="0.2"/>
    <row r="16774" s="689" customFormat="1" x14ac:dyDescent="0.2"/>
    <row r="16775" s="689" customFormat="1" x14ac:dyDescent="0.2"/>
    <row r="16776" s="689" customFormat="1" x14ac:dyDescent="0.2"/>
    <row r="16777" s="689" customFormat="1" x14ac:dyDescent="0.2"/>
    <row r="16778" s="689" customFormat="1" x14ac:dyDescent="0.2"/>
    <row r="16779" s="689" customFormat="1" x14ac:dyDescent="0.2"/>
    <row r="16780" s="689" customFormat="1" x14ac:dyDescent="0.2"/>
    <row r="16781" s="689" customFormat="1" x14ac:dyDescent="0.2"/>
    <row r="16782" s="689" customFormat="1" x14ac:dyDescent="0.2"/>
    <row r="16783" s="689" customFormat="1" x14ac:dyDescent="0.2"/>
    <row r="16784" s="689" customFormat="1" x14ac:dyDescent="0.2"/>
    <row r="16785" s="689" customFormat="1" x14ac:dyDescent="0.2"/>
    <row r="16786" s="689" customFormat="1" x14ac:dyDescent="0.2"/>
    <row r="16787" s="689" customFormat="1" x14ac:dyDescent="0.2"/>
    <row r="16788" s="689" customFormat="1" x14ac:dyDescent="0.2"/>
    <row r="16789" s="689" customFormat="1" x14ac:dyDescent="0.2"/>
    <row r="16790" s="689" customFormat="1" x14ac:dyDescent="0.2"/>
    <row r="16791" s="689" customFormat="1" x14ac:dyDescent="0.2"/>
    <row r="16792" s="689" customFormat="1" x14ac:dyDescent="0.2"/>
    <row r="16793" s="689" customFormat="1" x14ac:dyDescent="0.2"/>
    <row r="16794" s="689" customFormat="1" x14ac:dyDescent="0.2"/>
    <row r="16795" s="689" customFormat="1" x14ac:dyDescent="0.2"/>
    <row r="16796" s="689" customFormat="1" x14ac:dyDescent="0.2"/>
    <row r="16797" s="689" customFormat="1" x14ac:dyDescent="0.2"/>
    <row r="16798" s="689" customFormat="1" x14ac:dyDescent="0.2"/>
    <row r="16799" s="689" customFormat="1" x14ac:dyDescent="0.2"/>
    <row r="16800" s="689" customFormat="1" x14ac:dyDescent="0.2"/>
    <row r="16801" s="689" customFormat="1" x14ac:dyDescent="0.2"/>
    <row r="16802" s="689" customFormat="1" x14ac:dyDescent="0.2"/>
    <row r="16803" s="689" customFormat="1" x14ac:dyDescent="0.2"/>
    <row r="16804" s="689" customFormat="1" x14ac:dyDescent="0.2"/>
    <row r="16805" s="689" customFormat="1" x14ac:dyDescent="0.2"/>
    <row r="16806" s="689" customFormat="1" x14ac:dyDescent="0.2"/>
    <row r="16807" s="689" customFormat="1" x14ac:dyDescent="0.2"/>
    <row r="16808" s="689" customFormat="1" x14ac:dyDescent="0.2"/>
    <row r="16809" s="689" customFormat="1" x14ac:dyDescent="0.2"/>
    <row r="16810" s="689" customFormat="1" x14ac:dyDescent="0.2"/>
    <row r="16811" s="689" customFormat="1" x14ac:dyDescent="0.2"/>
    <row r="16812" s="689" customFormat="1" x14ac:dyDescent="0.2"/>
    <row r="16813" s="689" customFormat="1" x14ac:dyDescent="0.2"/>
    <row r="16814" s="689" customFormat="1" x14ac:dyDescent="0.2"/>
    <row r="16815" s="689" customFormat="1" x14ac:dyDescent="0.2"/>
    <row r="16816" s="689" customFormat="1" x14ac:dyDescent="0.2"/>
    <row r="16817" s="689" customFormat="1" x14ac:dyDescent="0.2"/>
    <row r="16818" s="689" customFormat="1" x14ac:dyDescent="0.2"/>
    <row r="16819" s="689" customFormat="1" x14ac:dyDescent="0.2"/>
    <row r="16820" s="689" customFormat="1" x14ac:dyDescent="0.2"/>
    <row r="16821" s="689" customFormat="1" x14ac:dyDescent="0.2"/>
    <row r="16822" s="689" customFormat="1" x14ac:dyDescent="0.2"/>
    <row r="16823" s="689" customFormat="1" x14ac:dyDescent="0.2"/>
    <row r="16824" s="689" customFormat="1" x14ac:dyDescent="0.2"/>
    <row r="16825" s="689" customFormat="1" x14ac:dyDescent="0.2"/>
    <row r="16826" s="689" customFormat="1" x14ac:dyDescent="0.2"/>
    <row r="16827" s="689" customFormat="1" x14ac:dyDescent="0.2"/>
    <row r="16828" s="689" customFormat="1" x14ac:dyDescent="0.2"/>
    <row r="16829" s="689" customFormat="1" x14ac:dyDescent="0.2"/>
    <row r="16830" s="689" customFormat="1" x14ac:dyDescent="0.2"/>
    <row r="16831" s="689" customFormat="1" x14ac:dyDescent="0.2"/>
    <row r="16832" s="689" customFormat="1" x14ac:dyDescent="0.2"/>
    <row r="16833" s="689" customFormat="1" x14ac:dyDescent="0.2"/>
    <row r="16834" s="689" customFormat="1" x14ac:dyDescent="0.2"/>
    <row r="16835" s="689" customFormat="1" x14ac:dyDescent="0.2"/>
    <row r="16836" s="689" customFormat="1" x14ac:dyDescent="0.2"/>
    <row r="16837" s="689" customFormat="1" x14ac:dyDescent="0.2"/>
    <row r="16838" s="689" customFormat="1" x14ac:dyDescent="0.2"/>
    <row r="16839" s="689" customFormat="1" x14ac:dyDescent="0.2"/>
    <row r="16840" s="689" customFormat="1" x14ac:dyDescent="0.2"/>
    <row r="16841" s="689" customFormat="1" x14ac:dyDescent="0.2"/>
    <row r="16842" s="689" customFormat="1" x14ac:dyDescent="0.2"/>
    <row r="16843" s="689" customFormat="1" x14ac:dyDescent="0.2"/>
    <row r="16844" s="689" customFormat="1" x14ac:dyDescent="0.2"/>
    <row r="16845" s="689" customFormat="1" x14ac:dyDescent="0.2"/>
    <row r="16846" s="689" customFormat="1" x14ac:dyDescent="0.2"/>
    <row r="16847" s="689" customFormat="1" x14ac:dyDescent="0.2"/>
    <row r="16848" s="689" customFormat="1" x14ac:dyDescent="0.2"/>
    <row r="16849" s="689" customFormat="1" x14ac:dyDescent="0.2"/>
    <row r="16850" s="689" customFormat="1" x14ac:dyDescent="0.2"/>
    <row r="16851" s="689" customFormat="1" x14ac:dyDescent="0.2"/>
    <row r="16852" s="689" customFormat="1" x14ac:dyDescent="0.2"/>
    <row r="16853" s="689" customFormat="1" x14ac:dyDescent="0.2"/>
    <row r="16854" s="689" customFormat="1" x14ac:dyDescent="0.2"/>
    <row r="16855" s="689" customFormat="1" x14ac:dyDescent="0.2"/>
    <row r="16856" s="689" customFormat="1" x14ac:dyDescent="0.2"/>
    <row r="16857" s="689" customFormat="1" x14ac:dyDescent="0.2"/>
    <row r="16858" s="689" customFormat="1" x14ac:dyDescent="0.2"/>
    <row r="16859" s="689" customFormat="1" x14ac:dyDescent="0.2"/>
    <row r="16860" s="689" customFormat="1" x14ac:dyDescent="0.2"/>
    <row r="16861" s="689" customFormat="1" x14ac:dyDescent="0.2"/>
    <row r="16862" s="689" customFormat="1" x14ac:dyDescent="0.2"/>
    <row r="16863" s="689" customFormat="1" x14ac:dyDescent="0.2"/>
    <row r="16864" s="689" customFormat="1" x14ac:dyDescent="0.2"/>
    <row r="16865" s="689" customFormat="1" x14ac:dyDescent="0.2"/>
    <row r="16866" s="689" customFormat="1" x14ac:dyDescent="0.2"/>
    <row r="16867" s="689" customFormat="1" x14ac:dyDescent="0.2"/>
    <row r="16868" s="689" customFormat="1" x14ac:dyDescent="0.2"/>
    <row r="16869" s="689" customFormat="1" x14ac:dyDescent="0.2"/>
    <row r="16870" s="689" customFormat="1" x14ac:dyDescent="0.2"/>
    <row r="16871" s="689" customFormat="1" x14ac:dyDescent="0.2"/>
    <row r="16872" s="689" customFormat="1" x14ac:dyDescent="0.2"/>
    <row r="16873" s="689" customFormat="1" x14ac:dyDescent="0.2"/>
    <row r="16874" s="689" customFormat="1" x14ac:dyDescent="0.2"/>
    <row r="16875" s="689" customFormat="1" x14ac:dyDescent="0.2"/>
    <row r="16876" s="689" customFormat="1" x14ac:dyDescent="0.2"/>
    <row r="16877" s="689" customFormat="1" x14ac:dyDescent="0.2"/>
    <row r="16878" s="689" customFormat="1" x14ac:dyDescent="0.2"/>
    <row r="16879" s="689" customFormat="1" x14ac:dyDescent="0.2"/>
    <row r="16880" s="689" customFormat="1" x14ac:dyDescent="0.2"/>
    <row r="16881" s="689" customFormat="1" x14ac:dyDescent="0.2"/>
    <row r="16882" s="689" customFormat="1" x14ac:dyDescent="0.2"/>
    <row r="16883" s="689" customFormat="1" x14ac:dyDescent="0.2"/>
    <row r="16884" s="689" customFormat="1" x14ac:dyDescent="0.2"/>
    <row r="16885" s="689" customFormat="1" x14ac:dyDescent="0.2"/>
    <row r="16886" s="689" customFormat="1" x14ac:dyDescent="0.2"/>
    <row r="16887" s="689" customFormat="1" x14ac:dyDescent="0.2"/>
    <row r="16888" s="689" customFormat="1" x14ac:dyDescent="0.2"/>
    <row r="16889" s="689" customFormat="1" x14ac:dyDescent="0.2"/>
    <row r="16890" s="689" customFormat="1" x14ac:dyDescent="0.2"/>
    <row r="16891" s="689" customFormat="1" x14ac:dyDescent="0.2"/>
    <row r="16892" s="689" customFormat="1" x14ac:dyDescent="0.2"/>
    <row r="16893" s="689" customFormat="1" x14ac:dyDescent="0.2"/>
    <row r="16894" s="689" customFormat="1" x14ac:dyDescent="0.2"/>
    <row r="16895" s="689" customFormat="1" x14ac:dyDescent="0.2"/>
    <row r="16896" s="689" customFormat="1" x14ac:dyDescent="0.2"/>
    <row r="16897" s="689" customFormat="1" x14ac:dyDescent="0.2"/>
    <row r="16898" s="689" customFormat="1" x14ac:dyDescent="0.2"/>
    <row r="16899" s="689" customFormat="1" x14ac:dyDescent="0.2"/>
    <row r="16900" s="689" customFormat="1" x14ac:dyDescent="0.2"/>
    <row r="16901" s="689" customFormat="1" x14ac:dyDescent="0.2"/>
    <row r="16902" s="689" customFormat="1" x14ac:dyDescent="0.2"/>
    <row r="16903" s="689" customFormat="1" x14ac:dyDescent="0.2"/>
    <row r="16904" s="689" customFormat="1" x14ac:dyDescent="0.2"/>
    <row r="16905" s="689" customFormat="1" x14ac:dyDescent="0.2"/>
    <row r="16906" s="689" customFormat="1" x14ac:dyDescent="0.2"/>
    <row r="16907" s="689" customFormat="1" x14ac:dyDescent="0.2"/>
    <row r="16908" s="689" customFormat="1" x14ac:dyDescent="0.2"/>
    <row r="16909" s="689" customFormat="1" x14ac:dyDescent="0.2"/>
    <row r="16910" s="689" customFormat="1" x14ac:dyDescent="0.2"/>
    <row r="16911" s="689" customFormat="1" x14ac:dyDescent="0.2"/>
    <row r="16912" s="689" customFormat="1" x14ac:dyDescent="0.2"/>
    <row r="16913" s="689" customFormat="1" x14ac:dyDescent="0.2"/>
    <row r="16914" s="689" customFormat="1" x14ac:dyDescent="0.2"/>
    <row r="16915" s="689" customFormat="1" x14ac:dyDescent="0.2"/>
    <row r="16916" s="689" customFormat="1" x14ac:dyDescent="0.2"/>
    <row r="16917" s="689" customFormat="1" x14ac:dyDescent="0.2"/>
    <row r="16918" s="689" customFormat="1" x14ac:dyDescent="0.2"/>
    <row r="16919" s="689" customFormat="1" x14ac:dyDescent="0.2"/>
    <row r="16920" s="689" customFormat="1" x14ac:dyDescent="0.2"/>
    <row r="16921" s="689" customFormat="1" x14ac:dyDescent="0.2"/>
    <row r="16922" s="689" customFormat="1" x14ac:dyDescent="0.2"/>
    <row r="16923" s="689" customFormat="1" x14ac:dyDescent="0.2"/>
    <row r="16924" s="689" customFormat="1" x14ac:dyDescent="0.2"/>
    <row r="16925" s="689" customFormat="1" x14ac:dyDescent="0.2"/>
    <row r="16926" s="689" customFormat="1" x14ac:dyDescent="0.2"/>
    <row r="16927" s="689" customFormat="1" x14ac:dyDescent="0.2"/>
    <row r="16928" s="689" customFormat="1" x14ac:dyDescent="0.2"/>
    <row r="16929" s="689" customFormat="1" x14ac:dyDescent="0.2"/>
    <row r="16930" s="689" customFormat="1" x14ac:dyDescent="0.2"/>
    <row r="16931" s="689" customFormat="1" x14ac:dyDescent="0.2"/>
    <row r="16932" s="689" customFormat="1" x14ac:dyDescent="0.2"/>
    <row r="16933" s="689" customFormat="1" x14ac:dyDescent="0.2"/>
    <row r="16934" s="689" customFormat="1" x14ac:dyDescent="0.2"/>
    <row r="16935" s="689" customFormat="1" x14ac:dyDescent="0.2"/>
    <row r="16936" s="689" customFormat="1" x14ac:dyDescent="0.2"/>
    <row r="16937" s="689" customFormat="1" x14ac:dyDescent="0.2"/>
    <row r="16938" s="689" customFormat="1" x14ac:dyDescent="0.2"/>
    <row r="16939" s="689" customFormat="1" x14ac:dyDescent="0.2"/>
    <row r="16940" s="689" customFormat="1" x14ac:dyDescent="0.2"/>
    <row r="16941" s="689" customFormat="1" x14ac:dyDescent="0.2"/>
    <row r="16942" s="689" customFormat="1" x14ac:dyDescent="0.2"/>
    <row r="16943" s="689" customFormat="1" x14ac:dyDescent="0.2"/>
    <row r="16944" s="689" customFormat="1" x14ac:dyDescent="0.2"/>
    <row r="16945" s="689" customFormat="1" x14ac:dyDescent="0.2"/>
    <row r="16946" s="689" customFormat="1" x14ac:dyDescent="0.2"/>
    <row r="16947" s="689" customFormat="1" x14ac:dyDescent="0.2"/>
    <row r="16948" s="689" customFormat="1" x14ac:dyDescent="0.2"/>
    <row r="16949" s="689" customFormat="1" x14ac:dyDescent="0.2"/>
    <row r="16950" s="689" customFormat="1" x14ac:dyDescent="0.2"/>
    <row r="16951" s="689" customFormat="1" x14ac:dyDescent="0.2"/>
    <row r="16952" s="689" customFormat="1" x14ac:dyDescent="0.2"/>
    <row r="16953" s="689" customFormat="1" x14ac:dyDescent="0.2"/>
    <row r="16954" s="689" customFormat="1" x14ac:dyDescent="0.2"/>
    <row r="16955" s="689" customFormat="1" x14ac:dyDescent="0.2"/>
    <row r="16956" s="689" customFormat="1" x14ac:dyDescent="0.2"/>
    <row r="16957" s="689" customFormat="1" x14ac:dyDescent="0.2"/>
    <row r="16958" s="689" customFormat="1" x14ac:dyDescent="0.2"/>
    <row r="16959" s="689" customFormat="1" x14ac:dyDescent="0.2"/>
    <row r="16960" s="689" customFormat="1" x14ac:dyDescent="0.2"/>
    <row r="16961" s="689" customFormat="1" x14ac:dyDescent="0.2"/>
    <row r="16962" s="689" customFormat="1" x14ac:dyDescent="0.2"/>
    <row r="16963" s="689" customFormat="1" x14ac:dyDescent="0.2"/>
    <row r="16964" s="689" customFormat="1" x14ac:dyDescent="0.2"/>
    <row r="16965" s="689" customFormat="1" x14ac:dyDescent="0.2"/>
    <row r="16966" s="689" customFormat="1" x14ac:dyDescent="0.2"/>
    <row r="16967" s="689" customFormat="1" x14ac:dyDescent="0.2"/>
    <row r="16968" s="689" customFormat="1" x14ac:dyDescent="0.2"/>
    <row r="16969" s="689" customFormat="1" x14ac:dyDescent="0.2"/>
    <row r="16970" s="689" customFormat="1" x14ac:dyDescent="0.2"/>
    <row r="16971" s="689" customFormat="1" x14ac:dyDescent="0.2"/>
    <row r="16972" s="689" customFormat="1" x14ac:dyDescent="0.2"/>
    <row r="16973" s="689" customFormat="1" x14ac:dyDescent="0.2"/>
    <row r="16974" s="689" customFormat="1" x14ac:dyDescent="0.2"/>
    <row r="16975" s="689" customFormat="1" x14ac:dyDescent="0.2"/>
    <row r="16976" s="689" customFormat="1" x14ac:dyDescent="0.2"/>
    <row r="16977" s="689" customFormat="1" x14ac:dyDescent="0.2"/>
    <row r="16978" s="689" customFormat="1" x14ac:dyDescent="0.2"/>
    <row r="16979" s="689" customFormat="1" x14ac:dyDescent="0.2"/>
    <row r="16980" s="689" customFormat="1" x14ac:dyDescent="0.2"/>
    <row r="16981" s="689" customFormat="1" x14ac:dyDescent="0.2"/>
    <row r="16982" s="689" customFormat="1" x14ac:dyDescent="0.2"/>
    <row r="16983" s="689" customFormat="1" x14ac:dyDescent="0.2"/>
    <row r="16984" s="689" customFormat="1" x14ac:dyDescent="0.2"/>
    <row r="16985" s="689" customFormat="1" x14ac:dyDescent="0.2"/>
    <row r="16986" s="689" customFormat="1" x14ac:dyDescent="0.2"/>
    <row r="16987" s="689" customFormat="1" x14ac:dyDescent="0.2"/>
    <row r="16988" s="689" customFormat="1" x14ac:dyDescent="0.2"/>
    <row r="16989" s="689" customFormat="1" x14ac:dyDescent="0.2"/>
    <row r="16990" s="689" customFormat="1" x14ac:dyDescent="0.2"/>
    <row r="16991" s="689" customFormat="1" x14ac:dyDescent="0.2"/>
    <row r="16992" s="689" customFormat="1" x14ac:dyDescent="0.2"/>
    <row r="16993" s="689" customFormat="1" x14ac:dyDescent="0.2"/>
    <row r="16994" s="689" customFormat="1" x14ac:dyDescent="0.2"/>
    <row r="16995" s="689" customFormat="1" x14ac:dyDescent="0.2"/>
    <row r="16996" s="689" customFormat="1" x14ac:dyDescent="0.2"/>
    <row r="16997" s="689" customFormat="1" x14ac:dyDescent="0.2"/>
    <row r="16998" s="689" customFormat="1" x14ac:dyDescent="0.2"/>
    <row r="16999" s="689" customFormat="1" x14ac:dyDescent="0.2"/>
    <row r="17000" s="689" customFormat="1" x14ac:dyDescent="0.2"/>
    <row r="17001" s="689" customFormat="1" x14ac:dyDescent="0.2"/>
    <row r="17002" s="689" customFormat="1" x14ac:dyDescent="0.2"/>
    <row r="17003" s="689" customFormat="1" x14ac:dyDescent="0.2"/>
    <row r="17004" s="689" customFormat="1" x14ac:dyDescent="0.2"/>
    <row r="17005" s="689" customFormat="1" x14ac:dyDescent="0.2"/>
    <row r="17006" s="689" customFormat="1" x14ac:dyDescent="0.2"/>
    <row r="17007" s="689" customFormat="1" x14ac:dyDescent="0.2"/>
    <row r="17008" s="689" customFormat="1" x14ac:dyDescent="0.2"/>
    <row r="17009" s="689" customFormat="1" x14ac:dyDescent="0.2"/>
    <row r="17010" s="689" customFormat="1" x14ac:dyDescent="0.2"/>
    <row r="17011" s="689" customFormat="1" x14ac:dyDescent="0.2"/>
    <row r="17012" s="689" customFormat="1" x14ac:dyDescent="0.2"/>
    <row r="17013" s="689" customFormat="1" x14ac:dyDescent="0.2"/>
    <row r="17014" s="689" customFormat="1" x14ac:dyDescent="0.2"/>
    <row r="17015" s="689" customFormat="1" x14ac:dyDescent="0.2"/>
    <row r="17016" s="689" customFormat="1" x14ac:dyDescent="0.2"/>
    <row r="17017" s="689" customFormat="1" x14ac:dyDescent="0.2"/>
    <row r="17018" s="689" customFormat="1" x14ac:dyDescent="0.2"/>
    <row r="17019" s="689" customFormat="1" x14ac:dyDescent="0.2"/>
    <row r="17020" s="689" customFormat="1" x14ac:dyDescent="0.2"/>
    <row r="17021" s="689" customFormat="1" x14ac:dyDescent="0.2"/>
    <row r="17022" s="689" customFormat="1" x14ac:dyDescent="0.2"/>
    <row r="17023" s="689" customFormat="1" x14ac:dyDescent="0.2"/>
    <row r="17024" s="689" customFormat="1" x14ac:dyDescent="0.2"/>
    <row r="17025" s="689" customFormat="1" x14ac:dyDescent="0.2"/>
    <row r="17026" s="689" customFormat="1" x14ac:dyDescent="0.2"/>
    <row r="17027" s="689" customFormat="1" x14ac:dyDescent="0.2"/>
    <row r="17028" s="689" customFormat="1" x14ac:dyDescent="0.2"/>
    <row r="17029" s="689" customFormat="1" x14ac:dyDescent="0.2"/>
    <row r="17030" s="689" customFormat="1" x14ac:dyDescent="0.2"/>
    <row r="17031" s="689" customFormat="1" x14ac:dyDescent="0.2"/>
    <row r="17032" s="689" customFormat="1" x14ac:dyDescent="0.2"/>
    <row r="17033" s="689" customFormat="1" x14ac:dyDescent="0.2"/>
    <row r="17034" s="689" customFormat="1" x14ac:dyDescent="0.2"/>
    <row r="17035" s="689" customFormat="1" x14ac:dyDescent="0.2"/>
    <row r="17036" s="689" customFormat="1" x14ac:dyDescent="0.2"/>
    <row r="17037" s="689" customFormat="1" x14ac:dyDescent="0.2"/>
    <row r="17038" s="689" customFormat="1" x14ac:dyDescent="0.2"/>
    <row r="17039" s="689" customFormat="1" x14ac:dyDescent="0.2"/>
    <row r="17040" s="689" customFormat="1" x14ac:dyDescent="0.2"/>
    <row r="17041" s="689" customFormat="1" x14ac:dyDescent="0.2"/>
    <row r="17042" s="689" customFormat="1" x14ac:dyDescent="0.2"/>
    <row r="17043" s="689" customFormat="1" x14ac:dyDescent="0.2"/>
    <row r="17044" s="689" customFormat="1" x14ac:dyDescent="0.2"/>
    <row r="17045" s="689" customFormat="1" x14ac:dyDescent="0.2"/>
    <row r="17046" s="689" customFormat="1" x14ac:dyDescent="0.2"/>
    <row r="17047" s="689" customFormat="1" x14ac:dyDescent="0.2"/>
    <row r="17048" s="689" customFormat="1" x14ac:dyDescent="0.2"/>
    <row r="17049" s="689" customFormat="1" x14ac:dyDescent="0.2"/>
    <row r="17050" s="689" customFormat="1" x14ac:dyDescent="0.2"/>
    <row r="17051" s="689" customFormat="1" x14ac:dyDescent="0.2"/>
    <row r="17052" s="689" customFormat="1" x14ac:dyDescent="0.2"/>
    <row r="17053" s="689" customFormat="1" x14ac:dyDescent="0.2"/>
    <row r="17054" s="689" customFormat="1" x14ac:dyDescent="0.2"/>
    <row r="17055" s="689" customFormat="1" x14ac:dyDescent="0.2"/>
    <row r="17056" s="689" customFormat="1" x14ac:dyDescent="0.2"/>
    <row r="17057" s="689" customFormat="1" x14ac:dyDescent="0.2"/>
    <row r="17058" s="689" customFormat="1" x14ac:dyDescent="0.2"/>
    <row r="17059" s="689" customFormat="1" x14ac:dyDescent="0.2"/>
    <row r="17060" s="689" customFormat="1" x14ac:dyDescent="0.2"/>
    <row r="17061" s="689" customFormat="1" x14ac:dyDescent="0.2"/>
    <row r="17062" s="689" customFormat="1" x14ac:dyDescent="0.2"/>
    <row r="17063" s="689" customFormat="1" x14ac:dyDescent="0.2"/>
    <row r="17064" s="689" customFormat="1" x14ac:dyDescent="0.2"/>
    <row r="17065" s="689" customFormat="1" x14ac:dyDescent="0.2"/>
    <row r="17066" s="689" customFormat="1" x14ac:dyDescent="0.2"/>
    <row r="17067" s="689" customFormat="1" x14ac:dyDescent="0.2"/>
    <row r="17068" s="689" customFormat="1" x14ac:dyDescent="0.2"/>
    <row r="17069" s="689" customFormat="1" x14ac:dyDescent="0.2"/>
    <row r="17070" s="689" customFormat="1" x14ac:dyDescent="0.2"/>
    <row r="17071" s="689" customFormat="1" x14ac:dyDescent="0.2"/>
    <row r="17072" s="689" customFormat="1" x14ac:dyDescent="0.2"/>
    <row r="17073" s="689" customFormat="1" x14ac:dyDescent="0.2"/>
    <row r="17074" s="689" customFormat="1" x14ac:dyDescent="0.2"/>
    <row r="17075" s="689" customFormat="1" x14ac:dyDescent="0.2"/>
    <row r="17076" s="689" customFormat="1" x14ac:dyDescent="0.2"/>
    <row r="17077" s="689" customFormat="1" x14ac:dyDescent="0.2"/>
    <row r="17078" s="689" customFormat="1" x14ac:dyDescent="0.2"/>
    <row r="17079" s="689" customFormat="1" x14ac:dyDescent="0.2"/>
    <row r="17080" s="689" customFormat="1" x14ac:dyDescent="0.2"/>
    <row r="17081" s="689" customFormat="1" x14ac:dyDescent="0.2"/>
    <row r="17082" s="689" customFormat="1" x14ac:dyDescent="0.2"/>
    <row r="17083" s="689" customFormat="1" x14ac:dyDescent="0.2"/>
    <row r="17084" s="689" customFormat="1" x14ac:dyDescent="0.2"/>
    <row r="17085" s="689" customFormat="1" x14ac:dyDescent="0.2"/>
    <row r="17086" s="689" customFormat="1" x14ac:dyDescent="0.2"/>
    <row r="17087" s="689" customFormat="1" x14ac:dyDescent="0.2"/>
    <row r="17088" s="689" customFormat="1" x14ac:dyDescent="0.2"/>
    <row r="17089" s="689" customFormat="1" x14ac:dyDescent="0.2"/>
    <row r="17090" s="689" customFormat="1" x14ac:dyDescent="0.2"/>
    <row r="17091" s="689" customFormat="1" x14ac:dyDescent="0.2"/>
    <row r="17092" s="689" customFormat="1" x14ac:dyDescent="0.2"/>
    <row r="17093" s="689" customFormat="1" x14ac:dyDescent="0.2"/>
    <row r="17094" s="689" customFormat="1" x14ac:dyDescent="0.2"/>
    <row r="17095" s="689" customFormat="1" x14ac:dyDescent="0.2"/>
    <row r="17096" s="689" customFormat="1" x14ac:dyDescent="0.2"/>
    <row r="17097" s="689" customFormat="1" x14ac:dyDescent="0.2"/>
    <row r="17098" s="689" customFormat="1" x14ac:dyDescent="0.2"/>
    <row r="17099" s="689" customFormat="1" x14ac:dyDescent="0.2"/>
    <row r="17100" s="689" customFormat="1" x14ac:dyDescent="0.2"/>
    <row r="17101" s="689" customFormat="1" x14ac:dyDescent="0.2"/>
    <row r="17102" s="689" customFormat="1" x14ac:dyDescent="0.2"/>
    <row r="17103" s="689" customFormat="1" x14ac:dyDescent="0.2"/>
    <row r="17104" s="689" customFormat="1" x14ac:dyDescent="0.2"/>
    <row r="17105" s="689" customFormat="1" x14ac:dyDescent="0.2"/>
    <row r="17106" s="689" customFormat="1" x14ac:dyDescent="0.2"/>
    <row r="17107" s="689" customFormat="1" x14ac:dyDescent="0.2"/>
    <row r="17108" s="689" customFormat="1" x14ac:dyDescent="0.2"/>
    <row r="17109" s="689" customFormat="1" x14ac:dyDescent="0.2"/>
    <row r="17110" s="689" customFormat="1" x14ac:dyDescent="0.2"/>
    <row r="17111" s="689" customFormat="1" x14ac:dyDescent="0.2"/>
    <row r="17112" s="689" customFormat="1" x14ac:dyDescent="0.2"/>
    <row r="17113" s="689" customFormat="1" x14ac:dyDescent="0.2"/>
    <row r="17114" s="689" customFormat="1" x14ac:dyDescent="0.2"/>
    <row r="17115" s="689" customFormat="1" x14ac:dyDescent="0.2"/>
    <row r="17116" s="689" customFormat="1" x14ac:dyDescent="0.2"/>
    <row r="17117" s="689" customFormat="1" x14ac:dyDescent="0.2"/>
    <row r="17118" s="689" customFormat="1" x14ac:dyDescent="0.2"/>
    <row r="17119" s="689" customFormat="1" x14ac:dyDescent="0.2"/>
    <row r="17120" s="689" customFormat="1" x14ac:dyDescent="0.2"/>
    <row r="17121" s="689" customFormat="1" x14ac:dyDescent="0.2"/>
    <row r="17122" s="689" customFormat="1" x14ac:dyDescent="0.2"/>
    <row r="17123" s="689" customFormat="1" x14ac:dyDescent="0.2"/>
    <row r="17124" s="689" customFormat="1" x14ac:dyDescent="0.2"/>
    <row r="17125" s="689" customFormat="1" x14ac:dyDescent="0.2"/>
    <row r="17126" s="689" customFormat="1" x14ac:dyDescent="0.2"/>
    <row r="17127" s="689" customFormat="1" x14ac:dyDescent="0.2"/>
    <row r="17128" s="689" customFormat="1" x14ac:dyDescent="0.2"/>
    <row r="17129" s="689" customFormat="1" x14ac:dyDescent="0.2"/>
    <row r="17130" s="689" customFormat="1" x14ac:dyDescent="0.2"/>
    <row r="17131" s="689" customFormat="1" x14ac:dyDescent="0.2"/>
    <row r="17132" s="689" customFormat="1" x14ac:dyDescent="0.2"/>
    <row r="17133" s="689" customFormat="1" x14ac:dyDescent="0.2"/>
    <row r="17134" s="689" customFormat="1" x14ac:dyDescent="0.2"/>
    <row r="17135" s="689" customFormat="1" x14ac:dyDescent="0.2"/>
    <row r="17136" s="689" customFormat="1" x14ac:dyDescent="0.2"/>
    <row r="17137" s="689" customFormat="1" x14ac:dyDescent="0.2"/>
    <row r="17138" s="689" customFormat="1" x14ac:dyDescent="0.2"/>
    <row r="17139" s="689" customFormat="1" x14ac:dyDescent="0.2"/>
    <row r="17140" s="689" customFormat="1" x14ac:dyDescent="0.2"/>
    <row r="17141" s="689" customFormat="1" x14ac:dyDescent="0.2"/>
    <row r="17142" s="689" customFormat="1" x14ac:dyDescent="0.2"/>
    <row r="17143" s="689" customFormat="1" x14ac:dyDescent="0.2"/>
    <row r="17144" s="689" customFormat="1" x14ac:dyDescent="0.2"/>
    <row r="17145" s="689" customFormat="1" x14ac:dyDescent="0.2"/>
    <row r="17146" s="689" customFormat="1" x14ac:dyDescent="0.2"/>
    <row r="17147" s="689" customFormat="1" x14ac:dyDescent="0.2"/>
    <row r="17148" s="689" customFormat="1" x14ac:dyDescent="0.2"/>
    <row r="17149" s="689" customFormat="1" x14ac:dyDescent="0.2"/>
    <row r="17150" s="689" customFormat="1" x14ac:dyDescent="0.2"/>
    <row r="17151" s="689" customFormat="1" x14ac:dyDescent="0.2"/>
    <row r="17152" s="689" customFormat="1" x14ac:dyDescent="0.2"/>
    <row r="17153" s="689" customFormat="1" x14ac:dyDescent="0.2"/>
    <row r="17154" s="689" customFormat="1" x14ac:dyDescent="0.2"/>
    <row r="17155" s="689" customFormat="1" x14ac:dyDescent="0.2"/>
    <row r="17156" s="689" customFormat="1" x14ac:dyDescent="0.2"/>
    <row r="17157" s="689" customFormat="1" x14ac:dyDescent="0.2"/>
    <row r="17158" s="689" customFormat="1" x14ac:dyDescent="0.2"/>
    <row r="17159" s="689" customFormat="1" x14ac:dyDescent="0.2"/>
    <row r="17160" s="689" customFormat="1" x14ac:dyDescent="0.2"/>
    <row r="17161" s="689" customFormat="1" x14ac:dyDescent="0.2"/>
    <row r="17162" s="689" customFormat="1" x14ac:dyDescent="0.2"/>
    <row r="17163" s="689" customFormat="1" x14ac:dyDescent="0.2"/>
    <row r="17164" s="689" customFormat="1" x14ac:dyDescent="0.2"/>
    <row r="17165" s="689" customFormat="1" x14ac:dyDescent="0.2"/>
    <row r="17166" s="689" customFormat="1" x14ac:dyDescent="0.2"/>
    <row r="17167" s="689" customFormat="1" x14ac:dyDescent="0.2"/>
    <row r="17168" s="689" customFormat="1" x14ac:dyDescent="0.2"/>
    <row r="17169" s="689" customFormat="1" x14ac:dyDescent="0.2"/>
    <row r="17170" s="689" customFormat="1" x14ac:dyDescent="0.2"/>
    <row r="17171" s="689" customFormat="1" x14ac:dyDescent="0.2"/>
    <row r="17172" s="689" customFormat="1" x14ac:dyDescent="0.2"/>
    <row r="17173" s="689" customFormat="1" x14ac:dyDescent="0.2"/>
    <row r="17174" s="689" customFormat="1" x14ac:dyDescent="0.2"/>
    <row r="17175" s="689" customFormat="1" x14ac:dyDescent="0.2"/>
    <row r="17176" s="689" customFormat="1" x14ac:dyDescent="0.2"/>
    <row r="17177" s="689" customFormat="1" x14ac:dyDescent="0.2"/>
    <row r="17178" s="689" customFormat="1" x14ac:dyDescent="0.2"/>
    <row r="17179" s="689" customFormat="1" x14ac:dyDescent="0.2"/>
    <row r="17180" s="689" customFormat="1" x14ac:dyDescent="0.2"/>
    <row r="17181" s="689" customFormat="1" x14ac:dyDescent="0.2"/>
    <row r="17182" s="689" customFormat="1" x14ac:dyDescent="0.2"/>
    <row r="17183" s="689" customFormat="1" x14ac:dyDescent="0.2"/>
    <row r="17184" s="689" customFormat="1" x14ac:dyDescent="0.2"/>
    <row r="17185" s="689" customFormat="1" x14ac:dyDescent="0.2"/>
    <row r="17186" s="689" customFormat="1" x14ac:dyDescent="0.2"/>
    <row r="17187" s="689" customFormat="1" x14ac:dyDescent="0.2"/>
    <row r="17188" s="689" customFormat="1" x14ac:dyDescent="0.2"/>
    <row r="17189" s="689" customFormat="1" x14ac:dyDescent="0.2"/>
    <row r="17190" s="689" customFormat="1" x14ac:dyDescent="0.2"/>
    <row r="17191" s="689" customFormat="1" x14ac:dyDescent="0.2"/>
    <row r="17192" s="689" customFormat="1" x14ac:dyDescent="0.2"/>
    <row r="17193" s="689" customFormat="1" x14ac:dyDescent="0.2"/>
    <row r="17194" s="689" customFormat="1" x14ac:dyDescent="0.2"/>
    <row r="17195" s="689" customFormat="1" x14ac:dyDescent="0.2"/>
    <row r="17196" s="689" customFormat="1" x14ac:dyDescent="0.2"/>
    <row r="17197" s="689" customFormat="1" x14ac:dyDescent="0.2"/>
    <row r="17198" s="689" customFormat="1" x14ac:dyDescent="0.2"/>
    <row r="17199" s="689" customFormat="1" x14ac:dyDescent="0.2"/>
    <row r="17200" s="689" customFormat="1" x14ac:dyDescent="0.2"/>
    <row r="17201" s="689" customFormat="1" x14ac:dyDescent="0.2"/>
    <row r="17202" s="689" customFormat="1" x14ac:dyDescent="0.2"/>
    <row r="17203" s="689" customFormat="1" x14ac:dyDescent="0.2"/>
    <row r="17204" s="689" customFormat="1" x14ac:dyDescent="0.2"/>
    <row r="17205" s="689" customFormat="1" x14ac:dyDescent="0.2"/>
    <row r="17206" s="689" customFormat="1" x14ac:dyDescent="0.2"/>
    <row r="17207" s="689" customFormat="1" x14ac:dyDescent="0.2"/>
    <row r="17208" s="689" customFormat="1" x14ac:dyDescent="0.2"/>
    <row r="17209" s="689" customFormat="1" x14ac:dyDescent="0.2"/>
    <row r="17210" s="689" customFormat="1" x14ac:dyDescent="0.2"/>
    <row r="17211" s="689" customFormat="1" x14ac:dyDescent="0.2"/>
    <row r="17212" s="689" customFormat="1" x14ac:dyDescent="0.2"/>
    <row r="17213" s="689" customFormat="1" x14ac:dyDescent="0.2"/>
    <row r="17214" s="689" customFormat="1" x14ac:dyDescent="0.2"/>
    <row r="17215" s="689" customFormat="1" x14ac:dyDescent="0.2"/>
    <row r="17216" s="689" customFormat="1" x14ac:dyDescent="0.2"/>
    <row r="17217" s="689" customFormat="1" x14ac:dyDescent="0.2"/>
    <row r="17218" s="689" customFormat="1" x14ac:dyDescent="0.2"/>
    <row r="17219" s="689" customFormat="1" x14ac:dyDescent="0.2"/>
    <row r="17220" s="689" customFormat="1" x14ac:dyDescent="0.2"/>
    <row r="17221" s="689" customFormat="1" x14ac:dyDescent="0.2"/>
    <row r="17222" s="689" customFormat="1" x14ac:dyDescent="0.2"/>
    <row r="17223" s="689" customFormat="1" x14ac:dyDescent="0.2"/>
    <row r="17224" s="689" customFormat="1" x14ac:dyDescent="0.2"/>
    <row r="17225" s="689" customFormat="1" x14ac:dyDescent="0.2"/>
    <row r="17226" s="689" customFormat="1" x14ac:dyDescent="0.2"/>
    <row r="17227" s="689" customFormat="1" x14ac:dyDescent="0.2"/>
    <row r="17228" s="689" customFormat="1" x14ac:dyDescent="0.2"/>
    <row r="17229" s="689" customFormat="1" x14ac:dyDescent="0.2"/>
    <row r="17230" s="689" customFormat="1" x14ac:dyDescent="0.2"/>
    <row r="17231" s="689" customFormat="1" x14ac:dyDescent="0.2"/>
    <row r="17232" s="689" customFormat="1" x14ac:dyDescent="0.2"/>
    <row r="17233" s="689" customFormat="1" x14ac:dyDescent="0.2"/>
    <row r="17234" s="689" customFormat="1" x14ac:dyDescent="0.2"/>
    <row r="17235" s="689" customFormat="1" x14ac:dyDescent="0.2"/>
    <row r="17236" s="689" customFormat="1" x14ac:dyDescent="0.2"/>
    <row r="17237" s="689" customFormat="1" x14ac:dyDescent="0.2"/>
    <row r="17238" s="689" customFormat="1" x14ac:dyDescent="0.2"/>
    <row r="17239" s="689" customFormat="1" x14ac:dyDescent="0.2"/>
    <row r="17240" s="689" customFormat="1" x14ac:dyDescent="0.2"/>
    <row r="17241" s="689" customFormat="1" x14ac:dyDescent="0.2"/>
    <row r="17242" s="689" customFormat="1" x14ac:dyDescent="0.2"/>
    <row r="17243" s="689" customFormat="1" x14ac:dyDescent="0.2"/>
    <row r="17244" s="689" customFormat="1" x14ac:dyDescent="0.2"/>
    <row r="17245" s="689" customFormat="1" x14ac:dyDescent="0.2"/>
    <row r="17246" s="689" customFormat="1" x14ac:dyDescent="0.2"/>
    <row r="17247" s="689" customFormat="1" x14ac:dyDescent="0.2"/>
    <row r="17248" s="689" customFormat="1" x14ac:dyDescent="0.2"/>
    <row r="17249" s="689" customFormat="1" x14ac:dyDescent="0.2"/>
    <row r="17250" s="689" customFormat="1" x14ac:dyDescent="0.2"/>
    <row r="17251" s="689" customFormat="1" x14ac:dyDescent="0.2"/>
    <row r="17252" s="689" customFormat="1" x14ac:dyDescent="0.2"/>
    <row r="17253" s="689" customFormat="1" x14ac:dyDescent="0.2"/>
    <row r="17254" s="689" customFormat="1" x14ac:dyDescent="0.2"/>
    <row r="17255" s="689" customFormat="1" x14ac:dyDescent="0.2"/>
    <row r="17256" s="689" customFormat="1" x14ac:dyDescent="0.2"/>
    <row r="17257" s="689" customFormat="1" x14ac:dyDescent="0.2"/>
    <row r="17258" s="689" customFormat="1" x14ac:dyDescent="0.2"/>
    <row r="17259" s="689" customFormat="1" x14ac:dyDescent="0.2"/>
    <row r="17260" s="689" customFormat="1" x14ac:dyDescent="0.2"/>
    <row r="17261" s="689" customFormat="1" x14ac:dyDescent="0.2"/>
    <row r="17262" s="689" customFormat="1" x14ac:dyDescent="0.2"/>
    <row r="17263" s="689" customFormat="1" x14ac:dyDescent="0.2"/>
    <row r="17264" s="689" customFormat="1" x14ac:dyDescent="0.2"/>
    <row r="17265" s="689" customFormat="1" x14ac:dyDescent="0.2"/>
    <row r="17266" s="689" customFormat="1" x14ac:dyDescent="0.2"/>
    <row r="17267" s="689" customFormat="1" x14ac:dyDescent="0.2"/>
    <row r="17268" s="689" customFormat="1" x14ac:dyDescent="0.2"/>
    <row r="17269" s="689" customFormat="1" x14ac:dyDescent="0.2"/>
    <row r="17270" s="689" customFormat="1" x14ac:dyDescent="0.2"/>
    <row r="17271" s="689" customFormat="1" x14ac:dyDescent="0.2"/>
    <row r="17272" s="689" customFormat="1" x14ac:dyDescent="0.2"/>
    <row r="17273" s="689" customFormat="1" x14ac:dyDescent="0.2"/>
    <row r="17274" s="689" customFormat="1" x14ac:dyDescent="0.2"/>
    <row r="17275" s="689" customFormat="1" x14ac:dyDescent="0.2"/>
    <row r="17276" s="689" customFormat="1" x14ac:dyDescent="0.2"/>
    <row r="17277" s="689" customFormat="1" x14ac:dyDescent="0.2"/>
    <row r="17278" s="689" customFormat="1" x14ac:dyDescent="0.2"/>
    <row r="17279" s="689" customFormat="1" x14ac:dyDescent="0.2"/>
    <row r="17280" s="689" customFormat="1" x14ac:dyDescent="0.2"/>
    <row r="17281" s="689" customFormat="1" x14ac:dyDescent="0.2"/>
    <row r="17282" s="689" customFormat="1" x14ac:dyDescent="0.2"/>
    <row r="17283" s="689" customFormat="1" x14ac:dyDescent="0.2"/>
    <row r="17284" s="689" customFormat="1" x14ac:dyDescent="0.2"/>
    <row r="17285" s="689" customFormat="1" x14ac:dyDescent="0.2"/>
    <row r="17286" s="689" customFormat="1" x14ac:dyDescent="0.2"/>
    <row r="17287" s="689" customFormat="1" x14ac:dyDescent="0.2"/>
    <row r="17288" s="689" customFormat="1" x14ac:dyDescent="0.2"/>
    <row r="17289" s="689" customFormat="1" x14ac:dyDescent="0.2"/>
    <row r="17290" s="689" customFormat="1" x14ac:dyDescent="0.2"/>
    <row r="17291" s="689" customFormat="1" x14ac:dyDescent="0.2"/>
    <row r="17292" s="689" customFormat="1" x14ac:dyDescent="0.2"/>
    <row r="17293" s="689" customFormat="1" x14ac:dyDescent="0.2"/>
    <row r="17294" s="689" customFormat="1" x14ac:dyDescent="0.2"/>
    <row r="17295" s="689" customFormat="1" x14ac:dyDescent="0.2"/>
    <row r="17296" s="689" customFormat="1" x14ac:dyDescent="0.2"/>
    <row r="17297" s="689" customFormat="1" x14ac:dyDescent="0.2"/>
    <row r="17298" s="689" customFormat="1" x14ac:dyDescent="0.2"/>
    <row r="17299" s="689" customFormat="1" x14ac:dyDescent="0.2"/>
    <row r="17300" s="689" customFormat="1" x14ac:dyDescent="0.2"/>
    <row r="17301" s="689" customFormat="1" x14ac:dyDescent="0.2"/>
    <row r="17302" s="689" customFormat="1" x14ac:dyDescent="0.2"/>
    <row r="17303" s="689" customFormat="1" x14ac:dyDescent="0.2"/>
    <row r="17304" s="689" customFormat="1" x14ac:dyDescent="0.2"/>
    <row r="17305" s="689" customFormat="1" x14ac:dyDescent="0.2"/>
    <row r="17306" s="689" customFormat="1" x14ac:dyDescent="0.2"/>
    <row r="17307" s="689" customFormat="1" x14ac:dyDescent="0.2"/>
    <row r="17308" s="689" customFormat="1" x14ac:dyDescent="0.2"/>
    <row r="17309" s="689" customFormat="1" x14ac:dyDescent="0.2"/>
    <row r="17310" s="689" customFormat="1" x14ac:dyDescent="0.2"/>
    <row r="17311" s="689" customFormat="1" x14ac:dyDescent="0.2"/>
    <row r="17312" s="689" customFormat="1" x14ac:dyDescent="0.2"/>
    <row r="17313" s="689" customFormat="1" x14ac:dyDescent="0.2"/>
    <row r="17314" s="689" customFormat="1" x14ac:dyDescent="0.2"/>
    <row r="17315" s="689" customFormat="1" x14ac:dyDescent="0.2"/>
    <row r="17316" s="689" customFormat="1" x14ac:dyDescent="0.2"/>
    <row r="17317" s="689" customFormat="1" x14ac:dyDescent="0.2"/>
    <row r="17318" s="689" customFormat="1" x14ac:dyDescent="0.2"/>
    <row r="17319" s="689" customFormat="1" x14ac:dyDescent="0.2"/>
    <row r="17320" s="689" customFormat="1" x14ac:dyDescent="0.2"/>
    <row r="17321" s="689" customFormat="1" x14ac:dyDescent="0.2"/>
    <row r="17322" s="689" customFormat="1" x14ac:dyDescent="0.2"/>
    <row r="17323" s="689" customFormat="1" x14ac:dyDescent="0.2"/>
    <row r="17324" s="689" customFormat="1" x14ac:dyDescent="0.2"/>
    <row r="17325" s="689" customFormat="1" x14ac:dyDescent="0.2"/>
    <row r="17326" s="689" customFormat="1" x14ac:dyDescent="0.2"/>
    <row r="17327" s="689" customFormat="1" x14ac:dyDescent="0.2"/>
    <row r="17328" s="689" customFormat="1" x14ac:dyDescent="0.2"/>
    <row r="17329" s="689" customFormat="1" x14ac:dyDescent="0.2"/>
    <row r="17330" s="689" customFormat="1" x14ac:dyDescent="0.2"/>
    <row r="17331" s="689" customFormat="1" x14ac:dyDescent="0.2"/>
    <row r="17332" s="689" customFormat="1" x14ac:dyDescent="0.2"/>
    <row r="17333" s="689" customFormat="1" x14ac:dyDescent="0.2"/>
    <row r="17334" s="689" customFormat="1" x14ac:dyDescent="0.2"/>
    <row r="17335" s="689" customFormat="1" x14ac:dyDescent="0.2"/>
    <row r="17336" s="689" customFormat="1" x14ac:dyDescent="0.2"/>
    <row r="17337" s="689" customFormat="1" x14ac:dyDescent="0.2"/>
    <row r="17338" s="689" customFormat="1" x14ac:dyDescent="0.2"/>
    <row r="17339" s="689" customFormat="1" x14ac:dyDescent="0.2"/>
    <row r="17340" s="689" customFormat="1" x14ac:dyDescent="0.2"/>
    <row r="17341" s="689" customFormat="1" x14ac:dyDescent="0.2"/>
    <row r="17342" s="689" customFormat="1" x14ac:dyDescent="0.2"/>
    <row r="17343" s="689" customFormat="1" x14ac:dyDescent="0.2"/>
    <row r="17344" s="689" customFormat="1" x14ac:dyDescent="0.2"/>
    <row r="17345" s="689" customFormat="1" x14ac:dyDescent="0.2"/>
    <row r="17346" s="689" customFormat="1" x14ac:dyDescent="0.2"/>
    <row r="17347" s="689" customFormat="1" x14ac:dyDescent="0.2"/>
    <row r="17348" s="689" customFormat="1" x14ac:dyDescent="0.2"/>
    <row r="17349" s="689" customFormat="1" x14ac:dyDescent="0.2"/>
    <row r="17350" s="689" customFormat="1" x14ac:dyDescent="0.2"/>
    <row r="17351" s="689" customFormat="1" x14ac:dyDescent="0.2"/>
    <row r="17352" s="689" customFormat="1" x14ac:dyDescent="0.2"/>
    <row r="17353" s="689" customFormat="1" x14ac:dyDescent="0.2"/>
    <row r="17354" s="689" customFormat="1" x14ac:dyDescent="0.2"/>
    <row r="17355" s="689" customFormat="1" x14ac:dyDescent="0.2"/>
    <row r="17356" s="689" customFormat="1" x14ac:dyDescent="0.2"/>
    <row r="17357" s="689" customFormat="1" x14ac:dyDescent="0.2"/>
    <row r="17358" s="689" customFormat="1" x14ac:dyDescent="0.2"/>
    <row r="17359" s="689" customFormat="1" x14ac:dyDescent="0.2"/>
    <row r="17360" s="689" customFormat="1" x14ac:dyDescent="0.2"/>
    <row r="17361" s="689" customFormat="1" x14ac:dyDescent="0.2"/>
    <row r="17362" s="689" customFormat="1" x14ac:dyDescent="0.2"/>
    <row r="17363" s="689" customFormat="1" x14ac:dyDescent="0.2"/>
    <row r="17364" s="689" customFormat="1" x14ac:dyDescent="0.2"/>
    <row r="17365" s="689" customFormat="1" x14ac:dyDescent="0.2"/>
    <row r="17366" s="689" customFormat="1" x14ac:dyDescent="0.2"/>
    <row r="17367" s="689" customFormat="1" x14ac:dyDescent="0.2"/>
    <row r="17368" s="689" customFormat="1" x14ac:dyDescent="0.2"/>
    <row r="17369" s="689" customFormat="1" x14ac:dyDescent="0.2"/>
    <row r="17370" s="689" customFormat="1" x14ac:dyDescent="0.2"/>
    <row r="17371" s="689" customFormat="1" x14ac:dyDescent="0.2"/>
    <row r="17372" s="689" customFormat="1" x14ac:dyDescent="0.2"/>
    <row r="17373" s="689" customFormat="1" x14ac:dyDescent="0.2"/>
    <row r="17374" s="689" customFormat="1" x14ac:dyDescent="0.2"/>
    <row r="17375" s="689" customFormat="1" x14ac:dyDescent="0.2"/>
    <row r="17376" s="689" customFormat="1" x14ac:dyDescent="0.2"/>
    <row r="17377" s="689" customFormat="1" x14ac:dyDescent="0.2"/>
    <row r="17378" s="689" customFormat="1" x14ac:dyDescent="0.2"/>
    <row r="17379" s="689" customFormat="1" x14ac:dyDescent="0.2"/>
    <row r="17380" s="689" customFormat="1" x14ac:dyDescent="0.2"/>
    <row r="17381" s="689" customFormat="1" x14ac:dyDescent="0.2"/>
    <row r="17382" s="689" customFormat="1" x14ac:dyDescent="0.2"/>
    <row r="17383" s="689" customFormat="1" x14ac:dyDescent="0.2"/>
    <row r="17384" s="689" customFormat="1" x14ac:dyDescent="0.2"/>
    <row r="17385" s="689" customFormat="1" x14ac:dyDescent="0.2"/>
    <row r="17386" s="689" customFormat="1" x14ac:dyDescent="0.2"/>
    <row r="17387" s="689" customFormat="1" x14ac:dyDescent="0.2"/>
    <row r="17388" s="689" customFormat="1" x14ac:dyDescent="0.2"/>
    <row r="17389" s="689" customFormat="1" x14ac:dyDescent="0.2"/>
    <row r="17390" s="689" customFormat="1" x14ac:dyDescent="0.2"/>
    <row r="17391" s="689" customFormat="1" x14ac:dyDescent="0.2"/>
    <row r="17392" s="689" customFormat="1" x14ac:dyDescent="0.2"/>
    <row r="17393" s="689" customFormat="1" x14ac:dyDescent="0.2"/>
    <row r="17394" s="689" customFormat="1" x14ac:dyDescent="0.2"/>
    <row r="17395" s="689" customFormat="1" x14ac:dyDescent="0.2"/>
    <row r="17396" s="689" customFormat="1" x14ac:dyDescent="0.2"/>
    <row r="17397" s="689" customFormat="1" x14ac:dyDescent="0.2"/>
    <row r="17398" s="689" customFormat="1" x14ac:dyDescent="0.2"/>
    <row r="17399" s="689" customFormat="1" x14ac:dyDescent="0.2"/>
    <row r="17400" s="689" customFormat="1" x14ac:dyDescent="0.2"/>
    <row r="17401" s="689" customFormat="1" x14ac:dyDescent="0.2"/>
    <row r="17402" s="689" customFormat="1" x14ac:dyDescent="0.2"/>
    <row r="17403" s="689" customFormat="1" x14ac:dyDescent="0.2"/>
    <row r="17404" s="689" customFormat="1" x14ac:dyDescent="0.2"/>
    <row r="17405" s="689" customFormat="1" x14ac:dyDescent="0.2"/>
    <row r="17406" s="689" customFormat="1" x14ac:dyDescent="0.2"/>
    <row r="17407" s="689" customFormat="1" x14ac:dyDescent="0.2"/>
    <row r="17408" s="689" customFormat="1" x14ac:dyDescent="0.2"/>
    <row r="17409" s="689" customFormat="1" x14ac:dyDescent="0.2"/>
    <row r="17410" s="689" customFormat="1" x14ac:dyDescent="0.2"/>
    <row r="17411" s="689" customFormat="1" x14ac:dyDescent="0.2"/>
    <row r="17412" s="689" customFormat="1" x14ac:dyDescent="0.2"/>
    <row r="17413" s="689" customFormat="1" x14ac:dyDescent="0.2"/>
    <row r="17414" s="689" customFormat="1" x14ac:dyDescent="0.2"/>
    <row r="17415" s="689" customFormat="1" x14ac:dyDescent="0.2"/>
    <row r="17416" s="689" customFormat="1" x14ac:dyDescent="0.2"/>
    <row r="17417" s="689" customFormat="1" x14ac:dyDescent="0.2"/>
    <row r="17418" s="689" customFormat="1" x14ac:dyDescent="0.2"/>
    <row r="17419" s="689" customFormat="1" x14ac:dyDescent="0.2"/>
    <row r="17420" s="689" customFormat="1" x14ac:dyDescent="0.2"/>
    <row r="17421" s="689" customFormat="1" x14ac:dyDescent="0.2"/>
    <row r="17422" s="689" customFormat="1" x14ac:dyDescent="0.2"/>
    <row r="17423" s="689" customFormat="1" x14ac:dyDescent="0.2"/>
    <row r="17424" s="689" customFormat="1" x14ac:dyDescent="0.2"/>
    <row r="17425" s="689" customFormat="1" x14ac:dyDescent="0.2"/>
    <row r="17426" s="689" customFormat="1" x14ac:dyDescent="0.2"/>
    <row r="17427" s="689" customFormat="1" x14ac:dyDescent="0.2"/>
    <row r="17428" s="689" customFormat="1" x14ac:dyDescent="0.2"/>
    <row r="17429" s="689" customFormat="1" x14ac:dyDescent="0.2"/>
    <row r="17430" s="689" customFormat="1" x14ac:dyDescent="0.2"/>
    <row r="17431" s="689" customFormat="1" x14ac:dyDescent="0.2"/>
    <row r="17432" s="689" customFormat="1" x14ac:dyDescent="0.2"/>
    <row r="17433" s="689" customFormat="1" x14ac:dyDescent="0.2"/>
    <row r="17434" s="689" customFormat="1" x14ac:dyDescent="0.2"/>
    <row r="17435" s="689" customFormat="1" x14ac:dyDescent="0.2"/>
    <row r="17436" s="689" customFormat="1" x14ac:dyDescent="0.2"/>
    <row r="17437" s="689" customFormat="1" x14ac:dyDescent="0.2"/>
    <row r="17438" s="689" customFormat="1" x14ac:dyDescent="0.2"/>
    <row r="17439" s="689" customFormat="1" x14ac:dyDescent="0.2"/>
    <row r="17440" s="689" customFormat="1" x14ac:dyDescent="0.2"/>
    <row r="17441" s="689" customFormat="1" x14ac:dyDescent="0.2"/>
    <row r="17442" s="689" customFormat="1" x14ac:dyDescent="0.2"/>
    <row r="17443" s="689" customFormat="1" x14ac:dyDescent="0.2"/>
    <row r="17444" s="689" customFormat="1" x14ac:dyDescent="0.2"/>
    <row r="17445" s="689" customFormat="1" x14ac:dyDescent="0.2"/>
    <row r="17446" s="689" customFormat="1" x14ac:dyDescent="0.2"/>
    <row r="17447" s="689" customFormat="1" x14ac:dyDescent="0.2"/>
    <row r="17448" s="689" customFormat="1" x14ac:dyDescent="0.2"/>
    <row r="17449" s="689" customFormat="1" x14ac:dyDescent="0.2"/>
    <row r="17450" s="689" customFormat="1" x14ac:dyDescent="0.2"/>
    <row r="17451" s="689" customFormat="1" x14ac:dyDescent="0.2"/>
    <row r="17452" s="689" customFormat="1" x14ac:dyDescent="0.2"/>
    <row r="17453" s="689" customFormat="1" x14ac:dyDescent="0.2"/>
    <row r="17454" s="689" customFormat="1" x14ac:dyDescent="0.2"/>
    <row r="17455" s="689" customFormat="1" x14ac:dyDescent="0.2"/>
    <row r="17456" s="689" customFormat="1" x14ac:dyDescent="0.2"/>
    <row r="17457" s="689" customFormat="1" x14ac:dyDescent="0.2"/>
    <row r="17458" s="689" customFormat="1" x14ac:dyDescent="0.2"/>
    <row r="17459" s="689" customFormat="1" x14ac:dyDescent="0.2"/>
    <row r="17460" s="689" customFormat="1" x14ac:dyDescent="0.2"/>
    <row r="17461" s="689" customFormat="1" x14ac:dyDescent="0.2"/>
    <row r="17462" s="689" customFormat="1" x14ac:dyDescent="0.2"/>
    <row r="17463" s="689" customFormat="1" x14ac:dyDescent="0.2"/>
    <row r="17464" s="689" customFormat="1" x14ac:dyDescent="0.2"/>
    <row r="17465" s="689" customFormat="1" x14ac:dyDescent="0.2"/>
    <row r="17466" s="689" customFormat="1" x14ac:dyDescent="0.2"/>
    <row r="17467" s="689" customFormat="1" x14ac:dyDescent="0.2"/>
    <row r="17468" s="689" customFormat="1" x14ac:dyDescent="0.2"/>
    <row r="17469" s="689" customFormat="1" x14ac:dyDescent="0.2"/>
    <row r="17470" s="689" customFormat="1" x14ac:dyDescent="0.2"/>
    <row r="17471" s="689" customFormat="1" x14ac:dyDescent="0.2"/>
    <row r="17472" s="689" customFormat="1" x14ac:dyDescent="0.2"/>
    <row r="17473" s="689" customFormat="1" x14ac:dyDescent="0.2"/>
    <row r="17474" s="689" customFormat="1" x14ac:dyDescent="0.2"/>
    <row r="17475" s="689" customFormat="1" x14ac:dyDescent="0.2"/>
    <row r="17476" s="689" customFormat="1" x14ac:dyDescent="0.2"/>
    <row r="17477" s="689" customFormat="1" x14ac:dyDescent="0.2"/>
    <row r="17478" s="689" customFormat="1" x14ac:dyDescent="0.2"/>
    <row r="17479" s="689" customFormat="1" x14ac:dyDescent="0.2"/>
    <row r="17480" s="689" customFormat="1" x14ac:dyDescent="0.2"/>
    <row r="17481" s="689" customFormat="1" x14ac:dyDescent="0.2"/>
    <row r="17482" s="689" customFormat="1" x14ac:dyDescent="0.2"/>
    <row r="17483" s="689" customFormat="1" x14ac:dyDescent="0.2"/>
    <row r="17484" s="689" customFormat="1" x14ac:dyDescent="0.2"/>
    <row r="17485" s="689" customFormat="1" x14ac:dyDescent="0.2"/>
    <row r="17486" s="689" customFormat="1" x14ac:dyDescent="0.2"/>
    <row r="17487" s="689" customFormat="1" x14ac:dyDescent="0.2"/>
    <row r="17488" s="689" customFormat="1" x14ac:dyDescent="0.2"/>
    <row r="17489" s="689" customFormat="1" x14ac:dyDescent="0.2"/>
    <row r="17490" s="689" customFormat="1" x14ac:dyDescent="0.2"/>
    <row r="17491" s="689" customFormat="1" x14ac:dyDescent="0.2"/>
    <row r="17492" s="689" customFormat="1" x14ac:dyDescent="0.2"/>
    <row r="17493" s="689" customFormat="1" x14ac:dyDescent="0.2"/>
    <row r="17494" s="689" customFormat="1" x14ac:dyDescent="0.2"/>
    <row r="17495" s="689" customFormat="1" x14ac:dyDescent="0.2"/>
    <row r="17496" s="689" customFormat="1" x14ac:dyDescent="0.2"/>
    <row r="17497" s="689" customFormat="1" x14ac:dyDescent="0.2"/>
    <row r="17498" s="689" customFormat="1" x14ac:dyDescent="0.2"/>
    <row r="17499" s="689" customFormat="1" x14ac:dyDescent="0.2"/>
    <row r="17500" s="689" customFormat="1" x14ac:dyDescent="0.2"/>
    <row r="17501" s="689" customFormat="1" x14ac:dyDescent="0.2"/>
    <row r="17502" s="689" customFormat="1" x14ac:dyDescent="0.2"/>
    <row r="17503" s="689" customFormat="1" x14ac:dyDescent="0.2"/>
    <row r="17504" s="689" customFormat="1" x14ac:dyDescent="0.2"/>
    <row r="17505" s="689" customFormat="1" x14ac:dyDescent="0.2"/>
    <row r="17506" s="689" customFormat="1" x14ac:dyDescent="0.2"/>
    <row r="17507" s="689" customFormat="1" x14ac:dyDescent="0.2"/>
    <row r="17508" s="689" customFormat="1" x14ac:dyDescent="0.2"/>
    <row r="17509" s="689" customFormat="1" x14ac:dyDescent="0.2"/>
    <row r="17510" s="689" customFormat="1" x14ac:dyDescent="0.2"/>
    <row r="17511" s="689" customFormat="1" x14ac:dyDescent="0.2"/>
    <row r="17512" s="689" customFormat="1" x14ac:dyDescent="0.2"/>
    <row r="17513" s="689" customFormat="1" x14ac:dyDescent="0.2"/>
    <row r="17514" s="689" customFormat="1" x14ac:dyDescent="0.2"/>
    <row r="17515" s="689" customFormat="1" x14ac:dyDescent="0.2"/>
    <row r="17516" s="689" customFormat="1" x14ac:dyDescent="0.2"/>
    <row r="17517" s="689" customFormat="1" x14ac:dyDescent="0.2"/>
    <row r="17518" s="689" customFormat="1" x14ac:dyDescent="0.2"/>
    <row r="17519" s="689" customFormat="1" x14ac:dyDescent="0.2"/>
    <row r="17520" s="689" customFormat="1" x14ac:dyDescent="0.2"/>
    <row r="17521" s="689" customFormat="1" x14ac:dyDescent="0.2"/>
    <row r="17522" s="689" customFormat="1" x14ac:dyDescent="0.2"/>
    <row r="17523" s="689" customFormat="1" x14ac:dyDescent="0.2"/>
    <row r="17524" s="689" customFormat="1" x14ac:dyDescent="0.2"/>
    <row r="17525" s="689" customFormat="1" x14ac:dyDescent="0.2"/>
    <row r="17526" s="689" customFormat="1" x14ac:dyDescent="0.2"/>
    <row r="17527" s="689" customFormat="1" x14ac:dyDescent="0.2"/>
    <row r="17528" s="689" customFormat="1" x14ac:dyDescent="0.2"/>
    <row r="17529" s="689" customFormat="1" x14ac:dyDescent="0.2"/>
    <row r="17530" s="689" customFormat="1" x14ac:dyDescent="0.2"/>
    <row r="17531" s="689" customFormat="1" x14ac:dyDescent="0.2"/>
    <row r="17532" s="689" customFormat="1" x14ac:dyDescent="0.2"/>
    <row r="17533" s="689" customFormat="1" x14ac:dyDescent="0.2"/>
    <row r="17534" s="689" customFormat="1" x14ac:dyDescent="0.2"/>
    <row r="17535" s="689" customFormat="1" x14ac:dyDescent="0.2"/>
    <row r="17536" s="689" customFormat="1" x14ac:dyDescent="0.2"/>
    <row r="17537" s="689" customFormat="1" x14ac:dyDescent="0.2"/>
    <row r="17538" s="689" customFormat="1" x14ac:dyDescent="0.2"/>
    <row r="17539" s="689" customFormat="1" x14ac:dyDescent="0.2"/>
    <row r="17540" s="689" customFormat="1" x14ac:dyDescent="0.2"/>
    <row r="17541" s="689" customFormat="1" x14ac:dyDescent="0.2"/>
    <row r="17542" s="689" customFormat="1" x14ac:dyDescent="0.2"/>
    <row r="17543" s="689" customFormat="1" x14ac:dyDescent="0.2"/>
    <row r="17544" s="689" customFormat="1" x14ac:dyDescent="0.2"/>
    <row r="17545" s="689" customFormat="1" x14ac:dyDescent="0.2"/>
    <row r="17546" s="689" customFormat="1" x14ac:dyDescent="0.2"/>
    <row r="17547" s="689" customFormat="1" x14ac:dyDescent="0.2"/>
    <row r="17548" s="689" customFormat="1" x14ac:dyDescent="0.2"/>
    <row r="17549" s="689" customFormat="1" x14ac:dyDescent="0.2"/>
    <row r="17550" s="689" customFormat="1" x14ac:dyDescent="0.2"/>
    <row r="17551" s="689" customFormat="1" x14ac:dyDescent="0.2"/>
    <row r="17552" s="689" customFormat="1" x14ac:dyDescent="0.2"/>
    <row r="17553" s="689" customFormat="1" x14ac:dyDescent="0.2"/>
    <row r="17554" s="689" customFormat="1" x14ac:dyDescent="0.2"/>
    <row r="17555" s="689" customFormat="1" x14ac:dyDescent="0.2"/>
    <row r="17556" s="689" customFormat="1" x14ac:dyDescent="0.2"/>
    <row r="17557" s="689" customFormat="1" x14ac:dyDescent="0.2"/>
    <row r="17558" s="689" customFormat="1" x14ac:dyDescent="0.2"/>
    <row r="17559" s="689" customFormat="1" x14ac:dyDescent="0.2"/>
    <row r="17560" s="689" customFormat="1" x14ac:dyDescent="0.2"/>
    <row r="17561" s="689" customFormat="1" x14ac:dyDescent="0.2"/>
    <row r="17562" s="689" customFormat="1" x14ac:dyDescent="0.2"/>
    <row r="17563" s="689" customFormat="1" x14ac:dyDescent="0.2"/>
    <row r="17564" s="689" customFormat="1" x14ac:dyDescent="0.2"/>
    <row r="17565" s="689" customFormat="1" x14ac:dyDescent="0.2"/>
    <row r="17566" s="689" customFormat="1" x14ac:dyDescent="0.2"/>
    <row r="17567" s="689" customFormat="1" x14ac:dyDescent="0.2"/>
    <row r="17568" s="689" customFormat="1" x14ac:dyDescent="0.2"/>
    <row r="17569" s="689" customFormat="1" x14ac:dyDescent="0.2"/>
    <row r="17570" s="689" customFormat="1" x14ac:dyDescent="0.2"/>
    <row r="17571" s="689" customFormat="1" x14ac:dyDescent="0.2"/>
    <row r="17572" s="689" customFormat="1" x14ac:dyDescent="0.2"/>
    <row r="17573" s="689" customFormat="1" x14ac:dyDescent="0.2"/>
    <row r="17574" s="689" customFormat="1" x14ac:dyDescent="0.2"/>
    <row r="17575" s="689" customFormat="1" x14ac:dyDescent="0.2"/>
    <row r="17576" s="689" customFormat="1" x14ac:dyDescent="0.2"/>
    <row r="17577" s="689" customFormat="1" x14ac:dyDescent="0.2"/>
    <row r="17578" s="689" customFormat="1" x14ac:dyDescent="0.2"/>
    <row r="17579" s="689" customFormat="1" x14ac:dyDescent="0.2"/>
    <row r="17580" s="689" customFormat="1" x14ac:dyDescent="0.2"/>
    <row r="17581" s="689" customFormat="1" x14ac:dyDescent="0.2"/>
    <row r="17582" s="689" customFormat="1" x14ac:dyDescent="0.2"/>
    <row r="17583" s="689" customFormat="1" x14ac:dyDescent="0.2"/>
    <row r="17584" s="689" customFormat="1" x14ac:dyDescent="0.2"/>
    <row r="17585" s="689" customFormat="1" x14ac:dyDescent="0.2"/>
    <row r="17586" s="689" customFormat="1" x14ac:dyDescent="0.2"/>
    <row r="17587" s="689" customFormat="1" x14ac:dyDescent="0.2"/>
    <row r="17588" s="689" customFormat="1" x14ac:dyDescent="0.2"/>
    <row r="17589" s="689" customFormat="1" x14ac:dyDescent="0.2"/>
    <row r="17590" s="689" customFormat="1" x14ac:dyDescent="0.2"/>
    <row r="17591" s="689" customFormat="1" x14ac:dyDescent="0.2"/>
    <row r="17592" s="689" customFormat="1" x14ac:dyDescent="0.2"/>
    <row r="17593" s="689" customFormat="1" x14ac:dyDescent="0.2"/>
    <row r="17594" s="689" customFormat="1" x14ac:dyDescent="0.2"/>
    <row r="17595" s="689" customFormat="1" x14ac:dyDescent="0.2"/>
    <row r="17596" s="689" customFormat="1" x14ac:dyDescent="0.2"/>
    <row r="17597" s="689" customFormat="1" x14ac:dyDescent="0.2"/>
    <row r="17598" s="689" customFormat="1" x14ac:dyDescent="0.2"/>
    <row r="17599" s="689" customFormat="1" x14ac:dyDescent="0.2"/>
    <row r="17600" s="689" customFormat="1" x14ac:dyDescent="0.2"/>
    <row r="17601" s="689" customFormat="1" x14ac:dyDescent="0.2"/>
    <row r="17602" s="689" customFormat="1" x14ac:dyDescent="0.2"/>
    <row r="17603" s="689" customFormat="1" x14ac:dyDescent="0.2"/>
    <row r="17604" s="689" customFormat="1" x14ac:dyDescent="0.2"/>
    <row r="17605" s="689" customFormat="1" x14ac:dyDescent="0.2"/>
    <row r="17606" s="689" customFormat="1" x14ac:dyDescent="0.2"/>
    <row r="17607" s="689" customFormat="1" x14ac:dyDescent="0.2"/>
    <row r="17608" s="689" customFormat="1" x14ac:dyDescent="0.2"/>
    <row r="17609" s="689" customFormat="1" x14ac:dyDescent="0.2"/>
    <row r="17610" s="689" customFormat="1" x14ac:dyDescent="0.2"/>
    <row r="17611" s="689" customFormat="1" x14ac:dyDescent="0.2"/>
    <row r="17612" s="689" customFormat="1" x14ac:dyDescent="0.2"/>
    <row r="17613" s="689" customFormat="1" x14ac:dyDescent="0.2"/>
    <row r="17614" s="689" customFormat="1" x14ac:dyDescent="0.2"/>
    <row r="17615" s="689" customFormat="1" x14ac:dyDescent="0.2"/>
    <row r="17616" s="689" customFormat="1" x14ac:dyDescent="0.2"/>
    <row r="17617" s="689" customFormat="1" x14ac:dyDescent="0.2"/>
    <row r="17618" s="689" customFormat="1" x14ac:dyDescent="0.2"/>
    <row r="17619" s="689" customFormat="1" x14ac:dyDescent="0.2"/>
    <row r="17620" s="689" customFormat="1" x14ac:dyDescent="0.2"/>
    <row r="17621" s="689" customFormat="1" x14ac:dyDescent="0.2"/>
    <row r="17622" s="689" customFormat="1" x14ac:dyDescent="0.2"/>
    <row r="17623" s="689" customFormat="1" x14ac:dyDescent="0.2"/>
    <row r="17624" s="689" customFormat="1" x14ac:dyDescent="0.2"/>
    <row r="17625" s="689" customFormat="1" x14ac:dyDescent="0.2"/>
    <row r="17626" s="689" customFormat="1" x14ac:dyDescent="0.2"/>
    <row r="17627" s="689" customFormat="1" x14ac:dyDescent="0.2"/>
    <row r="17628" s="689" customFormat="1" x14ac:dyDescent="0.2"/>
    <row r="17629" s="689" customFormat="1" x14ac:dyDescent="0.2"/>
    <row r="17630" s="689" customFormat="1" x14ac:dyDescent="0.2"/>
    <row r="17631" s="689" customFormat="1" x14ac:dyDescent="0.2"/>
    <row r="17632" s="689" customFormat="1" x14ac:dyDescent="0.2"/>
    <row r="17633" s="689" customFormat="1" x14ac:dyDescent="0.2"/>
    <row r="17634" s="689" customFormat="1" x14ac:dyDescent="0.2"/>
    <row r="17635" s="689" customFormat="1" x14ac:dyDescent="0.2"/>
    <row r="17636" s="689" customFormat="1" x14ac:dyDescent="0.2"/>
    <row r="17637" s="689" customFormat="1" x14ac:dyDescent="0.2"/>
    <row r="17638" s="689" customFormat="1" x14ac:dyDescent="0.2"/>
    <row r="17639" s="689" customFormat="1" x14ac:dyDescent="0.2"/>
    <row r="17640" s="689" customFormat="1" x14ac:dyDescent="0.2"/>
    <row r="17641" s="689" customFormat="1" x14ac:dyDescent="0.2"/>
    <row r="17642" s="689" customFormat="1" x14ac:dyDescent="0.2"/>
    <row r="17643" s="689" customFormat="1" x14ac:dyDescent="0.2"/>
    <row r="17644" s="689" customFormat="1" x14ac:dyDescent="0.2"/>
    <row r="17645" s="689" customFormat="1" x14ac:dyDescent="0.2"/>
    <row r="17646" s="689" customFormat="1" x14ac:dyDescent="0.2"/>
    <row r="17647" s="689" customFormat="1" x14ac:dyDescent="0.2"/>
    <row r="17648" s="689" customFormat="1" x14ac:dyDescent="0.2"/>
    <row r="17649" s="689" customFormat="1" x14ac:dyDescent="0.2"/>
    <row r="17650" s="689" customFormat="1" x14ac:dyDescent="0.2"/>
    <row r="17651" s="689" customFormat="1" x14ac:dyDescent="0.2"/>
    <row r="17652" s="689" customFormat="1" x14ac:dyDescent="0.2"/>
    <row r="17653" s="689" customFormat="1" x14ac:dyDescent="0.2"/>
    <row r="17654" s="689" customFormat="1" x14ac:dyDescent="0.2"/>
    <row r="17655" s="689" customFormat="1" x14ac:dyDescent="0.2"/>
    <row r="17656" s="689" customFormat="1" x14ac:dyDescent="0.2"/>
    <row r="17657" s="689" customFormat="1" x14ac:dyDescent="0.2"/>
    <row r="17658" s="689" customFormat="1" x14ac:dyDescent="0.2"/>
    <row r="17659" s="689" customFormat="1" x14ac:dyDescent="0.2"/>
    <row r="17660" s="689" customFormat="1" x14ac:dyDescent="0.2"/>
    <row r="17661" s="689" customFormat="1" x14ac:dyDescent="0.2"/>
    <row r="17662" s="689" customFormat="1" x14ac:dyDescent="0.2"/>
    <row r="17663" s="689" customFormat="1" x14ac:dyDescent="0.2"/>
    <row r="17664" s="689" customFormat="1" x14ac:dyDescent="0.2"/>
    <row r="17665" s="689" customFormat="1" x14ac:dyDescent="0.2"/>
    <row r="17666" s="689" customFormat="1" x14ac:dyDescent="0.2"/>
    <row r="17667" s="689" customFormat="1" x14ac:dyDescent="0.2"/>
    <row r="17668" s="689" customFormat="1" x14ac:dyDescent="0.2"/>
    <row r="17669" s="689" customFormat="1" x14ac:dyDescent="0.2"/>
    <row r="17670" s="689" customFormat="1" x14ac:dyDescent="0.2"/>
    <row r="17671" s="689" customFormat="1" x14ac:dyDescent="0.2"/>
    <row r="17672" s="689" customFormat="1" x14ac:dyDescent="0.2"/>
    <row r="17673" s="689" customFormat="1" x14ac:dyDescent="0.2"/>
    <row r="17674" s="689" customFormat="1" x14ac:dyDescent="0.2"/>
    <row r="17675" s="689" customFormat="1" x14ac:dyDescent="0.2"/>
    <row r="17676" s="689" customFormat="1" x14ac:dyDescent="0.2"/>
    <row r="17677" s="689" customFormat="1" x14ac:dyDescent="0.2"/>
    <row r="17678" s="689" customFormat="1" x14ac:dyDescent="0.2"/>
    <row r="17679" s="689" customFormat="1" x14ac:dyDescent="0.2"/>
    <row r="17680" s="689" customFormat="1" x14ac:dyDescent="0.2"/>
    <row r="17681" s="689" customFormat="1" x14ac:dyDescent="0.2"/>
    <row r="17682" s="689" customFormat="1" x14ac:dyDescent="0.2"/>
    <row r="17683" s="689" customFormat="1" x14ac:dyDescent="0.2"/>
    <row r="17684" s="689" customFormat="1" x14ac:dyDescent="0.2"/>
    <row r="17685" s="689" customFormat="1" x14ac:dyDescent="0.2"/>
    <row r="17686" s="689" customFormat="1" x14ac:dyDescent="0.2"/>
    <row r="17687" s="689" customFormat="1" x14ac:dyDescent="0.2"/>
    <row r="17688" s="689" customFormat="1" x14ac:dyDescent="0.2"/>
    <row r="17689" s="689" customFormat="1" x14ac:dyDescent="0.2"/>
    <row r="17690" s="689" customFormat="1" x14ac:dyDescent="0.2"/>
    <row r="17691" s="689" customFormat="1" x14ac:dyDescent="0.2"/>
    <row r="17692" s="689" customFormat="1" x14ac:dyDescent="0.2"/>
    <row r="17693" s="689" customFormat="1" x14ac:dyDescent="0.2"/>
    <row r="17694" s="689" customFormat="1" x14ac:dyDescent="0.2"/>
    <row r="17695" s="689" customFormat="1" x14ac:dyDescent="0.2"/>
    <row r="17696" s="689" customFormat="1" x14ac:dyDescent="0.2"/>
    <row r="17697" s="689" customFormat="1" x14ac:dyDescent="0.2"/>
    <row r="17698" s="689" customFormat="1" x14ac:dyDescent="0.2"/>
    <row r="17699" s="689" customFormat="1" x14ac:dyDescent="0.2"/>
    <row r="17700" s="689" customFormat="1" x14ac:dyDescent="0.2"/>
    <row r="17701" s="689" customFormat="1" x14ac:dyDescent="0.2"/>
    <row r="17702" s="689" customFormat="1" x14ac:dyDescent="0.2"/>
    <row r="17703" s="689" customFormat="1" x14ac:dyDescent="0.2"/>
    <row r="17704" s="689" customFormat="1" x14ac:dyDescent="0.2"/>
    <row r="17705" s="689" customFormat="1" x14ac:dyDescent="0.2"/>
    <row r="17706" s="689" customFormat="1" x14ac:dyDescent="0.2"/>
    <row r="17707" s="689" customFormat="1" x14ac:dyDescent="0.2"/>
    <row r="17708" s="689" customFormat="1" x14ac:dyDescent="0.2"/>
    <row r="17709" s="689" customFormat="1" x14ac:dyDescent="0.2"/>
    <row r="17710" s="689" customFormat="1" x14ac:dyDescent="0.2"/>
    <row r="17711" s="689" customFormat="1" x14ac:dyDescent="0.2"/>
    <row r="17712" s="689" customFormat="1" x14ac:dyDescent="0.2"/>
    <row r="17713" s="689" customFormat="1" x14ac:dyDescent="0.2"/>
    <row r="17714" s="689" customFormat="1" x14ac:dyDescent="0.2"/>
    <row r="17715" s="689" customFormat="1" x14ac:dyDescent="0.2"/>
    <row r="17716" s="689" customFormat="1" x14ac:dyDescent="0.2"/>
    <row r="17717" s="689" customFormat="1" x14ac:dyDescent="0.2"/>
    <row r="17718" s="689" customFormat="1" x14ac:dyDescent="0.2"/>
    <row r="17719" s="689" customFormat="1" x14ac:dyDescent="0.2"/>
    <row r="17720" s="689" customFormat="1" x14ac:dyDescent="0.2"/>
    <row r="17721" s="689" customFormat="1" x14ac:dyDescent="0.2"/>
    <row r="17722" s="689" customFormat="1" x14ac:dyDescent="0.2"/>
    <row r="17723" s="689" customFormat="1" x14ac:dyDescent="0.2"/>
    <row r="17724" s="689" customFormat="1" x14ac:dyDescent="0.2"/>
    <row r="17725" s="689" customFormat="1" x14ac:dyDescent="0.2"/>
    <row r="17726" s="689" customFormat="1" x14ac:dyDescent="0.2"/>
    <row r="17727" s="689" customFormat="1" x14ac:dyDescent="0.2"/>
    <row r="17728" s="689" customFormat="1" x14ac:dyDescent="0.2"/>
    <row r="17729" s="689" customFormat="1" x14ac:dyDescent="0.2"/>
    <row r="17730" s="689" customFormat="1" x14ac:dyDescent="0.2"/>
    <row r="17731" s="689" customFormat="1" x14ac:dyDescent="0.2"/>
    <row r="17732" s="689" customFormat="1" x14ac:dyDescent="0.2"/>
    <row r="17733" s="689" customFormat="1" x14ac:dyDescent="0.2"/>
    <row r="17734" s="689" customFormat="1" x14ac:dyDescent="0.2"/>
    <row r="17735" s="689" customFormat="1" x14ac:dyDescent="0.2"/>
    <row r="17736" s="689" customFormat="1" x14ac:dyDescent="0.2"/>
    <row r="17737" s="689" customFormat="1" x14ac:dyDescent="0.2"/>
    <row r="17738" s="689" customFormat="1" x14ac:dyDescent="0.2"/>
    <row r="17739" s="689" customFormat="1" x14ac:dyDescent="0.2"/>
    <row r="17740" s="689" customFormat="1" x14ac:dyDescent="0.2"/>
    <row r="17741" s="689" customFormat="1" x14ac:dyDescent="0.2"/>
    <row r="17742" s="689" customFormat="1" x14ac:dyDescent="0.2"/>
    <row r="17743" s="689" customFormat="1" x14ac:dyDescent="0.2"/>
    <row r="17744" s="689" customFormat="1" x14ac:dyDescent="0.2"/>
    <row r="17745" s="689" customFormat="1" x14ac:dyDescent="0.2"/>
    <row r="17746" s="689" customFormat="1" x14ac:dyDescent="0.2"/>
    <row r="17747" s="689" customFormat="1" x14ac:dyDescent="0.2"/>
    <row r="17748" s="689" customFormat="1" x14ac:dyDescent="0.2"/>
    <row r="17749" s="689" customFormat="1" x14ac:dyDescent="0.2"/>
    <row r="17750" s="689" customFormat="1" x14ac:dyDescent="0.2"/>
    <row r="17751" s="689" customFormat="1" x14ac:dyDescent="0.2"/>
    <row r="17752" s="689" customFormat="1" x14ac:dyDescent="0.2"/>
    <row r="17753" s="689" customFormat="1" x14ac:dyDescent="0.2"/>
    <row r="17754" s="689" customFormat="1" x14ac:dyDescent="0.2"/>
    <row r="17755" s="689" customFormat="1" x14ac:dyDescent="0.2"/>
    <row r="17756" s="689" customFormat="1" x14ac:dyDescent="0.2"/>
    <row r="17757" s="689" customFormat="1" x14ac:dyDescent="0.2"/>
    <row r="17758" s="689" customFormat="1" x14ac:dyDescent="0.2"/>
    <row r="17759" s="689" customFormat="1" x14ac:dyDescent="0.2"/>
    <row r="17760" s="689" customFormat="1" x14ac:dyDescent="0.2"/>
    <row r="17761" s="689" customFormat="1" x14ac:dyDescent="0.2"/>
    <row r="17762" s="689" customFormat="1" x14ac:dyDescent="0.2"/>
    <row r="17763" s="689" customFormat="1" x14ac:dyDescent="0.2"/>
    <row r="17764" s="689" customFormat="1" x14ac:dyDescent="0.2"/>
    <row r="17765" s="689" customFormat="1" x14ac:dyDescent="0.2"/>
    <row r="17766" s="689" customFormat="1" x14ac:dyDescent="0.2"/>
    <row r="17767" s="689" customFormat="1" x14ac:dyDescent="0.2"/>
    <row r="17768" s="689" customFormat="1" x14ac:dyDescent="0.2"/>
    <row r="17769" s="689" customFormat="1" x14ac:dyDescent="0.2"/>
    <row r="17770" s="689" customFormat="1" x14ac:dyDescent="0.2"/>
    <row r="17771" s="689" customFormat="1" x14ac:dyDescent="0.2"/>
    <row r="17772" s="689" customFormat="1" x14ac:dyDescent="0.2"/>
    <row r="17773" s="689" customFormat="1" x14ac:dyDescent="0.2"/>
    <row r="17774" s="689" customFormat="1" x14ac:dyDescent="0.2"/>
    <row r="17775" s="689" customFormat="1" x14ac:dyDescent="0.2"/>
    <row r="17776" s="689" customFormat="1" x14ac:dyDescent="0.2"/>
    <row r="17777" s="689" customFormat="1" x14ac:dyDescent="0.2"/>
    <row r="17778" s="689" customFormat="1" x14ac:dyDescent="0.2"/>
    <row r="17779" s="689" customFormat="1" x14ac:dyDescent="0.2"/>
    <row r="17780" s="689" customFormat="1" x14ac:dyDescent="0.2"/>
    <row r="17781" s="689" customFormat="1" x14ac:dyDescent="0.2"/>
    <row r="17782" s="689" customFormat="1" x14ac:dyDescent="0.2"/>
    <row r="17783" s="689" customFormat="1" x14ac:dyDescent="0.2"/>
    <row r="17784" s="689" customFormat="1" x14ac:dyDescent="0.2"/>
    <row r="17785" s="689" customFormat="1" x14ac:dyDescent="0.2"/>
    <row r="17786" s="689" customFormat="1" x14ac:dyDescent="0.2"/>
    <row r="17787" s="689" customFormat="1" x14ac:dyDescent="0.2"/>
    <row r="17788" s="689" customFormat="1" x14ac:dyDescent="0.2"/>
    <row r="17789" s="689" customFormat="1" x14ac:dyDescent="0.2"/>
    <row r="17790" s="689" customFormat="1" x14ac:dyDescent="0.2"/>
    <row r="17791" s="689" customFormat="1" x14ac:dyDescent="0.2"/>
    <row r="17792" s="689" customFormat="1" x14ac:dyDescent="0.2"/>
    <row r="17793" s="689" customFormat="1" x14ac:dyDescent="0.2"/>
    <row r="17794" s="689" customFormat="1" x14ac:dyDescent="0.2"/>
    <row r="17795" s="689" customFormat="1" x14ac:dyDescent="0.2"/>
    <row r="17796" s="689" customFormat="1" x14ac:dyDescent="0.2"/>
    <row r="17797" s="689" customFormat="1" x14ac:dyDescent="0.2"/>
    <row r="17798" s="689" customFormat="1" x14ac:dyDescent="0.2"/>
    <row r="17799" s="689" customFormat="1" x14ac:dyDescent="0.2"/>
    <row r="17800" s="689" customFormat="1" x14ac:dyDescent="0.2"/>
    <row r="17801" s="689" customFormat="1" x14ac:dyDescent="0.2"/>
    <row r="17802" s="689" customFormat="1" x14ac:dyDescent="0.2"/>
    <row r="17803" s="689" customFormat="1" x14ac:dyDescent="0.2"/>
    <row r="17804" s="689" customFormat="1" x14ac:dyDescent="0.2"/>
    <row r="17805" s="689" customFormat="1" x14ac:dyDescent="0.2"/>
    <row r="17806" s="689" customFormat="1" x14ac:dyDescent="0.2"/>
    <row r="17807" s="689" customFormat="1" x14ac:dyDescent="0.2"/>
    <row r="17808" s="689" customFormat="1" x14ac:dyDescent="0.2"/>
    <row r="17809" s="689" customFormat="1" x14ac:dyDescent="0.2"/>
    <row r="17810" s="689" customFormat="1" x14ac:dyDescent="0.2"/>
    <row r="17811" s="689" customFormat="1" x14ac:dyDescent="0.2"/>
    <row r="17812" s="689" customFormat="1" x14ac:dyDescent="0.2"/>
    <row r="17813" s="689" customFormat="1" x14ac:dyDescent="0.2"/>
    <row r="17814" s="689" customFormat="1" x14ac:dyDescent="0.2"/>
    <row r="17815" s="689" customFormat="1" x14ac:dyDescent="0.2"/>
    <row r="17816" s="689" customFormat="1" x14ac:dyDescent="0.2"/>
    <row r="17817" s="689" customFormat="1" x14ac:dyDescent="0.2"/>
    <row r="17818" s="689" customFormat="1" x14ac:dyDescent="0.2"/>
    <row r="17819" s="689" customFormat="1" x14ac:dyDescent="0.2"/>
    <row r="17820" s="689" customFormat="1" x14ac:dyDescent="0.2"/>
    <row r="17821" s="689" customFormat="1" x14ac:dyDescent="0.2"/>
    <row r="17822" s="689" customFormat="1" x14ac:dyDescent="0.2"/>
    <row r="17823" s="689" customFormat="1" x14ac:dyDescent="0.2"/>
    <row r="17824" s="689" customFormat="1" x14ac:dyDescent="0.2"/>
    <row r="17825" s="689" customFormat="1" x14ac:dyDescent="0.2"/>
    <row r="17826" s="689" customFormat="1" x14ac:dyDescent="0.2"/>
    <row r="17827" s="689" customFormat="1" x14ac:dyDescent="0.2"/>
    <row r="17828" s="689" customFormat="1" x14ac:dyDescent="0.2"/>
    <row r="17829" s="689" customFormat="1" x14ac:dyDescent="0.2"/>
    <row r="17830" s="689" customFormat="1" x14ac:dyDescent="0.2"/>
    <row r="17831" s="689" customFormat="1" x14ac:dyDescent="0.2"/>
    <row r="17832" s="689" customFormat="1" x14ac:dyDescent="0.2"/>
    <row r="17833" s="689" customFormat="1" x14ac:dyDescent="0.2"/>
    <row r="17834" s="689" customFormat="1" x14ac:dyDescent="0.2"/>
    <row r="17835" s="689" customFormat="1" x14ac:dyDescent="0.2"/>
    <row r="17836" s="689" customFormat="1" x14ac:dyDescent="0.2"/>
    <row r="17837" s="689" customFormat="1" x14ac:dyDescent="0.2"/>
    <row r="17838" s="689" customFormat="1" x14ac:dyDescent="0.2"/>
    <row r="17839" s="689" customFormat="1" x14ac:dyDescent="0.2"/>
    <row r="17840" s="689" customFormat="1" x14ac:dyDescent="0.2"/>
    <row r="17841" s="689" customFormat="1" x14ac:dyDescent="0.2"/>
    <row r="17842" s="689" customFormat="1" x14ac:dyDescent="0.2"/>
    <row r="17843" s="689" customFormat="1" x14ac:dyDescent="0.2"/>
    <row r="17844" s="689" customFormat="1" x14ac:dyDescent="0.2"/>
    <row r="17845" s="689" customFormat="1" x14ac:dyDescent="0.2"/>
    <row r="17846" s="689" customFormat="1" x14ac:dyDescent="0.2"/>
    <row r="17847" s="689" customFormat="1" x14ac:dyDescent="0.2"/>
    <row r="17848" s="689" customFormat="1" x14ac:dyDescent="0.2"/>
    <row r="17849" s="689" customFormat="1" x14ac:dyDescent="0.2"/>
    <row r="17850" s="689" customFormat="1" x14ac:dyDescent="0.2"/>
    <row r="17851" s="689" customFormat="1" x14ac:dyDescent="0.2"/>
    <row r="17852" s="689" customFormat="1" x14ac:dyDescent="0.2"/>
    <row r="17853" s="689" customFormat="1" x14ac:dyDescent="0.2"/>
    <row r="17854" s="689" customFormat="1" x14ac:dyDescent="0.2"/>
    <row r="17855" s="689" customFormat="1" x14ac:dyDescent="0.2"/>
    <row r="17856" s="689" customFormat="1" x14ac:dyDescent="0.2"/>
    <row r="17857" s="689" customFormat="1" x14ac:dyDescent="0.2"/>
    <row r="17858" s="689" customFormat="1" x14ac:dyDescent="0.2"/>
    <row r="17859" s="689" customFormat="1" x14ac:dyDescent="0.2"/>
    <row r="17860" s="689" customFormat="1" x14ac:dyDescent="0.2"/>
    <row r="17861" s="689" customFormat="1" x14ac:dyDescent="0.2"/>
    <row r="17862" s="689" customFormat="1" x14ac:dyDescent="0.2"/>
    <row r="17863" s="689" customFormat="1" x14ac:dyDescent="0.2"/>
    <row r="17864" s="689" customFormat="1" x14ac:dyDescent="0.2"/>
    <row r="17865" s="689" customFormat="1" x14ac:dyDescent="0.2"/>
    <row r="17866" s="689" customFormat="1" x14ac:dyDescent="0.2"/>
    <row r="17867" s="689" customFormat="1" x14ac:dyDescent="0.2"/>
    <row r="17868" s="689" customFormat="1" x14ac:dyDescent="0.2"/>
    <row r="17869" s="689" customFormat="1" x14ac:dyDescent="0.2"/>
    <row r="17870" s="689" customFormat="1" x14ac:dyDescent="0.2"/>
    <row r="17871" s="689" customFormat="1" x14ac:dyDescent="0.2"/>
    <row r="17872" s="689" customFormat="1" x14ac:dyDescent="0.2"/>
    <row r="17873" s="689" customFormat="1" x14ac:dyDescent="0.2"/>
    <row r="17874" s="689" customFormat="1" x14ac:dyDescent="0.2"/>
    <row r="17875" s="689" customFormat="1" x14ac:dyDescent="0.2"/>
    <row r="17876" s="689" customFormat="1" x14ac:dyDescent="0.2"/>
    <row r="17877" s="689" customFormat="1" x14ac:dyDescent="0.2"/>
    <row r="17878" s="689" customFormat="1" x14ac:dyDescent="0.2"/>
    <row r="17879" s="689" customFormat="1" x14ac:dyDescent="0.2"/>
    <row r="17880" s="689" customFormat="1" x14ac:dyDescent="0.2"/>
    <row r="17881" s="689" customFormat="1" x14ac:dyDescent="0.2"/>
    <row r="17882" s="689" customFormat="1" x14ac:dyDescent="0.2"/>
    <row r="17883" s="689" customFormat="1" x14ac:dyDescent="0.2"/>
    <row r="17884" s="689" customFormat="1" x14ac:dyDescent="0.2"/>
    <row r="17885" s="689" customFormat="1" x14ac:dyDescent="0.2"/>
    <row r="17886" s="689" customFormat="1" x14ac:dyDescent="0.2"/>
    <row r="17887" s="689" customFormat="1" x14ac:dyDescent="0.2"/>
    <row r="17888" s="689" customFormat="1" x14ac:dyDescent="0.2"/>
    <row r="17889" s="689" customFormat="1" x14ac:dyDescent="0.2"/>
    <row r="17890" s="689" customFormat="1" x14ac:dyDescent="0.2"/>
    <row r="17891" s="689" customFormat="1" x14ac:dyDescent="0.2"/>
    <row r="17892" s="689" customFormat="1" x14ac:dyDescent="0.2"/>
    <row r="17893" s="689" customFormat="1" x14ac:dyDescent="0.2"/>
    <row r="17894" s="689" customFormat="1" x14ac:dyDescent="0.2"/>
    <row r="17895" s="689" customFormat="1" x14ac:dyDescent="0.2"/>
    <row r="17896" s="689" customFormat="1" x14ac:dyDescent="0.2"/>
    <row r="17897" s="689" customFormat="1" x14ac:dyDescent="0.2"/>
    <row r="17898" s="689" customFormat="1" x14ac:dyDescent="0.2"/>
    <row r="17899" s="689" customFormat="1" x14ac:dyDescent="0.2"/>
    <row r="17900" s="689" customFormat="1" x14ac:dyDescent="0.2"/>
    <row r="17901" s="689" customFormat="1" x14ac:dyDescent="0.2"/>
    <row r="17902" s="689" customFormat="1" x14ac:dyDescent="0.2"/>
    <row r="17903" s="689" customFormat="1" x14ac:dyDescent="0.2"/>
    <row r="17904" s="689" customFormat="1" x14ac:dyDescent="0.2"/>
    <row r="17905" s="689" customFormat="1" x14ac:dyDescent="0.2"/>
    <row r="17906" s="689" customFormat="1" x14ac:dyDescent="0.2"/>
    <row r="17907" s="689" customFormat="1" x14ac:dyDescent="0.2"/>
    <row r="17908" s="689" customFormat="1" x14ac:dyDescent="0.2"/>
    <row r="17909" s="689" customFormat="1" x14ac:dyDescent="0.2"/>
    <row r="17910" s="689" customFormat="1" x14ac:dyDescent="0.2"/>
    <row r="17911" s="689" customFormat="1" x14ac:dyDescent="0.2"/>
    <row r="17912" s="689" customFormat="1" x14ac:dyDescent="0.2"/>
    <row r="17913" s="689" customFormat="1" x14ac:dyDescent="0.2"/>
    <row r="17914" s="689" customFormat="1" x14ac:dyDescent="0.2"/>
    <row r="17915" s="689" customFormat="1" x14ac:dyDescent="0.2"/>
    <row r="17916" s="689" customFormat="1" x14ac:dyDescent="0.2"/>
    <row r="17917" s="689" customFormat="1" x14ac:dyDescent="0.2"/>
    <row r="17918" s="689" customFormat="1" x14ac:dyDescent="0.2"/>
    <row r="17919" s="689" customFormat="1" x14ac:dyDescent="0.2"/>
    <row r="17920" s="689" customFormat="1" x14ac:dyDescent="0.2"/>
    <row r="17921" s="689" customFormat="1" x14ac:dyDescent="0.2"/>
    <row r="17922" s="689" customFormat="1" x14ac:dyDescent="0.2"/>
    <row r="17923" s="689" customFormat="1" x14ac:dyDescent="0.2"/>
    <row r="17924" s="689" customFormat="1" x14ac:dyDescent="0.2"/>
    <row r="17925" s="689" customFormat="1" x14ac:dyDescent="0.2"/>
    <row r="17926" s="689" customFormat="1" x14ac:dyDescent="0.2"/>
    <row r="17927" s="689" customFormat="1" x14ac:dyDescent="0.2"/>
    <row r="17928" s="689" customFormat="1" x14ac:dyDescent="0.2"/>
    <row r="17929" s="689" customFormat="1" x14ac:dyDescent="0.2"/>
    <row r="17930" s="689" customFormat="1" x14ac:dyDescent="0.2"/>
    <row r="17931" s="689" customFormat="1" x14ac:dyDescent="0.2"/>
    <row r="17932" s="689" customFormat="1" x14ac:dyDescent="0.2"/>
    <row r="17933" s="689" customFormat="1" x14ac:dyDescent="0.2"/>
    <row r="17934" s="689" customFormat="1" x14ac:dyDescent="0.2"/>
    <row r="17935" s="689" customFormat="1" x14ac:dyDescent="0.2"/>
    <row r="17936" s="689" customFormat="1" x14ac:dyDescent="0.2"/>
    <row r="17937" s="689" customFormat="1" x14ac:dyDescent="0.2"/>
    <row r="17938" s="689" customFormat="1" x14ac:dyDescent="0.2"/>
    <row r="17939" s="689" customFormat="1" x14ac:dyDescent="0.2"/>
    <row r="17940" s="689" customFormat="1" x14ac:dyDescent="0.2"/>
    <row r="17941" s="689" customFormat="1" x14ac:dyDescent="0.2"/>
    <row r="17942" s="689" customFormat="1" x14ac:dyDescent="0.2"/>
    <row r="17943" s="689" customFormat="1" x14ac:dyDescent="0.2"/>
    <row r="17944" s="689" customFormat="1" x14ac:dyDescent="0.2"/>
    <row r="17945" s="689" customFormat="1" x14ac:dyDescent="0.2"/>
    <row r="17946" s="689" customFormat="1" x14ac:dyDescent="0.2"/>
    <row r="17947" s="689" customFormat="1" x14ac:dyDescent="0.2"/>
    <row r="17948" s="689" customFormat="1" x14ac:dyDescent="0.2"/>
    <row r="17949" s="689" customFormat="1" x14ac:dyDescent="0.2"/>
    <row r="17950" s="689" customFormat="1" x14ac:dyDescent="0.2"/>
    <row r="17951" s="689" customFormat="1" x14ac:dyDescent="0.2"/>
    <row r="17952" s="689" customFormat="1" x14ac:dyDescent="0.2"/>
    <row r="17953" s="689" customFormat="1" x14ac:dyDescent="0.2"/>
    <row r="17954" s="689" customFormat="1" x14ac:dyDescent="0.2"/>
    <row r="17955" s="689" customFormat="1" x14ac:dyDescent="0.2"/>
    <row r="17956" s="689" customFormat="1" x14ac:dyDescent="0.2"/>
    <row r="17957" s="689" customFormat="1" x14ac:dyDescent="0.2"/>
    <row r="17958" s="689" customFormat="1" x14ac:dyDescent="0.2"/>
    <row r="17959" s="689" customFormat="1" x14ac:dyDescent="0.2"/>
    <row r="17960" s="689" customFormat="1" x14ac:dyDescent="0.2"/>
    <row r="17961" s="689" customFormat="1" x14ac:dyDescent="0.2"/>
    <row r="17962" s="689" customFormat="1" x14ac:dyDescent="0.2"/>
    <row r="17963" s="689" customFormat="1" x14ac:dyDescent="0.2"/>
    <row r="17964" s="689" customFormat="1" x14ac:dyDescent="0.2"/>
    <row r="17965" s="689" customFormat="1" x14ac:dyDescent="0.2"/>
    <row r="17966" s="689" customFormat="1" x14ac:dyDescent="0.2"/>
    <row r="17967" s="689" customFormat="1" x14ac:dyDescent="0.2"/>
    <row r="17968" s="689" customFormat="1" x14ac:dyDescent="0.2"/>
    <row r="17969" s="689" customFormat="1" x14ac:dyDescent="0.2"/>
    <row r="17970" s="689" customFormat="1" x14ac:dyDescent="0.2"/>
    <row r="17971" s="689" customFormat="1" x14ac:dyDescent="0.2"/>
    <row r="17972" s="689" customFormat="1" x14ac:dyDescent="0.2"/>
    <row r="17973" s="689" customFormat="1" x14ac:dyDescent="0.2"/>
    <row r="17974" s="689" customFormat="1" x14ac:dyDescent="0.2"/>
    <row r="17975" s="689" customFormat="1" x14ac:dyDescent="0.2"/>
    <row r="17976" s="689" customFormat="1" x14ac:dyDescent="0.2"/>
    <row r="17977" s="689" customFormat="1" x14ac:dyDescent="0.2"/>
    <row r="17978" s="689" customFormat="1" x14ac:dyDescent="0.2"/>
    <row r="17979" s="689" customFormat="1" x14ac:dyDescent="0.2"/>
    <row r="17980" s="689" customFormat="1" x14ac:dyDescent="0.2"/>
    <row r="17981" s="689" customFormat="1" x14ac:dyDescent="0.2"/>
    <row r="17982" s="689" customFormat="1" x14ac:dyDescent="0.2"/>
    <row r="17983" s="689" customFormat="1" x14ac:dyDescent="0.2"/>
    <row r="17984" s="689" customFormat="1" x14ac:dyDescent="0.2"/>
    <row r="17985" s="689" customFormat="1" x14ac:dyDescent="0.2"/>
    <row r="17986" s="689" customFormat="1" x14ac:dyDescent="0.2"/>
    <row r="17987" s="689" customFormat="1" x14ac:dyDescent="0.2"/>
    <row r="17988" s="689" customFormat="1" x14ac:dyDescent="0.2"/>
    <row r="17989" s="689" customFormat="1" x14ac:dyDescent="0.2"/>
    <row r="17990" s="689" customFormat="1" x14ac:dyDescent="0.2"/>
    <row r="17991" s="689" customFormat="1" x14ac:dyDescent="0.2"/>
    <row r="17992" s="689" customFormat="1" x14ac:dyDescent="0.2"/>
    <row r="17993" s="689" customFormat="1" x14ac:dyDescent="0.2"/>
    <row r="17994" s="689" customFormat="1" x14ac:dyDescent="0.2"/>
    <row r="17995" s="689" customFormat="1" x14ac:dyDescent="0.2"/>
    <row r="17996" s="689" customFormat="1" x14ac:dyDescent="0.2"/>
    <row r="17997" s="689" customFormat="1" x14ac:dyDescent="0.2"/>
    <row r="17998" s="689" customFormat="1" x14ac:dyDescent="0.2"/>
    <row r="17999" s="689" customFormat="1" x14ac:dyDescent="0.2"/>
    <row r="18000" s="689" customFormat="1" x14ac:dyDescent="0.2"/>
    <row r="18001" s="689" customFormat="1" x14ac:dyDescent="0.2"/>
    <row r="18002" s="689" customFormat="1" x14ac:dyDescent="0.2"/>
    <row r="18003" s="689" customFormat="1" x14ac:dyDescent="0.2"/>
    <row r="18004" s="689" customFormat="1" x14ac:dyDescent="0.2"/>
    <row r="18005" s="689" customFormat="1" x14ac:dyDescent="0.2"/>
    <row r="18006" s="689" customFormat="1" x14ac:dyDescent="0.2"/>
    <row r="18007" s="689" customFormat="1" x14ac:dyDescent="0.2"/>
    <row r="18008" s="689" customFormat="1" x14ac:dyDescent="0.2"/>
    <row r="18009" s="689" customFormat="1" x14ac:dyDescent="0.2"/>
    <row r="18010" s="689" customFormat="1" x14ac:dyDescent="0.2"/>
    <row r="18011" s="689" customFormat="1" x14ac:dyDescent="0.2"/>
    <row r="18012" s="689" customFormat="1" x14ac:dyDescent="0.2"/>
    <row r="18013" s="689" customFormat="1" x14ac:dyDescent="0.2"/>
    <row r="18014" s="689" customFormat="1" x14ac:dyDescent="0.2"/>
    <row r="18015" s="689" customFormat="1" x14ac:dyDescent="0.2"/>
    <row r="18016" s="689" customFormat="1" x14ac:dyDescent="0.2"/>
    <row r="18017" s="689" customFormat="1" x14ac:dyDescent="0.2"/>
    <row r="18018" s="689" customFormat="1" x14ac:dyDescent="0.2"/>
    <row r="18019" s="689" customFormat="1" x14ac:dyDescent="0.2"/>
    <row r="18020" s="689" customFormat="1" x14ac:dyDescent="0.2"/>
    <row r="18021" s="689" customFormat="1" x14ac:dyDescent="0.2"/>
    <row r="18022" s="689" customFormat="1" x14ac:dyDescent="0.2"/>
    <row r="18023" s="689" customFormat="1" x14ac:dyDescent="0.2"/>
    <row r="18024" s="689" customFormat="1" x14ac:dyDescent="0.2"/>
    <row r="18025" s="689" customFormat="1" x14ac:dyDescent="0.2"/>
    <row r="18026" s="689" customFormat="1" x14ac:dyDescent="0.2"/>
    <row r="18027" s="689" customFormat="1" x14ac:dyDescent="0.2"/>
    <row r="18028" s="689" customFormat="1" x14ac:dyDescent="0.2"/>
    <row r="18029" s="689" customFormat="1" x14ac:dyDescent="0.2"/>
    <row r="18030" s="689" customFormat="1" x14ac:dyDescent="0.2"/>
    <row r="18031" s="689" customFormat="1" x14ac:dyDescent="0.2"/>
    <row r="18032" s="689" customFormat="1" x14ac:dyDescent="0.2"/>
    <row r="18033" s="689" customFormat="1" x14ac:dyDescent="0.2"/>
    <row r="18034" s="689" customFormat="1" x14ac:dyDescent="0.2"/>
    <row r="18035" s="689" customFormat="1" x14ac:dyDescent="0.2"/>
    <row r="18036" s="689" customFormat="1" x14ac:dyDescent="0.2"/>
    <row r="18037" s="689" customFormat="1" x14ac:dyDescent="0.2"/>
    <row r="18038" s="689" customFormat="1" x14ac:dyDescent="0.2"/>
    <row r="18039" s="689" customFormat="1" x14ac:dyDescent="0.2"/>
    <row r="18040" s="689" customFormat="1" x14ac:dyDescent="0.2"/>
    <row r="18041" s="689" customFormat="1" x14ac:dyDescent="0.2"/>
    <row r="18042" s="689" customFormat="1" x14ac:dyDescent="0.2"/>
    <row r="18043" s="689" customFormat="1" x14ac:dyDescent="0.2"/>
    <row r="18044" s="689" customFormat="1" x14ac:dyDescent="0.2"/>
    <row r="18045" s="689" customFormat="1" x14ac:dyDescent="0.2"/>
    <row r="18046" s="689" customFormat="1" x14ac:dyDescent="0.2"/>
    <row r="18047" s="689" customFormat="1" x14ac:dyDescent="0.2"/>
    <row r="18048" s="689" customFormat="1" x14ac:dyDescent="0.2"/>
    <row r="18049" s="689" customFormat="1" x14ac:dyDescent="0.2"/>
    <row r="18050" s="689" customFormat="1" x14ac:dyDescent="0.2"/>
    <row r="18051" s="689" customFormat="1" x14ac:dyDescent="0.2"/>
    <row r="18052" s="689" customFormat="1" x14ac:dyDescent="0.2"/>
    <row r="18053" s="689" customFormat="1" x14ac:dyDescent="0.2"/>
    <row r="18054" s="689" customFormat="1" x14ac:dyDescent="0.2"/>
    <row r="18055" s="689" customFormat="1" x14ac:dyDescent="0.2"/>
    <row r="18056" s="689" customFormat="1" x14ac:dyDescent="0.2"/>
    <row r="18057" s="689" customFormat="1" x14ac:dyDescent="0.2"/>
    <row r="18058" s="689" customFormat="1" x14ac:dyDescent="0.2"/>
    <row r="18059" s="689" customFormat="1" x14ac:dyDescent="0.2"/>
    <row r="18060" s="689" customFormat="1" x14ac:dyDescent="0.2"/>
    <row r="18061" s="689" customFormat="1" x14ac:dyDescent="0.2"/>
    <row r="18062" s="689" customFormat="1" x14ac:dyDescent="0.2"/>
    <row r="18063" s="689" customFormat="1" x14ac:dyDescent="0.2"/>
    <row r="18064" s="689" customFormat="1" x14ac:dyDescent="0.2"/>
    <row r="18065" s="689" customFormat="1" x14ac:dyDescent="0.2"/>
    <row r="18066" s="689" customFormat="1" x14ac:dyDescent="0.2"/>
    <row r="18067" s="689" customFormat="1" x14ac:dyDescent="0.2"/>
    <row r="18068" s="689" customFormat="1" x14ac:dyDescent="0.2"/>
    <row r="18069" s="689" customFormat="1" x14ac:dyDescent="0.2"/>
    <row r="18070" s="689" customFormat="1" x14ac:dyDescent="0.2"/>
    <row r="18071" s="689" customFormat="1" x14ac:dyDescent="0.2"/>
    <row r="18072" s="689" customFormat="1" x14ac:dyDescent="0.2"/>
    <row r="18073" s="689" customFormat="1" x14ac:dyDescent="0.2"/>
    <row r="18074" s="689" customFormat="1" x14ac:dyDescent="0.2"/>
    <row r="18075" s="689" customFormat="1" x14ac:dyDescent="0.2"/>
    <row r="18076" s="689" customFormat="1" x14ac:dyDescent="0.2"/>
    <row r="18077" s="689" customFormat="1" x14ac:dyDescent="0.2"/>
    <row r="18078" s="689" customFormat="1" x14ac:dyDescent="0.2"/>
    <row r="18079" s="689" customFormat="1" x14ac:dyDescent="0.2"/>
    <row r="18080" s="689" customFormat="1" x14ac:dyDescent="0.2"/>
    <row r="18081" s="689" customFormat="1" x14ac:dyDescent="0.2"/>
    <row r="18082" s="689" customFormat="1" x14ac:dyDescent="0.2"/>
    <row r="18083" s="689" customFormat="1" x14ac:dyDescent="0.2"/>
    <row r="18084" s="689" customFormat="1" x14ac:dyDescent="0.2"/>
    <row r="18085" s="689" customFormat="1" x14ac:dyDescent="0.2"/>
    <row r="18086" s="689" customFormat="1" x14ac:dyDescent="0.2"/>
    <row r="18087" s="689" customFormat="1" x14ac:dyDescent="0.2"/>
    <row r="18088" s="689" customFormat="1" x14ac:dyDescent="0.2"/>
    <row r="18089" s="689" customFormat="1" x14ac:dyDescent="0.2"/>
    <row r="18090" s="689" customFormat="1" x14ac:dyDescent="0.2"/>
    <row r="18091" s="689" customFormat="1" x14ac:dyDescent="0.2"/>
    <row r="18092" s="689" customFormat="1" x14ac:dyDescent="0.2"/>
    <row r="18093" s="689" customFormat="1" x14ac:dyDescent="0.2"/>
    <row r="18094" s="689" customFormat="1" x14ac:dyDescent="0.2"/>
    <row r="18095" s="689" customFormat="1" x14ac:dyDescent="0.2"/>
    <row r="18096" s="689" customFormat="1" x14ac:dyDescent="0.2"/>
    <row r="18097" s="689" customFormat="1" x14ac:dyDescent="0.2"/>
    <row r="18098" s="689" customFormat="1" x14ac:dyDescent="0.2"/>
    <row r="18099" s="689" customFormat="1" x14ac:dyDescent="0.2"/>
    <row r="18100" s="689" customFormat="1" x14ac:dyDescent="0.2"/>
    <row r="18101" s="689" customFormat="1" x14ac:dyDescent="0.2"/>
    <row r="18102" s="689" customFormat="1" x14ac:dyDescent="0.2"/>
    <row r="18103" s="689" customFormat="1" x14ac:dyDescent="0.2"/>
    <row r="18104" s="689" customFormat="1" x14ac:dyDescent="0.2"/>
    <row r="18105" s="689" customFormat="1" x14ac:dyDescent="0.2"/>
    <row r="18106" s="689" customFormat="1" x14ac:dyDescent="0.2"/>
    <row r="18107" s="689" customFormat="1" x14ac:dyDescent="0.2"/>
    <row r="18108" s="689" customFormat="1" x14ac:dyDescent="0.2"/>
    <row r="18109" s="689" customFormat="1" x14ac:dyDescent="0.2"/>
    <row r="18110" s="689" customFormat="1" x14ac:dyDescent="0.2"/>
    <row r="18111" s="689" customFormat="1" x14ac:dyDescent="0.2"/>
    <row r="18112" s="689" customFormat="1" x14ac:dyDescent="0.2"/>
    <row r="18113" s="689" customFormat="1" x14ac:dyDescent="0.2"/>
    <row r="18114" s="689" customFormat="1" x14ac:dyDescent="0.2"/>
    <row r="18115" s="689" customFormat="1" x14ac:dyDescent="0.2"/>
    <row r="18116" s="689" customFormat="1" x14ac:dyDescent="0.2"/>
    <row r="18117" s="689" customFormat="1" x14ac:dyDescent="0.2"/>
    <row r="18118" s="689" customFormat="1" x14ac:dyDescent="0.2"/>
    <row r="18119" s="689" customFormat="1" x14ac:dyDescent="0.2"/>
    <row r="18120" s="689" customFormat="1" x14ac:dyDescent="0.2"/>
    <row r="18121" s="689" customFormat="1" x14ac:dyDescent="0.2"/>
    <row r="18122" s="689" customFormat="1" x14ac:dyDescent="0.2"/>
    <row r="18123" s="689" customFormat="1" x14ac:dyDescent="0.2"/>
    <row r="18124" s="689" customFormat="1" x14ac:dyDescent="0.2"/>
    <row r="18125" s="689" customFormat="1" x14ac:dyDescent="0.2"/>
    <row r="18126" s="689" customFormat="1" x14ac:dyDescent="0.2"/>
    <row r="18127" s="689" customFormat="1" x14ac:dyDescent="0.2"/>
    <row r="18128" s="689" customFormat="1" x14ac:dyDescent="0.2"/>
    <row r="18129" s="689" customFormat="1" x14ac:dyDescent="0.2"/>
    <row r="18130" s="689" customFormat="1" x14ac:dyDescent="0.2"/>
    <row r="18131" s="689" customFormat="1" x14ac:dyDescent="0.2"/>
    <row r="18132" s="689" customFormat="1" x14ac:dyDescent="0.2"/>
    <row r="18133" s="689" customFormat="1" x14ac:dyDescent="0.2"/>
    <row r="18134" s="689" customFormat="1" x14ac:dyDescent="0.2"/>
    <row r="18135" s="689" customFormat="1" x14ac:dyDescent="0.2"/>
    <row r="18136" s="689" customFormat="1" x14ac:dyDescent="0.2"/>
    <row r="18137" s="689" customFormat="1" x14ac:dyDescent="0.2"/>
    <row r="18138" s="689" customFormat="1" x14ac:dyDescent="0.2"/>
    <row r="18139" s="689" customFormat="1" x14ac:dyDescent="0.2"/>
    <row r="18140" s="689" customFormat="1" x14ac:dyDescent="0.2"/>
    <row r="18141" s="689" customFormat="1" x14ac:dyDescent="0.2"/>
    <row r="18142" s="689" customFormat="1" x14ac:dyDescent="0.2"/>
    <row r="18143" s="689" customFormat="1" x14ac:dyDescent="0.2"/>
    <row r="18144" s="689" customFormat="1" x14ac:dyDescent="0.2"/>
    <row r="18145" s="689" customFormat="1" x14ac:dyDescent="0.2"/>
    <row r="18146" s="689" customFormat="1" x14ac:dyDescent="0.2"/>
    <row r="18147" s="689" customFormat="1" x14ac:dyDescent="0.2"/>
    <row r="18148" s="689" customFormat="1" x14ac:dyDescent="0.2"/>
    <row r="18149" s="689" customFormat="1" x14ac:dyDescent="0.2"/>
    <row r="18150" s="689" customFormat="1" x14ac:dyDescent="0.2"/>
    <row r="18151" s="689" customFormat="1" x14ac:dyDescent="0.2"/>
    <row r="18152" s="689" customFormat="1" x14ac:dyDescent="0.2"/>
    <row r="18153" s="689" customFormat="1" x14ac:dyDescent="0.2"/>
    <row r="18154" s="689" customFormat="1" x14ac:dyDescent="0.2"/>
    <row r="18155" s="689" customFormat="1" x14ac:dyDescent="0.2"/>
    <row r="18156" s="689" customFormat="1" x14ac:dyDescent="0.2"/>
    <row r="18157" s="689" customFormat="1" x14ac:dyDescent="0.2"/>
    <row r="18158" s="689" customFormat="1" x14ac:dyDescent="0.2"/>
    <row r="18159" s="689" customFormat="1" x14ac:dyDescent="0.2"/>
    <row r="18160" s="689" customFormat="1" x14ac:dyDescent="0.2"/>
    <row r="18161" s="689" customFormat="1" x14ac:dyDescent="0.2"/>
    <row r="18162" s="689" customFormat="1" x14ac:dyDescent="0.2"/>
    <row r="18163" s="689" customFormat="1" x14ac:dyDescent="0.2"/>
    <row r="18164" s="689" customFormat="1" x14ac:dyDescent="0.2"/>
    <row r="18165" s="689" customFormat="1" x14ac:dyDescent="0.2"/>
    <row r="18166" s="689" customFormat="1" x14ac:dyDescent="0.2"/>
    <row r="18167" s="689" customFormat="1" x14ac:dyDescent="0.2"/>
    <row r="18168" s="689" customFormat="1" x14ac:dyDescent="0.2"/>
    <row r="18169" s="689" customFormat="1" x14ac:dyDescent="0.2"/>
    <row r="18170" s="689" customFormat="1" x14ac:dyDescent="0.2"/>
    <row r="18171" s="689" customFormat="1" x14ac:dyDescent="0.2"/>
    <row r="18172" s="689" customFormat="1" x14ac:dyDescent="0.2"/>
    <row r="18173" s="689" customFormat="1" x14ac:dyDescent="0.2"/>
    <row r="18174" s="689" customFormat="1" x14ac:dyDescent="0.2"/>
    <row r="18175" s="689" customFormat="1" x14ac:dyDescent="0.2"/>
    <row r="18176" s="689" customFormat="1" x14ac:dyDescent="0.2"/>
    <row r="18177" s="689" customFormat="1" x14ac:dyDescent="0.2"/>
    <row r="18178" s="689" customFormat="1" x14ac:dyDescent="0.2"/>
    <row r="18179" s="689" customFormat="1" x14ac:dyDescent="0.2"/>
    <row r="18180" s="689" customFormat="1" x14ac:dyDescent="0.2"/>
    <row r="18181" s="689" customFormat="1" x14ac:dyDescent="0.2"/>
    <row r="18182" s="689" customFormat="1" x14ac:dyDescent="0.2"/>
    <row r="18183" s="689" customFormat="1" x14ac:dyDescent="0.2"/>
    <row r="18184" s="689" customFormat="1" x14ac:dyDescent="0.2"/>
    <row r="18185" s="689" customFormat="1" x14ac:dyDescent="0.2"/>
    <row r="18186" s="689" customFormat="1" x14ac:dyDescent="0.2"/>
    <row r="18187" s="689" customFormat="1" x14ac:dyDescent="0.2"/>
    <row r="18188" s="689" customFormat="1" x14ac:dyDescent="0.2"/>
    <row r="18189" s="689" customFormat="1" x14ac:dyDescent="0.2"/>
    <row r="18190" s="689" customFormat="1" x14ac:dyDescent="0.2"/>
    <row r="18191" s="689" customFormat="1" x14ac:dyDescent="0.2"/>
    <row r="18192" s="689" customFormat="1" x14ac:dyDescent="0.2"/>
    <row r="18193" s="689" customFormat="1" x14ac:dyDescent="0.2"/>
    <row r="18194" s="689" customFormat="1" x14ac:dyDescent="0.2"/>
    <row r="18195" s="689" customFormat="1" x14ac:dyDescent="0.2"/>
    <row r="18196" s="689" customFormat="1" x14ac:dyDescent="0.2"/>
    <row r="18197" s="689" customFormat="1" x14ac:dyDescent="0.2"/>
    <row r="18198" s="689" customFormat="1" x14ac:dyDescent="0.2"/>
    <row r="18199" s="689" customFormat="1" x14ac:dyDescent="0.2"/>
    <row r="18200" s="689" customFormat="1" x14ac:dyDescent="0.2"/>
    <row r="18201" s="689" customFormat="1" x14ac:dyDescent="0.2"/>
    <row r="18202" s="689" customFormat="1" x14ac:dyDescent="0.2"/>
    <row r="18203" s="689" customFormat="1" x14ac:dyDescent="0.2"/>
    <row r="18204" s="689" customFormat="1" x14ac:dyDescent="0.2"/>
    <row r="18205" s="689" customFormat="1" x14ac:dyDescent="0.2"/>
    <row r="18206" s="689" customFormat="1" x14ac:dyDescent="0.2"/>
    <row r="18207" s="689" customFormat="1" x14ac:dyDescent="0.2"/>
    <row r="18208" s="689" customFormat="1" x14ac:dyDescent="0.2"/>
    <row r="18209" s="689" customFormat="1" x14ac:dyDescent="0.2"/>
    <row r="18210" s="689" customFormat="1" x14ac:dyDescent="0.2"/>
    <row r="18211" s="689" customFormat="1" x14ac:dyDescent="0.2"/>
    <row r="18212" s="689" customFormat="1" x14ac:dyDescent="0.2"/>
    <row r="18213" s="689" customFormat="1" x14ac:dyDescent="0.2"/>
    <row r="18214" s="689" customFormat="1" x14ac:dyDescent="0.2"/>
    <row r="18215" s="689" customFormat="1" x14ac:dyDescent="0.2"/>
    <row r="18216" s="689" customFormat="1" x14ac:dyDescent="0.2"/>
    <row r="18217" s="689" customFormat="1" x14ac:dyDescent="0.2"/>
    <row r="18218" s="689" customFormat="1" x14ac:dyDescent="0.2"/>
    <row r="18219" s="689" customFormat="1" x14ac:dyDescent="0.2"/>
    <row r="18220" s="689" customFormat="1" x14ac:dyDescent="0.2"/>
    <row r="18221" s="689" customFormat="1" x14ac:dyDescent="0.2"/>
    <row r="18222" s="689" customFormat="1" x14ac:dyDescent="0.2"/>
    <row r="18223" s="689" customFormat="1" x14ac:dyDescent="0.2"/>
    <row r="18224" s="689" customFormat="1" x14ac:dyDescent="0.2"/>
    <row r="18225" s="689" customFormat="1" x14ac:dyDescent="0.2"/>
    <row r="18226" s="689" customFormat="1" x14ac:dyDescent="0.2"/>
    <row r="18227" s="689" customFormat="1" x14ac:dyDescent="0.2"/>
    <row r="18228" s="689" customFormat="1" x14ac:dyDescent="0.2"/>
    <row r="18229" s="689" customFormat="1" x14ac:dyDescent="0.2"/>
    <row r="18230" s="689" customFormat="1" x14ac:dyDescent="0.2"/>
    <row r="18231" s="689" customFormat="1" x14ac:dyDescent="0.2"/>
    <row r="18232" s="689" customFormat="1" x14ac:dyDescent="0.2"/>
    <row r="18233" s="689" customFormat="1" x14ac:dyDescent="0.2"/>
    <row r="18234" s="689" customFormat="1" x14ac:dyDescent="0.2"/>
    <row r="18235" s="689" customFormat="1" x14ac:dyDescent="0.2"/>
    <row r="18236" s="689" customFormat="1" x14ac:dyDescent="0.2"/>
    <row r="18237" s="689" customFormat="1" x14ac:dyDescent="0.2"/>
    <row r="18238" s="689" customFormat="1" x14ac:dyDescent="0.2"/>
    <row r="18239" s="689" customFormat="1" x14ac:dyDescent="0.2"/>
    <row r="18240" s="689" customFormat="1" x14ac:dyDescent="0.2"/>
    <row r="18241" s="689" customFormat="1" x14ac:dyDescent="0.2"/>
    <row r="18242" s="689" customFormat="1" x14ac:dyDescent="0.2"/>
    <row r="18243" s="689" customFormat="1" x14ac:dyDescent="0.2"/>
    <row r="18244" s="689" customFormat="1" x14ac:dyDescent="0.2"/>
    <row r="18245" s="689" customFormat="1" x14ac:dyDescent="0.2"/>
    <row r="18246" s="689" customFormat="1" x14ac:dyDescent="0.2"/>
    <row r="18247" s="689" customFormat="1" x14ac:dyDescent="0.2"/>
    <row r="18248" s="689" customFormat="1" x14ac:dyDescent="0.2"/>
    <row r="18249" s="689" customFormat="1" x14ac:dyDescent="0.2"/>
    <row r="18250" s="689" customFormat="1" x14ac:dyDescent="0.2"/>
    <row r="18251" s="689" customFormat="1" x14ac:dyDescent="0.2"/>
    <row r="18252" s="689" customFormat="1" x14ac:dyDescent="0.2"/>
    <row r="18253" s="689" customFormat="1" x14ac:dyDescent="0.2"/>
    <row r="18254" s="689" customFormat="1" x14ac:dyDescent="0.2"/>
    <row r="18255" s="689" customFormat="1" x14ac:dyDescent="0.2"/>
    <row r="18256" s="689" customFormat="1" x14ac:dyDescent="0.2"/>
    <row r="18257" s="689" customFormat="1" x14ac:dyDescent="0.2"/>
    <row r="18258" s="689" customFormat="1" x14ac:dyDescent="0.2"/>
    <row r="18259" s="689" customFormat="1" x14ac:dyDescent="0.2"/>
    <row r="18260" s="689" customFormat="1" x14ac:dyDescent="0.2"/>
    <row r="18261" s="689" customFormat="1" x14ac:dyDescent="0.2"/>
    <row r="18262" s="689" customFormat="1" x14ac:dyDescent="0.2"/>
    <row r="18263" s="689" customFormat="1" x14ac:dyDescent="0.2"/>
    <row r="18264" s="689" customFormat="1" x14ac:dyDescent="0.2"/>
    <row r="18265" s="689" customFormat="1" x14ac:dyDescent="0.2"/>
    <row r="18266" s="689" customFormat="1" x14ac:dyDescent="0.2"/>
    <row r="18267" s="689" customFormat="1" x14ac:dyDescent="0.2"/>
    <row r="18268" s="689" customFormat="1" x14ac:dyDescent="0.2"/>
    <row r="18269" s="689" customFormat="1" x14ac:dyDescent="0.2"/>
    <row r="18270" s="689" customFormat="1" x14ac:dyDescent="0.2"/>
    <row r="18271" s="689" customFormat="1" x14ac:dyDescent="0.2"/>
    <row r="18272" s="689" customFormat="1" x14ac:dyDescent="0.2"/>
    <row r="18273" s="689" customFormat="1" x14ac:dyDescent="0.2"/>
    <row r="18274" s="689" customFormat="1" x14ac:dyDescent="0.2"/>
    <row r="18275" s="689" customFormat="1" x14ac:dyDescent="0.2"/>
    <row r="18276" s="689" customFormat="1" x14ac:dyDescent="0.2"/>
    <row r="18277" s="689" customFormat="1" x14ac:dyDescent="0.2"/>
    <row r="18278" s="689" customFormat="1" x14ac:dyDescent="0.2"/>
    <row r="18279" s="689" customFormat="1" x14ac:dyDescent="0.2"/>
    <row r="18280" s="689" customFormat="1" x14ac:dyDescent="0.2"/>
    <row r="18281" s="689" customFormat="1" x14ac:dyDescent="0.2"/>
    <row r="18282" s="689" customFormat="1" x14ac:dyDescent="0.2"/>
    <row r="18283" s="689" customFormat="1" x14ac:dyDescent="0.2"/>
    <row r="18284" s="689" customFormat="1" x14ac:dyDescent="0.2"/>
    <row r="18285" s="689" customFormat="1" x14ac:dyDescent="0.2"/>
    <row r="18286" s="689" customFormat="1" x14ac:dyDescent="0.2"/>
    <row r="18287" s="689" customFormat="1" x14ac:dyDescent="0.2"/>
    <row r="18288" s="689" customFormat="1" x14ac:dyDescent="0.2"/>
    <row r="18289" s="689" customFormat="1" x14ac:dyDescent="0.2"/>
    <row r="18290" s="689" customFormat="1" x14ac:dyDescent="0.2"/>
    <row r="18291" s="689" customFormat="1" x14ac:dyDescent="0.2"/>
    <row r="18292" s="689" customFormat="1" x14ac:dyDescent="0.2"/>
    <row r="18293" s="689" customFormat="1" x14ac:dyDescent="0.2"/>
    <row r="18294" s="689" customFormat="1" x14ac:dyDescent="0.2"/>
    <row r="18295" s="689" customFormat="1" x14ac:dyDescent="0.2"/>
    <row r="18296" s="689" customFormat="1" x14ac:dyDescent="0.2"/>
    <row r="18297" s="689" customFormat="1" x14ac:dyDescent="0.2"/>
    <row r="18298" s="689" customFormat="1" x14ac:dyDescent="0.2"/>
    <row r="18299" s="689" customFormat="1" x14ac:dyDescent="0.2"/>
    <row r="18300" s="689" customFormat="1" x14ac:dyDescent="0.2"/>
    <row r="18301" s="689" customFormat="1" x14ac:dyDescent="0.2"/>
    <row r="18302" s="689" customFormat="1" x14ac:dyDescent="0.2"/>
    <row r="18303" s="689" customFormat="1" x14ac:dyDescent="0.2"/>
    <row r="18304" s="689" customFormat="1" x14ac:dyDescent="0.2"/>
    <row r="18305" s="689" customFormat="1" x14ac:dyDescent="0.2"/>
    <row r="18306" s="689" customFormat="1" x14ac:dyDescent="0.2"/>
    <row r="18307" s="689" customFormat="1" x14ac:dyDescent="0.2"/>
    <row r="18308" s="689" customFormat="1" x14ac:dyDescent="0.2"/>
    <row r="18309" s="689" customFormat="1" x14ac:dyDescent="0.2"/>
    <row r="18310" s="689" customFormat="1" x14ac:dyDescent="0.2"/>
    <row r="18311" s="689" customFormat="1" x14ac:dyDescent="0.2"/>
    <row r="18312" s="689" customFormat="1" x14ac:dyDescent="0.2"/>
    <row r="18313" s="689" customFormat="1" x14ac:dyDescent="0.2"/>
    <row r="18314" s="689" customFormat="1" x14ac:dyDescent="0.2"/>
    <row r="18315" s="689" customFormat="1" x14ac:dyDescent="0.2"/>
    <row r="18316" s="689" customFormat="1" x14ac:dyDescent="0.2"/>
    <row r="18317" s="689" customFormat="1" x14ac:dyDescent="0.2"/>
    <row r="18318" s="689" customFormat="1" x14ac:dyDescent="0.2"/>
    <row r="18319" s="689" customFormat="1" x14ac:dyDescent="0.2"/>
    <row r="18320" s="689" customFormat="1" x14ac:dyDescent="0.2"/>
    <row r="18321" s="689" customFormat="1" x14ac:dyDescent="0.2"/>
    <row r="18322" s="689" customFormat="1" x14ac:dyDescent="0.2"/>
    <row r="18323" s="689" customFormat="1" x14ac:dyDescent="0.2"/>
    <row r="18324" s="689" customFormat="1" x14ac:dyDescent="0.2"/>
    <row r="18325" s="689" customFormat="1" x14ac:dyDescent="0.2"/>
    <row r="18326" s="689" customFormat="1" x14ac:dyDescent="0.2"/>
    <row r="18327" s="689" customFormat="1" x14ac:dyDescent="0.2"/>
    <row r="18328" s="689" customFormat="1" x14ac:dyDescent="0.2"/>
    <row r="18329" s="689" customFormat="1" x14ac:dyDescent="0.2"/>
    <row r="18330" s="689" customFormat="1" x14ac:dyDescent="0.2"/>
    <row r="18331" s="689" customFormat="1" x14ac:dyDescent="0.2"/>
    <row r="18332" s="689" customFormat="1" x14ac:dyDescent="0.2"/>
    <row r="18333" s="689" customFormat="1" x14ac:dyDescent="0.2"/>
    <row r="18334" s="689" customFormat="1" x14ac:dyDescent="0.2"/>
    <row r="18335" s="689" customFormat="1" x14ac:dyDescent="0.2"/>
    <row r="18336" s="689" customFormat="1" x14ac:dyDescent="0.2"/>
    <row r="18337" s="689" customFormat="1" x14ac:dyDescent="0.2"/>
    <row r="18338" s="689" customFormat="1" x14ac:dyDescent="0.2"/>
    <row r="18339" s="689" customFormat="1" x14ac:dyDescent="0.2"/>
    <row r="18340" s="689" customFormat="1" x14ac:dyDescent="0.2"/>
    <row r="18341" s="689" customFormat="1" x14ac:dyDescent="0.2"/>
    <row r="18342" s="689" customFormat="1" x14ac:dyDescent="0.2"/>
    <row r="18343" s="689" customFormat="1" x14ac:dyDescent="0.2"/>
    <row r="18344" s="689" customFormat="1" x14ac:dyDescent="0.2"/>
    <row r="18345" s="689" customFormat="1" x14ac:dyDescent="0.2"/>
    <row r="18346" s="689" customFormat="1" x14ac:dyDescent="0.2"/>
    <row r="18347" s="689" customFormat="1" x14ac:dyDescent="0.2"/>
    <row r="18348" s="689" customFormat="1" x14ac:dyDescent="0.2"/>
    <row r="18349" s="689" customFormat="1" x14ac:dyDescent="0.2"/>
    <row r="18350" s="689" customFormat="1" x14ac:dyDescent="0.2"/>
    <row r="18351" s="689" customFormat="1" x14ac:dyDescent="0.2"/>
    <row r="18352" s="689" customFormat="1" x14ac:dyDescent="0.2"/>
    <row r="18353" s="689" customFormat="1" x14ac:dyDescent="0.2"/>
    <row r="18354" s="689" customFormat="1" x14ac:dyDescent="0.2"/>
    <row r="18355" s="689" customFormat="1" x14ac:dyDescent="0.2"/>
    <row r="18356" s="689" customFormat="1" x14ac:dyDescent="0.2"/>
    <row r="18357" s="689" customFormat="1" x14ac:dyDescent="0.2"/>
    <row r="18358" s="689" customFormat="1" x14ac:dyDescent="0.2"/>
    <row r="18359" s="689" customFormat="1" x14ac:dyDescent="0.2"/>
    <row r="18360" s="689" customFormat="1" x14ac:dyDescent="0.2"/>
    <row r="18361" s="689" customFormat="1" x14ac:dyDescent="0.2"/>
    <row r="18362" s="689" customFormat="1" x14ac:dyDescent="0.2"/>
    <row r="18363" s="689" customFormat="1" x14ac:dyDescent="0.2"/>
    <row r="18364" s="689" customFormat="1" x14ac:dyDescent="0.2"/>
    <row r="18365" s="689" customFormat="1" x14ac:dyDescent="0.2"/>
    <row r="18366" s="689" customFormat="1" x14ac:dyDescent="0.2"/>
    <row r="18367" s="689" customFormat="1" x14ac:dyDescent="0.2"/>
    <row r="18368" s="689" customFormat="1" x14ac:dyDescent="0.2"/>
    <row r="18369" s="689" customFormat="1" x14ac:dyDescent="0.2"/>
    <row r="18370" s="689" customFormat="1" x14ac:dyDescent="0.2"/>
    <row r="18371" s="689" customFormat="1" x14ac:dyDescent="0.2"/>
    <row r="18372" s="689" customFormat="1" x14ac:dyDescent="0.2"/>
    <row r="18373" s="689" customFormat="1" x14ac:dyDescent="0.2"/>
    <row r="18374" s="689" customFormat="1" x14ac:dyDescent="0.2"/>
    <row r="18375" s="689" customFormat="1" x14ac:dyDescent="0.2"/>
    <row r="18376" s="689" customFormat="1" x14ac:dyDescent="0.2"/>
    <row r="18377" s="689" customFormat="1" x14ac:dyDescent="0.2"/>
    <row r="18378" s="689" customFormat="1" x14ac:dyDescent="0.2"/>
    <row r="18379" s="689" customFormat="1" x14ac:dyDescent="0.2"/>
    <row r="18380" s="689" customFormat="1" x14ac:dyDescent="0.2"/>
    <row r="18381" s="689" customFormat="1" x14ac:dyDescent="0.2"/>
    <row r="18382" s="689" customFormat="1" x14ac:dyDescent="0.2"/>
    <row r="18383" s="689" customFormat="1" x14ac:dyDescent="0.2"/>
    <row r="18384" s="689" customFormat="1" x14ac:dyDescent="0.2"/>
    <row r="18385" s="689" customFormat="1" x14ac:dyDescent="0.2"/>
    <row r="18386" s="689" customFormat="1" x14ac:dyDescent="0.2"/>
    <row r="18387" s="689" customFormat="1" x14ac:dyDescent="0.2"/>
    <row r="18388" s="689" customFormat="1" x14ac:dyDescent="0.2"/>
    <row r="18389" s="689" customFormat="1" x14ac:dyDescent="0.2"/>
    <row r="18390" s="689" customFormat="1" x14ac:dyDescent="0.2"/>
    <row r="18391" s="689" customFormat="1" x14ac:dyDescent="0.2"/>
    <row r="18392" s="689" customFormat="1" x14ac:dyDescent="0.2"/>
    <row r="18393" s="689" customFormat="1" x14ac:dyDescent="0.2"/>
    <row r="18394" s="689" customFormat="1" x14ac:dyDescent="0.2"/>
    <row r="18395" s="689" customFormat="1" x14ac:dyDescent="0.2"/>
    <row r="18396" s="689" customFormat="1" x14ac:dyDescent="0.2"/>
    <row r="18397" s="689" customFormat="1" x14ac:dyDescent="0.2"/>
    <row r="18398" s="689" customFormat="1" x14ac:dyDescent="0.2"/>
    <row r="18399" s="689" customFormat="1" x14ac:dyDescent="0.2"/>
    <row r="18400" s="689" customFormat="1" x14ac:dyDescent="0.2"/>
    <row r="18401" s="689" customFormat="1" x14ac:dyDescent="0.2"/>
    <row r="18402" s="689" customFormat="1" x14ac:dyDescent="0.2"/>
    <row r="18403" s="689" customFormat="1" x14ac:dyDescent="0.2"/>
    <row r="18404" s="689" customFormat="1" x14ac:dyDescent="0.2"/>
    <row r="18405" s="689" customFormat="1" x14ac:dyDescent="0.2"/>
    <row r="18406" s="689" customFormat="1" x14ac:dyDescent="0.2"/>
    <row r="18407" s="689" customFormat="1" x14ac:dyDescent="0.2"/>
    <row r="18408" s="689" customFormat="1" x14ac:dyDescent="0.2"/>
    <row r="18409" s="689" customFormat="1" x14ac:dyDescent="0.2"/>
    <row r="18410" s="689" customFormat="1" x14ac:dyDescent="0.2"/>
    <row r="18411" s="689" customFormat="1" x14ac:dyDescent="0.2"/>
    <row r="18412" s="689" customFormat="1" x14ac:dyDescent="0.2"/>
    <row r="18413" s="689" customFormat="1" x14ac:dyDescent="0.2"/>
    <row r="18414" s="689" customFormat="1" x14ac:dyDescent="0.2"/>
    <row r="18415" s="689" customFormat="1" x14ac:dyDescent="0.2"/>
    <row r="18416" s="689" customFormat="1" x14ac:dyDescent="0.2"/>
    <row r="18417" s="689" customFormat="1" x14ac:dyDescent="0.2"/>
    <row r="18418" s="689" customFormat="1" x14ac:dyDescent="0.2"/>
    <row r="18419" s="689" customFormat="1" x14ac:dyDescent="0.2"/>
    <row r="18420" s="689" customFormat="1" x14ac:dyDescent="0.2"/>
    <row r="18421" s="689" customFormat="1" x14ac:dyDescent="0.2"/>
    <row r="18422" s="689" customFormat="1" x14ac:dyDescent="0.2"/>
    <row r="18423" s="689" customFormat="1" x14ac:dyDescent="0.2"/>
    <row r="18424" s="689" customFormat="1" x14ac:dyDescent="0.2"/>
    <row r="18425" s="689" customFormat="1" x14ac:dyDescent="0.2"/>
    <row r="18426" s="689" customFormat="1" x14ac:dyDescent="0.2"/>
    <row r="18427" s="689" customFormat="1" x14ac:dyDescent="0.2"/>
    <row r="18428" s="689" customFormat="1" x14ac:dyDescent="0.2"/>
    <row r="18429" s="689" customFormat="1" x14ac:dyDescent="0.2"/>
    <row r="18430" s="689" customFormat="1" x14ac:dyDescent="0.2"/>
    <row r="18431" s="689" customFormat="1" x14ac:dyDescent="0.2"/>
    <row r="18432" s="689" customFormat="1" x14ac:dyDescent="0.2"/>
    <row r="18433" s="689" customFormat="1" x14ac:dyDescent="0.2"/>
    <row r="18434" s="689" customFormat="1" x14ac:dyDescent="0.2"/>
    <row r="18435" s="689" customFormat="1" x14ac:dyDescent="0.2"/>
    <row r="18436" s="689" customFormat="1" x14ac:dyDescent="0.2"/>
    <row r="18437" s="689" customFormat="1" x14ac:dyDescent="0.2"/>
    <row r="18438" s="689" customFormat="1" x14ac:dyDescent="0.2"/>
    <row r="18439" s="689" customFormat="1" x14ac:dyDescent="0.2"/>
    <row r="18440" s="689" customFormat="1" x14ac:dyDescent="0.2"/>
    <row r="18441" s="689" customFormat="1" x14ac:dyDescent="0.2"/>
    <row r="18442" s="689" customFormat="1" x14ac:dyDescent="0.2"/>
    <row r="18443" s="689" customFormat="1" x14ac:dyDescent="0.2"/>
    <row r="18444" s="689" customFormat="1" x14ac:dyDescent="0.2"/>
    <row r="18445" s="689" customFormat="1" x14ac:dyDescent="0.2"/>
    <row r="18446" s="689" customFormat="1" x14ac:dyDescent="0.2"/>
    <row r="18447" s="689" customFormat="1" x14ac:dyDescent="0.2"/>
    <row r="18448" s="689" customFormat="1" x14ac:dyDescent="0.2"/>
    <row r="18449" s="689" customFormat="1" x14ac:dyDescent="0.2"/>
    <row r="18450" s="689" customFormat="1" x14ac:dyDescent="0.2"/>
    <row r="18451" s="689" customFormat="1" x14ac:dyDescent="0.2"/>
    <row r="18452" s="689" customFormat="1" x14ac:dyDescent="0.2"/>
    <row r="18453" s="689" customFormat="1" x14ac:dyDescent="0.2"/>
    <row r="18454" s="689" customFormat="1" x14ac:dyDescent="0.2"/>
    <row r="18455" s="689" customFormat="1" x14ac:dyDescent="0.2"/>
    <row r="18456" s="689" customFormat="1" x14ac:dyDescent="0.2"/>
    <row r="18457" s="689" customFormat="1" x14ac:dyDescent="0.2"/>
    <row r="18458" s="689" customFormat="1" x14ac:dyDescent="0.2"/>
    <row r="18459" s="689" customFormat="1" x14ac:dyDescent="0.2"/>
    <row r="18460" s="689" customFormat="1" x14ac:dyDescent="0.2"/>
    <row r="18461" s="689" customFormat="1" x14ac:dyDescent="0.2"/>
    <row r="18462" s="689" customFormat="1" x14ac:dyDescent="0.2"/>
    <row r="18463" s="689" customFormat="1" x14ac:dyDescent="0.2"/>
    <row r="18464" s="689" customFormat="1" x14ac:dyDescent="0.2"/>
    <row r="18465" s="689" customFormat="1" x14ac:dyDescent="0.2"/>
    <row r="18466" s="689" customFormat="1" x14ac:dyDescent="0.2"/>
    <row r="18467" s="689" customFormat="1" x14ac:dyDescent="0.2"/>
    <row r="18468" s="689" customFormat="1" x14ac:dyDescent="0.2"/>
    <row r="18469" s="689" customFormat="1" x14ac:dyDescent="0.2"/>
    <row r="18470" s="689" customFormat="1" x14ac:dyDescent="0.2"/>
    <row r="18471" s="689" customFormat="1" x14ac:dyDescent="0.2"/>
    <row r="18472" s="689" customFormat="1" x14ac:dyDescent="0.2"/>
    <row r="18473" s="689" customFormat="1" x14ac:dyDescent="0.2"/>
    <row r="18474" s="689" customFormat="1" x14ac:dyDescent="0.2"/>
    <row r="18475" s="689" customFormat="1" x14ac:dyDescent="0.2"/>
    <row r="18476" s="689" customFormat="1" x14ac:dyDescent="0.2"/>
    <row r="18477" s="689" customFormat="1" x14ac:dyDescent="0.2"/>
    <row r="18478" s="689" customFormat="1" x14ac:dyDescent="0.2"/>
    <row r="18479" s="689" customFormat="1" x14ac:dyDescent="0.2"/>
    <row r="18480" s="689" customFormat="1" x14ac:dyDescent="0.2"/>
    <row r="18481" s="689" customFormat="1" x14ac:dyDescent="0.2"/>
    <row r="18482" s="689" customFormat="1" x14ac:dyDescent="0.2"/>
    <row r="18483" s="689" customFormat="1" x14ac:dyDescent="0.2"/>
    <row r="18484" s="689" customFormat="1" x14ac:dyDescent="0.2"/>
    <row r="18485" s="689" customFormat="1" x14ac:dyDescent="0.2"/>
    <row r="18486" s="689" customFormat="1" x14ac:dyDescent="0.2"/>
    <row r="18487" s="689" customFormat="1" x14ac:dyDescent="0.2"/>
    <row r="18488" s="689" customFormat="1" x14ac:dyDescent="0.2"/>
    <row r="18489" s="689" customFormat="1" x14ac:dyDescent="0.2"/>
    <row r="18490" s="689" customFormat="1" x14ac:dyDescent="0.2"/>
    <row r="18491" s="689" customFormat="1" x14ac:dyDescent="0.2"/>
    <row r="18492" s="689" customFormat="1" x14ac:dyDescent="0.2"/>
    <row r="18493" s="689" customFormat="1" x14ac:dyDescent="0.2"/>
    <row r="18494" s="689" customFormat="1" x14ac:dyDescent="0.2"/>
    <row r="18495" s="689" customFormat="1" x14ac:dyDescent="0.2"/>
    <row r="18496" s="689" customFormat="1" x14ac:dyDescent="0.2"/>
    <row r="18497" s="689" customFormat="1" x14ac:dyDescent="0.2"/>
    <row r="18498" s="689" customFormat="1" x14ac:dyDescent="0.2"/>
    <row r="18499" s="689" customFormat="1" x14ac:dyDescent="0.2"/>
    <row r="18500" s="689" customFormat="1" x14ac:dyDescent="0.2"/>
    <row r="18501" s="689" customFormat="1" x14ac:dyDescent="0.2"/>
    <row r="18502" s="689" customFormat="1" x14ac:dyDescent="0.2"/>
    <row r="18503" s="689" customFormat="1" x14ac:dyDescent="0.2"/>
    <row r="18504" s="689" customFormat="1" x14ac:dyDescent="0.2"/>
    <row r="18505" s="689" customFormat="1" x14ac:dyDescent="0.2"/>
    <row r="18506" s="689" customFormat="1" x14ac:dyDescent="0.2"/>
    <row r="18507" s="689" customFormat="1" x14ac:dyDescent="0.2"/>
    <row r="18508" s="689" customFormat="1" x14ac:dyDescent="0.2"/>
    <row r="18509" s="689" customFormat="1" x14ac:dyDescent="0.2"/>
    <row r="18510" s="689" customFormat="1" x14ac:dyDescent="0.2"/>
    <row r="18511" s="689" customFormat="1" x14ac:dyDescent="0.2"/>
    <row r="18512" s="689" customFormat="1" x14ac:dyDescent="0.2"/>
    <row r="18513" s="689" customFormat="1" x14ac:dyDescent="0.2"/>
    <row r="18514" s="689" customFormat="1" x14ac:dyDescent="0.2"/>
    <row r="18515" s="689" customFormat="1" x14ac:dyDescent="0.2"/>
    <row r="18516" s="689" customFormat="1" x14ac:dyDescent="0.2"/>
    <row r="18517" s="689" customFormat="1" x14ac:dyDescent="0.2"/>
    <row r="18518" s="689" customFormat="1" x14ac:dyDescent="0.2"/>
    <row r="18519" s="689" customFormat="1" x14ac:dyDescent="0.2"/>
    <row r="18520" s="689" customFormat="1" x14ac:dyDescent="0.2"/>
    <row r="18521" s="689" customFormat="1" x14ac:dyDescent="0.2"/>
    <row r="18522" s="689" customFormat="1" x14ac:dyDescent="0.2"/>
    <row r="18523" s="689" customFormat="1" x14ac:dyDescent="0.2"/>
    <row r="18524" s="689" customFormat="1" x14ac:dyDescent="0.2"/>
    <row r="18525" s="689" customFormat="1" x14ac:dyDescent="0.2"/>
    <row r="18526" s="689" customFormat="1" x14ac:dyDescent="0.2"/>
    <row r="18527" s="689" customFormat="1" x14ac:dyDescent="0.2"/>
    <row r="18528" s="689" customFormat="1" x14ac:dyDescent="0.2"/>
    <row r="18529" s="689" customFormat="1" x14ac:dyDescent="0.2"/>
    <row r="18530" s="689" customFormat="1" x14ac:dyDescent="0.2"/>
    <row r="18531" s="689" customFormat="1" x14ac:dyDescent="0.2"/>
    <row r="18532" s="689" customFormat="1" x14ac:dyDescent="0.2"/>
    <row r="18533" s="689" customFormat="1" x14ac:dyDescent="0.2"/>
    <row r="18534" s="689" customFormat="1" x14ac:dyDescent="0.2"/>
    <row r="18535" s="689" customFormat="1" x14ac:dyDescent="0.2"/>
    <row r="18536" s="689" customFormat="1" x14ac:dyDescent="0.2"/>
    <row r="18537" s="689" customFormat="1" x14ac:dyDescent="0.2"/>
    <row r="18538" s="689" customFormat="1" x14ac:dyDescent="0.2"/>
    <row r="18539" s="689" customFormat="1" x14ac:dyDescent="0.2"/>
    <row r="18540" s="689" customFormat="1" x14ac:dyDescent="0.2"/>
    <row r="18541" s="689" customFormat="1" x14ac:dyDescent="0.2"/>
    <row r="18542" s="689" customFormat="1" x14ac:dyDescent="0.2"/>
    <row r="18543" s="689" customFormat="1" x14ac:dyDescent="0.2"/>
    <row r="18544" s="689" customFormat="1" x14ac:dyDescent="0.2"/>
    <row r="18545" s="689" customFormat="1" x14ac:dyDescent="0.2"/>
    <row r="18546" s="689" customFormat="1" x14ac:dyDescent="0.2"/>
    <row r="18547" s="689" customFormat="1" x14ac:dyDescent="0.2"/>
    <row r="18548" s="689" customFormat="1" x14ac:dyDescent="0.2"/>
    <row r="18549" s="689" customFormat="1" x14ac:dyDescent="0.2"/>
    <row r="18550" s="689" customFormat="1" x14ac:dyDescent="0.2"/>
    <row r="18551" s="689" customFormat="1" x14ac:dyDescent="0.2"/>
    <row r="18552" s="689" customFormat="1" x14ac:dyDescent="0.2"/>
    <row r="18553" s="689" customFormat="1" x14ac:dyDescent="0.2"/>
    <row r="18554" s="689" customFormat="1" x14ac:dyDescent="0.2"/>
    <row r="18555" s="689" customFormat="1" x14ac:dyDescent="0.2"/>
    <row r="18556" s="689" customFormat="1" x14ac:dyDescent="0.2"/>
    <row r="18557" s="689" customFormat="1" x14ac:dyDescent="0.2"/>
    <row r="18558" s="689" customFormat="1" x14ac:dyDescent="0.2"/>
    <row r="18559" s="689" customFormat="1" x14ac:dyDescent="0.2"/>
    <row r="18560" s="689" customFormat="1" x14ac:dyDescent="0.2"/>
    <row r="18561" s="689" customFormat="1" x14ac:dyDescent="0.2"/>
    <row r="18562" s="689" customFormat="1" x14ac:dyDescent="0.2"/>
    <row r="18563" s="689" customFormat="1" x14ac:dyDescent="0.2"/>
    <row r="18564" s="689" customFormat="1" x14ac:dyDescent="0.2"/>
    <row r="18565" s="689" customFormat="1" x14ac:dyDescent="0.2"/>
    <row r="18566" s="689" customFormat="1" x14ac:dyDescent="0.2"/>
    <row r="18567" s="689" customFormat="1" x14ac:dyDescent="0.2"/>
    <row r="18568" s="689" customFormat="1" x14ac:dyDescent="0.2"/>
    <row r="18569" s="689" customFormat="1" x14ac:dyDescent="0.2"/>
    <row r="18570" s="689" customFormat="1" x14ac:dyDescent="0.2"/>
    <row r="18571" s="689" customFormat="1" x14ac:dyDescent="0.2"/>
    <row r="18572" s="689" customFormat="1" x14ac:dyDescent="0.2"/>
    <row r="18573" s="689" customFormat="1" x14ac:dyDescent="0.2"/>
    <row r="18574" s="689" customFormat="1" x14ac:dyDescent="0.2"/>
    <row r="18575" s="689" customFormat="1" x14ac:dyDescent="0.2"/>
    <row r="18576" s="689" customFormat="1" x14ac:dyDescent="0.2"/>
    <row r="18577" s="689" customFormat="1" x14ac:dyDescent="0.2"/>
    <row r="18578" s="689" customFormat="1" x14ac:dyDescent="0.2"/>
    <row r="18579" s="689" customFormat="1" x14ac:dyDescent="0.2"/>
    <row r="18580" s="689" customFormat="1" x14ac:dyDescent="0.2"/>
    <row r="18581" s="689" customFormat="1" x14ac:dyDescent="0.2"/>
    <row r="18582" s="689" customFormat="1" x14ac:dyDescent="0.2"/>
    <row r="18583" s="689" customFormat="1" x14ac:dyDescent="0.2"/>
    <row r="18584" s="689" customFormat="1" x14ac:dyDescent="0.2"/>
    <row r="18585" s="689" customFormat="1" x14ac:dyDescent="0.2"/>
    <row r="18586" s="689" customFormat="1" x14ac:dyDescent="0.2"/>
    <row r="18587" s="689" customFormat="1" x14ac:dyDescent="0.2"/>
    <row r="18588" s="689" customFormat="1" x14ac:dyDescent="0.2"/>
    <row r="18589" s="689" customFormat="1" x14ac:dyDescent="0.2"/>
    <row r="18590" s="689" customFormat="1" x14ac:dyDescent="0.2"/>
    <row r="18591" s="689" customFormat="1" x14ac:dyDescent="0.2"/>
    <row r="18592" s="689" customFormat="1" x14ac:dyDescent="0.2"/>
    <row r="18593" s="689" customFormat="1" x14ac:dyDescent="0.2"/>
    <row r="18594" s="689" customFormat="1" x14ac:dyDescent="0.2"/>
    <row r="18595" s="689" customFormat="1" x14ac:dyDescent="0.2"/>
    <row r="18596" s="689" customFormat="1" x14ac:dyDescent="0.2"/>
    <row r="18597" s="689" customFormat="1" x14ac:dyDescent="0.2"/>
    <row r="18598" s="689" customFormat="1" x14ac:dyDescent="0.2"/>
    <row r="18599" s="689" customFormat="1" x14ac:dyDescent="0.2"/>
    <row r="18600" s="689" customFormat="1" x14ac:dyDescent="0.2"/>
    <row r="18601" s="689" customFormat="1" x14ac:dyDescent="0.2"/>
    <row r="18602" s="689" customFormat="1" x14ac:dyDescent="0.2"/>
    <row r="18603" s="689" customFormat="1" x14ac:dyDescent="0.2"/>
    <row r="18604" s="689" customFormat="1" x14ac:dyDescent="0.2"/>
    <row r="18605" s="689" customFormat="1" x14ac:dyDescent="0.2"/>
    <row r="18606" s="689" customFormat="1" x14ac:dyDescent="0.2"/>
    <row r="18607" s="689" customFormat="1" x14ac:dyDescent="0.2"/>
    <row r="18608" s="689" customFormat="1" x14ac:dyDescent="0.2"/>
    <row r="18609" s="689" customFormat="1" x14ac:dyDescent="0.2"/>
    <row r="18610" s="689" customFormat="1" x14ac:dyDescent="0.2"/>
    <row r="18611" s="689" customFormat="1" x14ac:dyDescent="0.2"/>
    <row r="18612" s="689" customFormat="1" x14ac:dyDescent="0.2"/>
    <row r="18613" s="689" customFormat="1" x14ac:dyDescent="0.2"/>
    <row r="18614" s="689" customFormat="1" x14ac:dyDescent="0.2"/>
    <row r="18615" s="689" customFormat="1" x14ac:dyDescent="0.2"/>
    <row r="18616" s="689" customFormat="1" x14ac:dyDescent="0.2"/>
    <row r="18617" s="689" customFormat="1" x14ac:dyDescent="0.2"/>
    <row r="18618" s="689" customFormat="1" x14ac:dyDescent="0.2"/>
    <row r="18619" s="689" customFormat="1" x14ac:dyDescent="0.2"/>
    <row r="18620" s="689" customFormat="1" x14ac:dyDescent="0.2"/>
    <row r="18621" s="689" customFormat="1" x14ac:dyDescent="0.2"/>
    <row r="18622" s="689" customFormat="1" x14ac:dyDescent="0.2"/>
    <row r="18623" s="689" customFormat="1" x14ac:dyDescent="0.2"/>
    <row r="18624" s="689" customFormat="1" x14ac:dyDescent="0.2"/>
    <row r="18625" s="689" customFormat="1" x14ac:dyDescent="0.2"/>
    <row r="18626" s="689" customFormat="1" x14ac:dyDescent="0.2"/>
    <row r="18627" s="689" customFormat="1" x14ac:dyDescent="0.2"/>
    <row r="18628" s="689" customFormat="1" x14ac:dyDescent="0.2"/>
    <row r="18629" s="689" customFormat="1" x14ac:dyDescent="0.2"/>
    <row r="18630" s="689" customFormat="1" x14ac:dyDescent="0.2"/>
    <row r="18631" s="689" customFormat="1" x14ac:dyDescent="0.2"/>
    <row r="18632" s="689" customFormat="1" x14ac:dyDescent="0.2"/>
    <row r="18633" s="689" customFormat="1" x14ac:dyDescent="0.2"/>
    <row r="18634" s="689" customFormat="1" x14ac:dyDescent="0.2"/>
    <row r="18635" s="689" customFormat="1" x14ac:dyDescent="0.2"/>
    <row r="18636" s="689" customFormat="1" x14ac:dyDescent="0.2"/>
    <row r="18637" s="689" customFormat="1" x14ac:dyDescent="0.2"/>
    <row r="18638" s="689" customFormat="1" x14ac:dyDescent="0.2"/>
    <row r="18639" s="689" customFormat="1" x14ac:dyDescent="0.2"/>
    <row r="18640" s="689" customFormat="1" x14ac:dyDescent="0.2"/>
    <row r="18641" s="689" customFormat="1" x14ac:dyDescent="0.2"/>
    <row r="18642" s="689" customFormat="1" x14ac:dyDescent="0.2"/>
    <row r="18643" s="689" customFormat="1" x14ac:dyDescent="0.2"/>
    <row r="18644" s="689" customFormat="1" x14ac:dyDescent="0.2"/>
    <row r="18645" s="689" customFormat="1" x14ac:dyDescent="0.2"/>
    <row r="18646" s="689" customFormat="1" x14ac:dyDescent="0.2"/>
    <row r="18647" s="689" customFormat="1" x14ac:dyDescent="0.2"/>
    <row r="18648" s="689" customFormat="1" x14ac:dyDescent="0.2"/>
    <row r="18649" s="689" customFormat="1" x14ac:dyDescent="0.2"/>
    <row r="18650" s="689" customFormat="1" x14ac:dyDescent="0.2"/>
    <row r="18651" s="689" customFormat="1" x14ac:dyDescent="0.2"/>
    <row r="18652" s="689" customFormat="1" x14ac:dyDescent="0.2"/>
    <row r="18653" s="689" customFormat="1" x14ac:dyDescent="0.2"/>
    <row r="18654" s="689" customFormat="1" x14ac:dyDescent="0.2"/>
    <row r="18655" s="689" customFormat="1" x14ac:dyDescent="0.2"/>
    <row r="18656" s="689" customFormat="1" x14ac:dyDescent="0.2"/>
    <row r="18657" s="689" customFormat="1" x14ac:dyDescent="0.2"/>
    <row r="18658" s="689" customFormat="1" x14ac:dyDescent="0.2"/>
    <row r="18659" s="689" customFormat="1" x14ac:dyDescent="0.2"/>
    <row r="18660" s="689" customFormat="1" x14ac:dyDescent="0.2"/>
    <row r="18661" s="689" customFormat="1" x14ac:dyDescent="0.2"/>
    <row r="18662" s="689" customFormat="1" x14ac:dyDescent="0.2"/>
    <row r="18663" s="689" customFormat="1" x14ac:dyDescent="0.2"/>
    <row r="18664" s="689" customFormat="1" x14ac:dyDescent="0.2"/>
    <row r="18665" s="689" customFormat="1" x14ac:dyDescent="0.2"/>
    <row r="18666" s="689" customFormat="1" x14ac:dyDescent="0.2"/>
    <row r="18667" s="689" customFormat="1" x14ac:dyDescent="0.2"/>
    <row r="18668" s="689" customFormat="1" x14ac:dyDescent="0.2"/>
    <row r="18669" s="689" customFormat="1" x14ac:dyDescent="0.2"/>
    <row r="18670" s="689" customFormat="1" x14ac:dyDescent="0.2"/>
    <row r="18671" s="689" customFormat="1" x14ac:dyDescent="0.2"/>
    <row r="18672" s="689" customFormat="1" x14ac:dyDescent="0.2"/>
    <row r="18673" s="689" customFormat="1" x14ac:dyDescent="0.2"/>
    <row r="18674" s="689" customFormat="1" x14ac:dyDescent="0.2"/>
    <row r="18675" s="689" customFormat="1" x14ac:dyDescent="0.2"/>
    <row r="18676" s="689" customFormat="1" x14ac:dyDescent="0.2"/>
    <row r="18677" s="689" customFormat="1" x14ac:dyDescent="0.2"/>
    <row r="18678" s="689" customFormat="1" x14ac:dyDescent="0.2"/>
    <row r="18679" s="689" customFormat="1" x14ac:dyDescent="0.2"/>
    <row r="18680" s="689" customFormat="1" x14ac:dyDescent="0.2"/>
    <row r="18681" s="689" customFormat="1" x14ac:dyDescent="0.2"/>
    <row r="18682" s="689" customFormat="1" x14ac:dyDescent="0.2"/>
    <row r="18683" s="689" customFormat="1" x14ac:dyDescent="0.2"/>
    <row r="18684" s="689" customFormat="1" x14ac:dyDescent="0.2"/>
    <row r="18685" s="689" customFormat="1" x14ac:dyDescent="0.2"/>
    <row r="18686" s="689" customFormat="1" x14ac:dyDescent="0.2"/>
    <row r="18687" s="689" customFormat="1" x14ac:dyDescent="0.2"/>
    <row r="18688" s="689" customFormat="1" x14ac:dyDescent="0.2"/>
    <row r="18689" s="689" customFormat="1" x14ac:dyDescent="0.2"/>
    <row r="18690" s="689" customFormat="1" x14ac:dyDescent="0.2"/>
    <row r="18691" s="689" customFormat="1" x14ac:dyDescent="0.2"/>
    <row r="18692" s="689" customFormat="1" x14ac:dyDescent="0.2"/>
    <row r="18693" s="689" customFormat="1" x14ac:dyDescent="0.2"/>
    <row r="18694" s="689" customFormat="1" x14ac:dyDescent="0.2"/>
    <row r="18695" s="689" customFormat="1" x14ac:dyDescent="0.2"/>
    <row r="18696" s="689" customFormat="1" x14ac:dyDescent="0.2"/>
    <row r="18697" s="689" customFormat="1" x14ac:dyDescent="0.2"/>
    <row r="18698" s="689" customFormat="1" x14ac:dyDescent="0.2"/>
    <row r="18699" s="689" customFormat="1" x14ac:dyDescent="0.2"/>
    <row r="18700" s="689" customFormat="1" x14ac:dyDescent="0.2"/>
    <row r="18701" s="689" customFormat="1" x14ac:dyDescent="0.2"/>
    <row r="18702" s="689" customFormat="1" x14ac:dyDescent="0.2"/>
    <row r="18703" s="689" customFormat="1" x14ac:dyDescent="0.2"/>
    <row r="18704" s="689" customFormat="1" x14ac:dyDescent="0.2"/>
    <row r="18705" s="689" customFormat="1" x14ac:dyDescent="0.2"/>
    <row r="18706" s="689" customFormat="1" x14ac:dyDescent="0.2"/>
    <row r="18707" s="689" customFormat="1" x14ac:dyDescent="0.2"/>
    <row r="18708" s="689" customFormat="1" x14ac:dyDescent="0.2"/>
    <row r="18709" s="689" customFormat="1" x14ac:dyDescent="0.2"/>
    <row r="18710" s="689" customFormat="1" x14ac:dyDescent="0.2"/>
    <row r="18711" s="689" customFormat="1" x14ac:dyDescent="0.2"/>
    <row r="18712" s="689" customFormat="1" x14ac:dyDescent="0.2"/>
    <row r="18713" s="689" customFormat="1" x14ac:dyDescent="0.2"/>
    <row r="18714" s="689" customFormat="1" x14ac:dyDescent="0.2"/>
    <row r="18715" s="689" customFormat="1" x14ac:dyDescent="0.2"/>
    <row r="18716" s="689" customFormat="1" x14ac:dyDescent="0.2"/>
    <row r="18717" s="689" customFormat="1" x14ac:dyDescent="0.2"/>
    <row r="18718" s="689" customFormat="1" x14ac:dyDescent="0.2"/>
    <row r="18719" s="689" customFormat="1" x14ac:dyDescent="0.2"/>
    <row r="18720" s="689" customFormat="1" x14ac:dyDescent="0.2"/>
    <row r="18721" s="689" customFormat="1" x14ac:dyDescent="0.2"/>
    <row r="18722" s="689" customFormat="1" x14ac:dyDescent="0.2"/>
    <row r="18723" s="689" customFormat="1" x14ac:dyDescent="0.2"/>
    <row r="18724" s="689" customFormat="1" x14ac:dyDescent="0.2"/>
    <row r="18725" s="689" customFormat="1" x14ac:dyDescent="0.2"/>
    <row r="18726" s="689" customFormat="1" x14ac:dyDescent="0.2"/>
    <row r="18727" s="689" customFormat="1" x14ac:dyDescent="0.2"/>
    <row r="18728" s="689" customFormat="1" x14ac:dyDescent="0.2"/>
    <row r="18729" s="689" customFormat="1" x14ac:dyDescent="0.2"/>
    <row r="18730" s="689" customFormat="1" x14ac:dyDescent="0.2"/>
    <row r="18731" s="689" customFormat="1" x14ac:dyDescent="0.2"/>
    <row r="18732" s="689" customFormat="1" x14ac:dyDescent="0.2"/>
    <row r="18733" s="689" customFormat="1" x14ac:dyDescent="0.2"/>
    <row r="18734" s="689" customFormat="1" x14ac:dyDescent="0.2"/>
    <row r="18735" s="689" customFormat="1" x14ac:dyDescent="0.2"/>
    <row r="18736" s="689" customFormat="1" x14ac:dyDescent="0.2"/>
    <row r="18737" s="689" customFormat="1" x14ac:dyDescent="0.2"/>
    <row r="18738" s="689" customFormat="1" x14ac:dyDescent="0.2"/>
    <row r="18739" s="689" customFormat="1" x14ac:dyDescent="0.2"/>
    <row r="18740" s="689" customFormat="1" x14ac:dyDescent="0.2"/>
    <row r="18741" s="689" customFormat="1" x14ac:dyDescent="0.2"/>
    <row r="18742" s="689" customFormat="1" x14ac:dyDescent="0.2"/>
    <row r="18743" s="689" customFormat="1" x14ac:dyDescent="0.2"/>
    <row r="18744" s="689" customFormat="1" x14ac:dyDescent="0.2"/>
    <row r="18745" s="689" customFormat="1" x14ac:dyDescent="0.2"/>
    <row r="18746" s="689" customFormat="1" x14ac:dyDescent="0.2"/>
    <row r="18747" s="689" customFormat="1" x14ac:dyDescent="0.2"/>
    <row r="18748" s="689" customFormat="1" x14ac:dyDescent="0.2"/>
    <row r="18749" s="689" customFormat="1" x14ac:dyDescent="0.2"/>
    <row r="18750" s="689" customFormat="1" x14ac:dyDescent="0.2"/>
    <row r="18751" s="689" customFormat="1" x14ac:dyDescent="0.2"/>
    <row r="18752" s="689" customFormat="1" x14ac:dyDescent="0.2"/>
    <row r="18753" s="689" customFormat="1" x14ac:dyDescent="0.2"/>
    <row r="18754" s="689" customFormat="1" x14ac:dyDescent="0.2"/>
    <row r="18755" s="689" customFormat="1" x14ac:dyDescent="0.2"/>
    <row r="18756" s="689" customFormat="1" x14ac:dyDescent="0.2"/>
    <row r="18757" s="689" customFormat="1" x14ac:dyDescent="0.2"/>
    <row r="18758" s="689" customFormat="1" x14ac:dyDescent="0.2"/>
    <row r="18759" s="689" customFormat="1" x14ac:dyDescent="0.2"/>
    <row r="18760" s="689" customFormat="1" x14ac:dyDescent="0.2"/>
    <row r="18761" s="689" customFormat="1" x14ac:dyDescent="0.2"/>
    <row r="18762" s="689" customFormat="1" x14ac:dyDescent="0.2"/>
    <row r="18763" s="689" customFormat="1" x14ac:dyDescent="0.2"/>
    <row r="18764" s="689" customFormat="1" x14ac:dyDescent="0.2"/>
    <row r="18765" s="689" customFormat="1" x14ac:dyDescent="0.2"/>
    <row r="18766" s="689" customFormat="1" x14ac:dyDescent="0.2"/>
    <row r="18767" s="689" customFormat="1" x14ac:dyDescent="0.2"/>
    <row r="18768" s="689" customFormat="1" x14ac:dyDescent="0.2"/>
    <row r="18769" s="689" customFormat="1" x14ac:dyDescent="0.2"/>
    <row r="18770" s="689" customFormat="1" x14ac:dyDescent="0.2"/>
    <row r="18771" s="689" customFormat="1" x14ac:dyDescent="0.2"/>
    <row r="18772" s="689" customFormat="1" x14ac:dyDescent="0.2"/>
    <row r="18773" s="689" customFormat="1" x14ac:dyDescent="0.2"/>
    <row r="18774" s="689" customFormat="1" x14ac:dyDescent="0.2"/>
    <row r="18775" s="689" customFormat="1" x14ac:dyDescent="0.2"/>
    <row r="18776" s="689" customFormat="1" x14ac:dyDescent="0.2"/>
    <row r="18777" s="689" customFormat="1" x14ac:dyDescent="0.2"/>
    <row r="18778" s="689" customFormat="1" x14ac:dyDescent="0.2"/>
    <row r="18779" s="689" customFormat="1" x14ac:dyDescent="0.2"/>
    <row r="18780" s="689" customFormat="1" x14ac:dyDescent="0.2"/>
    <row r="18781" s="689" customFormat="1" x14ac:dyDescent="0.2"/>
    <row r="18782" s="689" customFormat="1" x14ac:dyDescent="0.2"/>
    <row r="18783" s="689" customFormat="1" x14ac:dyDescent="0.2"/>
    <row r="18784" s="689" customFormat="1" x14ac:dyDescent="0.2"/>
    <row r="18785" s="689" customFormat="1" x14ac:dyDescent="0.2"/>
    <row r="18786" s="689" customFormat="1" x14ac:dyDescent="0.2"/>
    <row r="18787" s="689" customFormat="1" x14ac:dyDescent="0.2"/>
    <row r="18788" s="689" customFormat="1" x14ac:dyDescent="0.2"/>
    <row r="18789" s="689" customFormat="1" x14ac:dyDescent="0.2"/>
    <row r="18790" s="689" customFormat="1" x14ac:dyDescent="0.2"/>
    <row r="18791" s="689" customFormat="1" x14ac:dyDescent="0.2"/>
    <row r="18792" s="689" customFormat="1" x14ac:dyDescent="0.2"/>
    <row r="18793" s="689" customFormat="1" x14ac:dyDescent="0.2"/>
    <row r="18794" s="689" customFormat="1" x14ac:dyDescent="0.2"/>
    <row r="18795" s="689" customFormat="1" x14ac:dyDescent="0.2"/>
    <row r="18796" s="689" customFormat="1" x14ac:dyDescent="0.2"/>
    <row r="18797" s="689" customFormat="1" x14ac:dyDescent="0.2"/>
    <row r="18798" s="689" customFormat="1" x14ac:dyDescent="0.2"/>
    <row r="18799" s="689" customFormat="1" x14ac:dyDescent="0.2"/>
    <row r="18800" s="689" customFormat="1" x14ac:dyDescent="0.2"/>
    <row r="18801" s="689" customFormat="1" x14ac:dyDescent="0.2"/>
    <row r="18802" s="689" customFormat="1" x14ac:dyDescent="0.2"/>
    <row r="18803" s="689" customFormat="1" x14ac:dyDescent="0.2"/>
    <row r="18804" s="689" customFormat="1" x14ac:dyDescent="0.2"/>
    <row r="18805" s="689" customFormat="1" x14ac:dyDescent="0.2"/>
    <row r="18806" s="689" customFormat="1" x14ac:dyDescent="0.2"/>
    <row r="18807" s="689" customFormat="1" x14ac:dyDescent="0.2"/>
    <row r="18808" s="689" customFormat="1" x14ac:dyDescent="0.2"/>
    <row r="18809" s="689" customFormat="1" x14ac:dyDescent="0.2"/>
    <row r="18810" s="689" customFormat="1" x14ac:dyDescent="0.2"/>
    <row r="18811" s="689" customFormat="1" x14ac:dyDescent="0.2"/>
    <row r="18812" s="689" customFormat="1" x14ac:dyDescent="0.2"/>
    <row r="18813" s="689" customFormat="1" x14ac:dyDescent="0.2"/>
    <row r="18814" s="689" customFormat="1" x14ac:dyDescent="0.2"/>
    <row r="18815" s="689" customFormat="1" x14ac:dyDescent="0.2"/>
    <row r="18816" s="689" customFormat="1" x14ac:dyDescent="0.2"/>
    <row r="18817" s="689" customFormat="1" x14ac:dyDescent="0.2"/>
    <row r="18818" s="689" customFormat="1" x14ac:dyDescent="0.2"/>
    <row r="18819" s="689" customFormat="1" x14ac:dyDescent="0.2"/>
    <row r="18820" s="689" customFormat="1" x14ac:dyDescent="0.2"/>
    <row r="18821" s="689" customFormat="1" x14ac:dyDescent="0.2"/>
    <row r="18822" s="689" customFormat="1" x14ac:dyDescent="0.2"/>
    <row r="18823" s="689" customFormat="1" x14ac:dyDescent="0.2"/>
    <row r="18824" s="689" customFormat="1" x14ac:dyDescent="0.2"/>
    <row r="18825" s="689" customFormat="1" x14ac:dyDescent="0.2"/>
    <row r="18826" s="689" customFormat="1" x14ac:dyDescent="0.2"/>
    <row r="18827" s="689" customFormat="1" x14ac:dyDescent="0.2"/>
    <row r="18828" s="689" customFormat="1" x14ac:dyDescent="0.2"/>
    <row r="18829" s="689" customFormat="1" x14ac:dyDescent="0.2"/>
    <row r="18830" s="689" customFormat="1" x14ac:dyDescent="0.2"/>
    <row r="18831" s="689" customFormat="1" x14ac:dyDescent="0.2"/>
    <row r="18832" s="689" customFormat="1" x14ac:dyDescent="0.2"/>
    <row r="18833" s="689" customFormat="1" x14ac:dyDescent="0.2"/>
    <row r="18834" s="689" customFormat="1" x14ac:dyDescent="0.2"/>
    <row r="18835" s="689" customFormat="1" x14ac:dyDescent="0.2"/>
    <row r="18836" s="689" customFormat="1" x14ac:dyDescent="0.2"/>
    <row r="18837" s="689" customFormat="1" x14ac:dyDescent="0.2"/>
    <row r="18838" s="689" customFormat="1" x14ac:dyDescent="0.2"/>
    <row r="18839" s="689" customFormat="1" x14ac:dyDescent="0.2"/>
    <row r="18840" s="689" customFormat="1" x14ac:dyDescent="0.2"/>
    <row r="18841" s="689" customFormat="1" x14ac:dyDescent="0.2"/>
    <row r="18842" s="689" customFormat="1" x14ac:dyDescent="0.2"/>
    <row r="18843" s="689" customFormat="1" x14ac:dyDescent="0.2"/>
    <row r="18844" s="689" customFormat="1" x14ac:dyDescent="0.2"/>
    <row r="18845" s="689" customFormat="1" x14ac:dyDescent="0.2"/>
    <row r="18846" s="689" customFormat="1" x14ac:dyDescent="0.2"/>
    <row r="18847" s="689" customFormat="1" x14ac:dyDescent="0.2"/>
    <row r="18848" s="689" customFormat="1" x14ac:dyDescent="0.2"/>
    <row r="18849" s="689" customFormat="1" x14ac:dyDescent="0.2"/>
    <row r="18850" s="689" customFormat="1" x14ac:dyDescent="0.2"/>
    <row r="18851" s="689" customFormat="1" x14ac:dyDescent="0.2"/>
    <row r="18852" s="689" customFormat="1" x14ac:dyDescent="0.2"/>
    <row r="18853" s="689" customFormat="1" x14ac:dyDescent="0.2"/>
    <row r="18854" s="689" customFormat="1" x14ac:dyDescent="0.2"/>
    <row r="18855" s="689" customFormat="1" x14ac:dyDescent="0.2"/>
    <row r="18856" s="689" customFormat="1" x14ac:dyDescent="0.2"/>
    <row r="18857" s="689" customFormat="1" x14ac:dyDescent="0.2"/>
    <row r="18858" s="689" customFormat="1" x14ac:dyDescent="0.2"/>
    <row r="18859" s="689" customFormat="1" x14ac:dyDescent="0.2"/>
    <row r="18860" s="689" customFormat="1" x14ac:dyDescent="0.2"/>
    <row r="18861" s="689" customFormat="1" x14ac:dyDescent="0.2"/>
    <row r="18862" s="689" customFormat="1" x14ac:dyDescent="0.2"/>
    <row r="18863" s="689" customFormat="1" x14ac:dyDescent="0.2"/>
    <row r="18864" s="689" customFormat="1" x14ac:dyDescent="0.2"/>
    <row r="18865" s="689" customFormat="1" x14ac:dyDescent="0.2"/>
    <row r="18866" s="689" customFormat="1" x14ac:dyDescent="0.2"/>
    <row r="18867" s="689" customFormat="1" x14ac:dyDescent="0.2"/>
    <row r="18868" s="689" customFormat="1" x14ac:dyDescent="0.2"/>
    <row r="18869" s="689" customFormat="1" x14ac:dyDescent="0.2"/>
    <row r="18870" s="689" customFormat="1" x14ac:dyDescent="0.2"/>
    <row r="18871" s="689" customFormat="1" x14ac:dyDescent="0.2"/>
    <row r="18872" s="689" customFormat="1" x14ac:dyDescent="0.2"/>
    <row r="18873" s="689" customFormat="1" x14ac:dyDescent="0.2"/>
    <row r="18874" s="689" customFormat="1" x14ac:dyDescent="0.2"/>
    <row r="18875" s="689" customFormat="1" x14ac:dyDescent="0.2"/>
    <row r="18876" s="689" customFormat="1" x14ac:dyDescent="0.2"/>
    <row r="18877" s="689" customFormat="1" x14ac:dyDescent="0.2"/>
    <row r="18878" s="689" customFormat="1" x14ac:dyDescent="0.2"/>
    <row r="18879" s="689" customFormat="1" x14ac:dyDescent="0.2"/>
    <row r="18880" s="689" customFormat="1" x14ac:dyDescent="0.2"/>
    <row r="18881" s="689" customFormat="1" x14ac:dyDescent="0.2"/>
    <row r="18882" s="689" customFormat="1" x14ac:dyDescent="0.2"/>
    <row r="18883" s="689" customFormat="1" x14ac:dyDescent="0.2"/>
    <row r="18884" s="689" customFormat="1" x14ac:dyDescent="0.2"/>
    <row r="18885" s="689" customFormat="1" x14ac:dyDescent="0.2"/>
    <row r="18886" s="689" customFormat="1" x14ac:dyDescent="0.2"/>
    <row r="18887" s="689" customFormat="1" x14ac:dyDescent="0.2"/>
    <row r="18888" s="689" customFormat="1" x14ac:dyDescent="0.2"/>
    <row r="18889" s="689" customFormat="1" x14ac:dyDescent="0.2"/>
    <row r="18890" s="689" customFormat="1" x14ac:dyDescent="0.2"/>
    <row r="18891" s="689" customFormat="1" x14ac:dyDescent="0.2"/>
    <row r="18892" s="689" customFormat="1" x14ac:dyDescent="0.2"/>
    <row r="18893" s="689" customFormat="1" x14ac:dyDescent="0.2"/>
    <row r="18894" s="689" customFormat="1" x14ac:dyDescent="0.2"/>
    <row r="18895" s="689" customFormat="1" x14ac:dyDescent="0.2"/>
    <row r="18896" s="689" customFormat="1" x14ac:dyDescent="0.2"/>
    <row r="18897" s="689" customFormat="1" x14ac:dyDescent="0.2"/>
    <row r="18898" s="689" customFormat="1" x14ac:dyDescent="0.2"/>
    <row r="18899" s="689" customFormat="1" x14ac:dyDescent="0.2"/>
    <row r="18900" s="689" customFormat="1" x14ac:dyDescent="0.2"/>
    <row r="18901" s="689" customFormat="1" x14ac:dyDescent="0.2"/>
    <row r="18902" s="689" customFormat="1" x14ac:dyDescent="0.2"/>
    <row r="18903" s="689" customFormat="1" x14ac:dyDescent="0.2"/>
    <row r="18904" s="689" customFormat="1" x14ac:dyDescent="0.2"/>
    <row r="18905" s="689" customFormat="1" x14ac:dyDescent="0.2"/>
    <row r="18906" s="689" customFormat="1" x14ac:dyDescent="0.2"/>
    <row r="18907" s="689" customFormat="1" x14ac:dyDescent="0.2"/>
    <row r="18908" s="689" customFormat="1" x14ac:dyDescent="0.2"/>
    <row r="18909" s="689" customFormat="1" x14ac:dyDescent="0.2"/>
    <row r="18910" s="689" customFormat="1" x14ac:dyDescent="0.2"/>
    <row r="18911" s="689" customFormat="1" x14ac:dyDescent="0.2"/>
    <row r="18912" s="689" customFormat="1" x14ac:dyDescent="0.2"/>
    <row r="18913" s="689" customFormat="1" x14ac:dyDescent="0.2"/>
    <row r="18914" s="689" customFormat="1" x14ac:dyDescent="0.2"/>
    <row r="18915" s="689" customFormat="1" x14ac:dyDescent="0.2"/>
    <row r="18916" s="689" customFormat="1" x14ac:dyDescent="0.2"/>
    <row r="18917" s="689" customFormat="1" x14ac:dyDescent="0.2"/>
    <row r="18918" s="689" customFormat="1" x14ac:dyDescent="0.2"/>
    <row r="18919" s="689" customFormat="1" x14ac:dyDescent="0.2"/>
    <row r="18920" s="689" customFormat="1" x14ac:dyDescent="0.2"/>
    <row r="18921" s="689" customFormat="1" x14ac:dyDescent="0.2"/>
    <row r="18922" s="689" customFormat="1" x14ac:dyDescent="0.2"/>
    <row r="18923" s="689" customFormat="1" x14ac:dyDescent="0.2"/>
    <row r="18924" s="689" customFormat="1" x14ac:dyDescent="0.2"/>
    <row r="18925" s="689" customFormat="1" x14ac:dyDescent="0.2"/>
    <row r="18926" s="689" customFormat="1" x14ac:dyDescent="0.2"/>
    <row r="18927" s="689" customFormat="1" x14ac:dyDescent="0.2"/>
    <row r="18928" s="689" customFormat="1" x14ac:dyDescent="0.2"/>
    <row r="18929" s="689" customFormat="1" x14ac:dyDescent="0.2"/>
    <row r="18930" s="689" customFormat="1" x14ac:dyDescent="0.2"/>
    <row r="18931" s="689" customFormat="1" x14ac:dyDescent="0.2"/>
    <row r="18932" s="689" customFormat="1" x14ac:dyDescent="0.2"/>
    <row r="18933" s="689" customFormat="1" x14ac:dyDescent="0.2"/>
    <row r="18934" s="689" customFormat="1" x14ac:dyDescent="0.2"/>
    <row r="18935" s="689" customFormat="1" x14ac:dyDescent="0.2"/>
    <row r="18936" s="689" customFormat="1" x14ac:dyDescent="0.2"/>
    <row r="18937" s="689" customFormat="1" x14ac:dyDescent="0.2"/>
    <row r="18938" s="689" customFormat="1" x14ac:dyDescent="0.2"/>
    <row r="18939" s="689" customFormat="1" x14ac:dyDescent="0.2"/>
    <row r="18940" s="689" customFormat="1" x14ac:dyDescent="0.2"/>
    <row r="18941" s="689" customFormat="1" x14ac:dyDescent="0.2"/>
    <row r="18942" s="689" customFormat="1" x14ac:dyDescent="0.2"/>
    <row r="18943" s="689" customFormat="1" x14ac:dyDescent="0.2"/>
    <row r="18944" s="689" customFormat="1" x14ac:dyDescent="0.2"/>
    <row r="18945" s="689" customFormat="1" x14ac:dyDescent="0.2"/>
    <row r="18946" s="689" customFormat="1" x14ac:dyDescent="0.2"/>
    <row r="18947" s="689" customFormat="1" x14ac:dyDescent="0.2"/>
    <row r="18948" s="689" customFormat="1" x14ac:dyDescent="0.2"/>
    <row r="18949" s="689" customFormat="1" x14ac:dyDescent="0.2"/>
    <row r="18950" s="689" customFormat="1" x14ac:dyDescent="0.2"/>
    <row r="18951" s="689" customFormat="1" x14ac:dyDescent="0.2"/>
    <row r="18952" s="689" customFormat="1" x14ac:dyDescent="0.2"/>
    <row r="18953" s="689" customFormat="1" x14ac:dyDescent="0.2"/>
    <row r="18954" s="689" customFormat="1" x14ac:dyDescent="0.2"/>
    <row r="18955" s="689" customFormat="1" x14ac:dyDescent="0.2"/>
    <row r="18956" s="689" customFormat="1" x14ac:dyDescent="0.2"/>
    <row r="18957" s="689" customFormat="1" x14ac:dyDescent="0.2"/>
    <row r="18958" s="689" customFormat="1" x14ac:dyDescent="0.2"/>
    <row r="18959" s="689" customFormat="1" x14ac:dyDescent="0.2"/>
    <row r="18960" s="689" customFormat="1" x14ac:dyDescent="0.2"/>
    <row r="18961" s="689" customFormat="1" x14ac:dyDescent="0.2"/>
    <row r="18962" s="689" customFormat="1" x14ac:dyDescent="0.2"/>
    <row r="18963" s="689" customFormat="1" x14ac:dyDescent="0.2"/>
    <row r="18964" s="689" customFormat="1" x14ac:dyDescent="0.2"/>
    <row r="18965" s="689" customFormat="1" x14ac:dyDescent="0.2"/>
    <row r="18966" s="689" customFormat="1" x14ac:dyDescent="0.2"/>
    <row r="18967" s="689" customFormat="1" x14ac:dyDescent="0.2"/>
    <row r="18968" s="689" customFormat="1" x14ac:dyDescent="0.2"/>
    <row r="18969" s="689" customFormat="1" x14ac:dyDescent="0.2"/>
    <row r="18970" s="689" customFormat="1" x14ac:dyDescent="0.2"/>
    <row r="18971" s="689" customFormat="1" x14ac:dyDescent="0.2"/>
    <row r="18972" s="689" customFormat="1" x14ac:dyDescent="0.2"/>
    <row r="18973" s="689" customFormat="1" x14ac:dyDescent="0.2"/>
    <row r="18974" s="689" customFormat="1" x14ac:dyDescent="0.2"/>
    <row r="18975" s="689" customFormat="1" x14ac:dyDescent="0.2"/>
    <row r="18976" s="689" customFormat="1" x14ac:dyDescent="0.2"/>
    <row r="18977" s="689" customFormat="1" x14ac:dyDescent="0.2"/>
    <row r="18978" s="689" customFormat="1" x14ac:dyDescent="0.2"/>
    <row r="18979" s="689" customFormat="1" x14ac:dyDescent="0.2"/>
    <row r="18980" s="689" customFormat="1" x14ac:dyDescent="0.2"/>
    <row r="18981" s="689" customFormat="1" x14ac:dyDescent="0.2"/>
    <row r="18982" s="689" customFormat="1" x14ac:dyDescent="0.2"/>
    <row r="18983" s="689" customFormat="1" x14ac:dyDescent="0.2"/>
    <row r="18984" s="689" customFormat="1" x14ac:dyDescent="0.2"/>
    <row r="18985" s="689" customFormat="1" x14ac:dyDescent="0.2"/>
    <row r="18986" s="689" customFormat="1" x14ac:dyDescent="0.2"/>
    <row r="18987" s="689" customFormat="1" x14ac:dyDescent="0.2"/>
    <row r="18988" s="689" customFormat="1" x14ac:dyDescent="0.2"/>
    <row r="18989" s="689" customFormat="1" x14ac:dyDescent="0.2"/>
    <row r="18990" s="689" customFormat="1" x14ac:dyDescent="0.2"/>
    <row r="18991" s="689" customFormat="1" x14ac:dyDescent="0.2"/>
    <row r="18992" s="689" customFormat="1" x14ac:dyDescent="0.2"/>
    <row r="18993" s="689" customFormat="1" x14ac:dyDescent="0.2"/>
    <row r="18994" s="689" customFormat="1" x14ac:dyDescent="0.2"/>
    <row r="18995" s="689" customFormat="1" x14ac:dyDescent="0.2"/>
    <row r="18996" s="689" customFormat="1" x14ac:dyDescent="0.2"/>
    <row r="18997" s="689" customFormat="1" x14ac:dyDescent="0.2"/>
    <row r="18998" s="689" customFormat="1" x14ac:dyDescent="0.2"/>
    <row r="18999" s="689" customFormat="1" x14ac:dyDescent="0.2"/>
    <row r="19000" s="689" customFormat="1" x14ac:dyDescent="0.2"/>
    <row r="19001" s="689" customFormat="1" x14ac:dyDescent="0.2"/>
    <row r="19002" s="689" customFormat="1" x14ac:dyDescent="0.2"/>
    <row r="19003" s="689" customFormat="1" x14ac:dyDescent="0.2"/>
    <row r="19004" s="689" customFormat="1" x14ac:dyDescent="0.2"/>
    <row r="19005" s="689" customFormat="1" x14ac:dyDescent="0.2"/>
    <row r="19006" s="689" customFormat="1" x14ac:dyDescent="0.2"/>
    <row r="19007" s="689" customFormat="1" x14ac:dyDescent="0.2"/>
    <row r="19008" s="689" customFormat="1" x14ac:dyDescent="0.2"/>
    <row r="19009" s="689" customFormat="1" x14ac:dyDescent="0.2"/>
    <row r="19010" s="689" customFormat="1" x14ac:dyDescent="0.2"/>
    <row r="19011" s="689" customFormat="1" x14ac:dyDescent="0.2"/>
    <row r="19012" s="689" customFormat="1" x14ac:dyDescent="0.2"/>
    <row r="19013" s="689" customFormat="1" x14ac:dyDescent="0.2"/>
    <row r="19014" s="689" customFormat="1" x14ac:dyDescent="0.2"/>
    <row r="19015" s="689" customFormat="1" x14ac:dyDescent="0.2"/>
    <row r="19016" s="689" customFormat="1" x14ac:dyDescent="0.2"/>
    <row r="19017" s="689" customFormat="1" x14ac:dyDescent="0.2"/>
    <row r="19018" s="689" customFormat="1" x14ac:dyDescent="0.2"/>
    <row r="19019" s="689" customFormat="1" x14ac:dyDescent="0.2"/>
    <row r="19020" s="689" customFormat="1" x14ac:dyDescent="0.2"/>
    <row r="19021" s="689" customFormat="1" x14ac:dyDescent="0.2"/>
    <row r="19022" s="689" customFormat="1" x14ac:dyDescent="0.2"/>
    <row r="19023" s="689" customFormat="1" x14ac:dyDescent="0.2"/>
    <row r="19024" s="689" customFormat="1" x14ac:dyDescent="0.2"/>
    <row r="19025" s="689" customFormat="1" x14ac:dyDescent="0.2"/>
    <row r="19026" s="689" customFormat="1" x14ac:dyDescent="0.2"/>
    <row r="19027" s="689" customFormat="1" x14ac:dyDescent="0.2"/>
    <row r="19028" s="689" customFormat="1" x14ac:dyDescent="0.2"/>
    <row r="19029" s="689" customFormat="1" x14ac:dyDescent="0.2"/>
    <row r="19030" s="689" customFormat="1" x14ac:dyDescent="0.2"/>
    <row r="19031" s="689" customFormat="1" x14ac:dyDescent="0.2"/>
    <row r="19032" s="689" customFormat="1" x14ac:dyDescent="0.2"/>
    <row r="19033" s="689" customFormat="1" x14ac:dyDescent="0.2"/>
    <row r="19034" s="689" customFormat="1" x14ac:dyDescent="0.2"/>
    <row r="19035" s="689" customFormat="1" x14ac:dyDescent="0.2"/>
    <row r="19036" s="689" customFormat="1" x14ac:dyDescent="0.2"/>
    <row r="19037" s="689" customFormat="1" x14ac:dyDescent="0.2"/>
    <row r="19038" s="689" customFormat="1" x14ac:dyDescent="0.2"/>
    <row r="19039" s="689" customFormat="1" x14ac:dyDescent="0.2"/>
    <row r="19040" s="689" customFormat="1" x14ac:dyDescent="0.2"/>
    <row r="19041" s="689" customFormat="1" x14ac:dyDescent="0.2"/>
    <row r="19042" s="689" customFormat="1" x14ac:dyDescent="0.2"/>
    <row r="19043" s="689" customFormat="1" x14ac:dyDescent="0.2"/>
    <row r="19044" s="689" customFormat="1" x14ac:dyDescent="0.2"/>
    <row r="19045" s="689" customFormat="1" x14ac:dyDescent="0.2"/>
    <row r="19046" s="689" customFormat="1" x14ac:dyDescent="0.2"/>
    <row r="19047" s="689" customFormat="1" x14ac:dyDescent="0.2"/>
    <row r="19048" s="689" customFormat="1" x14ac:dyDescent="0.2"/>
    <row r="19049" s="689" customFormat="1" x14ac:dyDescent="0.2"/>
    <row r="19050" s="689" customFormat="1" x14ac:dyDescent="0.2"/>
    <row r="19051" s="689" customFormat="1" x14ac:dyDescent="0.2"/>
    <row r="19052" s="689" customFormat="1" x14ac:dyDescent="0.2"/>
    <row r="19053" s="689" customFormat="1" x14ac:dyDescent="0.2"/>
    <row r="19054" s="689" customFormat="1" x14ac:dyDescent="0.2"/>
    <row r="19055" s="689" customFormat="1" x14ac:dyDescent="0.2"/>
    <row r="19056" s="689" customFormat="1" x14ac:dyDescent="0.2"/>
    <row r="19057" s="689" customFormat="1" x14ac:dyDescent="0.2"/>
    <row r="19058" s="689" customFormat="1" x14ac:dyDescent="0.2"/>
    <row r="19059" s="689" customFormat="1" x14ac:dyDescent="0.2"/>
    <row r="19060" s="689" customFormat="1" x14ac:dyDescent="0.2"/>
    <row r="19061" s="689" customFormat="1" x14ac:dyDescent="0.2"/>
    <row r="19062" s="689" customFormat="1" x14ac:dyDescent="0.2"/>
    <row r="19063" s="689" customFormat="1" x14ac:dyDescent="0.2"/>
    <row r="19064" s="689" customFormat="1" x14ac:dyDescent="0.2"/>
    <row r="19065" s="689" customFormat="1" x14ac:dyDescent="0.2"/>
    <row r="19066" s="689" customFormat="1" x14ac:dyDescent="0.2"/>
    <row r="19067" s="689" customFormat="1" x14ac:dyDescent="0.2"/>
    <row r="19068" s="689" customFormat="1" x14ac:dyDescent="0.2"/>
    <row r="19069" s="689" customFormat="1" x14ac:dyDescent="0.2"/>
    <row r="19070" s="689" customFormat="1" x14ac:dyDescent="0.2"/>
    <row r="19071" s="689" customFormat="1" x14ac:dyDescent="0.2"/>
    <row r="19072" s="689" customFormat="1" x14ac:dyDescent="0.2"/>
    <row r="19073" s="689" customFormat="1" x14ac:dyDescent="0.2"/>
    <row r="19074" s="689" customFormat="1" x14ac:dyDescent="0.2"/>
    <row r="19075" s="689" customFormat="1" x14ac:dyDescent="0.2"/>
    <row r="19076" s="689" customFormat="1" x14ac:dyDescent="0.2"/>
    <row r="19077" s="689" customFormat="1" x14ac:dyDescent="0.2"/>
    <row r="19078" s="689" customFormat="1" x14ac:dyDescent="0.2"/>
    <row r="19079" s="689" customFormat="1" x14ac:dyDescent="0.2"/>
    <row r="19080" s="689" customFormat="1" x14ac:dyDescent="0.2"/>
    <row r="19081" s="689" customFormat="1" x14ac:dyDescent="0.2"/>
    <row r="19082" s="689" customFormat="1" x14ac:dyDescent="0.2"/>
    <row r="19083" s="689" customFormat="1" x14ac:dyDescent="0.2"/>
    <row r="19084" s="689" customFormat="1" x14ac:dyDescent="0.2"/>
    <row r="19085" s="689" customFormat="1" x14ac:dyDescent="0.2"/>
    <row r="19086" s="689" customFormat="1" x14ac:dyDescent="0.2"/>
    <row r="19087" s="689" customFormat="1" x14ac:dyDescent="0.2"/>
    <row r="19088" s="689" customFormat="1" x14ac:dyDescent="0.2"/>
    <row r="19089" s="689" customFormat="1" x14ac:dyDescent="0.2"/>
    <row r="19090" s="689" customFormat="1" x14ac:dyDescent="0.2"/>
    <row r="19091" s="689" customFormat="1" x14ac:dyDescent="0.2"/>
    <row r="19092" s="689" customFormat="1" x14ac:dyDescent="0.2"/>
    <row r="19093" s="689" customFormat="1" x14ac:dyDescent="0.2"/>
    <row r="19094" s="689" customFormat="1" x14ac:dyDescent="0.2"/>
    <row r="19095" s="689" customFormat="1" x14ac:dyDescent="0.2"/>
    <row r="19096" s="689" customFormat="1" x14ac:dyDescent="0.2"/>
    <row r="19097" s="689" customFormat="1" x14ac:dyDescent="0.2"/>
    <row r="19098" s="689" customFormat="1" x14ac:dyDescent="0.2"/>
    <row r="19099" s="689" customFormat="1" x14ac:dyDescent="0.2"/>
    <row r="19100" s="689" customFormat="1" x14ac:dyDescent="0.2"/>
    <row r="19101" s="689" customFormat="1" x14ac:dyDescent="0.2"/>
    <row r="19102" s="689" customFormat="1" x14ac:dyDescent="0.2"/>
    <row r="19103" s="689" customFormat="1" x14ac:dyDescent="0.2"/>
    <row r="19104" s="689" customFormat="1" x14ac:dyDescent="0.2"/>
    <row r="19105" s="689" customFormat="1" x14ac:dyDescent="0.2"/>
    <row r="19106" s="689" customFormat="1" x14ac:dyDescent="0.2"/>
    <row r="19107" s="689" customFormat="1" x14ac:dyDescent="0.2"/>
    <row r="19108" s="689" customFormat="1" x14ac:dyDescent="0.2"/>
    <row r="19109" s="689" customFormat="1" x14ac:dyDescent="0.2"/>
    <row r="19110" s="689" customFormat="1" x14ac:dyDescent="0.2"/>
    <row r="19111" s="689" customFormat="1" x14ac:dyDescent="0.2"/>
    <row r="19112" s="689" customFormat="1" x14ac:dyDescent="0.2"/>
    <row r="19113" s="689" customFormat="1" x14ac:dyDescent="0.2"/>
    <row r="19114" s="689" customFormat="1" x14ac:dyDescent="0.2"/>
    <row r="19115" s="689" customFormat="1" x14ac:dyDescent="0.2"/>
    <row r="19116" s="689" customFormat="1" x14ac:dyDescent="0.2"/>
    <row r="19117" s="689" customFormat="1" x14ac:dyDescent="0.2"/>
    <row r="19118" s="689" customFormat="1" x14ac:dyDescent="0.2"/>
    <row r="19119" s="689" customFormat="1" x14ac:dyDescent="0.2"/>
    <row r="19120" s="689" customFormat="1" x14ac:dyDescent="0.2"/>
    <row r="19121" s="689" customFormat="1" x14ac:dyDescent="0.2"/>
    <row r="19122" s="689" customFormat="1" x14ac:dyDescent="0.2"/>
    <row r="19123" s="689" customFormat="1" x14ac:dyDescent="0.2"/>
    <row r="19124" s="689" customFormat="1" x14ac:dyDescent="0.2"/>
    <row r="19125" s="689" customFormat="1" x14ac:dyDescent="0.2"/>
    <row r="19126" s="689" customFormat="1" x14ac:dyDescent="0.2"/>
    <row r="19127" s="689" customFormat="1" x14ac:dyDescent="0.2"/>
    <row r="19128" s="689" customFormat="1" x14ac:dyDescent="0.2"/>
    <row r="19129" s="689" customFormat="1" x14ac:dyDescent="0.2"/>
    <row r="19130" s="689" customFormat="1" x14ac:dyDescent="0.2"/>
    <row r="19131" s="689" customFormat="1" x14ac:dyDescent="0.2"/>
    <row r="19132" s="689" customFormat="1" x14ac:dyDescent="0.2"/>
    <row r="19133" s="689" customFormat="1" x14ac:dyDescent="0.2"/>
    <row r="19134" s="689" customFormat="1" x14ac:dyDescent="0.2"/>
    <row r="19135" s="689" customFormat="1" x14ac:dyDescent="0.2"/>
    <row r="19136" s="689" customFormat="1" x14ac:dyDescent="0.2"/>
    <row r="19137" s="689" customFormat="1" x14ac:dyDescent="0.2"/>
    <row r="19138" s="689" customFormat="1" x14ac:dyDescent="0.2"/>
    <row r="19139" s="689" customFormat="1" x14ac:dyDescent="0.2"/>
    <row r="19140" s="689" customFormat="1" x14ac:dyDescent="0.2"/>
    <row r="19141" s="689" customFormat="1" x14ac:dyDescent="0.2"/>
    <row r="19142" s="689" customFormat="1" x14ac:dyDescent="0.2"/>
    <row r="19143" s="689" customFormat="1" x14ac:dyDescent="0.2"/>
    <row r="19144" s="689" customFormat="1" x14ac:dyDescent="0.2"/>
    <row r="19145" s="689" customFormat="1" x14ac:dyDescent="0.2"/>
    <row r="19146" s="689" customFormat="1" x14ac:dyDescent="0.2"/>
    <row r="19147" s="689" customFormat="1" x14ac:dyDescent="0.2"/>
    <row r="19148" s="689" customFormat="1" x14ac:dyDescent="0.2"/>
    <row r="19149" s="689" customFormat="1" x14ac:dyDescent="0.2"/>
    <row r="19150" s="689" customFormat="1" x14ac:dyDescent="0.2"/>
    <row r="19151" s="689" customFormat="1" x14ac:dyDescent="0.2"/>
    <row r="19152" s="689" customFormat="1" x14ac:dyDescent="0.2"/>
    <row r="19153" s="689" customFormat="1" x14ac:dyDescent="0.2"/>
    <row r="19154" s="689" customFormat="1" x14ac:dyDescent="0.2"/>
    <row r="19155" s="689" customFormat="1" x14ac:dyDescent="0.2"/>
    <row r="19156" s="689" customFormat="1" x14ac:dyDescent="0.2"/>
    <row r="19157" s="689" customFormat="1" x14ac:dyDescent="0.2"/>
    <row r="19158" s="689" customFormat="1" x14ac:dyDescent="0.2"/>
    <row r="19159" s="689" customFormat="1" x14ac:dyDescent="0.2"/>
    <row r="19160" s="689" customFormat="1" x14ac:dyDescent="0.2"/>
    <row r="19161" s="689" customFormat="1" x14ac:dyDescent="0.2"/>
    <row r="19162" s="689" customFormat="1" x14ac:dyDescent="0.2"/>
    <row r="19163" s="689" customFormat="1" x14ac:dyDescent="0.2"/>
    <row r="19164" s="689" customFormat="1" x14ac:dyDescent="0.2"/>
    <row r="19165" s="689" customFormat="1" x14ac:dyDescent="0.2"/>
    <row r="19166" s="689" customFormat="1" x14ac:dyDescent="0.2"/>
    <row r="19167" s="689" customFormat="1" x14ac:dyDescent="0.2"/>
    <row r="19168" s="689" customFormat="1" x14ac:dyDescent="0.2"/>
    <row r="19169" s="689" customFormat="1" x14ac:dyDescent="0.2"/>
    <row r="19170" s="689" customFormat="1" x14ac:dyDescent="0.2"/>
    <row r="19171" s="689" customFormat="1" x14ac:dyDescent="0.2"/>
    <row r="19172" s="689" customFormat="1" x14ac:dyDescent="0.2"/>
    <row r="19173" s="689" customFormat="1" x14ac:dyDescent="0.2"/>
    <row r="19174" s="689" customFormat="1" x14ac:dyDescent="0.2"/>
    <row r="19175" s="689" customFormat="1" x14ac:dyDescent="0.2"/>
    <row r="19176" s="689" customFormat="1" x14ac:dyDescent="0.2"/>
    <row r="19177" s="689" customFormat="1" x14ac:dyDescent="0.2"/>
    <row r="19178" s="689" customFormat="1" x14ac:dyDescent="0.2"/>
    <row r="19179" s="689" customFormat="1" x14ac:dyDescent="0.2"/>
    <row r="19180" s="689" customFormat="1" x14ac:dyDescent="0.2"/>
    <row r="19181" s="689" customFormat="1" x14ac:dyDescent="0.2"/>
    <row r="19182" s="689" customFormat="1" x14ac:dyDescent="0.2"/>
    <row r="19183" s="689" customFormat="1" x14ac:dyDescent="0.2"/>
    <row r="19184" s="689" customFormat="1" x14ac:dyDescent="0.2"/>
    <row r="19185" s="689" customFormat="1" x14ac:dyDescent="0.2"/>
    <row r="19186" s="689" customFormat="1" x14ac:dyDescent="0.2"/>
    <row r="19187" s="689" customFormat="1" x14ac:dyDescent="0.2"/>
    <row r="19188" s="689" customFormat="1" x14ac:dyDescent="0.2"/>
    <row r="19189" s="689" customFormat="1" x14ac:dyDescent="0.2"/>
    <row r="19190" s="689" customFormat="1" x14ac:dyDescent="0.2"/>
    <row r="19191" s="689" customFormat="1" x14ac:dyDescent="0.2"/>
    <row r="19192" s="689" customFormat="1" x14ac:dyDescent="0.2"/>
    <row r="19193" s="689" customFormat="1" x14ac:dyDescent="0.2"/>
    <row r="19194" s="689" customFormat="1" x14ac:dyDescent="0.2"/>
    <row r="19195" s="689" customFormat="1" x14ac:dyDescent="0.2"/>
    <row r="19196" s="689" customFormat="1" x14ac:dyDescent="0.2"/>
    <row r="19197" s="689" customFormat="1" x14ac:dyDescent="0.2"/>
    <row r="19198" s="689" customFormat="1" x14ac:dyDescent="0.2"/>
    <row r="19199" s="689" customFormat="1" x14ac:dyDescent="0.2"/>
    <row r="19200" s="689" customFormat="1" x14ac:dyDescent="0.2"/>
    <row r="19201" s="689" customFormat="1" x14ac:dyDescent="0.2"/>
    <row r="19202" s="689" customFormat="1" x14ac:dyDescent="0.2"/>
    <row r="19203" s="689" customFormat="1" x14ac:dyDescent="0.2"/>
    <row r="19204" s="689" customFormat="1" x14ac:dyDescent="0.2"/>
    <row r="19205" s="689" customFormat="1" x14ac:dyDescent="0.2"/>
    <row r="19206" s="689" customFormat="1" x14ac:dyDescent="0.2"/>
    <row r="19207" s="689" customFormat="1" x14ac:dyDescent="0.2"/>
    <row r="19208" s="689" customFormat="1" x14ac:dyDescent="0.2"/>
    <row r="19209" s="689" customFormat="1" x14ac:dyDescent="0.2"/>
    <row r="19210" s="689" customFormat="1" x14ac:dyDescent="0.2"/>
    <row r="19211" s="689" customFormat="1" x14ac:dyDescent="0.2"/>
    <row r="19212" s="689" customFormat="1" x14ac:dyDescent="0.2"/>
    <row r="19213" s="689" customFormat="1" x14ac:dyDescent="0.2"/>
    <row r="19214" s="689" customFormat="1" x14ac:dyDescent="0.2"/>
    <row r="19215" s="689" customFormat="1" x14ac:dyDescent="0.2"/>
    <row r="19216" s="689" customFormat="1" x14ac:dyDescent="0.2"/>
    <row r="19217" s="689" customFormat="1" x14ac:dyDescent="0.2"/>
    <row r="19218" s="689" customFormat="1" x14ac:dyDescent="0.2"/>
    <row r="19219" s="689" customFormat="1" x14ac:dyDescent="0.2"/>
    <row r="19220" s="689" customFormat="1" x14ac:dyDescent="0.2"/>
    <row r="19221" s="689" customFormat="1" x14ac:dyDescent="0.2"/>
    <row r="19222" s="689" customFormat="1" x14ac:dyDescent="0.2"/>
    <row r="19223" s="689" customFormat="1" x14ac:dyDescent="0.2"/>
    <row r="19224" s="689" customFormat="1" x14ac:dyDescent="0.2"/>
    <row r="19225" s="689" customFormat="1" x14ac:dyDescent="0.2"/>
    <row r="19226" s="689" customFormat="1" x14ac:dyDescent="0.2"/>
    <row r="19227" s="689" customFormat="1" x14ac:dyDescent="0.2"/>
    <row r="19228" s="689" customFormat="1" x14ac:dyDescent="0.2"/>
    <row r="19229" s="689" customFormat="1" x14ac:dyDescent="0.2"/>
    <row r="19230" s="689" customFormat="1" x14ac:dyDescent="0.2"/>
    <row r="19231" s="689" customFormat="1" x14ac:dyDescent="0.2"/>
    <row r="19232" s="689" customFormat="1" x14ac:dyDescent="0.2"/>
    <row r="19233" s="689" customFormat="1" x14ac:dyDescent="0.2"/>
    <row r="19234" s="689" customFormat="1" x14ac:dyDescent="0.2"/>
    <row r="19235" s="689" customFormat="1" x14ac:dyDescent="0.2"/>
    <row r="19236" s="689" customFormat="1" x14ac:dyDescent="0.2"/>
    <row r="19237" s="689" customFormat="1" x14ac:dyDescent="0.2"/>
    <row r="19238" s="689" customFormat="1" x14ac:dyDescent="0.2"/>
    <row r="19239" s="689" customFormat="1" x14ac:dyDescent="0.2"/>
    <row r="19240" s="689" customFormat="1" x14ac:dyDescent="0.2"/>
    <row r="19241" s="689" customFormat="1" x14ac:dyDescent="0.2"/>
    <row r="19242" s="689" customFormat="1" x14ac:dyDescent="0.2"/>
    <row r="19243" s="689" customFormat="1" x14ac:dyDescent="0.2"/>
    <row r="19244" s="689" customFormat="1" x14ac:dyDescent="0.2"/>
    <row r="19245" s="689" customFormat="1" x14ac:dyDescent="0.2"/>
    <row r="19246" s="689" customFormat="1" x14ac:dyDescent="0.2"/>
    <row r="19247" s="689" customFormat="1" x14ac:dyDescent="0.2"/>
    <row r="19248" s="689" customFormat="1" x14ac:dyDescent="0.2"/>
    <row r="19249" s="689" customFormat="1" x14ac:dyDescent="0.2"/>
    <row r="19250" s="689" customFormat="1" x14ac:dyDescent="0.2"/>
    <row r="19251" s="689" customFormat="1" x14ac:dyDescent="0.2"/>
    <row r="19252" s="689" customFormat="1" x14ac:dyDescent="0.2"/>
    <row r="19253" s="689" customFormat="1" x14ac:dyDescent="0.2"/>
    <row r="19254" s="689" customFormat="1" x14ac:dyDescent="0.2"/>
    <row r="19255" s="689" customFormat="1" x14ac:dyDescent="0.2"/>
    <row r="19256" s="689" customFormat="1" x14ac:dyDescent="0.2"/>
    <row r="19257" s="689" customFormat="1" x14ac:dyDescent="0.2"/>
    <row r="19258" s="689" customFormat="1" x14ac:dyDescent="0.2"/>
    <row r="19259" s="689" customFormat="1" x14ac:dyDescent="0.2"/>
    <row r="19260" s="689" customFormat="1" x14ac:dyDescent="0.2"/>
    <row r="19261" s="689" customFormat="1" x14ac:dyDescent="0.2"/>
    <row r="19262" s="689" customFormat="1" x14ac:dyDescent="0.2"/>
    <row r="19263" s="689" customFormat="1" x14ac:dyDescent="0.2"/>
    <row r="19264" s="689" customFormat="1" x14ac:dyDescent="0.2"/>
    <row r="19265" s="689" customFormat="1" x14ac:dyDescent="0.2"/>
    <row r="19266" s="689" customFormat="1" x14ac:dyDescent="0.2"/>
    <row r="19267" s="689" customFormat="1" x14ac:dyDescent="0.2"/>
    <row r="19268" s="689" customFormat="1" x14ac:dyDescent="0.2"/>
    <row r="19269" s="689" customFormat="1" x14ac:dyDescent="0.2"/>
    <row r="19270" s="689" customFormat="1" x14ac:dyDescent="0.2"/>
    <row r="19271" s="689" customFormat="1" x14ac:dyDescent="0.2"/>
    <row r="19272" s="689" customFormat="1" x14ac:dyDescent="0.2"/>
    <row r="19273" s="689" customFormat="1" x14ac:dyDescent="0.2"/>
    <row r="19274" s="689" customFormat="1" x14ac:dyDescent="0.2"/>
    <row r="19275" s="689" customFormat="1" x14ac:dyDescent="0.2"/>
    <row r="19276" s="689" customFormat="1" x14ac:dyDescent="0.2"/>
    <row r="19277" s="689" customFormat="1" x14ac:dyDescent="0.2"/>
    <row r="19278" s="689" customFormat="1" x14ac:dyDescent="0.2"/>
    <row r="19279" s="689" customFormat="1" x14ac:dyDescent="0.2"/>
    <row r="19280" s="689" customFormat="1" x14ac:dyDescent="0.2"/>
    <row r="19281" s="689" customFormat="1" x14ac:dyDescent="0.2"/>
    <row r="19282" s="689" customFormat="1" x14ac:dyDescent="0.2"/>
    <row r="19283" s="689" customFormat="1" x14ac:dyDescent="0.2"/>
    <row r="19284" s="689" customFormat="1" x14ac:dyDescent="0.2"/>
    <row r="19285" s="689" customFormat="1" x14ac:dyDescent="0.2"/>
    <row r="19286" s="689" customFormat="1" x14ac:dyDescent="0.2"/>
    <row r="19287" s="689" customFormat="1" x14ac:dyDescent="0.2"/>
    <row r="19288" s="689" customFormat="1" x14ac:dyDescent="0.2"/>
    <row r="19289" s="689" customFormat="1" x14ac:dyDescent="0.2"/>
    <row r="19290" s="689" customFormat="1" x14ac:dyDescent="0.2"/>
    <row r="19291" s="689" customFormat="1" x14ac:dyDescent="0.2"/>
    <row r="19292" s="689" customFormat="1" x14ac:dyDescent="0.2"/>
    <row r="19293" s="689" customFormat="1" x14ac:dyDescent="0.2"/>
    <row r="19294" s="689" customFormat="1" x14ac:dyDescent="0.2"/>
    <row r="19295" s="689" customFormat="1" x14ac:dyDescent="0.2"/>
    <row r="19296" s="689" customFormat="1" x14ac:dyDescent="0.2"/>
    <row r="19297" s="689" customFormat="1" x14ac:dyDescent="0.2"/>
    <row r="19298" s="689" customFormat="1" x14ac:dyDescent="0.2"/>
    <row r="19299" s="689" customFormat="1" x14ac:dyDescent="0.2"/>
    <row r="19300" s="689" customFormat="1" x14ac:dyDescent="0.2"/>
    <row r="19301" s="689" customFormat="1" x14ac:dyDescent="0.2"/>
    <row r="19302" s="689" customFormat="1" x14ac:dyDescent="0.2"/>
    <row r="19303" s="689" customFormat="1" x14ac:dyDescent="0.2"/>
    <row r="19304" s="689" customFormat="1" x14ac:dyDescent="0.2"/>
    <row r="19305" s="689" customFormat="1" x14ac:dyDescent="0.2"/>
    <row r="19306" s="689" customFormat="1" x14ac:dyDescent="0.2"/>
    <row r="19307" s="689" customFormat="1" x14ac:dyDescent="0.2"/>
    <row r="19308" s="689" customFormat="1" x14ac:dyDescent="0.2"/>
    <row r="19309" s="689" customFormat="1" x14ac:dyDescent="0.2"/>
    <row r="19310" s="689" customFormat="1" x14ac:dyDescent="0.2"/>
    <row r="19311" s="689" customFormat="1" x14ac:dyDescent="0.2"/>
    <row r="19312" s="689" customFormat="1" x14ac:dyDescent="0.2"/>
    <row r="19313" s="689" customFormat="1" x14ac:dyDescent="0.2"/>
    <row r="19314" s="689" customFormat="1" x14ac:dyDescent="0.2"/>
    <row r="19315" s="689" customFormat="1" x14ac:dyDescent="0.2"/>
    <row r="19316" s="689" customFormat="1" x14ac:dyDescent="0.2"/>
    <row r="19317" s="689" customFormat="1" x14ac:dyDescent="0.2"/>
    <row r="19318" s="689" customFormat="1" x14ac:dyDescent="0.2"/>
    <row r="19319" s="689" customFormat="1" x14ac:dyDescent="0.2"/>
    <row r="19320" s="689" customFormat="1" x14ac:dyDescent="0.2"/>
    <row r="19321" s="689" customFormat="1" x14ac:dyDescent="0.2"/>
    <row r="19322" s="689" customFormat="1" x14ac:dyDescent="0.2"/>
    <row r="19323" s="689" customFormat="1" x14ac:dyDescent="0.2"/>
    <row r="19324" s="689" customFormat="1" x14ac:dyDescent="0.2"/>
    <row r="19325" s="689" customFormat="1" x14ac:dyDescent="0.2"/>
    <row r="19326" s="689" customFormat="1" x14ac:dyDescent="0.2"/>
    <row r="19327" s="689" customFormat="1" x14ac:dyDescent="0.2"/>
    <row r="19328" s="689" customFormat="1" x14ac:dyDescent="0.2"/>
    <row r="19329" s="689" customFormat="1" x14ac:dyDescent="0.2"/>
    <row r="19330" s="689" customFormat="1" x14ac:dyDescent="0.2"/>
    <row r="19331" s="689" customFormat="1" x14ac:dyDescent="0.2"/>
    <row r="19332" s="689" customFormat="1" x14ac:dyDescent="0.2"/>
    <row r="19333" s="689" customFormat="1" x14ac:dyDescent="0.2"/>
    <row r="19334" s="689" customFormat="1" x14ac:dyDescent="0.2"/>
    <row r="19335" s="689" customFormat="1" x14ac:dyDescent="0.2"/>
    <row r="19336" s="689" customFormat="1" x14ac:dyDescent="0.2"/>
    <row r="19337" s="689" customFormat="1" x14ac:dyDescent="0.2"/>
    <row r="19338" s="689" customFormat="1" x14ac:dyDescent="0.2"/>
    <row r="19339" s="689" customFormat="1" x14ac:dyDescent="0.2"/>
    <row r="19340" s="689" customFormat="1" x14ac:dyDescent="0.2"/>
    <row r="19341" s="689" customFormat="1" x14ac:dyDescent="0.2"/>
    <row r="19342" s="689" customFormat="1" x14ac:dyDescent="0.2"/>
    <row r="19343" s="689" customFormat="1" x14ac:dyDescent="0.2"/>
    <row r="19344" s="689" customFormat="1" x14ac:dyDescent="0.2"/>
    <row r="19345" s="689" customFormat="1" x14ac:dyDescent="0.2"/>
    <row r="19346" s="689" customFormat="1" x14ac:dyDescent="0.2"/>
    <row r="19347" s="689" customFormat="1" x14ac:dyDescent="0.2"/>
    <row r="19348" s="689" customFormat="1" x14ac:dyDescent="0.2"/>
    <row r="19349" s="689" customFormat="1" x14ac:dyDescent="0.2"/>
    <row r="19350" s="689" customFormat="1" x14ac:dyDescent="0.2"/>
    <row r="19351" s="689" customFormat="1" x14ac:dyDescent="0.2"/>
    <row r="19352" s="689" customFormat="1" x14ac:dyDescent="0.2"/>
    <row r="19353" s="689" customFormat="1" x14ac:dyDescent="0.2"/>
    <row r="19354" s="689" customFormat="1" x14ac:dyDescent="0.2"/>
    <row r="19355" s="689" customFormat="1" x14ac:dyDescent="0.2"/>
    <row r="19356" s="689" customFormat="1" x14ac:dyDescent="0.2"/>
    <row r="19357" s="689" customFormat="1" x14ac:dyDescent="0.2"/>
    <row r="19358" s="689" customFormat="1" x14ac:dyDescent="0.2"/>
    <row r="19359" s="689" customFormat="1" x14ac:dyDescent="0.2"/>
    <row r="19360" s="689" customFormat="1" x14ac:dyDescent="0.2"/>
    <row r="19361" s="689" customFormat="1" x14ac:dyDescent="0.2"/>
    <row r="19362" s="689" customFormat="1" x14ac:dyDescent="0.2"/>
    <row r="19363" s="689" customFormat="1" x14ac:dyDescent="0.2"/>
    <row r="19364" s="689" customFormat="1" x14ac:dyDescent="0.2"/>
    <row r="19365" s="689" customFormat="1" x14ac:dyDescent="0.2"/>
    <row r="19366" s="689" customFormat="1" x14ac:dyDescent="0.2"/>
    <row r="19367" s="689" customFormat="1" x14ac:dyDescent="0.2"/>
    <row r="19368" s="689" customFormat="1" x14ac:dyDescent="0.2"/>
    <row r="19369" s="689" customFormat="1" x14ac:dyDescent="0.2"/>
    <row r="19370" s="689" customFormat="1" x14ac:dyDescent="0.2"/>
    <row r="19371" s="689" customFormat="1" x14ac:dyDescent="0.2"/>
    <row r="19372" s="689" customFormat="1" x14ac:dyDescent="0.2"/>
    <row r="19373" s="689" customFormat="1" x14ac:dyDescent="0.2"/>
    <row r="19374" s="689" customFormat="1" x14ac:dyDescent="0.2"/>
    <row r="19375" s="689" customFormat="1" x14ac:dyDescent="0.2"/>
    <row r="19376" s="689" customFormat="1" x14ac:dyDescent="0.2"/>
    <row r="19377" s="689" customFormat="1" x14ac:dyDescent="0.2"/>
    <row r="19378" s="689" customFormat="1" x14ac:dyDescent="0.2"/>
    <row r="19379" s="689" customFormat="1" x14ac:dyDescent="0.2"/>
    <row r="19380" s="689" customFormat="1" x14ac:dyDescent="0.2"/>
    <row r="19381" s="689" customFormat="1" x14ac:dyDescent="0.2"/>
    <row r="19382" s="689" customFormat="1" x14ac:dyDescent="0.2"/>
    <row r="19383" s="689" customFormat="1" x14ac:dyDescent="0.2"/>
    <row r="19384" s="689" customFormat="1" x14ac:dyDescent="0.2"/>
    <row r="19385" s="689" customFormat="1" x14ac:dyDescent="0.2"/>
    <row r="19386" s="689" customFormat="1" x14ac:dyDescent="0.2"/>
    <row r="19387" s="689" customFormat="1" x14ac:dyDescent="0.2"/>
    <row r="19388" s="689" customFormat="1" x14ac:dyDescent="0.2"/>
    <row r="19389" s="689" customFormat="1" x14ac:dyDescent="0.2"/>
    <row r="19390" s="689" customFormat="1" x14ac:dyDescent="0.2"/>
    <row r="19391" s="689" customFormat="1" x14ac:dyDescent="0.2"/>
    <row r="19392" s="689" customFormat="1" x14ac:dyDescent="0.2"/>
    <row r="19393" s="689" customFormat="1" x14ac:dyDescent="0.2"/>
    <row r="19394" s="689" customFormat="1" x14ac:dyDescent="0.2"/>
    <row r="19395" s="689" customFormat="1" x14ac:dyDescent="0.2"/>
    <row r="19396" s="689" customFormat="1" x14ac:dyDescent="0.2"/>
    <row r="19397" s="689" customFormat="1" x14ac:dyDescent="0.2"/>
    <row r="19398" s="689" customFormat="1" x14ac:dyDescent="0.2"/>
    <row r="19399" s="689" customFormat="1" x14ac:dyDescent="0.2"/>
    <row r="19400" s="689" customFormat="1" x14ac:dyDescent="0.2"/>
    <row r="19401" s="689" customFormat="1" x14ac:dyDescent="0.2"/>
    <row r="19402" s="689" customFormat="1" x14ac:dyDescent="0.2"/>
    <row r="19403" s="689" customFormat="1" x14ac:dyDescent="0.2"/>
    <row r="19404" s="689" customFormat="1" x14ac:dyDescent="0.2"/>
    <row r="19405" s="689" customFormat="1" x14ac:dyDescent="0.2"/>
    <row r="19406" s="689" customFormat="1" x14ac:dyDescent="0.2"/>
    <row r="19407" s="689" customFormat="1" x14ac:dyDescent="0.2"/>
    <row r="19408" s="689" customFormat="1" x14ac:dyDescent="0.2"/>
    <row r="19409" s="689" customFormat="1" x14ac:dyDescent="0.2"/>
    <row r="19410" s="689" customFormat="1" x14ac:dyDescent="0.2"/>
    <row r="19411" s="689" customFormat="1" x14ac:dyDescent="0.2"/>
    <row r="19412" s="689" customFormat="1" x14ac:dyDescent="0.2"/>
    <row r="19413" s="689" customFormat="1" x14ac:dyDescent="0.2"/>
    <row r="19414" s="689" customFormat="1" x14ac:dyDescent="0.2"/>
    <row r="19415" s="689" customFormat="1" x14ac:dyDescent="0.2"/>
    <row r="19416" s="689" customFormat="1" x14ac:dyDescent="0.2"/>
    <row r="19417" s="689" customFormat="1" x14ac:dyDescent="0.2"/>
    <row r="19418" s="689" customFormat="1" x14ac:dyDescent="0.2"/>
    <row r="19419" s="689" customFormat="1" x14ac:dyDescent="0.2"/>
    <row r="19420" s="689" customFormat="1" x14ac:dyDescent="0.2"/>
    <row r="19421" s="689" customFormat="1" x14ac:dyDescent="0.2"/>
    <row r="19422" s="689" customFormat="1" x14ac:dyDescent="0.2"/>
    <row r="19423" s="689" customFormat="1" x14ac:dyDescent="0.2"/>
    <row r="19424" s="689" customFormat="1" x14ac:dyDescent="0.2"/>
    <row r="19425" s="689" customFormat="1" x14ac:dyDescent="0.2"/>
    <row r="19426" s="689" customFormat="1" x14ac:dyDescent="0.2"/>
    <row r="19427" s="689" customFormat="1" x14ac:dyDescent="0.2"/>
    <row r="19428" s="689" customFormat="1" x14ac:dyDescent="0.2"/>
    <row r="19429" s="689" customFormat="1" x14ac:dyDescent="0.2"/>
    <row r="19430" s="689" customFormat="1" x14ac:dyDescent="0.2"/>
    <row r="19431" s="689" customFormat="1" x14ac:dyDescent="0.2"/>
    <row r="19432" s="689" customFormat="1" x14ac:dyDescent="0.2"/>
    <row r="19433" s="689" customFormat="1" x14ac:dyDescent="0.2"/>
    <row r="19434" s="689" customFormat="1" x14ac:dyDescent="0.2"/>
    <row r="19435" s="689" customFormat="1" x14ac:dyDescent="0.2"/>
    <row r="19436" s="689" customFormat="1" x14ac:dyDescent="0.2"/>
    <row r="19437" s="689" customFormat="1" x14ac:dyDescent="0.2"/>
    <row r="19438" s="689" customFormat="1" x14ac:dyDescent="0.2"/>
    <row r="19439" s="689" customFormat="1" x14ac:dyDescent="0.2"/>
    <row r="19440" s="689" customFormat="1" x14ac:dyDescent="0.2"/>
    <row r="19441" s="689" customFormat="1" x14ac:dyDescent="0.2"/>
    <row r="19442" s="689" customFormat="1" x14ac:dyDescent="0.2"/>
    <row r="19443" s="689" customFormat="1" x14ac:dyDescent="0.2"/>
    <row r="19444" s="689" customFormat="1" x14ac:dyDescent="0.2"/>
    <row r="19445" s="689" customFormat="1" x14ac:dyDescent="0.2"/>
    <row r="19446" s="689" customFormat="1" x14ac:dyDescent="0.2"/>
    <row r="19447" s="689" customFormat="1" x14ac:dyDescent="0.2"/>
    <row r="19448" s="689" customFormat="1" x14ac:dyDescent="0.2"/>
    <row r="19449" s="689" customFormat="1" x14ac:dyDescent="0.2"/>
    <row r="19450" s="689" customFormat="1" x14ac:dyDescent="0.2"/>
    <row r="19451" s="689" customFormat="1" x14ac:dyDescent="0.2"/>
    <row r="19452" s="689" customFormat="1" x14ac:dyDescent="0.2"/>
    <row r="19453" s="689" customFormat="1" x14ac:dyDescent="0.2"/>
    <row r="19454" s="689" customFormat="1" x14ac:dyDescent="0.2"/>
    <row r="19455" s="689" customFormat="1" x14ac:dyDescent="0.2"/>
    <row r="19456" s="689" customFormat="1" x14ac:dyDescent="0.2"/>
    <row r="19457" s="689" customFormat="1" x14ac:dyDescent="0.2"/>
    <row r="19458" s="689" customFormat="1" x14ac:dyDescent="0.2"/>
    <row r="19459" s="689" customFormat="1" x14ac:dyDescent="0.2"/>
    <row r="19460" s="689" customFormat="1" x14ac:dyDescent="0.2"/>
    <row r="19461" s="689" customFormat="1" x14ac:dyDescent="0.2"/>
    <row r="19462" s="689" customFormat="1" x14ac:dyDescent="0.2"/>
    <row r="19463" s="689" customFormat="1" x14ac:dyDescent="0.2"/>
    <row r="19464" s="689" customFormat="1" x14ac:dyDescent="0.2"/>
    <row r="19465" s="689" customFormat="1" x14ac:dyDescent="0.2"/>
    <row r="19466" s="689" customFormat="1" x14ac:dyDescent="0.2"/>
    <row r="19467" s="689" customFormat="1" x14ac:dyDescent="0.2"/>
    <row r="19468" s="689" customFormat="1" x14ac:dyDescent="0.2"/>
    <row r="19469" s="689" customFormat="1" x14ac:dyDescent="0.2"/>
    <row r="19470" s="689" customFormat="1" x14ac:dyDescent="0.2"/>
    <row r="19471" s="689" customFormat="1" x14ac:dyDescent="0.2"/>
    <row r="19472" s="689" customFormat="1" x14ac:dyDescent="0.2"/>
    <row r="19473" s="689" customFormat="1" x14ac:dyDescent="0.2"/>
    <row r="19474" s="689" customFormat="1" x14ac:dyDescent="0.2"/>
    <row r="19475" s="689" customFormat="1" x14ac:dyDescent="0.2"/>
    <row r="19476" s="689" customFormat="1" x14ac:dyDescent="0.2"/>
    <row r="19477" s="689" customFormat="1" x14ac:dyDescent="0.2"/>
    <row r="19478" s="689" customFormat="1" x14ac:dyDescent="0.2"/>
    <row r="19479" s="689" customFormat="1" x14ac:dyDescent="0.2"/>
    <row r="19480" s="689" customFormat="1" x14ac:dyDescent="0.2"/>
    <row r="19481" s="689" customFormat="1" x14ac:dyDescent="0.2"/>
    <row r="19482" s="689" customFormat="1" x14ac:dyDescent="0.2"/>
    <row r="19483" s="689" customFormat="1" x14ac:dyDescent="0.2"/>
    <row r="19484" s="689" customFormat="1" x14ac:dyDescent="0.2"/>
    <row r="19485" s="689" customFormat="1" x14ac:dyDescent="0.2"/>
    <row r="19486" s="689" customFormat="1" x14ac:dyDescent="0.2"/>
    <row r="19487" s="689" customFormat="1" x14ac:dyDescent="0.2"/>
    <row r="19488" s="689" customFormat="1" x14ac:dyDescent="0.2"/>
    <row r="19489" s="689" customFormat="1" x14ac:dyDescent="0.2"/>
    <row r="19490" s="689" customFormat="1" x14ac:dyDescent="0.2"/>
    <row r="19491" s="689" customFormat="1" x14ac:dyDescent="0.2"/>
    <row r="19492" s="689" customFormat="1" x14ac:dyDescent="0.2"/>
    <row r="19493" s="689" customFormat="1" x14ac:dyDescent="0.2"/>
    <row r="19494" s="689" customFormat="1" x14ac:dyDescent="0.2"/>
    <row r="19495" s="689" customFormat="1" x14ac:dyDescent="0.2"/>
    <row r="19496" s="689" customFormat="1" x14ac:dyDescent="0.2"/>
    <row r="19497" s="689" customFormat="1" x14ac:dyDescent="0.2"/>
    <row r="19498" s="689" customFormat="1" x14ac:dyDescent="0.2"/>
    <row r="19499" s="689" customFormat="1" x14ac:dyDescent="0.2"/>
    <row r="19500" s="689" customFormat="1" x14ac:dyDescent="0.2"/>
    <row r="19501" s="689" customFormat="1" x14ac:dyDescent="0.2"/>
    <row r="19502" s="689" customFormat="1" x14ac:dyDescent="0.2"/>
    <row r="19503" s="689" customFormat="1" x14ac:dyDescent="0.2"/>
    <row r="19504" s="689" customFormat="1" x14ac:dyDescent="0.2"/>
    <row r="19505" s="689" customFormat="1" x14ac:dyDescent="0.2"/>
    <row r="19506" s="689" customFormat="1" x14ac:dyDescent="0.2"/>
    <row r="19507" s="689" customFormat="1" x14ac:dyDescent="0.2"/>
    <row r="19508" s="689" customFormat="1" x14ac:dyDescent="0.2"/>
    <row r="19509" s="689" customFormat="1" x14ac:dyDescent="0.2"/>
    <row r="19510" s="689" customFormat="1" x14ac:dyDescent="0.2"/>
    <row r="19511" s="689" customFormat="1" x14ac:dyDescent="0.2"/>
    <row r="19512" s="689" customFormat="1" x14ac:dyDescent="0.2"/>
    <row r="19513" s="689" customFormat="1" x14ac:dyDescent="0.2"/>
    <row r="19514" s="689" customFormat="1" x14ac:dyDescent="0.2"/>
    <row r="19515" s="689" customFormat="1" x14ac:dyDescent="0.2"/>
    <row r="19516" s="689" customFormat="1" x14ac:dyDescent="0.2"/>
    <row r="19517" s="689" customFormat="1" x14ac:dyDescent="0.2"/>
    <row r="19518" s="689" customFormat="1" x14ac:dyDescent="0.2"/>
    <row r="19519" s="689" customFormat="1" x14ac:dyDescent="0.2"/>
    <row r="19520" s="689" customFormat="1" x14ac:dyDescent="0.2"/>
    <row r="19521" s="689" customFormat="1" x14ac:dyDescent="0.2"/>
    <row r="19522" s="689" customFormat="1" x14ac:dyDescent="0.2"/>
    <row r="19523" s="689" customFormat="1" x14ac:dyDescent="0.2"/>
    <row r="19524" s="689" customFormat="1" x14ac:dyDescent="0.2"/>
    <row r="19525" s="689" customFormat="1" x14ac:dyDescent="0.2"/>
    <row r="19526" s="689" customFormat="1" x14ac:dyDescent="0.2"/>
    <row r="19527" s="689" customFormat="1" x14ac:dyDescent="0.2"/>
    <row r="19528" s="689" customFormat="1" x14ac:dyDescent="0.2"/>
    <row r="19529" s="689" customFormat="1" x14ac:dyDescent="0.2"/>
    <row r="19530" s="689" customFormat="1" x14ac:dyDescent="0.2"/>
    <row r="19531" s="689" customFormat="1" x14ac:dyDescent="0.2"/>
    <row r="19532" s="689" customFormat="1" x14ac:dyDescent="0.2"/>
    <row r="19533" s="689" customFormat="1" x14ac:dyDescent="0.2"/>
    <row r="19534" s="689" customFormat="1" x14ac:dyDescent="0.2"/>
    <row r="19535" s="689" customFormat="1" x14ac:dyDescent="0.2"/>
    <row r="19536" s="689" customFormat="1" x14ac:dyDescent="0.2"/>
    <row r="19537" s="689" customFormat="1" x14ac:dyDescent="0.2"/>
    <row r="19538" s="689" customFormat="1" x14ac:dyDescent="0.2"/>
    <row r="19539" s="689" customFormat="1" x14ac:dyDescent="0.2"/>
    <row r="19540" s="689" customFormat="1" x14ac:dyDescent="0.2"/>
    <row r="19541" s="689" customFormat="1" x14ac:dyDescent="0.2"/>
    <row r="19542" s="689" customFormat="1" x14ac:dyDescent="0.2"/>
    <row r="19543" s="689" customFormat="1" x14ac:dyDescent="0.2"/>
    <row r="19544" s="689" customFormat="1" x14ac:dyDescent="0.2"/>
    <row r="19545" s="689" customFormat="1" x14ac:dyDescent="0.2"/>
    <row r="19546" s="689" customFormat="1" x14ac:dyDescent="0.2"/>
    <row r="19547" s="689" customFormat="1" x14ac:dyDescent="0.2"/>
    <row r="19548" s="689" customFormat="1" x14ac:dyDescent="0.2"/>
    <row r="19549" s="689" customFormat="1" x14ac:dyDescent="0.2"/>
    <row r="19550" s="689" customFormat="1" x14ac:dyDescent="0.2"/>
    <row r="19551" s="689" customFormat="1" x14ac:dyDescent="0.2"/>
    <row r="19552" s="689" customFormat="1" x14ac:dyDescent="0.2"/>
    <row r="19553" s="689" customFormat="1" x14ac:dyDescent="0.2"/>
    <row r="19554" s="689" customFormat="1" x14ac:dyDescent="0.2"/>
    <row r="19555" s="689" customFormat="1" x14ac:dyDescent="0.2"/>
    <row r="19556" s="689" customFormat="1" x14ac:dyDescent="0.2"/>
    <row r="19557" s="689" customFormat="1" x14ac:dyDescent="0.2"/>
    <row r="19558" s="689" customFormat="1" x14ac:dyDescent="0.2"/>
    <row r="19559" s="689" customFormat="1" x14ac:dyDescent="0.2"/>
    <row r="19560" s="689" customFormat="1" x14ac:dyDescent="0.2"/>
    <row r="19561" s="689" customFormat="1" x14ac:dyDescent="0.2"/>
    <row r="19562" s="689" customFormat="1" x14ac:dyDescent="0.2"/>
    <row r="19563" s="689" customFormat="1" x14ac:dyDescent="0.2"/>
    <row r="19564" s="689" customFormat="1" x14ac:dyDescent="0.2"/>
    <row r="19565" s="689" customFormat="1" x14ac:dyDescent="0.2"/>
    <row r="19566" s="689" customFormat="1" x14ac:dyDescent="0.2"/>
    <row r="19567" s="689" customFormat="1" x14ac:dyDescent="0.2"/>
    <row r="19568" s="689" customFormat="1" x14ac:dyDescent="0.2"/>
    <row r="19569" s="689" customFormat="1" x14ac:dyDescent="0.2"/>
    <row r="19570" s="689" customFormat="1" x14ac:dyDescent="0.2"/>
    <row r="19571" s="689" customFormat="1" x14ac:dyDescent="0.2"/>
    <row r="19572" s="689" customFormat="1" x14ac:dyDescent="0.2"/>
    <row r="19573" s="689" customFormat="1" x14ac:dyDescent="0.2"/>
    <row r="19574" s="689" customFormat="1" x14ac:dyDescent="0.2"/>
    <row r="19575" s="689" customFormat="1" x14ac:dyDescent="0.2"/>
    <row r="19576" s="689" customFormat="1" x14ac:dyDescent="0.2"/>
    <row r="19577" s="689" customFormat="1" x14ac:dyDescent="0.2"/>
    <row r="19578" s="689" customFormat="1" x14ac:dyDescent="0.2"/>
    <row r="19579" s="689" customFormat="1" x14ac:dyDescent="0.2"/>
    <row r="19580" s="689" customFormat="1" x14ac:dyDescent="0.2"/>
    <row r="19581" s="689" customFormat="1" x14ac:dyDescent="0.2"/>
    <row r="19582" s="689" customFormat="1" x14ac:dyDescent="0.2"/>
    <row r="19583" s="689" customFormat="1" x14ac:dyDescent="0.2"/>
    <row r="19584" s="689" customFormat="1" x14ac:dyDescent="0.2"/>
    <row r="19585" s="689" customFormat="1" x14ac:dyDescent="0.2"/>
    <row r="19586" s="689" customFormat="1" x14ac:dyDescent="0.2"/>
    <row r="19587" s="689" customFormat="1" x14ac:dyDescent="0.2"/>
    <row r="19588" s="689" customFormat="1" x14ac:dyDescent="0.2"/>
    <row r="19589" s="689" customFormat="1" x14ac:dyDescent="0.2"/>
    <row r="19590" s="689" customFormat="1" x14ac:dyDescent="0.2"/>
    <row r="19591" s="689" customFormat="1" x14ac:dyDescent="0.2"/>
    <row r="19592" s="689" customFormat="1" x14ac:dyDescent="0.2"/>
    <row r="19593" s="689" customFormat="1" x14ac:dyDescent="0.2"/>
    <row r="19594" s="689" customFormat="1" x14ac:dyDescent="0.2"/>
    <row r="19595" s="689" customFormat="1" x14ac:dyDescent="0.2"/>
    <row r="19596" s="689" customFormat="1" x14ac:dyDescent="0.2"/>
    <row r="19597" s="689" customFormat="1" x14ac:dyDescent="0.2"/>
    <row r="19598" s="689" customFormat="1" x14ac:dyDescent="0.2"/>
    <row r="19599" s="689" customFormat="1" x14ac:dyDescent="0.2"/>
    <row r="19600" s="689" customFormat="1" x14ac:dyDescent="0.2"/>
    <row r="19601" s="689" customFormat="1" x14ac:dyDescent="0.2"/>
    <row r="19602" s="689" customFormat="1" x14ac:dyDescent="0.2"/>
    <row r="19603" s="689" customFormat="1" x14ac:dyDescent="0.2"/>
    <row r="19604" s="689" customFormat="1" x14ac:dyDescent="0.2"/>
    <row r="19605" s="689" customFormat="1" x14ac:dyDescent="0.2"/>
    <row r="19606" s="689" customFormat="1" x14ac:dyDescent="0.2"/>
    <row r="19607" s="689" customFormat="1" x14ac:dyDescent="0.2"/>
    <row r="19608" s="689" customFormat="1" x14ac:dyDescent="0.2"/>
    <row r="19609" s="689" customFormat="1" x14ac:dyDescent="0.2"/>
    <row r="19610" s="689" customFormat="1" x14ac:dyDescent="0.2"/>
    <row r="19611" s="689" customFormat="1" x14ac:dyDescent="0.2"/>
    <row r="19612" s="689" customFormat="1" x14ac:dyDescent="0.2"/>
    <row r="19613" s="689" customFormat="1" x14ac:dyDescent="0.2"/>
    <row r="19614" s="689" customFormat="1" x14ac:dyDescent="0.2"/>
    <row r="19615" s="689" customFormat="1" x14ac:dyDescent="0.2"/>
    <row r="19616" s="689" customFormat="1" x14ac:dyDescent="0.2"/>
    <row r="19617" s="689" customFormat="1" x14ac:dyDescent="0.2"/>
    <row r="19618" s="689" customFormat="1" x14ac:dyDescent="0.2"/>
    <row r="19619" s="689" customFormat="1" x14ac:dyDescent="0.2"/>
    <row r="19620" s="689" customFormat="1" x14ac:dyDescent="0.2"/>
    <row r="19621" s="689" customFormat="1" x14ac:dyDescent="0.2"/>
    <row r="19622" s="689" customFormat="1" x14ac:dyDescent="0.2"/>
    <row r="19623" s="689" customFormat="1" x14ac:dyDescent="0.2"/>
    <row r="19624" s="689" customFormat="1" x14ac:dyDescent="0.2"/>
    <row r="19625" s="689" customFormat="1" x14ac:dyDescent="0.2"/>
    <row r="19626" s="689" customFormat="1" x14ac:dyDescent="0.2"/>
    <row r="19627" s="689" customFormat="1" x14ac:dyDescent="0.2"/>
    <row r="19628" s="689" customFormat="1" x14ac:dyDescent="0.2"/>
    <row r="19629" s="689" customFormat="1" x14ac:dyDescent="0.2"/>
    <row r="19630" s="689" customFormat="1" x14ac:dyDescent="0.2"/>
    <row r="19631" s="689" customFormat="1" x14ac:dyDescent="0.2"/>
    <row r="19632" s="689" customFormat="1" x14ac:dyDescent="0.2"/>
    <row r="19633" s="689" customFormat="1" x14ac:dyDescent="0.2"/>
    <row r="19634" s="689" customFormat="1" x14ac:dyDescent="0.2"/>
    <row r="19635" s="689" customFormat="1" x14ac:dyDescent="0.2"/>
    <row r="19636" s="689" customFormat="1" x14ac:dyDescent="0.2"/>
    <row r="19637" s="689" customFormat="1" x14ac:dyDescent="0.2"/>
    <row r="19638" s="689" customFormat="1" x14ac:dyDescent="0.2"/>
    <row r="19639" s="689" customFormat="1" x14ac:dyDescent="0.2"/>
    <row r="19640" s="689" customFormat="1" x14ac:dyDescent="0.2"/>
    <row r="19641" s="689" customFormat="1" x14ac:dyDescent="0.2"/>
    <row r="19642" s="689" customFormat="1" x14ac:dyDescent="0.2"/>
    <row r="19643" s="689" customFormat="1" x14ac:dyDescent="0.2"/>
    <row r="19644" s="689" customFormat="1" x14ac:dyDescent="0.2"/>
    <row r="19645" s="689" customFormat="1" x14ac:dyDescent="0.2"/>
    <row r="19646" s="689" customFormat="1" x14ac:dyDescent="0.2"/>
    <row r="19647" s="689" customFormat="1" x14ac:dyDescent="0.2"/>
    <row r="19648" s="689" customFormat="1" x14ac:dyDescent="0.2"/>
    <row r="19649" s="689" customFormat="1" x14ac:dyDescent="0.2"/>
    <row r="19650" s="689" customFormat="1" x14ac:dyDescent="0.2"/>
    <row r="19651" s="689" customFormat="1" x14ac:dyDescent="0.2"/>
    <row r="19652" s="689" customFormat="1" x14ac:dyDescent="0.2"/>
    <row r="19653" s="689" customFormat="1" x14ac:dyDescent="0.2"/>
    <row r="19654" s="689" customFormat="1" x14ac:dyDescent="0.2"/>
    <row r="19655" s="689" customFormat="1" x14ac:dyDescent="0.2"/>
    <row r="19656" s="689" customFormat="1" x14ac:dyDescent="0.2"/>
    <row r="19657" s="689" customFormat="1" x14ac:dyDescent="0.2"/>
    <row r="19658" s="689" customFormat="1" x14ac:dyDescent="0.2"/>
    <row r="19659" s="689" customFormat="1" x14ac:dyDescent="0.2"/>
    <row r="19660" s="689" customFormat="1" x14ac:dyDescent="0.2"/>
    <row r="19661" s="689" customFormat="1" x14ac:dyDescent="0.2"/>
    <row r="19662" s="689" customFormat="1" x14ac:dyDescent="0.2"/>
    <row r="19663" s="689" customFormat="1" x14ac:dyDescent="0.2"/>
    <row r="19664" s="689" customFormat="1" x14ac:dyDescent="0.2"/>
    <row r="19665" s="689" customFormat="1" x14ac:dyDescent="0.2"/>
    <row r="19666" s="689" customFormat="1" x14ac:dyDescent="0.2"/>
    <row r="19667" s="689" customFormat="1" x14ac:dyDescent="0.2"/>
    <row r="19668" s="689" customFormat="1" x14ac:dyDescent="0.2"/>
    <row r="19669" s="689" customFormat="1" x14ac:dyDescent="0.2"/>
    <row r="19670" s="689" customFormat="1" x14ac:dyDescent="0.2"/>
    <row r="19671" s="689" customFormat="1" x14ac:dyDescent="0.2"/>
    <row r="19672" s="689" customFormat="1" x14ac:dyDescent="0.2"/>
    <row r="19673" s="689" customFormat="1" x14ac:dyDescent="0.2"/>
    <row r="19674" s="689" customFormat="1" x14ac:dyDescent="0.2"/>
    <row r="19675" s="689" customFormat="1" x14ac:dyDescent="0.2"/>
    <row r="19676" s="689" customFormat="1" x14ac:dyDescent="0.2"/>
    <row r="19677" s="689" customFormat="1" x14ac:dyDescent="0.2"/>
    <row r="19678" s="689" customFormat="1" x14ac:dyDescent="0.2"/>
    <row r="19679" s="689" customFormat="1" x14ac:dyDescent="0.2"/>
    <row r="19680" s="689" customFormat="1" x14ac:dyDescent="0.2"/>
    <row r="19681" s="689" customFormat="1" x14ac:dyDescent="0.2"/>
    <row r="19682" s="689" customFormat="1" x14ac:dyDescent="0.2"/>
    <row r="19683" s="689" customFormat="1" x14ac:dyDescent="0.2"/>
    <row r="19684" s="689" customFormat="1" x14ac:dyDescent="0.2"/>
    <row r="19685" s="689" customFormat="1" x14ac:dyDescent="0.2"/>
    <row r="19686" s="689" customFormat="1" x14ac:dyDescent="0.2"/>
    <row r="19687" s="689" customFormat="1" x14ac:dyDescent="0.2"/>
    <row r="19688" s="689" customFormat="1" x14ac:dyDescent="0.2"/>
    <row r="19689" s="689" customFormat="1" x14ac:dyDescent="0.2"/>
    <row r="19690" s="689" customFormat="1" x14ac:dyDescent="0.2"/>
    <row r="19691" s="689" customFormat="1" x14ac:dyDescent="0.2"/>
    <row r="19692" s="689" customFormat="1" x14ac:dyDescent="0.2"/>
    <row r="19693" s="689" customFormat="1" x14ac:dyDescent="0.2"/>
    <row r="19694" s="689" customFormat="1" x14ac:dyDescent="0.2"/>
    <row r="19695" s="689" customFormat="1" x14ac:dyDescent="0.2"/>
    <row r="19696" s="689" customFormat="1" x14ac:dyDescent="0.2"/>
    <row r="19697" s="689" customFormat="1" x14ac:dyDescent="0.2"/>
    <row r="19698" s="689" customFormat="1" x14ac:dyDescent="0.2"/>
    <row r="19699" s="689" customFormat="1" x14ac:dyDescent="0.2"/>
    <row r="19700" s="689" customFormat="1" x14ac:dyDescent="0.2"/>
    <row r="19701" s="689" customFormat="1" x14ac:dyDescent="0.2"/>
    <row r="19702" s="689" customFormat="1" x14ac:dyDescent="0.2"/>
    <row r="19703" s="689" customFormat="1" x14ac:dyDescent="0.2"/>
    <row r="19704" s="689" customFormat="1" x14ac:dyDescent="0.2"/>
    <row r="19705" s="689" customFormat="1" x14ac:dyDescent="0.2"/>
    <row r="19706" s="689" customFormat="1" x14ac:dyDescent="0.2"/>
    <row r="19707" s="689" customFormat="1" x14ac:dyDescent="0.2"/>
    <row r="19708" s="689" customFormat="1" x14ac:dyDescent="0.2"/>
    <row r="19709" s="689" customFormat="1" x14ac:dyDescent="0.2"/>
    <row r="19710" s="689" customFormat="1" x14ac:dyDescent="0.2"/>
    <row r="19711" s="689" customFormat="1" x14ac:dyDescent="0.2"/>
    <row r="19712" s="689" customFormat="1" x14ac:dyDescent="0.2"/>
    <row r="19713" s="689" customFormat="1" x14ac:dyDescent="0.2"/>
    <row r="19714" s="689" customFormat="1" x14ac:dyDescent="0.2"/>
    <row r="19715" s="689" customFormat="1" x14ac:dyDescent="0.2"/>
    <row r="19716" s="689" customFormat="1" x14ac:dyDescent="0.2"/>
    <row r="19717" s="689" customFormat="1" x14ac:dyDescent="0.2"/>
    <row r="19718" s="689" customFormat="1" x14ac:dyDescent="0.2"/>
    <row r="19719" s="689" customFormat="1" x14ac:dyDescent="0.2"/>
    <row r="19720" s="689" customFormat="1" x14ac:dyDescent="0.2"/>
    <row r="19721" s="689" customFormat="1" x14ac:dyDescent="0.2"/>
    <row r="19722" s="689" customFormat="1" x14ac:dyDescent="0.2"/>
    <row r="19723" s="689" customFormat="1" x14ac:dyDescent="0.2"/>
    <row r="19724" s="689" customFormat="1" x14ac:dyDescent="0.2"/>
    <row r="19725" s="689" customFormat="1" x14ac:dyDescent="0.2"/>
    <row r="19726" s="689" customFormat="1" x14ac:dyDescent="0.2"/>
    <row r="19727" s="689" customFormat="1" x14ac:dyDescent="0.2"/>
    <row r="19728" s="689" customFormat="1" x14ac:dyDescent="0.2"/>
    <row r="19729" s="689" customFormat="1" x14ac:dyDescent="0.2"/>
    <row r="19730" s="689" customFormat="1" x14ac:dyDescent="0.2"/>
    <row r="19731" s="689" customFormat="1" x14ac:dyDescent="0.2"/>
    <row r="19732" s="689" customFormat="1" x14ac:dyDescent="0.2"/>
    <row r="19733" s="689" customFormat="1" x14ac:dyDescent="0.2"/>
    <row r="19734" s="689" customFormat="1" x14ac:dyDescent="0.2"/>
    <row r="19735" s="689" customFormat="1" x14ac:dyDescent="0.2"/>
    <row r="19736" s="689" customFormat="1" x14ac:dyDescent="0.2"/>
    <row r="19737" s="689" customFormat="1" x14ac:dyDescent="0.2"/>
    <row r="19738" s="689" customFormat="1" x14ac:dyDescent="0.2"/>
    <row r="19739" s="689" customFormat="1" x14ac:dyDescent="0.2"/>
    <row r="19740" s="689" customFormat="1" x14ac:dyDescent="0.2"/>
    <row r="19741" s="689" customFormat="1" x14ac:dyDescent="0.2"/>
    <row r="19742" s="689" customFormat="1" x14ac:dyDescent="0.2"/>
    <row r="19743" s="689" customFormat="1" x14ac:dyDescent="0.2"/>
    <row r="19744" s="689" customFormat="1" x14ac:dyDescent="0.2"/>
    <row r="19745" s="689" customFormat="1" x14ac:dyDescent="0.2"/>
    <row r="19746" s="689" customFormat="1" x14ac:dyDescent="0.2"/>
    <row r="19747" s="689" customFormat="1" x14ac:dyDescent="0.2"/>
    <row r="19748" s="689" customFormat="1" x14ac:dyDescent="0.2"/>
    <row r="19749" s="689" customFormat="1" x14ac:dyDescent="0.2"/>
    <row r="19750" s="689" customFormat="1" x14ac:dyDescent="0.2"/>
    <row r="19751" s="689" customFormat="1" x14ac:dyDescent="0.2"/>
    <row r="19752" s="689" customFormat="1" x14ac:dyDescent="0.2"/>
    <row r="19753" s="689" customFormat="1" x14ac:dyDescent="0.2"/>
    <row r="19754" s="689" customFormat="1" x14ac:dyDescent="0.2"/>
    <row r="19755" s="689" customFormat="1" x14ac:dyDescent="0.2"/>
    <row r="19756" s="689" customFormat="1" x14ac:dyDescent="0.2"/>
    <row r="19757" s="689" customFormat="1" x14ac:dyDescent="0.2"/>
    <row r="19758" s="689" customFormat="1" x14ac:dyDescent="0.2"/>
    <row r="19759" s="689" customFormat="1" x14ac:dyDescent="0.2"/>
    <row r="19760" s="689" customFormat="1" x14ac:dyDescent="0.2"/>
    <row r="19761" s="689" customFormat="1" x14ac:dyDescent="0.2"/>
    <row r="19762" s="689" customFormat="1" x14ac:dyDescent="0.2"/>
    <row r="19763" s="689" customFormat="1" x14ac:dyDescent="0.2"/>
    <row r="19764" s="689" customFormat="1" x14ac:dyDescent="0.2"/>
    <row r="19765" s="689" customFormat="1" x14ac:dyDescent="0.2"/>
    <row r="19766" s="689" customFormat="1" x14ac:dyDescent="0.2"/>
    <row r="19767" s="689" customFormat="1" x14ac:dyDescent="0.2"/>
    <row r="19768" s="689" customFormat="1" x14ac:dyDescent="0.2"/>
    <row r="19769" s="689" customFormat="1" x14ac:dyDescent="0.2"/>
    <row r="19770" s="689" customFormat="1" x14ac:dyDescent="0.2"/>
    <row r="19771" s="689" customFormat="1" x14ac:dyDescent="0.2"/>
    <row r="19772" s="689" customFormat="1" x14ac:dyDescent="0.2"/>
    <row r="19773" s="689" customFormat="1" x14ac:dyDescent="0.2"/>
    <row r="19774" s="689" customFormat="1" x14ac:dyDescent="0.2"/>
    <row r="19775" s="689" customFormat="1" x14ac:dyDescent="0.2"/>
    <row r="19776" s="689" customFormat="1" x14ac:dyDescent="0.2"/>
    <row r="19777" s="689" customFormat="1" x14ac:dyDescent="0.2"/>
    <row r="19778" s="689" customFormat="1" x14ac:dyDescent="0.2"/>
    <row r="19779" s="689" customFormat="1" x14ac:dyDescent="0.2"/>
    <row r="19780" s="689" customFormat="1" x14ac:dyDescent="0.2"/>
    <row r="19781" s="689" customFormat="1" x14ac:dyDescent="0.2"/>
    <row r="19782" s="689" customFormat="1" x14ac:dyDescent="0.2"/>
    <row r="19783" s="689" customFormat="1" x14ac:dyDescent="0.2"/>
    <row r="19784" s="689" customFormat="1" x14ac:dyDescent="0.2"/>
    <row r="19785" s="689" customFormat="1" x14ac:dyDescent="0.2"/>
    <row r="19786" s="689" customFormat="1" x14ac:dyDescent="0.2"/>
    <row r="19787" s="689" customFormat="1" x14ac:dyDescent="0.2"/>
    <row r="19788" s="689" customFormat="1" x14ac:dyDescent="0.2"/>
    <row r="19789" s="689" customFormat="1" x14ac:dyDescent="0.2"/>
    <row r="19790" s="689" customFormat="1" x14ac:dyDescent="0.2"/>
    <row r="19791" s="689" customFormat="1" x14ac:dyDescent="0.2"/>
    <row r="19792" s="689" customFormat="1" x14ac:dyDescent="0.2"/>
    <row r="19793" s="689" customFormat="1" x14ac:dyDescent="0.2"/>
    <row r="19794" s="689" customFormat="1" x14ac:dyDescent="0.2"/>
    <row r="19795" s="689" customFormat="1" x14ac:dyDescent="0.2"/>
    <row r="19796" s="689" customFormat="1" x14ac:dyDescent="0.2"/>
    <row r="19797" s="689" customFormat="1" x14ac:dyDescent="0.2"/>
    <row r="19798" s="689" customFormat="1" x14ac:dyDescent="0.2"/>
    <row r="19799" s="689" customFormat="1" x14ac:dyDescent="0.2"/>
    <row r="19800" s="689" customFormat="1" x14ac:dyDescent="0.2"/>
    <row r="19801" s="689" customFormat="1" x14ac:dyDescent="0.2"/>
    <row r="19802" s="689" customFormat="1" x14ac:dyDescent="0.2"/>
    <row r="19803" s="689" customFormat="1" x14ac:dyDescent="0.2"/>
    <row r="19804" s="689" customFormat="1" x14ac:dyDescent="0.2"/>
    <row r="19805" s="689" customFormat="1" x14ac:dyDescent="0.2"/>
    <row r="19806" s="689" customFormat="1" x14ac:dyDescent="0.2"/>
    <row r="19807" s="689" customFormat="1" x14ac:dyDescent="0.2"/>
    <row r="19808" s="689" customFormat="1" x14ac:dyDescent="0.2"/>
    <row r="19809" s="689" customFormat="1" x14ac:dyDescent="0.2"/>
    <row r="19810" s="689" customFormat="1" x14ac:dyDescent="0.2"/>
    <row r="19811" s="689" customFormat="1" x14ac:dyDescent="0.2"/>
    <row r="19812" s="689" customFormat="1" x14ac:dyDescent="0.2"/>
    <row r="19813" s="689" customFormat="1" x14ac:dyDescent="0.2"/>
    <row r="19814" s="689" customFormat="1" x14ac:dyDescent="0.2"/>
    <row r="19815" s="689" customFormat="1" x14ac:dyDescent="0.2"/>
    <row r="19816" s="689" customFormat="1" x14ac:dyDescent="0.2"/>
    <row r="19817" s="689" customFormat="1" x14ac:dyDescent="0.2"/>
    <row r="19818" s="689" customFormat="1" x14ac:dyDescent="0.2"/>
    <row r="19819" s="689" customFormat="1" x14ac:dyDescent="0.2"/>
    <row r="19820" s="689" customFormat="1" x14ac:dyDescent="0.2"/>
    <row r="19821" s="689" customFormat="1" x14ac:dyDescent="0.2"/>
    <row r="19822" s="689" customFormat="1" x14ac:dyDescent="0.2"/>
    <row r="19823" s="689" customFormat="1" x14ac:dyDescent="0.2"/>
    <row r="19824" s="689" customFormat="1" x14ac:dyDescent="0.2"/>
    <row r="19825" s="689" customFormat="1" x14ac:dyDescent="0.2"/>
    <row r="19826" s="689" customFormat="1" x14ac:dyDescent="0.2"/>
    <row r="19827" s="689" customFormat="1" x14ac:dyDescent="0.2"/>
    <row r="19828" s="689" customFormat="1" x14ac:dyDescent="0.2"/>
    <row r="19829" s="689" customFormat="1" x14ac:dyDescent="0.2"/>
    <row r="19830" s="689" customFormat="1" x14ac:dyDescent="0.2"/>
    <row r="19831" s="689" customFormat="1" x14ac:dyDescent="0.2"/>
    <row r="19832" s="689" customFormat="1" x14ac:dyDescent="0.2"/>
    <row r="19833" s="689" customFormat="1" x14ac:dyDescent="0.2"/>
    <row r="19834" s="689" customFormat="1" x14ac:dyDescent="0.2"/>
    <row r="19835" s="689" customFormat="1" x14ac:dyDescent="0.2"/>
    <row r="19836" s="689" customFormat="1" x14ac:dyDescent="0.2"/>
    <row r="19837" s="689" customFormat="1" x14ac:dyDescent="0.2"/>
    <row r="19838" s="689" customFormat="1" x14ac:dyDescent="0.2"/>
    <row r="19839" s="689" customFormat="1" x14ac:dyDescent="0.2"/>
    <row r="19840" s="689" customFormat="1" x14ac:dyDescent="0.2"/>
    <row r="19841" s="689" customFormat="1" x14ac:dyDescent="0.2"/>
    <row r="19842" s="689" customFormat="1" x14ac:dyDescent="0.2"/>
    <row r="19843" s="689" customFormat="1" x14ac:dyDescent="0.2"/>
    <row r="19844" s="689" customFormat="1" x14ac:dyDescent="0.2"/>
    <row r="19845" s="689" customFormat="1" x14ac:dyDescent="0.2"/>
    <row r="19846" s="689" customFormat="1" x14ac:dyDescent="0.2"/>
    <row r="19847" s="689" customFormat="1" x14ac:dyDescent="0.2"/>
    <row r="19848" s="689" customFormat="1" x14ac:dyDescent="0.2"/>
    <row r="19849" s="689" customFormat="1" x14ac:dyDescent="0.2"/>
    <row r="19850" s="689" customFormat="1" x14ac:dyDescent="0.2"/>
    <row r="19851" s="689" customFormat="1" x14ac:dyDescent="0.2"/>
    <row r="19852" s="689" customFormat="1" x14ac:dyDescent="0.2"/>
    <row r="19853" s="689" customFormat="1" x14ac:dyDescent="0.2"/>
    <row r="19854" s="689" customFormat="1" x14ac:dyDescent="0.2"/>
    <row r="19855" s="689" customFormat="1" x14ac:dyDescent="0.2"/>
    <row r="19856" s="689" customFormat="1" x14ac:dyDescent="0.2"/>
    <row r="19857" s="689" customFormat="1" x14ac:dyDescent="0.2"/>
    <row r="19858" s="689" customFormat="1" x14ac:dyDescent="0.2"/>
    <row r="19859" s="689" customFormat="1" x14ac:dyDescent="0.2"/>
    <row r="19860" s="689" customFormat="1" x14ac:dyDescent="0.2"/>
    <row r="19861" s="689" customFormat="1" x14ac:dyDescent="0.2"/>
    <row r="19862" s="689" customFormat="1" x14ac:dyDescent="0.2"/>
    <row r="19863" s="689" customFormat="1" x14ac:dyDescent="0.2"/>
    <row r="19864" s="689" customFormat="1" x14ac:dyDescent="0.2"/>
    <row r="19865" s="689" customFormat="1" x14ac:dyDescent="0.2"/>
    <row r="19866" s="689" customFormat="1" x14ac:dyDescent="0.2"/>
    <row r="19867" s="689" customFormat="1" x14ac:dyDescent="0.2"/>
    <row r="19868" s="689" customFormat="1" x14ac:dyDescent="0.2"/>
    <row r="19869" s="689" customFormat="1" x14ac:dyDescent="0.2"/>
    <row r="19870" s="689" customFormat="1" x14ac:dyDescent="0.2"/>
    <row r="19871" s="689" customFormat="1" x14ac:dyDescent="0.2"/>
    <row r="19872" s="689" customFormat="1" x14ac:dyDescent="0.2"/>
    <row r="19873" s="689" customFormat="1" x14ac:dyDescent="0.2"/>
    <row r="19874" s="689" customFormat="1" x14ac:dyDescent="0.2"/>
    <row r="19875" s="689" customFormat="1" x14ac:dyDescent="0.2"/>
    <row r="19876" s="689" customFormat="1" x14ac:dyDescent="0.2"/>
    <row r="19877" s="689" customFormat="1" x14ac:dyDescent="0.2"/>
    <row r="19878" s="689" customFormat="1" x14ac:dyDescent="0.2"/>
    <row r="19879" s="689" customFormat="1" x14ac:dyDescent="0.2"/>
    <row r="19880" s="689" customFormat="1" x14ac:dyDescent="0.2"/>
    <row r="19881" s="689" customFormat="1" x14ac:dyDescent="0.2"/>
    <row r="19882" s="689" customFormat="1" x14ac:dyDescent="0.2"/>
    <row r="19883" s="689" customFormat="1" x14ac:dyDescent="0.2"/>
    <row r="19884" s="689" customFormat="1" x14ac:dyDescent="0.2"/>
    <row r="19885" s="689" customFormat="1" x14ac:dyDescent="0.2"/>
    <row r="19886" s="689" customFormat="1" x14ac:dyDescent="0.2"/>
    <row r="19887" s="689" customFormat="1" x14ac:dyDescent="0.2"/>
    <row r="19888" s="689" customFormat="1" x14ac:dyDescent="0.2"/>
    <row r="19889" s="689" customFormat="1" x14ac:dyDescent="0.2"/>
    <row r="19890" s="689" customFormat="1" x14ac:dyDescent="0.2"/>
    <row r="19891" s="689" customFormat="1" x14ac:dyDescent="0.2"/>
    <row r="19892" s="689" customFormat="1" x14ac:dyDescent="0.2"/>
    <row r="19893" s="689" customFormat="1" x14ac:dyDescent="0.2"/>
    <row r="19894" s="689" customFormat="1" x14ac:dyDescent="0.2"/>
    <row r="19895" s="689" customFormat="1" x14ac:dyDescent="0.2"/>
    <row r="19896" s="689" customFormat="1" x14ac:dyDescent="0.2"/>
    <row r="19897" s="689" customFormat="1" x14ac:dyDescent="0.2"/>
    <row r="19898" s="689" customFormat="1" x14ac:dyDescent="0.2"/>
    <row r="19899" s="689" customFormat="1" x14ac:dyDescent="0.2"/>
    <row r="19900" s="689" customFormat="1" x14ac:dyDescent="0.2"/>
    <row r="19901" s="689" customFormat="1" x14ac:dyDescent="0.2"/>
    <row r="19902" s="689" customFormat="1" x14ac:dyDescent="0.2"/>
    <row r="19903" s="689" customFormat="1" x14ac:dyDescent="0.2"/>
    <row r="19904" s="689" customFormat="1" x14ac:dyDescent="0.2"/>
    <row r="19905" s="689" customFormat="1" x14ac:dyDescent="0.2"/>
    <row r="19906" s="689" customFormat="1" x14ac:dyDescent="0.2"/>
    <row r="19907" s="689" customFormat="1" x14ac:dyDescent="0.2"/>
    <row r="19908" s="689" customFormat="1" x14ac:dyDescent="0.2"/>
    <row r="19909" s="689" customFormat="1" x14ac:dyDescent="0.2"/>
    <row r="19910" s="689" customFormat="1" x14ac:dyDescent="0.2"/>
    <row r="19911" s="689" customFormat="1" x14ac:dyDescent="0.2"/>
    <row r="19912" s="689" customFormat="1" x14ac:dyDescent="0.2"/>
    <row r="19913" s="689" customFormat="1" x14ac:dyDescent="0.2"/>
    <row r="19914" s="689" customFormat="1" x14ac:dyDescent="0.2"/>
    <row r="19915" s="689" customFormat="1" x14ac:dyDescent="0.2"/>
    <row r="19916" s="689" customFormat="1" x14ac:dyDescent="0.2"/>
    <row r="19917" s="689" customFormat="1" x14ac:dyDescent="0.2"/>
    <row r="19918" s="689" customFormat="1" x14ac:dyDescent="0.2"/>
    <row r="19919" s="689" customFormat="1" x14ac:dyDescent="0.2"/>
    <row r="19920" s="689" customFormat="1" x14ac:dyDescent="0.2"/>
    <row r="19921" s="689" customFormat="1" x14ac:dyDescent="0.2"/>
    <row r="19922" s="689" customFormat="1" x14ac:dyDescent="0.2"/>
    <row r="19923" s="689" customFormat="1" x14ac:dyDescent="0.2"/>
    <row r="19924" s="689" customFormat="1" x14ac:dyDescent="0.2"/>
    <row r="19925" s="689" customFormat="1" x14ac:dyDescent="0.2"/>
    <row r="19926" s="689" customFormat="1" x14ac:dyDescent="0.2"/>
    <row r="19927" s="689" customFormat="1" x14ac:dyDescent="0.2"/>
    <row r="19928" s="689" customFormat="1" x14ac:dyDescent="0.2"/>
    <row r="19929" s="689" customFormat="1" x14ac:dyDescent="0.2"/>
    <row r="19930" s="689" customFormat="1" x14ac:dyDescent="0.2"/>
    <row r="19931" s="689" customFormat="1" x14ac:dyDescent="0.2"/>
    <row r="19932" s="689" customFormat="1" x14ac:dyDescent="0.2"/>
    <row r="19933" s="689" customFormat="1" x14ac:dyDescent="0.2"/>
    <row r="19934" s="689" customFormat="1" x14ac:dyDescent="0.2"/>
    <row r="19935" s="689" customFormat="1" x14ac:dyDescent="0.2"/>
    <row r="19936" s="689" customFormat="1" x14ac:dyDescent="0.2"/>
    <row r="19937" s="689" customFormat="1" x14ac:dyDescent="0.2"/>
    <row r="19938" s="689" customFormat="1" x14ac:dyDescent="0.2"/>
    <row r="19939" s="689" customFormat="1" x14ac:dyDescent="0.2"/>
    <row r="19940" s="689" customFormat="1" x14ac:dyDescent="0.2"/>
    <row r="19941" s="689" customFormat="1" x14ac:dyDescent="0.2"/>
    <row r="19942" s="689" customFormat="1" x14ac:dyDescent="0.2"/>
    <row r="19943" s="689" customFormat="1" x14ac:dyDescent="0.2"/>
    <row r="19944" s="689" customFormat="1" x14ac:dyDescent="0.2"/>
    <row r="19945" s="689" customFormat="1" x14ac:dyDescent="0.2"/>
    <row r="19946" s="689" customFormat="1" x14ac:dyDescent="0.2"/>
    <row r="19947" s="689" customFormat="1" x14ac:dyDescent="0.2"/>
    <row r="19948" s="689" customFormat="1" x14ac:dyDescent="0.2"/>
    <row r="19949" s="689" customFormat="1" x14ac:dyDescent="0.2"/>
    <row r="19950" s="689" customFormat="1" x14ac:dyDescent="0.2"/>
    <row r="19951" s="689" customFormat="1" x14ac:dyDescent="0.2"/>
    <row r="19952" s="689" customFormat="1" x14ac:dyDescent="0.2"/>
    <row r="19953" s="689" customFormat="1" x14ac:dyDescent="0.2"/>
    <row r="19954" s="689" customFormat="1" x14ac:dyDescent="0.2"/>
    <row r="19955" s="689" customFormat="1" x14ac:dyDescent="0.2"/>
    <row r="19956" s="689" customFormat="1" x14ac:dyDescent="0.2"/>
    <row r="19957" s="689" customFormat="1" x14ac:dyDescent="0.2"/>
    <row r="19958" s="689" customFormat="1" x14ac:dyDescent="0.2"/>
    <row r="19959" s="689" customFormat="1" x14ac:dyDescent="0.2"/>
    <row r="19960" s="689" customFormat="1" x14ac:dyDescent="0.2"/>
    <row r="19961" s="689" customFormat="1" x14ac:dyDescent="0.2"/>
    <row r="19962" s="689" customFormat="1" x14ac:dyDescent="0.2"/>
    <row r="19963" s="689" customFormat="1" x14ac:dyDescent="0.2"/>
    <row r="19964" s="689" customFormat="1" x14ac:dyDescent="0.2"/>
    <row r="19965" s="689" customFormat="1" x14ac:dyDescent="0.2"/>
    <row r="19966" s="689" customFormat="1" x14ac:dyDescent="0.2"/>
    <row r="19967" s="689" customFormat="1" x14ac:dyDescent="0.2"/>
    <row r="19968" s="689" customFormat="1" x14ac:dyDescent="0.2"/>
    <row r="19969" s="689" customFormat="1" x14ac:dyDescent="0.2"/>
    <row r="19970" s="689" customFormat="1" x14ac:dyDescent="0.2"/>
    <row r="19971" s="689" customFormat="1" x14ac:dyDescent="0.2"/>
    <row r="19972" s="689" customFormat="1" x14ac:dyDescent="0.2"/>
    <row r="19973" s="689" customFormat="1" x14ac:dyDescent="0.2"/>
    <row r="19974" s="689" customFormat="1" x14ac:dyDescent="0.2"/>
    <row r="19975" s="689" customFormat="1" x14ac:dyDescent="0.2"/>
    <row r="19976" s="689" customFormat="1" x14ac:dyDescent="0.2"/>
    <row r="19977" s="689" customFormat="1" x14ac:dyDescent="0.2"/>
    <row r="19978" s="689" customFormat="1" x14ac:dyDescent="0.2"/>
    <row r="19979" s="689" customFormat="1" x14ac:dyDescent="0.2"/>
    <row r="19980" s="689" customFormat="1" x14ac:dyDescent="0.2"/>
    <row r="19981" s="689" customFormat="1" x14ac:dyDescent="0.2"/>
    <row r="19982" s="689" customFormat="1" x14ac:dyDescent="0.2"/>
    <row r="19983" s="689" customFormat="1" x14ac:dyDescent="0.2"/>
    <row r="19984" s="689" customFormat="1" x14ac:dyDescent="0.2"/>
    <row r="19985" s="689" customFormat="1" x14ac:dyDescent="0.2"/>
    <row r="19986" s="689" customFormat="1" x14ac:dyDescent="0.2"/>
    <row r="19987" s="689" customFormat="1" x14ac:dyDescent="0.2"/>
    <row r="19988" s="689" customFormat="1" x14ac:dyDescent="0.2"/>
    <row r="19989" s="689" customFormat="1" x14ac:dyDescent="0.2"/>
    <row r="19990" s="689" customFormat="1" x14ac:dyDescent="0.2"/>
    <row r="19991" s="689" customFormat="1" x14ac:dyDescent="0.2"/>
    <row r="19992" s="689" customFormat="1" x14ac:dyDescent="0.2"/>
    <row r="19993" s="689" customFormat="1" x14ac:dyDescent="0.2"/>
    <row r="19994" s="689" customFormat="1" x14ac:dyDescent="0.2"/>
    <row r="19995" s="689" customFormat="1" x14ac:dyDescent="0.2"/>
    <row r="19996" s="689" customFormat="1" x14ac:dyDescent="0.2"/>
    <row r="19997" s="689" customFormat="1" x14ac:dyDescent="0.2"/>
    <row r="19998" s="689" customFormat="1" x14ac:dyDescent="0.2"/>
    <row r="19999" s="689" customFormat="1" x14ac:dyDescent="0.2"/>
    <row r="20000" s="689" customFormat="1" x14ac:dyDescent="0.2"/>
    <row r="20001" s="689" customFormat="1" x14ac:dyDescent="0.2"/>
    <row r="20002" s="689" customFormat="1" x14ac:dyDescent="0.2"/>
    <row r="20003" s="689" customFormat="1" x14ac:dyDescent="0.2"/>
    <row r="20004" s="689" customFormat="1" x14ac:dyDescent="0.2"/>
    <row r="20005" s="689" customFormat="1" x14ac:dyDescent="0.2"/>
    <row r="20006" s="689" customFormat="1" x14ac:dyDescent="0.2"/>
    <row r="20007" s="689" customFormat="1" x14ac:dyDescent="0.2"/>
    <row r="20008" s="689" customFormat="1" x14ac:dyDescent="0.2"/>
    <row r="20009" s="689" customFormat="1" x14ac:dyDescent="0.2"/>
    <row r="20010" s="689" customFormat="1" x14ac:dyDescent="0.2"/>
    <row r="20011" s="689" customFormat="1" x14ac:dyDescent="0.2"/>
    <row r="20012" s="689" customFormat="1" x14ac:dyDescent="0.2"/>
    <row r="20013" s="689" customFormat="1" x14ac:dyDescent="0.2"/>
    <row r="20014" s="689" customFormat="1" x14ac:dyDescent="0.2"/>
    <row r="20015" s="689" customFormat="1" x14ac:dyDescent="0.2"/>
    <row r="20016" s="689" customFormat="1" x14ac:dyDescent="0.2"/>
    <row r="20017" s="689" customFormat="1" x14ac:dyDescent="0.2"/>
    <row r="20018" s="689" customFormat="1" x14ac:dyDescent="0.2"/>
    <row r="20019" s="689" customFormat="1" x14ac:dyDescent="0.2"/>
    <row r="20020" s="689" customFormat="1" x14ac:dyDescent="0.2"/>
    <row r="20021" s="689" customFormat="1" x14ac:dyDescent="0.2"/>
    <row r="20022" s="689" customFormat="1" x14ac:dyDescent="0.2"/>
    <row r="20023" s="689" customFormat="1" x14ac:dyDescent="0.2"/>
    <row r="20024" s="689" customFormat="1" x14ac:dyDescent="0.2"/>
    <row r="20025" s="689" customFormat="1" x14ac:dyDescent="0.2"/>
    <row r="20026" s="689" customFormat="1" x14ac:dyDescent="0.2"/>
    <row r="20027" s="689" customFormat="1" x14ac:dyDescent="0.2"/>
    <row r="20028" s="689" customFormat="1" x14ac:dyDescent="0.2"/>
    <row r="20029" s="689" customFormat="1" x14ac:dyDescent="0.2"/>
    <row r="20030" s="689" customFormat="1" x14ac:dyDescent="0.2"/>
    <row r="20031" s="689" customFormat="1" x14ac:dyDescent="0.2"/>
    <row r="20032" s="689" customFormat="1" x14ac:dyDescent="0.2"/>
    <row r="20033" s="689" customFormat="1" x14ac:dyDescent="0.2"/>
    <row r="20034" s="689" customFormat="1" x14ac:dyDescent="0.2"/>
    <row r="20035" s="689" customFormat="1" x14ac:dyDescent="0.2"/>
    <row r="20036" s="689" customFormat="1" x14ac:dyDescent="0.2"/>
    <row r="20037" s="689" customFormat="1" x14ac:dyDescent="0.2"/>
    <row r="20038" s="689" customFormat="1" x14ac:dyDescent="0.2"/>
    <row r="20039" s="689" customFormat="1" x14ac:dyDescent="0.2"/>
    <row r="20040" s="689" customFormat="1" x14ac:dyDescent="0.2"/>
    <row r="20041" s="689" customFormat="1" x14ac:dyDescent="0.2"/>
    <row r="20042" s="689" customFormat="1" x14ac:dyDescent="0.2"/>
    <row r="20043" s="689" customFormat="1" x14ac:dyDescent="0.2"/>
    <row r="20044" s="689" customFormat="1" x14ac:dyDescent="0.2"/>
    <row r="20045" s="689" customFormat="1" x14ac:dyDescent="0.2"/>
    <row r="20046" s="689" customFormat="1" x14ac:dyDescent="0.2"/>
    <row r="20047" s="689" customFormat="1" x14ac:dyDescent="0.2"/>
    <row r="20048" s="689" customFormat="1" x14ac:dyDescent="0.2"/>
    <row r="20049" s="689" customFormat="1" x14ac:dyDescent="0.2"/>
    <row r="20050" s="689" customFormat="1" x14ac:dyDescent="0.2"/>
    <row r="20051" s="689" customFormat="1" x14ac:dyDescent="0.2"/>
    <row r="20052" s="689" customFormat="1" x14ac:dyDescent="0.2"/>
    <row r="20053" s="689" customFormat="1" x14ac:dyDescent="0.2"/>
    <row r="20054" s="689" customFormat="1" x14ac:dyDescent="0.2"/>
    <row r="20055" s="689" customFormat="1" x14ac:dyDescent="0.2"/>
    <row r="20056" s="689" customFormat="1" x14ac:dyDescent="0.2"/>
    <row r="20057" s="689" customFormat="1" x14ac:dyDescent="0.2"/>
    <row r="20058" s="689" customFormat="1" x14ac:dyDescent="0.2"/>
    <row r="20059" s="689" customFormat="1" x14ac:dyDescent="0.2"/>
    <row r="20060" s="689" customFormat="1" x14ac:dyDescent="0.2"/>
    <row r="20061" s="689" customFormat="1" x14ac:dyDescent="0.2"/>
    <row r="20062" s="689" customFormat="1" x14ac:dyDescent="0.2"/>
    <row r="20063" s="689" customFormat="1" x14ac:dyDescent="0.2"/>
    <row r="20064" s="689" customFormat="1" x14ac:dyDescent="0.2"/>
    <row r="20065" s="689" customFormat="1" x14ac:dyDescent="0.2"/>
    <row r="20066" s="689" customFormat="1" x14ac:dyDescent="0.2"/>
    <row r="20067" s="689" customFormat="1" x14ac:dyDescent="0.2"/>
    <row r="20068" s="689" customFormat="1" x14ac:dyDescent="0.2"/>
    <row r="20069" s="689" customFormat="1" x14ac:dyDescent="0.2"/>
    <row r="20070" s="689" customFormat="1" x14ac:dyDescent="0.2"/>
    <row r="20071" s="689" customFormat="1" x14ac:dyDescent="0.2"/>
    <row r="20072" s="689" customFormat="1" x14ac:dyDescent="0.2"/>
    <row r="20073" s="689" customFormat="1" x14ac:dyDescent="0.2"/>
    <row r="20074" s="689" customFormat="1" x14ac:dyDescent="0.2"/>
    <row r="20075" s="689" customFormat="1" x14ac:dyDescent="0.2"/>
    <row r="20076" s="689" customFormat="1" x14ac:dyDescent="0.2"/>
    <row r="20077" s="689" customFormat="1" x14ac:dyDescent="0.2"/>
    <row r="20078" s="689" customFormat="1" x14ac:dyDescent="0.2"/>
    <row r="20079" s="689" customFormat="1" x14ac:dyDescent="0.2"/>
    <row r="20080" s="689" customFormat="1" x14ac:dyDescent="0.2"/>
    <row r="20081" s="689" customFormat="1" x14ac:dyDescent="0.2"/>
    <row r="20082" s="689" customFormat="1" x14ac:dyDescent="0.2"/>
    <row r="20083" s="689" customFormat="1" x14ac:dyDescent="0.2"/>
    <row r="20084" s="689" customFormat="1" x14ac:dyDescent="0.2"/>
    <row r="20085" s="689" customFormat="1" x14ac:dyDescent="0.2"/>
    <row r="20086" s="689" customFormat="1" x14ac:dyDescent="0.2"/>
    <row r="20087" s="689" customFormat="1" x14ac:dyDescent="0.2"/>
    <row r="20088" s="689" customFormat="1" x14ac:dyDescent="0.2"/>
    <row r="20089" s="689" customFormat="1" x14ac:dyDescent="0.2"/>
    <row r="20090" s="689" customFormat="1" x14ac:dyDescent="0.2"/>
    <row r="20091" s="689" customFormat="1" x14ac:dyDescent="0.2"/>
    <row r="20092" s="689" customFormat="1" x14ac:dyDescent="0.2"/>
    <row r="20093" s="689" customFormat="1" x14ac:dyDescent="0.2"/>
    <row r="20094" s="689" customFormat="1" x14ac:dyDescent="0.2"/>
    <row r="20095" s="689" customFormat="1" x14ac:dyDescent="0.2"/>
    <row r="20096" s="689" customFormat="1" x14ac:dyDescent="0.2"/>
    <row r="20097" s="689" customFormat="1" x14ac:dyDescent="0.2"/>
    <row r="20098" s="689" customFormat="1" x14ac:dyDescent="0.2"/>
    <row r="20099" s="689" customFormat="1" x14ac:dyDescent="0.2"/>
    <row r="20100" s="689" customFormat="1" x14ac:dyDescent="0.2"/>
    <row r="20101" s="689" customFormat="1" x14ac:dyDescent="0.2"/>
    <row r="20102" s="689" customFormat="1" x14ac:dyDescent="0.2"/>
    <row r="20103" s="689" customFormat="1" x14ac:dyDescent="0.2"/>
    <row r="20104" s="689" customFormat="1" x14ac:dyDescent="0.2"/>
    <row r="20105" s="689" customFormat="1" x14ac:dyDescent="0.2"/>
    <row r="20106" s="689" customFormat="1" x14ac:dyDescent="0.2"/>
    <row r="20107" s="689" customFormat="1" x14ac:dyDescent="0.2"/>
    <row r="20108" s="689" customFormat="1" x14ac:dyDescent="0.2"/>
    <row r="20109" s="689" customFormat="1" x14ac:dyDescent="0.2"/>
    <row r="20110" s="689" customFormat="1" x14ac:dyDescent="0.2"/>
    <row r="20111" s="689" customFormat="1" x14ac:dyDescent="0.2"/>
    <row r="20112" s="689" customFormat="1" x14ac:dyDescent="0.2"/>
    <row r="20113" s="689" customFormat="1" x14ac:dyDescent="0.2"/>
    <row r="20114" s="689" customFormat="1" x14ac:dyDescent="0.2"/>
    <row r="20115" s="689" customFormat="1" x14ac:dyDescent="0.2"/>
    <row r="20116" s="689" customFormat="1" x14ac:dyDescent="0.2"/>
    <row r="20117" s="689" customFormat="1" x14ac:dyDescent="0.2"/>
    <row r="20118" s="689" customFormat="1" x14ac:dyDescent="0.2"/>
    <row r="20119" s="689" customFormat="1" x14ac:dyDescent="0.2"/>
    <row r="20120" s="689" customFormat="1" x14ac:dyDescent="0.2"/>
    <row r="20121" s="689" customFormat="1" x14ac:dyDescent="0.2"/>
    <row r="20122" s="689" customFormat="1" x14ac:dyDescent="0.2"/>
    <row r="20123" s="689" customFormat="1" x14ac:dyDescent="0.2"/>
    <row r="20124" s="689" customFormat="1" x14ac:dyDescent="0.2"/>
    <row r="20125" s="689" customFormat="1" x14ac:dyDescent="0.2"/>
    <row r="20126" s="689" customFormat="1" x14ac:dyDescent="0.2"/>
    <row r="20127" s="689" customFormat="1" x14ac:dyDescent="0.2"/>
    <row r="20128" s="689" customFormat="1" x14ac:dyDescent="0.2"/>
    <row r="20129" s="689" customFormat="1" x14ac:dyDescent="0.2"/>
    <row r="20130" s="689" customFormat="1" x14ac:dyDescent="0.2"/>
    <row r="20131" s="689" customFormat="1" x14ac:dyDescent="0.2"/>
    <row r="20132" s="689" customFormat="1" x14ac:dyDescent="0.2"/>
    <row r="20133" s="689" customFormat="1" x14ac:dyDescent="0.2"/>
    <row r="20134" s="689" customFormat="1" x14ac:dyDescent="0.2"/>
    <row r="20135" s="689" customFormat="1" x14ac:dyDescent="0.2"/>
    <row r="20136" s="689" customFormat="1" x14ac:dyDescent="0.2"/>
    <row r="20137" s="689" customFormat="1" x14ac:dyDescent="0.2"/>
    <row r="20138" s="689" customFormat="1" x14ac:dyDescent="0.2"/>
    <row r="20139" s="689" customFormat="1" x14ac:dyDescent="0.2"/>
    <row r="20140" s="689" customFormat="1" x14ac:dyDescent="0.2"/>
    <row r="20141" s="689" customFormat="1" x14ac:dyDescent="0.2"/>
    <row r="20142" s="689" customFormat="1" x14ac:dyDescent="0.2"/>
    <row r="20143" s="689" customFormat="1" x14ac:dyDescent="0.2"/>
    <row r="20144" s="689" customFormat="1" x14ac:dyDescent="0.2"/>
    <row r="20145" s="689" customFormat="1" x14ac:dyDescent="0.2"/>
    <row r="20146" s="689" customFormat="1" x14ac:dyDescent="0.2"/>
    <row r="20147" s="689" customFormat="1" x14ac:dyDescent="0.2"/>
    <row r="20148" s="689" customFormat="1" x14ac:dyDescent="0.2"/>
    <row r="20149" s="689" customFormat="1" x14ac:dyDescent="0.2"/>
    <row r="20150" s="689" customFormat="1" x14ac:dyDescent="0.2"/>
    <row r="20151" s="689" customFormat="1" x14ac:dyDescent="0.2"/>
    <row r="20152" s="689" customFormat="1" x14ac:dyDescent="0.2"/>
    <row r="20153" s="689" customFormat="1" x14ac:dyDescent="0.2"/>
    <row r="20154" s="689" customFormat="1" x14ac:dyDescent="0.2"/>
    <row r="20155" s="689" customFormat="1" x14ac:dyDescent="0.2"/>
    <row r="20156" s="689" customFormat="1" x14ac:dyDescent="0.2"/>
    <row r="20157" s="689" customFormat="1" x14ac:dyDescent="0.2"/>
    <row r="20158" s="689" customFormat="1" x14ac:dyDescent="0.2"/>
    <row r="20159" s="689" customFormat="1" x14ac:dyDescent="0.2"/>
    <row r="20160" s="689" customFormat="1" x14ac:dyDescent="0.2"/>
    <row r="20161" s="689" customFormat="1" x14ac:dyDescent="0.2"/>
    <row r="20162" s="689" customFormat="1" x14ac:dyDescent="0.2"/>
    <row r="20163" s="689" customFormat="1" x14ac:dyDescent="0.2"/>
    <row r="20164" s="689" customFormat="1" x14ac:dyDescent="0.2"/>
    <row r="20165" s="689" customFormat="1" x14ac:dyDescent="0.2"/>
    <row r="20166" s="689" customFormat="1" x14ac:dyDescent="0.2"/>
    <row r="20167" s="689" customFormat="1" x14ac:dyDescent="0.2"/>
    <row r="20168" s="689" customFormat="1" x14ac:dyDescent="0.2"/>
    <row r="20169" s="689" customFormat="1" x14ac:dyDescent="0.2"/>
    <row r="20170" s="689" customFormat="1" x14ac:dyDescent="0.2"/>
    <row r="20171" s="689" customFormat="1" x14ac:dyDescent="0.2"/>
    <row r="20172" s="689" customFormat="1" x14ac:dyDescent="0.2"/>
    <row r="20173" s="689" customFormat="1" x14ac:dyDescent="0.2"/>
    <row r="20174" s="689" customFormat="1" x14ac:dyDescent="0.2"/>
    <row r="20175" s="689" customFormat="1" x14ac:dyDescent="0.2"/>
    <row r="20176" s="689" customFormat="1" x14ac:dyDescent="0.2"/>
    <row r="20177" s="689" customFormat="1" x14ac:dyDescent="0.2"/>
    <row r="20178" s="689" customFormat="1" x14ac:dyDescent="0.2"/>
    <row r="20179" s="689" customFormat="1" x14ac:dyDescent="0.2"/>
    <row r="20180" s="689" customFormat="1" x14ac:dyDescent="0.2"/>
    <row r="20181" s="689" customFormat="1" x14ac:dyDescent="0.2"/>
    <row r="20182" s="689" customFormat="1" x14ac:dyDescent="0.2"/>
    <row r="20183" s="689" customFormat="1" x14ac:dyDescent="0.2"/>
    <row r="20184" s="689" customFormat="1" x14ac:dyDescent="0.2"/>
    <row r="20185" s="689" customFormat="1" x14ac:dyDescent="0.2"/>
    <row r="20186" s="689" customFormat="1" x14ac:dyDescent="0.2"/>
    <row r="20187" s="689" customFormat="1" x14ac:dyDescent="0.2"/>
    <row r="20188" s="689" customFormat="1" x14ac:dyDescent="0.2"/>
    <row r="20189" s="689" customFormat="1" x14ac:dyDescent="0.2"/>
    <row r="20190" s="689" customFormat="1" x14ac:dyDescent="0.2"/>
    <row r="20191" s="689" customFormat="1" x14ac:dyDescent="0.2"/>
    <row r="20192" s="689" customFormat="1" x14ac:dyDescent="0.2"/>
    <row r="20193" s="689" customFormat="1" x14ac:dyDescent="0.2"/>
    <row r="20194" s="689" customFormat="1" x14ac:dyDescent="0.2"/>
    <row r="20195" s="689" customFormat="1" x14ac:dyDescent="0.2"/>
    <row r="20196" s="689" customFormat="1" x14ac:dyDescent="0.2"/>
    <row r="20197" s="689" customFormat="1" x14ac:dyDescent="0.2"/>
    <row r="20198" s="689" customFormat="1" x14ac:dyDescent="0.2"/>
    <row r="20199" s="689" customFormat="1" x14ac:dyDescent="0.2"/>
    <row r="20200" s="689" customFormat="1" x14ac:dyDescent="0.2"/>
    <row r="20201" s="689" customFormat="1" x14ac:dyDescent="0.2"/>
    <row r="20202" s="689" customFormat="1" x14ac:dyDescent="0.2"/>
    <row r="20203" s="689" customFormat="1" x14ac:dyDescent="0.2"/>
    <row r="20204" s="689" customFormat="1" x14ac:dyDescent="0.2"/>
    <row r="20205" s="689" customFormat="1" x14ac:dyDescent="0.2"/>
    <row r="20206" s="689" customFormat="1" x14ac:dyDescent="0.2"/>
    <row r="20207" s="689" customFormat="1" x14ac:dyDescent="0.2"/>
    <row r="20208" s="689" customFormat="1" x14ac:dyDescent="0.2"/>
    <row r="20209" s="689" customFormat="1" x14ac:dyDescent="0.2"/>
    <row r="20210" s="689" customFormat="1" x14ac:dyDescent="0.2"/>
    <row r="20211" s="689" customFormat="1" x14ac:dyDescent="0.2"/>
    <row r="20212" s="689" customFormat="1" x14ac:dyDescent="0.2"/>
    <row r="20213" s="689" customFormat="1" x14ac:dyDescent="0.2"/>
    <row r="20214" s="689" customFormat="1" x14ac:dyDescent="0.2"/>
    <row r="20215" s="689" customFormat="1" x14ac:dyDescent="0.2"/>
    <row r="20216" s="689" customFormat="1" x14ac:dyDescent="0.2"/>
    <row r="20217" s="689" customFormat="1" x14ac:dyDescent="0.2"/>
    <row r="20218" s="689" customFormat="1" x14ac:dyDescent="0.2"/>
    <row r="20219" s="689" customFormat="1" x14ac:dyDescent="0.2"/>
    <row r="20220" s="689" customFormat="1" x14ac:dyDescent="0.2"/>
    <row r="20221" s="689" customFormat="1" x14ac:dyDescent="0.2"/>
    <row r="20222" s="689" customFormat="1" x14ac:dyDescent="0.2"/>
    <row r="20223" s="689" customFormat="1" x14ac:dyDescent="0.2"/>
    <row r="20224" s="689" customFormat="1" x14ac:dyDescent="0.2"/>
    <row r="20225" s="689" customFormat="1" x14ac:dyDescent="0.2"/>
    <row r="20226" s="689" customFormat="1" x14ac:dyDescent="0.2"/>
    <row r="20227" s="689" customFormat="1" x14ac:dyDescent="0.2"/>
    <row r="20228" s="689" customFormat="1" x14ac:dyDescent="0.2"/>
    <row r="20229" s="689" customFormat="1" x14ac:dyDescent="0.2"/>
    <row r="20230" s="689" customFormat="1" x14ac:dyDescent="0.2"/>
    <row r="20231" s="689" customFormat="1" x14ac:dyDescent="0.2"/>
    <row r="20232" s="689" customFormat="1" x14ac:dyDescent="0.2"/>
    <row r="20233" s="689" customFormat="1" x14ac:dyDescent="0.2"/>
    <row r="20234" s="689" customFormat="1" x14ac:dyDescent="0.2"/>
    <row r="20235" s="689" customFormat="1" x14ac:dyDescent="0.2"/>
    <row r="20236" s="689" customFormat="1" x14ac:dyDescent="0.2"/>
    <row r="20237" s="689" customFormat="1" x14ac:dyDescent="0.2"/>
    <row r="20238" s="689" customFormat="1" x14ac:dyDescent="0.2"/>
    <row r="20239" s="689" customFormat="1" x14ac:dyDescent="0.2"/>
    <row r="20240" s="689" customFormat="1" x14ac:dyDescent="0.2"/>
    <row r="20241" s="689" customFormat="1" x14ac:dyDescent="0.2"/>
    <row r="20242" s="689" customFormat="1" x14ac:dyDescent="0.2"/>
    <row r="20243" s="689" customFormat="1" x14ac:dyDescent="0.2"/>
    <row r="20244" s="689" customFormat="1" x14ac:dyDescent="0.2"/>
    <row r="20245" s="689" customFormat="1" x14ac:dyDescent="0.2"/>
    <row r="20246" s="689" customFormat="1" x14ac:dyDescent="0.2"/>
    <row r="20247" s="689" customFormat="1" x14ac:dyDescent="0.2"/>
    <row r="20248" s="689" customFormat="1" x14ac:dyDescent="0.2"/>
    <row r="20249" s="689" customFormat="1" x14ac:dyDescent="0.2"/>
    <row r="20250" s="689" customFormat="1" x14ac:dyDescent="0.2"/>
    <row r="20251" s="689" customFormat="1" x14ac:dyDescent="0.2"/>
    <row r="20252" s="689" customFormat="1" x14ac:dyDescent="0.2"/>
    <row r="20253" s="689" customFormat="1" x14ac:dyDescent="0.2"/>
    <row r="20254" s="689" customFormat="1" x14ac:dyDescent="0.2"/>
    <row r="20255" s="689" customFormat="1" x14ac:dyDescent="0.2"/>
    <row r="20256" s="689" customFormat="1" x14ac:dyDescent="0.2"/>
    <row r="20257" s="689" customFormat="1" x14ac:dyDescent="0.2"/>
    <row r="20258" s="689" customFormat="1" x14ac:dyDescent="0.2"/>
    <row r="20259" s="689" customFormat="1" x14ac:dyDescent="0.2"/>
    <row r="20260" s="689" customFormat="1" x14ac:dyDescent="0.2"/>
    <row r="20261" s="689" customFormat="1" x14ac:dyDescent="0.2"/>
    <row r="20262" s="689" customFormat="1" x14ac:dyDescent="0.2"/>
    <row r="20263" s="689" customFormat="1" x14ac:dyDescent="0.2"/>
    <row r="20264" s="689" customFormat="1" x14ac:dyDescent="0.2"/>
    <row r="20265" s="689" customFormat="1" x14ac:dyDescent="0.2"/>
    <row r="20266" s="689" customFormat="1" x14ac:dyDescent="0.2"/>
    <row r="20267" s="689" customFormat="1" x14ac:dyDescent="0.2"/>
    <row r="20268" s="689" customFormat="1" x14ac:dyDescent="0.2"/>
    <row r="20269" s="689" customFormat="1" x14ac:dyDescent="0.2"/>
    <row r="20270" s="689" customFormat="1" x14ac:dyDescent="0.2"/>
    <row r="20271" s="689" customFormat="1" x14ac:dyDescent="0.2"/>
    <row r="20272" s="689" customFormat="1" x14ac:dyDescent="0.2"/>
    <row r="20273" s="689" customFormat="1" x14ac:dyDescent="0.2"/>
    <row r="20274" s="689" customFormat="1" x14ac:dyDescent="0.2"/>
    <row r="20275" s="689" customFormat="1" x14ac:dyDescent="0.2"/>
    <row r="20276" s="689" customFormat="1" x14ac:dyDescent="0.2"/>
    <row r="20277" s="689" customFormat="1" x14ac:dyDescent="0.2"/>
    <row r="20278" s="689" customFormat="1" x14ac:dyDescent="0.2"/>
    <row r="20279" s="689" customFormat="1" x14ac:dyDescent="0.2"/>
    <row r="20280" s="689" customFormat="1" x14ac:dyDescent="0.2"/>
    <row r="20281" s="689" customFormat="1" x14ac:dyDescent="0.2"/>
    <row r="20282" s="689" customFormat="1" x14ac:dyDescent="0.2"/>
    <row r="20283" s="689" customFormat="1" x14ac:dyDescent="0.2"/>
    <row r="20284" s="689" customFormat="1" x14ac:dyDescent="0.2"/>
    <row r="20285" s="689" customFormat="1" x14ac:dyDescent="0.2"/>
    <row r="20286" s="689" customFormat="1" x14ac:dyDescent="0.2"/>
    <row r="20287" s="689" customFormat="1" x14ac:dyDescent="0.2"/>
    <row r="20288" s="689" customFormat="1" x14ac:dyDescent="0.2"/>
    <row r="20289" s="689" customFormat="1" x14ac:dyDescent="0.2"/>
    <row r="20290" s="689" customFormat="1" x14ac:dyDescent="0.2"/>
    <row r="20291" s="689" customFormat="1" x14ac:dyDescent="0.2"/>
    <row r="20292" s="689" customFormat="1" x14ac:dyDescent="0.2"/>
    <row r="20293" s="689" customFormat="1" x14ac:dyDescent="0.2"/>
    <row r="20294" s="689" customFormat="1" x14ac:dyDescent="0.2"/>
    <row r="20295" s="689" customFormat="1" x14ac:dyDescent="0.2"/>
    <row r="20296" s="689" customFormat="1" x14ac:dyDescent="0.2"/>
    <row r="20297" s="689" customFormat="1" x14ac:dyDescent="0.2"/>
    <row r="20298" s="689" customFormat="1" x14ac:dyDescent="0.2"/>
    <row r="20299" s="689" customFormat="1" x14ac:dyDescent="0.2"/>
    <row r="20300" s="689" customFormat="1" x14ac:dyDescent="0.2"/>
    <row r="20301" s="689" customFormat="1" x14ac:dyDescent="0.2"/>
    <row r="20302" s="689" customFormat="1" x14ac:dyDescent="0.2"/>
    <row r="20303" s="689" customFormat="1" x14ac:dyDescent="0.2"/>
    <row r="20304" s="689" customFormat="1" x14ac:dyDescent="0.2"/>
    <row r="20305" s="689" customFormat="1" x14ac:dyDescent="0.2"/>
    <row r="20306" s="689" customFormat="1" x14ac:dyDescent="0.2"/>
    <row r="20307" s="689" customFormat="1" x14ac:dyDescent="0.2"/>
    <row r="20308" s="689" customFormat="1" x14ac:dyDescent="0.2"/>
    <row r="20309" s="689" customFormat="1" x14ac:dyDescent="0.2"/>
    <row r="20310" s="689" customFormat="1" x14ac:dyDescent="0.2"/>
    <row r="20311" s="689" customFormat="1" x14ac:dyDescent="0.2"/>
    <row r="20312" s="689" customFormat="1" x14ac:dyDescent="0.2"/>
    <row r="20313" s="689" customFormat="1" x14ac:dyDescent="0.2"/>
    <row r="20314" s="689" customFormat="1" x14ac:dyDescent="0.2"/>
    <row r="20315" s="689" customFormat="1" x14ac:dyDescent="0.2"/>
    <row r="20316" s="689" customFormat="1" x14ac:dyDescent="0.2"/>
    <row r="20317" s="689" customFormat="1" x14ac:dyDescent="0.2"/>
    <row r="20318" s="689" customFormat="1" x14ac:dyDescent="0.2"/>
    <row r="20319" s="689" customFormat="1" x14ac:dyDescent="0.2"/>
    <row r="20320" s="689" customFormat="1" x14ac:dyDescent="0.2"/>
    <row r="20321" s="689" customFormat="1" x14ac:dyDescent="0.2"/>
    <row r="20322" s="689" customFormat="1" x14ac:dyDescent="0.2"/>
    <row r="20323" s="689" customFormat="1" x14ac:dyDescent="0.2"/>
    <row r="20324" s="689" customFormat="1" x14ac:dyDescent="0.2"/>
    <row r="20325" s="689" customFormat="1" x14ac:dyDescent="0.2"/>
    <row r="20326" s="689" customFormat="1" x14ac:dyDescent="0.2"/>
    <row r="20327" s="689" customFormat="1" x14ac:dyDescent="0.2"/>
    <row r="20328" s="689" customFormat="1" x14ac:dyDescent="0.2"/>
    <row r="20329" s="689" customFormat="1" x14ac:dyDescent="0.2"/>
    <row r="20330" s="689" customFormat="1" x14ac:dyDescent="0.2"/>
    <row r="20331" s="689" customFormat="1" x14ac:dyDescent="0.2"/>
    <row r="20332" s="689" customFormat="1" x14ac:dyDescent="0.2"/>
    <row r="20333" s="689" customFormat="1" x14ac:dyDescent="0.2"/>
    <row r="20334" s="689" customFormat="1" x14ac:dyDescent="0.2"/>
    <row r="20335" s="689" customFormat="1" x14ac:dyDescent="0.2"/>
    <row r="20336" s="689" customFormat="1" x14ac:dyDescent="0.2"/>
    <row r="20337" s="689" customFormat="1" x14ac:dyDescent="0.2"/>
    <row r="20338" s="689" customFormat="1" x14ac:dyDescent="0.2"/>
    <row r="20339" s="689" customFormat="1" x14ac:dyDescent="0.2"/>
    <row r="20340" s="689" customFormat="1" x14ac:dyDescent="0.2"/>
    <row r="20341" s="689" customFormat="1" x14ac:dyDescent="0.2"/>
    <row r="20342" s="689" customFormat="1" x14ac:dyDescent="0.2"/>
    <row r="20343" s="689" customFormat="1" x14ac:dyDescent="0.2"/>
    <row r="20344" s="689" customFormat="1" x14ac:dyDescent="0.2"/>
    <row r="20345" s="689" customFormat="1" x14ac:dyDescent="0.2"/>
    <row r="20346" s="689" customFormat="1" x14ac:dyDescent="0.2"/>
    <row r="20347" s="689" customFormat="1" x14ac:dyDescent="0.2"/>
    <row r="20348" s="689" customFormat="1" x14ac:dyDescent="0.2"/>
    <row r="20349" s="689" customFormat="1" x14ac:dyDescent="0.2"/>
    <row r="20350" s="689" customFormat="1" x14ac:dyDescent="0.2"/>
    <row r="20351" s="689" customFormat="1" x14ac:dyDescent="0.2"/>
    <row r="20352" s="689" customFormat="1" x14ac:dyDescent="0.2"/>
    <row r="20353" s="689" customFormat="1" x14ac:dyDescent="0.2"/>
    <row r="20354" s="689" customFormat="1" x14ac:dyDescent="0.2"/>
    <row r="20355" s="689" customFormat="1" x14ac:dyDescent="0.2"/>
    <row r="20356" s="689" customFormat="1" x14ac:dyDescent="0.2"/>
    <row r="20357" s="689" customFormat="1" x14ac:dyDescent="0.2"/>
    <row r="20358" s="689" customFormat="1" x14ac:dyDescent="0.2"/>
    <row r="20359" s="689" customFormat="1" x14ac:dyDescent="0.2"/>
    <row r="20360" s="689" customFormat="1" x14ac:dyDescent="0.2"/>
    <row r="20361" s="689" customFormat="1" x14ac:dyDescent="0.2"/>
    <row r="20362" s="689" customFormat="1" x14ac:dyDescent="0.2"/>
    <row r="20363" s="689" customFormat="1" x14ac:dyDescent="0.2"/>
    <row r="20364" s="689" customFormat="1" x14ac:dyDescent="0.2"/>
    <row r="20365" s="689" customFormat="1" x14ac:dyDescent="0.2"/>
    <row r="20366" s="689" customFormat="1" x14ac:dyDescent="0.2"/>
    <row r="20367" s="689" customFormat="1" x14ac:dyDescent="0.2"/>
    <row r="20368" s="689" customFormat="1" x14ac:dyDescent="0.2"/>
    <row r="20369" s="689" customFormat="1" x14ac:dyDescent="0.2"/>
    <row r="20370" s="689" customFormat="1" x14ac:dyDescent="0.2"/>
    <row r="20371" s="689" customFormat="1" x14ac:dyDescent="0.2"/>
    <row r="20372" s="689" customFormat="1" x14ac:dyDescent="0.2"/>
    <row r="20373" s="689" customFormat="1" x14ac:dyDescent="0.2"/>
    <row r="20374" s="689" customFormat="1" x14ac:dyDescent="0.2"/>
    <row r="20375" s="689" customFormat="1" x14ac:dyDescent="0.2"/>
    <row r="20376" s="689" customFormat="1" x14ac:dyDescent="0.2"/>
    <row r="20377" s="689" customFormat="1" x14ac:dyDescent="0.2"/>
    <row r="20378" s="689" customFormat="1" x14ac:dyDescent="0.2"/>
    <row r="20379" s="689" customFormat="1" x14ac:dyDescent="0.2"/>
    <row r="20380" s="689" customFormat="1" x14ac:dyDescent="0.2"/>
    <row r="20381" s="689" customFormat="1" x14ac:dyDescent="0.2"/>
    <row r="20382" s="689" customFormat="1" x14ac:dyDescent="0.2"/>
    <row r="20383" s="689" customFormat="1" x14ac:dyDescent="0.2"/>
    <row r="20384" s="689" customFormat="1" x14ac:dyDescent="0.2"/>
    <row r="20385" s="689" customFormat="1" x14ac:dyDescent="0.2"/>
    <row r="20386" s="689" customFormat="1" x14ac:dyDescent="0.2"/>
    <row r="20387" s="689" customFormat="1" x14ac:dyDescent="0.2"/>
    <row r="20388" s="689" customFormat="1" x14ac:dyDescent="0.2"/>
    <row r="20389" s="689" customFormat="1" x14ac:dyDescent="0.2"/>
    <row r="20390" s="689" customFormat="1" x14ac:dyDescent="0.2"/>
    <row r="20391" s="689" customFormat="1" x14ac:dyDescent="0.2"/>
    <row r="20392" s="689" customFormat="1" x14ac:dyDescent="0.2"/>
    <row r="20393" s="689" customFormat="1" x14ac:dyDescent="0.2"/>
    <row r="20394" s="689" customFormat="1" x14ac:dyDescent="0.2"/>
    <row r="20395" s="689" customFormat="1" x14ac:dyDescent="0.2"/>
    <row r="20396" s="689" customFormat="1" x14ac:dyDescent="0.2"/>
    <row r="20397" s="689" customFormat="1" x14ac:dyDescent="0.2"/>
    <row r="20398" s="689" customFormat="1" x14ac:dyDescent="0.2"/>
    <row r="20399" s="689" customFormat="1" x14ac:dyDescent="0.2"/>
    <row r="20400" s="689" customFormat="1" x14ac:dyDescent="0.2"/>
    <row r="20401" s="689" customFormat="1" x14ac:dyDescent="0.2"/>
    <row r="20402" s="689" customFormat="1" x14ac:dyDescent="0.2"/>
    <row r="20403" s="689" customFormat="1" x14ac:dyDescent="0.2"/>
    <row r="20404" s="689" customFormat="1" x14ac:dyDescent="0.2"/>
    <row r="20405" s="689" customFormat="1" x14ac:dyDescent="0.2"/>
    <row r="20406" s="689" customFormat="1" x14ac:dyDescent="0.2"/>
    <row r="20407" s="689" customFormat="1" x14ac:dyDescent="0.2"/>
    <row r="20408" s="689" customFormat="1" x14ac:dyDescent="0.2"/>
    <row r="20409" s="689" customFormat="1" x14ac:dyDescent="0.2"/>
    <row r="20410" s="689" customFormat="1" x14ac:dyDescent="0.2"/>
    <row r="20411" s="689" customFormat="1" x14ac:dyDescent="0.2"/>
    <row r="20412" s="689" customFormat="1" x14ac:dyDescent="0.2"/>
    <row r="20413" s="689" customFormat="1" x14ac:dyDescent="0.2"/>
    <row r="20414" s="689" customFormat="1" x14ac:dyDescent="0.2"/>
    <row r="20415" s="689" customFormat="1" x14ac:dyDescent="0.2"/>
    <row r="20416" s="689" customFormat="1" x14ac:dyDescent="0.2"/>
    <row r="20417" s="689" customFormat="1" x14ac:dyDescent="0.2"/>
    <row r="20418" s="689" customFormat="1" x14ac:dyDescent="0.2"/>
    <row r="20419" s="689" customFormat="1" x14ac:dyDescent="0.2"/>
    <row r="20420" s="689" customFormat="1" x14ac:dyDescent="0.2"/>
    <row r="20421" s="689" customFormat="1" x14ac:dyDescent="0.2"/>
    <row r="20422" s="689" customFormat="1" x14ac:dyDescent="0.2"/>
    <row r="20423" s="689" customFormat="1" x14ac:dyDescent="0.2"/>
    <row r="20424" s="689" customFormat="1" x14ac:dyDescent="0.2"/>
    <row r="20425" s="689" customFormat="1" x14ac:dyDescent="0.2"/>
    <row r="20426" s="689" customFormat="1" x14ac:dyDescent="0.2"/>
    <row r="20427" s="689" customFormat="1" x14ac:dyDescent="0.2"/>
    <row r="20428" s="689" customFormat="1" x14ac:dyDescent="0.2"/>
    <row r="20429" s="689" customFormat="1" x14ac:dyDescent="0.2"/>
    <row r="20430" s="689" customFormat="1" x14ac:dyDescent="0.2"/>
    <row r="20431" s="689" customFormat="1" x14ac:dyDescent="0.2"/>
    <row r="20432" s="689" customFormat="1" x14ac:dyDescent="0.2"/>
    <row r="20433" s="689" customFormat="1" x14ac:dyDescent="0.2"/>
    <row r="20434" s="689" customFormat="1" x14ac:dyDescent="0.2"/>
    <row r="20435" s="689" customFormat="1" x14ac:dyDescent="0.2"/>
    <row r="20436" s="689" customFormat="1" x14ac:dyDescent="0.2"/>
    <row r="20437" s="689" customFormat="1" x14ac:dyDescent="0.2"/>
    <row r="20438" s="689" customFormat="1" x14ac:dyDescent="0.2"/>
    <row r="20439" s="689" customFormat="1" x14ac:dyDescent="0.2"/>
    <row r="20440" s="689" customFormat="1" x14ac:dyDescent="0.2"/>
    <row r="20441" s="689" customFormat="1" x14ac:dyDescent="0.2"/>
    <row r="20442" s="689" customFormat="1" x14ac:dyDescent="0.2"/>
    <row r="20443" s="689" customFormat="1" x14ac:dyDescent="0.2"/>
    <row r="20444" s="689" customFormat="1" x14ac:dyDescent="0.2"/>
    <row r="20445" s="689" customFormat="1" x14ac:dyDescent="0.2"/>
    <row r="20446" s="689" customFormat="1" x14ac:dyDescent="0.2"/>
    <row r="20447" s="689" customFormat="1" x14ac:dyDescent="0.2"/>
    <row r="20448" s="689" customFormat="1" x14ac:dyDescent="0.2"/>
    <row r="20449" s="689" customFormat="1" x14ac:dyDescent="0.2"/>
    <row r="20450" s="689" customFormat="1" x14ac:dyDescent="0.2"/>
    <row r="20451" s="689" customFormat="1" x14ac:dyDescent="0.2"/>
    <row r="20452" s="689" customFormat="1" x14ac:dyDescent="0.2"/>
    <row r="20453" s="689" customFormat="1" x14ac:dyDescent="0.2"/>
    <row r="20454" s="689" customFormat="1" x14ac:dyDescent="0.2"/>
    <row r="20455" s="689" customFormat="1" x14ac:dyDescent="0.2"/>
    <row r="20456" s="689" customFormat="1" x14ac:dyDescent="0.2"/>
    <row r="20457" s="689" customFormat="1" x14ac:dyDescent="0.2"/>
    <row r="20458" s="689" customFormat="1" x14ac:dyDescent="0.2"/>
    <row r="20459" s="689" customFormat="1" x14ac:dyDescent="0.2"/>
    <row r="20460" s="689" customFormat="1" x14ac:dyDescent="0.2"/>
    <row r="20461" s="689" customFormat="1" x14ac:dyDescent="0.2"/>
    <row r="20462" s="689" customFormat="1" x14ac:dyDescent="0.2"/>
    <row r="20463" s="689" customFormat="1" x14ac:dyDescent="0.2"/>
    <row r="20464" s="689" customFormat="1" x14ac:dyDescent="0.2"/>
    <row r="20465" s="689" customFormat="1" x14ac:dyDescent="0.2"/>
    <row r="20466" s="689" customFormat="1" x14ac:dyDescent="0.2"/>
    <row r="20467" s="689" customFormat="1" x14ac:dyDescent="0.2"/>
    <row r="20468" s="689" customFormat="1" x14ac:dyDescent="0.2"/>
    <row r="20469" s="689" customFormat="1" x14ac:dyDescent="0.2"/>
    <row r="20470" s="689" customFormat="1" x14ac:dyDescent="0.2"/>
    <row r="20471" s="689" customFormat="1" x14ac:dyDescent="0.2"/>
    <row r="20472" s="689" customFormat="1" x14ac:dyDescent="0.2"/>
    <row r="20473" s="689" customFormat="1" x14ac:dyDescent="0.2"/>
    <row r="20474" s="689" customFormat="1" x14ac:dyDescent="0.2"/>
    <row r="20475" s="689" customFormat="1" x14ac:dyDescent="0.2"/>
    <row r="20476" s="689" customFormat="1" x14ac:dyDescent="0.2"/>
    <row r="20477" s="689" customFormat="1" x14ac:dyDescent="0.2"/>
    <row r="20478" s="689" customFormat="1" x14ac:dyDescent="0.2"/>
    <row r="20479" s="689" customFormat="1" x14ac:dyDescent="0.2"/>
    <row r="20480" s="689" customFormat="1" x14ac:dyDescent="0.2"/>
    <row r="20481" s="689" customFormat="1" x14ac:dyDescent="0.2"/>
    <row r="20482" s="689" customFormat="1" x14ac:dyDescent="0.2"/>
    <row r="20483" s="689" customFormat="1" x14ac:dyDescent="0.2"/>
    <row r="20484" s="689" customFormat="1" x14ac:dyDescent="0.2"/>
    <row r="20485" s="689" customFormat="1" x14ac:dyDescent="0.2"/>
    <row r="20486" s="689" customFormat="1" x14ac:dyDescent="0.2"/>
    <row r="20487" s="689" customFormat="1" x14ac:dyDescent="0.2"/>
    <row r="20488" s="689" customFormat="1" x14ac:dyDescent="0.2"/>
    <row r="20489" s="689" customFormat="1" x14ac:dyDescent="0.2"/>
    <row r="20490" s="689" customFormat="1" x14ac:dyDescent="0.2"/>
    <row r="20491" s="689" customFormat="1" x14ac:dyDescent="0.2"/>
    <row r="20492" s="689" customFormat="1" x14ac:dyDescent="0.2"/>
    <row r="20493" s="689" customFormat="1" x14ac:dyDescent="0.2"/>
    <row r="20494" s="689" customFormat="1" x14ac:dyDescent="0.2"/>
    <row r="20495" s="689" customFormat="1" x14ac:dyDescent="0.2"/>
    <row r="20496" s="689" customFormat="1" x14ac:dyDescent="0.2"/>
    <row r="20497" s="689" customFormat="1" x14ac:dyDescent="0.2"/>
    <row r="20498" s="689" customFormat="1" x14ac:dyDescent="0.2"/>
    <row r="20499" s="689" customFormat="1" x14ac:dyDescent="0.2"/>
    <row r="20500" s="689" customFormat="1" x14ac:dyDescent="0.2"/>
    <row r="20501" s="689" customFormat="1" x14ac:dyDescent="0.2"/>
    <row r="20502" s="689" customFormat="1" x14ac:dyDescent="0.2"/>
    <row r="20503" s="689" customFormat="1" x14ac:dyDescent="0.2"/>
    <row r="20504" s="689" customFormat="1" x14ac:dyDescent="0.2"/>
    <row r="20505" s="689" customFormat="1" x14ac:dyDescent="0.2"/>
    <row r="20506" s="689" customFormat="1" x14ac:dyDescent="0.2"/>
    <row r="20507" s="689" customFormat="1" x14ac:dyDescent="0.2"/>
    <row r="20508" s="689" customFormat="1" x14ac:dyDescent="0.2"/>
    <row r="20509" s="689" customFormat="1" x14ac:dyDescent="0.2"/>
    <row r="20510" s="689" customFormat="1" x14ac:dyDescent="0.2"/>
    <row r="20511" s="689" customFormat="1" x14ac:dyDescent="0.2"/>
    <row r="20512" s="689" customFormat="1" x14ac:dyDescent="0.2"/>
    <row r="20513" s="689" customFormat="1" x14ac:dyDescent="0.2"/>
    <row r="20514" s="689" customFormat="1" x14ac:dyDescent="0.2"/>
    <row r="20515" s="689" customFormat="1" x14ac:dyDescent="0.2"/>
    <row r="20516" s="689" customFormat="1" x14ac:dyDescent="0.2"/>
    <row r="20517" s="689" customFormat="1" x14ac:dyDescent="0.2"/>
    <row r="20518" s="689" customFormat="1" x14ac:dyDescent="0.2"/>
    <row r="20519" s="689" customFormat="1" x14ac:dyDescent="0.2"/>
    <row r="20520" s="689" customFormat="1" x14ac:dyDescent="0.2"/>
    <row r="20521" s="689" customFormat="1" x14ac:dyDescent="0.2"/>
    <row r="20522" s="689" customFormat="1" x14ac:dyDescent="0.2"/>
    <row r="20523" s="689" customFormat="1" x14ac:dyDescent="0.2"/>
    <row r="20524" s="689" customFormat="1" x14ac:dyDescent="0.2"/>
    <row r="20525" s="689" customFormat="1" x14ac:dyDescent="0.2"/>
    <row r="20526" s="689" customFormat="1" x14ac:dyDescent="0.2"/>
    <row r="20527" s="689" customFormat="1" x14ac:dyDescent="0.2"/>
    <row r="20528" s="689" customFormat="1" x14ac:dyDescent="0.2"/>
    <row r="20529" s="689" customFormat="1" x14ac:dyDescent="0.2"/>
    <row r="20530" s="689" customFormat="1" x14ac:dyDescent="0.2"/>
    <row r="20531" s="689" customFormat="1" x14ac:dyDescent="0.2"/>
    <row r="20532" s="689" customFormat="1" x14ac:dyDescent="0.2"/>
    <row r="20533" s="689" customFormat="1" x14ac:dyDescent="0.2"/>
    <row r="20534" s="689" customFormat="1" x14ac:dyDescent="0.2"/>
    <row r="20535" s="689" customFormat="1" x14ac:dyDescent="0.2"/>
    <row r="20536" s="689" customFormat="1" x14ac:dyDescent="0.2"/>
    <row r="20537" s="689" customFormat="1" x14ac:dyDescent="0.2"/>
    <row r="20538" s="689" customFormat="1" x14ac:dyDescent="0.2"/>
    <row r="20539" s="689" customFormat="1" x14ac:dyDescent="0.2"/>
    <row r="20540" s="689" customFormat="1" x14ac:dyDescent="0.2"/>
    <row r="20541" s="689" customFormat="1" x14ac:dyDescent="0.2"/>
    <row r="20542" s="689" customFormat="1" x14ac:dyDescent="0.2"/>
    <row r="20543" s="689" customFormat="1" x14ac:dyDescent="0.2"/>
    <row r="20544" s="689" customFormat="1" x14ac:dyDescent="0.2"/>
    <row r="20545" s="689" customFormat="1" x14ac:dyDescent="0.2"/>
    <row r="20546" s="689" customFormat="1" x14ac:dyDescent="0.2"/>
    <row r="20547" s="689" customFormat="1" x14ac:dyDescent="0.2"/>
    <row r="20548" s="689" customFormat="1" x14ac:dyDescent="0.2"/>
    <row r="20549" s="689" customFormat="1" x14ac:dyDescent="0.2"/>
    <row r="20550" s="689" customFormat="1" x14ac:dyDescent="0.2"/>
    <row r="20551" s="689" customFormat="1" x14ac:dyDescent="0.2"/>
    <row r="20552" s="689" customFormat="1" x14ac:dyDescent="0.2"/>
    <row r="20553" s="689" customFormat="1" x14ac:dyDescent="0.2"/>
    <row r="20554" s="689" customFormat="1" x14ac:dyDescent="0.2"/>
    <row r="20555" s="689" customFormat="1" x14ac:dyDescent="0.2"/>
    <row r="20556" s="689" customFormat="1" x14ac:dyDescent="0.2"/>
    <row r="20557" s="689" customFormat="1" x14ac:dyDescent="0.2"/>
    <row r="20558" s="689" customFormat="1" x14ac:dyDescent="0.2"/>
    <row r="20559" s="689" customFormat="1" x14ac:dyDescent="0.2"/>
    <row r="20560" s="689" customFormat="1" x14ac:dyDescent="0.2"/>
    <row r="20561" s="689" customFormat="1" x14ac:dyDescent="0.2"/>
    <row r="20562" s="689" customFormat="1" x14ac:dyDescent="0.2"/>
    <row r="20563" s="689" customFormat="1" x14ac:dyDescent="0.2"/>
    <row r="20564" s="689" customFormat="1" x14ac:dyDescent="0.2"/>
    <row r="20565" s="689" customFormat="1" x14ac:dyDescent="0.2"/>
    <row r="20566" s="689" customFormat="1" x14ac:dyDescent="0.2"/>
    <row r="20567" s="689" customFormat="1" x14ac:dyDescent="0.2"/>
    <row r="20568" s="689" customFormat="1" x14ac:dyDescent="0.2"/>
    <row r="20569" s="689" customFormat="1" x14ac:dyDescent="0.2"/>
    <row r="20570" s="689" customFormat="1" x14ac:dyDescent="0.2"/>
    <row r="20571" s="689" customFormat="1" x14ac:dyDescent="0.2"/>
    <row r="20572" s="689" customFormat="1" x14ac:dyDescent="0.2"/>
    <row r="20573" s="689" customFormat="1" x14ac:dyDescent="0.2"/>
    <row r="20574" s="689" customFormat="1" x14ac:dyDescent="0.2"/>
    <row r="20575" s="689" customFormat="1" x14ac:dyDescent="0.2"/>
    <row r="20576" s="689" customFormat="1" x14ac:dyDescent="0.2"/>
    <row r="20577" s="689" customFormat="1" x14ac:dyDescent="0.2"/>
    <row r="20578" s="689" customFormat="1" x14ac:dyDescent="0.2"/>
    <row r="20579" s="689" customFormat="1" x14ac:dyDescent="0.2"/>
    <row r="20580" s="689" customFormat="1" x14ac:dyDescent="0.2"/>
    <row r="20581" s="689" customFormat="1" x14ac:dyDescent="0.2"/>
    <row r="20582" s="689" customFormat="1" x14ac:dyDescent="0.2"/>
    <row r="20583" s="689" customFormat="1" x14ac:dyDescent="0.2"/>
    <row r="20584" s="689" customFormat="1" x14ac:dyDescent="0.2"/>
    <row r="20585" s="689" customFormat="1" x14ac:dyDescent="0.2"/>
    <row r="20586" s="689" customFormat="1" x14ac:dyDescent="0.2"/>
    <row r="20587" s="689" customFormat="1" x14ac:dyDescent="0.2"/>
    <row r="20588" s="689" customFormat="1" x14ac:dyDescent="0.2"/>
    <row r="20589" s="689" customFormat="1" x14ac:dyDescent="0.2"/>
    <row r="20590" s="689" customFormat="1" x14ac:dyDescent="0.2"/>
    <row r="20591" s="689" customFormat="1" x14ac:dyDescent="0.2"/>
    <row r="20592" s="689" customFormat="1" x14ac:dyDescent="0.2"/>
    <row r="20593" s="689" customFormat="1" x14ac:dyDescent="0.2"/>
    <row r="20594" s="689" customFormat="1" x14ac:dyDescent="0.2"/>
    <row r="20595" s="689" customFormat="1" x14ac:dyDescent="0.2"/>
    <row r="20596" s="689" customFormat="1" x14ac:dyDescent="0.2"/>
    <row r="20597" s="689" customFormat="1" x14ac:dyDescent="0.2"/>
    <row r="20598" s="689" customFormat="1" x14ac:dyDescent="0.2"/>
    <row r="20599" s="689" customFormat="1" x14ac:dyDescent="0.2"/>
    <row r="20600" s="689" customFormat="1" x14ac:dyDescent="0.2"/>
    <row r="20601" s="689" customFormat="1" x14ac:dyDescent="0.2"/>
    <row r="20602" s="689" customFormat="1" x14ac:dyDescent="0.2"/>
    <row r="20603" s="689" customFormat="1" x14ac:dyDescent="0.2"/>
    <row r="20604" s="689" customFormat="1" x14ac:dyDescent="0.2"/>
    <row r="20605" s="689" customFormat="1" x14ac:dyDescent="0.2"/>
    <row r="20606" s="689" customFormat="1" x14ac:dyDescent="0.2"/>
    <row r="20607" s="689" customFormat="1" x14ac:dyDescent="0.2"/>
    <row r="20608" s="689" customFormat="1" x14ac:dyDescent="0.2"/>
    <row r="20609" s="689" customFormat="1" x14ac:dyDescent="0.2"/>
    <row r="20610" s="689" customFormat="1" x14ac:dyDescent="0.2"/>
    <row r="20611" s="689" customFormat="1" x14ac:dyDescent="0.2"/>
    <row r="20612" s="689" customFormat="1" x14ac:dyDescent="0.2"/>
    <row r="20613" s="689" customFormat="1" x14ac:dyDescent="0.2"/>
    <row r="20614" s="689" customFormat="1" x14ac:dyDescent="0.2"/>
    <row r="20615" s="689" customFormat="1" x14ac:dyDescent="0.2"/>
    <row r="20616" s="689" customFormat="1" x14ac:dyDescent="0.2"/>
    <row r="20617" s="689" customFormat="1" x14ac:dyDescent="0.2"/>
    <row r="20618" s="689" customFormat="1" x14ac:dyDescent="0.2"/>
    <row r="20619" s="689" customFormat="1" x14ac:dyDescent="0.2"/>
    <row r="20620" s="689" customFormat="1" x14ac:dyDescent="0.2"/>
    <row r="20621" s="689" customFormat="1" x14ac:dyDescent="0.2"/>
    <row r="20622" s="689" customFormat="1" x14ac:dyDescent="0.2"/>
    <row r="20623" s="689" customFormat="1" x14ac:dyDescent="0.2"/>
    <row r="20624" s="689" customFormat="1" x14ac:dyDescent="0.2"/>
    <row r="20625" s="689" customFormat="1" x14ac:dyDescent="0.2"/>
    <row r="20626" s="689" customFormat="1" x14ac:dyDescent="0.2"/>
    <row r="20627" s="689" customFormat="1" x14ac:dyDescent="0.2"/>
    <row r="20628" s="689" customFormat="1" x14ac:dyDescent="0.2"/>
    <row r="20629" s="689" customFormat="1" x14ac:dyDescent="0.2"/>
    <row r="20630" s="689" customFormat="1" x14ac:dyDescent="0.2"/>
    <row r="20631" s="689" customFormat="1" x14ac:dyDescent="0.2"/>
    <row r="20632" s="689" customFormat="1" x14ac:dyDescent="0.2"/>
    <row r="20633" s="689" customFormat="1" x14ac:dyDescent="0.2"/>
    <row r="20634" s="689" customFormat="1" x14ac:dyDescent="0.2"/>
    <row r="20635" s="689" customFormat="1" x14ac:dyDescent="0.2"/>
    <row r="20636" s="689" customFormat="1" x14ac:dyDescent="0.2"/>
    <row r="20637" s="689" customFormat="1" x14ac:dyDescent="0.2"/>
    <row r="20638" s="689" customFormat="1" x14ac:dyDescent="0.2"/>
    <row r="20639" s="689" customFormat="1" x14ac:dyDescent="0.2"/>
    <row r="20640" s="689" customFormat="1" x14ac:dyDescent="0.2"/>
    <row r="20641" s="689" customFormat="1" x14ac:dyDescent="0.2"/>
    <row r="20642" s="689" customFormat="1" x14ac:dyDescent="0.2"/>
    <row r="20643" s="689" customFormat="1" x14ac:dyDescent="0.2"/>
    <row r="20644" s="689" customFormat="1" x14ac:dyDescent="0.2"/>
    <row r="20645" s="689" customFormat="1" x14ac:dyDescent="0.2"/>
    <row r="20646" s="689" customFormat="1" x14ac:dyDescent="0.2"/>
    <row r="20647" s="689" customFormat="1" x14ac:dyDescent="0.2"/>
    <row r="20648" s="689" customFormat="1" x14ac:dyDescent="0.2"/>
    <row r="20649" s="689" customFormat="1" x14ac:dyDescent="0.2"/>
    <row r="20650" s="689" customFormat="1" x14ac:dyDescent="0.2"/>
    <row r="20651" s="689" customFormat="1" x14ac:dyDescent="0.2"/>
    <row r="20652" s="689" customFormat="1" x14ac:dyDescent="0.2"/>
    <row r="20653" s="689" customFormat="1" x14ac:dyDescent="0.2"/>
    <row r="20654" s="689" customFormat="1" x14ac:dyDescent="0.2"/>
    <row r="20655" s="689" customFormat="1" x14ac:dyDescent="0.2"/>
    <row r="20656" s="689" customFormat="1" x14ac:dyDescent="0.2"/>
    <row r="20657" s="689" customFormat="1" x14ac:dyDescent="0.2"/>
    <row r="20658" s="689" customFormat="1" x14ac:dyDescent="0.2"/>
    <row r="20659" s="689" customFormat="1" x14ac:dyDescent="0.2"/>
    <row r="20660" s="689" customFormat="1" x14ac:dyDescent="0.2"/>
    <row r="20661" s="689" customFormat="1" x14ac:dyDescent="0.2"/>
    <row r="20662" s="689" customFormat="1" x14ac:dyDescent="0.2"/>
    <row r="20663" s="689" customFormat="1" x14ac:dyDescent="0.2"/>
    <row r="20664" s="689" customFormat="1" x14ac:dyDescent="0.2"/>
    <row r="20665" s="689" customFormat="1" x14ac:dyDescent="0.2"/>
    <row r="20666" s="689" customFormat="1" x14ac:dyDescent="0.2"/>
    <row r="20667" s="689" customFormat="1" x14ac:dyDescent="0.2"/>
    <row r="20668" s="689" customFormat="1" x14ac:dyDescent="0.2"/>
    <row r="20669" s="689" customFormat="1" x14ac:dyDescent="0.2"/>
    <row r="20670" s="689" customFormat="1" x14ac:dyDescent="0.2"/>
    <row r="20671" s="689" customFormat="1" x14ac:dyDescent="0.2"/>
    <row r="20672" s="689" customFormat="1" x14ac:dyDescent="0.2"/>
    <row r="20673" s="689" customFormat="1" x14ac:dyDescent="0.2"/>
    <row r="20674" s="689" customFormat="1" x14ac:dyDescent="0.2"/>
    <row r="20675" s="689" customFormat="1" x14ac:dyDescent="0.2"/>
    <row r="20676" s="689" customFormat="1" x14ac:dyDescent="0.2"/>
    <row r="20677" s="689" customFormat="1" x14ac:dyDescent="0.2"/>
    <row r="20678" s="689" customFormat="1" x14ac:dyDescent="0.2"/>
    <row r="20679" s="689" customFormat="1" x14ac:dyDescent="0.2"/>
    <row r="20680" s="689" customFormat="1" x14ac:dyDescent="0.2"/>
    <row r="20681" s="689" customFormat="1" x14ac:dyDescent="0.2"/>
    <row r="20682" s="689" customFormat="1" x14ac:dyDescent="0.2"/>
    <row r="20683" s="689" customFormat="1" x14ac:dyDescent="0.2"/>
    <row r="20684" s="689" customFormat="1" x14ac:dyDescent="0.2"/>
    <row r="20685" s="689" customFormat="1" x14ac:dyDescent="0.2"/>
    <row r="20686" s="689" customFormat="1" x14ac:dyDescent="0.2"/>
    <row r="20687" s="689" customFormat="1" x14ac:dyDescent="0.2"/>
    <row r="20688" s="689" customFormat="1" x14ac:dyDescent="0.2"/>
    <row r="20689" s="689" customFormat="1" x14ac:dyDescent="0.2"/>
    <row r="20690" s="689" customFormat="1" x14ac:dyDescent="0.2"/>
    <row r="20691" s="689" customFormat="1" x14ac:dyDescent="0.2"/>
    <row r="20692" s="689" customFormat="1" x14ac:dyDescent="0.2"/>
    <row r="20693" s="689" customFormat="1" x14ac:dyDescent="0.2"/>
    <row r="20694" s="689" customFormat="1" x14ac:dyDescent="0.2"/>
    <row r="20695" s="689" customFormat="1" x14ac:dyDescent="0.2"/>
    <row r="20696" s="689" customFormat="1" x14ac:dyDescent="0.2"/>
    <row r="20697" s="689" customFormat="1" x14ac:dyDescent="0.2"/>
    <row r="20698" s="689" customFormat="1" x14ac:dyDescent="0.2"/>
    <row r="20699" s="689" customFormat="1" x14ac:dyDescent="0.2"/>
    <row r="20700" s="689" customFormat="1" x14ac:dyDescent="0.2"/>
    <row r="20701" s="689" customFormat="1" x14ac:dyDescent="0.2"/>
    <row r="20702" s="689" customFormat="1" x14ac:dyDescent="0.2"/>
    <row r="20703" s="689" customFormat="1" x14ac:dyDescent="0.2"/>
    <row r="20704" s="689" customFormat="1" x14ac:dyDescent="0.2"/>
    <row r="20705" s="689" customFormat="1" x14ac:dyDescent="0.2"/>
    <row r="20706" s="689" customFormat="1" x14ac:dyDescent="0.2"/>
    <row r="20707" s="689" customFormat="1" x14ac:dyDescent="0.2"/>
    <row r="20708" s="689" customFormat="1" x14ac:dyDescent="0.2"/>
    <row r="20709" s="689" customFormat="1" x14ac:dyDescent="0.2"/>
    <row r="20710" s="689" customFormat="1" x14ac:dyDescent="0.2"/>
    <row r="20711" s="689" customFormat="1" x14ac:dyDescent="0.2"/>
    <row r="20712" s="689" customFormat="1" x14ac:dyDescent="0.2"/>
    <row r="20713" s="689" customFormat="1" x14ac:dyDescent="0.2"/>
    <row r="20714" s="689" customFormat="1" x14ac:dyDescent="0.2"/>
    <row r="20715" s="689" customFormat="1" x14ac:dyDescent="0.2"/>
    <row r="20716" s="689" customFormat="1" x14ac:dyDescent="0.2"/>
    <row r="20717" s="689" customFormat="1" x14ac:dyDescent="0.2"/>
    <row r="20718" s="689" customFormat="1" x14ac:dyDescent="0.2"/>
    <row r="20719" s="689" customFormat="1" x14ac:dyDescent="0.2"/>
    <row r="20720" s="689" customFormat="1" x14ac:dyDescent="0.2"/>
    <row r="20721" s="689" customFormat="1" x14ac:dyDescent="0.2"/>
    <row r="20722" s="689" customFormat="1" x14ac:dyDescent="0.2"/>
    <row r="20723" s="689" customFormat="1" x14ac:dyDescent="0.2"/>
    <row r="20724" s="689" customFormat="1" x14ac:dyDescent="0.2"/>
    <row r="20725" s="689" customFormat="1" x14ac:dyDescent="0.2"/>
    <row r="20726" s="689" customFormat="1" x14ac:dyDescent="0.2"/>
    <row r="20727" s="689" customFormat="1" x14ac:dyDescent="0.2"/>
    <row r="20728" s="689" customFormat="1" x14ac:dyDescent="0.2"/>
    <row r="20729" s="689" customFormat="1" x14ac:dyDescent="0.2"/>
    <row r="20730" s="689" customFormat="1" x14ac:dyDescent="0.2"/>
    <row r="20731" s="689" customFormat="1" x14ac:dyDescent="0.2"/>
    <row r="20732" s="689" customFormat="1" x14ac:dyDescent="0.2"/>
    <row r="20733" s="689" customFormat="1" x14ac:dyDescent="0.2"/>
    <row r="20734" s="689" customFormat="1" x14ac:dyDescent="0.2"/>
    <row r="20735" s="689" customFormat="1" x14ac:dyDescent="0.2"/>
    <row r="20736" s="689" customFormat="1" x14ac:dyDescent="0.2"/>
    <row r="20737" s="689" customFormat="1" x14ac:dyDescent="0.2"/>
    <row r="20738" s="689" customFormat="1" x14ac:dyDescent="0.2"/>
    <row r="20739" s="689" customFormat="1" x14ac:dyDescent="0.2"/>
    <row r="20740" s="689" customFormat="1" x14ac:dyDescent="0.2"/>
    <row r="20741" s="689" customFormat="1" x14ac:dyDescent="0.2"/>
    <row r="20742" s="689" customFormat="1" x14ac:dyDescent="0.2"/>
    <row r="20743" s="689" customFormat="1" x14ac:dyDescent="0.2"/>
    <row r="20744" s="689" customFormat="1" x14ac:dyDescent="0.2"/>
    <row r="20745" s="689" customFormat="1" x14ac:dyDescent="0.2"/>
    <row r="20746" s="689" customFormat="1" x14ac:dyDescent="0.2"/>
    <row r="20747" s="689" customFormat="1" x14ac:dyDescent="0.2"/>
    <row r="20748" s="689" customFormat="1" x14ac:dyDescent="0.2"/>
    <row r="20749" s="689" customFormat="1" x14ac:dyDescent="0.2"/>
    <row r="20750" s="689" customFormat="1" x14ac:dyDescent="0.2"/>
    <row r="20751" s="689" customFormat="1" x14ac:dyDescent="0.2"/>
    <row r="20752" s="689" customFormat="1" x14ac:dyDescent="0.2"/>
    <row r="20753" s="689" customFormat="1" x14ac:dyDescent="0.2"/>
    <row r="20754" s="689" customFormat="1" x14ac:dyDescent="0.2"/>
    <row r="20755" s="689" customFormat="1" x14ac:dyDescent="0.2"/>
    <row r="20756" s="689" customFormat="1" x14ac:dyDescent="0.2"/>
    <row r="20757" s="689" customFormat="1" x14ac:dyDescent="0.2"/>
    <row r="20758" s="689" customFormat="1" x14ac:dyDescent="0.2"/>
    <row r="20759" s="689" customFormat="1" x14ac:dyDescent="0.2"/>
    <row r="20760" s="689" customFormat="1" x14ac:dyDescent="0.2"/>
    <row r="20761" s="689" customFormat="1" x14ac:dyDescent="0.2"/>
    <row r="20762" s="689" customFormat="1" x14ac:dyDescent="0.2"/>
    <row r="20763" s="689" customFormat="1" x14ac:dyDescent="0.2"/>
    <row r="20764" s="689" customFormat="1" x14ac:dyDescent="0.2"/>
    <row r="20765" s="689" customFormat="1" x14ac:dyDescent="0.2"/>
    <row r="20766" s="689" customFormat="1" x14ac:dyDescent="0.2"/>
    <row r="20767" s="689" customFormat="1" x14ac:dyDescent="0.2"/>
    <row r="20768" s="689" customFormat="1" x14ac:dyDescent="0.2"/>
    <row r="20769" s="689" customFormat="1" x14ac:dyDescent="0.2"/>
    <row r="20770" s="689" customFormat="1" x14ac:dyDescent="0.2"/>
    <row r="20771" s="689" customFormat="1" x14ac:dyDescent="0.2"/>
    <row r="20772" s="689" customFormat="1" x14ac:dyDescent="0.2"/>
    <row r="20773" s="689" customFormat="1" x14ac:dyDescent="0.2"/>
    <row r="20774" s="689" customFormat="1" x14ac:dyDescent="0.2"/>
    <row r="20775" s="689" customFormat="1" x14ac:dyDescent="0.2"/>
    <row r="20776" s="689" customFormat="1" x14ac:dyDescent="0.2"/>
    <row r="20777" s="689" customFormat="1" x14ac:dyDescent="0.2"/>
    <row r="20778" s="689" customFormat="1" x14ac:dyDescent="0.2"/>
    <row r="20779" s="689" customFormat="1" x14ac:dyDescent="0.2"/>
    <row r="20780" s="689" customFormat="1" x14ac:dyDescent="0.2"/>
    <row r="20781" s="689" customFormat="1" x14ac:dyDescent="0.2"/>
    <row r="20782" s="689" customFormat="1" x14ac:dyDescent="0.2"/>
    <row r="20783" s="689" customFormat="1" x14ac:dyDescent="0.2"/>
    <row r="20784" s="689" customFormat="1" x14ac:dyDescent="0.2"/>
    <row r="20785" s="689" customFormat="1" x14ac:dyDescent="0.2"/>
    <row r="20786" s="689" customFormat="1" x14ac:dyDescent="0.2"/>
    <row r="20787" s="689" customFormat="1" x14ac:dyDescent="0.2"/>
    <row r="20788" s="689" customFormat="1" x14ac:dyDescent="0.2"/>
    <row r="20789" s="689" customFormat="1" x14ac:dyDescent="0.2"/>
    <row r="20790" s="689" customFormat="1" x14ac:dyDescent="0.2"/>
    <row r="20791" s="689" customFormat="1" x14ac:dyDescent="0.2"/>
    <row r="20792" s="689" customFormat="1" x14ac:dyDescent="0.2"/>
    <row r="20793" s="689" customFormat="1" x14ac:dyDescent="0.2"/>
    <row r="20794" s="689" customFormat="1" x14ac:dyDescent="0.2"/>
    <row r="20795" s="689" customFormat="1" x14ac:dyDescent="0.2"/>
    <row r="20796" s="689" customFormat="1" x14ac:dyDescent="0.2"/>
    <row r="20797" s="689" customFormat="1" x14ac:dyDescent="0.2"/>
    <row r="20798" s="689" customFormat="1" x14ac:dyDescent="0.2"/>
    <row r="20799" s="689" customFormat="1" x14ac:dyDescent="0.2"/>
    <row r="20800" s="689" customFormat="1" x14ac:dyDescent="0.2"/>
    <row r="20801" s="689" customFormat="1" x14ac:dyDescent="0.2"/>
    <row r="20802" s="689" customFormat="1" x14ac:dyDescent="0.2"/>
    <row r="20803" s="689" customFormat="1" x14ac:dyDescent="0.2"/>
    <row r="20804" s="689" customFormat="1" x14ac:dyDescent="0.2"/>
    <row r="20805" s="689" customFormat="1" x14ac:dyDescent="0.2"/>
    <row r="20806" s="689" customFormat="1" x14ac:dyDescent="0.2"/>
    <row r="20807" s="689" customFormat="1" x14ac:dyDescent="0.2"/>
    <row r="20808" s="689" customFormat="1" x14ac:dyDescent="0.2"/>
    <row r="20809" s="689" customFormat="1" x14ac:dyDescent="0.2"/>
    <row r="20810" s="689" customFormat="1" x14ac:dyDescent="0.2"/>
    <row r="20811" s="689" customFormat="1" x14ac:dyDescent="0.2"/>
    <row r="20812" s="689" customFormat="1" x14ac:dyDescent="0.2"/>
    <row r="20813" s="689" customFormat="1" x14ac:dyDescent="0.2"/>
    <row r="20814" s="689" customFormat="1" x14ac:dyDescent="0.2"/>
    <row r="20815" s="689" customFormat="1" x14ac:dyDescent="0.2"/>
    <row r="20816" s="689" customFormat="1" x14ac:dyDescent="0.2"/>
    <row r="20817" s="689" customFormat="1" x14ac:dyDescent="0.2"/>
    <row r="20818" s="689" customFormat="1" x14ac:dyDescent="0.2"/>
    <row r="20819" s="689" customFormat="1" x14ac:dyDescent="0.2"/>
    <row r="20820" s="689" customFormat="1" x14ac:dyDescent="0.2"/>
    <row r="20821" s="689" customFormat="1" x14ac:dyDescent="0.2"/>
    <row r="20822" s="689" customFormat="1" x14ac:dyDescent="0.2"/>
    <row r="20823" s="689" customFormat="1" x14ac:dyDescent="0.2"/>
    <row r="20824" s="689" customFormat="1" x14ac:dyDescent="0.2"/>
    <row r="20825" s="689" customFormat="1" x14ac:dyDescent="0.2"/>
    <row r="20826" s="689" customFormat="1" x14ac:dyDescent="0.2"/>
    <row r="20827" s="689" customFormat="1" x14ac:dyDescent="0.2"/>
    <row r="20828" s="689" customFormat="1" x14ac:dyDescent="0.2"/>
    <row r="20829" s="689" customFormat="1" x14ac:dyDescent="0.2"/>
    <row r="20830" s="689" customFormat="1" x14ac:dyDescent="0.2"/>
    <row r="20831" s="689" customFormat="1" x14ac:dyDescent="0.2"/>
    <row r="20832" s="689" customFormat="1" x14ac:dyDescent="0.2"/>
    <row r="20833" s="689" customFormat="1" x14ac:dyDescent="0.2"/>
    <row r="20834" s="689" customFormat="1" x14ac:dyDescent="0.2"/>
    <row r="20835" s="689" customFormat="1" x14ac:dyDescent="0.2"/>
    <row r="20836" s="689" customFormat="1" x14ac:dyDescent="0.2"/>
    <row r="20837" s="689" customFormat="1" x14ac:dyDescent="0.2"/>
    <row r="20838" s="689" customFormat="1" x14ac:dyDescent="0.2"/>
    <row r="20839" s="689" customFormat="1" x14ac:dyDescent="0.2"/>
    <row r="20840" s="689" customFormat="1" x14ac:dyDescent="0.2"/>
    <row r="20841" s="689" customFormat="1" x14ac:dyDescent="0.2"/>
    <row r="20842" s="689" customFormat="1" x14ac:dyDescent="0.2"/>
    <row r="20843" s="689" customFormat="1" x14ac:dyDescent="0.2"/>
    <row r="20844" s="689" customFormat="1" x14ac:dyDescent="0.2"/>
    <row r="20845" s="689" customFormat="1" x14ac:dyDescent="0.2"/>
    <row r="20846" s="689" customFormat="1" x14ac:dyDescent="0.2"/>
    <row r="20847" s="689" customFormat="1" x14ac:dyDescent="0.2"/>
    <row r="20848" s="689" customFormat="1" x14ac:dyDescent="0.2"/>
    <row r="20849" s="689" customFormat="1" x14ac:dyDescent="0.2"/>
    <row r="20850" s="689" customFormat="1" x14ac:dyDescent="0.2"/>
    <row r="20851" s="689" customFormat="1" x14ac:dyDescent="0.2"/>
    <row r="20852" s="689" customFormat="1" x14ac:dyDescent="0.2"/>
    <row r="20853" s="689" customFormat="1" x14ac:dyDescent="0.2"/>
    <row r="20854" s="689" customFormat="1" x14ac:dyDescent="0.2"/>
    <row r="20855" s="689" customFormat="1" x14ac:dyDescent="0.2"/>
    <row r="20856" s="689" customFormat="1" x14ac:dyDescent="0.2"/>
    <row r="20857" s="689" customFormat="1" x14ac:dyDescent="0.2"/>
    <row r="20858" s="689" customFormat="1" x14ac:dyDescent="0.2"/>
    <row r="20859" s="689" customFormat="1" x14ac:dyDescent="0.2"/>
    <row r="20860" s="689" customFormat="1" x14ac:dyDescent="0.2"/>
    <row r="20861" s="689" customFormat="1" x14ac:dyDescent="0.2"/>
    <row r="20862" s="689" customFormat="1" x14ac:dyDescent="0.2"/>
    <row r="20863" s="689" customFormat="1" x14ac:dyDescent="0.2"/>
    <row r="20864" s="689" customFormat="1" x14ac:dyDescent="0.2"/>
    <row r="20865" s="689" customFormat="1" x14ac:dyDescent="0.2"/>
    <row r="20866" s="689" customFormat="1" x14ac:dyDescent="0.2"/>
    <row r="20867" s="689" customFormat="1" x14ac:dyDescent="0.2"/>
    <row r="20868" s="689" customFormat="1" x14ac:dyDescent="0.2"/>
    <row r="20869" s="689" customFormat="1" x14ac:dyDescent="0.2"/>
    <row r="20870" s="689" customFormat="1" x14ac:dyDescent="0.2"/>
    <row r="20871" s="689" customFormat="1" x14ac:dyDescent="0.2"/>
    <row r="20872" s="689" customFormat="1" x14ac:dyDescent="0.2"/>
    <row r="20873" s="689" customFormat="1" x14ac:dyDescent="0.2"/>
    <row r="20874" s="689" customFormat="1" x14ac:dyDescent="0.2"/>
    <row r="20875" s="689" customFormat="1" x14ac:dyDescent="0.2"/>
    <row r="20876" s="689" customFormat="1" x14ac:dyDescent="0.2"/>
    <row r="20877" s="689" customFormat="1" x14ac:dyDescent="0.2"/>
    <row r="20878" s="689" customFormat="1" x14ac:dyDescent="0.2"/>
    <row r="20879" s="689" customFormat="1" x14ac:dyDescent="0.2"/>
    <row r="20880" s="689" customFormat="1" x14ac:dyDescent="0.2"/>
    <row r="20881" s="689" customFormat="1" x14ac:dyDescent="0.2"/>
    <row r="20882" s="689" customFormat="1" x14ac:dyDescent="0.2"/>
    <row r="20883" s="689" customFormat="1" x14ac:dyDescent="0.2"/>
    <row r="20884" s="689" customFormat="1" x14ac:dyDescent="0.2"/>
    <row r="20885" s="689" customFormat="1" x14ac:dyDescent="0.2"/>
    <row r="20886" s="689" customFormat="1" x14ac:dyDescent="0.2"/>
    <row r="20887" s="689" customFormat="1" x14ac:dyDescent="0.2"/>
    <row r="20888" s="689" customFormat="1" x14ac:dyDescent="0.2"/>
    <row r="20889" s="689" customFormat="1" x14ac:dyDescent="0.2"/>
    <row r="20890" s="689" customFormat="1" x14ac:dyDescent="0.2"/>
    <row r="20891" s="689" customFormat="1" x14ac:dyDescent="0.2"/>
    <row r="20892" s="689" customFormat="1" x14ac:dyDescent="0.2"/>
    <row r="20893" s="689" customFormat="1" x14ac:dyDescent="0.2"/>
    <row r="20894" s="689" customFormat="1" x14ac:dyDescent="0.2"/>
    <row r="20895" s="689" customFormat="1" x14ac:dyDescent="0.2"/>
    <row r="20896" s="689" customFormat="1" x14ac:dyDescent="0.2"/>
    <row r="20897" s="689" customFormat="1" x14ac:dyDescent="0.2"/>
    <row r="20898" s="689" customFormat="1" x14ac:dyDescent="0.2"/>
    <row r="20899" s="689" customFormat="1" x14ac:dyDescent="0.2"/>
    <row r="20900" s="689" customFormat="1" x14ac:dyDescent="0.2"/>
    <row r="20901" s="689" customFormat="1" x14ac:dyDescent="0.2"/>
    <row r="20902" s="689" customFormat="1" x14ac:dyDescent="0.2"/>
    <row r="20903" s="689" customFormat="1" x14ac:dyDescent="0.2"/>
    <row r="20904" s="689" customFormat="1" x14ac:dyDescent="0.2"/>
    <row r="20905" s="689" customFormat="1" x14ac:dyDescent="0.2"/>
    <row r="20906" s="689" customFormat="1" x14ac:dyDescent="0.2"/>
    <row r="20907" s="689" customFormat="1" x14ac:dyDescent="0.2"/>
    <row r="20908" s="689" customFormat="1" x14ac:dyDescent="0.2"/>
    <row r="20909" s="689" customFormat="1" x14ac:dyDescent="0.2"/>
    <row r="20910" s="689" customFormat="1" x14ac:dyDescent="0.2"/>
    <row r="20911" s="689" customFormat="1" x14ac:dyDescent="0.2"/>
    <row r="20912" s="689" customFormat="1" x14ac:dyDescent="0.2"/>
    <row r="20913" s="689" customFormat="1" x14ac:dyDescent="0.2"/>
    <row r="20914" s="689" customFormat="1" x14ac:dyDescent="0.2"/>
    <row r="20915" s="689" customFormat="1" x14ac:dyDescent="0.2"/>
    <row r="20916" s="689" customFormat="1" x14ac:dyDescent="0.2"/>
    <row r="20917" s="689" customFormat="1" x14ac:dyDescent="0.2"/>
    <row r="20918" s="689" customFormat="1" x14ac:dyDescent="0.2"/>
    <row r="20919" s="689" customFormat="1" x14ac:dyDescent="0.2"/>
    <row r="20920" s="689" customFormat="1" x14ac:dyDescent="0.2"/>
    <row r="20921" s="689" customFormat="1" x14ac:dyDescent="0.2"/>
    <row r="20922" s="689" customFormat="1" x14ac:dyDescent="0.2"/>
    <row r="20923" s="689" customFormat="1" x14ac:dyDescent="0.2"/>
    <row r="20924" s="689" customFormat="1" x14ac:dyDescent="0.2"/>
    <row r="20925" s="689" customFormat="1" x14ac:dyDescent="0.2"/>
    <row r="20926" s="689" customFormat="1" x14ac:dyDescent="0.2"/>
    <row r="20927" s="689" customFormat="1" x14ac:dyDescent="0.2"/>
    <row r="20928" s="689" customFormat="1" x14ac:dyDescent="0.2"/>
    <row r="20929" s="689" customFormat="1" x14ac:dyDescent="0.2"/>
    <row r="20930" s="689" customFormat="1" x14ac:dyDescent="0.2"/>
    <row r="20931" s="689" customFormat="1" x14ac:dyDescent="0.2"/>
    <row r="20932" s="689" customFormat="1" x14ac:dyDescent="0.2"/>
    <row r="20933" s="689" customFormat="1" x14ac:dyDescent="0.2"/>
    <row r="20934" s="689" customFormat="1" x14ac:dyDescent="0.2"/>
    <row r="20935" s="689" customFormat="1" x14ac:dyDescent="0.2"/>
    <row r="20936" s="689" customFormat="1" x14ac:dyDescent="0.2"/>
    <row r="20937" s="689" customFormat="1" x14ac:dyDescent="0.2"/>
    <row r="20938" s="689" customFormat="1" x14ac:dyDescent="0.2"/>
    <row r="20939" s="689" customFormat="1" x14ac:dyDescent="0.2"/>
    <row r="20940" s="689" customFormat="1" x14ac:dyDescent="0.2"/>
    <row r="20941" s="689" customFormat="1" x14ac:dyDescent="0.2"/>
    <row r="20942" s="689" customFormat="1" x14ac:dyDescent="0.2"/>
    <row r="20943" s="689" customFormat="1" x14ac:dyDescent="0.2"/>
    <row r="20944" s="689" customFormat="1" x14ac:dyDescent="0.2"/>
    <row r="20945" s="689" customFormat="1" x14ac:dyDescent="0.2"/>
    <row r="20946" s="689" customFormat="1" x14ac:dyDescent="0.2"/>
    <row r="20947" s="689" customFormat="1" x14ac:dyDescent="0.2"/>
    <row r="20948" s="689" customFormat="1" x14ac:dyDescent="0.2"/>
    <row r="20949" s="689" customFormat="1" x14ac:dyDescent="0.2"/>
    <row r="20950" s="689" customFormat="1" x14ac:dyDescent="0.2"/>
    <row r="20951" s="689" customFormat="1" x14ac:dyDescent="0.2"/>
    <row r="20952" s="689" customFormat="1" x14ac:dyDescent="0.2"/>
    <row r="20953" s="689" customFormat="1" x14ac:dyDescent="0.2"/>
    <row r="20954" s="689" customFormat="1" x14ac:dyDescent="0.2"/>
    <row r="20955" s="689" customFormat="1" x14ac:dyDescent="0.2"/>
    <row r="20956" s="689" customFormat="1" x14ac:dyDescent="0.2"/>
    <row r="20957" s="689" customFormat="1" x14ac:dyDescent="0.2"/>
    <row r="20958" s="689" customFormat="1" x14ac:dyDescent="0.2"/>
    <row r="20959" s="689" customFormat="1" x14ac:dyDescent="0.2"/>
    <row r="20960" s="689" customFormat="1" x14ac:dyDescent="0.2"/>
    <row r="20961" s="689" customFormat="1" x14ac:dyDescent="0.2"/>
    <row r="20962" s="689" customFormat="1" x14ac:dyDescent="0.2"/>
    <row r="20963" s="689" customFormat="1" x14ac:dyDescent="0.2"/>
    <row r="20964" s="689" customFormat="1" x14ac:dyDescent="0.2"/>
    <row r="20965" s="689" customFormat="1" x14ac:dyDescent="0.2"/>
    <row r="20966" s="689" customFormat="1" x14ac:dyDescent="0.2"/>
    <row r="20967" s="689" customFormat="1" x14ac:dyDescent="0.2"/>
    <row r="20968" s="689" customFormat="1" x14ac:dyDescent="0.2"/>
    <row r="20969" s="689" customFormat="1" x14ac:dyDescent="0.2"/>
    <row r="20970" s="689" customFormat="1" x14ac:dyDescent="0.2"/>
    <row r="20971" s="689" customFormat="1" x14ac:dyDescent="0.2"/>
    <row r="20972" s="689" customFormat="1" x14ac:dyDescent="0.2"/>
    <row r="20973" s="689" customFormat="1" x14ac:dyDescent="0.2"/>
    <row r="20974" s="689" customFormat="1" x14ac:dyDescent="0.2"/>
    <row r="20975" s="689" customFormat="1" x14ac:dyDescent="0.2"/>
    <row r="20976" s="689" customFormat="1" x14ac:dyDescent="0.2"/>
    <row r="20977" s="689" customFormat="1" x14ac:dyDescent="0.2"/>
    <row r="20978" s="689" customFormat="1" x14ac:dyDescent="0.2"/>
    <row r="20979" s="689" customFormat="1" x14ac:dyDescent="0.2"/>
    <row r="20980" s="689" customFormat="1" x14ac:dyDescent="0.2"/>
    <row r="20981" s="689" customFormat="1" x14ac:dyDescent="0.2"/>
    <row r="20982" s="689" customFormat="1" x14ac:dyDescent="0.2"/>
    <row r="20983" s="689" customFormat="1" x14ac:dyDescent="0.2"/>
    <row r="20984" s="689" customFormat="1" x14ac:dyDescent="0.2"/>
    <row r="20985" s="689" customFormat="1" x14ac:dyDescent="0.2"/>
    <row r="20986" s="689" customFormat="1" x14ac:dyDescent="0.2"/>
    <row r="20987" s="689" customFormat="1" x14ac:dyDescent="0.2"/>
    <row r="20988" s="689" customFormat="1" x14ac:dyDescent="0.2"/>
    <row r="20989" s="689" customFormat="1" x14ac:dyDescent="0.2"/>
    <row r="20990" s="689" customFormat="1" x14ac:dyDescent="0.2"/>
    <row r="20991" s="689" customFormat="1" x14ac:dyDescent="0.2"/>
    <row r="20992" s="689" customFormat="1" x14ac:dyDescent="0.2"/>
    <row r="20993" s="689" customFormat="1" x14ac:dyDescent="0.2"/>
    <row r="20994" s="689" customFormat="1" x14ac:dyDescent="0.2"/>
    <row r="20995" s="689" customFormat="1" x14ac:dyDescent="0.2"/>
    <row r="20996" s="689" customFormat="1" x14ac:dyDescent="0.2"/>
    <row r="20997" s="689" customFormat="1" x14ac:dyDescent="0.2"/>
    <row r="20998" s="689" customFormat="1" x14ac:dyDescent="0.2"/>
    <row r="20999" s="689" customFormat="1" x14ac:dyDescent="0.2"/>
    <row r="21000" s="689" customFormat="1" x14ac:dyDescent="0.2"/>
    <row r="21001" s="689" customFormat="1" x14ac:dyDescent="0.2"/>
    <row r="21002" s="689" customFormat="1" x14ac:dyDescent="0.2"/>
    <row r="21003" s="689" customFormat="1" x14ac:dyDescent="0.2"/>
    <row r="21004" s="689" customFormat="1" x14ac:dyDescent="0.2"/>
    <row r="21005" s="689" customFormat="1" x14ac:dyDescent="0.2"/>
    <row r="21006" s="689" customFormat="1" x14ac:dyDescent="0.2"/>
    <row r="21007" s="689" customFormat="1" x14ac:dyDescent="0.2"/>
    <row r="21008" s="689" customFormat="1" x14ac:dyDescent="0.2"/>
    <row r="21009" s="689" customFormat="1" x14ac:dyDescent="0.2"/>
    <row r="21010" s="689" customFormat="1" x14ac:dyDescent="0.2"/>
    <row r="21011" s="689" customFormat="1" x14ac:dyDescent="0.2"/>
    <row r="21012" s="689" customFormat="1" x14ac:dyDescent="0.2"/>
    <row r="21013" s="689" customFormat="1" x14ac:dyDescent="0.2"/>
    <row r="21014" s="689" customFormat="1" x14ac:dyDescent="0.2"/>
    <row r="21015" s="689" customFormat="1" x14ac:dyDescent="0.2"/>
    <row r="21016" s="689" customFormat="1" x14ac:dyDescent="0.2"/>
    <row r="21017" s="689" customFormat="1" x14ac:dyDescent="0.2"/>
    <row r="21018" s="689" customFormat="1" x14ac:dyDescent="0.2"/>
    <row r="21019" s="689" customFormat="1" x14ac:dyDescent="0.2"/>
    <row r="21020" s="689" customFormat="1" x14ac:dyDescent="0.2"/>
    <row r="21021" s="689" customFormat="1" x14ac:dyDescent="0.2"/>
    <row r="21022" s="689" customFormat="1" x14ac:dyDescent="0.2"/>
    <row r="21023" s="689" customFormat="1" x14ac:dyDescent="0.2"/>
    <row r="21024" s="689" customFormat="1" x14ac:dyDescent="0.2"/>
    <row r="21025" s="689" customFormat="1" x14ac:dyDescent="0.2"/>
    <row r="21026" s="689" customFormat="1" x14ac:dyDescent="0.2"/>
    <row r="21027" s="689" customFormat="1" x14ac:dyDescent="0.2"/>
    <row r="21028" s="689" customFormat="1" x14ac:dyDescent="0.2"/>
    <row r="21029" s="689" customFormat="1" x14ac:dyDescent="0.2"/>
    <row r="21030" s="689" customFormat="1" x14ac:dyDescent="0.2"/>
    <row r="21031" s="689" customFormat="1" x14ac:dyDescent="0.2"/>
    <row r="21032" s="689" customFormat="1" x14ac:dyDescent="0.2"/>
    <row r="21033" s="689" customFormat="1" x14ac:dyDescent="0.2"/>
    <row r="21034" s="689" customFormat="1" x14ac:dyDescent="0.2"/>
    <row r="21035" s="689" customFormat="1" x14ac:dyDescent="0.2"/>
    <row r="21036" s="689" customFormat="1" x14ac:dyDescent="0.2"/>
    <row r="21037" s="689" customFormat="1" x14ac:dyDescent="0.2"/>
    <row r="21038" s="689" customFormat="1" x14ac:dyDescent="0.2"/>
    <row r="21039" s="689" customFormat="1" x14ac:dyDescent="0.2"/>
    <row r="21040" s="689" customFormat="1" x14ac:dyDescent="0.2"/>
    <row r="21041" s="689" customFormat="1" x14ac:dyDescent="0.2"/>
    <row r="21042" s="689" customFormat="1" x14ac:dyDescent="0.2"/>
    <row r="21043" s="689" customFormat="1" x14ac:dyDescent="0.2"/>
    <row r="21044" s="689" customFormat="1" x14ac:dyDescent="0.2"/>
    <row r="21045" s="689" customFormat="1" x14ac:dyDescent="0.2"/>
    <row r="21046" s="689" customFormat="1" x14ac:dyDescent="0.2"/>
    <row r="21047" s="689" customFormat="1" x14ac:dyDescent="0.2"/>
    <row r="21048" s="689" customFormat="1" x14ac:dyDescent="0.2"/>
    <row r="21049" s="689" customFormat="1" x14ac:dyDescent="0.2"/>
    <row r="21050" s="689" customFormat="1" x14ac:dyDescent="0.2"/>
    <row r="21051" s="689" customFormat="1" x14ac:dyDescent="0.2"/>
    <row r="21052" s="689" customFormat="1" x14ac:dyDescent="0.2"/>
    <row r="21053" s="689" customFormat="1" x14ac:dyDescent="0.2"/>
    <row r="21054" s="689" customFormat="1" x14ac:dyDescent="0.2"/>
    <row r="21055" s="689" customFormat="1" x14ac:dyDescent="0.2"/>
    <row r="21056" s="689" customFormat="1" x14ac:dyDescent="0.2"/>
    <row r="21057" s="689" customFormat="1" x14ac:dyDescent="0.2"/>
    <row r="21058" s="689" customFormat="1" x14ac:dyDescent="0.2"/>
    <row r="21059" s="689" customFormat="1" x14ac:dyDescent="0.2"/>
    <row r="21060" s="689" customFormat="1" x14ac:dyDescent="0.2"/>
    <row r="21061" s="689" customFormat="1" x14ac:dyDescent="0.2"/>
    <row r="21062" s="689" customFormat="1" x14ac:dyDescent="0.2"/>
    <row r="21063" s="689" customFormat="1" x14ac:dyDescent="0.2"/>
    <row r="21064" s="689" customFormat="1" x14ac:dyDescent="0.2"/>
    <row r="21065" s="689" customFormat="1" x14ac:dyDescent="0.2"/>
    <row r="21066" s="689" customFormat="1" x14ac:dyDescent="0.2"/>
    <row r="21067" s="689" customFormat="1" x14ac:dyDescent="0.2"/>
    <row r="21068" s="689" customFormat="1" x14ac:dyDescent="0.2"/>
    <row r="21069" s="689" customFormat="1" x14ac:dyDescent="0.2"/>
    <row r="21070" s="689" customFormat="1" x14ac:dyDescent="0.2"/>
    <row r="21071" s="689" customFormat="1" x14ac:dyDescent="0.2"/>
    <row r="21072" s="689" customFormat="1" x14ac:dyDescent="0.2"/>
    <row r="21073" s="689" customFormat="1" x14ac:dyDescent="0.2"/>
    <row r="21074" s="689" customFormat="1" x14ac:dyDescent="0.2"/>
    <row r="21075" s="689" customFormat="1" x14ac:dyDescent="0.2"/>
    <row r="21076" s="689" customFormat="1" x14ac:dyDescent="0.2"/>
    <row r="21077" s="689" customFormat="1" x14ac:dyDescent="0.2"/>
    <row r="21078" s="689" customFormat="1" x14ac:dyDescent="0.2"/>
    <row r="21079" s="689" customFormat="1" x14ac:dyDescent="0.2"/>
    <row r="21080" s="689" customFormat="1" x14ac:dyDescent="0.2"/>
    <row r="21081" s="689" customFormat="1" x14ac:dyDescent="0.2"/>
    <row r="21082" s="689" customFormat="1" x14ac:dyDescent="0.2"/>
    <row r="21083" s="689" customFormat="1" x14ac:dyDescent="0.2"/>
    <row r="21084" s="689" customFormat="1" x14ac:dyDescent="0.2"/>
    <row r="21085" s="689" customFormat="1" x14ac:dyDescent="0.2"/>
    <row r="21086" s="689" customFormat="1" x14ac:dyDescent="0.2"/>
    <row r="21087" s="689" customFormat="1" x14ac:dyDescent="0.2"/>
    <row r="21088" s="689" customFormat="1" x14ac:dyDescent="0.2"/>
    <row r="21089" s="689" customFormat="1" x14ac:dyDescent="0.2"/>
    <row r="21090" s="689" customFormat="1" x14ac:dyDescent="0.2"/>
    <row r="21091" s="689" customFormat="1" x14ac:dyDescent="0.2"/>
    <row r="21092" s="689" customFormat="1" x14ac:dyDescent="0.2"/>
    <row r="21093" s="689" customFormat="1" x14ac:dyDescent="0.2"/>
    <row r="21094" s="689" customFormat="1" x14ac:dyDescent="0.2"/>
    <row r="21095" s="689" customFormat="1" x14ac:dyDescent="0.2"/>
    <row r="21096" s="689" customFormat="1" x14ac:dyDescent="0.2"/>
    <row r="21097" s="689" customFormat="1" x14ac:dyDescent="0.2"/>
    <row r="21098" s="689" customFormat="1" x14ac:dyDescent="0.2"/>
    <row r="21099" s="689" customFormat="1" x14ac:dyDescent="0.2"/>
    <row r="21100" s="689" customFormat="1" x14ac:dyDescent="0.2"/>
    <row r="21101" s="689" customFormat="1" x14ac:dyDescent="0.2"/>
    <row r="21102" s="689" customFormat="1" x14ac:dyDescent="0.2"/>
    <row r="21103" s="689" customFormat="1" x14ac:dyDescent="0.2"/>
    <row r="21104" s="689" customFormat="1" x14ac:dyDescent="0.2"/>
    <row r="21105" s="689" customFormat="1" x14ac:dyDescent="0.2"/>
    <row r="21106" s="689" customFormat="1" x14ac:dyDescent="0.2"/>
    <row r="21107" s="689" customFormat="1" x14ac:dyDescent="0.2"/>
    <row r="21108" s="689" customFormat="1" x14ac:dyDescent="0.2"/>
    <row r="21109" s="689" customFormat="1" x14ac:dyDescent="0.2"/>
    <row r="21110" s="689" customFormat="1" x14ac:dyDescent="0.2"/>
    <row r="21111" s="689" customFormat="1" x14ac:dyDescent="0.2"/>
    <row r="21112" s="689" customFormat="1" x14ac:dyDescent="0.2"/>
    <row r="21113" s="689" customFormat="1" x14ac:dyDescent="0.2"/>
    <row r="21114" s="689" customFormat="1" x14ac:dyDescent="0.2"/>
    <row r="21115" s="689" customFormat="1" x14ac:dyDescent="0.2"/>
    <row r="21116" s="689" customFormat="1" x14ac:dyDescent="0.2"/>
    <row r="21117" s="689" customFormat="1" x14ac:dyDescent="0.2"/>
    <row r="21118" s="689" customFormat="1" x14ac:dyDescent="0.2"/>
    <row r="21119" s="689" customFormat="1" x14ac:dyDescent="0.2"/>
    <row r="21120" s="689" customFormat="1" x14ac:dyDescent="0.2"/>
    <row r="21121" s="689" customFormat="1" x14ac:dyDescent="0.2"/>
    <row r="21122" s="689" customFormat="1" x14ac:dyDescent="0.2"/>
    <row r="21123" s="689" customFormat="1" x14ac:dyDescent="0.2"/>
    <row r="21124" s="689" customFormat="1" x14ac:dyDescent="0.2"/>
    <row r="21125" s="689" customFormat="1" x14ac:dyDescent="0.2"/>
    <row r="21126" s="689" customFormat="1" x14ac:dyDescent="0.2"/>
    <row r="21127" s="689" customFormat="1" x14ac:dyDescent="0.2"/>
    <row r="21128" s="689" customFormat="1" x14ac:dyDescent="0.2"/>
    <row r="21129" s="689" customFormat="1" x14ac:dyDescent="0.2"/>
    <row r="21130" s="689" customFormat="1" x14ac:dyDescent="0.2"/>
    <row r="21131" s="689" customFormat="1" x14ac:dyDescent="0.2"/>
    <row r="21132" s="689" customFormat="1" x14ac:dyDescent="0.2"/>
    <row r="21133" s="689" customFormat="1" x14ac:dyDescent="0.2"/>
    <row r="21134" s="689" customFormat="1" x14ac:dyDescent="0.2"/>
    <row r="21135" s="689" customFormat="1" x14ac:dyDescent="0.2"/>
    <row r="21136" s="689" customFormat="1" x14ac:dyDescent="0.2"/>
    <row r="21137" s="689" customFormat="1" x14ac:dyDescent="0.2"/>
    <row r="21138" s="689" customFormat="1" x14ac:dyDescent="0.2"/>
    <row r="21139" s="689" customFormat="1" x14ac:dyDescent="0.2"/>
    <row r="21140" s="689" customFormat="1" x14ac:dyDescent="0.2"/>
    <row r="21141" s="689" customFormat="1" x14ac:dyDescent="0.2"/>
    <row r="21142" s="689" customFormat="1" x14ac:dyDescent="0.2"/>
    <row r="21143" s="689" customFormat="1" x14ac:dyDescent="0.2"/>
    <row r="21144" s="689" customFormat="1" x14ac:dyDescent="0.2"/>
    <row r="21145" s="689" customFormat="1" x14ac:dyDescent="0.2"/>
    <row r="21146" s="689" customFormat="1" x14ac:dyDescent="0.2"/>
    <row r="21147" s="689" customFormat="1" x14ac:dyDescent="0.2"/>
    <row r="21148" s="689" customFormat="1" x14ac:dyDescent="0.2"/>
    <row r="21149" s="689" customFormat="1" x14ac:dyDescent="0.2"/>
    <row r="21150" s="689" customFormat="1" x14ac:dyDescent="0.2"/>
    <row r="21151" s="689" customFormat="1" x14ac:dyDescent="0.2"/>
    <row r="21152" s="689" customFormat="1" x14ac:dyDescent="0.2"/>
    <row r="21153" s="689" customFormat="1" x14ac:dyDescent="0.2"/>
    <row r="21154" s="689" customFormat="1" x14ac:dyDescent="0.2"/>
    <row r="21155" s="689" customFormat="1" x14ac:dyDescent="0.2"/>
    <row r="21156" s="689" customFormat="1" x14ac:dyDescent="0.2"/>
    <row r="21157" s="689" customFormat="1" x14ac:dyDescent="0.2"/>
    <row r="21158" s="689" customFormat="1" x14ac:dyDescent="0.2"/>
    <row r="21159" s="689" customFormat="1" x14ac:dyDescent="0.2"/>
    <row r="21160" s="689" customFormat="1" x14ac:dyDescent="0.2"/>
    <row r="21161" s="689" customFormat="1" x14ac:dyDescent="0.2"/>
    <row r="21162" s="689" customFormat="1" x14ac:dyDescent="0.2"/>
    <row r="21163" s="689" customFormat="1" x14ac:dyDescent="0.2"/>
    <row r="21164" s="689" customFormat="1" x14ac:dyDescent="0.2"/>
    <row r="21165" s="689" customFormat="1" x14ac:dyDescent="0.2"/>
    <row r="21166" s="689" customFormat="1" x14ac:dyDescent="0.2"/>
    <row r="21167" s="689" customFormat="1" x14ac:dyDescent="0.2"/>
    <row r="21168" s="689" customFormat="1" x14ac:dyDescent="0.2"/>
    <row r="21169" s="689" customFormat="1" x14ac:dyDescent="0.2"/>
    <row r="21170" s="689" customFormat="1" x14ac:dyDescent="0.2"/>
    <row r="21171" s="689" customFormat="1" x14ac:dyDescent="0.2"/>
    <row r="21172" s="689" customFormat="1" x14ac:dyDescent="0.2"/>
    <row r="21173" s="689" customFormat="1" x14ac:dyDescent="0.2"/>
    <row r="21174" s="689" customFormat="1" x14ac:dyDescent="0.2"/>
    <row r="21175" s="689" customFormat="1" x14ac:dyDescent="0.2"/>
    <row r="21176" s="689" customFormat="1" x14ac:dyDescent="0.2"/>
    <row r="21177" s="689" customFormat="1" x14ac:dyDescent="0.2"/>
    <row r="21178" s="689" customFormat="1" x14ac:dyDescent="0.2"/>
    <row r="21179" s="689" customFormat="1" x14ac:dyDescent="0.2"/>
    <row r="21180" s="689" customFormat="1" x14ac:dyDescent="0.2"/>
    <row r="21181" s="689" customFormat="1" x14ac:dyDescent="0.2"/>
    <row r="21182" s="689" customFormat="1" x14ac:dyDescent="0.2"/>
    <row r="21183" s="689" customFormat="1" x14ac:dyDescent="0.2"/>
    <row r="21184" s="689" customFormat="1" x14ac:dyDescent="0.2"/>
    <row r="21185" s="689" customFormat="1" x14ac:dyDescent="0.2"/>
    <row r="21186" s="689" customFormat="1" x14ac:dyDescent="0.2"/>
    <row r="21187" s="689" customFormat="1" x14ac:dyDescent="0.2"/>
    <row r="21188" s="689" customFormat="1" x14ac:dyDescent="0.2"/>
    <row r="21189" s="689" customFormat="1" x14ac:dyDescent="0.2"/>
    <row r="21190" s="689" customFormat="1" x14ac:dyDescent="0.2"/>
    <row r="21191" s="689" customFormat="1" x14ac:dyDescent="0.2"/>
    <row r="21192" s="689" customFormat="1" x14ac:dyDescent="0.2"/>
    <row r="21193" s="689" customFormat="1" x14ac:dyDescent="0.2"/>
    <row r="21194" s="689" customFormat="1" x14ac:dyDescent="0.2"/>
    <row r="21195" s="689" customFormat="1" x14ac:dyDescent="0.2"/>
    <row r="21196" s="689" customFormat="1" x14ac:dyDescent="0.2"/>
    <row r="21197" s="689" customFormat="1" x14ac:dyDescent="0.2"/>
    <row r="21198" s="689" customFormat="1" x14ac:dyDescent="0.2"/>
    <row r="21199" s="689" customFormat="1" x14ac:dyDescent="0.2"/>
    <row r="21200" s="689" customFormat="1" x14ac:dyDescent="0.2"/>
    <row r="21201" s="689" customFormat="1" x14ac:dyDescent="0.2"/>
    <row r="21202" s="689" customFormat="1" x14ac:dyDescent="0.2"/>
    <row r="21203" s="689" customFormat="1" x14ac:dyDescent="0.2"/>
    <row r="21204" s="689" customFormat="1" x14ac:dyDescent="0.2"/>
    <row r="21205" s="689" customFormat="1" x14ac:dyDescent="0.2"/>
    <row r="21206" s="689" customFormat="1" x14ac:dyDescent="0.2"/>
    <row r="21207" s="689" customFormat="1" x14ac:dyDescent="0.2"/>
    <row r="21208" s="689" customFormat="1" x14ac:dyDescent="0.2"/>
    <row r="21209" s="689" customFormat="1" x14ac:dyDescent="0.2"/>
    <row r="21210" s="689" customFormat="1" x14ac:dyDescent="0.2"/>
    <row r="21211" s="689" customFormat="1" x14ac:dyDescent="0.2"/>
    <row r="21212" s="689" customFormat="1" x14ac:dyDescent="0.2"/>
    <row r="21213" s="689" customFormat="1" x14ac:dyDescent="0.2"/>
    <row r="21214" s="689" customFormat="1" x14ac:dyDescent="0.2"/>
    <row r="21215" s="689" customFormat="1" x14ac:dyDescent="0.2"/>
    <row r="21216" s="689" customFormat="1" x14ac:dyDescent="0.2"/>
    <row r="21217" s="689" customFormat="1" x14ac:dyDescent="0.2"/>
    <row r="21218" s="689" customFormat="1" x14ac:dyDescent="0.2"/>
    <row r="21219" s="689" customFormat="1" x14ac:dyDescent="0.2"/>
    <row r="21220" s="689" customFormat="1" x14ac:dyDescent="0.2"/>
    <row r="21221" s="689" customFormat="1" x14ac:dyDescent="0.2"/>
    <row r="21222" s="689" customFormat="1" x14ac:dyDescent="0.2"/>
    <row r="21223" s="689" customFormat="1" x14ac:dyDescent="0.2"/>
    <row r="21224" s="689" customFormat="1" x14ac:dyDescent="0.2"/>
    <row r="21225" s="689" customFormat="1" x14ac:dyDescent="0.2"/>
    <row r="21226" s="689" customFormat="1" x14ac:dyDescent="0.2"/>
    <row r="21227" s="689" customFormat="1" x14ac:dyDescent="0.2"/>
    <row r="21228" s="689" customFormat="1" x14ac:dyDescent="0.2"/>
    <row r="21229" s="689" customFormat="1" x14ac:dyDescent="0.2"/>
    <row r="21230" s="689" customFormat="1" x14ac:dyDescent="0.2"/>
    <row r="21231" s="689" customFormat="1" x14ac:dyDescent="0.2"/>
    <row r="21232" s="689" customFormat="1" x14ac:dyDescent="0.2"/>
    <row r="21233" s="689" customFormat="1" x14ac:dyDescent="0.2"/>
    <row r="21234" s="689" customFormat="1" x14ac:dyDescent="0.2"/>
    <row r="21235" s="689" customFormat="1" x14ac:dyDescent="0.2"/>
    <row r="21236" s="689" customFormat="1" x14ac:dyDescent="0.2"/>
    <row r="21237" s="689" customFormat="1" x14ac:dyDescent="0.2"/>
    <row r="21238" s="689" customFormat="1" x14ac:dyDescent="0.2"/>
    <row r="21239" s="689" customFormat="1" x14ac:dyDescent="0.2"/>
    <row r="21240" s="689" customFormat="1" x14ac:dyDescent="0.2"/>
    <row r="21241" s="689" customFormat="1" x14ac:dyDescent="0.2"/>
    <row r="21242" s="689" customFormat="1" x14ac:dyDescent="0.2"/>
    <row r="21243" s="689" customFormat="1" x14ac:dyDescent="0.2"/>
    <row r="21244" s="689" customFormat="1" x14ac:dyDescent="0.2"/>
    <row r="21245" s="689" customFormat="1" x14ac:dyDescent="0.2"/>
    <row r="21246" s="689" customFormat="1" x14ac:dyDescent="0.2"/>
    <row r="21247" s="689" customFormat="1" x14ac:dyDescent="0.2"/>
    <row r="21248" s="689" customFormat="1" x14ac:dyDescent="0.2"/>
    <row r="21249" s="689" customFormat="1" x14ac:dyDescent="0.2"/>
    <row r="21250" s="689" customFormat="1" x14ac:dyDescent="0.2"/>
    <row r="21251" s="689" customFormat="1" x14ac:dyDescent="0.2"/>
    <row r="21252" s="689" customFormat="1" x14ac:dyDescent="0.2"/>
    <row r="21253" s="689" customFormat="1" x14ac:dyDescent="0.2"/>
    <row r="21254" s="689" customFormat="1" x14ac:dyDescent="0.2"/>
    <row r="21255" s="689" customFormat="1" x14ac:dyDescent="0.2"/>
    <row r="21256" s="689" customFormat="1" x14ac:dyDescent="0.2"/>
    <row r="21257" s="689" customFormat="1" x14ac:dyDescent="0.2"/>
    <row r="21258" s="689" customFormat="1" x14ac:dyDescent="0.2"/>
    <row r="21259" s="689" customFormat="1" x14ac:dyDescent="0.2"/>
    <row r="21260" s="689" customFormat="1" x14ac:dyDescent="0.2"/>
    <row r="21261" s="689" customFormat="1" x14ac:dyDescent="0.2"/>
    <row r="21262" s="689" customFormat="1" x14ac:dyDescent="0.2"/>
    <row r="21263" s="689" customFormat="1" x14ac:dyDescent="0.2"/>
    <row r="21264" s="689" customFormat="1" x14ac:dyDescent="0.2"/>
    <row r="21265" s="689" customFormat="1" x14ac:dyDescent="0.2"/>
    <row r="21266" s="689" customFormat="1" x14ac:dyDescent="0.2"/>
    <row r="21267" s="689" customFormat="1" x14ac:dyDescent="0.2"/>
    <row r="21268" s="689" customFormat="1" x14ac:dyDescent="0.2"/>
    <row r="21269" s="689" customFormat="1" x14ac:dyDescent="0.2"/>
    <row r="21270" s="689" customFormat="1" x14ac:dyDescent="0.2"/>
    <row r="21271" s="689" customFormat="1" x14ac:dyDescent="0.2"/>
    <row r="21272" s="689" customFormat="1" x14ac:dyDescent="0.2"/>
    <row r="21273" s="689" customFormat="1" x14ac:dyDescent="0.2"/>
    <row r="21274" s="689" customFormat="1" x14ac:dyDescent="0.2"/>
    <row r="21275" s="689" customFormat="1" x14ac:dyDescent="0.2"/>
    <row r="21276" s="689" customFormat="1" x14ac:dyDescent="0.2"/>
    <row r="21277" s="689" customFormat="1" x14ac:dyDescent="0.2"/>
    <row r="21278" s="689" customFormat="1" x14ac:dyDescent="0.2"/>
    <row r="21279" s="689" customFormat="1" x14ac:dyDescent="0.2"/>
    <row r="21280" s="689" customFormat="1" x14ac:dyDescent="0.2"/>
    <row r="21281" s="689" customFormat="1" x14ac:dyDescent="0.2"/>
    <row r="21282" s="689" customFormat="1" x14ac:dyDescent="0.2"/>
    <row r="21283" s="689" customFormat="1" x14ac:dyDescent="0.2"/>
    <row r="21284" s="689" customFormat="1" x14ac:dyDescent="0.2"/>
    <row r="21285" s="689" customFormat="1" x14ac:dyDescent="0.2"/>
    <row r="21286" s="689" customFormat="1" x14ac:dyDescent="0.2"/>
    <row r="21287" s="689" customFormat="1" x14ac:dyDescent="0.2"/>
    <row r="21288" s="689" customFormat="1" x14ac:dyDescent="0.2"/>
    <row r="21289" s="689" customFormat="1" x14ac:dyDescent="0.2"/>
    <row r="21290" s="689" customFormat="1" x14ac:dyDescent="0.2"/>
    <row r="21291" s="689" customFormat="1" x14ac:dyDescent="0.2"/>
    <row r="21292" s="689" customFormat="1" x14ac:dyDescent="0.2"/>
    <row r="21293" s="689" customFormat="1" x14ac:dyDescent="0.2"/>
    <row r="21294" s="689" customFormat="1" x14ac:dyDescent="0.2"/>
    <row r="21295" s="689" customFormat="1" x14ac:dyDescent="0.2"/>
    <row r="21296" s="689" customFormat="1" x14ac:dyDescent="0.2"/>
    <row r="21297" s="689" customFormat="1" x14ac:dyDescent="0.2"/>
    <row r="21298" s="689" customFormat="1" x14ac:dyDescent="0.2"/>
    <row r="21299" s="689" customFormat="1" x14ac:dyDescent="0.2"/>
    <row r="21300" s="689" customFormat="1" x14ac:dyDescent="0.2"/>
    <row r="21301" s="689" customFormat="1" x14ac:dyDescent="0.2"/>
    <row r="21302" s="689" customFormat="1" x14ac:dyDescent="0.2"/>
    <row r="21303" s="689" customFormat="1" x14ac:dyDescent="0.2"/>
    <row r="21304" s="689" customFormat="1" x14ac:dyDescent="0.2"/>
    <row r="21305" s="689" customFormat="1" x14ac:dyDescent="0.2"/>
    <row r="21306" s="689" customFormat="1" x14ac:dyDescent="0.2"/>
    <row r="21307" s="689" customFormat="1" x14ac:dyDescent="0.2"/>
    <row r="21308" s="689" customFormat="1" x14ac:dyDescent="0.2"/>
    <row r="21309" s="689" customFormat="1" x14ac:dyDescent="0.2"/>
    <row r="21310" s="689" customFormat="1" x14ac:dyDescent="0.2"/>
    <row r="21311" s="689" customFormat="1" x14ac:dyDescent="0.2"/>
    <row r="21312" s="689" customFormat="1" x14ac:dyDescent="0.2"/>
    <row r="21313" s="689" customFormat="1" x14ac:dyDescent="0.2"/>
    <row r="21314" s="689" customFormat="1" x14ac:dyDescent="0.2"/>
    <row r="21315" s="689" customFormat="1" x14ac:dyDescent="0.2"/>
    <row r="21316" s="689" customFormat="1" x14ac:dyDescent="0.2"/>
    <row r="21317" s="689" customFormat="1" x14ac:dyDescent="0.2"/>
    <row r="21318" s="689" customFormat="1" x14ac:dyDescent="0.2"/>
    <row r="21319" s="689" customFormat="1" x14ac:dyDescent="0.2"/>
    <row r="21320" s="689" customFormat="1" x14ac:dyDescent="0.2"/>
    <row r="21321" s="689" customFormat="1" x14ac:dyDescent="0.2"/>
    <row r="21322" s="689" customFormat="1" x14ac:dyDescent="0.2"/>
    <row r="21323" s="689" customFormat="1" x14ac:dyDescent="0.2"/>
    <row r="21324" s="689" customFormat="1" x14ac:dyDescent="0.2"/>
    <row r="21325" s="689" customFormat="1" x14ac:dyDescent="0.2"/>
    <row r="21326" s="689" customFormat="1" x14ac:dyDescent="0.2"/>
    <row r="21327" s="689" customFormat="1" x14ac:dyDescent="0.2"/>
    <row r="21328" s="689" customFormat="1" x14ac:dyDescent="0.2"/>
    <row r="21329" s="689" customFormat="1" x14ac:dyDescent="0.2"/>
    <row r="21330" s="689" customFormat="1" x14ac:dyDescent="0.2"/>
    <row r="21331" s="689" customFormat="1" x14ac:dyDescent="0.2"/>
    <row r="21332" s="689" customFormat="1" x14ac:dyDescent="0.2"/>
    <row r="21333" s="689" customFormat="1" x14ac:dyDescent="0.2"/>
    <row r="21334" s="689" customFormat="1" x14ac:dyDescent="0.2"/>
    <row r="21335" s="689" customFormat="1" x14ac:dyDescent="0.2"/>
    <row r="21336" s="689" customFormat="1" x14ac:dyDescent="0.2"/>
    <row r="21337" s="689" customFormat="1" x14ac:dyDescent="0.2"/>
    <row r="21338" s="689" customFormat="1" x14ac:dyDescent="0.2"/>
    <row r="21339" s="689" customFormat="1" x14ac:dyDescent="0.2"/>
    <row r="21340" s="689" customFormat="1" x14ac:dyDescent="0.2"/>
    <row r="21341" s="689" customFormat="1" x14ac:dyDescent="0.2"/>
    <row r="21342" s="689" customFormat="1" x14ac:dyDescent="0.2"/>
    <row r="21343" s="689" customFormat="1" x14ac:dyDescent="0.2"/>
    <row r="21344" s="689" customFormat="1" x14ac:dyDescent="0.2"/>
    <row r="21345" s="689" customFormat="1" x14ac:dyDescent="0.2"/>
    <row r="21346" s="689" customFormat="1" x14ac:dyDescent="0.2"/>
    <row r="21347" s="689" customFormat="1" x14ac:dyDescent="0.2"/>
    <row r="21348" s="689" customFormat="1" x14ac:dyDescent="0.2"/>
    <row r="21349" s="689" customFormat="1" x14ac:dyDescent="0.2"/>
    <row r="21350" s="689" customFormat="1" x14ac:dyDescent="0.2"/>
    <row r="21351" s="689" customFormat="1" x14ac:dyDescent="0.2"/>
    <row r="21352" s="689" customFormat="1" x14ac:dyDescent="0.2"/>
    <row r="21353" s="689" customFormat="1" x14ac:dyDescent="0.2"/>
    <row r="21354" s="689" customFormat="1" x14ac:dyDescent="0.2"/>
    <row r="21355" s="689" customFormat="1" x14ac:dyDescent="0.2"/>
    <row r="21356" s="689" customFormat="1" x14ac:dyDescent="0.2"/>
    <row r="21357" s="689" customFormat="1" x14ac:dyDescent="0.2"/>
    <row r="21358" s="689" customFormat="1" x14ac:dyDescent="0.2"/>
    <row r="21359" s="689" customFormat="1" x14ac:dyDescent="0.2"/>
    <row r="21360" s="689" customFormat="1" x14ac:dyDescent="0.2"/>
    <row r="21361" s="689" customFormat="1" x14ac:dyDescent="0.2"/>
    <row r="21362" s="689" customFormat="1" x14ac:dyDescent="0.2"/>
    <row r="21363" s="689" customFormat="1" x14ac:dyDescent="0.2"/>
    <row r="21364" s="689" customFormat="1" x14ac:dyDescent="0.2"/>
    <row r="21365" s="689" customFormat="1" x14ac:dyDescent="0.2"/>
    <row r="21366" s="689" customFormat="1" x14ac:dyDescent="0.2"/>
    <row r="21367" s="689" customFormat="1" x14ac:dyDescent="0.2"/>
    <row r="21368" s="689" customFormat="1" x14ac:dyDescent="0.2"/>
    <row r="21369" s="689" customFormat="1" x14ac:dyDescent="0.2"/>
    <row r="21370" s="689" customFormat="1" x14ac:dyDescent="0.2"/>
    <row r="21371" s="689" customFormat="1" x14ac:dyDescent="0.2"/>
    <row r="21372" s="689" customFormat="1" x14ac:dyDescent="0.2"/>
    <row r="21373" s="689" customFormat="1" x14ac:dyDescent="0.2"/>
    <row r="21374" s="689" customFormat="1" x14ac:dyDescent="0.2"/>
    <row r="21375" s="689" customFormat="1" x14ac:dyDescent="0.2"/>
    <row r="21376" s="689" customFormat="1" x14ac:dyDescent="0.2"/>
    <row r="21377" s="689" customFormat="1" x14ac:dyDescent="0.2"/>
    <row r="21378" s="689" customFormat="1" x14ac:dyDescent="0.2"/>
    <row r="21379" s="689" customFormat="1" x14ac:dyDescent="0.2"/>
    <row r="21380" s="689" customFormat="1" x14ac:dyDescent="0.2"/>
    <row r="21381" s="689" customFormat="1" x14ac:dyDescent="0.2"/>
    <row r="21382" s="689" customFormat="1" x14ac:dyDescent="0.2"/>
    <row r="21383" s="689" customFormat="1" x14ac:dyDescent="0.2"/>
    <row r="21384" s="689" customFormat="1" x14ac:dyDescent="0.2"/>
    <row r="21385" s="689" customFormat="1" x14ac:dyDescent="0.2"/>
    <row r="21386" s="689" customFormat="1" x14ac:dyDescent="0.2"/>
    <row r="21387" s="689" customFormat="1" x14ac:dyDescent="0.2"/>
    <row r="21388" s="689" customFormat="1" x14ac:dyDescent="0.2"/>
    <row r="21389" s="689" customFormat="1" x14ac:dyDescent="0.2"/>
    <row r="21390" s="689" customFormat="1" x14ac:dyDescent="0.2"/>
    <row r="21391" s="689" customFormat="1" x14ac:dyDescent="0.2"/>
    <row r="21392" s="689" customFormat="1" x14ac:dyDescent="0.2"/>
    <row r="21393" s="689" customFormat="1" x14ac:dyDescent="0.2"/>
    <row r="21394" s="689" customFormat="1" x14ac:dyDescent="0.2"/>
    <row r="21395" s="689" customFormat="1" x14ac:dyDescent="0.2"/>
    <row r="21396" s="689" customFormat="1" x14ac:dyDescent="0.2"/>
    <row r="21397" s="689" customFormat="1" x14ac:dyDescent="0.2"/>
    <row r="21398" s="689" customFormat="1" x14ac:dyDescent="0.2"/>
    <row r="21399" s="689" customFormat="1" x14ac:dyDescent="0.2"/>
    <row r="21400" s="689" customFormat="1" x14ac:dyDescent="0.2"/>
    <row r="21401" s="689" customFormat="1" x14ac:dyDescent="0.2"/>
    <row r="21402" s="689" customFormat="1" x14ac:dyDescent="0.2"/>
    <row r="21403" s="689" customFormat="1" x14ac:dyDescent="0.2"/>
    <row r="21404" s="689" customFormat="1" x14ac:dyDescent="0.2"/>
    <row r="21405" s="689" customFormat="1" x14ac:dyDescent="0.2"/>
    <row r="21406" s="689" customFormat="1" x14ac:dyDescent="0.2"/>
    <row r="21407" s="689" customFormat="1" x14ac:dyDescent="0.2"/>
    <row r="21408" s="689" customFormat="1" x14ac:dyDescent="0.2"/>
    <row r="21409" s="689" customFormat="1" x14ac:dyDescent="0.2"/>
    <row r="21410" s="689" customFormat="1" x14ac:dyDescent="0.2"/>
    <row r="21411" s="689" customFormat="1" x14ac:dyDescent="0.2"/>
    <row r="21412" s="689" customFormat="1" x14ac:dyDescent="0.2"/>
    <row r="21413" s="689" customFormat="1" x14ac:dyDescent="0.2"/>
    <row r="21414" s="689" customFormat="1" x14ac:dyDescent="0.2"/>
    <row r="21415" s="689" customFormat="1" x14ac:dyDescent="0.2"/>
    <row r="21416" s="689" customFormat="1" x14ac:dyDescent="0.2"/>
    <row r="21417" s="689" customFormat="1" x14ac:dyDescent="0.2"/>
    <row r="21418" s="689" customFormat="1" x14ac:dyDescent="0.2"/>
    <row r="21419" s="689" customFormat="1" x14ac:dyDescent="0.2"/>
    <row r="21420" s="689" customFormat="1" x14ac:dyDescent="0.2"/>
    <row r="21421" s="689" customFormat="1" x14ac:dyDescent="0.2"/>
    <row r="21422" s="689" customFormat="1" x14ac:dyDescent="0.2"/>
    <row r="21423" s="689" customFormat="1" x14ac:dyDescent="0.2"/>
    <row r="21424" s="689" customFormat="1" x14ac:dyDescent="0.2"/>
    <row r="21425" s="689" customFormat="1" x14ac:dyDescent="0.2"/>
    <row r="21426" s="689" customFormat="1" x14ac:dyDescent="0.2"/>
    <row r="21427" s="689" customFormat="1" x14ac:dyDescent="0.2"/>
    <row r="21428" s="689" customFormat="1" x14ac:dyDescent="0.2"/>
    <row r="21429" s="689" customFormat="1" x14ac:dyDescent="0.2"/>
    <row r="21430" s="689" customFormat="1" x14ac:dyDescent="0.2"/>
    <row r="21431" s="689" customFormat="1" x14ac:dyDescent="0.2"/>
    <row r="21432" s="689" customFormat="1" x14ac:dyDescent="0.2"/>
    <row r="21433" s="689" customFormat="1" x14ac:dyDescent="0.2"/>
    <row r="21434" s="689" customFormat="1" x14ac:dyDescent="0.2"/>
    <row r="21435" s="689" customFormat="1" x14ac:dyDescent="0.2"/>
    <row r="21436" s="689" customFormat="1" x14ac:dyDescent="0.2"/>
    <row r="21437" s="689" customFormat="1" x14ac:dyDescent="0.2"/>
    <row r="21438" s="689" customFormat="1" x14ac:dyDescent="0.2"/>
    <row r="21439" s="689" customFormat="1" x14ac:dyDescent="0.2"/>
    <row r="21440" s="689" customFormat="1" x14ac:dyDescent="0.2"/>
    <row r="21441" s="689" customFormat="1" x14ac:dyDescent="0.2"/>
    <row r="21442" s="689" customFormat="1" x14ac:dyDescent="0.2"/>
    <row r="21443" s="689" customFormat="1" x14ac:dyDescent="0.2"/>
    <row r="21444" s="689" customFormat="1" x14ac:dyDescent="0.2"/>
    <row r="21445" s="689" customFormat="1" x14ac:dyDescent="0.2"/>
    <row r="21446" s="689" customFormat="1" x14ac:dyDescent="0.2"/>
    <row r="21447" s="689" customFormat="1" x14ac:dyDescent="0.2"/>
    <row r="21448" s="689" customFormat="1" x14ac:dyDescent="0.2"/>
    <row r="21449" s="689" customFormat="1" x14ac:dyDescent="0.2"/>
    <row r="21450" s="689" customFormat="1" x14ac:dyDescent="0.2"/>
    <row r="21451" s="689" customFormat="1" x14ac:dyDescent="0.2"/>
    <row r="21452" s="689" customFormat="1" x14ac:dyDescent="0.2"/>
    <row r="21453" s="689" customFormat="1" x14ac:dyDescent="0.2"/>
    <row r="21454" s="689" customFormat="1" x14ac:dyDescent="0.2"/>
    <row r="21455" s="689" customFormat="1" x14ac:dyDescent="0.2"/>
    <row r="21456" s="689" customFormat="1" x14ac:dyDescent="0.2"/>
    <row r="21457" s="689" customFormat="1" x14ac:dyDescent="0.2"/>
    <row r="21458" s="689" customFormat="1" x14ac:dyDescent="0.2"/>
    <row r="21459" s="689" customFormat="1" x14ac:dyDescent="0.2"/>
    <row r="21460" s="689" customFormat="1" x14ac:dyDescent="0.2"/>
    <row r="21461" s="689" customFormat="1" x14ac:dyDescent="0.2"/>
    <row r="21462" s="689" customFormat="1" x14ac:dyDescent="0.2"/>
    <row r="21463" s="689" customFormat="1" x14ac:dyDescent="0.2"/>
    <row r="21464" s="689" customFormat="1" x14ac:dyDescent="0.2"/>
    <row r="21465" s="689" customFormat="1" x14ac:dyDescent="0.2"/>
    <row r="21466" s="689" customFormat="1" x14ac:dyDescent="0.2"/>
    <row r="21467" s="689" customFormat="1" x14ac:dyDescent="0.2"/>
    <row r="21468" s="689" customFormat="1" x14ac:dyDescent="0.2"/>
    <row r="21469" s="689" customFormat="1" x14ac:dyDescent="0.2"/>
    <row r="21470" s="689" customFormat="1" x14ac:dyDescent="0.2"/>
    <row r="21471" s="689" customFormat="1" x14ac:dyDescent="0.2"/>
    <row r="21472" s="689" customFormat="1" x14ac:dyDescent="0.2"/>
    <row r="21473" s="689" customFormat="1" x14ac:dyDescent="0.2"/>
    <row r="21474" s="689" customFormat="1" x14ac:dyDescent="0.2"/>
    <row r="21475" s="689" customFormat="1" x14ac:dyDescent="0.2"/>
    <row r="21476" s="689" customFormat="1" x14ac:dyDescent="0.2"/>
    <row r="21477" s="689" customFormat="1" x14ac:dyDescent="0.2"/>
    <row r="21478" s="689" customFormat="1" x14ac:dyDescent="0.2"/>
    <row r="21479" s="689" customFormat="1" x14ac:dyDescent="0.2"/>
    <row r="21480" s="689" customFormat="1" x14ac:dyDescent="0.2"/>
    <row r="21481" s="689" customFormat="1" x14ac:dyDescent="0.2"/>
    <row r="21482" s="689" customFormat="1" x14ac:dyDescent="0.2"/>
    <row r="21483" s="689" customFormat="1" x14ac:dyDescent="0.2"/>
    <row r="21484" s="689" customFormat="1" x14ac:dyDescent="0.2"/>
    <row r="21485" s="689" customFormat="1" x14ac:dyDescent="0.2"/>
    <row r="21486" s="689" customFormat="1" x14ac:dyDescent="0.2"/>
    <row r="21487" s="689" customFormat="1" x14ac:dyDescent="0.2"/>
    <row r="21488" s="689" customFormat="1" x14ac:dyDescent="0.2"/>
    <row r="21489" s="689" customFormat="1" x14ac:dyDescent="0.2"/>
    <row r="21490" s="689" customFormat="1" x14ac:dyDescent="0.2"/>
    <row r="21491" s="689" customFormat="1" x14ac:dyDescent="0.2"/>
    <row r="21492" s="689" customFormat="1" x14ac:dyDescent="0.2"/>
    <row r="21493" s="689" customFormat="1" x14ac:dyDescent="0.2"/>
    <row r="21494" s="689" customFormat="1" x14ac:dyDescent="0.2"/>
    <row r="21495" s="689" customFormat="1" x14ac:dyDescent="0.2"/>
    <row r="21496" s="689" customFormat="1" x14ac:dyDescent="0.2"/>
    <row r="21497" s="689" customFormat="1" x14ac:dyDescent="0.2"/>
    <row r="21498" s="689" customFormat="1" x14ac:dyDescent="0.2"/>
    <row r="21499" s="689" customFormat="1" x14ac:dyDescent="0.2"/>
    <row r="21500" s="689" customFormat="1" x14ac:dyDescent="0.2"/>
    <row r="21501" s="689" customFormat="1" x14ac:dyDescent="0.2"/>
    <row r="21502" s="689" customFormat="1" x14ac:dyDescent="0.2"/>
    <row r="21503" s="689" customFormat="1" x14ac:dyDescent="0.2"/>
    <row r="21504" s="689" customFormat="1" x14ac:dyDescent="0.2"/>
    <row r="21505" s="689" customFormat="1" x14ac:dyDescent="0.2"/>
    <row r="21506" s="689" customFormat="1" x14ac:dyDescent="0.2"/>
    <row r="21507" s="689" customFormat="1" x14ac:dyDescent="0.2"/>
    <row r="21508" s="689" customFormat="1" x14ac:dyDescent="0.2"/>
    <row r="21509" s="689" customFormat="1" x14ac:dyDescent="0.2"/>
    <row r="21510" s="689" customFormat="1" x14ac:dyDescent="0.2"/>
    <row r="21511" s="689" customFormat="1" x14ac:dyDescent="0.2"/>
    <row r="21512" s="689" customFormat="1" x14ac:dyDescent="0.2"/>
    <row r="21513" s="689" customFormat="1" x14ac:dyDescent="0.2"/>
    <row r="21514" s="689" customFormat="1" x14ac:dyDescent="0.2"/>
    <row r="21515" s="689" customFormat="1" x14ac:dyDescent="0.2"/>
    <row r="21516" s="689" customFormat="1" x14ac:dyDescent="0.2"/>
    <row r="21517" s="689" customFormat="1" x14ac:dyDescent="0.2"/>
    <row r="21518" s="689" customFormat="1" x14ac:dyDescent="0.2"/>
    <row r="21519" s="689" customFormat="1" x14ac:dyDescent="0.2"/>
    <row r="21520" s="689" customFormat="1" x14ac:dyDescent="0.2"/>
    <row r="21521" s="689" customFormat="1" x14ac:dyDescent="0.2"/>
    <row r="21522" s="689" customFormat="1" x14ac:dyDescent="0.2"/>
    <row r="21523" s="689" customFormat="1" x14ac:dyDescent="0.2"/>
    <row r="21524" s="689" customFormat="1" x14ac:dyDescent="0.2"/>
    <row r="21525" s="689" customFormat="1" x14ac:dyDescent="0.2"/>
    <row r="21526" s="689" customFormat="1" x14ac:dyDescent="0.2"/>
    <row r="21527" s="689" customFormat="1" x14ac:dyDescent="0.2"/>
    <row r="21528" s="689" customFormat="1" x14ac:dyDescent="0.2"/>
    <row r="21529" s="689" customFormat="1" x14ac:dyDescent="0.2"/>
    <row r="21530" s="689" customFormat="1" x14ac:dyDescent="0.2"/>
    <row r="21531" s="689" customFormat="1" x14ac:dyDescent="0.2"/>
    <row r="21532" s="689" customFormat="1" x14ac:dyDescent="0.2"/>
    <row r="21533" s="689" customFormat="1" x14ac:dyDescent="0.2"/>
    <row r="21534" s="689" customFormat="1" x14ac:dyDescent="0.2"/>
    <row r="21535" s="689" customFormat="1" x14ac:dyDescent="0.2"/>
    <row r="21536" s="689" customFormat="1" x14ac:dyDescent="0.2"/>
    <row r="21537" s="689" customFormat="1" x14ac:dyDescent="0.2"/>
    <row r="21538" s="689" customFormat="1" x14ac:dyDescent="0.2"/>
    <row r="21539" s="689" customFormat="1" x14ac:dyDescent="0.2"/>
    <row r="21540" s="689" customFormat="1" x14ac:dyDescent="0.2"/>
    <row r="21541" s="689" customFormat="1" x14ac:dyDescent="0.2"/>
    <row r="21542" s="689" customFormat="1" x14ac:dyDescent="0.2"/>
    <row r="21543" s="689" customFormat="1" x14ac:dyDescent="0.2"/>
    <row r="21544" s="689" customFormat="1" x14ac:dyDescent="0.2"/>
    <row r="21545" s="689" customFormat="1" x14ac:dyDescent="0.2"/>
    <row r="21546" s="689" customFormat="1" x14ac:dyDescent="0.2"/>
    <row r="21547" s="689" customFormat="1" x14ac:dyDescent="0.2"/>
    <row r="21548" s="689" customFormat="1" x14ac:dyDescent="0.2"/>
    <row r="21549" s="689" customFormat="1" x14ac:dyDescent="0.2"/>
    <row r="21550" s="689" customFormat="1" x14ac:dyDescent="0.2"/>
    <row r="21551" s="689" customFormat="1" x14ac:dyDescent="0.2"/>
    <row r="21552" s="689" customFormat="1" x14ac:dyDescent="0.2"/>
    <row r="21553" s="689" customFormat="1" x14ac:dyDescent="0.2"/>
    <row r="21554" s="689" customFormat="1" x14ac:dyDescent="0.2"/>
    <row r="21555" s="689" customFormat="1" x14ac:dyDescent="0.2"/>
    <row r="21556" s="689" customFormat="1" x14ac:dyDescent="0.2"/>
    <row r="21557" s="689" customFormat="1" x14ac:dyDescent="0.2"/>
    <row r="21558" s="689" customFormat="1" x14ac:dyDescent="0.2"/>
    <row r="21559" s="689" customFormat="1" x14ac:dyDescent="0.2"/>
    <row r="21560" s="689" customFormat="1" x14ac:dyDescent="0.2"/>
    <row r="21561" s="689" customFormat="1" x14ac:dyDescent="0.2"/>
    <row r="21562" s="689" customFormat="1" x14ac:dyDescent="0.2"/>
    <row r="21563" s="689" customFormat="1" x14ac:dyDescent="0.2"/>
    <row r="21564" s="689" customFormat="1" x14ac:dyDescent="0.2"/>
    <row r="21565" s="689" customFormat="1" x14ac:dyDescent="0.2"/>
    <row r="21566" s="689" customFormat="1" x14ac:dyDescent="0.2"/>
    <row r="21567" s="689" customFormat="1" x14ac:dyDescent="0.2"/>
    <row r="21568" s="689" customFormat="1" x14ac:dyDescent="0.2"/>
    <row r="21569" s="689" customFormat="1" x14ac:dyDescent="0.2"/>
    <row r="21570" s="689" customFormat="1" x14ac:dyDescent="0.2"/>
    <row r="21571" s="689" customFormat="1" x14ac:dyDescent="0.2"/>
    <row r="21572" s="689" customFormat="1" x14ac:dyDescent="0.2"/>
    <row r="21573" s="689" customFormat="1" x14ac:dyDescent="0.2"/>
    <row r="21574" s="689" customFormat="1" x14ac:dyDescent="0.2"/>
    <row r="21575" s="689" customFormat="1" x14ac:dyDescent="0.2"/>
    <row r="21576" s="689" customFormat="1" x14ac:dyDescent="0.2"/>
    <row r="21577" s="689" customFormat="1" x14ac:dyDescent="0.2"/>
    <row r="21578" s="689" customFormat="1" x14ac:dyDescent="0.2"/>
    <row r="21579" s="689" customFormat="1" x14ac:dyDescent="0.2"/>
    <row r="21580" s="689" customFormat="1" x14ac:dyDescent="0.2"/>
    <row r="21581" s="689" customFormat="1" x14ac:dyDescent="0.2"/>
    <row r="21582" s="689" customFormat="1" x14ac:dyDescent="0.2"/>
    <row r="21583" s="689" customFormat="1" x14ac:dyDescent="0.2"/>
    <row r="21584" s="689" customFormat="1" x14ac:dyDescent="0.2"/>
    <row r="21585" s="689" customFormat="1" x14ac:dyDescent="0.2"/>
    <row r="21586" s="689" customFormat="1" x14ac:dyDescent="0.2"/>
    <row r="21587" s="689" customFormat="1" x14ac:dyDescent="0.2"/>
    <row r="21588" s="689" customFormat="1" x14ac:dyDescent="0.2"/>
    <row r="21589" s="689" customFormat="1" x14ac:dyDescent="0.2"/>
    <row r="21590" s="689" customFormat="1" x14ac:dyDescent="0.2"/>
    <row r="21591" s="689" customFormat="1" x14ac:dyDescent="0.2"/>
    <row r="21592" s="689" customFormat="1" x14ac:dyDescent="0.2"/>
    <row r="21593" s="689" customFormat="1" x14ac:dyDescent="0.2"/>
    <row r="21594" s="689" customFormat="1" x14ac:dyDescent="0.2"/>
    <row r="21595" s="689" customFormat="1" x14ac:dyDescent="0.2"/>
    <row r="21596" s="689" customFormat="1" x14ac:dyDescent="0.2"/>
    <row r="21597" s="689" customFormat="1" x14ac:dyDescent="0.2"/>
    <row r="21598" s="689" customFormat="1" x14ac:dyDescent="0.2"/>
    <row r="21599" s="689" customFormat="1" x14ac:dyDescent="0.2"/>
    <row r="21600" s="689" customFormat="1" x14ac:dyDescent="0.2"/>
    <row r="21601" s="689" customFormat="1" x14ac:dyDescent="0.2"/>
    <row r="21602" s="689" customFormat="1" x14ac:dyDescent="0.2"/>
    <row r="21603" s="689" customFormat="1" x14ac:dyDescent="0.2"/>
    <row r="21604" s="689" customFormat="1" x14ac:dyDescent="0.2"/>
    <row r="21605" s="689" customFormat="1" x14ac:dyDescent="0.2"/>
    <row r="21606" s="689" customFormat="1" x14ac:dyDescent="0.2"/>
    <row r="21607" s="689" customFormat="1" x14ac:dyDescent="0.2"/>
    <row r="21608" s="689" customFormat="1" x14ac:dyDescent="0.2"/>
    <row r="21609" s="689" customFormat="1" x14ac:dyDescent="0.2"/>
    <row r="21610" s="689" customFormat="1" x14ac:dyDescent="0.2"/>
    <row r="21611" s="689" customFormat="1" x14ac:dyDescent="0.2"/>
    <row r="21612" s="689" customFormat="1" x14ac:dyDescent="0.2"/>
    <row r="21613" s="689" customFormat="1" x14ac:dyDescent="0.2"/>
    <row r="21614" s="689" customFormat="1" x14ac:dyDescent="0.2"/>
    <row r="21615" s="689" customFormat="1" x14ac:dyDescent="0.2"/>
    <row r="21616" s="689" customFormat="1" x14ac:dyDescent="0.2"/>
    <row r="21617" s="689" customFormat="1" x14ac:dyDescent="0.2"/>
    <row r="21618" s="689" customFormat="1" x14ac:dyDescent="0.2"/>
    <row r="21619" s="689" customFormat="1" x14ac:dyDescent="0.2"/>
    <row r="21620" s="689" customFormat="1" x14ac:dyDescent="0.2"/>
    <row r="21621" s="689" customFormat="1" x14ac:dyDescent="0.2"/>
    <row r="21622" s="689" customFormat="1" x14ac:dyDescent="0.2"/>
    <row r="21623" s="689" customFormat="1" x14ac:dyDescent="0.2"/>
    <row r="21624" s="689" customFormat="1" x14ac:dyDescent="0.2"/>
    <row r="21625" s="689" customFormat="1" x14ac:dyDescent="0.2"/>
    <row r="21626" s="689" customFormat="1" x14ac:dyDescent="0.2"/>
    <row r="21627" s="689" customFormat="1" x14ac:dyDescent="0.2"/>
    <row r="21628" s="689" customFormat="1" x14ac:dyDescent="0.2"/>
    <row r="21629" s="689" customFormat="1" x14ac:dyDescent="0.2"/>
    <row r="21630" s="689" customFormat="1" x14ac:dyDescent="0.2"/>
    <row r="21631" s="689" customFormat="1" x14ac:dyDescent="0.2"/>
    <row r="21632" s="689" customFormat="1" x14ac:dyDescent="0.2"/>
    <row r="21633" s="689" customFormat="1" x14ac:dyDescent="0.2"/>
    <row r="21634" s="689" customFormat="1" x14ac:dyDescent="0.2"/>
    <row r="21635" s="689" customFormat="1" x14ac:dyDescent="0.2"/>
    <row r="21636" s="689" customFormat="1" x14ac:dyDescent="0.2"/>
    <row r="21637" s="689" customFormat="1" x14ac:dyDescent="0.2"/>
    <row r="21638" s="689" customFormat="1" x14ac:dyDescent="0.2"/>
    <row r="21639" s="689" customFormat="1" x14ac:dyDescent="0.2"/>
    <row r="21640" s="689" customFormat="1" x14ac:dyDescent="0.2"/>
    <row r="21641" s="689" customFormat="1" x14ac:dyDescent="0.2"/>
    <row r="21642" s="689" customFormat="1" x14ac:dyDescent="0.2"/>
    <row r="21643" s="689" customFormat="1" x14ac:dyDescent="0.2"/>
    <row r="21644" s="689" customFormat="1" x14ac:dyDescent="0.2"/>
    <row r="21645" s="689" customFormat="1" x14ac:dyDescent="0.2"/>
    <row r="21646" s="689" customFormat="1" x14ac:dyDescent="0.2"/>
    <row r="21647" s="689" customFormat="1" x14ac:dyDescent="0.2"/>
    <row r="21648" s="689" customFormat="1" x14ac:dyDescent="0.2"/>
    <row r="21649" s="689" customFormat="1" x14ac:dyDescent="0.2"/>
    <row r="21650" s="689" customFormat="1" x14ac:dyDescent="0.2"/>
    <row r="21651" s="689" customFormat="1" x14ac:dyDescent="0.2"/>
    <row r="21652" s="689" customFormat="1" x14ac:dyDescent="0.2"/>
    <row r="21653" s="689" customFormat="1" x14ac:dyDescent="0.2"/>
    <row r="21654" s="689" customFormat="1" x14ac:dyDescent="0.2"/>
    <row r="21655" s="689" customFormat="1" x14ac:dyDescent="0.2"/>
    <row r="21656" s="689" customFormat="1" x14ac:dyDescent="0.2"/>
    <row r="21657" s="689" customFormat="1" x14ac:dyDescent="0.2"/>
    <row r="21658" s="689" customFormat="1" x14ac:dyDescent="0.2"/>
    <row r="21659" s="689" customFormat="1" x14ac:dyDescent="0.2"/>
    <row r="21660" s="689" customFormat="1" x14ac:dyDescent="0.2"/>
    <row r="21661" s="689" customFormat="1" x14ac:dyDescent="0.2"/>
    <row r="21662" s="689" customFormat="1" x14ac:dyDescent="0.2"/>
    <row r="21663" s="689" customFormat="1" x14ac:dyDescent="0.2"/>
    <row r="21664" s="689" customFormat="1" x14ac:dyDescent="0.2"/>
    <row r="21665" s="689" customFormat="1" x14ac:dyDescent="0.2"/>
    <row r="21666" s="689" customFormat="1" x14ac:dyDescent="0.2"/>
    <row r="21667" s="689" customFormat="1" x14ac:dyDescent="0.2"/>
    <row r="21668" s="689" customFormat="1" x14ac:dyDescent="0.2"/>
    <row r="21669" s="689" customFormat="1" x14ac:dyDescent="0.2"/>
    <row r="21670" s="689" customFormat="1" x14ac:dyDescent="0.2"/>
    <row r="21671" s="689" customFormat="1" x14ac:dyDescent="0.2"/>
    <row r="21672" s="689" customFormat="1" x14ac:dyDescent="0.2"/>
    <row r="21673" s="689" customFormat="1" x14ac:dyDescent="0.2"/>
    <row r="21674" s="689" customFormat="1" x14ac:dyDescent="0.2"/>
    <row r="21675" s="689" customFormat="1" x14ac:dyDescent="0.2"/>
    <row r="21676" s="689" customFormat="1" x14ac:dyDescent="0.2"/>
    <row r="21677" s="689" customFormat="1" x14ac:dyDescent="0.2"/>
    <row r="21678" s="689" customFormat="1" x14ac:dyDescent="0.2"/>
    <row r="21679" s="689" customFormat="1" x14ac:dyDescent="0.2"/>
    <row r="21680" s="689" customFormat="1" x14ac:dyDescent="0.2"/>
    <row r="21681" s="689" customFormat="1" x14ac:dyDescent="0.2"/>
    <row r="21682" s="689" customFormat="1" x14ac:dyDescent="0.2"/>
    <row r="21683" s="689" customFormat="1" x14ac:dyDescent="0.2"/>
    <row r="21684" s="689" customFormat="1" x14ac:dyDescent="0.2"/>
    <row r="21685" s="689" customFormat="1" x14ac:dyDescent="0.2"/>
    <row r="21686" s="689" customFormat="1" x14ac:dyDescent="0.2"/>
    <row r="21687" s="689" customFormat="1" x14ac:dyDescent="0.2"/>
    <row r="21688" s="689" customFormat="1" x14ac:dyDescent="0.2"/>
    <row r="21689" s="689" customFormat="1" x14ac:dyDescent="0.2"/>
    <row r="21690" s="689" customFormat="1" x14ac:dyDescent="0.2"/>
    <row r="21691" s="689" customFormat="1" x14ac:dyDescent="0.2"/>
    <row r="21692" s="689" customFormat="1" x14ac:dyDescent="0.2"/>
    <row r="21693" s="689" customFormat="1" x14ac:dyDescent="0.2"/>
    <row r="21694" s="689" customFormat="1" x14ac:dyDescent="0.2"/>
    <row r="21695" s="689" customFormat="1" x14ac:dyDescent="0.2"/>
    <row r="21696" s="689" customFormat="1" x14ac:dyDescent="0.2"/>
    <row r="21697" s="689" customFormat="1" x14ac:dyDescent="0.2"/>
    <row r="21698" s="689" customFormat="1" x14ac:dyDescent="0.2"/>
    <row r="21699" s="689" customFormat="1" x14ac:dyDescent="0.2"/>
    <row r="21700" s="689" customFormat="1" x14ac:dyDescent="0.2"/>
    <row r="21701" s="689" customFormat="1" x14ac:dyDescent="0.2"/>
    <row r="21702" s="689" customFormat="1" x14ac:dyDescent="0.2"/>
    <row r="21703" s="689" customFormat="1" x14ac:dyDescent="0.2"/>
    <row r="21704" s="689" customFormat="1" x14ac:dyDescent="0.2"/>
    <row r="21705" s="689" customFormat="1" x14ac:dyDescent="0.2"/>
    <row r="21706" s="689" customFormat="1" x14ac:dyDescent="0.2"/>
    <row r="21707" s="689" customFormat="1" x14ac:dyDescent="0.2"/>
    <row r="21708" s="689" customFormat="1" x14ac:dyDescent="0.2"/>
    <row r="21709" s="689" customFormat="1" x14ac:dyDescent="0.2"/>
    <row r="21710" s="689" customFormat="1" x14ac:dyDescent="0.2"/>
    <row r="21711" s="689" customFormat="1" x14ac:dyDescent="0.2"/>
    <row r="21712" s="689" customFormat="1" x14ac:dyDescent="0.2"/>
    <row r="21713" s="689" customFormat="1" x14ac:dyDescent="0.2"/>
    <row r="21714" s="689" customFormat="1" x14ac:dyDescent="0.2"/>
    <row r="21715" s="689" customFormat="1" x14ac:dyDescent="0.2"/>
    <row r="21716" s="689" customFormat="1" x14ac:dyDescent="0.2"/>
    <row r="21717" s="689" customFormat="1" x14ac:dyDescent="0.2"/>
    <row r="21718" s="689" customFormat="1" x14ac:dyDescent="0.2"/>
    <row r="21719" s="689" customFormat="1" x14ac:dyDescent="0.2"/>
    <row r="21720" s="689" customFormat="1" x14ac:dyDescent="0.2"/>
    <row r="21721" s="689" customFormat="1" x14ac:dyDescent="0.2"/>
    <row r="21722" s="689" customFormat="1" x14ac:dyDescent="0.2"/>
    <row r="21723" s="689" customFormat="1" x14ac:dyDescent="0.2"/>
    <row r="21724" s="689" customFormat="1" x14ac:dyDescent="0.2"/>
    <row r="21725" s="689" customFormat="1" x14ac:dyDescent="0.2"/>
    <row r="21726" s="689" customFormat="1" x14ac:dyDescent="0.2"/>
    <row r="21727" s="689" customFormat="1" x14ac:dyDescent="0.2"/>
    <row r="21728" s="689" customFormat="1" x14ac:dyDescent="0.2"/>
    <row r="21729" s="689" customFormat="1" x14ac:dyDescent="0.2"/>
    <row r="21730" s="689" customFormat="1" x14ac:dyDescent="0.2"/>
    <row r="21731" s="689" customFormat="1" x14ac:dyDescent="0.2"/>
    <row r="21732" s="689" customFormat="1" x14ac:dyDescent="0.2"/>
    <row r="21733" s="689" customFormat="1" x14ac:dyDescent="0.2"/>
    <row r="21734" s="689" customFormat="1" x14ac:dyDescent="0.2"/>
    <row r="21735" s="689" customFormat="1" x14ac:dyDescent="0.2"/>
    <row r="21736" s="689" customFormat="1" x14ac:dyDescent="0.2"/>
    <row r="21737" s="689" customFormat="1" x14ac:dyDescent="0.2"/>
    <row r="21738" s="689" customFormat="1" x14ac:dyDescent="0.2"/>
    <row r="21739" s="689" customFormat="1" x14ac:dyDescent="0.2"/>
    <row r="21740" s="689" customFormat="1" x14ac:dyDescent="0.2"/>
    <row r="21741" s="689" customFormat="1" x14ac:dyDescent="0.2"/>
    <row r="21742" s="689" customFormat="1" x14ac:dyDescent="0.2"/>
    <row r="21743" s="689" customFormat="1" x14ac:dyDescent="0.2"/>
    <row r="21744" s="689" customFormat="1" x14ac:dyDescent="0.2"/>
    <row r="21745" s="689" customFormat="1" x14ac:dyDescent="0.2"/>
    <row r="21746" s="689" customFormat="1" x14ac:dyDescent="0.2"/>
    <row r="21747" s="689" customFormat="1" x14ac:dyDescent="0.2"/>
    <row r="21748" s="689" customFormat="1" x14ac:dyDescent="0.2"/>
    <row r="21749" s="689" customFormat="1" x14ac:dyDescent="0.2"/>
    <row r="21750" s="689" customFormat="1" x14ac:dyDescent="0.2"/>
    <row r="21751" s="689" customFormat="1" x14ac:dyDescent="0.2"/>
    <row r="21752" s="689" customFormat="1" x14ac:dyDescent="0.2"/>
    <row r="21753" s="689" customFormat="1" x14ac:dyDescent="0.2"/>
    <row r="21754" s="689" customFormat="1" x14ac:dyDescent="0.2"/>
    <row r="21755" s="689" customFormat="1" x14ac:dyDescent="0.2"/>
    <row r="21756" s="689" customFormat="1" x14ac:dyDescent="0.2"/>
    <row r="21757" s="689" customFormat="1" x14ac:dyDescent="0.2"/>
    <row r="21758" s="689" customFormat="1" x14ac:dyDescent="0.2"/>
    <row r="21759" s="689" customFormat="1" x14ac:dyDescent="0.2"/>
    <row r="21760" s="689" customFormat="1" x14ac:dyDescent="0.2"/>
    <row r="21761" s="689" customFormat="1" x14ac:dyDescent="0.2"/>
    <row r="21762" s="689" customFormat="1" x14ac:dyDescent="0.2"/>
    <row r="21763" s="689" customFormat="1" x14ac:dyDescent="0.2"/>
    <row r="21764" s="689" customFormat="1" x14ac:dyDescent="0.2"/>
    <row r="21765" s="689" customFormat="1" x14ac:dyDescent="0.2"/>
    <row r="21766" s="689" customFormat="1" x14ac:dyDescent="0.2"/>
    <row r="21767" s="689" customFormat="1" x14ac:dyDescent="0.2"/>
    <row r="21768" s="689" customFormat="1" x14ac:dyDescent="0.2"/>
    <row r="21769" s="689" customFormat="1" x14ac:dyDescent="0.2"/>
    <row r="21770" s="689" customFormat="1" x14ac:dyDescent="0.2"/>
    <row r="21771" s="689" customFormat="1" x14ac:dyDescent="0.2"/>
    <row r="21772" s="689" customFormat="1" x14ac:dyDescent="0.2"/>
    <row r="21773" s="689" customFormat="1" x14ac:dyDescent="0.2"/>
    <row r="21774" s="689" customFormat="1" x14ac:dyDescent="0.2"/>
    <row r="21775" s="689" customFormat="1" x14ac:dyDescent="0.2"/>
    <row r="21776" s="689" customFormat="1" x14ac:dyDescent="0.2"/>
    <row r="21777" s="689" customFormat="1" x14ac:dyDescent="0.2"/>
    <row r="21778" s="689" customFormat="1" x14ac:dyDescent="0.2"/>
    <row r="21779" s="689" customFormat="1" x14ac:dyDescent="0.2"/>
    <row r="21780" s="689" customFormat="1" x14ac:dyDescent="0.2"/>
    <row r="21781" s="689" customFormat="1" x14ac:dyDescent="0.2"/>
    <row r="21782" s="689" customFormat="1" x14ac:dyDescent="0.2"/>
    <row r="21783" s="689" customFormat="1" x14ac:dyDescent="0.2"/>
    <row r="21784" s="689" customFormat="1" x14ac:dyDescent="0.2"/>
    <row r="21785" s="689" customFormat="1" x14ac:dyDescent="0.2"/>
    <row r="21786" s="689" customFormat="1" x14ac:dyDescent="0.2"/>
    <row r="21787" s="689" customFormat="1" x14ac:dyDescent="0.2"/>
    <row r="21788" s="689" customFormat="1" x14ac:dyDescent="0.2"/>
    <row r="21789" s="689" customFormat="1" x14ac:dyDescent="0.2"/>
    <row r="21790" s="689" customFormat="1" x14ac:dyDescent="0.2"/>
    <row r="21791" s="689" customFormat="1" x14ac:dyDescent="0.2"/>
    <row r="21792" s="689" customFormat="1" x14ac:dyDescent="0.2"/>
    <row r="21793" s="689" customFormat="1" x14ac:dyDescent="0.2"/>
    <row r="21794" s="689" customFormat="1" x14ac:dyDescent="0.2"/>
    <row r="21795" s="689" customFormat="1" x14ac:dyDescent="0.2"/>
    <row r="21796" s="689" customFormat="1" x14ac:dyDescent="0.2"/>
    <row r="21797" s="689" customFormat="1" x14ac:dyDescent="0.2"/>
    <row r="21798" s="689" customFormat="1" x14ac:dyDescent="0.2"/>
    <row r="21799" s="689" customFormat="1" x14ac:dyDescent="0.2"/>
    <row r="21800" s="689" customFormat="1" x14ac:dyDescent="0.2"/>
    <row r="21801" s="689" customFormat="1" x14ac:dyDescent="0.2"/>
    <row r="21802" s="689" customFormat="1" x14ac:dyDescent="0.2"/>
    <row r="21803" s="689" customFormat="1" x14ac:dyDescent="0.2"/>
    <row r="21804" s="689" customFormat="1" x14ac:dyDescent="0.2"/>
    <row r="21805" s="689" customFormat="1" x14ac:dyDescent="0.2"/>
    <row r="21806" s="689" customFormat="1" x14ac:dyDescent="0.2"/>
    <row r="21807" s="689" customFormat="1" x14ac:dyDescent="0.2"/>
    <row r="21808" s="689" customFormat="1" x14ac:dyDescent="0.2"/>
    <row r="21809" s="689" customFormat="1" x14ac:dyDescent="0.2"/>
    <row r="21810" s="689" customFormat="1" x14ac:dyDescent="0.2"/>
    <row r="21811" s="689" customFormat="1" x14ac:dyDescent="0.2"/>
    <row r="21812" s="689" customFormat="1" x14ac:dyDescent="0.2"/>
    <row r="21813" s="689" customFormat="1" x14ac:dyDescent="0.2"/>
    <row r="21814" s="689" customFormat="1" x14ac:dyDescent="0.2"/>
    <row r="21815" s="689" customFormat="1" x14ac:dyDescent="0.2"/>
    <row r="21816" s="689" customFormat="1" x14ac:dyDescent="0.2"/>
    <row r="21817" s="689" customFormat="1" x14ac:dyDescent="0.2"/>
    <row r="21818" s="689" customFormat="1" x14ac:dyDescent="0.2"/>
    <row r="21819" s="689" customFormat="1" x14ac:dyDescent="0.2"/>
    <row r="21820" s="689" customFormat="1" x14ac:dyDescent="0.2"/>
    <row r="21821" s="689" customFormat="1" x14ac:dyDescent="0.2"/>
    <row r="21822" s="689" customFormat="1" x14ac:dyDescent="0.2"/>
    <row r="21823" s="689" customFormat="1" x14ac:dyDescent="0.2"/>
    <row r="21824" s="689" customFormat="1" x14ac:dyDescent="0.2"/>
    <row r="21825" s="689" customFormat="1" x14ac:dyDescent="0.2"/>
    <row r="21826" s="689" customFormat="1" x14ac:dyDescent="0.2"/>
    <row r="21827" s="689" customFormat="1" x14ac:dyDescent="0.2"/>
    <row r="21828" s="689" customFormat="1" x14ac:dyDescent="0.2"/>
    <row r="21829" s="689" customFormat="1" x14ac:dyDescent="0.2"/>
    <row r="21830" s="689" customFormat="1" x14ac:dyDescent="0.2"/>
    <row r="21831" s="689" customFormat="1" x14ac:dyDescent="0.2"/>
    <row r="21832" s="689" customFormat="1" x14ac:dyDescent="0.2"/>
    <row r="21833" s="689" customFormat="1" x14ac:dyDescent="0.2"/>
    <row r="21834" s="689" customFormat="1" x14ac:dyDescent="0.2"/>
    <row r="21835" s="689" customFormat="1" x14ac:dyDescent="0.2"/>
    <row r="21836" s="689" customFormat="1" x14ac:dyDescent="0.2"/>
    <row r="21837" s="689" customFormat="1" x14ac:dyDescent="0.2"/>
    <row r="21838" s="689" customFormat="1" x14ac:dyDescent="0.2"/>
    <row r="21839" s="689" customFormat="1" x14ac:dyDescent="0.2"/>
    <row r="21840" s="689" customFormat="1" x14ac:dyDescent="0.2"/>
    <row r="21841" s="689" customFormat="1" x14ac:dyDescent="0.2"/>
    <row r="21842" s="689" customFormat="1" x14ac:dyDescent="0.2"/>
    <row r="21843" s="689" customFormat="1" x14ac:dyDescent="0.2"/>
    <row r="21844" s="689" customFormat="1" x14ac:dyDescent="0.2"/>
    <row r="21845" s="689" customFormat="1" x14ac:dyDescent="0.2"/>
    <row r="21846" s="689" customFormat="1" x14ac:dyDescent="0.2"/>
    <row r="21847" s="689" customFormat="1" x14ac:dyDescent="0.2"/>
    <row r="21848" s="689" customFormat="1" x14ac:dyDescent="0.2"/>
    <row r="21849" s="689" customFormat="1" x14ac:dyDescent="0.2"/>
    <row r="21850" s="689" customFormat="1" x14ac:dyDescent="0.2"/>
    <row r="21851" s="689" customFormat="1" x14ac:dyDescent="0.2"/>
    <row r="21852" s="689" customFormat="1" x14ac:dyDescent="0.2"/>
    <row r="21853" s="689" customFormat="1" x14ac:dyDescent="0.2"/>
    <row r="21854" s="689" customFormat="1" x14ac:dyDescent="0.2"/>
    <row r="21855" s="689" customFormat="1" x14ac:dyDescent="0.2"/>
    <row r="21856" s="689" customFormat="1" x14ac:dyDescent="0.2"/>
    <row r="21857" s="689" customFormat="1" x14ac:dyDescent="0.2"/>
    <row r="21858" s="689" customFormat="1" x14ac:dyDescent="0.2"/>
    <row r="21859" s="689" customFormat="1" x14ac:dyDescent="0.2"/>
    <row r="21860" s="689" customFormat="1" x14ac:dyDescent="0.2"/>
    <row r="21861" s="689" customFormat="1" x14ac:dyDescent="0.2"/>
    <row r="21862" s="689" customFormat="1" x14ac:dyDescent="0.2"/>
    <row r="21863" s="689" customFormat="1" x14ac:dyDescent="0.2"/>
    <row r="21864" s="689" customFormat="1" x14ac:dyDescent="0.2"/>
    <row r="21865" s="689" customFormat="1" x14ac:dyDescent="0.2"/>
    <row r="21866" s="689" customFormat="1" x14ac:dyDescent="0.2"/>
    <row r="21867" s="689" customFormat="1" x14ac:dyDescent="0.2"/>
    <row r="21868" s="689" customFormat="1" x14ac:dyDescent="0.2"/>
    <row r="21869" s="689" customFormat="1" x14ac:dyDescent="0.2"/>
    <row r="21870" s="689" customFormat="1" x14ac:dyDescent="0.2"/>
    <row r="21871" s="689" customFormat="1" x14ac:dyDescent="0.2"/>
    <row r="21872" s="689" customFormat="1" x14ac:dyDescent="0.2"/>
    <row r="21873" s="689" customFormat="1" x14ac:dyDescent="0.2"/>
    <row r="21874" s="689" customFormat="1" x14ac:dyDescent="0.2"/>
    <row r="21875" s="689" customFormat="1" x14ac:dyDescent="0.2"/>
    <row r="21876" s="689" customFormat="1" x14ac:dyDescent="0.2"/>
    <row r="21877" s="689" customFormat="1" x14ac:dyDescent="0.2"/>
    <row r="21878" s="689" customFormat="1" x14ac:dyDescent="0.2"/>
    <row r="21879" s="689" customFormat="1" x14ac:dyDescent="0.2"/>
    <row r="21880" s="689" customFormat="1" x14ac:dyDescent="0.2"/>
    <row r="21881" s="689" customFormat="1" x14ac:dyDescent="0.2"/>
    <row r="21882" s="689" customFormat="1" x14ac:dyDescent="0.2"/>
    <row r="21883" s="689" customFormat="1" x14ac:dyDescent="0.2"/>
    <row r="21884" s="689" customFormat="1" x14ac:dyDescent="0.2"/>
    <row r="21885" s="689" customFormat="1" x14ac:dyDescent="0.2"/>
    <row r="21886" s="689" customFormat="1" x14ac:dyDescent="0.2"/>
    <row r="21887" s="689" customFormat="1" x14ac:dyDescent="0.2"/>
    <row r="21888" s="689" customFormat="1" x14ac:dyDescent="0.2"/>
    <row r="21889" s="689" customFormat="1" x14ac:dyDescent="0.2"/>
    <row r="21890" s="689" customFormat="1" x14ac:dyDescent="0.2"/>
    <row r="21891" s="689" customFormat="1" x14ac:dyDescent="0.2"/>
    <row r="21892" s="689" customFormat="1" x14ac:dyDescent="0.2"/>
    <row r="21893" s="689" customFormat="1" x14ac:dyDescent="0.2"/>
    <row r="21894" s="689" customFormat="1" x14ac:dyDescent="0.2"/>
    <row r="21895" s="689" customFormat="1" x14ac:dyDescent="0.2"/>
    <row r="21896" s="689" customFormat="1" x14ac:dyDescent="0.2"/>
    <row r="21897" s="689" customFormat="1" x14ac:dyDescent="0.2"/>
    <row r="21898" s="689" customFormat="1" x14ac:dyDescent="0.2"/>
    <row r="21899" s="689" customFormat="1" x14ac:dyDescent="0.2"/>
    <row r="21900" s="689" customFormat="1" x14ac:dyDescent="0.2"/>
    <row r="21901" s="689" customFormat="1" x14ac:dyDescent="0.2"/>
    <row r="21902" s="689" customFormat="1" x14ac:dyDescent="0.2"/>
    <row r="21903" s="689" customFormat="1" x14ac:dyDescent="0.2"/>
    <row r="21904" s="689" customFormat="1" x14ac:dyDescent="0.2"/>
    <row r="21905" s="689" customFormat="1" x14ac:dyDescent="0.2"/>
    <row r="21906" s="689" customFormat="1" x14ac:dyDescent="0.2"/>
    <row r="21907" s="689" customFormat="1" x14ac:dyDescent="0.2"/>
    <row r="21908" s="689" customFormat="1" x14ac:dyDescent="0.2"/>
    <row r="21909" s="689" customFormat="1" x14ac:dyDescent="0.2"/>
    <row r="21910" s="689" customFormat="1" x14ac:dyDescent="0.2"/>
    <row r="21911" s="689" customFormat="1" x14ac:dyDescent="0.2"/>
    <row r="21912" s="689" customFormat="1" x14ac:dyDescent="0.2"/>
    <row r="21913" s="689" customFormat="1" x14ac:dyDescent="0.2"/>
    <row r="21914" s="689" customFormat="1" x14ac:dyDescent="0.2"/>
    <row r="21915" s="689" customFormat="1" x14ac:dyDescent="0.2"/>
    <row r="21916" s="689" customFormat="1" x14ac:dyDescent="0.2"/>
    <row r="21917" s="689" customFormat="1" x14ac:dyDescent="0.2"/>
    <row r="21918" s="689" customFormat="1" x14ac:dyDescent="0.2"/>
    <row r="21919" s="689" customFormat="1" x14ac:dyDescent="0.2"/>
    <row r="21920" s="689" customFormat="1" x14ac:dyDescent="0.2"/>
    <row r="21921" s="689" customFormat="1" x14ac:dyDescent="0.2"/>
    <row r="21922" s="689" customFormat="1" x14ac:dyDescent="0.2"/>
    <row r="21923" s="689" customFormat="1" x14ac:dyDescent="0.2"/>
    <row r="21924" s="689" customFormat="1" x14ac:dyDescent="0.2"/>
    <row r="21925" s="689" customFormat="1" x14ac:dyDescent="0.2"/>
    <row r="21926" s="689" customFormat="1" x14ac:dyDescent="0.2"/>
    <row r="21927" s="689" customFormat="1" x14ac:dyDescent="0.2"/>
    <row r="21928" s="689" customFormat="1" x14ac:dyDescent="0.2"/>
    <row r="21929" s="689" customFormat="1" x14ac:dyDescent="0.2"/>
    <row r="21930" s="689" customFormat="1" x14ac:dyDescent="0.2"/>
    <row r="21931" s="689" customFormat="1" x14ac:dyDescent="0.2"/>
    <row r="21932" s="689" customFormat="1" x14ac:dyDescent="0.2"/>
    <row r="21933" s="689" customFormat="1" x14ac:dyDescent="0.2"/>
    <row r="21934" s="689" customFormat="1" x14ac:dyDescent="0.2"/>
    <row r="21935" s="689" customFormat="1" x14ac:dyDescent="0.2"/>
    <row r="21936" s="689" customFormat="1" x14ac:dyDescent="0.2"/>
    <row r="21937" s="689" customFormat="1" x14ac:dyDescent="0.2"/>
    <row r="21938" s="689" customFormat="1" x14ac:dyDescent="0.2"/>
    <row r="21939" s="689" customFormat="1" x14ac:dyDescent="0.2"/>
    <row r="21940" s="689" customFormat="1" x14ac:dyDescent="0.2"/>
    <row r="21941" s="689" customFormat="1" x14ac:dyDescent="0.2"/>
    <row r="21942" s="689" customFormat="1" x14ac:dyDescent="0.2"/>
    <row r="21943" s="689" customFormat="1" x14ac:dyDescent="0.2"/>
    <row r="21944" s="689" customFormat="1" x14ac:dyDescent="0.2"/>
    <row r="21945" s="689" customFormat="1" x14ac:dyDescent="0.2"/>
    <row r="21946" s="689" customFormat="1" x14ac:dyDescent="0.2"/>
    <row r="21947" s="689" customFormat="1" x14ac:dyDescent="0.2"/>
    <row r="21948" s="689" customFormat="1" x14ac:dyDescent="0.2"/>
    <row r="21949" s="689" customFormat="1" x14ac:dyDescent="0.2"/>
    <row r="21950" s="689" customFormat="1" x14ac:dyDescent="0.2"/>
    <row r="21951" s="689" customFormat="1" x14ac:dyDescent="0.2"/>
    <row r="21952" s="689" customFormat="1" x14ac:dyDescent="0.2"/>
    <row r="21953" s="689" customFormat="1" x14ac:dyDescent="0.2"/>
    <row r="21954" s="689" customFormat="1" x14ac:dyDescent="0.2"/>
    <row r="21955" s="689" customFormat="1" x14ac:dyDescent="0.2"/>
    <row r="21956" s="689" customFormat="1" x14ac:dyDescent="0.2"/>
    <row r="21957" s="689" customFormat="1" x14ac:dyDescent="0.2"/>
    <row r="21958" s="689" customFormat="1" x14ac:dyDescent="0.2"/>
    <row r="21959" s="689" customFormat="1" x14ac:dyDescent="0.2"/>
    <row r="21960" s="689" customFormat="1" x14ac:dyDescent="0.2"/>
    <row r="21961" s="689" customFormat="1" x14ac:dyDescent="0.2"/>
    <row r="21962" s="689" customFormat="1" x14ac:dyDescent="0.2"/>
    <row r="21963" s="689" customFormat="1" x14ac:dyDescent="0.2"/>
    <row r="21964" s="689" customFormat="1" x14ac:dyDescent="0.2"/>
    <row r="21965" s="689" customFormat="1" x14ac:dyDescent="0.2"/>
    <row r="21966" s="689" customFormat="1" x14ac:dyDescent="0.2"/>
    <row r="21967" s="689" customFormat="1" x14ac:dyDescent="0.2"/>
    <row r="21968" s="689" customFormat="1" x14ac:dyDescent="0.2"/>
    <row r="21969" s="689" customFormat="1" x14ac:dyDescent="0.2"/>
    <row r="21970" s="689" customFormat="1" x14ac:dyDescent="0.2"/>
    <row r="21971" s="689" customFormat="1" x14ac:dyDescent="0.2"/>
    <row r="21972" s="689" customFormat="1" x14ac:dyDescent="0.2"/>
    <row r="21973" s="689" customFormat="1" x14ac:dyDescent="0.2"/>
    <row r="21974" s="689" customFormat="1" x14ac:dyDescent="0.2"/>
    <row r="21975" s="689" customFormat="1" x14ac:dyDescent="0.2"/>
    <row r="21976" s="689" customFormat="1" x14ac:dyDescent="0.2"/>
    <row r="21977" s="689" customFormat="1" x14ac:dyDescent="0.2"/>
    <row r="21978" s="689" customFormat="1" x14ac:dyDescent="0.2"/>
    <row r="21979" s="689" customFormat="1" x14ac:dyDescent="0.2"/>
    <row r="21980" s="689" customFormat="1" x14ac:dyDescent="0.2"/>
    <row r="21981" s="689" customFormat="1" x14ac:dyDescent="0.2"/>
    <row r="21982" s="689" customFormat="1" x14ac:dyDescent="0.2"/>
    <row r="21983" s="689" customFormat="1" x14ac:dyDescent="0.2"/>
    <row r="21984" s="689" customFormat="1" x14ac:dyDescent="0.2"/>
    <row r="21985" s="689" customFormat="1" x14ac:dyDescent="0.2"/>
    <row r="21986" s="689" customFormat="1" x14ac:dyDescent="0.2"/>
    <row r="21987" s="689" customFormat="1" x14ac:dyDescent="0.2"/>
    <row r="21988" s="689" customFormat="1" x14ac:dyDescent="0.2"/>
    <row r="21989" s="689" customFormat="1" x14ac:dyDescent="0.2"/>
    <row r="21990" s="689" customFormat="1" x14ac:dyDescent="0.2"/>
    <row r="21991" s="689" customFormat="1" x14ac:dyDescent="0.2"/>
    <row r="21992" s="689" customFormat="1" x14ac:dyDescent="0.2"/>
    <row r="21993" s="689" customFormat="1" x14ac:dyDescent="0.2"/>
    <row r="21994" s="689" customFormat="1" x14ac:dyDescent="0.2"/>
    <row r="21995" s="689" customFormat="1" x14ac:dyDescent="0.2"/>
    <row r="21996" s="689" customFormat="1" x14ac:dyDescent="0.2"/>
    <row r="21997" s="689" customFormat="1" x14ac:dyDescent="0.2"/>
    <row r="21998" s="689" customFormat="1" x14ac:dyDescent="0.2"/>
    <row r="21999" s="689" customFormat="1" x14ac:dyDescent="0.2"/>
    <row r="22000" s="689" customFormat="1" x14ac:dyDescent="0.2"/>
    <row r="22001" s="689" customFormat="1" x14ac:dyDescent="0.2"/>
    <row r="22002" s="689" customFormat="1" x14ac:dyDescent="0.2"/>
    <row r="22003" s="689" customFormat="1" x14ac:dyDescent="0.2"/>
    <row r="22004" s="689" customFormat="1" x14ac:dyDescent="0.2"/>
    <row r="22005" s="689" customFormat="1" x14ac:dyDescent="0.2"/>
    <row r="22006" s="689" customFormat="1" x14ac:dyDescent="0.2"/>
    <row r="22007" s="689" customFormat="1" x14ac:dyDescent="0.2"/>
    <row r="22008" s="689" customFormat="1" x14ac:dyDescent="0.2"/>
    <row r="22009" s="689" customFormat="1" x14ac:dyDescent="0.2"/>
    <row r="22010" s="689" customFormat="1" x14ac:dyDescent="0.2"/>
    <row r="22011" s="689" customFormat="1" x14ac:dyDescent="0.2"/>
    <row r="22012" s="689" customFormat="1" x14ac:dyDescent="0.2"/>
    <row r="22013" s="689" customFormat="1" x14ac:dyDescent="0.2"/>
    <row r="22014" s="689" customFormat="1" x14ac:dyDescent="0.2"/>
    <row r="22015" s="689" customFormat="1" x14ac:dyDescent="0.2"/>
    <row r="22016" s="689" customFormat="1" x14ac:dyDescent="0.2"/>
    <row r="22017" s="689" customFormat="1" x14ac:dyDescent="0.2"/>
    <row r="22018" s="689" customFormat="1" x14ac:dyDescent="0.2"/>
    <row r="22019" s="689" customFormat="1" x14ac:dyDescent="0.2"/>
    <row r="22020" s="689" customFormat="1" x14ac:dyDescent="0.2"/>
    <row r="22021" s="689" customFormat="1" x14ac:dyDescent="0.2"/>
    <row r="22022" s="689" customFormat="1" x14ac:dyDescent="0.2"/>
    <row r="22023" s="689" customFormat="1" x14ac:dyDescent="0.2"/>
    <row r="22024" s="689" customFormat="1" x14ac:dyDescent="0.2"/>
    <row r="22025" s="689" customFormat="1" x14ac:dyDescent="0.2"/>
    <row r="22026" s="689" customFormat="1" x14ac:dyDescent="0.2"/>
    <row r="22027" s="689" customFormat="1" x14ac:dyDescent="0.2"/>
    <row r="22028" s="689" customFormat="1" x14ac:dyDescent="0.2"/>
    <row r="22029" s="689" customFormat="1" x14ac:dyDescent="0.2"/>
    <row r="22030" s="689" customFormat="1" x14ac:dyDescent="0.2"/>
    <row r="22031" s="689" customFormat="1" x14ac:dyDescent="0.2"/>
    <row r="22032" s="689" customFormat="1" x14ac:dyDescent="0.2"/>
    <row r="22033" s="689" customFormat="1" x14ac:dyDescent="0.2"/>
    <row r="22034" s="689" customFormat="1" x14ac:dyDescent="0.2"/>
    <row r="22035" s="689" customFormat="1" x14ac:dyDescent="0.2"/>
    <row r="22036" s="689" customFormat="1" x14ac:dyDescent="0.2"/>
    <row r="22037" s="689" customFormat="1" x14ac:dyDescent="0.2"/>
    <row r="22038" s="689" customFormat="1" x14ac:dyDescent="0.2"/>
    <row r="22039" s="689" customFormat="1" x14ac:dyDescent="0.2"/>
    <row r="22040" s="689" customFormat="1" x14ac:dyDescent="0.2"/>
    <row r="22041" s="689" customFormat="1" x14ac:dyDescent="0.2"/>
    <row r="22042" s="689" customFormat="1" x14ac:dyDescent="0.2"/>
    <row r="22043" s="689" customFormat="1" x14ac:dyDescent="0.2"/>
    <row r="22044" s="689" customFormat="1" x14ac:dyDescent="0.2"/>
    <row r="22045" s="689" customFormat="1" x14ac:dyDescent="0.2"/>
    <row r="22046" s="689" customFormat="1" x14ac:dyDescent="0.2"/>
    <row r="22047" s="689" customFormat="1" x14ac:dyDescent="0.2"/>
    <row r="22048" s="689" customFormat="1" x14ac:dyDescent="0.2"/>
    <row r="22049" s="689" customFormat="1" x14ac:dyDescent="0.2"/>
    <row r="22050" s="689" customFormat="1" x14ac:dyDescent="0.2"/>
    <row r="22051" s="689" customFormat="1" x14ac:dyDescent="0.2"/>
    <row r="22052" s="689" customFormat="1" x14ac:dyDescent="0.2"/>
    <row r="22053" s="689" customFormat="1" x14ac:dyDescent="0.2"/>
    <row r="22054" s="689" customFormat="1" x14ac:dyDescent="0.2"/>
    <row r="22055" s="689" customFormat="1" x14ac:dyDescent="0.2"/>
    <row r="22056" s="689" customFormat="1" x14ac:dyDescent="0.2"/>
    <row r="22057" s="689" customFormat="1" x14ac:dyDescent="0.2"/>
    <row r="22058" s="689" customFormat="1" x14ac:dyDescent="0.2"/>
    <row r="22059" s="689" customFormat="1" x14ac:dyDescent="0.2"/>
    <row r="22060" s="689" customFormat="1" x14ac:dyDescent="0.2"/>
    <row r="22061" s="689" customFormat="1" x14ac:dyDescent="0.2"/>
    <row r="22062" s="689" customFormat="1" x14ac:dyDescent="0.2"/>
    <row r="22063" s="689" customFormat="1" x14ac:dyDescent="0.2"/>
    <row r="22064" s="689" customFormat="1" x14ac:dyDescent="0.2"/>
    <row r="22065" s="689" customFormat="1" x14ac:dyDescent="0.2"/>
    <row r="22066" s="689" customFormat="1" x14ac:dyDescent="0.2"/>
    <row r="22067" s="689" customFormat="1" x14ac:dyDescent="0.2"/>
    <row r="22068" s="689" customFormat="1" x14ac:dyDescent="0.2"/>
    <row r="22069" s="689" customFormat="1" x14ac:dyDescent="0.2"/>
    <row r="22070" s="689" customFormat="1" x14ac:dyDescent="0.2"/>
    <row r="22071" s="689" customFormat="1" x14ac:dyDescent="0.2"/>
    <row r="22072" s="689" customFormat="1" x14ac:dyDescent="0.2"/>
    <row r="22073" s="689" customFormat="1" x14ac:dyDescent="0.2"/>
    <row r="22074" s="689" customFormat="1" x14ac:dyDescent="0.2"/>
    <row r="22075" s="689" customFormat="1" x14ac:dyDescent="0.2"/>
    <row r="22076" s="689" customFormat="1" x14ac:dyDescent="0.2"/>
    <row r="22077" s="689" customFormat="1" x14ac:dyDescent="0.2"/>
    <row r="22078" s="689" customFormat="1" x14ac:dyDescent="0.2"/>
    <row r="22079" s="689" customFormat="1" x14ac:dyDescent="0.2"/>
    <row r="22080" s="689" customFormat="1" x14ac:dyDescent="0.2"/>
    <row r="22081" s="689" customFormat="1" x14ac:dyDescent="0.2"/>
    <row r="22082" s="689" customFormat="1" x14ac:dyDescent="0.2"/>
    <row r="22083" s="689" customFormat="1" x14ac:dyDescent="0.2"/>
    <row r="22084" s="689" customFormat="1" x14ac:dyDescent="0.2"/>
    <row r="22085" s="689" customFormat="1" x14ac:dyDescent="0.2"/>
    <row r="22086" s="689" customFormat="1" x14ac:dyDescent="0.2"/>
    <row r="22087" s="689" customFormat="1" x14ac:dyDescent="0.2"/>
    <row r="22088" s="689" customFormat="1" x14ac:dyDescent="0.2"/>
    <row r="22089" s="689" customFormat="1" x14ac:dyDescent="0.2"/>
    <row r="22090" s="689" customFormat="1" x14ac:dyDescent="0.2"/>
    <row r="22091" s="689" customFormat="1" x14ac:dyDescent="0.2"/>
    <row r="22092" s="689" customFormat="1" x14ac:dyDescent="0.2"/>
    <row r="22093" s="689" customFormat="1" x14ac:dyDescent="0.2"/>
    <row r="22094" s="689" customFormat="1" x14ac:dyDescent="0.2"/>
    <row r="22095" s="689" customFormat="1" x14ac:dyDescent="0.2"/>
    <row r="22096" s="689" customFormat="1" x14ac:dyDescent="0.2"/>
    <row r="22097" s="689" customFormat="1" x14ac:dyDescent="0.2"/>
    <row r="22098" s="689" customFormat="1" x14ac:dyDescent="0.2"/>
    <row r="22099" s="689" customFormat="1" x14ac:dyDescent="0.2"/>
    <row r="22100" s="689" customFormat="1" x14ac:dyDescent="0.2"/>
    <row r="22101" s="689" customFormat="1" x14ac:dyDescent="0.2"/>
    <row r="22102" s="689" customFormat="1" x14ac:dyDescent="0.2"/>
    <row r="22103" s="689" customFormat="1" x14ac:dyDescent="0.2"/>
    <row r="22104" s="689" customFormat="1" x14ac:dyDescent="0.2"/>
    <row r="22105" s="689" customFormat="1" x14ac:dyDescent="0.2"/>
    <row r="22106" s="689" customFormat="1" x14ac:dyDescent="0.2"/>
    <row r="22107" s="689" customFormat="1" x14ac:dyDescent="0.2"/>
    <row r="22108" s="689" customFormat="1" x14ac:dyDescent="0.2"/>
    <row r="22109" s="689" customFormat="1" x14ac:dyDescent="0.2"/>
    <row r="22110" s="689" customFormat="1" x14ac:dyDescent="0.2"/>
    <row r="22111" s="689" customFormat="1" x14ac:dyDescent="0.2"/>
    <row r="22112" s="689" customFormat="1" x14ac:dyDescent="0.2"/>
    <row r="22113" s="689" customFormat="1" x14ac:dyDescent="0.2"/>
    <row r="22114" s="689" customFormat="1" x14ac:dyDescent="0.2"/>
    <row r="22115" s="689" customFormat="1" x14ac:dyDescent="0.2"/>
    <row r="22116" s="689" customFormat="1" x14ac:dyDescent="0.2"/>
    <row r="22117" s="689" customFormat="1" x14ac:dyDescent="0.2"/>
    <row r="22118" s="689" customFormat="1" x14ac:dyDescent="0.2"/>
    <row r="22119" s="689" customFormat="1" x14ac:dyDescent="0.2"/>
    <row r="22120" s="689" customFormat="1" x14ac:dyDescent="0.2"/>
    <row r="22121" s="689" customFormat="1" x14ac:dyDescent="0.2"/>
    <row r="22122" s="689" customFormat="1" x14ac:dyDescent="0.2"/>
    <row r="22123" s="689" customFormat="1" x14ac:dyDescent="0.2"/>
    <row r="22124" s="689" customFormat="1" x14ac:dyDescent="0.2"/>
    <row r="22125" s="689" customFormat="1" x14ac:dyDescent="0.2"/>
    <row r="22126" s="689" customFormat="1" x14ac:dyDescent="0.2"/>
    <row r="22127" s="689" customFormat="1" x14ac:dyDescent="0.2"/>
    <row r="22128" s="689" customFormat="1" x14ac:dyDescent="0.2"/>
    <row r="22129" s="689" customFormat="1" x14ac:dyDescent="0.2"/>
    <row r="22130" s="689" customFormat="1" x14ac:dyDescent="0.2"/>
    <row r="22131" s="689" customFormat="1" x14ac:dyDescent="0.2"/>
    <row r="22132" s="689" customFormat="1" x14ac:dyDescent="0.2"/>
    <row r="22133" s="689" customFormat="1" x14ac:dyDescent="0.2"/>
    <row r="22134" s="689" customFormat="1" x14ac:dyDescent="0.2"/>
    <row r="22135" s="689" customFormat="1" x14ac:dyDescent="0.2"/>
    <row r="22136" s="689" customFormat="1" x14ac:dyDescent="0.2"/>
    <row r="22137" s="689" customFormat="1" x14ac:dyDescent="0.2"/>
    <row r="22138" s="689" customFormat="1" x14ac:dyDescent="0.2"/>
    <row r="22139" s="689" customFormat="1" x14ac:dyDescent="0.2"/>
    <row r="22140" s="689" customFormat="1" x14ac:dyDescent="0.2"/>
    <row r="22141" s="689" customFormat="1" x14ac:dyDescent="0.2"/>
    <row r="22142" s="689" customFormat="1" x14ac:dyDescent="0.2"/>
    <row r="22143" s="689" customFormat="1" x14ac:dyDescent="0.2"/>
    <row r="22144" s="689" customFormat="1" x14ac:dyDescent="0.2"/>
    <row r="22145" s="689" customFormat="1" x14ac:dyDescent="0.2"/>
    <row r="22146" s="689" customFormat="1" x14ac:dyDescent="0.2"/>
    <row r="22147" s="689" customFormat="1" x14ac:dyDescent="0.2"/>
    <row r="22148" s="689" customFormat="1" x14ac:dyDescent="0.2"/>
    <row r="22149" s="689" customFormat="1" x14ac:dyDescent="0.2"/>
    <row r="22150" s="689" customFormat="1" x14ac:dyDescent="0.2"/>
    <row r="22151" s="689" customFormat="1" x14ac:dyDescent="0.2"/>
    <row r="22152" s="689" customFormat="1" x14ac:dyDescent="0.2"/>
    <row r="22153" s="689" customFormat="1" x14ac:dyDescent="0.2"/>
    <row r="22154" s="689" customFormat="1" x14ac:dyDescent="0.2"/>
    <row r="22155" s="689" customFormat="1" x14ac:dyDescent="0.2"/>
    <row r="22156" s="689" customFormat="1" x14ac:dyDescent="0.2"/>
    <row r="22157" s="689" customFormat="1" x14ac:dyDescent="0.2"/>
    <row r="22158" s="689" customFormat="1" x14ac:dyDescent="0.2"/>
    <row r="22159" s="689" customFormat="1" x14ac:dyDescent="0.2"/>
    <row r="22160" s="689" customFormat="1" x14ac:dyDescent="0.2"/>
    <row r="22161" s="689" customFormat="1" x14ac:dyDescent="0.2"/>
    <row r="22162" s="689" customFormat="1" x14ac:dyDescent="0.2"/>
    <row r="22163" s="689" customFormat="1" x14ac:dyDescent="0.2"/>
    <row r="22164" s="689" customFormat="1" x14ac:dyDescent="0.2"/>
    <row r="22165" s="689" customFormat="1" x14ac:dyDescent="0.2"/>
    <row r="22166" s="689" customFormat="1" x14ac:dyDescent="0.2"/>
    <row r="22167" s="689" customFormat="1" x14ac:dyDescent="0.2"/>
    <row r="22168" s="689" customFormat="1" x14ac:dyDescent="0.2"/>
    <row r="22169" s="689" customFormat="1" x14ac:dyDescent="0.2"/>
    <row r="22170" s="689" customFormat="1" x14ac:dyDescent="0.2"/>
    <row r="22171" s="689" customFormat="1" x14ac:dyDescent="0.2"/>
    <row r="22172" s="689" customFormat="1" x14ac:dyDescent="0.2"/>
    <row r="22173" s="689" customFormat="1" x14ac:dyDescent="0.2"/>
    <row r="22174" s="689" customFormat="1" x14ac:dyDescent="0.2"/>
    <row r="22175" s="689" customFormat="1" x14ac:dyDescent="0.2"/>
    <row r="22176" s="689" customFormat="1" x14ac:dyDescent="0.2"/>
    <row r="22177" s="689" customFormat="1" x14ac:dyDescent="0.2"/>
    <row r="22178" s="689" customFormat="1" x14ac:dyDescent="0.2"/>
    <row r="22179" s="689" customFormat="1" x14ac:dyDescent="0.2"/>
    <row r="22180" s="689" customFormat="1" x14ac:dyDescent="0.2"/>
    <row r="22181" s="689" customFormat="1" x14ac:dyDescent="0.2"/>
    <row r="22182" s="689" customFormat="1" x14ac:dyDescent="0.2"/>
    <row r="22183" s="689" customFormat="1" x14ac:dyDescent="0.2"/>
    <row r="22184" s="689" customFormat="1" x14ac:dyDescent="0.2"/>
    <row r="22185" s="689" customFormat="1" x14ac:dyDescent="0.2"/>
    <row r="22186" s="689" customFormat="1" x14ac:dyDescent="0.2"/>
    <row r="22187" s="689" customFormat="1" x14ac:dyDescent="0.2"/>
    <row r="22188" s="689" customFormat="1" x14ac:dyDescent="0.2"/>
    <row r="22189" s="689" customFormat="1" x14ac:dyDescent="0.2"/>
    <row r="22190" s="689" customFormat="1" x14ac:dyDescent="0.2"/>
    <row r="22191" s="689" customFormat="1" x14ac:dyDescent="0.2"/>
    <row r="22192" s="689" customFormat="1" x14ac:dyDescent="0.2"/>
    <row r="22193" s="689" customFormat="1" x14ac:dyDescent="0.2"/>
    <row r="22194" s="689" customFormat="1" x14ac:dyDescent="0.2"/>
    <row r="22195" s="689" customFormat="1" x14ac:dyDescent="0.2"/>
    <row r="22196" s="689" customFormat="1" x14ac:dyDescent="0.2"/>
    <row r="22197" s="689" customFormat="1" x14ac:dyDescent="0.2"/>
    <row r="22198" s="689" customFormat="1" x14ac:dyDescent="0.2"/>
    <row r="22199" s="689" customFormat="1" x14ac:dyDescent="0.2"/>
    <row r="22200" s="689" customFormat="1" x14ac:dyDescent="0.2"/>
    <row r="22201" s="689" customFormat="1" x14ac:dyDescent="0.2"/>
    <row r="22202" s="689" customFormat="1" x14ac:dyDescent="0.2"/>
    <row r="22203" s="689" customFormat="1" x14ac:dyDescent="0.2"/>
    <row r="22204" s="689" customFormat="1" x14ac:dyDescent="0.2"/>
    <row r="22205" s="689" customFormat="1" x14ac:dyDescent="0.2"/>
    <row r="22206" s="689" customFormat="1" x14ac:dyDescent="0.2"/>
    <row r="22207" s="689" customFormat="1" x14ac:dyDescent="0.2"/>
    <row r="22208" s="689" customFormat="1" x14ac:dyDescent="0.2"/>
    <row r="22209" s="689" customFormat="1" x14ac:dyDescent="0.2"/>
    <row r="22210" s="689" customFormat="1" x14ac:dyDescent="0.2"/>
    <row r="22211" s="689" customFormat="1" x14ac:dyDescent="0.2"/>
    <row r="22212" s="689" customFormat="1" x14ac:dyDescent="0.2"/>
    <row r="22213" s="689" customFormat="1" x14ac:dyDescent="0.2"/>
    <row r="22214" s="689" customFormat="1" x14ac:dyDescent="0.2"/>
    <row r="22215" s="689" customFormat="1" x14ac:dyDescent="0.2"/>
    <row r="22216" s="689" customFormat="1" x14ac:dyDescent="0.2"/>
    <row r="22217" s="689" customFormat="1" x14ac:dyDescent="0.2"/>
    <row r="22218" s="689" customFormat="1" x14ac:dyDescent="0.2"/>
    <row r="22219" s="689" customFormat="1" x14ac:dyDescent="0.2"/>
    <row r="22220" s="689" customFormat="1" x14ac:dyDescent="0.2"/>
    <row r="22221" s="689" customFormat="1" x14ac:dyDescent="0.2"/>
    <row r="22222" s="689" customFormat="1" x14ac:dyDescent="0.2"/>
    <row r="22223" s="689" customFormat="1" x14ac:dyDescent="0.2"/>
    <row r="22224" s="689" customFormat="1" x14ac:dyDescent="0.2"/>
    <row r="22225" s="689" customFormat="1" x14ac:dyDescent="0.2"/>
    <row r="22226" s="689" customFormat="1" x14ac:dyDescent="0.2"/>
    <row r="22227" s="689" customFormat="1" x14ac:dyDescent="0.2"/>
    <row r="22228" s="689" customFormat="1" x14ac:dyDescent="0.2"/>
    <row r="22229" s="689" customFormat="1" x14ac:dyDescent="0.2"/>
    <row r="22230" s="689" customFormat="1" x14ac:dyDescent="0.2"/>
    <row r="22231" s="689" customFormat="1" x14ac:dyDescent="0.2"/>
    <row r="22232" s="689" customFormat="1" x14ac:dyDescent="0.2"/>
    <row r="22233" s="689" customFormat="1" x14ac:dyDescent="0.2"/>
    <row r="22234" s="689" customFormat="1" x14ac:dyDescent="0.2"/>
    <row r="22235" s="689" customFormat="1" x14ac:dyDescent="0.2"/>
    <row r="22236" s="689" customFormat="1" x14ac:dyDescent="0.2"/>
    <row r="22237" s="689" customFormat="1" x14ac:dyDescent="0.2"/>
    <row r="22238" s="689" customFormat="1" x14ac:dyDescent="0.2"/>
    <row r="22239" s="689" customFormat="1" x14ac:dyDescent="0.2"/>
    <row r="22240" s="689" customFormat="1" x14ac:dyDescent="0.2"/>
    <row r="22241" s="689" customFormat="1" x14ac:dyDescent="0.2"/>
    <row r="22242" s="689" customFormat="1" x14ac:dyDescent="0.2"/>
    <row r="22243" s="689" customFormat="1" x14ac:dyDescent="0.2"/>
    <row r="22244" s="689" customFormat="1" x14ac:dyDescent="0.2"/>
    <row r="22245" s="689" customFormat="1" x14ac:dyDescent="0.2"/>
    <row r="22246" s="689" customFormat="1" x14ac:dyDescent="0.2"/>
    <row r="22247" s="689" customFormat="1" x14ac:dyDescent="0.2"/>
    <row r="22248" s="689" customFormat="1" x14ac:dyDescent="0.2"/>
    <row r="22249" s="689" customFormat="1" x14ac:dyDescent="0.2"/>
    <row r="22250" s="689" customFormat="1" x14ac:dyDescent="0.2"/>
    <row r="22251" s="689" customFormat="1" x14ac:dyDescent="0.2"/>
    <row r="22252" s="689" customFormat="1" x14ac:dyDescent="0.2"/>
    <row r="22253" s="689" customFormat="1" x14ac:dyDescent="0.2"/>
    <row r="22254" s="689" customFormat="1" x14ac:dyDescent="0.2"/>
    <row r="22255" s="689" customFormat="1" x14ac:dyDescent="0.2"/>
    <row r="22256" s="689" customFormat="1" x14ac:dyDescent="0.2"/>
    <row r="22257" s="689" customFormat="1" x14ac:dyDescent="0.2"/>
    <row r="22258" s="689" customFormat="1" x14ac:dyDescent="0.2"/>
    <row r="22259" s="689" customFormat="1" x14ac:dyDescent="0.2"/>
    <row r="22260" s="689" customFormat="1" x14ac:dyDescent="0.2"/>
    <row r="22261" s="689" customFormat="1" x14ac:dyDescent="0.2"/>
    <row r="22262" s="689" customFormat="1" x14ac:dyDescent="0.2"/>
    <row r="22263" s="689" customFormat="1" x14ac:dyDescent="0.2"/>
    <row r="22264" s="689" customFormat="1" x14ac:dyDescent="0.2"/>
    <row r="22265" s="689" customFormat="1" x14ac:dyDescent="0.2"/>
    <row r="22266" s="689" customFormat="1" x14ac:dyDescent="0.2"/>
    <row r="22267" s="689" customFormat="1" x14ac:dyDescent="0.2"/>
    <row r="22268" s="689" customFormat="1" x14ac:dyDescent="0.2"/>
    <row r="22269" s="689" customFormat="1" x14ac:dyDescent="0.2"/>
    <row r="22270" s="689" customFormat="1" x14ac:dyDescent="0.2"/>
    <row r="22271" s="689" customFormat="1" x14ac:dyDescent="0.2"/>
    <row r="22272" s="689" customFormat="1" x14ac:dyDescent="0.2"/>
    <row r="22273" s="689" customFormat="1" x14ac:dyDescent="0.2"/>
    <row r="22274" s="689" customFormat="1" x14ac:dyDescent="0.2"/>
    <row r="22275" s="689" customFormat="1" x14ac:dyDescent="0.2"/>
    <row r="22276" s="689" customFormat="1" x14ac:dyDescent="0.2"/>
    <row r="22277" s="689" customFormat="1" x14ac:dyDescent="0.2"/>
    <row r="22278" s="689" customFormat="1" x14ac:dyDescent="0.2"/>
    <row r="22279" s="689" customFormat="1" x14ac:dyDescent="0.2"/>
    <row r="22280" s="689" customFormat="1" x14ac:dyDescent="0.2"/>
    <row r="22281" s="689" customFormat="1" x14ac:dyDescent="0.2"/>
    <row r="22282" s="689" customFormat="1" x14ac:dyDescent="0.2"/>
    <row r="22283" s="689" customFormat="1" x14ac:dyDescent="0.2"/>
    <row r="22284" s="689" customFormat="1" x14ac:dyDescent="0.2"/>
    <row r="22285" s="689" customFormat="1" x14ac:dyDescent="0.2"/>
    <row r="22286" s="689" customFormat="1" x14ac:dyDescent="0.2"/>
    <row r="22287" s="689" customFormat="1" x14ac:dyDescent="0.2"/>
    <row r="22288" s="689" customFormat="1" x14ac:dyDescent="0.2"/>
    <row r="22289" s="689" customFormat="1" x14ac:dyDescent="0.2"/>
    <row r="22290" s="689" customFormat="1" x14ac:dyDescent="0.2"/>
    <row r="22291" s="689" customFormat="1" x14ac:dyDescent="0.2"/>
    <row r="22292" s="689" customFormat="1" x14ac:dyDescent="0.2"/>
    <row r="22293" s="689" customFormat="1" x14ac:dyDescent="0.2"/>
    <row r="22294" s="689" customFormat="1" x14ac:dyDescent="0.2"/>
    <row r="22295" s="689" customFormat="1" x14ac:dyDescent="0.2"/>
    <row r="22296" s="689" customFormat="1" x14ac:dyDescent="0.2"/>
    <row r="22297" s="689" customFormat="1" x14ac:dyDescent="0.2"/>
    <row r="22298" s="689" customFormat="1" x14ac:dyDescent="0.2"/>
    <row r="22299" s="689" customFormat="1" x14ac:dyDescent="0.2"/>
    <row r="22300" s="689" customFormat="1" x14ac:dyDescent="0.2"/>
    <row r="22301" s="689" customFormat="1" x14ac:dyDescent="0.2"/>
    <row r="22302" s="689" customFormat="1" x14ac:dyDescent="0.2"/>
    <row r="22303" s="689" customFormat="1" x14ac:dyDescent="0.2"/>
    <row r="22304" s="689" customFormat="1" x14ac:dyDescent="0.2"/>
    <row r="22305" s="689" customFormat="1" x14ac:dyDescent="0.2"/>
    <row r="22306" s="689" customFormat="1" x14ac:dyDescent="0.2"/>
    <row r="22307" s="689" customFormat="1" x14ac:dyDescent="0.2"/>
    <row r="22308" s="689" customFormat="1" x14ac:dyDescent="0.2"/>
    <row r="22309" s="689" customFormat="1" x14ac:dyDescent="0.2"/>
    <row r="22310" s="689" customFormat="1" x14ac:dyDescent="0.2"/>
    <row r="22311" s="689" customFormat="1" x14ac:dyDescent="0.2"/>
    <row r="22312" s="689" customFormat="1" x14ac:dyDescent="0.2"/>
    <row r="22313" s="689" customFormat="1" x14ac:dyDescent="0.2"/>
    <row r="22314" s="689" customFormat="1" x14ac:dyDescent="0.2"/>
    <row r="22315" s="689" customFormat="1" x14ac:dyDescent="0.2"/>
    <row r="22316" s="689" customFormat="1" x14ac:dyDescent="0.2"/>
    <row r="22317" s="689" customFormat="1" x14ac:dyDescent="0.2"/>
    <row r="22318" s="689" customFormat="1" x14ac:dyDescent="0.2"/>
    <row r="22319" s="689" customFormat="1" x14ac:dyDescent="0.2"/>
    <row r="22320" s="689" customFormat="1" x14ac:dyDescent="0.2"/>
    <row r="22321" s="689" customFormat="1" x14ac:dyDescent="0.2"/>
    <row r="22322" s="689" customFormat="1" x14ac:dyDescent="0.2"/>
    <row r="22323" s="689" customFormat="1" x14ac:dyDescent="0.2"/>
    <row r="22324" s="689" customFormat="1" x14ac:dyDescent="0.2"/>
    <row r="22325" s="689" customFormat="1" x14ac:dyDescent="0.2"/>
    <row r="22326" s="689" customFormat="1" x14ac:dyDescent="0.2"/>
    <row r="22327" s="689" customFormat="1" x14ac:dyDescent="0.2"/>
    <row r="22328" s="689" customFormat="1" x14ac:dyDescent="0.2"/>
    <row r="22329" s="689" customFormat="1" x14ac:dyDescent="0.2"/>
    <row r="22330" s="689" customFormat="1" x14ac:dyDescent="0.2"/>
    <row r="22331" s="689" customFormat="1" x14ac:dyDescent="0.2"/>
    <row r="22332" s="689" customFormat="1" x14ac:dyDescent="0.2"/>
    <row r="22333" s="689" customFormat="1" x14ac:dyDescent="0.2"/>
    <row r="22334" s="689" customFormat="1" x14ac:dyDescent="0.2"/>
    <row r="22335" s="689" customFormat="1" x14ac:dyDescent="0.2"/>
    <row r="22336" s="689" customFormat="1" x14ac:dyDescent="0.2"/>
    <row r="22337" s="689" customFormat="1" x14ac:dyDescent="0.2"/>
    <row r="22338" s="689" customFormat="1" x14ac:dyDescent="0.2"/>
    <row r="22339" s="689" customFormat="1" x14ac:dyDescent="0.2"/>
    <row r="22340" s="689" customFormat="1" x14ac:dyDescent="0.2"/>
    <row r="22341" s="689" customFormat="1" x14ac:dyDescent="0.2"/>
    <row r="22342" s="689" customFormat="1" x14ac:dyDescent="0.2"/>
    <row r="22343" s="689" customFormat="1" x14ac:dyDescent="0.2"/>
    <row r="22344" s="689" customFormat="1" x14ac:dyDescent="0.2"/>
    <row r="22345" s="689" customFormat="1" x14ac:dyDescent="0.2"/>
    <row r="22346" s="689" customFormat="1" x14ac:dyDescent="0.2"/>
    <row r="22347" s="689" customFormat="1" x14ac:dyDescent="0.2"/>
    <row r="22348" s="689" customFormat="1" x14ac:dyDescent="0.2"/>
    <row r="22349" s="689" customFormat="1" x14ac:dyDescent="0.2"/>
    <row r="22350" s="689" customFormat="1" x14ac:dyDescent="0.2"/>
    <row r="22351" s="689" customFormat="1" x14ac:dyDescent="0.2"/>
    <row r="22352" s="689" customFormat="1" x14ac:dyDescent="0.2"/>
    <row r="22353" s="689" customFormat="1" x14ac:dyDescent="0.2"/>
    <row r="22354" s="689" customFormat="1" x14ac:dyDescent="0.2"/>
    <row r="22355" s="689" customFormat="1" x14ac:dyDescent="0.2"/>
    <row r="22356" s="689" customFormat="1" x14ac:dyDescent="0.2"/>
    <row r="22357" s="689" customFormat="1" x14ac:dyDescent="0.2"/>
    <row r="22358" s="689" customFormat="1" x14ac:dyDescent="0.2"/>
    <row r="22359" s="689" customFormat="1" x14ac:dyDescent="0.2"/>
    <row r="22360" s="689" customFormat="1" x14ac:dyDescent="0.2"/>
    <row r="22361" s="689" customFormat="1" x14ac:dyDescent="0.2"/>
    <row r="22362" s="689" customFormat="1" x14ac:dyDescent="0.2"/>
    <row r="22363" s="689" customFormat="1" x14ac:dyDescent="0.2"/>
    <row r="22364" s="689" customFormat="1" x14ac:dyDescent="0.2"/>
    <row r="22365" s="689" customFormat="1" x14ac:dyDescent="0.2"/>
    <row r="22366" s="689" customFormat="1" x14ac:dyDescent="0.2"/>
    <row r="22367" s="689" customFormat="1" x14ac:dyDescent="0.2"/>
    <row r="22368" s="689" customFormat="1" x14ac:dyDescent="0.2"/>
    <row r="22369" s="689" customFormat="1" x14ac:dyDescent="0.2"/>
    <row r="22370" s="689" customFormat="1" x14ac:dyDescent="0.2"/>
    <row r="22371" s="689" customFormat="1" x14ac:dyDescent="0.2"/>
    <row r="22372" s="689" customFormat="1" x14ac:dyDescent="0.2"/>
    <row r="22373" s="689" customFormat="1" x14ac:dyDescent="0.2"/>
    <row r="22374" s="689" customFormat="1" x14ac:dyDescent="0.2"/>
    <row r="22375" s="689" customFormat="1" x14ac:dyDescent="0.2"/>
    <row r="22376" s="689" customFormat="1" x14ac:dyDescent="0.2"/>
    <row r="22377" s="689" customFormat="1" x14ac:dyDescent="0.2"/>
    <row r="22378" s="689" customFormat="1" x14ac:dyDescent="0.2"/>
    <row r="22379" s="689" customFormat="1" x14ac:dyDescent="0.2"/>
    <row r="22380" s="689" customFormat="1" x14ac:dyDescent="0.2"/>
    <row r="22381" s="689" customFormat="1" x14ac:dyDescent="0.2"/>
    <row r="22382" s="689" customFormat="1" x14ac:dyDescent="0.2"/>
    <row r="22383" s="689" customFormat="1" x14ac:dyDescent="0.2"/>
    <row r="22384" s="689" customFormat="1" x14ac:dyDescent="0.2"/>
    <row r="22385" s="689" customFormat="1" x14ac:dyDescent="0.2"/>
    <row r="22386" s="689" customFormat="1" x14ac:dyDescent="0.2"/>
    <row r="22387" s="689" customFormat="1" x14ac:dyDescent="0.2"/>
    <row r="22388" s="689" customFormat="1" x14ac:dyDescent="0.2"/>
    <row r="22389" s="689" customFormat="1" x14ac:dyDescent="0.2"/>
    <row r="22390" s="689" customFormat="1" x14ac:dyDescent="0.2"/>
    <row r="22391" s="689" customFormat="1" x14ac:dyDescent="0.2"/>
    <row r="22392" s="689" customFormat="1" x14ac:dyDescent="0.2"/>
    <row r="22393" s="689" customFormat="1" x14ac:dyDescent="0.2"/>
    <row r="22394" s="689" customFormat="1" x14ac:dyDescent="0.2"/>
    <row r="22395" s="689" customFormat="1" x14ac:dyDescent="0.2"/>
    <row r="22396" s="689" customFormat="1" x14ac:dyDescent="0.2"/>
    <row r="22397" s="689" customFormat="1" x14ac:dyDescent="0.2"/>
    <row r="22398" s="689" customFormat="1" x14ac:dyDescent="0.2"/>
    <row r="22399" s="689" customFormat="1" x14ac:dyDescent="0.2"/>
    <row r="22400" s="689" customFormat="1" x14ac:dyDescent="0.2"/>
    <row r="22401" s="689" customFormat="1" x14ac:dyDescent="0.2"/>
    <row r="22402" s="689" customFormat="1" x14ac:dyDescent="0.2"/>
    <row r="22403" s="689" customFormat="1" x14ac:dyDescent="0.2"/>
    <row r="22404" s="689" customFormat="1" x14ac:dyDescent="0.2"/>
    <row r="22405" s="689" customFormat="1" x14ac:dyDescent="0.2"/>
    <row r="22406" s="689" customFormat="1" x14ac:dyDescent="0.2"/>
    <row r="22407" s="689" customFormat="1" x14ac:dyDescent="0.2"/>
    <row r="22408" s="689" customFormat="1" x14ac:dyDescent="0.2"/>
    <row r="22409" s="689" customFormat="1" x14ac:dyDescent="0.2"/>
    <row r="22410" s="689" customFormat="1" x14ac:dyDescent="0.2"/>
    <row r="22411" s="689" customFormat="1" x14ac:dyDescent="0.2"/>
    <row r="22412" s="689" customFormat="1" x14ac:dyDescent="0.2"/>
    <row r="22413" s="689" customFormat="1" x14ac:dyDescent="0.2"/>
    <row r="22414" s="689" customFormat="1" x14ac:dyDescent="0.2"/>
    <row r="22415" s="689" customFormat="1" x14ac:dyDescent="0.2"/>
    <row r="22416" s="689" customFormat="1" x14ac:dyDescent="0.2"/>
    <row r="22417" s="689" customFormat="1" x14ac:dyDescent="0.2"/>
    <row r="22418" s="689" customFormat="1" x14ac:dyDescent="0.2"/>
    <row r="22419" s="689" customFormat="1" x14ac:dyDescent="0.2"/>
    <row r="22420" s="689" customFormat="1" x14ac:dyDescent="0.2"/>
    <row r="22421" s="689" customFormat="1" x14ac:dyDescent="0.2"/>
    <row r="22422" s="689" customFormat="1" x14ac:dyDescent="0.2"/>
    <row r="22423" s="689" customFormat="1" x14ac:dyDescent="0.2"/>
    <row r="22424" s="689" customFormat="1" x14ac:dyDescent="0.2"/>
    <row r="22425" s="689" customFormat="1" x14ac:dyDescent="0.2"/>
    <row r="22426" s="689" customFormat="1" x14ac:dyDescent="0.2"/>
    <row r="22427" s="689" customFormat="1" x14ac:dyDescent="0.2"/>
    <row r="22428" s="689" customFormat="1" x14ac:dyDescent="0.2"/>
    <row r="22429" s="689" customFormat="1" x14ac:dyDescent="0.2"/>
    <row r="22430" s="689" customFormat="1" x14ac:dyDescent="0.2"/>
    <row r="22431" s="689" customFormat="1" x14ac:dyDescent="0.2"/>
    <row r="22432" s="689" customFormat="1" x14ac:dyDescent="0.2"/>
    <row r="22433" s="689" customFormat="1" x14ac:dyDescent="0.2"/>
    <row r="22434" s="689" customFormat="1" x14ac:dyDescent="0.2"/>
    <row r="22435" s="689" customFormat="1" x14ac:dyDescent="0.2"/>
    <row r="22436" s="689" customFormat="1" x14ac:dyDescent="0.2"/>
    <row r="22437" s="689" customFormat="1" x14ac:dyDescent="0.2"/>
    <row r="22438" s="689" customFormat="1" x14ac:dyDescent="0.2"/>
    <row r="22439" s="689" customFormat="1" x14ac:dyDescent="0.2"/>
    <row r="22440" s="689" customFormat="1" x14ac:dyDescent="0.2"/>
    <row r="22441" s="689" customFormat="1" x14ac:dyDescent="0.2"/>
    <row r="22442" s="689" customFormat="1" x14ac:dyDescent="0.2"/>
    <row r="22443" s="689" customFormat="1" x14ac:dyDescent="0.2"/>
    <row r="22444" s="689" customFormat="1" x14ac:dyDescent="0.2"/>
    <row r="22445" s="689" customFormat="1" x14ac:dyDescent="0.2"/>
    <row r="22446" s="689" customFormat="1" x14ac:dyDescent="0.2"/>
    <row r="22447" s="689" customFormat="1" x14ac:dyDescent="0.2"/>
    <row r="22448" s="689" customFormat="1" x14ac:dyDescent="0.2"/>
    <row r="22449" s="689" customFormat="1" x14ac:dyDescent="0.2"/>
    <row r="22450" s="689" customFormat="1" x14ac:dyDescent="0.2"/>
    <row r="22451" s="689" customFormat="1" x14ac:dyDescent="0.2"/>
    <row r="22452" s="689" customFormat="1" x14ac:dyDescent="0.2"/>
    <row r="22453" s="689" customFormat="1" x14ac:dyDescent="0.2"/>
    <row r="22454" s="689" customFormat="1" x14ac:dyDescent="0.2"/>
    <row r="22455" s="689" customFormat="1" x14ac:dyDescent="0.2"/>
    <row r="22456" s="689" customFormat="1" x14ac:dyDescent="0.2"/>
    <row r="22457" s="689" customFormat="1" x14ac:dyDescent="0.2"/>
    <row r="22458" s="689" customFormat="1" x14ac:dyDescent="0.2"/>
    <row r="22459" s="689" customFormat="1" x14ac:dyDescent="0.2"/>
    <row r="22460" s="689" customFormat="1" x14ac:dyDescent="0.2"/>
    <row r="22461" s="689" customFormat="1" x14ac:dyDescent="0.2"/>
    <row r="22462" s="689" customFormat="1" x14ac:dyDescent="0.2"/>
    <row r="22463" s="689" customFormat="1" x14ac:dyDescent="0.2"/>
    <row r="22464" s="689" customFormat="1" x14ac:dyDescent="0.2"/>
    <row r="22465" s="689" customFormat="1" x14ac:dyDescent="0.2"/>
    <row r="22466" s="689" customFormat="1" x14ac:dyDescent="0.2"/>
    <row r="22467" s="689" customFormat="1" x14ac:dyDescent="0.2"/>
    <row r="22468" s="689" customFormat="1" x14ac:dyDescent="0.2"/>
    <row r="22469" s="689" customFormat="1" x14ac:dyDescent="0.2"/>
    <row r="22470" s="689" customFormat="1" x14ac:dyDescent="0.2"/>
    <row r="22471" s="689" customFormat="1" x14ac:dyDescent="0.2"/>
    <row r="22472" s="689" customFormat="1" x14ac:dyDescent="0.2"/>
    <row r="22473" s="689" customFormat="1" x14ac:dyDescent="0.2"/>
    <row r="22474" s="689" customFormat="1" x14ac:dyDescent="0.2"/>
    <row r="22475" s="689" customFormat="1" x14ac:dyDescent="0.2"/>
    <row r="22476" s="689" customFormat="1" x14ac:dyDescent="0.2"/>
    <row r="22477" s="689" customFormat="1" x14ac:dyDescent="0.2"/>
    <row r="22478" s="689" customFormat="1" x14ac:dyDescent="0.2"/>
    <row r="22479" s="689" customFormat="1" x14ac:dyDescent="0.2"/>
    <row r="22480" s="689" customFormat="1" x14ac:dyDescent="0.2"/>
    <row r="22481" s="689" customFormat="1" x14ac:dyDescent="0.2"/>
    <row r="22482" s="689" customFormat="1" x14ac:dyDescent="0.2"/>
    <row r="22483" s="689" customFormat="1" x14ac:dyDescent="0.2"/>
    <row r="22484" s="689" customFormat="1" x14ac:dyDescent="0.2"/>
    <row r="22485" s="689" customFormat="1" x14ac:dyDescent="0.2"/>
    <row r="22486" s="689" customFormat="1" x14ac:dyDescent="0.2"/>
    <row r="22487" s="689" customFormat="1" x14ac:dyDescent="0.2"/>
    <row r="22488" s="689" customFormat="1" x14ac:dyDescent="0.2"/>
    <row r="22489" s="689" customFormat="1" x14ac:dyDescent="0.2"/>
    <row r="22490" s="689" customFormat="1" x14ac:dyDescent="0.2"/>
    <row r="22491" s="689" customFormat="1" x14ac:dyDescent="0.2"/>
    <row r="22492" s="689" customFormat="1" x14ac:dyDescent="0.2"/>
    <row r="22493" s="689" customFormat="1" x14ac:dyDescent="0.2"/>
    <row r="22494" s="689" customFormat="1" x14ac:dyDescent="0.2"/>
    <row r="22495" s="689" customFormat="1" x14ac:dyDescent="0.2"/>
    <row r="22496" s="689" customFormat="1" x14ac:dyDescent="0.2"/>
    <row r="22497" s="689" customFormat="1" x14ac:dyDescent="0.2"/>
    <row r="22498" s="689" customFormat="1" x14ac:dyDescent="0.2"/>
    <row r="22499" s="689" customFormat="1" x14ac:dyDescent="0.2"/>
    <row r="22500" s="689" customFormat="1" x14ac:dyDescent="0.2"/>
    <row r="22501" s="689" customFormat="1" x14ac:dyDescent="0.2"/>
    <row r="22502" s="689" customFormat="1" x14ac:dyDescent="0.2"/>
    <row r="22503" s="689" customFormat="1" x14ac:dyDescent="0.2"/>
    <row r="22504" s="689" customFormat="1" x14ac:dyDescent="0.2"/>
    <row r="22505" s="689" customFormat="1" x14ac:dyDescent="0.2"/>
    <row r="22506" s="689" customFormat="1" x14ac:dyDescent="0.2"/>
    <row r="22507" s="689" customFormat="1" x14ac:dyDescent="0.2"/>
    <row r="22508" s="689" customFormat="1" x14ac:dyDescent="0.2"/>
    <row r="22509" s="689" customFormat="1" x14ac:dyDescent="0.2"/>
    <row r="22510" s="689" customFormat="1" x14ac:dyDescent="0.2"/>
    <row r="22511" s="689" customFormat="1" x14ac:dyDescent="0.2"/>
    <row r="22512" s="689" customFormat="1" x14ac:dyDescent="0.2"/>
    <row r="22513" s="689" customFormat="1" x14ac:dyDescent="0.2"/>
    <row r="22514" s="689" customFormat="1" x14ac:dyDescent="0.2"/>
    <row r="22515" s="689" customFormat="1" x14ac:dyDescent="0.2"/>
    <row r="22516" s="689" customFormat="1" x14ac:dyDescent="0.2"/>
    <row r="22517" s="689" customFormat="1" x14ac:dyDescent="0.2"/>
    <row r="22518" s="689" customFormat="1" x14ac:dyDescent="0.2"/>
    <row r="22519" s="689" customFormat="1" x14ac:dyDescent="0.2"/>
    <row r="22520" s="689" customFormat="1" x14ac:dyDescent="0.2"/>
    <row r="22521" s="689" customFormat="1" x14ac:dyDescent="0.2"/>
    <row r="22522" s="689" customFormat="1" x14ac:dyDescent="0.2"/>
    <row r="22523" s="689" customFormat="1" x14ac:dyDescent="0.2"/>
    <row r="22524" s="689" customFormat="1" x14ac:dyDescent="0.2"/>
    <row r="22525" s="689" customFormat="1" x14ac:dyDescent="0.2"/>
    <row r="22526" s="689" customFormat="1" x14ac:dyDescent="0.2"/>
    <row r="22527" s="689" customFormat="1" x14ac:dyDescent="0.2"/>
    <row r="22528" s="689" customFormat="1" x14ac:dyDescent="0.2"/>
    <row r="22529" s="689" customFormat="1" x14ac:dyDescent="0.2"/>
    <row r="22530" s="689" customFormat="1" x14ac:dyDescent="0.2"/>
    <row r="22531" s="689" customFormat="1" x14ac:dyDescent="0.2"/>
    <row r="22532" s="689" customFormat="1" x14ac:dyDescent="0.2"/>
    <row r="22533" s="689" customFormat="1" x14ac:dyDescent="0.2"/>
    <row r="22534" s="689" customFormat="1" x14ac:dyDescent="0.2"/>
    <row r="22535" s="689" customFormat="1" x14ac:dyDescent="0.2"/>
    <row r="22536" s="689" customFormat="1" x14ac:dyDescent="0.2"/>
    <row r="22537" s="689" customFormat="1" x14ac:dyDescent="0.2"/>
    <row r="22538" s="689" customFormat="1" x14ac:dyDescent="0.2"/>
    <row r="22539" s="689" customFormat="1" x14ac:dyDescent="0.2"/>
    <row r="22540" s="689" customFormat="1" x14ac:dyDescent="0.2"/>
    <row r="22541" s="689" customFormat="1" x14ac:dyDescent="0.2"/>
    <row r="22542" s="689" customFormat="1" x14ac:dyDescent="0.2"/>
    <row r="22543" s="689" customFormat="1" x14ac:dyDescent="0.2"/>
    <row r="22544" s="689" customFormat="1" x14ac:dyDescent="0.2"/>
    <row r="22545" s="689" customFormat="1" x14ac:dyDescent="0.2"/>
    <row r="22546" s="689" customFormat="1" x14ac:dyDescent="0.2"/>
    <row r="22547" s="689" customFormat="1" x14ac:dyDescent="0.2"/>
    <row r="22548" s="689" customFormat="1" x14ac:dyDescent="0.2"/>
    <row r="22549" s="689" customFormat="1" x14ac:dyDescent="0.2"/>
    <row r="22550" s="689" customFormat="1" x14ac:dyDescent="0.2"/>
    <row r="22551" s="689" customFormat="1" x14ac:dyDescent="0.2"/>
    <row r="22552" s="689" customFormat="1" x14ac:dyDescent="0.2"/>
    <row r="22553" s="689" customFormat="1" x14ac:dyDescent="0.2"/>
    <row r="22554" s="689" customFormat="1" x14ac:dyDescent="0.2"/>
    <row r="22555" s="689" customFormat="1" x14ac:dyDescent="0.2"/>
    <row r="22556" s="689" customFormat="1" x14ac:dyDescent="0.2"/>
    <row r="22557" s="689" customFormat="1" x14ac:dyDescent="0.2"/>
    <row r="22558" s="689" customFormat="1" x14ac:dyDescent="0.2"/>
    <row r="22559" s="689" customFormat="1" x14ac:dyDescent="0.2"/>
    <row r="22560" s="689" customFormat="1" x14ac:dyDescent="0.2"/>
    <row r="22561" s="689" customFormat="1" x14ac:dyDescent="0.2"/>
    <row r="22562" s="689" customFormat="1" x14ac:dyDescent="0.2"/>
    <row r="22563" s="689" customFormat="1" x14ac:dyDescent="0.2"/>
    <row r="22564" s="689" customFormat="1" x14ac:dyDescent="0.2"/>
    <row r="22565" s="689" customFormat="1" x14ac:dyDescent="0.2"/>
    <row r="22566" s="689" customFormat="1" x14ac:dyDescent="0.2"/>
    <row r="22567" s="689" customFormat="1" x14ac:dyDescent="0.2"/>
    <row r="22568" s="689" customFormat="1" x14ac:dyDescent="0.2"/>
    <row r="22569" s="689" customFormat="1" x14ac:dyDescent="0.2"/>
    <row r="22570" s="689" customFormat="1" x14ac:dyDescent="0.2"/>
    <row r="22571" s="689" customFormat="1" x14ac:dyDescent="0.2"/>
    <row r="22572" s="689" customFormat="1" x14ac:dyDescent="0.2"/>
    <row r="22573" s="689" customFormat="1" x14ac:dyDescent="0.2"/>
    <row r="22574" s="689" customFormat="1" x14ac:dyDescent="0.2"/>
    <row r="22575" s="689" customFormat="1" x14ac:dyDescent="0.2"/>
    <row r="22576" s="689" customFormat="1" x14ac:dyDescent="0.2"/>
    <row r="22577" s="689" customFormat="1" x14ac:dyDescent="0.2"/>
    <row r="22578" s="689" customFormat="1" x14ac:dyDescent="0.2"/>
    <row r="22579" s="689" customFormat="1" x14ac:dyDescent="0.2"/>
    <row r="22580" s="689" customFormat="1" x14ac:dyDescent="0.2"/>
    <row r="22581" s="689" customFormat="1" x14ac:dyDescent="0.2"/>
    <row r="22582" s="689" customFormat="1" x14ac:dyDescent="0.2"/>
    <row r="22583" s="689" customFormat="1" x14ac:dyDescent="0.2"/>
    <row r="22584" s="689" customFormat="1" x14ac:dyDescent="0.2"/>
    <row r="22585" s="689" customFormat="1" x14ac:dyDescent="0.2"/>
    <row r="22586" s="689" customFormat="1" x14ac:dyDescent="0.2"/>
    <row r="22587" s="689" customFormat="1" x14ac:dyDescent="0.2"/>
    <row r="22588" s="689" customFormat="1" x14ac:dyDescent="0.2"/>
    <row r="22589" s="689" customFormat="1" x14ac:dyDescent="0.2"/>
    <row r="22590" s="689" customFormat="1" x14ac:dyDescent="0.2"/>
    <row r="22591" s="689" customFormat="1" x14ac:dyDescent="0.2"/>
    <row r="22592" s="689" customFormat="1" x14ac:dyDescent="0.2"/>
    <row r="22593" s="689" customFormat="1" x14ac:dyDescent="0.2"/>
    <row r="22594" s="689" customFormat="1" x14ac:dyDescent="0.2"/>
    <row r="22595" s="689" customFormat="1" x14ac:dyDescent="0.2"/>
    <row r="22596" s="689" customFormat="1" x14ac:dyDescent="0.2"/>
    <row r="22597" s="689" customFormat="1" x14ac:dyDescent="0.2"/>
    <row r="22598" s="689" customFormat="1" x14ac:dyDescent="0.2"/>
    <row r="22599" s="689" customFormat="1" x14ac:dyDescent="0.2"/>
    <row r="22600" s="689" customFormat="1" x14ac:dyDescent="0.2"/>
    <row r="22601" s="689" customFormat="1" x14ac:dyDescent="0.2"/>
    <row r="22602" s="689" customFormat="1" x14ac:dyDescent="0.2"/>
    <row r="22603" s="689" customFormat="1" x14ac:dyDescent="0.2"/>
    <row r="22604" s="689" customFormat="1" x14ac:dyDescent="0.2"/>
    <row r="22605" s="689" customFormat="1" x14ac:dyDescent="0.2"/>
    <row r="22606" s="689" customFormat="1" x14ac:dyDescent="0.2"/>
    <row r="22607" s="689" customFormat="1" x14ac:dyDescent="0.2"/>
    <row r="22608" s="689" customFormat="1" x14ac:dyDescent="0.2"/>
    <row r="22609" s="689" customFormat="1" x14ac:dyDescent="0.2"/>
    <row r="22610" s="689" customFormat="1" x14ac:dyDescent="0.2"/>
    <row r="22611" s="689" customFormat="1" x14ac:dyDescent="0.2"/>
    <row r="22612" s="689" customFormat="1" x14ac:dyDescent="0.2"/>
    <row r="22613" s="689" customFormat="1" x14ac:dyDescent="0.2"/>
    <row r="22614" s="689" customFormat="1" x14ac:dyDescent="0.2"/>
    <row r="22615" s="689" customFormat="1" x14ac:dyDescent="0.2"/>
    <row r="22616" s="689" customFormat="1" x14ac:dyDescent="0.2"/>
    <row r="22617" s="689" customFormat="1" x14ac:dyDescent="0.2"/>
    <row r="22618" s="689" customFormat="1" x14ac:dyDescent="0.2"/>
    <row r="22619" s="689" customFormat="1" x14ac:dyDescent="0.2"/>
    <row r="22620" s="689" customFormat="1" x14ac:dyDescent="0.2"/>
    <row r="22621" s="689" customFormat="1" x14ac:dyDescent="0.2"/>
    <row r="22622" s="689" customFormat="1" x14ac:dyDescent="0.2"/>
    <row r="22623" s="689" customFormat="1" x14ac:dyDescent="0.2"/>
    <row r="22624" s="689" customFormat="1" x14ac:dyDescent="0.2"/>
    <row r="22625" s="689" customFormat="1" x14ac:dyDescent="0.2"/>
    <row r="22626" s="689" customFormat="1" x14ac:dyDescent="0.2"/>
    <row r="22627" s="689" customFormat="1" x14ac:dyDescent="0.2"/>
    <row r="22628" s="689" customFormat="1" x14ac:dyDescent="0.2"/>
    <row r="22629" s="689" customFormat="1" x14ac:dyDescent="0.2"/>
    <row r="22630" s="689" customFormat="1" x14ac:dyDescent="0.2"/>
    <row r="22631" s="689" customFormat="1" x14ac:dyDescent="0.2"/>
    <row r="22632" s="689" customFormat="1" x14ac:dyDescent="0.2"/>
    <row r="22633" s="689" customFormat="1" x14ac:dyDescent="0.2"/>
    <row r="22634" s="689" customFormat="1" x14ac:dyDescent="0.2"/>
    <row r="22635" s="689" customFormat="1" x14ac:dyDescent="0.2"/>
    <row r="22636" s="689" customFormat="1" x14ac:dyDescent="0.2"/>
    <row r="22637" s="689" customFormat="1" x14ac:dyDescent="0.2"/>
    <row r="22638" s="689" customFormat="1" x14ac:dyDescent="0.2"/>
    <row r="22639" s="689" customFormat="1" x14ac:dyDescent="0.2"/>
    <row r="22640" s="689" customFormat="1" x14ac:dyDescent="0.2"/>
    <row r="22641" s="689" customFormat="1" x14ac:dyDescent="0.2"/>
    <row r="22642" s="689" customFormat="1" x14ac:dyDescent="0.2"/>
    <row r="22643" s="689" customFormat="1" x14ac:dyDescent="0.2"/>
    <row r="22644" s="689" customFormat="1" x14ac:dyDescent="0.2"/>
    <row r="22645" s="689" customFormat="1" x14ac:dyDescent="0.2"/>
    <row r="22646" s="689" customFormat="1" x14ac:dyDescent="0.2"/>
    <row r="22647" s="689" customFormat="1" x14ac:dyDescent="0.2"/>
    <row r="22648" s="689" customFormat="1" x14ac:dyDescent="0.2"/>
    <row r="22649" s="689" customFormat="1" x14ac:dyDescent="0.2"/>
    <row r="22650" s="689" customFormat="1" x14ac:dyDescent="0.2"/>
    <row r="22651" s="689" customFormat="1" x14ac:dyDescent="0.2"/>
    <row r="22652" s="689" customFormat="1" x14ac:dyDescent="0.2"/>
    <row r="22653" s="689" customFormat="1" x14ac:dyDescent="0.2"/>
    <row r="22654" s="689" customFormat="1" x14ac:dyDescent="0.2"/>
    <row r="22655" s="689" customFormat="1" x14ac:dyDescent="0.2"/>
    <row r="22656" s="689" customFormat="1" x14ac:dyDescent="0.2"/>
    <row r="22657" s="689" customFormat="1" x14ac:dyDescent="0.2"/>
    <row r="22658" s="689" customFormat="1" x14ac:dyDescent="0.2"/>
    <row r="22659" s="689" customFormat="1" x14ac:dyDescent="0.2"/>
    <row r="22660" s="689" customFormat="1" x14ac:dyDescent="0.2"/>
    <row r="22661" s="689" customFormat="1" x14ac:dyDescent="0.2"/>
    <row r="22662" s="689" customFormat="1" x14ac:dyDescent="0.2"/>
    <row r="22663" s="689" customFormat="1" x14ac:dyDescent="0.2"/>
    <row r="22664" s="689" customFormat="1" x14ac:dyDescent="0.2"/>
    <row r="22665" s="689" customFormat="1" x14ac:dyDescent="0.2"/>
    <row r="22666" s="689" customFormat="1" x14ac:dyDescent="0.2"/>
    <row r="22667" s="689" customFormat="1" x14ac:dyDescent="0.2"/>
    <row r="22668" s="689" customFormat="1" x14ac:dyDescent="0.2"/>
    <row r="22669" s="689" customFormat="1" x14ac:dyDescent="0.2"/>
    <row r="22670" s="689" customFormat="1" x14ac:dyDescent="0.2"/>
    <row r="22671" s="689" customFormat="1" x14ac:dyDescent="0.2"/>
    <row r="22672" s="689" customFormat="1" x14ac:dyDescent="0.2"/>
    <row r="22673" s="689" customFormat="1" x14ac:dyDescent="0.2"/>
    <row r="22674" s="689" customFormat="1" x14ac:dyDescent="0.2"/>
    <row r="22675" s="689" customFormat="1" x14ac:dyDescent="0.2"/>
    <row r="22676" s="689" customFormat="1" x14ac:dyDescent="0.2"/>
    <row r="22677" s="689" customFormat="1" x14ac:dyDescent="0.2"/>
    <row r="22678" s="689" customFormat="1" x14ac:dyDescent="0.2"/>
    <row r="22679" s="689" customFormat="1" x14ac:dyDescent="0.2"/>
    <row r="22680" s="689" customFormat="1" x14ac:dyDescent="0.2"/>
    <row r="22681" s="689" customFormat="1" x14ac:dyDescent="0.2"/>
    <row r="22682" s="689" customFormat="1" x14ac:dyDescent="0.2"/>
    <row r="22683" s="689" customFormat="1" x14ac:dyDescent="0.2"/>
    <row r="22684" s="689" customFormat="1" x14ac:dyDescent="0.2"/>
    <row r="22685" s="689" customFormat="1" x14ac:dyDescent="0.2"/>
    <row r="22686" s="689" customFormat="1" x14ac:dyDescent="0.2"/>
    <row r="22687" s="689" customFormat="1" x14ac:dyDescent="0.2"/>
    <row r="22688" s="689" customFormat="1" x14ac:dyDescent="0.2"/>
    <row r="22689" s="689" customFormat="1" x14ac:dyDescent="0.2"/>
    <row r="22690" s="689" customFormat="1" x14ac:dyDescent="0.2"/>
    <row r="22691" s="689" customFormat="1" x14ac:dyDescent="0.2"/>
    <row r="22692" s="689" customFormat="1" x14ac:dyDescent="0.2"/>
    <row r="22693" s="689" customFormat="1" x14ac:dyDescent="0.2"/>
    <row r="22694" s="689" customFormat="1" x14ac:dyDescent="0.2"/>
    <row r="22695" s="689" customFormat="1" x14ac:dyDescent="0.2"/>
    <row r="22696" s="689" customFormat="1" x14ac:dyDescent="0.2"/>
    <row r="22697" s="689" customFormat="1" x14ac:dyDescent="0.2"/>
    <row r="22698" s="689" customFormat="1" x14ac:dyDescent="0.2"/>
    <row r="22699" s="689" customFormat="1" x14ac:dyDescent="0.2"/>
    <row r="22700" s="689" customFormat="1" x14ac:dyDescent="0.2"/>
    <row r="22701" s="689" customFormat="1" x14ac:dyDescent="0.2"/>
    <row r="22702" s="689" customFormat="1" x14ac:dyDescent="0.2"/>
    <row r="22703" s="689" customFormat="1" x14ac:dyDescent="0.2"/>
    <row r="22704" s="689" customFormat="1" x14ac:dyDescent="0.2"/>
    <row r="22705" s="689" customFormat="1" x14ac:dyDescent="0.2"/>
    <row r="22706" s="689" customFormat="1" x14ac:dyDescent="0.2"/>
    <row r="22707" s="689" customFormat="1" x14ac:dyDescent="0.2"/>
    <row r="22708" s="689" customFormat="1" x14ac:dyDescent="0.2"/>
    <row r="22709" s="689" customFormat="1" x14ac:dyDescent="0.2"/>
    <row r="22710" s="689" customFormat="1" x14ac:dyDescent="0.2"/>
    <row r="22711" s="689" customFormat="1" x14ac:dyDescent="0.2"/>
    <row r="22712" s="689" customFormat="1" x14ac:dyDescent="0.2"/>
    <row r="22713" s="689" customFormat="1" x14ac:dyDescent="0.2"/>
    <row r="22714" s="689" customFormat="1" x14ac:dyDescent="0.2"/>
    <row r="22715" s="689" customFormat="1" x14ac:dyDescent="0.2"/>
    <row r="22716" s="689" customFormat="1" x14ac:dyDescent="0.2"/>
    <row r="22717" s="689" customFormat="1" x14ac:dyDescent="0.2"/>
    <row r="22718" s="689" customFormat="1" x14ac:dyDescent="0.2"/>
    <row r="22719" s="689" customFormat="1" x14ac:dyDescent="0.2"/>
    <row r="22720" s="689" customFormat="1" x14ac:dyDescent="0.2"/>
    <row r="22721" s="689" customFormat="1" x14ac:dyDescent="0.2"/>
    <row r="22722" s="689" customFormat="1" x14ac:dyDescent="0.2"/>
    <row r="22723" s="689" customFormat="1" x14ac:dyDescent="0.2"/>
    <row r="22724" s="689" customFormat="1" x14ac:dyDescent="0.2"/>
    <row r="22725" s="689" customFormat="1" x14ac:dyDescent="0.2"/>
    <row r="22726" s="689" customFormat="1" x14ac:dyDescent="0.2"/>
    <row r="22727" s="689" customFormat="1" x14ac:dyDescent="0.2"/>
    <row r="22728" s="689" customFormat="1" x14ac:dyDescent="0.2"/>
    <row r="22729" s="689" customFormat="1" x14ac:dyDescent="0.2"/>
    <row r="22730" s="689" customFormat="1" x14ac:dyDescent="0.2"/>
    <row r="22731" s="689" customFormat="1" x14ac:dyDescent="0.2"/>
    <row r="22732" s="689" customFormat="1" x14ac:dyDescent="0.2"/>
    <row r="22733" s="689" customFormat="1" x14ac:dyDescent="0.2"/>
    <row r="22734" s="689" customFormat="1" x14ac:dyDescent="0.2"/>
    <row r="22735" s="689" customFormat="1" x14ac:dyDescent="0.2"/>
    <row r="22736" s="689" customFormat="1" x14ac:dyDescent="0.2"/>
    <row r="22737" s="689" customFormat="1" x14ac:dyDescent="0.2"/>
    <row r="22738" s="689" customFormat="1" x14ac:dyDescent="0.2"/>
    <row r="22739" s="689" customFormat="1" x14ac:dyDescent="0.2"/>
    <row r="22740" s="689" customFormat="1" x14ac:dyDescent="0.2"/>
    <row r="22741" s="689" customFormat="1" x14ac:dyDescent="0.2"/>
    <row r="22742" s="689" customFormat="1" x14ac:dyDescent="0.2"/>
    <row r="22743" s="689" customFormat="1" x14ac:dyDescent="0.2"/>
    <row r="22744" s="689" customFormat="1" x14ac:dyDescent="0.2"/>
    <row r="22745" s="689" customFormat="1" x14ac:dyDescent="0.2"/>
    <row r="22746" s="689" customFormat="1" x14ac:dyDescent="0.2"/>
    <row r="22747" s="689" customFormat="1" x14ac:dyDescent="0.2"/>
    <row r="22748" s="689" customFormat="1" x14ac:dyDescent="0.2"/>
    <row r="22749" s="689" customFormat="1" x14ac:dyDescent="0.2"/>
    <row r="22750" s="689" customFormat="1" x14ac:dyDescent="0.2"/>
    <row r="22751" s="689" customFormat="1" x14ac:dyDescent="0.2"/>
    <row r="22752" s="689" customFormat="1" x14ac:dyDescent="0.2"/>
    <row r="22753" s="689" customFormat="1" x14ac:dyDescent="0.2"/>
    <row r="22754" s="689" customFormat="1" x14ac:dyDescent="0.2"/>
    <row r="22755" s="689" customFormat="1" x14ac:dyDescent="0.2"/>
    <row r="22756" s="689" customFormat="1" x14ac:dyDescent="0.2"/>
    <row r="22757" s="689" customFormat="1" x14ac:dyDescent="0.2"/>
    <row r="22758" s="689" customFormat="1" x14ac:dyDescent="0.2"/>
    <row r="22759" s="689" customFormat="1" x14ac:dyDescent="0.2"/>
    <row r="22760" s="689" customFormat="1" x14ac:dyDescent="0.2"/>
    <row r="22761" s="689" customFormat="1" x14ac:dyDescent="0.2"/>
    <row r="22762" s="689" customFormat="1" x14ac:dyDescent="0.2"/>
    <row r="22763" s="689" customFormat="1" x14ac:dyDescent="0.2"/>
    <row r="22764" s="689" customFormat="1" x14ac:dyDescent="0.2"/>
    <row r="22765" s="689" customFormat="1" x14ac:dyDescent="0.2"/>
    <row r="22766" s="689" customFormat="1" x14ac:dyDescent="0.2"/>
    <row r="22767" s="689" customFormat="1" x14ac:dyDescent="0.2"/>
    <row r="22768" s="689" customFormat="1" x14ac:dyDescent="0.2"/>
    <row r="22769" s="689" customFormat="1" x14ac:dyDescent="0.2"/>
    <row r="22770" s="689" customFormat="1" x14ac:dyDescent="0.2"/>
    <row r="22771" s="689" customFormat="1" x14ac:dyDescent="0.2"/>
    <row r="22772" s="689" customFormat="1" x14ac:dyDescent="0.2"/>
    <row r="22773" s="689" customFormat="1" x14ac:dyDescent="0.2"/>
    <row r="22774" s="689" customFormat="1" x14ac:dyDescent="0.2"/>
    <row r="22775" s="689" customFormat="1" x14ac:dyDescent="0.2"/>
    <row r="22776" s="689" customFormat="1" x14ac:dyDescent="0.2"/>
    <row r="22777" s="689" customFormat="1" x14ac:dyDescent="0.2"/>
    <row r="22778" s="689" customFormat="1" x14ac:dyDescent="0.2"/>
    <row r="22779" s="689" customFormat="1" x14ac:dyDescent="0.2"/>
    <row r="22780" s="689" customFormat="1" x14ac:dyDescent="0.2"/>
    <row r="22781" s="689" customFormat="1" x14ac:dyDescent="0.2"/>
    <row r="22782" s="689" customFormat="1" x14ac:dyDescent="0.2"/>
    <row r="22783" s="689" customFormat="1" x14ac:dyDescent="0.2"/>
    <row r="22784" s="689" customFormat="1" x14ac:dyDescent="0.2"/>
    <row r="22785" s="689" customFormat="1" x14ac:dyDescent="0.2"/>
    <row r="22786" s="689" customFormat="1" x14ac:dyDescent="0.2"/>
    <row r="22787" s="689" customFormat="1" x14ac:dyDescent="0.2"/>
    <row r="22788" s="689" customFormat="1" x14ac:dyDescent="0.2"/>
    <row r="22789" s="689" customFormat="1" x14ac:dyDescent="0.2"/>
    <row r="22790" s="689" customFormat="1" x14ac:dyDescent="0.2"/>
    <row r="22791" s="689" customFormat="1" x14ac:dyDescent="0.2"/>
    <row r="22792" s="689" customFormat="1" x14ac:dyDescent="0.2"/>
    <row r="22793" s="689" customFormat="1" x14ac:dyDescent="0.2"/>
    <row r="22794" s="689" customFormat="1" x14ac:dyDescent="0.2"/>
    <row r="22795" s="689" customFormat="1" x14ac:dyDescent="0.2"/>
    <row r="22796" s="689" customFormat="1" x14ac:dyDescent="0.2"/>
    <row r="22797" s="689" customFormat="1" x14ac:dyDescent="0.2"/>
    <row r="22798" s="689" customFormat="1" x14ac:dyDescent="0.2"/>
    <row r="22799" s="689" customFormat="1" x14ac:dyDescent="0.2"/>
    <row r="22800" s="689" customFormat="1" x14ac:dyDescent="0.2"/>
    <row r="22801" s="689" customFormat="1" x14ac:dyDescent="0.2"/>
    <row r="22802" s="689" customFormat="1" x14ac:dyDescent="0.2"/>
    <row r="22803" s="689" customFormat="1" x14ac:dyDescent="0.2"/>
    <row r="22804" s="689" customFormat="1" x14ac:dyDescent="0.2"/>
    <row r="22805" s="689" customFormat="1" x14ac:dyDescent="0.2"/>
    <row r="22806" s="689" customFormat="1" x14ac:dyDescent="0.2"/>
    <row r="22807" s="689" customFormat="1" x14ac:dyDescent="0.2"/>
    <row r="22808" s="689" customFormat="1" x14ac:dyDescent="0.2"/>
    <row r="22809" s="689" customFormat="1" x14ac:dyDescent="0.2"/>
    <row r="22810" s="689" customFormat="1" x14ac:dyDescent="0.2"/>
    <row r="22811" s="689" customFormat="1" x14ac:dyDescent="0.2"/>
    <row r="22812" s="689" customFormat="1" x14ac:dyDescent="0.2"/>
    <row r="22813" s="689" customFormat="1" x14ac:dyDescent="0.2"/>
    <row r="22814" s="689" customFormat="1" x14ac:dyDescent="0.2"/>
    <row r="22815" s="689" customFormat="1" x14ac:dyDescent="0.2"/>
    <row r="22816" s="689" customFormat="1" x14ac:dyDescent="0.2"/>
    <row r="22817" s="689" customFormat="1" x14ac:dyDescent="0.2"/>
    <row r="22818" s="689" customFormat="1" x14ac:dyDescent="0.2"/>
    <row r="22819" s="689" customFormat="1" x14ac:dyDescent="0.2"/>
    <row r="22820" s="689" customFormat="1" x14ac:dyDescent="0.2"/>
    <row r="22821" s="689" customFormat="1" x14ac:dyDescent="0.2"/>
    <row r="22822" s="689" customFormat="1" x14ac:dyDescent="0.2"/>
    <row r="22823" s="689" customFormat="1" x14ac:dyDescent="0.2"/>
    <row r="22824" s="689" customFormat="1" x14ac:dyDescent="0.2"/>
    <row r="22825" s="689" customFormat="1" x14ac:dyDescent="0.2"/>
    <row r="22826" s="689" customFormat="1" x14ac:dyDescent="0.2"/>
    <row r="22827" s="689" customFormat="1" x14ac:dyDescent="0.2"/>
    <row r="22828" s="689" customFormat="1" x14ac:dyDescent="0.2"/>
    <row r="22829" s="689" customFormat="1" x14ac:dyDescent="0.2"/>
    <row r="22830" s="689" customFormat="1" x14ac:dyDescent="0.2"/>
    <row r="22831" s="689" customFormat="1" x14ac:dyDescent="0.2"/>
    <row r="22832" s="689" customFormat="1" x14ac:dyDescent="0.2"/>
    <row r="22833" s="689" customFormat="1" x14ac:dyDescent="0.2"/>
    <row r="22834" s="689" customFormat="1" x14ac:dyDescent="0.2"/>
    <row r="22835" s="689" customFormat="1" x14ac:dyDescent="0.2"/>
    <row r="22836" s="689" customFormat="1" x14ac:dyDescent="0.2"/>
    <row r="22837" s="689" customFormat="1" x14ac:dyDescent="0.2"/>
    <row r="22838" s="689" customFormat="1" x14ac:dyDescent="0.2"/>
    <row r="22839" s="689" customFormat="1" x14ac:dyDescent="0.2"/>
    <row r="22840" s="689" customFormat="1" x14ac:dyDescent="0.2"/>
    <row r="22841" s="689" customFormat="1" x14ac:dyDescent="0.2"/>
    <row r="22842" s="689" customFormat="1" x14ac:dyDescent="0.2"/>
    <row r="22843" s="689" customFormat="1" x14ac:dyDescent="0.2"/>
    <row r="22844" s="689" customFormat="1" x14ac:dyDescent="0.2"/>
    <row r="22845" s="689" customFormat="1" x14ac:dyDescent="0.2"/>
    <row r="22846" s="689" customFormat="1" x14ac:dyDescent="0.2"/>
    <row r="22847" s="689" customFormat="1" x14ac:dyDescent="0.2"/>
    <row r="22848" s="689" customFormat="1" x14ac:dyDescent="0.2"/>
    <row r="22849" s="689" customFormat="1" x14ac:dyDescent="0.2"/>
    <row r="22850" s="689" customFormat="1" x14ac:dyDescent="0.2"/>
    <row r="22851" s="689" customFormat="1" x14ac:dyDescent="0.2"/>
    <row r="22852" s="689" customFormat="1" x14ac:dyDescent="0.2"/>
    <row r="22853" s="689" customFormat="1" x14ac:dyDescent="0.2"/>
    <row r="22854" s="689" customFormat="1" x14ac:dyDescent="0.2"/>
    <row r="22855" s="689" customFormat="1" x14ac:dyDescent="0.2"/>
    <row r="22856" s="689" customFormat="1" x14ac:dyDescent="0.2"/>
    <row r="22857" s="689" customFormat="1" x14ac:dyDescent="0.2"/>
    <row r="22858" s="689" customFormat="1" x14ac:dyDescent="0.2"/>
    <row r="22859" s="689" customFormat="1" x14ac:dyDescent="0.2"/>
    <row r="22860" s="689" customFormat="1" x14ac:dyDescent="0.2"/>
    <row r="22861" s="689" customFormat="1" x14ac:dyDescent="0.2"/>
    <row r="22862" s="689" customFormat="1" x14ac:dyDescent="0.2"/>
    <row r="22863" s="689" customFormat="1" x14ac:dyDescent="0.2"/>
    <row r="22864" s="689" customFormat="1" x14ac:dyDescent="0.2"/>
    <row r="22865" s="689" customFormat="1" x14ac:dyDescent="0.2"/>
    <row r="22866" s="689" customFormat="1" x14ac:dyDescent="0.2"/>
    <row r="22867" s="689" customFormat="1" x14ac:dyDescent="0.2"/>
    <row r="22868" s="689" customFormat="1" x14ac:dyDescent="0.2"/>
    <row r="22869" s="689" customFormat="1" x14ac:dyDescent="0.2"/>
    <row r="22870" s="689" customFormat="1" x14ac:dyDescent="0.2"/>
    <row r="22871" s="689" customFormat="1" x14ac:dyDescent="0.2"/>
    <row r="22872" s="689" customFormat="1" x14ac:dyDescent="0.2"/>
    <row r="22873" s="689" customFormat="1" x14ac:dyDescent="0.2"/>
    <row r="22874" s="689" customFormat="1" x14ac:dyDescent="0.2"/>
    <row r="22875" s="689" customFormat="1" x14ac:dyDescent="0.2"/>
    <row r="22876" s="689" customFormat="1" x14ac:dyDescent="0.2"/>
    <row r="22877" s="689" customFormat="1" x14ac:dyDescent="0.2"/>
    <row r="22878" s="689" customFormat="1" x14ac:dyDescent="0.2"/>
    <row r="22879" s="689" customFormat="1" x14ac:dyDescent="0.2"/>
    <row r="22880" s="689" customFormat="1" x14ac:dyDescent="0.2"/>
    <row r="22881" s="689" customFormat="1" x14ac:dyDescent="0.2"/>
    <row r="22882" s="689" customFormat="1" x14ac:dyDescent="0.2"/>
    <row r="22883" s="689" customFormat="1" x14ac:dyDescent="0.2"/>
    <row r="22884" s="689" customFormat="1" x14ac:dyDescent="0.2"/>
    <row r="22885" s="689" customFormat="1" x14ac:dyDescent="0.2"/>
    <row r="22886" s="689" customFormat="1" x14ac:dyDescent="0.2"/>
    <row r="22887" s="689" customFormat="1" x14ac:dyDescent="0.2"/>
    <row r="22888" s="689" customFormat="1" x14ac:dyDescent="0.2"/>
    <row r="22889" s="689" customFormat="1" x14ac:dyDescent="0.2"/>
    <row r="22890" s="689" customFormat="1" x14ac:dyDescent="0.2"/>
    <row r="22891" s="689" customFormat="1" x14ac:dyDescent="0.2"/>
    <row r="22892" s="689" customFormat="1" x14ac:dyDescent="0.2"/>
    <row r="22893" s="689" customFormat="1" x14ac:dyDescent="0.2"/>
    <row r="22894" s="689" customFormat="1" x14ac:dyDescent="0.2"/>
    <row r="22895" s="689" customFormat="1" x14ac:dyDescent="0.2"/>
    <row r="22896" s="689" customFormat="1" x14ac:dyDescent="0.2"/>
    <row r="22897" s="689" customFormat="1" x14ac:dyDescent="0.2"/>
    <row r="22898" s="689" customFormat="1" x14ac:dyDescent="0.2"/>
    <row r="22899" s="689" customFormat="1" x14ac:dyDescent="0.2"/>
    <row r="22900" s="689" customFormat="1" x14ac:dyDescent="0.2"/>
    <row r="22901" s="689" customFormat="1" x14ac:dyDescent="0.2"/>
    <row r="22902" s="689" customFormat="1" x14ac:dyDescent="0.2"/>
    <row r="22903" s="689" customFormat="1" x14ac:dyDescent="0.2"/>
    <row r="22904" s="689" customFormat="1" x14ac:dyDescent="0.2"/>
    <row r="22905" s="689" customFormat="1" x14ac:dyDescent="0.2"/>
    <row r="22906" s="689" customFormat="1" x14ac:dyDescent="0.2"/>
    <row r="22907" s="689" customFormat="1" x14ac:dyDescent="0.2"/>
    <row r="22908" s="689" customFormat="1" x14ac:dyDescent="0.2"/>
    <row r="22909" s="689" customFormat="1" x14ac:dyDescent="0.2"/>
    <row r="22910" s="689" customFormat="1" x14ac:dyDescent="0.2"/>
    <row r="22911" s="689" customFormat="1" x14ac:dyDescent="0.2"/>
    <row r="22912" s="689" customFormat="1" x14ac:dyDescent="0.2"/>
    <row r="22913" s="689" customFormat="1" x14ac:dyDescent="0.2"/>
    <row r="22914" s="689" customFormat="1" x14ac:dyDescent="0.2"/>
    <row r="22915" s="689" customFormat="1" x14ac:dyDescent="0.2"/>
    <row r="22916" s="689" customFormat="1" x14ac:dyDescent="0.2"/>
    <row r="22917" s="689" customFormat="1" x14ac:dyDescent="0.2"/>
    <row r="22918" s="689" customFormat="1" x14ac:dyDescent="0.2"/>
    <row r="22919" s="689" customFormat="1" x14ac:dyDescent="0.2"/>
    <row r="22920" s="689" customFormat="1" x14ac:dyDescent="0.2"/>
    <row r="22921" s="689" customFormat="1" x14ac:dyDescent="0.2"/>
    <row r="22922" s="689" customFormat="1" x14ac:dyDescent="0.2"/>
    <row r="22923" s="689" customFormat="1" x14ac:dyDescent="0.2"/>
    <row r="22924" s="689" customFormat="1" x14ac:dyDescent="0.2"/>
    <row r="22925" s="689" customFormat="1" x14ac:dyDescent="0.2"/>
    <row r="22926" s="689" customFormat="1" x14ac:dyDescent="0.2"/>
    <row r="22927" s="689" customFormat="1" x14ac:dyDescent="0.2"/>
    <row r="22928" s="689" customFormat="1" x14ac:dyDescent="0.2"/>
    <row r="22929" s="689" customFormat="1" x14ac:dyDescent="0.2"/>
    <row r="22930" s="689" customFormat="1" x14ac:dyDescent="0.2"/>
    <row r="22931" s="689" customFormat="1" x14ac:dyDescent="0.2"/>
    <row r="22932" s="689" customFormat="1" x14ac:dyDescent="0.2"/>
    <row r="22933" s="689" customFormat="1" x14ac:dyDescent="0.2"/>
    <row r="22934" s="689" customFormat="1" x14ac:dyDescent="0.2"/>
    <row r="22935" s="689" customFormat="1" x14ac:dyDescent="0.2"/>
    <row r="22936" s="689" customFormat="1" x14ac:dyDescent="0.2"/>
    <row r="22937" s="689" customFormat="1" x14ac:dyDescent="0.2"/>
    <row r="22938" s="689" customFormat="1" x14ac:dyDescent="0.2"/>
    <row r="22939" s="689" customFormat="1" x14ac:dyDescent="0.2"/>
    <row r="22940" s="689" customFormat="1" x14ac:dyDescent="0.2"/>
    <row r="22941" s="689" customFormat="1" x14ac:dyDescent="0.2"/>
    <row r="22942" s="689" customFormat="1" x14ac:dyDescent="0.2"/>
    <row r="22943" s="689" customFormat="1" x14ac:dyDescent="0.2"/>
    <row r="22944" s="689" customFormat="1" x14ac:dyDescent="0.2"/>
    <row r="22945" s="689" customFormat="1" x14ac:dyDescent="0.2"/>
    <row r="22946" s="689" customFormat="1" x14ac:dyDescent="0.2"/>
    <row r="22947" s="689" customFormat="1" x14ac:dyDescent="0.2"/>
    <row r="22948" s="689" customFormat="1" x14ac:dyDescent="0.2"/>
    <row r="22949" s="689" customFormat="1" x14ac:dyDescent="0.2"/>
    <row r="22950" s="689" customFormat="1" x14ac:dyDescent="0.2"/>
    <row r="22951" s="689" customFormat="1" x14ac:dyDescent="0.2"/>
    <row r="22952" s="689" customFormat="1" x14ac:dyDescent="0.2"/>
    <row r="22953" s="689" customFormat="1" x14ac:dyDescent="0.2"/>
    <row r="22954" s="689" customFormat="1" x14ac:dyDescent="0.2"/>
    <row r="22955" s="689" customFormat="1" x14ac:dyDescent="0.2"/>
    <row r="22956" s="689" customFormat="1" x14ac:dyDescent="0.2"/>
    <row r="22957" s="689" customFormat="1" x14ac:dyDescent="0.2"/>
    <row r="22958" s="689" customFormat="1" x14ac:dyDescent="0.2"/>
    <row r="22959" s="689" customFormat="1" x14ac:dyDescent="0.2"/>
    <row r="22960" s="689" customFormat="1" x14ac:dyDescent="0.2"/>
    <row r="22961" s="689" customFormat="1" x14ac:dyDescent="0.2"/>
    <row r="22962" s="689" customFormat="1" x14ac:dyDescent="0.2"/>
    <row r="22963" s="689" customFormat="1" x14ac:dyDescent="0.2"/>
    <row r="22964" s="689" customFormat="1" x14ac:dyDescent="0.2"/>
    <row r="22965" s="689" customFormat="1" x14ac:dyDescent="0.2"/>
    <row r="22966" s="689" customFormat="1" x14ac:dyDescent="0.2"/>
    <row r="22967" s="689" customFormat="1" x14ac:dyDescent="0.2"/>
    <row r="22968" s="689" customFormat="1" x14ac:dyDescent="0.2"/>
    <row r="22969" s="689" customFormat="1" x14ac:dyDescent="0.2"/>
    <row r="22970" s="689" customFormat="1" x14ac:dyDescent="0.2"/>
    <row r="22971" s="689" customFormat="1" x14ac:dyDescent="0.2"/>
    <row r="22972" s="689" customFormat="1" x14ac:dyDescent="0.2"/>
    <row r="22973" s="689" customFormat="1" x14ac:dyDescent="0.2"/>
    <row r="22974" s="689" customFormat="1" x14ac:dyDescent="0.2"/>
    <row r="22975" s="689" customFormat="1" x14ac:dyDescent="0.2"/>
    <row r="22976" s="689" customFormat="1" x14ac:dyDescent="0.2"/>
    <row r="22977" s="689" customFormat="1" x14ac:dyDescent="0.2"/>
    <row r="22978" s="689" customFormat="1" x14ac:dyDescent="0.2"/>
    <row r="22979" s="689" customFormat="1" x14ac:dyDescent="0.2"/>
    <row r="22980" s="689" customFormat="1" x14ac:dyDescent="0.2"/>
    <row r="22981" s="689" customFormat="1" x14ac:dyDescent="0.2"/>
    <row r="22982" s="689" customFormat="1" x14ac:dyDescent="0.2"/>
    <row r="22983" s="689" customFormat="1" x14ac:dyDescent="0.2"/>
    <row r="22984" s="689" customFormat="1" x14ac:dyDescent="0.2"/>
    <row r="22985" s="689" customFormat="1" x14ac:dyDescent="0.2"/>
    <row r="22986" s="689" customFormat="1" x14ac:dyDescent="0.2"/>
    <row r="22987" s="689" customFormat="1" x14ac:dyDescent="0.2"/>
    <row r="22988" s="689" customFormat="1" x14ac:dyDescent="0.2"/>
    <row r="22989" s="689" customFormat="1" x14ac:dyDescent="0.2"/>
    <row r="22990" s="689" customFormat="1" x14ac:dyDescent="0.2"/>
    <row r="22991" s="689" customFormat="1" x14ac:dyDescent="0.2"/>
    <row r="22992" s="689" customFormat="1" x14ac:dyDescent="0.2"/>
    <row r="22993" s="689" customFormat="1" x14ac:dyDescent="0.2"/>
    <row r="22994" s="689" customFormat="1" x14ac:dyDescent="0.2"/>
    <row r="22995" s="689" customFormat="1" x14ac:dyDescent="0.2"/>
    <row r="22996" s="689" customFormat="1" x14ac:dyDescent="0.2"/>
    <row r="22997" s="689" customFormat="1" x14ac:dyDescent="0.2"/>
    <row r="22998" s="689" customFormat="1" x14ac:dyDescent="0.2"/>
    <row r="22999" s="689" customFormat="1" x14ac:dyDescent="0.2"/>
    <row r="23000" s="689" customFormat="1" x14ac:dyDescent="0.2"/>
    <row r="23001" s="689" customFormat="1" x14ac:dyDescent="0.2"/>
    <row r="23002" s="689" customFormat="1" x14ac:dyDescent="0.2"/>
    <row r="23003" s="689" customFormat="1" x14ac:dyDescent="0.2"/>
    <row r="23004" s="689" customFormat="1" x14ac:dyDescent="0.2"/>
    <row r="23005" s="689" customFormat="1" x14ac:dyDescent="0.2"/>
    <row r="23006" s="689" customFormat="1" x14ac:dyDescent="0.2"/>
    <row r="23007" s="689" customFormat="1" x14ac:dyDescent="0.2"/>
    <row r="23008" s="689" customFormat="1" x14ac:dyDescent="0.2"/>
    <row r="23009" s="689" customFormat="1" x14ac:dyDescent="0.2"/>
    <row r="23010" s="689" customFormat="1" x14ac:dyDescent="0.2"/>
    <row r="23011" s="689" customFormat="1" x14ac:dyDescent="0.2"/>
    <row r="23012" s="689" customFormat="1" x14ac:dyDescent="0.2"/>
    <row r="23013" s="689" customFormat="1" x14ac:dyDescent="0.2"/>
    <row r="23014" s="689" customFormat="1" x14ac:dyDescent="0.2"/>
    <row r="23015" s="689" customFormat="1" x14ac:dyDescent="0.2"/>
    <row r="23016" s="689" customFormat="1" x14ac:dyDescent="0.2"/>
    <row r="23017" s="689" customFormat="1" x14ac:dyDescent="0.2"/>
    <row r="23018" s="689" customFormat="1" x14ac:dyDescent="0.2"/>
    <row r="23019" s="689" customFormat="1" x14ac:dyDescent="0.2"/>
    <row r="23020" s="689" customFormat="1" x14ac:dyDescent="0.2"/>
    <row r="23021" s="689" customFormat="1" x14ac:dyDescent="0.2"/>
    <row r="23022" s="689" customFormat="1" x14ac:dyDescent="0.2"/>
    <row r="23023" s="689" customFormat="1" x14ac:dyDescent="0.2"/>
    <row r="23024" s="689" customFormat="1" x14ac:dyDescent="0.2"/>
    <row r="23025" s="689" customFormat="1" x14ac:dyDescent="0.2"/>
    <row r="23026" s="689" customFormat="1" x14ac:dyDescent="0.2"/>
    <row r="23027" s="689" customFormat="1" x14ac:dyDescent="0.2"/>
    <row r="23028" s="689" customFormat="1" x14ac:dyDescent="0.2"/>
    <row r="23029" s="689" customFormat="1" x14ac:dyDescent="0.2"/>
    <row r="23030" s="689" customFormat="1" x14ac:dyDescent="0.2"/>
    <row r="23031" s="689" customFormat="1" x14ac:dyDescent="0.2"/>
    <row r="23032" s="689" customFormat="1" x14ac:dyDescent="0.2"/>
    <row r="23033" s="689" customFormat="1" x14ac:dyDescent="0.2"/>
    <row r="23034" s="689" customFormat="1" x14ac:dyDescent="0.2"/>
    <row r="23035" s="689" customFormat="1" x14ac:dyDescent="0.2"/>
    <row r="23036" s="689" customFormat="1" x14ac:dyDescent="0.2"/>
    <row r="23037" s="689" customFormat="1" x14ac:dyDescent="0.2"/>
    <row r="23038" s="689" customFormat="1" x14ac:dyDescent="0.2"/>
    <row r="23039" s="689" customFormat="1" x14ac:dyDescent="0.2"/>
    <row r="23040" s="689" customFormat="1" x14ac:dyDescent="0.2"/>
    <row r="23041" s="689" customFormat="1" x14ac:dyDescent="0.2"/>
    <row r="23042" s="689" customFormat="1" x14ac:dyDescent="0.2"/>
    <row r="23043" s="689" customFormat="1" x14ac:dyDescent="0.2"/>
    <row r="23044" s="689" customFormat="1" x14ac:dyDescent="0.2"/>
    <row r="23045" s="689" customFormat="1" x14ac:dyDescent="0.2"/>
    <row r="23046" s="689" customFormat="1" x14ac:dyDescent="0.2"/>
    <row r="23047" s="689" customFormat="1" x14ac:dyDescent="0.2"/>
    <row r="23048" s="689" customFormat="1" x14ac:dyDescent="0.2"/>
    <row r="23049" s="689" customFormat="1" x14ac:dyDescent="0.2"/>
    <row r="23050" s="689" customFormat="1" x14ac:dyDescent="0.2"/>
    <row r="23051" s="689" customFormat="1" x14ac:dyDescent="0.2"/>
    <row r="23052" s="689" customFormat="1" x14ac:dyDescent="0.2"/>
    <row r="23053" s="689" customFormat="1" x14ac:dyDescent="0.2"/>
    <row r="23054" s="689" customFormat="1" x14ac:dyDescent="0.2"/>
    <row r="23055" s="689" customFormat="1" x14ac:dyDescent="0.2"/>
    <row r="23056" s="689" customFormat="1" x14ac:dyDescent="0.2"/>
    <row r="23057" s="689" customFormat="1" x14ac:dyDescent="0.2"/>
    <row r="23058" s="689" customFormat="1" x14ac:dyDescent="0.2"/>
    <row r="23059" s="689" customFormat="1" x14ac:dyDescent="0.2"/>
    <row r="23060" s="689" customFormat="1" x14ac:dyDescent="0.2"/>
    <row r="23061" s="689" customFormat="1" x14ac:dyDescent="0.2"/>
    <row r="23062" s="689" customFormat="1" x14ac:dyDescent="0.2"/>
    <row r="23063" s="689" customFormat="1" x14ac:dyDescent="0.2"/>
    <row r="23064" s="689" customFormat="1" x14ac:dyDescent="0.2"/>
    <row r="23065" s="689" customFormat="1" x14ac:dyDescent="0.2"/>
    <row r="23066" s="689" customFormat="1" x14ac:dyDescent="0.2"/>
    <row r="23067" s="689" customFormat="1" x14ac:dyDescent="0.2"/>
    <row r="23068" s="689" customFormat="1" x14ac:dyDescent="0.2"/>
    <row r="23069" s="689" customFormat="1" x14ac:dyDescent="0.2"/>
    <row r="23070" s="689" customFormat="1" x14ac:dyDescent="0.2"/>
    <row r="23071" s="689" customFormat="1" x14ac:dyDescent="0.2"/>
    <row r="23072" s="689" customFormat="1" x14ac:dyDescent="0.2"/>
    <row r="23073" s="689" customFormat="1" x14ac:dyDescent="0.2"/>
    <row r="23074" s="689" customFormat="1" x14ac:dyDescent="0.2"/>
    <row r="23075" s="689" customFormat="1" x14ac:dyDescent="0.2"/>
    <row r="23076" s="689" customFormat="1" x14ac:dyDescent="0.2"/>
    <row r="23077" s="689" customFormat="1" x14ac:dyDescent="0.2"/>
    <row r="23078" s="689" customFormat="1" x14ac:dyDescent="0.2"/>
    <row r="23079" s="689" customFormat="1" x14ac:dyDescent="0.2"/>
    <row r="23080" s="689" customFormat="1" x14ac:dyDescent="0.2"/>
    <row r="23081" s="689" customFormat="1" x14ac:dyDescent="0.2"/>
    <row r="23082" s="689" customFormat="1" x14ac:dyDescent="0.2"/>
    <row r="23083" s="689" customFormat="1" x14ac:dyDescent="0.2"/>
    <row r="23084" s="689" customFormat="1" x14ac:dyDescent="0.2"/>
    <row r="23085" s="689" customFormat="1" x14ac:dyDescent="0.2"/>
    <row r="23086" s="689" customFormat="1" x14ac:dyDescent="0.2"/>
    <row r="23087" s="689" customFormat="1" x14ac:dyDescent="0.2"/>
    <row r="23088" s="689" customFormat="1" x14ac:dyDescent="0.2"/>
    <row r="23089" s="689" customFormat="1" x14ac:dyDescent="0.2"/>
    <row r="23090" s="689" customFormat="1" x14ac:dyDescent="0.2"/>
    <row r="23091" s="689" customFormat="1" x14ac:dyDescent="0.2"/>
    <row r="23092" s="689" customFormat="1" x14ac:dyDescent="0.2"/>
    <row r="23093" s="689" customFormat="1" x14ac:dyDescent="0.2"/>
    <row r="23094" s="689" customFormat="1" x14ac:dyDescent="0.2"/>
    <row r="23095" s="689" customFormat="1" x14ac:dyDescent="0.2"/>
    <row r="23096" s="689" customFormat="1" x14ac:dyDescent="0.2"/>
    <row r="23097" s="689" customFormat="1" x14ac:dyDescent="0.2"/>
    <row r="23098" s="689" customFormat="1" x14ac:dyDescent="0.2"/>
    <row r="23099" s="689" customFormat="1" x14ac:dyDescent="0.2"/>
    <row r="23100" s="689" customFormat="1" x14ac:dyDescent="0.2"/>
    <row r="23101" s="689" customFormat="1" x14ac:dyDescent="0.2"/>
    <row r="23102" s="689" customFormat="1" x14ac:dyDescent="0.2"/>
    <row r="23103" s="689" customFormat="1" x14ac:dyDescent="0.2"/>
    <row r="23104" s="689" customFormat="1" x14ac:dyDescent="0.2"/>
    <row r="23105" s="689" customFormat="1" x14ac:dyDescent="0.2"/>
    <row r="23106" s="689" customFormat="1" x14ac:dyDescent="0.2"/>
    <row r="23107" s="689" customFormat="1" x14ac:dyDescent="0.2"/>
    <row r="23108" s="689" customFormat="1" x14ac:dyDescent="0.2"/>
    <row r="23109" s="689" customFormat="1" x14ac:dyDescent="0.2"/>
    <row r="23110" s="689" customFormat="1" x14ac:dyDescent="0.2"/>
    <row r="23111" s="689" customFormat="1" x14ac:dyDescent="0.2"/>
    <row r="23112" s="689" customFormat="1" x14ac:dyDescent="0.2"/>
    <row r="23113" s="689" customFormat="1" x14ac:dyDescent="0.2"/>
    <row r="23114" s="689" customFormat="1" x14ac:dyDescent="0.2"/>
    <row r="23115" s="689" customFormat="1" x14ac:dyDescent="0.2"/>
    <row r="23116" s="689" customFormat="1" x14ac:dyDescent="0.2"/>
    <row r="23117" s="689" customFormat="1" x14ac:dyDescent="0.2"/>
    <row r="23118" s="689" customFormat="1" x14ac:dyDescent="0.2"/>
    <row r="23119" s="689" customFormat="1" x14ac:dyDescent="0.2"/>
    <row r="23120" s="689" customFormat="1" x14ac:dyDescent="0.2"/>
    <row r="23121" s="689" customFormat="1" x14ac:dyDescent="0.2"/>
    <row r="23122" s="689" customFormat="1" x14ac:dyDescent="0.2"/>
    <row r="23123" s="689" customFormat="1" x14ac:dyDescent="0.2"/>
    <row r="23124" s="689" customFormat="1" x14ac:dyDescent="0.2"/>
    <row r="23125" s="689" customFormat="1" x14ac:dyDescent="0.2"/>
    <row r="23126" s="689" customFormat="1" x14ac:dyDescent="0.2"/>
    <row r="23127" s="689" customFormat="1" x14ac:dyDescent="0.2"/>
    <row r="23128" s="689" customFormat="1" x14ac:dyDescent="0.2"/>
    <row r="23129" s="689" customFormat="1" x14ac:dyDescent="0.2"/>
    <row r="23130" s="689" customFormat="1" x14ac:dyDescent="0.2"/>
    <row r="23131" s="689" customFormat="1" x14ac:dyDescent="0.2"/>
    <row r="23132" s="689" customFormat="1" x14ac:dyDescent="0.2"/>
    <row r="23133" s="689" customFormat="1" x14ac:dyDescent="0.2"/>
    <row r="23134" s="689" customFormat="1" x14ac:dyDescent="0.2"/>
    <row r="23135" s="689" customFormat="1" x14ac:dyDescent="0.2"/>
    <row r="23136" s="689" customFormat="1" x14ac:dyDescent="0.2"/>
    <row r="23137" s="689" customFormat="1" x14ac:dyDescent="0.2"/>
    <row r="23138" s="689" customFormat="1" x14ac:dyDescent="0.2"/>
    <row r="23139" s="689" customFormat="1" x14ac:dyDescent="0.2"/>
    <row r="23140" s="689" customFormat="1" x14ac:dyDescent="0.2"/>
    <row r="23141" s="689" customFormat="1" x14ac:dyDescent="0.2"/>
    <row r="23142" s="689" customFormat="1" x14ac:dyDescent="0.2"/>
    <row r="23143" s="689" customFormat="1" x14ac:dyDescent="0.2"/>
    <row r="23144" s="689" customFormat="1" x14ac:dyDescent="0.2"/>
    <row r="23145" s="689" customFormat="1" x14ac:dyDescent="0.2"/>
    <row r="23146" s="689" customFormat="1" x14ac:dyDescent="0.2"/>
    <row r="23147" s="689" customFormat="1" x14ac:dyDescent="0.2"/>
    <row r="23148" s="689" customFormat="1" x14ac:dyDescent="0.2"/>
    <row r="23149" s="689" customFormat="1" x14ac:dyDescent="0.2"/>
    <row r="23150" s="689" customFormat="1" x14ac:dyDescent="0.2"/>
    <row r="23151" s="689" customFormat="1" x14ac:dyDescent="0.2"/>
    <row r="23152" s="689" customFormat="1" x14ac:dyDescent="0.2"/>
    <row r="23153" s="689" customFormat="1" x14ac:dyDescent="0.2"/>
    <row r="23154" s="689" customFormat="1" x14ac:dyDescent="0.2"/>
    <row r="23155" s="689" customFormat="1" x14ac:dyDescent="0.2"/>
    <row r="23156" s="689" customFormat="1" x14ac:dyDescent="0.2"/>
    <row r="23157" s="689" customFormat="1" x14ac:dyDescent="0.2"/>
    <row r="23158" s="689" customFormat="1" x14ac:dyDescent="0.2"/>
    <row r="23159" s="689" customFormat="1" x14ac:dyDescent="0.2"/>
    <row r="23160" s="689" customFormat="1" x14ac:dyDescent="0.2"/>
    <row r="23161" s="689" customFormat="1" x14ac:dyDescent="0.2"/>
    <row r="23162" s="689" customFormat="1" x14ac:dyDescent="0.2"/>
    <row r="23163" s="689" customFormat="1" x14ac:dyDescent="0.2"/>
    <row r="23164" s="689" customFormat="1" x14ac:dyDescent="0.2"/>
    <row r="23165" s="689" customFormat="1" x14ac:dyDescent="0.2"/>
    <row r="23166" s="689" customFormat="1" x14ac:dyDescent="0.2"/>
    <row r="23167" s="689" customFormat="1" x14ac:dyDescent="0.2"/>
    <row r="23168" s="689" customFormat="1" x14ac:dyDescent="0.2"/>
    <row r="23169" s="689" customFormat="1" x14ac:dyDescent="0.2"/>
    <row r="23170" s="689" customFormat="1" x14ac:dyDescent="0.2"/>
    <row r="23171" s="689" customFormat="1" x14ac:dyDescent="0.2"/>
    <row r="23172" s="689" customFormat="1" x14ac:dyDescent="0.2"/>
    <row r="23173" s="689" customFormat="1" x14ac:dyDescent="0.2"/>
    <row r="23174" s="689" customFormat="1" x14ac:dyDescent="0.2"/>
    <row r="23175" s="689" customFormat="1" x14ac:dyDescent="0.2"/>
    <row r="23176" s="689" customFormat="1" x14ac:dyDescent="0.2"/>
    <row r="23177" s="689" customFormat="1" x14ac:dyDescent="0.2"/>
    <row r="23178" s="689" customFormat="1" x14ac:dyDescent="0.2"/>
    <row r="23179" s="689" customFormat="1" x14ac:dyDescent="0.2"/>
    <row r="23180" s="689" customFormat="1" x14ac:dyDescent="0.2"/>
    <row r="23181" s="689" customFormat="1" x14ac:dyDescent="0.2"/>
    <row r="23182" s="689" customFormat="1" x14ac:dyDescent="0.2"/>
    <row r="23183" s="689" customFormat="1" x14ac:dyDescent="0.2"/>
    <row r="23184" s="689" customFormat="1" x14ac:dyDescent="0.2"/>
    <row r="23185" s="689" customFormat="1" x14ac:dyDescent="0.2"/>
    <row r="23186" s="689" customFormat="1" x14ac:dyDescent="0.2"/>
    <row r="23187" s="689" customFormat="1" x14ac:dyDescent="0.2"/>
    <row r="23188" s="689" customFormat="1" x14ac:dyDescent="0.2"/>
    <row r="23189" s="689" customFormat="1" x14ac:dyDescent="0.2"/>
    <row r="23190" s="689" customFormat="1" x14ac:dyDescent="0.2"/>
    <row r="23191" s="689" customFormat="1" x14ac:dyDescent="0.2"/>
    <row r="23192" s="689" customFormat="1" x14ac:dyDescent="0.2"/>
    <row r="23193" s="689" customFormat="1" x14ac:dyDescent="0.2"/>
    <row r="23194" s="689" customFormat="1" x14ac:dyDescent="0.2"/>
    <row r="23195" s="689" customFormat="1" x14ac:dyDescent="0.2"/>
    <row r="23196" s="689" customFormat="1" x14ac:dyDescent="0.2"/>
    <row r="23197" s="689" customFormat="1" x14ac:dyDescent="0.2"/>
    <row r="23198" s="689" customFormat="1" x14ac:dyDescent="0.2"/>
    <row r="23199" s="689" customFormat="1" x14ac:dyDescent="0.2"/>
    <row r="23200" s="689" customFormat="1" x14ac:dyDescent="0.2"/>
    <row r="23201" s="689" customFormat="1" x14ac:dyDescent="0.2"/>
    <row r="23202" s="689" customFormat="1" x14ac:dyDescent="0.2"/>
    <row r="23203" s="689" customFormat="1" x14ac:dyDescent="0.2"/>
    <row r="23204" s="689" customFormat="1" x14ac:dyDescent="0.2"/>
    <row r="23205" s="689" customFormat="1" x14ac:dyDescent="0.2"/>
    <row r="23206" s="689" customFormat="1" x14ac:dyDescent="0.2"/>
    <row r="23207" s="689" customFormat="1" x14ac:dyDescent="0.2"/>
    <row r="23208" s="689" customFormat="1" x14ac:dyDescent="0.2"/>
    <row r="23209" s="689" customFormat="1" x14ac:dyDescent="0.2"/>
    <row r="23210" s="689" customFormat="1" x14ac:dyDescent="0.2"/>
    <row r="23211" s="689" customFormat="1" x14ac:dyDescent="0.2"/>
    <row r="23212" s="689" customFormat="1" x14ac:dyDescent="0.2"/>
    <row r="23213" s="689" customFormat="1" x14ac:dyDescent="0.2"/>
    <row r="23214" s="689" customFormat="1" x14ac:dyDescent="0.2"/>
    <row r="23215" s="689" customFormat="1" x14ac:dyDescent="0.2"/>
    <row r="23216" s="689" customFormat="1" x14ac:dyDescent="0.2"/>
    <row r="23217" s="689" customFormat="1" x14ac:dyDescent="0.2"/>
    <row r="23218" s="689" customFormat="1" x14ac:dyDescent="0.2"/>
    <row r="23219" s="689" customFormat="1" x14ac:dyDescent="0.2"/>
    <row r="23220" s="689" customFormat="1" x14ac:dyDescent="0.2"/>
    <row r="23221" s="689" customFormat="1" x14ac:dyDescent="0.2"/>
    <row r="23222" s="689" customFormat="1" x14ac:dyDescent="0.2"/>
    <row r="23223" s="689" customFormat="1" x14ac:dyDescent="0.2"/>
    <row r="23224" s="689" customFormat="1" x14ac:dyDescent="0.2"/>
    <row r="23225" s="689" customFormat="1" x14ac:dyDescent="0.2"/>
    <row r="23226" s="689" customFormat="1" x14ac:dyDescent="0.2"/>
    <row r="23227" s="689" customFormat="1" x14ac:dyDescent="0.2"/>
    <row r="23228" s="689" customFormat="1" x14ac:dyDescent="0.2"/>
    <row r="23229" s="689" customFormat="1" x14ac:dyDescent="0.2"/>
    <row r="23230" s="689" customFormat="1" x14ac:dyDescent="0.2"/>
    <row r="23231" s="689" customFormat="1" x14ac:dyDescent="0.2"/>
    <row r="23232" s="689" customFormat="1" x14ac:dyDescent="0.2"/>
    <row r="23233" s="689" customFormat="1" x14ac:dyDescent="0.2"/>
    <row r="23234" s="689" customFormat="1" x14ac:dyDescent="0.2"/>
    <row r="23235" s="689" customFormat="1" x14ac:dyDescent="0.2"/>
    <row r="23236" s="689" customFormat="1" x14ac:dyDescent="0.2"/>
    <row r="23237" s="689" customFormat="1" x14ac:dyDescent="0.2"/>
    <row r="23238" s="689" customFormat="1" x14ac:dyDescent="0.2"/>
    <row r="23239" s="689" customFormat="1" x14ac:dyDescent="0.2"/>
    <row r="23240" s="689" customFormat="1" x14ac:dyDescent="0.2"/>
    <row r="23241" s="689" customFormat="1" x14ac:dyDescent="0.2"/>
    <row r="23242" s="689" customFormat="1" x14ac:dyDescent="0.2"/>
    <row r="23243" s="689" customFormat="1" x14ac:dyDescent="0.2"/>
    <row r="23244" s="689" customFormat="1" x14ac:dyDescent="0.2"/>
    <row r="23245" s="689" customFormat="1" x14ac:dyDescent="0.2"/>
    <row r="23246" s="689" customFormat="1" x14ac:dyDescent="0.2"/>
    <row r="23247" s="689" customFormat="1" x14ac:dyDescent="0.2"/>
    <row r="23248" s="689" customFormat="1" x14ac:dyDescent="0.2"/>
    <row r="23249" s="689" customFormat="1" x14ac:dyDescent="0.2"/>
    <row r="23250" s="689" customFormat="1" x14ac:dyDescent="0.2"/>
    <row r="23251" s="689" customFormat="1" x14ac:dyDescent="0.2"/>
    <row r="23252" s="689" customFormat="1" x14ac:dyDescent="0.2"/>
    <row r="23253" s="689" customFormat="1" x14ac:dyDescent="0.2"/>
    <row r="23254" s="689" customFormat="1" x14ac:dyDescent="0.2"/>
    <row r="23255" s="689" customFormat="1" x14ac:dyDescent="0.2"/>
    <row r="23256" s="689" customFormat="1" x14ac:dyDescent="0.2"/>
    <row r="23257" s="689" customFormat="1" x14ac:dyDescent="0.2"/>
    <row r="23258" s="689" customFormat="1" x14ac:dyDescent="0.2"/>
    <row r="23259" s="689" customFormat="1" x14ac:dyDescent="0.2"/>
    <row r="23260" s="689" customFormat="1" x14ac:dyDescent="0.2"/>
    <row r="23261" s="689" customFormat="1" x14ac:dyDescent="0.2"/>
    <row r="23262" s="689" customFormat="1" x14ac:dyDescent="0.2"/>
    <row r="23263" s="689" customFormat="1" x14ac:dyDescent="0.2"/>
    <row r="23264" s="689" customFormat="1" x14ac:dyDescent="0.2"/>
    <row r="23265" s="689" customFormat="1" x14ac:dyDescent="0.2"/>
    <row r="23266" s="689" customFormat="1" x14ac:dyDescent="0.2"/>
    <row r="23267" s="689" customFormat="1" x14ac:dyDescent="0.2"/>
    <row r="23268" s="689" customFormat="1" x14ac:dyDescent="0.2"/>
    <row r="23269" s="689" customFormat="1" x14ac:dyDescent="0.2"/>
    <row r="23270" s="689" customFormat="1" x14ac:dyDescent="0.2"/>
    <row r="23271" s="689" customFormat="1" x14ac:dyDescent="0.2"/>
    <row r="23272" s="689" customFormat="1" x14ac:dyDescent="0.2"/>
    <row r="23273" s="689" customFormat="1" x14ac:dyDescent="0.2"/>
    <row r="23274" s="689" customFormat="1" x14ac:dyDescent="0.2"/>
    <row r="23275" s="689" customFormat="1" x14ac:dyDescent="0.2"/>
    <row r="23276" s="689" customFormat="1" x14ac:dyDescent="0.2"/>
    <row r="23277" s="689" customFormat="1" x14ac:dyDescent="0.2"/>
    <row r="23278" s="689" customFormat="1" x14ac:dyDescent="0.2"/>
    <row r="23279" s="689" customFormat="1" x14ac:dyDescent="0.2"/>
    <row r="23280" s="689" customFormat="1" x14ac:dyDescent="0.2"/>
    <row r="23281" s="689" customFormat="1" x14ac:dyDescent="0.2"/>
    <row r="23282" s="689" customFormat="1" x14ac:dyDescent="0.2"/>
    <row r="23283" s="689" customFormat="1" x14ac:dyDescent="0.2"/>
    <row r="23284" s="689" customFormat="1" x14ac:dyDescent="0.2"/>
    <row r="23285" s="689" customFormat="1" x14ac:dyDescent="0.2"/>
    <row r="23286" s="689" customFormat="1" x14ac:dyDescent="0.2"/>
    <row r="23287" s="689" customFormat="1" x14ac:dyDescent="0.2"/>
    <row r="23288" s="689" customFormat="1" x14ac:dyDescent="0.2"/>
    <row r="23289" s="689" customFormat="1" x14ac:dyDescent="0.2"/>
    <row r="23290" s="689" customFormat="1" x14ac:dyDescent="0.2"/>
    <row r="23291" s="689" customFormat="1" x14ac:dyDescent="0.2"/>
    <row r="23292" s="689" customFormat="1" x14ac:dyDescent="0.2"/>
    <row r="23293" s="689" customFormat="1" x14ac:dyDescent="0.2"/>
    <row r="23294" s="689" customFormat="1" x14ac:dyDescent="0.2"/>
    <row r="23295" s="689" customFormat="1" x14ac:dyDescent="0.2"/>
    <row r="23296" s="689" customFormat="1" x14ac:dyDescent="0.2"/>
    <row r="23297" s="689" customFormat="1" x14ac:dyDescent="0.2"/>
    <row r="23298" s="689" customFormat="1" x14ac:dyDescent="0.2"/>
    <row r="23299" s="689" customFormat="1" x14ac:dyDescent="0.2"/>
    <row r="23300" s="689" customFormat="1" x14ac:dyDescent="0.2"/>
    <row r="23301" s="689" customFormat="1" x14ac:dyDescent="0.2"/>
    <row r="23302" s="689" customFormat="1" x14ac:dyDescent="0.2"/>
    <row r="23303" s="689" customFormat="1" x14ac:dyDescent="0.2"/>
    <row r="23304" s="689" customFormat="1" x14ac:dyDescent="0.2"/>
    <row r="23305" s="689" customFormat="1" x14ac:dyDescent="0.2"/>
    <row r="23306" s="689" customFormat="1" x14ac:dyDescent="0.2"/>
    <row r="23307" s="689" customFormat="1" x14ac:dyDescent="0.2"/>
    <row r="23308" s="689" customFormat="1" x14ac:dyDescent="0.2"/>
    <row r="23309" s="689" customFormat="1" x14ac:dyDescent="0.2"/>
    <row r="23310" s="689" customFormat="1" x14ac:dyDescent="0.2"/>
    <row r="23311" s="689" customFormat="1" x14ac:dyDescent="0.2"/>
    <row r="23312" s="689" customFormat="1" x14ac:dyDescent="0.2"/>
    <row r="23313" s="689" customFormat="1" x14ac:dyDescent="0.2"/>
    <row r="23314" s="689" customFormat="1" x14ac:dyDescent="0.2"/>
    <row r="23315" s="689" customFormat="1" x14ac:dyDescent="0.2"/>
    <row r="23316" s="689" customFormat="1" x14ac:dyDescent="0.2"/>
    <row r="23317" s="689" customFormat="1" x14ac:dyDescent="0.2"/>
    <row r="23318" s="689" customFormat="1" x14ac:dyDescent="0.2"/>
    <row r="23319" s="689" customFormat="1" x14ac:dyDescent="0.2"/>
    <row r="23320" s="689" customFormat="1" x14ac:dyDescent="0.2"/>
    <row r="23321" s="689" customFormat="1" x14ac:dyDescent="0.2"/>
    <row r="23322" s="689" customFormat="1" x14ac:dyDescent="0.2"/>
    <row r="23323" s="689" customFormat="1" x14ac:dyDescent="0.2"/>
    <row r="23324" s="689" customFormat="1" x14ac:dyDescent="0.2"/>
    <row r="23325" s="689" customFormat="1" x14ac:dyDescent="0.2"/>
    <row r="23326" s="689" customFormat="1" x14ac:dyDescent="0.2"/>
    <row r="23327" s="689" customFormat="1" x14ac:dyDescent="0.2"/>
    <row r="23328" s="689" customFormat="1" x14ac:dyDescent="0.2"/>
    <row r="23329" s="689" customFormat="1" x14ac:dyDescent="0.2"/>
    <row r="23330" s="689" customFormat="1" x14ac:dyDescent="0.2"/>
    <row r="23331" s="689" customFormat="1" x14ac:dyDescent="0.2"/>
    <row r="23332" s="689" customFormat="1" x14ac:dyDescent="0.2"/>
    <row r="23333" s="689" customFormat="1" x14ac:dyDescent="0.2"/>
    <row r="23334" s="689" customFormat="1" x14ac:dyDescent="0.2"/>
    <row r="23335" s="689" customFormat="1" x14ac:dyDescent="0.2"/>
    <row r="23336" s="689" customFormat="1" x14ac:dyDescent="0.2"/>
    <row r="23337" s="689" customFormat="1" x14ac:dyDescent="0.2"/>
    <row r="23338" s="689" customFormat="1" x14ac:dyDescent="0.2"/>
    <row r="23339" s="689" customFormat="1" x14ac:dyDescent="0.2"/>
    <row r="23340" s="689" customFormat="1" x14ac:dyDescent="0.2"/>
    <row r="23341" s="689" customFormat="1" x14ac:dyDescent="0.2"/>
    <row r="23342" s="689" customFormat="1" x14ac:dyDescent="0.2"/>
    <row r="23343" s="689" customFormat="1" x14ac:dyDescent="0.2"/>
    <row r="23344" s="689" customFormat="1" x14ac:dyDescent="0.2"/>
    <row r="23345" s="689" customFormat="1" x14ac:dyDescent="0.2"/>
    <row r="23346" s="689" customFormat="1" x14ac:dyDescent="0.2"/>
    <row r="23347" s="689" customFormat="1" x14ac:dyDescent="0.2"/>
    <row r="23348" s="689" customFormat="1" x14ac:dyDescent="0.2"/>
    <row r="23349" s="689" customFormat="1" x14ac:dyDescent="0.2"/>
    <row r="23350" s="689" customFormat="1" x14ac:dyDescent="0.2"/>
    <row r="23351" s="689" customFormat="1" x14ac:dyDescent="0.2"/>
    <row r="23352" s="689" customFormat="1" x14ac:dyDescent="0.2"/>
    <row r="23353" s="689" customFormat="1" x14ac:dyDescent="0.2"/>
    <row r="23354" s="689" customFormat="1" x14ac:dyDescent="0.2"/>
    <row r="23355" s="689" customFormat="1" x14ac:dyDescent="0.2"/>
    <row r="23356" s="689" customFormat="1" x14ac:dyDescent="0.2"/>
    <row r="23357" s="689" customFormat="1" x14ac:dyDescent="0.2"/>
    <row r="23358" s="689" customFormat="1" x14ac:dyDescent="0.2"/>
    <row r="23359" s="689" customFormat="1" x14ac:dyDescent="0.2"/>
    <row r="23360" s="689" customFormat="1" x14ac:dyDescent="0.2"/>
    <row r="23361" s="689" customFormat="1" x14ac:dyDescent="0.2"/>
    <row r="23362" s="689" customFormat="1" x14ac:dyDescent="0.2"/>
    <row r="23363" s="689" customFormat="1" x14ac:dyDescent="0.2"/>
    <row r="23364" s="689" customFormat="1" x14ac:dyDescent="0.2"/>
    <row r="23365" s="689" customFormat="1" x14ac:dyDescent="0.2"/>
    <row r="23366" s="689" customFormat="1" x14ac:dyDescent="0.2"/>
    <row r="23367" s="689" customFormat="1" x14ac:dyDescent="0.2"/>
    <row r="23368" s="689" customFormat="1" x14ac:dyDescent="0.2"/>
    <row r="23369" s="689" customFormat="1" x14ac:dyDescent="0.2"/>
    <row r="23370" s="689" customFormat="1" x14ac:dyDescent="0.2"/>
    <row r="23371" s="689" customFormat="1" x14ac:dyDescent="0.2"/>
    <row r="23372" s="689" customFormat="1" x14ac:dyDescent="0.2"/>
    <row r="23373" s="689" customFormat="1" x14ac:dyDescent="0.2"/>
    <row r="23374" s="689" customFormat="1" x14ac:dyDescent="0.2"/>
    <row r="23375" s="689" customFormat="1" x14ac:dyDescent="0.2"/>
    <row r="23376" s="689" customFormat="1" x14ac:dyDescent="0.2"/>
    <row r="23377" s="689" customFormat="1" x14ac:dyDescent="0.2"/>
    <row r="23378" s="689" customFormat="1" x14ac:dyDescent="0.2"/>
    <row r="23379" s="689" customFormat="1" x14ac:dyDescent="0.2"/>
    <row r="23380" s="689" customFormat="1" x14ac:dyDescent="0.2"/>
    <row r="23381" s="689" customFormat="1" x14ac:dyDescent="0.2"/>
    <row r="23382" s="689" customFormat="1" x14ac:dyDescent="0.2"/>
    <row r="23383" s="689" customFormat="1" x14ac:dyDescent="0.2"/>
    <row r="23384" s="689" customFormat="1" x14ac:dyDescent="0.2"/>
    <row r="23385" s="689" customFormat="1" x14ac:dyDescent="0.2"/>
    <row r="23386" s="689" customFormat="1" x14ac:dyDescent="0.2"/>
    <row r="23387" s="689" customFormat="1" x14ac:dyDescent="0.2"/>
    <row r="23388" s="689" customFormat="1" x14ac:dyDescent="0.2"/>
    <row r="23389" s="689" customFormat="1" x14ac:dyDescent="0.2"/>
    <row r="23390" s="689" customFormat="1" x14ac:dyDescent="0.2"/>
    <row r="23391" s="689" customFormat="1" x14ac:dyDescent="0.2"/>
    <row r="23392" s="689" customFormat="1" x14ac:dyDescent="0.2"/>
    <row r="23393" s="689" customFormat="1" x14ac:dyDescent="0.2"/>
    <row r="23394" s="689" customFormat="1" x14ac:dyDescent="0.2"/>
    <row r="23395" s="689" customFormat="1" x14ac:dyDescent="0.2"/>
    <row r="23396" s="689" customFormat="1" x14ac:dyDescent="0.2"/>
    <row r="23397" s="689" customFormat="1" x14ac:dyDescent="0.2"/>
    <row r="23398" s="689" customFormat="1" x14ac:dyDescent="0.2"/>
    <row r="23399" s="689" customFormat="1" x14ac:dyDescent="0.2"/>
    <row r="23400" s="689" customFormat="1" x14ac:dyDescent="0.2"/>
    <row r="23401" s="689" customFormat="1" x14ac:dyDescent="0.2"/>
    <row r="23402" s="689" customFormat="1" x14ac:dyDescent="0.2"/>
    <row r="23403" s="689" customFormat="1" x14ac:dyDescent="0.2"/>
    <row r="23404" s="689" customFormat="1" x14ac:dyDescent="0.2"/>
    <row r="23405" s="689" customFormat="1" x14ac:dyDescent="0.2"/>
    <row r="23406" s="689" customFormat="1" x14ac:dyDescent="0.2"/>
    <row r="23407" s="689" customFormat="1" x14ac:dyDescent="0.2"/>
    <row r="23408" s="689" customFormat="1" x14ac:dyDescent="0.2"/>
    <row r="23409" s="689" customFormat="1" x14ac:dyDescent="0.2"/>
    <row r="23410" s="689" customFormat="1" x14ac:dyDescent="0.2"/>
    <row r="23411" s="689" customFormat="1" x14ac:dyDescent="0.2"/>
    <row r="23412" s="689" customFormat="1" x14ac:dyDescent="0.2"/>
    <row r="23413" s="689" customFormat="1" x14ac:dyDescent="0.2"/>
    <row r="23414" s="689" customFormat="1" x14ac:dyDescent="0.2"/>
    <row r="23415" s="689" customFormat="1" x14ac:dyDescent="0.2"/>
    <row r="23416" s="689" customFormat="1" x14ac:dyDescent="0.2"/>
    <row r="23417" s="689" customFormat="1" x14ac:dyDescent="0.2"/>
    <row r="23418" s="689" customFormat="1" x14ac:dyDescent="0.2"/>
    <row r="23419" s="689" customFormat="1" x14ac:dyDescent="0.2"/>
    <row r="23420" s="689" customFormat="1" x14ac:dyDescent="0.2"/>
    <row r="23421" s="689" customFormat="1" x14ac:dyDescent="0.2"/>
    <row r="23422" s="689" customFormat="1" x14ac:dyDescent="0.2"/>
    <row r="23423" s="689" customFormat="1" x14ac:dyDescent="0.2"/>
    <row r="23424" s="689" customFormat="1" x14ac:dyDescent="0.2"/>
    <row r="23425" s="689" customFormat="1" x14ac:dyDescent="0.2"/>
    <row r="23426" s="689" customFormat="1" x14ac:dyDescent="0.2"/>
    <row r="23427" s="689" customFormat="1" x14ac:dyDescent="0.2"/>
    <row r="23428" s="689" customFormat="1" x14ac:dyDescent="0.2"/>
    <row r="23429" s="689" customFormat="1" x14ac:dyDescent="0.2"/>
    <row r="23430" s="689" customFormat="1" x14ac:dyDescent="0.2"/>
    <row r="23431" s="689" customFormat="1" x14ac:dyDescent="0.2"/>
    <row r="23432" s="689" customFormat="1" x14ac:dyDescent="0.2"/>
    <row r="23433" s="689" customFormat="1" x14ac:dyDescent="0.2"/>
    <row r="23434" s="689" customFormat="1" x14ac:dyDescent="0.2"/>
    <row r="23435" s="689" customFormat="1" x14ac:dyDescent="0.2"/>
    <row r="23436" s="689" customFormat="1" x14ac:dyDescent="0.2"/>
    <row r="23437" s="689" customFormat="1" x14ac:dyDescent="0.2"/>
    <row r="23438" s="689" customFormat="1" x14ac:dyDescent="0.2"/>
    <row r="23439" s="689" customFormat="1" x14ac:dyDescent="0.2"/>
    <row r="23440" s="689" customFormat="1" x14ac:dyDescent="0.2"/>
    <row r="23441" s="689" customFormat="1" x14ac:dyDescent="0.2"/>
    <row r="23442" s="689" customFormat="1" x14ac:dyDescent="0.2"/>
    <row r="23443" s="689" customFormat="1" x14ac:dyDescent="0.2"/>
    <row r="23444" s="689" customFormat="1" x14ac:dyDescent="0.2"/>
    <row r="23445" s="689" customFormat="1" x14ac:dyDescent="0.2"/>
    <row r="23446" s="689" customFormat="1" x14ac:dyDescent="0.2"/>
    <row r="23447" s="689" customFormat="1" x14ac:dyDescent="0.2"/>
    <row r="23448" s="689" customFormat="1" x14ac:dyDescent="0.2"/>
    <row r="23449" s="689" customFormat="1" x14ac:dyDescent="0.2"/>
    <row r="23450" s="689" customFormat="1" x14ac:dyDescent="0.2"/>
    <row r="23451" s="689" customFormat="1" x14ac:dyDescent="0.2"/>
    <row r="23452" s="689" customFormat="1" x14ac:dyDescent="0.2"/>
    <row r="23453" s="689" customFormat="1" x14ac:dyDescent="0.2"/>
    <row r="23454" s="689" customFormat="1" x14ac:dyDescent="0.2"/>
    <row r="23455" s="689" customFormat="1" x14ac:dyDescent="0.2"/>
    <row r="23456" s="689" customFormat="1" x14ac:dyDescent="0.2"/>
    <row r="23457" s="689" customFormat="1" x14ac:dyDescent="0.2"/>
    <row r="23458" s="689" customFormat="1" x14ac:dyDescent="0.2"/>
    <row r="23459" s="689" customFormat="1" x14ac:dyDescent="0.2"/>
    <row r="23460" s="689" customFormat="1" x14ac:dyDescent="0.2"/>
    <row r="23461" s="689" customFormat="1" x14ac:dyDescent="0.2"/>
    <row r="23462" s="689" customFormat="1" x14ac:dyDescent="0.2"/>
    <row r="23463" s="689" customFormat="1" x14ac:dyDescent="0.2"/>
    <row r="23464" s="689" customFormat="1" x14ac:dyDescent="0.2"/>
    <row r="23465" s="689" customFormat="1" x14ac:dyDescent="0.2"/>
    <row r="23466" s="689" customFormat="1" x14ac:dyDescent="0.2"/>
    <row r="23467" s="689" customFormat="1" x14ac:dyDescent="0.2"/>
    <row r="23468" s="689" customFormat="1" x14ac:dyDescent="0.2"/>
    <row r="23469" s="689" customFormat="1" x14ac:dyDescent="0.2"/>
    <row r="23470" s="689" customFormat="1" x14ac:dyDescent="0.2"/>
    <row r="23471" s="689" customFormat="1" x14ac:dyDescent="0.2"/>
    <row r="23472" s="689" customFormat="1" x14ac:dyDescent="0.2"/>
    <row r="23473" s="689" customFormat="1" x14ac:dyDescent="0.2"/>
    <row r="23474" s="689" customFormat="1" x14ac:dyDescent="0.2"/>
    <row r="23475" s="689" customFormat="1" x14ac:dyDescent="0.2"/>
    <row r="23476" s="689" customFormat="1" x14ac:dyDescent="0.2"/>
    <row r="23477" s="689" customFormat="1" x14ac:dyDescent="0.2"/>
    <row r="23478" s="689" customFormat="1" x14ac:dyDescent="0.2"/>
    <row r="23479" s="689" customFormat="1" x14ac:dyDescent="0.2"/>
    <row r="23480" s="689" customFormat="1" x14ac:dyDescent="0.2"/>
    <row r="23481" s="689" customFormat="1" x14ac:dyDescent="0.2"/>
    <row r="23482" s="689" customFormat="1" x14ac:dyDescent="0.2"/>
    <row r="23483" s="689" customFormat="1" x14ac:dyDescent="0.2"/>
    <row r="23484" s="689" customFormat="1" x14ac:dyDescent="0.2"/>
    <row r="23485" s="689" customFormat="1" x14ac:dyDescent="0.2"/>
    <row r="23486" s="689" customFormat="1" x14ac:dyDescent="0.2"/>
    <row r="23487" s="689" customFormat="1" x14ac:dyDescent="0.2"/>
    <row r="23488" s="689" customFormat="1" x14ac:dyDescent="0.2"/>
    <row r="23489" s="689" customFormat="1" x14ac:dyDescent="0.2"/>
    <row r="23490" s="689" customFormat="1" x14ac:dyDescent="0.2"/>
    <row r="23491" s="689" customFormat="1" x14ac:dyDescent="0.2"/>
    <row r="23492" s="689" customFormat="1" x14ac:dyDescent="0.2"/>
    <row r="23493" s="689" customFormat="1" x14ac:dyDescent="0.2"/>
    <row r="23494" s="689" customFormat="1" x14ac:dyDescent="0.2"/>
    <row r="23495" s="689" customFormat="1" x14ac:dyDescent="0.2"/>
    <row r="23496" s="689" customFormat="1" x14ac:dyDescent="0.2"/>
    <row r="23497" s="689" customFormat="1" x14ac:dyDescent="0.2"/>
    <row r="23498" s="689" customFormat="1" x14ac:dyDescent="0.2"/>
    <row r="23499" s="689" customFormat="1" x14ac:dyDescent="0.2"/>
    <row r="23500" s="689" customFormat="1" x14ac:dyDescent="0.2"/>
    <row r="23501" s="689" customFormat="1" x14ac:dyDescent="0.2"/>
    <row r="23502" s="689" customFormat="1" x14ac:dyDescent="0.2"/>
    <row r="23503" s="689" customFormat="1" x14ac:dyDescent="0.2"/>
    <row r="23504" s="689" customFormat="1" x14ac:dyDescent="0.2"/>
    <row r="23505" s="689" customFormat="1" x14ac:dyDescent="0.2"/>
    <row r="23506" s="689" customFormat="1" x14ac:dyDescent="0.2"/>
    <row r="23507" s="689" customFormat="1" x14ac:dyDescent="0.2"/>
    <row r="23508" s="689" customFormat="1" x14ac:dyDescent="0.2"/>
    <row r="23509" s="689" customFormat="1" x14ac:dyDescent="0.2"/>
    <row r="23510" s="689" customFormat="1" x14ac:dyDescent="0.2"/>
    <row r="23511" s="689" customFormat="1" x14ac:dyDescent="0.2"/>
    <row r="23512" s="689" customFormat="1" x14ac:dyDescent="0.2"/>
    <row r="23513" s="689" customFormat="1" x14ac:dyDescent="0.2"/>
    <row r="23514" s="689" customFormat="1" x14ac:dyDescent="0.2"/>
    <row r="23515" s="689" customFormat="1" x14ac:dyDescent="0.2"/>
    <row r="23516" s="689" customFormat="1" x14ac:dyDescent="0.2"/>
    <row r="23517" s="689" customFormat="1" x14ac:dyDescent="0.2"/>
    <row r="23518" s="689" customFormat="1" x14ac:dyDescent="0.2"/>
    <row r="23519" s="689" customFormat="1" x14ac:dyDescent="0.2"/>
    <row r="23520" s="689" customFormat="1" x14ac:dyDescent="0.2"/>
    <row r="23521" s="689" customFormat="1" x14ac:dyDescent="0.2"/>
    <row r="23522" s="689" customFormat="1" x14ac:dyDescent="0.2"/>
    <row r="23523" s="689" customFormat="1" x14ac:dyDescent="0.2"/>
    <row r="23524" s="689" customFormat="1" x14ac:dyDescent="0.2"/>
    <row r="23525" s="689" customFormat="1" x14ac:dyDescent="0.2"/>
    <row r="23526" s="689" customFormat="1" x14ac:dyDescent="0.2"/>
    <row r="23527" s="689" customFormat="1" x14ac:dyDescent="0.2"/>
    <row r="23528" s="689" customFormat="1" x14ac:dyDescent="0.2"/>
    <row r="23529" s="689" customFormat="1" x14ac:dyDescent="0.2"/>
    <row r="23530" s="689" customFormat="1" x14ac:dyDescent="0.2"/>
    <row r="23531" s="689" customFormat="1" x14ac:dyDescent="0.2"/>
    <row r="23532" s="689" customFormat="1" x14ac:dyDescent="0.2"/>
    <row r="23533" s="689" customFormat="1" x14ac:dyDescent="0.2"/>
    <row r="23534" s="689" customFormat="1" x14ac:dyDescent="0.2"/>
    <row r="23535" s="689" customFormat="1" x14ac:dyDescent="0.2"/>
    <row r="23536" s="689" customFormat="1" x14ac:dyDescent="0.2"/>
    <row r="23537" s="689" customFormat="1" x14ac:dyDescent="0.2"/>
    <row r="23538" s="689" customFormat="1" x14ac:dyDescent="0.2"/>
    <row r="23539" s="689" customFormat="1" x14ac:dyDescent="0.2"/>
    <row r="23540" s="689" customFormat="1" x14ac:dyDescent="0.2"/>
    <row r="23541" s="689" customFormat="1" x14ac:dyDescent="0.2"/>
    <row r="23542" s="689" customFormat="1" x14ac:dyDescent="0.2"/>
    <row r="23543" s="689" customFormat="1" x14ac:dyDescent="0.2"/>
    <row r="23544" s="689" customFormat="1" x14ac:dyDescent="0.2"/>
    <row r="23545" s="689" customFormat="1" x14ac:dyDescent="0.2"/>
    <row r="23546" s="689" customFormat="1" x14ac:dyDescent="0.2"/>
    <row r="23547" s="689" customFormat="1" x14ac:dyDescent="0.2"/>
    <row r="23548" s="689" customFormat="1" x14ac:dyDescent="0.2"/>
    <row r="23549" s="689" customFormat="1" x14ac:dyDescent="0.2"/>
    <row r="23550" s="689" customFormat="1" x14ac:dyDescent="0.2"/>
    <row r="23551" s="689" customFormat="1" x14ac:dyDescent="0.2"/>
    <row r="23552" s="689" customFormat="1" x14ac:dyDescent="0.2"/>
    <row r="23553" s="689" customFormat="1" x14ac:dyDescent="0.2"/>
    <row r="23554" s="689" customFormat="1" x14ac:dyDescent="0.2"/>
    <row r="23555" s="689" customFormat="1" x14ac:dyDescent="0.2"/>
    <row r="23556" s="689" customFormat="1" x14ac:dyDescent="0.2"/>
    <row r="23557" s="689" customFormat="1" x14ac:dyDescent="0.2"/>
    <row r="23558" s="689" customFormat="1" x14ac:dyDescent="0.2"/>
    <row r="23559" s="689" customFormat="1" x14ac:dyDescent="0.2"/>
    <row r="23560" s="689" customFormat="1" x14ac:dyDescent="0.2"/>
    <row r="23561" s="689" customFormat="1" x14ac:dyDescent="0.2"/>
    <row r="23562" s="689" customFormat="1" x14ac:dyDescent="0.2"/>
    <row r="23563" s="689" customFormat="1" x14ac:dyDescent="0.2"/>
    <row r="23564" s="689" customFormat="1" x14ac:dyDescent="0.2"/>
    <row r="23565" s="689" customFormat="1" x14ac:dyDescent="0.2"/>
    <row r="23566" s="689" customFormat="1" x14ac:dyDescent="0.2"/>
    <row r="23567" s="689" customFormat="1" x14ac:dyDescent="0.2"/>
    <row r="23568" s="689" customFormat="1" x14ac:dyDescent="0.2"/>
    <row r="23569" s="689" customFormat="1" x14ac:dyDescent="0.2"/>
    <row r="23570" s="689" customFormat="1" x14ac:dyDescent="0.2"/>
    <row r="23571" s="689" customFormat="1" x14ac:dyDescent="0.2"/>
    <row r="23572" s="689" customFormat="1" x14ac:dyDescent="0.2"/>
    <row r="23573" s="689" customFormat="1" x14ac:dyDescent="0.2"/>
    <row r="23574" s="689" customFormat="1" x14ac:dyDescent="0.2"/>
    <row r="23575" s="689" customFormat="1" x14ac:dyDescent="0.2"/>
    <row r="23576" s="689" customFormat="1" x14ac:dyDescent="0.2"/>
    <row r="23577" s="689" customFormat="1" x14ac:dyDescent="0.2"/>
    <row r="23578" s="689" customFormat="1" x14ac:dyDescent="0.2"/>
    <row r="23579" s="689" customFormat="1" x14ac:dyDescent="0.2"/>
    <row r="23580" s="689" customFormat="1" x14ac:dyDescent="0.2"/>
    <row r="23581" s="689" customFormat="1" x14ac:dyDescent="0.2"/>
    <row r="23582" s="689" customFormat="1" x14ac:dyDescent="0.2"/>
    <row r="23583" s="689" customFormat="1" x14ac:dyDescent="0.2"/>
    <row r="23584" s="689" customFormat="1" x14ac:dyDescent="0.2"/>
    <row r="23585" s="689" customFormat="1" x14ac:dyDescent="0.2"/>
    <row r="23586" s="689" customFormat="1" x14ac:dyDescent="0.2"/>
    <row r="23587" s="689" customFormat="1" x14ac:dyDescent="0.2"/>
    <row r="23588" s="689" customFormat="1" x14ac:dyDescent="0.2"/>
    <row r="23589" s="689" customFormat="1" x14ac:dyDescent="0.2"/>
    <row r="23590" s="689" customFormat="1" x14ac:dyDescent="0.2"/>
    <row r="23591" s="689" customFormat="1" x14ac:dyDescent="0.2"/>
    <row r="23592" s="689" customFormat="1" x14ac:dyDescent="0.2"/>
    <row r="23593" s="689" customFormat="1" x14ac:dyDescent="0.2"/>
    <row r="23594" s="689" customFormat="1" x14ac:dyDescent="0.2"/>
    <row r="23595" s="689" customFormat="1" x14ac:dyDescent="0.2"/>
    <row r="23596" s="689" customFormat="1" x14ac:dyDescent="0.2"/>
    <row r="23597" s="689" customFormat="1" x14ac:dyDescent="0.2"/>
    <row r="23598" s="689" customFormat="1" x14ac:dyDescent="0.2"/>
    <row r="23599" s="689" customFormat="1" x14ac:dyDescent="0.2"/>
    <row r="23600" s="689" customFormat="1" x14ac:dyDescent="0.2"/>
    <row r="23601" s="689" customFormat="1" x14ac:dyDescent="0.2"/>
    <row r="23602" s="689" customFormat="1" x14ac:dyDescent="0.2"/>
    <row r="23603" s="689" customFormat="1" x14ac:dyDescent="0.2"/>
    <row r="23604" s="689" customFormat="1" x14ac:dyDescent="0.2"/>
    <row r="23605" s="689" customFormat="1" x14ac:dyDescent="0.2"/>
    <row r="23606" s="689" customFormat="1" x14ac:dyDescent="0.2"/>
    <row r="23607" s="689" customFormat="1" x14ac:dyDescent="0.2"/>
    <row r="23608" s="689" customFormat="1" x14ac:dyDescent="0.2"/>
    <row r="23609" s="689" customFormat="1" x14ac:dyDescent="0.2"/>
    <row r="23610" s="689" customFormat="1" x14ac:dyDescent="0.2"/>
    <row r="23611" s="689" customFormat="1" x14ac:dyDescent="0.2"/>
    <row r="23612" s="689" customFormat="1" x14ac:dyDescent="0.2"/>
    <row r="23613" s="689" customFormat="1" x14ac:dyDescent="0.2"/>
    <row r="23614" s="689" customFormat="1" x14ac:dyDescent="0.2"/>
    <row r="23615" s="689" customFormat="1" x14ac:dyDescent="0.2"/>
    <row r="23616" s="689" customFormat="1" x14ac:dyDescent="0.2"/>
    <row r="23617" s="689" customFormat="1" x14ac:dyDescent="0.2"/>
    <row r="23618" s="689" customFormat="1" x14ac:dyDescent="0.2"/>
    <row r="23619" s="689" customFormat="1" x14ac:dyDescent="0.2"/>
    <row r="23620" s="689" customFormat="1" x14ac:dyDescent="0.2"/>
    <row r="23621" s="689" customFormat="1" x14ac:dyDescent="0.2"/>
    <row r="23622" s="689" customFormat="1" x14ac:dyDescent="0.2"/>
    <row r="23623" s="689" customFormat="1" x14ac:dyDescent="0.2"/>
    <row r="23624" s="689" customFormat="1" x14ac:dyDescent="0.2"/>
    <row r="23625" s="689" customFormat="1" x14ac:dyDescent="0.2"/>
    <row r="23626" s="689" customFormat="1" x14ac:dyDescent="0.2"/>
    <row r="23627" s="689" customFormat="1" x14ac:dyDescent="0.2"/>
    <row r="23628" s="689" customFormat="1" x14ac:dyDescent="0.2"/>
    <row r="23629" s="689" customFormat="1" x14ac:dyDescent="0.2"/>
    <row r="23630" s="689" customFormat="1" x14ac:dyDescent="0.2"/>
    <row r="23631" s="689" customFormat="1" x14ac:dyDescent="0.2"/>
    <row r="23632" s="689" customFormat="1" x14ac:dyDescent="0.2"/>
    <row r="23633" s="689" customFormat="1" x14ac:dyDescent="0.2"/>
    <row r="23634" s="689" customFormat="1" x14ac:dyDescent="0.2"/>
    <row r="23635" s="689" customFormat="1" x14ac:dyDescent="0.2"/>
    <row r="23636" s="689" customFormat="1" x14ac:dyDescent="0.2"/>
    <row r="23637" s="689" customFormat="1" x14ac:dyDescent="0.2"/>
    <row r="23638" s="689" customFormat="1" x14ac:dyDescent="0.2"/>
    <row r="23639" s="689" customFormat="1" x14ac:dyDescent="0.2"/>
    <row r="23640" s="689" customFormat="1" x14ac:dyDescent="0.2"/>
    <row r="23641" s="689" customFormat="1" x14ac:dyDescent="0.2"/>
    <row r="23642" s="689" customFormat="1" x14ac:dyDescent="0.2"/>
    <row r="23643" s="689" customFormat="1" x14ac:dyDescent="0.2"/>
    <row r="23644" s="689" customFormat="1" x14ac:dyDescent="0.2"/>
    <row r="23645" s="689" customFormat="1" x14ac:dyDescent="0.2"/>
    <row r="23646" s="689" customFormat="1" x14ac:dyDescent="0.2"/>
    <row r="23647" s="689" customFormat="1" x14ac:dyDescent="0.2"/>
    <row r="23648" s="689" customFormat="1" x14ac:dyDescent="0.2"/>
    <row r="23649" s="689" customFormat="1" x14ac:dyDescent="0.2"/>
    <row r="23650" s="689" customFormat="1" x14ac:dyDescent="0.2"/>
    <row r="23651" s="689" customFormat="1" x14ac:dyDescent="0.2"/>
    <row r="23652" s="689" customFormat="1" x14ac:dyDescent="0.2"/>
    <row r="23653" s="689" customFormat="1" x14ac:dyDescent="0.2"/>
    <row r="23654" s="689" customFormat="1" x14ac:dyDescent="0.2"/>
    <row r="23655" s="689" customFormat="1" x14ac:dyDescent="0.2"/>
    <row r="23656" s="689" customFormat="1" x14ac:dyDescent="0.2"/>
    <row r="23657" s="689" customFormat="1" x14ac:dyDescent="0.2"/>
    <row r="23658" s="689" customFormat="1" x14ac:dyDescent="0.2"/>
    <row r="23659" s="689" customFormat="1" x14ac:dyDescent="0.2"/>
    <row r="23660" s="689" customFormat="1" x14ac:dyDescent="0.2"/>
    <row r="23661" s="689" customFormat="1" x14ac:dyDescent="0.2"/>
    <row r="23662" s="689" customFormat="1" x14ac:dyDescent="0.2"/>
    <row r="23663" s="689" customFormat="1" x14ac:dyDescent="0.2"/>
    <row r="23664" s="689" customFormat="1" x14ac:dyDescent="0.2"/>
    <row r="23665" s="689" customFormat="1" x14ac:dyDescent="0.2"/>
    <row r="23666" s="689" customFormat="1" x14ac:dyDescent="0.2"/>
    <row r="23667" s="689" customFormat="1" x14ac:dyDescent="0.2"/>
    <row r="23668" s="689" customFormat="1" x14ac:dyDescent="0.2"/>
    <row r="23669" s="689" customFormat="1" x14ac:dyDescent="0.2"/>
    <row r="23670" s="689" customFormat="1" x14ac:dyDescent="0.2"/>
    <row r="23671" s="689" customFormat="1" x14ac:dyDescent="0.2"/>
    <row r="23672" s="689" customFormat="1" x14ac:dyDescent="0.2"/>
    <row r="23673" s="689" customFormat="1" x14ac:dyDescent="0.2"/>
    <row r="23674" s="689" customFormat="1" x14ac:dyDescent="0.2"/>
    <row r="23675" s="689" customFormat="1" x14ac:dyDescent="0.2"/>
    <row r="23676" s="689" customFormat="1" x14ac:dyDescent="0.2"/>
    <row r="23677" s="689" customFormat="1" x14ac:dyDescent="0.2"/>
    <row r="23678" s="689" customFormat="1" x14ac:dyDescent="0.2"/>
    <row r="23679" s="689" customFormat="1" x14ac:dyDescent="0.2"/>
    <row r="23680" s="689" customFormat="1" x14ac:dyDescent="0.2"/>
    <row r="23681" s="689" customFormat="1" x14ac:dyDescent="0.2"/>
    <row r="23682" s="689" customFormat="1" x14ac:dyDescent="0.2"/>
    <row r="23683" s="689" customFormat="1" x14ac:dyDescent="0.2"/>
    <row r="23684" s="689" customFormat="1" x14ac:dyDescent="0.2"/>
    <row r="23685" s="689" customFormat="1" x14ac:dyDescent="0.2"/>
    <row r="23686" s="689" customFormat="1" x14ac:dyDescent="0.2"/>
    <row r="23687" s="689" customFormat="1" x14ac:dyDescent="0.2"/>
    <row r="23688" s="689" customFormat="1" x14ac:dyDescent="0.2"/>
    <row r="23689" s="689" customFormat="1" x14ac:dyDescent="0.2"/>
    <row r="23690" s="689" customFormat="1" x14ac:dyDescent="0.2"/>
    <row r="23691" s="689" customFormat="1" x14ac:dyDescent="0.2"/>
    <row r="23692" s="689" customFormat="1" x14ac:dyDescent="0.2"/>
    <row r="23693" s="689" customFormat="1" x14ac:dyDescent="0.2"/>
    <row r="23694" s="689" customFormat="1" x14ac:dyDescent="0.2"/>
    <row r="23695" s="689" customFormat="1" x14ac:dyDescent="0.2"/>
    <row r="23696" s="689" customFormat="1" x14ac:dyDescent="0.2"/>
    <row r="23697" s="689" customFormat="1" x14ac:dyDescent="0.2"/>
    <row r="23698" s="689" customFormat="1" x14ac:dyDescent="0.2"/>
    <row r="23699" s="689" customFormat="1" x14ac:dyDescent="0.2"/>
    <row r="23700" s="689" customFormat="1" x14ac:dyDescent="0.2"/>
    <row r="23701" s="689" customFormat="1" x14ac:dyDescent="0.2"/>
    <row r="23702" s="689" customFormat="1" x14ac:dyDescent="0.2"/>
    <row r="23703" s="689" customFormat="1" x14ac:dyDescent="0.2"/>
    <row r="23704" s="689" customFormat="1" x14ac:dyDescent="0.2"/>
    <row r="23705" s="689" customFormat="1" x14ac:dyDescent="0.2"/>
    <row r="23706" s="689" customFormat="1" x14ac:dyDescent="0.2"/>
    <row r="23707" s="689" customFormat="1" x14ac:dyDescent="0.2"/>
    <row r="23708" s="689" customFormat="1" x14ac:dyDescent="0.2"/>
    <row r="23709" s="689" customFormat="1" x14ac:dyDescent="0.2"/>
    <row r="23710" s="689" customFormat="1" x14ac:dyDescent="0.2"/>
    <row r="23711" s="689" customFormat="1" x14ac:dyDescent="0.2"/>
    <row r="23712" s="689" customFormat="1" x14ac:dyDescent="0.2"/>
    <row r="23713" s="689" customFormat="1" x14ac:dyDescent="0.2"/>
    <row r="23714" s="689" customFormat="1" x14ac:dyDescent="0.2"/>
    <row r="23715" s="689" customFormat="1" x14ac:dyDescent="0.2"/>
    <row r="23716" s="689" customFormat="1" x14ac:dyDescent="0.2"/>
    <row r="23717" s="689" customFormat="1" x14ac:dyDescent="0.2"/>
    <row r="23718" s="689" customFormat="1" x14ac:dyDescent="0.2"/>
    <row r="23719" s="689" customFormat="1" x14ac:dyDescent="0.2"/>
    <row r="23720" s="689" customFormat="1" x14ac:dyDescent="0.2"/>
    <row r="23721" s="689" customFormat="1" x14ac:dyDescent="0.2"/>
    <row r="23722" s="689" customFormat="1" x14ac:dyDescent="0.2"/>
    <row r="23723" s="689" customFormat="1" x14ac:dyDescent="0.2"/>
    <row r="23724" s="689" customFormat="1" x14ac:dyDescent="0.2"/>
    <row r="23725" s="689" customFormat="1" x14ac:dyDescent="0.2"/>
    <row r="23726" s="689" customFormat="1" x14ac:dyDescent="0.2"/>
    <row r="23727" s="689" customFormat="1" x14ac:dyDescent="0.2"/>
    <row r="23728" s="689" customFormat="1" x14ac:dyDescent="0.2"/>
    <row r="23729" s="689" customFormat="1" x14ac:dyDescent="0.2"/>
    <row r="23730" s="689" customFormat="1" x14ac:dyDescent="0.2"/>
    <row r="23731" s="689" customFormat="1" x14ac:dyDescent="0.2"/>
    <row r="23732" s="689" customFormat="1" x14ac:dyDescent="0.2"/>
    <row r="23733" s="689" customFormat="1" x14ac:dyDescent="0.2"/>
    <row r="23734" s="689" customFormat="1" x14ac:dyDescent="0.2"/>
    <row r="23735" s="689" customFormat="1" x14ac:dyDescent="0.2"/>
    <row r="23736" s="689" customFormat="1" x14ac:dyDescent="0.2"/>
    <row r="23737" s="689" customFormat="1" x14ac:dyDescent="0.2"/>
    <row r="23738" s="689" customFormat="1" x14ac:dyDescent="0.2"/>
    <row r="23739" s="689" customFormat="1" x14ac:dyDescent="0.2"/>
    <row r="23740" s="689" customFormat="1" x14ac:dyDescent="0.2"/>
    <row r="23741" s="689" customFormat="1" x14ac:dyDescent="0.2"/>
    <row r="23742" s="689" customFormat="1" x14ac:dyDescent="0.2"/>
    <row r="23743" s="689" customFormat="1" x14ac:dyDescent="0.2"/>
    <row r="23744" s="689" customFormat="1" x14ac:dyDescent="0.2"/>
    <row r="23745" s="689" customFormat="1" x14ac:dyDescent="0.2"/>
    <row r="23746" s="689" customFormat="1" x14ac:dyDescent="0.2"/>
    <row r="23747" s="689" customFormat="1" x14ac:dyDescent="0.2"/>
    <row r="23748" s="689" customFormat="1" x14ac:dyDescent="0.2"/>
    <row r="23749" s="689" customFormat="1" x14ac:dyDescent="0.2"/>
    <row r="23750" s="689" customFormat="1" x14ac:dyDescent="0.2"/>
    <row r="23751" s="689" customFormat="1" x14ac:dyDescent="0.2"/>
    <row r="23752" s="689" customFormat="1" x14ac:dyDescent="0.2"/>
    <row r="23753" s="689" customFormat="1" x14ac:dyDescent="0.2"/>
    <row r="23754" s="689" customFormat="1" x14ac:dyDescent="0.2"/>
    <row r="23755" s="689" customFormat="1" x14ac:dyDescent="0.2"/>
    <row r="23756" s="689" customFormat="1" x14ac:dyDescent="0.2"/>
    <row r="23757" s="689" customFormat="1" x14ac:dyDescent="0.2"/>
    <row r="23758" s="689" customFormat="1" x14ac:dyDescent="0.2"/>
    <row r="23759" s="689" customFormat="1" x14ac:dyDescent="0.2"/>
    <row r="23760" s="689" customFormat="1" x14ac:dyDescent="0.2"/>
    <row r="23761" s="689" customFormat="1" x14ac:dyDescent="0.2"/>
    <row r="23762" s="689" customFormat="1" x14ac:dyDescent="0.2"/>
    <row r="23763" s="689" customFormat="1" x14ac:dyDescent="0.2"/>
    <row r="23764" s="689" customFormat="1" x14ac:dyDescent="0.2"/>
    <row r="23765" s="689" customFormat="1" x14ac:dyDescent="0.2"/>
    <row r="23766" s="689" customFormat="1" x14ac:dyDescent="0.2"/>
    <row r="23767" s="689" customFormat="1" x14ac:dyDescent="0.2"/>
    <row r="23768" s="689" customFormat="1" x14ac:dyDescent="0.2"/>
    <row r="23769" s="689" customFormat="1" x14ac:dyDescent="0.2"/>
    <row r="23770" s="689" customFormat="1" x14ac:dyDescent="0.2"/>
    <row r="23771" s="689" customFormat="1" x14ac:dyDescent="0.2"/>
    <row r="23772" s="689" customFormat="1" x14ac:dyDescent="0.2"/>
    <row r="23773" s="689" customFormat="1" x14ac:dyDescent="0.2"/>
    <row r="23774" s="689" customFormat="1" x14ac:dyDescent="0.2"/>
    <row r="23775" s="689" customFormat="1" x14ac:dyDescent="0.2"/>
    <row r="23776" s="689" customFormat="1" x14ac:dyDescent="0.2"/>
    <row r="23777" s="689" customFormat="1" x14ac:dyDescent="0.2"/>
    <row r="23778" s="689" customFormat="1" x14ac:dyDescent="0.2"/>
    <row r="23779" s="689" customFormat="1" x14ac:dyDescent="0.2"/>
    <row r="23780" s="689" customFormat="1" x14ac:dyDescent="0.2"/>
    <row r="23781" s="689" customFormat="1" x14ac:dyDescent="0.2"/>
    <row r="23782" s="689" customFormat="1" x14ac:dyDescent="0.2"/>
    <row r="23783" s="689" customFormat="1" x14ac:dyDescent="0.2"/>
    <row r="23784" s="689" customFormat="1" x14ac:dyDescent="0.2"/>
    <row r="23785" s="689" customFormat="1" x14ac:dyDescent="0.2"/>
    <row r="23786" s="689" customFormat="1" x14ac:dyDescent="0.2"/>
    <row r="23787" s="689" customFormat="1" x14ac:dyDescent="0.2"/>
    <row r="23788" s="689" customFormat="1" x14ac:dyDescent="0.2"/>
    <row r="23789" s="689" customFormat="1" x14ac:dyDescent="0.2"/>
    <row r="23790" s="689" customFormat="1" x14ac:dyDescent="0.2"/>
    <row r="23791" s="689" customFormat="1" x14ac:dyDescent="0.2"/>
    <row r="23792" s="689" customFormat="1" x14ac:dyDescent="0.2"/>
    <row r="23793" s="689" customFormat="1" x14ac:dyDescent="0.2"/>
    <row r="23794" s="689" customFormat="1" x14ac:dyDescent="0.2"/>
    <row r="23795" s="689" customFormat="1" x14ac:dyDescent="0.2"/>
    <row r="23796" s="689" customFormat="1" x14ac:dyDescent="0.2"/>
    <row r="23797" s="689" customFormat="1" x14ac:dyDescent="0.2"/>
    <row r="23798" s="689" customFormat="1" x14ac:dyDescent="0.2"/>
    <row r="23799" s="689" customFormat="1" x14ac:dyDescent="0.2"/>
    <row r="23800" s="689" customFormat="1" x14ac:dyDescent="0.2"/>
    <row r="23801" s="689" customFormat="1" x14ac:dyDescent="0.2"/>
    <row r="23802" s="689" customFormat="1" x14ac:dyDescent="0.2"/>
    <row r="23803" s="689" customFormat="1" x14ac:dyDescent="0.2"/>
    <row r="23804" s="689" customFormat="1" x14ac:dyDescent="0.2"/>
    <row r="23805" s="689" customFormat="1" x14ac:dyDescent="0.2"/>
    <row r="23806" s="689" customFormat="1" x14ac:dyDescent="0.2"/>
    <row r="23807" s="689" customFormat="1" x14ac:dyDescent="0.2"/>
    <row r="23808" s="689" customFormat="1" x14ac:dyDescent="0.2"/>
    <row r="23809" s="689" customFormat="1" x14ac:dyDescent="0.2"/>
    <row r="23810" s="689" customFormat="1" x14ac:dyDescent="0.2"/>
    <row r="23811" s="689" customFormat="1" x14ac:dyDescent="0.2"/>
    <row r="23812" s="689" customFormat="1" x14ac:dyDescent="0.2"/>
    <row r="23813" s="689" customFormat="1" x14ac:dyDescent="0.2"/>
    <row r="23814" s="689" customFormat="1" x14ac:dyDescent="0.2"/>
    <row r="23815" s="689" customFormat="1" x14ac:dyDescent="0.2"/>
    <row r="23816" s="689" customFormat="1" x14ac:dyDescent="0.2"/>
    <row r="23817" s="689" customFormat="1" x14ac:dyDescent="0.2"/>
    <row r="23818" s="689" customFormat="1" x14ac:dyDescent="0.2"/>
    <row r="23819" s="689" customFormat="1" x14ac:dyDescent="0.2"/>
    <row r="23820" s="689" customFormat="1" x14ac:dyDescent="0.2"/>
    <row r="23821" s="689" customFormat="1" x14ac:dyDescent="0.2"/>
    <row r="23822" s="689" customFormat="1" x14ac:dyDescent="0.2"/>
    <row r="23823" s="689" customFormat="1" x14ac:dyDescent="0.2"/>
    <row r="23824" s="689" customFormat="1" x14ac:dyDescent="0.2"/>
    <row r="23825" s="689" customFormat="1" x14ac:dyDescent="0.2"/>
    <row r="23826" s="689" customFormat="1" x14ac:dyDescent="0.2"/>
    <row r="23827" s="689" customFormat="1" x14ac:dyDescent="0.2"/>
    <row r="23828" s="689" customFormat="1" x14ac:dyDescent="0.2"/>
    <row r="23829" s="689" customFormat="1" x14ac:dyDescent="0.2"/>
    <row r="23830" s="689" customFormat="1" x14ac:dyDescent="0.2"/>
    <row r="23831" s="689" customFormat="1" x14ac:dyDescent="0.2"/>
    <row r="23832" s="689" customFormat="1" x14ac:dyDescent="0.2"/>
    <row r="23833" s="689" customFormat="1" x14ac:dyDescent="0.2"/>
    <row r="23834" s="689" customFormat="1" x14ac:dyDescent="0.2"/>
    <row r="23835" s="689" customFormat="1" x14ac:dyDescent="0.2"/>
    <row r="23836" s="689" customFormat="1" x14ac:dyDescent="0.2"/>
    <row r="23837" s="689" customFormat="1" x14ac:dyDescent="0.2"/>
    <row r="23838" s="689" customFormat="1" x14ac:dyDescent="0.2"/>
    <row r="23839" s="689" customFormat="1" x14ac:dyDescent="0.2"/>
    <row r="23840" s="689" customFormat="1" x14ac:dyDescent="0.2"/>
    <row r="23841" s="689" customFormat="1" x14ac:dyDescent="0.2"/>
    <row r="23842" s="689" customFormat="1" x14ac:dyDescent="0.2"/>
    <row r="23843" s="689" customFormat="1" x14ac:dyDescent="0.2"/>
    <row r="23844" s="689" customFormat="1" x14ac:dyDescent="0.2"/>
    <row r="23845" s="689" customFormat="1" x14ac:dyDescent="0.2"/>
    <row r="23846" s="689" customFormat="1" x14ac:dyDescent="0.2"/>
    <row r="23847" s="689" customFormat="1" x14ac:dyDescent="0.2"/>
    <row r="23848" s="689" customFormat="1" x14ac:dyDescent="0.2"/>
    <row r="23849" s="689" customFormat="1" x14ac:dyDescent="0.2"/>
    <row r="23850" s="689" customFormat="1" x14ac:dyDescent="0.2"/>
    <row r="23851" s="689" customFormat="1" x14ac:dyDescent="0.2"/>
    <row r="23852" s="689" customFormat="1" x14ac:dyDescent="0.2"/>
    <row r="23853" s="689" customFormat="1" x14ac:dyDescent="0.2"/>
    <row r="23854" s="689" customFormat="1" x14ac:dyDescent="0.2"/>
    <row r="23855" s="689" customFormat="1" x14ac:dyDescent="0.2"/>
    <row r="23856" s="689" customFormat="1" x14ac:dyDescent="0.2"/>
    <row r="23857" s="689" customFormat="1" x14ac:dyDescent="0.2"/>
    <row r="23858" s="689" customFormat="1" x14ac:dyDescent="0.2"/>
    <row r="23859" s="689" customFormat="1" x14ac:dyDescent="0.2"/>
    <row r="23860" s="689" customFormat="1" x14ac:dyDescent="0.2"/>
    <row r="23861" s="689" customFormat="1" x14ac:dyDescent="0.2"/>
    <row r="23862" s="689" customFormat="1" x14ac:dyDescent="0.2"/>
    <row r="23863" s="689" customFormat="1" x14ac:dyDescent="0.2"/>
    <row r="23864" s="689" customFormat="1" x14ac:dyDescent="0.2"/>
    <row r="23865" s="689" customFormat="1" x14ac:dyDescent="0.2"/>
    <row r="23866" s="689" customFormat="1" x14ac:dyDescent="0.2"/>
    <row r="23867" s="689" customFormat="1" x14ac:dyDescent="0.2"/>
    <row r="23868" s="689" customFormat="1" x14ac:dyDescent="0.2"/>
    <row r="23869" s="689" customFormat="1" x14ac:dyDescent="0.2"/>
    <row r="23870" s="689" customFormat="1" x14ac:dyDescent="0.2"/>
    <row r="23871" s="689" customFormat="1" x14ac:dyDescent="0.2"/>
    <row r="23872" s="689" customFormat="1" x14ac:dyDescent="0.2"/>
    <row r="23873" s="689" customFormat="1" x14ac:dyDescent="0.2"/>
    <row r="23874" s="689" customFormat="1" x14ac:dyDescent="0.2"/>
    <row r="23875" s="689" customFormat="1" x14ac:dyDescent="0.2"/>
    <row r="23876" s="689" customFormat="1" x14ac:dyDescent="0.2"/>
    <row r="23877" s="689" customFormat="1" x14ac:dyDescent="0.2"/>
    <row r="23878" s="689" customFormat="1" x14ac:dyDescent="0.2"/>
    <row r="23879" s="689" customFormat="1" x14ac:dyDescent="0.2"/>
    <row r="23880" s="689" customFormat="1" x14ac:dyDescent="0.2"/>
    <row r="23881" s="689" customFormat="1" x14ac:dyDescent="0.2"/>
    <row r="23882" s="689" customFormat="1" x14ac:dyDescent="0.2"/>
    <row r="23883" s="689" customFormat="1" x14ac:dyDescent="0.2"/>
    <row r="23884" s="689" customFormat="1" x14ac:dyDescent="0.2"/>
    <row r="23885" s="689" customFormat="1" x14ac:dyDescent="0.2"/>
    <row r="23886" s="689" customFormat="1" x14ac:dyDescent="0.2"/>
    <row r="23887" s="689" customFormat="1" x14ac:dyDescent="0.2"/>
    <row r="23888" s="689" customFormat="1" x14ac:dyDescent="0.2"/>
    <row r="23889" s="689" customFormat="1" x14ac:dyDescent="0.2"/>
    <row r="23890" s="689" customFormat="1" x14ac:dyDescent="0.2"/>
    <row r="23891" s="689" customFormat="1" x14ac:dyDescent="0.2"/>
    <row r="23892" s="689" customFormat="1" x14ac:dyDescent="0.2"/>
    <row r="23893" s="689" customFormat="1" x14ac:dyDescent="0.2"/>
    <row r="23894" s="689" customFormat="1" x14ac:dyDescent="0.2"/>
    <row r="23895" s="689" customFormat="1" x14ac:dyDescent="0.2"/>
    <row r="23896" s="689" customFormat="1" x14ac:dyDescent="0.2"/>
    <row r="23897" s="689" customFormat="1" x14ac:dyDescent="0.2"/>
    <row r="23898" s="689" customFormat="1" x14ac:dyDescent="0.2"/>
    <row r="23899" s="689" customFormat="1" x14ac:dyDescent="0.2"/>
    <row r="23900" s="689" customFormat="1" x14ac:dyDescent="0.2"/>
    <row r="23901" s="689" customFormat="1" x14ac:dyDescent="0.2"/>
    <row r="23902" s="689" customFormat="1" x14ac:dyDescent="0.2"/>
    <row r="23903" s="689" customFormat="1" x14ac:dyDescent="0.2"/>
    <row r="23904" s="689" customFormat="1" x14ac:dyDescent="0.2"/>
    <row r="23905" s="689" customFormat="1" x14ac:dyDescent="0.2"/>
    <row r="23906" s="689" customFormat="1" x14ac:dyDescent="0.2"/>
    <row r="23907" s="689" customFormat="1" x14ac:dyDescent="0.2"/>
    <row r="23908" s="689" customFormat="1" x14ac:dyDescent="0.2"/>
    <row r="23909" s="689" customFormat="1" x14ac:dyDescent="0.2"/>
    <row r="23910" s="689" customFormat="1" x14ac:dyDescent="0.2"/>
    <row r="23911" s="689" customFormat="1" x14ac:dyDescent="0.2"/>
    <row r="23912" s="689" customFormat="1" x14ac:dyDescent="0.2"/>
    <row r="23913" s="689" customFormat="1" x14ac:dyDescent="0.2"/>
    <row r="23914" s="689" customFormat="1" x14ac:dyDescent="0.2"/>
    <row r="23915" s="689" customFormat="1" x14ac:dyDescent="0.2"/>
    <row r="23916" s="689" customFormat="1" x14ac:dyDescent="0.2"/>
    <row r="23917" s="689" customFormat="1" x14ac:dyDescent="0.2"/>
    <row r="23918" s="689" customFormat="1" x14ac:dyDescent="0.2"/>
    <row r="23919" s="689" customFormat="1" x14ac:dyDescent="0.2"/>
    <row r="23920" s="689" customFormat="1" x14ac:dyDescent="0.2"/>
    <row r="23921" s="689" customFormat="1" x14ac:dyDescent="0.2"/>
    <row r="23922" s="689" customFormat="1" x14ac:dyDescent="0.2"/>
    <row r="23923" s="689" customFormat="1" x14ac:dyDescent="0.2"/>
    <row r="23924" s="689" customFormat="1" x14ac:dyDescent="0.2"/>
    <row r="23925" s="689" customFormat="1" x14ac:dyDescent="0.2"/>
    <row r="23926" s="689" customFormat="1" x14ac:dyDescent="0.2"/>
    <row r="23927" s="689" customFormat="1" x14ac:dyDescent="0.2"/>
    <row r="23928" s="689" customFormat="1" x14ac:dyDescent="0.2"/>
    <row r="23929" s="689" customFormat="1" x14ac:dyDescent="0.2"/>
    <row r="23930" s="689" customFormat="1" x14ac:dyDescent="0.2"/>
    <row r="23931" s="689" customFormat="1" x14ac:dyDescent="0.2"/>
    <row r="23932" s="689" customFormat="1" x14ac:dyDescent="0.2"/>
    <row r="23933" s="689" customFormat="1" x14ac:dyDescent="0.2"/>
    <row r="23934" s="689" customFormat="1" x14ac:dyDescent="0.2"/>
    <row r="23935" s="689" customFormat="1" x14ac:dyDescent="0.2"/>
    <row r="23936" s="689" customFormat="1" x14ac:dyDescent="0.2"/>
    <row r="23937" s="689" customFormat="1" x14ac:dyDescent="0.2"/>
    <row r="23938" s="689" customFormat="1" x14ac:dyDescent="0.2"/>
    <row r="23939" s="689" customFormat="1" x14ac:dyDescent="0.2"/>
    <row r="23940" s="689" customFormat="1" x14ac:dyDescent="0.2"/>
    <row r="23941" s="689" customFormat="1" x14ac:dyDescent="0.2"/>
    <row r="23942" s="689" customFormat="1" x14ac:dyDescent="0.2"/>
    <row r="23943" s="689" customFormat="1" x14ac:dyDescent="0.2"/>
    <row r="23944" s="689" customFormat="1" x14ac:dyDescent="0.2"/>
    <row r="23945" s="689" customFormat="1" x14ac:dyDescent="0.2"/>
    <row r="23946" s="689" customFormat="1" x14ac:dyDescent="0.2"/>
    <row r="23947" s="689" customFormat="1" x14ac:dyDescent="0.2"/>
    <row r="23948" s="689" customFormat="1" x14ac:dyDescent="0.2"/>
    <row r="23949" s="689" customFormat="1" x14ac:dyDescent="0.2"/>
    <row r="23950" s="689" customFormat="1" x14ac:dyDescent="0.2"/>
    <row r="23951" s="689" customFormat="1" x14ac:dyDescent="0.2"/>
    <row r="23952" s="689" customFormat="1" x14ac:dyDescent="0.2"/>
    <row r="23953" s="689" customFormat="1" x14ac:dyDescent="0.2"/>
    <row r="23954" s="689" customFormat="1" x14ac:dyDescent="0.2"/>
    <row r="23955" s="689" customFormat="1" x14ac:dyDescent="0.2"/>
    <row r="23956" s="689" customFormat="1" x14ac:dyDescent="0.2"/>
    <row r="23957" s="689" customFormat="1" x14ac:dyDescent="0.2"/>
    <row r="23958" s="689" customFormat="1" x14ac:dyDescent="0.2"/>
    <row r="23959" s="689" customFormat="1" x14ac:dyDescent="0.2"/>
    <row r="23960" s="689" customFormat="1" x14ac:dyDescent="0.2"/>
    <row r="23961" s="689" customFormat="1" x14ac:dyDescent="0.2"/>
    <row r="23962" s="689" customFormat="1" x14ac:dyDescent="0.2"/>
    <row r="23963" s="689" customFormat="1" x14ac:dyDescent="0.2"/>
    <row r="23964" s="689" customFormat="1" x14ac:dyDescent="0.2"/>
    <row r="23965" s="689" customFormat="1" x14ac:dyDescent="0.2"/>
    <row r="23966" s="689" customFormat="1" x14ac:dyDescent="0.2"/>
    <row r="23967" s="689" customFormat="1" x14ac:dyDescent="0.2"/>
    <row r="23968" s="689" customFormat="1" x14ac:dyDescent="0.2"/>
    <row r="23969" s="689" customFormat="1" x14ac:dyDescent="0.2"/>
    <row r="23970" s="689" customFormat="1" x14ac:dyDescent="0.2"/>
    <row r="23971" s="689" customFormat="1" x14ac:dyDescent="0.2"/>
    <row r="23972" s="689" customFormat="1" x14ac:dyDescent="0.2"/>
    <row r="23973" s="689" customFormat="1" x14ac:dyDescent="0.2"/>
    <row r="23974" s="689" customFormat="1" x14ac:dyDescent="0.2"/>
    <row r="23975" s="689" customFormat="1" x14ac:dyDescent="0.2"/>
    <row r="23976" s="689" customFormat="1" x14ac:dyDescent="0.2"/>
    <row r="23977" s="689" customFormat="1" x14ac:dyDescent="0.2"/>
    <row r="23978" s="689" customFormat="1" x14ac:dyDescent="0.2"/>
    <row r="23979" s="689" customFormat="1" x14ac:dyDescent="0.2"/>
    <row r="23980" s="689" customFormat="1" x14ac:dyDescent="0.2"/>
    <row r="23981" s="689" customFormat="1" x14ac:dyDescent="0.2"/>
    <row r="23982" s="689" customFormat="1" x14ac:dyDescent="0.2"/>
    <row r="23983" s="689" customFormat="1" x14ac:dyDescent="0.2"/>
    <row r="23984" s="689" customFormat="1" x14ac:dyDescent="0.2"/>
    <row r="23985" s="689" customFormat="1" x14ac:dyDescent="0.2"/>
    <row r="23986" s="689" customFormat="1" x14ac:dyDescent="0.2"/>
    <row r="23987" s="689" customFormat="1" x14ac:dyDescent="0.2"/>
    <row r="23988" s="689" customFormat="1" x14ac:dyDescent="0.2"/>
    <row r="23989" s="689" customFormat="1" x14ac:dyDescent="0.2"/>
    <row r="23990" s="689" customFormat="1" x14ac:dyDescent="0.2"/>
    <row r="23991" s="689" customFormat="1" x14ac:dyDescent="0.2"/>
    <row r="23992" s="689" customFormat="1" x14ac:dyDescent="0.2"/>
    <row r="23993" s="689" customFormat="1" x14ac:dyDescent="0.2"/>
    <row r="23994" s="689" customFormat="1" x14ac:dyDescent="0.2"/>
    <row r="23995" s="689" customFormat="1" x14ac:dyDescent="0.2"/>
    <row r="23996" s="689" customFormat="1" x14ac:dyDescent="0.2"/>
    <row r="23997" s="689" customFormat="1" x14ac:dyDescent="0.2"/>
    <row r="23998" s="689" customFormat="1" x14ac:dyDescent="0.2"/>
    <row r="23999" s="689" customFormat="1" x14ac:dyDescent="0.2"/>
    <row r="24000" s="689" customFormat="1" x14ac:dyDescent="0.2"/>
    <row r="24001" s="689" customFormat="1" x14ac:dyDescent="0.2"/>
    <row r="24002" s="689" customFormat="1" x14ac:dyDescent="0.2"/>
    <row r="24003" s="689" customFormat="1" x14ac:dyDescent="0.2"/>
    <row r="24004" s="689" customFormat="1" x14ac:dyDescent="0.2"/>
    <row r="24005" s="689" customFormat="1" x14ac:dyDescent="0.2"/>
    <row r="24006" s="689" customFormat="1" x14ac:dyDescent="0.2"/>
    <row r="24007" s="689" customFormat="1" x14ac:dyDescent="0.2"/>
    <row r="24008" s="689" customFormat="1" x14ac:dyDescent="0.2"/>
    <row r="24009" s="689" customFormat="1" x14ac:dyDescent="0.2"/>
    <row r="24010" s="689" customFormat="1" x14ac:dyDescent="0.2"/>
    <row r="24011" s="689" customFormat="1" x14ac:dyDescent="0.2"/>
    <row r="24012" s="689" customFormat="1" x14ac:dyDescent="0.2"/>
    <row r="24013" s="689" customFormat="1" x14ac:dyDescent="0.2"/>
    <row r="24014" s="689" customFormat="1" x14ac:dyDescent="0.2"/>
    <row r="24015" s="689" customFormat="1" x14ac:dyDescent="0.2"/>
    <row r="24016" s="689" customFormat="1" x14ac:dyDescent="0.2"/>
    <row r="24017" s="689" customFormat="1" x14ac:dyDescent="0.2"/>
    <row r="24018" s="689" customFormat="1" x14ac:dyDescent="0.2"/>
    <row r="24019" s="689" customFormat="1" x14ac:dyDescent="0.2"/>
    <row r="24020" s="689" customFormat="1" x14ac:dyDescent="0.2"/>
    <row r="24021" s="689" customFormat="1" x14ac:dyDescent="0.2"/>
    <row r="24022" s="689" customFormat="1" x14ac:dyDescent="0.2"/>
    <row r="24023" s="689" customFormat="1" x14ac:dyDescent="0.2"/>
    <row r="24024" s="689" customFormat="1" x14ac:dyDescent="0.2"/>
    <row r="24025" s="689" customFormat="1" x14ac:dyDescent="0.2"/>
    <row r="24026" s="689" customFormat="1" x14ac:dyDescent="0.2"/>
    <row r="24027" s="689" customFormat="1" x14ac:dyDescent="0.2"/>
    <row r="24028" s="689" customFormat="1" x14ac:dyDescent="0.2"/>
    <row r="24029" s="689" customFormat="1" x14ac:dyDescent="0.2"/>
    <row r="24030" s="689" customFormat="1" x14ac:dyDescent="0.2"/>
    <row r="24031" s="689" customFormat="1" x14ac:dyDescent="0.2"/>
    <row r="24032" s="689" customFormat="1" x14ac:dyDescent="0.2"/>
    <row r="24033" s="689" customFormat="1" x14ac:dyDescent="0.2"/>
    <row r="24034" s="689" customFormat="1" x14ac:dyDescent="0.2"/>
    <row r="24035" s="689" customFormat="1" x14ac:dyDescent="0.2"/>
    <row r="24036" s="689" customFormat="1" x14ac:dyDescent="0.2"/>
    <row r="24037" s="689" customFormat="1" x14ac:dyDescent="0.2"/>
    <row r="24038" s="689" customFormat="1" x14ac:dyDescent="0.2"/>
    <row r="24039" s="689" customFormat="1" x14ac:dyDescent="0.2"/>
    <row r="24040" s="689" customFormat="1" x14ac:dyDescent="0.2"/>
    <row r="24041" s="689" customFormat="1" x14ac:dyDescent="0.2"/>
    <row r="24042" s="689" customFormat="1" x14ac:dyDescent="0.2"/>
    <row r="24043" s="689" customFormat="1" x14ac:dyDescent="0.2"/>
    <row r="24044" s="689" customFormat="1" x14ac:dyDescent="0.2"/>
    <row r="24045" s="689" customFormat="1" x14ac:dyDescent="0.2"/>
    <row r="24046" s="689" customFormat="1" x14ac:dyDescent="0.2"/>
    <row r="24047" s="689" customFormat="1" x14ac:dyDescent="0.2"/>
    <row r="24048" s="689" customFormat="1" x14ac:dyDescent="0.2"/>
    <row r="24049" s="689" customFormat="1" x14ac:dyDescent="0.2"/>
    <row r="24050" s="689" customFormat="1" x14ac:dyDescent="0.2"/>
    <row r="24051" s="689" customFormat="1" x14ac:dyDescent="0.2"/>
    <row r="24052" s="689" customFormat="1" x14ac:dyDescent="0.2"/>
    <row r="24053" s="689" customFormat="1" x14ac:dyDescent="0.2"/>
    <row r="24054" s="689" customFormat="1" x14ac:dyDescent="0.2"/>
    <row r="24055" s="689" customFormat="1" x14ac:dyDescent="0.2"/>
    <row r="24056" s="689" customFormat="1" x14ac:dyDescent="0.2"/>
    <row r="24057" s="689" customFormat="1" x14ac:dyDescent="0.2"/>
    <row r="24058" s="689" customFormat="1" x14ac:dyDescent="0.2"/>
    <row r="24059" s="689" customFormat="1" x14ac:dyDescent="0.2"/>
    <row r="24060" s="689" customFormat="1" x14ac:dyDescent="0.2"/>
    <row r="24061" s="689" customFormat="1" x14ac:dyDescent="0.2"/>
    <row r="24062" s="689" customFormat="1" x14ac:dyDescent="0.2"/>
    <row r="24063" s="689" customFormat="1" x14ac:dyDescent="0.2"/>
    <row r="24064" s="689" customFormat="1" x14ac:dyDescent="0.2"/>
    <row r="24065" s="689" customFormat="1" x14ac:dyDescent="0.2"/>
    <row r="24066" s="689" customFormat="1" x14ac:dyDescent="0.2"/>
    <row r="24067" s="689" customFormat="1" x14ac:dyDescent="0.2"/>
    <row r="24068" s="689" customFormat="1" x14ac:dyDescent="0.2"/>
    <row r="24069" s="689" customFormat="1" x14ac:dyDescent="0.2"/>
    <row r="24070" s="689" customFormat="1" x14ac:dyDescent="0.2"/>
    <row r="24071" s="689" customFormat="1" x14ac:dyDescent="0.2"/>
    <row r="24072" s="689" customFormat="1" x14ac:dyDescent="0.2"/>
    <row r="24073" s="689" customFormat="1" x14ac:dyDescent="0.2"/>
    <row r="24074" s="689" customFormat="1" x14ac:dyDescent="0.2"/>
    <row r="24075" s="689" customFormat="1" x14ac:dyDescent="0.2"/>
    <row r="24076" s="689" customFormat="1" x14ac:dyDescent="0.2"/>
    <row r="24077" s="689" customFormat="1" x14ac:dyDescent="0.2"/>
    <row r="24078" s="689" customFormat="1" x14ac:dyDescent="0.2"/>
    <row r="24079" s="689" customFormat="1" x14ac:dyDescent="0.2"/>
    <row r="24080" s="689" customFormat="1" x14ac:dyDescent="0.2"/>
    <row r="24081" s="689" customFormat="1" x14ac:dyDescent="0.2"/>
    <row r="24082" s="689" customFormat="1" x14ac:dyDescent="0.2"/>
    <row r="24083" s="689" customFormat="1" x14ac:dyDescent="0.2"/>
    <row r="24084" s="689" customFormat="1" x14ac:dyDescent="0.2"/>
    <row r="24085" s="689" customFormat="1" x14ac:dyDescent="0.2"/>
    <row r="24086" s="689" customFormat="1" x14ac:dyDescent="0.2"/>
    <row r="24087" s="689" customFormat="1" x14ac:dyDescent="0.2"/>
    <row r="24088" s="689" customFormat="1" x14ac:dyDescent="0.2"/>
    <row r="24089" s="689" customFormat="1" x14ac:dyDescent="0.2"/>
    <row r="24090" s="689" customFormat="1" x14ac:dyDescent="0.2"/>
    <row r="24091" s="689" customFormat="1" x14ac:dyDescent="0.2"/>
    <row r="24092" s="689" customFormat="1" x14ac:dyDescent="0.2"/>
    <row r="24093" s="689" customFormat="1" x14ac:dyDescent="0.2"/>
    <row r="24094" s="689" customFormat="1" x14ac:dyDescent="0.2"/>
    <row r="24095" s="689" customFormat="1" x14ac:dyDescent="0.2"/>
    <row r="24096" s="689" customFormat="1" x14ac:dyDescent="0.2"/>
    <row r="24097" s="689" customFormat="1" x14ac:dyDescent="0.2"/>
    <row r="24098" s="689" customFormat="1" x14ac:dyDescent="0.2"/>
    <row r="24099" s="689" customFormat="1" x14ac:dyDescent="0.2"/>
    <row r="24100" s="689" customFormat="1" x14ac:dyDescent="0.2"/>
    <row r="24101" s="689" customFormat="1" x14ac:dyDescent="0.2"/>
    <row r="24102" s="689" customFormat="1" x14ac:dyDescent="0.2"/>
    <row r="24103" s="689" customFormat="1" x14ac:dyDescent="0.2"/>
    <row r="24104" s="689" customFormat="1" x14ac:dyDescent="0.2"/>
    <row r="24105" s="689" customFormat="1" x14ac:dyDescent="0.2"/>
    <row r="24106" s="689" customFormat="1" x14ac:dyDescent="0.2"/>
    <row r="24107" s="689" customFormat="1" x14ac:dyDescent="0.2"/>
    <row r="24108" s="689" customFormat="1" x14ac:dyDescent="0.2"/>
    <row r="24109" s="689" customFormat="1" x14ac:dyDescent="0.2"/>
    <row r="24110" s="689" customFormat="1" x14ac:dyDescent="0.2"/>
    <row r="24111" s="689" customFormat="1" x14ac:dyDescent="0.2"/>
    <row r="24112" s="689" customFormat="1" x14ac:dyDescent="0.2"/>
    <row r="24113" s="689" customFormat="1" x14ac:dyDescent="0.2"/>
    <row r="24114" s="689" customFormat="1" x14ac:dyDescent="0.2"/>
    <row r="24115" s="689" customFormat="1" x14ac:dyDescent="0.2"/>
    <row r="24116" s="689" customFormat="1" x14ac:dyDescent="0.2"/>
    <row r="24117" s="689" customFormat="1" x14ac:dyDescent="0.2"/>
    <row r="24118" s="689" customFormat="1" x14ac:dyDescent="0.2"/>
    <row r="24119" s="689" customFormat="1" x14ac:dyDescent="0.2"/>
    <row r="24120" s="689" customFormat="1" x14ac:dyDescent="0.2"/>
    <row r="24121" s="689" customFormat="1" x14ac:dyDescent="0.2"/>
    <row r="24122" s="689" customFormat="1" x14ac:dyDescent="0.2"/>
    <row r="24123" s="689" customFormat="1" x14ac:dyDescent="0.2"/>
    <row r="24124" s="689" customFormat="1" x14ac:dyDescent="0.2"/>
    <row r="24125" s="689" customFormat="1" x14ac:dyDescent="0.2"/>
    <row r="24126" s="689" customFormat="1" x14ac:dyDescent="0.2"/>
    <row r="24127" s="689" customFormat="1" x14ac:dyDescent="0.2"/>
    <row r="24128" s="689" customFormat="1" x14ac:dyDescent="0.2"/>
    <row r="24129" s="689" customFormat="1" x14ac:dyDescent="0.2"/>
    <row r="24130" s="689" customFormat="1" x14ac:dyDescent="0.2"/>
    <row r="24131" s="689" customFormat="1" x14ac:dyDescent="0.2"/>
    <row r="24132" s="689" customFormat="1" x14ac:dyDescent="0.2"/>
    <row r="24133" s="689" customFormat="1" x14ac:dyDescent="0.2"/>
    <row r="24134" s="689" customFormat="1" x14ac:dyDescent="0.2"/>
    <row r="24135" s="689" customFormat="1" x14ac:dyDescent="0.2"/>
    <row r="24136" s="689" customFormat="1" x14ac:dyDescent="0.2"/>
    <row r="24137" s="689" customFormat="1" x14ac:dyDescent="0.2"/>
    <row r="24138" s="689" customFormat="1" x14ac:dyDescent="0.2"/>
    <row r="24139" s="689" customFormat="1" x14ac:dyDescent="0.2"/>
    <row r="24140" s="689" customFormat="1" x14ac:dyDescent="0.2"/>
    <row r="24141" s="689" customFormat="1" x14ac:dyDescent="0.2"/>
    <row r="24142" s="689" customFormat="1" x14ac:dyDescent="0.2"/>
    <row r="24143" s="689" customFormat="1" x14ac:dyDescent="0.2"/>
    <row r="24144" s="689" customFormat="1" x14ac:dyDescent="0.2"/>
    <row r="24145" s="689" customFormat="1" x14ac:dyDescent="0.2"/>
    <row r="24146" s="689" customFormat="1" x14ac:dyDescent="0.2"/>
    <row r="24147" s="689" customFormat="1" x14ac:dyDescent="0.2"/>
    <row r="24148" s="689" customFormat="1" x14ac:dyDescent="0.2"/>
    <row r="24149" s="689" customFormat="1" x14ac:dyDescent="0.2"/>
    <row r="24150" s="689" customFormat="1" x14ac:dyDescent="0.2"/>
    <row r="24151" s="689" customFormat="1" x14ac:dyDescent="0.2"/>
    <row r="24152" s="689" customFormat="1" x14ac:dyDescent="0.2"/>
    <row r="24153" s="689" customFormat="1" x14ac:dyDescent="0.2"/>
    <row r="24154" s="689" customFormat="1" x14ac:dyDescent="0.2"/>
    <row r="24155" s="689" customFormat="1" x14ac:dyDescent="0.2"/>
    <row r="24156" s="689" customFormat="1" x14ac:dyDescent="0.2"/>
    <row r="24157" s="689" customFormat="1" x14ac:dyDescent="0.2"/>
    <row r="24158" s="689" customFormat="1" x14ac:dyDescent="0.2"/>
    <row r="24159" s="689" customFormat="1" x14ac:dyDescent="0.2"/>
    <row r="24160" s="689" customFormat="1" x14ac:dyDescent="0.2"/>
    <row r="24161" s="689" customFormat="1" x14ac:dyDescent="0.2"/>
    <row r="24162" s="689" customFormat="1" x14ac:dyDescent="0.2"/>
    <row r="24163" s="689" customFormat="1" x14ac:dyDescent="0.2"/>
    <row r="24164" s="689" customFormat="1" x14ac:dyDescent="0.2"/>
    <row r="24165" s="689" customFormat="1" x14ac:dyDescent="0.2"/>
    <row r="24166" s="689" customFormat="1" x14ac:dyDescent="0.2"/>
    <row r="24167" s="689" customFormat="1" x14ac:dyDescent="0.2"/>
    <row r="24168" s="689" customFormat="1" x14ac:dyDescent="0.2"/>
    <row r="24169" s="689" customFormat="1" x14ac:dyDescent="0.2"/>
    <row r="24170" s="689" customFormat="1" x14ac:dyDescent="0.2"/>
    <row r="24171" s="689" customFormat="1" x14ac:dyDescent="0.2"/>
    <row r="24172" s="689" customFormat="1" x14ac:dyDescent="0.2"/>
    <row r="24173" s="689" customFormat="1" x14ac:dyDescent="0.2"/>
    <row r="24174" s="689" customFormat="1" x14ac:dyDescent="0.2"/>
    <row r="24175" s="689" customFormat="1" x14ac:dyDescent="0.2"/>
    <row r="24176" s="689" customFormat="1" x14ac:dyDescent="0.2"/>
    <row r="24177" s="689" customFormat="1" x14ac:dyDescent="0.2"/>
    <row r="24178" s="689" customFormat="1" x14ac:dyDescent="0.2"/>
    <row r="24179" s="689" customFormat="1" x14ac:dyDescent="0.2"/>
    <row r="24180" s="689" customFormat="1" x14ac:dyDescent="0.2"/>
    <row r="24181" s="689" customFormat="1" x14ac:dyDescent="0.2"/>
    <row r="24182" s="689" customFormat="1" x14ac:dyDescent="0.2"/>
    <row r="24183" s="689" customFormat="1" x14ac:dyDescent="0.2"/>
    <row r="24184" s="689" customFormat="1" x14ac:dyDescent="0.2"/>
    <row r="24185" s="689" customFormat="1" x14ac:dyDescent="0.2"/>
    <row r="24186" s="689" customFormat="1" x14ac:dyDescent="0.2"/>
    <row r="24187" s="689" customFormat="1" x14ac:dyDescent="0.2"/>
    <row r="24188" s="689" customFormat="1" x14ac:dyDescent="0.2"/>
    <row r="24189" s="689" customFormat="1" x14ac:dyDescent="0.2"/>
    <row r="24190" s="689" customFormat="1" x14ac:dyDescent="0.2"/>
    <row r="24191" s="689" customFormat="1" x14ac:dyDescent="0.2"/>
    <row r="24192" s="689" customFormat="1" x14ac:dyDescent="0.2"/>
    <row r="24193" s="689" customFormat="1" x14ac:dyDescent="0.2"/>
    <row r="24194" s="689" customFormat="1" x14ac:dyDescent="0.2"/>
    <row r="24195" s="689" customFormat="1" x14ac:dyDescent="0.2"/>
    <row r="24196" s="689" customFormat="1" x14ac:dyDescent="0.2"/>
    <row r="24197" s="689" customFormat="1" x14ac:dyDescent="0.2"/>
    <row r="24198" s="689" customFormat="1" x14ac:dyDescent="0.2"/>
    <row r="24199" s="689" customFormat="1" x14ac:dyDescent="0.2"/>
    <row r="24200" s="689" customFormat="1" x14ac:dyDescent="0.2"/>
    <row r="24201" s="689" customFormat="1" x14ac:dyDescent="0.2"/>
    <row r="24202" s="689" customFormat="1" x14ac:dyDescent="0.2"/>
    <row r="24203" s="689" customFormat="1" x14ac:dyDescent="0.2"/>
    <row r="24204" s="689" customFormat="1" x14ac:dyDescent="0.2"/>
    <row r="24205" s="689" customFormat="1" x14ac:dyDescent="0.2"/>
    <row r="24206" s="689" customFormat="1" x14ac:dyDescent="0.2"/>
    <row r="24207" s="689" customFormat="1" x14ac:dyDescent="0.2"/>
    <row r="24208" s="689" customFormat="1" x14ac:dyDescent="0.2"/>
    <row r="24209" s="689" customFormat="1" x14ac:dyDescent="0.2"/>
    <row r="24210" s="689" customFormat="1" x14ac:dyDescent="0.2"/>
    <row r="24211" s="689" customFormat="1" x14ac:dyDescent="0.2"/>
    <row r="24212" s="689" customFormat="1" x14ac:dyDescent="0.2"/>
    <row r="24213" s="689" customFormat="1" x14ac:dyDescent="0.2"/>
    <row r="24214" s="689" customFormat="1" x14ac:dyDescent="0.2"/>
    <row r="24215" s="689" customFormat="1" x14ac:dyDescent="0.2"/>
    <row r="24216" s="689" customFormat="1" x14ac:dyDescent="0.2"/>
    <row r="24217" s="689" customFormat="1" x14ac:dyDescent="0.2"/>
    <row r="24218" s="689" customFormat="1" x14ac:dyDescent="0.2"/>
    <row r="24219" s="689" customFormat="1" x14ac:dyDescent="0.2"/>
    <row r="24220" s="689" customFormat="1" x14ac:dyDescent="0.2"/>
    <row r="24221" s="689" customFormat="1" x14ac:dyDescent="0.2"/>
    <row r="24222" s="689" customFormat="1" x14ac:dyDescent="0.2"/>
    <row r="24223" s="689" customFormat="1" x14ac:dyDescent="0.2"/>
    <row r="24224" s="689" customFormat="1" x14ac:dyDescent="0.2"/>
    <row r="24225" s="689" customFormat="1" x14ac:dyDescent="0.2"/>
    <row r="24226" s="689" customFormat="1" x14ac:dyDescent="0.2"/>
    <row r="24227" s="689" customFormat="1" x14ac:dyDescent="0.2"/>
    <row r="24228" s="689" customFormat="1" x14ac:dyDescent="0.2"/>
    <row r="24229" s="689" customFormat="1" x14ac:dyDescent="0.2"/>
    <row r="24230" s="689" customFormat="1" x14ac:dyDescent="0.2"/>
    <row r="24231" s="689" customFormat="1" x14ac:dyDescent="0.2"/>
    <row r="24232" s="689" customFormat="1" x14ac:dyDescent="0.2"/>
    <row r="24233" s="689" customFormat="1" x14ac:dyDescent="0.2"/>
    <row r="24234" s="689" customFormat="1" x14ac:dyDescent="0.2"/>
    <row r="24235" s="689" customFormat="1" x14ac:dyDescent="0.2"/>
    <row r="24236" s="689" customFormat="1" x14ac:dyDescent="0.2"/>
    <row r="24237" s="689" customFormat="1" x14ac:dyDescent="0.2"/>
    <row r="24238" s="689" customFormat="1" x14ac:dyDescent="0.2"/>
    <row r="24239" s="689" customFormat="1" x14ac:dyDescent="0.2"/>
    <row r="24240" s="689" customFormat="1" x14ac:dyDescent="0.2"/>
    <row r="24241" s="689" customFormat="1" x14ac:dyDescent="0.2"/>
    <row r="24242" s="689" customFormat="1" x14ac:dyDescent="0.2"/>
    <row r="24243" s="689" customFormat="1" x14ac:dyDescent="0.2"/>
    <row r="24244" s="689" customFormat="1" x14ac:dyDescent="0.2"/>
    <row r="24245" s="689" customFormat="1" x14ac:dyDescent="0.2"/>
    <row r="24246" s="689" customFormat="1" x14ac:dyDescent="0.2"/>
    <row r="24247" s="689" customFormat="1" x14ac:dyDescent="0.2"/>
    <row r="24248" s="689" customFormat="1" x14ac:dyDescent="0.2"/>
    <row r="24249" s="689" customFormat="1" x14ac:dyDescent="0.2"/>
    <row r="24250" s="689" customFormat="1" x14ac:dyDescent="0.2"/>
    <row r="24251" s="689" customFormat="1" x14ac:dyDescent="0.2"/>
    <row r="24252" s="689" customFormat="1" x14ac:dyDescent="0.2"/>
    <row r="24253" s="689" customFormat="1" x14ac:dyDescent="0.2"/>
    <row r="24254" s="689" customFormat="1" x14ac:dyDescent="0.2"/>
    <row r="24255" s="689" customFormat="1" x14ac:dyDescent="0.2"/>
    <row r="24256" s="689" customFormat="1" x14ac:dyDescent="0.2"/>
    <row r="24257" s="689" customFormat="1" x14ac:dyDescent="0.2"/>
    <row r="24258" s="689" customFormat="1" x14ac:dyDescent="0.2"/>
    <row r="24259" s="689" customFormat="1" x14ac:dyDescent="0.2"/>
    <row r="24260" s="689" customFormat="1" x14ac:dyDescent="0.2"/>
    <row r="24261" s="689" customFormat="1" x14ac:dyDescent="0.2"/>
    <row r="24262" s="689" customFormat="1" x14ac:dyDescent="0.2"/>
    <row r="24263" s="689" customFormat="1" x14ac:dyDescent="0.2"/>
    <row r="24264" s="689" customFormat="1" x14ac:dyDescent="0.2"/>
    <row r="24265" s="689" customFormat="1" x14ac:dyDescent="0.2"/>
    <row r="24266" s="689" customFormat="1" x14ac:dyDescent="0.2"/>
    <row r="24267" s="689" customFormat="1" x14ac:dyDescent="0.2"/>
    <row r="24268" s="689" customFormat="1" x14ac:dyDescent="0.2"/>
    <row r="24269" s="689" customFormat="1" x14ac:dyDescent="0.2"/>
    <row r="24270" s="689" customFormat="1" x14ac:dyDescent="0.2"/>
    <row r="24271" s="689" customFormat="1" x14ac:dyDescent="0.2"/>
    <row r="24272" s="689" customFormat="1" x14ac:dyDescent="0.2"/>
    <row r="24273" s="689" customFormat="1" x14ac:dyDescent="0.2"/>
    <row r="24274" s="689" customFormat="1" x14ac:dyDescent="0.2"/>
    <row r="24275" s="689" customFormat="1" x14ac:dyDescent="0.2"/>
    <row r="24276" s="689" customFormat="1" x14ac:dyDescent="0.2"/>
    <row r="24277" s="689" customFormat="1" x14ac:dyDescent="0.2"/>
    <row r="24278" s="689" customFormat="1" x14ac:dyDescent="0.2"/>
    <row r="24279" s="689" customFormat="1" x14ac:dyDescent="0.2"/>
    <row r="24280" s="689" customFormat="1" x14ac:dyDescent="0.2"/>
    <row r="24281" s="689" customFormat="1" x14ac:dyDescent="0.2"/>
    <row r="24282" s="689" customFormat="1" x14ac:dyDescent="0.2"/>
    <row r="24283" s="689" customFormat="1" x14ac:dyDescent="0.2"/>
    <row r="24284" s="689" customFormat="1" x14ac:dyDescent="0.2"/>
    <row r="24285" s="689" customFormat="1" x14ac:dyDescent="0.2"/>
    <row r="24286" s="689" customFormat="1" x14ac:dyDescent="0.2"/>
    <row r="24287" s="689" customFormat="1" x14ac:dyDescent="0.2"/>
    <row r="24288" s="689" customFormat="1" x14ac:dyDescent="0.2"/>
    <row r="24289" s="689" customFormat="1" x14ac:dyDescent="0.2"/>
    <row r="24290" s="689" customFormat="1" x14ac:dyDescent="0.2"/>
    <row r="24291" s="689" customFormat="1" x14ac:dyDescent="0.2"/>
    <row r="24292" s="689" customFormat="1" x14ac:dyDescent="0.2"/>
    <row r="24293" s="689" customFormat="1" x14ac:dyDescent="0.2"/>
    <row r="24294" s="689" customFormat="1" x14ac:dyDescent="0.2"/>
    <row r="24295" s="689" customFormat="1" x14ac:dyDescent="0.2"/>
    <row r="24296" s="689" customFormat="1" x14ac:dyDescent="0.2"/>
    <row r="24297" s="689" customFormat="1" x14ac:dyDescent="0.2"/>
    <row r="24298" s="689" customFormat="1" x14ac:dyDescent="0.2"/>
    <row r="24299" s="689" customFormat="1" x14ac:dyDescent="0.2"/>
    <row r="24300" s="689" customFormat="1" x14ac:dyDescent="0.2"/>
    <row r="24301" s="689" customFormat="1" x14ac:dyDescent="0.2"/>
    <row r="24302" s="689" customFormat="1" x14ac:dyDescent="0.2"/>
    <row r="24303" s="689" customFormat="1" x14ac:dyDescent="0.2"/>
    <row r="24304" s="689" customFormat="1" x14ac:dyDescent="0.2"/>
    <row r="24305" s="689" customFormat="1" x14ac:dyDescent="0.2"/>
    <row r="24306" s="689" customFormat="1" x14ac:dyDescent="0.2"/>
    <row r="24307" s="689" customFormat="1" x14ac:dyDescent="0.2"/>
    <row r="24308" s="689" customFormat="1" x14ac:dyDescent="0.2"/>
    <row r="24309" s="689" customFormat="1" x14ac:dyDescent="0.2"/>
    <row r="24310" s="689" customFormat="1" x14ac:dyDescent="0.2"/>
    <row r="24311" s="689" customFormat="1" x14ac:dyDescent="0.2"/>
    <row r="24312" s="689" customFormat="1" x14ac:dyDescent="0.2"/>
    <row r="24313" s="689" customFormat="1" x14ac:dyDescent="0.2"/>
    <row r="24314" s="689" customFormat="1" x14ac:dyDescent="0.2"/>
    <row r="24315" s="689" customFormat="1" x14ac:dyDescent="0.2"/>
    <row r="24316" s="689" customFormat="1" x14ac:dyDescent="0.2"/>
    <row r="24317" s="689" customFormat="1" x14ac:dyDescent="0.2"/>
    <row r="24318" s="689" customFormat="1" x14ac:dyDescent="0.2"/>
    <row r="24319" s="689" customFormat="1" x14ac:dyDescent="0.2"/>
    <row r="24320" s="689" customFormat="1" x14ac:dyDescent="0.2"/>
    <row r="24321" s="689" customFormat="1" x14ac:dyDescent="0.2"/>
    <row r="24322" s="689" customFormat="1" x14ac:dyDescent="0.2"/>
    <row r="24323" s="689" customFormat="1" x14ac:dyDescent="0.2"/>
    <row r="24324" s="689" customFormat="1" x14ac:dyDescent="0.2"/>
    <row r="24325" s="689" customFormat="1" x14ac:dyDescent="0.2"/>
    <row r="24326" s="689" customFormat="1" x14ac:dyDescent="0.2"/>
    <row r="24327" s="689" customFormat="1" x14ac:dyDescent="0.2"/>
    <row r="24328" s="689" customFormat="1" x14ac:dyDescent="0.2"/>
    <row r="24329" s="689" customFormat="1" x14ac:dyDescent="0.2"/>
    <row r="24330" s="689" customFormat="1" x14ac:dyDescent="0.2"/>
    <row r="24331" s="689" customFormat="1" x14ac:dyDescent="0.2"/>
    <row r="24332" s="689" customFormat="1" x14ac:dyDescent="0.2"/>
    <row r="24333" s="689" customFormat="1" x14ac:dyDescent="0.2"/>
    <row r="24334" s="689" customFormat="1" x14ac:dyDescent="0.2"/>
    <row r="24335" s="689" customFormat="1" x14ac:dyDescent="0.2"/>
    <row r="24336" s="689" customFormat="1" x14ac:dyDescent="0.2"/>
    <row r="24337" s="689" customFormat="1" x14ac:dyDescent="0.2"/>
    <row r="24338" s="689" customFormat="1" x14ac:dyDescent="0.2"/>
    <row r="24339" s="689" customFormat="1" x14ac:dyDescent="0.2"/>
    <row r="24340" s="689" customFormat="1" x14ac:dyDescent="0.2"/>
    <row r="24341" s="689" customFormat="1" x14ac:dyDescent="0.2"/>
    <row r="24342" s="689" customFormat="1" x14ac:dyDescent="0.2"/>
    <row r="24343" s="689" customFormat="1" x14ac:dyDescent="0.2"/>
    <row r="24344" s="689" customFormat="1" x14ac:dyDescent="0.2"/>
    <row r="24345" s="689" customFormat="1" x14ac:dyDescent="0.2"/>
    <row r="24346" s="689" customFormat="1" x14ac:dyDescent="0.2"/>
    <row r="24347" s="689" customFormat="1" x14ac:dyDescent="0.2"/>
    <row r="24348" s="689" customFormat="1" x14ac:dyDescent="0.2"/>
    <row r="24349" s="689" customFormat="1" x14ac:dyDescent="0.2"/>
    <row r="24350" s="689" customFormat="1" x14ac:dyDescent="0.2"/>
    <row r="24351" s="689" customFormat="1" x14ac:dyDescent="0.2"/>
    <row r="24352" s="689" customFormat="1" x14ac:dyDescent="0.2"/>
    <row r="24353" s="689" customFormat="1" x14ac:dyDescent="0.2"/>
    <row r="24354" s="689" customFormat="1" x14ac:dyDescent="0.2"/>
    <row r="24355" s="689" customFormat="1" x14ac:dyDescent="0.2"/>
    <row r="24356" s="689" customFormat="1" x14ac:dyDescent="0.2"/>
    <row r="24357" s="689" customFormat="1" x14ac:dyDescent="0.2"/>
    <row r="24358" s="689" customFormat="1" x14ac:dyDescent="0.2"/>
    <row r="24359" s="689" customFormat="1" x14ac:dyDescent="0.2"/>
    <row r="24360" s="689" customFormat="1" x14ac:dyDescent="0.2"/>
    <row r="24361" s="689" customFormat="1" x14ac:dyDescent="0.2"/>
    <row r="24362" s="689" customFormat="1" x14ac:dyDescent="0.2"/>
    <row r="24363" s="689" customFormat="1" x14ac:dyDescent="0.2"/>
    <row r="24364" s="689" customFormat="1" x14ac:dyDescent="0.2"/>
    <row r="24365" s="689" customFormat="1" x14ac:dyDescent="0.2"/>
    <row r="24366" s="689" customFormat="1" x14ac:dyDescent="0.2"/>
    <row r="24367" s="689" customFormat="1" x14ac:dyDescent="0.2"/>
    <row r="24368" s="689" customFormat="1" x14ac:dyDescent="0.2"/>
    <row r="24369" s="689" customFormat="1" x14ac:dyDescent="0.2"/>
    <row r="24370" s="689" customFormat="1" x14ac:dyDescent="0.2"/>
    <row r="24371" s="689" customFormat="1" x14ac:dyDescent="0.2"/>
    <row r="24372" s="689" customFormat="1" x14ac:dyDescent="0.2"/>
    <row r="24373" s="689" customFormat="1" x14ac:dyDescent="0.2"/>
    <row r="24374" s="689" customFormat="1" x14ac:dyDescent="0.2"/>
    <row r="24375" s="689" customFormat="1" x14ac:dyDescent="0.2"/>
    <row r="24376" s="689" customFormat="1" x14ac:dyDescent="0.2"/>
    <row r="24377" s="689" customFormat="1" x14ac:dyDescent="0.2"/>
    <row r="24378" s="689" customFormat="1" x14ac:dyDescent="0.2"/>
    <row r="24379" s="689" customFormat="1" x14ac:dyDescent="0.2"/>
    <row r="24380" s="689" customFormat="1" x14ac:dyDescent="0.2"/>
    <row r="24381" s="689" customFormat="1" x14ac:dyDescent="0.2"/>
    <row r="24382" s="689" customFormat="1" x14ac:dyDescent="0.2"/>
    <row r="24383" s="689" customFormat="1" x14ac:dyDescent="0.2"/>
    <row r="24384" s="689" customFormat="1" x14ac:dyDescent="0.2"/>
    <row r="24385" s="689" customFormat="1" x14ac:dyDescent="0.2"/>
    <row r="24386" s="689" customFormat="1" x14ac:dyDescent="0.2"/>
    <row r="24387" s="689" customFormat="1" x14ac:dyDescent="0.2"/>
    <row r="24388" s="689" customFormat="1" x14ac:dyDescent="0.2"/>
    <row r="24389" s="689" customFormat="1" x14ac:dyDescent="0.2"/>
    <row r="24390" s="689" customFormat="1" x14ac:dyDescent="0.2"/>
    <row r="24391" s="689" customFormat="1" x14ac:dyDescent="0.2"/>
    <row r="24392" s="689" customFormat="1" x14ac:dyDescent="0.2"/>
    <row r="24393" s="689" customFormat="1" x14ac:dyDescent="0.2"/>
    <row r="24394" s="689" customFormat="1" x14ac:dyDescent="0.2"/>
    <row r="24395" s="689" customFormat="1" x14ac:dyDescent="0.2"/>
    <row r="24396" s="689" customFormat="1" x14ac:dyDescent="0.2"/>
    <row r="24397" s="689" customFormat="1" x14ac:dyDescent="0.2"/>
    <row r="24398" s="689" customFormat="1" x14ac:dyDescent="0.2"/>
    <row r="24399" s="689" customFormat="1" x14ac:dyDescent="0.2"/>
    <row r="24400" s="689" customFormat="1" x14ac:dyDescent="0.2"/>
    <row r="24401" s="689" customFormat="1" x14ac:dyDescent="0.2"/>
    <row r="24402" s="689" customFormat="1" x14ac:dyDescent="0.2"/>
    <row r="24403" s="689" customFormat="1" x14ac:dyDescent="0.2"/>
    <row r="24404" s="689" customFormat="1" x14ac:dyDescent="0.2"/>
    <row r="24405" s="689" customFormat="1" x14ac:dyDescent="0.2"/>
    <row r="24406" s="689" customFormat="1" x14ac:dyDescent="0.2"/>
    <row r="24407" s="689" customFormat="1" x14ac:dyDescent="0.2"/>
    <row r="24408" s="689" customFormat="1" x14ac:dyDescent="0.2"/>
    <row r="24409" s="689" customFormat="1" x14ac:dyDescent="0.2"/>
    <row r="24410" s="689" customFormat="1" x14ac:dyDescent="0.2"/>
    <row r="24411" s="689" customFormat="1" x14ac:dyDescent="0.2"/>
    <row r="24412" s="689" customFormat="1" x14ac:dyDescent="0.2"/>
    <row r="24413" s="689" customFormat="1" x14ac:dyDescent="0.2"/>
    <row r="24414" s="689" customFormat="1" x14ac:dyDescent="0.2"/>
    <row r="24415" s="689" customFormat="1" x14ac:dyDescent="0.2"/>
    <row r="24416" s="689" customFormat="1" x14ac:dyDescent="0.2"/>
    <row r="24417" s="689" customFormat="1" x14ac:dyDescent="0.2"/>
    <row r="24418" s="689" customFormat="1" x14ac:dyDescent="0.2"/>
    <row r="24419" s="689" customFormat="1" x14ac:dyDescent="0.2"/>
    <row r="24420" s="689" customFormat="1" x14ac:dyDescent="0.2"/>
    <row r="24421" s="689" customFormat="1" x14ac:dyDescent="0.2"/>
    <row r="24422" s="689" customFormat="1" x14ac:dyDescent="0.2"/>
    <row r="24423" s="689" customFormat="1" x14ac:dyDescent="0.2"/>
    <row r="24424" s="689" customFormat="1" x14ac:dyDescent="0.2"/>
    <row r="24425" s="689" customFormat="1" x14ac:dyDescent="0.2"/>
    <row r="24426" s="689" customFormat="1" x14ac:dyDescent="0.2"/>
    <row r="24427" s="689" customFormat="1" x14ac:dyDescent="0.2"/>
    <row r="24428" s="689" customFormat="1" x14ac:dyDescent="0.2"/>
    <row r="24429" s="689" customFormat="1" x14ac:dyDescent="0.2"/>
    <row r="24430" s="689" customFormat="1" x14ac:dyDescent="0.2"/>
    <row r="24431" s="689" customFormat="1" x14ac:dyDescent="0.2"/>
    <row r="24432" s="689" customFormat="1" x14ac:dyDescent="0.2"/>
    <row r="24433" s="689" customFormat="1" x14ac:dyDescent="0.2"/>
    <row r="24434" s="689" customFormat="1" x14ac:dyDescent="0.2"/>
    <row r="24435" s="689" customFormat="1" x14ac:dyDescent="0.2"/>
    <row r="24436" s="689" customFormat="1" x14ac:dyDescent="0.2"/>
    <row r="24437" s="689" customFormat="1" x14ac:dyDescent="0.2"/>
    <row r="24438" s="689" customFormat="1" x14ac:dyDescent="0.2"/>
    <row r="24439" s="689" customFormat="1" x14ac:dyDescent="0.2"/>
    <row r="24440" s="689" customFormat="1" x14ac:dyDescent="0.2"/>
    <row r="24441" s="689" customFormat="1" x14ac:dyDescent="0.2"/>
    <row r="24442" s="689" customFormat="1" x14ac:dyDescent="0.2"/>
    <row r="24443" s="689" customFormat="1" x14ac:dyDescent="0.2"/>
    <row r="24444" s="689" customFormat="1" x14ac:dyDescent="0.2"/>
    <row r="24445" s="689" customFormat="1" x14ac:dyDescent="0.2"/>
    <row r="24446" s="689" customFormat="1" x14ac:dyDescent="0.2"/>
    <row r="24447" s="689" customFormat="1" x14ac:dyDescent="0.2"/>
    <row r="24448" s="689" customFormat="1" x14ac:dyDescent="0.2"/>
    <row r="24449" s="689" customFormat="1" x14ac:dyDescent="0.2"/>
    <row r="24450" s="689" customFormat="1" x14ac:dyDescent="0.2"/>
    <row r="24451" s="689" customFormat="1" x14ac:dyDescent="0.2"/>
    <row r="24452" s="689" customFormat="1" x14ac:dyDescent="0.2"/>
    <row r="24453" s="689" customFormat="1" x14ac:dyDescent="0.2"/>
    <row r="24454" s="689" customFormat="1" x14ac:dyDescent="0.2"/>
    <row r="24455" s="689" customFormat="1" x14ac:dyDescent="0.2"/>
    <row r="24456" s="689" customFormat="1" x14ac:dyDescent="0.2"/>
    <row r="24457" s="689" customFormat="1" x14ac:dyDescent="0.2"/>
    <row r="24458" s="689" customFormat="1" x14ac:dyDescent="0.2"/>
    <row r="24459" s="689" customFormat="1" x14ac:dyDescent="0.2"/>
    <row r="24460" s="689" customFormat="1" x14ac:dyDescent="0.2"/>
    <row r="24461" s="689" customFormat="1" x14ac:dyDescent="0.2"/>
    <row r="24462" s="689" customFormat="1" x14ac:dyDescent="0.2"/>
    <row r="24463" s="689" customFormat="1" x14ac:dyDescent="0.2"/>
    <row r="24464" s="689" customFormat="1" x14ac:dyDescent="0.2"/>
    <row r="24465" s="689" customFormat="1" x14ac:dyDescent="0.2"/>
    <row r="24466" s="689" customFormat="1" x14ac:dyDescent="0.2"/>
    <row r="24467" s="689" customFormat="1" x14ac:dyDescent="0.2"/>
    <row r="24468" s="689" customFormat="1" x14ac:dyDescent="0.2"/>
    <row r="24469" s="689" customFormat="1" x14ac:dyDescent="0.2"/>
    <row r="24470" s="689" customFormat="1" x14ac:dyDescent="0.2"/>
    <row r="24471" s="689" customFormat="1" x14ac:dyDescent="0.2"/>
    <row r="24472" s="689" customFormat="1" x14ac:dyDescent="0.2"/>
    <row r="24473" s="689" customFormat="1" x14ac:dyDescent="0.2"/>
    <row r="24474" s="689" customFormat="1" x14ac:dyDescent="0.2"/>
    <row r="24475" s="689" customFormat="1" x14ac:dyDescent="0.2"/>
    <row r="24476" s="689" customFormat="1" x14ac:dyDescent="0.2"/>
    <row r="24477" s="689" customFormat="1" x14ac:dyDescent="0.2"/>
    <row r="24478" s="689" customFormat="1" x14ac:dyDescent="0.2"/>
    <row r="24479" s="689" customFormat="1" x14ac:dyDescent="0.2"/>
    <row r="24480" s="689" customFormat="1" x14ac:dyDescent="0.2"/>
    <row r="24481" s="689" customFormat="1" x14ac:dyDescent="0.2"/>
    <row r="24482" s="689" customFormat="1" x14ac:dyDescent="0.2"/>
    <row r="24483" s="689" customFormat="1" x14ac:dyDescent="0.2"/>
    <row r="24484" s="689" customFormat="1" x14ac:dyDescent="0.2"/>
    <row r="24485" s="689" customFormat="1" x14ac:dyDescent="0.2"/>
    <row r="24486" s="689" customFormat="1" x14ac:dyDescent="0.2"/>
    <row r="24487" s="689" customFormat="1" x14ac:dyDescent="0.2"/>
    <row r="24488" s="689" customFormat="1" x14ac:dyDescent="0.2"/>
    <row r="24489" s="689" customFormat="1" x14ac:dyDescent="0.2"/>
    <row r="24490" s="689" customFormat="1" x14ac:dyDescent="0.2"/>
    <row r="24491" s="689" customFormat="1" x14ac:dyDescent="0.2"/>
    <row r="24492" s="689" customFormat="1" x14ac:dyDescent="0.2"/>
    <row r="24493" s="689" customFormat="1" x14ac:dyDescent="0.2"/>
    <row r="24494" s="689" customFormat="1" x14ac:dyDescent="0.2"/>
    <row r="24495" s="689" customFormat="1" x14ac:dyDescent="0.2"/>
    <row r="24496" s="689" customFormat="1" x14ac:dyDescent="0.2"/>
    <row r="24497" s="689" customFormat="1" x14ac:dyDescent="0.2"/>
    <row r="24498" s="689" customFormat="1" x14ac:dyDescent="0.2"/>
    <row r="24499" s="689" customFormat="1" x14ac:dyDescent="0.2"/>
    <row r="24500" s="689" customFormat="1" x14ac:dyDescent="0.2"/>
    <row r="24501" s="689" customFormat="1" x14ac:dyDescent="0.2"/>
    <row r="24502" s="689" customFormat="1" x14ac:dyDescent="0.2"/>
    <row r="24503" s="689" customFormat="1" x14ac:dyDescent="0.2"/>
    <row r="24504" s="689" customFormat="1" x14ac:dyDescent="0.2"/>
    <row r="24505" s="689" customFormat="1" x14ac:dyDescent="0.2"/>
    <row r="24506" s="689" customFormat="1" x14ac:dyDescent="0.2"/>
    <row r="24507" s="689" customFormat="1" x14ac:dyDescent="0.2"/>
    <row r="24508" s="689" customFormat="1" x14ac:dyDescent="0.2"/>
    <row r="24509" s="689" customFormat="1" x14ac:dyDescent="0.2"/>
    <row r="24510" s="689" customFormat="1" x14ac:dyDescent="0.2"/>
    <row r="24511" s="689" customFormat="1" x14ac:dyDescent="0.2"/>
    <row r="24512" s="689" customFormat="1" x14ac:dyDescent="0.2"/>
    <row r="24513" s="689" customFormat="1" x14ac:dyDescent="0.2"/>
    <row r="24514" s="689" customFormat="1" x14ac:dyDescent="0.2"/>
    <row r="24515" s="689" customFormat="1" x14ac:dyDescent="0.2"/>
    <row r="24516" s="689" customFormat="1" x14ac:dyDescent="0.2"/>
    <row r="24517" s="689" customFormat="1" x14ac:dyDescent="0.2"/>
    <row r="24518" s="689" customFormat="1" x14ac:dyDescent="0.2"/>
    <row r="24519" s="689" customFormat="1" x14ac:dyDescent="0.2"/>
    <row r="24520" s="689" customFormat="1" x14ac:dyDescent="0.2"/>
    <row r="24521" s="689" customFormat="1" x14ac:dyDescent="0.2"/>
    <row r="24522" s="689" customFormat="1" x14ac:dyDescent="0.2"/>
    <row r="24523" s="689" customFormat="1" x14ac:dyDescent="0.2"/>
    <row r="24524" s="689" customFormat="1" x14ac:dyDescent="0.2"/>
    <row r="24525" s="689" customFormat="1" x14ac:dyDescent="0.2"/>
    <row r="24526" s="689" customFormat="1" x14ac:dyDescent="0.2"/>
    <row r="24527" s="689" customFormat="1" x14ac:dyDescent="0.2"/>
    <row r="24528" s="689" customFormat="1" x14ac:dyDescent="0.2"/>
    <row r="24529" s="689" customFormat="1" x14ac:dyDescent="0.2"/>
    <row r="24530" s="689" customFormat="1" x14ac:dyDescent="0.2"/>
    <row r="24531" s="689" customFormat="1" x14ac:dyDescent="0.2"/>
    <row r="24532" s="689" customFormat="1" x14ac:dyDescent="0.2"/>
    <row r="24533" s="689" customFormat="1" x14ac:dyDescent="0.2"/>
    <row r="24534" s="689" customFormat="1" x14ac:dyDescent="0.2"/>
    <row r="24535" s="689" customFormat="1" x14ac:dyDescent="0.2"/>
    <row r="24536" s="689" customFormat="1" x14ac:dyDescent="0.2"/>
    <row r="24537" s="689" customFormat="1" x14ac:dyDescent="0.2"/>
    <row r="24538" s="689" customFormat="1" x14ac:dyDescent="0.2"/>
    <row r="24539" s="689" customFormat="1" x14ac:dyDescent="0.2"/>
    <row r="24540" s="689" customFormat="1" x14ac:dyDescent="0.2"/>
    <row r="24541" s="689" customFormat="1" x14ac:dyDescent="0.2"/>
    <row r="24542" s="689" customFormat="1" x14ac:dyDescent="0.2"/>
    <row r="24543" s="689" customFormat="1" x14ac:dyDescent="0.2"/>
    <row r="24544" s="689" customFormat="1" x14ac:dyDescent="0.2"/>
    <row r="24545" s="689" customFormat="1" x14ac:dyDescent="0.2"/>
    <row r="24546" s="689" customFormat="1" x14ac:dyDescent="0.2"/>
    <row r="24547" s="689" customFormat="1" x14ac:dyDescent="0.2"/>
    <row r="24548" s="689" customFormat="1" x14ac:dyDescent="0.2"/>
    <row r="24549" s="689" customFormat="1" x14ac:dyDescent="0.2"/>
    <row r="24550" s="689" customFormat="1" x14ac:dyDescent="0.2"/>
    <row r="24551" s="689" customFormat="1" x14ac:dyDescent="0.2"/>
    <row r="24552" s="689" customFormat="1" x14ac:dyDescent="0.2"/>
    <row r="24553" s="689" customFormat="1" x14ac:dyDescent="0.2"/>
    <row r="24554" s="689" customFormat="1" x14ac:dyDescent="0.2"/>
    <row r="24555" s="689" customFormat="1" x14ac:dyDescent="0.2"/>
    <row r="24556" s="689" customFormat="1" x14ac:dyDescent="0.2"/>
    <row r="24557" s="689" customFormat="1" x14ac:dyDescent="0.2"/>
    <row r="24558" s="689" customFormat="1" x14ac:dyDescent="0.2"/>
    <row r="24559" s="689" customFormat="1" x14ac:dyDescent="0.2"/>
    <row r="24560" s="689" customFormat="1" x14ac:dyDescent="0.2"/>
    <row r="24561" s="689" customFormat="1" x14ac:dyDescent="0.2"/>
    <row r="24562" s="689" customFormat="1" x14ac:dyDescent="0.2"/>
    <row r="24563" s="689" customFormat="1" x14ac:dyDescent="0.2"/>
    <row r="24564" s="689" customFormat="1" x14ac:dyDescent="0.2"/>
    <row r="24565" s="689" customFormat="1" x14ac:dyDescent="0.2"/>
    <row r="24566" s="689" customFormat="1" x14ac:dyDescent="0.2"/>
    <row r="24567" s="689" customFormat="1" x14ac:dyDescent="0.2"/>
    <row r="24568" s="689" customFormat="1" x14ac:dyDescent="0.2"/>
    <row r="24569" s="689" customFormat="1" x14ac:dyDescent="0.2"/>
    <row r="24570" s="689" customFormat="1" x14ac:dyDescent="0.2"/>
    <row r="24571" s="689" customFormat="1" x14ac:dyDescent="0.2"/>
    <row r="24572" s="689" customFormat="1" x14ac:dyDescent="0.2"/>
    <row r="24573" s="689" customFormat="1" x14ac:dyDescent="0.2"/>
    <row r="24574" s="689" customFormat="1" x14ac:dyDescent="0.2"/>
    <row r="24575" s="689" customFormat="1" x14ac:dyDescent="0.2"/>
    <row r="24576" s="689" customFormat="1" x14ac:dyDescent="0.2"/>
    <row r="24577" s="689" customFormat="1" x14ac:dyDescent="0.2"/>
    <row r="24578" s="689" customFormat="1" x14ac:dyDescent="0.2"/>
    <row r="24579" s="689" customFormat="1" x14ac:dyDescent="0.2"/>
    <row r="24580" s="689" customFormat="1" x14ac:dyDescent="0.2"/>
    <row r="24581" s="689" customFormat="1" x14ac:dyDescent="0.2"/>
    <row r="24582" s="689" customFormat="1" x14ac:dyDescent="0.2"/>
    <row r="24583" s="689" customFormat="1" x14ac:dyDescent="0.2"/>
    <row r="24584" s="689" customFormat="1" x14ac:dyDescent="0.2"/>
    <row r="24585" s="689" customFormat="1" x14ac:dyDescent="0.2"/>
    <row r="24586" s="689" customFormat="1" x14ac:dyDescent="0.2"/>
    <row r="24587" s="689" customFormat="1" x14ac:dyDescent="0.2"/>
    <row r="24588" s="689" customFormat="1" x14ac:dyDescent="0.2"/>
    <row r="24589" s="689" customFormat="1" x14ac:dyDescent="0.2"/>
    <row r="24590" s="689" customFormat="1" x14ac:dyDescent="0.2"/>
    <row r="24591" s="689" customFormat="1" x14ac:dyDescent="0.2"/>
    <row r="24592" s="689" customFormat="1" x14ac:dyDescent="0.2"/>
    <row r="24593" s="689" customFormat="1" x14ac:dyDescent="0.2"/>
    <row r="24594" s="689" customFormat="1" x14ac:dyDescent="0.2"/>
    <row r="24595" s="689" customFormat="1" x14ac:dyDescent="0.2"/>
    <row r="24596" s="689" customFormat="1" x14ac:dyDescent="0.2"/>
    <row r="24597" s="689" customFormat="1" x14ac:dyDescent="0.2"/>
    <row r="24598" s="689" customFormat="1" x14ac:dyDescent="0.2"/>
    <row r="24599" s="689" customFormat="1" x14ac:dyDescent="0.2"/>
    <row r="24600" s="689" customFormat="1" x14ac:dyDescent="0.2"/>
    <row r="24601" s="689" customFormat="1" x14ac:dyDescent="0.2"/>
    <row r="24602" s="689" customFormat="1" x14ac:dyDescent="0.2"/>
    <row r="24603" s="689" customFormat="1" x14ac:dyDescent="0.2"/>
    <row r="24604" s="689" customFormat="1" x14ac:dyDescent="0.2"/>
    <row r="24605" s="689" customFormat="1" x14ac:dyDescent="0.2"/>
    <row r="24606" s="689" customFormat="1" x14ac:dyDescent="0.2"/>
    <row r="24607" s="689" customFormat="1" x14ac:dyDescent="0.2"/>
    <row r="24608" s="689" customFormat="1" x14ac:dyDescent="0.2"/>
    <row r="24609" s="689" customFormat="1" x14ac:dyDescent="0.2"/>
    <row r="24610" s="689" customFormat="1" x14ac:dyDescent="0.2"/>
    <row r="24611" s="689" customFormat="1" x14ac:dyDescent="0.2"/>
    <row r="24612" s="689" customFormat="1" x14ac:dyDescent="0.2"/>
    <row r="24613" s="689" customFormat="1" x14ac:dyDescent="0.2"/>
    <row r="24614" s="689" customFormat="1" x14ac:dyDescent="0.2"/>
    <row r="24615" s="689" customFormat="1" x14ac:dyDescent="0.2"/>
    <row r="24616" s="689" customFormat="1" x14ac:dyDescent="0.2"/>
    <row r="24617" s="689" customFormat="1" x14ac:dyDescent="0.2"/>
    <row r="24618" s="689" customFormat="1" x14ac:dyDescent="0.2"/>
    <row r="24619" s="689" customFormat="1" x14ac:dyDescent="0.2"/>
    <row r="24620" s="689" customFormat="1" x14ac:dyDescent="0.2"/>
    <row r="24621" s="689" customFormat="1" x14ac:dyDescent="0.2"/>
    <row r="24622" s="689" customFormat="1" x14ac:dyDescent="0.2"/>
    <row r="24623" s="689" customFormat="1" x14ac:dyDescent="0.2"/>
    <row r="24624" s="689" customFormat="1" x14ac:dyDescent="0.2"/>
    <row r="24625" s="689" customFormat="1" x14ac:dyDescent="0.2"/>
    <row r="24626" s="689" customFormat="1" x14ac:dyDescent="0.2"/>
    <row r="24627" s="689" customFormat="1" x14ac:dyDescent="0.2"/>
    <row r="24628" s="689" customFormat="1" x14ac:dyDescent="0.2"/>
    <row r="24629" s="689" customFormat="1" x14ac:dyDescent="0.2"/>
    <row r="24630" s="689" customFormat="1" x14ac:dyDescent="0.2"/>
    <row r="24631" s="689" customFormat="1" x14ac:dyDescent="0.2"/>
    <row r="24632" s="689" customFormat="1" x14ac:dyDescent="0.2"/>
    <row r="24633" s="689" customFormat="1" x14ac:dyDescent="0.2"/>
    <row r="24634" s="689" customFormat="1" x14ac:dyDescent="0.2"/>
    <row r="24635" s="689" customFormat="1" x14ac:dyDescent="0.2"/>
    <row r="24636" s="689" customFormat="1" x14ac:dyDescent="0.2"/>
    <row r="24637" s="689" customFormat="1" x14ac:dyDescent="0.2"/>
    <row r="24638" s="689" customFormat="1" x14ac:dyDescent="0.2"/>
    <row r="24639" s="689" customFormat="1" x14ac:dyDescent="0.2"/>
    <row r="24640" s="689" customFormat="1" x14ac:dyDescent="0.2"/>
    <row r="24641" s="689" customFormat="1" x14ac:dyDescent="0.2"/>
    <row r="24642" s="689" customFormat="1" x14ac:dyDescent="0.2"/>
    <row r="24643" s="689" customFormat="1" x14ac:dyDescent="0.2"/>
    <row r="24644" s="689" customFormat="1" x14ac:dyDescent="0.2"/>
    <row r="24645" s="689" customFormat="1" x14ac:dyDescent="0.2"/>
    <row r="24646" s="689" customFormat="1" x14ac:dyDescent="0.2"/>
    <row r="24647" s="689" customFormat="1" x14ac:dyDescent="0.2"/>
    <row r="24648" s="689" customFormat="1" x14ac:dyDescent="0.2"/>
    <row r="24649" s="689" customFormat="1" x14ac:dyDescent="0.2"/>
    <row r="24650" s="689" customFormat="1" x14ac:dyDescent="0.2"/>
    <row r="24651" s="689" customFormat="1" x14ac:dyDescent="0.2"/>
    <row r="24652" s="689" customFormat="1" x14ac:dyDescent="0.2"/>
    <row r="24653" s="689" customFormat="1" x14ac:dyDescent="0.2"/>
    <row r="24654" s="689" customFormat="1" x14ac:dyDescent="0.2"/>
    <row r="24655" s="689" customFormat="1" x14ac:dyDescent="0.2"/>
    <row r="24656" s="689" customFormat="1" x14ac:dyDescent="0.2"/>
    <row r="24657" s="689" customFormat="1" x14ac:dyDescent="0.2"/>
    <row r="24658" s="689" customFormat="1" x14ac:dyDescent="0.2"/>
    <row r="24659" s="689" customFormat="1" x14ac:dyDescent="0.2"/>
    <row r="24660" s="689" customFormat="1" x14ac:dyDescent="0.2"/>
    <row r="24661" s="689" customFormat="1" x14ac:dyDescent="0.2"/>
    <row r="24662" s="689" customFormat="1" x14ac:dyDescent="0.2"/>
    <row r="24663" s="689" customFormat="1" x14ac:dyDescent="0.2"/>
    <row r="24664" s="689" customFormat="1" x14ac:dyDescent="0.2"/>
    <row r="24665" s="689" customFormat="1" x14ac:dyDescent="0.2"/>
    <row r="24666" s="689" customFormat="1" x14ac:dyDescent="0.2"/>
    <row r="24667" s="689" customFormat="1" x14ac:dyDescent="0.2"/>
    <row r="24668" s="689" customFormat="1" x14ac:dyDescent="0.2"/>
    <row r="24669" s="689" customFormat="1" x14ac:dyDescent="0.2"/>
    <row r="24670" s="689" customFormat="1" x14ac:dyDescent="0.2"/>
    <row r="24671" s="689" customFormat="1" x14ac:dyDescent="0.2"/>
    <row r="24672" s="689" customFormat="1" x14ac:dyDescent="0.2"/>
    <row r="24673" s="689" customFormat="1" x14ac:dyDescent="0.2"/>
    <row r="24674" s="689" customFormat="1" x14ac:dyDescent="0.2"/>
    <row r="24675" s="689" customFormat="1" x14ac:dyDescent="0.2"/>
    <row r="24676" s="689" customFormat="1" x14ac:dyDescent="0.2"/>
    <row r="24677" s="689" customFormat="1" x14ac:dyDescent="0.2"/>
    <row r="24678" s="689" customFormat="1" x14ac:dyDescent="0.2"/>
    <row r="24679" s="689" customFormat="1" x14ac:dyDescent="0.2"/>
    <row r="24680" s="689" customFormat="1" x14ac:dyDescent="0.2"/>
    <row r="24681" s="689" customFormat="1" x14ac:dyDescent="0.2"/>
    <row r="24682" s="689" customFormat="1" x14ac:dyDescent="0.2"/>
    <row r="24683" s="689" customFormat="1" x14ac:dyDescent="0.2"/>
    <row r="24684" s="689" customFormat="1" x14ac:dyDescent="0.2"/>
    <row r="24685" s="689" customFormat="1" x14ac:dyDescent="0.2"/>
    <row r="24686" s="689" customFormat="1" x14ac:dyDescent="0.2"/>
    <row r="24687" s="689" customFormat="1" x14ac:dyDescent="0.2"/>
    <row r="24688" s="689" customFormat="1" x14ac:dyDescent="0.2"/>
    <row r="24689" s="689" customFormat="1" x14ac:dyDescent="0.2"/>
    <row r="24690" s="689" customFormat="1" x14ac:dyDescent="0.2"/>
    <row r="24691" s="689" customFormat="1" x14ac:dyDescent="0.2"/>
    <row r="24692" s="689" customFormat="1" x14ac:dyDescent="0.2"/>
    <row r="24693" s="689" customFormat="1" x14ac:dyDescent="0.2"/>
    <row r="24694" s="689" customFormat="1" x14ac:dyDescent="0.2"/>
    <row r="24695" s="689" customFormat="1" x14ac:dyDescent="0.2"/>
    <row r="24696" s="689" customFormat="1" x14ac:dyDescent="0.2"/>
    <row r="24697" s="689" customFormat="1" x14ac:dyDescent="0.2"/>
    <row r="24698" s="689" customFormat="1" x14ac:dyDescent="0.2"/>
    <row r="24699" s="689" customFormat="1" x14ac:dyDescent="0.2"/>
    <row r="24700" s="689" customFormat="1" x14ac:dyDescent="0.2"/>
    <row r="24701" s="689" customFormat="1" x14ac:dyDescent="0.2"/>
    <row r="24702" s="689" customFormat="1" x14ac:dyDescent="0.2"/>
    <row r="24703" s="689" customFormat="1" x14ac:dyDescent="0.2"/>
    <row r="24704" s="689" customFormat="1" x14ac:dyDescent="0.2"/>
    <row r="24705" s="689" customFormat="1" x14ac:dyDescent="0.2"/>
    <row r="24706" s="689" customFormat="1" x14ac:dyDescent="0.2"/>
    <row r="24707" s="689" customFormat="1" x14ac:dyDescent="0.2"/>
    <row r="24708" s="689" customFormat="1" x14ac:dyDescent="0.2"/>
    <row r="24709" s="689" customFormat="1" x14ac:dyDescent="0.2"/>
    <row r="24710" s="689" customFormat="1" x14ac:dyDescent="0.2"/>
    <row r="24711" s="689" customFormat="1" x14ac:dyDescent="0.2"/>
    <row r="24712" s="689" customFormat="1" x14ac:dyDescent="0.2"/>
    <row r="24713" s="689" customFormat="1" x14ac:dyDescent="0.2"/>
    <row r="24714" s="689" customFormat="1" x14ac:dyDescent="0.2"/>
    <row r="24715" s="689" customFormat="1" x14ac:dyDescent="0.2"/>
    <row r="24716" s="689" customFormat="1" x14ac:dyDescent="0.2"/>
    <row r="24717" s="689" customFormat="1" x14ac:dyDescent="0.2"/>
    <row r="24718" s="689" customFormat="1" x14ac:dyDescent="0.2"/>
    <row r="24719" s="689" customFormat="1" x14ac:dyDescent="0.2"/>
    <row r="24720" s="689" customFormat="1" x14ac:dyDescent="0.2"/>
    <row r="24721" s="689" customFormat="1" x14ac:dyDescent="0.2"/>
    <row r="24722" s="689" customFormat="1" x14ac:dyDescent="0.2"/>
    <row r="24723" s="689" customFormat="1" x14ac:dyDescent="0.2"/>
    <row r="24724" s="689" customFormat="1" x14ac:dyDescent="0.2"/>
    <row r="24725" s="689" customFormat="1" x14ac:dyDescent="0.2"/>
    <row r="24726" s="689" customFormat="1" x14ac:dyDescent="0.2"/>
    <row r="24727" s="689" customFormat="1" x14ac:dyDescent="0.2"/>
    <row r="24728" s="689" customFormat="1" x14ac:dyDescent="0.2"/>
    <row r="24729" s="689" customFormat="1" x14ac:dyDescent="0.2"/>
    <row r="24730" s="689" customFormat="1" x14ac:dyDescent="0.2"/>
    <row r="24731" s="689" customFormat="1" x14ac:dyDescent="0.2"/>
    <row r="24732" s="689" customFormat="1" x14ac:dyDescent="0.2"/>
    <row r="24733" s="689" customFormat="1" x14ac:dyDescent="0.2"/>
    <row r="24734" s="689" customFormat="1" x14ac:dyDescent="0.2"/>
    <row r="24735" s="689" customFormat="1" x14ac:dyDescent="0.2"/>
    <row r="24736" s="689" customFormat="1" x14ac:dyDescent="0.2"/>
    <row r="24737" s="689" customFormat="1" x14ac:dyDescent="0.2"/>
    <row r="24738" s="689" customFormat="1" x14ac:dyDescent="0.2"/>
    <row r="24739" s="689" customFormat="1" x14ac:dyDescent="0.2"/>
    <row r="24740" s="689" customFormat="1" x14ac:dyDescent="0.2"/>
    <row r="24741" s="689" customFormat="1" x14ac:dyDescent="0.2"/>
    <row r="24742" s="689" customFormat="1" x14ac:dyDescent="0.2"/>
    <row r="24743" s="689" customFormat="1" x14ac:dyDescent="0.2"/>
    <row r="24744" s="689" customFormat="1" x14ac:dyDescent="0.2"/>
    <row r="24745" s="689" customFormat="1" x14ac:dyDescent="0.2"/>
    <row r="24746" s="689" customFormat="1" x14ac:dyDescent="0.2"/>
    <row r="24747" s="689" customFormat="1" x14ac:dyDescent="0.2"/>
    <row r="24748" s="689" customFormat="1" x14ac:dyDescent="0.2"/>
    <row r="24749" s="689" customFormat="1" x14ac:dyDescent="0.2"/>
    <row r="24750" s="689" customFormat="1" x14ac:dyDescent="0.2"/>
    <row r="24751" s="689" customFormat="1" x14ac:dyDescent="0.2"/>
    <row r="24752" s="689" customFormat="1" x14ac:dyDescent="0.2"/>
    <row r="24753" s="689" customFormat="1" x14ac:dyDescent="0.2"/>
    <row r="24754" s="689" customFormat="1" x14ac:dyDescent="0.2"/>
    <row r="24755" s="689" customFormat="1" x14ac:dyDescent="0.2"/>
    <row r="24756" s="689" customFormat="1" x14ac:dyDescent="0.2"/>
    <row r="24757" s="689" customFormat="1" x14ac:dyDescent="0.2"/>
    <row r="24758" s="689" customFormat="1" x14ac:dyDescent="0.2"/>
    <row r="24759" s="689" customFormat="1" x14ac:dyDescent="0.2"/>
    <row r="24760" s="689" customFormat="1" x14ac:dyDescent="0.2"/>
    <row r="24761" s="689" customFormat="1" x14ac:dyDescent="0.2"/>
    <row r="24762" s="689" customFormat="1" x14ac:dyDescent="0.2"/>
    <row r="24763" s="689" customFormat="1" x14ac:dyDescent="0.2"/>
    <row r="24764" s="689" customFormat="1" x14ac:dyDescent="0.2"/>
    <row r="24765" s="689" customFormat="1" x14ac:dyDescent="0.2"/>
    <row r="24766" s="689" customFormat="1" x14ac:dyDescent="0.2"/>
    <row r="24767" s="689" customFormat="1" x14ac:dyDescent="0.2"/>
    <row r="24768" s="689" customFormat="1" x14ac:dyDescent="0.2"/>
    <row r="24769" s="689" customFormat="1" x14ac:dyDescent="0.2"/>
    <row r="24770" s="689" customFormat="1" x14ac:dyDescent="0.2"/>
    <row r="24771" s="689" customFormat="1" x14ac:dyDescent="0.2"/>
    <row r="24772" s="689" customFormat="1" x14ac:dyDescent="0.2"/>
    <row r="24773" s="689" customFormat="1" x14ac:dyDescent="0.2"/>
    <row r="24774" s="689" customFormat="1" x14ac:dyDescent="0.2"/>
    <row r="24775" s="689" customFormat="1" x14ac:dyDescent="0.2"/>
    <row r="24776" s="689" customFormat="1" x14ac:dyDescent="0.2"/>
    <row r="24777" s="689" customFormat="1" x14ac:dyDescent="0.2"/>
    <row r="24778" s="689" customFormat="1" x14ac:dyDescent="0.2"/>
    <row r="24779" s="689" customFormat="1" x14ac:dyDescent="0.2"/>
    <row r="24780" s="689" customFormat="1" x14ac:dyDescent="0.2"/>
    <row r="24781" s="689" customFormat="1" x14ac:dyDescent="0.2"/>
    <row r="24782" s="689" customFormat="1" x14ac:dyDescent="0.2"/>
    <row r="24783" s="689" customFormat="1" x14ac:dyDescent="0.2"/>
    <row r="24784" s="689" customFormat="1" x14ac:dyDescent="0.2"/>
    <row r="24785" s="689" customFormat="1" x14ac:dyDescent="0.2"/>
    <row r="24786" s="689" customFormat="1" x14ac:dyDescent="0.2"/>
    <row r="24787" s="689" customFormat="1" x14ac:dyDescent="0.2"/>
    <row r="24788" s="689" customFormat="1" x14ac:dyDescent="0.2"/>
    <row r="24789" s="689" customFormat="1" x14ac:dyDescent="0.2"/>
    <row r="24790" s="689" customFormat="1" x14ac:dyDescent="0.2"/>
    <row r="24791" s="689" customFormat="1" x14ac:dyDescent="0.2"/>
    <row r="24792" s="689" customFormat="1" x14ac:dyDescent="0.2"/>
    <row r="24793" s="689" customFormat="1" x14ac:dyDescent="0.2"/>
    <row r="24794" s="689" customFormat="1" x14ac:dyDescent="0.2"/>
    <row r="24795" s="689" customFormat="1" x14ac:dyDescent="0.2"/>
    <row r="24796" s="689" customFormat="1" x14ac:dyDescent="0.2"/>
    <row r="24797" s="689" customFormat="1" x14ac:dyDescent="0.2"/>
    <row r="24798" s="689" customFormat="1" x14ac:dyDescent="0.2"/>
    <row r="24799" s="689" customFormat="1" x14ac:dyDescent="0.2"/>
    <row r="24800" s="689" customFormat="1" x14ac:dyDescent="0.2"/>
    <row r="24801" s="689" customFormat="1" x14ac:dyDescent="0.2"/>
    <row r="24802" s="689" customFormat="1" x14ac:dyDescent="0.2"/>
    <row r="24803" s="689" customFormat="1" x14ac:dyDescent="0.2"/>
    <row r="24804" s="689" customFormat="1" x14ac:dyDescent="0.2"/>
    <row r="24805" s="689" customFormat="1" x14ac:dyDescent="0.2"/>
    <row r="24806" s="689" customFormat="1" x14ac:dyDescent="0.2"/>
    <row r="24807" s="689" customFormat="1" x14ac:dyDescent="0.2"/>
    <row r="24808" s="689" customFormat="1" x14ac:dyDescent="0.2"/>
    <row r="24809" s="689" customFormat="1" x14ac:dyDescent="0.2"/>
    <row r="24810" s="689" customFormat="1" x14ac:dyDescent="0.2"/>
    <row r="24811" s="689" customFormat="1" x14ac:dyDescent="0.2"/>
    <row r="24812" s="689" customFormat="1" x14ac:dyDescent="0.2"/>
    <row r="24813" s="689" customFormat="1" x14ac:dyDescent="0.2"/>
    <row r="24814" s="689" customFormat="1" x14ac:dyDescent="0.2"/>
    <row r="24815" s="689" customFormat="1" x14ac:dyDescent="0.2"/>
    <row r="24816" s="689" customFormat="1" x14ac:dyDescent="0.2"/>
    <row r="24817" s="689" customFormat="1" x14ac:dyDescent="0.2"/>
    <row r="24818" s="689" customFormat="1" x14ac:dyDescent="0.2"/>
    <row r="24819" s="689" customFormat="1" x14ac:dyDescent="0.2"/>
    <row r="24820" s="689" customFormat="1" x14ac:dyDescent="0.2"/>
    <row r="24821" s="689" customFormat="1" x14ac:dyDescent="0.2"/>
    <row r="24822" s="689" customFormat="1" x14ac:dyDescent="0.2"/>
    <row r="24823" s="689" customFormat="1" x14ac:dyDescent="0.2"/>
    <row r="24824" s="689" customFormat="1" x14ac:dyDescent="0.2"/>
    <row r="24825" s="689" customFormat="1" x14ac:dyDescent="0.2"/>
    <row r="24826" s="689" customFormat="1" x14ac:dyDescent="0.2"/>
    <row r="24827" s="689" customFormat="1" x14ac:dyDescent="0.2"/>
    <row r="24828" s="689" customFormat="1" x14ac:dyDescent="0.2"/>
    <row r="24829" s="689" customFormat="1" x14ac:dyDescent="0.2"/>
    <row r="24830" s="689" customFormat="1" x14ac:dyDescent="0.2"/>
    <row r="24831" s="689" customFormat="1" x14ac:dyDescent="0.2"/>
    <row r="24832" s="689" customFormat="1" x14ac:dyDescent="0.2"/>
    <row r="24833" s="689" customFormat="1" x14ac:dyDescent="0.2"/>
    <row r="24834" s="689" customFormat="1" x14ac:dyDescent="0.2"/>
    <row r="24835" s="689" customFormat="1" x14ac:dyDescent="0.2"/>
    <row r="24836" s="689" customFormat="1" x14ac:dyDescent="0.2"/>
    <row r="24837" s="689" customFormat="1" x14ac:dyDescent="0.2"/>
    <row r="24838" s="689" customFormat="1" x14ac:dyDescent="0.2"/>
    <row r="24839" s="689" customFormat="1" x14ac:dyDescent="0.2"/>
    <row r="24840" s="689" customFormat="1" x14ac:dyDescent="0.2"/>
    <row r="24841" s="689" customFormat="1" x14ac:dyDescent="0.2"/>
    <row r="24842" s="689" customFormat="1" x14ac:dyDescent="0.2"/>
    <row r="24843" s="689" customFormat="1" x14ac:dyDescent="0.2"/>
    <row r="24844" s="689" customFormat="1" x14ac:dyDescent="0.2"/>
    <row r="24845" s="689" customFormat="1" x14ac:dyDescent="0.2"/>
    <row r="24846" s="689" customFormat="1" x14ac:dyDescent="0.2"/>
    <row r="24847" s="689" customFormat="1" x14ac:dyDescent="0.2"/>
    <row r="24848" s="689" customFormat="1" x14ac:dyDescent="0.2"/>
    <row r="24849" s="689" customFormat="1" x14ac:dyDescent="0.2"/>
    <row r="24850" s="689" customFormat="1" x14ac:dyDescent="0.2"/>
    <row r="24851" s="689" customFormat="1" x14ac:dyDescent="0.2"/>
    <row r="24852" s="689" customFormat="1" x14ac:dyDescent="0.2"/>
    <row r="24853" s="689" customFormat="1" x14ac:dyDescent="0.2"/>
    <row r="24854" s="689" customFormat="1" x14ac:dyDescent="0.2"/>
    <row r="24855" s="689" customFormat="1" x14ac:dyDescent="0.2"/>
    <row r="24856" s="689" customFormat="1" x14ac:dyDescent="0.2"/>
    <row r="24857" s="689" customFormat="1" x14ac:dyDescent="0.2"/>
    <row r="24858" s="689" customFormat="1" x14ac:dyDescent="0.2"/>
    <row r="24859" s="689" customFormat="1" x14ac:dyDescent="0.2"/>
    <row r="24860" s="689" customFormat="1" x14ac:dyDescent="0.2"/>
    <row r="24861" s="689" customFormat="1" x14ac:dyDescent="0.2"/>
    <row r="24862" s="689" customFormat="1" x14ac:dyDescent="0.2"/>
    <row r="24863" s="689" customFormat="1" x14ac:dyDescent="0.2"/>
    <row r="24864" s="689" customFormat="1" x14ac:dyDescent="0.2"/>
    <row r="24865" s="689" customFormat="1" x14ac:dyDescent="0.2"/>
    <row r="24866" s="689" customFormat="1" x14ac:dyDescent="0.2"/>
    <row r="24867" s="689" customFormat="1" x14ac:dyDescent="0.2"/>
    <row r="24868" s="689" customFormat="1" x14ac:dyDescent="0.2"/>
    <row r="24869" s="689" customFormat="1" x14ac:dyDescent="0.2"/>
    <row r="24870" s="689" customFormat="1" x14ac:dyDescent="0.2"/>
    <row r="24871" s="689" customFormat="1" x14ac:dyDescent="0.2"/>
    <row r="24872" s="689" customFormat="1" x14ac:dyDescent="0.2"/>
    <row r="24873" s="689" customFormat="1" x14ac:dyDescent="0.2"/>
    <row r="24874" s="689" customFormat="1" x14ac:dyDescent="0.2"/>
    <row r="24875" s="689" customFormat="1" x14ac:dyDescent="0.2"/>
    <row r="24876" s="689" customFormat="1" x14ac:dyDescent="0.2"/>
    <row r="24877" s="689" customFormat="1" x14ac:dyDescent="0.2"/>
    <row r="24878" s="689" customFormat="1" x14ac:dyDescent="0.2"/>
    <row r="24879" s="689" customFormat="1" x14ac:dyDescent="0.2"/>
    <row r="24880" s="689" customFormat="1" x14ac:dyDescent="0.2"/>
    <row r="24881" s="689" customFormat="1" x14ac:dyDescent="0.2"/>
    <row r="24882" s="689" customFormat="1" x14ac:dyDescent="0.2"/>
    <row r="24883" s="689" customFormat="1" x14ac:dyDescent="0.2"/>
    <row r="24884" s="689" customFormat="1" x14ac:dyDescent="0.2"/>
    <row r="24885" s="689" customFormat="1" x14ac:dyDescent="0.2"/>
    <row r="24886" s="689" customFormat="1" x14ac:dyDescent="0.2"/>
    <row r="24887" s="689" customFormat="1" x14ac:dyDescent="0.2"/>
    <row r="24888" s="689" customFormat="1" x14ac:dyDescent="0.2"/>
    <row r="24889" s="689" customFormat="1" x14ac:dyDescent="0.2"/>
    <row r="24890" s="689" customFormat="1" x14ac:dyDescent="0.2"/>
    <row r="24891" s="689" customFormat="1" x14ac:dyDescent="0.2"/>
    <row r="24892" s="689" customFormat="1" x14ac:dyDescent="0.2"/>
    <row r="24893" s="689" customFormat="1" x14ac:dyDescent="0.2"/>
    <row r="24894" s="689" customFormat="1" x14ac:dyDescent="0.2"/>
    <row r="24895" s="689" customFormat="1" x14ac:dyDescent="0.2"/>
    <row r="24896" s="689" customFormat="1" x14ac:dyDescent="0.2"/>
    <row r="24897" s="689" customFormat="1" x14ac:dyDescent="0.2"/>
    <row r="24898" s="689" customFormat="1" x14ac:dyDescent="0.2"/>
    <row r="24899" s="689" customFormat="1" x14ac:dyDescent="0.2"/>
    <row r="24900" s="689" customFormat="1" x14ac:dyDescent="0.2"/>
    <row r="24901" s="689" customFormat="1" x14ac:dyDescent="0.2"/>
    <row r="24902" s="689" customFormat="1" x14ac:dyDescent="0.2"/>
    <row r="24903" s="689" customFormat="1" x14ac:dyDescent="0.2"/>
    <row r="24904" s="689" customFormat="1" x14ac:dyDescent="0.2"/>
    <row r="24905" s="689" customFormat="1" x14ac:dyDescent="0.2"/>
    <row r="24906" s="689" customFormat="1" x14ac:dyDescent="0.2"/>
    <row r="24907" s="689" customFormat="1" x14ac:dyDescent="0.2"/>
    <row r="24908" s="689" customFormat="1" x14ac:dyDescent="0.2"/>
    <row r="24909" s="689" customFormat="1" x14ac:dyDescent="0.2"/>
    <row r="24910" s="689" customFormat="1" x14ac:dyDescent="0.2"/>
    <row r="24911" s="689" customFormat="1" x14ac:dyDescent="0.2"/>
    <row r="24912" s="689" customFormat="1" x14ac:dyDescent="0.2"/>
    <row r="24913" s="689" customFormat="1" x14ac:dyDescent="0.2"/>
    <row r="24914" s="689" customFormat="1" x14ac:dyDescent="0.2"/>
    <row r="24915" s="689" customFormat="1" x14ac:dyDescent="0.2"/>
    <row r="24916" s="689" customFormat="1" x14ac:dyDescent="0.2"/>
    <row r="24917" s="689" customFormat="1" x14ac:dyDescent="0.2"/>
    <row r="24918" s="689" customFormat="1" x14ac:dyDescent="0.2"/>
    <row r="24919" s="689" customFormat="1" x14ac:dyDescent="0.2"/>
    <row r="24920" s="689" customFormat="1" x14ac:dyDescent="0.2"/>
    <row r="24921" s="689" customFormat="1" x14ac:dyDescent="0.2"/>
    <row r="24922" s="689" customFormat="1" x14ac:dyDescent="0.2"/>
    <row r="24923" s="689" customFormat="1" x14ac:dyDescent="0.2"/>
    <row r="24924" s="689" customFormat="1" x14ac:dyDescent="0.2"/>
    <row r="24925" s="689" customFormat="1" x14ac:dyDescent="0.2"/>
    <row r="24926" s="689" customFormat="1" x14ac:dyDescent="0.2"/>
    <row r="24927" s="689" customFormat="1" x14ac:dyDescent="0.2"/>
    <row r="24928" s="689" customFormat="1" x14ac:dyDescent="0.2"/>
    <row r="24929" s="689" customFormat="1" x14ac:dyDescent="0.2"/>
    <row r="24930" s="689" customFormat="1" x14ac:dyDescent="0.2"/>
    <row r="24931" s="689" customFormat="1" x14ac:dyDescent="0.2"/>
    <row r="24932" s="689" customFormat="1" x14ac:dyDescent="0.2"/>
    <row r="24933" s="689" customFormat="1" x14ac:dyDescent="0.2"/>
    <row r="24934" s="689" customFormat="1" x14ac:dyDescent="0.2"/>
    <row r="24935" s="689" customFormat="1" x14ac:dyDescent="0.2"/>
    <row r="24936" s="689" customFormat="1" x14ac:dyDescent="0.2"/>
    <row r="24937" s="689" customFormat="1" x14ac:dyDescent="0.2"/>
    <row r="24938" s="689" customFormat="1" x14ac:dyDescent="0.2"/>
    <row r="24939" s="689" customFormat="1" x14ac:dyDescent="0.2"/>
    <row r="24940" s="689" customFormat="1" x14ac:dyDescent="0.2"/>
    <row r="24941" s="689" customFormat="1" x14ac:dyDescent="0.2"/>
    <row r="24942" s="689" customFormat="1" x14ac:dyDescent="0.2"/>
    <row r="24943" s="689" customFormat="1" x14ac:dyDescent="0.2"/>
    <row r="24944" s="689" customFormat="1" x14ac:dyDescent="0.2"/>
    <row r="24945" s="689" customFormat="1" x14ac:dyDescent="0.2"/>
    <row r="24946" s="689" customFormat="1" x14ac:dyDescent="0.2"/>
    <row r="24947" s="689" customFormat="1" x14ac:dyDescent="0.2"/>
    <row r="24948" s="689" customFormat="1" x14ac:dyDescent="0.2"/>
    <row r="24949" s="689" customFormat="1" x14ac:dyDescent="0.2"/>
    <row r="24950" s="689" customFormat="1" x14ac:dyDescent="0.2"/>
    <row r="24951" s="689" customFormat="1" x14ac:dyDescent="0.2"/>
    <row r="24952" s="689" customFormat="1" x14ac:dyDescent="0.2"/>
    <row r="24953" s="689" customFormat="1" x14ac:dyDescent="0.2"/>
    <row r="24954" s="689" customFormat="1" x14ac:dyDescent="0.2"/>
    <row r="24955" s="689" customFormat="1" x14ac:dyDescent="0.2"/>
    <row r="24956" s="689" customFormat="1" x14ac:dyDescent="0.2"/>
    <row r="24957" s="689" customFormat="1" x14ac:dyDescent="0.2"/>
    <row r="24958" s="689" customFormat="1" x14ac:dyDescent="0.2"/>
    <row r="24959" s="689" customFormat="1" x14ac:dyDescent="0.2"/>
    <row r="24960" s="689" customFormat="1" x14ac:dyDescent="0.2"/>
    <row r="24961" s="689" customFormat="1" x14ac:dyDescent="0.2"/>
    <row r="24962" s="689" customFormat="1" x14ac:dyDescent="0.2"/>
    <row r="24963" s="689" customFormat="1" x14ac:dyDescent="0.2"/>
    <row r="24964" s="689" customFormat="1" x14ac:dyDescent="0.2"/>
    <row r="24965" s="689" customFormat="1" x14ac:dyDescent="0.2"/>
    <row r="24966" s="689" customFormat="1" x14ac:dyDescent="0.2"/>
    <row r="24967" s="689" customFormat="1" x14ac:dyDescent="0.2"/>
    <row r="24968" s="689" customFormat="1" x14ac:dyDescent="0.2"/>
    <row r="24969" s="689" customFormat="1" x14ac:dyDescent="0.2"/>
    <row r="24970" s="689" customFormat="1" x14ac:dyDescent="0.2"/>
    <row r="24971" s="689" customFormat="1" x14ac:dyDescent="0.2"/>
    <row r="24972" s="689" customFormat="1" x14ac:dyDescent="0.2"/>
    <row r="24973" s="689" customFormat="1" x14ac:dyDescent="0.2"/>
    <row r="24974" s="689" customFormat="1" x14ac:dyDescent="0.2"/>
    <row r="24975" s="689" customFormat="1" x14ac:dyDescent="0.2"/>
    <row r="24976" s="689" customFormat="1" x14ac:dyDescent="0.2"/>
    <row r="24977" s="689" customFormat="1" x14ac:dyDescent="0.2"/>
    <row r="24978" s="689" customFormat="1" x14ac:dyDescent="0.2"/>
    <row r="24979" s="689" customFormat="1" x14ac:dyDescent="0.2"/>
    <row r="24980" s="689" customFormat="1" x14ac:dyDescent="0.2"/>
    <row r="24981" s="689" customFormat="1" x14ac:dyDescent="0.2"/>
    <row r="24982" s="689" customFormat="1" x14ac:dyDescent="0.2"/>
    <row r="24983" s="689" customFormat="1" x14ac:dyDescent="0.2"/>
    <row r="24984" s="689" customFormat="1" x14ac:dyDescent="0.2"/>
    <row r="24985" s="689" customFormat="1" x14ac:dyDescent="0.2"/>
    <row r="24986" s="689" customFormat="1" x14ac:dyDescent="0.2"/>
    <row r="24987" s="689" customFormat="1" x14ac:dyDescent="0.2"/>
    <row r="24988" s="689" customFormat="1" x14ac:dyDescent="0.2"/>
    <row r="24989" s="689" customFormat="1" x14ac:dyDescent="0.2"/>
    <row r="24990" s="689" customFormat="1" x14ac:dyDescent="0.2"/>
    <row r="24991" s="689" customFormat="1" x14ac:dyDescent="0.2"/>
    <row r="24992" s="689" customFormat="1" x14ac:dyDescent="0.2"/>
    <row r="24993" s="689" customFormat="1" x14ac:dyDescent="0.2"/>
    <row r="24994" s="689" customFormat="1" x14ac:dyDescent="0.2"/>
    <row r="24995" s="689" customFormat="1" x14ac:dyDescent="0.2"/>
    <row r="24996" s="689" customFormat="1" x14ac:dyDescent="0.2"/>
    <row r="24997" s="689" customFormat="1" x14ac:dyDescent="0.2"/>
    <row r="24998" s="689" customFormat="1" x14ac:dyDescent="0.2"/>
    <row r="24999" s="689" customFormat="1" x14ac:dyDescent="0.2"/>
    <row r="25000" s="689" customFormat="1" x14ac:dyDescent="0.2"/>
    <row r="25001" s="689" customFormat="1" x14ac:dyDescent="0.2"/>
    <row r="25002" s="689" customFormat="1" x14ac:dyDescent="0.2"/>
    <row r="25003" s="689" customFormat="1" x14ac:dyDescent="0.2"/>
    <row r="25004" s="689" customFormat="1" x14ac:dyDescent="0.2"/>
    <row r="25005" s="689" customFormat="1" x14ac:dyDescent="0.2"/>
    <row r="25006" s="689" customFormat="1" x14ac:dyDescent="0.2"/>
    <row r="25007" s="689" customFormat="1" x14ac:dyDescent="0.2"/>
    <row r="25008" s="689" customFormat="1" x14ac:dyDescent="0.2"/>
    <row r="25009" s="689" customFormat="1" x14ac:dyDescent="0.2"/>
    <row r="25010" s="689" customFormat="1" x14ac:dyDescent="0.2"/>
    <row r="25011" s="689" customFormat="1" x14ac:dyDescent="0.2"/>
    <row r="25012" s="689" customFormat="1" x14ac:dyDescent="0.2"/>
    <row r="25013" s="689" customFormat="1" x14ac:dyDescent="0.2"/>
    <row r="25014" s="689" customFormat="1" x14ac:dyDescent="0.2"/>
    <row r="25015" s="689" customFormat="1" x14ac:dyDescent="0.2"/>
    <row r="25016" s="689" customFormat="1" x14ac:dyDescent="0.2"/>
    <row r="25017" s="689" customFormat="1" x14ac:dyDescent="0.2"/>
    <row r="25018" s="689" customFormat="1" x14ac:dyDescent="0.2"/>
    <row r="25019" s="689" customFormat="1" x14ac:dyDescent="0.2"/>
    <row r="25020" s="689" customFormat="1" x14ac:dyDescent="0.2"/>
    <row r="25021" s="689" customFormat="1" x14ac:dyDescent="0.2"/>
    <row r="25022" s="689" customFormat="1" x14ac:dyDescent="0.2"/>
    <row r="25023" s="689" customFormat="1" x14ac:dyDescent="0.2"/>
    <row r="25024" s="689" customFormat="1" x14ac:dyDescent="0.2"/>
    <row r="25025" s="689" customFormat="1" x14ac:dyDescent="0.2"/>
    <row r="25026" s="689" customFormat="1" x14ac:dyDescent="0.2"/>
    <row r="25027" s="689" customFormat="1" x14ac:dyDescent="0.2"/>
    <row r="25028" s="689" customFormat="1" x14ac:dyDescent="0.2"/>
    <row r="25029" s="689" customFormat="1" x14ac:dyDescent="0.2"/>
    <row r="25030" s="689" customFormat="1" x14ac:dyDescent="0.2"/>
    <row r="25031" s="689" customFormat="1" x14ac:dyDescent="0.2"/>
    <row r="25032" s="689" customFormat="1" x14ac:dyDescent="0.2"/>
    <row r="25033" s="689" customFormat="1" x14ac:dyDescent="0.2"/>
    <row r="25034" s="689" customFormat="1" x14ac:dyDescent="0.2"/>
    <row r="25035" s="689" customFormat="1" x14ac:dyDescent="0.2"/>
    <row r="25036" s="689" customFormat="1" x14ac:dyDescent="0.2"/>
    <row r="25037" s="689" customFormat="1" x14ac:dyDescent="0.2"/>
    <row r="25038" s="689" customFormat="1" x14ac:dyDescent="0.2"/>
    <row r="25039" s="689" customFormat="1" x14ac:dyDescent="0.2"/>
    <row r="25040" s="689" customFormat="1" x14ac:dyDescent="0.2"/>
    <row r="25041" s="689" customFormat="1" x14ac:dyDescent="0.2"/>
    <row r="25042" s="689" customFormat="1" x14ac:dyDescent="0.2"/>
    <row r="25043" s="689" customFormat="1" x14ac:dyDescent="0.2"/>
    <row r="25044" s="689" customFormat="1" x14ac:dyDescent="0.2"/>
    <row r="25045" s="689" customFormat="1" x14ac:dyDescent="0.2"/>
    <row r="25046" s="689" customFormat="1" x14ac:dyDescent="0.2"/>
    <row r="25047" s="689" customFormat="1" x14ac:dyDescent="0.2"/>
    <row r="25048" s="689" customFormat="1" x14ac:dyDescent="0.2"/>
    <row r="25049" s="689" customFormat="1" x14ac:dyDescent="0.2"/>
    <row r="25050" s="689" customFormat="1" x14ac:dyDescent="0.2"/>
    <row r="25051" s="689" customFormat="1" x14ac:dyDescent="0.2"/>
    <row r="25052" s="689" customFormat="1" x14ac:dyDescent="0.2"/>
    <row r="25053" s="689" customFormat="1" x14ac:dyDescent="0.2"/>
    <row r="25054" s="689" customFormat="1" x14ac:dyDescent="0.2"/>
    <row r="25055" s="689" customFormat="1" x14ac:dyDescent="0.2"/>
    <row r="25056" s="689" customFormat="1" x14ac:dyDescent="0.2"/>
    <row r="25057" s="689" customFormat="1" x14ac:dyDescent="0.2"/>
    <row r="25058" s="689" customFormat="1" x14ac:dyDescent="0.2"/>
    <row r="25059" s="689" customFormat="1" x14ac:dyDescent="0.2"/>
    <row r="25060" s="689" customFormat="1" x14ac:dyDescent="0.2"/>
    <row r="25061" s="689" customFormat="1" x14ac:dyDescent="0.2"/>
    <row r="25062" s="689" customFormat="1" x14ac:dyDescent="0.2"/>
    <row r="25063" s="689" customFormat="1" x14ac:dyDescent="0.2"/>
    <row r="25064" s="689" customFormat="1" x14ac:dyDescent="0.2"/>
    <row r="25065" s="689" customFormat="1" x14ac:dyDescent="0.2"/>
    <row r="25066" s="689" customFormat="1" x14ac:dyDescent="0.2"/>
    <row r="25067" s="689" customFormat="1" x14ac:dyDescent="0.2"/>
    <row r="25068" s="689" customFormat="1" x14ac:dyDescent="0.2"/>
    <row r="25069" s="689" customFormat="1" x14ac:dyDescent="0.2"/>
    <row r="25070" s="689" customFormat="1" x14ac:dyDescent="0.2"/>
    <row r="25071" s="689" customFormat="1" x14ac:dyDescent="0.2"/>
    <row r="25072" s="689" customFormat="1" x14ac:dyDescent="0.2"/>
    <row r="25073" s="689" customFormat="1" x14ac:dyDescent="0.2"/>
    <row r="25074" s="689" customFormat="1" x14ac:dyDescent="0.2"/>
    <row r="25075" s="689" customFormat="1" x14ac:dyDescent="0.2"/>
    <row r="25076" s="689" customFormat="1" x14ac:dyDescent="0.2"/>
    <row r="25077" s="689" customFormat="1" x14ac:dyDescent="0.2"/>
    <row r="25078" s="689" customFormat="1" x14ac:dyDescent="0.2"/>
    <row r="25079" s="689" customFormat="1" x14ac:dyDescent="0.2"/>
    <row r="25080" s="689" customFormat="1" x14ac:dyDescent="0.2"/>
    <row r="25081" s="689" customFormat="1" x14ac:dyDescent="0.2"/>
    <row r="25082" s="689" customFormat="1" x14ac:dyDescent="0.2"/>
    <row r="25083" s="689" customFormat="1" x14ac:dyDescent="0.2"/>
    <row r="25084" s="689" customFormat="1" x14ac:dyDescent="0.2"/>
    <row r="25085" s="689" customFormat="1" x14ac:dyDescent="0.2"/>
    <row r="25086" s="689" customFormat="1" x14ac:dyDescent="0.2"/>
    <row r="25087" s="689" customFormat="1" x14ac:dyDescent="0.2"/>
    <row r="25088" s="689" customFormat="1" x14ac:dyDescent="0.2"/>
    <row r="25089" s="689" customFormat="1" x14ac:dyDescent="0.2"/>
    <row r="25090" s="689" customFormat="1" x14ac:dyDescent="0.2"/>
    <row r="25091" s="689" customFormat="1" x14ac:dyDescent="0.2"/>
    <row r="25092" s="689" customFormat="1" x14ac:dyDescent="0.2"/>
    <row r="25093" s="689" customFormat="1" x14ac:dyDescent="0.2"/>
    <row r="25094" s="689" customFormat="1" x14ac:dyDescent="0.2"/>
    <row r="25095" s="689" customFormat="1" x14ac:dyDescent="0.2"/>
    <row r="25096" s="689" customFormat="1" x14ac:dyDescent="0.2"/>
    <row r="25097" s="689" customFormat="1" x14ac:dyDescent="0.2"/>
    <row r="25098" s="689" customFormat="1" x14ac:dyDescent="0.2"/>
    <row r="25099" s="689" customFormat="1" x14ac:dyDescent="0.2"/>
    <row r="25100" s="689" customFormat="1" x14ac:dyDescent="0.2"/>
    <row r="25101" s="689" customFormat="1" x14ac:dyDescent="0.2"/>
    <row r="25102" s="689" customFormat="1" x14ac:dyDescent="0.2"/>
    <row r="25103" s="689" customFormat="1" x14ac:dyDescent="0.2"/>
    <row r="25104" s="689" customFormat="1" x14ac:dyDescent="0.2"/>
    <row r="25105" s="689" customFormat="1" x14ac:dyDescent="0.2"/>
    <row r="25106" s="689" customFormat="1" x14ac:dyDescent="0.2"/>
    <row r="25107" s="689" customFormat="1" x14ac:dyDescent="0.2"/>
    <row r="25108" s="689" customFormat="1" x14ac:dyDescent="0.2"/>
    <row r="25109" s="689" customFormat="1" x14ac:dyDescent="0.2"/>
    <row r="25110" s="689" customFormat="1" x14ac:dyDescent="0.2"/>
    <row r="25111" s="689" customFormat="1" x14ac:dyDescent="0.2"/>
    <row r="25112" s="689" customFormat="1" x14ac:dyDescent="0.2"/>
    <row r="25113" s="689" customFormat="1" x14ac:dyDescent="0.2"/>
    <row r="25114" s="689" customFormat="1" x14ac:dyDescent="0.2"/>
    <row r="25115" s="689" customFormat="1" x14ac:dyDescent="0.2"/>
    <row r="25116" s="689" customFormat="1" x14ac:dyDescent="0.2"/>
    <row r="25117" s="689" customFormat="1" x14ac:dyDescent="0.2"/>
    <row r="25118" s="689" customFormat="1" x14ac:dyDescent="0.2"/>
    <row r="25119" s="689" customFormat="1" x14ac:dyDescent="0.2"/>
    <row r="25120" s="689" customFormat="1" x14ac:dyDescent="0.2"/>
    <row r="25121" s="689" customFormat="1" x14ac:dyDescent="0.2"/>
    <row r="25122" s="689" customFormat="1" x14ac:dyDescent="0.2"/>
    <row r="25123" s="689" customFormat="1" x14ac:dyDescent="0.2"/>
    <row r="25124" s="689" customFormat="1" x14ac:dyDescent="0.2"/>
    <row r="25125" s="689" customFormat="1" x14ac:dyDescent="0.2"/>
    <row r="25126" s="689" customFormat="1" x14ac:dyDescent="0.2"/>
    <row r="25127" s="689" customFormat="1" x14ac:dyDescent="0.2"/>
    <row r="25128" s="689" customFormat="1" x14ac:dyDescent="0.2"/>
    <row r="25129" s="689" customFormat="1" x14ac:dyDescent="0.2"/>
    <row r="25130" s="689" customFormat="1" x14ac:dyDescent="0.2"/>
    <row r="25131" s="689" customFormat="1" x14ac:dyDescent="0.2"/>
    <row r="25132" s="689" customFormat="1" x14ac:dyDescent="0.2"/>
    <row r="25133" s="689" customFormat="1" x14ac:dyDescent="0.2"/>
    <row r="25134" s="689" customFormat="1" x14ac:dyDescent="0.2"/>
    <row r="25135" s="689" customFormat="1" x14ac:dyDescent="0.2"/>
    <row r="25136" s="689" customFormat="1" x14ac:dyDescent="0.2"/>
    <row r="25137" s="689" customFormat="1" x14ac:dyDescent="0.2"/>
    <row r="25138" s="689" customFormat="1" x14ac:dyDescent="0.2"/>
    <row r="25139" s="689" customFormat="1" x14ac:dyDescent="0.2"/>
    <row r="25140" s="689" customFormat="1" x14ac:dyDescent="0.2"/>
    <row r="25141" s="689" customFormat="1" x14ac:dyDescent="0.2"/>
    <row r="25142" s="689" customFormat="1" x14ac:dyDescent="0.2"/>
    <row r="25143" s="689" customFormat="1" x14ac:dyDescent="0.2"/>
    <row r="25144" s="689" customFormat="1" x14ac:dyDescent="0.2"/>
    <row r="25145" s="689" customFormat="1" x14ac:dyDescent="0.2"/>
    <row r="25146" s="689" customFormat="1" x14ac:dyDescent="0.2"/>
    <row r="25147" s="689" customFormat="1" x14ac:dyDescent="0.2"/>
    <row r="25148" s="689" customFormat="1" x14ac:dyDescent="0.2"/>
    <row r="25149" s="689" customFormat="1" x14ac:dyDescent="0.2"/>
    <row r="25150" s="689" customFormat="1" x14ac:dyDescent="0.2"/>
    <row r="25151" s="689" customFormat="1" x14ac:dyDescent="0.2"/>
    <row r="25152" s="689" customFormat="1" x14ac:dyDescent="0.2"/>
    <row r="25153" s="689" customFormat="1" x14ac:dyDescent="0.2"/>
    <row r="25154" s="689" customFormat="1" x14ac:dyDescent="0.2"/>
    <row r="25155" s="689" customFormat="1" x14ac:dyDescent="0.2"/>
    <row r="25156" s="689" customFormat="1" x14ac:dyDescent="0.2"/>
    <row r="25157" s="689" customFormat="1" x14ac:dyDescent="0.2"/>
    <row r="25158" s="689" customFormat="1" x14ac:dyDescent="0.2"/>
    <row r="25159" s="689" customFormat="1" x14ac:dyDescent="0.2"/>
    <row r="25160" s="689" customFormat="1" x14ac:dyDescent="0.2"/>
    <row r="25161" s="689" customFormat="1" x14ac:dyDescent="0.2"/>
    <row r="25162" s="689" customFormat="1" x14ac:dyDescent="0.2"/>
    <row r="25163" s="689" customFormat="1" x14ac:dyDescent="0.2"/>
    <row r="25164" s="689" customFormat="1" x14ac:dyDescent="0.2"/>
    <row r="25165" s="689" customFormat="1" x14ac:dyDescent="0.2"/>
    <row r="25166" s="689" customFormat="1" x14ac:dyDescent="0.2"/>
    <row r="25167" s="689" customFormat="1" x14ac:dyDescent="0.2"/>
    <row r="25168" s="689" customFormat="1" x14ac:dyDescent="0.2"/>
    <row r="25169" s="689" customFormat="1" x14ac:dyDescent="0.2"/>
    <row r="25170" s="689" customFormat="1" x14ac:dyDescent="0.2"/>
    <row r="25171" s="689" customFormat="1" x14ac:dyDescent="0.2"/>
    <row r="25172" s="689" customFormat="1" x14ac:dyDescent="0.2"/>
    <row r="25173" s="689" customFormat="1" x14ac:dyDescent="0.2"/>
    <row r="25174" s="689" customFormat="1" x14ac:dyDescent="0.2"/>
    <row r="25175" s="689" customFormat="1" x14ac:dyDescent="0.2"/>
    <row r="25176" s="689" customFormat="1" x14ac:dyDescent="0.2"/>
    <row r="25177" s="689" customFormat="1" x14ac:dyDescent="0.2"/>
    <row r="25178" s="689" customFormat="1" x14ac:dyDescent="0.2"/>
    <row r="25179" s="689" customFormat="1" x14ac:dyDescent="0.2"/>
    <row r="25180" s="689" customFormat="1" x14ac:dyDescent="0.2"/>
    <row r="25181" s="689" customFormat="1" x14ac:dyDescent="0.2"/>
    <row r="25182" s="689" customFormat="1" x14ac:dyDescent="0.2"/>
    <row r="25183" s="689" customFormat="1" x14ac:dyDescent="0.2"/>
    <row r="25184" s="689" customFormat="1" x14ac:dyDescent="0.2"/>
    <row r="25185" s="689" customFormat="1" x14ac:dyDescent="0.2"/>
    <row r="25186" s="689" customFormat="1" x14ac:dyDescent="0.2"/>
    <row r="25187" s="689" customFormat="1" x14ac:dyDescent="0.2"/>
    <row r="25188" s="689" customFormat="1" x14ac:dyDescent="0.2"/>
    <row r="25189" s="689" customFormat="1" x14ac:dyDescent="0.2"/>
    <row r="25190" s="689" customFormat="1" x14ac:dyDescent="0.2"/>
    <row r="25191" s="689" customFormat="1" x14ac:dyDescent="0.2"/>
    <row r="25192" s="689" customFormat="1" x14ac:dyDescent="0.2"/>
    <row r="25193" s="689" customFormat="1" x14ac:dyDescent="0.2"/>
    <row r="25194" s="689" customFormat="1" x14ac:dyDescent="0.2"/>
    <row r="25195" s="689" customFormat="1" x14ac:dyDescent="0.2"/>
    <row r="25196" s="689" customFormat="1" x14ac:dyDescent="0.2"/>
    <row r="25197" s="689" customFormat="1" x14ac:dyDescent="0.2"/>
    <row r="25198" s="689" customFormat="1" x14ac:dyDescent="0.2"/>
    <row r="25199" s="689" customFormat="1" x14ac:dyDescent="0.2"/>
    <row r="25200" s="689" customFormat="1" x14ac:dyDescent="0.2"/>
    <row r="25201" s="689" customFormat="1" x14ac:dyDescent="0.2"/>
    <row r="25202" s="689" customFormat="1" x14ac:dyDescent="0.2"/>
    <row r="25203" s="689" customFormat="1" x14ac:dyDescent="0.2"/>
    <row r="25204" s="689" customFormat="1" x14ac:dyDescent="0.2"/>
    <row r="25205" s="689" customFormat="1" x14ac:dyDescent="0.2"/>
    <row r="25206" s="689" customFormat="1" x14ac:dyDescent="0.2"/>
    <row r="25207" s="689" customFormat="1" x14ac:dyDescent="0.2"/>
    <row r="25208" s="689" customFormat="1" x14ac:dyDescent="0.2"/>
    <row r="25209" s="689" customFormat="1" x14ac:dyDescent="0.2"/>
    <row r="25210" s="689" customFormat="1" x14ac:dyDescent="0.2"/>
    <row r="25211" s="689" customFormat="1" x14ac:dyDescent="0.2"/>
    <row r="25212" s="689" customFormat="1" x14ac:dyDescent="0.2"/>
    <row r="25213" s="689" customFormat="1" x14ac:dyDescent="0.2"/>
    <row r="25214" s="689" customFormat="1" x14ac:dyDescent="0.2"/>
    <row r="25215" s="689" customFormat="1" x14ac:dyDescent="0.2"/>
    <row r="25216" s="689" customFormat="1" x14ac:dyDescent="0.2"/>
    <row r="25217" s="689" customFormat="1" x14ac:dyDescent="0.2"/>
    <row r="25218" s="689" customFormat="1" x14ac:dyDescent="0.2"/>
    <row r="25219" s="689" customFormat="1" x14ac:dyDescent="0.2"/>
    <row r="25220" s="689" customFormat="1" x14ac:dyDescent="0.2"/>
    <row r="25221" s="689" customFormat="1" x14ac:dyDescent="0.2"/>
    <row r="25222" s="689" customFormat="1" x14ac:dyDescent="0.2"/>
    <row r="25223" s="689" customFormat="1" x14ac:dyDescent="0.2"/>
    <row r="25224" s="689" customFormat="1" x14ac:dyDescent="0.2"/>
    <row r="25225" s="689" customFormat="1" x14ac:dyDescent="0.2"/>
    <row r="25226" s="689" customFormat="1" x14ac:dyDescent="0.2"/>
    <row r="25227" s="689" customFormat="1" x14ac:dyDescent="0.2"/>
    <row r="25228" s="689" customFormat="1" x14ac:dyDescent="0.2"/>
    <row r="25229" s="689" customFormat="1" x14ac:dyDescent="0.2"/>
    <row r="25230" s="689" customFormat="1" x14ac:dyDescent="0.2"/>
    <row r="25231" s="689" customFormat="1" x14ac:dyDescent="0.2"/>
    <row r="25232" s="689" customFormat="1" x14ac:dyDescent="0.2"/>
    <row r="25233" s="689" customFormat="1" x14ac:dyDescent="0.2"/>
    <row r="25234" s="689" customFormat="1" x14ac:dyDescent="0.2"/>
    <row r="25235" s="689" customFormat="1" x14ac:dyDescent="0.2"/>
    <row r="25236" s="689" customFormat="1" x14ac:dyDescent="0.2"/>
    <row r="25237" s="689" customFormat="1" x14ac:dyDescent="0.2"/>
    <row r="25238" s="689" customFormat="1" x14ac:dyDescent="0.2"/>
    <row r="25239" s="689" customFormat="1" x14ac:dyDescent="0.2"/>
    <row r="25240" s="689" customFormat="1" x14ac:dyDescent="0.2"/>
    <row r="25241" s="689" customFormat="1" x14ac:dyDescent="0.2"/>
    <row r="25242" s="689" customFormat="1" x14ac:dyDescent="0.2"/>
    <row r="25243" s="689" customFormat="1" x14ac:dyDescent="0.2"/>
    <row r="25244" s="689" customFormat="1" x14ac:dyDescent="0.2"/>
    <row r="25245" s="689" customFormat="1" x14ac:dyDescent="0.2"/>
    <row r="25246" s="689" customFormat="1" x14ac:dyDescent="0.2"/>
    <row r="25247" s="689" customFormat="1" x14ac:dyDescent="0.2"/>
    <row r="25248" s="689" customFormat="1" x14ac:dyDescent="0.2"/>
    <row r="25249" s="689" customFormat="1" x14ac:dyDescent="0.2"/>
    <row r="25250" s="689" customFormat="1" x14ac:dyDescent="0.2"/>
    <row r="25251" s="689" customFormat="1" x14ac:dyDescent="0.2"/>
    <row r="25252" s="689" customFormat="1" x14ac:dyDescent="0.2"/>
    <row r="25253" s="689" customFormat="1" x14ac:dyDescent="0.2"/>
    <row r="25254" s="689" customFormat="1" x14ac:dyDescent="0.2"/>
    <row r="25255" s="689" customFormat="1" x14ac:dyDescent="0.2"/>
    <row r="25256" s="689" customFormat="1" x14ac:dyDescent="0.2"/>
    <row r="25257" s="689" customFormat="1" x14ac:dyDescent="0.2"/>
    <row r="25258" s="689" customFormat="1" x14ac:dyDescent="0.2"/>
    <row r="25259" s="689" customFormat="1" x14ac:dyDescent="0.2"/>
    <row r="25260" s="689" customFormat="1" x14ac:dyDescent="0.2"/>
    <row r="25261" s="689" customFormat="1" x14ac:dyDescent="0.2"/>
    <row r="25262" s="689" customFormat="1" x14ac:dyDescent="0.2"/>
    <row r="25263" s="689" customFormat="1" x14ac:dyDescent="0.2"/>
    <row r="25264" s="689" customFormat="1" x14ac:dyDescent="0.2"/>
    <row r="25265" s="689" customFormat="1" x14ac:dyDescent="0.2"/>
    <row r="25266" s="689" customFormat="1" x14ac:dyDescent="0.2"/>
    <row r="25267" s="689" customFormat="1" x14ac:dyDescent="0.2"/>
    <row r="25268" s="689" customFormat="1" x14ac:dyDescent="0.2"/>
    <row r="25269" s="689" customFormat="1" x14ac:dyDescent="0.2"/>
    <row r="25270" s="689" customFormat="1" x14ac:dyDescent="0.2"/>
    <row r="25271" s="689" customFormat="1" x14ac:dyDescent="0.2"/>
    <row r="25272" s="689" customFormat="1" x14ac:dyDescent="0.2"/>
    <row r="25273" s="689" customFormat="1" x14ac:dyDescent="0.2"/>
    <row r="25274" s="689" customFormat="1" x14ac:dyDescent="0.2"/>
    <row r="25275" s="689" customFormat="1" x14ac:dyDescent="0.2"/>
    <row r="25276" s="689" customFormat="1" x14ac:dyDescent="0.2"/>
    <row r="25277" s="689" customFormat="1" x14ac:dyDescent="0.2"/>
    <row r="25278" s="689" customFormat="1" x14ac:dyDescent="0.2"/>
    <row r="25279" s="689" customFormat="1" x14ac:dyDescent="0.2"/>
    <row r="25280" s="689" customFormat="1" x14ac:dyDescent="0.2"/>
    <row r="25281" s="689" customFormat="1" x14ac:dyDescent="0.2"/>
    <row r="25282" s="689" customFormat="1" x14ac:dyDescent="0.2"/>
    <row r="25283" s="689" customFormat="1" x14ac:dyDescent="0.2"/>
    <row r="25284" s="689" customFormat="1" x14ac:dyDescent="0.2"/>
    <row r="25285" s="689" customFormat="1" x14ac:dyDescent="0.2"/>
    <row r="25286" s="689" customFormat="1" x14ac:dyDescent="0.2"/>
    <row r="25287" s="689" customFormat="1" x14ac:dyDescent="0.2"/>
    <row r="25288" s="689" customFormat="1" x14ac:dyDescent="0.2"/>
    <row r="25289" s="689" customFormat="1" x14ac:dyDescent="0.2"/>
    <row r="25290" s="689" customFormat="1" x14ac:dyDescent="0.2"/>
    <row r="25291" s="689" customFormat="1" x14ac:dyDescent="0.2"/>
    <row r="25292" s="689" customFormat="1" x14ac:dyDescent="0.2"/>
    <row r="25293" s="689" customFormat="1" x14ac:dyDescent="0.2"/>
    <row r="25294" s="689" customFormat="1" x14ac:dyDescent="0.2"/>
    <row r="25295" s="689" customFormat="1" x14ac:dyDescent="0.2"/>
    <row r="25296" s="689" customFormat="1" x14ac:dyDescent="0.2"/>
    <row r="25297" s="689" customFormat="1" x14ac:dyDescent="0.2"/>
    <row r="25298" s="689" customFormat="1" x14ac:dyDescent="0.2"/>
    <row r="25299" s="689" customFormat="1" x14ac:dyDescent="0.2"/>
    <row r="25300" s="689" customFormat="1" x14ac:dyDescent="0.2"/>
    <row r="25301" s="689" customFormat="1" x14ac:dyDescent="0.2"/>
    <row r="25302" s="689" customFormat="1" x14ac:dyDescent="0.2"/>
    <row r="25303" s="689" customFormat="1" x14ac:dyDescent="0.2"/>
    <row r="25304" s="689" customFormat="1" x14ac:dyDescent="0.2"/>
    <row r="25305" s="689" customFormat="1" x14ac:dyDescent="0.2"/>
    <row r="25306" s="689" customFormat="1" x14ac:dyDescent="0.2"/>
    <row r="25307" s="689" customFormat="1" x14ac:dyDescent="0.2"/>
    <row r="25308" s="689" customFormat="1" x14ac:dyDescent="0.2"/>
    <row r="25309" s="689" customFormat="1" x14ac:dyDescent="0.2"/>
    <row r="25310" s="689" customFormat="1" x14ac:dyDescent="0.2"/>
    <row r="25311" s="689" customFormat="1" x14ac:dyDescent="0.2"/>
    <row r="25312" s="689" customFormat="1" x14ac:dyDescent="0.2"/>
    <row r="25313" s="689" customFormat="1" x14ac:dyDescent="0.2"/>
    <row r="25314" s="689" customFormat="1" x14ac:dyDescent="0.2"/>
    <row r="25315" s="689" customFormat="1" x14ac:dyDescent="0.2"/>
    <row r="25316" s="689" customFormat="1" x14ac:dyDescent="0.2"/>
    <row r="25317" s="689" customFormat="1" x14ac:dyDescent="0.2"/>
    <row r="25318" s="689" customFormat="1" x14ac:dyDescent="0.2"/>
    <row r="25319" s="689" customFormat="1" x14ac:dyDescent="0.2"/>
    <row r="25320" s="689" customFormat="1" x14ac:dyDescent="0.2"/>
    <row r="25321" s="689" customFormat="1" x14ac:dyDescent="0.2"/>
    <row r="25322" s="689" customFormat="1" x14ac:dyDescent="0.2"/>
    <row r="25323" s="689" customFormat="1" x14ac:dyDescent="0.2"/>
    <row r="25324" s="689" customFormat="1" x14ac:dyDescent="0.2"/>
    <row r="25325" s="689" customFormat="1" x14ac:dyDescent="0.2"/>
    <row r="25326" s="689" customFormat="1" x14ac:dyDescent="0.2"/>
    <row r="25327" s="689" customFormat="1" x14ac:dyDescent="0.2"/>
    <row r="25328" s="689" customFormat="1" x14ac:dyDescent="0.2"/>
    <row r="25329" s="689" customFormat="1" x14ac:dyDescent="0.2"/>
    <row r="25330" s="689" customFormat="1" x14ac:dyDescent="0.2"/>
    <row r="25331" s="689" customFormat="1" x14ac:dyDescent="0.2"/>
    <row r="25332" s="689" customFormat="1" x14ac:dyDescent="0.2"/>
    <row r="25333" s="689" customFormat="1" x14ac:dyDescent="0.2"/>
    <row r="25334" s="689" customFormat="1" x14ac:dyDescent="0.2"/>
    <row r="25335" s="689" customFormat="1" x14ac:dyDescent="0.2"/>
    <row r="25336" s="689" customFormat="1" x14ac:dyDescent="0.2"/>
    <row r="25337" s="689" customFormat="1" x14ac:dyDescent="0.2"/>
    <row r="25338" s="689" customFormat="1" x14ac:dyDescent="0.2"/>
    <row r="25339" s="689" customFormat="1" x14ac:dyDescent="0.2"/>
    <row r="25340" s="689" customFormat="1" x14ac:dyDescent="0.2"/>
    <row r="25341" s="689" customFormat="1" x14ac:dyDescent="0.2"/>
    <row r="25342" s="689" customFormat="1" x14ac:dyDescent="0.2"/>
    <row r="25343" s="689" customFormat="1" x14ac:dyDescent="0.2"/>
    <row r="25344" s="689" customFormat="1" x14ac:dyDescent="0.2"/>
    <row r="25345" s="689" customFormat="1" x14ac:dyDescent="0.2"/>
    <row r="25346" s="689" customFormat="1" x14ac:dyDescent="0.2"/>
    <row r="25347" s="689" customFormat="1" x14ac:dyDescent="0.2"/>
    <row r="25348" s="689" customFormat="1" x14ac:dyDescent="0.2"/>
    <row r="25349" s="689" customFormat="1" x14ac:dyDescent="0.2"/>
    <row r="25350" s="689" customFormat="1" x14ac:dyDescent="0.2"/>
    <row r="25351" s="689" customFormat="1" x14ac:dyDescent="0.2"/>
    <row r="25352" s="689" customFormat="1" x14ac:dyDescent="0.2"/>
    <row r="25353" s="689" customFormat="1" x14ac:dyDescent="0.2"/>
    <row r="25354" s="689" customFormat="1" x14ac:dyDescent="0.2"/>
    <row r="25355" s="689" customFormat="1" x14ac:dyDescent="0.2"/>
    <row r="25356" s="689" customFormat="1" x14ac:dyDescent="0.2"/>
    <row r="25357" s="689" customFormat="1" x14ac:dyDescent="0.2"/>
    <row r="25358" s="689" customFormat="1" x14ac:dyDescent="0.2"/>
    <row r="25359" s="689" customFormat="1" x14ac:dyDescent="0.2"/>
    <row r="25360" s="689" customFormat="1" x14ac:dyDescent="0.2"/>
    <row r="25361" s="689" customFormat="1" x14ac:dyDescent="0.2"/>
    <row r="25362" s="689" customFormat="1" x14ac:dyDescent="0.2"/>
    <row r="25363" s="689" customFormat="1" x14ac:dyDescent="0.2"/>
    <row r="25364" s="689" customFormat="1" x14ac:dyDescent="0.2"/>
    <row r="25365" s="689" customFormat="1" x14ac:dyDescent="0.2"/>
    <row r="25366" s="689" customFormat="1" x14ac:dyDescent="0.2"/>
    <row r="25367" s="689" customFormat="1" x14ac:dyDescent="0.2"/>
    <row r="25368" s="689" customFormat="1" x14ac:dyDescent="0.2"/>
    <row r="25369" s="689" customFormat="1" x14ac:dyDescent="0.2"/>
    <row r="25370" s="689" customFormat="1" x14ac:dyDescent="0.2"/>
    <row r="25371" s="689" customFormat="1" x14ac:dyDescent="0.2"/>
    <row r="25372" s="689" customFormat="1" x14ac:dyDescent="0.2"/>
    <row r="25373" s="689" customFormat="1" x14ac:dyDescent="0.2"/>
    <row r="25374" s="689" customFormat="1" x14ac:dyDescent="0.2"/>
    <row r="25375" s="689" customFormat="1" x14ac:dyDescent="0.2"/>
    <row r="25376" s="689" customFormat="1" x14ac:dyDescent="0.2"/>
    <row r="25377" s="689" customFormat="1" x14ac:dyDescent="0.2"/>
    <row r="25378" s="689" customFormat="1" x14ac:dyDescent="0.2"/>
    <row r="25379" s="689" customFormat="1" x14ac:dyDescent="0.2"/>
    <row r="25380" s="689" customFormat="1" x14ac:dyDescent="0.2"/>
    <row r="25381" s="689" customFormat="1" x14ac:dyDescent="0.2"/>
    <row r="25382" s="689" customFormat="1" x14ac:dyDescent="0.2"/>
    <row r="25383" s="689" customFormat="1" x14ac:dyDescent="0.2"/>
    <row r="25384" s="689" customFormat="1" x14ac:dyDescent="0.2"/>
    <row r="25385" s="689" customFormat="1" x14ac:dyDescent="0.2"/>
    <row r="25386" s="689" customFormat="1" x14ac:dyDescent="0.2"/>
    <row r="25387" s="689" customFormat="1" x14ac:dyDescent="0.2"/>
    <row r="25388" s="689" customFormat="1" x14ac:dyDescent="0.2"/>
    <row r="25389" s="689" customFormat="1" x14ac:dyDescent="0.2"/>
    <row r="25390" s="689" customFormat="1" x14ac:dyDescent="0.2"/>
    <row r="25391" s="689" customFormat="1" x14ac:dyDescent="0.2"/>
    <row r="25392" s="689" customFormat="1" x14ac:dyDescent="0.2"/>
    <row r="25393" s="689" customFormat="1" x14ac:dyDescent="0.2"/>
    <row r="25394" s="689" customFormat="1" x14ac:dyDescent="0.2"/>
    <row r="25395" s="689" customFormat="1" x14ac:dyDescent="0.2"/>
    <row r="25396" s="689" customFormat="1" x14ac:dyDescent="0.2"/>
    <row r="25397" s="689" customFormat="1" x14ac:dyDescent="0.2"/>
    <row r="25398" s="689" customFormat="1" x14ac:dyDescent="0.2"/>
    <row r="25399" s="689" customFormat="1" x14ac:dyDescent="0.2"/>
    <row r="25400" s="689" customFormat="1" x14ac:dyDescent="0.2"/>
    <row r="25401" s="689" customFormat="1" x14ac:dyDescent="0.2"/>
    <row r="25402" s="689" customFormat="1" x14ac:dyDescent="0.2"/>
    <row r="25403" s="689" customFormat="1" x14ac:dyDescent="0.2"/>
    <row r="25404" s="689" customFormat="1" x14ac:dyDescent="0.2"/>
    <row r="25405" s="689" customFormat="1" x14ac:dyDescent="0.2"/>
    <row r="25406" s="689" customFormat="1" x14ac:dyDescent="0.2"/>
    <row r="25407" s="689" customFormat="1" x14ac:dyDescent="0.2"/>
    <row r="25408" s="689" customFormat="1" x14ac:dyDescent="0.2"/>
    <row r="25409" s="689" customFormat="1" x14ac:dyDescent="0.2"/>
    <row r="25410" s="689" customFormat="1" x14ac:dyDescent="0.2"/>
    <row r="25411" s="689" customFormat="1" x14ac:dyDescent="0.2"/>
    <row r="25412" s="689" customFormat="1" x14ac:dyDescent="0.2"/>
    <row r="25413" s="689" customFormat="1" x14ac:dyDescent="0.2"/>
    <row r="25414" s="689" customFormat="1" x14ac:dyDescent="0.2"/>
    <row r="25415" s="689" customFormat="1" x14ac:dyDescent="0.2"/>
    <row r="25416" s="689" customFormat="1" x14ac:dyDescent="0.2"/>
    <row r="25417" s="689" customFormat="1" x14ac:dyDescent="0.2"/>
    <row r="25418" s="689" customFormat="1" x14ac:dyDescent="0.2"/>
    <row r="25419" s="689" customFormat="1" x14ac:dyDescent="0.2"/>
    <row r="25420" s="689" customFormat="1" x14ac:dyDescent="0.2"/>
    <row r="25421" s="689" customFormat="1" x14ac:dyDescent="0.2"/>
    <row r="25422" s="689" customFormat="1" x14ac:dyDescent="0.2"/>
    <row r="25423" s="689" customFormat="1" x14ac:dyDescent="0.2"/>
    <row r="25424" s="689" customFormat="1" x14ac:dyDescent="0.2"/>
    <row r="25425" s="689" customFormat="1" x14ac:dyDescent="0.2"/>
    <row r="25426" s="689" customFormat="1" x14ac:dyDescent="0.2"/>
    <row r="25427" s="689" customFormat="1" x14ac:dyDescent="0.2"/>
    <row r="25428" s="689" customFormat="1" x14ac:dyDescent="0.2"/>
    <row r="25429" s="689" customFormat="1" x14ac:dyDescent="0.2"/>
    <row r="25430" s="689" customFormat="1" x14ac:dyDescent="0.2"/>
    <row r="25431" s="689" customFormat="1" x14ac:dyDescent="0.2"/>
    <row r="25432" s="689" customFormat="1" x14ac:dyDescent="0.2"/>
    <row r="25433" s="689" customFormat="1" x14ac:dyDescent="0.2"/>
    <row r="25434" s="689" customFormat="1" x14ac:dyDescent="0.2"/>
    <row r="25435" s="689" customFormat="1" x14ac:dyDescent="0.2"/>
    <row r="25436" s="689" customFormat="1" x14ac:dyDescent="0.2"/>
    <row r="25437" s="689" customFormat="1" x14ac:dyDescent="0.2"/>
    <row r="25438" s="689" customFormat="1" x14ac:dyDescent="0.2"/>
    <row r="25439" s="689" customFormat="1" x14ac:dyDescent="0.2"/>
    <row r="25440" s="689" customFormat="1" x14ac:dyDescent="0.2"/>
    <row r="25441" s="689" customFormat="1" x14ac:dyDescent="0.2"/>
    <row r="25442" s="689" customFormat="1" x14ac:dyDescent="0.2"/>
    <row r="25443" s="689" customFormat="1" x14ac:dyDescent="0.2"/>
    <row r="25444" s="689" customFormat="1" x14ac:dyDescent="0.2"/>
    <row r="25445" s="689" customFormat="1" x14ac:dyDescent="0.2"/>
    <row r="25446" s="689" customFormat="1" x14ac:dyDescent="0.2"/>
    <row r="25447" s="689" customFormat="1" x14ac:dyDescent="0.2"/>
    <row r="25448" s="689" customFormat="1" x14ac:dyDescent="0.2"/>
    <row r="25449" s="689" customFormat="1" x14ac:dyDescent="0.2"/>
    <row r="25450" s="689" customFormat="1" x14ac:dyDescent="0.2"/>
    <row r="25451" s="689" customFormat="1" x14ac:dyDescent="0.2"/>
    <row r="25452" s="689" customFormat="1" x14ac:dyDescent="0.2"/>
    <row r="25453" s="689" customFormat="1" x14ac:dyDescent="0.2"/>
    <row r="25454" s="689" customFormat="1" x14ac:dyDescent="0.2"/>
    <row r="25455" s="689" customFormat="1" x14ac:dyDescent="0.2"/>
    <row r="25456" s="689" customFormat="1" x14ac:dyDescent="0.2"/>
    <row r="25457" s="689" customFormat="1" x14ac:dyDescent="0.2"/>
    <row r="25458" s="689" customFormat="1" x14ac:dyDescent="0.2"/>
    <row r="25459" s="689" customFormat="1" x14ac:dyDescent="0.2"/>
    <row r="25460" s="689" customFormat="1" x14ac:dyDescent="0.2"/>
    <row r="25461" s="689" customFormat="1" x14ac:dyDescent="0.2"/>
    <row r="25462" s="689" customFormat="1" x14ac:dyDescent="0.2"/>
    <row r="25463" s="689" customFormat="1" x14ac:dyDescent="0.2"/>
    <row r="25464" s="689" customFormat="1" x14ac:dyDescent="0.2"/>
    <row r="25465" s="689" customFormat="1" x14ac:dyDescent="0.2"/>
    <row r="25466" s="689" customFormat="1" x14ac:dyDescent="0.2"/>
    <row r="25467" s="689" customFormat="1" x14ac:dyDescent="0.2"/>
    <row r="25468" s="689" customFormat="1" x14ac:dyDescent="0.2"/>
    <row r="25469" s="689" customFormat="1" x14ac:dyDescent="0.2"/>
    <row r="25470" s="689" customFormat="1" x14ac:dyDescent="0.2"/>
    <row r="25471" s="689" customFormat="1" x14ac:dyDescent="0.2"/>
    <row r="25472" s="689" customFormat="1" x14ac:dyDescent="0.2"/>
    <row r="25473" s="689" customFormat="1" x14ac:dyDescent="0.2"/>
    <row r="25474" s="689" customFormat="1" x14ac:dyDescent="0.2"/>
    <row r="25475" s="689" customFormat="1" x14ac:dyDescent="0.2"/>
    <row r="25476" s="689" customFormat="1" x14ac:dyDescent="0.2"/>
    <row r="25477" s="689" customFormat="1" x14ac:dyDescent="0.2"/>
    <row r="25478" s="689" customFormat="1" x14ac:dyDescent="0.2"/>
    <row r="25479" s="689" customFormat="1" x14ac:dyDescent="0.2"/>
    <row r="25480" s="689" customFormat="1" x14ac:dyDescent="0.2"/>
    <row r="25481" s="689" customFormat="1" x14ac:dyDescent="0.2"/>
    <row r="25482" s="689" customFormat="1" x14ac:dyDescent="0.2"/>
    <row r="25483" s="689" customFormat="1" x14ac:dyDescent="0.2"/>
    <row r="25484" s="689" customFormat="1" x14ac:dyDescent="0.2"/>
    <row r="25485" s="689" customFormat="1" x14ac:dyDescent="0.2"/>
    <row r="25486" s="689" customFormat="1" x14ac:dyDescent="0.2"/>
    <row r="25487" s="689" customFormat="1" x14ac:dyDescent="0.2"/>
    <row r="25488" s="689" customFormat="1" x14ac:dyDescent="0.2"/>
    <row r="25489" s="689" customFormat="1" x14ac:dyDescent="0.2"/>
    <row r="25490" s="689" customFormat="1" x14ac:dyDescent="0.2"/>
    <row r="25491" s="689" customFormat="1" x14ac:dyDescent="0.2"/>
    <row r="25492" s="689" customFormat="1" x14ac:dyDescent="0.2"/>
    <row r="25493" s="689" customFormat="1" x14ac:dyDescent="0.2"/>
    <row r="25494" s="689" customFormat="1" x14ac:dyDescent="0.2"/>
    <row r="25495" s="689" customFormat="1" x14ac:dyDescent="0.2"/>
    <row r="25496" s="689" customFormat="1" x14ac:dyDescent="0.2"/>
    <row r="25497" s="689" customFormat="1" x14ac:dyDescent="0.2"/>
    <row r="25498" s="689" customFormat="1" x14ac:dyDescent="0.2"/>
    <row r="25499" s="689" customFormat="1" x14ac:dyDescent="0.2"/>
    <row r="25500" s="689" customFormat="1" x14ac:dyDescent="0.2"/>
    <row r="25501" s="689" customFormat="1" x14ac:dyDescent="0.2"/>
    <row r="25502" s="689" customFormat="1" x14ac:dyDescent="0.2"/>
    <row r="25503" s="689" customFormat="1" x14ac:dyDescent="0.2"/>
    <row r="25504" s="689" customFormat="1" x14ac:dyDescent="0.2"/>
    <row r="25505" s="689" customFormat="1" x14ac:dyDescent="0.2"/>
    <row r="25506" s="689" customFormat="1" x14ac:dyDescent="0.2"/>
    <row r="25507" s="689" customFormat="1" x14ac:dyDescent="0.2"/>
    <row r="25508" s="689" customFormat="1" x14ac:dyDescent="0.2"/>
    <row r="25509" s="689" customFormat="1" x14ac:dyDescent="0.2"/>
    <row r="25510" s="689" customFormat="1" x14ac:dyDescent="0.2"/>
    <row r="25511" s="689" customFormat="1" x14ac:dyDescent="0.2"/>
    <row r="25512" s="689" customFormat="1" x14ac:dyDescent="0.2"/>
    <row r="25513" s="689" customFormat="1" x14ac:dyDescent="0.2"/>
    <row r="25514" s="689" customFormat="1" x14ac:dyDescent="0.2"/>
    <row r="25515" s="689" customFormat="1" x14ac:dyDescent="0.2"/>
    <row r="25516" s="689" customFormat="1" x14ac:dyDescent="0.2"/>
    <row r="25517" s="689" customFormat="1" x14ac:dyDescent="0.2"/>
    <row r="25518" s="689" customFormat="1" x14ac:dyDescent="0.2"/>
    <row r="25519" s="689" customFormat="1" x14ac:dyDescent="0.2"/>
    <row r="25520" s="689" customFormat="1" x14ac:dyDescent="0.2"/>
    <row r="25521" s="689" customFormat="1" x14ac:dyDescent="0.2"/>
    <row r="25522" s="689" customFormat="1" x14ac:dyDescent="0.2"/>
    <row r="25523" s="689" customFormat="1" x14ac:dyDescent="0.2"/>
    <row r="25524" s="689" customFormat="1" x14ac:dyDescent="0.2"/>
    <row r="25525" s="689" customFormat="1" x14ac:dyDescent="0.2"/>
    <row r="25526" s="689" customFormat="1" x14ac:dyDescent="0.2"/>
    <row r="25527" s="689" customFormat="1" x14ac:dyDescent="0.2"/>
    <row r="25528" s="689" customFormat="1" x14ac:dyDescent="0.2"/>
    <row r="25529" s="689" customFormat="1" x14ac:dyDescent="0.2"/>
    <row r="25530" s="689" customFormat="1" x14ac:dyDescent="0.2"/>
    <row r="25531" s="689" customFormat="1" x14ac:dyDescent="0.2"/>
    <row r="25532" s="689" customFormat="1" x14ac:dyDescent="0.2"/>
    <row r="25533" s="689" customFormat="1" x14ac:dyDescent="0.2"/>
    <row r="25534" s="689" customFormat="1" x14ac:dyDescent="0.2"/>
    <row r="25535" s="689" customFormat="1" x14ac:dyDescent="0.2"/>
    <row r="25536" s="689" customFormat="1" x14ac:dyDescent="0.2"/>
    <row r="25537" s="689" customFormat="1" x14ac:dyDescent="0.2"/>
    <row r="25538" s="689" customFormat="1" x14ac:dyDescent="0.2"/>
    <row r="25539" s="689" customFormat="1" x14ac:dyDescent="0.2"/>
    <row r="25540" s="689" customFormat="1" x14ac:dyDescent="0.2"/>
    <row r="25541" s="689" customFormat="1" x14ac:dyDescent="0.2"/>
    <row r="25542" s="689" customFormat="1" x14ac:dyDescent="0.2"/>
    <row r="25543" s="689" customFormat="1" x14ac:dyDescent="0.2"/>
    <row r="25544" s="689" customFormat="1" x14ac:dyDescent="0.2"/>
    <row r="25545" s="689" customFormat="1" x14ac:dyDescent="0.2"/>
    <row r="25546" s="689" customFormat="1" x14ac:dyDescent="0.2"/>
    <row r="25547" s="689" customFormat="1" x14ac:dyDescent="0.2"/>
    <row r="25548" s="689" customFormat="1" x14ac:dyDescent="0.2"/>
    <row r="25549" s="689" customFormat="1" x14ac:dyDescent="0.2"/>
    <row r="25550" s="689" customFormat="1" x14ac:dyDescent="0.2"/>
    <row r="25551" s="689" customFormat="1" x14ac:dyDescent="0.2"/>
    <row r="25552" s="689" customFormat="1" x14ac:dyDescent="0.2"/>
    <row r="25553" s="689" customFormat="1" x14ac:dyDescent="0.2"/>
    <row r="25554" s="689" customFormat="1" x14ac:dyDescent="0.2"/>
    <row r="25555" s="689" customFormat="1" x14ac:dyDescent="0.2"/>
    <row r="25556" s="689" customFormat="1" x14ac:dyDescent="0.2"/>
    <row r="25557" s="689" customFormat="1" x14ac:dyDescent="0.2"/>
    <row r="25558" s="689" customFormat="1" x14ac:dyDescent="0.2"/>
    <row r="25559" s="689" customFormat="1" x14ac:dyDescent="0.2"/>
    <row r="25560" s="689" customFormat="1" x14ac:dyDescent="0.2"/>
    <row r="25561" s="689" customFormat="1" x14ac:dyDescent="0.2"/>
    <row r="25562" s="689" customFormat="1" x14ac:dyDescent="0.2"/>
    <row r="25563" s="689" customFormat="1" x14ac:dyDescent="0.2"/>
    <row r="25564" s="689" customFormat="1" x14ac:dyDescent="0.2"/>
    <row r="25565" s="689" customFormat="1" x14ac:dyDescent="0.2"/>
    <row r="25566" s="689" customFormat="1" x14ac:dyDescent="0.2"/>
    <row r="25567" s="689" customFormat="1" x14ac:dyDescent="0.2"/>
    <row r="25568" s="689" customFormat="1" x14ac:dyDescent="0.2"/>
    <row r="25569" s="689" customFormat="1" x14ac:dyDescent="0.2"/>
    <row r="25570" s="689" customFormat="1" x14ac:dyDescent="0.2"/>
    <row r="25571" s="689" customFormat="1" x14ac:dyDescent="0.2"/>
    <row r="25572" s="689" customFormat="1" x14ac:dyDescent="0.2"/>
    <row r="25573" s="689" customFormat="1" x14ac:dyDescent="0.2"/>
    <row r="25574" s="689" customFormat="1" x14ac:dyDescent="0.2"/>
    <row r="25575" s="689" customFormat="1" x14ac:dyDescent="0.2"/>
    <row r="25576" s="689" customFormat="1" x14ac:dyDescent="0.2"/>
    <row r="25577" s="689" customFormat="1" x14ac:dyDescent="0.2"/>
    <row r="25578" s="689" customFormat="1" x14ac:dyDescent="0.2"/>
    <row r="25579" s="689" customFormat="1" x14ac:dyDescent="0.2"/>
    <row r="25580" s="689" customFormat="1" x14ac:dyDescent="0.2"/>
    <row r="25581" s="689" customFormat="1" x14ac:dyDescent="0.2"/>
    <row r="25582" s="689" customFormat="1" x14ac:dyDescent="0.2"/>
    <row r="25583" s="689" customFormat="1" x14ac:dyDescent="0.2"/>
    <row r="25584" s="689" customFormat="1" x14ac:dyDescent="0.2"/>
    <row r="25585" s="689" customFormat="1" x14ac:dyDescent="0.2"/>
    <row r="25586" s="689" customFormat="1" x14ac:dyDescent="0.2"/>
    <row r="25587" s="689" customFormat="1" x14ac:dyDescent="0.2"/>
    <row r="25588" s="689" customFormat="1" x14ac:dyDescent="0.2"/>
    <row r="25589" s="689" customFormat="1" x14ac:dyDescent="0.2"/>
    <row r="25590" s="689" customFormat="1" x14ac:dyDescent="0.2"/>
    <row r="25591" s="689" customFormat="1" x14ac:dyDescent="0.2"/>
    <row r="25592" s="689" customFormat="1" x14ac:dyDescent="0.2"/>
    <row r="25593" s="689" customFormat="1" x14ac:dyDescent="0.2"/>
    <row r="25594" s="689" customFormat="1" x14ac:dyDescent="0.2"/>
    <row r="25595" s="689" customFormat="1" x14ac:dyDescent="0.2"/>
    <row r="25596" s="689" customFormat="1" x14ac:dyDescent="0.2"/>
    <row r="25597" s="689" customFormat="1" x14ac:dyDescent="0.2"/>
    <row r="25598" s="689" customFormat="1" x14ac:dyDescent="0.2"/>
    <row r="25599" s="689" customFormat="1" x14ac:dyDescent="0.2"/>
    <row r="25600" s="689" customFormat="1" x14ac:dyDescent="0.2"/>
    <row r="25601" s="689" customFormat="1" x14ac:dyDescent="0.2"/>
    <row r="25602" s="689" customFormat="1" x14ac:dyDescent="0.2"/>
    <row r="25603" s="689" customFormat="1" x14ac:dyDescent="0.2"/>
    <row r="25604" s="689" customFormat="1" x14ac:dyDescent="0.2"/>
    <row r="25605" s="689" customFormat="1" x14ac:dyDescent="0.2"/>
    <row r="25606" s="689" customFormat="1" x14ac:dyDescent="0.2"/>
    <row r="25607" s="689" customFormat="1" x14ac:dyDescent="0.2"/>
    <row r="25608" s="689" customFormat="1" x14ac:dyDescent="0.2"/>
    <row r="25609" s="689" customFormat="1" x14ac:dyDescent="0.2"/>
    <row r="25610" s="689" customFormat="1" x14ac:dyDescent="0.2"/>
    <row r="25611" s="689" customFormat="1" x14ac:dyDescent="0.2"/>
    <row r="25612" s="689" customFormat="1" x14ac:dyDescent="0.2"/>
    <row r="25613" s="689" customFormat="1" x14ac:dyDescent="0.2"/>
    <row r="25614" s="689" customFormat="1" x14ac:dyDescent="0.2"/>
    <row r="25615" s="689" customFormat="1" x14ac:dyDescent="0.2"/>
    <row r="25616" s="689" customFormat="1" x14ac:dyDescent="0.2"/>
    <row r="25617" s="689" customFormat="1" x14ac:dyDescent="0.2"/>
    <row r="25618" s="689" customFormat="1" x14ac:dyDescent="0.2"/>
    <row r="25619" s="689" customFormat="1" x14ac:dyDescent="0.2"/>
    <row r="25620" s="689" customFormat="1" x14ac:dyDescent="0.2"/>
    <row r="25621" s="689" customFormat="1" x14ac:dyDescent="0.2"/>
    <row r="25622" s="689" customFormat="1" x14ac:dyDescent="0.2"/>
    <row r="25623" s="689" customFormat="1" x14ac:dyDescent="0.2"/>
    <row r="25624" s="689" customFormat="1" x14ac:dyDescent="0.2"/>
    <row r="25625" s="689" customFormat="1" x14ac:dyDescent="0.2"/>
    <row r="25626" s="689" customFormat="1" x14ac:dyDescent="0.2"/>
    <row r="25627" s="689" customFormat="1" x14ac:dyDescent="0.2"/>
    <row r="25628" s="689" customFormat="1" x14ac:dyDescent="0.2"/>
    <row r="25629" s="689" customFormat="1" x14ac:dyDescent="0.2"/>
    <row r="25630" s="689" customFormat="1" x14ac:dyDescent="0.2"/>
    <row r="25631" s="689" customFormat="1" x14ac:dyDescent="0.2"/>
    <row r="25632" s="689" customFormat="1" x14ac:dyDescent="0.2"/>
    <row r="25633" s="689" customFormat="1" x14ac:dyDescent="0.2"/>
    <row r="25634" s="689" customFormat="1" x14ac:dyDescent="0.2"/>
    <row r="25635" s="689" customFormat="1" x14ac:dyDescent="0.2"/>
    <row r="25636" s="689" customFormat="1" x14ac:dyDescent="0.2"/>
    <row r="25637" s="689" customFormat="1" x14ac:dyDescent="0.2"/>
    <row r="25638" s="689" customFormat="1" x14ac:dyDescent="0.2"/>
    <row r="25639" s="689" customFormat="1" x14ac:dyDescent="0.2"/>
    <row r="25640" s="689" customFormat="1" x14ac:dyDescent="0.2"/>
    <row r="25641" s="689" customFormat="1" x14ac:dyDescent="0.2"/>
    <row r="25642" s="689" customFormat="1" x14ac:dyDescent="0.2"/>
    <row r="25643" s="689" customFormat="1" x14ac:dyDescent="0.2"/>
    <row r="25644" s="689" customFormat="1" x14ac:dyDescent="0.2"/>
    <row r="25645" s="689" customFormat="1" x14ac:dyDescent="0.2"/>
    <row r="25646" s="689" customFormat="1" x14ac:dyDescent="0.2"/>
    <row r="25647" s="689" customFormat="1" x14ac:dyDescent="0.2"/>
    <row r="25648" s="689" customFormat="1" x14ac:dyDescent="0.2"/>
    <row r="25649" s="689" customFormat="1" x14ac:dyDescent="0.2"/>
    <row r="25650" s="689" customFormat="1" x14ac:dyDescent="0.2"/>
    <row r="25651" s="689" customFormat="1" x14ac:dyDescent="0.2"/>
    <row r="25652" s="689" customFormat="1" x14ac:dyDescent="0.2"/>
    <row r="25653" s="689" customFormat="1" x14ac:dyDescent="0.2"/>
    <row r="25654" s="689" customFormat="1" x14ac:dyDescent="0.2"/>
    <row r="25655" s="689" customFormat="1" x14ac:dyDescent="0.2"/>
    <row r="25656" s="689" customFormat="1" x14ac:dyDescent="0.2"/>
    <row r="25657" s="689" customFormat="1" x14ac:dyDescent="0.2"/>
    <row r="25658" s="689" customFormat="1" x14ac:dyDescent="0.2"/>
    <row r="25659" s="689" customFormat="1" x14ac:dyDescent="0.2"/>
    <row r="25660" s="689" customFormat="1" x14ac:dyDescent="0.2"/>
    <row r="25661" s="689" customFormat="1" x14ac:dyDescent="0.2"/>
    <row r="25662" s="689" customFormat="1" x14ac:dyDescent="0.2"/>
    <row r="25663" s="689" customFormat="1" x14ac:dyDescent="0.2"/>
    <row r="25664" s="689" customFormat="1" x14ac:dyDescent="0.2"/>
    <row r="25665" s="689" customFormat="1" x14ac:dyDescent="0.2"/>
    <row r="25666" s="689" customFormat="1" x14ac:dyDescent="0.2"/>
    <row r="25667" s="689" customFormat="1" x14ac:dyDescent="0.2"/>
    <row r="25668" s="689" customFormat="1" x14ac:dyDescent="0.2"/>
    <row r="25669" s="689" customFormat="1" x14ac:dyDescent="0.2"/>
    <row r="25670" s="689" customFormat="1" x14ac:dyDescent="0.2"/>
    <row r="25671" s="689" customFormat="1" x14ac:dyDescent="0.2"/>
    <row r="25672" s="689" customFormat="1" x14ac:dyDescent="0.2"/>
    <row r="25673" s="689" customFormat="1" x14ac:dyDescent="0.2"/>
    <row r="25674" s="689" customFormat="1" x14ac:dyDescent="0.2"/>
    <row r="25675" s="689" customFormat="1" x14ac:dyDescent="0.2"/>
    <row r="25676" s="689" customFormat="1" x14ac:dyDescent="0.2"/>
    <row r="25677" s="689" customFormat="1" x14ac:dyDescent="0.2"/>
    <row r="25678" s="689" customFormat="1" x14ac:dyDescent="0.2"/>
    <row r="25679" s="689" customFormat="1" x14ac:dyDescent="0.2"/>
    <row r="25680" s="689" customFormat="1" x14ac:dyDescent="0.2"/>
    <row r="25681" s="689" customFormat="1" x14ac:dyDescent="0.2"/>
    <row r="25682" s="689" customFormat="1" x14ac:dyDescent="0.2"/>
    <row r="25683" s="689" customFormat="1" x14ac:dyDescent="0.2"/>
    <row r="25684" s="689" customFormat="1" x14ac:dyDescent="0.2"/>
    <row r="25685" s="689" customFormat="1" x14ac:dyDescent="0.2"/>
    <row r="25686" s="689" customFormat="1" x14ac:dyDescent="0.2"/>
    <row r="25687" s="689" customFormat="1" x14ac:dyDescent="0.2"/>
    <row r="25688" s="689" customFormat="1" x14ac:dyDescent="0.2"/>
    <row r="25689" s="689" customFormat="1" x14ac:dyDescent="0.2"/>
    <row r="25690" s="689" customFormat="1" x14ac:dyDescent="0.2"/>
    <row r="25691" s="689" customFormat="1" x14ac:dyDescent="0.2"/>
    <row r="25692" s="689" customFormat="1" x14ac:dyDescent="0.2"/>
    <row r="25693" s="689" customFormat="1" x14ac:dyDescent="0.2"/>
    <row r="25694" s="689" customFormat="1" x14ac:dyDescent="0.2"/>
    <row r="25695" s="689" customFormat="1" x14ac:dyDescent="0.2"/>
    <row r="25696" s="689" customFormat="1" x14ac:dyDescent="0.2"/>
    <row r="25697" s="689" customFormat="1" x14ac:dyDescent="0.2"/>
    <row r="25698" s="689" customFormat="1" x14ac:dyDescent="0.2"/>
    <row r="25699" s="689" customFormat="1" x14ac:dyDescent="0.2"/>
    <row r="25700" s="689" customFormat="1" x14ac:dyDescent="0.2"/>
    <row r="25701" s="689" customFormat="1" x14ac:dyDescent="0.2"/>
    <row r="25702" s="689" customFormat="1" x14ac:dyDescent="0.2"/>
    <row r="25703" s="689" customFormat="1" x14ac:dyDescent="0.2"/>
    <row r="25704" s="689" customFormat="1" x14ac:dyDescent="0.2"/>
    <row r="25705" s="689" customFormat="1" x14ac:dyDescent="0.2"/>
    <row r="25706" s="689" customFormat="1" x14ac:dyDescent="0.2"/>
    <row r="25707" s="689" customFormat="1" x14ac:dyDescent="0.2"/>
    <row r="25708" s="689" customFormat="1" x14ac:dyDescent="0.2"/>
    <row r="25709" s="689" customFormat="1" x14ac:dyDescent="0.2"/>
    <row r="25710" s="689" customFormat="1" x14ac:dyDescent="0.2"/>
    <row r="25711" s="689" customFormat="1" x14ac:dyDescent="0.2"/>
    <row r="25712" s="689" customFormat="1" x14ac:dyDescent="0.2"/>
    <row r="25713" s="689" customFormat="1" x14ac:dyDescent="0.2"/>
    <row r="25714" s="689" customFormat="1" x14ac:dyDescent="0.2"/>
    <row r="25715" s="689" customFormat="1" x14ac:dyDescent="0.2"/>
    <row r="25716" s="689" customFormat="1" x14ac:dyDescent="0.2"/>
    <row r="25717" s="689" customFormat="1" x14ac:dyDescent="0.2"/>
    <row r="25718" s="689" customFormat="1" x14ac:dyDescent="0.2"/>
    <row r="25719" s="689" customFormat="1" x14ac:dyDescent="0.2"/>
    <row r="25720" s="689" customFormat="1" x14ac:dyDescent="0.2"/>
    <row r="25721" s="689" customFormat="1" x14ac:dyDescent="0.2"/>
    <row r="25722" s="689" customFormat="1" x14ac:dyDescent="0.2"/>
    <row r="25723" s="689" customFormat="1" x14ac:dyDescent="0.2"/>
    <row r="25724" s="689" customFormat="1" x14ac:dyDescent="0.2"/>
    <row r="25725" s="689" customFormat="1" x14ac:dyDescent="0.2"/>
    <row r="25726" s="689" customFormat="1" x14ac:dyDescent="0.2"/>
    <row r="25727" s="689" customFormat="1" x14ac:dyDescent="0.2"/>
    <row r="25728" s="689" customFormat="1" x14ac:dyDescent="0.2"/>
    <row r="25729" s="689" customFormat="1" x14ac:dyDescent="0.2"/>
    <row r="25730" s="689" customFormat="1" x14ac:dyDescent="0.2"/>
    <row r="25731" s="689" customFormat="1" x14ac:dyDescent="0.2"/>
    <row r="25732" s="689" customFormat="1" x14ac:dyDescent="0.2"/>
    <row r="25733" s="689" customFormat="1" x14ac:dyDescent="0.2"/>
    <row r="25734" s="689" customFormat="1" x14ac:dyDescent="0.2"/>
    <row r="25735" s="689" customFormat="1" x14ac:dyDescent="0.2"/>
    <row r="25736" s="689" customFormat="1" x14ac:dyDescent="0.2"/>
    <row r="25737" s="689" customFormat="1" x14ac:dyDescent="0.2"/>
    <row r="25738" s="689" customFormat="1" x14ac:dyDescent="0.2"/>
    <row r="25739" s="689" customFormat="1" x14ac:dyDescent="0.2"/>
    <row r="25740" s="689" customFormat="1" x14ac:dyDescent="0.2"/>
    <row r="25741" s="689" customFormat="1" x14ac:dyDescent="0.2"/>
    <row r="25742" s="689" customFormat="1" x14ac:dyDescent="0.2"/>
    <row r="25743" s="689" customFormat="1" x14ac:dyDescent="0.2"/>
    <row r="25744" s="689" customFormat="1" x14ac:dyDescent="0.2"/>
    <row r="25745" s="689" customFormat="1" x14ac:dyDescent="0.2"/>
    <row r="25746" s="689" customFormat="1" x14ac:dyDescent="0.2"/>
    <row r="25747" s="689" customFormat="1" x14ac:dyDescent="0.2"/>
    <row r="25748" s="689" customFormat="1" x14ac:dyDescent="0.2"/>
    <row r="25749" s="689" customFormat="1" x14ac:dyDescent="0.2"/>
    <row r="25750" s="689" customFormat="1" x14ac:dyDescent="0.2"/>
    <row r="25751" s="689" customFormat="1" x14ac:dyDescent="0.2"/>
    <row r="25752" s="689" customFormat="1" x14ac:dyDescent="0.2"/>
    <row r="25753" s="689" customFormat="1" x14ac:dyDescent="0.2"/>
    <row r="25754" s="689" customFormat="1" x14ac:dyDescent="0.2"/>
    <row r="25755" s="689" customFormat="1" x14ac:dyDescent="0.2"/>
    <row r="25756" s="689" customFormat="1" x14ac:dyDescent="0.2"/>
    <row r="25757" s="689" customFormat="1" x14ac:dyDescent="0.2"/>
    <row r="25758" s="689" customFormat="1" x14ac:dyDescent="0.2"/>
    <row r="25759" s="689" customFormat="1" x14ac:dyDescent="0.2"/>
    <row r="25760" s="689" customFormat="1" x14ac:dyDescent="0.2"/>
    <row r="25761" s="689" customFormat="1" x14ac:dyDescent="0.2"/>
    <row r="25762" s="689" customFormat="1" x14ac:dyDescent="0.2"/>
    <row r="25763" s="689" customFormat="1" x14ac:dyDescent="0.2"/>
    <row r="25764" s="689" customFormat="1" x14ac:dyDescent="0.2"/>
    <row r="25765" s="689" customFormat="1" x14ac:dyDescent="0.2"/>
    <row r="25766" s="689" customFormat="1" x14ac:dyDescent="0.2"/>
    <row r="25767" s="689" customFormat="1" x14ac:dyDescent="0.2"/>
    <row r="25768" s="689" customFormat="1" x14ac:dyDescent="0.2"/>
    <row r="25769" s="689" customFormat="1" x14ac:dyDescent="0.2"/>
    <row r="25770" s="689" customFormat="1" x14ac:dyDescent="0.2"/>
    <row r="25771" s="689" customFormat="1" x14ac:dyDescent="0.2"/>
    <row r="25772" s="689" customFormat="1" x14ac:dyDescent="0.2"/>
    <row r="25773" s="689" customFormat="1" x14ac:dyDescent="0.2"/>
    <row r="25774" s="689" customFormat="1" x14ac:dyDescent="0.2"/>
    <row r="25775" s="689" customFormat="1" x14ac:dyDescent="0.2"/>
    <row r="25776" s="689" customFormat="1" x14ac:dyDescent="0.2"/>
    <row r="25777" s="689" customFormat="1" x14ac:dyDescent="0.2"/>
    <row r="25778" s="689" customFormat="1" x14ac:dyDescent="0.2"/>
    <row r="25779" s="689" customFormat="1" x14ac:dyDescent="0.2"/>
    <row r="25780" s="689" customFormat="1" x14ac:dyDescent="0.2"/>
    <row r="25781" s="689" customFormat="1" x14ac:dyDescent="0.2"/>
    <row r="25782" s="689" customFormat="1" x14ac:dyDescent="0.2"/>
    <row r="25783" s="689" customFormat="1" x14ac:dyDescent="0.2"/>
    <row r="25784" s="689" customFormat="1" x14ac:dyDescent="0.2"/>
    <row r="25785" s="689" customFormat="1" x14ac:dyDescent="0.2"/>
    <row r="25786" s="689" customFormat="1" x14ac:dyDescent="0.2"/>
    <row r="25787" s="689" customFormat="1" x14ac:dyDescent="0.2"/>
    <row r="25788" s="689" customFormat="1" x14ac:dyDescent="0.2"/>
    <row r="25789" s="689" customFormat="1" x14ac:dyDescent="0.2"/>
    <row r="25790" s="689" customFormat="1" x14ac:dyDescent="0.2"/>
    <row r="25791" s="689" customFormat="1" x14ac:dyDescent="0.2"/>
    <row r="25792" s="689" customFormat="1" x14ac:dyDescent="0.2"/>
    <row r="25793" s="689" customFormat="1" x14ac:dyDescent="0.2"/>
    <row r="25794" s="689" customFormat="1" x14ac:dyDescent="0.2"/>
    <row r="25795" s="689" customFormat="1" x14ac:dyDescent="0.2"/>
    <row r="25796" s="689" customFormat="1" x14ac:dyDescent="0.2"/>
    <row r="25797" s="689" customFormat="1" x14ac:dyDescent="0.2"/>
    <row r="25798" s="689" customFormat="1" x14ac:dyDescent="0.2"/>
    <row r="25799" s="689" customFormat="1" x14ac:dyDescent="0.2"/>
    <row r="25800" s="689" customFormat="1" x14ac:dyDescent="0.2"/>
    <row r="25801" s="689" customFormat="1" x14ac:dyDescent="0.2"/>
    <row r="25802" s="689" customFormat="1" x14ac:dyDescent="0.2"/>
    <row r="25803" s="689" customFormat="1" x14ac:dyDescent="0.2"/>
    <row r="25804" s="689" customFormat="1" x14ac:dyDescent="0.2"/>
    <row r="25805" s="689" customFormat="1" x14ac:dyDescent="0.2"/>
    <row r="25806" s="689" customFormat="1" x14ac:dyDescent="0.2"/>
    <row r="25807" s="689" customFormat="1" x14ac:dyDescent="0.2"/>
    <row r="25808" s="689" customFormat="1" x14ac:dyDescent="0.2"/>
    <row r="25809" s="689" customFormat="1" x14ac:dyDescent="0.2"/>
    <row r="25810" s="689" customFormat="1" x14ac:dyDescent="0.2"/>
    <row r="25811" s="689" customFormat="1" x14ac:dyDescent="0.2"/>
    <row r="25812" s="689" customFormat="1" x14ac:dyDescent="0.2"/>
    <row r="25813" s="689" customFormat="1" x14ac:dyDescent="0.2"/>
    <row r="25814" s="689" customFormat="1" x14ac:dyDescent="0.2"/>
    <row r="25815" s="689" customFormat="1" x14ac:dyDescent="0.2"/>
    <row r="25816" s="689" customFormat="1" x14ac:dyDescent="0.2"/>
    <row r="25817" s="689" customFormat="1" x14ac:dyDescent="0.2"/>
    <row r="25818" s="689" customFormat="1" x14ac:dyDescent="0.2"/>
    <row r="25819" s="689" customFormat="1" x14ac:dyDescent="0.2"/>
    <row r="25820" s="689" customFormat="1" x14ac:dyDescent="0.2"/>
    <row r="25821" s="689" customFormat="1" x14ac:dyDescent="0.2"/>
    <row r="25822" s="689" customFormat="1" x14ac:dyDescent="0.2"/>
    <row r="25823" s="689" customFormat="1" x14ac:dyDescent="0.2"/>
    <row r="25824" s="689" customFormat="1" x14ac:dyDescent="0.2"/>
    <row r="25825" s="689" customFormat="1" x14ac:dyDescent="0.2"/>
    <row r="25826" s="689" customFormat="1" x14ac:dyDescent="0.2"/>
    <row r="25827" s="689" customFormat="1" x14ac:dyDescent="0.2"/>
    <row r="25828" s="689" customFormat="1" x14ac:dyDescent="0.2"/>
    <row r="25829" s="689" customFormat="1" x14ac:dyDescent="0.2"/>
    <row r="25830" s="689" customFormat="1" x14ac:dyDescent="0.2"/>
    <row r="25831" s="689" customFormat="1" x14ac:dyDescent="0.2"/>
    <row r="25832" s="689" customFormat="1" x14ac:dyDescent="0.2"/>
    <row r="25833" s="689" customFormat="1" x14ac:dyDescent="0.2"/>
    <row r="25834" s="689" customFormat="1" x14ac:dyDescent="0.2"/>
    <row r="25835" s="689" customFormat="1" x14ac:dyDescent="0.2"/>
    <row r="25836" s="689" customFormat="1" x14ac:dyDescent="0.2"/>
    <row r="25837" s="689" customFormat="1" x14ac:dyDescent="0.2"/>
    <row r="25838" s="689" customFormat="1" x14ac:dyDescent="0.2"/>
    <row r="25839" s="689" customFormat="1" x14ac:dyDescent="0.2"/>
    <row r="25840" s="689" customFormat="1" x14ac:dyDescent="0.2"/>
    <row r="25841" s="689" customFormat="1" x14ac:dyDescent="0.2"/>
    <row r="25842" s="689" customFormat="1" x14ac:dyDescent="0.2"/>
    <row r="25843" s="689" customFormat="1" x14ac:dyDescent="0.2"/>
    <row r="25844" s="689" customFormat="1" x14ac:dyDescent="0.2"/>
    <row r="25845" s="689" customFormat="1" x14ac:dyDescent="0.2"/>
    <row r="25846" s="689" customFormat="1" x14ac:dyDescent="0.2"/>
    <row r="25847" s="689" customFormat="1" x14ac:dyDescent="0.2"/>
    <row r="25848" s="689" customFormat="1" x14ac:dyDescent="0.2"/>
    <row r="25849" s="689" customFormat="1" x14ac:dyDescent="0.2"/>
    <row r="25850" s="689" customFormat="1" x14ac:dyDescent="0.2"/>
    <row r="25851" s="689" customFormat="1" x14ac:dyDescent="0.2"/>
    <row r="25852" s="689" customFormat="1" x14ac:dyDescent="0.2"/>
    <row r="25853" s="689" customFormat="1" x14ac:dyDescent="0.2"/>
    <row r="25854" s="689" customFormat="1" x14ac:dyDescent="0.2"/>
    <row r="25855" s="689" customFormat="1" x14ac:dyDescent="0.2"/>
    <row r="25856" s="689" customFormat="1" x14ac:dyDescent="0.2"/>
    <row r="25857" s="689" customFormat="1" x14ac:dyDescent="0.2"/>
    <row r="25858" s="689" customFormat="1" x14ac:dyDescent="0.2"/>
    <row r="25859" s="689" customFormat="1" x14ac:dyDescent="0.2"/>
    <row r="25860" s="689" customFormat="1" x14ac:dyDescent="0.2"/>
    <row r="25861" s="689" customFormat="1" x14ac:dyDescent="0.2"/>
    <row r="25862" s="689" customFormat="1" x14ac:dyDescent="0.2"/>
    <row r="25863" s="689" customFormat="1" x14ac:dyDescent="0.2"/>
    <row r="25864" s="689" customFormat="1" x14ac:dyDescent="0.2"/>
    <row r="25865" s="689" customFormat="1" x14ac:dyDescent="0.2"/>
    <row r="25866" s="689" customFormat="1" x14ac:dyDescent="0.2"/>
    <row r="25867" s="689" customFormat="1" x14ac:dyDescent="0.2"/>
    <row r="25868" s="689" customFormat="1" x14ac:dyDescent="0.2"/>
    <row r="25869" s="689" customFormat="1" x14ac:dyDescent="0.2"/>
    <row r="25870" s="689" customFormat="1" x14ac:dyDescent="0.2"/>
    <row r="25871" s="689" customFormat="1" x14ac:dyDescent="0.2"/>
    <row r="25872" s="689" customFormat="1" x14ac:dyDescent="0.2"/>
    <row r="25873" s="689" customFormat="1" x14ac:dyDescent="0.2"/>
    <row r="25874" s="689" customFormat="1" x14ac:dyDescent="0.2"/>
    <row r="25875" s="689" customFormat="1" x14ac:dyDescent="0.2"/>
    <row r="25876" s="689" customFormat="1" x14ac:dyDescent="0.2"/>
    <row r="25877" s="689" customFormat="1" x14ac:dyDescent="0.2"/>
    <row r="25878" s="689" customFormat="1" x14ac:dyDescent="0.2"/>
    <row r="25879" s="689" customFormat="1" x14ac:dyDescent="0.2"/>
    <row r="25880" s="689" customFormat="1" x14ac:dyDescent="0.2"/>
    <row r="25881" s="689" customFormat="1" x14ac:dyDescent="0.2"/>
    <row r="25882" s="689" customFormat="1" x14ac:dyDescent="0.2"/>
    <row r="25883" s="689" customFormat="1" x14ac:dyDescent="0.2"/>
    <row r="25884" s="689" customFormat="1" x14ac:dyDescent="0.2"/>
    <row r="25885" s="689" customFormat="1" x14ac:dyDescent="0.2"/>
    <row r="25886" s="689" customFormat="1" x14ac:dyDescent="0.2"/>
    <row r="25887" s="689" customFormat="1" x14ac:dyDescent="0.2"/>
    <row r="25888" s="689" customFormat="1" x14ac:dyDescent="0.2"/>
    <row r="25889" s="689" customFormat="1" x14ac:dyDescent="0.2"/>
    <row r="25890" s="689" customFormat="1" x14ac:dyDescent="0.2"/>
    <row r="25891" s="689" customFormat="1" x14ac:dyDescent="0.2"/>
    <row r="25892" s="689" customFormat="1" x14ac:dyDescent="0.2"/>
    <row r="25893" s="689" customFormat="1" x14ac:dyDescent="0.2"/>
    <row r="25894" s="689" customFormat="1" x14ac:dyDescent="0.2"/>
    <row r="25895" s="689" customFormat="1" x14ac:dyDescent="0.2"/>
    <row r="25896" s="689" customFormat="1" x14ac:dyDescent="0.2"/>
    <row r="25897" s="689" customFormat="1" x14ac:dyDescent="0.2"/>
    <row r="25898" s="689" customFormat="1" x14ac:dyDescent="0.2"/>
    <row r="25899" s="689" customFormat="1" x14ac:dyDescent="0.2"/>
    <row r="25900" s="689" customFormat="1" x14ac:dyDescent="0.2"/>
    <row r="25901" s="689" customFormat="1" x14ac:dyDescent="0.2"/>
    <row r="25902" s="689" customFormat="1" x14ac:dyDescent="0.2"/>
    <row r="25903" s="689" customFormat="1" x14ac:dyDescent="0.2"/>
    <row r="25904" s="689" customFormat="1" x14ac:dyDescent="0.2"/>
    <row r="25905" s="689" customFormat="1" x14ac:dyDescent="0.2"/>
    <row r="25906" s="689" customFormat="1" x14ac:dyDescent="0.2"/>
    <row r="25907" s="689" customFormat="1" x14ac:dyDescent="0.2"/>
    <row r="25908" s="689" customFormat="1" x14ac:dyDescent="0.2"/>
    <row r="25909" s="689" customFormat="1" x14ac:dyDescent="0.2"/>
    <row r="25910" s="689" customFormat="1" x14ac:dyDescent="0.2"/>
    <row r="25911" s="689" customFormat="1" x14ac:dyDescent="0.2"/>
    <row r="25912" s="689" customFormat="1" x14ac:dyDescent="0.2"/>
    <row r="25913" s="689" customFormat="1" x14ac:dyDescent="0.2"/>
    <row r="25914" s="689" customFormat="1" x14ac:dyDescent="0.2"/>
    <row r="25915" s="689" customFormat="1" x14ac:dyDescent="0.2"/>
    <row r="25916" s="689" customFormat="1" x14ac:dyDescent="0.2"/>
    <row r="25917" s="689" customFormat="1" x14ac:dyDescent="0.2"/>
    <row r="25918" s="689" customFormat="1" x14ac:dyDescent="0.2"/>
    <row r="25919" s="689" customFormat="1" x14ac:dyDescent="0.2"/>
    <row r="25920" s="689" customFormat="1" x14ac:dyDescent="0.2"/>
    <row r="25921" s="689" customFormat="1" x14ac:dyDescent="0.2"/>
    <row r="25922" s="689" customFormat="1" x14ac:dyDescent="0.2"/>
    <row r="25923" s="689" customFormat="1" x14ac:dyDescent="0.2"/>
    <row r="25924" s="689" customFormat="1" x14ac:dyDescent="0.2"/>
    <row r="25925" s="689" customFormat="1" x14ac:dyDescent="0.2"/>
    <row r="25926" s="689" customFormat="1" x14ac:dyDescent="0.2"/>
    <row r="25927" s="689" customFormat="1" x14ac:dyDescent="0.2"/>
    <row r="25928" s="689" customFormat="1" x14ac:dyDescent="0.2"/>
    <row r="25929" s="689" customFormat="1" x14ac:dyDescent="0.2"/>
    <row r="25930" s="689" customFormat="1" x14ac:dyDescent="0.2"/>
    <row r="25931" s="689" customFormat="1" x14ac:dyDescent="0.2"/>
    <row r="25932" s="689" customFormat="1" x14ac:dyDescent="0.2"/>
    <row r="25933" s="689" customFormat="1" x14ac:dyDescent="0.2"/>
    <row r="25934" s="689" customFormat="1" x14ac:dyDescent="0.2"/>
    <row r="25935" s="689" customFormat="1" x14ac:dyDescent="0.2"/>
    <row r="25936" s="689" customFormat="1" x14ac:dyDescent="0.2"/>
    <row r="25937" s="689" customFormat="1" x14ac:dyDescent="0.2"/>
    <row r="25938" s="689" customFormat="1" x14ac:dyDescent="0.2"/>
    <row r="25939" s="689" customFormat="1" x14ac:dyDescent="0.2"/>
    <row r="25940" s="689" customFormat="1" x14ac:dyDescent="0.2"/>
    <row r="25941" s="689" customFormat="1" x14ac:dyDescent="0.2"/>
    <row r="25942" s="689" customFormat="1" x14ac:dyDescent="0.2"/>
    <row r="25943" s="689" customFormat="1" x14ac:dyDescent="0.2"/>
    <row r="25944" s="689" customFormat="1" x14ac:dyDescent="0.2"/>
    <row r="25945" s="689" customFormat="1" x14ac:dyDescent="0.2"/>
    <row r="25946" s="689" customFormat="1" x14ac:dyDescent="0.2"/>
    <row r="25947" s="689" customFormat="1" x14ac:dyDescent="0.2"/>
    <row r="25948" s="689" customFormat="1" x14ac:dyDescent="0.2"/>
    <row r="25949" s="689" customFormat="1" x14ac:dyDescent="0.2"/>
    <row r="25950" s="689" customFormat="1" x14ac:dyDescent="0.2"/>
    <row r="25951" s="689" customFormat="1" x14ac:dyDescent="0.2"/>
    <row r="25952" s="689" customFormat="1" x14ac:dyDescent="0.2"/>
    <row r="25953" s="689" customFormat="1" x14ac:dyDescent="0.2"/>
    <row r="25954" s="689" customFormat="1" x14ac:dyDescent="0.2"/>
    <row r="25955" s="689" customFormat="1" x14ac:dyDescent="0.2"/>
    <row r="25956" s="689" customFormat="1" x14ac:dyDescent="0.2"/>
    <row r="25957" s="689" customFormat="1" x14ac:dyDescent="0.2"/>
    <row r="25958" s="689" customFormat="1" x14ac:dyDescent="0.2"/>
    <row r="25959" s="689" customFormat="1" x14ac:dyDescent="0.2"/>
    <row r="25960" s="689" customFormat="1" x14ac:dyDescent="0.2"/>
    <row r="25961" s="689" customFormat="1" x14ac:dyDescent="0.2"/>
    <row r="25962" s="689" customFormat="1" x14ac:dyDescent="0.2"/>
    <row r="25963" s="689" customFormat="1" x14ac:dyDescent="0.2"/>
    <row r="25964" s="689" customFormat="1" x14ac:dyDescent="0.2"/>
    <row r="25965" s="689" customFormat="1" x14ac:dyDescent="0.2"/>
    <row r="25966" s="689" customFormat="1" x14ac:dyDescent="0.2"/>
    <row r="25967" s="689" customFormat="1" x14ac:dyDescent="0.2"/>
    <row r="25968" s="689" customFormat="1" x14ac:dyDescent="0.2"/>
    <row r="25969" s="689" customFormat="1" x14ac:dyDescent="0.2"/>
    <row r="25970" s="689" customFormat="1" x14ac:dyDescent="0.2"/>
    <row r="25971" s="689" customFormat="1" x14ac:dyDescent="0.2"/>
    <row r="25972" s="689" customFormat="1" x14ac:dyDescent="0.2"/>
    <row r="25973" s="689" customFormat="1" x14ac:dyDescent="0.2"/>
    <row r="25974" s="689" customFormat="1" x14ac:dyDescent="0.2"/>
    <row r="25975" s="689" customFormat="1" x14ac:dyDescent="0.2"/>
    <row r="25976" s="689" customFormat="1" x14ac:dyDescent="0.2"/>
    <row r="25977" s="689" customFormat="1" x14ac:dyDescent="0.2"/>
    <row r="25978" s="689" customFormat="1" x14ac:dyDescent="0.2"/>
    <row r="25979" s="689" customFormat="1" x14ac:dyDescent="0.2"/>
    <row r="25980" s="689" customFormat="1" x14ac:dyDescent="0.2"/>
    <row r="25981" s="689" customFormat="1" x14ac:dyDescent="0.2"/>
    <row r="25982" s="689" customFormat="1" x14ac:dyDescent="0.2"/>
    <row r="25983" s="689" customFormat="1" x14ac:dyDescent="0.2"/>
    <row r="25984" s="689" customFormat="1" x14ac:dyDescent="0.2"/>
    <row r="25985" s="689" customFormat="1" x14ac:dyDescent="0.2"/>
    <row r="25986" s="689" customFormat="1" x14ac:dyDescent="0.2"/>
    <row r="25987" s="689" customFormat="1" x14ac:dyDescent="0.2"/>
    <row r="25988" s="689" customFormat="1" x14ac:dyDescent="0.2"/>
    <row r="25989" s="689" customFormat="1" x14ac:dyDescent="0.2"/>
    <row r="25990" s="689" customFormat="1" x14ac:dyDescent="0.2"/>
    <row r="25991" s="689" customFormat="1" x14ac:dyDescent="0.2"/>
    <row r="25992" s="689" customFormat="1" x14ac:dyDescent="0.2"/>
    <row r="25993" s="689" customFormat="1" x14ac:dyDescent="0.2"/>
    <row r="25994" s="689" customFormat="1" x14ac:dyDescent="0.2"/>
    <row r="25995" s="689" customFormat="1" x14ac:dyDescent="0.2"/>
    <row r="25996" s="689" customFormat="1" x14ac:dyDescent="0.2"/>
    <row r="25997" s="689" customFormat="1" x14ac:dyDescent="0.2"/>
    <row r="25998" s="689" customFormat="1" x14ac:dyDescent="0.2"/>
    <row r="25999" s="689" customFormat="1" x14ac:dyDescent="0.2"/>
    <row r="26000" s="689" customFormat="1" x14ac:dyDescent="0.2"/>
    <row r="26001" s="689" customFormat="1" x14ac:dyDescent="0.2"/>
    <row r="26002" s="689" customFormat="1" x14ac:dyDescent="0.2"/>
    <row r="26003" s="689" customFormat="1" x14ac:dyDescent="0.2"/>
    <row r="26004" s="689" customFormat="1" x14ac:dyDescent="0.2"/>
    <row r="26005" s="689" customFormat="1" x14ac:dyDescent="0.2"/>
    <row r="26006" s="689" customFormat="1" x14ac:dyDescent="0.2"/>
    <row r="26007" s="689" customFormat="1" x14ac:dyDescent="0.2"/>
    <row r="26008" s="689" customFormat="1" x14ac:dyDescent="0.2"/>
    <row r="26009" s="689" customFormat="1" x14ac:dyDescent="0.2"/>
    <row r="26010" s="689" customFormat="1" x14ac:dyDescent="0.2"/>
    <row r="26011" s="689" customFormat="1" x14ac:dyDescent="0.2"/>
    <row r="26012" s="689" customFormat="1" x14ac:dyDescent="0.2"/>
    <row r="26013" s="689" customFormat="1" x14ac:dyDescent="0.2"/>
    <row r="26014" s="689" customFormat="1" x14ac:dyDescent="0.2"/>
    <row r="26015" s="689" customFormat="1" x14ac:dyDescent="0.2"/>
    <row r="26016" s="689" customFormat="1" x14ac:dyDescent="0.2"/>
    <row r="26017" s="689" customFormat="1" x14ac:dyDescent="0.2"/>
    <row r="26018" s="689" customFormat="1" x14ac:dyDescent="0.2"/>
    <row r="26019" s="689" customFormat="1" x14ac:dyDescent="0.2"/>
    <row r="26020" s="689" customFormat="1" x14ac:dyDescent="0.2"/>
    <row r="26021" s="689" customFormat="1" x14ac:dyDescent="0.2"/>
    <row r="26022" s="689" customFormat="1" x14ac:dyDescent="0.2"/>
    <row r="26023" s="689" customFormat="1" x14ac:dyDescent="0.2"/>
    <row r="26024" s="689" customFormat="1" x14ac:dyDescent="0.2"/>
    <row r="26025" s="689" customFormat="1" x14ac:dyDescent="0.2"/>
    <row r="26026" s="689" customFormat="1" x14ac:dyDescent="0.2"/>
    <row r="26027" s="689" customFormat="1" x14ac:dyDescent="0.2"/>
    <row r="26028" s="689" customFormat="1" x14ac:dyDescent="0.2"/>
    <row r="26029" s="689" customFormat="1" x14ac:dyDescent="0.2"/>
    <row r="26030" s="689" customFormat="1" x14ac:dyDescent="0.2"/>
    <row r="26031" s="689" customFormat="1" x14ac:dyDescent="0.2"/>
    <row r="26032" s="689" customFormat="1" x14ac:dyDescent="0.2"/>
    <row r="26033" s="689" customFormat="1" x14ac:dyDescent="0.2"/>
    <row r="26034" s="689" customFormat="1" x14ac:dyDescent="0.2"/>
    <row r="26035" s="689" customFormat="1" x14ac:dyDescent="0.2"/>
    <row r="26036" s="689" customFormat="1" x14ac:dyDescent="0.2"/>
    <row r="26037" s="689" customFormat="1" x14ac:dyDescent="0.2"/>
    <row r="26038" s="689" customFormat="1" x14ac:dyDescent="0.2"/>
    <row r="26039" s="689" customFormat="1" x14ac:dyDescent="0.2"/>
    <row r="26040" s="689" customFormat="1" x14ac:dyDescent="0.2"/>
    <row r="26041" s="689" customFormat="1" x14ac:dyDescent="0.2"/>
    <row r="26042" s="689" customFormat="1" x14ac:dyDescent="0.2"/>
    <row r="26043" s="689" customFormat="1" x14ac:dyDescent="0.2"/>
    <row r="26044" s="689" customFormat="1" x14ac:dyDescent="0.2"/>
    <row r="26045" s="689" customFormat="1" x14ac:dyDescent="0.2"/>
    <row r="26046" s="689" customFormat="1" x14ac:dyDescent="0.2"/>
    <row r="26047" s="689" customFormat="1" x14ac:dyDescent="0.2"/>
    <row r="26048" s="689" customFormat="1" x14ac:dyDescent="0.2"/>
    <row r="26049" s="689" customFormat="1" x14ac:dyDescent="0.2"/>
    <row r="26050" s="689" customFormat="1" x14ac:dyDescent="0.2"/>
    <row r="26051" s="689" customFormat="1" x14ac:dyDescent="0.2"/>
    <row r="26052" s="689" customFormat="1" x14ac:dyDescent="0.2"/>
    <row r="26053" s="689" customFormat="1" x14ac:dyDescent="0.2"/>
    <row r="26054" s="689" customFormat="1" x14ac:dyDescent="0.2"/>
    <row r="26055" s="689" customFormat="1" x14ac:dyDescent="0.2"/>
    <row r="26056" s="689" customFormat="1" x14ac:dyDescent="0.2"/>
    <row r="26057" s="689" customFormat="1" x14ac:dyDescent="0.2"/>
    <row r="26058" s="689" customFormat="1" x14ac:dyDescent="0.2"/>
    <row r="26059" s="689" customFormat="1" x14ac:dyDescent="0.2"/>
    <row r="26060" s="689" customFormat="1" x14ac:dyDescent="0.2"/>
    <row r="26061" s="689" customFormat="1" x14ac:dyDescent="0.2"/>
    <row r="26062" s="689" customFormat="1" x14ac:dyDescent="0.2"/>
    <row r="26063" s="689" customFormat="1" x14ac:dyDescent="0.2"/>
    <row r="26064" s="689" customFormat="1" x14ac:dyDescent="0.2"/>
    <row r="26065" s="689" customFormat="1" x14ac:dyDescent="0.2"/>
    <row r="26066" s="689" customFormat="1" x14ac:dyDescent="0.2"/>
    <row r="26067" s="689" customFormat="1" x14ac:dyDescent="0.2"/>
    <row r="26068" s="689" customFormat="1" x14ac:dyDescent="0.2"/>
    <row r="26069" s="689" customFormat="1" x14ac:dyDescent="0.2"/>
    <row r="26070" s="689" customFormat="1" x14ac:dyDescent="0.2"/>
    <row r="26071" s="689" customFormat="1" x14ac:dyDescent="0.2"/>
    <row r="26072" s="689" customFormat="1" x14ac:dyDescent="0.2"/>
    <row r="26073" s="689" customFormat="1" x14ac:dyDescent="0.2"/>
    <row r="26074" s="689" customFormat="1" x14ac:dyDescent="0.2"/>
    <row r="26075" s="689" customFormat="1" x14ac:dyDescent="0.2"/>
    <row r="26076" s="689" customFormat="1" x14ac:dyDescent="0.2"/>
    <row r="26077" s="689" customFormat="1" x14ac:dyDescent="0.2"/>
    <row r="26078" s="689" customFormat="1" x14ac:dyDescent="0.2"/>
    <row r="26079" s="689" customFormat="1" x14ac:dyDescent="0.2"/>
    <row r="26080" s="689" customFormat="1" x14ac:dyDescent="0.2"/>
    <row r="26081" s="689" customFormat="1" x14ac:dyDescent="0.2"/>
    <row r="26082" s="689" customFormat="1" x14ac:dyDescent="0.2"/>
    <row r="26083" s="689" customFormat="1" x14ac:dyDescent="0.2"/>
    <row r="26084" s="689" customFormat="1" x14ac:dyDescent="0.2"/>
    <row r="26085" s="689" customFormat="1" x14ac:dyDescent="0.2"/>
    <row r="26086" s="689" customFormat="1" x14ac:dyDescent="0.2"/>
    <row r="26087" s="689" customFormat="1" x14ac:dyDescent="0.2"/>
    <row r="26088" s="689" customFormat="1" x14ac:dyDescent="0.2"/>
    <row r="26089" s="689" customFormat="1" x14ac:dyDescent="0.2"/>
    <row r="26090" s="689" customFormat="1" x14ac:dyDescent="0.2"/>
    <row r="26091" s="689" customFormat="1" x14ac:dyDescent="0.2"/>
    <row r="26092" s="689" customFormat="1" x14ac:dyDescent="0.2"/>
    <row r="26093" s="689" customFormat="1" x14ac:dyDescent="0.2"/>
    <row r="26094" s="689" customFormat="1" x14ac:dyDescent="0.2"/>
    <row r="26095" s="689" customFormat="1" x14ac:dyDescent="0.2"/>
    <row r="26096" s="689" customFormat="1" x14ac:dyDescent="0.2"/>
    <row r="26097" s="689" customFormat="1" x14ac:dyDescent="0.2"/>
    <row r="26098" s="689" customFormat="1" x14ac:dyDescent="0.2"/>
    <row r="26099" s="689" customFormat="1" x14ac:dyDescent="0.2"/>
    <row r="26100" s="689" customFormat="1" x14ac:dyDescent="0.2"/>
    <row r="26101" s="689" customFormat="1" x14ac:dyDescent="0.2"/>
    <row r="26102" s="689" customFormat="1" x14ac:dyDescent="0.2"/>
    <row r="26103" s="689" customFormat="1" x14ac:dyDescent="0.2"/>
    <row r="26104" s="689" customFormat="1" x14ac:dyDescent="0.2"/>
    <row r="26105" s="689" customFormat="1" x14ac:dyDescent="0.2"/>
    <row r="26106" s="689" customFormat="1" x14ac:dyDescent="0.2"/>
    <row r="26107" s="689" customFormat="1" x14ac:dyDescent="0.2"/>
    <row r="26108" s="689" customFormat="1" x14ac:dyDescent="0.2"/>
    <row r="26109" s="689" customFormat="1" x14ac:dyDescent="0.2"/>
    <row r="26110" s="689" customFormat="1" x14ac:dyDescent="0.2"/>
    <row r="26111" s="689" customFormat="1" x14ac:dyDescent="0.2"/>
    <row r="26112" s="689" customFormat="1" x14ac:dyDescent="0.2"/>
    <row r="26113" s="689" customFormat="1" x14ac:dyDescent="0.2"/>
    <row r="26114" s="689" customFormat="1" x14ac:dyDescent="0.2"/>
    <row r="26115" s="689" customFormat="1" x14ac:dyDescent="0.2"/>
    <row r="26116" s="689" customFormat="1" x14ac:dyDescent="0.2"/>
    <row r="26117" s="689" customFormat="1" x14ac:dyDescent="0.2"/>
    <row r="26118" s="689" customFormat="1" x14ac:dyDescent="0.2"/>
    <row r="26119" s="689" customFormat="1" x14ac:dyDescent="0.2"/>
    <row r="26120" s="689" customFormat="1" x14ac:dyDescent="0.2"/>
    <row r="26121" s="689" customFormat="1" x14ac:dyDescent="0.2"/>
    <row r="26122" s="689" customFormat="1" x14ac:dyDescent="0.2"/>
    <row r="26123" s="689" customFormat="1" x14ac:dyDescent="0.2"/>
    <row r="26124" s="689" customFormat="1" x14ac:dyDescent="0.2"/>
    <row r="26125" s="689" customFormat="1" x14ac:dyDescent="0.2"/>
    <row r="26126" s="689" customFormat="1" x14ac:dyDescent="0.2"/>
    <row r="26127" s="689" customFormat="1" x14ac:dyDescent="0.2"/>
    <row r="26128" s="689" customFormat="1" x14ac:dyDescent="0.2"/>
    <row r="26129" s="689" customFormat="1" x14ac:dyDescent="0.2"/>
    <row r="26130" s="689" customFormat="1" x14ac:dyDescent="0.2"/>
    <row r="26131" s="689" customFormat="1" x14ac:dyDescent="0.2"/>
    <row r="26132" s="689" customFormat="1" x14ac:dyDescent="0.2"/>
    <row r="26133" s="689" customFormat="1" x14ac:dyDescent="0.2"/>
    <row r="26134" s="689" customFormat="1" x14ac:dyDescent="0.2"/>
    <row r="26135" s="689" customFormat="1" x14ac:dyDescent="0.2"/>
    <row r="26136" s="689" customFormat="1" x14ac:dyDescent="0.2"/>
    <row r="26137" s="689" customFormat="1" x14ac:dyDescent="0.2"/>
    <row r="26138" s="689" customFormat="1" x14ac:dyDescent="0.2"/>
    <row r="26139" s="689" customFormat="1" x14ac:dyDescent="0.2"/>
    <row r="26140" s="689" customFormat="1" x14ac:dyDescent="0.2"/>
    <row r="26141" s="689" customFormat="1" x14ac:dyDescent="0.2"/>
    <row r="26142" s="689" customFormat="1" x14ac:dyDescent="0.2"/>
    <row r="26143" s="689" customFormat="1" x14ac:dyDescent="0.2"/>
    <row r="26144" s="689" customFormat="1" x14ac:dyDescent="0.2"/>
    <row r="26145" s="689" customFormat="1" x14ac:dyDescent="0.2"/>
    <row r="26146" s="689" customFormat="1" x14ac:dyDescent="0.2"/>
    <row r="26147" s="689" customFormat="1" x14ac:dyDescent="0.2"/>
    <row r="26148" s="689" customFormat="1" x14ac:dyDescent="0.2"/>
    <row r="26149" s="689" customFormat="1" x14ac:dyDescent="0.2"/>
    <row r="26150" s="689" customFormat="1" x14ac:dyDescent="0.2"/>
    <row r="26151" s="689" customFormat="1" x14ac:dyDescent="0.2"/>
    <row r="26152" s="689" customFormat="1" x14ac:dyDescent="0.2"/>
    <row r="26153" s="689" customFormat="1" x14ac:dyDescent="0.2"/>
    <row r="26154" s="689" customFormat="1" x14ac:dyDescent="0.2"/>
    <row r="26155" s="689" customFormat="1" x14ac:dyDescent="0.2"/>
    <row r="26156" s="689" customFormat="1" x14ac:dyDescent="0.2"/>
    <row r="26157" s="689" customFormat="1" x14ac:dyDescent="0.2"/>
    <row r="26158" s="689" customFormat="1" x14ac:dyDescent="0.2"/>
    <row r="26159" s="689" customFormat="1" x14ac:dyDescent="0.2"/>
    <row r="26160" s="689" customFormat="1" x14ac:dyDescent="0.2"/>
    <row r="26161" s="689" customFormat="1" x14ac:dyDescent="0.2"/>
    <row r="26162" s="689" customFormat="1" x14ac:dyDescent="0.2"/>
    <row r="26163" s="689" customFormat="1" x14ac:dyDescent="0.2"/>
    <row r="26164" s="689" customFormat="1" x14ac:dyDescent="0.2"/>
    <row r="26165" s="689" customFormat="1" x14ac:dyDescent="0.2"/>
    <row r="26166" s="689" customFormat="1" x14ac:dyDescent="0.2"/>
    <row r="26167" s="689" customFormat="1" x14ac:dyDescent="0.2"/>
    <row r="26168" s="689" customFormat="1" x14ac:dyDescent="0.2"/>
    <row r="26169" s="689" customFormat="1" x14ac:dyDescent="0.2"/>
    <row r="26170" s="689" customFormat="1" x14ac:dyDescent="0.2"/>
    <row r="26171" s="689" customFormat="1" x14ac:dyDescent="0.2"/>
    <row r="26172" s="689" customFormat="1" x14ac:dyDescent="0.2"/>
    <row r="26173" s="689" customFormat="1" x14ac:dyDescent="0.2"/>
    <row r="26174" s="689" customFormat="1" x14ac:dyDescent="0.2"/>
    <row r="26175" s="689" customFormat="1" x14ac:dyDescent="0.2"/>
    <row r="26176" s="689" customFormat="1" x14ac:dyDescent="0.2"/>
    <row r="26177" s="689" customFormat="1" x14ac:dyDescent="0.2"/>
    <row r="26178" s="689" customFormat="1" x14ac:dyDescent="0.2"/>
    <row r="26179" s="689" customFormat="1" x14ac:dyDescent="0.2"/>
    <row r="26180" s="689" customFormat="1" x14ac:dyDescent="0.2"/>
    <row r="26181" s="689" customFormat="1" x14ac:dyDescent="0.2"/>
    <row r="26182" s="689" customFormat="1" x14ac:dyDescent="0.2"/>
    <row r="26183" s="689" customFormat="1" x14ac:dyDescent="0.2"/>
    <row r="26184" s="689" customFormat="1" x14ac:dyDescent="0.2"/>
    <row r="26185" s="689" customFormat="1" x14ac:dyDescent="0.2"/>
    <row r="26186" s="689" customFormat="1" x14ac:dyDescent="0.2"/>
    <row r="26187" s="689" customFormat="1" x14ac:dyDescent="0.2"/>
    <row r="26188" s="689" customFormat="1" x14ac:dyDescent="0.2"/>
    <row r="26189" s="689" customFormat="1" x14ac:dyDescent="0.2"/>
    <row r="26190" s="689" customFormat="1" x14ac:dyDescent="0.2"/>
    <row r="26191" s="689" customFormat="1" x14ac:dyDescent="0.2"/>
    <row r="26192" s="689" customFormat="1" x14ac:dyDescent="0.2"/>
    <row r="26193" s="689" customFormat="1" x14ac:dyDescent="0.2"/>
    <row r="26194" s="689" customFormat="1" x14ac:dyDescent="0.2"/>
    <row r="26195" s="689" customFormat="1" x14ac:dyDescent="0.2"/>
    <row r="26196" s="689" customFormat="1" x14ac:dyDescent="0.2"/>
    <row r="26197" s="689" customFormat="1" x14ac:dyDescent="0.2"/>
    <row r="26198" s="689" customFormat="1" x14ac:dyDescent="0.2"/>
    <row r="26199" s="689" customFormat="1" x14ac:dyDescent="0.2"/>
    <row r="26200" s="689" customFormat="1" x14ac:dyDescent="0.2"/>
    <row r="26201" s="689" customFormat="1" x14ac:dyDescent="0.2"/>
    <row r="26202" s="689" customFormat="1" x14ac:dyDescent="0.2"/>
    <row r="26203" s="689" customFormat="1" x14ac:dyDescent="0.2"/>
    <row r="26204" s="689" customFormat="1" x14ac:dyDescent="0.2"/>
    <row r="26205" s="689" customFormat="1" x14ac:dyDescent="0.2"/>
    <row r="26206" s="689" customFormat="1" x14ac:dyDescent="0.2"/>
    <row r="26207" s="689" customFormat="1" x14ac:dyDescent="0.2"/>
    <row r="26208" s="689" customFormat="1" x14ac:dyDescent="0.2"/>
    <row r="26209" s="689" customFormat="1" x14ac:dyDescent="0.2"/>
    <row r="26210" s="689" customFormat="1" x14ac:dyDescent="0.2"/>
    <row r="26211" s="689" customFormat="1" x14ac:dyDescent="0.2"/>
    <row r="26212" s="689" customFormat="1" x14ac:dyDescent="0.2"/>
    <row r="26213" s="689" customFormat="1" x14ac:dyDescent="0.2"/>
    <row r="26214" s="689" customFormat="1" x14ac:dyDescent="0.2"/>
    <row r="26215" s="689" customFormat="1" x14ac:dyDescent="0.2"/>
    <row r="26216" s="689" customFormat="1" x14ac:dyDescent="0.2"/>
    <row r="26217" s="689" customFormat="1" x14ac:dyDescent="0.2"/>
    <row r="26218" s="689" customFormat="1" x14ac:dyDescent="0.2"/>
    <row r="26219" s="689" customFormat="1" x14ac:dyDescent="0.2"/>
    <row r="26220" s="689" customFormat="1" x14ac:dyDescent="0.2"/>
    <row r="26221" s="689" customFormat="1" x14ac:dyDescent="0.2"/>
    <row r="26222" s="689" customFormat="1" x14ac:dyDescent="0.2"/>
    <row r="26223" s="689" customFormat="1" x14ac:dyDescent="0.2"/>
    <row r="26224" s="689" customFormat="1" x14ac:dyDescent="0.2"/>
    <row r="26225" s="689" customFormat="1" x14ac:dyDescent="0.2"/>
    <row r="26226" s="689" customFormat="1" x14ac:dyDescent="0.2"/>
    <row r="26227" s="689" customFormat="1" x14ac:dyDescent="0.2"/>
    <row r="26228" s="689" customFormat="1" x14ac:dyDescent="0.2"/>
    <row r="26229" s="689" customFormat="1" x14ac:dyDescent="0.2"/>
    <row r="26230" s="689" customFormat="1" x14ac:dyDescent="0.2"/>
    <row r="26231" s="689" customFormat="1" x14ac:dyDescent="0.2"/>
    <row r="26232" s="689" customFormat="1" x14ac:dyDescent="0.2"/>
    <row r="26233" s="689" customFormat="1" x14ac:dyDescent="0.2"/>
    <row r="26234" s="689" customFormat="1" x14ac:dyDescent="0.2"/>
    <row r="26235" s="689" customFormat="1" x14ac:dyDescent="0.2"/>
    <row r="26236" s="689" customFormat="1" x14ac:dyDescent="0.2"/>
    <row r="26237" s="689" customFormat="1" x14ac:dyDescent="0.2"/>
    <row r="26238" s="689" customFormat="1" x14ac:dyDescent="0.2"/>
    <row r="26239" s="689" customFormat="1" x14ac:dyDescent="0.2"/>
    <row r="26240" s="689" customFormat="1" x14ac:dyDescent="0.2"/>
    <row r="26241" s="689" customFormat="1" x14ac:dyDescent="0.2"/>
    <row r="26242" s="689" customFormat="1" x14ac:dyDescent="0.2"/>
    <row r="26243" s="689" customFormat="1" x14ac:dyDescent="0.2"/>
    <row r="26244" s="689" customFormat="1" x14ac:dyDescent="0.2"/>
    <row r="26245" s="689" customFormat="1" x14ac:dyDescent="0.2"/>
    <row r="26246" s="689" customFormat="1" x14ac:dyDescent="0.2"/>
    <row r="26247" s="689" customFormat="1" x14ac:dyDescent="0.2"/>
    <row r="26248" s="689" customFormat="1" x14ac:dyDescent="0.2"/>
    <row r="26249" s="689" customFormat="1" x14ac:dyDescent="0.2"/>
    <row r="26250" s="689" customFormat="1" x14ac:dyDescent="0.2"/>
    <row r="26251" s="689" customFormat="1" x14ac:dyDescent="0.2"/>
    <row r="26252" s="689" customFormat="1" x14ac:dyDescent="0.2"/>
    <row r="26253" s="689" customFormat="1" x14ac:dyDescent="0.2"/>
    <row r="26254" s="689" customFormat="1" x14ac:dyDescent="0.2"/>
    <row r="26255" s="689" customFormat="1" x14ac:dyDescent="0.2"/>
    <row r="26256" s="689" customFormat="1" x14ac:dyDescent="0.2"/>
    <row r="26257" s="689" customFormat="1" x14ac:dyDescent="0.2"/>
    <row r="26258" s="689" customFormat="1" x14ac:dyDescent="0.2"/>
    <row r="26259" s="689" customFormat="1" x14ac:dyDescent="0.2"/>
    <row r="26260" s="689" customFormat="1" x14ac:dyDescent="0.2"/>
    <row r="26261" s="689" customFormat="1" x14ac:dyDescent="0.2"/>
    <row r="26262" s="689" customFormat="1" x14ac:dyDescent="0.2"/>
    <row r="26263" s="689" customFormat="1" x14ac:dyDescent="0.2"/>
    <row r="26264" s="689" customFormat="1" x14ac:dyDescent="0.2"/>
    <row r="26265" s="689" customFormat="1" x14ac:dyDescent="0.2"/>
    <row r="26266" s="689" customFormat="1" x14ac:dyDescent="0.2"/>
    <row r="26267" s="689" customFormat="1" x14ac:dyDescent="0.2"/>
    <row r="26268" s="689" customFormat="1" x14ac:dyDescent="0.2"/>
    <row r="26269" s="689" customFormat="1" x14ac:dyDescent="0.2"/>
    <row r="26270" s="689" customFormat="1" x14ac:dyDescent="0.2"/>
    <row r="26271" s="689" customFormat="1" x14ac:dyDescent="0.2"/>
    <row r="26272" s="689" customFormat="1" x14ac:dyDescent="0.2"/>
    <row r="26273" s="689" customFormat="1" x14ac:dyDescent="0.2"/>
    <row r="26274" s="689" customFormat="1" x14ac:dyDescent="0.2"/>
    <row r="26275" s="689" customFormat="1" x14ac:dyDescent="0.2"/>
    <row r="26276" s="689" customFormat="1" x14ac:dyDescent="0.2"/>
    <row r="26277" s="689" customFormat="1" x14ac:dyDescent="0.2"/>
    <row r="26278" s="689" customFormat="1" x14ac:dyDescent="0.2"/>
    <row r="26279" s="689" customFormat="1" x14ac:dyDescent="0.2"/>
    <row r="26280" s="689" customFormat="1" x14ac:dyDescent="0.2"/>
    <row r="26281" s="689" customFormat="1" x14ac:dyDescent="0.2"/>
    <row r="26282" s="689" customFormat="1" x14ac:dyDescent="0.2"/>
    <row r="26283" s="689" customFormat="1" x14ac:dyDescent="0.2"/>
    <row r="26284" s="689" customFormat="1" x14ac:dyDescent="0.2"/>
    <row r="26285" s="689" customFormat="1" x14ac:dyDescent="0.2"/>
    <row r="26286" s="689" customFormat="1" x14ac:dyDescent="0.2"/>
    <row r="26287" s="689" customFormat="1" x14ac:dyDescent="0.2"/>
    <row r="26288" s="689" customFormat="1" x14ac:dyDescent="0.2"/>
    <row r="26289" s="689" customFormat="1" x14ac:dyDescent="0.2"/>
    <row r="26290" s="689" customFormat="1" x14ac:dyDescent="0.2"/>
    <row r="26291" s="689" customFormat="1" x14ac:dyDescent="0.2"/>
    <row r="26292" s="689" customFormat="1" x14ac:dyDescent="0.2"/>
    <row r="26293" s="689" customFormat="1" x14ac:dyDescent="0.2"/>
    <row r="26294" s="689" customFormat="1" x14ac:dyDescent="0.2"/>
    <row r="26295" s="689" customFormat="1" x14ac:dyDescent="0.2"/>
    <row r="26296" s="689" customFormat="1" x14ac:dyDescent="0.2"/>
    <row r="26297" s="689" customFormat="1" x14ac:dyDescent="0.2"/>
    <row r="26298" s="689" customFormat="1" x14ac:dyDescent="0.2"/>
    <row r="26299" s="689" customFormat="1" x14ac:dyDescent="0.2"/>
    <row r="26300" s="689" customFormat="1" x14ac:dyDescent="0.2"/>
    <row r="26301" s="689" customFormat="1" x14ac:dyDescent="0.2"/>
    <row r="26302" s="689" customFormat="1" x14ac:dyDescent="0.2"/>
    <row r="26303" s="689" customFormat="1" x14ac:dyDescent="0.2"/>
    <row r="26304" s="689" customFormat="1" x14ac:dyDescent="0.2"/>
    <row r="26305" s="689" customFormat="1" x14ac:dyDescent="0.2"/>
    <row r="26306" s="689" customFormat="1" x14ac:dyDescent="0.2"/>
    <row r="26307" s="689" customFormat="1" x14ac:dyDescent="0.2"/>
    <row r="26308" s="689" customFormat="1" x14ac:dyDescent="0.2"/>
    <row r="26309" s="689" customFormat="1" x14ac:dyDescent="0.2"/>
    <row r="26310" s="689" customFormat="1" x14ac:dyDescent="0.2"/>
    <row r="26311" s="689" customFormat="1" x14ac:dyDescent="0.2"/>
    <row r="26312" s="689" customFormat="1" x14ac:dyDescent="0.2"/>
    <row r="26313" s="689" customFormat="1" x14ac:dyDescent="0.2"/>
    <row r="26314" s="689" customFormat="1" x14ac:dyDescent="0.2"/>
    <row r="26315" s="689" customFormat="1" x14ac:dyDescent="0.2"/>
    <row r="26316" s="689" customFormat="1" x14ac:dyDescent="0.2"/>
    <row r="26317" s="689" customFormat="1" x14ac:dyDescent="0.2"/>
    <row r="26318" s="689" customFormat="1" x14ac:dyDescent="0.2"/>
    <row r="26319" s="689" customFormat="1" x14ac:dyDescent="0.2"/>
    <row r="26320" s="689" customFormat="1" x14ac:dyDescent="0.2"/>
    <row r="26321" s="689" customFormat="1" x14ac:dyDescent="0.2"/>
    <row r="26322" s="689" customFormat="1" x14ac:dyDescent="0.2"/>
    <row r="26323" s="689" customFormat="1" x14ac:dyDescent="0.2"/>
    <row r="26324" s="689" customFormat="1" x14ac:dyDescent="0.2"/>
    <row r="26325" s="689" customFormat="1" x14ac:dyDescent="0.2"/>
    <row r="26326" s="689" customFormat="1" x14ac:dyDescent="0.2"/>
    <row r="26327" s="689" customFormat="1" x14ac:dyDescent="0.2"/>
    <row r="26328" s="689" customFormat="1" x14ac:dyDescent="0.2"/>
    <row r="26329" s="689" customFormat="1" x14ac:dyDescent="0.2"/>
    <row r="26330" s="689" customFormat="1" x14ac:dyDescent="0.2"/>
    <row r="26331" s="689" customFormat="1" x14ac:dyDescent="0.2"/>
    <row r="26332" s="689" customFormat="1" x14ac:dyDescent="0.2"/>
    <row r="26333" s="689" customFormat="1" x14ac:dyDescent="0.2"/>
    <row r="26334" s="689" customFormat="1" x14ac:dyDescent="0.2"/>
    <row r="26335" s="689" customFormat="1" x14ac:dyDescent="0.2"/>
    <row r="26336" s="689" customFormat="1" x14ac:dyDescent="0.2"/>
    <row r="26337" s="689" customFormat="1" x14ac:dyDescent="0.2"/>
    <row r="26338" s="689" customFormat="1" x14ac:dyDescent="0.2"/>
    <row r="26339" s="689" customFormat="1" x14ac:dyDescent="0.2"/>
    <row r="26340" s="689" customFormat="1" x14ac:dyDescent="0.2"/>
    <row r="26341" s="689" customFormat="1" x14ac:dyDescent="0.2"/>
    <row r="26342" s="689" customFormat="1" x14ac:dyDescent="0.2"/>
    <row r="26343" s="689" customFormat="1" x14ac:dyDescent="0.2"/>
    <row r="26344" s="689" customFormat="1" x14ac:dyDescent="0.2"/>
    <row r="26345" s="689" customFormat="1" x14ac:dyDescent="0.2"/>
    <row r="26346" s="689" customFormat="1" x14ac:dyDescent="0.2"/>
    <row r="26347" s="689" customFormat="1" x14ac:dyDescent="0.2"/>
    <row r="26348" s="689" customFormat="1" x14ac:dyDescent="0.2"/>
    <row r="26349" s="689" customFormat="1" x14ac:dyDescent="0.2"/>
    <row r="26350" s="689" customFormat="1" x14ac:dyDescent="0.2"/>
    <row r="26351" s="689" customFormat="1" x14ac:dyDescent="0.2"/>
    <row r="26352" s="689" customFormat="1" x14ac:dyDescent="0.2"/>
    <row r="26353" s="689" customFormat="1" x14ac:dyDescent="0.2"/>
    <row r="26354" s="689" customFormat="1" x14ac:dyDescent="0.2"/>
    <row r="26355" s="689" customFormat="1" x14ac:dyDescent="0.2"/>
    <row r="26356" s="689" customFormat="1" x14ac:dyDescent="0.2"/>
    <row r="26357" s="689" customFormat="1" x14ac:dyDescent="0.2"/>
    <row r="26358" s="689" customFormat="1" x14ac:dyDescent="0.2"/>
    <row r="26359" s="689" customFormat="1" x14ac:dyDescent="0.2"/>
    <row r="26360" s="689" customFormat="1" x14ac:dyDescent="0.2"/>
    <row r="26361" s="689" customFormat="1" x14ac:dyDescent="0.2"/>
    <row r="26362" s="689" customFormat="1" x14ac:dyDescent="0.2"/>
    <row r="26363" s="689" customFormat="1" x14ac:dyDescent="0.2"/>
    <row r="26364" s="689" customFormat="1" x14ac:dyDescent="0.2"/>
    <row r="26365" s="689" customFormat="1" x14ac:dyDescent="0.2"/>
    <row r="26366" s="689" customFormat="1" x14ac:dyDescent="0.2"/>
    <row r="26367" s="689" customFormat="1" x14ac:dyDescent="0.2"/>
    <row r="26368" s="689" customFormat="1" x14ac:dyDescent="0.2"/>
    <row r="26369" s="689" customFormat="1" x14ac:dyDescent="0.2"/>
    <row r="26370" s="689" customFormat="1" x14ac:dyDescent="0.2"/>
    <row r="26371" s="689" customFormat="1" x14ac:dyDescent="0.2"/>
    <row r="26372" s="689" customFormat="1" x14ac:dyDescent="0.2"/>
    <row r="26373" s="689" customFormat="1" x14ac:dyDescent="0.2"/>
    <row r="26374" s="689" customFormat="1" x14ac:dyDescent="0.2"/>
    <row r="26375" s="689" customFormat="1" x14ac:dyDescent="0.2"/>
    <row r="26376" s="689" customFormat="1" x14ac:dyDescent="0.2"/>
    <row r="26377" s="689" customFormat="1" x14ac:dyDescent="0.2"/>
    <row r="26378" s="689" customFormat="1" x14ac:dyDescent="0.2"/>
    <row r="26379" s="689" customFormat="1" x14ac:dyDescent="0.2"/>
    <row r="26380" s="689" customFormat="1" x14ac:dyDescent="0.2"/>
    <row r="26381" s="689" customFormat="1" x14ac:dyDescent="0.2"/>
    <row r="26382" s="689" customFormat="1" x14ac:dyDescent="0.2"/>
    <row r="26383" s="689" customFormat="1" x14ac:dyDescent="0.2"/>
    <row r="26384" s="689" customFormat="1" x14ac:dyDescent="0.2"/>
    <row r="26385" s="689" customFormat="1" x14ac:dyDescent="0.2"/>
    <row r="26386" s="689" customFormat="1" x14ac:dyDescent="0.2"/>
    <row r="26387" s="689" customFormat="1" x14ac:dyDescent="0.2"/>
    <row r="26388" s="689" customFormat="1" x14ac:dyDescent="0.2"/>
    <row r="26389" s="689" customFormat="1" x14ac:dyDescent="0.2"/>
    <row r="26390" s="689" customFormat="1" x14ac:dyDescent="0.2"/>
    <row r="26391" s="689" customFormat="1" x14ac:dyDescent="0.2"/>
    <row r="26392" s="689" customFormat="1" x14ac:dyDescent="0.2"/>
    <row r="26393" s="689" customFormat="1" x14ac:dyDescent="0.2"/>
    <row r="26394" s="689" customFormat="1" x14ac:dyDescent="0.2"/>
    <row r="26395" s="689" customFormat="1" x14ac:dyDescent="0.2"/>
    <row r="26396" s="689" customFormat="1" x14ac:dyDescent="0.2"/>
    <row r="26397" s="689" customFormat="1" x14ac:dyDescent="0.2"/>
    <row r="26398" s="689" customFormat="1" x14ac:dyDescent="0.2"/>
    <row r="26399" s="689" customFormat="1" x14ac:dyDescent="0.2"/>
    <row r="26400" s="689" customFormat="1" x14ac:dyDescent="0.2"/>
    <row r="26401" s="689" customFormat="1" x14ac:dyDescent="0.2"/>
    <row r="26402" s="689" customFormat="1" x14ac:dyDescent="0.2"/>
    <row r="26403" s="689" customFormat="1" x14ac:dyDescent="0.2"/>
    <row r="26404" s="689" customFormat="1" x14ac:dyDescent="0.2"/>
    <row r="26405" s="689" customFormat="1" x14ac:dyDescent="0.2"/>
    <row r="26406" s="689" customFormat="1" x14ac:dyDescent="0.2"/>
    <row r="26407" s="689" customFormat="1" x14ac:dyDescent="0.2"/>
    <row r="26408" s="689" customFormat="1" x14ac:dyDescent="0.2"/>
    <row r="26409" s="689" customFormat="1" x14ac:dyDescent="0.2"/>
    <row r="26410" s="689" customFormat="1" x14ac:dyDescent="0.2"/>
    <row r="26411" s="689" customFormat="1" x14ac:dyDescent="0.2"/>
    <row r="26412" s="689" customFormat="1" x14ac:dyDescent="0.2"/>
    <row r="26413" s="689" customFormat="1" x14ac:dyDescent="0.2"/>
    <row r="26414" s="689" customFormat="1" x14ac:dyDescent="0.2"/>
    <row r="26415" s="689" customFormat="1" x14ac:dyDescent="0.2"/>
    <row r="26416" s="689" customFormat="1" x14ac:dyDescent="0.2"/>
    <row r="26417" s="689" customFormat="1" x14ac:dyDescent="0.2"/>
    <row r="26418" s="689" customFormat="1" x14ac:dyDescent="0.2"/>
    <row r="26419" s="689" customFormat="1" x14ac:dyDescent="0.2"/>
    <row r="26420" s="689" customFormat="1" x14ac:dyDescent="0.2"/>
    <row r="26421" s="689" customFormat="1" x14ac:dyDescent="0.2"/>
    <row r="26422" s="689" customFormat="1" x14ac:dyDescent="0.2"/>
    <row r="26423" s="689" customFormat="1" x14ac:dyDescent="0.2"/>
    <row r="26424" s="689" customFormat="1" x14ac:dyDescent="0.2"/>
    <row r="26425" s="689" customFormat="1" x14ac:dyDescent="0.2"/>
    <row r="26426" s="689" customFormat="1" x14ac:dyDescent="0.2"/>
    <row r="26427" s="689" customFormat="1" x14ac:dyDescent="0.2"/>
    <row r="26428" s="689" customFormat="1" x14ac:dyDescent="0.2"/>
    <row r="26429" s="689" customFormat="1" x14ac:dyDescent="0.2"/>
    <row r="26430" s="689" customFormat="1" x14ac:dyDescent="0.2"/>
    <row r="26431" s="689" customFormat="1" x14ac:dyDescent="0.2"/>
    <row r="26432" s="689" customFormat="1" x14ac:dyDescent="0.2"/>
    <row r="26433" s="689" customFormat="1" x14ac:dyDescent="0.2"/>
    <row r="26434" s="689" customFormat="1" x14ac:dyDescent="0.2"/>
    <row r="26435" s="689" customFormat="1" x14ac:dyDescent="0.2"/>
    <row r="26436" s="689" customFormat="1" x14ac:dyDescent="0.2"/>
    <row r="26437" s="689" customFormat="1" x14ac:dyDescent="0.2"/>
    <row r="26438" s="689" customFormat="1" x14ac:dyDescent="0.2"/>
    <row r="26439" s="689" customFormat="1" x14ac:dyDescent="0.2"/>
    <row r="26440" s="689" customFormat="1" x14ac:dyDescent="0.2"/>
    <row r="26441" s="689" customFormat="1" x14ac:dyDescent="0.2"/>
    <row r="26442" s="689" customFormat="1" x14ac:dyDescent="0.2"/>
    <row r="26443" s="689" customFormat="1" x14ac:dyDescent="0.2"/>
    <row r="26444" s="689" customFormat="1" x14ac:dyDescent="0.2"/>
    <row r="26445" s="689" customFormat="1" x14ac:dyDescent="0.2"/>
    <row r="26446" s="689" customFormat="1" x14ac:dyDescent="0.2"/>
    <row r="26447" s="689" customFormat="1" x14ac:dyDescent="0.2"/>
    <row r="26448" s="689" customFormat="1" x14ac:dyDescent="0.2"/>
    <row r="26449" s="689" customFormat="1" x14ac:dyDescent="0.2"/>
    <row r="26450" s="689" customFormat="1" x14ac:dyDescent="0.2"/>
    <row r="26451" s="689" customFormat="1" x14ac:dyDescent="0.2"/>
    <row r="26452" s="689" customFormat="1" x14ac:dyDescent="0.2"/>
    <row r="26453" s="689" customFormat="1" x14ac:dyDescent="0.2"/>
    <row r="26454" s="689" customFormat="1" x14ac:dyDescent="0.2"/>
    <row r="26455" s="689" customFormat="1" x14ac:dyDescent="0.2"/>
    <row r="26456" s="689" customFormat="1" x14ac:dyDescent="0.2"/>
    <row r="26457" s="689" customFormat="1" x14ac:dyDescent="0.2"/>
    <row r="26458" s="689" customFormat="1" x14ac:dyDescent="0.2"/>
    <row r="26459" s="689" customFormat="1" x14ac:dyDescent="0.2"/>
    <row r="26460" s="689" customFormat="1" x14ac:dyDescent="0.2"/>
    <row r="26461" s="689" customFormat="1" x14ac:dyDescent="0.2"/>
    <row r="26462" s="689" customFormat="1" x14ac:dyDescent="0.2"/>
    <row r="26463" s="689" customFormat="1" x14ac:dyDescent="0.2"/>
    <row r="26464" s="689" customFormat="1" x14ac:dyDescent="0.2"/>
    <row r="26465" s="689" customFormat="1" x14ac:dyDescent="0.2"/>
    <row r="26466" s="689" customFormat="1" x14ac:dyDescent="0.2"/>
    <row r="26467" s="689" customFormat="1" x14ac:dyDescent="0.2"/>
    <row r="26468" s="689" customFormat="1" x14ac:dyDescent="0.2"/>
    <row r="26469" s="689" customFormat="1" x14ac:dyDescent="0.2"/>
    <row r="26470" s="689" customFormat="1" x14ac:dyDescent="0.2"/>
    <row r="26471" s="689" customFormat="1" x14ac:dyDescent="0.2"/>
    <row r="26472" s="689" customFormat="1" x14ac:dyDescent="0.2"/>
    <row r="26473" s="689" customFormat="1" x14ac:dyDescent="0.2"/>
    <row r="26474" s="689" customFormat="1" x14ac:dyDescent="0.2"/>
    <row r="26475" s="689" customFormat="1" x14ac:dyDescent="0.2"/>
    <row r="26476" s="689" customFormat="1" x14ac:dyDescent="0.2"/>
    <row r="26477" s="689" customFormat="1" x14ac:dyDescent="0.2"/>
    <row r="26478" s="689" customFormat="1" x14ac:dyDescent="0.2"/>
    <row r="26479" s="689" customFormat="1" x14ac:dyDescent="0.2"/>
    <row r="26480" s="689" customFormat="1" x14ac:dyDescent="0.2"/>
    <row r="26481" s="689" customFormat="1" x14ac:dyDescent="0.2"/>
    <row r="26482" s="689" customFormat="1" x14ac:dyDescent="0.2"/>
    <row r="26483" s="689" customFormat="1" x14ac:dyDescent="0.2"/>
    <row r="26484" s="689" customFormat="1" x14ac:dyDescent="0.2"/>
    <row r="26485" s="689" customFormat="1" x14ac:dyDescent="0.2"/>
    <row r="26486" s="689" customFormat="1" x14ac:dyDescent="0.2"/>
    <row r="26487" s="689" customFormat="1" x14ac:dyDescent="0.2"/>
    <row r="26488" s="689" customFormat="1" x14ac:dyDescent="0.2"/>
    <row r="26489" s="689" customFormat="1" x14ac:dyDescent="0.2"/>
    <row r="26490" s="689" customFormat="1" x14ac:dyDescent="0.2"/>
    <row r="26491" s="689" customFormat="1" x14ac:dyDescent="0.2"/>
    <row r="26492" s="689" customFormat="1" x14ac:dyDescent="0.2"/>
    <row r="26493" s="689" customFormat="1" x14ac:dyDescent="0.2"/>
    <row r="26494" s="689" customFormat="1" x14ac:dyDescent="0.2"/>
    <row r="26495" s="689" customFormat="1" x14ac:dyDescent="0.2"/>
    <row r="26496" s="689" customFormat="1" x14ac:dyDescent="0.2"/>
    <row r="26497" s="689" customFormat="1" x14ac:dyDescent="0.2"/>
    <row r="26498" s="689" customFormat="1" x14ac:dyDescent="0.2"/>
    <row r="26499" s="689" customFormat="1" x14ac:dyDescent="0.2"/>
    <row r="26500" s="689" customFormat="1" x14ac:dyDescent="0.2"/>
    <row r="26501" s="689" customFormat="1" x14ac:dyDescent="0.2"/>
    <row r="26502" s="689" customFormat="1" x14ac:dyDescent="0.2"/>
    <row r="26503" s="689" customFormat="1" x14ac:dyDescent="0.2"/>
    <row r="26504" s="689" customFormat="1" x14ac:dyDescent="0.2"/>
    <row r="26505" s="689" customFormat="1" x14ac:dyDescent="0.2"/>
    <row r="26506" s="689" customFormat="1" x14ac:dyDescent="0.2"/>
    <row r="26507" s="689" customFormat="1" x14ac:dyDescent="0.2"/>
    <row r="26508" s="689" customFormat="1" x14ac:dyDescent="0.2"/>
    <row r="26509" s="689" customFormat="1" x14ac:dyDescent="0.2"/>
    <row r="26510" s="689" customFormat="1" x14ac:dyDescent="0.2"/>
    <row r="26511" s="689" customFormat="1" x14ac:dyDescent="0.2"/>
    <row r="26512" s="689" customFormat="1" x14ac:dyDescent="0.2"/>
    <row r="26513" s="689" customFormat="1" x14ac:dyDescent="0.2"/>
    <row r="26514" s="689" customFormat="1" x14ac:dyDescent="0.2"/>
    <row r="26515" s="689" customFormat="1" x14ac:dyDescent="0.2"/>
    <row r="26516" s="689" customFormat="1" x14ac:dyDescent="0.2"/>
    <row r="26517" s="689" customFormat="1" x14ac:dyDescent="0.2"/>
    <row r="26518" s="689" customFormat="1" x14ac:dyDescent="0.2"/>
    <row r="26519" s="689" customFormat="1" x14ac:dyDescent="0.2"/>
    <row r="26520" s="689" customFormat="1" x14ac:dyDescent="0.2"/>
    <row r="26521" s="689" customFormat="1" x14ac:dyDescent="0.2"/>
    <row r="26522" s="689" customFormat="1" x14ac:dyDescent="0.2"/>
    <row r="26523" s="689" customFormat="1" x14ac:dyDescent="0.2"/>
    <row r="26524" s="689" customFormat="1" x14ac:dyDescent="0.2"/>
    <row r="26525" s="689" customFormat="1" x14ac:dyDescent="0.2"/>
    <row r="26526" s="689" customFormat="1" x14ac:dyDescent="0.2"/>
    <row r="26527" s="689" customFormat="1" x14ac:dyDescent="0.2"/>
    <row r="26528" s="689" customFormat="1" x14ac:dyDescent="0.2"/>
    <row r="26529" s="689" customFormat="1" x14ac:dyDescent="0.2"/>
    <row r="26530" s="689" customFormat="1" x14ac:dyDescent="0.2"/>
    <row r="26531" s="689" customFormat="1" x14ac:dyDescent="0.2"/>
    <row r="26532" s="689" customFormat="1" x14ac:dyDescent="0.2"/>
    <row r="26533" s="689" customFormat="1" x14ac:dyDescent="0.2"/>
    <row r="26534" s="689" customFormat="1" x14ac:dyDescent="0.2"/>
    <row r="26535" s="689" customFormat="1" x14ac:dyDescent="0.2"/>
    <row r="26536" s="689" customFormat="1" x14ac:dyDescent="0.2"/>
    <row r="26537" s="689" customFormat="1" x14ac:dyDescent="0.2"/>
    <row r="26538" s="689" customFormat="1" x14ac:dyDescent="0.2"/>
    <row r="26539" s="689" customFormat="1" x14ac:dyDescent="0.2"/>
    <row r="26540" s="689" customFormat="1" x14ac:dyDescent="0.2"/>
    <row r="26541" s="689" customFormat="1" x14ac:dyDescent="0.2"/>
    <row r="26542" s="689" customFormat="1" x14ac:dyDescent="0.2"/>
    <row r="26543" s="689" customFormat="1" x14ac:dyDescent="0.2"/>
    <row r="26544" s="689" customFormat="1" x14ac:dyDescent="0.2"/>
    <row r="26545" s="689" customFormat="1" x14ac:dyDescent="0.2"/>
    <row r="26546" s="689" customFormat="1" x14ac:dyDescent="0.2"/>
    <row r="26547" s="689" customFormat="1" x14ac:dyDescent="0.2"/>
    <row r="26548" s="689" customFormat="1" x14ac:dyDescent="0.2"/>
    <row r="26549" s="689" customFormat="1" x14ac:dyDescent="0.2"/>
    <row r="26550" s="689" customFormat="1" x14ac:dyDescent="0.2"/>
    <row r="26551" s="689" customFormat="1" x14ac:dyDescent="0.2"/>
    <row r="26552" s="689" customFormat="1" x14ac:dyDescent="0.2"/>
    <row r="26553" s="689" customFormat="1" x14ac:dyDescent="0.2"/>
    <row r="26554" s="689" customFormat="1" x14ac:dyDescent="0.2"/>
    <row r="26555" s="689" customFormat="1" x14ac:dyDescent="0.2"/>
    <row r="26556" s="689" customFormat="1" x14ac:dyDescent="0.2"/>
    <row r="26557" s="689" customFormat="1" x14ac:dyDescent="0.2"/>
    <row r="26558" s="689" customFormat="1" x14ac:dyDescent="0.2"/>
    <row r="26559" s="689" customFormat="1" x14ac:dyDescent="0.2"/>
    <row r="26560" s="689" customFormat="1" x14ac:dyDescent="0.2"/>
    <row r="26561" s="689" customFormat="1" x14ac:dyDescent="0.2"/>
    <row r="26562" s="689" customFormat="1" x14ac:dyDescent="0.2"/>
    <row r="26563" s="689" customFormat="1" x14ac:dyDescent="0.2"/>
    <row r="26564" s="689" customFormat="1" x14ac:dyDescent="0.2"/>
    <row r="26565" s="689" customFormat="1" x14ac:dyDescent="0.2"/>
    <row r="26566" s="689" customFormat="1" x14ac:dyDescent="0.2"/>
    <row r="26567" s="689" customFormat="1" x14ac:dyDescent="0.2"/>
    <row r="26568" s="689" customFormat="1" x14ac:dyDescent="0.2"/>
    <row r="26569" s="689" customFormat="1" x14ac:dyDescent="0.2"/>
    <row r="26570" s="689" customFormat="1" x14ac:dyDescent="0.2"/>
    <row r="26571" s="689" customFormat="1" x14ac:dyDescent="0.2"/>
    <row r="26572" s="689" customFormat="1" x14ac:dyDescent="0.2"/>
    <row r="26573" s="689" customFormat="1" x14ac:dyDescent="0.2"/>
    <row r="26574" s="689" customFormat="1" x14ac:dyDescent="0.2"/>
    <row r="26575" s="689" customFormat="1" x14ac:dyDescent="0.2"/>
    <row r="26576" s="689" customFormat="1" x14ac:dyDescent="0.2"/>
    <row r="26577" s="689" customFormat="1" x14ac:dyDescent="0.2"/>
    <row r="26578" s="689" customFormat="1" x14ac:dyDescent="0.2"/>
    <row r="26579" s="689" customFormat="1" x14ac:dyDescent="0.2"/>
    <row r="26580" s="689" customFormat="1" x14ac:dyDescent="0.2"/>
    <row r="26581" s="689" customFormat="1" x14ac:dyDescent="0.2"/>
    <row r="26582" s="689" customFormat="1" x14ac:dyDescent="0.2"/>
    <row r="26583" s="689" customFormat="1" x14ac:dyDescent="0.2"/>
    <row r="26584" s="689" customFormat="1" x14ac:dyDescent="0.2"/>
    <row r="26585" s="689" customFormat="1" x14ac:dyDescent="0.2"/>
    <row r="26586" s="689" customFormat="1" x14ac:dyDescent="0.2"/>
    <row r="26587" s="689" customFormat="1" x14ac:dyDescent="0.2"/>
    <row r="26588" s="689" customFormat="1" x14ac:dyDescent="0.2"/>
    <row r="26589" s="689" customFormat="1" x14ac:dyDescent="0.2"/>
    <row r="26590" s="689" customFormat="1" x14ac:dyDescent="0.2"/>
    <row r="26591" s="689" customFormat="1" x14ac:dyDescent="0.2"/>
    <row r="26592" s="689" customFormat="1" x14ac:dyDescent="0.2"/>
    <row r="26593" s="689" customFormat="1" x14ac:dyDescent="0.2"/>
    <row r="26594" s="689" customFormat="1" x14ac:dyDescent="0.2"/>
    <row r="26595" s="689" customFormat="1" x14ac:dyDescent="0.2"/>
    <row r="26596" s="689" customFormat="1" x14ac:dyDescent="0.2"/>
    <row r="26597" s="689" customFormat="1" x14ac:dyDescent="0.2"/>
    <row r="26598" s="689" customFormat="1" x14ac:dyDescent="0.2"/>
    <row r="26599" s="689" customFormat="1" x14ac:dyDescent="0.2"/>
    <row r="26600" s="689" customFormat="1" x14ac:dyDescent="0.2"/>
    <row r="26601" s="689" customFormat="1" x14ac:dyDescent="0.2"/>
    <row r="26602" s="689" customFormat="1" x14ac:dyDescent="0.2"/>
    <row r="26603" s="689" customFormat="1" x14ac:dyDescent="0.2"/>
    <row r="26604" s="689" customFormat="1" x14ac:dyDescent="0.2"/>
    <row r="26605" s="689" customFormat="1" x14ac:dyDescent="0.2"/>
    <row r="26606" s="689" customFormat="1" x14ac:dyDescent="0.2"/>
    <row r="26607" s="689" customFormat="1" x14ac:dyDescent="0.2"/>
    <row r="26608" s="689" customFormat="1" x14ac:dyDescent="0.2"/>
    <row r="26609" s="689" customFormat="1" x14ac:dyDescent="0.2"/>
    <row r="26610" s="689" customFormat="1" x14ac:dyDescent="0.2"/>
    <row r="26611" s="689" customFormat="1" x14ac:dyDescent="0.2"/>
    <row r="26612" s="689" customFormat="1" x14ac:dyDescent="0.2"/>
    <row r="26613" s="689" customFormat="1" x14ac:dyDescent="0.2"/>
    <row r="26614" s="689" customFormat="1" x14ac:dyDescent="0.2"/>
    <row r="26615" s="689" customFormat="1" x14ac:dyDescent="0.2"/>
    <row r="26616" s="689" customFormat="1" x14ac:dyDescent="0.2"/>
    <row r="26617" s="689" customFormat="1" x14ac:dyDescent="0.2"/>
    <row r="26618" s="689" customFormat="1" x14ac:dyDescent="0.2"/>
    <row r="26619" s="689" customFormat="1" x14ac:dyDescent="0.2"/>
    <row r="26620" s="689" customFormat="1" x14ac:dyDescent="0.2"/>
    <row r="26621" s="689" customFormat="1" x14ac:dyDescent="0.2"/>
    <row r="26622" s="689" customFormat="1" x14ac:dyDescent="0.2"/>
    <row r="26623" s="689" customFormat="1" x14ac:dyDescent="0.2"/>
    <row r="26624" s="689" customFormat="1" x14ac:dyDescent="0.2"/>
    <row r="26625" s="689" customFormat="1" x14ac:dyDescent="0.2"/>
    <row r="26626" s="689" customFormat="1" x14ac:dyDescent="0.2"/>
    <row r="26627" s="689" customFormat="1" x14ac:dyDescent="0.2"/>
    <row r="26628" s="689" customFormat="1" x14ac:dyDescent="0.2"/>
    <row r="26629" s="689" customFormat="1" x14ac:dyDescent="0.2"/>
    <row r="26630" s="689" customFormat="1" x14ac:dyDescent="0.2"/>
    <row r="26631" s="689" customFormat="1" x14ac:dyDescent="0.2"/>
    <row r="26632" s="689" customFormat="1" x14ac:dyDescent="0.2"/>
    <row r="26633" s="689" customFormat="1" x14ac:dyDescent="0.2"/>
    <row r="26634" s="689" customFormat="1" x14ac:dyDescent="0.2"/>
    <row r="26635" s="689" customFormat="1" x14ac:dyDescent="0.2"/>
    <row r="26636" s="689" customFormat="1" x14ac:dyDescent="0.2"/>
    <row r="26637" s="689" customFormat="1" x14ac:dyDescent="0.2"/>
    <row r="26638" s="689" customFormat="1" x14ac:dyDescent="0.2"/>
    <row r="26639" s="689" customFormat="1" x14ac:dyDescent="0.2"/>
    <row r="26640" s="689" customFormat="1" x14ac:dyDescent="0.2"/>
    <row r="26641" s="689" customFormat="1" x14ac:dyDescent="0.2"/>
    <row r="26642" s="689" customFormat="1" x14ac:dyDescent="0.2"/>
    <row r="26643" s="689" customFormat="1" x14ac:dyDescent="0.2"/>
    <row r="26644" s="689" customFormat="1" x14ac:dyDescent="0.2"/>
    <row r="26645" s="689" customFormat="1" x14ac:dyDescent="0.2"/>
    <row r="26646" s="689" customFormat="1" x14ac:dyDescent="0.2"/>
    <row r="26647" s="689" customFormat="1" x14ac:dyDescent="0.2"/>
    <row r="26648" s="689" customFormat="1" x14ac:dyDescent="0.2"/>
    <row r="26649" s="689" customFormat="1" x14ac:dyDescent="0.2"/>
    <row r="26650" s="689" customFormat="1" x14ac:dyDescent="0.2"/>
    <row r="26651" s="689" customFormat="1" x14ac:dyDescent="0.2"/>
    <row r="26652" s="689" customFormat="1" x14ac:dyDescent="0.2"/>
    <row r="26653" s="689" customFormat="1" x14ac:dyDescent="0.2"/>
    <row r="26654" s="689" customFormat="1" x14ac:dyDescent="0.2"/>
    <row r="26655" s="689" customFormat="1" x14ac:dyDescent="0.2"/>
    <row r="26656" s="689" customFormat="1" x14ac:dyDescent="0.2"/>
    <row r="26657" s="689" customFormat="1" x14ac:dyDescent="0.2"/>
    <row r="26658" s="689" customFormat="1" x14ac:dyDescent="0.2"/>
    <row r="26659" s="689" customFormat="1" x14ac:dyDescent="0.2"/>
    <row r="26660" s="689" customFormat="1" x14ac:dyDescent="0.2"/>
    <row r="26661" s="689" customFormat="1" x14ac:dyDescent="0.2"/>
    <row r="26662" s="689" customFormat="1" x14ac:dyDescent="0.2"/>
    <row r="26663" s="689" customFormat="1" x14ac:dyDescent="0.2"/>
    <row r="26664" s="689" customFormat="1" x14ac:dyDescent="0.2"/>
    <row r="26665" s="689" customFormat="1" x14ac:dyDescent="0.2"/>
    <row r="26666" s="689" customFormat="1" x14ac:dyDescent="0.2"/>
    <row r="26667" s="689" customFormat="1" x14ac:dyDescent="0.2"/>
    <row r="26668" s="689" customFormat="1" x14ac:dyDescent="0.2"/>
    <row r="26669" s="689" customFormat="1" x14ac:dyDescent="0.2"/>
    <row r="26670" s="689" customFormat="1" x14ac:dyDescent="0.2"/>
    <row r="26671" s="689" customFormat="1" x14ac:dyDescent="0.2"/>
    <row r="26672" s="689" customFormat="1" x14ac:dyDescent="0.2"/>
    <row r="26673" s="689" customFormat="1" x14ac:dyDescent="0.2"/>
    <row r="26674" s="689" customFormat="1" x14ac:dyDescent="0.2"/>
    <row r="26675" s="689" customFormat="1" x14ac:dyDescent="0.2"/>
    <row r="26676" s="689" customFormat="1" x14ac:dyDescent="0.2"/>
    <row r="26677" s="689" customFormat="1" x14ac:dyDescent="0.2"/>
    <row r="26678" s="689" customFormat="1" x14ac:dyDescent="0.2"/>
    <row r="26679" s="689" customFormat="1" x14ac:dyDescent="0.2"/>
    <row r="26680" s="689" customFormat="1" x14ac:dyDescent="0.2"/>
    <row r="26681" s="689" customFormat="1" x14ac:dyDescent="0.2"/>
    <row r="26682" s="689" customFormat="1" x14ac:dyDescent="0.2"/>
    <row r="26683" s="689" customFormat="1" x14ac:dyDescent="0.2"/>
    <row r="26684" s="689" customFormat="1" x14ac:dyDescent="0.2"/>
    <row r="26685" s="689" customFormat="1" x14ac:dyDescent="0.2"/>
    <row r="26686" s="689" customFormat="1" x14ac:dyDescent="0.2"/>
    <row r="26687" s="689" customFormat="1" x14ac:dyDescent="0.2"/>
    <row r="26688" s="689" customFormat="1" x14ac:dyDescent="0.2"/>
    <row r="26689" s="689" customFormat="1" x14ac:dyDescent="0.2"/>
    <row r="26690" s="689" customFormat="1" x14ac:dyDescent="0.2"/>
    <row r="26691" s="689" customFormat="1" x14ac:dyDescent="0.2"/>
    <row r="26692" s="689" customFormat="1" x14ac:dyDescent="0.2"/>
    <row r="26693" s="689" customFormat="1" x14ac:dyDescent="0.2"/>
    <row r="26694" s="689" customFormat="1" x14ac:dyDescent="0.2"/>
    <row r="26695" s="689" customFormat="1" x14ac:dyDescent="0.2"/>
    <row r="26696" s="689" customFormat="1" x14ac:dyDescent="0.2"/>
    <row r="26697" s="689" customFormat="1" x14ac:dyDescent="0.2"/>
    <row r="26698" s="689" customFormat="1" x14ac:dyDescent="0.2"/>
    <row r="26699" s="689" customFormat="1" x14ac:dyDescent="0.2"/>
    <row r="26700" s="689" customFormat="1" x14ac:dyDescent="0.2"/>
    <row r="26701" s="689" customFormat="1" x14ac:dyDescent="0.2"/>
    <row r="26702" s="689" customFormat="1" x14ac:dyDescent="0.2"/>
    <row r="26703" s="689" customFormat="1" x14ac:dyDescent="0.2"/>
    <row r="26704" s="689" customFormat="1" x14ac:dyDescent="0.2"/>
    <row r="26705" s="689" customFormat="1" x14ac:dyDescent="0.2"/>
    <row r="26706" s="689" customFormat="1" x14ac:dyDescent="0.2"/>
    <row r="26707" s="689" customFormat="1" x14ac:dyDescent="0.2"/>
    <row r="26708" s="689" customFormat="1" x14ac:dyDescent="0.2"/>
    <row r="26709" s="689" customFormat="1" x14ac:dyDescent="0.2"/>
    <row r="26710" s="689" customFormat="1" x14ac:dyDescent="0.2"/>
    <row r="26711" s="689" customFormat="1" x14ac:dyDescent="0.2"/>
    <row r="26712" s="689" customFormat="1" x14ac:dyDescent="0.2"/>
    <row r="26713" s="689" customFormat="1" x14ac:dyDescent="0.2"/>
    <row r="26714" s="689" customFormat="1" x14ac:dyDescent="0.2"/>
    <row r="26715" s="689" customFormat="1" x14ac:dyDescent="0.2"/>
    <row r="26716" s="689" customFormat="1" x14ac:dyDescent="0.2"/>
    <row r="26717" s="689" customFormat="1" x14ac:dyDescent="0.2"/>
    <row r="26718" s="689" customFormat="1" x14ac:dyDescent="0.2"/>
    <row r="26719" s="689" customFormat="1" x14ac:dyDescent="0.2"/>
    <row r="26720" s="689" customFormat="1" x14ac:dyDescent="0.2"/>
    <row r="26721" s="689" customFormat="1" x14ac:dyDescent="0.2"/>
    <row r="26722" s="689" customFormat="1" x14ac:dyDescent="0.2"/>
    <row r="26723" s="689" customFormat="1" x14ac:dyDescent="0.2"/>
    <row r="26724" s="689" customFormat="1" x14ac:dyDescent="0.2"/>
    <row r="26725" s="689" customFormat="1" x14ac:dyDescent="0.2"/>
    <row r="26726" s="689" customFormat="1" x14ac:dyDescent="0.2"/>
    <row r="26727" s="689" customFormat="1" x14ac:dyDescent="0.2"/>
    <row r="26728" s="689" customFormat="1" x14ac:dyDescent="0.2"/>
    <row r="26729" s="689" customFormat="1" x14ac:dyDescent="0.2"/>
    <row r="26730" s="689" customFormat="1" x14ac:dyDescent="0.2"/>
    <row r="26731" s="689" customFormat="1" x14ac:dyDescent="0.2"/>
    <row r="26732" s="689" customFormat="1" x14ac:dyDescent="0.2"/>
    <row r="26733" s="689" customFormat="1" x14ac:dyDescent="0.2"/>
    <row r="26734" s="689" customFormat="1" x14ac:dyDescent="0.2"/>
    <row r="26735" s="689" customFormat="1" x14ac:dyDescent="0.2"/>
    <row r="26736" s="689" customFormat="1" x14ac:dyDescent="0.2"/>
    <row r="26737" s="689" customFormat="1" x14ac:dyDescent="0.2"/>
    <row r="26738" s="689" customFormat="1" x14ac:dyDescent="0.2"/>
    <row r="26739" s="689" customFormat="1" x14ac:dyDescent="0.2"/>
    <row r="26740" s="689" customFormat="1" x14ac:dyDescent="0.2"/>
    <row r="26741" s="689" customFormat="1" x14ac:dyDescent="0.2"/>
    <row r="26742" s="689" customFormat="1" x14ac:dyDescent="0.2"/>
    <row r="26743" s="689" customFormat="1" x14ac:dyDescent="0.2"/>
    <row r="26744" s="689" customFormat="1" x14ac:dyDescent="0.2"/>
    <row r="26745" s="689" customFormat="1" x14ac:dyDescent="0.2"/>
    <row r="26746" s="689" customFormat="1" x14ac:dyDescent="0.2"/>
    <row r="26747" s="689" customFormat="1" x14ac:dyDescent="0.2"/>
    <row r="26748" s="689" customFormat="1" x14ac:dyDescent="0.2"/>
    <row r="26749" s="689" customFormat="1" x14ac:dyDescent="0.2"/>
    <row r="26750" s="689" customFormat="1" x14ac:dyDescent="0.2"/>
    <row r="26751" s="689" customFormat="1" x14ac:dyDescent="0.2"/>
    <row r="26752" s="689" customFormat="1" x14ac:dyDescent="0.2"/>
    <row r="26753" s="689" customFormat="1" x14ac:dyDescent="0.2"/>
    <row r="26754" s="689" customFormat="1" x14ac:dyDescent="0.2"/>
    <row r="26755" s="689" customFormat="1" x14ac:dyDescent="0.2"/>
    <row r="26756" s="689" customFormat="1" x14ac:dyDescent="0.2"/>
    <row r="26757" s="689" customFormat="1" x14ac:dyDescent="0.2"/>
    <row r="26758" s="689" customFormat="1" x14ac:dyDescent="0.2"/>
    <row r="26759" s="689" customFormat="1" x14ac:dyDescent="0.2"/>
    <row r="26760" s="689" customFormat="1" x14ac:dyDescent="0.2"/>
    <row r="26761" s="689" customFormat="1" x14ac:dyDescent="0.2"/>
    <row r="26762" s="689" customFormat="1" x14ac:dyDescent="0.2"/>
    <row r="26763" s="689" customFormat="1" x14ac:dyDescent="0.2"/>
    <row r="26764" s="689" customFormat="1" x14ac:dyDescent="0.2"/>
    <row r="26765" s="689" customFormat="1" x14ac:dyDescent="0.2"/>
    <row r="26766" s="689" customFormat="1" x14ac:dyDescent="0.2"/>
    <row r="26767" s="689" customFormat="1" x14ac:dyDescent="0.2"/>
    <row r="26768" s="689" customFormat="1" x14ac:dyDescent="0.2"/>
    <row r="26769" s="689" customFormat="1" x14ac:dyDescent="0.2"/>
    <row r="26770" s="689" customFormat="1" x14ac:dyDescent="0.2"/>
    <row r="26771" s="689" customFormat="1" x14ac:dyDescent="0.2"/>
    <row r="26772" s="689" customFormat="1" x14ac:dyDescent="0.2"/>
    <row r="26773" s="689" customFormat="1" x14ac:dyDescent="0.2"/>
    <row r="26774" s="689" customFormat="1" x14ac:dyDescent="0.2"/>
    <row r="26775" s="689" customFormat="1" x14ac:dyDescent="0.2"/>
    <row r="26776" s="689" customFormat="1" x14ac:dyDescent="0.2"/>
    <row r="26777" s="689" customFormat="1" x14ac:dyDescent="0.2"/>
    <row r="26778" s="689" customFormat="1" x14ac:dyDescent="0.2"/>
    <row r="26779" s="689" customFormat="1" x14ac:dyDescent="0.2"/>
    <row r="26780" s="689" customFormat="1" x14ac:dyDescent="0.2"/>
    <row r="26781" s="689" customFormat="1" x14ac:dyDescent="0.2"/>
    <row r="26782" s="689" customFormat="1" x14ac:dyDescent="0.2"/>
    <row r="26783" s="689" customFormat="1" x14ac:dyDescent="0.2"/>
    <row r="26784" s="689" customFormat="1" x14ac:dyDescent="0.2"/>
    <row r="26785" s="689" customFormat="1" x14ac:dyDescent="0.2"/>
    <row r="26786" s="689" customFormat="1" x14ac:dyDescent="0.2"/>
    <row r="26787" s="689" customFormat="1" x14ac:dyDescent="0.2"/>
    <row r="26788" s="689" customFormat="1" x14ac:dyDescent="0.2"/>
    <row r="26789" s="689" customFormat="1" x14ac:dyDescent="0.2"/>
    <row r="26790" s="689" customFormat="1" x14ac:dyDescent="0.2"/>
    <row r="26791" s="689" customFormat="1" x14ac:dyDescent="0.2"/>
    <row r="26792" s="689" customFormat="1" x14ac:dyDescent="0.2"/>
    <row r="26793" s="689" customFormat="1" x14ac:dyDescent="0.2"/>
    <row r="26794" s="689" customFormat="1" x14ac:dyDescent="0.2"/>
    <row r="26795" s="689" customFormat="1" x14ac:dyDescent="0.2"/>
    <row r="26796" s="689" customFormat="1" x14ac:dyDescent="0.2"/>
    <row r="26797" s="689" customFormat="1" x14ac:dyDescent="0.2"/>
    <row r="26798" s="689" customFormat="1" x14ac:dyDescent="0.2"/>
    <row r="26799" s="689" customFormat="1" x14ac:dyDescent="0.2"/>
    <row r="26800" s="689" customFormat="1" x14ac:dyDescent="0.2"/>
    <row r="26801" s="689" customFormat="1" x14ac:dyDescent="0.2"/>
    <row r="26802" s="689" customFormat="1" x14ac:dyDescent="0.2"/>
    <row r="26803" s="689" customFormat="1" x14ac:dyDescent="0.2"/>
    <row r="26804" s="689" customFormat="1" x14ac:dyDescent="0.2"/>
    <row r="26805" s="689" customFormat="1" x14ac:dyDescent="0.2"/>
    <row r="26806" s="689" customFormat="1" x14ac:dyDescent="0.2"/>
    <row r="26807" s="689" customFormat="1" x14ac:dyDescent="0.2"/>
    <row r="26808" s="689" customFormat="1" x14ac:dyDescent="0.2"/>
    <row r="26809" s="689" customFormat="1" x14ac:dyDescent="0.2"/>
    <row r="26810" s="689" customFormat="1" x14ac:dyDescent="0.2"/>
    <row r="26811" s="689" customFormat="1" x14ac:dyDescent="0.2"/>
    <row r="26812" s="689" customFormat="1" x14ac:dyDescent="0.2"/>
    <row r="26813" s="689" customFormat="1" x14ac:dyDescent="0.2"/>
    <row r="26814" s="689" customFormat="1" x14ac:dyDescent="0.2"/>
    <row r="26815" s="689" customFormat="1" x14ac:dyDescent="0.2"/>
    <row r="26816" s="689" customFormat="1" x14ac:dyDescent="0.2"/>
    <row r="26817" s="689" customFormat="1" x14ac:dyDescent="0.2"/>
    <row r="26818" s="689" customFormat="1" x14ac:dyDescent="0.2"/>
    <row r="26819" s="689" customFormat="1" x14ac:dyDescent="0.2"/>
    <row r="26820" s="689" customFormat="1" x14ac:dyDescent="0.2"/>
    <row r="26821" s="689" customFormat="1" x14ac:dyDescent="0.2"/>
    <row r="26822" s="689" customFormat="1" x14ac:dyDescent="0.2"/>
    <row r="26823" s="689" customFormat="1" x14ac:dyDescent="0.2"/>
    <row r="26824" s="689" customFormat="1" x14ac:dyDescent="0.2"/>
    <row r="26825" s="689" customFormat="1" x14ac:dyDescent="0.2"/>
    <row r="26826" s="689" customFormat="1" x14ac:dyDescent="0.2"/>
    <row r="26827" s="689" customFormat="1" x14ac:dyDescent="0.2"/>
    <row r="26828" s="689" customFormat="1" x14ac:dyDescent="0.2"/>
    <row r="26829" s="689" customFormat="1" x14ac:dyDescent="0.2"/>
    <row r="26830" s="689" customFormat="1" x14ac:dyDescent="0.2"/>
    <row r="26831" s="689" customFormat="1" x14ac:dyDescent="0.2"/>
    <row r="26832" s="689" customFormat="1" x14ac:dyDescent="0.2"/>
    <row r="26833" s="689" customFormat="1" x14ac:dyDescent="0.2"/>
    <row r="26834" s="689" customFormat="1" x14ac:dyDescent="0.2"/>
    <row r="26835" s="689" customFormat="1" x14ac:dyDescent="0.2"/>
    <row r="26836" s="689" customFormat="1" x14ac:dyDescent="0.2"/>
    <row r="26837" s="689" customFormat="1" x14ac:dyDescent="0.2"/>
    <row r="26838" s="689" customFormat="1" x14ac:dyDescent="0.2"/>
    <row r="26839" s="689" customFormat="1" x14ac:dyDescent="0.2"/>
    <row r="26840" s="689" customFormat="1" x14ac:dyDescent="0.2"/>
    <row r="26841" s="689" customFormat="1" x14ac:dyDescent="0.2"/>
    <row r="26842" s="689" customFormat="1" x14ac:dyDescent="0.2"/>
    <row r="26843" s="689" customFormat="1" x14ac:dyDescent="0.2"/>
    <row r="26844" s="689" customFormat="1" x14ac:dyDescent="0.2"/>
    <row r="26845" s="689" customFormat="1" x14ac:dyDescent="0.2"/>
    <row r="26846" s="689" customFormat="1" x14ac:dyDescent="0.2"/>
    <row r="26847" s="689" customFormat="1" x14ac:dyDescent="0.2"/>
    <row r="26848" s="689" customFormat="1" x14ac:dyDescent="0.2"/>
    <row r="26849" s="689" customFormat="1" x14ac:dyDescent="0.2"/>
    <row r="26850" s="689" customFormat="1" x14ac:dyDescent="0.2"/>
    <row r="26851" s="689" customFormat="1" x14ac:dyDescent="0.2"/>
    <row r="26852" s="689" customFormat="1" x14ac:dyDescent="0.2"/>
    <row r="26853" s="689" customFormat="1" x14ac:dyDescent="0.2"/>
    <row r="26854" s="689" customFormat="1" x14ac:dyDescent="0.2"/>
    <row r="26855" s="689" customFormat="1" x14ac:dyDescent="0.2"/>
    <row r="26856" s="689" customFormat="1" x14ac:dyDescent="0.2"/>
    <row r="26857" s="689" customFormat="1" x14ac:dyDescent="0.2"/>
    <row r="26858" s="689" customFormat="1" x14ac:dyDescent="0.2"/>
    <row r="26859" s="689" customFormat="1" x14ac:dyDescent="0.2"/>
    <row r="26860" s="689" customFormat="1" x14ac:dyDescent="0.2"/>
    <row r="26861" s="689" customFormat="1" x14ac:dyDescent="0.2"/>
    <row r="26862" s="689" customFormat="1" x14ac:dyDescent="0.2"/>
    <row r="26863" s="689" customFormat="1" x14ac:dyDescent="0.2"/>
    <row r="26864" s="689" customFormat="1" x14ac:dyDescent="0.2"/>
    <row r="26865" s="689" customFormat="1" x14ac:dyDescent="0.2"/>
    <row r="26866" s="689" customFormat="1" x14ac:dyDescent="0.2"/>
    <row r="26867" s="689" customFormat="1" x14ac:dyDescent="0.2"/>
    <row r="26868" s="689" customFormat="1" x14ac:dyDescent="0.2"/>
    <row r="26869" s="689" customFormat="1" x14ac:dyDescent="0.2"/>
    <row r="26870" s="689" customFormat="1" x14ac:dyDescent="0.2"/>
    <row r="26871" s="689" customFormat="1" x14ac:dyDescent="0.2"/>
    <row r="26872" s="689" customFormat="1" x14ac:dyDescent="0.2"/>
    <row r="26873" s="689" customFormat="1" x14ac:dyDescent="0.2"/>
    <row r="26874" s="689" customFormat="1" x14ac:dyDescent="0.2"/>
    <row r="26875" s="689" customFormat="1" x14ac:dyDescent="0.2"/>
    <row r="26876" s="689" customFormat="1" x14ac:dyDescent="0.2"/>
    <row r="26877" s="689" customFormat="1" x14ac:dyDescent="0.2"/>
    <row r="26878" s="689" customFormat="1" x14ac:dyDescent="0.2"/>
    <row r="26879" s="689" customFormat="1" x14ac:dyDescent="0.2"/>
    <row r="26880" s="689" customFormat="1" x14ac:dyDescent="0.2"/>
    <row r="26881" s="689" customFormat="1" x14ac:dyDescent="0.2"/>
    <row r="26882" s="689" customFormat="1" x14ac:dyDescent="0.2"/>
    <row r="26883" s="689" customFormat="1" x14ac:dyDescent="0.2"/>
    <row r="26884" s="689" customFormat="1" x14ac:dyDescent="0.2"/>
    <row r="26885" s="689" customFormat="1" x14ac:dyDescent="0.2"/>
    <row r="26886" s="689" customFormat="1" x14ac:dyDescent="0.2"/>
    <row r="26887" s="689" customFormat="1" x14ac:dyDescent="0.2"/>
    <row r="26888" s="689" customFormat="1" x14ac:dyDescent="0.2"/>
    <row r="26889" s="689" customFormat="1" x14ac:dyDescent="0.2"/>
    <row r="26890" s="689" customFormat="1" x14ac:dyDescent="0.2"/>
    <row r="26891" s="689" customFormat="1" x14ac:dyDescent="0.2"/>
    <row r="26892" s="689" customFormat="1" x14ac:dyDescent="0.2"/>
    <row r="26893" s="689" customFormat="1" x14ac:dyDescent="0.2"/>
    <row r="26894" s="689" customFormat="1" x14ac:dyDescent="0.2"/>
    <row r="26895" s="689" customFormat="1" x14ac:dyDescent="0.2"/>
    <row r="26896" s="689" customFormat="1" x14ac:dyDescent="0.2"/>
    <row r="26897" s="689" customFormat="1" x14ac:dyDescent="0.2"/>
    <row r="26898" s="689" customFormat="1" x14ac:dyDescent="0.2"/>
    <row r="26899" s="689" customFormat="1" x14ac:dyDescent="0.2"/>
    <row r="26900" s="689" customFormat="1" x14ac:dyDescent="0.2"/>
    <row r="26901" s="689" customFormat="1" x14ac:dyDescent="0.2"/>
    <row r="26902" s="689" customFormat="1" x14ac:dyDescent="0.2"/>
    <row r="26903" s="689" customFormat="1" x14ac:dyDescent="0.2"/>
    <row r="26904" s="689" customFormat="1" x14ac:dyDescent="0.2"/>
    <row r="26905" s="689" customFormat="1" x14ac:dyDescent="0.2"/>
    <row r="26906" s="689" customFormat="1" x14ac:dyDescent="0.2"/>
    <row r="26907" s="689" customFormat="1" x14ac:dyDescent="0.2"/>
    <row r="26908" s="689" customFormat="1" x14ac:dyDescent="0.2"/>
    <row r="26909" s="689" customFormat="1" x14ac:dyDescent="0.2"/>
    <row r="26910" s="689" customFormat="1" x14ac:dyDescent="0.2"/>
    <row r="26911" s="689" customFormat="1" x14ac:dyDescent="0.2"/>
    <row r="26912" s="689" customFormat="1" x14ac:dyDescent="0.2"/>
    <row r="26913" s="689" customFormat="1" x14ac:dyDescent="0.2"/>
    <row r="26914" s="689" customFormat="1" x14ac:dyDescent="0.2"/>
    <row r="26915" s="689" customFormat="1" x14ac:dyDescent="0.2"/>
    <row r="26916" s="689" customFormat="1" x14ac:dyDescent="0.2"/>
    <row r="26917" s="689" customFormat="1" x14ac:dyDescent="0.2"/>
    <row r="26918" s="689" customFormat="1" x14ac:dyDescent="0.2"/>
    <row r="26919" s="689" customFormat="1" x14ac:dyDescent="0.2"/>
    <row r="26920" s="689" customFormat="1" x14ac:dyDescent="0.2"/>
    <row r="26921" s="689" customFormat="1" x14ac:dyDescent="0.2"/>
    <row r="26922" s="689" customFormat="1" x14ac:dyDescent="0.2"/>
    <row r="26923" s="689" customFormat="1" x14ac:dyDescent="0.2"/>
    <row r="26924" s="689" customFormat="1" x14ac:dyDescent="0.2"/>
    <row r="26925" s="689" customFormat="1" x14ac:dyDescent="0.2"/>
    <row r="26926" s="689" customFormat="1" x14ac:dyDescent="0.2"/>
    <row r="26927" s="689" customFormat="1" x14ac:dyDescent="0.2"/>
    <row r="26928" s="689" customFormat="1" x14ac:dyDescent="0.2"/>
    <row r="26929" s="689" customFormat="1" x14ac:dyDescent="0.2"/>
    <row r="26930" s="689" customFormat="1" x14ac:dyDescent="0.2"/>
    <row r="26931" s="689" customFormat="1" x14ac:dyDescent="0.2"/>
    <row r="26932" s="689" customFormat="1" x14ac:dyDescent="0.2"/>
    <row r="26933" s="689" customFormat="1" x14ac:dyDescent="0.2"/>
    <row r="26934" s="689" customFormat="1" x14ac:dyDescent="0.2"/>
    <row r="26935" s="689" customFormat="1" x14ac:dyDescent="0.2"/>
    <row r="26936" s="689" customFormat="1" x14ac:dyDescent="0.2"/>
    <row r="26937" s="689" customFormat="1" x14ac:dyDescent="0.2"/>
    <row r="26938" s="689" customFormat="1" x14ac:dyDescent="0.2"/>
    <row r="26939" s="689" customFormat="1" x14ac:dyDescent="0.2"/>
    <row r="26940" s="689" customFormat="1" x14ac:dyDescent="0.2"/>
    <row r="26941" s="689" customFormat="1" x14ac:dyDescent="0.2"/>
    <row r="26942" s="689" customFormat="1" x14ac:dyDescent="0.2"/>
    <row r="26943" s="689" customFormat="1" x14ac:dyDescent="0.2"/>
    <row r="26944" s="689" customFormat="1" x14ac:dyDescent="0.2"/>
    <row r="26945" s="689" customFormat="1" x14ac:dyDescent="0.2"/>
    <row r="26946" s="689" customFormat="1" x14ac:dyDescent="0.2"/>
    <row r="26947" s="689" customFormat="1" x14ac:dyDescent="0.2"/>
    <row r="26948" s="689" customFormat="1" x14ac:dyDescent="0.2"/>
    <row r="26949" s="689" customFormat="1" x14ac:dyDescent="0.2"/>
    <row r="26950" s="689" customFormat="1" x14ac:dyDescent="0.2"/>
    <row r="26951" s="689" customFormat="1" x14ac:dyDescent="0.2"/>
    <row r="26952" s="689" customFormat="1" x14ac:dyDescent="0.2"/>
    <row r="26953" s="689" customFormat="1" x14ac:dyDescent="0.2"/>
    <row r="26954" s="689" customFormat="1" x14ac:dyDescent="0.2"/>
    <row r="26955" s="689" customFormat="1" x14ac:dyDescent="0.2"/>
    <row r="26956" s="689" customFormat="1" x14ac:dyDescent="0.2"/>
    <row r="26957" s="689" customFormat="1" x14ac:dyDescent="0.2"/>
    <row r="26958" s="689" customFormat="1" x14ac:dyDescent="0.2"/>
    <row r="26959" s="689" customFormat="1" x14ac:dyDescent="0.2"/>
    <row r="26960" s="689" customFormat="1" x14ac:dyDescent="0.2"/>
    <row r="26961" s="689" customFormat="1" x14ac:dyDescent="0.2"/>
    <row r="26962" s="689" customFormat="1" x14ac:dyDescent="0.2"/>
    <row r="26963" s="689" customFormat="1" x14ac:dyDescent="0.2"/>
    <row r="26964" s="689" customFormat="1" x14ac:dyDescent="0.2"/>
    <row r="26965" s="689" customFormat="1" x14ac:dyDescent="0.2"/>
    <row r="26966" s="689" customFormat="1" x14ac:dyDescent="0.2"/>
    <row r="26967" s="689" customFormat="1" x14ac:dyDescent="0.2"/>
    <row r="26968" s="689" customFormat="1" x14ac:dyDescent="0.2"/>
    <row r="26969" s="689" customFormat="1" x14ac:dyDescent="0.2"/>
    <row r="26970" s="689" customFormat="1" x14ac:dyDescent="0.2"/>
    <row r="26971" s="689" customFormat="1" x14ac:dyDescent="0.2"/>
    <row r="26972" s="689" customFormat="1" x14ac:dyDescent="0.2"/>
    <row r="26973" s="689" customFormat="1" x14ac:dyDescent="0.2"/>
    <row r="26974" s="689" customFormat="1" x14ac:dyDescent="0.2"/>
    <row r="26975" s="689" customFormat="1" x14ac:dyDescent="0.2"/>
    <row r="26976" s="689" customFormat="1" x14ac:dyDescent="0.2"/>
    <row r="26977" s="689" customFormat="1" x14ac:dyDescent="0.2"/>
    <row r="26978" s="689" customFormat="1" x14ac:dyDescent="0.2"/>
    <row r="26979" s="689" customFormat="1" x14ac:dyDescent="0.2"/>
    <row r="26980" s="689" customFormat="1" x14ac:dyDescent="0.2"/>
    <row r="26981" s="689" customFormat="1" x14ac:dyDescent="0.2"/>
    <row r="26982" s="689" customFormat="1" x14ac:dyDescent="0.2"/>
    <row r="26983" s="689" customFormat="1" x14ac:dyDescent="0.2"/>
    <row r="26984" s="689" customFormat="1" x14ac:dyDescent="0.2"/>
    <row r="26985" s="689" customFormat="1" x14ac:dyDescent="0.2"/>
    <row r="26986" s="689" customFormat="1" x14ac:dyDescent="0.2"/>
    <row r="26987" s="689" customFormat="1" x14ac:dyDescent="0.2"/>
    <row r="26988" s="689" customFormat="1" x14ac:dyDescent="0.2"/>
    <row r="26989" s="689" customFormat="1" x14ac:dyDescent="0.2"/>
    <row r="26990" s="689" customFormat="1" x14ac:dyDescent="0.2"/>
    <row r="26991" s="689" customFormat="1" x14ac:dyDescent="0.2"/>
    <row r="26992" s="689" customFormat="1" x14ac:dyDescent="0.2"/>
    <row r="26993" s="689" customFormat="1" x14ac:dyDescent="0.2"/>
    <row r="26994" s="689" customFormat="1" x14ac:dyDescent="0.2"/>
    <row r="26995" s="689" customFormat="1" x14ac:dyDescent="0.2"/>
    <row r="26996" s="689" customFormat="1" x14ac:dyDescent="0.2"/>
    <row r="26997" s="689" customFormat="1" x14ac:dyDescent="0.2"/>
    <row r="26998" s="689" customFormat="1" x14ac:dyDescent="0.2"/>
    <row r="26999" s="689" customFormat="1" x14ac:dyDescent="0.2"/>
    <row r="27000" s="689" customFormat="1" x14ac:dyDescent="0.2"/>
    <row r="27001" s="689" customFormat="1" x14ac:dyDescent="0.2"/>
    <row r="27002" s="689" customFormat="1" x14ac:dyDescent="0.2"/>
    <row r="27003" s="689" customFormat="1" x14ac:dyDescent="0.2"/>
    <row r="27004" s="689" customFormat="1" x14ac:dyDescent="0.2"/>
    <row r="27005" s="689" customFormat="1" x14ac:dyDescent="0.2"/>
    <row r="27006" s="689" customFormat="1" x14ac:dyDescent="0.2"/>
    <row r="27007" s="689" customFormat="1" x14ac:dyDescent="0.2"/>
    <row r="27008" s="689" customFormat="1" x14ac:dyDescent="0.2"/>
    <row r="27009" s="689" customFormat="1" x14ac:dyDescent="0.2"/>
    <row r="27010" s="689" customFormat="1" x14ac:dyDescent="0.2"/>
    <row r="27011" s="689" customFormat="1" x14ac:dyDescent="0.2"/>
    <row r="27012" s="689" customFormat="1" x14ac:dyDescent="0.2"/>
    <row r="27013" s="689" customFormat="1" x14ac:dyDescent="0.2"/>
    <row r="27014" s="689" customFormat="1" x14ac:dyDescent="0.2"/>
    <row r="27015" s="689" customFormat="1" x14ac:dyDescent="0.2"/>
    <row r="27016" s="689" customFormat="1" x14ac:dyDescent="0.2"/>
    <row r="27017" s="689" customFormat="1" x14ac:dyDescent="0.2"/>
    <row r="27018" s="689" customFormat="1" x14ac:dyDescent="0.2"/>
    <row r="27019" s="689" customFormat="1" x14ac:dyDescent="0.2"/>
    <row r="27020" s="689" customFormat="1" x14ac:dyDescent="0.2"/>
    <row r="27021" s="689" customFormat="1" x14ac:dyDescent="0.2"/>
    <row r="27022" s="689" customFormat="1" x14ac:dyDescent="0.2"/>
    <row r="27023" s="689" customFormat="1" x14ac:dyDescent="0.2"/>
    <row r="27024" s="689" customFormat="1" x14ac:dyDescent="0.2"/>
    <row r="27025" s="689" customFormat="1" x14ac:dyDescent="0.2"/>
    <row r="27026" s="689" customFormat="1" x14ac:dyDescent="0.2"/>
    <row r="27027" s="689" customFormat="1" x14ac:dyDescent="0.2"/>
    <row r="27028" s="689" customFormat="1" x14ac:dyDescent="0.2"/>
    <row r="27029" s="689" customFormat="1" x14ac:dyDescent="0.2"/>
    <row r="27030" s="689" customFormat="1" x14ac:dyDescent="0.2"/>
    <row r="27031" s="689" customFormat="1" x14ac:dyDescent="0.2"/>
    <row r="27032" s="689" customFormat="1" x14ac:dyDescent="0.2"/>
    <row r="27033" s="689" customFormat="1" x14ac:dyDescent="0.2"/>
    <row r="27034" s="689" customFormat="1" x14ac:dyDescent="0.2"/>
    <row r="27035" s="689" customFormat="1" x14ac:dyDescent="0.2"/>
    <row r="27036" s="689" customFormat="1" x14ac:dyDescent="0.2"/>
    <row r="27037" s="689" customFormat="1" x14ac:dyDescent="0.2"/>
    <row r="27038" s="689" customFormat="1" x14ac:dyDescent="0.2"/>
    <row r="27039" s="689" customFormat="1" x14ac:dyDescent="0.2"/>
    <row r="27040" s="689" customFormat="1" x14ac:dyDescent="0.2"/>
    <row r="27041" s="689" customFormat="1" x14ac:dyDescent="0.2"/>
    <row r="27042" s="689" customFormat="1" x14ac:dyDescent="0.2"/>
    <row r="27043" s="689" customFormat="1" x14ac:dyDescent="0.2"/>
    <row r="27044" s="689" customFormat="1" x14ac:dyDescent="0.2"/>
    <row r="27045" s="689" customFormat="1" x14ac:dyDescent="0.2"/>
    <row r="27046" s="689" customFormat="1" x14ac:dyDescent="0.2"/>
    <row r="27047" s="689" customFormat="1" x14ac:dyDescent="0.2"/>
    <row r="27048" s="689" customFormat="1" x14ac:dyDescent="0.2"/>
    <row r="27049" s="689" customFormat="1" x14ac:dyDescent="0.2"/>
    <row r="27050" s="689" customFormat="1" x14ac:dyDescent="0.2"/>
    <row r="27051" s="689" customFormat="1" x14ac:dyDescent="0.2"/>
    <row r="27052" s="689" customFormat="1" x14ac:dyDescent="0.2"/>
    <row r="27053" s="689" customFormat="1" x14ac:dyDescent="0.2"/>
    <row r="27054" s="689" customFormat="1" x14ac:dyDescent="0.2"/>
    <row r="27055" s="689" customFormat="1" x14ac:dyDescent="0.2"/>
    <row r="27056" s="689" customFormat="1" x14ac:dyDescent="0.2"/>
    <row r="27057" s="689" customFormat="1" x14ac:dyDescent="0.2"/>
    <row r="27058" s="689" customFormat="1" x14ac:dyDescent="0.2"/>
    <row r="27059" s="689" customFormat="1" x14ac:dyDescent="0.2"/>
    <row r="27060" s="689" customFormat="1" x14ac:dyDescent="0.2"/>
    <row r="27061" s="689" customFormat="1" x14ac:dyDescent="0.2"/>
    <row r="27062" s="689" customFormat="1" x14ac:dyDescent="0.2"/>
    <row r="27063" s="689" customFormat="1" x14ac:dyDescent="0.2"/>
    <row r="27064" s="689" customFormat="1" x14ac:dyDescent="0.2"/>
    <row r="27065" s="689" customFormat="1" x14ac:dyDescent="0.2"/>
    <row r="27066" s="689" customFormat="1" x14ac:dyDescent="0.2"/>
    <row r="27067" s="689" customFormat="1" x14ac:dyDescent="0.2"/>
    <row r="27068" s="689" customFormat="1" x14ac:dyDescent="0.2"/>
    <row r="27069" s="689" customFormat="1" x14ac:dyDescent="0.2"/>
    <row r="27070" s="689" customFormat="1" x14ac:dyDescent="0.2"/>
    <row r="27071" s="689" customFormat="1" x14ac:dyDescent="0.2"/>
    <row r="27072" s="689" customFormat="1" x14ac:dyDescent="0.2"/>
    <row r="27073" s="689" customFormat="1" x14ac:dyDescent="0.2"/>
    <row r="27074" s="689" customFormat="1" x14ac:dyDescent="0.2"/>
    <row r="27075" s="689" customFormat="1" x14ac:dyDescent="0.2"/>
    <row r="27076" s="689" customFormat="1" x14ac:dyDescent="0.2"/>
    <row r="27077" s="689" customFormat="1" x14ac:dyDescent="0.2"/>
    <row r="27078" s="689" customFormat="1" x14ac:dyDescent="0.2"/>
    <row r="27079" s="689" customFormat="1" x14ac:dyDescent="0.2"/>
    <row r="27080" s="689" customFormat="1" x14ac:dyDescent="0.2"/>
    <row r="27081" s="689" customFormat="1" x14ac:dyDescent="0.2"/>
    <row r="27082" s="689" customFormat="1" x14ac:dyDescent="0.2"/>
    <row r="27083" s="689" customFormat="1" x14ac:dyDescent="0.2"/>
    <row r="27084" s="689" customFormat="1" x14ac:dyDescent="0.2"/>
    <row r="27085" s="689" customFormat="1" x14ac:dyDescent="0.2"/>
    <row r="27086" s="689" customFormat="1" x14ac:dyDescent="0.2"/>
    <row r="27087" s="689" customFormat="1" x14ac:dyDescent="0.2"/>
    <row r="27088" s="689" customFormat="1" x14ac:dyDescent="0.2"/>
    <row r="27089" s="689" customFormat="1" x14ac:dyDescent="0.2"/>
    <row r="27090" s="689" customFormat="1" x14ac:dyDescent="0.2"/>
    <row r="27091" s="689" customFormat="1" x14ac:dyDescent="0.2"/>
    <row r="27092" s="689" customFormat="1" x14ac:dyDescent="0.2"/>
    <row r="27093" s="689" customFormat="1" x14ac:dyDescent="0.2"/>
    <row r="27094" s="689" customFormat="1" x14ac:dyDescent="0.2"/>
    <row r="27095" s="689" customFormat="1" x14ac:dyDescent="0.2"/>
    <row r="27096" s="689" customFormat="1" x14ac:dyDescent="0.2"/>
    <row r="27097" s="689" customFormat="1" x14ac:dyDescent="0.2"/>
    <row r="27098" s="689" customFormat="1" x14ac:dyDescent="0.2"/>
    <row r="27099" s="689" customFormat="1" x14ac:dyDescent="0.2"/>
    <row r="27100" s="689" customFormat="1" x14ac:dyDescent="0.2"/>
    <row r="27101" s="689" customFormat="1" x14ac:dyDescent="0.2"/>
    <row r="27102" s="689" customFormat="1" x14ac:dyDescent="0.2"/>
    <row r="27103" s="689" customFormat="1" x14ac:dyDescent="0.2"/>
    <row r="27104" s="689" customFormat="1" x14ac:dyDescent="0.2"/>
    <row r="27105" s="689" customFormat="1" x14ac:dyDescent="0.2"/>
    <row r="27106" s="689" customFormat="1" x14ac:dyDescent="0.2"/>
    <row r="27107" s="689" customFormat="1" x14ac:dyDescent="0.2"/>
    <row r="27108" s="689" customFormat="1" x14ac:dyDescent="0.2"/>
    <row r="27109" s="689" customFormat="1" x14ac:dyDescent="0.2"/>
    <row r="27110" s="689" customFormat="1" x14ac:dyDescent="0.2"/>
    <row r="27111" s="689" customFormat="1" x14ac:dyDescent="0.2"/>
    <row r="27112" s="689" customFormat="1" x14ac:dyDescent="0.2"/>
    <row r="27113" s="689" customFormat="1" x14ac:dyDescent="0.2"/>
    <row r="27114" s="689" customFormat="1" x14ac:dyDescent="0.2"/>
    <row r="27115" s="689" customFormat="1" x14ac:dyDescent="0.2"/>
    <row r="27116" s="689" customFormat="1" x14ac:dyDescent="0.2"/>
    <row r="27117" s="689" customFormat="1" x14ac:dyDescent="0.2"/>
    <row r="27118" s="689" customFormat="1" x14ac:dyDescent="0.2"/>
    <row r="27119" s="689" customFormat="1" x14ac:dyDescent="0.2"/>
    <row r="27120" s="689" customFormat="1" x14ac:dyDescent="0.2"/>
    <row r="27121" s="689" customFormat="1" x14ac:dyDescent="0.2"/>
    <row r="27122" s="689" customFormat="1" x14ac:dyDescent="0.2"/>
    <row r="27123" s="689" customFormat="1" x14ac:dyDescent="0.2"/>
    <row r="27124" s="689" customFormat="1" x14ac:dyDescent="0.2"/>
    <row r="27125" s="689" customFormat="1" x14ac:dyDescent="0.2"/>
    <row r="27126" s="689" customFormat="1" x14ac:dyDescent="0.2"/>
    <row r="27127" s="689" customFormat="1" x14ac:dyDescent="0.2"/>
    <row r="27128" s="689" customFormat="1" x14ac:dyDescent="0.2"/>
    <row r="27129" s="689" customFormat="1" x14ac:dyDescent="0.2"/>
    <row r="27130" s="689" customFormat="1" x14ac:dyDescent="0.2"/>
    <row r="27131" s="689" customFormat="1" x14ac:dyDescent="0.2"/>
    <row r="27132" s="689" customFormat="1" x14ac:dyDescent="0.2"/>
    <row r="27133" s="689" customFormat="1" x14ac:dyDescent="0.2"/>
    <row r="27134" s="689" customFormat="1" x14ac:dyDescent="0.2"/>
    <row r="27135" s="689" customFormat="1" x14ac:dyDescent="0.2"/>
    <row r="27136" s="689" customFormat="1" x14ac:dyDescent="0.2"/>
    <row r="27137" s="689" customFormat="1" x14ac:dyDescent="0.2"/>
    <row r="27138" s="689" customFormat="1" x14ac:dyDescent="0.2"/>
    <row r="27139" s="689" customFormat="1" x14ac:dyDescent="0.2"/>
    <row r="27140" s="689" customFormat="1" x14ac:dyDescent="0.2"/>
    <row r="27141" s="689" customFormat="1" x14ac:dyDescent="0.2"/>
    <row r="27142" s="689" customFormat="1" x14ac:dyDescent="0.2"/>
    <row r="27143" s="689" customFormat="1" x14ac:dyDescent="0.2"/>
    <row r="27144" s="689" customFormat="1" x14ac:dyDescent="0.2"/>
    <row r="27145" s="689" customFormat="1" x14ac:dyDescent="0.2"/>
    <row r="27146" s="689" customFormat="1" x14ac:dyDescent="0.2"/>
    <row r="27147" s="689" customFormat="1" x14ac:dyDescent="0.2"/>
    <row r="27148" s="689" customFormat="1" x14ac:dyDescent="0.2"/>
    <row r="27149" s="689" customFormat="1" x14ac:dyDescent="0.2"/>
    <row r="27150" s="689" customFormat="1" x14ac:dyDescent="0.2"/>
    <row r="27151" s="689" customFormat="1" x14ac:dyDescent="0.2"/>
    <row r="27152" s="689" customFormat="1" x14ac:dyDescent="0.2"/>
    <row r="27153" s="689" customFormat="1" x14ac:dyDescent="0.2"/>
    <row r="27154" s="689" customFormat="1" x14ac:dyDescent="0.2"/>
    <row r="27155" s="689" customFormat="1" x14ac:dyDescent="0.2"/>
    <row r="27156" s="689" customFormat="1" x14ac:dyDescent="0.2"/>
    <row r="27157" s="689" customFormat="1" x14ac:dyDescent="0.2"/>
    <row r="27158" s="689" customFormat="1" x14ac:dyDescent="0.2"/>
    <row r="27159" s="689" customFormat="1" x14ac:dyDescent="0.2"/>
    <row r="27160" s="689" customFormat="1" x14ac:dyDescent="0.2"/>
    <row r="27161" s="689" customFormat="1" x14ac:dyDescent="0.2"/>
    <row r="27162" s="689" customFormat="1" x14ac:dyDescent="0.2"/>
    <row r="27163" s="689" customFormat="1" x14ac:dyDescent="0.2"/>
    <row r="27164" s="689" customFormat="1" x14ac:dyDescent="0.2"/>
    <row r="27165" s="689" customFormat="1" x14ac:dyDescent="0.2"/>
    <row r="27166" s="689" customFormat="1" x14ac:dyDescent="0.2"/>
    <row r="27167" s="689" customFormat="1" x14ac:dyDescent="0.2"/>
    <row r="27168" s="689" customFormat="1" x14ac:dyDescent="0.2"/>
    <row r="27169" s="689" customFormat="1" x14ac:dyDescent="0.2"/>
    <row r="27170" s="689" customFormat="1" x14ac:dyDescent="0.2"/>
    <row r="27171" s="689" customFormat="1" x14ac:dyDescent="0.2"/>
    <row r="27172" s="689" customFormat="1" x14ac:dyDescent="0.2"/>
    <row r="27173" s="689" customFormat="1" x14ac:dyDescent="0.2"/>
    <row r="27174" s="689" customFormat="1" x14ac:dyDescent="0.2"/>
    <row r="27175" s="689" customFormat="1" x14ac:dyDescent="0.2"/>
    <row r="27176" s="689" customFormat="1" x14ac:dyDescent="0.2"/>
    <row r="27177" s="689" customFormat="1" x14ac:dyDescent="0.2"/>
    <row r="27178" s="689" customFormat="1" x14ac:dyDescent="0.2"/>
    <row r="27179" s="689" customFormat="1" x14ac:dyDescent="0.2"/>
    <row r="27180" s="689" customFormat="1" x14ac:dyDescent="0.2"/>
    <row r="27181" s="689" customFormat="1" x14ac:dyDescent="0.2"/>
    <row r="27182" s="689" customFormat="1" x14ac:dyDescent="0.2"/>
    <row r="27183" s="689" customFormat="1" x14ac:dyDescent="0.2"/>
    <row r="27184" s="689" customFormat="1" x14ac:dyDescent="0.2"/>
    <row r="27185" s="689" customFormat="1" x14ac:dyDescent="0.2"/>
    <row r="27186" s="689" customFormat="1" x14ac:dyDescent="0.2"/>
    <row r="27187" s="689" customFormat="1" x14ac:dyDescent="0.2"/>
    <row r="27188" s="689" customFormat="1" x14ac:dyDescent="0.2"/>
    <row r="27189" s="689" customFormat="1" x14ac:dyDescent="0.2"/>
    <row r="27190" s="689" customFormat="1" x14ac:dyDescent="0.2"/>
    <row r="27191" s="689" customFormat="1" x14ac:dyDescent="0.2"/>
    <row r="27192" s="689" customFormat="1" x14ac:dyDescent="0.2"/>
    <row r="27193" s="689" customFormat="1" x14ac:dyDescent="0.2"/>
    <row r="27194" s="689" customFormat="1" x14ac:dyDescent="0.2"/>
    <row r="27195" s="689" customFormat="1" x14ac:dyDescent="0.2"/>
    <row r="27196" s="689" customFormat="1" x14ac:dyDescent="0.2"/>
    <row r="27197" s="689" customFormat="1" x14ac:dyDescent="0.2"/>
    <row r="27198" s="689" customFormat="1" x14ac:dyDescent="0.2"/>
    <row r="27199" s="689" customFormat="1" x14ac:dyDescent="0.2"/>
    <row r="27200" s="689" customFormat="1" x14ac:dyDescent="0.2"/>
    <row r="27201" s="689" customFormat="1" x14ac:dyDescent="0.2"/>
    <row r="27202" s="689" customFormat="1" x14ac:dyDescent="0.2"/>
    <row r="27203" s="689" customFormat="1" x14ac:dyDescent="0.2"/>
    <row r="27204" s="689" customFormat="1" x14ac:dyDescent="0.2"/>
    <row r="27205" s="689" customFormat="1" x14ac:dyDescent="0.2"/>
    <row r="27206" s="689" customFormat="1" x14ac:dyDescent="0.2"/>
    <row r="27207" s="689" customFormat="1" x14ac:dyDescent="0.2"/>
    <row r="27208" s="689" customFormat="1" x14ac:dyDescent="0.2"/>
    <row r="27209" s="689" customFormat="1" x14ac:dyDescent="0.2"/>
    <row r="27210" s="689" customFormat="1" x14ac:dyDescent="0.2"/>
    <row r="27211" s="689" customFormat="1" x14ac:dyDescent="0.2"/>
    <row r="27212" s="689" customFormat="1" x14ac:dyDescent="0.2"/>
    <row r="27213" s="689" customFormat="1" x14ac:dyDescent="0.2"/>
    <row r="27214" s="689" customFormat="1" x14ac:dyDescent="0.2"/>
    <row r="27215" s="689" customFormat="1" x14ac:dyDescent="0.2"/>
    <row r="27216" s="689" customFormat="1" x14ac:dyDescent="0.2"/>
    <row r="27217" s="689" customFormat="1" x14ac:dyDescent="0.2"/>
    <row r="27218" s="689" customFormat="1" x14ac:dyDescent="0.2"/>
    <row r="27219" s="689" customFormat="1" x14ac:dyDescent="0.2"/>
    <row r="27220" s="689" customFormat="1" x14ac:dyDescent="0.2"/>
    <row r="27221" s="689" customFormat="1" x14ac:dyDescent="0.2"/>
    <row r="27222" s="689" customFormat="1" x14ac:dyDescent="0.2"/>
    <row r="27223" s="689" customFormat="1" x14ac:dyDescent="0.2"/>
    <row r="27224" s="689" customFormat="1" x14ac:dyDescent="0.2"/>
    <row r="27225" s="689" customFormat="1" x14ac:dyDescent="0.2"/>
    <row r="27226" s="689" customFormat="1" x14ac:dyDescent="0.2"/>
    <row r="27227" s="689" customFormat="1" x14ac:dyDescent="0.2"/>
    <row r="27228" s="689" customFormat="1" x14ac:dyDescent="0.2"/>
    <row r="27229" s="689" customFormat="1" x14ac:dyDescent="0.2"/>
    <row r="27230" s="689" customFormat="1" x14ac:dyDescent="0.2"/>
    <row r="27231" s="689" customFormat="1" x14ac:dyDescent="0.2"/>
    <row r="27232" s="689" customFormat="1" x14ac:dyDescent="0.2"/>
    <row r="27233" s="689" customFormat="1" x14ac:dyDescent="0.2"/>
    <row r="27234" s="689" customFormat="1" x14ac:dyDescent="0.2"/>
    <row r="27235" s="689" customFormat="1" x14ac:dyDescent="0.2"/>
    <row r="27236" s="689" customFormat="1" x14ac:dyDescent="0.2"/>
    <row r="27237" s="689" customFormat="1" x14ac:dyDescent="0.2"/>
    <row r="27238" s="689" customFormat="1" x14ac:dyDescent="0.2"/>
    <row r="27239" s="689" customFormat="1" x14ac:dyDescent="0.2"/>
    <row r="27240" s="689" customFormat="1" x14ac:dyDescent="0.2"/>
    <row r="27241" s="689" customFormat="1" x14ac:dyDescent="0.2"/>
    <row r="27242" s="689" customFormat="1" x14ac:dyDescent="0.2"/>
    <row r="27243" s="689" customFormat="1" x14ac:dyDescent="0.2"/>
    <row r="27244" s="689" customFormat="1" x14ac:dyDescent="0.2"/>
    <row r="27245" s="689" customFormat="1" x14ac:dyDescent="0.2"/>
    <row r="27246" s="689" customFormat="1" x14ac:dyDescent="0.2"/>
    <row r="27247" s="689" customFormat="1" x14ac:dyDescent="0.2"/>
    <row r="27248" s="689" customFormat="1" x14ac:dyDescent="0.2"/>
    <row r="27249" s="689" customFormat="1" x14ac:dyDescent="0.2"/>
    <row r="27250" s="689" customFormat="1" x14ac:dyDescent="0.2"/>
    <row r="27251" s="689" customFormat="1" x14ac:dyDescent="0.2"/>
    <row r="27252" s="689" customFormat="1" x14ac:dyDescent="0.2"/>
    <row r="27253" s="689" customFormat="1" x14ac:dyDescent="0.2"/>
    <row r="27254" s="689" customFormat="1" x14ac:dyDescent="0.2"/>
    <row r="27255" s="689" customFormat="1" x14ac:dyDescent="0.2"/>
    <row r="27256" s="689" customFormat="1" x14ac:dyDescent="0.2"/>
    <row r="27257" s="689" customFormat="1" x14ac:dyDescent="0.2"/>
    <row r="27258" s="689" customFormat="1" x14ac:dyDescent="0.2"/>
    <row r="27259" s="689" customFormat="1" x14ac:dyDescent="0.2"/>
    <row r="27260" s="689" customFormat="1" x14ac:dyDescent="0.2"/>
    <row r="27261" s="689" customFormat="1" x14ac:dyDescent="0.2"/>
    <row r="27262" s="689" customFormat="1" x14ac:dyDescent="0.2"/>
    <row r="27263" s="689" customFormat="1" x14ac:dyDescent="0.2"/>
    <row r="27264" s="689" customFormat="1" x14ac:dyDescent="0.2"/>
    <row r="27265" s="689" customFormat="1" x14ac:dyDescent="0.2"/>
    <row r="27266" s="689" customFormat="1" x14ac:dyDescent="0.2"/>
    <row r="27267" s="689" customFormat="1" x14ac:dyDescent="0.2"/>
    <row r="27268" s="689" customFormat="1" x14ac:dyDescent="0.2"/>
    <row r="27269" s="689" customFormat="1" x14ac:dyDescent="0.2"/>
    <row r="27270" s="689" customFormat="1" x14ac:dyDescent="0.2"/>
    <row r="27271" s="689" customFormat="1" x14ac:dyDescent="0.2"/>
    <row r="27272" s="689" customFormat="1" x14ac:dyDescent="0.2"/>
    <row r="27273" s="689" customFormat="1" x14ac:dyDescent="0.2"/>
    <row r="27274" s="689" customFormat="1" x14ac:dyDescent="0.2"/>
    <row r="27275" s="689" customFormat="1" x14ac:dyDescent="0.2"/>
    <row r="27276" s="689" customFormat="1" x14ac:dyDescent="0.2"/>
    <row r="27277" s="689" customFormat="1" x14ac:dyDescent="0.2"/>
    <row r="27278" s="689" customFormat="1" x14ac:dyDescent="0.2"/>
    <row r="27279" s="689" customFormat="1" x14ac:dyDescent="0.2"/>
    <row r="27280" s="689" customFormat="1" x14ac:dyDescent="0.2"/>
    <row r="27281" s="689" customFormat="1" x14ac:dyDescent="0.2"/>
    <row r="27282" s="689" customFormat="1" x14ac:dyDescent="0.2"/>
    <row r="27283" s="689" customFormat="1" x14ac:dyDescent="0.2"/>
    <row r="27284" s="689" customFormat="1" x14ac:dyDescent="0.2"/>
    <row r="27285" s="689" customFormat="1" x14ac:dyDescent="0.2"/>
    <row r="27286" s="689" customFormat="1" x14ac:dyDescent="0.2"/>
    <row r="27287" s="689" customFormat="1" x14ac:dyDescent="0.2"/>
    <row r="27288" s="689" customFormat="1" x14ac:dyDescent="0.2"/>
    <row r="27289" s="689" customFormat="1" x14ac:dyDescent="0.2"/>
    <row r="27290" s="689" customFormat="1" x14ac:dyDescent="0.2"/>
    <row r="27291" s="689" customFormat="1" x14ac:dyDescent="0.2"/>
    <row r="27292" s="689" customFormat="1" x14ac:dyDescent="0.2"/>
    <row r="27293" s="689" customFormat="1" x14ac:dyDescent="0.2"/>
    <row r="27294" s="689" customFormat="1" x14ac:dyDescent="0.2"/>
    <row r="27295" s="689" customFormat="1" x14ac:dyDescent="0.2"/>
    <row r="27296" s="689" customFormat="1" x14ac:dyDescent="0.2"/>
    <row r="27297" s="689" customFormat="1" x14ac:dyDescent="0.2"/>
    <row r="27298" s="689" customFormat="1" x14ac:dyDescent="0.2"/>
    <row r="27299" s="689" customFormat="1" x14ac:dyDescent="0.2"/>
    <row r="27300" s="689" customFormat="1" x14ac:dyDescent="0.2"/>
    <row r="27301" s="689" customFormat="1" x14ac:dyDescent="0.2"/>
    <row r="27302" s="689" customFormat="1" x14ac:dyDescent="0.2"/>
    <row r="27303" s="689" customFormat="1" x14ac:dyDescent="0.2"/>
    <row r="27304" s="689" customFormat="1" x14ac:dyDescent="0.2"/>
    <row r="27305" s="689" customFormat="1" x14ac:dyDescent="0.2"/>
    <row r="27306" s="689" customFormat="1" x14ac:dyDescent="0.2"/>
    <row r="27307" s="689" customFormat="1" x14ac:dyDescent="0.2"/>
    <row r="27308" s="689" customFormat="1" x14ac:dyDescent="0.2"/>
    <row r="27309" s="689" customFormat="1" x14ac:dyDescent="0.2"/>
    <row r="27310" s="689" customFormat="1" x14ac:dyDescent="0.2"/>
    <row r="27311" s="689" customFormat="1" x14ac:dyDescent="0.2"/>
    <row r="27312" s="689" customFormat="1" x14ac:dyDescent="0.2"/>
    <row r="27313" s="689" customFormat="1" x14ac:dyDescent="0.2"/>
    <row r="27314" s="689" customFormat="1" x14ac:dyDescent="0.2"/>
    <row r="27315" s="689" customFormat="1" x14ac:dyDescent="0.2"/>
    <row r="27316" s="689" customFormat="1" x14ac:dyDescent="0.2"/>
    <row r="27317" s="689" customFormat="1" x14ac:dyDescent="0.2"/>
    <row r="27318" s="689" customFormat="1" x14ac:dyDescent="0.2"/>
    <row r="27319" s="689" customFormat="1" x14ac:dyDescent="0.2"/>
    <row r="27320" s="689" customFormat="1" x14ac:dyDescent="0.2"/>
    <row r="27321" s="689" customFormat="1" x14ac:dyDescent="0.2"/>
    <row r="27322" s="689" customFormat="1" x14ac:dyDescent="0.2"/>
    <row r="27323" s="689" customFormat="1" x14ac:dyDescent="0.2"/>
    <row r="27324" s="689" customFormat="1" x14ac:dyDescent="0.2"/>
    <row r="27325" s="689" customFormat="1" x14ac:dyDescent="0.2"/>
    <row r="27326" s="689" customFormat="1" x14ac:dyDescent="0.2"/>
    <row r="27327" s="689" customFormat="1" x14ac:dyDescent="0.2"/>
    <row r="27328" s="689" customFormat="1" x14ac:dyDescent="0.2"/>
    <row r="27329" s="689" customFormat="1" x14ac:dyDescent="0.2"/>
    <row r="27330" s="689" customFormat="1" x14ac:dyDescent="0.2"/>
    <row r="27331" s="689" customFormat="1" x14ac:dyDescent="0.2"/>
    <row r="27332" s="689" customFormat="1" x14ac:dyDescent="0.2"/>
    <row r="27333" s="689" customFormat="1" x14ac:dyDescent="0.2"/>
    <row r="27334" s="689" customFormat="1" x14ac:dyDescent="0.2"/>
    <row r="27335" s="689" customFormat="1" x14ac:dyDescent="0.2"/>
    <row r="27336" s="689" customFormat="1" x14ac:dyDescent="0.2"/>
    <row r="27337" s="689" customFormat="1" x14ac:dyDescent="0.2"/>
    <row r="27338" s="689" customFormat="1" x14ac:dyDescent="0.2"/>
    <row r="27339" s="689" customFormat="1" x14ac:dyDescent="0.2"/>
    <row r="27340" s="689" customFormat="1" x14ac:dyDescent="0.2"/>
    <row r="27341" s="689" customFormat="1" x14ac:dyDescent="0.2"/>
    <row r="27342" s="689" customFormat="1" x14ac:dyDescent="0.2"/>
    <row r="27343" s="689" customFormat="1" x14ac:dyDescent="0.2"/>
    <row r="27344" s="689" customFormat="1" x14ac:dyDescent="0.2"/>
    <row r="27345" s="689" customFormat="1" x14ac:dyDescent="0.2"/>
    <row r="27346" s="689" customFormat="1" x14ac:dyDescent="0.2"/>
    <row r="27347" s="689" customFormat="1" x14ac:dyDescent="0.2"/>
    <row r="27348" s="689" customFormat="1" x14ac:dyDescent="0.2"/>
    <row r="27349" s="689" customFormat="1" x14ac:dyDescent="0.2"/>
    <row r="27350" s="689" customFormat="1" x14ac:dyDescent="0.2"/>
    <row r="27351" s="689" customFormat="1" x14ac:dyDescent="0.2"/>
    <row r="27352" s="689" customFormat="1" x14ac:dyDescent="0.2"/>
    <row r="27353" s="689" customFormat="1" x14ac:dyDescent="0.2"/>
    <row r="27354" s="689" customFormat="1" x14ac:dyDescent="0.2"/>
    <row r="27355" s="689" customFormat="1" x14ac:dyDescent="0.2"/>
    <row r="27356" s="689" customFormat="1" x14ac:dyDescent="0.2"/>
    <row r="27357" s="689" customFormat="1" x14ac:dyDescent="0.2"/>
    <row r="27358" s="689" customFormat="1" x14ac:dyDescent="0.2"/>
    <row r="27359" s="689" customFormat="1" x14ac:dyDescent="0.2"/>
    <row r="27360" s="689" customFormat="1" x14ac:dyDescent="0.2"/>
    <row r="27361" s="689" customFormat="1" x14ac:dyDescent="0.2"/>
    <row r="27362" s="689" customFormat="1" x14ac:dyDescent="0.2"/>
    <row r="27363" s="689" customFormat="1" x14ac:dyDescent="0.2"/>
    <row r="27364" s="689" customFormat="1" x14ac:dyDescent="0.2"/>
    <row r="27365" s="689" customFormat="1" x14ac:dyDescent="0.2"/>
    <row r="27366" s="689" customFormat="1" x14ac:dyDescent="0.2"/>
    <row r="27367" s="689" customFormat="1" x14ac:dyDescent="0.2"/>
    <row r="27368" s="689" customFormat="1" x14ac:dyDescent="0.2"/>
    <row r="27369" s="689" customFormat="1" x14ac:dyDescent="0.2"/>
    <row r="27370" s="689" customFormat="1" x14ac:dyDescent="0.2"/>
    <row r="27371" s="689" customFormat="1" x14ac:dyDescent="0.2"/>
    <row r="27372" s="689" customFormat="1" x14ac:dyDescent="0.2"/>
    <row r="27373" s="689" customFormat="1" x14ac:dyDescent="0.2"/>
    <row r="27374" s="689" customFormat="1" x14ac:dyDescent="0.2"/>
    <row r="27375" s="689" customFormat="1" x14ac:dyDescent="0.2"/>
    <row r="27376" s="689" customFormat="1" x14ac:dyDescent="0.2"/>
    <row r="27377" s="689" customFormat="1" x14ac:dyDescent="0.2"/>
    <row r="27378" s="689" customFormat="1" x14ac:dyDescent="0.2"/>
    <row r="27379" s="689" customFormat="1" x14ac:dyDescent="0.2"/>
    <row r="27380" s="689" customFormat="1" x14ac:dyDescent="0.2"/>
    <row r="27381" s="689" customFormat="1" x14ac:dyDescent="0.2"/>
    <row r="27382" s="689" customFormat="1" x14ac:dyDescent="0.2"/>
    <row r="27383" s="689" customFormat="1" x14ac:dyDescent="0.2"/>
    <row r="27384" s="689" customFormat="1" x14ac:dyDescent="0.2"/>
    <row r="27385" s="689" customFormat="1" x14ac:dyDescent="0.2"/>
    <row r="27386" s="689" customFormat="1" x14ac:dyDescent="0.2"/>
    <row r="27387" s="689" customFormat="1" x14ac:dyDescent="0.2"/>
    <row r="27388" s="689" customFormat="1" x14ac:dyDescent="0.2"/>
    <row r="27389" s="689" customFormat="1" x14ac:dyDescent="0.2"/>
    <row r="27390" s="689" customFormat="1" x14ac:dyDescent="0.2"/>
    <row r="27391" s="689" customFormat="1" x14ac:dyDescent="0.2"/>
    <row r="27392" s="689" customFormat="1" x14ac:dyDescent="0.2"/>
    <row r="27393" s="689" customFormat="1" x14ac:dyDescent="0.2"/>
    <row r="27394" s="689" customFormat="1" x14ac:dyDescent="0.2"/>
    <row r="27395" s="689" customFormat="1" x14ac:dyDescent="0.2"/>
    <row r="27396" s="689" customFormat="1" x14ac:dyDescent="0.2"/>
    <row r="27397" s="689" customFormat="1" x14ac:dyDescent="0.2"/>
    <row r="27398" s="689" customFormat="1" x14ac:dyDescent="0.2"/>
    <row r="27399" s="689" customFormat="1" x14ac:dyDescent="0.2"/>
    <row r="27400" s="689" customFormat="1" x14ac:dyDescent="0.2"/>
    <row r="27401" s="689" customFormat="1" x14ac:dyDescent="0.2"/>
    <row r="27402" s="689" customFormat="1" x14ac:dyDescent="0.2"/>
    <row r="27403" s="689" customFormat="1" x14ac:dyDescent="0.2"/>
    <row r="27404" s="689" customFormat="1" x14ac:dyDescent="0.2"/>
    <row r="27405" s="689" customFormat="1" x14ac:dyDescent="0.2"/>
    <row r="27406" s="689" customFormat="1" x14ac:dyDescent="0.2"/>
    <row r="27407" s="689" customFormat="1" x14ac:dyDescent="0.2"/>
    <row r="27408" s="689" customFormat="1" x14ac:dyDescent="0.2"/>
    <row r="27409" s="689" customFormat="1" x14ac:dyDescent="0.2"/>
    <row r="27410" s="689" customFormat="1" x14ac:dyDescent="0.2"/>
    <row r="27411" s="689" customFormat="1" x14ac:dyDescent="0.2"/>
    <row r="27412" s="689" customFormat="1" x14ac:dyDescent="0.2"/>
    <row r="27413" s="689" customFormat="1" x14ac:dyDescent="0.2"/>
    <row r="27414" s="689" customFormat="1" x14ac:dyDescent="0.2"/>
    <row r="27415" s="689" customFormat="1" x14ac:dyDescent="0.2"/>
    <row r="27416" s="689" customFormat="1" x14ac:dyDescent="0.2"/>
    <row r="27417" s="689" customFormat="1" x14ac:dyDescent="0.2"/>
    <row r="27418" s="689" customFormat="1" x14ac:dyDescent="0.2"/>
    <row r="27419" s="689" customFormat="1" x14ac:dyDescent="0.2"/>
    <row r="27420" s="689" customFormat="1" x14ac:dyDescent="0.2"/>
    <row r="27421" s="689" customFormat="1" x14ac:dyDescent="0.2"/>
    <row r="27422" s="689" customFormat="1" x14ac:dyDescent="0.2"/>
    <row r="27423" s="689" customFormat="1" x14ac:dyDescent="0.2"/>
    <row r="27424" s="689" customFormat="1" x14ac:dyDescent="0.2"/>
    <row r="27425" s="689" customFormat="1" x14ac:dyDescent="0.2"/>
    <row r="27426" s="689" customFormat="1" x14ac:dyDescent="0.2"/>
    <row r="27427" s="689" customFormat="1" x14ac:dyDescent="0.2"/>
    <row r="27428" s="689" customFormat="1" x14ac:dyDescent="0.2"/>
    <row r="27429" s="689" customFormat="1" x14ac:dyDescent="0.2"/>
    <row r="27430" s="689" customFormat="1" x14ac:dyDescent="0.2"/>
    <row r="27431" s="689" customFormat="1" x14ac:dyDescent="0.2"/>
    <row r="27432" s="689" customFormat="1" x14ac:dyDescent="0.2"/>
    <row r="27433" s="689" customFormat="1" x14ac:dyDescent="0.2"/>
    <row r="27434" s="689" customFormat="1" x14ac:dyDescent="0.2"/>
    <row r="27435" s="689" customFormat="1" x14ac:dyDescent="0.2"/>
    <row r="27436" s="689" customFormat="1" x14ac:dyDescent="0.2"/>
    <row r="27437" s="689" customFormat="1" x14ac:dyDescent="0.2"/>
    <row r="27438" s="689" customFormat="1" x14ac:dyDescent="0.2"/>
    <row r="27439" s="689" customFormat="1" x14ac:dyDescent="0.2"/>
    <row r="27440" s="689" customFormat="1" x14ac:dyDescent="0.2"/>
    <row r="27441" s="689" customFormat="1" x14ac:dyDescent="0.2"/>
    <row r="27442" s="689" customFormat="1" x14ac:dyDescent="0.2"/>
    <row r="27443" s="689" customFormat="1" x14ac:dyDescent="0.2"/>
    <row r="27444" s="689" customFormat="1" x14ac:dyDescent="0.2"/>
    <row r="27445" s="689" customFormat="1" x14ac:dyDescent="0.2"/>
    <row r="27446" s="689" customFormat="1" x14ac:dyDescent="0.2"/>
    <row r="27447" s="689" customFormat="1" x14ac:dyDescent="0.2"/>
    <row r="27448" s="689" customFormat="1" x14ac:dyDescent="0.2"/>
    <row r="27449" s="689" customFormat="1" x14ac:dyDescent="0.2"/>
    <row r="27450" s="689" customFormat="1" x14ac:dyDescent="0.2"/>
    <row r="27451" s="689" customFormat="1" x14ac:dyDescent="0.2"/>
    <row r="27452" s="689" customFormat="1" x14ac:dyDescent="0.2"/>
    <row r="27453" s="689" customFormat="1" x14ac:dyDescent="0.2"/>
    <row r="27454" s="689" customFormat="1" x14ac:dyDescent="0.2"/>
    <row r="27455" s="689" customFormat="1" x14ac:dyDescent="0.2"/>
    <row r="27456" s="689" customFormat="1" x14ac:dyDescent="0.2"/>
    <row r="27457" s="689" customFormat="1" x14ac:dyDescent="0.2"/>
    <row r="27458" s="689" customFormat="1" x14ac:dyDescent="0.2"/>
    <row r="27459" s="689" customFormat="1" x14ac:dyDescent="0.2"/>
    <row r="27460" s="689" customFormat="1" x14ac:dyDescent="0.2"/>
    <row r="27461" s="689" customFormat="1" x14ac:dyDescent="0.2"/>
    <row r="27462" s="689" customFormat="1" x14ac:dyDescent="0.2"/>
    <row r="27463" s="689" customFormat="1" x14ac:dyDescent="0.2"/>
    <row r="27464" s="689" customFormat="1" x14ac:dyDescent="0.2"/>
    <row r="27465" s="689" customFormat="1" x14ac:dyDescent="0.2"/>
    <row r="27466" s="689" customFormat="1" x14ac:dyDescent="0.2"/>
    <row r="27467" s="689" customFormat="1" x14ac:dyDescent="0.2"/>
    <row r="27468" s="689" customFormat="1" x14ac:dyDescent="0.2"/>
    <row r="27469" s="689" customFormat="1" x14ac:dyDescent="0.2"/>
    <row r="27470" s="689" customFormat="1" x14ac:dyDescent="0.2"/>
    <row r="27471" s="689" customFormat="1" x14ac:dyDescent="0.2"/>
    <row r="27472" s="689" customFormat="1" x14ac:dyDescent="0.2"/>
    <row r="27473" s="689" customFormat="1" x14ac:dyDescent="0.2"/>
    <row r="27474" s="689" customFormat="1" x14ac:dyDescent="0.2"/>
    <row r="27475" s="689" customFormat="1" x14ac:dyDescent="0.2"/>
    <row r="27476" s="689" customFormat="1" x14ac:dyDescent="0.2"/>
    <row r="27477" s="689" customFormat="1" x14ac:dyDescent="0.2"/>
    <row r="27478" s="689" customFormat="1" x14ac:dyDescent="0.2"/>
    <row r="27479" s="689" customFormat="1" x14ac:dyDescent="0.2"/>
    <row r="27480" s="689" customFormat="1" x14ac:dyDescent="0.2"/>
    <row r="27481" s="689" customFormat="1" x14ac:dyDescent="0.2"/>
    <row r="27482" s="689" customFormat="1" x14ac:dyDescent="0.2"/>
    <row r="27483" s="689" customFormat="1" x14ac:dyDescent="0.2"/>
    <row r="27484" s="689" customFormat="1" x14ac:dyDescent="0.2"/>
    <row r="27485" s="689" customFormat="1" x14ac:dyDescent="0.2"/>
    <row r="27486" s="689" customFormat="1" x14ac:dyDescent="0.2"/>
    <row r="27487" s="689" customFormat="1" x14ac:dyDescent="0.2"/>
    <row r="27488" s="689" customFormat="1" x14ac:dyDescent="0.2"/>
    <row r="27489" s="689" customFormat="1" x14ac:dyDescent="0.2"/>
    <row r="27490" s="689" customFormat="1" x14ac:dyDescent="0.2"/>
    <row r="27491" s="689" customFormat="1" x14ac:dyDescent="0.2"/>
    <row r="27492" s="689" customFormat="1" x14ac:dyDescent="0.2"/>
    <row r="27493" s="689" customFormat="1" x14ac:dyDescent="0.2"/>
    <row r="27494" s="689" customFormat="1" x14ac:dyDescent="0.2"/>
    <row r="27495" s="689" customFormat="1" x14ac:dyDescent="0.2"/>
    <row r="27496" s="689" customFormat="1" x14ac:dyDescent="0.2"/>
    <row r="27497" s="689" customFormat="1" x14ac:dyDescent="0.2"/>
    <row r="27498" s="689" customFormat="1" x14ac:dyDescent="0.2"/>
    <row r="27499" s="689" customFormat="1" x14ac:dyDescent="0.2"/>
    <row r="27500" s="689" customFormat="1" x14ac:dyDescent="0.2"/>
    <row r="27501" s="689" customFormat="1" x14ac:dyDescent="0.2"/>
    <row r="27502" s="689" customFormat="1" x14ac:dyDescent="0.2"/>
    <row r="27503" s="689" customFormat="1" x14ac:dyDescent="0.2"/>
    <row r="27504" s="689" customFormat="1" x14ac:dyDescent="0.2"/>
    <row r="27505" s="689" customFormat="1" x14ac:dyDescent="0.2"/>
    <row r="27506" s="689" customFormat="1" x14ac:dyDescent="0.2"/>
    <row r="27507" s="689" customFormat="1" x14ac:dyDescent="0.2"/>
    <row r="27508" s="689" customFormat="1" x14ac:dyDescent="0.2"/>
    <row r="27509" s="689" customFormat="1" x14ac:dyDescent="0.2"/>
    <row r="27510" s="689" customFormat="1" x14ac:dyDescent="0.2"/>
    <row r="27511" s="689" customFormat="1" x14ac:dyDescent="0.2"/>
    <row r="27512" s="689" customFormat="1" x14ac:dyDescent="0.2"/>
    <row r="27513" s="689" customFormat="1" x14ac:dyDescent="0.2"/>
    <row r="27514" s="689" customFormat="1" x14ac:dyDescent="0.2"/>
    <row r="27515" s="689" customFormat="1" x14ac:dyDescent="0.2"/>
    <row r="27516" s="689" customFormat="1" x14ac:dyDescent="0.2"/>
    <row r="27517" s="689" customFormat="1" x14ac:dyDescent="0.2"/>
    <row r="27518" s="689" customFormat="1" x14ac:dyDescent="0.2"/>
    <row r="27519" s="689" customFormat="1" x14ac:dyDescent="0.2"/>
    <row r="27520" s="689" customFormat="1" x14ac:dyDescent="0.2"/>
    <row r="27521" s="689" customFormat="1" x14ac:dyDescent="0.2"/>
    <row r="27522" s="689" customFormat="1" x14ac:dyDescent="0.2"/>
    <row r="27523" s="689" customFormat="1" x14ac:dyDescent="0.2"/>
    <row r="27524" s="689" customFormat="1" x14ac:dyDescent="0.2"/>
    <row r="27525" s="689" customFormat="1" x14ac:dyDescent="0.2"/>
    <row r="27526" s="689" customFormat="1" x14ac:dyDescent="0.2"/>
    <row r="27527" s="689" customFormat="1" x14ac:dyDescent="0.2"/>
    <row r="27528" s="689" customFormat="1" x14ac:dyDescent="0.2"/>
    <row r="27529" s="689" customFormat="1" x14ac:dyDescent="0.2"/>
    <row r="27530" s="689" customFormat="1" x14ac:dyDescent="0.2"/>
    <row r="27531" s="689" customFormat="1" x14ac:dyDescent="0.2"/>
    <row r="27532" s="689" customFormat="1" x14ac:dyDescent="0.2"/>
    <row r="27533" s="689" customFormat="1" x14ac:dyDescent="0.2"/>
    <row r="27534" s="689" customFormat="1" x14ac:dyDescent="0.2"/>
    <row r="27535" s="689" customFormat="1" x14ac:dyDescent="0.2"/>
    <row r="27536" s="689" customFormat="1" x14ac:dyDescent="0.2"/>
    <row r="27537" s="689" customFormat="1" x14ac:dyDescent="0.2"/>
    <row r="27538" s="689" customFormat="1" x14ac:dyDescent="0.2"/>
    <row r="27539" s="689" customFormat="1" x14ac:dyDescent="0.2"/>
    <row r="27540" s="689" customFormat="1" x14ac:dyDescent="0.2"/>
    <row r="27541" s="689" customFormat="1" x14ac:dyDescent="0.2"/>
    <row r="27542" s="689" customFormat="1" x14ac:dyDescent="0.2"/>
    <row r="27543" s="689" customFormat="1" x14ac:dyDescent="0.2"/>
    <row r="27544" s="689" customFormat="1" x14ac:dyDescent="0.2"/>
    <row r="27545" s="689" customFormat="1" x14ac:dyDescent="0.2"/>
    <row r="27546" s="689" customFormat="1" x14ac:dyDescent="0.2"/>
    <row r="27547" s="689" customFormat="1" x14ac:dyDescent="0.2"/>
    <row r="27548" s="689" customFormat="1" x14ac:dyDescent="0.2"/>
    <row r="27549" s="689" customFormat="1" x14ac:dyDescent="0.2"/>
    <row r="27550" s="689" customFormat="1" x14ac:dyDescent="0.2"/>
    <row r="27551" s="689" customFormat="1" x14ac:dyDescent="0.2"/>
    <row r="27552" s="689" customFormat="1" x14ac:dyDescent="0.2"/>
    <row r="27553" s="689" customFormat="1" x14ac:dyDescent="0.2"/>
    <row r="27554" s="689" customFormat="1" x14ac:dyDescent="0.2"/>
    <row r="27555" s="689" customFormat="1" x14ac:dyDescent="0.2"/>
    <row r="27556" s="689" customFormat="1" x14ac:dyDescent="0.2"/>
    <row r="27557" s="689" customFormat="1" x14ac:dyDescent="0.2"/>
    <row r="27558" s="689" customFormat="1" x14ac:dyDescent="0.2"/>
    <row r="27559" s="689" customFormat="1" x14ac:dyDescent="0.2"/>
    <row r="27560" s="689" customFormat="1" x14ac:dyDescent="0.2"/>
    <row r="27561" s="689" customFormat="1" x14ac:dyDescent="0.2"/>
    <row r="27562" s="689" customFormat="1" x14ac:dyDescent="0.2"/>
    <row r="27563" s="689" customFormat="1" x14ac:dyDescent="0.2"/>
    <row r="27564" s="689" customFormat="1" x14ac:dyDescent="0.2"/>
    <row r="27565" s="689" customFormat="1" x14ac:dyDescent="0.2"/>
    <row r="27566" s="689" customFormat="1" x14ac:dyDescent="0.2"/>
    <row r="27567" s="689" customFormat="1" x14ac:dyDescent="0.2"/>
    <row r="27568" s="689" customFormat="1" x14ac:dyDescent="0.2"/>
    <row r="27569" s="689" customFormat="1" x14ac:dyDescent="0.2"/>
    <row r="27570" s="689" customFormat="1" x14ac:dyDescent="0.2"/>
    <row r="27571" s="689" customFormat="1" x14ac:dyDescent="0.2"/>
    <row r="27572" s="689" customFormat="1" x14ac:dyDescent="0.2"/>
    <row r="27573" s="689" customFormat="1" x14ac:dyDescent="0.2"/>
    <row r="27574" s="689" customFormat="1" x14ac:dyDescent="0.2"/>
    <row r="27575" s="689" customFormat="1" x14ac:dyDescent="0.2"/>
    <row r="27576" s="689" customFormat="1" x14ac:dyDescent="0.2"/>
    <row r="27577" s="689" customFormat="1" x14ac:dyDescent="0.2"/>
    <row r="27578" s="689" customFormat="1" x14ac:dyDescent="0.2"/>
    <row r="27579" s="689" customFormat="1" x14ac:dyDescent="0.2"/>
    <row r="27580" s="689" customFormat="1" x14ac:dyDescent="0.2"/>
    <row r="27581" s="689" customFormat="1" x14ac:dyDescent="0.2"/>
    <row r="27582" s="689" customFormat="1" x14ac:dyDescent="0.2"/>
    <row r="27583" s="689" customFormat="1" x14ac:dyDescent="0.2"/>
    <row r="27584" s="689" customFormat="1" x14ac:dyDescent="0.2"/>
    <row r="27585" s="689" customFormat="1" x14ac:dyDescent="0.2"/>
    <row r="27586" s="689" customFormat="1" x14ac:dyDescent="0.2"/>
    <row r="27587" s="689" customFormat="1" x14ac:dyDescent="0.2"/>
    <row r="27588" s="689" customFormat="1" x14ac:dyDescent="0.2"/>
    <row r="27589" s="689" customFormat="1" x14ac:dyDescent="0.2"/>
    <row r="27590" s="689" customFormat="1" x14ac:dyDescent="0.2"/>
    <row r="27591" s="689" customFormat="1" x14ac:dyDescent="0.2"/>
    <row r="27592" s="689" customFormat="1" x14ac:dyDescent="0.2"/>
    <row r="27593" s="689" customFormat="1" x14ac:dyDescent="0.2"/>
    <row r="27594" s="689" customFormat="1" x14ac:dyDescent="0.2"/>
    <row r="27595" s="689" customFormat="1" x14ac:dyDescent="0.2"/>
    <row r="27596" s="689" customFormat="1" x14ac:dyDescent="0.2"/>
    <row r="27597" s="689" customFormat="1" x14ac:dyDescent="0.2"/>
    <row r="27598" s="689" customFormat="1" x14ac:dyDescent="0.2"/>
    <row r="27599" s="689" customFormat="1" x14ac:dyDescent="0.2"/>
    <row r="27600" s="689" customFormat="1" x14ac:dyDescent="0.2"/>
    <row r="27601" s="689" customFormat="1" x14ac:dyDescent="0.2"/>
    <row r="27602" s="689" customFormat="1" x14ac:dyDescent="0.2"/>
    <row r="27603" s="689" customFormat="1" x14ac:dyDescent="0.2"/>
    <row r="27604" s="689" customFormat="1" x14ac:dyDescent="0.2"/>
    <row r="27605" s="689" customFormat="1" x14ac:dyDescent="0.2"/>
    <row r="27606" s="689" customFormat="1" x14ac:dyDescent="0.2"/>
    <row r="27607" s="689" customFormat="1" x14ac:dyDescent="0.2"/>
    <row r="27608" s="689" customFormat="1" x14ac:dyDescent="0.2"/>
    <row r="27609" s="689" customFormat="1" x14ac:dyDescent="0.2"/>
    <row r="27610" s="689" customFormat="1" x14ac:dyDescent="0.2"/>
    <row r="27611" s="689" customFormat="1" x14ac:dyDescent="0.2"/>
    <row r="27612" s="689" customFormat="1" x14ac:dyDescent="0.2"/>
    <row r="27613" s="689" customFormat="1" x14ac:dyDescent="0.2"/>
    <row r="27614" s="689" customFormat="1" x14ac:dyDescent="0.2"/>
    <row r="27615" s="689" customFormat="1" x14ac:dyDescent="0.2"/>
    <row r="27616" s="689" customFormat="1" x14ac:dyDescent="0.2"/>
    <row r="27617" s="689" customFormat="1" x14ac:dyDescent="0.2"/>
    <row r="27618" s="689" customFormat="1" x14ac:dyDescent="0.2"/>
    <row r="27619" s="689" customFormat="1" x14ac:dyDescent="0.2"/>
    <row r="27620" s="689" customFormat="1" x14ac:dyDescent="0.2"/>
    <row r="27621" s="689" customFormat="1" x14ac:dyDescent="0.2"/>
    <row r="27622" s="689" customFormat="1" x14ac:dyDescent="0.2"/>
    <row r="27623" s="689" customFormat="1" x14ac:dyDescent="0.2"/>
    <row r="27624" s="689" customFormat="1" x14ac:dyDescent="0.2"/>
    <row r="27625" s="689" customFormat="1" x14ac:dyDescent="0.2"/>
    <row r="27626" s="689" customFormat="1" x14ac:dyDescent="0.2"/>
    <row r="27627" s="689" customFormat="1" x14ac:dyDescent="0.2"/>
    <row r="27628" s="689" customFormat="1" x14ac:dyDescent="0.2"/>
    <row r="27629" s="689" customFormat="1" x14ac:dyDescent="0.2"/>
    <row r="27630" s="689" customFormat="1" x14ac:dyDescent="0.2"/>
    <row r="27631" s="689" customFormat="1" x14ac:dyDescent="0.2"/>
    <row r="27632" s="689" customFormat="1" x14ac:dyDescent="0.2"/>
    <row r="27633" s="689" customFormat="1" x14ac:dyDescent="0.2"/>
    <row r="27634" s="689" customFormat="1" x14ac:dyDescent="0.2"/>
    <row r="27635" s="689" customFormat="1" x14ac:dyDescent="0.2"/>
    <row r="27636" s="689" customFormat="1" x14ac:dyDescent="0.2"/>
    <row r="27637" s="689" customFormat="1" x14ac:dyDescent="0.2"/>
    <row r="27638" s="689" customFormat="1" x14ac:dyDescent="0.2"/>
    <row r="27639" s="689" customFormat="1" x14ac:dyDescent="0.2"/>
    <row r="27640" s="689" customFormat="1" x14ac:dyDescent="0.2"/>
    <row r="27641" s="689" customFormat="1" x14ac:dyDescent="0.2"/>
    <row r="27642" s="689" customFormat="1" x14ac:dyDescent="0.2"/>
    <row r="27643" s="689" customFormat="1" x14ac:dyDescent="0.2"/>
    <row r="27644" s="689" customFormat="1" x14ac:dyDescent="0.2"/>
    <row r="27645" s="689" customFormat="1" x14ac:dyDescent="0.2"/>
    <row r="27646" s="689" customFormat="1" x14ac:dyDescent="0.2"/>
    <row r="27647" s="689" customFormat="1" x14ac:dyDescent="0.2"/>
    <row r="27648" s="689" customFormat="1" x14ac:dyDescent="0.2"/>
    <row r="27649" s="689" customFormat="1" x14ac:dyDescent="0.2"/>
    <row r="27650" s="689" customFormat="1" x14ac:dyDescent="0.2"/>
    <row r="27651" s="689" customFormat="1" x14ac:dyDescent="0.2"/>
    <row r="27652" s="689" customFormat="1" x14ac:dyDescent="0.2"/>
    <row r="27653" s="689" customFormat="1" x14ac:dyDescent="0.2"/>
    <row r="27654" s="689" customFormat="1" x14ac:dyDescent="0.2"/>
    <row r="27655" s="689" customFormat="1" x14ac:dyDescent="0.2"/>
    <row r="27656" s="689" customFormat="1" x14ac:dyDescent="0.2"/>
    <row r="27657" s="689" customFormat="1" x14ac:dyDescent="0.2"/>
    <row r="27658" s="689" customFormat="1" x14ac:dyDescent="0.2"/>
    <row r="27659" s="689" customFormat="1" x14ac:dyDescent="0.2"/>
    <row r="27660" s="689" customFormat="1" x14ac:dyDescent="0.2"/>
    <row r="27661" s="689" customFormat="1" x14ac:dyDescent="0.2"/>
    <row r="27662" s="689" customFormat="1" x14ac:dyDescent="0.2"/>
    <row r="27663" s="689" customFormat="1" x14ac:dyDescent="0.2"/>
    <row r="27664" s="689" customFormat="1" x14ac:dyDescent="0.2"/>
    <row r="27665" s="689" customFormat="1" x14ac:dyDescent="0.2"/>
    <row r="27666" s="689" customFormat="1" x14ac:dyDescent="0.2"/>
    <row r="27667" s="689" customFormat="1" x14ac:dyDescent="0.2"/>
    <row r="27668" s="689" customFormat="1" x14ac:dyDescent="0.2"/>
    <row r="27669" s="689" customFormat="1" x14ac:dyDescent="0.2"/>
    <row r="27670" s="689" customFormat="1" x14ac:dyDescent="0.2"/>
    <row r="27671" s="689" customFormat="1" x14ac:dyDescent="0.2"/>
    <row r="27672" s="689" customFormat="1" x14ac:dyDescent="0.2"/>
    <row r="27673" s="689" customFormat="1" x14ac:dyDescent="0.2"/>
    <row r="27674" s="689" customFormat="1" x14ac:dyDescent="0.2"/>
    <row r="27675" s="689" customFormat="1" x14ac:dyDescent="0.2"/>
    <row r="27676" s="689" customFormat="1" x14ac:dyDescent="0.2"/>
    <row r="27677" s="689" customFormat="1" x14ac:dyDescent="0.2"/>
    <row r="27678" s="689" customFormat="1" x14ac:dyDescent="0.2"/>
    <row r="27679" s="689" customFormat="1" x14ac:dyDescent="0.2"/>
    <row r="27680" s="689" customFormat="1" x14ac:dyDescent="0.2"/>
    <row r="27681" s="689" customFormat="1" x14ac:dyDescent="0.2"/>
    <row r="27682" s="689" customFormat="1" x14ac:dyDescent="0.2"/>
    <row r="27683" s="689" customFormat="1" x14ac:dyDescent="0.2"/>
    <row r="27684" s="689" customFormat="1" x14ac:dyDescent="0.2"/>
    <row r="27685" s="689" customFormat="1" x14ac:dyDescent="0.2"/>
    <row r="27686" s="689" customFormat="1" x14ac:dyDescent="0.2"/>
    <row r="27687" s="689" customFormat="1" x14ac:dyDescent="0.2"/>
    <row r="27688" s="689" customFormat="1" x14ac:dyDescent="0.2"/>
    <row r="27689" s="689" customFormat="1" x14ac:dyDescent="0.2"/>
    <row r="27690" s="689" customFormat="1" x14ac:dyDescent="0.2"/>
    <row r="27691" s="689" customFormat="1" x14ac:dyDescent="0.2"/>
    <row r="27692" s="689" customFormat="1" x14ac:dyDescent="0.2"/>
    <row r="27693" s="689" customFormat="1" x14ac:dyDescent="0.2"/>
    <row r="27694" s="689" customFormat="1" x14ac:dyDescent="0.2"/>
    <row r="27695" s="689" customFormat="1" x14ac:dyDescent="0.2"/>
    <row r="27696" s="689" customFormat="1" x14ac:dyDescent="0.2"/>
    <row r="27697" s="689" customFormat="1" x14ac:dyDescent="0.2"/>
    <row r="27698" s="689" customFormat="1" x14ac:dyDescent="0.2"/>
    <row r="27699" s="689" customFormat="1" x14ac:dyDescent="0.2"/>
    <row r="27700" s="689" customFormat="1" x14ac:dyDescent="0.2"/>
    <row r="27701" s="689" customFormat="1" x14ac:dyDescent="0.2"/>
    <row r="27702" s="689" customFormat="1" x14ac:dyDescent="0.2"/>
    <row r="27703" s="689" customFormat="1" x14ac:dyDescent="0.2"/>
    <row r="27704" s="689" customFormat="1" x14ac:dyDescent="0.2"/>
    <row r="27705" s="689" customFormat="1" x14ac:dyDescent="0.2"/>
    <row r="27706" s="689" customFormat="1" x14ac:dyDescent="0.2"/>
    <row r="27707" s="689" customFormat="1" x14ac:dyDescent="0.2"/>
    <row r="27708" s="689" customFormat="1" x14ac:dyDescent="0.2"/>
    <row r="27709" s="689" customFormat="1" x14ac:dyDescent="0.2"/>
    <row r="27710" s="689" customFormat="1" x14ac:dyDescent="0.2"/>
    <row r="27711" s="689" customFormat="1" x14ac:dyDescent="0.2"/>
    <row r="27712" s="689" customFormat="1" x14ac:dyDescent="0.2"/>
    <row r="27713" s="689" customFormat="1" x14ac:dyDescent="0.2"/>
    <row r="27714" s="689" customFormat="1" x14ac:dyDescent="0.2"/>
    <row r="27715" s="689" customFormat="1" x14ac:dyDescent="0.2"/>
    <row r="27716" s="689" customFormat="1" x14ac:dyDescent="0.2"/>
    <row r="27717" s="689" customFormat="1" x14ac:dyDescent="0.2"/>
    <row r="27718" s="689" customFormat="1" x14ac:dyDescent="0.2"/>
    <row r="27719" s="689" customFormat="1" x14ac:dyDescent="0.2"/>
    <row r="27720" s="689" customFormat="1" x14ac:dyDescent="0.2"/>
    <row r="27721" s="689" customFormat="1" x14ac:dyDescent="0.2"/>
    <row r="27722" s="689" customFormat="1" x14ac:dyDescent="0.2"/>
    <row r="27723" s="689" customFormat="1" x14ac:dyDescent="0.2"/>
    <row r="27724" s="689" customFormat="1" x14ac:dyDescent="0.2"/>
    <row r="27725" s="689" customFormat="1" x14ac:dyDescent="0.2"/>
    <row r="27726" s="689" customFormat="1" x14ac:dyDescent="0.2"/>
    <row r="27727" s="689" customFormat="1" x14ac:dyDescent="0.2"/>
    <row r="27728" s="689" customFormat="1" x14ac:dyDescent="0.2"/>
    <row r="27729" s="689" customFormat="1" x14ac:dyDescent="0.2"/>
    <row r="27730" s="689" customFormat="1" x14ac:dyDescent="0.2"/>
    <row r="27731" s="689" customFormat="1" x14ac:dyDescent="0.2"/>
    <row r="27732" s="689" customFormat="1" x14ac:dyDescent="0.2"/>
    <row r="27733" s="689" customFormat="1" x14ac:dyDescent="0.2"/>
    <row r="27734" s="689" customFormat="1" x14ac:dyDescent="0.2"/>
    <row r="27735" s="689" customFormat="1" x14ac:dyDescent="0.2"/>
    <row r="27736" s="689" customFormat="1" x14ac:dyDescent="0.2"/>
    <row r="27737" s="689" customFormat="1" x14ac:dyDescent="0.2"/>
    <row r="27738" s="689" customFormat="1" x14ac:dyDescent="0.2"/>
    <row r="27739" s="689" customFormat="1" x14ac:dyDescent="0.2"/>
    <row r="27740" s="689" customFormat="1" x14ac:dyDescent="0.2"/>
    <row r="27741" s="689" customFormat="1" x14ac:dyDescent="0.2"/>
    <row r="27742" s="689" customFormat="1" x14ac:dyDescent="0.2"/>
    <row r="27743" s="689" customFormat="1" x14ac:dyDescent="0.2"/>
    <row r="27744" s="689" customFormat="1" x14ac:dyDescent="0.2"/>
    <row r="27745" s="689" customFormat="1" x14ac:dyDescent="0.2"/>
    <row r="27746" s="689" customFormat="1" x14ac:dyDescent="0.2"/>
    <row r="27747" s="689" customFormat="1" x14ac:dyDescent="0.2"/>
    <row r="27748" s="689" customFormat="1" x14ac:dyDescent="0.2"/>
    <row r="27749" s="689" customFormat="1" x14ac:dyDescent="0.2"/>
    <row r="27750" s="689" customFormat="1" x14ac:dyDescent="0.2"/>
    <row r="27751" s="689" customFormat="1" x14ac:dyDescent="0.2"/>
    <row r="27752" s="689" customFormat="1" x14ac:dyDescent="0.2"/>
    <row r="27753" s="689" customFormat="1" x14ac:dyDescent="0.2"/>
    <row r="27754" s="689" customFormat="1" x14ac:dyDescent="0.2"/>
    <row r="27755" s="689" customFormat="1" x14ac:dyDescent="0.2"/>
    <row r="27756" s="689" customFormat="1" x14ac:dyDescent="0.2"/>
    <row r="27757" s="689" customFormat="1" x14ac:dyDescent="0.2"/>
    <row r="27758" s="689" customFormat="1" x14ac:dyDescent="0.2"/>
    <row r="27759" s="689" customFormat="1" x14ac:dyDescent="0.2"/>
    <row r="27760" s="689" customFormat="1" x14ac:dyDescent="0.2"/>
    <row r="27761" s="689" customFormat="1" x14ac:dyDescent="0.2"/>
    <row r="27762" s="689" customFormat="1" x14ac:dyDescent="0.2"/>
    <row r="27763" s="689" customFormat="1" x14ac:dyDescent="0.2"/>
    <row r="27764" s="689" customFormat="1" x14ac:dyDescent="0.2"/>
    <row r="27765" s="689" customFormat="1" x14ac:dyDescent="0.2"/>
    <row r="27766" s="689" customFormat="1" x14ac:dyDescent="0.2"/>
    <row r="27767" s="689" customFormat="1" x14ac:dyDescent="0.2"/>
    <row r="27768" s="689" customFormat="1" x14ac:dyDescent="0.2"/>
    <row r="27769" s="689" customFormat="1" x14ac:dyDescent="0.2"/>
    <row r="27770" s="689" customFormat="1" x14ac:dyDescent="0.2"/>
    <row r="27771" s="689" customFormat="1" x14ac:dyDescent="0.2"/>
    <row r="27772" s="689" customFormat="1" x14ac:dyDescent="0.2"/>
    <row r="27773" s="689" customFormat="1" x14ac:dyDescent="0.2"/>
    <row r="27774" s="689" customFormat="1" x14ac:dyDescent="0.2"/>
    <row r="27775" s="689" customFormat="1" x14ac:dyDescent="0.2"/>
    <row r="27776" s="689" customFormat="1" x14ac:dyDescent="0.2"/>
    <row r="27777" s="689" customFormat="1" x14ac:dyDescent="0.2"/>
    <row r="27778" s="689" customFormat="1" x14ac:dyDescent="0.2"/>
    <row r="27779" s="689" customFormat="1" x14ac:dyDescent="0.2"/>
    <row r="27780" s="689" customFormat="1" x14ac:dyDescent="0.2"/>
    <row r="27781" s="689" customFormat="1" x14ac:dyDescent="0.2"/>
    <row r="27782" s="689" customFormat="1" x14ac:dyDescent="0.2"/>
    <row r="27783" s="689" customFormat="1" x14ac:dyDescent="0.2"/>
    <row r="27784" s="689" customFormat="1" x14ac:dyDescent="0.2"/>
    <row r="27785" s="689" customFormat="1" x14ac:dyDescent="0.2"/>
    <row r="27786" s="689" customFormat="1" x14ac:dyDescent="0.2"/>
    <row r="27787" s="689" customFormat="1" x14ac:dyDescent="0.2"/>
    <row r="27788" s="689" customFormat="1" x14ac:dyDescent="0.2"/>
    <row r="27789" s="689" customFormat="1" x14ac:dyDescent="0.2"/>
    <row r="27790" s="689" customFormat="1" x14ac:dyDescent="0.2"/>
    <row r="27791" s="689" customFormat="1" x14ac:dyDescent="0.2"/>
    <row r="27792" s="689" customFormat="1" x14ac:dyDescent="0.2"/>
    <row r="27793" s="689" customFormat="1" x14ac:dyDescent="0.2"/>
    <row r="27794" s="689" customFormat="1" x14ac:dyDescent="0.2"/>
    <row r="27795" s="689" customFormat="1" x14ac:dyDescent="0.2"/>
    <row r="27796" s="689" customFormat="1" x14ac:dyDescent="0.2"/>
    <row r="27797" s="689" customFormat="1" x14ac:dyDescent="0.2"/>
    <row r="27798" s="689" customFormat="1" x14ac:dyDescent="0.2"/>
    <row r="27799" s="689" customFormat="1" x14ac:dyDescent="0.2"/>
    <row r="27800" s="689" customFormat="1" x14ac:dyDescent="0.2"/>
    <row r="27801" s="689" customFormat="1" x14ac:dyDescent="0.2"/>
    <row r="27802" s="689" customFormat="1" x14ac:dyDescent="0.2"/>
    <row r="27803" s="689" customFormat="1" x14ac:dyDescent="0.2"/>
    <row r="27804" s="689" customFormat="1" x14ac:dyDescent="0.2"/>
    <row r="27805" s="689" customFormat="1" x14ac:dyDescent="0.2"/>
    <row r="27806" s="689" customFormat="1" x14ac:dyDescent="0.2"/>
    <row r="27807" s="689" customFormat="1" x14ac:dyDescent="0.2"/>
    <row r="27808" s="689" customFormat="1" x14ac:dyDescent="0.2"/>
    <row r="27809" s="689" customFormat="1" x14ac:dyDescent="0.2"/>
    <row r="27810" s="689" customFormat="1" x14ac:dyDescent="0.2"/>
    <row r="27811" s="689" customFormat="1" x14ac:dyDescent="0.2"/>
    <row r="27812" s="689" customFormat="1" x14ac:dyDescent="0.2"/>
    <row r="27813" s="689" customFormat="1" x14ac:dyDescent="0.2"/>
    <row r="27814" s="689" customFormat="1" x14ac:dyDescent="0.2"/>
    <row r="27815" s="689" customFormat="1" x14ac:dyDescent="0.2"/>
    <row r="27816" s="689" customFormat="1" x14ac:dyDescent="0.2"/>
    <row r="27817" s="689" customFormat="1" x14ac:dyDescent="0.2"/>
    <row r="27818" s="689" customFormat="1" x14ac:dyDescent="0.2"/>
    <row r="27819" s="689" customFormat="1" x14ac:dyDescent="0.2"/>
    <row r="27820" s="689" customFormat="1" x14ac:dyDescent="0.2"/>
    <row r="27821" s="689" customFormat="1" x14ac:dyDescent="0.2"/>
    <row r="27822" s="689" customFormat="1" x14ac:dyDescent="0.2"/>
    <row r="27823" s="689" customFormat="1" x14ac:dyDescent="0.2"/>
    <row r="27824" s="689" customFormat="1" x14ac:dyDescent="0.2"/>
    <row r="27825" s="689" customFormat="1" x14ac:dyDescent="0.2"/>
    <row r="27826" s="689" customFormat="1" x14ac:dyDescent="0.2"/>
    <row r="27827" s="689" customFormat="1" x14ac:dyDescent="0.2"/>
    <row r="27828" s="689" customFormat="1" x14ac:dyDescent="0.2"/>
    <row r="27829" s="689" customFormat="1" x14ac:dyDescent="0.2"/>
    <row r="27830" s="689" customFormat="1" x14ac:dyDescent="0.2"/>
    <row r="27831" s="689" customFormat="1" x14ac:dyDescent="0.2"/>
    <row r="27832" s="689" customFormat="1" x14ac:dyDescent="0.2"/>
    <row r="27833" s="689" customFormat="1" x14ac:dyDescent="0.2"/>
    <row r="27834" s="689" customFormat="1" x14ac:dyDescent="0.2"/>
    <row r="27835" s="689" customFormat="1" x14ac:dyDescent="0.2"/>
    <row r="27836" s="689" customFormat="1" x14ac:dyDescent="0.2"/>
    <row r="27837" s="689" customFormat="1" x14ac:dyDescent="0.2"/>
    <row r="27838" s="689" customFormat="1" x14ac:dyDescent="0.2"/>
    <row r="27839" s="689" customFormat="1" x14ac:dyDescent="0.2"/>
    <row r="27840" s="689" customFormat="1" x14ac:dyDescent="0.2"/>
    <row r="27841" s="689" customFormat="1" x14ac:dyDescent="0.2"/>
    <row r="27842" s="689" customFormat="1" x14ac:dyDescent="0.2"/>
    <row r="27843" s="689" customFormat="1" x14ac:dyDescent="0.2"/>
    <row r="27844" s="689" customFormat="1" x14ac:dyDescent="0.2"/>
    <row r="27845" s="689" customFormat="1" x14ac:dyDescent="0.2"/>
    <row r="27846" s="689" customFormat="1" x14ac:dyDescent="0.2"/>
    <row r="27847" s="689" customFormat="1" x14ac:dyDescent="0.2"/>
    <row r="27848" s="689" customFormat="1" x14ac:dyDescent="0.2"/>
    <row r="27849" s="689" customFormat="1" x14ac:dyDescent="0.2"/>
    <row r="27850" s="689" customFormat="1" x14ac:dyDescent="0.2"/>
    <row r="27851" s="689" customFormat="1" x14ac:dyDescent="0.2"/>
    <row r="27852" s="689" customFormat="1" x14ac:dyDescent="0.2"/>
    <row r="27853" s="689" customFormat="1" x14ac:dyDescent="0.2"/>
    <row r="27854" s="689" customFormat="1" x14ac:dyDescent="0.2"/>
    <row r="27855" s="689" customFormat="1" x14ac:dyDescent="0.2"/>
    <row r="27856" s="689" customFormat="1" x14ac:dyDescent="0.2"/>
    <row r="27857" s="689" customFormat="1" x14ac:dyDescent="0.2"/>
    <row r="27858" s="689" customFormat="1" x14ac:dyDescent="0.2"/>
    <row r="27859" s="689" customFormat="1" x14ac:dyDescent="0.2"/>
    <row r="27860" s="689" customFormat="1" x14ac:dyDescent="0.2"/>
    <row r="27861" s="689" customFormat="1" x14ac:dyDescent="0.2"/>
    <row r="27862" s="689" customFormat="1" x14ac:dyDescent="0.2"/>
    <row r="27863" s="689" customFormat="1" x14ac:dyDescent="0.2"/>
    <row r="27864" s="689" customFormat="1" x14ac:dyDescent="0.2"/>
    <row r="27865" s="689" customFormat="1" x14ac:dyDescent="0.2"/>
    <row r="27866" s="689" customFormat="1" x14ac:dyDescent="0.2"/>
    <row r="27867" s="689" customFormat="1" x14ac:dyDescent="0.2"/>
    <row r="27868" s="689" customFormat="1" x14ac:dyDescent="0.2"/>
    <row r="27869" s="689" customFormat="1" x14ac:dyDescent="0.2"/>
    <row r="27870" s="689" customFormat="1" x14ac:dyDescent="0.2"/>
    <row r="27871" s="689" customFormat="1" x14ac:dyDescent="0.2"/>
    <row r="27872" s="689" customFormat="1" x14ac:dyDescent="0.2"/>
    <row r="27873" s="689" customFormat="1" x14ac:dyDescent="0.2"/>
    <row r="27874" s="689" customFormat="1" x14ac:dyDescent="0.2"/>
    <row r="27875" s="689" customFormat="1" x14ac:dyDescent="0.2"/>
    <row r="27876" s="689" customFormat="1" x14ac:dyDescent="0.2"/>
    <row r="27877" s="689" customFormat="1" x14ac:dyDescent="0.2"/>
    <row r="27878" s="689" customFormat="1" x14ac:dyDescent="0.2"/>
    <row r="27879" s="689" customFormat="1" x14ac:dyDescent="0.2"/>
    <row r="27880" s="689" customFormat="1" x14ac:dyDescent="0.2"/>
    <row r="27881" s="689" customFormat="1" x14ac:dyDescent="0.2"/>
    <row r="27882" s="689" customFormat="1" x14ac:dyDescent="0.2"/>
    <row r="27883" s="689" customFormat="1" x14ac:dyDescent="0.2"/>
    <row r="27884" s="689" customFormat="1" x14ac:dyDescent="0.2"/>
    <row r="27885" s="689" customFormat="1" x14ac:dyDescent="0.2"/>
    <row r="27886" s="689" customFormat="1" x14ac:dyDescent="0.2"/>
    <row r="27887" s="689" customFormat="1" x14ac:dyDescent="0.2"/>
    <row r="27888" s="689" customFormat="1" x14ac:dyDescent="0.2"/>
    <row r="27889" s="689" customFormat="1" x14ac:dyDescent="0.2"/>
    <row r="27890" s="689" customFormat="1" x14ac:dyDescent="0.2"/>
    <row r="27891" s="689" customFormat="1" x14ac:dyDescent="0.2"/>
    <row r="27892" s="689" customFormat="1" x14ac:dyDescent="0.2"/>
    <row r="27893" s="689" customFormat="1" x14ac:dyDescent="0.2"/>
    <row r="27894" s="689" customFormat="1" x14ac:dyDescent="0.2"/>
    <row r="27895" s="689" customFormat="1" x14ac:dyDescent="0.2"/>
    <row r="27896" s="689" customFormat="1" x14ac:dyDescent="0.2"/>
    <row r="27897" s="689" customFormat="1" x14ac:dyDescent="0.2"/>
    <row r="27898" s="689" customFormat="1" x14ac:dyDescent="0.2"/>
    <row r="27899" s="689" customFormat="1" x14ac:dyDescent="0.2"/>
    <row r="27900" s="689" customFormat="1" x14ac:dyDescent="0.2"/>
    <row r="27901" s="689" customFormat="1" x14ac:dyDescent="0.2"/>
    <row r="27902" s="689" customFormat="1" x14ac:dyDescent="0.2"/>
    <row r="27903" s="689" customFormat="1" x14ac:dyDescent="0.2"/>
    <row r="27904" s="689" customFormat="1" x14ac:dyDescent="0.2"/>
    <row r="27905" s="689" customFormat="1" x14ac:dyDescent="0.2"/>
    <row r="27906" s="689" customFormat="1" x14ac:dyDescent="0.2"/>
    <row r="27907" s="689" customFormat="1" x14ac:dyDescent="0.2"/>
    <row r="27908" s="689" customFormat="1" x14ac:dyDescent="0.2"/>
    <row r="27909" s="689" customFormat="1" x14ac:dyDescent="0.2"/>
    <row r="27910" s="689" customFormat="1" x14ac:dyDescent="0.2"/>
    <row r="27911" s="689" customFormat="1" x14ac:dyDescent="0.2"/>
    <row r="27912" s="689" customFormat="1" x14ac:dyDescent="0.2"/>
    <row r="27913" s="689" customFormat="1" x14ac:dyDescent="0.2"/>
    <row r="27914" s="689" customFormat="1" x14ac:dyDescent="0.2"/>
    <row r="27915" s="689" customFormat="1" x14ac:dyDescent="0.2"/>
    <row r="27916" s="689" customFormat="1" x14ac:dyDescent="0.2"/>
    <row r="27917" s="689" customFormat="1" x14ac:dyDescent="0.2"/>
    <row r="27918" s="689" customFormat="1" x14ac:dyDescent="0.2"/>
    <row r="27919" s="689" customFormat="1" x14ac:dyDescent="0.2"/>
    <row r="27920" s="689" customFormat="1" x14ac:dyDescent="0.2"/>
    <row r="27921" s="689" customFormat="1" x14ac:dyDescent="0.2"/>
    <row r="27922" s="689" customFormat="1" x14ac:dyDescent="0.2"/>
    <row r="27923" s="689" customFormat="1" x14ac:dyDescent="0.2"/>
    <row r="27924" s="689" customFormat="1" x14ac:dyDescent="0.2"/>
    <row r="27925" s="689" customFormat="1" x14ac:dyDescent="0.2"/>
    <row r="27926" s="689" customFormat="1" x14ac:dyDescent="0.2"/>
    <row r="27927" s="689" customFormat="1" x14ac:dyDescent="0.2"/>
    <row r="27928" s="689" customFormat="1" x14ac:dyDescent="0.2"/>
    <row r="27929" s="689" customFormat="1" x14ac:dyDescent="0.2"/>
    <row r="27930" s="689" customFormat="1" x14ac:dyDescent="0.2"/>
    <row r="27931" s="689" customFormat="1" x14ac:dyDescent="0.2"/>
    <row r="27932" s="689" customFormat="1" x14ac:dyDescent="0.2"/>
    <row r="27933" s="689" customFormat="1" x14ac:dyDescent="0.2"/>
    <row r="27934" s="689" customFormat="1" x14ac:dyDescent="0.2"/>
    <row r="27935" s="689" customFormat="1" x14ac:dyDescent="0.2"/>
    <row r="27936" s="689" customFormat="1" x14ac:dyDescent="0.2"/>
    <row r="27937" s="689" customFormat="1" x14ac:dyDescent="0.2"/>
    <row r="27938" s="689" customFormat="1" x14ac:dyDescent="0.2"/>
    <row r="27939" s="689" customFormat="1" x14ac:dyDescent="0.2"/>
    <row r="27940" s="689" customFormat="1" x14ac:dyDescent="0.2"/>
    <row r="27941" s="689" customFormat="1" x14ac:dyDescent="0.2"/>
    <row r="27942" s="689" customFormat="1" x14ac:dyDescent="0.2"/>
    <row r="27943" s="689" customFormat="1" x14ac:dyDescent="0.2"/>
    <row r="27944" s="689" customFormat="1" x14ac:dyDescent="0.2"/>
    <row r="27945" s="689" customFormat="1" x14ac:dyDescent="0.2"/>
    <row r="27946" s="689" customFormat="1" x14ac:dyDescent="0.2"/>
    <row r="27947" s="689" customFormat="1" x14ac:dyDescent="0.2"/>
    <row r="27948" s="689" customFormat="1" x14ac:dyDescent="0.2"/>
    <row r="27949" s="689" customFormat="1" x14ac:dyDescent="0.2"/>
    <row r="27950" s="689" customFormat="1" x14ac:dyDescent="0.2"/>
    <row r="27951" s="689" customFormat="1" x14ac:dyDescent="0.2"/>
    <row r="27952" s="689" customFormat="1" x14ac:dyDescent="0.2"/>
    <row r="27953" s="689" customFormat="1" x14ac:dyDescent="0.2"/>
    <row r="27954" s="689" customFormat="1" x14ac:dyDescent="0.2"/>
    <row r="27955" s="689" customFormat="1" x14ac:dyDescent="0.2"/>
    <row r="27956" s="689" customFormat="1" x14ac:dyDescent="0.2"/>
    <row r="27957" s="689" customFormat="1" x14ac:dyDescent="0.2"/>
    <row r="27958" s="689" customFormat="1" x14ac:dyDescent="0.2"/>
    <row r="27959" s="689" customFormat="1" x14ac:dyDescent="0.2"/>
    <row r="27960" s="689" customFormat="1" x14ac:dyDescent="0.2"/>
    <row r="27961" s="689" customFormat="1" x14ac:dyDescent="0.2"/>
    <row r="27962" s="689" customFormat="1" x14ac:dyDescent="0.2"/>
    <row r="27963" s="689" customFormat="1" x14ac:dyDescent="0.2"/>
    <row r="27964" s="689" customFormat="1" x14ac:dyDescent="0.2"/>
    <row r="27965" s="689" customFormat="1" x14ac:dyDescent="0.2"/>
    <row r="27966" s="689" customFormat="1" x14ac:dyDescent="0.2"/>
    <row r="27967" s="689" customFormat="1" x14ac:dyDescent="0.2"/>
    <row r="27968" s="689" customFormat="1" x14ac:dyDescent="0.2"/>
    <row r="27969" s="689" customFormat="1" x14ac:dyDescent="0.2"/>
    <row r="27970" s="689" customFormat="1" x14ac:dyDescent="0.2"/>
    <row r="27971" s="689" customFormat="1" x14ac:dyDescent="0.2"/>
    <row r="27972" s="689" customFormat="1" x14ac:dyDescent="0.2"/>
    <row r="27973" s="689" customFormat="1" x14ac:dyDescent="0.2"/>
    <row r="27974" s="689" customFormat="1" x14ac:dyDescent="0.2"/>
    <row r="27975" s="689" customFormat="1" x14ac:dyDescent="0.2"/>
    <row r="27976" s="689" customFormat="1" x14ac:dyDescent="0.2"/>
    <row r="27977" s="689" customFormat="1" x14ac:dyDescent="0.2"/>
    <row r="27978" s="689" customFormat="1" x14ac:dyDescent="0.2"/>
    <row r="27979" s="689" customFormat="1" x14ac:dyDescent="0.2"/>
    <row r="27980" s="689" customFormat="1" x14ac:dyDescent="0.2"/>
    <row r="27981" s="689" customFormat="1" x14ac:dyDescent="0.2"/>
    <row r="27982" s="689" customFormat="1" x14ac:dyDescent="0.2"/>
    <row r="27983" s="689" customFormat="1" x14ac:dyDescent="0.2"/>
    <row r="27984" s="689" customFormat="1" x14ac:dyDescent="0.2"/>
    <row r="27985" s="689" customFormat="1" x14ac:dyDescent="0.2"/>
    <row r="27986" s="689" customFormat="1" x14ac:dyDescent="0.2"/>
    <row r="27987" s="689" customFormat="1" x14ac:dyDescent="0.2"/>
    <row r="27988" s="689" customFormat="1" x14ac:dyDescent="0.2"/>
    <row r="27989" s="689" customFormat="1" x14ac:dyDescent="0.2"/>
    <row r="27990" s="689" customFormat="1" x14ac:dyDescent="0.2"/>
    <row r="27991" s="689" customFormat="1" x14ac:dyDescent="0.2"/>
    <row r="27992" s="689" customFormat="1" x14ac:dyDescent="0.2"/>
    <row r="27993" s="689" customFormat="1" x14ac:dyDescent="0.2"/>
    <row r="27994" s="689" customFormat="1" x14ac:dyDescent="0.2"/>
    <row r="27995" s="689" customFormat="1" x14ac:dyDescent="0.2"/>
    <row r="27996" s="689" customFormat="1" x14ac:dyDescent="0.2"/>
    <row r="27997" s="689" customFormat="1" x14ac:dyDescent="0.2"/>
    <row r="27998" s="689" customFormat="1" x14ac:dyDescent="0.2"/>
    <row r="27999" s="689" customFormat="1" x14ac:dyDescent="0.2"/>
    <row r="28000" s="689" customFormat="1" x14ac:dyDescent="0.2"/>
    <row r="28001" s="689" customFormat="1" x14ac:dyDescent="0.2"/>
    <row r="28002" s="689" customFormat="1" x14ac:dyDescent="0.2"/>
    <row r="28003" s="689" customFormat="1" x14ac:dyDescent="0.2"/>
    <row r="28004" s="689" customFormat="1" x14ac:dyDescent="0.2"/>
    <row r="28005" s="689" customFormat="1" x14ac:dyDescent="0.2"/>
    <row r="28006" s="689" customFormat="1" x14ac:dyDescent="0.2"/>
    <row r="28007" s="689" customFormat="1" x14ac:dyDescent="0.2"/>
    <row r="28008" s="689" customFormat="1" x14ac:dyDescent="0.2"/>
    <row r="28009" s="689" customFormat="1" x14ac:dyDescent="0.2"/>
    <row r="28010" s="689" customFormat="1" x14ac:dyDescent="0.2"/>
    <row r="28011" s="689" customFormat="1" x14ac:dyDescent="0.2"/>
    <row r="28012" s="689" customFormat="1" x14ac:dyDescent="0.2"/>
    <row r="28013" s="689" customFormat="1" x14ac:dyDescent="0.2"/>
    <row r="28014" s="689" customFormat="1" x14ac:dyDescent="0.2"/>
    <row r="28015" s="689" customFormat="1" x14ac:dyDescent="0.2"/>
    <row r="28016" s="689" customFormat="1" x14ac:dyDescent="0.2"/>
    <row r="28017" s="689" customFormat="1" x14ac:dyDescent="0.2"/>
    <row r="28018" s="689" customFormat="1" x14ac:dyDescent="0.2"/>
    <row r="28019" s="689" customFormat="1" x14ac:dyDescent="0.2"/>
    <row r="28020" s="689" customFormat="1" x14ac:dyDescent="0.2"/>
    <row r="28021" s="689" customFormat="1" x14ac:dyDescent="0.2"/>
    <row r="28022" s="689" customFormat="1" x14ac:dyDescent="0.2"/>
    <row r="28023" s="689" customFormat="1" x14ac:dyDescent="0.2"/>
    <row r="28024" s="689" customFormat="1" x14ac:dyDescent="0.2"/>
    <row r="28025" s="689" customFormat="1" x14ac:dyDescent="0.2"/>
    <row r="28026" s="689" customFormat="1" x14ac:dyDescent="0.2"/>
    <row r="28027" s="689" customFormat="1" x14ac:dyDescent="0.2"/>
    <row r="28028" s="689" customFormat="1" x14ac:dyDescent="0.2"/>
    <row r="28029" s="689" customFormat="1" x14ac:dyDescent="0.2"/>
    <row r="28030" s="689" customFormat="1" x14ac:dyDescent="0.2"/>
    <row r="28031" s="689" customFormat="1" x14ac:dyDescent="0.2"/>
    <row r="28032" s="689" customFormat="1" x14ac:dyDescent="0.2"/>
    <row r="28033" s="689" customFormat="1" x14ac:dyDescent="0.2"/>
    <row r="28034" s="689" customFormat="1" x14ac:dyDescent="0.2"/>
    <row r="28035" s="689" customFormat="1" x14ac:dyDescent="0.2"/>
    <row r="28036" s="689" customFormat="1" x14ac:dyDescent="0.2"/>
    <row r="28037" s="689" customFormat="1" x14ac:dyDescent="0.2"/>
    <row r="28038" s="689" customFormat="1" x14ac:dyDescent="0.2"/>
    <row r="28039" s="689" customFormat="1" x14ac:dyDescent="0.2"/>
    <row r="28040" s="689" customFormat="1" x14ac:dyDescent="0.2"/>
    <row r="28041" s="689" customFormat="1" x14ac:dyDescent="0.2"/>
    <row r="28042" s="689" customFormat="1" x14ac:dyDescent="0.2"/>
    <row r="28043" s="689" customFormat="1" x14ac:dyDescent="0.2"/>
    <row r="28044" s="689" customFormat="1" x14ac:dyDescent="0.2"/>
    <row r="28045" s="689" customFormat="1" x14ac:dyDescent="0.2"/>
    <row r="28046" s="689" customFormat="1" x14ac:dyDescent="0.2"/>
    <row r="28047" s="689" customFormat="1" x14ac:dyDescent="0.2"/>
    <row r="28048" s="689" customFormat="1" x14ac:dyDescent="0.2"/>
    <row r="28049" s="689" customFormat="1" x14ac:dyDescent="0.2"/>
    <row r="28050" s="689" customFormat="1" x14ac:dyDescent="0.2"/>
    <row r="28051" s="689" customFormat="1" x14ac:dyDescent="0.2"/>
    <row r="28052" s="689" customFormat="1" x14ac:dyDescent="0.2"/>
    <row r="28053" s="689" customFormat="1" x14ac:dyDescent="0.2"/>
    <row r="28054" s="689" customFormat="1" x14ac:dyDescent="0.2"/>
    <row r="28055" s="689" customFormat="1" x14ac:dyDescent="0.2"/>
    <row r="28056" s="689" customFormat="1" x14ac:dyDescent="0.2"/>
    <row r="28057" s="689" customFormat="1" x14ac:dyDescent="0.2"/>
    <row r="28058" s="689" customFormat="1" x14ac:dyDescent="0.2"/>
    <row r="28059" s="689" customFormat="1" x14ac:dyDescent="0.2"/>
    <row r="28060" s="689" customFormat="1" x14ac:dyDescent="0.2"/>
    <row r="28061" s="689" customFormat="1" x14ac:dyDescent="0.2"/>
    <row r="28062" s="689" customFormat="1" x14ac:dyDescent="0.2"/>
    <row r="28063" s="689" customFormat="1" x14ac:dyDescent="0.2"/>
    <row r="28064" s="689" customFormat="1" x14ac:dyDescent="0.2"/>
    <row r="28065" s="689" customFormat="1" x14ac:dyDescent="0.2"/>
    <row r="28066" s="689" customFormat="1" x14ac:dyDescent="0.2"/>
    <row r="28067" s="689" customFormat="1" x14ac:dyDescent="0.2"/>
    <row r="28068" s="689" customFormat="1" x14ac:dyDescent="0.2"/>
    <row r="28069" s="689" customFormat="1" x14ac:dyDescent="0.2"/>
    <row r="28070" s="689" customFormat="1" x14ac:dyDescent="0.2"/>
    <row r="28071" s="689" customFormat="1" x14ac:dyDescent="0.2"/>
    <row r="28072" s="689" customFormat="1" x14ac:dyDescent="0.2"/>
    <row r="28073" s="689" customFormat="1" x14ac:dyDescent="0.2"/>
    <row r="28074" s="689" customFormat="1" x14ac:dyDescent="0.2"/>
    <row r="28075" s="689" customFormat="1" x14ac:dyDescent="0.2"/>
    <row r="28076" s="689" customFormat="1" x14ac:dyDescent="0.2"/>
    <row r="28077" s="689" customFormat="1" x14ac:dyDescent="0.2"/>
    <row r="28078" s="689" customFormat="1" x14ac:dyDescent="0.2"/>
    <row r="28079" s="689" customFormat="1" x14ac:dyDescent="0.2"/>
    <row r="28080" s="689" customFormat="1" x14ac:dyDescent="0.2"/>
    <row r="28081" s="689" customFormat="1" x14ac:dyDescent="0.2"/>
    <row r="28082" s="689" customFormat="1" x14ac:dyDescent="0.2"/>
    <row r="28083" s="689" customFormat="1" x14ac:dyDescent="0.2"/>
    <row r="28084" s="689" customFormat="1" x14ac:dyDescent="0.2"/>
    <row r="28085" s="689" customFormat="1" x14ac:dyDescent="0.2"/>
    <row r="28086" s="689" customFormat="1" x14ac:dyDescent="0.2"/>
    <row r="28087" s="689" customFormat="1" x14ac:dyDescent="0.2"/>
    <row r="28088" s="689" customFormat="1" x14ac:dyDescent="0.2"/>
    <row r="28089" s="689" customFormat="1" x14ac:dyDescent="0.2"/>
    <row r="28090" s="689" customFormat="1" x14ac:dyDescent="0.2"/>
    <row r="28091" s="689" customFormat="1" x14ac:dyDescent="0.2"/>
    <row r="28092" s="689" customFormat="1" x14ac:dyDescent="0.2"/>
    <row r="28093" s="689" customFormat="1" x14ac:dyDescent="0.2"/>
    <row r="28094" s="689" customFormat="1" x14ac:dyDescent="0.2"/>
    <row r="28095" s="689" customFormat="1" x14ac:dyDescent="0.2"/>
    <row r="28096" s="689" customFormat="1" x14ac:dyDescent="0.2"/>
    <row r="28097" s="689" customFormat="1" x14ac:dyDescent="0.2"/>
    <row r="28098" s="689" customFormat="1" x14ac:dyDescent="0.2"/>
    <row r="28099" s="689" customFormat="1" x14ac:dyDescent="0.2"/>
    <row r="28100" s="689" customFormat="1" x14ac:dyDescent="0.2"/>
    <row r="28101" s="689" customFormat="1" x14ac:dyDescent="0.2"/>
    <row r="28102" s="689" customFormat="1" x14ac:dyDescent="0.2"/>
    <row r="28103" s="689" customFormat="1" x14ac:dyDescent="0.2"/>
    <row r="28104" s="689" customFormat="1" x14ac:dyDescent="0.2"/>
    <row r="28105" s="689" customFormat="1" x14ac:dyDescent="0.2"/>
    <row r="28106" s="689" customFormat="1" x14ac:dyDescent="0.2"/>
    <row r="28107" s="689" customFormat="1" x14ac:dyDescent="0.2"/>
    <row r="28108" s="689" customFormat="1" x14ac:dyDescent="0.2"/>
    <row r="28109" s="689" customFormat="1" x14ac:dyDescent="0.2"/>
    <row r="28110" s="689" customFormat="1" x14ac:dyDescent="0.2"/>
    <row r="28111" s="689" customFormat="1" x14ac:dyDescent="0.2"/>
    <row r="28112" s="689" customFormat="1" x14ac:dyDescent="0.2"/>
    <row r="28113" s="689" customFormat="1" x14ac:dyDescent="0.2"/>
    <row r="28114" s="689" customFormat="1" x14ac:dyDescent="0.2"/>
    <row r="28115" s="689" customFormat="1" x14ac:dyDescent="0.2"/>
    <row r="28116" s="689" customFormat="1" x14ac:dyDescent="0.2"/>
    <row r="28117" s="689" customFormat="1" x14ac:dyDescent="0.2"/>
    <row r="28118" s="689" customFormat="1" x14ac:dyDescent="0.2"/>
    <row r="28119" s="689" customFormat="1" x14ac:dyDescent="0.2"/>
    <row r="28120" s="689" customFormat="1" x14ac:dyDescent="0.2"/>
    <row r="28121" s="689" customFormat="1" x14ac:dyDescent="0.2"/>
    <row r="28122" s="689" customFormat="1" x14ac:dyDescent="0.2"/>
    <row r="28123" s="689" customFormat="1" x14ac:dyDescent="0.2"/>
    <row r="28124" s="689" customFormat="1" x14ac:dyDescent="0.2"/>
    <row r="28125" s="689" customFormat="1" x14ac:dyDescent="0.2"/>
    <row r="28126" s="689" customFormat="1" x14ac:dyDescent="0.2"/>
    <row r="28127" s="689" customFormat="1" x14ac:dyDescent="0.2"/>
    <row r="28128" s="689" customFormat="1" x14ac:dyDescent="0.2"/>
    <row r="28129" s="689" customFormat="1" x14ac:dyDescent="0.2"/>
    <row r="28130" s="689" customFormat="1" x14ac:dyDescent="0.2"/>
    <row r="28131" s="689" customFormat="1" x14ac:dyDescent="0.2"/>
    <row r="28132" s="689" customFormat="1" x14ac:dyDescent="0.2"/>
    <row r="28133" s="689" customFormat="1" x14ac:dyDescent="0.2"/>
    <row r="28134" s="689" customFormat="1" x14ac:dyDescent="0.2"/>
    <row r="28135" s="689" customFormat="1" x14ac:dyDescent="0.2"/>
    <row r="28136" s="689" customFormat="1" x14ac:dyDescent="0.2"/>
    <row r="28137" s="689" customFormat="1" x14ac:dyDescent="0.2"/>
    <row r="28138" s="689" customFormat="1" x14ac:dyDescent="0.2"/>
    <row r="28139" s="689" customFormat="1" x14ac:dyDescent="0.2"/>
    <row r="28140" s="689" customFormat="1" x14ac:dyDescent="0.2"/>
    <row r="28141" s="689" customFormat="1" x14ac:dyDescent="0.2"/>
    <row r="28142" s="689" customFormat="1" x14ac:dyDescent="0.2"/>
    <row r="28143" s="689" customFormat="1" x14ac:dyDescent="0.2"/>
    <row r="28144" s="689" customFormat="1" x14ac:dyDescent="0.2"/>
    <row r="28145" s="689" customFormat="1" x14ac:dyDescent="0.2"/>
    <row r="28146" s="689" customFormat="1" x14ac:dyDescent="0.2"/>
    <row r="28147" s="689" customFormat="1" x14ac:dyDescent="0.2"/>
    <row r="28148" s="689" customFormat="1" x14ac:dyDescent="0.2"/>
    <row r="28149" s="689" customFormat="1" x14ac:dyDescent="0.2"/>
    <row r="28150" s="689" customFormat="1" x14ac:dyDescent="0.2"/>
    <row r="28151" s="689" customFormat="1" x14ac:dyDescent="0.2"/>
    <row r="28152" s="689" customFormat="1" x14ac:dyDescent="0.2"/>
    <row r="28153" s="689" customFormat="1" x14ac:dyDescent="0.2"/>
    <row r="28154" s="689" customFormat="1" x14ac:dyDescent="0.2"/>
    <row r="28155" s="689" customFormat="1" x14ac:dyDescent="0.2"/>
    <row r="28156" s="689" customFormat="1" x14ac:dyDescent="0.2"/>
    <row r="28157" s="689" customFormat="1" x14ac:dyDescent="0.2"/>
    <row r="28158" s="689" customFormat="1" x14ac:dyDescent="0.2"/>
    <row r="28159" s="689" customFormat="1" x14ac:dyDescent="0.2"/>
    <row r="28160" s="689" customFormat="1" x14ac:dyDescent="0.2"/>
    <row r="28161" s="689" customFormat="1" x14ac:dyDescent="0.2"/>
    <row r="28162" s="689" customFormat="1" x14ac:dyDescent="0.2"/>
    <row r="28163" s="689" customFormat="1" x14ac:dyDescent="0.2"/>
    <row r="28164" s="689" customFormat="1" x14ac:dyDescent="0.2"/>
    <row r="28165" s="689" customFormat="1" x14ac:dyDescent="0.2"/>
    <row r="28166" s="689" customFormat="1" x14ac:dyDescent="0.2"/>
    <row r="28167" s="689" customFormat="1" x14ac:dyDescent="0.2"/>
    <row r="28168" s="689" customFormat="1" x14ac:dyDescent="0.2"/>
    <row r="28169" s="689" customFormat="1" x14ac:dyDescent="0.2"/>
    <row r="28170" s="689" customFormat="1" x14ac:dyDescent="0.2"/>
    <row r="28171" s="689" customFormat="1" x14ac:dyDescent="0.2"/>
    <row r="28172" s="689" customFormat="1" x14ac:dyDescent="0.2"/>
    <row r="28173" s="689" customFormat="1" x14ac:dyDescent="0.2"/>
    <row r="28174" s="689" customFormat="1" x14ac:dyDescent="0.2"/>
    <row r="28175" s="689" customFormat="1" x14ac:dyDescent="0.2"/>
    <row r="28176" s="689" customFormat="1" x14ac:dyDescent="0.2"/>
    <row r="28177" s="689" customFormat="1" x14ac:dyDescent="0.2"/>
    <row r="28178" s="689" customFormat="1" x14ac:dyDescent="0.2"/>
    <row r="28179" s="689" customFormat="1" x14ac:dyDescent="0.2"/>
    <row r="28180" s="689" customFormat="1" x14ac:dyDescent="0.2"/>
    <row r="28181" s="689" customFormat="1" x14ac:dyDescent="0.2"/>
    <row r="28182" s="689" customFormat="1" x14ac:dyDescent="0.2"/>
    <row r="28183" s="689" customFormat="1" x14ac:dyDescent="0.2"/>
    <row r="28184" s="689" customFormat="1" x14ac:dyDescent="0.2"/>
    <row r="28185" s="689" customFormat="1" x14ac:dyDescent="0.2"/>
    <row r="28186" s="689" customFormat="1" x14ac:dyDescent="0.2"/>
    <row r="28187" s="689" customFormat="1" x14ac:dyDescent="0.2"/>
    <row r="28188" s="689" customFormat="1" x14ac:dyDescent="0.2"/>
    <row r="28189" s="689" customFormat="1" x14ac:dyDescent="0.2"/>
    <row r="28190" s="689" customFormat="1" x14ac:dyDescent="0.2"/>
    <row r="28191" s="689" customFormat="1" x14ac:dyDescent="0.2"/>
    <row r="28192" s="689" customFormat="1" x14ac:dyDescent="0.2"/>
    <row r="28193" s="689" customFormat="1" x14ac:dyDescent="0.2"/>
    <row r="28194" s="689" customFormat="1" x14ac:dyDescent="0.2"/>
    <row r="28195" s="689" customFormat="1" x14ac:dyDescent="0.2"/>
    <row r="28196" s="689" customFormat="1" x14ac:dyDescent="0.2"/>
    <row r="28197" s="689" customFormat="1" x14ac:dyDescent="0.2"/>
    <row r="28198" s="689" customFormat="1" x14ac:dyDescent="0.2"/>
    <row r="28199" s="689" customFormat="1" x14ac:dyDescent="0.2"/>
    <row r="28200" s="689" customFormat="1" x14ac:dyDescent="0.2"/>
    <row r="28201" s="689" customFormat="1" x14ac:dyDescent="0.2"/>
    <row r="28202" s="689" customFormat="1" x14ac:dyDescent="0.2"/>
    <row r="28203" s="689" customFormat="1" x14ac:dyDescent="0.2"/>
    <row r="28204" s="689" customFormat="1" x14ac:dyDescent="0.2"/>
    <row r="28205" s="689" customFormat="1" x14ac:dyDescent="0.2"/>
    <row r="28206" s="689" customFormat="1" x14ac:dyDescent="0.2"/>
    <row r="28207" s="689" customFormat="1" x14ac:dyDescent="0.2"/>
    <row r="28208" s="689" customFormat="1" x14ac:dyDescent="0.2"/>
    <row r="28209" s="689" customFormat="1" x14ac:dyDescent="0.2"/>
    <row r="28210" s="689" customFormat="1" x14ac:dyDescent="0.2"/>
    <row r="28211" s="689" customFormat="1" x14ac:dyDescent="0.2"/>
    <row r="28212" s="689" customFormat="1" x14ac:dyDescent="0.2"/>
    <row r="28213" s="689" customFormat="1" x14ac:dyDescent="0.2"/>
    <row r="28214" s="689" customFormat="1" x14ac:dyDescent="0.2"/>
    <row r="28215" s="689" customFormat="1" x14ac:dyDescent="0.2"/>
    <row r="28216" s="689" customFormat="1" x14ac:dyDescent="0.2"/>
    <row r="28217" s="689" customFormat="1" x14ac:dyDescent="0.2"/>
    <row r="28218" s="689" customFormat="1" x14ac:dyDescent="0.2"/>
    <row r="28219" s="689" customFormat="1" x14ac:dyDescent="0.2"/>
    <row r="28220" s="689" customFormat="1" x14ac:dyDescent="0.2"/>
    <row r="28221" s="689" customFormat="1" x14ac:dyDescent="0.2"/>
    <row r="28222" s="689" customFormat="1" x14ac:dyDescent="0.2"/>
    <row r="28223" s="689" customFormat="1" x14ac:dyDescent="0.2"/>
    <row r="28224" s="689" customFormat="1" x14ac:dyDescent="0.2"/>
    <row r="28225" s="689" customFormat="1" x14ac:dyDescent="0.2"/>
    <row r="28226" s="689" customFormat="1" x14ac:dyDescent="0.2"/>
    <row r="28227" s="689" customFormat="1" x14ac:dyDescent="0.2"/>
    <row r="28228" s="689" customFormat="1" x14ac:dyDescent="0.2"/>
    <row r="28229" s="689" customFormat="1" x14ac:dyDescent="0.2"/>
    <row r="28230" s="689" customFormat="1" x14ac:dyDescent="0.2"/>
    <row r="28231" s="689" customFormat="1" x14ac:dyDescent="0.2"/>
    <row r="28232" s="689" customFormat="1" x14ac:dyDescent="0.2"/>
    <row r="28233" s="689" customFormat="1" x14ac:dyDescent="0.2"/>
    <row r="28234" s="689" customFormat="1" x14ac:dyDescent="0.2"/>
    <row r="28235" s="689" customFormat="1" x14ac:dyDescent="0.2"/>
    <row r="28236" s="689" customFormat="1" x14ac:dyDescent="0.2"/>
    <row r="28237" s="689" customFormat="1" x14ac:dyDescent="0.2"/>
    <row r="28238" s="689" customFormat="1" x14ac:dyDescent="0.2"/>
    <row r="28239" s="689" customFormat="1" x14ac:dyDescent="0.2"/>
    <row r="28240" s="689" customFormat="1" x14ac:dyDescent="0.2"/>
    <row r="28241" s="689" customFormat="1" x14ac:dyDescent="0.2"/>
    <row r="28242" s="689" customFormat="1" x14ac:dyDescent="0.2"/>
    <row r="28243" s="689" customFormat="1" x14ac:dyDescent="0.2"/>
    <row r="28244" s="689" customFormat="1" x14ac:dyDescent="0.2"/>
    <row r="28245" s="689" customFormat="1" x14ac:dyDescent="0.2"/>
    <row r="28246" s="689" customFormat="1" x14ac:dyDescent="0.2"/>
    <row r="28247" s="689" customFormat="1" x14ac:dyDescent="0.2"/>
    <row r="28248" s="689" customFormat="1" x14ac:dyDescent="0.2"/>
    <row r="28249" s="689" customFormat="1" x14ac:dyDescent="0.2"/>
    <row r="28250" s="689" customFormat="1" x14ac:dyDescent="0.2"/>
    <row r="28251" s="689" customFormat="1" x14ac:dyDescent="0.2"/>
    <row r="28252" s="689" customFormat="1" x14ac:dyDescent="0.2"/>
    <row r="28253" s="689" customFormat="1" x14ac:dyDescent="0.2"/>
    <row r="28254" s="689" customFormat="1" x14ac:dyDescent="0.2"/>
    <row r="28255" s="689" customFormat="1" x14ac:dyDescent="0.2"/>
    <row r="28256" s="689" customFormat="1" x14ac:dyDescent="0.2"/>
    <row r="28257" s="689" customFormat="1" x14ac:dyDescent="0.2"/>
    <row r="28258" s="689" customFormat="1" x14ac:dyDescent="0.2"/>
    <row r="28259" s="689" customFormat="1" x14ac:dyDescent="0.2"/>
    <row r="28260" s="689" customFormat="1" x14ac:dyDescent="0.2"/>
    <row r="28261" s="689" customFormat="1" x14ac:dyDescent="0.2"/>
    <row r="28262" s="689" customFormat="1" x14ac:dyDescent="0.2"/>
    <row r="28263" s="689" customFormat="1" x14ac:dyDescent="0.2"/>
    <row r="28264" s="689" customFormat="1" x14ac:dyDescent="0.2"/>
    <row r="28265" s="689" customFormat="1" x14ac:dyDescent="0.2"/>
    <row r="28266" s="689" customFormat="1" x14ac:dyDescent="0.2"/>
    <row r="28267" s="689" customFormat="1" x14ac:dyDescent="0.2"/>
    <row r="28268" s="689" customFormat="1" x14ac:dyDescent="0.2"/>
    <row r="28269" s="689" customFormat="1" x14ac:dyDescent="0.2"/>
    <row r="28270" s="689" customFormat="1" x14ac:dyDescent="0.2"/>
    <row r="28271" s="689" customFormat="1" x14ac:dyDescent="0.2"/>
    <row r="28272" s="689" customFormat="1" x14ac:dyDescent="0.2"/>
    <row r="28273" s="689" customFormat="1" x14ac:dyDescent="0.2"/>
    <row r="28274" s="689" customFormat="1" x14ac:dyDescent="0.2"/>
    <row r="28275" s="689" customFormat="1" x14ac:dyDescent="0.2"/>
    <row r="28276" s="689" customFormat="1" x14ac:dyDescent="0.2"/>
    <row r="28277" s="689" customFormat="1" x14ac:dyDescent="0.2"/>
    <row r="28278" s="689" customFormat="1" x14ac:dyDescent="0.2"/>
    <row r="28279" s="689" customFormat="1" x14ac:dyDescent="0.2"/>
    <row r="28280" s="689" customFormat="1" x14ac:dyDescent="0.2"/>
    <row r="28281" s="689" customFormat="1" x14ac:dyDescent="0.2"/>
    <row r="28282" s="689" customFormat="1" x14ac:dyDescent="0.2"/>
    <row r="28283" s="689" customFormat="1" x14ac:dyDescent="0.2"/>
    <row r="28284" s="689" customFormat="1" x14ac:dyDescent="0.2"/>
    <row r="28285" s="689" customFormat="1" x14ac:dyDescent="0.2"/>
    <row r="28286" s="689" customFormat="1" x14ac:dyDescent="0.2"/>
    <row r="28287" s="689" customFormat="1" x14ac:dyDescent="0.2"/>
    <row r="28288" s="689" customFormat="1" x14ac:dyDescent="0.2"/>
    <row r="28289" s="689" customFormat="1" x14ac:dyDescent="0.2"/>
    <row r="28290" s="689" customFormat="1" x14ac:dyDescent="0.2"/>
    <row r="28291" s="689" customFormat="1" x14ac:dyDescent="0.2"/>
    <row r="28292" s="689" customFormat="1" x14ac:dyDescent="0.2"/>
    <row r="28293" s="689" customFormat="1" x14ac:dyDescent="0.2"/>
    <row r="28294" s="689" customFormat="1" x14ac:dyDescent="0.2"/>
    <row r="28295" s="689" customFormat="1" x14ac:dyDescent="0.2"/>
    <row r="28296" s="689" customFormat="1" x14ac:dyDescent="0.2"/>
    <row r="28297" s="689" customFormat="1" x14ac:dyDescent="0.2"/>
    <row r="28298" s="689" customFormat="1" x14ac:dyDescent="0.2"/>
    <row r="28299" s="689" customFormat="1" x14ac:dyDescent="0.2"/>
    <row r="28300" s="689" customFormat="1" x14ac:dyDescent="0.2"/>
    <row r="28301" s="689" customFormat="1" x14ac:dyDescent="0.2"/>
    <row r="28302" s="689" customFormat="1" x14ac:dyDescent="0.2"/>
    <row r="28303" s="689" customFormat="1" x14ac:dyDescent="0.2"/>
    <row r="28304" s="689" customFormat="1" x14ac:dyDescent="0.2"/>
    <row r="28305" s="689" customFormat="1" x14ac:dyDescent="0.2"/>
    <row r="28306" s="689" customFormat="1" x14ac:dyDescent="0.2"/>
    <row r="28307" s="689" customFormat="1" x14ac:dyDescent="0.2"/>
    <row r="28308" s="689" customFormat="1" x14ac:dyDescent="0.2"/>
    <row r="28309" s="689" customFormat="1" x14ac:dyDescent="0.2"/>
    <row r="28310" s="689" customFormat="1" x14ac:dyDescent="0.2"/>
    <row r="28311" s="689" customFormat="1" x14ac:dyDescent="0.2"/>
    <row r="28312" s="689" customFormat="1" x14ac:dyDescent="0.2"/>
    <row r="28313" s="689" customFormat="1" x14ac:dyDescent="0.2"/>
    <row r="28314" s="689" customFormat="1" x14ac:dyDescent="0.2"/>
    <row r="28315" s="689" customFormat="1" x14ac:dyDescent="0.2"/>
    <row r="28316" s="689" customFormat="1" x14ac:dyDescent="0.2"/>
    <row r="28317" s="689" customFormat="1" x14ac:dyDescent="0.2"/>
    <row r="28318" s="689" customFormat="1" x14ac:dyDescent="0.2"/>
    <row r="28319" s="689" customFormat="1" x14ac:dyDescent="0.2"/>
    <row r="28320" s="689" customFormat="1" x14ac:dyDescent="0.2"/>
    <row r="28321" s="689" customFormat="1" x14ac:dyDescent="0.2"/>
    <row r="28322" s="689" customFormat="1" x14ac:dyDescent="0.2"/>
    <row r="28323" s="689" customFormat="1" x14ac:dyDescent="0.2"/>
    <row r="28324" s="689" customFormat="1" x14ac:dyDescent="0.2"/>
    <row r="28325" s="689" customFormat="1" x14ac:dyDescent="0.2"/>
    <row r="28326" s="689" customFormat="1" x14ac:dyDescent="0.2"/>
    <row r="28327" s="689" customFormat="1" x14ac:dyDescent="0.2"/>
    <row r="28328" s="689" customFormat="1" x14ac:dyDescent="0.2"/>
    <row r="28329" s="689" customFormat="1" x14ac:dyDescent="0.2"/>
    <row r="28330" s="689" customFormat="1" x14ac:dyDescent="0.2"/>
    <row r="28331" s="689" customFormat="1" x14ac:dyDescent="0.2"/>
    <row r="28332" s="689" customFormat="1" x14ac:dyDescent="0.2"/>
    <row r="28333" s="689" customFormat="1" x14ac:dyDescent="0.2"/>
    <row r="28334" s="689" customFormat="1" x14ac:dyDescent="0.2"/>
    <row r="28335" s="689" customFormat="1" x14ac:dyDescent="0.2"/>
    <row r="28336" s="689" customFormat="1" x14ac:dyDescent="0.2"/>
    <row r="28337" s="689" customFormat="1" x14ac:dyDescent="0.2"/>
    <row r="28338" s="689" customFormat="1" x14ac:dyDescent="0.2"/>
    <row r="28339" s="689" customFormat="1" x14ac:dyDescent="0.2"/>
    <row r="28340" s="689" customFormat="1" x14ac:dyDescent="0.2"/>
    <row r="28341" s="689" customFormat="1" x14ac:dyDescent="0.2"/>
    <row r="28342" s="689" customFormat="1" x14ac:dyDescent="0.2"/>
    <row r="28343" s="689" customFormat="1" x14ac:dyDescent="0.2"/>
    <row r="28344" s="689" customFormat="1" x14ac:dyDescent="0.2"/>
    <row r="28345" s="689" customFormat="1" x14ac:dyDescent="0.2"/>
    <row r="28346" s="689" customFormat="1" x14ac:dyDescent="0.2"/>
    <row r="28347" s="689" customFormat="1" x14ac:dyDescent="0.2"/>
    <row r="28348" s="689" customFormat="1" x14ac:dyDescent="0.2"/>
    <row r="28349" s="689" customFormat="1" x14ac:dyDescent="0.2"/>
    <row r="28350" s="689" customFormat="1" x14ac:dyDescent="0.2"/>
    <row r="28351" s="689" customFormat="1" x14ac:dyDescent="0.2"/>
    <row r="28352" s="689" customFormat="1" x14ac:dyDescent="0.2"/>
    <row r="28353" s="689" customFormat="1" x14ac:dyDescent="0.2"/>
    <row r="28354" s="689" customFormat="1" x14ac:dyDescent="0.2"/>
    <row r="28355" s="689" customFormat="1" x14ac:dyDescent="0.2"/>
    <row r="28356" s="689" customFormat="1" x14ac:dyDescent="0.2"/>
    <row r="28357" s="689" customFormat="1" x14ac:dyDescent="0.2"/>
    <row r="28358" s="689" customFormat="1" x14ac:dyDescent="0.2"/>
    <row r="28359" s="689" customFormat="1" x14ac:dyDescent="0.2"/>
    <row r="28360" s="689" customFormat="1" x14ac:dyDescent="0.2"/>
    <row r="28361" s="689" customFormat="1" x14ac:dyDescent="0.2"/>
    <row r="28362" s="689" customFormat="1" x14ac:dyDescent="0.2"/>
    <row r="28363" s="689" customFormat="1" x14ac:dyDescent="0.2"/>
    <row r="28364" s="689" customFormat="1" x14ac:dyDescent="0.2"/>
    <row r="28365" s="689" customFormat="1" x14ac:dyDescent="0.2"/>
    <row r="28366" s="689" customFormat="1" x14ac:dyDescent="0.2"/>
    <row r="28367" s="689" customFormat="1" x14ac:dyDescent="0.2"/>
    <row r="28368" s="689" customFormat="1" x14ac:dyDescent="0.2"/>
    <row r="28369" s="689" customFormat="1" x14ac:dyDescent="0.2"/>
    <row r="28370" s="689" customFormat="1" x14ac:dyDescent="0.2"/>
    <row r="28371" s="689" customFormat="1" x14ac:dyDescent="0.2"/>
    <row r="28372" s="689" customFormat="1" x14ac:dyDescent="0.2"/>
    <row r="28373" s="689" customFormat="1" x14ac:dyDescent="0.2"/>
    <row r="28374" s="689" customFormat="1" x14ac:dyDescent="0.2"/>
    <row r="28375" s="689" customFormat="1" x14ac:dyDescent="0.2"/>
    <row r="28376" s="689" customFormat="1" x14ac:dyDescent="0.2"/>
    <row r="28377" s="689" customFormat="1" x14ac:dyDescent="0.2"/>
    <row r="28378" s="689" customFormat="1" x14ac:dyDescent="0.2"/>
    <row r="28379" s="689" customFormat="1" x14ac:dyDescent="0.2"/>
    <row r="28380" s="689" customFormat="1" x14ac:dyDescent="0.2"/>
    <row r="28381" s="689" customFormat="1" x14ac:dyDescent="0.2"/>
    <row r="28382" s="689" customFormat="1" x14ac:dyDescent="0.2"/>
    <row r="28383" s="689" customFormat="1" x14ac:dyDescent="0.2"/>
    <row r="28384" s="689" customFormat="1" x14ac:dyDescent="0.2"/>
    <row r="28385" s="689" customFormat="1" x14ac:dyDescent="0.2"/>
    <row r="28386" s="689" customFormat="1" x14ac:dyDescent="0.2"/>
    <row r="28387" s="689" customFormat="1" x14ac:dyDescent="0.2"/>
    <row r="28388" s="689" customFormat="1" x14ac:dyDescent="0.2"/>
    <row r="28389" s="689" customFormat="1" x14ac:dyDescent="0.2"/>
    <row r="28390" s="689" customFormat="1" x14ac:dyDescent="0.2"/>
    <row r="28391" s="689" customFormat="1" x14ac:dyDescent="0.2"/>
    <row r="28392" s="689" customFormat="1" x14ac:dyDescent="0.2"/>
    <row r="28393" s="689" customFormat="1" x14ac:dyDescent="0.2"/>
    <row r="28394" s="689" customFormat="1" x14ac:dyDescent="0.2"/>
    <row r="28395" s="689" customFormat="1" x14ac:dyDescent="0.2"/>
    <row r="28396" s="689" customFormat="1" x14ac:dyDescent="0.2"/>
    <row r="28397" s="689" customFormat="1" x14ac:dyDescent="0.2"/>
    <row r="28398" s="689" customFormat="1" x14ac:dyDescent="0.2"/>
    <row r="28399" s="689" customFormat="1" x14ac:dyDescent="0.2"/>
    <row r="28400" s="689" customFormat="1" x14ac:dyDescent="0.2"/>
    <row r="28401" s="689" customFormat="1" x14ac:dyDescent="0.2"/>
    <row r="28402" s="689" customFormat="1" x14ac:dyDescent="0.2"/>
    <row r="28403" s="689" customFormat="1" x14ac:dyDescent="0.2"/>
    <row r="28404" s="689" customFormat="1" x14ac:dyDescent="0.2"/>
    <row r="28405" s="689" customFormat="1" x14ac:dyDescent="0.2"/>
    <row r="28406" s="689" customFormat="1" x14ac:dyDescent="0.2"/>
    <row r="28407" s="689" customFormat="1" x14ac:dyDescent="0.2"/>
    <row r="28408" s="689" customFormat="1" x14ac:dyDescent="0.2"/>
    <row r="28409" s="689" customFormat="1" x14ac:dyDescent="0.2"/>
    <row r="28410" s="689" customFormat="1" x14ac:dyDescent="0.2"/>
    <row r="28411" s="689" customFormat="1" x14ac:dyDescent="0.2"/>
    <row r="28412" s="689" customFormat="1" x14ac:dyDescent="0.2"/>
    <row r="28413" s="689" customFormat="1" x14ac:dyDescent="0.2"/>
    <row r="28414" s="689" customFormat="1" x14ac:dyDescent="0.2"/>
    <row r="28415" s="689" customFormat="1" x14ac:dyDescent="0.2"/>
    <row r="28416" s="689" customFormat="1" x14ac:dyDescent="0.2"/>
    <row r="28417" s="689" customFormat="1" x14ac:dyDescent="0.2"/>
    <row r="28418" s="689" customFormat="1" x14ac:dyDescent="0.2"/>
    <row r="28419" s="689" customFormat="1" x14ac:dyDescent="0.2"/>
    <row r="28420" s="689" customFormat="1" x14ac:dyDescent="0.2"/>
    <row r="28421" s="689" customFormat="1" x14ac:dyDescent="0.2"/>
    <row r="28422" s="689" customFormat="1" x14ac:dyDescent="0.2"/>
    <row r="28423" s="689" customFormat="1" x14ac:dyDescent="0.2"/>
    <row r="28424" s="689" customFormat="1" x14ac:dyDescent="0.2"/>
    <row r="28425" s="689" customFormat="1" x14ac:dyDescent="0.2"/>
    <row r="28426" s="689" customFormat="1" x14ac:dyDescent="0.2"/>
    <row r="28427" s="689" customFormat="1" x14ac:dyDescent="0.2"/>
    <row r="28428" s="689" customFormat="1" x14ac:dyDescent="0.2"/>
    <row r="28429" s="689" customFormat="1" x14ac:dyDescent="0.2"/>
    <row r="28430" s="689" customFormat="1" x14ac:dyDescent="0.2"/>
    <row r="28431" s="689" customFormat="1" x14ac:dyDescent="0.2"/>
    <row r="28432" s="689" customFormat="1" x14ac:dyDescent="0.2"/>
    <row r="28433" s="689" customFormat="1" x14ac:dyDescent="0.2"/>
    <row r="28434" s="689" customFormat="1" x14ac:dyDescent="0.2"/>
    <row r="28435" s="689" customFormat="1" x14ac:dyDescent="0.2"/>
    <row r="28436" s="689" customFormat="1" x14ac:dyDescent="0.2"/>
    <row r="28437" s="689" customFormat="1" x14ac:dyDescent="0.2"/>
    <row r="28438" s="689" customFormat="1" x14ac:dyDescent="0.2"/>
    <row r="28439" s="689" customFormat="1" x14ac:dyDescent="0.2"/>
    <row r="28440" s="689" customFormat="1" x14ac:dyDescent="0.2"/>
    <row r="28441" s="689" customFormat="1" x14ac:dyDescent="0.2"/>
    <row r="28442" s="689" customFormat="1" x14ac:dyDescent="0.2"/>
    <row r="28443" s="689" customFormat="1" x14ac:dyDescent="0.2"/>
    <row r="28444" s="689" customFormat="1" x14ac:dyDescent="0.2"/>
    <row r="28445" s="689" customFormat="1" x14ac:dyDescent="0.2"/>
    <row r="28446" s="689" customFormat="1" x14ac:dyDescent="0.2"/>
    <row r="28447" s="689" customFormat="1" x14ac:dyDescent="0.2"/>
    <row r="28448" s="689" customFormat="1" x14ac:dyDescent="0.2"/>
    <row r="28449" s="689" customFormat="1" x14ac:dyDescent="0.2"/>
    <row r="28450" s="689" customFormat="1" x14ac:dyDescent="0.2"/>
    <row r="28451" s="689" customFormat="1" x14ac:dyDescent="0.2"/>
    <row r="28452" s="689" customFormat="1" x14ac:dyDescent="0.2"/>
    <row r="28453" s="689" customFormat="1" x14ac:dyDescent="0.2"/>
    <row r="28454" s="689" customFormat="1" x14ac:dyDescent="0.2"/>
    <row r="28455" s="689" customFormat="1" x14ac:dyDescent="0.2"/>
    <row r="28456" s="689" customFormat="1" x14ac:dyDescent="0.2"/>
    <row r="28457" s="689" customFormat="1" x14ac:dyDescent="0.2"/>
    <row r="28458" s="689" customFormat="1" x14ac:dyDescent="0.2"/>
    <row r="28459" s="689" customFormat="1" x14ac:dyDescent="0.2"/>
    <row r="28460" s="689" customFormat="1" x14ac:dyDescent="0.2"/>
    <row r="28461" s="689" customFormat="1" x14ac:dyDescent="0.2"/>
    <row r="28462" s="689" customFormat="1" x14ac:dyDescent="0.2"/>
    <row r="28463" s="689" customFormat="1" x14ac:dyDescent="0.2"/>
    <row r="28464" s="689" customFormat="1" x14ac:dyDescent="0.2"/>
    <row r="28465" s="689" customFormat="1" x14ac:dyDescent="0.2"/>
    <row r="28466" s="689" customFormat="1" x14ac:dyDescent="0.2"/>
    <row r="28467" s="689" customFormat="1" x14ac:dyDescent="0.2"/>
    <row r="28468" s="689" customFormat="1" x14ac:dyDescent="0.2"/>
    <row r="28469" s="689" customFormat="1" x14ac:dyDescent="0.2"/>
    <row r="28470" s="689" customFormat="1" x14ac:dyDescent="0.2"/>
    <row r="28471" s="689" customFormat="1" x14ac:dyDescent="0.2"/>
    <row r="28472" s="689" customFormat="1" x14ac:dyDescent="0.2"/>
    <row r="28473" s="689" customFormat="1" x14ac:dyDescent="0.2"/>
    <row r="28474" s="689" customFormat="1" x14ac:dyDescent="0.2"/>
    <row r="28475" s="689" customFormat="1" x14ac:dyDescent="0.2"/>
    <row r="28476" s="689" customFormat="1" x14ac:dyDescent="0.2"/>
    <row r="28477" s="689" customFormat="1" x14ac:dyDescent="0.2"/>
    <row r="28478" s="689" customFormat="1" x14ac:dyDescent="0.2"/>
    <row r="28479" s="689" customFormat="1" x14ac:dyDescent="0.2"/>
    <row r="28480" s="689" customFormat="1" x14ac:dyDescent="0.2"/>
    <row r="28481" s="689" customFormat="1" x14ac:dyDescent="0.2"/>
    <row r="28482" s="689" customFormat="1" x14ac:dyDescent="0.2"/>
    <row r="28483" s="689" customFormat="1" x14ac:dyDescent="0.2"/>
    <row r="28484" s="689" customFormat="1" x14ac:dyDescent="0.2"/>
    <row r="28485" s="689" customFormat="1" x14ac:dyDescent="0.2"/>
    <row r="28486" s="689" customFormat="1" x14ac:dyDescent="0.2"/>
    <row r="28487" s="689" customFormat="1" x14ac:dyDescent="0.2"/>
    <row r="28488" s="689" customFormat="1" x14ac:dyDescent="0.2"/>
    <row r="28489" s="689" customFormat="1" x14ac:dyDescent="0.2"/>
    <row r="28490" s="689" customFormat="1" x14ac:dyDescent="0.2"/>
    <row r="28491" s="689" customFormat="1" x14ac:dyDescent="0.2"/>
    <row r="28492" s="689" customFormat="1" x14ac:dyDescent="0.2"/>
    <row r="28493" s="689" customFormat="1" x14ac:dyDescent="0.2"/>
    <row r="28494" s="689" customFormat="1" x14ac:dyDescent="0.2"/>
    <row r="28495" s="689" customFormat="1" x14ac:dyDescent="0.2"/>
    <row r="28496" s="689" customFormat="1" x14ac:dyDescent="0.2"/>
    <row r="28497" s="689" customFormat="1" x14ac:dyDescent="0.2"/>
    <row r="28498" s="689" customFormat="1" x14ac:dyDescent="0.2"/>
    <row r="28499" s="689" customFormat="1" x14ac:dyDescent="0.2"/>
    <row r="28500" s="689" customFormat="1" x14ac:dyDescent="0.2"/>
    <row r="28501" s="689" customFormat="1" x14ac:dyDescent="0.2"/>
    <row r="28502" s="689" customFormat="1" x14ac:dyDescent="0.2"/>
    <row r="28503" s="689" customFormat="1" x14ac:dyDescent="0.2"/>
    <row r="28504" s="689" customFormat="1" x14ac:dyDescent="0.2"/>
    <row r="28505" s="689" customFormat="1" x14ac:dyDescent="0.2"/>
    <row r="28506" s="689" customFormat="1" x14ac:dyDescent="0.2"/>
    <row r="28507" s="689" customFormat="1" x14ac:dyDescent="0.2"/>
    <row r="28508" s="689" customFormat="1" x14ac:dyDescent="0.2"/>
    <row r="28509" s="689" customFormat="1" x14ac:dyDescent="0.2"/>
    <row r="28510" s="689" customFormat="1" x14ac:dyDescent="0.2"/>
    <row r="28511" s="689" customFormat="1" x14ac:dyDescent="0.2"/>
    <row r="28512" s="689" customFormat="1" x14ac:dyDescent="0.2"/>
    <row r="28513" s="689" customFormat="1" x14ac:dyDescent="0.2"/>
    <row r="28514" s="689" customFormat="1" x14ac:dyDescent="0.2"/>
    <row r="28515" s="689" customFormat="1" x14ac:dyDescent="0.2"/>
    <row r="28516" s="689" customFormat="1" x14ac:dyDescent="0.2"/>
    <row r="28517" s="689" customFormat="1" x14ac:dyDescent="0.2"/>
    <row r="28518" s="689" customFormat="1" x14ac:dyDescent="0.2"/>
    <row r="28519" s="689" customFormat="1" x14ac:dyDescent="0.2"/>
    <row r="28520" s="689" customFormat="1" x14ac:dyDescent="0.2"/>
    <row r="28521" s="689" customFormat="1" x14ac:dyDescent="0.2"/>
    <row r="28522" s="689" customFormat="1" x14ac:dyDescent="0.2"/>
    <row r="28523" s="689" customFormat="1" x14ac:dyDescent="0.2"/>
    <row r="28524" s="689" customFormat="1" x14ac:dyDescent="0.2"/>
    <row r="28525" s="689" customFormat="1" x14ac:dyDescent="0.2"/>
    <row r="28526" s="689" customFormat="1" x14ac:dyDescent="0.2"/>
    <row r="28527" s="689" customFormat="1" x14ac:dyDescent="0.2"/>
    <row r="28528" s="689" customFormat="1" x14ac:dyDescent="0.2"/>
    <row r="28529" s="689" customFormat="1" x14ac:dyDescent="0.2"/>
    <row r="28530" s="689" customFormat="1" x14ac:dyDescent="0.2"/>
    <row r="28531" s="689" customFormat="1" x14ac:dyDescent="0.2"/>
    <row r="28532" s="689" customFormat="1" x14ac:dyDescent="0.2"/>
    <row r="28533" s="689" customFormat="1" x14ac:dyDescent="0.2"/>
    <row r="28534" s="689" customFormat="1" x14ac:dyDescent="0.2"/>
    <row r="28535" s="689" customFormat="1" x14ac:dyDescent="0.2"/>
    <row r="28536" s="689" customFormat="1" x14ac:dyDescent="0.2"/>
    <row r="28537" s="689" customFormat="1" x14ac:dyDescent="0.2"/>
    <row r="28538" s="689" customFormat="1" x14ac:dyDescent="0.2"/>
    <row r="28539" s="689" customFormat="1" x14ac:dyDescent="0.2"/>
    <row r="28540" s="689" customFormat="1" x14ac:dyDescent="0.2"/>
    <row r="28541" s="689" customFormat="1" x14ac:dyDescent="0.2"/>
    <row r="28542" s="689" customFormat="1" x14ac:dyDescent="0.2"/>
    <row r="28543" s="689" customFormat="1" x14ac:dyDescent="0.2"/>
    <row r="28544" s="689" customFormat="1" x14ac:dyDescent="0.2"/>
    <row r="28545" s="689" customFormat="1" x14ac:dyDescent="0.2"/>
    <row r="28546" s="689" customFormat="1" x14ac:dyDescent="0.2"/>
    <row r="28547" s="689" customFormat="1" x14ac:dyDescent="0.2"/>
    <row r="28548" s="689" customFormat="1" x14ac:dyDescent="0.2"/>
    <row r="28549" s="689" customFormat="1" x14ac:dyDescent="0.2"/>
    <row r="28550" s="689" customFormat="1" x14ac:dyDescent="0.2"/>
    <row r="28551" s="689" customFormat="1" x14ac:dyDescent="0.2"/>
    <row r="28552" s="689" customFormat="1" x14ac:dyDescent="0.2"/>
    <row r="28553" s="689" customFormat="1" x14ac:dyDescent="0.2"/>
    <row r="28554" s="689" customFormat="1" x14ac:dyDescent="0.2"/>
    <row r="28555" s="689" customFormat="1" x14ac:dyDescent="0.2"/>
    <row r="28556" s="689" customFormat="1" x14ac:dyDescent="0.2"/>
    <row r="28557" s="689" customFormat="1" x14ac:dyDescent="0.2"/>
    <row r="28558" s="689" customFormat="1" x14ac:dyDescent="0.2"/>
    <row r="28559" s="689" customFormat="1" x14ac:dyDescent="0.2"/>
    <row r="28560" s="689" customFormat="1" x14ac:dyDescent="0.2"/>
    <row r="28561" s="689" customFormat="1" x14ac:dyDescent="0.2"/>
    <row r="28562" s="689" customFormat="1" x14ac:dyDescent="0.2"/>
    <row r="28563" s="689" customFormat="1" x14ac:dyDescent="0.2"/>
    <row r="28564" s="689" customFormat="1" x14ac:dyDescent="0.2"/>
    <row r="28565" s="689" customFormat="1" x14ac:dyDescent="0.2"/>
    <row r="28566" s="689" customFormat="1" x14ac:dyDescent="0.2"/>
    <row r="28567" s="689" customFormat="1" x14ac:dyDescent="0.2"/>
    <row r="28568" s="689" customFormat="1" x14ac:dyDescent="0.2"/>
    <row r="28569" s="689" customFormat="1" x14ac:dyDescent="0.2"/>
    <row r="28570" s="689" customFormat="1" x14ac:dyDescent="0.2"/>
    <row r="28571" s="689" customFormat="1" x14ac:dyDescent="0.2"/>
    <row r="28572" s="689" customFormat="1" x14ac:dyDescent="0.2"/>
    <row r="28573" s="689" customFormat="1" x14ac:dyDescent="0.2"/>
    <row r="28574" s="689" customFormat="1" x14ac:dyDescent="0.2"/>
    <row r="28575" s="689" customFormat="1" x14ac:dyDescent="0.2"/>
    <row r="28576" s="689" customFormat="1" x14ac:dyDescent="0.2"/>
    <row r="28577" s="689" customFormat="1" x14ac:dyDescent="0.2"/>
    <row r="28578" s="689" customFormat="1" x14ac:dyDescent="0.2"/>
    <row r="28579" s="689" customFormat="1" x14ac:dyDescent="0.2"/>
    <row r="28580" s="689" customFormat="1" x14ac:dyDescent="0.2"/>
    <row r="28581" s="689" customFormat="1" x14ac:dyDescent="0.2"/>
    <row r="28582" s="689" customFormat="1" x14ac:dyDescent="0.2"/>
    <row r="28583" s="689" customFormat="1" x14ac:dyDescent="0.2"/>
    <row r="28584" s="689" customFormat="1" x14ac:dyDescent="0.2"/>
    <row r="28585" s="689" customFormat="1" x14ac:dyDescent="0.2"/>
    <row r="28586" s="689" customFormat="1" x14ac:dyDescent="0.2"/>
    <row r="28587" s="689" customFormat="1" x14ac:dyDescent="0.2"/>
    <row r="28588" s="689" customFormat="1" x14ac:dyDescent="0.2"/>
    <row r="28589" s="689" customFormat="1" x14ac:dyDescent="0.2"/>
    <row r="28590" s="689" customFormat="1" x14ac:dyDescent="0.2"/>
    <row r="28591" s="689" customFormat="1" x14ac:dyDescent="0.2"/>
    <row r="28592" s="689" customFormat="1" x14ac:dyDescent="0.2"/>
    <row r="28593" s="689" customFormat="1" x14ac:dyDescent="0.2"/>
    <row r="28594" s="689" customFormat="1" x14ac:dyDescent="0.2"/>
    <row r="28595" s="689" customFormat="1" x14ac:dyDescent="0.2"/>
    <row r="28596" s="689" customFormat="1" x14ac:dyDescent="0.2"/>
    <row r="28597" s="689" customFormat="1" x14ac:dyDescent="0.2"/>
    <row r="28598" s="689" customFormat="1" x14ac:dyDescent="0.2"/>
    <row r="28599" s="689" customFormat="1" x14ac:dyDescent="0.2"/>
    <row r="28600" s="689" customFormat="1" x14ac:dyDescent="0.2"/>
    <row r="28601" s="689" customFormat="1" x14ac:dyDescent="0.2"/>
    <row r="28602" s="689" customFormat="1" x14ac:dyDescent="0.2"/>
    <row r="28603" s="689" customFormat="1" x14ac:dyDescent="0.2"/>
    <row r="28604" s="689" customFormat="1" x14ac:dyDescent="0.2"/>
    <row r="28605" s="689" customFormat="1" x14ac:dyDescent="0.2"/>
    <row r="28606" s="689" customFormat="1" x14ac:dyDescent="0.2"/>
    <row r="28607" s="689" customFormat="1" x14ac:dyDescent="0.2"/>
    <row r="28608" s="689" customFormat="1" x14ac:dyDescent="0.2"/>
    <row r="28609" s="689" customFormat="1" x14ac:dyDescent="0.2"/>
    <row r="28610" s="689" customFormat="1" x14ac:dyDescent="0.2"/>
    <row r="28611" s="689" customFormat="1" x14ac:dyDescent="0.2"/>
    <row r="28612" s="689" customFormat="1" x14ac:dyDescent="0.2"/>
    <row r="28613" s="689" customFormat="1" x14ac:dyDescent="0.2"/>
    <row r="28614" s="689" customFormat="1" x14ac:dyDescent="0.2"/>
    <row r="28615" s="689" customFormat="1" x14ac:dyDescent="0.2"/>
    <row r="28616" s="689" customFormat="1" x14ac:dyDescent="0.2"/>
    <row r="28617" s="689" customFormat="1" x14ac:dyDescent="0.2"/>
    <row r="28618" s="689" customFormat="1" x14ac:dyDescent="0.2"/>
    <row r="28619" s="689" customFormat="1" x14ac:dyDescent="0.2"/>
    <row r="28620" s="689" customFormat="1" x14ac:dyDescent="0.2"/>
    <row r="28621" s="689" customFormat="1" x14ac:dyDescent="0.2"/>
    <row r="28622" s="689" customFormat="1" x14ac:dyDescent="0.2"/>
    <row r="28623" s="689" customFormat="1" x14ac:dyDescent="0.2"/>
    <row r="28624" s="689" customFormat="1" x14ac:dyDescent="0.2"/>
    <row r="28625" s="689" customFormat="1" x14ac:dyDescent="0.2"/>
    <row r="28626" s="689" customFormat="1" x14ac:dyDescent="0.2"/>
    <row r="28627" s="689" customFormat="1" x14ac:dyDescent="0.2"/>
    <row r="28628" s="689" customFormat="1" x14ac:dyDescent="0.2"/>
    <row r="28629" s="689" customFormat="1" x14ac:dyDescent="0.2"/>
    <row r="28630" s="689" customFormat="1" x14ac:dyDescent="0.2"/>
    <row r="28631" s="689" customFormat="1" x14ac:dyDescent="0.2"/>
    <row r="28632" s="689" customFormat="1" x14ac:dyDescent="0.2"/>
    <row r="28633" s="689" customFormat="1" x14ac:dyDescent="0.2"/>
    <row r="28634" s="689" customFormat="1" x14ac:dyDescent="0.2"/>
    <row r="28635" s="689" customFormat="1" x14ac:dyDescent="0.2"/>
    <row r="28636" s="689" customFormat="1" x14ac:dyDescent="0.2"/>
    <row r="28637" s="689" customFormat="1" x14ac:dyDescent="0.2"/>
    <row r="28638" s="689" customFormat="1" x14ac:dyDescent="0.2"/>
    <row r="28639" s="689" customFormat="1" x14ac:dyDescent="0.2"/>
    <row r="28640" s="689" customFormat="1" x14ac:dyDescent="0.2"/>
    <row r="28641" s="689" customFormat="1" x14ac:dyDescent="0.2"/>
    <row r="28642" s="689" customFormat="1" x14ac:dyDescent="0.2"/>
    <row r="28643" s="689" customFormat="1" x14ac:dyDescent="0.2"/>
    <row r="28644" s="689" customFormat="1" x14ac:dyDescent="0.2"/>
    <row r="28645" s="689" customFormat="1" x14ac:dyDescent="0.2"/>
    <row r="28646" s="689" customFormat="1" x14ac:dyDescent="0.2"/>
    <row r="28647" s="689" customFormat="1" x14ac:dyDescent="0.2"/>
    <row r="28648" s="689" customFormat="1" x14ac:dyDescent="0.2"/>
    <row r="28649" s="689" customFormat="1" x14ac:dyDescent="0.2"/>
    <row r="28650" s="689" customFormat="1" x14ac:dyDescent="0.2"/>
    <row r="28651" s="689" customFormat="1" x14ac:dyDescent="0.2"/>
    <row r="28652" s="689" customFormat="1" x14ac:dyDescent="0.2"/>
    <row r="28653" s="689" customFormat="1" x14ac:dyDescent="0.2"/>
    <row r="28654" s="689" customFormat="1" x14ac:dyDescent="0.2"/>
    <row r="28655" s="689" customFormat="1" x14ac:dyDescent="0.2"/>
    <row r="28656" s="689" customFormat="1" x14ac:dyDescent="0.2"/>
    <row r="28657" s="689" customFormat="1" x14ac:dyDescent="0.2"/>
    <row r="28658" s="689" customFormat="1" x14ac:dyDescent="0.2"/>
    <row r="28659" s="689" customFormat="1" x14ac:dyDescent="0.2"/>
    <row r="28660" s="689" customFormat="1" x14ac:dyDescent="0.2"/>
    <row r="28661" s="689" customFormat="1" x14ac:dyDescent="0.2"/>
    <row r="28662" s="689" customFormat="1" x14ac:dyDescent="0.2"/>
    <row r="28663" s="689" customFormat="1" x14ac:dyDescent="0.2"/>
    <row r="28664" s="689" customFormat="1" x14ac:dyDescent="0.2"/>
    <row r="28665" s="689" customFormat="1" x14ac:dyDescent="0.2"/>
    <row r="28666" s="689" customFormat="1" x14ac:dyDescent="0.2"/>
    <row r="28667" s="689" customFormat="1" x14ac:dyDescent="0.2"/>
    <row r="28668" s="689" customFormat="1" x14ac:dyDescent="0.2"/>
    <row r="28669" s="689" customFormat="1" x14ac:dyDescent="0.2"/>
    <row r="28670" s="689" customFormat="1" x14ac:dyDescent="0.2"/>
    <row r="28671" s="689" customFormat="1" x14ac:dyDescent="0.2"/>
    <row r="28672" s="689" customFormat="1" x14ac:dyDescent="0.2"/>
    <row r="28673" s="689" customFormat="1" x14ac:dyDescent="0.2"/>
    <row r="28674" s="689" customFormat="1" x14ac:dyDescent="0.2"/>
    <row r="28675" s="689" customFormat="1" x14ac:dyDescent="0.2"/>
    <row r="28676" s="689" customFormat="1" x14ac:dyDescent="0.2"/>
    <row r="28677" s="689" customFormat="1" x14ac:dyDescent="0.2"/>
    <row r="28678" s="689" customFormat="1" x14ac:dyDescent="0.2"/>
    <row r="28679" s="689" customFormat="1" x14ac:dyDescent="0.2"/>
    <row r="28680" s="689" customFormat="1" x14ac:dyDescent="0.2"/>
    <row r="28681" s="689" customFormat="1" x14ac:dyDescent="0.2"/>
    <row r="28682" s="689" customFormat="1" x14ac:dyDescent="0.2"/>
    <row r="28683" s="689" customFormat="1" x14ac:dyDescent="0.2"/>
    <row r="28684" s="689" customFormat="1" x14ac:dyDescent="0.2"/>
    <row r="28685" s="689" customFormat="1" x14ac:dyDescent="0.2"/>
    <row r="28686" s="689" customFormat="1" x14ac:dyDescent="0.2"/>
    <row r="28687" s="689" customFormat="1" x14ac:dyDescent="0.2"/>
    <row r="28688" s="689" customFormat="1" x14ac:dyDescent="0.2"/>
    <row r="28689" s="689" customFormat="1" x14ac:dyDescent="0.2"/>
    <row r="28690" s="689" customFormat="1" x14ac:dyDescent="0.2"/>
    <row r="28691" s="689" customFormat="1" x14ac:dyDescent="0.2"/>
    <row r="28692" s="689" customFormat="1" x14ac:dyDescent="0.2"/>
    <row r="28693" s="689" customFormat="1" x14ac:dyDescent="0.2"/>
    <row r="28694" s="689" customFormat="1" x14ac:dyDescent="0.2"/>
    <row r="28695" s="689" customFormat="1" x14ac:dyDescent="0.2"/>
    <row r="28696" s="689" customFormat="1" x14ac:dyDescent="0.2"/>
    <row r="28697" s="689" customFormat="1" x14ac:dyDescent="0.2"/>
    <row r="28698" s="689" customFormat="1" x14ac:dyDescent="0.2"/>
    <row r="28699" s="689" customFormat="1" x14ac:dyDescent="0.2"/>
    <row r="28700" s="689" customFormat="1" x14ac:dyDescent="0.2"/>
    <row r="28701" s="689" customFormat="1" x14ac:dyDescent="0.2"/>
    <row r="28702" s="689" customFormat="1" x14ac:dyDescent="0.2"/>
    <row r="28703" s="689" customFormat="1" x14ac:dyDescent="0.2"/>
    <row r="28704" s="689" customFormat="1" x14ac:dyDescent="0.2"/>
    <row r="28705" s="689" customFormat="1" x14ac:dyDescent="0.2"/>
    <row r="28706" s="689" customFormat="1" x14ac:dyDescent="0.2"/>
    <row r="28707" s="689" customFormat="1" x14ac:dyDescent="0.2"/>
    <row r="28708" s="689" customFormat="1" x14ac:dyDescent="0.2"/>
    <row r="28709" s="689" customFormat="1" x14ac:dyDescent="0.2"/>
    <row r="28710" s="689" customFormat="1" x14ac:dyDescent="0.2"/>
    <row r="28711" s="689" customFormat="1" x14ac:dyDescent="0.2"/>
    <row r="28712" s="689" customFormat="1" x14ac:dyDescent="0.2"/>
    <row r="28713" s="689" customFormat="1" x14ac:dyDescent="0.2"/>
    <row r="28714" s="689" customFormat="1" x14ac:dyDescent="0.2"/>
    <row r="28715" s="689" customFormat="1" x14ac:dyDescent="0.2"/>
    <row r="28716" s="689" customFormat="1" x14ac:dyDescent="0.2"/>
    <row r="28717" s="689" customFormat="1" x14ac:dyDescent="0.2"/>
    <row r="28718" s="689" customFormat="1" x14ac:dyDescent="0.2"/>
    <row r="28719" s="689" customFormat="1" x14ac:dyDescent="0.2"/>
    <row r="28720" s="689" customFormat="1" x14ac:dyDescent="0.2"/>
    <row r="28721" s="689" customFormat="1" x14ac:dyDescent="0.2"/>
    <row r="28722" s="689" customFormat="1" x14ac:dyDescent="0.2"/>
    <row r="28723" s="689" customFormat="1" x14ac:dyDescent="0.2"/>
    <row r="28724" s="689" customFormat="1" x14ac:dyDescent="0.2"/>
    <row r="28725" s="689" customFormat="1" x14ac:dyDescent="0.2"/>
    <row r="28726" s="689" customFormat="1" x14ac:dyDescent="0.2"/>
    <row r="28727" s="689" customFormat="1" x14ac:dyDescent="0.2"/>
    <row r="28728" s="689" customFormat="1" x14ac:dyDescent="0.2"/>
    <row r="28729" s="689" customFormat="1" x14ac:dyDescent="0.2"/>
    <row r="28730" s="689" customFormat="1" x14ac:dyDescent="0.2"/>
    <row r="28731" s="689" customFormat="1" x14ac:dyDescent="0.2"/>
    <row r="28732" s="689" customFormat="1" x14ac:dyDescent="0.2"/>
    <row r="28733" s="689" customFormat="1" x14ac:dyDescent="0.2"/>
    <row r="28734" s="689" customFormat="1" x14ac:dyDescent="0.2"/>
    <row r="28735" s="689" customFormat="1" x14ac:dyDescent="0.2"/>
    <row r="28736" s="689" customFormat="1" x14ac:dyDescent="0.2"/>
    <row r="28737" s="689" customFormat="1" x14ac:dyDescent="0.2"/>
    <row r="28738" s="689" customFormat="1" x14ac:dyDescent="0.2"/>
    <row r="28739" s="689" customFormat="1" x14ac:dyDescent="0.2"/>
    <row r="28740" s="689" customFormat="1" x14ac:dyDescent="0.2"/>
    <row r="28741" s="689" customFormat="1" x14ac:dyDescent="0.2"/>
    <row r="28742" s="689" customFormat="1" x14ac:dyDescent="0.2"/>
    <row r="28743" s="689" customFormat="1" x14ac:dyDescent="0.2"/>
    <row r="28744" s="689" customFormat="1" x14ac:dyDescent="0.2"/>
    <row r="28745" s="689" customFormat="1" x14ac:dyDescent="0.2"/>
    <row r="28746" s="689" customFormat="1" x14ac:dyDescent="0.2"/>
    <row r="28747" s="689" customFormat="1" x14ac:dyDescent="0.2"/>
    <row r="28748" s="689" customFormat="1" x14ac:dyDescent="0.2"/>
    <row r="28749" s="689" customFormat="1" x14ac:dyDescent="0.2"/>
    <row r="28750" s="689" customFormat="1" x14ac:dyDescent="0.2"/>
    <row r="28751" s="689" customFormat="1" x14ac:dyDescent="0.2"/>
    <row r="28752" s="689" customFormat="1" x14ac:dyDescent="0.2"/>
    <row r="28753" s="689" customFormat="1" x14ac:dyDescent="0.2"/>
    <row r="28754" s="689" customFormat="1" x14ac:dyDescent="0.2"/>
    <row r="28755" s="689" customFormat="1" x14ac:dyDescent="0.2"/>
    <row r="28756" s="689" customFormat="1" x14ac:dyDescent="0.2"/>
    <row r="28757" s="689" customFormat="1" x14ac:dyDescent="0.2"/>
    <row r="28758" s="689" customFormat="1" x14ac:dyDescent="0.2"/>
    <row r="28759" s="689" customFormat="1" x14ac:dyDescent="0.2"/>
    <row r="28760" s="689" customFormat="1" x14ac:dyDescent="0.2"/>
    <row r="28761" s="689" customFormat="1" x14ac:dyDescent="0.2"/>
    <row r="28762" s="689" customFormat="1" x14ac:dyDescent="0.2"/>
    <row r="28763" s="689" customFormat="1" x14ac:dyDescent="0.2"/>
    <row r="28764" s="689" customFormat="1" x14ac:dyDescent="0.2"/>
    <row r="28765" s="689" customFormat="1" x14ac:dyDescent="0.2"/>
    <row r="28766" s="689" customFormat="1" x14ac:dyDescent="0.2"/>
    <row r="28767" s="689" customFormat="1" x14ac:dyDescent="0.2"/>
    <row r="28768" s="689" customFormat="1" x14ac:dyDescent="0.2"/>
    <row r="28769" s="689" customFormat="1" x14ac:dyDescent="0.2"/>
    <row r="28770" s="689" customFormat="1" x14ac:dyDescent="0.2"/>
    <row r="28771" s="689" customFormat="1" x14ac:dyDescent="0.2"/>
    <row r="28772" s="689" customFormat="1" x14ac:dyDescent="0.2"/>
    <row r="28773" s="689" customFormat="1" x14ac:dyDescent="0.2"/>
    <row r="28774" s="689" customFormat="1" x14ac:dyDescent="0.2"/>
    <row r="28775" s="689" customFormat="1" x14ac:dyDescent="0.2"/>
    <row r="28776" s="689" customFormat="1" x14ac:dyDescent="0.2"/>
    <row r="28777" s="689" customFormat="1" x14ac:dyDescent="0.2"/>
    <row r="28778" s="689" customFormat="1" x14ac:dyDescent="0.2"/>
    <row r="28779" s="689" customFormat="1" x14ac:dyDescent="0.2"/>
    <row r="28780" s="689" customFormat="1" x14ac:dyDescent="0.2"/>
    <row r="28781" s="689" customFormat="1" x14ac:dyDescent="0.2"/>
    <row r="28782" s="689" customFormat="1" x14ac:dyDescent="0.2"/>
    <row r="28783" s="689" customFormat="1" x14ac:dyDescent="0.2"/>
    <row r="28784" s="689" customFormat="1" x14ac:dyDescent="0.2"/>
    <row r="28785" s="689" customFormat="1" x14ac:dyDescent="0.2"/>
    <row r="28786" s="689" customFormat="1" x14ac:dyDescent="0.2"/>
    <row r="28787" s="689" customFormat="1" x14ac:dyDescent="0.2"/>
    <row r="28788" s="689" customFormat="1" x14ac:dyDescent="0.2"/>
    <row r="28789" s="689" customFormat="1" x14ac:dyDescent="0.2"/>
    <row r="28790" s="689" customFormat="1" x14ac:dyDescent="0.2"/>
    <row r="28791" s="689" customFormat="1" x14ac:dyDescent="0.2"/>
    <row r="28792" s="689" customFormat="1" x14ac:dyDescent="0.2"/>
    <row r="28793" s="689" customFormat="1" x14ac:dyDescent="0.2"/>
    <row r="28794" s="689" customFormat="1" x14ac:dyDescent="0.2"/>
    <row r="28795" s="689" customFormat="1" x14ac:dyDescent="0.2"/>
    <row r="28796" s="689" customFormat="1" x14ac:dyDescent="0.2"/>
    <row r="28797" s="689" customFormat="1" x14ac:dyDescent="0.2"/>
    <row r="28798" s="689" customFormat="1" x14ac:dyDescent="0.2"/>
    <row r="28799" s="689" customFormat="1" x14ac:dyDescent="0.2"/>
    <row r="28800" s="689" customFormat="1" x14ac:dyDescent="0.2"/>
    <row r="28801" s="689" customFormat="1" x14ac:dyDescent="0.2"/>
    <row r="28802" s="689" customFormat="1" x14ac:dyDescent="0.2"/>
    <row r="28803" s="689" customFormat="1" x14ac:dyDescent="0.2"/>
    <row r="28804" s="689" customFormat="1" x14ac:dyDescent="0.2"/>
    <row r="28805" s="689" customFormat="1" x14ac:dyDescent="0.2"/>
    <row r="28806" s="689" customFormat="1" x14ac:dyDescent="0.2"/>
    <row r="28807" s="689" customFormat="1" x14ac:dyDescent="0.2"/>
    <row r="28808" s="689" customFormat="1" x14ac:dyDescent="0.2"/>
    <row r="28809" s="689" customFormat="1" x14ac:dyDescent="0.2"/>
    <row r="28810" s="689" customFormat="1" x14ac:dyDescent="0.2"/>
    <row r="28811" s="689" customFormat="1" x14ac:dyDescent="0.2"/>
    <row r="28812" s="689" customFormat="1" x14ac:dyDescent="0.2"/>
    <row r="28813" s="689" customFormat="1" x14ac:dyDescent="0.2"/>
    <row r="28814" s="689" customFormat="1" x14ac:dyDescent="0.2"/>
    <row r="28815" s="689" customFormat="1" x14ac:dyDescent="0.2"/>
    <row r="28816" s="689" customFormat="1" x14ac:dyDescent="0.2"/>
    <row r="28817" s="689" customFormat="1" x14ac:dyDescent="0.2"/>
    <row r="28818" s="689" customFormat="1" x14ac:dyDescent="0.2"/>
    <row r="28819" s="689" customFormat="1" x14ac:dyDescent="0.2"/>
    <row r="28820" s="689" customFormat="1" x14ac:dyDescent="0.2"/>
    <row r="28821" s="689" customFormat="1" x14ac:dyDescent="0.2"/>
    <row r="28822" s="689" customFormat="1" x14ac:dyDescent="0.2"/>
    <row r="28823" s="689" customFormat="1" x14ac:dyDescent="0.2"/>
    <row r="28824" s="689" customFormat="1" x14ac:dyDescent="0.2"/>
    <row r="28825" s="689" customFormat="1" x14ac:dyDescent="0.2"/>
    <row r="28826" s="689" customFormat="1" x14ac:dyDescent="0.2"/>
    <row r="28827" s="689" customFormat="1" x14ac:dyDescent="0.2"/>
    <row r="28828" s="689" customFormat="1" x14ac:dyDescent="0.2"/>
    <row r="28829" s="689" customFormat="1" x14ac:dyDescent="0.2"/>
    <row r="28830" s="689" customFormat="1" x14ac:dyDescent="0.2"/>
    <row r="28831" s="689" customFormat="1" x14ac:dyDescent="0.2"/>
    <row r="28832" s="689" customFormat="1" x14ac:dyDescent="0.2"/>
    <row r="28833" s="689" customFormat="1" x14ac:dyDescent="0.2"/>
    <row r="28834" s="689" customFormat="1" x14ac:dyDescent="0.2"/>
    <row r="28835" s="689" customFormat="1" x14ac:dyDescent="0.2"/>
    <row r="28836" s="689" customFormat="1" x14ac:dyDescent="0.2"/>
    <row r="28837" s="689" customFormat="1" x14ac:dyDescent="0.2"/>
    <row r="28838" s="689" customFormat="1" x14ac:dyDescent="0.2"/>
    <row r="28839" s="689" customFormat="1" x14ac:dyDescent="0.2"/>
    <row r="28840" s="689" customFormat="1" x14ac:dyDescent="0.2"/>
    <row r="28841" s="689" customFormat="1" x14ac:dyDescent="0.2"/>
    <row r="28842" s="689" customFormat="1" x14ac:dyDescent="0.2"/>
    <row r="28843" s="689" customFormat="1" x14ac:dyDescent="0.2"/>
    <row r="28844" s="689" customFormat="1" x14ac:dyDescent="0.2"/>
    <row r="28845" s="689" customFormat="1" x14ac:dyDescent="0.2"/>
    <row r="28846" s="689" customFormat="1" x14ac:dyDescent="0.2"/>
    <row r="28847" s="689" customFormat="1" x14ac:dyDescent="0.2"/>
    <row r="28848" s="689" customFormat="1" x14ac:dyDescent="0.2"/>
    <row r="28849" s="689" customFormat="1" x14ac:dyDescent="0.2"/>
    <row r="28850" s="689" customFormat="1" x14ac:dyDescent="0.2"/>
    <row r="28851" s="689" customFormat="1" x14ac:dyDescent="0.2"/>
    <row r="28852" s="689" customFormat="1" x14ac:dyDescent="0.2"/>
    <row r="28853" s="689" customFormat="1" x14ac:dyDescent="0.2"/>
    <row r="28854" s="689" customFormat="1" x14ac:dyDescent="0.2"/>
    <row r="28855" s="689" customFormat="1" x14ac:dyDescent="0.2"/>
    <row r="28856" s="689" customFormat="1" x14ac:dyDescent="0.2"/>
    <row r="28857" s="689" customFormat="1" x14ac:dyDescent="0.2"/>
    <row r="28858" s="689" customFormat="1" x14ac:dyDescent="0.2"/>
    <row r="28859" s="689" customFormat="1" x14ac:dyDescent="0.2"/>
    <row r="28860" s="689" customFormat="1" x14ac:dyDescent="0.2"/>
    <row r="28861" s="689" customFormat="1" x14ac:dyDescent="0.2"/>
    <row r="28862" s="689" customFormat="1" x14ac:dyDescent="0.2"/>
    <row r="28863" s="689" customFormat="1" x14ac:dyDescent="0.2"/>
    <row r="28864" s="689" customFormat="1" x14ac:dyDescent="0.2"/>
    <row r="28865" s="689" customFormat="1" x14ac:dyDescent="0.2"/>
    <row r="28866" s="689" customFormat="1" x14ac:dyDescent="0.2"/>
    <row r="28867" s="689" customFormat="1" x14ac:dyDescent="0.2"/>
    <row r="28868" s="689" customFormat="1" x14ac:dyDescent="0.2"/>
    <row r="28869" s="689" customFormat="1" x14ac:dyDescent="0.2"/>
    <row r="28870" s="689" customFormat="1" x14ac:dyDescent="0.2"/>
    <row r="28871" s="689" customFormat="1" x14ac:dyDescent="0.2"/>
    <row r="28872" s="689" customFormat="1" x14ac:dyDescent="0.2"/>
    <row r="28873" s="689" customFormat="1" x14ac:dyDescent="0.2"/>
    <row r="28874" s="689" customFormat="1" x14ac:dyDescent="0.2"/>
    <row r="28875" s="689" customFormat="1" x14ac:dyDescent="0.2"/>
    <row r="28876" s="689" customFormat="1" x14ac:dyDescent="0.2"/>
    <row r="28877" s="689" customFormat="1" x14ac:dyDescent="0.2"/>
    <row r="28878" s="689" customFormat="1" x14ac:dyDescent="0.2"/>
    <row r="28879" s="689" customFormat="1" x14ac:dyDescent="0.2"/>
    <row r="28880" s="689" customFormat="1" x14ac:dyDescent="0.2"/>
    <row r="28881" s="689" customFormat="1" x14ac:dyDescent="0.2"/>
    <row r="28882" s="689" customFormat="1" x14ac:dyDescent="0.2"/>
    <row r="28883" s="689" customFormat="1" x14ac:dyDescent="0.2"/>
    <row r="28884" s="689" customFormat="1" x14ac:dyDescent="0.2"/>
    <row r="28885" s="689" customFormat="1" x14ac:dyDescent="0.2"/>
    <row r="28886" s="689" customFormat="1" x14ac:dyDescent="0.2"/>
    <row r="28887" s="689" customFormat="1" x14ac:dyDescent="0.2"/>
    <row r="28888" s="689" customFormat="1" x14ac:dyDescent="0.2"/>
    <row r="28889" s="689" customFormat="1" x14ac:dyDescent="0.2"/>
    <row r="28890" s="689" customFormat="1" x14ac:dyDescent="0.2"/>
    <row r="28891" s="689" customFormat="1" x14ac:dyDescent="0.2"/>
    <row r="28892" s="689" customFormat="1" x14ac:dyDescent="0.2"/>
    <row r="28893" s="689" customFormat="1" x14ac:dyDescent="0.2"/>
    <row r="28894" s="689" customFormat="1" x14ac:dyDescent="0.2"/>
    <row r="28895" s="689" customFormat="1" x14ac:dyDescent="0.2"/>
    <row r="28896" s="689" customFormat="1" x14ac:dyDescent="0.2"/>
    <row r="28897" s="689" customFormat="1" x14ac:dyDescent="0.2"/>
    <row r="28898" s="689" customFormat="1" x14ac:dyDescent="0.2"/>
    <row r="28899" s="689" customFormat="1" x14ac:dyDescent="0.2"/>
    <row r="28900" s="689" customFormat="1" x14ac:dyDescent="0.2"/>
    <row r="28901" s="689" customFormat="1" x14ac:dyDescent="0.2"/>
    <row r="28902" s="689" customFormat="1" x14ac:dyDescent="0.2"/>
    <row r="28903" s="689" customFormat="1" x14ac:dyDescent="0.2"/>
    <row r="28904" s="689" customFormat="1" x14ac:dyDescent="0.2"/>
    <row r="28905" s="689" customFormat="1" x14ac:dyDescent="0.2"/>
    <row r="28906" s="689" customFormat="1" x14ac:dyDescent="0.2"/>
    <row r="28907" s="689" customFormat="1" x14ac:dyDescent="0.2"/>
    <row r="28908" s="689" customFormat="1" x14ac:dyDescent="0.2"/>
    <row r="28909" s="689" customFormat="1" x14ac:dyDescent="0.2"/>
    <row r="28910" s="689" customFormat="1" x14ac:dyDescent="0.2"/>
    <row r="28911" s="689" customFormat="1" x14ac:dyDescent="0.2"/>
    <row r="28912" s="689" customFormat="1" x14ac:dyDescent="0.2"/>
    <row r="28913" s="689" customFormat="1" x14ac:dyDescent="0.2"/>
    <row r="28914" s="689" customFormat="1" x14ac:dyDescent="0.2"/>
    <row r="28915" s="689" customFormat="1" x14ac:dyDescent="0.2"/>
    <row r="28916" s="689" customFormat="1" x14ac:dyDescent="0.2"/>
    <row r="28917" s="689" customFormat="1" x14ac:dyDescent="0.2"/>
    <row r="28918" s="689" customFormat="1" x14ac:dyDescent="0.2"/>
    <row r="28919" s="689" customFormat="1" x14ac:dyDescent="0.2"/>
    <row r="28920" s="689" customFormat="1" x14ac:dyDescent="0.2"/>
    <row r="28921" s="689" customFormat="1" x14ac:dyDescent="0.2"/>
    <row r="28922" s="689" customFormat="1" x14ac:dyDescent="0.2"/>
    <row r="28923" s="689" customFormat="1" x14ac:dyDescent="0.2"/>
    <row r="28924" s="689" customFormat="1" x14ac:dyDescent="0.2"/>
    <row r="28925" s="689" customFormat="1" x14ac:dyDescent="0.2"/>
    <row r="28926" s="689" customFormat="1" x14ac:dyDescent="0.2"/>
    <row r="28927" s="689" customFormat="1" x14ac:dyDescent="0.2"/>
    <row r="28928" s="689" customFormat="1" x14ac:dyDescent="0.2"/>
    <row r="28929" s="689" customFormat="1" x14ac:dyDescent="0.2"/>
    <row r="28930" s="689" customFormat="1" x14ac:dyDescent="0.2"/>
    <row r="28931" s="689" customFormat="1" x14ac:dyDescent="0.2"/>
    <row r="28932" s="689" customFormat="1" x14ac:dyDescent="0.2"/>
    <row r="28933" s="689" customFormat="1" x14ac:dyDescent="0.2"/>
    <row r="28934" s="689" customFormat="1" x14ac:dyDescent="0.2"/>
    <row r="28935" s="689" customFormat="1" x14ac:dyDescent="0.2"/>
    <row r="28936" s="689" customFormat="1" x14ac:dyDescent="0.2"/>
    <row r="28937" s="689" customFormat="1" x14ac:dyDescent="0.2"/>
    <row r="28938" s="689" customFormat="1" x14ac:dyDescent="0.2"/>
    <row r="28939" s="689" customFormat="1" x14ac:dyDescent="0.2"/>
    <row r="28940" s="689" customFormat="1" x14ac:dyDescent="0.2"/>
    <row r="28941" s="689" customFormat="1" x14ac:dyDescent="0.2"/>
    <row r="28942" s="689" customFormat="1" x14ac:dyDescent="0.2"/>
    <row r="28943" s="689" customFormat="1" x14ac:dyDescent="0.2"/>
    <row r="28944" s="689" customFormat="1" x14ac:dyDescent="0.2"/>
    <row r="28945" s="689" customFormat="1" x14ac:dyDescent="0.2"/>
    <row r="28946" s="689" customFormat="1" x14ac:dyDescent="0.2"/>
    <row r="28947" s="689" customFormat="1" x14ac:dyDescent="0.2"/>
    <row r="28948" s="689" customFormat="1" x14ac:dyDescent="0.2"/>
    <row r="28949" s="689" customFormat="1" x14ac:dyDescent="0.2"/>
    <row r="28950" s="689" customFormat="1" x14ac:dyDescent="0.2"/>
    <row r="28951" s="689" customFormat="1" x14ac:dyDescent="0.2"/>
    <row r="28952" s="689" customFormat="1" x14ac:dyDescent="0.2"/>
    <row r="28953" s="689" customFormat="1" x14ac:dyDescent="0.2"/>
    <row r="28954" s="689" customFormat="1" x14ac:dyDescent="0.2"/>
    <row r="28955" s="689" customFormat="1" x14ac:dyDescent="0.2"/>
    <row r="28956" s="689" customFormat="1" x14ac:dyDescent="0.2"/>
    <row r="28957" s="689" customFormat="1" x14ac:dyDescent="0.2"/>
    <row r="28958" s="689" customFormat="1" x14ac:dyDescent="0.2"/>
    <row r="28959" s="689" customFormat="1" x14ac:dyDescent="0.2"/>
    <row r="28960" s="689" customFormat="1" x14ac:dyDescent="0.2"/>
    <row r="28961" s="689" customFormat="1" x14ac:dyDescent="0.2"/>
    <row r="28962" s="689" customFormat="1" x14ac:dyDescent="0.2"/>
    <row r="28963" s="689" customFormat="1" x14ac:dyDescent="0.2"/>
    <row r="28964" s="689" customFormat="1" x14ac:dyDescent="0.2"/>
    <row r="28965" s="689" customFormat="1" x14ac:dyDescent="0.2"/>
    <row r="28966" s="689" customFormat="1" x14ac:dyDescent="0.2"/>
    <row r="28967" s="689" customFormat="1" x14ac:dyDescent="0.2"/>
    <row r="28968" s="689" customFormat="1" x14ac:dyDescent="0.2"/>
    <row r="28969" s="689" customFormat="1" x14ac:dyDescent="0.2"/>
    <row r="28970" s="689" customFormat="1" x14ac:dyDescent="0.2"/>
    <row r="28971" s="689" customFormat="1" x14ac:dyDescent="0.2"/>
    <row r="28972" s="689" customFormat="1" x14ac:dyDescent="0.2"/>
    <row r="28973" s="689" customFormat="1" x14ac:dyDescent="0.2"/>
    <row r="28974" s="689" customFormat="1" x14ac:dyDescent="0.2"/>
    <row r="28975" s="689" customFormat="1" x14ac:dyDescent="0.2"/>
    <row r="28976" s="689" customFormat="1" x14ac:dyDescent="0.2"/>
    <row r="28977" s="689" customFormat="1" x14ac:dyDescent="0.2"/>
    <row r="28978" s="689" customFormat="1" x14ac:dyDescent="0.2"/>
    <row r="28979" s="689" customFormat="1" x14ac:dyDescent="0.2"/>
    <row r="28980" s="689" customFormat="1" x14ac:dyDescent="0.2"/>
    <row r="28981" s="689" customFormat="1" x14ac:dyDescent="0.2"/>
    <row r="28982" s="689" customFormat="1" x14ac:dyDescent="0.2"/>
    <row r="28983" s="689" customFormat="1" x14ac:dyDescent="0.2"/>
    <row r="28984" s="689" customFormat="1" x14ac:dyDescent="0.2"/>
    <row r="28985" s="689" customFormat="1" x14ac:dyDescent="0.2"/>
    <row r="28986" s="689" customFormat="1" x14ac:dyDescent="0.2"/>
    <row r="28987" s="689" customFormat="1" x14ac:dyDescent="0.2"/>
    <row r="28988" s="689" customFormat="1" x14ac:dyDescent="0.2"/>
    <row r="28989" s="689" customFormat="1" x14ac:dyDescent="0.2"/>
    <row r="28990" s="689" customFormat="1" x14ac:dyDescent="0.2"/>
    <row r="28991" s="689" customFormat="1" x14ac:dyDescent="0.2"/>
    <row r="28992" s="689" customFormat="1" x14ac:dyDescent="0.2"/>
    <row r="28993" s="689" customFormat="1" x14ac:dyDescent="0.2"/>
    <row r="28994" s="689" customFormat="1" x14ac:dyDescent="0.2"/>
    <row r="28995" s="689" customFormat="1" x14ac:dyDescent="0.2"/>
    <row r="28996" s="689" customFormat="1" x14ac:dyDescent="0.2"/>
    <row r="28997" s="689" customFormat="1" x14ac:dyDescent="0.2"/>
    <row r="28998" s="689" customFormat="1" x14ac:dyDescent="0.2"/>
    <row r="28999" s="689" customFormat="1" x14ac:dyDescent="0.2"/>
    <row r="29000" s="689" customFormat="1" x14ac:dyDescent="0.2"/>
    <row r="29001" s="689" customFormat="1" x14ac:dyDescent="0.2"/>
    <row r="29002" s="689" customFormat="1" x14ac:dyDescent="0.2"/>
    <row r="29003" s="689" customFormat="1" x14ac:dyDescent="0.2"/>
    <row r="29004" s="689" customFormat="1" x14ac:dyDescent="0.2"/>
    <row r="29005" s="689" customFormat="1" x14ac:dyDescent="0.2"/>
    <row r="29006" s="689" customFormat="1" x14ac:dyDescent="0.2"/>
    <row r="29007" s="689" customFormat="1" x14ac:dyDescent="0.2"/>
    <row r="29008" s="689" customFormat="1" x14ac:dyDescent="0.2"/>
    <row r="29009" s="689" customFormat="1" x14ac:dyDescent="0.2"/>
    <row r="29010" s="689" customFormat="1" x14ac:dyDescent="0.2"/>
    <row r="29011" s="689" customFormat="1" x14ac:dyDescent="0.2"/>
    <row r="29012" s="689" customFormat="1" x14ac:dyDescent="0.2"/>
    <row r="29013" s="689" customFormat="1" x14ac:dyDescent="0.2"/>
    <row r="29014" s="689" customFormat="1" x14ac:dyDescent="0.2"/>
    <row r="29015" s="689" customFormat="1" x14ac:dyDescent="0.2"/>
    <row r="29016" s="689" customFormat="1" x14ac:dyDescent="0.2"/>
    <row r="29017" s="689" customFormat="1" x14ac:dyDescent="0.2"/>
    <row r="29018" s="689" customFormat="1" x14ac:dyDescent="0.2"/>
    <row r="29019" s="689" customFormat="1" x14ac:dyDescent="0.2"/>
    <row r="29020" s="689" customFormat="1" x14ac:dyDescent="0.2"/>
    <row r="29021" s="689" customFormat="1" x14ac:dyDescent="0.2"/>
    <row r="29022" s="689" customFormat="1" x14ac:dyDescent="0.2"/>
    <row r="29023" s="689" customFormat="1" x14ac:dyDescent="0.2"/>
    <row r="29024" s="689" customFormat="1" x14ac:dyDescent="0.2"/>
    <row r="29025" s="689" customFormat="1" x14ac:dyDescent="0.2"/>
    <row r="29026" s="689" customFormat="1" x14ac:dyDescent="0.2"/>
    <row r="29027" s="689" customFormat="1" x14ac:dyDescent="0.2"/>
    <row r="29028" s="689" customFormat="1" x14ac:dyDescent="0.2"/>
    <row r="29029" s="689" customFormat="1" x14ac:dyDescent="0.2"/>
    <row r="29030" s="689" customFormat="1" x14ac:dyDescent="0.2"/>
    <row r="29031" s="689" customFormat="1" x14ac:dyDescent="0.2"/>
    <row r="29032" s="689" customFormat="1" x14ac:dyDescent="0.2"/>
    <row r="29033" s="689" customFormat="1" x14ac:dyDescent="0.2"/>
    <row r="29034" s="689" customFormat="1" x14ac:dyDescent="0.2"/>
    <row r="29035" s="689" customFormat="1" x14ac:dyDescent="0.2"/>
    <row r="29036" s="689" customFormat="1" x14ac:dyDescent="0.2"/>
    <row r="29037" s="689" customFormat="1" x14ac:dyDescent="0.2"/>
    <row r="29038" s="689" customFormat="1" x14ac:dyDescent="0.2"/>
    <row r="29039" s="689" customFormat="1" x14ac:dyDescent="0.2"/>
    <row r="29040" s="689" customFormat="1" x14ac:dyDescent="0.2"/>
    <row r="29041" s="689" customFormat="1" x14ac:dyDescent="0.2"/>
    <row r="29042" s="689" customFormat="1" x14ac:dyDescent="0.2"/>
    <row r="29043" s="689" customFormat="1" x14ac:dyDescent="0.2"/>
    <row r="29044" s="689" customFormat="1" x14ac:dyDescent="0.2"/>
    <row r="29045" s="689" customFormat="1" x14ac:dyDescent="0.2"/>
    <row r="29046" s="689" customFormat="1" x14ac:dyDescent="0.2"/>
    <row r="29047" s="689" customFormat="1" x14ac:dyDescent="0.2"/>
    <row r="29048" s="689" customFormat="1" x14ac:dyDescent="0.2"/>
    <row r="29049" s="689" customFormat="1" x14ac:dyDescent="0.2"/>
    <row r="29050" s="689" customFormat="1" x14ac:dyDescent="0.2"/>
    <row r="29051" s="689" customFormat="1" x14ac:dyDescent="0.2"/>
    <row r="29052" s="689" customFormat="1" x14ac:dyDescent="0.2"/>
    <row r="29053" s="689" customFormat="1" x14ac:dyDescent="0.2"/>
    <row r="29054" s="689" customFormat="1" x14ac:dyDescent="0.2"/>
    <row r="29055" s="689" customFormat="1" x14ac:dyDescent="0.2"/>
    <row r="29056" s="689" customFormat="1" x14ac:dyDescent="0.2"/>
    <row r="29057" s="689" customFormat="1" x14ac:dyDescent="0.2"/>
    <row r="29058" s="689" customFormat="1" x14ac:dyDescent="0.2"/>
    <row r="29059" s="689" customFormat="1" x14ac:dyDescent="0.2"/>
    <row r="29060" s="689" customFormat="1" x14ac:dyDescent="0.2"/>
    <row r="29061" s="689" customFormat="1" x14ac:dyDescent="0.2"/>
    <row r="29062" s="689" customFormat="1" x14ac:dyDescent="0.2"/>
    <row r="29063" s="689" customFormat="1" x14ac:dyDescent="0.2"/>
    <row r="29064" s="689" customFormat="1" x14ac:dyDescent="0.2"/>
    <row r="29065" s="689" customFormat="1" x14ac:dyDescent="0.2"/>
    <row r="29066" s="689" customFormat="1" x14ac:dyDescent="0.2"/>
    <row r="29067" s="689" customFormat="1" x14ac:dyDescent="0.2"/>
    <row r="29068" s="689" customFormat="1" x14ac:dyDescent="0.2"/>
    <row r="29069" s="689" customFormat="1" x14ac:dyDescent="0.2"/>
    <row r="29070" s="689" customFormat="1" x14ac:dyDescent="0.2"/>
    <row r="29071" s="689" customFormat="1" x14ac:dyDescent="0.2"/>
    <row r="29072" s="689" customFormat="1" x14ac:dyDescent="0.2"/>
    <row r="29073" s="689" customFormat="1" x14ac:dyDescent="0.2"/>
    <row r="29074" s="689" customFormat="1" x14ac:dyDescent="0.2"/>
    <row r="29075" s="689" customFormat="1" x14ac:dyDescent="0.2"/>
    <row r="29076" s="689" customFormat="1" x14ac:dyDescent="0.2"/>
    <row r="29077" s="689" customFormat="1" x14ac:dyDescent="0.2"/>
    <row r="29078" s="689" customFormat="1" x14ac:dyDescent="0.2"/>
    <row r="29079" s="689" customFormat="1" x14ac:dyDescent="0.2"/>
    <row r="29080" s="689" customFormat="1" x14ac:dyDescent="0.2"/>
    <row r="29081" s="689" customFormat="1" x14ac:dyDescent="0.2"/>
    <row r="29082" s="689" customFormat="1" x14ac:dyDescent="0.2"/>
    <row r="29083" s="689" customFormat="1" x14ac:dyDescent="0.2"/>
    <row r="29084" s="689" customFormat="1" x14ac:dyDescent="0.2"/>
    <row r="29085" s="689" customFormat="1" x14ac:dyDescent="0.2"/>
    <row r="29086" s="689" customFormat="1" x14ac:dyDescent="0.2"/>
    <row r="29087" s="689" customFormat="1" x14ac:dyDescent="0.2"/>
    <row r="29088" s="689" customFormat="1" x14ac:dyDescent="0.2"/>
    <row r="29089" s="689" customFormat="1" x14ac:dyDescent="0.2"/>
    <row r="29090" s="689" customFormat="1" x14ac:dyDescent="0.2"/>
    <row r="29091" s="689" customFormat="1" x14ac:dyDescent="0.2"/>
    <row r="29092" s="689" customFormat="1" x14ac:dyDescent="0.2"/>
    <row r="29093" s="689" customFormat="1" x14ac:dyDescent="0.2"/>
    <row r="29094" s="689" customFormat="1" x14ac:dyDescent="0.2"/>
    <row r="29095" s="689" customFormat="1" x14ac:dyDescent="0.2"/>
    <row r="29096" s="689" customFormat="1" x14ac:dyDescent="0.2"/>
    <row r="29097" s="689" customFormat="1" x14ac:dyDescent="0.2"/>
    <row r="29098" s="689" customFormat="1" x14ac:dyDescent="0.2"/>
    <row r="29099" s="689" customFormat="1" x14ac:dyDescent="0.2"/>
    <row r="29100" s="689" customFormat="1" x14ac:dyDescent="0.2"/>
    <row r="29101" s="689" customFormat="1" x14ac:dyDescent="0.2"/>
    <row r="29102" s="689" customFormat="1" x14ac:dyDescent="0.2"/>
    <row r="29103" s="689" customFormat="1" x14ac:dyDescent="0.2"/>
    <row r="29104" s="689" customFormat="1" x14ac:dyDescent="0.2"/>
    <row r="29105" s="689" customFormat="1" x14ac:dyDescent="0.2"/>
    <row r="29106" s="689" customFormat="1" x14ac:dyDescent="0.2"/>
    <row r="29107" s="689" customFormat="1" x14ac:dyDescent="0.2"/>
    <row r="29108" s="689" customFormat="1" x14ac:dyDescent="0.2"/>
    <row r="29109" s="689" customFormat="1" x14ac:dyDescent="0.2"/>
    <row r="29110" s="689" customFormat="1" x14ac:dyDescent="0.2"/>
    <row r="29111" s="689" customFormat="1" x14ac:dyDescent="0.2"/>
    <row r="29112" s="689" customFormat="1" x14ac:dyDescent="0.2"/>
    <row r="29113" s="689" customFormat="1" x14ac:dyDescent="0.2"/>
    <row r="29114" s="689" customFormat="1" x14ac:dyDescent="0.2"/>
    <row r="29115" s="689" customFormat="1" x14ac:dyDescent="0.2"/>
    <row r="29116" s="689" customFormat="1" x14ac:dyDescent="0.2"/>
    <row r="29117" s="689" customFormat="1" x14ac:dyDescent="0.2"/>
    <row r="29118" s="689" customFormat="1" x14ac:dyDescent="0.2"/>
    <row r="29119" s="689" customFormat="1" x14ac:dyDescent="0.2"/>
    <row r="29120" s="689" customFormat="1" x14ac:dyDescent="0.2"/>
    <row r="29121" s="689" customFormat="1" x14ac:dyDescent="0.2"/>
    <row r="29122" s="689" customFormat="1" x14ac:dyDescent="0.2"/>
    <row r="29123" s="689" customFormat="1" x14ac:dyDescent="0.2"/>
    <row r="29124" s="689" customFormat="1" x14ac:dyDescent="0.2"/>
    <row r="29125" s="689" customFormat="1" x14ac:dyDescent="0.2"/>
    <row r="29126" s="689" customFormat="1" x14ac:dyDescent="0.2"/>
    <row r="29127" s="689" customFormat="1" x14ac:dyDescent="0.2"/>
    <row r="29128" s="689" customFormat="1" x14ac:dyDescent="0.2"/>
    <row r="29129" s="689" customFormat="1" x14ac:dyDescent="0.2"/>
    <row r="29130" s="689" customFormat="1" x14ac:dyDescent="0.2"/>
    <row r="29131" s="689" customFormat="1" x14ac:dyDescent="0.2"/>
    <row r="29132" s="689" customFormat="1" x14ac:dyDescent="0.2"/>
    <row r="29133" s="689" customFormat="1" x14ac:dyDescent="0.2"/>
    <row r="29134" s="689" customFormat="1" x14ac:dyDescent="0.2"/>
    <row r="29135" s="689" customFormat="1" x14ac:dyDescent="0.2"/>
    <row r="29136" s="689" customFormat="1" x14ac:dyDescent="0.2"/>
    <row r="29137" s="689" customFormat="1" x14ac:dyDescent="0.2"/>
    <row r="29138" s="689" customFormat="1" x14ac:dyDescent="0.2"/>
    <row r="29139" s="689" customFormat="1" x14ac:dyDescent="0.2"/>
    <row r="29140" s="689" customFormat="1" x14ac:dyDescent="0.2"/>
    <row r="29141" s="689" customFormat="1" x14ac:dyDescent="0.2"/>
    <row r="29142" s="689" customFormat="1" x14ac:dyDescent="0.2"/>
    <row r="29143" s="689" customFormat="1" x14ac:dyDescent="0.2"/>
    <row r="29144" s="689" customFormat="1" x14ac:dyDescent="0.2"/>
    <row r="29145" s="689" customFormat="1" x14ac:dyDescent="0.2"/>
    <row r="29146" s="689" customFormat="1" x14ac:dyDescent="0.2"/>
    <row r="29147" s="689" customFormat="1" x14ac:dyDescent="0.2"/>
    <row r="29148" s="689" customFormat="1" x14ac:dyDescent="0.2"/>
    <row r="29149" s="689" customFormat="1" x14ac:dyDescent="0.2"/>
    <row r="29150" s="689" customFormat="1" x14ac:dyDescent="0.2"/>
    <row r="29151" s="689" customFormat="1" x14ac:dyDescent="0.2"/>
    <row r="29152" s="689" customFormat="1" x14ac:dyDescent="0.2"/>
    <row r="29153" s="689" customFormat="1" x14ac:dyDescent="0.2"/>
    <row r="29154" s="689" customFormat="1" x14ac:dyDescent="0.2"/>
    <row r="29155" s="689" customFormat="1" x14ac:dyDescent="0.2"/>
    <row r="29156" s="689" customFormat="1" x14ac:dyDescent="0.2"/>
    <row r="29157" s="689" customFormat="1" x14ac:dyDescent="0.2"/>
    <row r="29158" s="689" customFormat="1" x14ac:dyDescent="0.2"/>
    <row r="29159" s="689" customFormat="1" x14ac:dyDescent="0.2"/>
    <row r="29160" s="689" customFormat="1" x14ac:dyDescent="0.2"/>
    <row r="29161" s="689" customFormat="1" x14ac:dyDescent="0.2"/>
    <row r="29162" s="689" customFormat="1" x14ac:dyDescent="0.2"/>
    <row r="29163" s="689" customFormat="1" x14ac:dyDescent="0.2"/>
    <row r="29164" s="689" customFormat="1" x14ac:dyDescent="0.2"/>
    <row r="29165" s="689" customFormat="1" x14ac:dyDescent="0.2"/>
    <row r="29166" s="689" customFormat="1" x14ac:dyDescent="0.2"/>
    <row r="29167" s="689" customFormat="1" x14ac:dyDescent="0.2"/>
    <row r="29168" s="689" customFormat="1" x14ac:dyDescent="0.2"/>
    <row r="29169" s="689" customFormat="1" x14ac:dyDescent="0.2"/>
    <row r="29170" s="689" customFormat="1" x14ac:dyDescent="0.2"/>
    <row r="29171" s="689" customFormat="1" x14ac:dyDescent="0.2"/>
    <row r="29172" s="689" customFormat="1" x14ac:dyDescent="0.2"/>
    <row r="29173" s="689" customFormat="1" x14ac:dyDescent="0.2"/>
    <row r="29174" s="689" customFormat="1" x14ac:dyDescent="0.2"/>
    <row r="29175" s="689" customFormat="1" x14ac:dyDescent="0.2"/>
    <row r="29176" s="689" customFormat="1" x14ac:dyDescent="0.2"/>
    <row r="29177" s="689" customFormat="1" x14ac:dyDescent="0.2"/>
    <row r="29178" s="689" customFormat="1" x14ac:dyDescent="0.2"/>
    <row r="29179" s="689" customFormat="1" x14ac:dyDescent="0.2"/>
    <row r="29180" s="689" customFormat="1" x14ac:dyDescent="0.2"/>
    <row r="29181" s="689" customFormat="1" x14ac:dyDescent="0.2"/>
    <row r="29182" s="689" customFormat="1" x14ac:dyDescent="0.2"/>
    <row r="29183" s="689" customFormat="1" x14ac:dyDescent="0.2"/>
    <row r="29184" s="689" customFormat="1" x14ac:dyDescent="0.2"/>
    <row r="29185" s="689" customFormat="1" x14ac:dyDescent="0.2"/>
    <row r="29186" s="689" customFormat="1" x14ac:dyDescent="0.2"/>
    <row r="29187" s="689" customFormat="1" x14ac:dyDescent="0.2"/>
    <row r="29188" s="689" customFormat="1" x14ac:dyDescent="0.2"/>
    <row r="29189" s="689" customFormat="1" x14ac:dyDescent="0.2"/>
    <row r="29190" s="689" customFormat="1" x14ac:dyDescent="0.2"/>
    <row r="29191" s="689" customFormat="1" x14ac:dyDescent="0.2"/>
    <row r="29192" s="689" customFormat="1" x14ac:dyDescent="0.2"/>
    <row r="29193" s="689" customFormat="1" x14ac:dyDescent="0.2"/>
    <row r="29194" s="689" customFormat="1" x14ac:dyDescent="0.2"/>
    <row r="29195" s="689" customFormat="1" x14ac:dyDescent="0.2"/>
    <row r="29196" s="689" customFormat="1" x14ac:dyDescent="0.2"/>
    <row r="29197" s="689" customFormat="1" x14ac:dyDescent="0.2"/>
    <row r="29198" s="689" customFormat="1" x14ac:dyDescent="0.2"/>
    <row r="29199" s="689" customFormat="1" x14ac:dyDescent="0.2"/>
    <row r="29200" s="689" customFormat="1" x14ac:dyDescent="0.2"/>
    <row r="29201" s="689" customFormat="1" x14ac:dyDescent="0.2"/>
    <row r="29202" s="689" customFormat="1" x14ac:dyDescent="0.2"/>
    <row r="29203" s="689" customFormat="1" x14ac:dyDescent="0.2"/>
    <row r="29204" s="689" customFormat="1" x14ac:dyDescent="0.2"/>
    <row r="29205" s="689" customFormat="1" x14ac:dyDescent="0.2"/>
    <row r="29206" s="689" customFormat="1" x14ac:dyDescent="0.2"/>
    <row r="29207" s="689" customFormat="1" x14ac:dyDescent="0.2"/>
    <row r="29208" s="689" customFormat="1" x14ac:dyDescent="0.2"/>
    <row r="29209" s="689" customFormat="1" x14ac:dyDescent="0.2"/>
    <row r="29210" s="689" customFormat="1" x14ac:dyDescent="0.2"/>
    <row r="29211" s="689" customFormat="1" x14ac:dyDescent="0.2"/>
    <row r="29212" s="689" customFormat="1" x14ac:dyDescent="0.2"/>
    <row r="29213" s="689" customFormat="1" x14ac:dyDescent="0.2"/>
    <row r="29214" s="689" customFormat="1" x14ac:dyDescent="0.2"/>
    <row r="29215" s="689" customFormat="1" x14ac:dyDescent="0.2"/>
    <row r="29216" s="689" customFormat="1" x14ac:dyDescent="0.2"/>
    <row r="29217" s="689" customFormat="1" x14ac:dyDescent="0.2"/>
    <row r="29218" s="689" customFormat="1" x14ac:dyDescent="0.2"/>
    <row r="29219" s="689" customFormat="1" x14ac:dyDescent="0.2"/>
    <row r="29220" s="689" customFormat="1" x14ac:dyDescent="0.2"/>
    <row r="29221" s="689" customFormat="1" x14ac:dyDescent="0.2"/>
    <row r="29222" s="689" customFormat="1" x14ac:dyDescent="0.2"/>
    <row r="29223" s="689" customFormat="1" x14ac:dyDescent="0.2"/>
    <row r="29224" s="689" customFormat="1" x14ac:dyDescent="0.2"/>
    <row r="29225" s="689" customFormat="1" x14ac:dyDescent="0.2"/>
    <row r="29226" s="689" customFormat="1" x14ac:dyDescent="0.2"/>
    <row r="29227" s="689" customFormat="1" x14ac:dyDescent="0.2"/>
    <row r="29228" s="689" customFormat="1" x14ac:dyDescent="0.2"/>
    <row r="29229" s="689" customFormat="1" x14ac:dyDescent="0.2"/>
    <row r="29230" s="689" customFormat="1" x14ac:dyDescent="0.2"/>
    <row r="29231" s="689" customFormat="1" x14ac:dyDescent="0.2"/>
    <row r="29232" s="689" customFormat="1" x14ac:dyDescent="0.2"/>
    <row r="29233" s="689" customFormat="1" x14ac:dyDescent="0.2"/>
    <row r="29234" s="689" customFormat="1" x14ac:dyDescent="0.2"/>
    <row r="29235" s="689" customFormat="1" x14ac:dyDescent="0.2"/>
    <row r="29236" s="689" customFormat="1" x14ac:dyDescent="0.2"/>
    <row r="29237" s="689" customFormat="1" x14ac:dyDescent="0.2"/>
    <row r="29238" s="689" customFormat="1" x14ac:dyDescent="0.2"/>
    <row r="29239" s="689" customFormat="1" x14ac:dyDescent="0.2"/>
    <row r="29240" s="689" customFormat="1" x14ac:dyDescent="0.2"/>
    <row r="29241" s="689" customFormat="1" x14ac:dyDescent="0.2"/>
    <row r="29242" s="689" customFormat="1" x14ac:dyDescent="0.2"/>
    <row r="29243" s="689" customFormat="1" x14ac:dyDescent="0.2"/>
    <row r="29244" s="689" customFormat="1" x14ac:dyDescent="0.2"/>
    <row r="29245" s="689" customFormat="1" x14ac:dyDescent="0.2"/>
    <row r="29246" s="689" customFormat="1" x14ac:dyDescent="0.2"/>
    <row r="29247" s="689" customFormat="1" x14ac:dyDescent="0.2"/>
    <row r="29248" s="689" customFormat="1" x14ac:dyDescent="0.2"/>
    <row r="29249" s="689" customFormat="1" x14ac:dyDescent="0.2"/>
    <row r="29250" s="689" customFormat="1" x14ac:dyDescent="0.2"/>
    <row r="29251" s="689" customFormat="1" x14ac:dyDescent="0.2"/>
    <row r="29252" s="689" customFormat="1" x14ac:dyDescent="0.2"/>
    <row r="29253" s="689" customFormat="1" x14ac:dyDescent="0.2"/>
    <row r="29254" s="689" customFormat="1" x14ac:dyDescent="0.2"/>
    <row r="29255" s="689" customFormat="1" x14ac:dyDescent="0.2"/>
    <row r="29256" s="689" customFormat="1" x14ac:dyDescent="0.2"/>
    <row r="29257" s="689" customFormat="1" x14ac:dyDescent="0.2"/>
    <row r="29258" s="689" customFormat="1" x14ac:dyDescent="0.2"/>
    <row r="29259" s="689" customFormat="1" x14ac:dyDescent="0.2"/>
    <row r="29260" s="689" customFormat="1" x14ac:dyDescent="0.2"/>
    <row r="29261" s="689" customFormat="1" x14ac:dyDescent="0.2"/>
    <row r="29262" s="689" customFormat="1" x14ac:dyDescent="0.2"/>
    <row r="29263" s="689" customFormat="1" x14ac:dyDescent="0.2"/>
    <row r="29264" s="689" customFormat="1" x14ac:dyDescent="0.2"/>
    <row r="29265" s="689" customFormat="1" x14ac:dyDescent="0.2"/>
    <row r="29266" s="689" customFormat="1" x14ac:dyDescent="0.2"/>
    <row r="29267" s="689" customFormat="1" x14ac:dyDescent="0.2"/>
    <row r="29268" s="689" customFormat="1" x14ac:dyDescent="0.2"/>
    <row r="29269" s="689" customFormat="1" x14ac:dyDescent="0.2"/>
    <row r="29270" s="689" customFormat="1" x14ac:dyDescent="0.2"/>
    <row r="29271" s="689" customFormat="1" x14ac:dyDescent="0.2"/>
    <row r="29272" s="689" customFormat="1" x14ac:dyDescent="0.2"/>
    <row r="29273" s="689" customFormat="1" x14ac:dyDescent="0.2"/>
    <row r="29274" s="689" customFormat="1" x14ac:dyDescent="0.2"/>
    <row r="29275" s="689" customFormat="1" x14ac:dyDescent="0.2"/>
    <row r="29276" s="689" customFormat="1" x14ac:dyDescent="0.2"/>
    <row r="29277" s="689" customFormat="1" x14ac:dyDescent="0.2"/>
    <row r="29278" s="689" customFormat="1" x14ac:dyDescent="0.2"/>
    <row r="29279" s="689" customFormat="1" x14ac:dyDescent="0.2"/>
    <row r="29280" s="689" customFormat="1" x14ac:dyDescent="0.2"/>
    <row r="29281" s="689" customFormat="1" x14ac:dyDescent="0.2"/>
    <row r="29282" s="689" customFormat="1" x14ac:dyDescent="0.2"/>
    <row r="29283" s="689" customFormat="1" x14ac:dyDescent="0.2"/>
    <row r="29284" s="689" customFormat="1" x14ac:dyDescent="0.2"/>
    <row r="29285" s="689" customFormat="1" x14ac:dyDescent="0.2"/>
    <row r="29286" s="689" customFormat="1" x14ac:dyDescent="0.2"/>
    <row r="29287" s="689" customFormat="1" x14ac:dyDescent="0.2"/>
    <row r="29288" s="689" customFormat="1" x14ac:dyDescent="0.2"/>
    <row r="29289" s="689" customFormat="1" x14ac:dyDescent="0.2"/>
    <row r="29290" s="689" customFormat="1" x14ac:dyDescent="0.2"/>
    <row r="29291" s="689" customFormat="1" x14ac:dyDescent="0.2"/>
    <row r="29292" s="689" customFormat="1" x14ac:dyDescent="0.2"/>
    <row r="29293" s="689" customFormat="1" x14ac:dyDescent="0.2"/>
    <row r="29294" s="689" customFormat="1" x14ac:dyDescent="0.2"/>
    <row r="29295" s="689" customFormat="1" x14ac:dyDescent="0.2"/>
    <row r="29296" s="689" customFormat="1" x14ac:dyDescent="0.2"/>
    <row r="29297" s="689" customFormat="1" x14ac:dyDescent="0.2"/>
    <row r="29298" s="689" customFormat="1" x14ac:dyDescent="0.2"/>
    <row r="29299" s="689" customFormat="1" x14ac:dyDescent="0.2"/>
    <row r="29300" s="689" customFormat="1" x14ac:dyDescent="0.2"/>
    <row r="29301" s="689" customFormat="1" x14ac:dyDescent="0.2"/>
    <row r="29302" s="689" customFormat="1" x14ac:dyDescent="0.2"/>
    <row r="29303" s="689" customFormat="1" x14ac:dyDescent="0.2"/>
    <row r="29304" s="689" customFormat="1" x14ac:dyDescent="0.2"/>
    <row r="29305" s="689" customFormat="1" x14ac:dyDescent="0.2"/>
    <row r="29306" s="689" customFormat="1" x14ac:dyDescent="0.2"/>
    <row r="29307" s="689" customFormat="1" x14ac:dyDescent="0.2"/>
    <row r="29308" s="689" customFormat="1" x14ac:dyDescent="0.2"/>
    <row r="29309" s="689" customFormat="1" x14ac:dyDescent="0.2"/>
    <row r="29310" s="689" customFormat="1" x14ac:dyDescent="0.2"/>
    <row r="29311" s="689" customFormat="1" x14ac:dyDescent="0.2"/>
    <row r="29312" s="689" customFormat="1" x14ac:dyDescent="0.2"/>
    <row r="29313" s="689" customFormat="1" x14ac:dyDescent="0.2"/>
    <row r="29314" s="689" customFormat="1" x14ac:dyDescent="0.2"/>
    <row r="29315" s="689" customFormat="1" x14ac:dyDescent="0.2"/>
    <row r="29316" s="689" customFormat="1" x14ac:dyDescent="0.2"/>
    <row r="29317" s="689" customFormat="1" x14ac:dyDescent="0.2"/>
    <row r="29318" s="689" customFormat="1" x14ac:dyDescent="0.2"/>
    <row r="29319" s="689" customFormat="1" x14ac:dyDescent="0.2"/>
    <row r="29320" s="689" customFormat="1" x14ac:dyDescent="0.2"/>
    <row r="29321" s="689" customFormat="1" x14ac:dyDescent="0.2"/>
    <row r="29322" s="689" customFormat="1" x14ac:dyDescent="0.2"/>
    <row r="29323" s="689" customFormat="1" x14ac:dyDescent="0.2"/>
    <row r="29324" s="689" customFormat="1" x14ac:dyDescent="0.2"/>
    <row r="29325" s="689" customFormat="1" x14ac:dyDescent="0.2"/>
    <row r="29326" s="689" customFormat="1" x14ac:dyDescent="0.2"/>
    <row r="29327" s="689" customFormat="1" x14ac:dyDescent="0.2"/>
    <row r="29328" s="689" customFormat="1" x14ac:dyDescent="0.2"/>
    <row r="29329" s="689" customFormat="1" x14ac:dyDescent="0.2"/>
    <row r="29330" s="689" customFormat="1" x14ac:dyDescent="0.2"/>
    <row r="29331" s="689" customFormat="1" x14ac:dyDescent="0.2"/>
    <row r="29332" s="689" customFormat="1" x14ac:dyDescent="0.2"/>
    <row r="29333" s="689" customFormat="1" x14ac:dyDescent="0.2"/>
    <row r="29334" s="689" customFormat="1" x14ac:dyDescent="0.2"/>
    <row r="29335" s="689" customFormat="1" x14ac:dyDescent="0.2"/>
    <row r="29336" s="689" customFormat="1" x14ac:dyDescent="0.2"/>
    <row r="29337" s="689" customFormat="1" x14ac:dyDescent="0.2"/>
    <row r="29338" s="689" customFormat="1" x14ac:dyDescent="0.2"/>
    <row r="29339" s="689" customFormat="1" x14ac:dyDescent="0.2"/>
    <row r="29340" s="689" customFormat="1" x14ac:dyDescent="0.2"/>
    <row r="29341" s="689" customFormat="1" x14ac:dyDescent="0.2"/>
    <row r="29342" s="689" customFormat="1" x14ac:dyDescent="0.2"/>
    <row r="29343" s="689" customFormat="1" x14ac:dyDescent="0.2"/>
    <row r="29344" s="689" customFormat="1" x14ac:dyDescent="0.2"/>
    <row r="29345" s="689" customFormat="1" x14ac:dyDescent="0.2"/>
    <row r="29346" s="689" customFormat="1" x14ac:dyDescent="0.2"/>
    <row r="29347" s="689" customFormat="1" x14ac:dyDescent="0.2"/>
    <row r="29348" s="689" customFormat="1" x14ac:dyDescent="0.2"/>
    <row r="29349" s="689" customFormat="1" x14ac:dyDescent="0.2"/>
    <row r="29350" s="689" customFormat="1" x14ac:dyDescent="0.2"/>
    <row r="29351" s="689" customFormat="1" x14ac:dyDescent="0.2"/>
    <row r="29352" s="689" customFormat="1" x14ac:dyDescent="0.2"/>
    <row r="29353" s="689" customFormat="1" x14ac:dyDescent="0.2"/>
    <row r="29354" s="689" customFormat="1" x14ac:dyDescent="0.2"/>
    <row r="29355" s="689" customFormat="1" x14ac:dyDescent="0.2"/>
    <row r="29356" s="689" customFormat="1" x14ac:dyDescent="0.2"/>
    <row r="29357" s="689" customFormat="1" x14ac:dyDescent="0.2"/>
    <row r="29358" s="689" customFormat="1" x14ac:dyDescent="0.2"/>
    <row r="29359" s="689" customFormat="1" x14ac:dyDescent="0.2"/>
    <row r="29360" s="689" customFormat="1" x14ac:dyDescent="0.2"/>
    <row r="29361" s="689" customFormat="1" x14ac:dyDescent="0.2"/>
    <row r="29362" s="689" customFormat="1" x14ac:dyDescent="0.2"/>
    <row r="29363" s="689" customFormat="1" x14ac:dyDescent="0.2"/>
    <row r="29364" s="689" customFormat="1" x14ac:dyDescent="0.2"/>
    <row r="29365" s="689" customFormat="1" x14ac:dyDescent="0.2"/>
    <row r="29366" s="689" customFormat="1" x14ac:dyDescent="0.2"/>
    <row r="29367" s="689" customFormat="1" x14ac:dyDescent="0.2"/>
    <row r="29368" s="689" customFormat="1" x14ac:dyDescent="0.2"/>
    <row r="29369" s="689" customFormat="1" x14ac:dyDescent="0.2"/>
    <row r="29370" s="689" customFormat="1" x14ac:dyDescent="0.2"/>
    <row r="29371" s="689" customFormat="1" x14ac:dyDescent="0.2"/>
    <row r="29372" s="689" customFormat="1" x14ac:dyDescent="0.2"/>
    <row r="29373" s="689" customFormat="1" x14ac:dyDescent="0.2"/>
    <row r="29374" s="689" customFormat="1" x14ac:dyDescent="0.2"/>
    <row r="29375" s="689" customFormat="1" x14ac:dyDescent="0.2"/>
    <row r="29376" s="689" customFormat="1" x14ac:dyDescent="0.2"/>
    <row r="29377" s="689" customFormat="1" x14ac:dyDescent="0.2"/>
    <row r="29378" s="689" customFormat="1" x14ac:dyDescent="0.2"/>
    <row r="29379" s="689" customFormat="1" x14ac:dyDescent="0.2"/>
    <row r="29380" s="689" customFormat="1" x14ac:dyDescent="0.2"/>
    <row r="29381" s="689" customFormat="1" x14ac:dyDescent="0.2"/>
    <row r="29382" s="689" customFormat="1" x14ac:dyDescent="0.2"/>
    <row r="29383" s="689" customFormat="1" x14ac:dyDescent="0.2"/>
    <row r="29384" s="689" customFormat="1" x14ac:dyDescent="0.2"/>
    <row r="29385" s="689" customFormat="1" x14ac:dyDescent="0.2"/>
    <row r="29386" s="689" customFormat="1" x14ac:dyDescent="0.2"/>
    <row r="29387" s="689" customFormat="1" x14ac:dyDescent="0.2"/>
    <row r="29388" s="689" customFormat="1" x14ac:dyDescent="0.2"/>
    <row r="29389" s="689" customFormat="1" x14ac:dyDescent="0.2"/>
    <row r="29390" s="689" customFormat="1" x14ac:dyDescent="0.2"/>
    <row r="29391" s="689" customFormat="1" x14ac:dyDescent="0.2"/>
    <row r="29392" s="689" customFormat="1" x14ac:dyDescent="0.2"/>
    <row r="29393" s="689" customFormat="1" x14ac:dyDescent="0.2"/>
    <row r="29394" s="689" customFormat="1" x14ac:dyDescent="0.2"/>
    <row r="29395" s="689" customFormat="1" x14ac:dyDescent="0.2"/>
    <row r="29396" s="689" customFormat="1" x14ac:dyDescent="0.2"/>
    <row r="29397" s="689" customFormat="1" x14ac:dyDescent="0.2"/>
    <row r="29398" s="689" customFormat="1" x14ac:dyDescent="0.2"/>
    <row r="29399" s="689" customFormat="1" x14ac:dyDescent="0.2"/>
    <row r="29400" s="689" customFormat="1" x14ac:dyDescent="0.2"/>
    <row r="29401" s="689" customFormat="1" x14ac:dyDescent="0.2"/>
    <row r="29402" s="689" customFormat="1" x14ac:dyDescent="0.2"/>
    <row r="29403" s="689" customFormat="1" x14ac:dyDescent="0.2"/>
    <row r="29404" s="689" customFormat="1" x14ac:dyDescent="0.2"/>
    <row r="29405" s="689" customFormat="1" x14ac:dyDescent="0.2"/>
    <row r="29406" s="689" customFormat="1" x14ac:dyDescent="0.2"/>
    <row r="29407" s="689" customFormat="1" x14ac:dyDescent="0.2"/>
    <row r="29408" s="689" customFormat="1" x14ac:dyDescent="0.2"/>
    <row r="29409" s="689" customFormat="1" x14ac:dyDescent="0.2"/>
    <row r="29410" s="689" customFormat="1" x14ac:dyDescent="0.2"/>
    <row r="29411" s="689" customFormat="1" x14ac:dyDescent="0.2"/>
    <row r="29412" s="689" customFormat="1" x14ac:dyDescent="0.2"/>
    <row r="29413" s="689" customFormat="1" x14ac:dyDescent="0.2"/>
    <row r="29414" s="689" customFormat="1" x14ac:dyDescent="0.2"/>
    <row r="29415" s="689" customFormat="1" x14ac:dyDescent="0.2"/>
    <row r="29416" s="689" customFormat="1" x14ac:dyDescent="0.2"/>
    <row r="29417" s="689" customFormat="1" x14ac:dyDescent="0.2"/>
    <row r="29418" s="689" customFormat="1" x14ac:dyDescent="0.2"/>
    <row r="29419" s="689" customFormat="1" x14ac:dyDescent="0.2"/>
    <row r="29420" s="689" customFormat="1" x14ac:dyDescent="0.2"/>
    <row r="29421" s="689" customFormat="1" x14ac:dyDescent="0.2"/>
    <row r="29422" s="689" customFormat="1" x14ac:dyDescent="0.2"/>
    <row r="29423" s="689" customFormat="1" x14ac:dyDescent="0.2"/>
    <row r="29424" s="689" customFormat="1" x14ac:dyDescent="0.2"/>
    <row r="29425" s="689" customFormat="1" x14ac:dyDescent="0.2"/>
    <row r="29426" s="689" customFormat="1" x14ac:dyDescent="0.2"/>
    <row r="29427" s="689" customFormat="1" x14ac:dyDescent="0.2"/>
    <row r="29428" s="689" customFormat="1" x14ac:dyDescent="0.2"/>
    <row r="29429" s="689" customFormat="1" x14ac:dyDescent="0.2"/>
    <row r="29430" s="689" customFormat="1" x14ac:dyDescent="0.2"/>
    <row r="29431" s="689" customFormat="1" x14ac:dyDescent="0.2"/>
    <row r="29432" s="689" customFormat="1" x14ac:dyDescent="0.2"/>
    <row r="29433" s="689" customFormat="1" x14ac:dyDescent="0.2"/>
    <row r="29434" s="689" customFormat="1" x14ac:dyDescent="0.2"/>
    <row r="29435" s="689" customFormat="1" x14ac:dyDescent="0.2"/>
    <row r="29436" s="689" customFormat="1" x14ac:dyDescent="0.2"/>
    <row r="29437" s="689" customFormat="1" x14ac:dyDescent="0.2"/>
    <row r="29438" s="689" customFormat="1" x14ac:dyDescent="0.2"/>
    <row r="29439" s="689" customFormat="1" x14ac:dyDescent="0.2"/>
    <row r="29440" s="689" customFormat="1" x14ac:dyDescent="0.2"/>
    <row r="29441" s="689" customFormat="1" x14ac:dyDescent="0.2"/>
    <row r="29442" s="689" customFormat="1" x14ac:dyDescent="0.2"/>
    <row r="29443" s="689" customFormat="1" x14ac:dyDescent="0.2"/>
    <row r="29444" s="689" customFormat="1" x14ac:dyDescent="0.2"/>
    <row r="29445" s="689" customFormat="1" x14ac:dyDescent="0.2"/>
    <row r="29446" s="689" customFormat="1" x14ac:dyDescent="0.2"/>
    <row r="29447" s="689" customFormat="1" x14ac:dyDescent="0.2"/>
    <row r="29448" s="689" customFormat="1" x14ac:dyDescent="0.2"/>
    <row r="29449" s="689" customFormat="1" x14ac:dyDescent="0.2"/>
    <row r="29450" s="689" customFormat="1" x14ac:dyDescent="0.2"/>
    <row r="29451" s="689" customFormat="1" x14ac:dyDescent="0.2"/>
    <row r="29452" s="689" customFormat="1" x14ac:dyDescent="0.2"/>
    <row r="29453" s="689" customFormat="1" x14ac:dyDescent="0.2"/>
    <row r="29454" s="689" customFormat="1" x14ac:dyDescent="0.2"/>
    <row r="29455" s="689" customFormat="1" x14ac:dyDescent="0.2"/>
    <row r="29456" s="689" customFormat="1" x14ac:dyDescent="0.2"/>
    <row r="29457" s="689" customFormat="1" x14ac:dyDescent="0.2"/>
    <row r="29458" s="689" customFormat="1" x14ac:dyDescent="0.2"/>
    <row r="29459" s="689" customFormat="1" x14ac:dyDescent="0.2"/>
    <row r="29460" s="689" customFormat="1" x14ac:dyDescent="0.2"/>
    <row r="29461" s="689" customFormat="1" x14ac:dyDescent="0.2"/>
    <row r="29462" s="689" customFormat="1" x14ac:dyDescent="0.2"/>
    <row r="29463" s="689" customFormat="1" x14ac:dyDescent="0.2"/>
    <row r="29464" s="689" customFormat="1" x14ac:dyDescent="0.2"/>
    <row r="29465" s="689" customFormat="1" x14ac:dyDescent="0.2"/>
    <row r="29466" s="689" customFormat="1" x14ac:dyDescent="0.2"/>
    <row r="29467" s="689" customFormat="1" x14ac:dyDescent="0.2"/>
    <row r="29468" s="689" customFormat="1" x14ac:dyDescent="0.2"/>
    <row r="29469" s="689" customFormat="1" x14ac:dyDescent="0.2"/>
    <row r="29470" s="689" customFormat="1" x14ac:dyDescent="0.2"/>
    <row r="29471" s="689" customFormat="1" x14ac:dyDescent="0.2"/>
    <row r="29472" s="689" customFormat="1" x14ac:dyDescent="0.2"/>
    <row r="29473" s="689" customFormat="1" x14ac:dyDescent="0.2"/>
    <row r="29474" s="689" customFormat="1" x14ac:dyDescent="0.2"/>
    <row r="29475" s="689" customFormat="1" x14ac:dyDescent="0.2"/>
    <row r="29476" s="689" customFormat="1" x14ac:dyDescent="0.2"/>
    <row r="29477" s="689" customFormat="1" x14ac:dyDescent="0.2"/>
    <row r="29478" s="689" customFormat="1" x14ac:dyDescent="0.2"/>
    <row r="29479" s="689" customFormat="1" x14ac:dyDescent="0.2"/>
    <row r="29480" s="689" customFormat="1" x14ac:dyDescent="0.2"/>
    <row r="29481" s="689" customFormat="1" x14ac:dyDescent="0.2"/>
    <row r="29482" s="689" customFormat="1" x14ac:dyDescent="0.2"/>
    <row r="29483" s="689" customFormat="1" x14ac:dyDescent="0.2"/>
    <row r="29484" s="689" customFormat="1" x14ac:dyDescent="0.2"/>
    <row r="29485" s="689" customFormat="1" x14ac:dyDescent="0.2"/>
    <row r="29486" s="689" customFormat="1" x14ac:dyDescent="0.2"/>
    <row r="29487" s="689" customFormat="1" x14ac:dyDescent="0.2"/>
    <row r="29488" s="689" customFormat="1" x14ac:dyDescent="0.2"/>
    <row r="29489" s="689" customFormat="1" x14ac:dyDescent="0.2"/>
    <row r="29490" s="689" customFormat="1" x14ac:dyDescent="0.2"/>
    <row r="29491" s="689" customFormat="1" x14ac:dyDescent="0.2"/>
    <row r="29492" s="689" customFormat="1" x14ac:dyDescent="0.2"/>
    <row r="29493" s="689" customFormat="1" x14ac:dyDescent="0.2"/>
    <row r="29494" s="689" customFormat="1" x14ac:dyDescent="0.2"/>
    <row r="29495" s="689" customFormat="1" x14ac:dyDescent="0.2"/>
    <row r="29496" s="689" customFormat="1" x14ac:dyDescent="0.2"/>
    <row r="29497" s="689" customFormat="1" x14ac:dyDescent="0.2"/>
    <row r="29498" s="689" customFormat="1" x14ac:dyDescent="0.2"/>
    <row r="29499" s="689" customFormat="1" x14ac:dyDescent="0.2"/>
    <row r="29500" s="689" customFormat="1" x14ac:dyDescent="0.2"/>
    <row r="29501" s="689" customFormat="1" x14ac:dyDescent="0.2"/>
    <row r="29502" s="689" customFormat="1" x14ac:dyDescent="0.2"/>
    <row r="29503" s="689" customFormat="1" x14ac:dyDescent="0.2"/>
    <row r="29504" s="689" customFormat="1" x14ac:dyDescent="0.2"/>
    <row r="29505" s="689" customFormat="1" x14ac:dyDescent="0.2"/>
    <row r="29506" s="689" customFormat="1" x14ac:dyDescent="0.2"/>
    <row r="29507" s="689" customFormat="1" x14ac:dyDescent="0.2"/>
    <row r="29508" s="689" customFormat="1" x14ac:dyDescent="0.2"/>
    <row r="29509" s="689" customFormat="1" x14ac:dyDescent="0.2"/>
    <row r="29510" s="689" customFormat="1" x14ac:dyDescent="0.2"/>
    <row r="29511" s="689" customFormat="1" x14ac:dyDescent="0.2"/>
    <row r="29512" s="689" customFormat="1" x14ac:dyDescent="0.2"/>
    <row r="29513" s="689" customFormat="1" x14ac:dyDescent="0.2"/>
    <row r="29514" s="689" customFormat="1" x14ac:dyDescent="0.2"/>
    <row r="29515" s="689" customFormat="1" x14ac:dyDescent="0.2"/>
    <row r="29516" s="689" customFormat="1" x14ac:dyDescent="0.2"/>
    <row r="29517" s="689" customFormat="1" x14ac:dyDescent="0.2"/>
    <row r="29518" s="689" customFormat="1" x14ac:dyDescent="0.2"/>
    <row r="29519" s="689" customFormat="1" x14ac:dyDescent="0.2"/>
    <row r="29520" s="689" customFormat="1" x14ac:dyDescent="0.2"/>
    <row r="29521" s="689" customFormat="1" x14ac:dyDescent="0.2"/>
    <row r="29522" s="689" customFormat="1" x14ac:dyDescent="0.2"/>
    <row r="29523" s="689" customFormat="1" x14ac:dyDescent="0.2"/>
    <row r="29524" s="689" customFormat="1" x14ac:dyDescent="0.2"/>
    <row r="29525" s="689" customFormat="1" x14ac:dyDescent="0.2"/>
    <row r="29526" s="689" customFormat="1" x14ac:dyDescent="0.2"/>
    <row r="29527" s="689" customFormat="1" x14ac:dyDescent="0.2"/>
    <row r="29528" s="689" customFormat="1" x14ac:dyDescent="0.2"/>
    <row r="29529" s="689" customFormat="1" x14ac:dyDescent="0.2"/>
    <row r="29530" s="689" customFormat="1" x14ac:dyDescent="0.2"/>
    <row r="29531" s="689" customFormat="1" x14ac:dyDescent="0.2"/>
    <row r="29532" s="689" customFormat="1" x14ac:dyDescent="0.2"/>
    <row r="29533" s="689" customFormat="1" x14ac:dyDescent="0.2"/>
    <row r="29534" s="689" customFormat="1" x14ac:dyDescent="0.2"/>
    <row r="29535" s="689" customFormat="1" x14ac:dyDescent="0.2"/>
    <row r="29536" s="689" customFormat="1" x14ac:dyDescent="0.2"/>
    <row r="29537" s="689" customFormat="1" x14ac:dyDescent="0.2"/>
    <row r="29538" s="689" customFormat="1" x14ac:dyDescent="0.2"/>
    <row r="29539" s="689" customFormat="1" x14ac:dyDescent="0.2"/>
    <row r="29540" s="689" customFormat="1" x14ac:dyDescent="0.2"/>
    <row r="29541" s="689" customFormat="1" x14ac:dyDescent="0.2"/>
    <row r="29542" s="689" customFormat="1" x14ac:dyDescent="0.2"/>
    <row r="29543" s="689" customFormat="1" x14ac:dyDescent="0.2"/>
    <row r="29544" s="689" customFormat="1" x14ac:dyDescent="0.2"/>
    <row r="29545" s="689" customFormat="1" x14ac:dyDescent="0.2"/>
    <row r="29546" s="689" customFormat="1" x14ac:dyDescent="0.2"/>
    <row r="29547" s="689" customFormat="1" x14ac:dyDescent="0.2"/>
    <row r="29548" s="689" customFormat="1" x14ac:dyDescent="0.2"/>
    <row r="29549" s="689" customFormat="1" x14ac:dyDescent="0.2"/>
    <row r="29550" s="689" customFormat="1" x14ac:dyDescent="0.2"/>
    <row r="29551" s="689" customFormat="1" x14ac:dyDescent="0.2"/>
    <row r="29552" s="689" customFormat="1" x14ac:dyDescent="0.2"/>
    <row r="29553" s="689" customFormat="1" x14ac:dyDescent="0.2"/>
    <row r="29554" s="689" customFormat="1" x14ac:dyDescent="0.2"/>
    <row r="29555" s="689" customFormat="1" x14ac:dyDescent="0.2"/>
    <row r="29556" s="689" customFormat="1" x14ac:dyDescent="0.2"/>
    <row r="29557" s="689" customFormat="1" x14ac:dyDescent="0.2"/>
    <row r="29558" s="689" customFormat="1" x14ac:dyDescent="0.2"/>
    <row r="29559" s="689" customFormat="1" x14ac:dyDescent="0.2"/>
    <row r="29560" s="689" customFormat="1" x14ac:dyDescent="0.2"/>
    <row r="29561" s="689" customFormat="1" x14ac:dyDescent="0.2"/>
    <row r="29562" s="689" customFormat="1" x14ac:dyDescent="0.2"/>
    <row r="29563" s="689" customFormat="1" x14ac:dyDescent="0.2"/>
    <row r="29564" s="689" customFormat="1" x14ac:dyDescent="0.2"/>
    <row r="29565" s="689" customFormat="1" x14ac:dyDescent="0.2"/>
    <row r="29566" s="689" customFormat="1" x14ac:dyDescent="0.2"/>
    <row r="29567" s="689" customFormat="1" x14ac:dyDescent="0.2"/>
    <row r="29568" s="689" customFormat="1" x14ac:dyDescent="0.2"/>
    <row r="29569" s="689" customFormat="1" x14ac:dyDescent="0.2"/>
    <row r="29570" s="689" customFormat="1" x14ac:dyDescent="0.2"/>
    <row r="29571" s="689" customFormat="1" x14ac:dyDescent="0.2"/>
    <row r="29572" s="689" customFormat="1" x14ac:dyDescent="0.2"/>
    <row r="29573" s="689" customFormat="1" x14ac:dyDescent="0.2"/>
    <row r="29574" s="689" customFormat="1" x14ac:dyDescent="0.2"/>
    <row r="29575" s="689" customFormat="1" x14ac:dyDescent="0.2"/>
    <row r="29576" s="689" customFormat="1" x14ac:dyDescent="0.2"/>
    <row r="29577" s="689" customFormat="1" x14ac:dyDescent="0.2"/>
    <row r="29578" s="689" customFormat="1" x14ac:dyDescent="0.2"/>
    <row r="29579" s="689" customFormat="1" x14ac:dyDescent="0.2"/>
    <row r="29580" s="689" customFormat="1" x14ac:dyDescent="0.2"/>
    <row r="29581" s="689" customFormat="1" x14ac:dyDescent="0.2"/>
    <row r="29582" s="689" customFormat="1" x14ac:dyDescent="0.2"/>
    <row r="29583" s="689" customFormat="1" x14ac:dyDescent="0.2"/>
    <row r="29584" s="689" customFormat="1" x14ac:dyDescent="0.2"/>
    <row r="29585" s="689" customFormat="1" x14ac:dyDescent="0.2"/>
    <row r="29586" s="689" customFormat="1" x14ac:dyDescent="0.2"/>
    <row r="29587" s="689" customFormat="1" x14ac:dyDescent="0.2"/>
    <row r="29588" s="689" customFormat="1" x14ac:dyDescent="0.2"/>
    <row r="29589" s="689" customFormat="1" x14ac:dyDescent="0.2"/>
    <row r="29590" s="689" customFormat="1" x14ac:dyDescent="0.2"/>
    <row r="29591" s="689" customFormat="1" x14ac:dyDescent="0.2"/>
    <row r="29592" s="689" customFormat="1" x14ac:dyDescent="0.2"/>
    <row r="29593" s="689" customFormat="1" x14ac:dyDescent="0.2"/>
    <row r="29594" s="689" customFormat="1" x14ac:dyDescent="0.2"/>
    <row r="29595" s="689" customFormat="1" x14ac:dyDescent="0.2"/>
    <row r="29596" s="689" customFormat="1" x14ac:dyDescent="0.2"/>
    <row r="29597" s="689" customFormat="1" x14ac:dyDescent="0.2"/>
    <row r="29598" s="689" customFormat="1" x14ac:dyDescent="0.2"/>
    <row r="29599" s="689" customFormat="1" x14ac:dyDescent="0.2"/>
    <row r="29600" s="689" customFormat="1" x14ac:dyDescent="0.2"/>
    <row r="29601" s="689" customFormat="1" x14ac:dyDescent="0.2"/>
    <row r="29602" s="689" customFormat="1" x14ac:dyDescent="0.2"/>
    <row r="29603" s="689" customFormat="1" x14ac:dyDescent="0.2"/>
    <row r="29604" s="689" customFormat="1" x14ac:dyDescent="0.2"/>
    <row r="29605" s="689" customFormat="1" x14ac:dyDescent="0.2"/>
    <row r="29606" s="689" customFormat="1" x14ac:dyDescent="0.2"/>
    <row r="29607" s="689" customFormat="1" x14ac:dyDescent="0.2"/>
    <row r="29608" s="689" customFormat="1" x14ac:dyDescent="0.2"/>
    <row r="29609" s="689" customFormat="1" x14ac:dyDescent="0.2"/>
    <row r="29610" s="689" customFormat="1" x14ac:dyDescent="0.2"/>
    <row r="29611" s="689" customFormat="1" x14ac:dyDescent="0.2"/>
    <row r="29612" s="689" customFormat="1" x14ac:dyDescent="0.2"/>
    <row r="29613" s="689" customFormat="1" x14ac:dyDescent="0.2"/>
    <row r="29614" s="689" customFormat="1" x14ac:dyDescent="0.2"/>
    <row r="29615" s="689" customFormat="1" x14ac:dyDescent="0.2"/>
    <row r="29616" s="689" customFormat="1" x14ac:dyDescent="0.2"/>
    <row r="29617" s="689" customFormat="1" x14ac:dyDescent="0.2"/>
    <row r="29618" s="689" customFormat="1" x14ac:dyDescent="0.2"/>
    <row r="29619" s="689" customFormat="1" x14ac:dyDescent="0.2"/>
    <row r="29620" s="689" customFormat="1" x14ac:dyDescent="0.2"/>
    <row r="29621" s="689" customFormat="1" x14ac:dyDescent="0.2"/>
    <row r="29622" s="689" customFormat="1" x14ac:dyDescent="0.2"/>
    <row r="29623" s="689" customFormat="1" x14ac:dyDescent="0.2"/>
    <row r="29624" s="689" customFormat="1" x14ac:dyDescent="0.2"/>
    <row r="29625" s="689" customFormat="1" x14ac:dyDescent="0.2"/>
    <row r="29626" s="689" customFormat="1" x14ac:dyDescent="0.2"/>
    <row r="29627" s="689" customFormat="1" x14ac:dyDescent="0.2"/>
    <row r="29628" s="689" customFormat="1" x14ac:dyDescent="0.2"/>
    <row r="29629" s="689" customFormat="1" x14ac:dyDescent="0.2"/>
    <row r="29630" s="689" customFormat="1" x14ac:dyDescent="0.2"/>
    <row r="29631" s="689" customFormat="1" x14ac:dyDescent="0.2"/>
    <row r="29632" s="689" customFormat="1" x14ac:dyDescent="0.2"/>
    <row r="29633" s="689" customFormat="1" x14ac:dyDescent="0.2"/>
    <row r="29634" s="689" customFormat="1" x14ac:dyDescent="0.2"/>
    <row r="29635" s="689" customFormat="1" x14ac:dyDescent="0.2"/>
    <row r="29636" s="689" customFormat="1" x14ac:dyDescent="0.2"/>
    <row r="29637" s="689" customFormat="1" x14ac:dyDescent="0.2"/>
    <row r="29638" s="689" customFormat="1" x14ac:dyDescent="0.2"/>
    <row r="29639" s="689" customFormat="1" x14ac:dyDescent="0.2"/>
    <row r="29640" s="689" customFormat="1" x14ac:dyDescent="0.2"/>
    <row r="29641" s="689" customFormat="1" x14ac:dyDescent="0.2"/>
    <row r="29642" s="689" customFormat="1" x14ac:dyDescent="0.2"/>
    <row r="29643" s="689" customFormat="1" x14ac:dyDescent="0.2"/>
    <row r="29644" s="689" customFormat="1" x14ac:dyDescent="0.2"/>
    <row r="29645" s="689" customFormat="1" x14ac:dyDescent="0.2"/>
    <row r="29646" s="689" customFormat="1" x14ac:dyDescent="0.2"/>
    <row r="29647" s="689" customFormat="1" x14ac:dyDescent="0.2"/>
    <row r="29648" s="689" customFormat="1" x14ac:dyDescent="0.2"/>
    <row r="29649" s="689" customFormat="1" x14ac:dyDescent="0.2"/>
    <row r="29650" s="689" customFormat="1" x14ac:dyDescent="0.2"/>
    <row r="29651" s="689" customFormat="1" x14ac:dyDescent="0.2"/>
    <row r="29652" s="689" customFormat="1" x14ac:dyDescent="0.2"/>
    <row r="29653" s="689" customFormat="1" x14ac:dyDescent="0.2"/>
    <row r="29654" s="689" customFormat="1" x14ac:dyDescent="0.2"/>
    <row r="29655" s="689" customFormat="1" x14ac:dyDescent="0.2"/>
    <row r="29656" s="689" customFormat="1" x14ac:dyDescent="0.2"/>
    <row r="29657" s="689" customFormat="1" x14ac:dyDescent="0.2"/>
    <row r="29658" s="689" customFormat="1" x14ac:dyDescent="0.2"/>
    <row r="29659" s="689" customFormat="1" x14ac:dyDescent="0.2"/>
    <row r="29660" s="689" customFormat="1" x14ac:dyDescent="0.2"/>
    <row r="29661" s="689" customFormat="1" x14ac:dyDescent="0.2"/>
    <row r="29662" s="689" customFormat="1" x14ac:dyDescent="0.2"/>
    <row r="29663" s="689" customFormat="1" x14ac:dyDescent="0.2"/>
    <row r="29664" s="689" customFormat="1" x14ac:dyDescent="0.2"/>
    <row r="29665" s="689" customFormat="1" x14ac:dyDescent="0.2"/>
    <row r="29666" s="689" customFormat="1" x14ac:dyDescent="0.2"/>
    <row r="29667" s="689" customFormat="1" x14ac:dyDescent="0.2"/>
    <row r="29668" s="689" customFormat="1" x14ac:dyDescent="0.2"/>
    <row r="29669" s="689" customFormat="1" x14ac:dyDescent="0.2"/>
    <row r="29670" s="689" customFormat="1" x14ac:dyDescent="0.2"/>
    <row r="29671" s="689" customFormat="1" x14ac:dyDescent="0.2"/>
    <row r="29672" s="689" customFormat="1" x14ac:dyDescent="0.2"/>
    <row r="29673" s="689" customFormat="1" x14ac:dyDescent="0.2"/>
    <row r="29674" s="689" customFormat="1" x14ac:dyDescent="0.2"/>
    <row r="29675" s="689" customFormat="1" x14ac:dyDescent="0.2"/>
    <row r="29676" s="689" customFormat="1" x14ac:dyDescent="0.2"/>
    <row r="29677" s="689" customFormat="1" x14ac:dyDescent="0.2"/>
    <row r="29678" s="689" customFormat="1" x14ac:dyDescent="0.2"/>
    <row r="29679" s="689" customFormat="1" x14ac:dyDescent="0.2"/>
    <row r="29680" s="689" customFormat="1" x14ac:dyDescent="0.2"/>
    <row r="29681" s="689" customFormat="1" x14ac:dyDescent="0.2"/>
    <row r="29682" s="689" customFormat="1" x14ac:dyDescent="0.2"/>
    <row r="29683" s="689" customFormat="1" x14ac:dyDescent="0.2"/>
    <row r="29684" s="689" customFormat="1" x14ac:dyDescent="0.2"/>
    <row r="29685" s="689" customFormat="1" x14ac:dyDescent="0.2"/>
    <row r="29686" s="689" customFormat="1" x14ac:dyDescent="0.2"/>
    <row r="29687" s="689" customFormat="1" x14ac:dyDescent="0.2"/>
    <row r="29688" s="689" customFormat="1" x14ac:dyDescent="0.2"/>
    <row r="29689" s="689" customFormat="1" x14ac:dyDescent="0.2"/>
    <row r="29690" s="689" customFormat="1" x14ac:dyDescent="0.2"/>
    <row r="29691" s="689" customFormat="1" x14ac:dyDescent="0.2"/>
    <row r="29692" s="689" customFormat="1" x14ac:dyDescent="0.2"/>
    <row r="29693" s="689" customFormat="1" x14ac:dyDescent="0.2"/>
    <row r="29694" s="689" customFormat="1" x14ac:dyDescent="0.2"/>
    <row r="29695" s="689" customFormat="1" x14ac:dyDescent="0.2"/>
    <row r="29696" s="689" customFormat="1" x14ac:dyDescent="0.2"/>
    <row r="29697" s="689" customFormat="1" x14ac:dyDescent="0.2"/>
    <row r="29698" s="689" customFormat="1" x14ac:dyDescent="0.2"/>
    <row r="29699" s="689" customFormat="1" x14ac:dyDescent="0.2"/>
    <row r="29700" s="689" customFormat="1" x14ac:dyDescent="0.2"/>
    <row r="29701" s="689" customFormat="1" x14ac:dyDescent="0.2"/>
    <row r="29702" s="689" customFormat="1" x14ac:dyDescent="0.2"/>
    <row r="29703" s="689" customFormat="1" x14ac:dyDescent="0.2"/>
    <row r="29704" s="689" customFormat="1" x14ac:dyDescent="0.2"/>
    <row r="29705" s="689" customFormat="1" x14ac:dyDescent="0.2"/>
    <row r="29706" s="689" customFormat="1" x14ac:dyDescent="0.2"/>
    <row r="29707" s="689" customFormat="1" x14ac:dyDescent="0.2"/>
    <row r="29708" s="689" customFormat="1" x14ac:dyDescent="0.2"/>
    <row r="29709" s="689" customFormat="1" x14ac:dyDescent="0.2"/>
    <row r="29710" s="689" customFormat="1" x14ac:dyDescent="0.2"/>
    <row r="29711" s="689" customFormat="1" x14ac:dyDescent="0.2"/>
    <row r="29712" s="689" customFormat="1" x14ac:dyDescent="0.2"/>
    <row r="29713" s="689" customFormat="1" x14ac:dyDescent="0.2"/>
    <row r="29714" s="689" customFormat="1" x14ac:dyDescent="0.2"/>
    <row r="29715" s="689" customFormat="1" x14ac:dyDescent="0.2"/>
    <row r="29716" s="689" customFormat="1" x14ac:dyDescent="0.2"/>
    <row r="29717" s="689" customFormat="1" x14ac:dyDescent="0.2"/>
    <row r="29718" s="689" customFormat="1" x14ac:dyDescent="0.2"/>
    <row r="29719" s="689" customFormat="1" x14ac:dyDescent="0.2"/>
    <row r="29720" s="689" customFormat="1" x14ac:dyDescent="0.2"/>
    <row r="29721" s="689" customFormat="1" x14ac:dyDescent="0.2"/>
    <row r="29722" s="689" customFormat="1" x14ac:dyDescent="0.2"/>
    <row r="29723" s="689" customFormat="1" x14ac:dyDescent="0.2"/>
    <row r="29724" s="689" customFormat="1" x14ac:dyDescent="0.2"/>
    <row r="29725" s="689" customFormat="1" x14ac:dyDescent="0.2"/>
    <row r="29726" s="689" customFormat="1" x14ac:dyDescent="0.2"/>
    <row r="29727" s="689" customFormat="1" x14ac:dyDescent="0.2"/>
    <row r="29728" s="689" customFormat="1" x14ac:dyDescent="0.2"/>
    <row r="29729" s="689" customFormat="1" x14ac:dyDescent="0.2"/>
    <row r="29730" s="689" customFormat="1" x14ac:dyDescent="0.2"/>
    <row r="29731" s="689" customFormat="1" x14ac:dyDescent="0.2"/>
    <row r="29732" s="689" customFormat="1" x14ac:dyDescent="0.2"/>
    <row r="29733" s="689" customFormat="1" x14ac:dyDescent="0.2"/>
    <row r="29734" s="689" customFormat="1" x14ac:dyDescent="0.2"/>
    <row r="29735" s="689" customFormat="1" x14ac:dyDescent="0.2"/>
    <row r="29736" s="689" customFormat="1" x14ac:dyDescent="0.2"/>
    <row r="29737" s="689" customFormat="1" x14ac:dyDescent="0.2"/>
    <row r="29738" s="689" customFormat="1" x14ac:dyDescent="0.2"/>
    <row r="29739" s="689" customFormat="1" x14ac:dyDescent="0.2"/>
    <row r="29740" s="689" customFormat="1" x14ac:dyDescent="0.2"/>
    <row r="29741" s="689" customFormat="1" x14ac:dyDescent="0.2"/>
    <row r="29742" s="689" customFormat="1" x14ac:dyDescent="0.2"/>
    <row r="29743" s="689" customFormat="1" x14ac:dyDescent="0.2"/>
    <row r="29744" s="689" customFormat="1" x14ac:dyDescent="0.2"/>
    <row r="29745" s="689" customFormat="1" x14ac:dyDescent="0.2"/>
    <row r="29746" s="689" customFormat="1" x14ac:dyDescent="0.2"/>
    <row r="29747" s="689" customFormat="1" x14ac:dyDescent="0.2"/>
    <row r="29748" s="689" customFormat="1" x14ac:dyDescent="0.2"/>
    <row r="29749" s="689" customFormat="1" x14ac:dyDescent="0.2"/>
    <row r="29750" s="689" customFormat="1" x14ac:dyDescent="0.2"/>
    <row r="29751" s="689" customFormat="1" x14ac:dyDescent="0.2"/>
    <row r="29752" s="689" customFormat="1" x14ac:dyDescent="0.2"/>
    <row r="29753" s="689" customFormat="1" x14ac:dyDescent="0.2"/>
    <row r="29754" s="689" customFormat="1" x14ac:dyDescent="0.2"/>
    <row r="29755" s="689" customFormat="1" x14ac:dyDescent="0.2"/>
    <row r="29756" s="689" customFormat="1" x14ac:dyDescent="0.2"/>
    <row r="29757" s="689" customFormat="1" x14ac:dyDescent="0.2"/>
    <row r="29758" s="689" customFormat="1" x14ac:dyDescent="0.2"/>
    <row r="29759" s="689" customFormat="1" x14ac:dyDescent="0.2"/>
    <row r="29760" s="689" customFormat="1" x14ac:dyDescent="0.2"/>
    <row r="29761" s="689" customFormat="1" x14ac:dyDescent="0.2"/>
    <row r="29762" s="689" customFormat="1" x14ac:dyDescent="0.2"/>
    <row r="29763" s="689" customFormat="1" x14ac:dyDescent="0.2"/>
    <row r="29764" s="689" customFormat="1" x14ac:dyDescent="0.2"/>
    <row r="29765" s="689" customFormat="1" x14ac:dyDescent="0.2"/>
    <row r="29766" s="689" customFormat="1" x14ac:dyDescent="0.2"/>
    <row r="29767" s="689" customFormat="1" x14ac:dyDescent="0.2"/>
    <row r="29768" s="689" customFormat="1" x14ac:dyDescent="0.2"/>
    <row r="29769" s="689" customFormat="1" x14ac:dyDescent="0.2"/>
    <row r="29770" s="689" customFormat="1" x14ac:dyDescent="0.2"/>
    <row r="29771" s="689" customFormat="1" x14ac:dyDescent="0.2"/>
    <row r="29772" s="689" customFormat="1" x14ac:dyDescent="0.2"/>
    <row r="29773" s="689" customFormat="1" x14ac:dyDescent="0.2"/>
    <row r="29774" s="689" customFormat="1" x14ac:dyDescent="0.2"/>
    <row r="29775" s="689" customFormat="1" x14ac:dyDescent="0.2"/>
    <row r="29776" s="689" customFormat="1" x14ac:dyDescent="0.2"/>
    <row r="29777" s="689" customFormat="1" x14ac:dyDescent="0.2"/>
    <row r="29778" s="689" customFormat="1" x14ac:dyDescent="0.2"/>
    <row r="29779" s="689" customFormat="1" x14ac:dyDescent="0.2"/>
    <row r="29780" s="689" customFormat="1" x14ac:dyDescent="0.2"/>
    <row r="29781" s="689" customFormat="1" x14ac:dyDescent="0.2"/>
    <row r="29782" s="689" customFormat="1" x14ac:dyDescent="0.2"/>
    <row r="29783" s="689" customFormat="1" x14ac:dyDescent="0.2"/>
    <row r="29784" s="689" customFormat="1" x14ac:dyDescent="0.2"/>
    <row r="29785" s="689" customFormat="1" x14ac:dyDescent="0.2"/>
    <row r="29786" s="689" customFormat="1" x14ac:dyDescent="0.2"/>
    <row r="29787" s="689" customFormat="1" x14ac:dyDescent="0.2"/>
    <row r="29788" s="689" customFormat="1" x14ac:dyDescent="0.2"/>
    <row r="29789" s="689" customFormat="1" x14ac:dyDescent="0.2"/>
    <row r="29790" s="689" customFormat="1" x14ac:dyDescent="0.2"/>
    <row r="29791" s="689" customFormat="1" x14ac:dyDescent="0.2"/>
    <row r="29792" s="689" customFormat="1" x14ac:dyDescent="0.2"/>
    <row r="29793" s="689" customFormat="1" x14ac:dyDescent="0.2"/>
    <row r="29794" s="689" customFormat="1" x14ac:dyDescent="0.2"/>
    <row r="29795" s="689" customFormat="1" x14ac:dyDescent="0.2"/>
    <row r="29796" s="689" customFormat="1" x14ac:dyDescent="0.2"/>
    <row r="29797" s="689" customFormat="1" x14ac:dyDescent="0.2"/>
    <row r="29798" s="689" customFormat="1" x14ac:dyDescent="0.2"/>
    <row r="29799" s="689" customFormat="1" x14ac:dyDescent="0.2"/>
    <row r="29800" s="689" customFormat="1" x14ac:dyDescent="0.2"/>
    <row r="29801" s="689" customFormat="1" x14ac:dyDescent="0.2"/>
    <row r="29802" s="689" customFormat="1" x14ac:dyDescent="0.2"/>
    <row r="29803" s="689" customFormat="1" x14ac:dyDescent="0.2"/>
    <row r="29804" s="689" customFormat="1" x14ac:dyDescent="0.2"/>
    <row r="29805" s="689" customFormat="1" x14ac:dyDescent="0.2"/>
    <row r="29806" s="689" customFormat="1" x14ac:dyDescent="0.2"/>
    <row r="29807" s="689" customFormat="1" x14ac:dyDescent="0.2"/>
    <row r="29808" s="689" customFormat="1" x14ac:dyDescent="0.2"/>
    <row r="29809" s="689" customFormat="1" x14ac:dyDescent="0.2"/>
    <row r="29810" s="689" customFormat="1" x14ac:dyDescent="0.2"/>
    <row r="29811" s="689" customFormat="1" x14ac:dyDescent="0.2"/>
    <row r="29812" s="689" customFormat="1" x14ac:dyDescent="0.2"/>
    <row r="29813" s="689" customFormat="1" x14ac:dyDescent="0.2"/>
    <row r="29814" s="689" customFormat="1" x14ac:dyDescent="0.2"/>
    <row r="29815" s="689" customFormat="1" x14ac:dyDescent="0.2"/>
    <row r="29816" s="689" customFormat="1" x14ac:dyDescent="0.2"/>
    <row r="29817" s="689" customFormat="1" x14ac:dyDescent="0.2"/>
    <row r="29818" s="689" customFormat="1" x14ac:dyDescent="0.2"/>
    <row r="29819" s="689" customFormat="1" x14ac:dyDescent="0.2"/>
    <row r="29820" s="689" customFormat="1" x14ac:dyDescent="0.2"/>
    <row r="29821" s="689" customFormat="1" x14ac:dyDescent="0.2"/>
    <row r="29822" s="689" customFormat="1" x14ac:dyDescent="0.2"/>
    <row r="29823" s="689" customFormat="1" x14ac:dyDescent="0.2"/>
    <row r="29824" s="689" customFormat="1" x14ac:dyDescent="0.2"/>
    <row r="29825" s="689" customFormat="1" x14ac:dyDescent="0.2"/>
    <row r="29826" s="689" customFormat="1" x14ac:dyDescent="0.2"/>
    <row r="29827" s="689" customFormat="1" x14ac:dyDescent="0.2"/>
    <row r="29828" s="689" customFormat="1" x14ac:dyDescent="0.2"/>
    <row r="29829" s="689" customFormat="1" x14ac:dyDescent="0.2"/>
    <row r="29830" s="689" customFormat="1" x14ac:dyDescent="0.2"/>
    <row r="29831" s="689" customFormat="1" x14ac:dyDescent="0.2"/>
    <row r="29832" s="689" customFormat="1" x14ac:dyDescent="0.2"/>
    <row r="29833" s="689" customFormat="1" x14ac:dyDescent="0.2"/>
    <row r="29834" s="689" customFormat="1" x14ac:dyDescent="0.2"/>
    <row r="29835" s="689" customFormat="1" x14ac:dyDescent="0.2"/>
    <row r="29836" s="689" customFormat="1" x14ac:dyDescent="0.2"/>
    <row r="29837" s="689" customFormat="1" x14ac:dyDescent="0.2"/>
    <row r="29838" s="689" customFormat="1" x14ac:dyDescent="0.2"/>
    <row r="29839" s="689" customFormat="1" x14ac:dyDescent="0.2"/>
    <row r="29840" s="689" customFormat="1" x14ac:dyDescent="0.2"/>
    <row r="29841" s="689" customFormat="1" x14ac:dyDescent="0.2"/>
    <row r="29842" s="689" customFormat="1" x14ac:dyDescent="0.2"/>
    <row r="29843" s="689" customFormat="1" x14ac:dyDescent="0.2"/>
    <row r="29844" s="689" customFormat="1" x14ac:dyDescent="0.2"/>
    <row r="29845" s="689" customFormat="1" x14ac:dyDescent="0.2"/>
    <row r="29846" s="689" customFormat="1" x14ac:dyDescent="0.2"/>
    <row r="29847" s="689" customFormat="1" x14ac:dyDescent="0.2"/>
    <row r="29848" s="689" customFormat="1" x14ac:dyDescent="0.2"/>
    <row r="29849" s="689" customFormat="1" x14ac:dyDescent="0.2"/>
    <row r="29850" s="689" customFormat="1" x14ac:dyDescent="0.2"/>
    <row r="29851" s="689" customFormat="1" x14ac:dyDescent="0.2"/>
    <row r="29852" s="689" customFormat="1" x14ac:dyDescent="0.2"/>
    <row r="29853" s="689" customFormat="1" x14ac:dyDescent="0.2"/>
    <row r="29854" s="689" customFormat="1" x14ac:dyDescent="0.2"/>
    <row r="29855" s="689" customFormat="1" x14ac:dyDescent="0.2"/>
    <row r="29856" s="689" customFormat="1" x14ac:dyDescent="0.2"/>
    <row r="29857" s="689" customFormat="1" x14ac:dyDescent="0.2"/>
    <row r="29858" s="689" customFormat="1" x14ac:dyDescent="0.2"/>
    <row r="29859" s="689" customFormat="1" x14ac:dyDescent="0.2"/>
    <row r="29860" s="689" customFormat="1" x14ac:dyDescent="0.2"/>
    <row r="29861" s="689" customFormat="1" x14ac:dyDescent="0.2"/>
    <row r="29862" s="689" customFormat="1" x14ac:dyDescent="0.2"/>
    <row r="29863" s="689" customFormat="1" x14ac:dyDescent="0.2"/>
    <row r="29864" s="689" customFormat="1" x14ac:dyDescent="0.2"/>
    <row r="29865" s="689" customFormat="1" x14ac:dyDescent="0.2"/>
    <row r="29866" s="689" customFormat="1" x14ac:dyDescent="0.2"/>
    <row r="29867" s="689" customFormat="1" x14ac:dyDescent="0.2"/>
    <row r="29868" s="689" customFormat="1" x14ac:dyDescent="0.2"/>
    <row r="29869" s="689" customFormat="1" x14ac:dyDescent="0.2"/>
    <row r="29870" s="689" customFormat="1" x14ac:dyDescent="0.2"/>
    <row r="29871" s="689" customFormat="1" x14ac:dyDescent="0.2"/>
    <row r="29872" s="689" customFormat="1" x14ac:dyDescent="0.2"/>
    <row r="29873" s="689" customFormat="1" x14ac:dyDescent="0.2"/>
    <row r="29874" s="689" customFormat="1" x14ac:dyDescent="0.2"/>
    <row r="29875" s="689" customFormat="1" x14ac:dyDescent="0.2"/>
    <row r="29876" s="689" customFormat="1" x14ac:dyDescent="0.2"/>
    <row r="29877" s="689" customFormat="1" x14ac:dyDescent="0.2"/>
    <row r="29878" s="689" customFormat="1" x14ac:dyDescent="0.2"/>
    <row r="29879" s="689" customFormat="1" x14ac:dyDescent="0.2"/>
    <row r="29880" s="689" customFormat="1" x14ac:dyDescent="0.2"/>
    <row r="29881" s="689" customFormat="1" x14ac:dyDescent="0.2"/>
    <row r="29882" s="689" customFormat="1" x14ac:dyDescent="0.2"/>
    <row r="29883" s="689" customFormat="1" x14ac:dyDescent="0.2"/>
    <row r="29884" s="689" customFormat="1" x14ac:dyDescent="0.2"/>
    <row r="29885" s="689" customFormat="1" x14ac:dyDescent="0.2"/>
    <row r="29886" s="689" customFormat="1" x14ac:dyDescent="0.2"/>
    <row r="29887" s="689" customFormat="1" x14ac:dyDescent="0.2"/>
    <row r="29888" s="689" customFormat="1" x14ac:dyDescent="0.2"/>
    <row r="29889" s="689" customFormat="1" x14ac:dyDescent="0.2"/>
    <row r="29890" s="689" customFormat="1" x14ac:dyDescent="0.2"/>
    <row r="29891" s="689" customFormat="1" x14ac:dyDescent="0.2"/>
    <row r="29892" s="689" customFormat="1" x14ac:dyDescent="0.2"/>
    <row r="29893" s="689" customFormat="1" x14ac:dyDescent="0.2"/>
    <row r="29894" s="689" customFormat="1" x14ac:dyDescent="0.2"/>
    <row r="29895" s="689" customFormat="1" x14ac:dyDescent="0.2"/>
    <row r="29896" s="689" customFormat="1" x14ac:dyDescent="0.2"/>
    <row r="29897" s="689" customFormat="1" x14ac:dyDescent="0.2"/>
    <row r="29898" s="689" customFormat="1" x14ac:dyDescent="0.2"/>
    <row r="29899" s="689" customFormat="1" x14ac:dyDescent="0.2"/>
    <row r="29900" s="689" customFormat="1" x14ac:dyDescent="0.2"/>
    <row r="29901" s="689" customFormat="1" x14ac:dyDescent="0.2"/>
    <row r="29902" s="689" customFormat="1" x14ac:dyDescent="0.2"/>
    <row r="29903" s="689" customFormat="1" x14ac:dyDescent="0.2"/>
    <row r="29904" s="689" customFormat="1" x14ac:dyDescent="0.2"/>
    <row r="29905" s="689" customFormat="1" x14ac:dyDescent="0.2"/>
    <row r="29906" s="689" customFormat="1" x14ac:dyDescent="0.2"/>
    <row r="29907" s="689" customFormat="1" x14ac:dyDescent="0.2"/>
    <row r="29908" s="689" customFormat="1" x14ac:dyDescent="0.2"/>
    <row r="29909" s="689" customFormat="1" x14ac:dyDescent="0.2"/>
    <row r="29910" s="689" customFormat="1" x14ac:dyDescent="0.2"/>
    <row r="29911" s="689" customFormat="1" x14ac:dyDescent="0.2"/>
    <row r="29912" s="689" customFormat="1" x14ac:dyDescent="0.2"/>
    <row r="29913" s="689" customFormat="1" x14ac:dyDescent="0.2"/>
    <row r="29914" s="689" customFormat="1" x14ac:dyDescent="0.2"/>
    <row r="29915" s="689" customFormat="1" x14ac:dyDescent="0.2"/>
    <row r="29916" s="689" customFormat="1" x14ac:dyDescent="0.2"/>
    <row r="29917" s="689" customFormat="1" x14ac:dyDescent="0.2"/>
    <row r="29918" s="689" customFormat="1" x14ac:dyDescent="0.2"/>
    <row r="29919" s="689" customFormat="1" x14ac:dyDescent="0.2"/>
    <row r="29920" s="689" customFormat="1" x14ac:dyDescent="0.2"/>
    <row r="29921" s="689" customFormat="1" x14ac:dyDescent="0.2"/>
    <row r="29922" s="689" customFormat="1" x14ac:dyDescent="0.2"/>
    <row r="29923" s="689" customFormat="1" x14ac:dyDescent="0.2"/>
    <row r="29924" s="689" customFormat="1" x14ac:dyDescent="0.2"/>
    <row r="29925" s="689" customFormat="1" x14ac:dyDescent="0.2"/>
    <row r="29926" s="689" customFormat="1" x14ac:dyDescent="0.2"/>
    <row r="29927" s="689" customFormat="1" x14ac:dyDescent="0.2"/>
    <row r="29928" s="689" customFormat="1" x14ac:dyDescent="0.2"/>
    <row r="29929" s="689" customFormat="1" x14ac:dyDescent="0.2"/>
    <row r="29930" s="689" customFormat="1" x14ac:dyDescent="0.2"/>
    <row r="29931" s="689" customFormat="1" x14ac:dyDescent="0.2"/>
    <row r="29932" s="689" customFormat="1" x14ac:dyDescent="0.2"/>
    <row r="29933" s="689" customFormat="1" x14ac:dyDescent="0.2"/>
    <row r="29934" s="689" customFormat="1" x14ac:dyDescent="0.2"/>
    <row r="29935" s="689" customFormat="1" x14ac:dyDescent="0.2"/>
    <row r="29936" s="689" customFormat="1" x14ac:dyDescent="0.2"/>
    <row r="29937" s="689" customFormat="1" x14ac:dyDescent="0.2"/>
    <row r="29938" s="689" customFormat="1" x14ac:dyDescent="0.2"/>
    <row r="29939" s="689" customFormat="1" x14ac:dyDescent="0.2"/>
    <row r="29940" s="689" customFormat="1" x14ac:dyDescent="0.2"/>
    <row r="29941" s="689" customFormat="1" x14ac:dyDescent="0.2"/>
    <row r="29942" s="689" customFormat="1" x14ac:dyDescent="0.2"/>
    <row r="29943" s="689" customFormat="1" x14ac:dyDescent="0.2"/>
    <row r="29944" s="689" customFormat="1" x14ac:dyDescent="0.2"/>
    <row r="29945" s="689" customFormat="1" x14ac:dyDescent="0.2"/>
    <row r="29946" s="689" customFormat="1" x14ac:dyDescent="0.2"/>
    <row r="29947" s="689" customFormat="1" x14ac:dyDescent="0.2"/>
    <row r="29948" s="689" customFormat="1" x14ac:dyDescent="0.2"/>
    <row r="29949" s="689" customFormat="1" x14ac:dyDescent="0.2"/>
    <row r="29950" s="689" customFormat="1" x14ac:dyDescent="0.2"/>
    <row r="29951" s="689" customFormat="1" x14ac:dyDescent="0.2"/>
    <row r="29952" s="689" customFormat="1" x14ac:dyDescent="0.2"/>
    <row r="29953" s="689" customFormat="1" x14ac:dyDescent="0.2"/>
    <row r="29954" s="689" customFormat="1" x14ac:dyDescent="0.2"/>
    <row r="29955" s="689" customFormat="1" x14ac:dyDescent="0.2"/>
    <row r="29956" s="689" customFormat="1" x14ac:dyDescent="0.2"/>
    <row r="29957" s="689" customFormat="1" x14ac:dyDescent="0.2"/>
    <row r="29958" s="689" customFormat="1" x14ac:dyDescent="0.2"/>
    <row r="29959" s="689" customFormat="1" x14ac:dyDescent="0.2"/>
    <row r="29960" s="689" customFormat="1" x14ac:dyDescent="0.2"/>
    <row r="29961" s="689" customFormat="1" x14ac:dyDescent="0.2"/>
    <row r="29962" s="689" customFormat="1" x14ac:dyDescent="0.2"/>
    <row r="29963" s="689" customFormat="1" x14ac:dyDescent="0.2"/>
    <row r="29964" s="689" customFormat="1" x14ac:dyDescent="0.2"/>
    <row r="29965" s="689" customFormat="1" x14ac:dyDescent="0.2"/>
    <row r="29966" s="689" customFormat="1" x14ac:dyDescent="0.2"/>
    <row r="29967" s="689" customFormat="1" x14ac:dyDescent="0.2"/>
    <row r="29968" s="689" customFormat="1" x14ac:dyDescent="0.2"/>
    <row r="29969" s="689" customFormat="1" x14ac:dyDescent="0.2"/>
    <row r="29970" s="689" customFormat="1" x14ac:dyDescent="0.2"/>
    <row r="29971" s="689" customFormat="1" x14ac:dyDescent="0.2"/>
    <row r="29972" s="689" customFormat="1" x14ac:dyDescent="0.2"/>
    <row r="29973" s="689" customFormat="1" x14ac:dyDescent="0.2"/>
    <row r="29974" s="689" customFormat="1" x14ac:dyDescent="0.2"/>
    <row r="29975" s="689" customFormat="1" x14ac:dyDescent="0.2"/>
    <row r="29976" s="689" customFormat="1" x14ac:dyDescent="0.2"/>
    <row r="29977" s="689" customFormat="1" x14ac:dyDescent="0.2"/>
    <row r="29978" s="689" customFormat="1" x14ac:dyDescent="0.2"/>
    <row r="29979" s="689" customFormat="1" x14ac:dyDescent="0.2"/>
    <row r="29980" s="689" customFormat="1" x14ac:dyDescent="0.2"/>
    <row r="29981" s="689" customFormat="1" x14ac:dyDescent="0.2"/>
    <row r="29982" s="689" customFormat="1" x14ac:dyDescent="0.2"/>
    <row r="29983" s="689" customFormat="1" x14ac:dyDescent="0.2"/>
    <row r="29984" s="689" customFormat="1" x14ac:dyDescent="0.2"/>
    <row r="29985" s="689" customFormat="1" x14ac:dyDescent="0.2"/>
    <row r="29986" s="689" customFormat="1" x14ac:dyDescent="0.2"/>
    <row r="29987" s="689" customFormat="1" x14ac:dyDescent="0.2"/>
    <row r="29988" s="689" customFormat="1" x14ac:dyDescent="0.2"/>
    <row r="29989" s="689" customFormat="1" x14ac:dyDescent="0.2"/>
    <row r="29990" s="689" customFormat="1" x14ac:dyDescent="0.2"/>
    <row r="29991" s="689" customFormat="1" x14ac:dyDescent="0.2"/>
    <row r="29992" s="689" customFormat="1" x14ac:dyDescent="0.2"/>
    <row r="29993" s="689" customFormat="1" x14ac:dyDescent="0.2"/>
    <row r="29994" s="689" customFormat="1" x14ac:dyDescent="0.2"/>
    <row r="29995" s="689" customFormat="1" x14ac:dyDescent="0.2"/>
    <row r="29996" s="689" customFormat="1" x14ac:dyDescent="0.2"/>
    <row r="29997" s="689" customFormat="1" x14ac:dyDescent="0.2"/>
    <row r="29998" s="689" customFormat="1" x14ac:dyDescent="0.2"/>
    <row r="29999" s="689" customFormat="1" x14ac:dyDescent="0.2"/>
    <row r="30000" s="689" customFormat="1" x14ac:dyDescent="0.2"/>
    <row r="30001" s="689" customFormat="1" x14ac:dyDescent="0.2"/>
    <row r="30002" s="689" customFormat="1" x14ac:dyDescent="0.2"/>
    <row r="30003" s="689" customFormat="1" x14ac:dyDescent="0.2"/>
    <row r="30004" s="689" customFormat="1" x14ac:dyDescent="0.2"/>
    <row r="30005" s="689" customFormat="1" x14ac:dyDescent="0.2"/>
    <row r="30006" s="689" customFormat="1" x14ac:dyDescent="0.2"/>
    <row r="30007" s="689" customFormat="1" x14ac:dyDescent="0.2"/>
    <row r="30008" s="689" customFormat="1" x14ac:dyDescent="0.2"/>
    <row r="30009" s="689" customFormat="1" x14ac:dyDescent="0.2"/>
    <row r="30010" s="689" customFormat="1" x14ac:dyDescent="0.2"/>
    <row r="30011" s="689" customFormat="1" x14ac:dyDescent="0.2"/>
    <row r="30012" s="689" customFormat="1" x14ac:dyDescent="0.2"/>
    <row r="30013" s="689" customFormat="1" x14ac:dyDescent="0.2"/>
    <row r="30014" s="689" customFormat="1" x14ac:dyDescent="0.2"/>
    <row r="30015" s="689" customFormat="1" x14ac:dyDescent="0.2"/>
    <row r="30016" s="689" customFormat="1" x14ac:dyDescent="0.2"/>
    <row r="30017" s="689" customFormat="1" x14ac:dyDescent="0.2"/>
    <row r="30018" s="689" customFormat="1" x14ac:dyDescent="0.2"/>
    <row r="30019" s="689" customFormat="1" x14ac:dyDescent="0.2"/>
    <row r="30020" s="689" customFormat="1" x14ac:dyDescent="0.2"/>
    <row r="30021" s="689" customFormat="1" x14ac:dyDescent="0.2"/>
    <row r="30022" s="689" customFormat="1" x14ac:dyDescent="0.2"/>
    <row r="30023" s="689" customFormat="1" x14ac:dyDescent="0.2"/>
    <row r="30024" s="689" customFormat="1" x14ac:dyDescent="0.2"/>
    <row r="30025" s="689" customFormat="1" x14ac:dyDescent="0.2"/>
    <row r="30026" s="689" customFormat="1" x14ac:dyDescent="0.2"/>
    <row r="30027" s="689" customFormat="1" x14ac:dyDescent="0.2"/>
    <row r="30028" s="689" customFormat="1" x14ac:dyDescent="0.2"/>
    <row r="30029" s="689" customFormat="1" x14ac:dyDescent="0.2"/>
    <row r="30030" s="689" customFormat="1" x14ac:dyDescent="0.2"/>
    <row r="30031" s="689" customFormat="1" x14ac:dyDescent="0.2"/>
    <row r="30032" s="689" customFormat="1" x14ac:dyDescent="0.2"/>
    <row r="30033" s="689" customFormat="1" x14ac:dyDescent="0.2"/>
    <row r="30034" s="689" customFormat="1" x14ac:dyDescent="0.2"/>
    <row r="30035" s="689" customFormat="1" x14ac:dyDescent="0.2"/>
    <row r="30036" s="689" customFormat="1" x14ac:dyDescent="0.2"/>
    <row r="30037" s="689" customFormat="1" x14ac:dyDescent="0.2"/>
    <row r="30038" s="689" customFormat="1" x14ac:dyDescent="0.2"/>
    <row r="30039" s="689" customFormat="1" x14ac:dyDescent="0.2"/>
    <row r="30040" s="689" customFormat="1" x14ac:dyDescent="0.2"/>
    <row r="30041" s="689" customFormat="1" x14ac:dyDescent="0.2"/>
    <row r="30042" s="689" customFormat="1" x14ac:dyDescent="0.2"/>
    <row r="30043" s="689" customFormat="1" x14ac:dyDescent="0.2"/>
    <row r="30044" s="689" customFormat="1" x14ac:dyDescent="0.2"/>
    <row r="30045" s="689" customFormat="1" x14ac:dyDescent="0.2"/>
    <row r="30046" s="689" customFormat="1" x14ac:dyDescent="0.2"/>
    <row r="30047" s="689" customFormat="1" x14ac:dyDescent="0.2"/>
    <row r="30048" s="689" customFormat="1" x14ac:dyDescent="0.2"/>
    <row r="30049" s="689" customFormat="1" x14ac:dyDescent="0.2"/>
    <row r="30050" s="689" customFormat="1" x14ac:dyDescent="0.2"/>
    <row r="30051" s="689" customFormat="1" x14ac:dyDescent="0.2"/>
    <row r="30052" s="689" customFormat="1" x14ac:dyDescent="0.2"/>
    <row r="30053" s="689" customFormat="1" x14ac:dyDescent="0.2"/>
    <row r="30054" s="689" customFormat="1" x14ac:dyDescent="0.2"/>
    <row r="30055" s="689" customFormat="1" x14ac:dyDescent="0.2"/>
    <row r="30056" s="689" customFormat="1" x14ac:dyDescent="0.2"/>
    <row r="30057" s="689" customFormat="1" x14ac:dyDescent="0.2"/>
    <row r="30058" s="689" customFormat="1" x14ac:dyDescent="0.2"/>
    <row r="30059" s="689" customFormat="1" x14ac:dyDescent="0.2"/>
    <row r="30060" s="689" customFormat="1" x14ac:dyDescent="0.2"/>
    <row r="30061" s="689" customFormat="1" x14ac:dyDescent="0.2"/>
    <row r="30062" s="689" customFormat="1" x14ac:dyDescent="0.2"/>
    <row r="30063" s="689" customFormat="1" x14ac:dyDescent="0.2"/>
    <row r="30064" s="689" customFormat="1" x14ac:dyDescent="0.2"/>
    <row r="30065" s="689" customFormat="1" x14ac:dyDescent="0.2"/>
    <row r="30066" s="689" customFormat="1" x14ac:dyDescent="0.2"/>
    <row r="30067" s="689" customFormat="1" x14ac:dyDescent="0.2"/>
    <row r="30068" s="689" customFormat="1" x14ac:dyDescent="0.2"/>
    <row r="30069" s="689" customFormat="1" x14ac:dyDescent="0.2"/>
    <row r="30070" s="689" customFormat="1" x14ac:dyDescent="0.2"/>
    <row r="30071" s="689" customFormat="1" x14ac:dyDescent="0.2"/>
    <row r="30072" s="689" customFormat="1" x14ac:dyDescent="0.2"/>
    <row r="30073" s="689" customFormat="1" x14ac:dyDescent="0.2"/>
    <row r="30074" s="689" customFormat="1" x14ac:dyDescent="0.2"/>
    <row r="30075" s="689" customFormat="1" x14ac:dyDescent="0.2"/>
    <row r="30076" s="689" customFormat="1" x14ac:dyDescent="0.2"/>
    <row r="30077" s="689" customFormat="1" x14ac:dyDescent="0.2"/>
    <row r="30078" s="689" customFormat="1" x14ac:dyDescent="0.2"/>
    <row r="30079" s="689" customFormat="1" x14ac:dyDescent="0.2"/>
    <row r="30080" s="689" customFormat="1" x14ac:dyDescent="0.2"/>
    <row r="30081" s="689" customFormat="1" x14ac:dyDescent="0.2"/>
    <row r="30082" s="689" customFormat="1" x14ac:dyDescent="0.2"/>
    <row r="30083" s="689" customFormat="1" x14ac:dyDescent="0.2"/>
    <row r="30084" s="689" customFormat="1" x14ac:dyDescent="0.2"/>
    <row r="30085" s="689" customFormat="1" x14ac:dyDescent="0.2"/>
    <row r="30086" s="689" customFormat="1" x14ac:dyDescent="0.2"/>
    <row r="30087" s="689" customFormat="1" x14ac:dyDescent="0.2"/>
    <row r="30088" s="689" customFormat="1" x14ac:dyDescent="0.2"/>
    <row r="30089" s="689" customFormat="1" x14ac:dyDescent="0.2"/>
    <row r="30090" s="689" customFormat="1" x14ac:dyDescent="0.2"/>
    <row r="30091" s="689" customFormat="1" x14ac:dyDescent="0.2"/>
    <row r="30092" s="689" customFormat="1" x14ac:dyDescent="0.2"/>
    <row r="30093" s="689" customFormat="1" x14ac:dyDescent="0.2"/>
    <row r="30094" s="689" customFormat="1" x14ac:dyDescent="0.2"/>
    <row r="30095" s="689" customFormat="1" x14ac:dyDescent="0.2"/>
    <row r="30096" s="689" customFormat="1" x14ac:dyDescent="0.2"/>
    <row r="30097" s="689" customFormat="1" x14ac:dyDescent="0.2"/>
    <row r="30098" s="689" customFormat="1" x14ac:dyDescent="0.2"/>
    <row r="30099" s="689" customFormat="1" x14ac:dyDescent="0.2"/>
    <row r="30100" s="689" customFormat="1" x14ac:dyDescent="0.2"/>
    <row r="30101" s="689" customFormat="1" x14ac:dyDescent="0.2"/>
    <row r="30102" s="689" customFormat="1" x14ac:dyDescent="0.2"/>
    <row r="30103" s="689" customFormat="1" x14ac:dyDescent="0.2"/>
    <row r="30104" s="689" customFormat="1" x14ac:dyDescent="0.2"/>
    <row r="30105" s="689" customFormat="1" x14ac:dyDescent="0.2"/>
    <row r="30106" s="689" customFormat="1" x14ac:dyDescent="0.2"/>
    <row r="30107" s="689" customFormat="1" x14ac:dyDescent="0.2"/>
    <row r="30108" s="689" customFormat="1" x14ac:dyDescent="0.2"/>
    <row r="30109" s="689" customFormat="1" x14ac:dyDescent="0.2"/>
    <row r="30110" s="689" customFormat="1" x14ac:dyDescent="0.2"/>
    <row r="30111" s="689" customFormat="1" x14ac:dyDescent="0.2"/>
    <row r="30112" s="689" customFormat="1" x14ac:dyDescent="0.2"/>
    <row r="30113" s="689" customFormat="1" x14ac:dyDescent="0.2"/>
    <row r="30114" s="689" customFormat="1" x14ac:dyDescent="0.2"/>
    <row r="30115" s="689" customFormat="1" x14ac:dyDescent="0.2"/>
    <row r="30116" s="689" customFormat="1" x14ac:dyDescent="0.2"/>
    <row r="30117" s="689" customFormat="1" x14ac:dyDescent="0.2"/>
    <row r="30118" s="689" customFormat="1" x14ac:dyDescent="0.2"/>
    <row r="30119" s="689" customFormat="1" x14ac:dyDescent="0.2"/>
    <row r="30120" s="689" customFormat="1" x14ac:dyDescent="0.2"/>
    <row r="30121" s="689" customFormat="1" x14ac:dyDescent="0.2"/>
    <row r="30122" s="689" customFormat="1" x14ac:dyDescent="0.2"/>
    <row r="30123" s="689" customFormat="1" x14ac:dyDescent="0.2"/>
    <row r="30124" s="689" customFormat="1" x14ac:dyDescent="0.2"/>
    <row r="30125" s="689" customFormat="1" x14ac:dyDescent="0.2"/>
    <row r="30126" s="689" customFormat="1" x14ac:dyDescent="0.2"/>
    <row r="30127" s="689" customFormat="1" x14ac:dyDescent="0.2"/>
    <row r="30128" s="689" customFormat="1" x14ac:dyDescent="0.2"/>
    <row r="30129" s="689" customFormat="1" x14ac:dyDescent="0.2"/>
    <row r="30130" s="689" customFormat="1" x14ac:dyDescent="0.2"/>
    <row r="30131" s="689" customFormat="1" x14ac:dyDescent="0.2"/>
    <row r="30132" s="689" customFormat="1" x14ac:dyDescent="0.2"/>
    <row r="30133" s="689" customFormat="1" x14ac:dyDescent="0.2"/>
    <row r="30134" s="689" customFormat="1" x14ac:dyDescent="0.2"/>
    <row r="30135" s="689" customFormat="1" x14ac:dyDescent="0.2"/>
    <row r="30136" s="689" customFormat="1" x14ac:dyDescent="0.2"/>
    <row r="30137" s="689" customFormat="1" x14ac:dyDescent="0.2"/>
    <row r="30138" s="689" customFormat="1" x14ac:dyDescent="0.2"/>
    <row r="30139" s="689" customFormat="1" x14ac:dyDescent="0.2"/>
    <row r="30140" s="689" customFormat="1" x14ac:dyDescent="0.2"/>
    <row r="30141" s="689" customFormat="1" x14ac:dyDescent="0.2"/>
    <row r="30142" s="689" customFormat="1" x14ac:dyDescent="0.2"/>
    <row r="30143" s="689" customFormat="1" x14ac:dyDescent="0.2"/>
    <row r="30144" s="689" customFormat="1" x14ac:dyDescent="0.2"/>
    <row r="30145" s="689" customFormat="1" x14ac:dyDescent="0.2"/>
    <row r="30146" s="689" customFormat="1" x14ac:dyDescent="0.2"/>
    <row r="30147" s="689" customFormat="1" x14ac:dyDescent="0.2"/>
    <row r="30148" s="689" customFormat="1" x14ac:dyDescent="0.2"/>
    <row r="30149" s="689" customFormat="1" x14ac:dyDescent="0.2"/>
    <row r="30150" s="689" customFormat="1" x14ac:dyDescent="0.2"/>
    <row r="30151" s="689" customFormat="1" x14ac:dyDescent="0.2"/>
    <row r="30152" s="689" customFormat="1" x14ac:dyDescent="0.2"/>
    <row r="30153" s="689" customFormat="1" x14ac:dyDescent="0.2"/>
    <row r="30154" s="689" customFormat="1" x14ac:dyDescent="0.2"/>
    <row r="30155" s="689" customFormat="1" x14ac:dyDescent="0.2"/>
    <row r="30156" s="689" customFormat="1" x14ac:dyDescent="0.2"/>
    <row r="30157" s="689" customFormat="1" x14ac:dyDescent="0.2"/>
    <row r="30158" s="689" customFormat="1" x14ac:dyDescent="0.2"/>
    <row r="30159" s="689" customFormat="1" x14ac:dyDescent="0.2"/>
    <row r="30160" s="689" customFormat="1" x14ac:dyDescent="0.2"/>
    <row r="30161" s="689" customFormat="1" x14ac:dyDescent="0.2"/>
    <row r="30162" s="689" customFormat="1" x14ac:dyDescent="0.2"/>
    <row r="30163" s="689" customFormat="1" x14ac:dyDescent="0.2"/>
    <row r="30164" s="689" customFormat="1" x14ac:dyDescent="0.2"/>
    <row r="30165" s="689" customFormat="1" x14ac:dyDescent="0.2"/>
    <row r="30166" s="689" customFormat="1" x14ac:dyDescent="0.2"/>
    <row r="30167" s="689" customFormat="1" x14ac:dyDescent="0.2"/>
    <row r="30168" s="689" customFormat="1" x14ac:dyDescent="0.2"/>
    <row r="30169" s="689" customFormat="1" x14ac:dyDescent="0.2"/>
    <row r="30170" s="689" customFormat="1" x14ac:dyDescent="0.2"/>
    <row r="30171" s="689" customFormat="1" x14ac:dyDescent="0.2"/>
    <row r="30172" s="689" customFormat="1" x14ac:dyDescent="0.2"/>
    <row r="30173" s="689" customFormat="1" x14ac:dyDescent="0.2"/>
    <row r="30174" s="689" customFormat="1" x14ac:dyDescent="0.2"/>
    <row r="30175" s="689" customFormat="1" x14ac:dyDescent="0.2"/>
    <row r="30176" s="689" customFormat="1" x14ac:dyDescent="0.2"/>
    <row r="30177" s="689" customFormat="1" x14ac:dyDescent="0.2"/>
    <row r="30178" s="689" customFormat="1" x14ac:dyDescent="0.2"/>
    <row r="30179" s="689" customFormat="1" x14ac:dyDescent="0.2"/>
    <row r="30180" s="689" customFormat="1" x14ac:dyDescent="0.2"/>
    <row r="30181" s="689" customFormat="1" x14ac:dyDescent="0.2"/>
    <row r="30182" s="689" customFormat="1" x14ac:dyDescent="0.2"/>
    <row r="30183" s="689" customFormat="1" x14ac:dyDescent="0.2"/>
    <row r="30184" s="689" customFormat="1" x14ac:dyDescent="0.2"/>
    <row r="30185" s="689" customFormat="1" x14ac:dyDescent="0.2"/>
    <row r="30186" s="689" customFormat="1" x14ac:dyDescent="0.2"/>
    <row r="30187" s="689" customFormat="1" x14ac:dyDescent="0.2"/>
    <row r="30188" s="689" customFormat="1" x14ac:dyDescent="0.2"/>
    <row r="30189" s="689" customFormat="1" x14ac:dyDescent="0.2"/>
    <row r="30190" s="689" customFormat="1" x14ac:dyDescent="0.2"/>
    <row r="30191" s="689" customFormat="1" x14ac:dyDescent="0.2"/>
    <row r="30192" s="689" customFormat="1" x14ac:dyDescent="0.2"/>
    <row r="30193" s="689" customFormat="1" x14ac:dyDescent="0.2"/>
    <row r="30194" s="689" customFormat="1" x14ac:dyDescent="0.2"/>
    <row r="30195" s="689" customFormat="1" x14ac:dyDescent="0.2"/>
    <row r="30196" s="689" customFormat="1" x14ac:dyDescent="0.2"/>
    <row r="30197" s="689" customFormat="1" x14ac:dyDescent="0.2"/>
    <row r="30198" s="689" customFormat="1" x14ac:dyDescent="0.2"/>
    <row r="30199" s="689" customFormat="1" x14ac:dyDescent="0.2"/>
    <row r="30200" s="689" customFormat="1" x14ac:dyDescent="0.2"/>
    <row r="30201" s="689" customFormat="1" x14ac:dyDescent="0.2"/>
    <row r="30202" s="689" customFormat="1" x14ac:dyDescent="0.2"/>
    <row r="30203" s="689" customFormat="1" x14ac:dyDescent="0.2"/>
    <row r="30204" s="689" customFormat="1" x14ac:dyDescent="0.2"/>
    <row r="30205" s="689" customFormat="1" x14ac:dyDescent="0.2"/>
    <row r="30206" s="689" customFormat="1" x14ac:dyDescent="0.2"/>
    <row r="30207" s="689" customFormat="1" x14ac:dyDescent="0.2"/>
    <row r="30208" s="689" customFormat="1" x14ac:dyDescent="0.2"/>
    <row r="30209" s="689" customFormat="1" x14ac:dyDescent="0.2"/>
    <row r="30210" s="689" customFormat="1" x14ac:dyDescent="0.2"/>
    <row r="30211" s="689" customFormat="1" x14ac:dyDescent="0.2"/>
    <row r="30212" s="689" customFormat="1" x14ac:dyDescent="0.2"/>
    <row r="30213" s="689" customFormat="1" x14ac:dyDescent="0.2"/>
    <row r="30214" s="689" customFormat="1" x14ac:dyDescent="0.2"/>
    <row r="30215" s="689" customFormat="1" x14ac:dyDescent="0.2"/>
    <row r="30216" s="689" customFormat="1" x14ac:dyDescent="0.2"/>
    <row r="30217" s="689" customFormat="1" x14ac:dyDescent="0.2"/>
    <row r="30218" s="689" customFormat="1" x14ac:dyDescent="0.2"/>
    <row r="30219" s="689" customFormat="1" x14ac:dyDescent="0.2"/>
    <row r="30220" s="689" customFormat="1" x14ac:dyDescent="0.2"/>
    <row r="30221" s="689" customFormat="1" x14ac:dyDescent="0.2"/>
    <row r="30222" s="689" customFormat="1" x14ac:dyDescent="0.2"/>
    <row r="30223" s="689" customFormat="1" x14ac:dyDescent="0.2"/>
    <row r="30224" s="689" customFormat="1" x14ac:dyDescent="0.2"/>
    <row r="30225" s="689" customFormat="1" x14ac:dyDescent="0.2"/>
    <row r="30226" s="689" customFormat="1" x14ac:dyDescent="0.2"/>
    <row r="30227" s="689" customFormat="1" x14ac:dyDescent="0.2"/>
    <row r="30228" s="689" customFormat="1" x14ac:dyDescent="0.2"/>
    <row r="30229" s="689" customFormat="1" x14ac:dyDescent="0.2"/>
    <row r="30230" s="689" customFormat="1" x14ac:dyDescent="0.2"/>
    <row r="30231" s="689" customFormat="1" x14ac:dyDescent="0.2"/>
    <row r="30232" s="689" customFormat="1" x14ac:dyDescent="0.2"/>
    <row r="30233" s="689" customFormat="1" x14ac:dyDescent="0.2"/>
    <row r="30234" s="689" customFormat="1" x14ac:dyDescent="0.2"/>
    <row r="30235" s="689" customFormat="1" x14ac:dyDescent="0.2"/>
    <row r="30236" s="689" customFormat="1" x14ac:dyDescent="0.2"/>
    <row r="30237" s="689" customFormat="1" x14ac:dyDescent="0.2"/>
    <row r="30238" s="689" customFormat="1" x14ac:dyDescent="0.2"/>
    <row r="30239" s="689" customFormat="1" x14ac:dyDescent="0.2"/>
    <row r="30240" s="689" customFormat="1" x14ac:dyDescent="0.2"/>
    <row r="30241" s="689" customFormat="1" x14ac:dyDescent="0.2"/>
    <row r="30242" s="689" customFormat="1" x14ac:dyDescent="0.2"/>
    <row r="30243" s="689" customFormat="1" x14ac:dyDescent="0.2"/>
    <row r="30244" s="689" customFormat="1" x14ac:dyDescent="0.2"/>
    <row r="30245" s="689" customFormat="1" x14ac:dyDescent="0.2"/>
    <row r="30246" s="689" customFormat="1" x14ac:dyDescent="0.2"/>
    <row r="30247" s="689" customFormat="1" x14ac:dyDescent="0.2"/>
    <row r="30248" s="689" customFormat="1" x14ac:dyDescent="0.2"/>
    <row r="30249" s="689" customFormat="1" x14ac:dyDescent="0.2"/>
    <row r="30250" s="689" customFormat="1" x14ac:dyDescent="0.2"/>
    <row r="30251" s="689" customFormat="1" x14ac:dyDescent="0.2"/>
    <row r="30252" s="689" customFormat="1" x14ac:dyDescent="0.2"/>
    <row r="30253" s="689" customFormat="1" x14ac:dyDescent="0.2"/>
    <row r="30254" s="689" customFormat="1" x14ac:dyDescent="0.2"/>
    <row r="30255" s="689" customFormat="1" x14ac:dyDescent="0.2"/>
    <row r="30256" s="689" customFormat="1" x14ac:dyDescent="0.2"/>
    <row r="30257" s="689" customFormat="1" x14ac:dyDescent="0.2"/>
    <row r="30258" s="689" customFormat="1" x14ac:dyDescent="0.2"/>
    <row r="30259" s="689" customFormat="1" x14ac:dyDescent="0.2"/>
    <row r="30260" s="689" customFormat="1" x14ac:dyDescent="0.2"/>
    <row r="30261" s="689" customFormat="1" x14ac:dyDescent="0.2"/>
    <row r="30262" s="689" customFormat="1" x14ac:dyDescent="0.2"/>
    <row r="30263" s="689" customFormat="1" x14ac:dyDescent="0.2"/>
    <row r="30264" s="689" customFormat="1" x14ac:dyDescent="0.2"/>
    <row r="30265" s="689" customFormat="1" x14ac:dyDescent="0.2"/>
    <row r="30266" s="689" customFormat="1" x14ac:dyDescent="0.2"/>
    <row r="30267" s="689" customFormat="1" x14ac:dyDescent="0.2"/>
    <row r="30268" s="689" customFormat="1" x14ac:dyDescent="0.2"/>
    <row r="30269" s="689" customFormat="1" x14ac:dyDescent="0.2"/>
    <row r="30270" s="689" customFormat="1" x14ac:dyDescent="0.2"/>
    <row r="30271" s="689" customFormat="1" x14ac:dyDescent="0.2"/>
    <row r="30272" s="689" customFormat="1" x14ac:dyDescent="0.2"/>
    <row r="30273" s="689" customFormat="1" x14ac:dyDescent="0.2"/>
    <row r="30274" s="689" customFormat="1" x14ac:dyDescent="0.2"/>
    <row r="30275" s="689" customFormat="1" x14ac:dyDescent="0.2"/>
    <row r="30276" s="689" customFormat="1" x14ac:dyDescent="0.2"/>
    <row r="30277" s="689" customFormat="1" x14ac:dyDescent="0.2"/>
    <row r="30278" s="689" customFormat="1" x14ac:dyDescent="0.2"/>
    <row r="30279" s="689" customFormat="1" x14ac:dyDescent="0.2"/>
    <row r="30280" s="689" customFormat="1" x14ac:dyDescent="0.2"/>
    <row r="30281" s="689" customFormat="1" x14ac:dyDescent="0.2"/>
    <row r="30282" s="689" customFormat="1" x14ac:dyDescent="0.2"/>
    <row r="30283" s="689" customFormat="1" x14ac:dyDescent="0.2"/>
    <row r="30284" s="689" customFormat="1" x14ac:dyDescent="0.2"/>
    <row r="30285" s="689" customFormat="1" x14ac:dyDescent="0.2"/>
    <row r="30286" s="689" customFormat="1" x14ac:dyDescent="0.2"/>
    <row r="30287" s="689" customFormat="1" x14ac:dyDescent="0.2"/>
    <row r="30288" s="689" customFormat="1" x14ac:dyDescent="0.2"/>
    <row r="30289" s="689" customFormat="1" x14ac:dyDescent="0.2"/>
    <row r="30290" s="689" customFormat="1" x14ac:dyDescent="0.2"/>
    <row r="30291" s="689" customFormat="1" x14ac:dyDescent="0.2"/>
    <row r="30292" s="689" customFormat="1" x14ac:dyDescent="0.2"/>
    <row r="30293" s="689" customFormat="1" x14ac:dyDescent="0.2"/>
    <row r="30294" s="689" customFormat="1" x14ac:dyDescent="0.2"/>
    <row r="30295" s="689" customFormat="1" x14ac:dyDescent="0.2"/>
    <row r="30296" s="689" customFormat="1" x14ac:dyDescent="0.2"/>
    <row r="30297" s="689" customFormat="1" x14ac:dyDescent="0.2"/>
    <row r="30298" s="689" customFormat="1" x14ac:dyDescent="0.2"/>
    <row r="30299" s="689" customFormat="1" x14ac:dyDescent="0.2"/>
    <row r="30300" s="689" customFormat="1" x14ac:dyDescent="0.2"/>
    <row r="30301" s="689" customFormat="1" x14ac:dyDescent="0.2"/>
    <row r="30302" s="689" customFormat="1" x14ac:dyDescent="0.2"/>
    <row r="30303" s="689" customFormat="1" x14ac:dyDescent="0.2"/>
    <row r="30304" s="689" customFormat="1" x14ac:dyDescent="0.2"/>
    <row r="30305" s="689" customFormat="1" x14ac:dyDescent="0.2"/>
    <row r="30306" s="689" customFormat="1" x14ac:dyDescent="0.2"/>
    <row r="30307" s="689" customFormat="1" x14ac:dyDescent="0.2"/>
    <row r="30308" s="689" customFormat="1" x14ac:dyDescent="0.2"/>
    <row r="30309" s="689" customFormat="1" x14ac:dyDescent="0.2"/>
    <row r="30310" s="689" customFormat="1" x14ac:dyDescent="0.2"/>
    <row r="30311" s="689" customFormat="1" x14ac:dyDescent="0.2"/>
    <row r="30312" s="689" customFormat="1" x14ac:dyDescent="0.2"/>
    <row r="30313" s="689" customFormat="1" x14ac:dyDescent="0.2"/>
    <row r="30314" s="689" customFormat="1" x14ac:dyDescent="0.2"/>
    <row r="30315" s="689" customFormat="1" x14ac:dyDescent="0.2"/>
    <row r="30316" s="689" customFormat="1" x14ac:dyDescent="0.2"/>
    <row r="30317" s="689" customFormat="1" x14ac:dyDescent="0.2"/>
    <row r="30318" s="689" customFormat="1" x14ac:dyDescent="0.2"/>
    <row r="30319" s="689" customFormat="1" x14ac:dyDescent="0.2"/>
    <row r="30320" s="689" customFormat="1" x14ac:dyDescent="0.2"/>
    <row r="30321" s="689" customFormat="1" x14ac:dyDescent="0.2"/>
    <row r="30322" s="689" customFormat="1" x14ac:dyDescent="0.2"/>
    <row r="30323" s="689" customFormat="1" x14ac:dyDescent="0.2"/>
    <row r="30324" s="689" customFormat="1" x14ac:dyDescent="0.2"/>
    <row r="30325" s="689" customFormat="1" x14ac:dyDescent="0.2"/>
    <row r="30326" s="689" customFormat="1" x14ac:dyDescent="0.2"/>
    <row r="30327" s="689" customFormat="1" x14ac:dyDescent="0.2"/>
    <row r="30328" s="689" customFormat="1" x14ac:dyDescent="0.2"/>
    <row r="30329" s="689" customFormat="1" x14ac:dyDescent="0.2"/>
    <row r="30330" s="689" customFormat="1" x14ac:dyDescent="0.2"/>
    <row r="30331" s="689" customFormat="1" x14ac:dyDescent="0.2"/>
    <row r="30332" s="689" customFormat="1" x14ac:dyDescent="0.2"/>
    <row r="30333" s="689" customFormat="1" x14ac:dyDescent="0.2"/>
    <row r="30334" s="689" customFormat="1" x14ac:dyDescent="0.2"/>
    <row r="30335" s="689" customFormat="1" x14ac:dyDescent="0.2"/>
    <row r="30336" s="689" customFormat="1" x14ac:dyDescent="0.2"/>
    <row r="30337" s="689" customFormat="1" x14ac:dyDescent="0.2"/>
    <row r="30338" s="689" customFormat="1" x14ac:dyDescent="0.2"/>
    <row r="30339" s="689" customFormat="1" x14ac:dyDescent="0.2"/>
    <row r="30340" s="689" customFormat="1" x14ac:dyDescent="0.2"/>
    <row r="30341" s="689" customFormat="1" x14ac:dyDescent="0.2"/>
    <row r="30342" s="689" customFormat="1" x14ac:dyDescent="0.2"/>
    <row r="30343" s="689" customFormat="1" x14ac:dyDescent="0.2"/>
    <row r="30344" s="689" customFormat="1" x14ac:dyDescent="0.2"/>
    <row r="30345" s="689" customFormat="1" x14ac:dyDescent="0.2"/>
    <row r="30346" s="689" customFormat="1" x14ac:dyDescent="0.2"/>
    <row r="30347" s="689" customFormat="1" x14ac:dyDescent="0.2"/>
    <row r="30348" s="689" customFormat="1" x14ac:dyDescent="0.2"/>
    <row r="30349" s="689" customFormat="1" x14ac:dyDescent="0.2"/>
    <row r="30350" s="689" customFormat="1" x14ac:dyDescent="0.2"/>
    <row r="30351" s="689" customFormat="1" x14ac:dyDescent="0.2"/>
    <row r="30352" s="689" customFormat="1" x14ac:dyDescent="0.2"/>
    <row r="30353" s="689" customFormat="1" x14ac:dyDescent="0.2"/>
    <row r="30354" s="689" customFormat="1" x14ac:dyDescent="0.2"/>
    <row r="30355" s="689" customFormat="1" x14ac:dyDescent="0.2"/>
    <row r="30356" s="689" customFormat="1" x14ac:dyDescent="0.2"/>
    <row r="30357" s="689" customFormat="1" x14ac:dyDescent="0.2"/>
    <row r="30358" s="689" customFormat="1" x14ac:dyDescent="0.2"/>
    <row r="30359" s="689" customFormat="1" x14ac:dyDescent="0.2"/>
    <row r="30360" s="689" customFormat="1" x14ac:dyDescent="0.2"/>
    <row r="30361" s="689" customFormat="1" x14ac:dyDescent="0.2"/>
    <row r="30362" s="689" customFormat="1" x14ac:dyDescent="0.2"/>
    <row r="30363" s="689" customFormat="1" x14ac:dyDescent="0.2"/>
    <row r="30364" s="689" customFormat="1" x14ac:dyDescent="0.2"/>
    <row r="30365" s="689" customFormat="1" x14ac:dyDescent="0.2"/>
    <row r="30366" s="689" customFormat="1" x14ac:dyDescent="0.2"/>
    <row r="30367" s="689" customFormat="1" x14ac:dyDescent="0.2"/>
    <row r="30368" s="689" customFormat="1" x14ac:dyDescent="0.2"/>
    <row r="30369" s="689" customFormat="1" x14ac:dyDescent="0.2"/>
    <row r="30370" s="689" customFormat="1" x14ac:dyDescent="0.2"/>
    <row r="30371" s="689" customFormat="1" x14ac:dyDescent="0.2"/>
    <row r="30372" s="689" customFormat="1" x14ac:dyDescent="0.2"/>
    <row r="30373" s="689" customFormat="1" x14ac:dyDescent="0.2"/>
    <row r="30374" s="689" customFormat="1" x14ac:dyDescent="0.2"/>
    <row r="30375" s="689" customFormat="1" x14ac:dyDescent="0.2"/>
    <row r="30376" s="689" customFormat="1" x14ac:dyDescent="0.2"/>
    <row r="30377" s="689" customFormat="1" x14ac:dyDescent="0.2"/>
    <row r="30378" s="689" customFormat="1" x14ac:dyDescent="0.2"/>
    <row r="30379" s="689" customFormat="1" x14ac:dyDescent="0.2"/>
    <row r="30380" s="689" customFormat="1" x14ac:dyDescent="0.2"/>
    <row r="30381" s="689" customFormat="1" x14ac:dyDescent="0.2"/>
    <row r="30382" s="689" customFormat="1" x14ac:dyDescent="0.2"/>
    <row r="30383" s="689" customFormat="1" x14ac:dyDescent="0.2"/>
    <row r="30384" s="689" customFormat="1" x14ac:dyDescent="0.2"/>
    <row r="30385" s="689" customFormat="1" x14ac:dyDescent="0.2"/>
    <row r="30386" s="689" customFormat="1" x14ac:dyDescent="0.2"/>
    <row r="30387" s="689" customFormat="1" x14ac:dyDescent="0.2"/>
    <row r="30388" s="689" customFormat="1" x14ac:dyDescent="0.2"/>
    <row r="30389" s="689" customFormat="1" x14ac:dyDescent="0.2"/>
    <row r="30390" s="689" customFormat="1" x14ac:dyDescent="0.2"/>
    <row r="30391" s="689" customFormat="1" x14ac:dyDescent="0.2"/>
    <row r="30392" s="689" customFormat="1" x14ac:dyDescent="0.2"/>
    <row r="30393" s="689" customFormat="1" x14ac:dyDescent="0.2"/>
    <row r="30394" s="689" customFormat="1" x14ac:dyDescent="0.2"/>
    <row r="30395" s="689" customFormat="1" x14ac:dyDescent="0.2"/>
    <row r="30396" s="689" customFormat="1" x14ac:dyDescent="0.2"/>
    <row r="30397" s="689" customFormat="1" x14ac:dyDescent="0.2"/>
    <row r="30398" s="689" customFormat="1" x14ac:dyDescent="0.2"/>
    <row r="30399" s="689" customFormat="1" x14ac:dyDescent="0.2"/>
    <row r="30400" s="689" customFormat="1" x14ac:dyDescent="0.2"/>
    <row r="30401" s="689" customFormat="1" x14ac:dyDescent="0.2"/>
    <row r="30402" s="689" customFormat="1" x14ac:dyDescent="0.2"/>
    <row r="30403" s="689" customFormat="1" x14ac:dyDescent="0.2"/>
    <row r="30404" s="689" customFormat="1" x14ac:dyDescent="0.2"/>
    <row r="30405" s="689" customFormat="1" x14ac:dyDescent="0.2"/>
    <row r="30406" s="689" customFormat="1" x14ac:dyDescent="0.2"/>
    <row r="30407" s="689" customFormat="1" x14ac:dyDescent="0.2"/>
    <row r="30408" s="689" customFormat="1" x14ac:dyDescent="0.2"/>
    <row r="30409" s="689" customFormat="1" x14ac:dyDescent="0.2"/>
    <row r="30410" s="689" customFormat="1" x14ac:dyDescent="0.2"/>
    <row r="30411" s="689" customFormat="1" x14ac:dyDescent="0.2"/>
    <row r="30412" s="689" customFormat="1" x14ac:dyDescent="0.2"/>
    <row r="30413" s="689" customFormat="1" x14ac:dyDescent="0.2"/>
    <row r="30414" s="689" customFormat="1" x14ac:dyDescent="0.2"/>
    <row r="30415" s="689" customFormat="1" x14ac:dyDescent="0.2"/>
    <row r="30416" s="689" customFormat="1" x14ac:dyDescent="0.2"/>
    <row r="30417" s="689" customFormat="1" x14ac:dyDescent="0.2"/>
    <row r="30418" s="689" customFormat="1" x14ac:dyDescent="0.2"/>
    <row r="30419" s="689" customFormat="1" x14ac:dyDescent="0.2"/>
    <row r="30420" s="689" customFormat="1" x14ac:dyDescent="0.2"/>
    <row r="30421" s="689" customFormat="1" x14ac:dyDescent="0.2"/>
    <row r="30422" s="689" customFormat="1" x14ac:dyDescent="0.2"/>
    <row r="30423" s="689" customFormat="1" x14ac:dyDescent="0.2"/>
    <row r="30424" s="689" customFormat="1" x14ac:dyDescent="0.2"/>
    <row r="30425" s="689" customFormat="1" x14ac:dyDescent="0.2"/>
    <row r="30426" s="689" customFormat="1" x14ac:dyDescent="0.2"/>
    <row r="30427" s="689" customFormat="1" x14ac:dyDescent="0.2"/>
    <row r="30428" s="689" customFormat="1" x14ac:dyDescent="0.2"/>
    <row r="30429" s="689" customFormat="1" x14ac:dyDescent="0.2"/>
    <row r="30430" s="689" customFormat="1" x14ac:dyDescent="0.2"/>
    <row r="30431" s="689" customFormat="1" x14ac:dyDescent="0.2"/>
    <row r="30432" s="689" customFormat="1" x14ac:dyDescent="0.2"/>
    <row r="30433" s="689" customFormat="1" x14ac:dyDescent="0.2"/>
    <row r="30434" s="689" customFormat="1" x14ac:dyDescent="0.2"/>
    <row r="30435" s="689" customFormat="1" x14ac:dyDescent="0.2"/>
    <row r="30436" s="689" customFormat="1" x14ac:dyDescent="0.2"/>
    <row r="30437" s="689" customFormat="1" x14ac:dyDescent="0.2"/>
    <row r="30438" s="689" customFormat="1" x14ac:dyDescent="0.2"/>
    <row r="30439" s="689" customFormat="1" x14ac:dyDescent="0.2"/>
    <row r="30440" s="689" customFormat="1" x14ac:dyDescent="0.2"/>
    <row r="30441" s="689" customFormat="1" x14ac:dyDescent="0.2"/>
    <row r="30442" s="689" customFormat="1" x14ac:dyDescent="0.2"/>
    <row r="30443" s="689" customFormat="1" x14ac:dyDescent="0.2"/>
    <row r="30444" s="689" customFormat="1" x14ac:dyDescent="0.2"/>
    <row r="30445" s="689" customFormat="1" x14ac:dyDescent="0.2"/>
    <row r="30446" s="689" customFormat="1" x14ac:dyDescent="0.2"/>
    <row r="30447" s="689" customFormat="1" x14ac:dyDescent="0.2"/>
    <row r="30448" s="689" customFormat="1" x14ac:dyDescent="0.2"/>
    <row r="30449" s="689" customFormat="1" x14ac:dyDescent="0.2"/>
    <row r="30450" s="689" customFormat="1" x14ac:dyDescent="0.2"/>
    <row r="30451" s="689" customFormat="1" x14ac:dyDescent="0.2"/>
    <row r="30452" s="689" customFormat="1" x14ac:dyDescent="0.2"/>
    <row r="30453" s="689" customFormat="1" x14ac:dyDescent="0.2"/>
    <row r="30454" s="689" customFormat="1" x14ac:dyDescent="0.2"/>
    <row r="30455" s="689" customFormat="1" x14ac:dyDescent="0.2"/>
    <row r="30456" s="689" customFormat="1" x14ac:dyDescent="0.2"/>
    <row r="30457" s="689" customFormat="1" x14ac:dyDescent="0.2"/>
    <row r="30458" s="689" customFormat="1" x14ac:dyDescent="0.2"/>
    <row r="30459" s="689" customFormat="1" x14ac:dyDescent="0.2"/>
    <row r="30460" s="689" customFormat="1" x14ac:dyDescent="0.2"/>
    <row r="30461" s="689" customFormat="1" x14ac:dyDescent="0.2"/>
    <row r="30462" s="689" customFormat="1" x14ac:dyDescent="0.2"/>
    <row r="30463" s="689" customFormat="1" x14ac:dyDescent="0.2"/>
    <row r="30464" s="689" customFormat="1" x14ac:dyDescent="0.2"/>
    <row r="30465" s="689" customFormat="1" x14ac:dyDescent="0.2"/>
    <row r="30466" s="689" customFormat="1" x14ac:dyDescent="0.2"/>
    <row r="30467" s="689" customFormat="1" x14ac:dyDescent="0.2"/>
    <row r="30468" s="689" customFormat="1" x14ac:dyDescent="0.2"/>
    <row r="30469" s="689" customFormat="1" x14ac:dyDescent="0.2"/>
    <row r="30470" s="689" customFormat="1" x14ac:dyDescent="0.2"/>
    <row r="30471" s="689" customFormat="1" x14ac:dyDescent="0.2"/>
    <row r="30472" s="689" customFormat="1" x14ac:dyDescent="0.2"/>
    <row r="30473" s="689" customFormat="1" x14ac:dyDescent="0.2"/>
    <row r="30474" s="689" customFormat="1" x14ac:dyDescent="0.2"/>
    <row r="30475" s="689" customFormat="1" x14ac:dyDescent="0.2"/>
    <row r="30476" s="689" customFormat="1" x14ac:dyDescent="0.2"/>
    <row r="30477" s="689" customFormat="1" x14ac:dyDescent="0.2"/>
    <row r="30478" s="689" customFormat="1" x14ac:dyDescent="0.2"/>
    <row r="30479" s="689" customFormat="1" x14ac:dyDescent="0.2"/>
    <row r="30480" s="689" customFormat="1" x14ac:dyDescent="0.2"/>
    <row r="30481" s="689" customFormat="1" x14ac:dyDescent="0.2"/>
    <row r="30482" s="689" customFormat="1" x14ac:dyDescent="0.2"/>
    <row r="30483" s="689" customFormat="1" x14ac:dyDescent="0.2"/>
    <row r="30484" s="689" customFormat="1" x14ac:dyDescent="0.2"/>
    <row r="30485" s="689" customFormat="1" x14ac:dyDescent="0.2"/>
    <row r="30486" s="689" customFormat="1" x14ac:dyDescent="0.2"/>
    <row r="30487" s="689" customFormat="1" x14ac:dyDescent="0.2"/>
    <row r="30488" s="689" customFormat="1" x14ac:dyDescent="0.2"/>
    <row r="30489" s="689" customFormat="1" x14ac:dyDescent="0.2"/>
    <row r="30490" s="689" customFormat="1" x14ac:dyDescent="0.2"/>
    <row r="30491" s="689" customFormat="1" x14ac:dyDescent="0.2"/>
    <row r="30492" s="689" customFormat="1" x14ac:dyDescent="0.2"/>
    <row r="30493" s="689" customFormat="1" x14ac:dyDescent="0.2"/>
    <row r="30494" s="689" customFormat="1" x14ac:dyDescent="0.2"/>
    <row r="30495" s="689" customFormat="1" x14ac:dyDescent="0.2"/>
    <row r="30496" s="689" customFormat="1" x14ac:dyDescent="0.2"/>
    <row r="30497" s="689" customFormat="1" x14ac:dyDescent="0.2"/>
    <row r="30498" s="689" customFormat="1" x14ac:dyDescent="0.2"/>
    <row r="30499" s="689" customFormat="1" x14ac:dyDescent="0.2"/>
    <row r="30500" s="689" customFormat="1" x14ac:dyDescent="0.2"/>
    <row r="30501" s="689" customFormat="1" x14ac:dyDescent="0.2"/>
    <row r="30502" s="689" customFormat="1" x14ac:dyDescent="0.2"/>
    <row r="30503" s="689" customFormat="1" x14ac:dyDescent="0.2"/>
    <row r="30504" s="689" customFormat="1" x14ac:dyDescent="0.2"/>
    <row r="30505" s="689" customFormat="1" x14ac:dyDescent="0.2"/>
    <row r="30506" s="689" customFormat="1" x14ac:dyDescent="0.2"/>
    <row r="30507" s="689" customFormat="1" x14ac:dyDescent="0.2"/>
    <row r="30508" s="689" customFormat="1" x14ac:dyDescent="0.2"/>
    <row r="30509" s="689" customFormat="1" x14ac:dyDescent="0.2"/>
    <row r="30510" s="689" customFormat="1" x14ac:dyDescent="0.2"/>
    <row r="30511" s="689" customFormat="1" x14ac:dyDescent="0.2"/>
    <row r="30512" s="689" customFormat="1" x14ac:dyDescent="0.2"/>
    <row r="30513" s="689" customFormat="1" x14ac:dyDescent="0.2"/>
    <row r="30514" s="689" customFormat="1" x14ac:dyDescent="0.2"/>
    <row r="30515" s="689" customFormat="1" x14ac:dyDescent="0.2"/>
    <row r="30516" s="689" customFormat="1" x14ac:dyDescent="0.2"/>
    <row r="30517" s="689" customFormat="1" x14ac:dyDescent="0.2"/>
    <row r="30518" s="689" customFormat="1" x14ac:dyDescent="0.2"/>
    <row r="30519" s="689" customFormat="1" x14ac:dyDescent="0.2"/>
    <row r="30520" s="689" customFormat="1" x14ac:dyDescent="0.2"/>
    <row r="30521" s="689" customFormat="1" x14ac:dyDescent="0.2"/>
    <row r="30522" s="689" customFormat="1" x14ac:dyDescent="0.2"/>
    <row r="30523" s="689" customFormat="1" x14ac:dyDescent="0.2"/>
    <row r="30524" s="689" customFormat="1" x14ac:dyDescent="0.2"/>
    <row r="30525" s="689" customFormat="1" x14ac:dyDescent="0.2"/>
    <row r="30526" s="689" customFormat="1" x14ac:dyDescent="0.2"/>
    <row r="30527" s="689" customFormat="1" x14ac:dyDescent="0.2"/>
    <row r="30528" s="689" customFormat="1" x14ac:dyDescent="0.2"/>
    <row r="30529" s="689" customFormat="1" x14ac:dyDescent="0.2"/>
    <row r="30530" s="689" customFormat="1" x14ac:dyDescent="0.2"/>
    <row r="30531" s="689" customFormat="1" x14ac:dyDescent="0.2"/>
    <row r="30532" s="689" customFormat="1" x14ac:dyDescent="0.2"/>
    <row r="30533" s="689" customFormat="1" x14ac:dyDescent="0.2"/>
    <row r="30534" s="689" customFormat="1" x14ac:dyDescent="0.2"/>
    <row r="30535" s="689" customFormat="1" x14ac:dyDescent="0.2"/>
    <row r="30536" s="689" customFormat="1" x14ac:dyDescent="0.2"/>
    <row r="30537" s="689" customFormat="1" x14ac:dyDescent="0.2"/>
    <row r="30538" s="689" customFormat="1" x14ac:dyDescent="0.2"/>
    <row r="30539" s="689" customFormat="1" x14ac:dyDescent="0.2"/>
    <row r="30540" s="689" customFormat="1" x14ac:dyDescent="0.2"/>
    <row r="30541" s="689" customFormat="1" x14ac:dyDescent="0.2"/>
    <row r="30542" s="689" customFormat="1" x14ac:dyDescent="0.2"/>
    <row r="30543" s="689" customFormat="1" x14ac:dyDescent="0.2"/>
    <row r="30544" s="689" customFormat="1" x14ac:dyDescent="0.2"/>
    <row r="30545" s="689" customFormat="1" x14ac:dyDescent="0.2"/>
    <row r="30546" s="689" customFormat="1" x14ac:dyDescent="0.2"/>
    <row r="30547" s="689" customFormat="1" x14ac:dyDescent="0.2"/>
    <row r="30548" s="689" customFormat="1" x14ac:dyDescent="0.2"/>
    <row r="30549" s="689" customFormat="1" x14ac:dyDescent="0.2"/>
    <row r="30550" s="689" customFormat="1" x14ac:dyDescent="0.2"/>
    <row r="30551" s="689" customFormat="1" x14ac:dyDescent="0.2"/>
    <row r="30552" s="689" customFormat="1" x14ac:dyDescent="0.2"/>
    <row r="30553" s="689" customFormat="1" x14ac:dyDescent="0.2"/>
    <row r="30554" s="689" customFormat="1" x14ac:dyDescent="0.2"/>
    <row r="30555" s="689" customFormat="1" x14ac:dyDescent="0.2"/>
    <row r="30556" s="689" customFormat="1" x14ac:dyDescent="0.2"/>
    <row r="30557" s="689" customFormat="1" x14ac:dyDescent="0.2"/>
    <row r="30558" s="689" customFormat="1" x14ac:dyDescent="0.2"/>
    <row r="30559" s="689" customFormat="1" x14ac:dyDescent="0.2"/>
    <row r="30560" s="689" customFormat="1" x14ac:dyDescent="0.2"/>
    <row r="30561" s="689" customFormat="1" x14ac:dyDescent="0.2"/>
    <row r="30562" s="689" customFormat="1" x14ac:dyDescent="0.2"/>
    <row r="30563" s="689" customFormat="1" x14ac:dyDescent="0.2"/>
    <row r="30564" s="689" customFormat="1" x14ac:dyDescent="0.2"/>
    <row r="30565" s="689" customFormat="1" x14ac:dyDescent="0.2"/>
    <row r="30566" s="689" customFormat="1" x14ac:dyDescent="0.2"/>
    <row r="30567" s="689" customFormat="1" x14ac:dyDescent="0.2"/>
    <row r="30568" s="689" customFormat="1" x14ac:dyDescent="0.2"/>
    <row r="30569" s="689" customFormat="1" x14ac:dyDescent="0.2"/>
    <row r="30570" s="689" customFormat="1" x14ac:dyDescent="0.2"/>
    <row r="30571" s="689" customFormat="1" x14ac:dyDescent="0.2"/>
    <row r="30572" s="689" customFormat="1" x14ac:dyDescent="0.2"/>
    <row r="30573" s="689" customFormat="1" x14ac:dyDescent="0.2"/>
    <row r="30574" s="689" customFormat="1" x14ac:dyDescent="0.2"/>
    <row r="30575" s="689" customFormat="1" x14ac:dyDescent="0.2"/>
    <row r="30576" s="689" customFormat="1" x14ac:dyDescent="0.2"/>
    <row r="30577" s="689" customFormat="1" x14ac:dyDescent="0.2"/>
    <row r="30578" s="689" customFormat="1" x14ac:dyDescent="0.2"/>
    <row r="30579" s="689" customFormat="1" x14ac:dyDescent="0.2"/>
    <row r="30580" s="689" customFormat="1" x14ac:dyDescent="0.2"/>
    <row r="30581" s="689" customFormat="1" x14ac:dyDescent="0.2"/>
    <row r="30582" s="689" customFormat="1" x14ac:dyDescent="0.2"/>
    <row r="30583" s="689" customFormat="1" x14ac:dyDescent="0.2"/>
    <row r="30584" s="689" customFormat="1" x14ac:dyDescent="0.2"/>
    <row r="30585" s="689" customFormat="1" x14ac:dyDescent="0.2"/>
    <row r="30586" s="689" customFormat="1" x14ac:dyDescent="0.2"/>
    <row r="30587" s="689" customFormat="1" x14ac:dyDescent="0.2"/>
    <row r="30588" s="689" customFormat="1" x14ac:dyDescent="0.2"/>
    <row r="30589" s="689" customFormat="1" x14ac:dyDescent="0.2"/>
    <row r="30590" s="689" customFormat="1" x14ac:dyDescent="0.2"/>
    <row r="30591" s="689" customFormat="1" x14ac:dyDescent="0.2"/>
    <row r="30592" s="689" customFormat="1" x14ac:dyDescent="0.2"/>
    <row r="30593" s="689" customFormat="1" x14ac:dyDescent="0.2"/>
    <row r="30594" s="689" customFormat="1" x14ac:dyDescent="0.2"/>
    <row r="30595" s="689" customFormat="1" x14ac:dyDescent="0.2"/>
    <row r="30596" s="689" customFormat="1" x14ac:dyDescent="0.2"/>
    <row r="30597" s="689" customFormat="1" x14ac:dyDescent="0.2"/>
    <row r="30598" s="689" customFormat="1" x14ac:dyDescent="0.2"/>
    <row r="30599" s="689" customFormat="1" x14ac:dyDescent="0.2"/>
    <row r="30600" s="689" customFormat="1" x14ac:dyDescent="0.2"/>
    <row r="30601" s="689" customFormat="1" x14ac:dyDescent="0.2"/>
    <row r="30602" s="689" customFormat="1" x14ac:dyDescent="0.2"/>
    <row r="30603" s="689" customFormat="1" x14ac:dyDescent="0.2"/>
    <row r="30604" s="689" customFormat="1" x14ac:dyDescent="0.2"/>
    <row r="30605" s="689" customFormat="1" x14ac:dyDescent="0.2"/>
    <row r="30606" s="689" customFormat="1" x14ac:dyDescent="0.2"/>
    <row r="30607" s="689" customFormat="1" x14ac:dyDescent="0.2"/>
    <row r="30608" s="689" customFormat="1" x14ac:dyDescent="0.2"/>
    <row r="30609" s="689" customFormat="1" x14ac:dyDescent="0.2"/>
    <row r="30610" s="689" customFormat="1" x14ac:dyDescent="0.2"/>
    <row r="30611" s="689" customFormat="1" x14ac:dyDescent="0.2"/>
    <row r="30612" s="689" customFormat="1" x14ac:dyDescent="0.2"/>
    <row r="30613" s="689" customFormat="1" x14ac:dyDescent="0.2"/>
    <row r="30614" s="689" customFormat="1" x14ac:dyDescent="0.2"/>
    <row r="30615" s="689" customFormat="1" x14ac:dyDescent="0.2"/>
    <row r="30616" s="689" customFormat="1" x14ac:dyDescent="0.2"/>
    <row r="30617" s="689" customFormat="1" x14ac:dyDescent="0.2"/>
    <row r="30618" s="689" customFormat="1" x14ac:dyDescent="0.2"/>
    <row r="30619" s="689" customFormat="1" x14ac:dyDescent="0.2"/>
    <row r="30620" s="689" customFormat="1" x14ac:dyDescent="0.2"/>
    <row r="30621" s="689" customFormat="1" x14ac:dyDescent="0.2"/>
    <row r="30622" s="689" customFormat="1" x14ac:dyDescent="0.2"/>
    <row r="30623" s="689" customFormat="1" x14ac:dyDescent="0.2"/>
    <row r="30624" s="689" customFormat="1" x14ac:dyDescent="0.2"/>
    <row r="30625" s="689" customFormat="1" x14ac:dyDescent="0.2"/>
    <row r="30626" s="689" customFormat="1" x14ac:dyDescent="0.2"/>
    <row r="30627" s="689" customFormat="1" x14ac:dyDescent="0.2"/>
    <row r="30628" s="689" customFormat="1" x14ac:dyDescent="0.2"/>
    <row r="30629" s="689" customFormat="1" x14ac:dyDescent="0.2"/>
    <row r="30630" s="689" customFormat="1" x14ac:dyDescent="0.2"/>
    <row r="30631" s="689" customFormat="1" x14ac:dyDescent="0.2"/>
    <row r="30632" s="689" customFormat="1" x14ac:dyDescent="0.2"/>
    <row r="30633" s="689" customFormat="1" x14ac:dyDescent="0.2"/>
    <row r="30634" s="689" customFormat="1" x14ac:dyDescent="0.2"/>
    <row r="30635" s="689" customFormat="1" x14ac:dyDescent="0.2"/>
    <row r="30636" s="689" customFormat="1" x14ac:dyDescent="0.2"/>
    <row r="30637" s="689" customFormat="1" x14ac:dyDescent="0.2"/>
    <row r="30638" s="689" customFormat="1" x14ac:dyDescent="0.2"/>
    <row r="30639" s="689" customFormat="1" x14ac:dyDescent="0.2"/>
    <row r="30640" s="689" customFormat="1" x14ac:dyDescent="0.2"/>
    <row r="30641" s="689" customFormat="1" x14ac:dyDescent="0.2"/>
    <row r="30642" s="689" customFormat="1" x14ac:dyDescent="0.2"/>
    <row r="30643" s="689" customFormat="1" x14ac:dyDescent="0.2"/>
    <row r="30644" s="689" customFormat="1" x14ac:dyDescent="0.2"/>
    <row r="30645" s="689" customFormat="1" x14ac:dyDescent="0.2"/>
    <row r="30646" s="689" customFormat="1" x14ac:dyDescent="0.2"/>
    <row r="30647" s="689" customFormat="1" x14ac:dyDescent="0.2"/>
    <row r="30648" s="689" customFormat="1" x14ac:dyDescent="0.2"/>
    <row r="30649" s="689" customFormat="1" x14ac:dyDescent="0.2"/>
    <row r="30650" s="689" customFormat="1" x14ac:dyDescent="0.2"/>
    <row r="30651" s="689" customFormat="1" x14ac:dyDescent="0.2"/>
    <row r="30652" s="689" customFormat="1" x14ac:dyDescent="0.2"/>
    <row r="30653" s="689" customFormat="1" x14ac:dyDescent="0.2"/>
    <row r="30654" s="689" customFormat="1" x14ac:dyDescent="0.2"/>
    <row r="30655" s="689" customFormat="1" x14ac:dyDescent="0.2"/>
    <row r="30656" s="689" customFormat="1" x14ac:dyDescent="0.2"/>
    <row r="30657" s="689" customFormat="1" x14ac:dyDescent="0.2"/>
    <row r="30658" s="689" customFormat="1" x14ac:dyDescent="0.2"/>
    <row r="30659" s="689" customFormat="1" x14ac:dyDescent="0.2"/>
    <row r="30660" s="689" customFormat="1" x14ac:dyDescent="0.2"/>
    <row r="30661" s="689" customFormat="1" x14ac:dyDescent="0.2"/>
    <row r="30662" s="689" customFormat="1" x14ac:dyDescent="0.2"/>
    <row r="30663" s="689" customFormat="1" x14ac:dyDescent="0.2"/>
    <row r="30664" s="689" customFormat="1" x14ac:dyDescent="0.2"/>
    <row r="30665" s="689" customFormat="1" x14ac:dyDescent="0.2"/>
    <row r="30666" s="689" customFormat="1" x14ac:dyDescent="0.2"/>
    <row r="30667" s="689" customFormat="1" x14ac:dyDescent="0.2"/>
    <row r="30668" s="689" customFormat="1" x14ac:dyDescent="0.2"/>
    <row r="30669" s="689" customFormat="1" x14ac:dyDescent="0.2"/>
    <row r="30670" s="689" customFormat="1" x14ac:dyDescent="0.2"/>
    <row r="30671" s="689" customFormat="1" x14ac:dyDescent="0.2"/>
    <row r="30672" s="689" customFormat="1" x14ac:dyDescent="0.2"/>
    <row r="30673" s="689" customFormat="1" x14ac:dyDescent="0.2"/>
    <row r="30674" s="689" customFormat="1" x14ac:dyDescent="0.2"/>
    <row r="30675" s="689" customFormat="1" x14ac:dyDescent="0.2"/>
    <row r="30676" s="689" customFormat="1" x14ac:dyDescent="0.2"/>
    <row r="30677" s="689" customFormat="1" x14ac:dyDescent="0.2"/>
    <row r="30678" s="689" customFormat="1" x14ac:dyDescent="0.2"/>
    <row r="30679" s="689" customFormat="1" x14ac:dyDescent="0.2"/>
    <row r="30680" s="689" customFormat="1" x14ac:dyDescent="0.2"/>
    <row r="30681" s="689" customFormat="1" x14ac:dyDescent="0.2"/>
    <row r="30682" s="689" customFormat="1" x14ac:dyDescent="0.2"/>
    <row r="30683" s="689" customFormat="1" x14ac:dyDescent="0.2"/>
    <row r="30684" s="689" customFormat="1" x14ac:dyDescent="0.2"/>
    <row r="30685" s="689" customFormat="1" x14ac:dyDescent="0.2"/>
    <row r="30686" s="689" customFormat="1" x14ac:dyDescent="0.2"/>
    <row r="30687" s="689" customFormat="1" x14ac:dyDescent="0.2"/>
    <row r="30688" s="689" customFormat="1" x14ac:dyDescent="0.2"/>
    <row r="30689" s="689" customFormat="1" x14ac:dyDescent="0.2"/>
    <row r="30690" s="689" customFormat="1" x14ac:dyDescent="0.2"/>
    <row r="30691" s="689" customFormat="1" x14ac:dyDescent="0.2"/>
    <row r="30692" s="689" customFormat="1" x14ac:dyDescent="0.2"/>
    <row r="30693" s="689" customFormat="1" x14ac:dyDescent="0.2"/>
    <row r="30694" s="689" customFormat="1" x14ac:dyDescent="0.2"/>
    <row r="30695" s="689" customFormat="1" x14ac:dyDescent="0.2"/>
    <row r="30696" s="689" customFormat="1" x14ac:dyDescent="0.2"/>
    <row r="30697" s="689" customFormat="1" x14ac:dyDescent="0.2"/>
    <row r="30698" s="689" customFormat="1" x14ac:dyDescent="0.2"/>
    <row r="30699" s="689" customFormat="1" x14ac:dyDescent="0.2"/>
    <row r="30700" s="689" customFormat="1" x14ac:dyDescent="0.2"/>
    <row r="30701" s="689" customFormat="1" x14ac:dyDescent="0.2"/>
    <row r="30702" s="689" customFormat="1" x14ac:dyDescent="0.2"/>
    <row r="30703" s="689" customFormat="1" x14ac:dyDescent="0.2"/>
    <row r="30704" s="689" customFormat="1" x14ac:dyDescent="0.2"/>
    <row r="30705" s="689" customFormat="1" x14ac:dyDescent="0.2"/>
    <row r="30706" s="689" customFormat="1" x14ac:dyDescent="0.2"/>
    <row r="30707" s="689" customFormat="1" x14ac:dyDescent="0.2"/>
    <row r="30708" s="689" customFormat="1" x14ac:dyDescent="0.2"/>
    <row r="30709" s="689" customFormat="1" x14ac:dyDescent="0.2"/>
    <row r="30710" s="689" customFormat="1" x14ac:dyDescent="0.2"/>
    <row r="30711" s="689" customFormat="1" x14ac:dyDescent="0.2"/>
    <row r="30712" s="689" customFormat="1" x14ac:dyDescent="0.2"/>
    <row r="30713" s="689" customFormat="1" x14ac:dyDescent="0.2"/>
    <row r="30714" s="689" customFormat="1" x14ac:dyDescent="0.2"/>
    <row r="30715" s="689" customFormat="1" x14ac:dyDescent="0.2"/>
    <row r="30716" s="689" customFormat="1" x14ac:dyDescent="0.2"/>
    <row r="30717" s="689" customFormat="1" x14ac:dyDescent="0.2"/>
    <row r="30718" s="689" customFormat="1" x14ac:dyDescent="0.2"/>
    <row r="30719" s="689" customFormat="1" x14ac:dyDescent="0.2"/>
    <row r="30720" s="689" customFormat="1" x14ac:dyDescent="0.2"/>
    <row r="30721" s="689" customFormat="1" x14ac:dyDescent="0.2"/>
    <row r="30722" s="689" customFormat="1" x14ac:dyDescent="0.2"/>
    <row r="30723" s="689" customFormat="1" x14ac:dyDescent="0.2"/>
    <row r="30724" s="689" customFormat="1" x14ac:dyDescent="0.2"/>
    <row r="30725" s="689" customFormat="1" x14ac:dyDescent="0.2"/>
    <row r="30726" s="689" customFormat="1" x14ac:dyDescent="0.2"/>
    <row r="30727" s="689" customFormat="1" x14ac:dyDescent="0.2"/>
    <row r="30728" s="689" customFormat="1" x14ac:dyDescent="0.2"/>
    <row r="30729" s="689" customFormat="1" x14ac:dyDescent="0.2"/>
    <row r="30730" s="689" customFormat="1" x14ac:dyDescent="0.2"/>
    <row r="30731" s="689" customFormat="1" x14ac:dyDescent="0.2"/>
    <row r="30732" s="689" customFormat="1" x14ac:dyDescent="0.2"/>
    <row r="30733" s="689" customFormat="1" x14ac:dyDescent="0.2"/>
    <row r="30734" s="689" customFormat="1" x14ac:dyDescent="0.2"/>
    <row r="30735" s="689" customFormat="1" x14ac:dyDescent="0.2"/>
    <row r="30736" s="689" customFormat="1" x14ac:dyDescent="0.2"/>
    <row r="30737" s="689" customFormat="1" x14ac:dyDescent="0.2"/>
    <row r="30738" s="689" customFormat="1" x14ac:dyDescent="0.2"/>
    <row r="30739" s="689" customFormat="1" x14ac:dyDescent="0.2"/>
    <row r="30740" s="689" customFormat="1" x14ac:dyDescent="0.2"/>
    <row r="30741" s="689" customFormat="1" x14ac:dyDescent="0.2"/>
    <row r="30742" s="689" customFormat="1" x14ac:dyDescent="0.2"/>
    <row r="30743" s="689" customFormat="1" x14ac:dyDescent="0.2"/>
    <row r="30744" s="689" customFormat="1" x14ac:dyDescent="0.2"/>
    <row r="30745" s="689" customFormat="1" x14ac:dyDescent="0.2"/>
    <row r="30746" s="689" customFormat="1" x14ac:dyDescent="0.2"/>
    <row r="30747" s="689" customFormat="1" x14ac:dyDescent="0.2"/>
    <row r="30748" s="689" customFormat="1" x14ac:dyDescent="0.2"/>
    <row r="30749" s="689" customFormat="1" x14ac:dyDescent="0.2"/>
    <row r="30750" s="689" customFormat="1" x14ac:dyDescent="0.2"/>
    <row r="30751" s="689" customFormat="1" x14ac:dyDescent="0.2"/>
    <row r="30752" s="689" customFormat="1" x14ac:dyDescent="0.2"/>
    <row r="30753" s="689" customFormat="1" x14ac:dyDescent="0.2"/>
    <row r="30754" s="689" customFormat="1" x14ac:dyDescent="0.2"/>
    <row r="30755" s="689" customFormat="1" x14ac:dyDescent="0.2"/>
    <row r="30756" s="689" customFormat="1" x14ac:dyDescent="0.2"/>
    <row r="30757" s="689" customFormat="1" x14ac:dyDescent="0.2"/>
    <row r="30758" s="689" customFormat="1" x14ac:dyDescent="0.2"/>
    <row r="30759" s="689" customFormat="1" x14ac:dyDescent="0.2"/>
    <row r="30760" s="689" customFormat="1" x14ac:dyDescent="0.2"/>
    <row r="30761" s="689" customFormat="1" x14ac:dyDescent="0.2"/>
    <row r="30762" s="689" customFormat="1" x14ac:dyDescent="0.2"/>
    <row r="30763" s="689" customFormat="1" x14ac:dyDescent="0.2"/>
    <row r="30764" s="689" customFormat="1" x14ac:dyDescent="0.2"/>
    <row r="30765" s="689" customFormat="1" x14ac:dyDescent="0.2"/>
    <row r="30766" s="689" customFormat="1" x14ac:dyDescent="0.2"/>
    <row r="30767" s="689" customFormat="1" x14ac:dyDescent="0.2"/>
    <row r="30768" s="689" customFormat="1" x14ac:dyDescent="0.2"/>
    <row r="30769" s="689" customFormat="1" x14ac:dyDescent="0.2"/>
    <row r="30770" s="689" customFormat="1" x14ac:dyDescent="0.2"/>
    <row r="30771" s="689" customFormat="1" x14ac:dyDescent="0.2"/>
    <row r="30772" s="689" customFormat="1" x14ac:dyDescent="0.2"/>
    <row r="30773" s="689" customFormat="1" x14ac:dyDescent="0.2"/>
    <row r="30774" s="689" customFormat="1" x14ac:dyDescent="0.2"/>
    <row r="30775" s="689" customFormat="1" x14ac:dyDescent="0.2"/>
    <row r="30776" s="689" customFormat="1" x14ac:dyDescent="0.2"/>
    <row r="30777" s="689" customFormat="1" x14ac:dyDescent="0.2"/>
    <row r="30778" s="689" customFormat="1" x14ac:dyDescent="0.2"/>
    <row r="30779" s="689" customFormat="1" x14ac:dyDescent="0.2"/>
    <row r="30780" s="689" customFormat="1" x14ac:dyDescent="0.2"/>
    <row r="30781" s="689" customFormat="1" x14ac:dyDescent="0.2"/>
    <row r="30782" s="689" customFormat="1" x14ac:dyDescent="0.2"/>
    <row r="30783" s="689" customFormat="1" x14ac:dyDescent="0.2"/>
    <row r="30784" s="689" customFormat="1" x14ac:dyDescent="0.2"/>
    <row r="30785" s="689" customFormat="1" x14ac:dyDescent="0.2"/>
    <row r="30786" s="689" customFormat="1" x14ac:dyDescent="0.2"/>
    <row r="30787" s="689" customFormat="1" x14ac:dyDescent="0.2"/>
    <row r="30788" s="689" customFormat="1" x14ac:dyDescent="0.2"/>
    <row r="30789" s="689" customFormat="1" x14ac:dyDescent="0.2"/>
    <row r="30790" s="689" customFormat="1" x14ac:dyDescent="0.2"/>
    <row r="30791" s="689" customFormat="1" x14ac:dyDescent="0.2"/>
    <row r="30792" s="689" customFormat="1" x14ac:dyDescent="0.2"/>
    <row r="30793" s="689" customFormat="1" x14ac:dyDescent="0.2"/>
    <row r="30794" s="689" customFormat="1" x14ac:dyDescent="0.2"/>
    <row r="30795" s="689" customFormat="1" x14ac:dyDescent="0.2"/>
    <row r="30796" s="689" customFormat="1" x14ac:dyDescent="0.2"/>
    <row r="30797" s="689" customFormat="1" x14ac:dyDescent="0.2"/>
    <row r="30798" s="689" customFormat="1" x14ac:dyDescent="0.2"/>
    <row r="30799" s="689" customFormat="1" x14ac:dyDescent="0.2"/>
    <row r="30800" s="689" customFormat="1" x14ac:dyDescent="0.2"/>
    <row r="30801" s="689" customFormat="1" x14ac:dyDescent="0.2"/>
    <row r="30802" s="689" customFormat="1" x14ac:dyDescent="0.2"/>
    <row r="30803" s="689" customFormat="1" x14ac:dyDescent="0.2"/>
    <row r="30804" s="689" customFormat="1" x14ac:dyDescent="0.2"/>
    <row r="30805" s="689" customFormat="1" x14ac:dyDescent="0.2"/>
    <row r="30806" s="689" customFormat="1" x14ac:dyDescent="0.2"/>
    <row r="30807" s="689" customFormat="1" x14ac:dyDescent="0.2"/>
    <row r="30808" s="689" customFormat="1" x14ac:dyDescent="0.2"/>
    <row r="30809" s="689" customFormat="1" x14ac:dyDescent="0.2"/>
    <row r="30810" s="689" customFormat="1" x14ac:dyDescent="0.2"/>
    <row r="30811" s="689" customFormat="1" x14ac:dyDescent="0.2"/>
    <row r="30812" s="689" customFormat="1" x14ac:dyDescent="0.2"/>
    <row r="30813" s="689" customFormat="1" x14ac:dyDescent="0.2"/>
    <row r="30814" s="689" customFormat="1" x14ac:dyDescent="0.2"/>
    <row r="30815" s="689" customFormat="1" x14ac:dyDescent="0.2"/>
    <row r="30816" s="689" customFormat="1" x14ac:dyDescent="0.2"/>
    <row r="30817" s="689" customFormat="1" x14ac:dyDescent="0.2"/>
    <row r="30818" s="689" customFormat="1" x14ac:dyDescent="0.2"/>
    <row r="30819" s="689" customFormat="1" x14ac:dyDescent="0.2"/>
    <row r="30820" s="689" customFormat="1" x14ac:dyDescent="0.2"/>
    <row r="30821" s="689" customFormat="1" x14ac:dyDescent="0.2"/>
    <row r="30822" s="689" customFormat="1" x14ac:dyDescent="0.2"/>
    <row r="30823" s="689" customFormat="1" x14ac:dyDescent="0.2"/>
    <row r="30824" s="689" customFormat="1" x14ac:dyDescent="0.2"/>
    <row r="30825" s="689" customFormat="1" x14ac:dyDescent="0.2"/>
    <row r="30826" s="689" customFormat="1" x14ac:dyDescent="0.2"/>
    <row r="30827" s="689" customFormat="1" x14ac:dyDescent="0.2"/>
    <row r="30828" s="689" customFormat="1" x14ac:dyDescent="0.2"/>
    <row r="30829" s="689" customFormat="1" x14ac:dyDescent="0.2"/>
    <row r="30830" s="689" customFormat="1" x14ac:dyDescent="0.2"/>
    <row r="30831" s="689" customFormat="1" x14ac:dyDescent="0.2"/>
    <row r="30832" s="689" customFormat="1" x14ac:dyDescent="0.2"/>
    <row r="30833" s="689" customFormat="1" x14ac:dyDescent="0.2"/>
    <row r="30834" s="689" customFormat="1" x14ac:dyDescent="0.2"/>
    <row r="30835" s="689" customFormat="1" x14ac:dyDescent="0.2"/>
    <row r="30836" s="689" customFormat="1" x14ac:dyDescent="0.2"/>
    <row r="30837" s="689" customFormat="1" x14ac:dyDescent="0.2"/>
    <row r="30838" s="689" customFormat="1" x14ac:dyDescent="0.2"/>
    <row r="30839" s="689" customFormat="1" x14ac:dyDescent="0.2"/>
    <row r="30840" s="689" customFormat="1" x14ac:dyDescent="0.2"/>
    <row r="30841" s="689" customFormat="1" x14ac:dyDescent="0.2"/>
    <row r="30842" s="689" customFormat="1" x14ac:dyDescent="0.2"/>
    <row r="30843" s="689" customFormat="1" x14ac:dyDescent="0.2"/>
    <row r="30844" s="689" customFormat="1" x14ac:dyDescent="0.2"/>
    <row r="30845" s="689" customFormat="1" x14ac:dyDescent="0.2"/>
    <row r="30846" s="689" customFormat="1" x14ac:dyDescent="0.2"/>
    <row r="30847" s="689" customFormat="1" x14ac:dyDescent="0.2"/>
    <row r="30848" s="689" customFormat="1" x14ac:dyDescent="0.2"/>
    <row r="30849" s="689" customFormat="1" x14ac:dyDescent="0.2"/>
    <row r="30850" s="689" customFormat="1" x14ac:dyDescent="0.2"/>
    <row r="30851" s="689" customFormat="1" x14ac:dyDescent="0.2"/>
    <row r="30852" s="689" customFormat="1" x14ac:dyDescent="0.2"/>
    <row r="30853" s="689" customFormat="1" x14ac:dyDescent="0.2"/>
    <row r="30854" s="689" customFormat="1" x14ac:dyDescent="0.2"/>
    <row r="30855" s="689" customFormat="1" x14ac:dyDescent="0.2"/>
    <row r="30856" s="689" customFormat="1" x14ac:dyDescent="0.2"/>
    <row r="30857" s="689" customFormat="1" x14ac:dyDescent="0.2"/>
    <row r="30858" s="689" customFormat="1" x14ac:dyDescent="0.2"/>
    <row r="30859" s="689" customFormat="1" x14ac:dyDescent="0.2"/>
    <row r="30860" s="689" customFormat="1" x14ac:dyDescent="0.2"/>
    <row r="30861" s="689" customFormat="1" x14ac:dyDescent="0.2"/>
    <row r="30862" s="689" customFormat="1" x14ac:dyDescent="0.2"/>
    <row r="30863" s="689" customFormat="1" x14ac:dyDescent="0.2"/>
    <row r="30864" s="689" customFormat="1" x14ac:dyDescent="0.2"/>
    <row r="30865" s="689" customFormat="1" x14ac:dyDescent="0.2"/>
    <row r="30866" s="689" customFormat="1" x14ac:dyDescent="0.2"/>
    <row r="30867" s="689" customFormat="1" x14ac:dyDescent="0.2"/>
    <row r="30868" s="689" customFormat="1" x14ac:dyDescent="0.2"/>
    <row r="30869" s="689" customFormat="1" x14ac:dyDescent="0.2"/>
    <row r="30870" s="689" customFormat="1" x14ac:dyDescent="0.2"/>
    <row r="30871" s="689" customFormat="1" x14ac:dyDescent="0.2"/>
    <row r="30872" s="689" customFormat="1" x14ac:dyDescent="0.2"/>
    <row r="30873" s="689" customFormat="1" x14ac:dyDescent="0.2"/>
    <row r="30874" s="689" customFormat="1" x14ac:dyDescent="0.2"/>
    <row r="30875" s="689" customFormat="1" x14ac:dyDescent="0.2"/>
    <row r="30876" s="689" customFormat="1" x14ac:dyDescent="0.2"/>
    <row r="30877" s="689" customFormat="1" x14ac:dyDescent="0.2"/>
    <row r="30878" s="689" customFormat="1" x14ac:dyDescent="0.2"/>
    <row r="30879" s="689" customFormat="1" x14ac:dyDescent="0.2"/>
    <row r="30880" s="689" customFormat="1" x14ac:dyDescent="0.2"/>
    <row r="30881" s="689" customFormat="1" x14ac:dyDescent="0.2"/>
    <row r="30882" s="689" customFormat="1" x14ac:dyDescent="0.2"/>
    <row r="30883" s="689" customFormat="1" x14ac:dyDescent="0.2"/>
    <row r="30884" s="689" customFormat="1" x14ac:dyDescent="0.2"/>
    <row r="30885" s="689" customFormat="1" x14ac:dyDescent="0.2"/>
    <row r="30886" s="689" customFormat="1" x14ac:dyDescent="0.2"/>
    <row r="30887" s="689" customFormat="1" x14ac:dyDescent="0.2"/>
    <row r="30888" s="689" customFormat="1" x14ac:dyDescent="0.2"/>
    <row r="30889" s="689" customFormat="1" x14ac:dyDescent="0.2"/>
    <row r="30890" s="689" customFormat="1" x14ac:dyDescent="0.2"/>
    <row r="30891" s="689" customFormat="1" x14ac:dyDescent="0.2"/>
    <row r="30892" s="689" customFormat="1" x14ac:dyDescent="0.2"/>
    <row r="30893" s="689" customFormat="1" x14ac:dyDescent="0.2"/>
    <row r="30894" s="689" customFormat="1" x14ac:dyDescent="0.2"/>
    <row r="30895" s="689" customFormat="1" x14ac:dyDescent="0.2"/>
    <row r="30896" s="689" customFormat="1" x14ac:dyDescent="0.2"/>
    <row r="30897" s="689" customFormat="1" x14ac:dyDescent="0.2"/>
    <row r="30898" s="689" customFormat="1" x14ac:dyDescent="0.2"/>
    <row r="30899" s="689" customFormat="1" x14ac:dyDescent="0.2"/>
    <row r="30900" s="689" customFormat="1" x14ac:dyDescent="0.2"/>
    <row r="30901" s="689" customFormat="1" x14ac:dyDescent="0.2"/>
    <row r="30902" s="689" customFormat="1" x14ac:dyDescent="0.2"/>
    <row r="30903" s="689" customFormat="1" x14ac:dyDescent="0.2"/>
    <row r="30904" s="689" customFormat="1" x14ac:dyDescent="0.2"/>
    <row r="30905" s="689" customFormat="1" x14ac:dyDescent="0.2"/>
    <row r="30906" s="689" customFormat="1" x14ac:dyDescent="0.2"/>
    <row r="30907" s="689" customFormat="1" x14ac:dyDescent="0.2"/>
    <row r="30908" s="689" customFormat="1" x14ac:dyDescent="0.2"/>
    <row r="30909" s="689" customFormat="1" x14ac:dyDescent="0.2"/>
    <row r="30910" s="689" customFormat="1" x14ac:dyDescent="0.2"/>
    <row r="30911" s="689" customFormat="1" x14ac:dyDescent="0.2"/>
    <row r="30912" s="689" customFormat="1" x14ac:dyDescent="0.2"/>
    <row r="30913" s="689" customFormat="1" x14ac:dyDescent="0.2"/>
    <row r="30914" s="689" customFormat="1" x14ac:dyDescent="0.2"/>
    <row r="30915" s="689" customFormat="1" x14ac:dyDescent="0.2"/>
    <row r="30916" s="689" customFormat="1" x14ac:dyDescent="0.2"/>
    <row r="30917" s="689" customFormat="1" x14ac:dyDescent="0.2"/>
    <row r="30918" s="689" customFormat="1" x14ac:dyDescent="0.2"/>
    <row r="30919" s="689" customFormat="1" x14ac:dyDescent="0.2"/>
    <row r="30920" s="689" customFormat="1" x14ac:dyDescent="0.2"/>
    <row r="30921" s="689" customFormat="1" x14ac:dyDescent="0.2"/>
    <row r="30922" s="689" customFormat="1" x14ac:dyDescent="0.2"/>
    <row r="30923" s="689" customFormat="1" x14ac:dyDescent="0.2"/>
    <row r="30924" s="689" customFormat="1" x14ac:dyDescent="0.2"/>
    <row r="30925" s="689" customFormat="1" x14ac:dyDescent="0.2"/>
    <row r="30926" s="689" customFormat="1" x14ac:dyDescent="0.2"/>
    <row r="30927" s="689" customFormat="1" x14ac:dyDescent="0.2"/>
    <row r="30928" s="689" customFormat="1" x14ac:dyDescent="0.2"/>
    <row r="30929" s="689" customFormat="1" x14ac:dyDescent="0.2"/>
    <row r="30930" s="689" customFormat="1" x14ac:dyDescent="0.2"/>
    <row r="30931" s="689" customFormat="1" x14ac:dyDescent="0.2"/>
    <row r="30932" s="689" customFormat="1" x14ac:dyDescent="0.2"/>
    <row r="30933" s="689" customFormat="1" x14ac:dyDescent="0.2"/>
    <row r="30934" s="689" customFormat="1" x14ac:dyDescent="0.2"/>
    <row r="30935" s="689" customFormat="1" x14ac:dyDescent="0.2"/>
    <row r="30936" s="689" customFormat="1" x14ac:dyDescent="0.2"/>
    <row r="30937" s="689" customFormat="1" x14ac:dyDescent="0.2"/>
    <row r="30938" s="689" customFormat="1" x14ac:dyDescent="0.2"/>
    <row r="30939" s="689" customFormat="1" x14ac:dyDescent="0.2"/>
    <row r="30940" s="689" customFormat="1" x14ac:dyDescent="0.2"/>
    <row r="30941" s="689" customFormat="1" x14ac:dyDescent="0.2"/>
    <row r="30942" s="689" customFormat="1" x14ac:dyDescent="0.2"/>
    <row r="30943" s="689" customFormat="1" x14ac:dyDescent="0.2"/>
    <row r="30944" s="689" customFormat="1" x14ac:dyDescent="0.2"/>
    <row r="30945" s="689" customFormat="1" x14ac:dyDescent="0.2"/>
    <row r="30946" s="689" customFormat="1" x14ac:dyDescent="0.2"/>
    <row r="30947" s="689" customFormat="1" x14ac:dyDescent="0.2"/>
    <row r="30948" s="689" customFormat="1" x14ac:dyDescent="0.2"/>
    <row r="30949" s="689" customFormat="1" x14ac:dyDescent="0.2"/>
    <row r="30950" s="689" customFormat="1" x14ac:dyDescent="0.2"/>
    <row r="30951" s="689" customFormat="1" x14ac:dyDescent="0.2"/>
    <row r="30952" s="689" customFormat="1" x14ac:dyDescent="0.2"/>
    <row r="30953" s="689" customFormat="1" x14ac:dyDescent="0.2"/>
    <row r="30954" s="689" customFormat="1" x14ac:dyDescent="0.2"/>
    <row r="30955" s="689" customFormat="1" x14ac:dyDescent="0.2"/>
    <row r="30956" s="689" customFormat="1" x14ac:dyDescent="0.2"/>
    <row r="30957" s="689" customFormat="1" x14ac:dyDescent="0.2"/>
    <row r="30958" s="689" customFormat="1" x14ac:dyDescent="0.2"/>
    <row r="30959" s="689" customFormat="1" x14ac:dyDescent="0.2"/>
    <row r="30960" s="689" customFormat="1" x14ac:dyDescent="0.2"/>
    <row r="30961" s="689" customFormat="1" x14ac:dyDescent="0.2"/>
    <row r="30962" s="689" customFormat="1" x14ac:dyDescent="0.2"/>
    <row r="30963" s="689" customFormat="1" x14ac:dyDescent="0.2"/>
    <row r="30964" s="689" customFormat="1" x14ac:dyDescent="0.2"/>
    <row r="30965" s="689" customFormat="1" x14ac:dyDescent="0.2"/>
    <row r="30966" s="689" customFormat="1" x14ac:dyDescent="0.2"/>
    <row r="30967" s="689" customFormat="1" x14ac:dyDescent="0.2"/>
    <row r="30968" s="689" customFormat="1" x14ac:dyDescent="0.2"/>
    <row r="30969" s="689" customFormat="1" x14ac:dyDescent="0.2"/>
    <row r="30970" s="689" customFormat="1" x14ac:dyDescent="0.2"/>
    <row r="30971" s="689" customFormat="1" x14ac:dyDescent="0.2"/>
    <row r="30972" s="689" customFormat="1" x14ac:dyDescent="0.2"/>
    <row r="30973" s="689" customFormat="1" x14ac:dyDescent="0.2"/>
    <row r="30974" s="689" customFormat="1" x14ac:dyDescent="0.2"/>
    <row r="30975" s="689" customFormat="1" x14ac:dyDescent="0.2"/>
    <row r="30976" s="689" customFormat="1" x14ac:dyDescent="0.2"/>
    <row r="30977" s="689" customFormat="1" x14ac:dyDescent="0.2"/>
    <row r="30978" s="689" customFormat="1" x14ac:dyDescent="0.2"/>
    <row r="30979" s="689" customFormat="1" x14ac:dyDescent="0.2"/>
    <row r="30980" s="689" customFormat="1" x14ac:dyDescent="0.2"/>
    <row r="30981" s="689" customFormat="1" x14ac:dyDescent="0.2"/>
    <row r="30982" s="689" customFormat="1" x14ac:dyDescent="0.2"/>
    <row r="30983" s="689" customFormat="1" x14ac:dyDescent="0.2"/>
    <row r="30984" s="689" customFormat="1" x14ac:dyDescent="0.2"/>
    <row r="30985" s="689" customFormat="1" x14ac:dyDescent="0.2"/>
    <row r="30986" s="689" customFormat="1" x14ac:dyDescent="0.2"/>
    <row r="30987" s="689" customFormat="1" x14ac:dyDescent="0.2"/>
    <row r="30988" s="689" customFormat="1" x14ac:dyDescent="0.2"/>
    <row r="30989" s="689" customFormat="1" x14ac:dyDescent="0.2"/>
    <row r="30990" s="689" customFormat="1" x14ac:dyDescent="0.2"/>
    <row r="30991" s="689" customFormat="1" x14ac:dyDescent="0.2"/>
    <row r="30992" s="689" customFormat="1" x14ac:dyDescent="0.2"/>
    <row r="30993" s="689" customFormat="1" x14ac:dyDescent="0.2"/>
    <row r="30994" s="689" customFormat="1" x14ac:dyDescent="0.2"/>
    <row r="30995" s="689" customFormat="1" x14ac:dyDescent="0.2"/>
    <row r="30996" s="689" customFormat="1" x14ac:dyDescent="0.2"/>
    <row r="30997" s="689" customFormat="1" x14ac:dyDescent="0.2"/>
    <row r="30998" s="689" customFormat="1" x14ac:dyDescent="0.2"/>
    <row r="30999" s="689" customFormat="1" x14ac:dyDescent="0.2"/>
    <row r="31000" s="689" customFormat="1" x14ac:dyDescent="0.2"/>
    <row r="31001" s="689" customFormat="1" x14ac:dyDescent="0.2"/>
    <row r="31002" s="689" customFormat="1" x14ac:dyDescent="0.2"/>
    <row r="31003" s="689" customFormat="1" x14ac:dyDescent="0.2"/>
    <row r="31004" s="689" customFormat="1" x14ac:dyDescent="0.2"/>
    <row r="31005" s="689" customFormat="1" x14ac:dyDescent="0.2"/>
    <row r="31006" s="689" customFormat="1" x14ac:dyDescent="0.2"/>
    <row r="31007" s="689" customFormat="1" x14ac:dyDescent="0.2"/>
    <row r="31008" s="689" customFormat="1" x14ac:dyDescent="0.2"/>
    <row r="31009" s="689" customFormat="1" x14ac:dyDescent="0.2"/>
    <row r="31010" s="689" customFormat="1" x14ac:dyDescent="0.2"/>
    <row r="31011" s="689" customFormat="1" x14ac:dyDescent="0.2"/>
    <row r="31012" s="689" customFormat="1" x14ac:dyDescent="0.2"/>
    <row r="31013" s="689" customFormat="1" x14ac:dyDescent="0.2"/>
    <row r="31014" s="689" customFormat="1" x14ac:dyDescent="0.2"/>
    <row r="31015" s="689" customFormat="1" x14ac:dyDescent="0.2"/>
    <row r="31016" s="689" customFormat="1" x14ac:dyDescent="0.2"/>
    <row r="31017" s="689" customFormat="1" x14ac:dyDescent="0.2"/>
    <row r="31018" s="689" customFormat="1" x14ac:dyDescent="0.2"/>
    <row r="31019" s="689" customFormat="1" x14ac:dyDescent="0.2"/>
    <row r="31020" s="689" customFormat="1" x14ac:dyDescent="0.2"/>
    <row r="31021" s="689" customFormat="1" x14ac:dyDescent="0.2"/>
    <row r="31022" s="689" customFormat="1" x14ac:dyDescent="0.2"/>
    <row r="31023" s="689" customFormat="1" x14ac:dyDescent="0.2"/>
    <row r="31024" s="689" customFormat="1" x14ac:dyDescent="0.2"/>
    <row r="31025" s="689" customFormat="1" x14ac:dyDescent="0.2"/>
    <row r="31026" s="689" customFormat="1" x14ac:dyDescent="0.2"/>
    <row r="31027" s="689" customFormat="1" x14ac:dyDescent="0.2"/>
    <row r="31028" s="689" customFormat="1" x14ac:dyDescent="0.2"/>
    <row r="31029" s="689" customFormat="1" x14ac:dyDescent="0.2"/>
    <row r="31030" s="689" customFormat="1" x14ac:dyDescent="0.2"/>
    <row r="31031" s="689" customFormat="1" x14ac:dyDescent="0.2"/>
    <row r="31032" s="689" customFormat="1" x14ac:dyDescent="0.2"/>
    <row r="31033" s="689" customFormat="1" x14ac:dyDescent="0.2"/>
    <row r="31034" s="689" customFormat="1" x14ac:dyDescent="0.2"/>
    <row r="31035" s="689" customFormat="1" x14ac:dyDescent="0.2"/>
    <row r="31036" s="689" customFormat="1" x14ac:dyDescent="0.2"/>
    <row r="31037" s="689" customFormat="1" x14ac:dyDescent="0.2"/>
    <row r="31038" s="689" customFormat="1" x14ac:dyDescent="0.2"/>
    <row r="31039" s="689" customFormat="1" x14ac:dyDescent="0.2"/>
    <row r="31040" s="689" customFormat="1" x14ac:dyDescent="0.2"/>
    <row r="31041" s="689" customFormat="1" x14ac:dyDescent="0.2"/>
    <row r="31042" s="689" customFormat="1" x14ac:dyDescent="0.2"/>
    <row r="31043" s="689" customFormat="1" x14ac:dyDescent="0.2"/>
    <row r="31044" s="689" customFormat="1" x14ac:dyDescent="0.2"/>
    <row r="31045" s="689" customFormat="1" x14ac:dyDescent="0.2"/>
    <row r="31046" s="689" customFormat="1" x14ac:dyDescent="0.2"/>
    <row r="31047" s="689" customFormat="1" x14ac:dyDescent="0.2"/>
    <row r="31048" s="689" customFormat="1" x14ac:dyDescent="0.2"/>
    <row r="31049" s="689" customFormat="1" x14ac:dyDescent="0.2"/>
    <row r="31050" s="689" customFormat="1" x14ac:dyDescent="0.2"/>
    <row r="31051" s="689" customFormat="1" x14ac:dyDescent="0.2"/>
    <row r="31052" s="689" customFormat="1" x14ac:dyDescent="0.2"/>
    <row r="31053" s="689" customFormat="1" x14ac:dyDescent="0.2"/>
    <row r="31054" s="689" customFormat="1" x14ac:dyDescent="0.2"/>
    <row r="31055" s="689" customFormat="1" x14ac:dyDescent="0.2"/>
    <row r="31056" s="689" customFormat="1" x14ac:dyDescent="0.2"/>
    <row r="31057" s="689" customFormat="1" x14ac:dyDescent="0.2"/>
    <row r="31058" s="689" customFormat="1" x14ac:dyDescent="0.2"/>
    <row r="31059" s="689" customFormat="1" x14ac:dyDescent="0.2"/>
    <row r="31060" s="689" customFormat="1" x14ac:dyDescent="0.2"/>
    <row r="31061" s="689" customFormat="1" x14ac:dyDescent="0.2"/>
    <row r="31062" s="689" customFormat="1" x14ac:dyDescent="0.2"/>
    <row r="31063" s="689" customFormat="1" x14ac:dyDescent="0.2"/>
    <row r="31064" s="689" customFormat="1" x14ac:dyDescent="0.2"/>
    <row r="31065" s="689" customFormat="1" x14ac:dyDescent="0.2"/>
    <row r="31066" s="689" customFormat="1" x14ac:dyDescent="0.2"/>
    <row r="31067" s="689" customFormat="1" x14ac:dyDescent="0.2"/>
    <row r="31068" s="689" customFormat="1" x14ac:dyDescent="0.2"/>
    <row r="31069" s="689" customFormat="1" x14ac:dyDescent="0.2"/>
    <row r="31070" s="689" customFormat="1" x14ac:dyDescent="0.2"/>
    <row r="31071" s="689" customFormat="1" x14ac:dyDescent="0.2"/>
    <row r="31072" s="689" customFormat="1" x14ac:dyDescent="0.2"/>
    <row r="31073" s="689" customFormat="1" x14ac:dyDescent="0.2"/>
    <row r="31074" s="689" customFormat="1" x14ac:dyDescent="0.2"/>
    <row r="31075" s="689" customFormat="1" x14ac:dyDescent="0.2"/>
    <row r="31076" s="689" customFormat="1" x14ac:dyDescent="0.2"/>
    <row r="31077" s="689" customFormat="1" x14ac:dyDescent="0.2"/>
    <row r="31078" s="689" customFormat="1" x14ac:dyDescent="0.2"/>
    <row r="31079" s="689" customFormat="1" x14ac:dyDescent="0.2"/>
    <row r="31080" s="689" customFormat="1" x14ac:dyDescent="0.2"/>
    <row r="31081" s="689" customFormat="1" x14ac:dyDescent="0.2"/>
    <row r="31082" s="689" customFormat="1" x14ac:dyDescent="0.2"/>
    <row r="31083" s="689" customFormat="1" x14ac:dyDescent="0.2"/>
    <row r="31084" s="689" customFormat="1" x14ac:dyDescent="0.2"/>
    <row r="31085" s="689" customFormat="1" x14ac:dyDescent="0.2"/>
    <row r="31086" s="689" customFormat="1" x14ac:dyDescent="0.2"/>
    <row r="31087" s="689" customFormat="1" x14ac:dyDescent="0.2"/>
    <row r="31088" s="689" customFormat="1" x14ac:dyDescent="0.2"/>
    <row r="31089" s="689" customFormat="1" x14ac:dyDescent="0.2"/>
    <row r="31090" s="689" customFormat="1" x14ac:dyDescent="0.2"/>
    <row r="31091" s="689" customFormat="1" x14ac:dyDescent="0.2"/>
    <row r="31092" s="689" customFormat="1" x14ac:dyDescent="0.2"/>
    <row r="31093" s="689" customFormat="1" x14ac:dyDescent="0.2"/>
    <row r="31094" s="689" customFormat="1" x14ac:dyDescent="0.2"/>
    <row r="31095" s="689" customFormat="1" x14ac:dyDescent="0.2"/>
    <row r="31096" s="689" customFormat="1" x14ac:dyDescent="0.2"/>
    <row r="31097" s="689" customFormat="1" x14ac:dyDescent="0.2"/>
    <row r="31098" s="689" customFormat="1" x14ac:dyDescent="0.2"/>
    <row r="31099" s="689" customFormat="1" x14ac:dyDescent="0.2"/>
    <row r="31100" s="689" customFormat="1" x14ac:dyDescent="0.2"/>
    <row r="31101" s="689" customFormat="1" x14ac:dyDescent="0.2"/>
    <row r="31102" s="689" customFormat="1" x14ac:dyDescent="0.2"/>
    <row r="31103" s="689" customFormat="1" x14ac:dyDescent="0.2"/>
    <row r="31104" s="689" customFormat="1" x14ac:dyDescent="0.2"/>
    <row r="31105" s="689" customFormat="1" x14ac:dyDescent="0.2"/>
    <row r="31106" s="689" customFormat="1" x14ac:dyDescent="0.2"/>
    <row r="31107" s="689" customFormat="1" x14ac:dyDescent="0.2"/>
    <row r="31108" s="689" customFormat="1" x14ac:dyDescent="0.2"/>
    <row r="31109" s="689" customFormat="1" x14ac:dyDescent="0.2"/>
    <row r="31110" s="689" customFormat="1" x14ac:dyDescent="0.2"/>
    <row r="31111" s="689" customFormat="1" x14ac:dyDescent="0.2"/>
    <row r="31112" s="689" customFormat="1" x14ac:dyDescent="0.2"/>
    <row r="31113" s="689" customFormat="1" x14ac:dyDescent="0.2"/>
    <row r="31114" s="689" customFormat="1" x14ac:dyDescent="0.2"/>
    <row r="31115" s="689" customFormat="1" x14ac:dyDescent="0.2"/>
    <row r="31116" s="689" customFormat="1" x14ac:dyDescent="0.2"/>
    <row r="31117" s="689" customFormat="1" x14ac:dyDescent="0.2"/>
    <row r="31118" s="689" customFormat="1" x14ac:dyDescent="0.2"/>
    <row r="31119" s="689" customFormat="1" x14ac:dyDescent="0.2"/>
    <row r="31120" s="689" customFormat="1" x14ac:dyDescent="0.2"/>
    <row r="31121" s="689" customFormat="1" x14ac:dyDescent="0.2"/>
    <row r="31122" s="689" customFormat="1" x14ac:dyDescent="0.2"/>
    <row r="31123" s="689" customFormat="1" x14ac:dyDescent="0.2"/>
    <row r="31124" s="689" customFormat="1" x14ac:dyDescent="0.2"/>
    <row r="31125" s="689" customFormat="1" x14ac:dyDescent="0.2"/>
    <row r="31126" s="689" customFormat="1" x14ac:dyDescent="0.2"/>
    <row r="31127" s="689" customFormat="1" x14ac:dyDescent="0.2"/>
    <row r="31128" s="689" customFormat="1" x14ac:dyDescent="0.2"/>
    <row r="31129" s="689" customFormat="1" x14ac:dyDescent="0.2"/>
    <row r="31130" s="689" customFormat="1" x14ac:dyDescent="0.2"/>
    <row r="31131" s="689" customFormat="1" x14ac:dyDescent="0.2"/>
    <row r="31132" s="689" customFormat="1" x14ac:dyDescent="0.2"/>
    <row r="31133" s="689" customFormat="1" x14ac:dyDescent="0.2"/>
    <row r="31134" s="689" customFormat="1" x14ac:dyDescent="0.2"/>
    <row r="31135" s="689" customFormat="1" x14ac:dyDescent="0.2"/>
    <row r="31136" s="689" customFormat="1" x14ac:dyDescent="0.2"/>
    <row r="31137" s="689" customFormat="1" x14ac:dyDescent="0.2"/>
    <row r="31138" s="689" customFormat="1" x14ac:dyDescent="0.2"/>
    <row r="31139" s="689" customFormat="1" x14ac:dyDescent="0.2"/>
    <row r="31140" s="689" customFormat="1" x14ac:dyDescent="0.2"/>
    <row r="31141" s="689" customFormat="1" x14ac:dyDescent="0.2"/>
    <row r="31142" s="689" customFormat="1" x14ac:dyDescent="0.2"/>
    <row r="31143" s="689" customFormat="1" x14ac:dyDescent="0.2"/>
    <row r="31144" s="689" customFormat="1" x14ac:dyDescent="0.2"/>
    <row r="31145" s="689" customFormat="1" x14ac:dyDescent="0.2"/>
    <row r="31146" s="689" customFormat="1" x14ac:dyDescent="0.2"/>
    <row r="31147" s="689" customFormat="1" x14ac:dyDescent="0.2"/>
    <row r="31148" s="689" customFormat="1" x14ac:dyDescent="0.2"/>
    <row r="31149" s="689" customFormat="1" x14ac:dyDescent="0.2"/>
    <row r="31150" s="689" customFormat="1" x14ac:dyDescent="0.2"/>
    <row r="31151" s="689" customFormat="1" x14ac:dyDescent="0.2"/>
    <row r="31152" s="689" customFormat="1" x14ac:dyDescent="0.2"/>
    <row r="31153" s="689" customFormat="1" x14ac:dyDescent="0.2"/>
    <row r="31154" s="689" customFormat="1" x14ac:dyDescent="0.2"/>
    <row r="31155" s="689" customFormat="1" x14ac:dyDescent="0.2"/>
    <row r="31156" s="689" customFormat="1" x14ac:dyDescent="0.2"/>
    <row r="31157" s="689" customFormat="1" x14ac:dyDescent="0.2"/>
    <row r="31158" s="689" customFormat="1" x14ac:dyDescent="0.2"/>
    <row r="31159" s="689" customFormat="1" x14ac:dyDescent="0.2"/>
    <row r="31160" s="689" customFormat="1" x14ac:dyDescent="0.2"/>
    <row r="31161" s="689" customFormat="1" x14ac:dyDescent="0.2"/>
    <row r="31162" s="689" customFormat="1" x14ac:dyDescent="0.2"/>
    <row r="31163" s="689" customFormat="1" x14ac:dyDescent="0.2"/>
    <row r="31164" s="689" customFormat="1" x14ac:dyDescent="0.2"/>
    <row r="31165" s="689" customFormat="1" x14ac:dyDescent="0.2"/>
    <row r="31166" s="689" customFormat="1" x14ac:dyDescent="0.2"/>
    <row r="31167" s="689" customFormat="1" x14ac:dyDescent="0.2"/>
    <row r="31168" s="689" customFormat="1" x14ac:dyDescent="0.2"/>
    <row r="31169" s="689" customFormat="1" x14ac:dyDescent="0.2"/>
    <row r="31170" s="689" customFormat="1" x14ac:dyDescent="0.2"/>
    <row r="31171" s="689" customFormat="1" x14ac:dyDescent="0.2"/>
    <row r="31172" s="689" customFormat="1" x14ac:dyDescent="0.2"/>
    <row r="31173" s="689" customFormat="1" x14ac:dyDescent="0.2"/>
    <row r="31174" s="689" customFormat="1" x14ac:dyDescent="0.2"/>
    <row r="31175" s="689" customFormat="1" x14ac:dyDescent="0.2"/>
    <row r="31176" s="689" customFormat="1" x14ac:dyDescent="0.2"/>
    <row r="31177" s="689" customFormat="1" x14ac:dyDescent="0.2"/>
    <row r="31178" s="689" customFormat="1" x14ac:dyDescent="0.2"/>
    <row r="31179" s="689" customFormat="1" x14ac:dyDescent="0.2"/>
    <row r="31180" s="689" customFormat="1" x14ac:dyDescent="0.2"/>
    <row r="31181" s="689" customFormat="1" x14ac:dyDescent="0.2"/>
    <row r="31182" s="689" customFormat="1" x14ac:dyDescent="0.2"/>
    <row r="31183" s="689" customFormat="1" x14ac:dyDescent="0.2"/>
    <row r="31184" s="689" customFormat="1" x14ac:dyDescent="0.2"/>
    <row r="31185" s="689" customFormat="1" x14ac:dyDescent="0.2"/>
    <row r="31186" s="689" customFormat="1" x14ac:dyDescent="0.2"/>
    <row r="31187" s="689" customFormat="1" x14ac:dyDescent="0.2"/>
    <row r="31188" s="689" customFormat="1" x14ac:dyDescent="0.2"/>
    <row r="31189" s="689" customFormat="1" x14ac:dyDescent="0.2"/>
    <row r="31190" s="689" customFormat="1" x14ac:dyDescent="0.2"/>
    <row r="31191" s="689" customFormat="1" x14ac:dyDescent="0.2"/>
    <row r="31192" s="689" customFormat="1" x14ac:dyDescent="0.2"/>
    <row r="31193" s="689" customFormat="1" x14ac:dyDescent="0.2"/>
    <row r="31194" s="689" customFormat="1" x14ac:dyDescent="0.2"/>
    <row r="31195" s="689" customFormat="1" x14ac:dyDescent="0.2"/>
    <row r="31196" s="689" customFormat="1" x14ac:dyDescent="0.2"/>
    <row r="31197" s="689" customFormat="1" x14ac:dyDescent="0.2"/>
    <row r="31198" s="689" customFormat="1" x14ac:dyDescent="0.2"/>
    <row r="31199" s="689" customFormat="1" x14ac:dyDescent="0.2"/>
    <row r="31200" s="689" customFormat="1" x14ac:dyDescent="0.2"/>
    <row r="31201" s="689" customFormat="1" x14ac:dyDescent="0.2"/>
    <row r="31202" s="689" customFormat="1" x14ac:dyDescent="0.2"/>
    <row r="31203" s="689" customFormat="1" x14ac:dyDescent="0.2"/>
    <row r="31204" s="689" customFormat="1" x14ac:dyDescent="0.2"/>
    <row r="31205" s="689" customFormat="1" x14ac:dyDescent="0.2"/>
    <row r="31206" s="689" customFormat="1" x14ac:dyDescent="0.2"/>
    <row r="31207" s="689" customFormat="1" x14ac:dyDescent="0.2"/>
    <row r="31208" s="689" customFormat="1" x14ac:dyDescent="0.2"/>
    <row r="31209" s="689" customFormat="1" x14ac:dyDescent="0.2"/>
    <row r="31210" s="689" customFormat="1" x14ac:dyDescent="0.2"/>
    <row r="31211" s="689" customFormat="1" x14ac:dyDescent="0.2"/>
    <row r="31212" s="689" customFormat="1" x14ac:dyDescent="0.2"/>
    <row r="31213" s="689" customFormat="1" x14ac:dyDescent="0.2"/>
    <row r="31214" s="689" customFormat="1" x14ac:dyDescent="0.2"/>
    <row r="31215" s="689" customFormat="1" x14ac:dyDescent="0.2"/>
    <row r="31216" s="689" customFormat="1" x14ac:dyDescent="0.2"/>
    <row r="31217" s="689" customFormat="1" x14ac:dyDescent="0.2"/>
    <row r="31218" s="689" customFormat="1" x14ac:dyDescent="0.2"/>
    <row r="31219" s="689" customFormat="1" x14ac:dyDescent="0.2"/>
    <row r="31220" s="689" customFormat="1" x14ac:dyDescent="0.2"/>
    <row r="31221" s="689" customFormat="1" x14ac:dyDescent="0.2"/>
    <row r="31222" s="689" customFormat="1" x14ac:dyDescent="0.2"/>
    <row r="31223" s="689" customFormat="1" x14ac:dyDescent="0.2"/>
    <row r="31224" s="689" customFormat="1" x14ac:dyDescent="0.2"/>
    <row r="31225" s="689" customFormat="1" x14ac:dyDescent="0.2"/>
    <row r="31226" s="689" customFormat="1" x14ac:dyDescent="0.2"/>
    <row r="31227" s="689" customFormat="1" x14ac:dyDescent="0.2"/>
    <row r="31228" s="689" customFormat="1" x14ac:dyDescent="0.2"/>
    <row r="31229" s="689" customFormat="1" x14ac:dyDescent="0.2"/>
    <row r="31230" s="689" customFormat="1" x14ac:dyDescent="0.2"/>
    <row r="31231" s="689" customFormat="1" x14ac:dyDescent="0.2"/>
    <row r="31232" s="689" customFormat="1" x14ac:dyDescent="0.2"/>
    <row r="31233" s="689" customFormat="1" x14ac:dyDescent="0.2"/>
    <row r="31234" s="689" customFormat="1" x14ac:dyDescent="0.2"/>
    <row r="31235" s="689" customFormat="1" x14ac:dyDescent="0.2"/>
    <row r="31236" s="689" customFormat="1" x14ac:dyDescent="0.2"/>
    <row r="31237" s="689" customFormat="1" x14ac:dyDescent="0.2"/>
    <row r="31238" s="689" customFormat="1" x14ac:dyDescent="0.2"/>
    <row r="31239" s="689" customFormat="1" x14ac:dyDescent="0.2"/>
    <row r="31240" s="689" customFormat="1" x14ac:dyDescent="0.2"/>
    <row r="31241" s="689" customFormat="1" x14ac:dyDescent="0.2"/>
    <row r="31242" s="689" customFormat="1" x14ac:dyDescent="0.2"/>
    <row r="31243" s="689" customFormat="1" x14ac:dyDescent="0.2"/>
    <row r="31244" s="689" customFormat="1" x14ac:dyDescent="0.2"/>
    <row r="31245" s="689" customFormat="1" x14ac:dyDescent="0.2"/>
    <row r="31246" s="689" customFormat="1" x14ac:dyDescent="0.2"/>
    <row r="31247" s="689" customFormat="1" x14ac:dyDescent="0.2"/>
    <row r="31248" s="689" customFormat="1" x14ac:dyDescent="0.2"/>
    <row r="31249" s="689" customFormat="1" x14ac:dyDescent="0.2"/>
    <row r="31250" s="689" customFormat="1" x14ac:dyDescent="0.2"/>
    <row r="31251" s="689" customFormat="1" x14ac:dyDescent="0.2"/>
    <row r="31252" s="689" customFormat="1" x14ac:dyDescent="0.2"/>
    <row r="31253" s="689" customFormat="1" x14ac:dyDescent="0.2"/>
    <row r="31254" s="689" customFormat="1" x14ac:dyDescent="0.2"/>
    <row r="31255" s="689" customFormat="1" x14ac:dyDescent="0.2"/>
    <row r="31256" s="689" customFormat="1" x14ac:dyDescent="0.2"/>
    <row r="31257" s="689" customFormat="1" x14ac:dyDescent="0.2"/>
    <row r="31258" s="689" customFormat="1" x14ac:dyDescent="0.2"/>
    <row r="31259" s="689" customFormat="1" x14ac:dyDescent="0.2"/>
    <row r="31260" s="689" customFormat="1" x14ac:dyDescent="0.2"/>
    <row r="31261" s="689" customFormat="1" x14ac:dyDescent="0.2"/>
    <row r="31262" s="689" customFormat="1" x14ac:dyDescent="0.2"/>
    <row r="31263" s="689" customFormat="1" x14ac:dyDescent="0.2"/>
    <row r="31264" s="689" customFormat="1" x14ac:dyDescent="0.2"/>
    <row r="31265" s="689" customFormat="1" x14ac:dyDescent="0.2"/>
    <row r="31266" s="689" customFormat="1" x14ac:dyDescent="0.2"/>
    <row r="31267" s="689" customFormat="1" x14ac:dyDescent="0.2"/>
    <row r="31268" s="689" customFormat="1" x14ac:dyDescent="0.2"/>
    <row r="31269" s="689" customFormat="1" x14ac:dyDescent="0.2"/>
    <row r="31270" s="689" customFormat="1" x14ac:dyDescent="0.2"/>
    <row r="31271" s="689" customFormat="1" x14ac:dyDescent="0.2"/>
    <row r="31272" s="689" customFormat="1" x14ac:dyDescent="0.2"/>
    <row r="31273" s="689" customFormat="1" x14ac:dyDescent="0.2"/>
    <row r="31274" s="689" customFormat="1" x14ac:dyDescent="0.2"/>
    <row r="31275" s="689" customFormat="1" x14ac:dyDescent="0.2"/>
    <row r="31276" s="689" customFormat="1" x14ac:dyDescent="0.2"/>
    <row r="31277" s="689" customFormat="1" x14ac:dyDescent="0.2"/>
    <row r="31278" s="689" customFormat="1" x14ac:dyDescent="0.2"/>
    <row r="31279" s="689" customFormat="1" x14ac:dyDescent="0.2"/>
    <row r="31280" s="689" customFormat="1" x14ac:dyDescent="0.2"/>
    <row r="31281" s="689" customFormat="1" x14ac:dyDescent="0.2"/>
    <row r="31282" s="689" customFormat="1" x14ac:dyDescent="0.2"/>
    <row r="31283" s="689" customFormat="1" x14ac:dyDescent="0.2"/>
    <row r="31284" s="689" customFormat="1" x14ac:dyDescent="0.2"/>
    <row r="31285" s="689" customFormat="1" x14ac:dyDescent="0.2"/>
    <row r="31286" s="689" customFormat="1" x14ac:dyDescent="0.2"/>
    <row r="31287" s="689" customFormat="1" x14ac:dyDescent="0.2"/>
    <row r="31288" s="689" customFormat="1" x14ac:dyDescent="0.2"/>
    <row r="31289" s="689" customFormat="1" x14ac:dyDescent="0.2"/>
    <row r="31290" s="689" customFormat="1" x14ac:dyDescent="0.2"/>
    <row r="31291" s="689" customFormat="1" x14ac:dyDescent="0.2"/>
    <row r="31292" s="689" customFormat="1" x14ac:dyDescent="0.2"/>
    <row r="31293" s="689" customFormat="1" x14ac:dyDescent="0.2"/>
    <row r="31294" s="689" customFormat="1" x14ac:dyDescent="0.2"/>
    <row r="31295" s="689" customFormat="1" x14ac:dyDescent="0.2"/>
    <row r="31296" s="689" customFormat="1" x14ac:dyDescent="0.2"/>
    <row r="31297" s="689" customFormat="1" x14ac:dyDescent="0.2"/>
    <row r="31298" s="689" customFormat="1" x14ac:dyDescent="0.2"/>
    <row r="31299" s="689" customFormat="1" x14ac:dyDescent="0.2"/>
    <row r="31300" s="689" customFormat="1" x14ac:dyDescent="0.2"/>
    <row r="31301" s="689" customFormat="1" x14ac:dyDescent="0.2"/>
    <row r="31302" s="689" customFormat="1" x14ac:dyDescent="0.2"/>
    <row r="31303" s="689" customFormat="1" x14ac:dyDescent="0.2"/>
    <row r="31304" s="689" customFormat="1" x14ac:dyDescent="0.2"/>
    <row r="31305" s="689" customFormat="1" x14ac:dyDescent="0.2"/>
    <row r="31306" s="689" customFormat="1" x14ac:dyDescent="0.2"/>
    <row r="31307" s="689" customFormat="1" x14ac:dyDescent="0.2"/>
    <row r="31308" s="689" customFormat="1" x14ac:dyDescent="0.2"/>
    <row r="31309" s="689" customFormat="1" x14ac:dyDescent="0.2"/>
    <row r="31310" s="689" customFormat="1" x14ac:dyDescent="0.2"/>
    <row r="31311" s="689" customFormat="1" x14ac:dyDescent="0.2"/>
    <row r="31312" s="689" customFormat="1" x14ac:dyDescent="0.2"/>
    <row r="31313" s="689" customFormat="1" x14ac:dyDescent="0.2"/>
    <row r="31314" s="689" customFormat="1" x14ac:dyDescent="0.2"/>
    <row r="31315" s="689" customFormat="1" x14ac:dyDescent="0.2"/>
    <row r="31316" s="689" customFormat="1" x14ac:dyDescent="0.2"/>
    <row r="31317" s="689" customFormat="1" x14ac:dyDescent="0.2"/>
    <row r="31318" s="689" customFormat="1" x14ac:dyDescent="0.2"/>
    <row r="31319" s="689" customFormat="1" x14ac:dyDescent="0.2"/>
    <row r="31320" s="689" customFormat="1" x14ac:dyDescent="0.2"/>
    <row r="31321" s="689" customFormat="1" x14ac:dyDescent="0.2"/>
    <row r="31322" s="689" customFormat="1" x14ac:dyDescent="0.2"/>
    <row r="31323" s="689" customFormat="1" x14ac:dyDescent="0.2"/>
    <row r="31324" s="689" customFormat="1" x14ac:dyDescent="0.2"/>
    <row r="31325" s="689" customFormat="1" x14ac:dyDescent="0.2"/>
    <row r="31326" s="689" customFormat="1" x14ac:dyDescent="0.2"/>
    <row r="31327" s="689" customFormat="1" x14ac:dyDescent="0.2"/>
    <row r="31328" s="689" customFormat="1" x14ac:dyDescent="0.2"/>
    <row r="31329" s="689" customFormat="1" x14ac:dyDescent="0.2"/>
    <row r="31330" s="689" customFormat="1" x14ac:dyDescent="0.2"/>
    <row r="31331" s="689" customFormat="1" x14ac:dyDescent="0.2"/>
    <row r="31332" s="689" customFormat="1" x14ac:dyDescent="0.2"/>
    <row r="31333" s="689" customFormat="1" x14ac:dyDescent="0.2"/>
    <row r="31334" s="689" customFormat="1" x14ac:dyDescent="0.2"/>
    <row r="31335" s="689" customFormat="1" x14ac:dyDescent="0.2"/>
    <row r="31336" s="689" customFormat="1" x14ac:dyDescent="0.2"/>
    <row r="31337" s="689" customFormat="1" x14ac:dyDescent="0.2"/>
    <row r="31338" s="689" customFormat="1" x14ac:dyDescent="0.2"/>
    <row r="31339" s="689" customFormat="1" x14ac:dyDescent="0.2"/>
    <row r="31340" s="689" customFormat="1" x14ac:dyDescent="0.2"/>
    <row r="31341" s="689" customFormat="1" x14ac:dyDescent="0.2"/>
    <row r="31342" s="689" customFormat="1" x14ac:dyDescent="0.2"/>
    <row r="31343" s="689" customFormat="1" x14ac:dyDescent="0.2"/>
    <row r="31344" s="689" customFormat="1" x14ac:dyDescent="0.2"/>
    <row r="31345" s="689" customFormat="1" x14ac:dyDescent="0.2"/>
    <row r="31346" s="689" customFormat="1" x14ac:dyDescent="0.2"/>
    <row r="31347" s="689" customFormat="1" x14ac:dyDescent="0.2"/>
    <row r="31348" s="689" customFormat="1" x14ac:dyDescent="0.2"/>
    <row r="31349" s="689" customFormat="1" x14ac:dyDescent="0.2"/>
    <row r="31350" s="689" customFormat="1" x14ac:dyDescent="0.2"/>
    <row r="31351" s="689" customFormat="1" x14ac:dyDescent="0.2"/>
    <row r="31352" s="689" customFormat="1" x14ac:dyDescent="0.2"/>
    <row r="31353" s="689" customFormat="1" x14ac:dyDescent="0.2"/>
    <row r="31354" s="689" customFormat="1" x14ac:dyDescent="0.2"/>
    <row r="31355" s="689" customFormat="1" x14ac:dyDescent="0.2"/>
    <row r="31356" s="689" customFormat="1" x14ac:dyDescent="0.2"/>
    <row r="31357" s="689" customFormat="1" x14ac:dyDescent="0.2"/>
    <row r="31358" s="689" customFormat="1" x14ac:dyDescent="0.2"/>
    <row r="31359" s="689" customFormat="1" x14ac:dyDescent="0.2"/>
    <row r="31360" s="689" customFormat="1" x14ac:dyDescent="0.2"/>
    <row r="31361" s="689" customFormat="1" x14ac:dyDescent="0.2"/>
    <row r="31362" s="689" customFormat="1" x14ac:dyDescent="0.2"/>
    <row r="31363" s="689" customFormat="1" x14ac:dyDescent="0.2"/>
    <row r="31364" s="689" customFormat="1" x14ac:dyDescent="0.2"/>
    <row r="31365" s="689" customFormat="1" x14ac:dyDescent="0.2"/>
    <row r="31366" s="689" customFormat="1" x14ac:dyDescent="0.2"/>
    <row r="31367" s="689" customFormat="1" x14ac:dyDescent="0.2"/>
    <row r="31368" s="689" customFormat="1" x14ac:dyDescent="0.2"/>
    <row r="31369" s="689" customFormat="1" x14ac:dyDescent="0.2"/>
    <row r="31370" s="689" customFormat="1" x14ac:dyDescent="0.2"/>
    <row r="31371" s="689" customFormat="1" x14ac:dyDescent="0.2"/>
    <row r="31372" s="689" customFormat="1" x14ac:dyDescent="0.2"/>
    <row r="31373" s="689" customFormat="1" x14ac:dyDescent="0.2"/>
    <row r="31374" s="689" customFormat="1" x14ac:dyDescent="0.2"/>
    <row r="31375" s="689" customFormat="1" x14ac:dyDescent="0.2"/>
    <row r="31376" s="689" customFormat="1" x14ac:dyDescent="0.2"/>
    <row r="31377" s="689" customFormat="1" x14ac:dyDescent="0.2"/>
    <row r="31378" s="689" customFormat="1" x14ac:dyDescent="0.2"/>
    <row r="31379" s="689" customFormat="1" x14ac:dyDescent="0.2"/>
    <row r="31380" s="689" customFormat="1" x14ac:dyDescent="0.2"/>
    <row r="31381" s="689" customFormat="1" x14ac:dyDescent="0.2"/>
    <row r="31382" s="689" customFormat="1" x14ac:dyDescent="0.2"/>
    <row r="31383" s="689" customFormat="1" x14ac:dyDescent="0.2"/>
    <row r="31384" s="689" customFormat="1" x14ac:dyDescent="0.2"/>
    <row r="31385" s="689" customFormat="1" x14ac:dyDescent="0.2"/>
    <row r="31386" s="689" customFormat="1" x14ac:dyDescent="0.2"/>
    <row r="31387" s="689" customFormat="1" x14ac:dyDescent="0.2"/>
    <row r="31388" s="689" customFormat="1" x14ac:dyDescent="0.2"/>
    <row r="31389" s="689" customFormat="1" x14ac:dyDescent="0.2"/>
    <row r="31390" s="689" customFormat="1" x14ac:dyDescent="0.2"/>
    <row r="31391" s="689" customFormat="1" x14ac:dyDescent="0.2"/>
    <row r="31392" s="689" customFormat="1" x14ac:dyDescent="0.2"/>
    <row r="31393" s="689" customFormat="1" x14ac:dyDescent="0.2"/>
    <row r="31394" s="689" customFormat="1" x14ac:dyDescent="0.2"/>
    <row r="31395" s="689" customFormat="1" x14ac:dyDescent="0.2"/>
    <row r="31396" s="689" customFormat="1" x14ac:dyDescent="0.2"/>
    <row r="31397" s="689" customFormat="1" x14ac:dyDescent="0.2"/>
    <row r="31398" s="689" customFormat="1" x14ac:dyDescent="0.2"/>
    <row r="31399" s="689" customFormat="1" x14ac:dyDescent="0.2"/>
    <row r="31400" s="689" customFormat="1" x14ac:dyDescent="0.2"/>
    <row r="31401" s="689" customFormat="1" x14ac:dyDescent="0.2"/>
    <row r="31402" s="689" customFormat="1" x14ac:dyDescent="0.2"/>
    <row r="31403" s="689" customFormat="1" x14ac:dyDescent="0.2"/>
    <row r="31404" s="689" customFormat="1" x14ac:dyDescent="0.2"/>
    <row r="31405" s="689" customFormat="1" x14ac:dyDescent="0.2"/>
    <row r="31406" s="689" customFormat="1" x14ac:dyDescent="0.2"/>
    <row r="31407" s="689" customFormat="1" x14ac:dyDescent="0.2"/>
    <row r="31408" s="689" customFormat="1" x14ac:dyDescent="0.2"/>
    <row r="31409" s="689" customFormat="1" x14ac:dyDescent="0.2"/>
    <row r="31410" s="689" customFormat="1" x14ac:dyDescent="0.2"/>
    <row r="31411" s="689" customFormat="1" x14ac:dyDescent="0.2"/>
    <row r="31412" s="689" customFormat="1" x14ac:dyDescent="0.2"/>
    <row r="31413" s="689" customFormat="1" x14ac:dyDescent="0.2"/>
    <row r="31414" s="689" customFormat="1" x14ac:dyDescent="0.2"/>
    <row r="31415" s="689" customFormat="1" x14ac:dyDescent="0.2"/>
    <row r="31416" s="689" customFormat="1" x14ac:dyDescent="0.2"/>
    <row r="31417" s="689" customFormat="1" x14ac:dyDescent="0.2"/>
    <row r="31418" s="689" customFormat="1" x14ac:dyDescent="0.2"/>
    <row r="31419" s="689" customFormat="1" x14ac:dyDescent="0.2"/>
    <row r="31420" s="689" customFormat="1" x14ac:dyDescent="0.2"/>
    <row r="31421" s="689" customFormat="1" x14ac:dyDescent="0.2"/>
    <row r="31422" s="689" customFormat="1" x14ac:dyDescent="0.2"/>
    <row r="31423" s="689" customFormat="1" x14ac:dyDescent="0.2"/>
    <row r="31424" s="689" customFormat="1" x14ac:dyDescent="0.2"/>
    <row r="31425" s="689" customFormat="1" x14ac:dyDescent="0.2"/>
    <row r="31426" s="689" customFormat="1" x14ac:dyDescent="0.2"/>
    <row r="31427" s="689" customFormat="1" x14ac:dyDescent="0.2"/>
    <row r="31428" s="689" customFormat="1" x14ac:dyDescent="0.2"/>
    <row r="31429" s="689" customFormat="1" x14ac:dyDescent="0.2"/>
    <row r="31430" s="689" customFormat="1" x14ac:dyDescent="0.2"/>
    <row r="31431" s="689" customFormat="1" x14ac:dyDescent="0.2"/>
    <row r="31432" s="689" customFormat="1" x14ac:dyDescent="0.2"/>
    <row r="31433" s="689" customFormat="1" x14ac:dyDescent="0.2"/>
    <row r="31434" s="689" customFormat="1" x14ac:dyDescent="0.2"/>
    <row r="31435" s="689" customFormat="1" x14ac:dyDescent="0.2"/>
    <row r="31436" s="689" customFormat="1" x14ac:dyDescent="0.2"/>
    <row r="31437" s="689" customFormat="1" x14ac:dyDescent="0.2"/>
    <row r="31438" s="689" customFormat="1" x14ac:dyDescent="0.2"/>
    <row r="31439" s="689" customFormat="1" x14ac:dyDescent="0.2"/>
    <row r="31440" s="689" customFormat="1" x14ac:dyDescent="0.2"/>
    <row r="31441" s="689" customFormat="1" x14ac:dyDescent="0.2"/>
    <row r="31442" s="689" customFormat="1" x14ac:dyDescent="0.2"/>
    <row r="31443" s="689" customFormat="1" x14ac:dyDescent="0.2"/>
    <row r="31444" s="689" customFormat="1" x14ac:dyDescent="0.2"/>
    <row r="31445" s="689" customFormat="1" x14ac:dyDescent="0.2"/>
    <row r="31446" s="689" customFormat="1" x14ac:dyDescent="0.2"/>
    <row r="31447" s="689" customFormat="1" x14ac:dyDescent="0.2"/>
    <row r="31448" s="689" customFormat="1" x14ac:dyDescent="0.2"/>
    <row r="31449" s="689" customFormat="1" x14ac:dyDescent="0.2"/>
    <row r="31450" s="689" customFormat="1" x14ac:dyDescent="0.2"/>
    <row r="31451" s="689" customFormat="1" x14ac:dyDescent="0.2"/>
    <row r="31452" s="689" customFormat="1" x14ac:dyDescent="0.2"/>
    <row r="31453" s="689" customFormat="1" x14ac:dyDescent="0.2"/>
    <row r="31454" s="689" customFormat="1" x14ac:dyDescent="0.2"/>
    <row r="31455" s="689" customFormat="1" x14ac:dyDescent="0.2"/>
    <row r="31456" s="689" customFormat="1" x14ac:dyDescent="0.2"/>
    <row r="31457" s="689" customFormat="1" x14ac:dyDescent="0.2"/>
    <row r="31458" s="689" customFormat="1" x14ac:dyDescent="0.2"/>
    <row r="31459" s="689" customFormat="1" x14ac:dyDescent="0.2"/>
    <row r="31460" s="689" customFormat="1" x14ac:dyDescent="0.2"/>
    <row r="31461" s="689" customFormat="1" x14ac:dyDescent="0.2"/>
    <row r="31462" s="689" customFormat="1" x14ac:dyDescent="0.2"/>
    <row r="31463" s="689" customFormat="1" x14ac:dyDescent="0.2"/>
    <row r="31464" s="689" customFormat="1" x14ac:dyDescent="0.2"/>
    <row r="31465" s="689" customFormat="1" x14ac:dyDescent="0.2"/>
    <row r="31466" s="689" customFormat="1" x14ac:dyDescent="0.2"/>
    <row r="31467" s="689" customFormat="1" x14ac:dyDescent="0.2"/>
    <row r="31468" s="689" customFormat="1" x14ac:dyDescent="0.2"/>
    <row r="31469" s="689" customFormat="1" x14ac:dyDescent="0.2"/>
    <row r="31470" s="689" customFormat="1" x14ac:dyDescent="0.2"/>
    <row r="31471" s="689" customFormat="1" x14ac:dyDescent="0.2"/>
    <row r="31472" s="689" customFormat="1" x14ac:dyDescent="0.2"/>
    <row r="31473" s="689" customFormat="1" x14ac:dyDescent="0.2"/>
    <row r="31474" s="689" customFormat="1" x14ac:dyDescent="0.2"/>
    <row r="31475" s="689" customFormat="1" x14ac:dyDescent="0.2"/>
    <row r="31476" s="689" customFormat="1" x14ac:dyDescent="0.2"/>
    <row r="31477" s="689" customFormat="1" x14ac:dyDescent="0.2"/>
    <row r="31478" s="689" customFormat="1" x14ac:dyDescent="0.2"/>
    <row r="31479" s="689" customFormat="1" x14ac:dyDescent="0.2"/>
    <row r="31480" s="689" customFormat="1" x14ac:dyDescent="0.2"/>
    <row r="31481" s="689" customFormat="1" x14ac:dyDescent="0.2"/>
    <row r="31482" s="689" customFormat="1" x14ac:dyDescent="0.2"/>
    <row r="31483" s="689" customFormat="1" x14ac:dyDescent="0.2"/>
    <row r="31484" s="689" customFormat="1" x14ac:dyDescent="0.2"/>
    <row r="31485" s="689" customFormat="1" x14ac:dyDescent="0.2"/>
    <row r="31486" s="689" customFormat="1" x14ac:dyDescent="0.2"/>
    <row r="31487" s="689" customFormat="1" x14ac:dyDescent="0.2"/>
    <row r="31488" s="689" customFormat="1" x14ac:dyDescent="0.2"/>
    <row r="31489" s="689" customFormat="1" x14ac:dyDescent="0.2"/>
    <row r="31490" s="689" customFormat="1" x14ac:dyDescent="0.2"/>
    <row r="31491" s="689" customFormat="1" x14ac:dyDescent="0.2"/>
    <row r="31492" s="689" customFormat="1" x14ac:dyDescent="0.2"/>
    <row r="31493" s="689" customFormat="1" x14ac:dyDescent="0.2"/>
    <row r="31494" s="689" customFormat="1" x14ac:dyDescent="0.2"/>
    <row r="31495" s="689" customFormat="1" x14ac:dyDescent="0.2"/>
    <row r="31496" s="689" customFormat="1" x14ac:dyDescent="0.2"/>
    <row r="31497" s="689" customFormat="1" x14ac:dyDescent="0.2"/>
    <row r="31498" s="689" customFormat="1" x14ac:dyDescent="0.2"/>
    <row r="31499" s="689" customFormat="1" x14ac:dyDescent="0.2"/>
    <row r="31500" s="689" customFormat="1" x14ac:dyDescent="0.2"/>
    <row r="31501" s="689" customFormat="1" x14ac:dyDescent="0.2"/>
    <row r="31502" s="689" customFormat="1" x14ac:dyDescent="0.2"/>
    <row r="31503" s="689" customFormat="1" x14ac:dyDescent="0.2"/>
    <row r="31504" s="689" customFormat="1" x14ac:dyDescent="0.2"/>
    <row r="31505" s="689" customFormat="1" x14ac:dyDescent="0.2"/>
    <row r="31506" s="689" customFormat="1" x14ac:dyDescent="0.2"/>
    <row r="31507" s="689" customFormat="1" x14ac:dyDescent="0.2"/>
    <row r="31508" s="689" customFormat="1" x14ac:dyDescent="0.2"/>
    <row r="31509" s="689" customFormat="1" x14ac:dyDescent="0.2"/>
    <row r="31510" s="689" customFormat="1" x14ac:dyDescent="0.2"/>
    <row r="31511" s="689" customFormat="1" x14ac:dyDescent="0.2"/>
    <row r="31512" s="689" customFormat="1" x14ac:dyDescent="0.2"/>
    <row r="31513" s="689" customFormat="1" x14ac:dyDescent="0.2"/>
    <row r="31514" s="689" customFormat="1" x14ac:dyDescent="0.2"/>
    <row r="31515" s="689" customFormat="1" x14ac:dyDescent="0.2"/>
    <row r="31516" s="689" customFormat="1" x14ac:dyDescent="0.2"/>
    <row r="31517" s="689" customFormat="1" x14ac:dyDescent="0.2"/>
    <row r="31518" s="689" customFormat="1" x14ac:dyDescent="0.2"/>
    <row r="31519" s="689" customFormat="1" x14ac:dyDescent="0.2"/>
    <row r="31520" s="689" customFormat="1" x14ac:dyDescent="0.2"/>
    <row r="31521" s="689" customFormat="1" x14ac:dyDescent="0.2"/>
    <row r="31522" s="689" customFormat="1" x14ac:dyDescent="0.2"/>
    <row r="31523" s="689" customFormat="1" x14ac:dyDescent="0.2"/>
    <row r="31524" s="689" customFormat="1" x14ac:dyDescent="0.2"/>
    <row r="31525" s="689" customFormat="1" x14ac:dyDescent="0.2"/>
    <row r="31526" s="689" customFormat="1" x14ac:dyDescent="0.2"/>
    <row r="31527" s="689" customFormat="1" x14ac:dyDescent="0.2"/>
    <row r="31528" s="689" customFormat="1" x14ac:dyDescent="0.2"/>
    <row r="31529" s="689" customFormat="1" x14ac:dyDescent="0.2"/>
    <row r="31530" s="689" customFormat="1" x14ac:dyDescent="0.2"/>
    <row r="31531" s="689" customFormat="1" x14ac:dyDescent="0.2"/>
    <row r="31532" s="689" customFormat="1" x14ac:dyDescent="0.2"/>
    <row r="31533" s="689" customFormat="1" x14ac:dyDescent="0.2"/>
    <row r="31534" s="689" customFormat="1" x14ac:dyDescent="0.2"/>
    <row r="31535" s="689" customFormat="1" x14ac:dyDescent="0.2"/>
    <row r="31536" s="689" customFormat="1" x14ac:dyDescent="0.2"/>
    <row r="31537" s="689" customFormat="1" x14ac:dyDescent="0.2"/>
    <row r="31538" s="689" customFormat="1" x14ac:dyDescent="0.2"/>
    <row r="31539" s="689" customFormat="1" x14ac:dyDescent="0.2"/>
    <row r="31540" s="689" customFormat="1" x14ac:dyDescent="0.2"/>
    <row r="31541" s="689" customFormat="1" x14ac:dyDescent="0.2"/>
    <row r="31542" s="689" customFormat="1" x14ac:dyDescent="0.2"/>
    <row r="31543" s="689" customFormat="1" x14ac:dyDescent="0.2"/>
    <row r="31544" s="689" customFormat="1" x14ac:dyDescent="0.2"/>
    <row r="31545" s="689" customFormat="1" x14ac:dyDescent="0.2"/>
    <row r="31546" s="689" customFormat="1" x14ac:dyDescent="0.2"/>
    <row r="31547" s="689" customFormat="1" x14ac:dyDescent="0.2"/>
    <row r="31548" s="689" customFormat="1" x14ac:dyDescent="0.2"/>
    <row r="31549" s="689" customFormat="1" x14ac:dyDescent="0.2"/>
    <row r="31550" s="689" customFormat="1" x14ac:dyDescent="0.2"/>
    <row r="31551" s="689" customFormat="1" x14ac:dyDescent="0.2"/>
    <row r="31552" s="689" customFormat="1" x14ac:dyDescent="0.2"/>
    <row r="31553" s="689" customFormat="1" x14ac:dyDescent="0.2"/>
    <row r="31554" s="689" customFormat="1" x14ac:dyDescent="0.2"/>
    <row r="31555" s="689" customFormat="1" x14ac:dyDescent="0.2"/>
    <row r="31556" s="689" customFormat="1" x14ac:dyDescent="0.2"/>
    <row r="31557" s="689" customFormat="1" x14ac:dyDescent="0.2"/>
    <row r="31558" s="689" customFormat="1" x14ac:dyDescent="0.2"/>
    <row r="31559" s="689" customFormat="1" x14ac:dyDescent="0.2"/>
    <row r="31560" s="689" customFormat="1" x14ac:dyDescent="0.2"/>
    <row r="31561" s="689" customFormat="1" x14ac:dyDescent="0.2"/>
    <row r="31562" s="689" customFormat="1" x14ac:dyDescent="0.2"/>
    <row r="31563" s="689" customFormat="1" x14ac:dyDescent="0.2"/>
    <row r="31564" s="689" customFormat="1" x14ac:dyDescent="0.2"/>
    <row r="31565" s="689" customFormat="1" x14ac:dyDescent="0.2"/>
    <row r="31566" s="689" customFormat="1" x14ac:dyDescent="0.2"/>
    <row r="31567" s="689" customFormat="1" x14ac:dyDescent="0.2"/>
    <row r="31568" s="689" customFormat="1" x14ac:dyDescent="0.2"/>
    <row r="31569" s="689" customFormat="1" x14ac:dyDescent="0.2"/>
    <row r="31570" s="689" customFormat="1" x14ac:dyDescent="0.2"/>
    <row r="31571" s="689" customFormat="1" x14ac:dyDescent="0.2"/>
    <row r="31572" s="689" customFormat="1" x14ac:dyDescent="0.2"/>
    <row r="31573" s="689" customFormat="1" x14ac:dyDescent="0.2"/>
    <row r="31574" s="689" customFormat="1" x14ac:dyDescent="0.2"/>
    <row r="31575" s="689" customFormat="1" x14ac:dyDescent="0.2"/>
    <row r="31576" s="689" customFormat="1" x14ac:dyDescent="0.2"/>
    <row r="31577" s="689" customFormat="1" x14ac:dyDescent="0.2"/>
    <row r="31578" s="689" customFormat="1" x14ac:dyDescent="0.2"/>
    <row r="31579" s="689" customFormat="1" x14ac:dyDescent="0.2"/>
    <row r="31580" s="689" customFormat="1" x14ac:dyDescent="0.2"/>
    <row r="31581" s="689" customFormat="1" x14ac:dyDescent="0.2"/>
    <row r="31582" s="689" customFormat="1" x14ac:dyDescent="0.2"/>
    <row r="31583" s="689" customFormat="1" x14ac:dyDescent="0.2"/>
    <row r="31584" s="689" customFormat="1" x14ac:dyDescent="0.2"/>
    <row r="31585" s="689" customFormat="1" x14ac:dyDescent="0.2"/>
    <row r="31586" s="689" customFormat="1" x14ac:dyDescent="0.2"/>
    <row r="31587" s="689" customFormat="1" x14ac:dyDescent="0.2"/>
    <row r="31588" s="689" customFormat="1" x14ac:dyDescent="0.2"/>
    <row r="31589" s="689" customFormat="1" x14ac:dyDescent="0.2"/>
    <row r="31590" s="689" customFormat="1" x14ac:dyDescent="0.2"/>
    <row r="31591" s="689" customFormat="1" x14ac:dyDescent="0.2"/>
    <row r="31592" s="689" customFormat="1" x14ac:dyDescent="0.2"/>
    <row r="31593" s="689" customFormat="1" x14ac:dyDescent="0.2"/>
    <row r="31594" s="689" customFormat="1" x14ac:dyDescent="0.2"/>
    <row r="31595" s="689" customFormat="1" x14ac:dyDescent="0.2"/>
    <row r="31596" s="689" customFormat="1" x14ac:dyDescent="0.2"/>
    <row r="31597" s="689" customFormat="1" x14ac:dyDescent="0.2"/>
    <row r="31598" s="689" customFormat="1" x14ac:dyDescent="0.2"/>
    <row r="31599" s="689" customFormat="1" x14ac:dyDescent="0.2"/>
    <row r="31600" s="689" customFormat="1" x14ac:dyDescent="0.2"/>
    <row r="31601" s="689" customFormat="1" x14ac:dyDescent="0.2"/>
    <row r="31602" s="689" customFormat="1" x14ac:dyDescent="0.2"/>
    <row r="31603" s="689" customFormat="1" x14ac:dyDescent="0.2"/>
    <row r="31604" s="689" customFormat="1" x14ac:dyDescent="0.2"/>
    <row r="31605" s="689" customFormat="1" x14ac:dyDescent="0.2"/>
    <row r="31606" s="689" customFormat="1" x14ac:dyDescent="0.2"/>
    <row r="31607" s="689" customFormat="1" x14ac:dyDescent="0.2"/>
    <row r="31608" s="689" customFormat="1" x14ac:dyDescent="0.2"/>
    <row r="31609" s="689" customFormat="1" x14ac:dyDescent="0.2"/>
    <row r="31610" s="689" customFormat="1" x14ac:dyDescent="0.2"/>
    <row r="31611" s="689" customFormat="1" x14ac:dyDescent="0.2"/>
    <row r="31612" s="689" customFormat="1" x14ac:dyDescent="0.2"/>
    <row r="31613" s="689" customFormat="1" x14ac:dyDescent="0.2"/>
    <row r="31614" s="689" customFormat="1" x14ac:dyDescent="0.2"/>
    <row r="31615" s="689" customFormat="1" x14ac:dyDescent="0.2"/>
    <row r="31616" s="689" customFormat="1" x14ac:dyDescent="0.2"/>
    <row r="31617" s="689" customFormat="1" x14ac:dyDescent="0.2"/>
    <row r="31618" s="689" customFormat="1" x14ac:dyDescent="0.2"/>
    <row r="31619" s="689" customFormat="1" x14ac:dyDescent="0.2"/>
    <row r="31620" s="689" customFormat="1" x14ac:dyDescent="0.2"/>
    <row r="31621" s="689" customFormat="1" x14ac:dyDescent="0.2"/>
    <row r="31622" s="689" customFormat="1" x14ac:dyDescent="0.2"/>
    <row r="31623" s="689" customFormat="1" x14ac:dyDescent="0.2"/>
    <row r="31624" s="689" customFormat="1" x14ac:dyDescent="0.2"/>
    <row r="31625" s="689" customFormat="1" x14ac:dyDescent="0.2"/>
    <row r="31626" s="689" customFormat="1" x14ac:dyDescent="0.2"/>
    <row r="31627" s="689" customFormat="1" x14ac:dyDescent="0.2"/>
    <row r="31628" s="689" customFormat="1" x14ac:dyDescent="0.2"/>
    <row r="31629" s="689" customFormat="1" x14ac:dyDescent="0.2"/>
    <row r="31630" s="689" customFormat="1" x14ac:dyDescent="0.2"/>
    <row r="31631" s="689" customFormat="1" x14ac:dyDescent="0.2"/>
    <row r="31632" s="689" customFormat="1" x14ac:dyDescent="0.2"/>
    <row r="31633" s="689" customFormat="1" x14ac:dyDescent="0.2"/>
    <row r="31634" s="689" customFormat="1" x14ac:dyDescent="0.2"/>
    <row r="31635" s="689" customFormat="1" x14ac:dyDescent="0.2"/>
    <row r="31636" s="689" customFormat="1" x14ac:dyDescent="0.2"/>
    <row r="31637" s="689" customFormat="1" x14ac:dyDescent="0.2"/>
    <row r="31638" s="689" customFormat="1" x14ac:dyDescent="0.2"/>
    <row r="31639" s="689" customFormat="1" x14ac:dyDescent="0.2"/>
    <row r="31640" s="689" customFormat="1" x14ac:dyDescent="0.2"/>
    <row r="31641" s="689" customFormat="1" x14ac:dyDescent="0.2"/>
    <row r="31642" s="689" customFormat="1" x14ac:dyDescent="0.2"/>
    <row r="31643" s="689" customFormat="1" x14ac:dyDescent="0.2"/>
    <row r="31644" s="689" customFormat="1" x14ac:dyDescent="0.2"/>
    <row r="31645" s="689" customFormat="1" x14ac:dyDescent="0.2"/>
    <row r="31646" s="689" customFormat="1" x14ac:dyDescent="0.2"/>
    <row r="31647" s="689" customFormat="1" x14ac:dyDescent="0.2"/>
    <row r="31648" s="689" customFormat="1" x14ac:dyDescent="0.2"/>
    <row r="31649" s="689" customFormat="1" x14ac:dyDescent="0.2"/>
    <row r="31650" s="689" customFormat="1" x14ac:dyDescent="0.2"/>
    <row r="31651" s="689" customFormat="1" x14ac:dyDescent="0.2"/>
    <row r="31652" s="689" customFormat="1" x14ac:dyDescent="0.2"/>
    <row r="31653" s="689" customFormat="1" x14ac:dyDescent="0.2"/>
    <row r="31654" s="689" customFormat="1" x14ac:dyDescent="0.2"/>
    <row r="31655" s="689" customFormat="1" x14ac:dyDescent="0.2"/>
    <row r="31656" s="689" customFormat="1" x14ac:dyDescent="0.2"/>
    <row r="31657" s="689" customFormat="1" x14ac:dyDescent="0.2"/>
    <row r="31658" s="689" customFormat="1" x14ac:dyDescent="0.2"/>
    <row r="31659" s="689" customFormat="1" x14ac:dyDescent="0.2"/>
    <row r="31660" s="689" customFormat="1" x14ac:dyDescent="0.2"/>
    <row r="31661" s="689" customFormat="1" x14ac:dyDescent="0.2"/>
    <row r="31662" s="689" customFormat="1" x14ac:dyDescent="0.2"/>
    <row r="31663" s="689" customFormat="1" x14ac:dyDescent="0.2"/>
    <row r="31664" s="689" customFormat="1" x14ac:dyDescent="0.2"/>
    <row r="31665" s="689" customFormat="1" x14ac:dyDescent="0.2"/>
    <row r="31666" s="689" customFormat="1" x14ac:dyDescent="0.2"/>
    <row r="31667" s="689" customFormat="1" x14ac:dyDescent="0.2"/>
    <row r="31668" s="689" customFormat="1" x14ac:dyDescent="0.2"/>
    <row r="31669" s="689" customFormat="1" x14ac:dyDescent="0.2"/>
    <row r="31670" s="689" customFormat="1" x14ac:dyDescent="0.2"/>
    <row r="31671" s="689" customFormat="1" x14ac:dyDescent="0.2"/>
    <row r="31672" s="689" customFormat="1" x14ac:dyDescent="0.2"/>
    <row r="31673" s="689" customFormat="1" x14ac:dyDescent="0.2"/>
    <row r="31674" s="689" customFormat="1" x14ac:dyDescent="0.2"/>
    <row r="31675" s="689" customFormat="1" x14ac:dyDescent="0.2"/>
    <row r="31676" s="689" customFormat="1" x14ac:dyDescent="0.2"/>
    <row r="31677" s="689" customFormat="1" x14ac:dyDescent="0.2"/>
    <row r="31678" s="689" customFormat="1" x14ac:dyDescent="0.2"/>
    <row r="31679" s="689" customFormat="1" x14ac:dyDescent="0.2"/>
    <row r="31680" s="689" customFormat="1" x14ac:dyDescent="0.2"/>
    <row r="31681" s="689" customFormat="1" x14ac:dyDescent="0.2"/>
    <row r="31682" s="689" customFormat="1" x14ac:dyDescent="0.2"/>
    <row r="31683" s="689" customFormat="1" x14ac:dyDescent="0.2"/>
    <row r="31684" s="689" customFormat="1" x14ac:dyDescent="0.2"/>
    <row r="31685" s="689" customFormat="1" x14ac:dyDescent="0.2"/>
    <row r="31686" s="689" customFormat="1" x14ac:dyDescent="0.2"/>
    <row r="31687" s="689" customFormat="1" x14ac:dyDescent="0.2"/>
    <row r="31688" s="689" customFormat="1" x14ac:dyDescent="0.2"/>
    <row r="31689" s="689" customFormat="1" x14ac:dyDescent="0.2"/>
    <row r="31690" s="689" customFormat="1" x14ac:dyDescent="0.2"/>
    <row r="31691" s="689" customFormat="1" x14ac:dyDescent="0.2"/>
    <row r="31692" s="689" customFormat="1" x14ac:dyDescent="0.2"/>
    <row r="31693" s="689" customFormat="1" x14ac:dyDescent="0.2"/>
    <row r="31694" s="689" customFormat="1" x14ac:dyDescent="0.2"/>
    <row r="31695" s="689" customFormat="1" x14ac:dyDescent="0.2"/>
    <row r="31696" s="689" customFormat="1" x14ac:dyDescent="0.2"/>
    <row r="31697" s="689" customFormat="1" x14ac:dyDescent="0.2"/>
    <row r="31698" s="689" customFormat="1" x14ac:dyDescent="0.2"/>
    <row r="31699" s="689" customFormat="1" x14ac:dyDescent="0.2"/>
    <row r="31700" s="689" customFormat="1" x14ac:dyDescent="0.2"/>
    <row r="31701" s="689" customFormat="1" x14ac:dyDescent="0.2"/>
    <row r="31702" s="689" customFormat="1" x14ac:dyDescent="0.2"/>
    <row r="31703" s="689" customFormat="1" x14ac:dyDescent="0.2"/>
    <row r="31704" s="689" customFormat="1" x14ac:dyDescent="0.2"/>
    <row r="31705" s="689" customFormat="1" x14ac:dyDescent="0.2"/>
    <row r="31706" s="689" customFormat="1" x14ac:dyDescent="0.2"/>
    <row r="31707" s="689" customFormat="1" x14ac:dyDescent="0.2"/>
    <row r="31708" s="689" customFormat="1" x14ac:dyDescent="0.2"/>
    <row r="31709" s="689" customFormat="1" x14ac:dyDescent="0.2"/>
    <row r="31710" s="689" customFormat="1" x14ac:dyDescent="0.2"/>
    <row r="31711" s="689" customFormat="1" x14ac:dyDescent="0.2"/>
    <row r="31712" s="689" customFormat="1" x14ac:dyDescent="0.2"/>
    <row r="31713" s="689" customFormat="1" x14ac:dyDescent="0.2"/>
    <row r="31714" s="689" customFormat="1" x14ac:dyDescent="0.2"/>
    <row r="31715" s="689" customFormat="1" x14ac:dyDescent="0.2"/>
    <row r="31716" s="689" customFormat="1" x14ac:dyDescent="0.2"/>
    <row r="31717" s="689" customFormat="1" x14ac:dyDescent="0.2"/>
    <row r="31718" s="689" customFormat="1" x14ac:dyDescent="0.2"/>
    <row r="31719" s="689" customFormat="1" x14ac:dyDescent="0.2"/>
    <row r="31720" s="689" customFormat="1" x14ac:dyDescent="0.2"/>
    <row r="31721" s="689" customFormat="1" x14ac:dyDescent="0.2"/>
    <row r="31722" s="689" customFormat="1" x14ac:dyDescent="0.2"/>
    <row r="31723" s="689" customFormat="1" x14ac:dyDescent="0.2"/>
    <row r="31724" s="689" customFormat="1" x14ac:dyDescent="0.2"/>
    <row r="31725" s="689" customFormat="1" x14ac:dyDescent="0.2"/>
    <row r="31726" s="689" customFormat="1" x14ac:dyDescent="0.2"/>
    <row r="31727" s="689" customFormat="1" x14ac:dyDescent="0.2"/>
    <row r="31728" s="689" customFormat="1" x14ac:dyDescent="0.2"/>
    <row r="31729" s="689" customFormat="1" x14ac:dyDescent="0.2"/>
    <row r="31730" s="689" customFormat="1" x14ac:dyDescent="0.2"/>
    <row r="31731" s="689" customFormat="1" x14ac:dyDescent="0.2"/>
    <row r="31732" s="689" customFormat="1" x14ac:dyDescent="0.2"/>
    <row r="31733" s="689" customFormat="1" x14ac:dyDescent="0.2"/>
    <row r="31734" s="689" customFormat="1" x14ac:dyDescent="0.2"/>
    <row r="31735" s="689" customFormat="1" x14ac:dyDescent="0.2"/>
    <row r="31736" s="689" customFormat="1" x14ac:dyDescent="0.2"/>
    <row r="31737" s="689" customFormat="1" x14ac:dyDescent="0.2"/>
    <row r="31738" s="689" customFormat="1" x14ac:dyDescent="0.2"/>
    <row r="31739" s="689" customFormat="1" x14ac:dyDescent="0.2"/>
    <row r="31740" s="689" customFormat="1" x14ac:dyDescent="0.2"/>
    <row r="31741" s="689" customFormat="1" x14ac:dyDescent="0.2"/>
    <row r="31742" s="689" customFormat="1" x14ac:dyDescent="0.2"/>
    <row r="31743" s="689" customFormat="1" x14ac:dyDescent="0.2"/>
    <row r="31744" s="689" customFormat="1" x14ac:dyDescent="0.2"/>
    <row r="31745" s="689" customFormat="1" x14ac:dyDescent="0.2"/>
    <row r="31746" s="689" customFormat="1" x14ac:dyDescent="0.2"/>
    <row r="31747" s="689" customFormat="1" x14ac:dyDescent="0.2"/>
    <row r="31748" s="689" customFormat="1" x14ac:dyDescent="0.2"/>
    <row r="31749" s="689" customFormat="1" x14ac:dyDescent="0.2"/>
    <row r="31750" s="689" customFormat="1" x14ac:dyDescent="0.2"/>
    <row r="31751" s="689" customFormat="1" x14ac:dyDescent="0.2"/>
    <row r="31752" s="689" customFormat="1" x14ac:dyDescent="0.2"/>
    <row r="31753" s="689" customFormat="1" x14ac:dyDescent="0.2"/>
    <row r="31754" s="689" customFormat="1" x14ac:dyDescent="0.2"/>
    <row r="31755" s="689" customFormat="1" x14ac:dyDescent="0.2"/>
    <row r="31756" s="689" customFormat="1" x14ac:dyDescent="0.2"/>
    <row r="31757" s="689" customFormat="1" x14ac:dyDescent="0.2"/>
    <row r="31758" s="689" customFormat="1" x14ac:dyDescent="0.2"/>
    <row r="31759" s="689" customFormat="1" x14ac:dyDescent="0.2"/>
    <row r="31760" s="689" customFormat="1" x14ac:dyDescent="0.2"/>
    <row r="31761" s="689" customFormat="1" x14ac:dyDescent="0.2"/>
    <row r="31762" s="689" customFormat="1" x14ac:dyDescent="0.2"/>
    <row r="31763" s="689" customFormat="1" x14ac:dyDescent="0.2"/>
    <row r="31764" s="689" customFormat="1" x14ac:dyDescent="0.2"/>
    <row r="31765" s="689" customFormat="1" x14ac:dyDescent="0.2"/>
    <row r="31766" s="689" customFormat="1" x14ac:dyDescent="0.2"/>
    <row r="31767" s="689" customFormat="1" x14ac:dyDescent="0.2"/>
    <row r="31768" s="689" customFormat="1" x14ac:dyDescent="0.2"/>
    <row r="31769" s="689" customFormat="1" x14ac:dyDescent="0.2"/>
    <row r="31770" s="689" customFormat="1" x14ac:dyDescent="0.2"/>
    <row r="31771" s="689" customFormat="1" x14ac:dyDescent="0.2"/>
    <row r="31772" s="689" customFormat="1" x14ac:dyDescent="0.2"/>
    <row r="31773" s="689" customFormat="1" x14ac:dyDescent="0.2"/>
    <row r="31774" s="689" customFormat="1" x14ac:dyDescent="0.2"/>
    <row r="31775" s="689" customFormat="1" x14ac:dyDescent="0.2"/>
    <row r="31776" s="689" customFormat="1" x14ac:dyDescent="0.2"/>
    <row r="31777" s="689" customFormat="1" x14ac:dyDescent="0.2"/>
    <row r="31778" s="689" customFormat="1" x14ac:dyDescent="0.2"/>
    <row r="31779" s="689" customFormat="1" x14ac:dyDescent="0.2"/>
    <row r="31780" s="689" customFormat="1" x14ac:dyDescent="0.2"/>
    <row r="31781" s="689" customFormat="1" x14ac:dyDescent="0.2"/>
    <row r="31782" s="689" customFormat="1" x14ac:dyDescent="0.2"/>
    <row r="31783" s="689" customFormat="1" x14ac:dyDescent="0.2"/>
    <row r="31784" s="689" customFormat="1" x14ac:dyDescent="0.2"/>
    <row r="31785" s="689" customFormat="1" x14ac:dyDescent="0.2"/>
    <row r="31786" s="689" customFormat="1" x14ac:dyDescent="0.2"/>
    <row r="31787" s="689" customFormat="1" x14ac:dyDescent="0.2"/>
    <row r="31788" s="689" customFormat="1" x14ac:dyDescent="0.2"/>
    <row r="31789" s="689" customFormat="1" x14ac:dyDescent="0.2"/>
    <row r="31790" s="689" customFormat="1" x14ac:dyDescent="0.2"/>
    <row r="31791" s="689" customFormat="1" x14ac:dyDescent="0.2"/>
    <row r="31792" s="689" customFormat="1" x14ac:dyDescent="0.2"/>
    <row r="31793" s="689" customFormat="1" x14ac:dyDescent="0.2"/>
    <row r="31794" s="689" customFormat="1" x14ac:dyDescent="0.2"/>
    <row r="31795" s="689" customFormat="1" x14ac:dyDescent="0.2"/>
    <row r="31796" s="689" customFormat="1" x14ac:dyDescent="0.2"/>
    <row r="31797" s="689" customFormat="1" x14ac:dyDescent="0.2"/>
    <row r="31798" s="689" customFormat="1" x14ac:dyDescent="0.2"/>
    <row r="31799" s="689" customFormat="1" x14ac:dyDescent="0.2"/>
    <row r="31800" s="689" customFormat="1" x14ac:dyDescent="0.2"/>
    <row r="31801" s="689" customFormat="1" x14ac:dyDescent="0.2"/>
    <row r="31802" s="689" customFormat="1" x14ac:dyDescent="0.2"/>
    <row r="31803" s="689" customFormat="1" x14ac:dyDescent="0.2"/>
    <row r="31804" s="689" customFormat="1" x14ac:dyDescent="0.2"/>
    <row r="31805" s="689" customFormat="1" x14ac:dyDescent="0.2"/>
    <row r="31806" s="689" customFormat="1" x14ac:dyDescent="0.2"/>
    <row r="31807" s="689" customFormat="1" x14ac:dyDescent="0.2"/>
    <row r="31808" s="689" customFormat="1" x14ac:dyDescent="0.2"/>
    <row r="31809" s="689" customFormat="1" x14ac:dyDescent="0.2"/>
    <row r="31810" s="689" customFormat="1" x14ac:dyDescent="0.2"/>
    <row r="31811" s="689" customFormat="1" x14ac:dyDescent="0.2"/>
    <row r="31812" s="689" customFormat="1" x14ac:dyDescent="0.2"/>
    <row r="31813" s="689" customFormat="1" x14ac:dyDescent="0.2"/>
    <row r="31814" s="689" customFormat="1" x14ac:dyDescent="0.2"/>
    <row r="31815" s="689" customFormat="1" x14ac:dyDescent="0.2"/>
    <row r="31816" s="689" customFormat="1" x14ac:dyDescent="0.2"/>
    <row r="31817" s="689" customFormat="1" x14ac:dyDescent="0.2"/>
    <row r="31818" s="689" customFormat="1" x14ac:dyDescent="0.2"/>
    <row r="31819" s="689" customFormat="1" x14ac:dyDescent="0.2"/>
    <row r="31820" s="689" customFormat="1" x14ac:dyDescent="0.2"/>
    <row r="31821" s="689" customFormat="1" x14ac:dyDescent="0.2"/>
    <row r="31822" s="689" customFormat="1" x14ac:dyDescent="0.2"/>
    <row r="31823" s="689" customFormat="1" x14ac:dyDescent="0.2"/>
    <row r="31824" s="689" customFormat="1" x14ac:dyDescent="0.2"/>
    <row r="31825" s="689" customFormat="1" x14ac:dyDescent="0.2"/>
    <row r="31826" s="689" customFormat="1" x14ac:dyDescent="0.2"/>
    <row r="31827" s="689" customFormat="1" x14ac:dyDescent="0.2"/>
    <row r="31828" s="689" customFormat="1" x14ac:dyDescent="0.2"/>
    <row r="31829" s="689" customFormat="1" x14ac:dyDescent="0.2"/>
    <row r="31830" s="689" customFormat="1" x14ac:dyDescent="0.2"/>
    <row r="31831" s="689" customFormat="1" x14ac:dyDescent="0.2"/>
    <row r="31832" s="689" customFormat="1" x14ac:dyDescent="0.2"/>
    <row r="31833" s="689" customFormat="1" x14ac:dyDescent="0.2"/>
    <row r="31834" s="689" customFormat="1" x14ac:dyDescent="0.2"/>
    <row r="31835" s="689" customFormat="1" x14ac:dyDescent="0.2"/>
    <row r="31836" s="689" customFormat="1" x14ac:dyDescent="0.2"/>
    <row r="31837" s="689" customFormat="1" x14ac:dyDescent="0.2"/>
    <row r="31838" s="689" customFormat="1" x14ac:dyDescent="0.2"/>
    <row r="31839" s="689" customFormat="1" x14ac:dyDescent="0.2"/>
    <row r="31840" s="689" customFormat="1" x14ac:dyDescent="0.2"/>
    <row r="31841" s="689" customFormat="1" x14ac:dyDescent="0.2"/>
    <row r="31842" s="689" customFormat="1" x14ac:dyDescent="0.2"/>
    <row r="31843" s="689" customFormat="1" x14ac:dyDescent="0.2"/>
    <row r="31844" s="689" customFormat="1" x14ac:dyDescent="0.2"/>
    <row r="31845" s="689" customFormat="1" x14ac:dyDescent="0.2"/>
    <row r="31846" s="689" customFormat="1" x14ac:dyDescent="0.2"/>
    <row r="31847" s="689" customFormat="1" x14ac:dyDescent="0.2"/>
    <row r="31848" s="689" customFormat="1" x14ac:dyDescent="0.2"/>
    <row r="31849" s="689" customFormat="1" x14ac:dyDescent="0.2"/>
    <row r="31850" s="689" customFormat="1" x14ac:dyDescent="0.2"/>
    <row r="31851" s="689" customFormat="1" x14ac:dyDescent="0.2"/>
    <row r="31852" s="689" customFormat="1" x14ac:dyDescent="0.2"/>
    <row r="31853" s="689" customFormat="1" x14ac:dyDescent="0.2"/>
    <row r="31854" s="689" customFormat="1" x14ac:dyDescent="0.2"/>
    <row r="31855" s="689" customFormat="1" x14ac:dyDescent="0.2"/>
    <row r="31856" s="689" customFormat="1" x14ac:dyDescent="0.2"/>
    <row r="31857" s="689" customFormat="1" x14ac:dyDescent="0.2"/>
    <row r="31858" s="689" customFormat="1" x14ac:dyDescent="0.2"/>
    <row r="31859" s="689" customFormat="1" x14ac:dyDescent="0.2"/>
    <row r="31860" s="689" customFormat="1" x14ac:dyDescent="0.2"/>
    <row r="31861" s="689" customFormat="1" x14ac:dyDescent="0.2"/>
    <row r="31862" s="689" customFormat="1" x14ac:dyDescent="0.2"/>
    <row r="31863" s="689" customFormat="1" x14ac:dyDescent="0.2"/>
    <row r="31864" s="689" customFormat="1" x14ac:dyDescent="0.2"/>
    <row r="31865" s="689" customFormat="1" x14ac:dyDescent="0.2"/>
    <row r="31866" s="689" customFormat="1" x14ac:dyDescent="0.2"/>
    <row r="31867" s="689" customFormat="1" x14ac:dyDescent="0.2"/>
    <row r="31868" s="689" customFormat="1" x14ac:dyDescent="0.2"/>
    <row r="31869" s="689" customFormat="1" x14ac:dyDescent="0.2"/>
    <row r="31870" s="689" customFormat="1" x14ac:dyDescent="0.2"/>
    <row r="31871" s="689" customFormat="1" x14ac:dyDescent="0.2"/>
    <row r="31872" s="689" customFormat="1" x14ac:dyDescent="0.2"/>
    <row r="31873" s="689" customFormat="1" x14ac:dyDescent="0.2"/>
    <row r="31874" s="689" customFormat="1" x14ac:dyDescent="0.2"/>
    <row r="31875" s="689" customFormat="1" x14ac:dyDescent="0.2"/>
    <row r="31876" s="689" customFormat="1" x14ac:dyDescent="0.2"/>
    <row r="31877" s="689" customFormat="1" x14ac:dyDescent="0.2"/>
    <row r="31878" s="689" customFormat="1" x14ac:dyDescent="0.2"/>
    <row r="31879" s="689" customFormat="1" x14ac:dyDescent="0.2"/>
    <row r="31880" s="689" customFormat="1" x14ac:dyDescent="0.2"/>
    <row r="31881" s="689" customFormat="1" x14ac:dyDescent="0.2"/>
    <row r="31882" s="689" customFormat="1" x14ac:dyDescent="0.2"/>
    <row r="31883" s="689" customFormat="1" x14ac:dyDescent="0.2"/>
    <row r="31884" s="689" customFormat="1" x14ac:dyDescent="0.2"/>
    <row r="31885" s="689" customFormat="1" x14ac:dyDescent="0.2"/>
    <row r="31886" s="689" customFormat="1" x14ac:dyDescent="0.2"/>
    <row r="31887" s="689" customFormat="1" x14ac:dyDescent="0.2"/>
    <row r="31888" s="689" customFormat="1" x14ac:dyDescent="0.2"/>
    <row r="31889" s="689" customFormat="1" x14ac:dyDescent="0.2"/>
    <row r="31890" s="689" customFormat="1" x14ac:dyDescent="0.2"/>
    <row r="31891" s="689" customFormat="1" x14ac:dyDescent="0.2"/>
    <row r="31892" s="689" customFormat="1" x14ac:dyDescent="0.2"/>
    <row r="31893" s="689" customFormat="1" x14ac:dyDescent="0.2"/>
    <row r="31894" s="689" customFormat="1" x14ac:dyDescent="0.2"/>
    <row r="31895" s="689" customFormat="1" x14ac:dyDescent="0.2"/>
    <row r="31896" s="689" customFormat="1" x14ac:dyDescent="0.2"/>
    <row r="31897" s="689" customFormat="1" x14ac:dyDescent="0.2"/>
    <row r="31898" s="689" customFormat="1" x14ac:dyDescent="0.2"/>
    <row r="31899" s="689" customFormat="1" x14ac:dyDescent="0.2"/>
    <row r="31900" s="689" customFormat="1" x14ac:dyDescent="0.2"/>
    <row r="31901" s="689" customFormat="1" x14ac:dyDescent="0.2"/>
    <row r="31902" s="689" customFormat="1" x14ac:dyDescent="0.2"/>
    <row r="31903" s="689" customFormat="1" x14ac:dyDescent="0.2"/>
    <row r="31904" s="689" customFormat="1" x14ac:dyDescent="0.2"/>
    <row r="31905" s="689" customFormat="1" x14ac:dyDescent="0.2"/>
    <row r="31906" s="689" customFormat="1" x14ac:dyDescent="0.2"/>
    <row r="31907" s="689" customFormat="1" x14ac:dyDescent="0.2"/>
    <row r="31908" s="689" customFormat="1" x14ac:dyDescent="0.2"/>
    <row r="31909" s="689" customFormat="1" x14ac:dyDescent="0.2"/>
    <row r="31910" s="689" customFormat="1" x14ac:dyDescent="0.2"/>
    <row r="31911" s="689" customFormat="1" x14ac:dyDescent="0.2"/>
    <row r="31912" s="689" customFormat="1" x14ac:dyDescent="0.2"/>
    <row r="31913" s="689" customFormat="1" x14ac:dyDescent="0.2"/>
    <row r="31914" s="689" customFormat="1" x14ac:dyDescent="0.2"/>
    <row r="31915" s="689" customFormat="1" x14ac:dyDescent="0.2"/>
    <row r="31916" s="689" customFormat="1" x14ac:dyDescent="0.2"/>
    <row r="31917" s="689" customFormat="1" x14ac:dyDescent="0.2"/>
    <row r="31918" s="689" customFormat="1" x14ac:dyDescent="0.2"/>
    <row r="31919" s="689" customFormat="1" x14ac:dyDescent="0.2"/>
    <row r="31920" s="689" customFormat="1" x14ac:dyDescent="0.2"/>
    <row r="31921" s="689" customFormat="1" x14ac:dyDescent="0.2"/>
    <row r="31922" s="689" customFormat="1" x14ac:dyDescent="0.2"/>
    <row r="31923" s="689" customFormat="1" x14ac:dyDescent="0.2"/>
    <row r="31924" s="689" customFormat="1" x14ac:dyDescent="0.2"/>
    <row r="31925" s="689" customFormat="1" x14ac:dyDescent="0.2"/>
    <row r="31926" s="689" customFormat="1" x14ac:dyDescent="0.2"/>
    <row r="31927" s="689" customFormat="1" x14ac:dyDescent="0.2"/>
    <row r="31928" s="689" customFormat="1" x14ac:dyDescent="0.2"/>
    <row r="31929" s="689" customFormat="1" x14ac:dyDescent="0.2"/>
    <row r="31930" s="689" customFormat="1" x14ac:dyDescent="0.2"/>
    <row r="31931" s="689" customFormat="1" x14ac:dyDescent="0.2"/>
    <row r="31932" s="689" customFormat="1" x14ac:dyDescent="0.2"/>
    <row r="31933" s="689" customFormat="1" x14ac:dyDescent="0.2"/>
    <row r="31934" s="689" customFormat="1" x14ac:dyDescent="0.2"/>
    <row r="31935" s="689" customFormat="1" x14ac:dyDescent="0.2"/>
    <row r="31936" s="689" customFormat="1" x14ac:dyDescent="0.2"/>
    <row r="31937" s="689" customFormat="1" x14ac:dyDescent="0.2"/>
    <row r="31938" s="689" customFormat="1" x14ac:dyDescent="0.2"/>
    <row r="31939" s="689" customFormat="1" x14ac:dyDescent="0.2"/>
    <row r="31940" s="689" customFormat="1" x14ac:dyDescent="0.2"/>
    <row r="31941" s="689" customFormat="1" x14ac:dyDescent="0.2"/>
    <row r="31942" s="689" customFormat="1" x14ac:dyDescent="0.2"/>
    <row r="31943" s="689" customFormat="1" x14ac:dyDescent="0.2"/>
    <row r="31944" s="689" customFormat="1" x14ac:dyDescent="0.2"/>
    <row r="31945" s="689" customFormat="1" x14ac:dyDescent="0.2"/>
    <row r="31946" s="689" customFormat="1" x14ac:dyDescent="0.2"/>
    <row r="31947" s="689" customFormat="1" x14ac:dyDescent="0.2"/>
    <row r="31948" s="689" customFormat="1" x14ac:dyDescent="0.2"/>
    <row r="31949" s="689" customFormat="1" x14ac:dyDescent="0.2"/>
    <row r="31950" s="689" customFormat="1" x14ac:dyDescent="0.2"/>
    <row r="31951" s="689" customFormat="1" x14ac:dyDescent="0.2"/>
    <row r="31952" s="689" customFormat="1" x14ac:dyDescent="0.2"/>
    <row r="31953" s="689" customFormat="1" x14ac:dyDescent="0.2"/>
    <row r="31954" s="689" customFormat="1" x14ac:dyDescent="0.2"/>
    <row r="31955" s="689" customFormat="1" x14ac:dyDescent="0.2"/>
    <row r="31956" s="689" customFormat="1" x14ac:dyDescent="0.2"/>
    <row r="31957" s="689" customFormat="1" x14ac:dyDescent="0.2"/>
    <row r="31958" s="689" customFormat="1" x14ac:dyDescent="0.2"/>
    <row r="31959" s="689" customFormat="1" x14ac:dyDescent="0.2"/>
    <row r="31960" s="689" customFormat="1" x14ac:dyDescent="0.2"/>
    <row r="31961" s="689" customFormat="1" x14ac:dyDescent="0.2"/>
    <row r="31962" s="689" customFormat="1" x14ac:dyDescent="0.2"/>
    <row r="31963" s="689" customFormat="1" x14ac:dyDescent="0.2"/>
    <row r="31964" s="689" customFormat="1" x14ac:dyDescent="0.2"/>
    <row r="31965" s="689" customFormat="1" x14ac:dyDescent="0.2"/>
    <row r="31966" s="689" customFormat="1" x14ac:dyDescent="0.2"/>
    <row r="31967" s="689" customFormat="1" x14ac:dyDescent="0.2"/>
    <row r="31968" s="689" customFormat="1" x14ac:dyDescent="0.2"/>
    <row r="31969" s="689" customFormat="1" x14ac:dyDescent="0.2"/>
    <row r="31970" s="689" customFormat="1" x14ac:dyDescent="0.2"/>
    <row r="31971" s="689" customFormat="1" x14ac:dyDescent="0.2"/>
    <row r="31972" s="689" customFormat="1" x14ac:dyDescent="0.2"/>
    <row r="31973" s="689" customFormat="1" x14ac:dyDescent="0.2"/>
    <row r="31974" s="689" customFormat="1" x14ac:dyDescent="0.2"/>
    <row r="31975" s="689" customFormat="1" x14ac:dyDescent="0.2"/>
    <row r="31976" s="689" customFormat="1" x14ac:dyDescent="0.2"/>
    <row r="31977" s="689" customFormat="1" x14ac:dyDescent="0.2"/>
    <row r="31978" s="689" customFormat="1" x14ac:dyDescent="0.2"/>
    <row r="31979" s="689" customFormat="1" x14ac:dyDescent="0.2"/>
    <row r="31980" s="689" customFormat="1" x14ac:dyDescent="0.2"/>
    <row r="31981" s="689" customFormat="1" x14ac:dyDescent="0.2"/>
    <row r="31982" s="689" customFormat="1" x14ac:dyDescent="0.2"/>
    <row r="31983" s="689" customFormat="1" x14ac:dyDescent="0.2"/>
    <row r="31984" s="689" customFormat="1" x14ac:dyDescent="0.2"/>
    <row r="31985" s="689" customFormat="1" x14ac:dyDescent="0.2"/>
    <row r="31986" s="689" customFormat="1" x14ac:dyDescent="0.2"/>
    <row r="31987" s="689" customFormat="1" x14ac:dyDescent="0.2"/>
    <row r="31988" s="689" customFormat="1" x14ac:dyDescent="0.2"/>
    <row r="31989" s="689" customFormat="1" x14ac:dyDescent="0.2"/>
    <row r="31990" s="689" customFormat="1" x14ac:dyDescent="0.2"/>
    <row r="31991" s="689" customFormat="1" x14ac:dyDescent="0.2"/>
    <row r="31992" s="689" customFormat="1" x14ac:dyDescent="0.2"/>
    <row r="31993" s="689" customFormat="1" x14ac:dyDescent="0.2"/>
    <row r="31994" s="689" customFormat="1" x14ac:dyDescent="0.2"/>
    <row r="31995" s="689" customFormat="1" x14ac:dyDescent="0.2"/>
    <row r="31996" s="689" customFormat="1" x14ac:dyDescent="0.2"/>
    <row r="31997" s="689" customFormat="1" x14ac:dyDescent="0.2"/>
    <row r="31998" s="689" customFormat="1" x14ac:dyDescent="0.2"/>
    <row r="31999" s="689" customFormat="1" x14ac:dyDescent="0.2"/>
    <row r="32000" s="689" customFormat="1" x14ac:dyDescent="0.2"/>
    <row r="32001" s="689" customFormat="1" x14ac:dyDescent="0.2"/>
    <row r="32002" s="689" customFormat="1" x14ac:dyDescent="0.2"/>
    <row r="32003" s="689" customFormat="1" x14ac:dyDescent="0.2"/>
    <row r="32004" s="689" customFormat="1" x14ac:dyDescent="0.2"/>
    <row r="32005" s="689" customFormat="1" x14ac:dyDescent="0.2"/>
    <row r="32006" s="689" customFormat="1" x14ac:dyDescent="0.2"/>
    <row r="32007" s="689" customFormat="1" x14ac:dyDescent="0.2"/>
    <row r="32008" s="689" customFormat="1" x14ac:dyDescent="0.2"/>
    <row r="32009" s="689" customFormat="1" x14ac:dyDescent="0.2"/>
    <row r="32010" s="689" customFormat="1" x14ac:dyDescent="0.2"/>
    <row r="32011" s="689" customFormat="1" x14ac:dyDescent="0.2"/>
    <row r="32012" s="689" customFormat="1" x14ac:dyDescent="0.2"/>
    <row r="32013" s="689" customFormat="1" x14ac:dyDescent="0.2"/>
    <row r="32014" s="689" customFormat="1" x14ac:dyDescent="0.2"/>
    <row r="32015" s="689" customFormat="1" x14ac:dyDescent="0.2"/>
    <row r="32016" s="689" customFormat="1" x14ac:dyDescent="0.2"/>
    <row r="32017" s="689" customFormat="1" x14ac:dyDescent="0.2"/>
    <row r="32018" s="689" customFormat="1" x14ac:dyDescent="0.2"/>
    <row r="32019" s="689" customFormat="1" x14ac:dyDescent="0.2"/>
    <row r="32020" s="689" customFormat="1" x14ac:dyDescent="0.2"/>
    <row r="32021" s="689" customFormat="1" x14ac:dyDescent="0.2"/>
    <row r="32022" s="689" customFormat="1" x14ac:dyDescent="0.2"/>
    <row r="32023" s="689" customFormat="1" x14ac:dyDescent="0.2"/>
    <row r="32024" s="689" customFormat="1" x14ac:dyDescent="0.2"/>
    <row r="32025" s="689" customFormat="1" x14ac:dyDescent="0.2"/>
    <row r="32026" s="689" customFormat="1" x14ac:dyDescent="0.2"/>
    <row r="32027" s="689" customFormat="1" x14ac:dyDescent="0.2"/>
    <row r="32028" s="689" customFormat="1" x14ac:dyDescent="0.2"/>
    <row r="32029" s="689" customFormat="1" x14ac:dyDescent="0.2"/>
    <row r="32030" s="689" customFormat="1" x14ac:dyDescent="0.2"/>
    <row r="32031" s="689" customFormat="1" x14ac:dyDescent="0.2"/>
    <row r="32032" s="689" customFormat="1" x14ac:dyDescent="0.2"/>
    <row r="32033" s="689" customFormat="1" x14ac:dyDescent="0.2"/>
    <row r="32034" s="689" customFormat="1" x14ac:dyDescent="0.2"/>
    <row r="32035" s="689" customFormat="1" x14ac:dyDescent="0.2"/>
    <row r="32036" s="689" customFormat="1" x14ac:dyDescent="0.2"/>
    <row r="32037" s="689" customFormat="1" x14ac:dyDescent="0.2"/>
    <row r="32038" s="689" customFormat="1" x14ac:dyDescent="0.2"/>
    <row r="32039" s="689" customFormat="1" x14ac:dyDescent="0.2"/>
    <row r="32040" s="689" customFormat="1" x14ac:dyDescent="0.2"/>
    <row r="32041" s="689" customFormat="1" x14ac:dyDescent="0.2"/>
    <row r="32042" s="689" customFormat="1" x14ac:dyDescent="0.2"/>
    <row r="32043" s="689" customFormat="1" x14ac:dyDescent="0.2"/>
    <row r="32044" s="689" customFormat="1" x14ac:dyDescent="0.2"/>
    <row r="32045" s="689" customFormat="1" x14ac:dyDescent="0.2"/>
    <row r="32046" s="689" customFormat="1" x14ac:dyDescent="0.2"/>
    <row r="32047" s="689" customFormat="1" x14ac:dyDescent="0.2"/>
    <row r="32048" s="689" customFormat="1" x14ac:dyDescent="0.2"/>
    <row r="32049" s="689" customFormat="1" x14ac:dyDescent="0.2"/>
    <row r="32050" s="689" customFormat="1" x14ac:dyDescent="0.2"/>
    <row r="32051" s="689" customFormat="1" x14ac:dyDescent="0.2"/>
    <row r="32052" s="689" customFormat="1" x14ac:dyDescent="0.2"/>
    <row r="32053" s="689" customFormat="1" x14ac:dyDescent="0.2"/>
    <row r="32054" s="689" customFormat="1" x14ac:dyDescent="0.2"/>
    <row r="32055" s="689" customFormat="1" x14ac:dyDescent="0.2"/>
    <row r="32056" s="689" customFormat="1" x14ac:dyDescent="0.2"/>
    <row r="32057" s="689" customFormat="1" x14ac:dyDescent="0.2"/>
    <row r="32058" s="689" customFormat="1" x14ac:dyDescent="0.2"/>
    <row r="32059" s="689" customFormat="1" x14ac:dyDescent="0.2"/>
    <row r="32060" s="689" customFormat="1" x14ac:dyDescent="0.2"/>
    <row r="32061" s="689" customFormat="1" x14ac:dyDescent="0.2"/>
    <row r="32062" s="689" customFormat="1" x14ac:dyDescent="0.2"/>
    <row r="32063" s="689" customFormat="1" x14ac:dyDescent="0.2"/>
    <row r="32064" s="689" customFormat="1" x14ac:dyDescent="0.2"/>
    <row r="32065" s="689" customFormat="1" x14ac:dyDescent="0.2"/>
    <row r="32066" s="689" customFormat="1" x14ac:dyDescent="0.2"/>
    <row r="32067" s="689" customFormat="1" x14ac:dyDescent="0.2"/>
    <row r="32068" s="689" customFormat="1" x14ac:dyDescent="0.2"/>
    <row r="32069" s="689" customFormat="1" x14ac:dyDescent="0.2"/>
    <row r="32070" s="689" customFormat="1" x14ac:dyDescent="0.2"/>
    <row r="32071" s="689" customFormat="1" x14ac:dyDescent="0.2"/>
    <row r="32072" s="689" customFormat="1" x14ac:dyDescent="0.2"/>
    <row r="32073" s="689" customFormat="1" x14ac:dyDescent="0.2"/>
    <row r="32074" s="689" customFormat="1" x14ac:dyDescent="0.2"/>
    <row r="32075" s="689" customFormat="1" x14ac:dyDescent="0.2"/>
    <row r="32076" s="689" customFormat="1" x14ac:dyDescent="0.2"/>
    <row r="32077" s="689" customFormat="1" x14ac:dyDescent="0.2"/>
    <row r="32078" s="689" customFormat="1" x14ac:dyDescent="0.2"/>
    <row r="32079" s="689" customFormat="1" x14ac:dyDescent="0.2"/>
    <row r="32080" s="689" customFormat="1" x14ac:dyDescent="0.2"/>
    <row r="32081" s="689" customFormat="1" x14ac:dyDescent="0.2"/>
    <row r="32082" s="689" customFormat="1" x14ac:dyDescent="0.2"/>
    <row r="32083" s="689" customFormat="1" x14ac:dyDescent="0.2"/>
    <row r="32084" s="689" customFormat="1" x14ac:dyDescent="0.2"/>
    <row r="32085" s="689" customFormat="1" x14ac:dyDescent="0.2"/>
    <row r="32086" s="689" customFormat="1" x14ac:dyDescent="0.2"/>
    <row r="32087" s="689" customFormat="1" x14ac:dyDescent="0.2"/>
    <row r="32088" s="689" customFormat="1" x14ac:dyDescent="0.2"/>
    <row r="32089" s="689" customFormat="1" x14ac:dyDescent="0.2"/>
    <row r="32090" s="689" customFormat="1" x14ac:dyDescent="0.2"/>
    <row r="32091" s="689" customFormat="1" x14ac:dyDescent="0.2"/>
    <row r="32092" s="689" customFormat="1" x14ac:dyDescent="0.2"/>
    <row r="32093" s="689" customFormat="1" x14ac:dyDescent="0.2"/>
    <row r="32094" s="689" customFormat="1" x14ac:dyDescent="0.2"/>
    <row r="32095" s="689" customFormat="1" x14ac:dyDescent="0.2"/>
    <row r="32096" s="689" customFormat="1" x14ac:dyDescent="0.2"/>
    <row r="32097" s="689" customFormat="1" x14ac:dyDescent="0.2"/>
    <row r="32098" s="689" customFormat="1" x14ac:dyDescent="0.2"/>
    <row r="32099" s="689" customFormat="1" x14ac:dyDescent="0.2"/>
    <row r="32100" s="689" customFormat="1" x14ac:dyDescent="0.2"/>
    <row r="32101" s="689" customFormat="1" x14ac:dyDescent="0.2"/>
    <row r="32102" s="689" customFormat="1" x14ac:dyDescent="0.2"/>
    <row r="32103" s="689" customFormat="1" x14ac:dyDescent="0.2"/>
    <row r="32104" s="689" customFormat="1" x14ac:dyDescent="0.2"/>
    <row r="32105" s="689" customFormat="1" x14ac:dyDescent="0.2"/>
    <row r="32106" s="689" customFormat="1" x14ac:dyDescent="0.2"/>
    <row r="32107" s="689" customFormat="1" x14ac:dyDescent="0.2"/>
    <row r="32108" s="689" customFormat="1" x14ac:dyDescent="0.2"/>
    <row r="32109" s="689" customFormat="1" x14ac:dyDescent="0.2"/>
    <row r="32110" s="689" customFormat="1" x14ac:dyDescent="0.2"/>
    <row r="32111" s="689" customFormat="1" x14ac:dyDescent="0.2"/>
    <row r="32112" s="689" customFormat="1" x14ac:dyDescent="0.2"/>
    <row r="32113" s="689" customFormat="1" x14ac:dyDescent="0.2"/>
    <row r="32114" s="689" customFormat="1" x14ac:dyDescent="0.2"/>
    <row r="32115" s="689" customFormat="1" x14ac:dyDescent="0.2"/>
    <row r="32116" s="689" customFormat="1" x14ac:dyDescent="0.2"/>
    <row r="32117" s="689" customFormat="1" x14ac:dyDescent="0.2"/>
    <row r="32118" s="689" customFormat="1" x14ac:dyDescent="0.2"/>
    <row r="32119" s="689" customFormat="1" x14ac:dyDescent="0.2"/>
    <row r="32120" s="689" customFormat="1" x14ac:dyDescent="0.2"/>
    <row r="32121" s="689" customFormat="1" x14ac:dyDescent="0.2"/>
    <row r="32122" s="689" customFormat="1" x14ac:dyDescent="0.2"/>
    <row r="32123" s="689" customFormat="1" x14ac:dyDescent="0.2"/>
    <row r="32124" s="689" customFormat="1" x14ac:dyDescent="0.2"/>
    <row r="32125" s="689" customFormat="1" x14ac:dyDescent="0.2"/>
    <row r="32126" s="689" customFormat="1" x14ac:dyDescent="0.2"/>
    <row r="32127" s="689" customFormat="1" x14ac:dyDescent="0.2"/>
    <row r="32128" s="689" customFormat="1" x14ac:dyDescent="0.2"/>
    <row r="32129" s="689" customFormat="1" x14ac:dyDescent="0.2"/>
    <row r="32130" s="689" customFormat="1" x14ac:dyDescent="0.2"/>
    <row r="32131" s="689" customFormat="1" x14ac:dyDescent="0.2"/>
    <row r="32132" s="689" customFormat="1" x14ac:dyDescent="0.2"/>
    <row r="32133" s="689" customFormat="1" x14ac:dyDescent="0.2"/>
    <row r="32134" s="689" customFormat="1" x14ac:dyDescent="0.2"/>
    <row r="32135" s="689" customFormat="1" x14ac:dyDescent="0.2"/>
    <row r="32136" s="689" customFormat="1" x14ac:dyDescent="0.2"/>
    <row r="32137" s="689" customFormat="1" x14ac:dyDescent="0.2"/>
    <row r="32138" s="689" customFormat="1" x14ac:dyDescent="0.2"/>
    <row r="32139" s="689" customFormat="1" x14ac:dyDescent="0.2"/>
    <row r="32140" s="689" customFormat="1" x14ac:dyDescent="0.2"/>
    <row r="32141" s="689" customFormat="1" x14ac:dyDescent="0.2"/>
    <row r="32142" s="689" customFormat="1" x14ac:dyDescent="0.2"/>
    <row r="32143" s="689" customFormat="1" x14ac:dyDescent="0.2"/>
    <row r="32144" s="689" customFormat="1" x14ac:dyDescent="0.2"/>
    <row r="32145" s="689" customFormat="1" x14ac:dyDescent="0.2"/>
    <row r="32146" s="689" customFormat="1" x14ac:dyDescent="0.2"/>
    <row r="32147" s="689" customFormat="1" x14ac:dyDescent="0.2"/>
    <row r="32148" s="689" customFormat="1" x14ac:dyDescent="0.2"/>
    <row r="32149" s="689" customFormat="1" x14ac:dyDescent="0.2"/>
    <row r="32150" s="689" customFormat="1" x14ac:dyDescent="0.2"/>
    <row r="32151" s="689" customFormat="1" x14ac:dyDescent="0.2"/>
    <row r="32152" s="689" customFormat="1" x14ac:dyDescent="0.2"/>
    <row r="32153" s="689" customFormat="1" x14ac:dyDescent="0.2"/>
    <row r="32154" s="689" customFormat="1" x14ac:dyDescent="0.2"/>
    <row r="32155" s="689" customFormat="1" x14ac:dyDescent="0.2"/>
    <row r="32156" s="689" customFormat="1" x14ac:dyDescent="0.2"/>
    <row r="32157" s="689" customFormat="1" x14ac:dyDescent="0.2"/>
    <row r="32158" s="689" customFormat="1" x14ac:dyDescent="0.2"/>
    <row r="32159" s="689" customFormat="1" x14ac:dyDescent="0.2"/>
    <row r="32160" s="689" customFormat="1" x14ac:dyDescent="0.2"/>
    <row r="32161" s="689" customFormat="1" x14ac:dyDescent="0.2"/>
    <row r="32162" s="689" customFormat="1" x14ac:dyDescent="0.2"/>
    <row r="32163" s="689" customFormat="1" x14ac:dyDescent="0.2"/>
    <row r="32164" s="689" customFormat="1" x14ac:dyDescent="0.2"/>
    <row r="32165" s="689" customFormat="1" x14ac:dyDescent="0.2"/>
    <row r="32166" s="689" customFormat="1" x14ac:dyDescent="0.2"/>
    <row r="32167" s="689" customFormat="1" x14ac:dyDescent="0.2"/>
    <row r="32168" s="689" customFormat="1" x14ac:dyDescent="0.2"/>
    <row r="32169" s="689" customFormat="1" x14ac:dyDescent="0.2"/>
    <row r="32170" s="689" customFormat="1" x14ac:dyDescent="0.2"/>
    <row r="32171" s="689" customFormat="1" x14ac:dyDescent="0.2"/>
    <row r="32172" s="689" customFormat="1" x14ac:dyDescent="0.2"/>
    <row r="32173" s="689" customFormat="1" x14ac:dyDescent="0.2"/>
    <row r="32174" s="689" customFormat="1" x14ac:dyDescent="0.2"/>
    <row r="32175" s="689" customFormat="1" x14ac:dyDescent="0.2"/>
    <row r="32176" s="689" customFormat="1" x14ac:dyDescent="0.2"/>
    <row r="32177" s="689" customFormat="1" x14ac:dyDescent="0.2"/>
    <row r="32178" s="689" customFormat="1" x14ac:dyDescent="0.2"/>
    <row r="32179" s="689" customFormat="1" x14ac:dyDescent="0.2"/>
    <row r="32180" s="689" customFormat="1" x14ac:dyDescent="0.2"/>
    <row r="32181" s="689" customFormat="1" x14ac:dyDescent="0.2"/>
    <row r="32182" s="689" customFormat="1" x14ac:dyDescent="0.2"/>
    <row r="32183" s="689" customFormat="1" x14ac:dyDescent="0.2"/>
    <row r="32184" s="689" customFormat="1" x14ac:dyDescent="0.2"/>
    <row r="32185" s="689" customFormat="1" x14ac:dyDescent="0.2"/>
    <row r="32186" s="689" customFormat="1" x14ac:dyDescent="0.2"/>
    <row r="32187" s="689" customFormat="1" x14ac:dyDescent="0.2"/>
    <row r="32188" s="689" customFormat="1" x14ac:dyDescent="0.2"/>
    <row r="32189" s="689" customFormat="1" x14ac:dyDescent="0.2"/>
    <row r="32190" s="689" customFormat="1" x14ac:dyDescent="0.2"/>
    <row r="32191" s="689" customFormat="1" x14ac:dyDescent="0.2"/>
    <row r="32192" s="689" customFormat="1" x14ac:dyDescent="0.2"/>
    <row r="32193" s="689" customFormat="1" x14ac:dyDescent="0.2"/>
    <row r="32194" s="689" customFormat="1" x14ac:dyDescent="0.2"/>
    <row r="32195" s="689" customFormat="1" x14ac:dyDescent="0.2"/>
    <row r="32196" s="689" customFormat="1" x14ac:dyDescent="0.2"/>
    <row r="32197" s="689" customFormat="1" x14ac:dyDescent="0.2"/>
    <row r="32198" s="689" customFormat="1" x14ac:dyDescent="0.2"/>
    <row r="32199" s="689" customFormat="1" x14ac:dyDescent="0.2"/>
    <row r="32200" s="689" customFormat="1" x14ac:dyDescent="0.2"/>
    <row r="32201" s="689" customFormat="1" x14ac:dyDescent="0.2"/>
    <row r="32202" s="689" customFormat="1" x14ac:dyDescent="0.2"/>
    <row r="32203" s="689" customFormat="1" x14ac:dyDescent="0.2"/>
    <row r="32204" s="689" customFormat="1" x14ac:dyDescent="0.2"/>
    <row r="32205" s="689" customFormat="1" x14ac:dyDescent="0.2"/>
    <row r="32206" s="689" customFormat="1" x14ac:dyDescent="0.2"/>
    <row r="32207" s="689" customFormat="1" x14ac:dyDescent="0.2"/>
    <row r="32208" s="689" customFormat="1" x14ac:dyDescent="0.2"/>
    <row r="32209" s="689" customFormat="1" x14ac:dyDescent="0.2"/>
    <row r="32210" s="689" customFormat="1" x14ac:dyDescent="0.2"/>
    <row r="32211" s="689" customFormat="1" x14ac:dyDescent="0.2"/>
    <row r="32212" s="689" customFormat="1" x14ac:dyDescent="0.2"/>
    <row r="32213" s="689" customFormat="1" x14ac:dyDescent="0.2"/>
    <row r="32214" s="689" customFormat="1" x14ac:dyDescent="0.2"/>
    <row r="32215" s="689" customFormat="1" x14ac:dyDescent="0.2"/>
    <row r="32216" s="689" customFormat="1" x14ac:dyDescent="0.2"/>
    <row r="32217" s="689" customFormat="1" x14ac:dyDescent="0.2"/>
    <row r="32218" s="689" customFormat="1" x14ac:dyDescent="0.2"/>
    <row r="32219" s="689" customFormat="1" x14ac:dyDescent="0.2"/>
    <row r="32220" s="689" customFormat="1" x14ac:dyDescent="0.2"/>
    <row r="32221" s="689" customFormat="1" x14ac:dyDescent="0.2"/>
    <row r="32222" s="689" customFormat="1" x14ac:dyDescent="0.2"/>
    <row r="32223" s="689" customFormat="1" x14ac:dyDescent="0.2"/>
    <row r="32224" s="689" customFormat="1" x14ac:dyDescent="0.2"/>
    <row r="32225" s="689" customFormat="1" x14ac:dyDescent="0.2"/>
    <row r="32226" s="689" customFormat="1" x14ac:dyDescent="0.2"/>
    <row r="32227" s="689" customFormat="1" x14ac:dyDescent="0.2"/>
    <row r="32228" s="689" customFormat="1" x14ac:dyDescent="0.2"/>
    <row r="32229" s="689" customFormat="1" x14ac:dyDescent="0.2"/>
    <row r="32230" s="689" customFormat="1" x14ac:dyDescent="0.2"/>
    <row r="32231" s="689" customFormat="1" x14ac:dyDescent="0.2"/>
    <row r="32232" s="689" customFormat="1" x14ac:dyDescent="0.2"/>
    <row r="32233" s="689" customFormat="1" x14ac:dyDescent="0.2"/>
    <row r="32234" s="689" customFormat="1" x14ac:dyDescent="0.2"/>
    <row r="32235" s="689" customFormat="1" x14ac:dyDescent="0.2"/>
    <row r="32236" s="689" customFormat="1" x14ac:dyDescent="0.2"/>
    <row r="32237" s="689" customFormat="1" x14ac:dyDescent="0.2"/>
    <row r="32238" s="689" customFormat="1" x14ac:dyDescent="0.2"/>
    <row r="32239" s="689" customFormat="1" x14ac:dyDescent="0.2"/>
    <row r="32240" s="689" customFormat="1" x14ac:dyDescent="0.2"/>
    <row r="32241" s="689" customFormat="1" x14ac:dyDescent="0.2"/>
    <row r="32242" s="689" customFormat="1" x14ac:dyDescent="0.2"/>
    <row r="32243" s="689" customFormat="1" x14ac:dyDescent="0.2"/>
    <row r="32244" s="689" customFormat="1" x14ac:dyDescent="0.2"/>
    <row r="32245" s="689" customFormat="1" x14ac:dyDescent="0.2"/>
    <row r="32246" s="689" customFormat="1" x14ac:dyDescent="0.2"/>
    <row r="32247" s="689" customFormat="1" x14ac:dyDescent="0.2"/>
    <row r="32248" s="689" customFormat="1" x14ac:dyDescent="0.2"/>
    <row r="32249" s="689" customFormat="1" x14ac:dyDescent="0.2"/>
    <row r="32250" s="689" customFormat="1" x14ac:dyDescent="0.2"/>
    <row r="32251" s="689" customFormat="1" x14ac:dyDescent="0.2"/>
    <row r="32252" s="689" customFormat="1" x14ac:dyDescent="0.2"/>
    <row r="32253" s="689" customFormat="1" x14ac:dyDescent="0.2"/>
    <row r="32254" s="689" customFormat="1" x14ac:dyDescent="0.2"/>
    <row r="32255" s="689" customFormat="1" x14ac:dyDescent="0.2"/>
    <row r="32256" s="689" customFormat="1" x14ac:dyDescent="0.2"/>
    <row r="32257" s="689" customFormat="1" x14ac:dyDescent="0.2"/>
    <row r="32258" s="689" customFormat="1" x14ac:dyDescent="0.2"/>
    <row r="32259" s="689" customFormat="1" x14ac:dyDescent="0.2"/>
    <row r="32260" s="689" customFormat="1" x14ac:dyDescent="0.2"/>
    <row r="32261" s="689" customFormat="1" x14ac:dyDescent="0.2"/>
    <row r="32262" s="689" customFormat="1" x14ac:dyDescent="0.2"/>
    <row r="32263" s="689" customFormat="1" x14ac:dyDescent="0.2"/>
    <row r="32264" s="689" customFormat="1" x14ac:dyDescent="0.2"/>
    <row r="32265" s="689" customFormat="1" x14ac:dyDescent="0.2"/>
    <row r="32266" s="689" customFormat="1" x14ac:dyDescent="0.2"/>
    <row r="32267" s="689" customFormat="1" x14ac:dyDescent="0.2"/>
    <row r="32268" s="689" customFormat="1" x14ac:dyDescent="0.2"/>
    <row r="32269" s="689" customFormat="1" x14ac:dyDescent="0.2"/>
    <row r="32270" s="689" customFormat="1" x14ac:dyDescent="0.2"/>
    <row r="32271" s="689" customFormat="1" x14ac:dyDescent="0.2"/>
    <row r="32272" s="689" customFormat="1" x14ac:dyDescent="0.2"/>
    <row r="32273" s="689" customFormat="1" x14ac:dyDescent="0.2"/>
    <row r="32274" s="689" customFormat="1" x14ac:dyDescent="0.2"/>
    <row r="32275" s="689" customFormat="1" x14ac:dyDescent="0.2"/>
    <row r="32276" s="689" customFormat="1" x14ac:dyDescent="0.2"/>
    <row r="32277" s="689" customFormat="1" x14ac:dyDescent="0.2"/>
    <row r="32278" s="689" customFormat="1" x14ac:dyDescent="0.2"/>
    <row r="32279" s="689" customFormat="1" x14ac:dyDescent="0.2"/>
    <row r="32280" s="689" customFormat="1" x14ac:dyDescent="0.2"/>
    <row r="32281" s="689" customFormat="1" x14ac:dyDescent="0.2"/>
    <row r="32282" s="689" customFormat="1" x14ac:dyDescent="0.2"/>
    <row r="32283" s="689" customFormat="1" x14ac:dyDescent="0.2"/>
    <row r="32284" s="689" customFormat="1" x14ac:dyDescent="0.2"/>
    <row r="32285" s="689" customFormat="1" x14ac:dyDescent="0.2"/>
    <row r="32286" s="689" customFormat="1" x14ac:dyDescent="0.2"/>
    <row r="32287" s="689" customFormat="1" x14ac:dyDescent="0.2"/>
    <row r="32288" s="689" customFormat="1" x14ac:dyDescent="0.2"/>
    <row r="32289" s="689" customFormat="1" x14ac:dyDescent="0.2"/>
    <row r="32290" s="689" customFormat="1" x14ac:dyDescent="0.2"/>
    <row r="32291" s="689" customFormat="1" x14ac:dyDescent="0.2"/>
    <row r="32292" s="689" customFormat="1" x14ac:dyDescent="0.2"/>
    <row r="32293" s="689" customFormat="1" x14ac:dyDescent="0.2"/>
    <row r="32294" s="689" customFormat="1" x14ac:dyDescent="0.2"/>
    <row r="32295" s="689" customFormat="1" x14ac:dyDescent="0.2"/>
    <row r="32296" s="689" customFormat="1" x14ac:dyDescent="0.2"/>
    <row r="32297" s="689" customFormat="1" x14ac:dyDescent="0.2"/>
    <row r="32298" s="689" customFormat="1" x14ac:dyDescent="0.2"/>
    <row r="32299" s="689" customFormat="1" x14ac:dyDescent="0.2"/>
    <row r="32300" s="689" customFormat="1" x14ac:dyDescent="0.2"/>
    <row r="32301" s="689" customFormat="1" x14ac:dyDescent="0.2"/>
    <row r="32302" s="689" customFormat="1" x14ac:dyDescent="0.2"/>
    <row r="32303" s="689" customFormat="1" x14ac:dyDescent="0.2"/>
    <row r="32304" s="689" customFormat="1" x14ac:dyDescent="0.2"/>
    <row r="32305" s="689" customFormat="1" x14ac:dyDescent="0.2"/>
    <row r="32306" s="689" customFormat="1" x14ac:dyDescent="0.2"/>
    <row r="32307" s="689" customFormat="1" x14ac:dyDescent="0.2"/>
    <row r="32308" s="689" customFormat="1" x14ac:dyDescent="0.2"/>
    <row r="32309" s="689" customFormat="1" x14ac:dyDescent="0.2"/>
    <row r="32310" s="689" customFormat="1" x14ac:dyDescent="0.2"/>
    <row r="32311" s="689" customFormat="1" x14ac:dyDescent="0.2"/>
    <row r="32312" s="689" customFormat="1" x14ac:dyDescent="0.2"/>
    <row r="32313" s="689" customFormat="1" x14ac:dyDescent="0.2"/>
    <row r="32314" s="689" customFormat="1" x14ac:dyDescent="0.2"/>
    <row r="32315" s="689" customFormat="1" x14ac:dyDescent="0.2"/>
    <row r="32316" s="689" customFormat="1" x14ac:dyDescent="0.2"/>
    <row r="32317" s="689" customFormat="1" x14ac:dyDescent="0.2"/>
    <row r="32318" s="689" customFormat="1" x14ac:dyDescent="0.2"/>
    <row r="32319" s="689" customFormat="1" x14ac:dyDescent="0.2"/>
    <row r="32320" s="689" customFormat="1" x14ac:dyDescent="0.2"/>
    <row r="32321" s="689" customFormat="1" x14ac:dyDescent="0.2"/>
    <row r="32322" s="689" customFormat="1" x14ac:dyDescent="0.2"/>
    <row r="32323" s="689" customFormat="1" x14ac:dyDescent="0.2"/>
    <row r="32324" s="689" customFormat="1" x14ac:dyDescent="0.2"/>
    <row r="32325" s="689" customFormat="1" x14ac:dyDescent="0.2"/>
    <row r="32326" s="689" customFormat="1" x14ac:dyDescent="0.2"/>
    <row r="32327" s="689" customFormat="1" x14ac:dyDescent="0.2"/>
    <row r="32328" s="689" customFormat="1" x14ac:dyDescent="0.2"/>
    <row r="32329" s="689" customFormat="1" x14ac:dyDescent="0.2"/>
    <row r="32330" s="689" customFormat="1" x14ac:dyDescent="0.2"/>
    <row r="32331" s="689" customFormat="1" x14ac:dyDescent="0.2"/>
    <row r="32332" s="689" customFormat="1" x14ac:dyDescent="0.2"/>
    <row r="32333" s="689" customFormat="1" x14ac:dyDescent="0.2"/>
    <row r="32334" s="689" customFormat="1" x14ac:dyDescent="0.2"/>
    <row r="32335" s="689" customFormat="1" x14ac:dyDescent="0.2"/>
    <row r="32336" s="689" customFormat="1" x14ac:dyDescent="0.2"/>
    <row r="32337" s="689" customFormat="1" x14ac:dyDescent="0.2"/>
    <row r="32338" s="689" customFormat="1" x14ac:dyDescent="0.2"/>
    <row r="32339" s="689" customFormat="1" x14ac:dyDescent="0.2"/>
    <row r="32340" s="689" customFormat="1" x14ac:dyDescent="0.2"/>
    <row r="32341" s="689" customFormat="1" x14ac:dyDescent="0.2"/>
    <row r="32342" s="689" customFormat="1" x14ac:dyDescent="0.2"/>
    <row r="32343" s="689" customFormat="1" x14ac:dyDescent="0.2"/>
    <row r="32344" s="689" customFormat="1" x14ac:dyDescent="0.2"/>
    <row r="32345" s="689" customFormat="1" x14ac:dyDescent="0.2"/>
    <row r="32346" s="689" customFormat="1" x14ac:dyDescent="0.2"/>
    <row r="32347" s="689" customFormat="1" x14ac:dyDescent="0.2"/>
    <row r="32348" s="689" customFormat="1" x14ac:dyDescent="0.2"/>
    <row r="32349" s="689" customFormat="1" x14ac:dyDescent="0.2"/>
    <row r="32350" s="689" customFormat="1" x14ac:dyDescent="0.2"/>
    <row r="32351" s="689" customFormat="1" x14ac:dyDescent="0.2"/>
    <row r="32352" s="689" customFormat="1" x14ac:dyDescent="0.2"/>
    <row r="32353" s="689" customFormat="1" x14ac:dyDescent="0.2"/>
    <row r="32354" s="689" customFormat="1" x14ac:dyDescent="0.2"/>
    <row r="32355" s="689" customFormat="1" x14ac:dyDescent="0.2"/>
    <row r="32356" s="689" customFormat="1" x14ac:dyDescent="0.2"/>
    <row r="32357" s="689" customFormat="1" x14ac:dyDescent="0.2"/>
    <row r="32358" s="689" customFormat="1" x14ac:dyDescent="0.2"/>
    <row r="32359" s="689" customFormat="1" x14ac:dyDescent="0.2"/>
    <row r="32360" s="689" customFormat="1" x14ac:dyDescent="0.2"/>
    <row r="32361" s="689" customFormat="1" x14ac:dyDescent="0.2"/>
    <row r="32362" s="689" customFormat="1" x14ac:dyDescent="0.2"/>
    <row r="32363" s="689" customFormat="1" x14ac:dyDescent="0.2"/>
    <row r="32364" s="689" customFormat="1" x14ac:dyDescent="0.2"/>
    <row r="32365" s="689" customFormat="1" x14ac:dyDescent="0.2"/>
    <row r="32366" s="689" customFormat="1" x14ac:dyDescent="0.2"/>
    <row r="32367" s="689" customFormat="1" x14ac:dyDescent="0.2"/>
    <row r="32368" s="689" customFormat="1" x14ac:dyDescent="0.2"/>
    <row r="32369" s="689" customFormat="1" x14ac:dyDescent="0.2"/>
    <row r="32370" s="689" customFormat="1" x14ac:dyDescent="0.2"/>
    <row r="32371" s="689" customFormat="1" x14ac:dyDescent="0.2"/>
    <row r="32372" s="689" customFormat="1" x14ac:dyDescent="0.2"/>
    <row r="32373" s="689" customFormat="1" x14ac:dyDescent="0.2"/>
    <row r="32374" s="689" customFormat="1" x14ac:dyDescent="0.2"/>
    <row r="32375" s="689" customFormat="1" x14ac:dyDescent="0.2"/>
    <row r="32376" s="689" customFormat="1" x14ac:dyDescent="0.2"/>
    <row r="32377" s="689" customFormat="1" x14ac:dyDescent="0.2"/>
    <row r="32378" s="689" customFormat="1" x14ac:dyDescent="0.2"/>
    <row r="32379" s="689" customFormat="1" x14ac:dyDescent="0.2"/>
    <row r="32380" s="689" customFormat="1" x14ac:dyDescent="0.2"/>
    <row r="32381" s="689" customFormat="1" x14ac:dyDescent="0.2"/>
    <row r="32382" s="689" customFormat="1" x14ac:dyDescent="0.2"/>
    <row r="32383" s="689" customFormat="1" x14ac:dyDescent="0.2"/>
    <row r="32384" s="689" customFormat="1" x14ac:dyDescent="0.2"/>
    <row r="32385" s="689" customFormat="1" x14ac:dyDescent="0.2"/>
    <row r="32386" s="689" customFormat="1" x14ac:dyDescent="0.2"/>
    <row r="32387" s="689" customFormat="1" x14ac:dyDescent="0.2"/>
    <row r="32388" s="689" customFormat="1" x14ac:dyDescent="0.2"/>
    <row r="32389" s="689" customFormat="1" x14ac:dyDescent="0.2"/>
    <row r="32390" s="689" customFormat="1" x14ac:dyDescent="0.2"/>
    <row r="32391" s="689" customFormat="1" x14ac:dyDescent="0.2"/>
    <row r="32392" s="689" customFormat="1" x14ac:dyDescent="0.2"/>
    <row r="32393" s="689" customFormat="1" x14ac:dyDescent="0.2"/>
    <row r="32394" s="689" customFormat="1" x14ac:dyDescent="0.2"/>
    <row r="32395" s="689" customFormat="1" x14ac:dyDescent="0.2"/>
    <row r="32396" s="689" customFormat="1" x14ac:dyDescent="0.2"/>
    <row r="32397" s="689" customFormat="1" x14ac:dyDescent="0.2"/>
    <row r="32398" s="689" customFormat="1" x14ac:dyDescent="0.2"/>
    <row r="32399" s="689" customFormat="1" x14ac:dyDescent="0.2"/>
    <row r="32400" s="689" customFormat="1" x14ac:dyDescent="0.2"/>
    <row r="32401" s="689" customFormat="1" x14ac:dyDescent="0.2"/>
    <row r="32402" s="689" customFormat="1" x14ac:dyDescent="0.2"/>
    <row r="32403" s="689" customFormat="1" x14ac:dyDescent="0.2"/>
    <row r="32404" s="689" customFormat="1" x14ac:dyDescent="0.2"/>
    <row r="32405" s="689" customFormat="1" x14ac:dyDescent="0.2"/>
    <row r="32406" s="689" customFormat="1" x14ac:dyDescent="0.2"/>
    <row r="32407" s="689" customFormat="1" x14ac:dyDescent="0.2"/>
    <row r="32408" s="689" customFormat="1" x14ac:dyDescent="0.2"/>
    <row r="32409" s="689" customFormat="1" x14ac:dyDescent="0.2"/>
    <row r="32410" s="689" customFormat="1" x14ac:dyDescent="0.2"/>
    <row r="32411" s="689" customFormat="1" x14ac:dyDescent="0.2"/>
    <row r="32412" s="689" customFormat="1" x14ac:dyDescent="0.2"/>
    <row r="32413" s="689" customFormat="1" x14ac:dyDescent="0.2"/>
    <row r="32414" s="689" customFormat="1" x14ac:dyDescent="0.2"/>
    <row r="32415" s="689" customFormat="1" x14ac:dyDescent="0.2"/>
    <row r="32416" s="689" customFormat="1" x14ac:dyDescent="0.2"/>
    <row r="32417" s="689" customFormat="1" x14ac:dyDescent="0.2"/>
    <row r="32418" s="689" customFormat="1" x14ac:dyDescent="0.2"/>
    <row r="32419" s="689" customFormat="1" x14ac:dyDescent="0.2"/>
    <row r="32420" s="689" customFormat="1" x14ac:dyDescent="0.2"/>
    <row r="32421" s="689" customFormat="1" x14ac:dyDescent="0.2"/>
    <row r="32422" s="689" customFormat="1" x14ac:dyDescent="0.2"/>
    <row r="32423" s="689" customFormat="1" x14ac:dyDescent="0.2"/>
    <row r="32424" s="689" customFormat="1" x14ac:dyDescent="0.2"/>
    <row r="32425" s="689" customFormat="1" x14ac:dyDescent="0.2"/>
    <row r="32426" s="689" customFormat="1" x14ac:dyDescent="0.2"/>
    <row r="32427" s="689" customFormat="1" x14ac:dyDescent="0.2"/>
    <row r="32428" s="689" customFormat="1" x14ac:dyDescent="0.2"/>
    <row r="32429" s="689" customFormat="1" x14ac:dyDescent="0.2"/>
    <row r="32430" s="689" customFormat="1" x14ac:dyDescent="0.2"/>
    <row r="32431" s="689" customFormat="1" x14ac:dyDescent="0.2"/>
    <row r="32432" s="689" customFormat="1" x14ac:dyDescent="0.2"/>
    <row r="32433" s="689" customFormat="1" x14ac:dyDescent="0.2"/>
    <row r="32434" s="689" customFormat="1" x14ac:dyDescent="0.2"/>
    <row r="32435" s="689" customFormat="1" x14ac:dyDescent="0.2"/>
    <row r="32436" s="689" customFormat="1" x14ac:dyDescent="0.2"/>
    <row r="32437" s="689" customFormat="1" x14ac:dyDescent="0.2"/>
    <row r="32438" s="689" customFormat="1" x14ac:dyDescent="0.2"/>
    <row r="32439" s="689" customFormat="1" x14ac:dyDescent="0.2"/>
    <row r="32440" s="689" customFormat="1" x14ac:dyDescent="0.2"/>
    <row r="32441" s="689" customFormat="1" x14ac:dyDescent="0.2"/>
    <row r="32442" s="689" customFormat="1" x14ac:dyDescent="0.2"/>
    <row r="32443" s="689" customFormat="1" x14ac:dyDescent="0.2"/>
    <row r="32444" s="689" customFormat="1" x14ac:dyDescent="0.2"/>
    <row r="32445" s="689" customFormat="1" x14ac:dyDescent="0.2"/>
    <row r="32446" s="689" customFormat="1" x14ac:dyDescent="0.2"/>
    <row r="32447" s="689" customFormat="1" x14ac:dyDescent="0.2"/>
    <row r="32448" s="689" customFormat="1" x14ac:dyDescent="0.2"/>
    <row r="32449" s="689" customFormat="1" x14ac:dyDescent="0.2"/>
    <row r="32450" s="689" customFormat="1" x14ac:dyDescent="0.2"/>
    <row r="32451" s="689" customFormat="1" x14ac:dyDescent="0.2"/>
    <row r="32452" s="689" customFormat="1" x14ac:dyDescent="0.2"/>
    <row r="32453" s="689" customFormat="1" x14ac:dyDescent="0.2"/>
    <row r="32454" s="689" customFormat="1" x14ac:dyDescent="0.2"/>
    <row r="32455" s="689" customFormat="1" x14ac:dyDescent="0.2"/>
    <row r="32456" s="689" customFormat="1" x14ac:dyDescent="0.2"/>
    <row r="32457" s="689" customFormat="1" x14ac:dyDescent="0.2"/>
    <row r="32458" s="689" customFormat="1" x14ac:dyDescent="0.2"/>
    <row r="32459" s="689" customFormat="1" x14ac:dyDescent="0.2"/>
    <row r="32460" s="689" customFormat="1" x14ac:dyDescent="0.2"/>
    <row r="32461" s="689" customFormat="1" x14ac:dyDescent="0.2"/>
    <row r="32462" s="689" customFormat="1" x14ac:dyDescent="0.2"/>
    <row r="32463" s="689" customFormat="1" x14ac:dyDescent="0.2"/>
    <row r="32464" s="689" customFormat="1" x14ac:dyDescent="0.2"/>
    <row r="32465" s="689" customFormat="1" x14ac:dyDescent="0.2"/>
    <row r="32466" s="689" customFormat="1" x14ac:dyDescent="0.2"/>
    <row r="32467" s="689" customFormat="1" x14ac:dyDescent="0.2"/>
    <row r="32468" s="689" customFormat="1" x14ac:dyDescent="0.2"/>
    <row r="32469" s="689" customFormat="1" x14ac:dyDescent="0.2"/>
    <row r="32470" s="689" customFormat="1" x14ac:dyDescent="0.2"/>
    <row r="32471" s="689" customFormat="1" x14ac:dyDescent="0.2"/>
    <row r="32472" s="689" customFormat="1" x14ac:dyDescent="0.2"/>
    <row r="32473" s="689" customFormat="1" x14ac:dyDescent="0.2"/>
    <row r="32474" s="689" customFormat="1" x14ac:dyDescent="0.2"/>
    <row r="32475" s="689" customFormat="1" x14ac:dyDescent="0.2"/>
    <row r="32476" s="689" customFormat="1" x14ac:dyDescent="0.2"/>
    <row r="32477" s="689" customFormat="1" x14ac:dyDescent="0.2"/>
    <row r="32478" s="689" customFormat="1" x14ac:dyDescent="0.2"/>
    <row r="32479" s="689" customFormat="1" x14ac:dyDescent="0.2"/>
    <row r="32480" s="689" customFormat="1" x14ac:dyDescent="0.2"/>
    <row r="32481" s="689" customFormat="1" x14ac:dyDescent="0.2"/>
    <row r="32482" s="689" customFormat="1" x14ac:dyDescent="0.2"/>
    <row r="32483" s="689" customFormat="1" x14ac:dyDescent="0.2"/>
    <row r="32484" s="689" customFormat="1" x14ac:dyDescent="0.2"/>
    <row r="32485" s="689" customFormat="1" x14ac:dyDescent="0.2"/>
    <row r="32486" s="689" customFormat="1" x14ac:dyDescent="0.2"/>
    <row r="32487" s="689" customFormat="1" x14ac:dyDescent="0.2"/>
    <row r="32488" s="689" customFormat="1" x14ac:dyDescent="0.2"/>
    <row r="32489" s="689" customFormat="1" x14ac:dyDescent="0.2"/>
    <row r="32490" s="689" customFormat="1" x14ac:dyDescent="0.2"/>
    <row r="32491" s="689" customFormat="1" x14ac:dyDescent="0.2"/>
    <row r="32492" s="689" customFormat="1" x14ac:dyDescent="0.2"/>
    <row r="32493" s="689" customFormat="1" x14ac:dyDescent="0.2"/>
    <row r="32494" s="689" customFormat="1" x14ac:dyDescent="0.2"/>
    <row r="32495" s="689" customFormat="1" x14ac:dyDescent="0.2"/>
    <row r="32496" s="689" customFormat="1" x14ac:dyDescent="0.2"/>
    <row r="32497" s="689" customFormat="1" x14ac:dyDescent="0.2"/>
    <row r="32498" s="689" customFormat="1" x14ac:dyDescent="0.2"/>
    <row r="32499" s="689" customFormat="1" x14ac:dyDescent="0.2"/>
    <row r="32500" s="689" customFormat="1" x14ac:dyDescent="0.2"/>
    <row r="32501" s="689" customFormat="1" x14ac:dyDescent="0.2"/>
    <row r="32502" s="689" customFormat="1" x14ac:dyDescent="0.2"/>
    <row r="32503" s="689" customFormat="1" x14ac:dyDescent="0.2"/>
    <row r="32504" s="689" customFormat="1" x14ac:dyDescent="0.2"/>
    <row r="32505" s="689" customFormat="1" x14ac:dyDescent="0.2"/>
    <row r="32506" s="689" customFormat="1" x14ac:dyDescent="0.2"/>
    <row r="32507" s="689" customFormat="1" x14ac:dyDescent="0.2"/>
    <row r="32508" s="689" customFormat="1" x14ac:dyDescent="0.2"/>
    <row r="32509" s="689" customFormat="1" x14ac:dyDescent="0.2"/>
    <row r="32510" s="689" customFormat="1" x14ac:dyDescent="0.2"/>
    <row r="32511" s="689" customFormat="1" x14ac:dyDescent="0.2"/>
    <row r="32512" s="689" customFormat="1" x14ac:dyDescent="0.2"/>
    <row r="32513" s="689" customFormat="1" x14ac:dyDescent="0.2"/>
    <row r="32514" s="689" customFormat="1" x14ac:dyDescent="0.2"/>
    <row r="32515" s="689" customFormat="1" x14ac:dyDescent="0.2"/>
    <row r="32516" s="689" customFormat="1" x14ac:dyDescent="0.2"/>
    <row r="32517" s="689" customFormat="1" x14ac:dyDescent="0.2"/>
    <row r="32518" s="689" customFormat="1" x14ac:dyDescent="0.2"/>
    <row r="32519" s="689" customFormat="1" x14ac:dyDescent="0.2"/>
    <row r="32520" s="689" customFormat="1" x14ac:dyDescent="0.2"/>
    <row r="32521" s="689" customFormat="1" x14ac:dyDescent="0.2"/>
    <row r="32522" s="689" customFormat="1" x14ac:dyDescent="0.2"/>
    <row r="32523" s="689" customFormat="1" x14ac:dyDescent="0.2"/>
    <row r="32524" s="689" customFormat="1" x14ac:dyDescent="0.2"/>
    <row r="32525" s="689" customFormat="1" x14ac:dyDescent="0.2"/>
    <row r="32526" s="689" customFormat="1" x14ac:dyDescent="0.2"/>
    <row r="32527" s="689" customFormat="1" x14ac:dyDescent="0.2"/>
    <row r="32528" s="689" customFormat="1" x14ac:dyDescent="0.2"/>
    <row r="32529" s="689" customFormat="1" x14ac:dyDescent="0.2"/>
    <row r="32530" s="689" customFormat="1" x14ac:dyDescent="0.2"/>
    <row r="32531" s="689" customFormat="1" x14ac:dyDescent="0.2"/>
    <row r="32532" s="689" customFormat="1" x14ac:dyDescent="0.2"/>
    <row r="32533" s="689" customFormat="1" x14ac:dyDescent="0.2"/>
    <row r="32534" s="689" customFormat="1" x14ac:dyDescent="0.2"/>
    <row r="32535" s="689" customFormat="1" x14ac:dyDescent="0.2"/>
    <row r="32536" s="689" customFormat="1" x14ac:dyDescent="0.2"/>
    <row r="32537" s="689" customFormat="1" x14ac:dyDescent="0.2"/>
    <row r="32538" s="689" customFormat="1" x14ac:dyDescent="0.2"/>
    <row r="32539" s="689" customFormat="1" x14ac:dyDescent="0.2"/>
    <row r="32540" s="689" customFormat="1" x14ac:dyDescent="0.2"/>
    <row r="32541" s="689" customFormat="1" x14ac:dyDescent="0.2"/>
    <row r="32542" s="689" customFormat="1" x14ac:dyDescent="0.2"/>
    <row r="32543" s="689" customFormat="1" x14ac:dyDescent="0.2"/>
    <row r="32544" s="689" customFormat="1" x14ac:dyDescent="0.2"/>
    <row r="32545" s="689" customFormat="1" x14ac:dyDescent="0.2"/>
    <row r="32546" s="689" customFormat="1" x14ac:dyDescent="0.2"/>
    <row r="32547" s="689" customFormat="1" x14ac:dyDescent="0.2"/>
    <row r="32548" s="689" customFormat="1" x14ac:dyDescent="0.2"/>
    <row r="32549" s="689" customFormat="1" x14ac:dyDescent="0.2"/>
    <row r="32550" s="689" customFormat="1" x14ac:dyDescent="0.2"/>
    <row r="32551" s="689" customFormat="1" x14ac:dyDescent="0.2"/>
    <row r="32552" s="689" customFormat="1" x14ac:dyDescent="0.2"/>
    <row r="32553" s="689" customFormat="1" x14ac:dyDescent="0.2"/>
    <row r="32554" s="689" customFormat="1" x14ac:dyDescent="0.2"/>
    <row r="32555" s="689" customFormat="1" x14ac:dyDescent="0.2"/>
    <row r="32556" s="689" customFormat="1" x14ac:dyDescent="0.2"/>
    <row r="32557" s="689" customFormat="1" x14ac:dyDescent="0.2"/>
    <row r="32558" s="689" customFormat="1" x14ac:dyDescent="0.2"/>
    <row r="32559" s="689" customFormat="1" x14ac:dyDescent="0.2"/>
    <row r="32560" s="689" customFormat="1" x14ac:dyDescent="0.2"/>
    <row r="32561" s="689" customFormat="1" x14ac:dyDescent="0.2"/>
    <row r="32562" s="689" customFormat="1" x14ac:dyDescent="0.2"/>
    <row r="32563" s="689" customFormat="1" x14ac:dyDescent="0.2"/>
    <row r="32564" s="689" customFormat="1" x14ac:dyDescent="0.2"/>
    <row r="32565" s="689" customFormat="1" x14ac:dyDescent="0.2"/>
    <row r="32566" s="689" customFormat="1" x14ac:dyDescent="0.2"/>
    <row r="32567" s="689" customFormat="1" x14ac:dyDescent="0.2"/>
    <row r="32568" s="689" customFormat="1" x14ac:dyDescent="0.2"/>
    <row r="32569" s="689" customFormat="1" x14ac:dyDescent="0.2"/>
    <row r="32570" s="689" customFormat="1" x14ac:dyDescent="0.2"/>
    <row r="32571" s="689" customFormat="1" x14ac:dyDescent="0.2"/>
    <row r="32572" s="689" customFormat="1" x14ac:dyDescent="0.2"/>
    <row r="32573" s="689" customFormat="1" x14ac:dyDescent="0.2"/>
    <row r="32574" s="689" customFormat="1" x14ac:dyDescent="0.2"/>
    <row r="32575" s="689" customFormat="1" x14ac:dyDescent="0.2"/>
    <row r="32576" s="689" customFormat="1" x14ac:dyDescent="0.2"/>
    <row r="32577" s="689" customFormat="1" x14ac:dyDescent="0.2"/>
    <row r="32578" s="689" customFormat="1" x14ac:dyDescent="0.2"/>
    <row r="32579" s="689" customFormat="1" x14ac:dyDescent="0.2"/>
    <row r="32580" s="689" customFormat="1" x14ac:dyDescent="0.2"/>
    <row r="32581" s="689" customFormat="1" x14ac:dyDescent="0.2"/>
    <row r="32582" s="689" customFormat="1" x14ac:dyDescent="0.2"/>
    <row r="32583" s="689" customFormat="1" x14ac:dyDescent="0.2"/>
    <row r="32584" s="689" customFormat="1" x14ac:dyDescent="0.2"/>
    <row r="32585" s="689" customFormat="1" x14ac:dyDescent="0.2"/>
    <row r="32586" s="689" customFormat="1" x14ac:dyDescent="0.2"/>
    <row r="32587" s="689" customFormat="1" x14ac:dyDescent="0.2"/>
    <row r="32588" s="689" customFormat="1" x14ac:dyDescent="0.2"/>
    <row r="32589" s="689" customFormat="1" x14ac:dyDescent="0.2"/>
    <row r="32590" s="689" customFormat="1" x14ac:dyDescent="0.2"/>
    <row r="32591" s="689" customFormat="1" x14ac:dyDescent="0.2"/>
    <row r="32592" s="689" customFormat="1" x14ac:dyDescent="0.2"/>
    <row r="32593" s="689" customFormat="1" x14ac:dyDescent="0.2"/>
    <row r="32594" s="689" customFormat="1" x14ac:dyDescent="0.2"/>
    <row r="32595" s="689" customFormat="1" x14ac:dyDescent="0.2"/>
    <row r="32596" s="689" customFormat="1" x14ac:dyDescent="0.2"/>
    <row r="32597" s="689" customFormat="1" x14ac:dyDescent="0.2"/>
    <row r="32598" s="689" customFormat="1" x14ac:dyDescent="0.2"/>
    <row r="32599" s="689" customFormat="1" x14ac:dyDescent="0.2"/>
    <row r="32600" s="689" customFormat="1" x14ac:dyDescent="0.2"/>
    <row r="32601" s="689" customFormat="1" x14ac:dyDescent="0.2"/>
    <row r="32602" s="689" customFormat="1" x14ac:dyDescent="0.2"/>
    <row r="32603" s="689" customFormat="1" x14ac:dyDescent="0.2"/>
    <row r="32604" s="689" customFormat="1" x14ac:dyDescent="0.2"/>
    <row r="32605" s="689" customFormat="1" x14ac:dyDescent="0.2"/>
    <row r="32606" s="689" customFormat="1" x14ac:dyDescent="0.2"/>
    <row r="32607" s="689" customFormat="1" x14ac:dyDescent="0.2"/>
    <row r="32608" s="689" customFormat="1" x14ac:dyDescent="0.2"/>
    <row r="32609" s="689" customFormat="1" x14ac:dyDescent="0.2"/>
    <row r="32610" s="689" customFormat="1" x14ac:dyDescent="0.2"/>
    <row r="32611" s="689" customFormat="1" x14ac:dyDescent="0.2"/>
    <row r="32612" s="689" customFormat="1" x14ac:dyDescent="0.2"/>
    <row r="32613" s="689" customFormat="1" x14ac:dyDescent="0.2"/>
    <row r="32614" s="689" customFormat="1" x14ac:dyDescent="0.2"/>
    <row r="32615" s="689" customFormat="1" x14ac:dyDescent="0.2"/>
    <row r="32616" s="689" customFormat="1" x14ac:dyDescent="0.2"/>
    <row r="32617" s="689" customFormat="1" x14ac:dyDescent="0.2"/>
    <row r="32618" s="689" customFormat="1" x14ac:dyDescent="0.2"/>
    <row r="32619" s="689" customFormat="1" x14ac:dyDescent="0.2"/>
    <row r="32620" s="689" customFormat="1" x14ac:dyDescent="0.2"/>
    <row r="32621" s="689" customFormat="1" x14ac:dyDescent="0.2"/>
    <row r="32622" s="689" customFormat="1" x14ac:dyDescent="0.2"/>
    <row r="32623" s="689" customFormat="1" x14ac:dyDescent="0.2"/>
    <row r="32624" s="689" customFormat="1" x14ac:dyDescent="0.2"/>
    <row r="32625" s="689" customFormat="1" x14ac:dyDescent="0.2"/>
    <row r="32626" s="689" customFormat="1" x14ac:dyDescent="0.2"/>
    <row r="32627" s="689" customFormat="1" x14ac:dyDescent="0.2"/>
    <row r="32628" s="689" customFormat="1" x14ac:dyDescent="0.2"/>
    <row r="32629" s="689" customFormat="1" x14ac:dyDescent="0.2"/>
    <row r="32630" s="689" customFormat="1" x14ac:dyDescent="0.2"/>
    <row r="32631" s="689" customFormat="1" x14ac:dyDescent="0.2"/>
    <row r="32632" s="689" customFormat="1" x14ac:dyDescent="0.2"/>
    <row r="32633" s="689" customFormat="1" x14ac:dyDescent="0.2"/>
    <row r="32634" s="689" customFormat="1" x14ac:dyDescent="0.2"/>
    <row r="32635" s="689" customFormat="1" x14ac:dyDescent="0.2"/>
    <row r="32636" s="689" customFormat="1" x14ac:dyDescent="0.2"/>
    <row r="32637" s="689" customFormat="1" x14ac:dyDescent="0.2"/>
    <row r="32638" s="689" customFormat="1" x14ac:dyDescent="0.2"/>
    <row r="32639" s="689" customFormat="1" x14ac:dyDescent="0.2"/>
    <row r="32640" s="689" customFormat="1" x14ac:dyDescent="0.2"/>
    <row r="32641" s="689" customFormat="1" x14ac:dyDescent="0.2"/>
    <row r="32642" s="689" customFormat="1" x14ac:dyDescent="0.2"/>
    <row r="32643" s="689" customFormat="1" x14ac:dyDescent="0.2"/>
    <row r="32644" s="689" customFormat="1" x14ac:dyDescent="0.2"/>
    <row r="32645" s="689" customFormat="1" x14ac:dyDescent="0.2"/>
    <row r="32646" s="689" customFormat="1" x14ac:dyDescent="0.2"/>
    <row r="32647" s="689" customFormat="1" x14ac:dyDescent="0.2"/>
    <row r="32648" s="689" customFormat="1" x14ac:dyDescent="0.2"/>
    <row r="32649" s="689" customFormat="1" x14ac:dyDescent="0.2"/>
    <row r="32650" s="689" customFormat="1" x14ac:dyDescent="0.2"/>
    <row r="32651" s="689" customFormat="1" x14ac:dyDescent="0.2"/>
    <row r="32652" s="689" customFormat="1" x14ac:dyDescent="0.2"/>
    <row r="32653" s="689" customFormat="1" x14ac:dyDescent="0.2"/>
    <row r="32654" s="689" customFormat="1" x14ac:dyDescent="0.2"/>
    <row r="32655" s="689" customFormat="1" x14ac:dyDescent="0.2"/>
    <row r="32656" s="689" customFormat="1" x14ac:dyDescent="0.2"/>
    <row r="32657" s="689" customFormat="1" x14ac:dyDescent="0.2"/>
    <row r="32658" s="689" customFormat="1" x14ac:dyDescent="0.2"/>
    <row r="32659" s="689" customFormat="1" x14ac:dyDescent="0.2"/>
    <row r="32660" s="689" customFormat="1" x14ac:dyDescent="0.2"/>
    <row r="32661" s="689" customFormat="1" x14ac:dyDescent="0.2"/>
    <row r="32662" s="689" customFormat="1" x14ac:dyDescent="0.2"/>
    <row r="32663" s="689" customFormat="1" x14ac:dyDescent="0.2"/>
    <row r="32664" s="689" customFormat="1" x14ac:dyDescent="0.2"/>
    <row r="32665" s="689" customFormat="1" x14ac:dyDescent="0.2"/>
    <row r="32666" s="689" customFormat="1" x14ac:dyDescent="0.2"/>
    <row r="32667" s="689" customFormat="1" x14ac:dyDescent="0.2"/>
    <row r="32668" s="689" customFormat="1" x14ac:dyDescent="0.2"/>
    <row r="32669" s="689" customFormat="1" x14ac:dyDescent="0.2"/>
    <row r="32670" s="689" customFormat="1" x14ac:dyDescent="0.2"/>
    <row r="32671" s="689" customFormat="1" x14ac:dyDescent="0.2"/>
    <row r="32672" s="689" customFormat="1" x14ac:dyDescent="0.2"/>
    <row r="32673" s="689" customFormat="1" x14ac:dyDescent="0.2"/>
    <row r="32674" s="689" customFormat="1" x14ac:dyDescent="0.2"/>
    <row r="32675" s="689" customFormat="1" x14ac:dyDescent="0.2"/>
    <row r="32676" s="689" customFormat="1" x14ac:dyDescent="0.2"/>
    <row r="32677" s="689" customFormat="1" x14ac:dyDescent="0.2"/>
    <row r="32678" s="689" customFormat="1" x14ac:dyDescent="0.2"/>
    <row r="32679" s="689" customFormat="1" x14ac:dyDescent="0.2"/>
    <row r="32680" s="689" customFormat="1" x14ac:dyDescent="0.2"/>
    <row r="32681" s="689" customFormat="1" x14ac:dyDescent="0.2"/>
    <row r="32682" s="689" customFormat="1" x14ac:dyDescent="0.2"/>
    <row r="32683" s="689" customFormat="1" x14ac:dyDescent="0.2"/>
    <row r="32684" s="689" customFormat="1" x14ac:dyDescent="0.2"/>
    <row r="32685" s="689" customFormat="1" x14ac:dyDescent="0.2"/>
    <row r="32686" s="689" customFormat="1" x14ac:dyDescent="0.2"/>
    <row r="32687" s="689" customFormat="1" x14ac:dyDescent="0.2"/>
    <row r="32688" s="689" customFormat="1" x14ac:dyDescent="0.2"/>
    <row r="32689" s="689" customFormat="1" x14ac:dyDescent="0.2"/>
    <row r="32690" s="689" customFormat="1" x14ac:dyDescent="0.2"/>
    <row r="32691" s="689" customFormat="1" x14ac:dyDescent="0.2"/>
    <row r="32692" s="689" customFormat="1" x14ac:dyDescent="0.2"/>
    <row r="32693" s="689" customFormat="1" x14ac:dyDescent="0.2"/>
    <row r="32694" s="689" customFormat="1" x14ac:dyDescent="0.2"/>
    <row r="32695" s="689" customFormat="1" x14ac:dyDescent="0.2"/>
    <row r="32696" s="689" customFormat="1" x14ac:dyDescent="0.2"/>
    <row r="32697" s="689" customFormat="1" x14ac:dyDescent="0.2"/>
    <row r="32698" s="689" customFormat="1" x14ac:dyDescent="0.2"/>
    <row r="32699" s="689" customFormat="1" x14ac:dyDescent="0.2"/>
    <row r="32700" s="689" customFormat="1" x14ac:dyDescent="0.2"/>
    <row r="32701" s="689" customFormat="1" x14ac:dyDescent="0.2"/>
    <row r="32702" s="689" customFormat="1" x14ac:dyDescent="0.2"/>
    <row r="32703" s="689" customFormat="1" x14ac:dyDescent="0.2"/>
    <row r="32704" s="689" customFormat="1" x14ac:dyDescent="0.2"/>
    <row r="32705" s="689" customFormat="1" x14ac:dyDescent="0.2"/>
    <row r="32706" s="689" customFormat="1" x14ac:dyDescent="0.2"/>
    <row r="32707" s="689" customFormat="1" x14ac:dyDescent="0.2"/>
    <row r="32708" s="689" customFormat="1" x14ac:dyDescent="0.2"/>
    <row r="32709" s="689" customFormat="1" x14ac:dyDescent="0.2"/>
    <row r="32710" s="689" customFormat="1" x14ac:dyDescent="0.2"/>
    <row r="32711" s="689" customFormat="1" x14ac:dyDescent="0.2"/>
    <row r="32712" s="689" customFormat="1" x14ac:dyDescent="0.2"/>
    <row r="32713" s="689" customFormat="1" x14ac:dyDescent="0.2"/>
    <row r="32714" s="689" customFormat="1" x14ac:dyDescent="0.2"/>
    <row r="32715" s="689" customFormat="1" x14ac:dyDescent="0.2"/>
    <row r="32716" s="689" customFormat="1" x14ac:dyDescent="0.2"/>
    <row r="32717" s="689" customFormat="1" x14ac:dyDescent="0.2"/>
    <row r="32718" s="689" customFormat="1" x14ac:dyDescent="0.2"/>
    <row r="32719" s="689" customFormat="1" x14ac:dyDescent="0.2"/>
    <row r="32720" s="689" customFormat="1" x14ac:dyDescent="0.2"/>
    <row r="32721" s="689" customFormat="1" x14ac:dyDescent="0.2"/>
    <row r="32722" s="689" customFormat="1" x14ac:dyDescent="0.2"/>
    <row r="32723" s="689" customFormat="1" x14ac:dyDescent="0.2"/>
    <row r="32724" s="689" customFormat="1" x14ac:dyDescent="0.2"/>
    <row r="32725" s="689" customFormat="1" x14ac:dyDescent="0.2"/>
    <row r="32726" s="689" customFormat="1" x14ac:dyDescent="0.2"/>
    <row r="32727" s="689" customFormat="1" x14ac:dyDescent="0.2"/>
    <row r="32728" s="689" customFormat="1" x14ac:dyDescent="0.2"/>
    <row r="32729" s="689" customFormat="1" x14ac:dyDescent="0.2"/>
    <row r="32730" s="689" customFormat="1" x14ac:dyDescent="0.2"/>
    <row r="32731" s="689" customFormat="1" x14ac:dyDescent="0.2"/>
    <row r="32732" s="689" customFormat="1" x14ac:dyDescent="0.2"/>
    <row r="32733" s="689" customFormat="1" x14ac:dyDescent="0.2"/>
    <row r="32734" s="689" customFormat="1" x14ac:dyDescent="0.2"/>
    <row r="32735" s="689" customFormat="1" x14ac:dyDescent="0.2"/>
    <row r="32736" s="689" customFormat="1" x14ac:dyDescent="0.2"/>
    <row r="32737" s="689" customFormat="1" x14ac:dyDescent="0.2"/>
    <row r="32738" s="689" customFormat="1" x14ac:dyDescent="0.2"/>
    <row r="32739" s="689" customFormat="1" x14ac:dyDescent="0.2"/>
    <row r="32740" s="689" customFormat="1" x14ac:dyDescent="0.2"/>
    <row r="32741" s="689" customFormat="1" x14ac:dyDescent="0.2"/>
    <row r="32742" s="689" customFormat="1" x14ac:dyDescent="0.2"/>
    <row r="32743" s="689" customFormat="1" x14ac:dyDescent="0.2"/>
    <row r="32744" s="689" customFormat="1" x14ac:dyDescent="0.2"/>
    <row r="32745" s="689" customFormat="1" x14ac:dyDescent="0.2"/>
    <row r="32746" s="689" customFormat="1" x14ac:dyDescent="0.2"/>
    <row r="32747" s="689" customFormat="1" x14ac:dyDescent="0.2"/>
    <row r="32748" s="689" customFormat="1" x14ac:dyDescent="0.2"/>
    <row r="32749" s="689" customFormat="1" x14ac:dyDescent="0.2"/>
    <row r="32750" s="689" customFormat="1" x14ac:dyDescent="0.2"/>
    <row r="32751" s="689" customFormat="1" x14ac:dyDescent="0.2"/>
    <row r="32752" s="689" customFormat="1" x14ac:dyDescent="0.2"/>
    <row r="32753" s="689" customFormat="1" x14ac:dyDescent="0.2"/>
    <row r="32754" s="689" customFormat="1" x14ac:dyDescent="0.2"/>
    <row r="32755" s="689" customFormat="1" x14ac:dyDescent="0.2"/>
    <row r="32756" s="689" customFormat="1" x14ac:dyDescent="0.2"/>
    <row r="32757" s="689" customFormat="1" x14ac:dyDescent="0.2"/>
    <row r="32758" s="689" customFormat="1" x14ac:dyDescent="0.2"/>
    <row r="32759" s="689" customFormat="1" x14ac:dyDescent="0.2"/>
    <row r="32760" s="689" customFormat="1" x14ac:dyDescent="0.2"/>
    <row r="32761" s="689" customFormat="1" x14ac:dyDescent="0.2"/>
    <row r="32762" s="689" customFormat="1" x14ac:dyDescent="0.2"/>
    <row r="32763" s="689" customFormat="1" x14ac:dyDescent="0.2"/>
    <row r="32764" s="689" customFormat="1" x14ac:dyDescent="0.2"/>
    <row r="32765" s="689" customFormat="1" x14ac:dyDescent="0.2"/>
    <row r="32766" s="689" customFormat="1" x14ac:dyDescent="0.2"/>
    <row r="32767" s="689" customFormat="1" x14ac:dyDescent="0.2"/>
    <row r="32768" s="689" customFormat="1" x14ac:dyDescent="0.2"/>
    <row r="32769" s="689" customFormat="1" x14ac:dyDescent="0.2"/>
    <row r="32770" s="689" customFormat="1" x14ac:dyDescent="0.2"/>
    <row r="32771" s="689" customFormat="1" x14ac:dyDescent="0.2"/>
    <row r="32772" s="689" customFormat="1" x14ac:dyDescent="0.2"/>
    <row r="32773" s="689" customFormat="1" x14ac:dyDescent="0.2"/>
    <row r="32774" s="689" customFormat="1" x14ac:dyDescent="0.2"/>
    <row r="32775" s="689" customFormat="1" x14ac:dyDescent="0.2"/>
    <row r="32776" s="689" customFormat="1" x14ac:dyDescent="0.2"/>
    <row r="32777" s="689" customFormat="1" x14ac:dyDescent="0.2"/>
    <row r="32778" s="689" customFormat="1" x14ac:dyDescent="0.2"/>
    <row r="32779" s="689" customFormat="1" x14ac:dyDescent="0.2"/>
    <row r="32780" s="689" customFormat="1" x14ac:dyDescent="0.2"/>
    <row r="32781" s="689" customFormat="1" x14ac:dyDescent="0.2"/>
    <row r="32782" s="689" customFormat="1" x14ac:dyDescent="0.2"/>
    <row r="32783" s="689" customFormat="1" x14ac:dyDescent="0.2"/>
    <row r="32784" s="689" customFormat="1" x14ac:dyDescent="0.2"/>
    <row r="32785" s="689" customFormat="1" x14ac:dyDescent="0.2"/>
    <row r="32786" s="689" customFormat="1" x14ac:dyDescent="0.2"/>
    <row r="32787" s="689" customFormat="1" x14ac:dyDescent="0.2"/>
    <row r="32788" s="689" customFormat="1" x14ac:dyDescent="0.2"/>
    <row r="32789" s="689" customFormat="1" x14ac:dyDescent="0.2"/>
    <row r="32790" s="689" customFormat="1" x14ac:dyDescent="0.2"/>
    <row r="32791" s="689" customFormat="1" x14ac:dyDescent="0.2"/>
    <row r="32792" s="689" customFormat="1" x14ac:dyDescent="0.2"/>
    <row r="32793" s="689" customFormat="1" x14ac:dyDescent="0.2"/>
    <row r="32794" s="689" customFormat="1" x14ac:dyDescent="0.2"/>
    <row r="32795" s="689" customFormat="1" x14ac:dyDescent="0.2"/>
    <row r="32796" s="689" customFormat="1" x14ac:dyDescent="0.2"/>
    <row r="32797" s="689" customFormat="1" x14ac:dyDescent="0.2"/>
    <row r="32798" s="689" customFormat="1" x14ac:dyDescent="0.2"/>
    <row r="32799" s="689" customFormat="1" x14ac:dyDescent="0.2"/>
    <row r="32800" s="689" customFormat="1" x14ac:dyDescent="0.2"/>
    <row r="32801" s="689" customFormat="1" x14ac:dyDescent="0.2"/>
    <row r="32802" s="689" customFormat="1" x14ac:dyDescent="0.2"/>
    <row r="32803" s="689" customFormat="1" x14ac:dyDescent="0.2"/>
    <row r="32804" s="689" customFormat="1" x14ac:dyDescent="0.2"/>
    <row r="32805" s="689" customFormat="1" x14ac:dyDescent="0.2"/>
    <row r="32806" s="689" customFormat="1" x14ac:dyDescent="0.2"/>
    <row r="32807" s="689" customFormat="1" x14ac:dyDescent="0.2"/>
    <row r="32808" s="689" customFormat="1" x14ac:dyDescent="0.2"/>
    <row r="32809" s="689" customFormat="1" x14ac:dyDescent="0.2"/>
    <row r="32810" s="689" customFormat="1" x14ac:dyDescent="0.2"/>
    <row r="32811" s="689" customFormat="1" x14ac:dyDescent="0.2"/>
    <row r="32812" s="689" customFormat="1" x14ac:dyDescent="0.2"/>
    <row r="32813" s="689" customFormat="1" x14ac:dyDescent="0.2"/>
    <row r="32814" s="689" customFormat="1" x14ac:dyDescent="0.2"/>
    <row r="32815" s="689" customFormat="1" x14ac:dyDescent="0.2"/>
    <row r="32816" s="689" customFormat="1" x14ac:dyDescent="0.2"/>
    <row r="32817" s="689" customFormat="1" x14ac:dyDescent="0.2"/>
    <row r="32818" s="689" customFormat="1" x14ac:dyDescent="0.2"/>
    <row r="32819" s="689" customFormat="1" x14ac:dyDescent="0.2"/>
    <row r="32820" s="689" customFormat="1" x14ac:dyDescent="0.2"/>
    <row r="32821" s="689" customFormat="1" x14ac:dyDescent="0.2"/>
    <row r="32822" s="689" customFormat="1" x14ac:dyDescent="0.2"/>
    <row r="32823" s="689" customFormat="1" x14ac:dyDescent="0.2"/>
    <row r="32824" s="689" customFormat="1" x14ac:dyDescent="0.2"/>
    <row r="32825" s="689" customFormat="1" x14ac:dyDescent="0.2"/>
    <row r="32826" s="689" customFormat="1" x14ac:dyDescent="0.2"/>
    <row r="32827" s="689" customFormat="1" x14ac:dyDescent="0.2"/>
    <row r="32828" s="689" customFormat="1" x14ac:dyDescent="0.2"/>
    <row r="32829" s="689" customFormat="1" x14ac:dyDescent="0.2"/>
    <row r="32830" s="689" customFormat="1" x14ac:dyDescent="0.2"/>
    <row r="32831" s="689" customFormat="1" x14ac:dyDescent="0.2"/>
    <row r="32832" s="689" customFormat="1" x14ac:dyDescent="0.2"/>
    <row r="32833" s="689" customFormat="1" x14ac:dyDescent="0.2"/>
    <row r="32834" s="689" customFormat="1" x14ac:dyDescent="0.2"/>
    <row r="32835" s="689" customFormat="1" x14ac:dyDescent="0.2"/>
    <row r="32836" s="689" customFormat="1" x14ac:dyDescent="0.2"/>
    <row r="32837" s="689" customFormat="1" x14ac:dyDescent="0.2"/>
    <row r="32838" s="689" customFormat="1" x14ac:dyDescent="0.2"/>
    <row r="32839" s="689" customFormat="1" x14ac:dyDescent="0.2"/>
    <row r="32840" s="689" customFormat="1" x14ac:dyDescent="0.2"/>
    <row r="32841" s="689" customFormat="1" x14ac:dyDescent="0.2"/>
    <row r="32842" s="689" customFormat="1" x14ac:dyDescent="0.2"/>
    <row r="32843" s="689" customFormat="1" x14ac:dyDescent="0.2"/>
    <row r="32844" s="689" customFormat="1" x14ac:dyDescent="0.2"/>
    <row r="32845" s="689" customFormat="1" x14ac:dyDescent="0.2"/>
    <row r="32846" s="689" customFormat="1" x14ac:dyDescent="0.2"/>
    <row r="32847" s="689" customFormat="1" x14ac:dyDescent="0.2"/>
    <row r="32848" s="689" customFormat="1" x14ac:dyDescent="0.2"/>
    <row r="32849" s="689" customFormat="1" x14ac:dyDescent="0.2"/>
    <row r="32850" s="689" customFormat="1" x14ac:dyDescent="0.2"/>
    <row r="32851" s="689" customFormat="1" x14ac:dyDescent="0.2"/>
    <row r="32852" s="689" customFormat="1" x14ac:dyDescent="0.2"/>
    <row r="32853" s="689" customFormat="1" x14ac:dyDescent="0.2"/>
    <row r="32854" s="689" customFormat="1" x14ac:dyDescent="0.2"/>
    <row r="32855" s="689" customFormat="1" x14ac:dyDescent="0.2"/>
    <row r="32856" s="689" customFormat="1" x14ac:dyDescent="0.2"/>
    <row r="32857" s="689" customFormat="1" x14ac:dyDescent="0.2"/>
    <row r="32858" s="689" customFormat="1" x14ac:dyDescent="0.2"/>
    <row r="32859" s="689" customFormat="1" x14ac:dyDescent="0.2"/>
    <row r="32860" s="689" customFormat="1" x14ac:dyDescent="0.2"/>
    <row r="32861" s="689" customFormat="1" x14ac:dyDescent="0.2"/>
    <row r="32862" s="689" customFormat="1" x14ac:dyDescent="0.2"/>
    <row r="32863" s="689" customFormat="1" x14ac:dyDescent="0.2"/>
    <row r="32864" s="689" customFormat="1" x14ac:dyDescent="0.2"/>
    <row r="32865" s="689" customFormat="1" x14ac:dyDescent="0.2"/>
    <row r="32866" s="689" customFormat="1" x14ac:dyDescent="0.2"/>
    <row r="32867" s="689" customFormat="1" x14ac:dyDescent="0.2"/>
    <row r="32868" s="689" customFormat="1" x14ac:dyDescent="0.2"/>
    <row r="32869" s="689" customFormat="1" x14ac:dyDescent="0.2"/>
    <row r="32870" s="689" customFormat="1" x14ac:dyDescent="0.2"/>
    <row r="32871" s="689" customFormat="1" x14ac:dyDescent="0.2"/>
    <row r="32872" s="689" customFormat="1" x14ac:dyDescent="0.2"/>
    <row r="32873" s="689" customFormat="1" x14ac:dyDescent="0.2"/>
    <row r="32874" s="689" customFormat="1" x14ac:dyDescent="0.2"/>
    <row r="32875" s="689" customFormat="1" x14ac:dyDescent="0.2"/>
    <row r="32876" s="689" customFormat="1" x14ac:dyDescent="0.2"/>
    <row r="32877" s="689" customFormat="1" x14ac:dyDescent="0.2"/>
    <row r="32878" s="689" customFormat="1" x14ac:dyDescent="0.2"/>
    <row r="32879" s="689" customFormat="1" x14ac:dyDescent="0.2"/>
    <row r="32880" s="689" customFormat="1" x14ac:dyDescent="0.2"/>
    <row r="32881" s="689" customFormat="1" x14ac:dyDescent="0.2"/>
    <row r="32882" s="689" customFormat="1" x14ac:dyDescent="0.2"/>
    <row r="32883" s="689" customFormat="1" x14ac:dyDescent="0.2"/>
    <row r="32884" s="689" customFormat="1" x14ac:dyDescent="0.2"/>
    <row r="32885" s="689" customFormat="1" x14ac:dyDescent="0.2"/>
    <row r="32886" s="689" customFormat="1" x14ac:dyDescent="0.2"/>
    <row r="32887" s="689" customFormat="1" x14ac:dyDescent="0.2"/>
    <row r="32888" s="689" customFormat="1" x14ac:dyDescent="0.2"/>
    <row r="32889" s="689" customFormat="1" x14ac:dyDescent="0.2"/>
    <row r="32890" s="689" customFormat="1" x14ac:dyDescent="0.2"/>
    <row r="32891" s="689" customFormat="1" x14ac:dyDescent="0.2"/>
    <row r="32892" s="689" customFormat="1" x14ac:dyDescent="0.2"/>
    <row r="32893" s="689" customFormat="1" x14ac:dyDescent="0.2"/>
    <row r="32894" s="689" customFormat="1" x14ac:dyDescent="0.2"/>
    <row r="32895" s="689" customFormat="1" x14ac:dyDescent="0.2"/>
    <row r="32896" s="689" customFormat="1" x14ac:dyDescent="0.2"/>
    <row r="32897" s="689" customFormat="1" x14ac:dyDescent="0.2"/>
    <row r="32898" s="689" customFormat="1" x14ac:dyDescent="0.2"/>
    <row r="32899" s="689" customFormat="1" x14ac:dyDescent="0.2"/>
    <row r="32900" s="689" customFormat="1" x14ac:dyDescent="0.2"/>
    <row r="32901" s="689" customFormat="1" x14ac:dyDescent="0.2"/>
    <row r="32902" s="689" customFormat="1" x14ac:dyDescent="0.2"/>
    <row r="32903" s="689" customFormat="1" x14ac:dyDescent="0.2"/>
    <row r="32904" s="689" customFormat="1" x14ac:dyDescent="0.2"/>
    <row r="32905" s="689" customFormat="1" x14ac:dyDescent="0.2"/>
    <row r="32906" s="689" customFormat="1" x14ac:dyDescent="0.2"/>
    <row r="32907" s="689" customFormat="1" x14ac:dyDescent="0.2"/>
    <row r="32908" s="689" customFormat="1" x14ac:dyDescent="0.2"/>
    <row r="32909" s="689" customFormat="1" x14ac:dyDescent="0.2"/>
    <row r="32910" s="689" customFormat="1" x14ac:dyDescent="0.2"/>
    <row r="32911" s="689" customFormat="1" x14ac:dyDescent="0.2"/>
    <row r="32912" s="689" customFormat="1" x14ac:dyDescent="0.2"/>
    <row r="32913" s="689" customFormat="1" x14ac:dyDescent="0.2"/>
    <row r="32914" s="689" customFormat="1" x14ac:dyDescent="0.2"/>
    <row r="32915" s="689" customFormat="1" x14ac:dyDescent="0.2"/>
    <row r="32916" s="689" customFormat="1" x14ac:dyDescent="0.2"/>
    <row r="32917" s="689" customFormat="1" x14ac:dyDescent="0.2"/>
    <row r="32918" s="689" customFormat="1" x14ac:dyDescent="0.2"/>
    <row r="32919" s="689" customFormat="1" x14ac:dyDescent="0.2"/>
    <row r="32920" s="689" customFormat="1" x14ac:dyDescent="0.2"/>
    <row r="32921" s="689" customFormat="1" x14ac:dyDescent="0.2"/>
    <row r="32922" s="689" customFormat="1" x14ac:dyDescent="0.2"/>
    <row r="32923" s="689" customFormat="1" x14ac:dyDescent="0.2"/>
    <row r="32924" s="689" customFormat="1" x14ac:dyDescent="0.2"/>
    <row r="32925" s="689" customFormat="1" x14ac:dyDescent="0.2"/>
    <row r="32926" s="689" customFormat="1" x14ac:dyDescent="0.2"/>
    <row r="32927" s="689" customFormat="1" x14ac:dyDescent="0.2"/>
    <row r="32928" s="689" customFormat="1" x14ac:dyDescent="0.2"/>
    <row r="32929" s="689" customFormat="1" x14ac:dyDescent="0.2"/>
    <row r="32930" s="689" customFormat="1" x14ac:dyDescent="0.2"/>
    <row r="32931" s="689" customFormat="1" x14ac:dyDescent="0.2"/>
    <row r="32932" s="689" customFormat="1" x14ac:dyDescent="0.2"/>
    <row r="32933" s="689" customFormat="1" x14ac:dyDescent="0.2"/>
    <row r="32934" s="689" customFormat="1" x14ac:dyDescent="0.2"/>
    <row r="32935" s="689" customFormat="1" x14ac:dyDescent="0.2"/>
    <row r="32936" s="689" customFormat="1" x14ac:dyDescent="0.2"/>
    <row r="32937" s="689" customFormat="1" x14ac:dyDescent="0.2"/>
    <row r="32938" s="689" customFormat="1" x14ac:dyDescent="0.2"/>
    <row r="32939" s="689" customFormat="1" x14ac:dyDescent="0.2"/>
    <row r="32940" s="689" customFormat="1" x14ac:dyDescent="0.2"/>
    <row r="32941" s="689" customFormat="1" x14ac:dyDescent="0.2"/>
    <row r="32942" s="689" customFormat="1" x14ac:dyDescent="0.2"/>
    <row r="32943" s="689" customFormat="1" x14ac:dyDescent="0.2"/>
    <row r="32944" s="689" customFormat="1" x14ac:dyDescent="0.2"/>
    <row r="32945" s="689" customFormat="1" x14ac:dyDescent="0.2"/>
    <row r="32946" s="689" customFormat="1" x14ac:dyDescent="0.2"/>
    <row r="32947" s="689" customFormat="1" x14ac:dyDescent="0.2"/>
    <row r="32948" s="689" customFormat="1" x14ac:dyDescent="0.2"/>
    <row r="32949" s="689" customFormat="1" x14ac:dyDescent="0.2"/>
    <row r="32950" s="689" customFormat="1" x14ac:dyDescent="0.2"/>
    <row r="32951" s="689" customFormat="1" x14ac:dyDescent="0.2"/>
    <row r="32952" s="689" customFormat="1" x14ac:dyDescent="0.2"/>
    <row r="32953" s="689" customFormat="1" x14ac:dyDescent="0.2"/>
    <row r="32954" s="689" customFormat="1" x14ac:dyDescent="0.2"/>
    <row r="32955" s="689" customFormat="1" x14ac:dyDescent="0.2"/>
    <row r="32956" s="689" customFormat="1" x14ac:dyDescent="0.2"/>
    <row r="32957" s="689" customFormat="1" x14ac:dyDescent="0.2"/>
    <row r="32958" s="689" customFormat="1" x14ac:dyDescent="0.2"/>
    <row r="32959" s="689" customFormat="1" x14ac:dyDescent="0.2"/>
    <row r="32960" s="689" customFormat="1" x14ac:dyDescent="0.2"/>
    <row r="32961" s="689" customFormat="1" x14ac:dyDescent="0.2"/>
    <row r="32962" s="689" customFormat="1" x14ac:dyDescent="0.2"/>
    <row r="32963" s="689" customFormat="1" x14ac:dyDescent="0.2"/>
    <row r="32964" s="689" customFormat="1" x14ac:dyDescent="0.2"/>
    <row r="32965" s="689" customFormat="1" x14ac:dyDescent="0.2"/>
    <row r="32966" s="689" customFormat="1" x14ac:dyDescent="0.2"/>
    <row r="32967" s="689" customFormat="1" x14ac:dyDescent="0.2"/>
    <row r="32968" s="689" customFormat="1" x14ac:dyDescent="0.2"/>
    <row r="32969" s="689" customFormat="1" x14ac:dyDescent="0.2"/>
    <row r="32970" s="689" customFormat="1" x14ac:dyDescent="0.2"/>
    <row r="32971" s="689" customFormat="1" x14ac:dyDescent="0.2"/>
    <row r="32972" s="689" customFormat="1" x14ac:dyDescent="0.2"/>
    <row r="32973" s="689" customFormat="1" x14ac:dyDescent="0.2"/>
    <row r="32974" s="689" customFormat="1" x14ac:dyDescent="0.2"/>
    <row r="32975" s="689" customFormat="1" x14ac:dyDescent="0.2"/>
    <row r="32976" s="689" customFormat="1" x14ac:dyDescent="0.2"/>
    <row r="32977" s="689" customFormat="1" x14ac:dyDescent="0.2"/>
    <row r="32978" s="689" customFormat="1" x14ac:dyDescent="0.2"/>
    <row r="32979" s="689" customFormat="1" x14ac:dyDescent="0.2"/>
    <row r="32980" s="689" customFormat="1" x14ac:dyDescent="0.2"/>
    <row r="32981" s="689" customFormat="1" x14ac:dyDescent="0.2"/>
    <row r="32982" s="689" customFormat="1" x14ac:dyDescent="0.2"/>
    <row r="32983" s="689" customFormat="1" x14ac:dyDescent="0.2"/>
    <row r="32984" s="689" customFormat="1" x14ac:dyDescent="0.2"/>
    <row r="32985" s="689" customFormat="1" x14ac:dyDescent="0.2"/>
    <row r="32986" s="689" customFormat="1" x14ac:dyDescent="0.2"/>
    <row r="32987" s="689" customFormat="1" x14ac:dyDescent="0.2"/>
    <row r="32988" s="689" customFormat="1" x14ac:dyDescent="0.2"/>
    <row r="32989" s="689" customFormat="1" x14ac:dyDescent="0.2"/>
    <row r="32990" s="689" customFormat="1" x14ac:dyDescent="0.2"/>
    <row r="32991" s="689" customFormat="1" x14ac:dyDescent="0.2"/>
    <row r="32992" s="689" customFormat="1" x14ac:dyDescent="0.2"/>
    <row r="32993" s="689" customFormat="1" x14ac:dyDescent="0.2"/>
    <row r="32994" s="689" customFormat="1" x14ac:dyDescent="0.2"/>
    <row r="32995" s="689" customFormat="1" x14ac:dyDescent="0.2"/>
    <row r="32996" s="689" customFormat="1" x14ac:dyDescent="0.2"/>
    <row r="32997" s="689" customFormat="1" x14ac:dyDescent="0.2"/>
    <row r="32998" s="689" customFormat="1" x14ac:dyDescent="0.2"/>
    <row r="32999" s="689" customFormat="1" x14ac:dyDescent="0.2"/>
    <row r="33000" s="689" customFormat="1" x14ac:dyDescent="0.2"/>
    <row r="33001" s="689" customFormat="1" x14ac:dyDescent="0.2"/>
    <row r="33002" s="689" customFormat="1" x14ac:dyDescent="0.2"/>
    <row r="33003" s="689" customFormat="1" x14ac:dyDescent="0.2"/>
    <row r="33004" s="689" customFormat="1" x14ac:dyDescent="0.2"/>
    <row r="33005" s="689" customFormat="1" x14ac:dyDescent="0.2"/>
    <row r="33006" s="689" customFormat="1" x14ac:dyDescent="0.2"/>
    <row r="33007" s="689" customFormat="1" x14ac:dyDescent="0.2"/>
    <row r="33008" s="689" customFormat="1" x14ac:dyDescent="0.2"/>
    <row r="33009" s="689" customFormat="1" x14ac:dyDescent="0.2"/>
    <row r="33010" s="689" customFormat="1" x14ac:dyDescent="0.2"/>
    <row r="33011" s="689" customFormat="1" x14ac:dyDescent="0.2"/>
    <row r="33012" s="689" customFormat="1" x14ac:dyDescent="0.2"/>
    <row r="33013" s="689" customFormat="1" x14ac:dyDescent="0.2"/>
    <row r="33014" s="689" customFormat="1" x14ac:dyDescent="0.2"/>
    <row r="33015" s="689" customFormat="1" x14ac:dyDescent="0.2"/>
    <row r="33016" s="689" customFormat="1" x14ac:dyDescent="0.2"/>
    <row r="33017" s="689" customFormat="1" x14ac:dyDescent="0.2"/>
    <row r="33018" s="689" customFormat="1" x14ac:dyDescent="0.2"/>
    <row r="33019" s="689" customFormat="1" x14ac:dyDescent="0.2"/>
    <row r="33020" s="689" customFormat="1" x14ac:dyDescent="0.2"/>
    <row r="33021" s="689" customFormat="1" x14ac:dyDescent="0.2"/>
    <row r="33022" s="689" customFormat="1" x14ac:dyDescent="0.2"/>
    <row r="33023" s="689" customFormat="1" x14ac:dyDescent="0.2"/>
    <row r="33024" s="689" customFormat="1" x14ac:dyDescent="0.2"/>
    <row r="33025" s="689" customFormat="1" x14ac:dyDescent="0.2"/>
    <row r="33026" s="689" customFormat="1" x14ac:dyDescent="0.2"/>
    <row r="33027" s="689" customFormat="1" x14ac:dyDescent="0.2"/>
    <row r="33028" s="689" customFormat="1" x14ac:dyDescent="0.2"/>
    <row r="33029" s="689" customFormat="1" x14ac:dyDescent="0.2"/>
    <row r="33030" s="689" customFormat="1" x14ac:dyDescent="0.2"/>
    <row r="33031" s="689" customFormat="1" x14ac:dyDescent="0.2"/>
    <row r="33032" s="689" customFormat="1" x14ac:dyDescent="0.2"/>
    <row r="33033" s="689" customFormat="1" x14ac:dyDescent="0.2"/>
    <row r="33034" s="689" customFormat="1" x14ac:dyDescent="0.2"/>
    <row r="33035" s="689" customFormat="1" x14ac:dyDescent="0.2"/>
    <row r="33036" s="689" customFormat="1" x14ac:dyDescent="0.2"/>
    <row r="33037" s="689" customFormat="1" x14ac:dyDescent="0.2"/>
    <row r="33038" s="689" customFormat="1" x14ac:dyDescent="0.2"/>
    <row r="33039" s="689" customFormat="1" x14ac:dyDescent="0.2"/>
    <row r="33040" s="689" customFormat="1" x14ac:dyDescent="0.2"/>
    <row r="33041" s="689" customFormat="1" x14ac:dyDescent="0.2"/>
    <row r="33042" s="689" customFormat="1" x14ac:dyDescent="0.2"/>
    <row r="33043" s="689" customFormat="1" x14ac:dyDescent="0.2"/>
    <row r="33044" s="689" customFormat="1" x14ac:dyDescent="0.2"/>
    <row r="33045" s="689" customFormat="1" x14ac:dyDescent="0.2"/>
    <row r="33046" s="689" customFormat="1" x14ac:dyDescent="0.2"/>
    <row r="33047" s="689" customFormat="1" x14ac:dyDescent="0.2"/>
    <row r="33048" s="689" customFormat="1" x14ac:dyDescent="0.2"/>
    <row r="33049" s="689" customFormat="1" x14ac:dyDescent="0.2"/>
    <row r="33050" s="689" customFormat="1" x14ac:dyDescent="0.2"/>
    <row r="33051" s="689" customFormat="1" x14ac:dyDescent="0.2"/>
    <row r="33052" s="689" customFormat="1" x14ac:dyDescent="0.2"/>
    <row r="33053" s="689" customFormat="1" x14ac:dyDescent="0.2"/>
    <row r="33054" s="689" customFormat="1" x14ac:dyDescent="0.2"/>
    <row r="33055" s="689" customFormat="1" x14ac:dyDescent="0.2"/>
    <row r="33056" s="689" customFormat="1" x14ac:dyDescent="0.2"/>
    <row r="33057" s="689" customFormat="1" x14ac:dyDescent="0.2"/>
    <row r="33058" s="689" customFormat="1" x14ac:dyDescent="0.2"/>
    <row r="33059" s="689" customFormat="1" x14ac:dyDescent="0.2"/>
    <row r="33060" s="689" customFormat="1" x14ac:dyDescent="0.2"/>
    <row r="33061" s="689" customFormat="1" x14ac:dyDescent="0.2"/>
    <row r="33062" s="689" customFormat="1" x14ac:dyDescent="0.2"/>
    <row r="33063" s="689" customFormat="1" x14ac:dyDescent="0.2"/>
    <row r="33064" s="689" customFormat="1" x14ac:dyDescent="0.2"/>
    <row r="33065" s="689" customFormat="1" x14ac:dyDescent="0.2"/>
    <row r="33066" s="689" customFormat="1" x14ac:dyDescent="0.2"/>
    <row r="33067" s="689" customFormat="1" x14ac:dyDescent="0.2"/>
    <row r="33068" s="689" customFormat="1" x14ac:dyDescent="0.2"/>
    <row r="33069" s="689" customFormat="1" x14ac:dyDescent="0.2"/>
    <row r="33070" s="689" customFormat="1" x14ac:dyDescent="0.2"/>
    <row r="33071" s="689" customFormat="1" x14ac:dyDescent="0.2"/>
    <row r="33072" s="689" customFormat="1" x14ac:dyDescent="0.2"/>
    <row r="33073" s="689" customFormat="1" x14ac:dyDescent="0.2"/>
    <row r="33074" s="689" customFormat="1" x14ac:dyDescent="0.2"/>
    <row r="33075" s="689" customFormat="1" x14ac:dyDescent="0.2"/>
    <row r="33076" s="689" customFormat="1" x14ac:dyDescent="0.2"/>
    <row r="33077" s="689" customFormat="1" x14ac:dyDescent="0.2"/>
    <row r="33078" s="689" customFormat="1" x14ac:dyDescent="0.2"/>
    <row r="33079" s="689" customFormat="1" x14ac:dyDescent="0.2"/>
    <row r="33080" s="689" customFormat="1" x14ac:dyDescent="0.2"/>
    <row r="33081" s="689" customFormat="1" x14ac:dyDescent="0.2"/>
    <row r="33082" s="689" customFormat="1" x14ac:dyDescent="0.2"/>
    <row r="33083" s="689" customFormat="1" x14ac:dyDescent="0.2"/>
    <row r="33084" s="689" customFormat="1" x14ac:dyDescent="0.2"/>
    <row r="33085" s="689" customFormat="1" x14ac:dyDescent="0.2"/>
    <row r="33086" s="689" customFormat="1" x14ac:dyDescent="0.2"/>
    <row r="33087" s="689" customFormat="1" x14ac:dyDescent="0.2"/>
    <row r="33088" s="689" customFormat="1" x14ac:dyDescent="0.2"/>
    <row r="33089" s="689" customFormat="1" x14ac:dyDescent="0.2"/>
    <row r="33090" s="689" customFormat="1" x14ac:dyDescent="0.2"/>
    <row r="33091" s="689" customFormat="1" x14ac:dyDescent="0.2"/>
    <row r="33092" s="689" customFormat="1" x14ac:dyDescent="0.2"/>
    <row r="33093" s="689" customFormat="1" x14ac:dyDescent="0.2"/>
    <row r="33094" s="689" customFormat="1" x14ac:dyDescent="0.2"/>
    <row r="33095" s="689" customFormat="1" x14ac:dyDescent="0.2"/>
    <row r="33096" s="689" customFormat="1" x14ac:dyDescent="0.2"/>
    <row r="33097" s="689" customFormat="1" x14ac:dyDescent="0.2"/>
    <row r="33098" s="689" customFormat="1" x14ac:dyDescent="0.2"/>
    <row r="33099" s="689" customFormat="1" x14ac:dyDescent="0.2"/>
    <row r="33100" s="689" customFormat="1" x14ac:dyDescent="0.2"/>
    <row r="33101" s="689" customFormat="1" x14ac:dyDescent="0.2"/>
    <row r="33102" s="689" customFormat="1" x14ac:dyDescent="0.2"/>
    <row r="33103" s="689" customFormat="1" x14ac:dyDescent="0.2"/>
    <row r="33104" s="689" customFormat="1" x14ac:dyDescent="0.2"/>
    <row r="33105" s="689" customFormat="1" x14ac:dyDescent="0.2"/>
    <row r="33106" s="689" customFormat="1" x14ac:dyDescent="0.2"/>
    <row r="33107" s="689" customFormat="1" x14ac:dyDescent="0.2"/>
    <row r="33108" s="689" customFormat="1" x14ac:dyDescent="0.2"/>
    <row r="33109" s="689" customFormat="1" x14ac:dyDescent="0.2"/>
    <row r="33110" s="689" customFormat="1" x14ac:dyDescent="0.2"/>
    <row r="33111" s="689" customFormat="1" x14ac:dyDescent="0.2"/>
    <row r="33112" s="689" customFormat="1" x14ac:dyDescent="0.2"/>
    <row r="33113" s="689" customFormat="1" x14ac:dyDescent="0.2"/>
    <row r="33114" s="689" customFormat="1" x14ac:dyDescent="0.2"/>
    <row r="33115" s="689" customFormat="1" x14ac:dyDescent="0.2"/>
    <row r="33116" s="689" customFormat="1" x14ac:dyDescent="0.2"/>
    <row r="33117" s="689" customFormat="1" x14ac:dyDescent="0.2"/>
    <row r="33118" s="689" customFormat="1" x14ac:dyDescent="0.2"/>
    <row r="33119" s="689" customFormat="1" x14ac:dyDescent="0.2"/>
    <row r="33120" s="689" customFormat="1" x14ac:dyDescent="0.2"/>
    <row r="33121" s="689" customFormat="1" x14ac:dyDescent="0.2"/>
    <row r="33122" s="689" customFormat="1" x14ac:dyDescent="0.2"/>
    <row r="33123" s="689" customFormat="1" x14ac:dyDescent="0.2"/>
    <row r="33124" s="689" customFormat="1" x14ac:dyDescent="0.2"/>
    <row r="33125" s="689" customFormat="1" x14ac:dyDescent="0.2"/>
    <row r="33126" s="689" customFormat="1" x14ac:dyDescent="0.2"/>
    <row r="33127" s="689" customFormat="1" x14ac:dyDescent="0.2"/>
    <row r="33128" s="689" customFormat="1" x14ac:dyDescent="0.2"/>
    <row r="33129" s="689" customFormat="1" x14ac:dyDescent="0.2"/>
    <row r="33130" s="689" customFormat="1" x14ac:dyDescent="0.2"/>
    <row r="33131" s="689" customFormat="1" x14ac:dyDescent="0.2"/>
    <row r="33132" s="689" customFormat="1" x14ac:dyDescent="0.2"/>
    <row r="33133" s="689" customFormat="1" x14ac:dyDescent="0.2"/>
    <row r="33134" s="689" customFormat="1" x14ac:dyDescent="0.2"/>
    <row r="33135" s="689" customFormat="1" x14ac:dyDescent="0.2"/>
    <row r="33136" s="689" customFormat="1" x14ac:dyDescent="0.2"/>
    <row r="33137" s="689" customFormat="1" x14ac:dyDescent="0.2"/>
    <row r="33138" s="689" customFormat="1" x14ac:dyDescent="0.2"/>
    <row r="33139" s="689" customFormat="1" x14ac:dyDescent="0.2"/>
    <row r="33140" s="689" customFormat="1" x14ac:dyDescent="0.2"/>
    <row r="33141" s="689" customFormat="1" x14ac:dyDescent="0.2"/>
    <row r="33142" s="689" customFormat="1" x14ac:dyDescent="0.2"/>
    <row r="33143" s="689" customFormat="1" x14ac:dyDescent="0.2"/>
    <row r="33144" s="689" customFormat="1" x14ac:dyDescent="0.2"/>
    <row r="33145" s="689" customFormat="1" x14ac:dyDescent="0.2"/>
    <row r="33146" s="689" customFormat="1" x14ac:dyDescent="0.2"/>
    <row r="33147" s="689" customFormat="1" x14ac:dyDescent="0.2"/>
    <row r="33148" s="689" customFormat="1" x14ac:dyDescent="0.2"/>
    <row r="33149" s="689" customFormat="1" x14ac:dyDescent="0.2"/>
    <row r="33150" s="689" customFormat="1" x14ac:dyDescent="0.2"/>
    <row r="33151" s="689" customFormat="1" x14ac:dyDescent="0.2"/>
    <row r="33152" s="689" customFormat="1" x14ac:dyDescent="0.2"/>
    <row r="33153" s="689" customFormat="1" x14ac:dyDescent="0.2"/>
    <row r="33154" s="689" customFormat="1" x14ac:dyDescent="0.2"/>
    <row r="33155" s="689" customFormat="1" x14ac:dyDescent="0.2"/>
    <row r="33156" s="689" customFormat="1" x14ac:dyDescent="0.2"/>
    <row r="33157" s="689" customFormat="1" x14ac:dyDescent="0.2"/>
    <row r="33158" s="689" customFormat="1" x14ac:dyDescent="0.2"/>
    <row r="33159" s="689" customFormat="1" x14ac:dyDescent="0.2"/>
    <row r="33160" s="689" customFormat="1" x14ac:dyDescent="0.2"/>
    <row r="33161" s="689" customFormat="1" x14ac:dyDescent="0.2"/>
    <row r="33162" s="689" customFormat="1" x14ac:dyDescent="0.2"/>
    <row r="33163" s="689" customFormat="1" x14ac:dyDescent="0.2"/>
    <row r="33164" s="689" customFormat="1" x14ac:dyDescent="0.2"/>
    <row r="33165" s="689" customFormat="1" x14ac:dyDescent="0.2"/>
    <row r="33166" s="689" customFormat="1" x14ac:dyDescent="0.2"/>
    <row r="33167" s="689" customFormat="1" x14ac:dyDescent="0.2"/>
    <row r="33168" s="689" customFormat="1" x14ac:dyDescent="0.2"/>
    <row r="33169" s="689" customFormat="1" x14ac:dyDescent="0.2"/>
    <row r="33170" s="689" customFormat="1" x14ac:dyDescent="0.2"/>
    <row r="33171" s="689" customFormat="1" x14ac:dyDescent="0.2"/>
    <row r="33172" s="689" customFormat="1" x14ac:dyDescent="0.2"/>
    <row r="33173" s="689" customFormat="1" x14ac:dyDescent="0.2"/>
    <row r="33174" s="689" customFormat="1" x14ac:dyDescent="0.2"/>
    <row r="33175" s="689" customFormat="1" x14ac:dyDescent="0.2"/>
    <row r="33176" s="689" customFormat="1" x14ac:dyDescent="0.2"/>
    <row r="33177" s="689" customFormat="1" x14ac:dyDescent="0.2"/>
    <row r="33178" s="689" customFormat="1" x14ac:dyDescent="0.2"/>
    <row r="33179" s="689" customFormat="1" x14ac:dyDescent="0.2"/>
    <row r="33180" s="689" customFormat="1" x14ac:dyDescent="0.2"/>
    <row r="33181" s="689" customFormat="1" x14ac:dyDescent="0.2"/>
    <row r="33182" s="689" customFormat="1" x14ac:dyDescent="0.2"/>
    <row r="33183" s="689" customFormat="1" x14ac:dyDescent="0.2"/>
    <row r="33184" s="689" customFormat="1" x14ac:dyDescent="0.2"/>
    <row r="33185" s="689" customFormat="1" x14ac:dyDescent="0.2"/>
    <row r="33186" s="689" customFormat="1" x14ac:dyDescent="0.2"/>
    <row r="33187" s="689" customFormat="1" x14ac:dyDescent="0.2"/>
    <row r="33188" s="689" customFormat="1" x14ac:dyDescent="0.2"/>
    <row r="33189" s="689" customFormat="1" x14ac:dyDescent="0.2"/>
    <row r="33190" s="689" customFormat="1" x14ac:dyDescent="0.2"/>
    <row r="33191" s="689" customFormat="1" x14ac:dyDescent="0.2"/>
    <row r="33192" s="689" customFormat="1" x14ac:dyDescent="0.2"/>
    <row r="33193" s="689" customFormat="1" x14ac:dyDescent="0.2"/>
    <row r="33194" s="689" customFormat="1" x14ac:dyDescent="0.2"/>
    <row r="33195" s="689" customFormat="1" x14ac:dyDescent="0.2"/>
    <row r="33196" s="689" customFormat="1" x14ac:dyDescent="0.2"/>
    <row r="33197" s="689" customFormat="1" x14ac:dyDescent="0.2"/>
    <row r="33198" s="689" customFormat="1" x14ac:dyDescent="0.2"/>
    <row r="33199" s="689" customFormat="1" x14ac:dyDescent="0.2"/>
    <row r="33200" s="689" customFormat="1" x14ac:dyDescent="0.2"/>
    <row r="33201" s="689" customFormat="1" x14ac:dyDescent="0.2"/>
    <row r="33202" s="689" customFormat="1" x14ac:dyDescent="0.2"/>
    <row r="33203" s="689" customFormat="1" x14ac:dyDescent="0.2"/>
    <row r="33204" s="689" customFormat="1" x14ac:dyDescent="0.2"/>
    <row r="33205" s="689" customFormat="1" x14ac:dyDescent="0.2"/>
    <row r="33206" s="689" customFormat="1" x14ac:dyDescent="0.2"/>
    <row r="33207" s="689" customFormat="1" x14ac:dyDescent="0.2"/>
    <row r="33208" s="689" customFormat="1" x14ac:dyDescent="0.2"/>
    <row r="33209" s="689" customFormat="1" x14ac:dyDescent="0.2"/>
    <row r="33210" s="689" customFormat="1" x14ac:dyDescent="0.2"/>
    <row r="33211" s="689" customFormat="1" x14ac:dyDescent="0.2"/>
    <row r="33212" s="689" customFormat="1" x14ac:dyDescent="0.2"/>
    <row r="33213" s="689" customFormat="1" x14ac:dyDescent="0.2"/>
    <row r="33214" s="689" customFormat="1" x14ac:dyDescent="0.2"/>
    <row r="33215" s="689" customFormat="1" x14ac:dyDescent="0.2"/>
    <row r="33216" s="689" customFormat="1" x14ac:dyDescent="0.2"/>
    <row r="33217" s="689" customFormat="1" x14ac:dyDescent="0.2"/>
    <row r="33218" s="689" customFormat="1" x14ac:dyDescent="0.2"/>
    <row r="33219" s="689" customFormat="1" x14ac:dyDescent="0.2"/>
    <row r="33220" s="689" customFormat="1" x14ac:dyDescent="0.2"/>
    <row r="33221" s="689" customFormat="1" x14ac:dyDescent="0.2"/>
    <row r="33222" s="689" customFormat="1" x14ac:dyDescent="0.2"/>
    <row r="33223" s="689" customFormat="1" x14ac:dyDescent="0.2"/>
    <row r="33224" s="689" customFormat="1" x14ac:dyDescent="0.2"/>
    <row r="33225" s="689" customFormat="1" x14ac:dyDescent="0.2"/>
    <row r="33226" s="689" customFormat="1" x14ac:dyDescent="0.2"/>
    <row r="33227" s="689" customFormat="1" x14ac:dyDescent="0.2"/>
    <row r="33228" s="689" customFormat="1" x14ac:dyDescent="0.2"/>
    <row r="33229" s="689" customFormat="1" x14ac:dyDescent="0.2"/>
    <row r="33230" s="689" customFormat="1" x14ac:dyDescent="0.2"/>
    <row r="33231" s="689" customFormat="1" x14ac:dyDescent="0.2"/>
    <row r="33232" s="689" customFormat="1" x14ac:dyDescent="0.2"/>
    <row r="33233" s="689" customFormat="1" x14ac:dyDescent="0.2"/>
    <row r="33234" s="689" customFormat="1" x14ac:dyDescent="0.2"/>
    <row r="33235" s="689" customFormat="1" x14ac:dyDescent="0.2"/>
    <row r="33236" s="689" customFormat="1" x14ac:dyDescent="0.2"/>
    <row r="33237" s="689" customFormat="1" x14ac:dyDescent="0.2"/>
    <row r="33238" s="689" customFormat="1" x14ac:dyDescent="0.2"/>
    <row r="33239" s="689" customFormat="1" x14ac:dyDescent="0.2"/>
    <row r="33240" s="689" customFormat="1" x14ac:dyDescent="0.2"/>
    <row r="33241" s="689" customFormat="1" x14ac:dyDescent="0.2"/>
    <row r="33242" s="689" customFormat="1" x14ac:dyDescent="0.2"/>
    <row r="33243" s="689" customFormat="1" x14ac:dyDescent="0.2"/>
    <row r="33244" s="689" customFormat="1" x14ac:dyDescent="0.2"/>
    <row r="33245" s="689" customFormat="1" x14ac:dyDescent="0.2"/>
    <row r="33246" s="689" customFormat="1" x14ac:dyDescent="0.2"/>
    <row r="33247" s="689" customFormat="1" x14ac:dyDescent="0.2"/>
    <row r="33248" s="689" customFormat="1" x14ac:dyDescent="0.2"/>
    <row r="33249" s="689" customFormat="1" x14ac:dyDescent="0.2"/>
    <row r="33250" s="689" customFormat="1" x14ac:dyDescent="0.2"/>
    <row r="33251" s="689" customFormat="1" x14ac:dyDescent="0.2"/>
    <row r="33252" s="689" customFormat="1" x14ac:dyDescent="0.2"/>
    <row r="33253" s="689" customFormat="1" x14ac:dyDescent="0.2"/>
    <row r="33254" s="689" customFormat="1" x14ac:dyDescent="0.2"/>
    <row r="33255" s="689" customFormat="1" x14ac:dyDescent="0.2"/>
    <row r="33256" s="689" customFormat="1" x14ac:dyDescent="0.2"/>
    <row r="33257" s="689" customFormat="1" x14ac:dyDescent="0.2"/>
    <row r="33258" s="689" customFormat="1" x14ac:dyDescent="0.2"/>
    <row r="33259" s="689" customFormat="1" x14ac:dyDescent="0.2"/>
    <row r="33260" s="689" customFormat="1" x14ac:dyDescent="0.2"/>
    <row r="33261" s="689" customFormat="1" x14ac:dyDescent="0.2"/>
    <row r="33262" s="689" customFormat="1" x14ac:dyDescent="0.2"/>
    <row r="33263" s="689" customFormat="1" x14ac:dyDescent="0.2"/>
    <row r="33264" s="689" customFormat="1" x14ac:dyDescent="0.2"/>
    <row r="33265" s="689" customFormat="1" x14ac:dyDescent="0.2"/>
    <row r="33266" s="689" customFormat="1" x14ac:dyDescent="0.2"/>
    <row r="33267" s="689" customFormat="1" x14ac:dyDescent="0.2"/>
    <row r="33268" s="689" customFormat="1" x14ac:dyDescent="0.2"/>
    <row r="33269" s="689" customFormat="1" x14ac:dyDescent="0.2"/>
    <row r="33270" s="689" customFormat="1" x14ac:dyDescent="0.2"/>
    <row r="33271" s="689" customFormat="1" x14ac:dyDescent="0.2"/>
    <row r="33272" s="689" customFormat="1" x14ac:dyDescent="0.2"/>
    <row r="33273" s="689" customFormat="1" x14ac:dyDescent="0.2"/>
    <row r="33274" s="689" customFormat="1" x14ac:dyDescent="0.2"/>
    <row r="33275" s="689" customFormat="1" x14ac:dyDescent="0.2"/>
    <row r="33276" s="689" customFormat="1" x14ac:dyDescent="0.2"/>
    <row r="33277" s="689" customFormat="1" x14ac:dyDescent="0.2"/>
    <row r="33278" s="689" customFormat="1" x14ac:dyDescent="0.2"/>
    <row r="33279" s="689" customFormat="1" x14ac:dyDescent="0.2"/>
    <row r="33280" s="689" customFormat="1" x14ac:dyDescent="0.2"/>
    <row r="33281" s="689" customFormat="1" x14ac:dyDescent="0.2"/>
    <row r="33282" s="689" customFormat="1" x14ac:dyDescent="0.2"/>
    <row r="33283" s="689" customFormat="1" x14ac:dyDescent="0.2"/>
    <row r="33284" s="689" customFormat="1" x14ac:dyDescent="0.2"/>
    <row r="33285" s="689" customFormat="1" x14ac:dyDescent="0.2"/>
    <row r="33286" s="689" customFormat="1" x14ac:dyDescent="0.2"/>
    <row r="33287" s="689" customFormat="1" x14ac:dyDescent="0.2"/>
    <row r="33288" s="689" customFormat="1" x14ac:dyDescent="0.2"/>
    <row r="33289" s="689" customFormat="1" x14ac:dyDescent="0.2"/>
    <row r="33290" s="689" customFormat="1" x14ac:dyDescent="0.2"/>
    <row r="33291" s="689" customFormat="1" x14ac:dyDescent="0.2"/>
    <row r="33292" s="689" customFormat="1" x14ac:dyDescent="0.2"/>
    <row r="33293" s="689" customFormat="1" x14ac:dyDescent="0.2"/>
    <row r="33294" s="689" customFormat="1" x14ac:dyDescent="0.2"/>
    <row r="33295" s="689" customFormat="1" x14ac:dyDescent="0.2"/>
    <row r="33296" s="689" customFormat="1" x14ac:dyDescent="0.2"/>
    <row r="33297" s="689" customFormat="1" x14ac:dyDescent="0.2"/>
    <row r="33298" s="689" customFormat="1" x14ac:dyDescent="0.2"/>
    <row r="33299" s="689" customFormat="1" x14ac:dyDescent="0.2"/>
    <row r="33300" s="689" customFormat="1" x14ac:dyDescent="0.2"/>
    <row r="33301" s="689" customFormat="1" x14ac:dyDescent="0.2"/>
    <row r="33302" s="689" customFormat="1" x14ac:dyDescent="0.2"/>
    <row r="33303" s="689" customFormat="1" x14ac:dyDescent="0.2"/>
    <row r="33304" s="689" customFormat="1" x14ac:dyDescent="0.2"/>
    <row r="33305" s="689" customFormat="1" x14ac:dyDescent="0.2"/>
    <row r="33306" s="689" customFormat="1" x14ac:dyDescent="0.2"/>
    <row r="33307" s="689" customFormat="1" x14ac:dyDescent="0.2"/>
    <row r="33308" s="689" customFormat="1" x14ac:dyDescent="0.2"/>
    <row r="33309" s="689" customFormat="1" x14ac:dyDescent="0.2"/>
    <row r="33310" s="689" customFormat="1" x14ac:dyDescent="0.2"/>
    <row r="33311" s="689" customFormat="1" x14ac:dyDescent="0.2"/>
    <row r="33312" s="689" customFormat="1" x14ac:dyDescent="0.2"/>
    <row r="33313" s="689" customFormat="1" x14ac:dyDescent="0.2"/>
    <row r="33314" s="689" customFormat="1" x14ac:dyDescent="0.2"/>
    <row r="33315" s="689" customFormat="1" x14ac:dyDescent="0.2"/>
    <row r="33316" s="689" customFormat="1" x14ac:dyDescent="0.2"/>
    <row r="33317" s="689" customFormat="1" x14ac:dyDescent="0.2"/>
    <row r="33318" s="689" customFormat="1" x14ac:dyDescent="0.2"/>
    <row r="33319" s="689" customFormat="1" x14ac:dyDescent="0.2"/>
    <row r="33320" s="689" customFormat="1" x14ac:dyDescent="0.2"/>
    <row r="33321" s="689" customFormat="1" x14ac:dyDescent="0.2"/>
    <row r="33322" s="689" customFormat="1" x14ac:dyDescent="0.2"/>
    <row r="33323" s="689" customFormat="1" x14ac:dyDescent="0.2"/>
    <row r="33324" s="689" customFormat="1" x14ac:dyDescent="0.2"/>
    <row r="33325" s="689" customFormat="1" x14ac:dyDescent="0.2"/>
    <row r="33326" s="689" customFormat="1" x14ac:dyDescent="0.2"/>
    <row r="33327" s="689" customFormat="1" x14ac:dyDescent="0.2"/>
    <row r="33328" s="689" customFormat="1" x14ac:dyDescent="0.2"/>
    <row r="33329" s="689" customFormat="1" x14ac:dyDescent="0.2"/>
    <row r="33330" s="689" customFormat="1" x14ac:dyDescent="0.2"/>
    <row r="33331" s="689" customFormat="1" x14ac:dyDescent="0.2"/>
    <row r="33332" s="689" customFormat="1" x14ac:dyDescent="0.2"/>
    <row r="33333" s="689" customFormat="1" x14ac:dyDescent="0.2"/>
    <row r="33334" s="689" customFormat="1" x14ac:dyDescent="0.2"/>
    <row r="33335" s="689" customFormat="1" x14ac:dyDescent="0.2"/>
    <row r="33336" s="689" customFormat="1" x14ac:dyDescent="0.2"/>
    <row r="33337" s="689" customFormat="1" x14ac:dyDescent="0.2"/>
    <row r="33338" s="689" customFormat="1" x14ac:dyDescent="0.2"/>
    <row r="33339" s="689" customFormat="1" x14ac:dyDescent="0.2"/>
    <row r="33340" s="689" customFormat="1" x14ac:dyDescent="0.2"/>
    <row r="33341" s="689" customFormat="1" x14ac:dyDescent="0.2"/>
    <row r="33342" s="689" customFormat="1" x14ac:dyDescent="0.2"/>
    <row r="33343" s="689" customFormat="1" x14ac:dyDescent="0.2"/>
    <row r="33344" s="689" customFormat="1" x14ac:dyDescent="0.2"/>
    <row r="33345" s="689" customFormat="1" x14ac:dyDescent="0.2"/>
    <row r="33346" s="689" customFormat="1" x14ac:dyDescent="0.2"/>
    <row r="33347" s="689" customFormat="1" x14ac:dyDescent="0.2"/>
    <row r="33348" s="689" customFormat="1" x14ac:dyDescent="0.2"/>
    <row r="33349" s="689" customFormat="1" x14ac:dyDescent="0.2"/>
    <row r="33350" s="689" customFormat="1" x14ac:dyDescent="0.2"/>
    <row r="33351" s="689" customFormat="1" x14ac:dyDescent="0.2"/>
    <row r="33352" s="689" customFormat="1" x14ac:dyDescent="0.2"/>
    <row r="33353" s="689" customFormat="1" x14ac:dyDescent="0.2"/>
    <row r="33354" s="689" customFormat="1" x14ac:dyDescent="0.2"/>
    <row r="33355" s="689" customFormat="1" x14ac:dyDescent="0.2"/>
    <row r="33356" s="689" customFormat="1" x14ac:dyDescent="0.2"/>
    <row r="33357" s="689" customFormat="1" x14ac:dyDescent="0.2"/>
    <row r="33358" s="689" customFormat="1" x14ac:dyDescent="0.2"/>
    <row r="33359" s="689" customFormat="1" x14ac:dyDescent="0.2"/>
    <row r="33360" s="689" customFormat="1" x14ac:dyDescent="0.2"/>
    <row r="33361" s="689" customFormat="1" x14ac:dyDescent="0.2"/>
    <row r="33362" s="689" customFormat="1" x14ac:dyDescent="0.2"/>
    <row r="33363" s="689" customFormat="1" x14ac:dyDescent="0.2"/>
    <row r="33364" s="689" customFormat="1" x14ac:dyDescent="0.2"/>
    <row r="33365" s="689" customFormat="1" x14ac:dyDescent="0.2"/>
    <row r="33366" s="689" customFormat="1" x14ac:dyDescent="0.2"/>
    <row r="33367" s="689" customFormat="1" x14ac:dyDescent="0.2"/>
    <row r="33368" s="689" customFormat="1" x14ac:dyDescent="0.2"/>
    <row r="33369" s="689" customFormat="1" x14ac:dyDescent="0.2"/>
    <row r="33370" s="689" customFormat="1" x14ac:dyDescent="0.2"/>
    <row r="33371" s="689" customFormat="1" x14ac:dyDescent="0.2"/>
    <row r="33372" s="689" customFormat="1" x14ac:dyDescent="0.2"/>
    <row r="33373" s="689" customFormat="1" x14ac:dyDescent="0.2"/>
    <row r="33374" s="689" customFormat="1" x14ac:dyDescent="0.2"/>
    <row r="33375" s="689" customFormat="1" x14ac:dyDescent="0.2"/>
    <row r="33376" s="689" customFormat="1" x14ac:dyDescent="0.2"/>
    <row r="33377" s="689" customFormat="1" x14ac:dyDescent="0.2"/>
    <row r="33378" s="689" customFormat="1" x14ac:dyDescent="0.2"/>
    <row r="33379" s="689" customFormat="1" x14ac:dyDescent="0.2"/>
    <row r="33380" s="689" customFormat="1" x14ac:dyDescent="0.2"/>
    <row r="33381" s="689" customFormat="1" x14ac:dyDescent="0.2"/>
    <row r="33382" s="689" customFormat="1" x14ac:dyDescent="0.2"/>
    <row r="33383" s="689" customFormat="1" x14ac:dyDescent="0.2"/>
    <row r="33384" s="689" customFormat="1" x14ac:dyDescent="0.2"/>
    <row r="33385" s="689" customFormat="1" x14ac:dyDescent="0.2"/>
    <row r="33386" s="689" customFormat="1" x14ac:dyDescent="0.2"/>
    <row r="33387" s="689" customFormat="1" x14ac:dyDescent="0.2"/>
    <row r="33388" s="689" customFormat="1" x14ac:dyDescent="0.2"/>
    <row r="33389" s="689" customFormat="1" x14ac:dyDescent="0.2"/>
    <row r="33390" s="689" customFormat="1" x14ac:dyDescent="0.2"/>
    <row r="33391" s="689" customFormat="1" x14ac:dyDescent="0.2"/>
    <row r="33392" s="689" customFormat="1" x14ac:dyDescent="0.2"/>
    <row r="33393" s="689" customFormat="1" x14ac:dyDescent="0.2"/>
    <row r="33394" s="689" customFormat="1" x14ac:dyDescent="0.2"/>
    <row r="33395" s="689" customFormat="1" x14ac:dyDescent="0.2"/>
    <row r="33396" s="689" customFormat="1" x14ac:dyDescent="0.2"/>
    <row r="33397" s="689" customFormat="1" x14ac:dyDescent="0.2"/>
    <row r="33398" s="689" customFormat="1" x14ac:dyDescent="0.2"/>
    <row r="33399" s="689" customFormat="1" x14ac:dyDescent="0.2"/>
    <row r="33400" s="689" customFormat="1" x14ac:dyDescent="0.2"/>
    <row r="33401" s="689" customFormat="1" x14ac:dyDescent="0.2"/>
    <row r="33402" s="689" customFormat="1" x14ac:dyDescent="0.2"/>
    <row r="33403" s="689" customFormat="1" x14ac:dyDescent="0.2"/>
    <row r="33404" s="689" customFormat="1" x14ac:dyDescent="0.2"/>
    <row r="33405" s="689" customFormat="1" x14ac:dyDescent="0.2"/>
    <row r="33406" s="689" customFormat="1" x14ac:dyDescent="0.2"/>
    <row r="33407" s="689" customFormat="1" x14ac:dyDescent="0.2"/>
    <row r="33408" s="689" customFormat="1" x14ac:dyDescent="0.2"/>
    <row r="33409" s="689" customFormat="1" x14ac:dyDescent="0.2"/>
    <row r="33410" s="689" customFormat="1" x14ac:dyDescent="0.2"/>
    <row r="33411" s="689" customFormat="1" x14ac:dyDescent="0.2"/>
    <row r="33412" s="689" customFormat="1" x14ac:dyDescent="0.2"/>
    <row r="33413" s="689" customFormat="1" x14ac:dyDescent="0.2"/>
    <row r="33414" s="689" customFormat="1" x14ac:dyDescent="0.2"/>
    <row r="33415" s="689" customFormat="1" x14ac:dyDescent="0.2"/>
    <row r="33416" s="689" customFormat="1" x14ac:dyDescent="0.2"/>
    <row r="33417" s="689" customFormat="1" x14ac:dyDescent="0.2"/>
    <row r="33418" s="689" customFormat="1" x14ac:dyDescent="0.2"/>
    <row r="33419" s="689" customFormat="1" x14ac:dyDescent="0.2"/>
    <row r="33420" s="689" customFormat="1" x14ac:dyDescent="0.2"/>
    <row r="33421" s="689" customFormat="1" x14ac:dyDescent="0.2"/>
    <row r="33422" s="689" customFormat="1" x14ac:dyDescent="0.2"/>
    <row r="33423" s="689" customFormat="1" x14ac:dyDescent="0.2"/>
    <row r="33424" s="689" customFormat="1" x14ac:dyDescent="0.2"/>
    <row r="33425" s="689" customFormat="1" x14ac:dyDescent="0.2"/>
    <row r="33426" s="689" customFormat="1" x14ac:dyDescent="0.2"/>
    <row r="33427" s="689" customFormat="1" x14ac:dyDescent="0.2"/>
    <row r="33428" s="689" customFormat="1" x14ac:dyDescent="0.2"/>
    <row r="33429" s="689" customFormat="1" x14ac:dyDescent="0.2"/>
    <row r="33430" s="689" customFormat="1" x14ac:dyDescent="0.2"/>
    <row r="33431" s="689" customFormat="1" x14ac:dyDescent="0.2"/>
    <row r="33432" s="689" customFormat="1" x14ac:dyDescent="0.2"/>
    <row r="33433" s="689" customFormat="1" x14ac:dyDescent="0.2"/>
    <row r="33434" s="689" customFormat="1" x14ac:dyDescent="0.2"/>
    <row r="33435" s="689" customFormat="1" x14ac:dyDescent="0.2"/>
    <row r="33436" s="689" customFormat="1" x14ac:dyDescent="0.2"/>
    <row r="33437" s="689" customFormat="1" x14ac:dyDescent="0.2"/>
    <row r="33438" s="689" customFormat="1" x14ac:dyDescent="0.2"/>
    <row r="33439" s="689" customFormat="1" x14ac:dyDescent="0.2"/>
    <row r="33440" s="689" customFormat="1" x14ac:dyDescent="0.2"/>
    <row r="33441" s="689" customFormat="1" x14ac:dyDescent="0.2"/>
    <row r="33442" s="689" customFormat="1" x14ac:dyDescent="0.2"/>
    <row r="33443" s="689" customFormat="1" x14ac:dyDescent="0.2"/>
    <row r="33444" s="689" customFormat="1" x14ac:dyDescent="0.2"/>
    <row r="33445" s="689" customFormat="1" x14ac:dyDescent="0.2"/>
    <row r="33446" s="689" customFormat="1" x14ac:dyDescent="0.2"/>
    <row r="33447" s="689" customFormat="1" x14ac:dyDescent="0.2"/>
    <row r="33448" s="689" customFormat="1" x14ac:dyDescent="0.2"/>
    <row r="33449" s="689" customFormat="1" x14ac:dyDescent="0.2"/>
    <row r="33450" s="689" customFormat="1" x14ac:dyDescent="0.2"/>
    <row r="33451" s="689" customFormat="1" x14ac:dyDescent="0.2"/>
    <row r="33452" s="689" customFormat="1" x14ac:dyDescent="0.2"/>
    <row r="33453" s="689" customFormat="1" x14ac:dyDescent="0.2"/>
    <row r="33454" s="689" customFormat="1" x14ac:dyDescent="0.2"/>
    <row r="33455" s="689" customFormat="1" x14ac:dyDescent="0.2"/>
    <row r="33456" s="689" customFormat="1" x14ac:dyDescent="0.2"/>
    <row r="33457" s="689" customFormat="1" x14ac:dyDescent="0.2"/>
    <row r="33458" s="689" customFormat="1" x14ac:dyDescent="0.2"/>
    <row r="33459" s="689" customFormat="1" x14ac:dyDescent="0.2"/>
    <row r="33460" s="689" customFormat="1" x14ac:dyDescent="0.2"/>
    <row r="33461" s="689" customFormat="1" x14ac:dyDescent="0.2"/>
    <row r="33462" s="689" customFormat="1" x14ac:dyDescent="0.2"/>
    <row r="33463" s="689" customFormat="1" x14ac:dyDescent="0.2"/>
    <row r="33464" s="689" customFormat="1" x14ac:dyDescent="0.2"/>
    <row r="33465" s="689" customFormat="1" x14ac:dyDescent="0.2"/>
    <row r="33466" s="689" customFormat="1" x14ac:dyDescent="0.2"/>
    <row r="33467" s="689" customFormat="1" x14ac:dyDescent="0.2"/>
    <row r="33468" s="689" customFormat="1" x14ac:dyDescent="0.2"/>
    <row r="33469" s="689" customFormat="1" x14ac:dyDescent="0.2"/>
    <row r="33470" s="689" customFormat="1" x14ac:dyDescent="0.2"/>
    <row r="33471" s="689" customFormat="1" x14ac:dyDescent="0.2"/>
    <row r="33472" s="689" customFormat="1" x14ac:dyDescent="0.2"/>
    <row r="33473" s="689" customFormat="1" x14ac:dyDescent="0.2"/>
    <row r="33474" s="689" customFormat="1" x14ac:dyDescent="0.2"/>
    <row r="33475" s="689" customFormat="1" x14ac:dyDescent="0.2"/>
    <row r="33476" s="689" customFormat="1" x14ac:dyDescent="0.2"/>
    <row r="33477" s="689" customFormat="1" x14ac:dyDescent="0.2"/>
    <row r="33478" s="689" customFormat="1" x14ac:dyDescent="0.2"/>
    <row r="33479" s="689" customFormat="1" x14ac:dyDescent="0.2"/>
    <row r="33480" s="689" customFormat="1" x14ac:dyDescent="0.2"/>
    <row r="33481" s="689" customFormat="1" x14ac:dyDescent="0.2"/>
    <row r="33482" s="689" customFormat="1" x14ac:dyDescent="0.2"/>
    <row r="33483" s="689" customFormat="1" x14ac:dyDescent="0.2"/>
    <row r="33484" s="689" customFormat="1" x14ac:dyDescent="0.2"/>
    <row r="33485" s="689" customFormat="1" x14ac:dyDescent="0.2"/>
    <row r="33486" s="689" customFormat="1" x14ac:dyDescent="0.2"/>
    <row r="33487" s="689" customFormat="1" x14ac:dyDescent="0.2"/>
    <row r="33488" s="689" customFormat="1" x14ac:dyDescent="0.2"/>
    <row r="33489" s="689" customFormat="1" x14ac:dyDescent="0.2"/>
    <row r="33490" s="689" customFormat="1" x14ac:dyDescent="0.2"/>
    <row r="33491" s="689" customFormat="1" x14ac:dyDescent="0.2"/>
    <row r="33492" s="689" customFormat="1" x14ac:dyDescent="0.2"/>
    <row r="33493" s="689" customFormat="1" x14ac:dyDescent="0.2"/>
    <row r="33494" s="689" customFormat="1" x14ac:dyDescent="0.2"/>
    <row r="33495" s="689" customFormat="1" x14ac:dyDescent="0.2"/>
    <row r="33496" s="689" customFormat="1" x14ac:dyDescent="0.2"/>
    <row r="33497" s="689" customFormat="1" x14ac:dyDescent="0.2"/>
    <row r="33498" s="689" customFormat="1" x14ac:dyDescent="0.2"/>
    <row r="33499" s="689" customFormat="1" x14ac:dyDescent="0.2"/>
    <row r="33500" s="689" customFormat="1" x14ac:dyDescent="0.2"/>
    <row r="33501" s="689" customFormat="1" x14ac:dyDescent="0.2"/>
    <row r="33502" s="689" customFormat="1" x14ac:dyDescent="0.2"/>
    <row r="33503" s="689" customFormat="1" x14ac:dyDescent="0.2"/>
    <row r="33504" s="689" customFormat="1" x14ac:dyDescent="0.2"/>
    <row r="33505" s="689" customFormat="1" x14ac:dyDescent="0.2"/>
    <row r="33506" s="689" customFormat="1" x14ac:dyDescent="0.2"/>
    <row r="33507" s="689" customFormat="1" x14ac:dyDescent="0.2"/>
    <row r="33508" s="689" customFormat="1" x14ac:dyDescent="0.2"/>
    <row r="33509" s="689" customFormat="1" x14ac:dyDescent="0.2"/>
    <row r="33510" s="689" customFormat="1" x14ac:dyDescent="0.2"/>
    <row r="33511" s="689" customFormat="1" x14ac:dyDescent="0.2"/>
    <row r="33512" s="689" customFormat="1" x14ac:dyDescent="0.2"/>
    <row r="33513" s="689" customFormat="1" x14ac:dyDescent="0.2"/>
    <row r="33514" s="689" customFormat="1" x14ac:dyDescent="0.2"/>
    <row r="33515" s="689" customFormat="1" x14ac:dyDescent="0.2"/>
    <row r="33516" s="689" customFormat="1" x14ac:dyDescent="0.2"/>
    <row r="33517" s="689" customFormat="1" x14ac:dyDescent="0.2"/>
    <row r="33518" s="689" customFormat="1" x14ac:dyDescent="0.2"/>
    <row r="33519" s="689" customFormat="1" x14ac:dyDescent="0.2"/>
    <row r="33520" s="689" customFormat="1" x14ac:dyDescent="0.2"/>
    <row r="33521" s="689" customFormat="1" x14ac:dyDescent="0.2"/>
    <row r="33522" s="689" customFormat="1" x14ac:dyDescent="0.2"/>
    <row r="33523" s="689" customFormat="1" x14ac:dyDescent="0.2"/>
    <row r="33524" s="689" customFormat="1" x14ac:dyDescent="0.2"/>
    <row r="33525" s="689" customFormat="1" x14ac:dyDescent="0.2"/>
    <row r="33526" s="689" customFormat="1" x14ac:dyDescent="0.2"/>
    <row r="33527" s="689" customFormat="1" x14ac:dyDescent="0.2"/>
    <row r="33528" s="689" customFormat="1" x14ac:dyDescent="0.2"/>
    <row r="33529" s="689" customFormat="1" x14ac:dyDescent="0.2"/>
    <row r="33530" s="689" customFormat="1" x14ac:dyDescent="0.2"/>
    <row r="33531" s="689" customFormat="1" x14ac:dyDescent="0.2"/>
    <row r="33532" s="689" customFormat="1" x14ac:dyDescent="0.2"/>
    <row r="33533" s="689" customFormat="1" x14ac:dyDescent="0.2"/>
    <row r="33534" s="689" customFormat="1" x14ac:dyDescent="0.2"/>
    <row r="33535" s="689" customFormat="1" x14ac:dyDescent="0.2"/>
    <row r="33536" s="689" customFormat="1" x14ac:dyDescent="0.2"/>
    <row r="33537" s="689" customFormat="1" x14ac:dyDescent="0.2"/>
    <row r="33538" s="689" customFormat="1" x14ac:dyDescent="0.2"/>
    <row r="33539" s="689" customFormat="1" x14ac:dyDescent="0.2"/>
    <row r="33540" s="689" customFormat="1" x14ac:dyDescent="0.2"/>
    <row r="33541" s="689" customFormat="1" x14ac:dyDescent="0.2"/>
    <row r="33542" s="689" customFormat="1" x14ac:dyDescent="0.2"/>
    <row r="33543" s="689" customFormat="1" x14ac:dyDescent="0.2"/>
    <row r="33544" s="689" customFormat="1" x14ac:dyDescent="0.2"/>
    <row r="33545" s="689" customFormat="1" x14ac:dyDescent="0.2"/>
    <row r="33546" s="689" customFormat="1" x14ac:dyDescent="0.2"/>
    <row r="33547" s="689" customFormat="1" x14ac:dyDescent="0.2"/>
    <row r="33548" s="689" customFormat="1" x14ac:dyDescent="0.2"/>
    <row r="33549" s="689" customFormat="1" x14ac:dyDescent="0.2"/>
    <row r="33550" s="689" customFormat="1" x14ac:dyDescent="0.2"/>
    <row r="33551" s="689" customFormat="1" x14ac:dyDescent="0.2"/>
    <row r="33552" s="689" customFormat="1" x14ac:dyDescent="0.2"/>
    <row r="33553" s="689" customFormat="1" x14ac:dyDescent="0.2"/>
    <row r="33554" s="689" customFormat="1" x14ac:dyDescent="0.2"/>
    <row r="33555" s="689" customFormat="1" x14ac:dyDescent="0.2"/>
    <row r="33556" s="689" customFormat="1" x14ac:dyDescent="0.2"/>
    <row r="33557" s="689" customFormat="1" x14ac:dyDescent="0.2"/>
    <row r="33558" s="689" customFormat="1" x14ac:dyDescent="0.2"/>
    <row r="33559" s="689" customFormat="1" x14ac:dyDescent="0.2"/>
    <row r="33560" s="689" customFormat="1" x14ac:dyDescent="0.2"/>
    <row r="33561" s="689" customFormat="1" x14ac:dyDescent="0.2"/>
    <row r="33562" s="689" customFormat="1" x14ac:dyDescent="0.2"/>
    <row r="33563" s="689" customFormat="1" x14ac:dyDescent="0.2"/>
    <row r="33564" s="689" customFormat="1" x14ac:dyDescent="0.2"/>
    <row r="33565" s="689" customFormat="1" x14ac:dyDescent="0.2"/>
    <row r="33566" s="689" customFormat="1" x14ac:dyDescent="0.2"/>
    <row r="33567" s="689" customFormat="1" x14ac:dyDescent="0.2"/>
    <row r="33568" s="689" customFormat="1" x14ac:dyDescent="0.2"/>
    <row r="33569" s="689" customFormat="1" x14ac:dyDescent="0.2"/>
    <row r="33570" s="689" customFormat="1" x14ac:dyDescent="0.2"/>
    <row r="33571" s="689" customFormat="1" x14ac:dyDescent="0.2"/>
    <row r="33572" s="689" customFormat="1" x14ac:dyDescent="0.2"/>
    <row r="33573" s="689" customFormat="1" x14ac:dyDescent="0.2"/>
    <row r="33574" s="689" customFormat="1" x14ac:dyDescent="0.2"/>
    <row r="33575" s="689" customFormat="1" x14ac:dyDescent="0.2"/>
    <row r="33576" s="689" customFormat="1" x14ac:dyDescent="0.2"/>
    <row r="33577" s="689" customFormat="1" x14ac:dyDescent="0.2"/>
    <row r="33578" s="689" customFormat="1" x14ac:dyDescent="0.2"/>
    <row r="33579" s="689" customFormat="1" x14ac:dyDescent="0.2"/>
    <row r="33580" s="689" customFormat="1" x14ac:dyDescent="0.2"/>
    <row r="33581" s="689" customFormat="1" x14ac:dyDescent="0.2"/>
    <row r="33582" s="689" customFormat="1" x14ac:dyDescent="0.2"/>
    <row r="33583" s="689" customFormat="1" x14ac:dyDescent="0.2"/>
    <row r="33584" s="689" customFormat="1" x14ac:dyDescent="0.2"/>
    <row r="33585" s="689" customFormat="1" x14ac:dyDescent="0.2"/>
    <row r="33586" s="689" customFormat="1" x14ac:dyDescent="0.2"/>
    <row r="33587" s="689" customFormat="1" x14ac:dyDescent="0.2"/>
    <row r="33588" s="689" customFormat="1" x14ac:dyDescent="0.2"/>
    <row r="33589" s="689" customFormat="1" x14ac:dyDescent="0.2"/>
    <row r="33590" s="689" customFormat="1" x14ac:dyDescent="0.2"/>
    <row r="33591" s="689" customFormat="1" x14ac:dyDescent="0.2"/>
    <row r="33592" s="689" customFormat="1" x14ac:dyDescent="0.2"/>
    <row r="33593" s="689" customFormat="1" x14ac:dyDescent="0.2"/>
    <row r="33594" s="689" customFormat="1" x14ac:dyDescent="0.2"/>
    <row r="33595" s="689" customFormat="1" x14ac:dyDescent="0.2"/>
    <row r="33596" s="689" customFormat="1" x14ac:dyDescent="0.2"/>
    <row r="33597" s="689" customFormat="1" x14ac:dyDescent="0.2"/>
    <row r="33598" s="689" customFormat="1" x14ac:dyDescent="0.2"/>
    <row r="33599" s="689" customFormat="1" x14ac:dyDescent="0.2"/>
    <row r="33600" s="689" customFormat="1" x14ac:dyDescent="0.2"/>
    <row r="33601" s="689" customFormat="1" x14ac:dyDescent="0.2"/>
    <row r="33602" s="689" customFormat="1" x14ac:dyDescent="0.2"/>
    <row r="33603" s="689" customFormat="1" x14ac:dyDescent="0.2"/>
    <row r="33604" s="689" customFormat="1" x14ac:dyDescent="0.2"/>
    <row r="33605" s="689" customFormat="1" x14ac:dyDescent="0.2"/>
    <row r="33606" s="689" customFormat="1" x14ac:dyDescent="0.2"/>
    <row r="33607" s="689" customFormat="1" x14ac:dyDescent="0.2"/>
    <row r="33608" s="689" customFormat="1" x14ac:dyDescent="0.2"/>
    <row r="33609" s="689" customFormat="1" x14ac:dyDescent="0.2"/>
    <row r="33610" s="689" customFormat="1" x14ac:dyDescent="0.2"/>
    <row r="33611" s="689" customFormat="1" x14ac:dyDescent="0.2"/>
    <row r="33612" s="689" customFormat="1" x14ac:dyDescent="0.2"/>
    <row r="33613" s="689" customFormat="1" x14ac:dyDescent="0.2"/>
    <row r="33614" s="689" customFormat="1" x14ac:dyDescent="0.2"/>
    <row r="33615" s="689" customFormat="1" x14ac:dyDescent="0.2"/>
    <row r="33616" s="689" customFormat="1" x14ac:dyDescent="0.2"/>
    <row r="33617" s="689" customFormat="1" x14ac:dyDescent="0.2"/>
    <row r="33618" s="689" customFormat="1" x14ac:dyDescent="0.2"/>
    <row r="33619" s="689" customFormat="1" x14ac:dyDescent="0.2"/>
    <row r="33620" s="689" customFormat="1" x14ac:dyDescent="0.2"/>
    <row r="33621" s="689" customFormat="1" x14ac:dyDescent="0.2"/>
    <row r="33622" s="689" customFormat="1" x14ac:dyDescent="0.2"/>
    <row r="33623" s="689" customFormat="1" x14ac:dyDescent="0.2"/>
    <row r="33624" s="689" customFormat="1" x14ac:dyDescent="0.2"/>
    <row r="33625" s="689" customFormat="1" x14ac:dyDescent="0.2"/>
    <row r="33626" s="689" customFormat="1" x14ac:dyDescent="0.2"/>
    <row r="33627" s="689" customFormat="1" x14ac:dyDescent="0.2"/>
    <row r="33628" s="689" customFormat="1" x14ac:dyDescent="0.2"/>
    <row r="33629" s="689" customFormat="1" x14ac:dyDescent="0.2"/>
    <row r="33630" s="689" customFormat="1" x14ac:dyDescent="0.2"/>
    <row r="33631" s="689" customFormat="1" x14ac:dyDescent="0.2"/>
    <row r="33632" s="689" customFormat="1" x14ac:dyDescent="0.2"/>
    <row r="33633" s="689" customFormat="1" x14ac:dyDescent="0.2"/>
    <row r="33634" s="689" customFormat="1" x14ac:dyDescent="0.2"/>
    <row r="33635" s="689" customFormat="1" x14ac:dyDescent="0.2"/>
    <row r="33636" s="689" customFormat="1" x14ac:dyDescent="0.2"/>
    <row r="33637" s="689" customFormat="1" x14ac:dyDescent="0.2"/>
    <row r="33638" s="689" customFormat="1" x14ac:dyDescent="0.2"/>
    <row r="33639" s="689" customFormat="1" x14ac:dyDescent="0.2"/>
    <row r="33640" s="689" customFormat="1" x14ac:dyDescent="0.2"/>
    <row r="33641" s="689" customFormat="1" x14ac:dyDescent="0.2"/>
    <row r="33642" s="689" customFormat="1" x14ac:dyDescent="0.2"/>
    <row r="33643" s="689" customFormat="1" x14ac:dyDescent="0.2"/>
    <row r="33644" s="689" customFormat="1" x14ac:dyDescent="0.2"/>
    <row r="33645" s="689" customFormat="1" x14ac:dyDescent="0.2"/>
    <row r="33646" s="689" customFormat="1" x14ac:dyDescent="0.2"/>
    <row r="33647" s="689" customFormat="1" x14ac:dyDescent="0.2"/>
    <row r="33648" s="689" customFormat="1" x14ac:dyDescent="0.2"/>
    <row r="33649" s="689" customFormat="1" x14ac:dyDescent="0.2"/>
    <row r="33650" s="689" customFormat="1" x14ac:dyDescent="0.2"/>
    <row r="33651" s="689" customFormat="1" x14ac:dyDescent="0.2"/>
    <row r="33652" s="689" customFormat="1" x14ac:dyDescent="0.2"/>
    <row r="33653" s="689" customFormat="1" x14ac:dyDescent="0.2"/>
    <row r="33654" s="689" customFormat="1" x14ac:dyDescent="0.2"/>
    <row r="33655" s="689" customFormat="1" x14ac:dyDescent="0.2"/>
    <row r="33656" s="689" customFormat="1" x14ac:dyDescent="0.2"/>
    <row r="33657" s="689" customFormat="1" x14ac:dyDescent="0.2"/>
    <row r="33658" s="689" customFormat="1" x14ac:dyDescent="0.2"/>
    <row r="33659" s="689" customFormat="1" x14ac:dyDescent="0.2"/>
    <row r="33660" s="689" customFormat="1" x14ac:dyDescent="0.2"/>
    <row r="33661" s="689" customFormat="1" x14ac:dyDescent="0.2"/>
    <row r="33662" s="689" customFormat="1" x14ac:dyDescent="0.2"/>
    <row r="33663" s="689" customFormat="1" x14ac:dyDescent="0.2"/>
    <row r="33664" s="689" customFormat="1" x14ac:dyDescent="0.2"/>
    <row r="33665" s="689" customFormat="1" x14ac:dyDescent="0.2"/>
    <row r="33666" s="689" customFormat="1" x14ac:dyDescent="0.2"/>
    <row r="33667" s="689" customFormat="1" x14ac:dyDescent="0.2"/>
    <row r="33668" s="689" customFormat="1" x14ac:dyDescent="0.2"/>
    <row r="33669" s="689" customFormat="1" x14ac:dyDescent="0.2"/>
    <row r="33670" s="689" customFormat="1" x14ac:dyDescent="0.2"/>
    <row r="33671" s="689" customFormat="1" x14ac:dyDescent="0.2"/>
    <row r="33672" s="689" customFormat="1" x14ac:dyDescent="0.2"/>
    <row r="33673" s="689" customFormat="1" x14ac:dyDescent="0.2"/>
    <row r="33674" s="689" customFormat="1" x14ac:dyDescent="0.2"/>
    <row r="33675" s="689" customFormat="1" x14ac:dyDescent="0.2"/>
    <row r="33676" s="689" customFormat="1" x14ac:dyDescent="0.2"/>
    <row r="33677" s="689" customFormat="1" x14ac:dyDescent="0.2"/>
    <row r="33678" s="689" customFormat="1" x14ac:dyDescent="0.2"/>
    <row r="33679" s="689" customFormat="1" x14ac:dyDescent="0.2"/>
    <row r="33680" s="689" customFormat="1" x14ac:dyDescent="0.2"/>
    <row r="33681" s="689" customFormat="1" x14ac:dyDescent="0.2"/>
    <row r="33682" s="689" customFormat="1" x14ac:dyDescent="0.2"/>
    <row r="33683" s="689" customFormat="1" x14ac:dyDescent="0.2"/>
    <row r="33684" s="689" customFormat="1" x14ac:dyDescent="0.2"/>
    <row r="33685" s="689" customFormat="1" x14ac:dyDescent="0.2"/>
    <row r="33686" s="689" customFormat="1" x14ac:dyDescent="0.2"/>
    <row r="33687" s="689" customFormat="1" x14ac:dyDescent="0.2"/>
    <row r="33688" s="689" customFormat="1" x14ac:dyDescent="0.2"/>
    <row r="33689" s="689" customFormat="1" x14ac:dyDescent="0.2"/>
    <row r="33690" s="689" customFormat="1" x14ac:dyDescent="0.2"/>
    <row r="33691" s="689" customFormat="1" x14ac:dyDescent="0.2"/>
    <row r="33692" s="689" customFormat="1" x14ac:dyDescent="0.2"/>
    <row r="33693" s="689" customFormat="1" x14ac:dyDescent="0.2"/>
    <row r="33694" s="689" customFormat="1" x14ac:dyDescent="0.2"/>
    <row r="33695" s="689" customFormat="1" x14ac:dyDescent="0.2"/>
    <row r="33696" s="689" customFormat="1" x14ac:dyDescent="0.2"/>
    <row r="33697" s="689" customFormat="1" x14ac:dyDescent="0.2"/>
    <row r="33698" s="689" customFormat="1" x14ac:dyDescent="0.2"/>
    <row r="33699" s="689" customFormat="1" x14ac:dyDescent="0.2"/>
    <row r="33700" s="689" customFormat="1" x14ac:dyDescent="0.2"/>
    <row r="33701" s="689" customFormat="1" x14ac:dyDescent="0.2"/>
    <row r="33702" s="689" customFormat="1" x14ac:dyDescent="0.2"/>
    <row r="33703" s="689" customFormat="1" x14ac:dyDescent="0.2"/>
    <row r="33704" s="689" customFormat="1" x14ac:dyDescent="0.2"/>
    <row r="33705" s="689" customFormat="1" x14ac:dyDescent="0.2"/>
    <row r="33706" s="689" customFormat="1" x14ac:dyDescent="0.2"/>
    <row r="33707" s="689" customFormat="1" x14ac:dyDescent="0.2"/>
    <row r="33708" s="689" customFormat="1" x14ac:dyDescent="0.2"/>
    <row r="33709" s="689" customFormat="1" x14ac:dyDescent="0.2"/>
    <row r="33710" s="689" customFormat="1" x14ac:dyDescent="0.2"/>
    <row r="33711" s="689" customFormat="1" x14ac:dyDescent="0.2"/>
    <row r="33712" s="689" customFormat="1" x14ac:dyDescent="0.2"/>
    <row r="33713" s="689" customFormat="1" x14ac:dyDescent="0.2"/>
    <row r="33714" s="689" customFormat="1" x14ac:dyDescent="0.2"/>
    <row r="33715" s="689" customFormat="1" x14ac:dyDescent="0.2"/>
    <row r="33716" s="689" customFormat="1" x14ac:dyDescent="0.2"/>
    <row r="33717" s="689" customFormat="1" x14ac:dyDescent="0.2"/>
    <row r="33718" s="689" customFormat="1" x14ac:dyDescent="0.2"/>
    <row r="33719" s="689" customFormat="1" x14ac:dyDescent="0.2"/>
    <row r="33720" s="689" customFormat="1" x14ac:dyDescent="0.2"/>
    <row r="33721" s="689" customFormat="1" x14ac:dyDescent="0.2"/>
    <row r="33722" s="689" customFormat="1" x14ac:dyDescent="0.2"/>
    <row r="33723" s="689" customFormat="1" x14ac:dyDescent="0.2"/>
    <row r="33724" s="689" customFormat="1" x14ac:dyDescent="0.2"/>
    <row r="33725" s="689" customFormat="1" x14ac:dyDescent="0.2"/>
    <row r="33726" s="689" customFormat="1" x14ac:dyDescent="0.2"/>
    <row r="33727" s="689" customFormat="1" x14ac:dyDescent="0.2"/>
    <row r="33728" s="689" customFormat="1" x14ac:dyDescent="0.2"/>
    <row r="33729" s="689" customFormat="1" x14ac:dyDescent="0.2"/>
    <row r="33730" s="689" customFormat="1" x14ac:dyDescent="0.2"/>
    <row r="33731" s="689" customFormat="1" x14ac:dyDescent="0.2"/>
    <row r="33732" s="689" customFormat="1" x14ac:dyDescent="0.2"/>
    <row r="33733" s="689" customFormat="1" x14ac:dyDescent="0.2"/>
    <row r="33734" s="689" customFormat="1" x14ac:dyDescent="0.2"/>
    <row r="33735" s="689" customFormat="1" x14ac:dyDescent="0.2"/>
    <row r="33736" s="689" customFormat="1" x14ac:dyDescent="0.2"/>
    <row r="33737" s="689" customFormat="1" x14ac:dyDescent="0.2"/>
    <row r="33738" s="689" customFormat="1" x14ac:dyDescent="0.2"/>
    <row r="33739" s="689" customFormat="1" x14ac:dyDescent="0.2"/>
    <row r="33740" s="689" customFormat="1" x14ac:dyDescent="0.2"/>
    <row r="33741" s="689" customFormat="1" x14ac:dyDescent="0.2"/>
    <row r="33742" s="689" customFormat="1" x14ac:dyDescent="0.2"/>
    <row r="33743" s="689" customFormat="1" x14ac:dyDescent="0.2"/>
    <row r="33744" s="689" customFormat="1" x14ac:dyDescent="0.2"/>
    <row r="33745" s="689" customFormat="1" x14ac:dyDescent="0.2"/>
    <row r="33746" s="689" customFormat="1" x14ac:dyDescent="0.2"/>
    <row r="33747" s="689" customFormat="1" x14ac:dyDescent="0.2"/>
    <row r="33748" s="689" customFormat="1" x14ac:dyDescent="0.2"/>
    <row r="33749" s="689" customFormat="1" x14ac:dyDescent="0.2"/>
    <row r="33750" s="689" customFormat="1" x14ac:dyDescent="0.2"/>
    <row r="33751" s="689" customFormat="1" x14ac:dyDescent="0.2"/>
    <row r="33752" s="689" customFormat="1" x14ac:dyDescent="0.2"/>
    <row r="33753" s="689" customFormat="1" x14ac:dyDescent="0.2"/>
    <row r="33754" s="689" customFormat="1" x14ac:dyDescent="0.2"/>
    <row r="33755" s="689" customFormat="1" x14ac:dyDescent="0.2"/>
    <row r="33756" s="689" customFormat="1" x14ac:dyDescent="0.2"/>
    <row r="33757" s="689" customFormat="1" x14ac:dyDescent="0.2"/>
    <row r="33758" s="689" customFormat="1" x14ac:dyDescent="0.2"/>
    <row r="33759" s="689" customFormat="1" x14ac:dyDescent="0.2"/>
    <row r="33760" s="689" customFormat="1" x14ac:dyDescent="0.2"/>
    <row r="33761" s="689" customFormat="1" x14ac:dyDescent="0.2"/>
    <row r="33762" s="689" customFormat="1" x14ac:dyDescent="0.2"/>
    <row r="33763" s="689" customFormat="1" x14ac:dyDescent="0.2"/>
    <row r="33764" s="689" customFormat="1" x14ac:dyDescent="0.2"/>
    <row r="33765" s="689" customFormat="1" x14ac:dyDescent="0.2"/>
    <row r="33766" s="689" customFormat="1" x14ac:dyDescent="0.2"/>
    <row r="33767" s="689" customFormat="1" x14ac:dyDescent="0.2"/>
    <row r="33768" s="689" customFormat="1" x14ac:dyDescent="0.2"/>
    <row r="33769" s="689" customFormat="1" x14ac:dyDescent="0.2"/>
    <row r="33770" s="689" customFormat="1" x14ac:dyDescent="0.2"/>
    <row r="33771" s="689" customFormat="1" x14ac:dyDescent="0.2"/>
    <row r="33772" s="689" customFormat="1" x14ac:dyDescent="0.2"/>
    <row r="33773" s="689" customFormat="1" x14ac:dyDescent="0.2"/>
    <row r="33774" s="689" customFormat="1" x14ac:dyDescent="0.2"/>
    <row r="33775" s="689" customFormat="1" x14ac:dyDescent="0.2"/>
    <row r="33776" s="689" customFormat="1" x14ac:dyDescent="0.2"/>
    <row r="33777" s="689" customFormat="1" x14ac:dyDescent="0.2"/>
    <row r="33778" s="689" customFormat="1" x14ac:dyDescent="0.2"/>
    <row r="33779" s="689" customFormat="1" x14ac:dyDescent="0.2"/>
    <row r="33780" s="689" customFormat="1" x14ac:dyDescent="0.2"/>
    <row r="33781" s="689" customFormat="1" x14ac:dyDescent="0.2"/>
    <row r="33782" s="689" customFormat="1" x14ac:dyDescent="0.2"/>
    <row r="33783" s="689" customFormat="1" x14ac:dyDescent="0.2"/>
    <row r="33784" s="689" customFormat="1" x14ac:dyDescent="0.2"/>
    <row r="33785" s="689" customFormat="1" x14ac:dyDescent="0.2"/>
    <row r="33786" s="689" customFormat="1" x14ac:dyDescent="0.2"/>
    <row r="33787" s="689" customFormat="1" x14ac:dyDescent="0.2"/>
    <row r="33788" s="689" customFormat="1" x14ac:dyDescent="0.2"/>
    <row r="33789" s="689" customFormat="1" x14ac:dyDescent="0.2"/>
    <row r="33790" s="689" customFormat="1" x14ac:dyDescent="0.2"/>
    <row r="33791" s="689" customFormat="1" x14ac:dyDescent="0.2"/>
    <row r="33792" s="689" customFormat="1" x14ac:dyDescent="0.2"/>
    <row r="33793" s="689" customFormat="1" x14ac:dyDescent="0.2"/>
    <row r="33794" s="689" customFormat="1" x14ac:dyDescent="0.2"/>
    <row r="33795" s="689" customFormat="1" x14ac:dyDescent="0.2"/>
    <row r="33796" s="689" customFormat="1" x14ac:dyDescent="0.2"/>
    <row r="33797" s="689" customFormat="1" x14ac:dyDescent="0.2"/>
    <row r="33798" s="689" customFormat="1" x14ac:dyDescent="0.2"/>
    <row r="33799" s="689" customFormat="1" x14ac:dyDescent="0.2"/>
    <row r="33800" s="689" customFormat="1" x14ac:dyDescent="0.2"/>
    <row r="33801" s="689" customFormat="1" x14ac:dyDescent="0.2"/>
    <row r="33802" s="689" customFormat="1" x14ac:dyDescent="0.2"/>
    <row r="33803" s="689" customFormat="1" x14ac:dyDescent="0.2"/>
    <row r="33804" s="689" customFormat="1" x14ac:dyDescent="0.2"/>
    <row r="33805" s="689" customFormat="1" x14ac:dyDescent="0.2"/>
    <row r="33806" s="689" customFormat="1" x14ac:dyDescent="0.2"/>
    <row r="33807" s="689" customFormat="1" x14ac:dyDescent="0.2"/>
    <row r="33808" s="689" customFormat="1" x14ac:dyDescent="0.2"/>
    <row r="33809" s="689" customFormat="1" x14ac:dyDescent="0.2"/>
    <row r="33810" s="689" customFormat="1" x14ac:dyDescent="0.2"/>
    <row r="33811" s="689" customFormat="1" x14ac:dyDescent="0.2"/>
    <row r="33812" s="689" customFormat="1" x14ac:dyDescent="0.2"/>
    <row r="33813" s="689" customFormat="1" x14ac:dyDescent="0.2"/>
    <row r="33814" s="689" customFormat="1" x14ac:dyDescent="0.2"/>
    <row r="33815" s="689" customFormat="1" x14ac:dyDescent="0.2"/>
    <row r="33816" s="689" customFormat="1" x14ac:dyDescent="0.2"/>
    <row r="33817" s="689" customFormat="1" x14ac:dyDescent="0.2"/>
    <row r="33818" s="689" customFormat="1" x14ac:dyDescent="0.2"/>
    <row r="33819" s="689" customFormat="1" x14ac:dyDescent="0.2"/>
    <row r="33820" s="689" customFormat="1" x14ac:dyDescent="0.2"/>
    <row r="33821" s="689" customFormat="1" x14ac:dyDescent="0.2"/>
    <row r="33822" s="689" customFormat="1" x14ac:dyDescent="0.2"/>
    <row r="33823" s="689" customFormat="1" x14ac:dyDescent="0.2"/>
    <row r="33824" s="689" customFormat="1" x14ac:dyDescent="0.2"/>
    <row r="33825" s="689" customFormat="1" x14ac:dyDescent="0.2"/>
    <row r="33826" s="689" customFormat="1" x14ac:dyDescent="0.2"/>
    <row r="33827" s="689" customFormat="1" x14ac:dyDescent="0.2"/>
    <row r="33828" s="689" customFormat="1" x14ac:dyDescent="0.2"/>
    <row r="33829" s="689" customFormat="1" x14ac:dyDescent="0.2"/>
    <row r="33830" s="689" customFormat="1" x14ac:dyDescent="0.2"/>
    <row r="33831" s="689" customFormat="1" x14ac:dyDescent="0.2"/>
    <row r="33832" s="689" customFormat="1" x14ac:dyDescent="0.2"/>
    <row r="33833" s="689" customFormat="1" x14ac:dyDescent="0.2"/>
    <row r="33834" s="689" customFormat="1" x14ac:dyDescent="0.2"/>
    <row r="33835" s="689" customFormat="1" x14ac:dyDescent="0.2"/>
    <row r="33836" s="689" customFormat="1" x14ac:dyDescent="0.2"/>
    <row r="33837" s="689" customFormat="1" x14ac:dyDescent="0.2"/>
    <row r="33838" s="689" customFormat="1" x14ac:dyDescent="0.2"/>
    <row r="33839" s="689" customFormat="1" x14ac:dyDescent="0.2"/>
    <row r="33840" s="689" customFormat="1" x14ac:dyDescent="0.2"/>
    <row r="33841" s="689" customFormat="1" x14ac:dyDescent="0.2"/>
    <row r="33842" s="689" customFormat="1" x14ac:dyDescent="0.2"/>
    <row r="33843" s="689" customFormat="1" x14ac:dyDescent="0.2"/>
    <row r="33844" s="689" customFormat="1" x14ac:dyDescent="0.2"/>
    <row r="33845" s="689" customFormat="1" x14ac:dyDescent="0.2"/>
    <row r="33846" s="689" customFormat="1" x14ac:dyDescent="0.2"/>
    <row r="33847" s="689" customFormat="1" x14ac:dyDescent="0.2"/>
    <row r="33848" s="689" customFormat="1" x14ac:dyDescent="0.2"/>
    <row r="33849" s="689" customFormat="1" x14ac:dyDescent="0.2"/>
    <row r="33850" s="689" customFormat="1" x14ac:dyDescent="0.2"/>
    <row r="33851" s="689" customFormat="1" x14ac:dyDescent="0.2"/>
    <row r="33852" s="689" customFormat="1" x14ac:dyDescent="0.2"/>
    <row r="33853" s="689" customFormat="1" x14ac:dyDescent="0.2"/>
    <row r="33854" s="689" customFormat="1" x14ac:dyDescent="0.2"/>
    <row r="33855" s="689" customFormat="1" x14ac:dyDescent="0.2"/>
    <row r="33856" s="689" customFormat="1" x14ac:dyDescent="0.2"/>
    <row r="33857" s="689" customFormat="1" x14ac:dyDescent="0.2"/>
    <row r="33858" s="689" customFormat="1" x14ac:dyDescent="0.2"/>
    <row r="33859" s="689" customFormat="1" x14ac:dyDescent="0.2"/>
    <row r="33860" s="689" customFormat="1" x14ac:dyDescent="0.2"/>
    <row r="33861" s="689" customFormat="1" x14ac:dyDescent="0.2"/>
    <row r="33862" s="689" customFormat="1" x14ac:dyDescent="0.2"/>
    <row r="33863" s="689" customFormat="1" x14ac:dyDescent="0.2"/>
    <row r="33864" s="689" customFormat="1" x14ac:dyDescent="0.2"/>
    <row r="33865" s="689" customFormat="1" x14ac:dyDescent="0.2"/>
    <row r="33866" s="689" customFormat="1" x14ac:dyDescent="0.2"/>
    <row r="33867" s="689" customFormat="1" x14ac:dyDescent="0.2"/>
    <row r="33868" s="689" customFormat="1" x14ac:dyDescent="0.2"/>
    <row r="33869" s="689" customFormat="1" x14ac:dyDescent="0.2"/>
    <row r="33870" s="689" customFormat="1" x14ac:dyDescent="0.2"/>
    <row r="33871" s="689" customFormat="1" x14ac:dyDescent="0.2"/>
    <row r="33872" s="689" customFormat="1" x14ac:dyDescent="0.2"/>
    <row r="33873" s="689" customFormat="1" x14ac:dyDescent="0.2"/>
    <row r="33874" s="689" customFormat="1" x14ac:dyDescent="0.2"/>
    <row r="33875" s="689" customFormat="1" x14ac:dyDescent="0.2"/>
    <row r="33876" s="689" customFormat="1" x14ac:dyDescent="0.2"/>
    <row r="33877" s="689" customFormat="1" x14ac:dyDescent="0.2"/>
    <row r="33878" s="689" customFormat="1" x14ac:dyDescent="0.2"/>
    <row r="33879" s="689" customFormat="1" x14ac:dyDescent="0.2"/>
    <row r="33880" s="689" customFormat="1" x14ac:dyDescent="0.2"/>
    <row r="33881" s="689" customFormat="1" x14ac:dyDescent="0.2"/>
    <row r="33882" s="689" customFormat="1" x14ac:dyDescent="0.2"/>
    <row r="33883" s="689" customFormat="1" x14ac:dyDescent="0.2"/>
    <row r="33884" s="689" customFormat="1" x14ac:dyDescent="0.2"/>
    <row r="33885" s="689" customFormat="1" x14ac:dyDescent="0.2"/>
    <row r="33886" s="689" customFormat="1" x14ac:dyDescent="0.2"/>
    <row r="33887" s="689" customFormat="1" x14ac:dyDescent="0.2"/>
    <row r="33888" s="689" customFormat="1" x14ac:dyDescent="0.2"/>
    <row r="33889" s="689" customFormat="1" x14ac:dyDescent="0.2"/>
    <row r="33890" s="689" customFormat="1" x14ac:dyDescent="0.2"/>
    <row r="33891" s="689" customFormat="1" x14ac:dyDescent="0.2"/>
    <row r="33892" s="689" customFormat="1" x14ac:dyDescent="0.2"/>
    <row r="33893" s="689" customFormat="1" x14ac:dyDescent="0.2"/>
    <row r="33894" s="689" customFormat="1" x14ac:dyDescent="0.2"/>
    <row r="33895" s="689" customFormat="1" x14ac:dyDescent="0.2"/>
    <row r="33896" s="689" customFormat="1" x14ac:dyDescent="0.2"/>
    <row r="33897" s="689" customFormat="1" x14ac:dyDescent="0.2"/>
    <row r="33898" s="689" customFormat="1" x14ac:dyDescent="0.2"/>
    <row r="33899" s="689" customFormat="1" x14ac:dyDescent="0.2"/>
    <row r="33900" s="689" customFormat="1" x14ac:dyDescent="0.2"/>
    <row r="33901" s="689" customFormat="1" x14ac:dyDescent="0.2"/>
    <row r="33902" s="689" customFormat="1" x14ac:dyDescent="0.2"/>
    <row r="33903" s="689" customFormat="1" x14ac:dyDescent="0.2"/>
    <row r="33904" s="689" customFormat="1" x14ac:dyDescent="0.2"/>
    <row r="33905" s="689" customFormat="1" x14ac:dyDescent="0.2"/>
    <row r="33906" s="689" customFormat="1" x14ac:dyDescent="0.2"/>
    <row r="33907" s="689" customFormat="1" x14ac:dyDescent="0.2"/>
    <row r="33908" s="689" customFormat="1" x14ac:dyDescent="0.2"/>
    <row r="33909" s="689" customFormat="1" x14ac:dyDescent="0.2"/>
    <row r="33910" s="689" customFormat="1" x14ac:dyDescent="0.2"/>
    <row r="33911" s="689" customFormat="1" x14ac:dyDescent="0.2"/>
    <row r="33912" s="689" customFormat="1" x14ac:dyDescent="0.2"/>
    <row r="33913" s="689" customFormat="1" x14ac:dyDescent="0.2"/>
    <row r="33914" s="689" customFormat="1" x14ac:dyDescent="0.2"/>
    <row r="33915" s="689" customFormat="1" x14ac:dyDescent="0.2"/>
    <row r="33916" s="689" customFormat="1" x14ac:dyDescent="0.2"/>
    <row r="33917" s="689" customFormat="1" x14ac:dyDescent="0.2"/>
    <row r="33918" s="689" customFormat="1" x14ac:dyDescent="0.2"/>
    <row r="33919" s="689" customFormat="1" x14ac:dyDescent="0.2"/>
    <row r="33920" s="689" customFormat="1" x14ac:dyDescent="0.2"/>
    <row r="33921" s="689" customFormat="1" x14ac:dyDescent="0.2"/>
    <row r="33922" s="689" customFormat="1" x14ac:dyDescent="0.2"/>
    <row r="33923" s="689" customFormat="1" x14ac:dyDescent="0.2"/>
    <row r="33924" s="689" customFormat="1" x14ac:dyDescent="0.2"/>
    <row r="33925" s="689" customFormat="1" x14ac:dyDescent="0.2"/>
    <row r="33926" s="689" customFormat="1" x14ac:dyDescent="0.2"/>
    <row r="33927" s="689" customFormat="1" x14ac:dyDescent="0.2"/>
    <row r="33928" s="689" customFormat="1" x14ac:dyDescent="0.2"/>
    <row r="33929" s="689" customFormat="1" x14ac:dyDescent="0.2"/>
    <row r="33930" s="689" customFormat="1" x14ac:dyDescent="0.2"/>
    <row r="33931" s="689" customFormat="1" x14ac:dyDescent="0.2"/>
    <row r="33932" s="689" customFormat="1" x14ac:dyDescent="0.2"/>
    <row r="33933" s="689" customFormat="1" x14ac:dyDescent="0.2"/>
    <row r="33934" s="689" customFormat="1" x14ac:dyDescent="0.2"/>
    <row r="33935" s="689" customFormat="1" x14ac:dyDescent="0.2"/>
    <row r="33936" s="689" customFormat="1" x14ac:dyDescent="0.2"/>
    <row r="33937" s="689" customFormat="1" x14ac:dyDescent="0.2"/>
    <row r="33938" s="689" customFormat="1" x14ac:dyDescent="0.2"/>
    <row r="33939" s="689" customFormat="1" x14ac:dyDescent="0.2"/>
    <row r="33940" s="689" customFormat="1" x14ac:dyDescent="0.2"/>
    <row r="33941" s="689" customFormat="1" x14ac:dyDescent="0.2"/>
    <row r="33942" s="689" customFormat="1" x14ac:dyDescent="0.2"/>
    <row r="33943" s="689" customFormat="1" x14ac:dyDescent="0.2"/>
    <row r="33944" s="689" customFormat="1" x14ac:dyDescent="0.2"/>
    <row r="33945" s="689" customFormat="1" x14ac:dyDescent="0.2"/>
    <row r="33946" s="689" customFormat="1" x14ac:dyDescent="0.2"/>
    <row r="33947" s="689" customFormat="1" x14ac:dyDescent="0.2"/>
    <row r="33948" s="689" customFormat="1" x14ac:dyDescent="0.2"/>
    <row r="33949" s="689" customFormat="1" x14ac:dyDescent="0.2"/>
    <row r="33950" s="689" customFormat="1" x14ac:dyDescent="0.2"/>
    <row r="33951" s="689" customFormat="1" x14ac:dyDescent="0.2"/>
    <row r="33952" s="689" customFormat="1" x14ac:dyDescent="0.2"/>
    <row r="33953" s="689" customFormat="1" x14ac:dyDescent="0.2"/>
    <row r="33954" s="689" customFormat="1" x14ac:dyDescent="0.2"/>
    <row r="33955" s="689" customFormat="1" x14ac:dyDescent="0.2"/>
    <row r="33956" s="689" customFormat="1" x14ac:dyDescent="0.2"/>
    <row r="33957" s="689" customFormat="1" x14ac:dyDescent="0.2"/>
    <row r="33958" s="689" customFormat="1" x14ac:dyDescent="0.2"/>
    <row r="33959" s="689" customFormat="1" x14ac:dyDescent="0.2"/>
    <row r="33960" s="689" customFormat="1" x14ac:dyDescent="0.2"/>
    <row r="33961" s="689" customFormat="1" x14ac:dyDescent="0.2"/>
    <row r="33962" s="689" customFormat="1" x14ac:dyDescent="0.2"/>
    <row r="33963" s="689" customFormat="1" x14ac:dyDescent="0.2"/>
    <row r="33964" s="689" customFormat="1" x14ac:dyDescent="0.2"/>
    <row r="33965" s="689" customFormat="1" x14ac:dyDescent="0.2"/>
    <row r="33966" s="689" customFormat="1" x14ac:dyDescent="0.2"/>
    <row r="33967" s="689" customFormat="1" x14ac:dyDescent="0.2"/>
    <row r="33968" s="689" customFormat="1" x14ac:dyDescent="0.2"/>
    <row r="33969" s="689" customFormat="1" x14ac:dyDescent="0.2"/>
    <row r="33970" s="689" customFormat="1" x14ac:dyDescent="0.2"/>
    <row r="33971" s="689" customFormat="1" x14ac:dyDescent="0.2"/>
    <row r="33972" s="689" customFormat="1" x14ac:dyDescent="0.2"/>
    <row r="33973" s="689" customFormat="1" x14ac:dyDescent="0.2"/>
    <row r="33974" s="689" customFormat="1" x14ac:dyDescent="0.2"/>
    <row r="33975" s="689" customFormat="1" x14ac:dyDescent="0.2"/>
    <row r="33976" s="689" customFormat="1" x14ac:dyDescent="0.2"/>
    <row r="33977" s="689" customFormat="1" x14ac:dyDescent="0.2"/>
    <row r="33978" s="689" customFormat="1" x14ac:dyDescent="0.2"/>
    <row r="33979" s="689" customFormat="1" x14ac:dyDescent="0.2"/>
    <row r="33980" s="689" customFormat="1" x14ac:dyDescent="0.2"/>
    <row r="33981" s="689" customFormat="1" x14ac:dyDescent="0.2"/>
    <row r="33982" s="689" customFormat="1" x14ac:dyDescent="0.2"/>
    <row r="33983" s="689" customFormat="1" x14ac:dyDescent="0.2"/>
    <row r="33984" s="689" customFormat="1" x14ac:dyDescent="0.2"/>
    <row r="33985" s="689" customFormat="1" x14ac:dyDescent="0.2"/>
    <row r="33986" s="689" customFormat="1" x14ac:dyDescent="0.2"/>
    <row r="33987" s="689" customFormat="1" x14ac:dyDescent="0.2"/>
    <row r="33988" s="689" customFormat="1" x14ac:dyDescent="0.2"/>
    <row r="33989" s="689" customFormat="1" x14ac:dyDescent="0.2"/>
    <row r="33990" s="689" customFormat="1" x14ac:dyDescent="0.2"/>
    <row r="33991" s="689" customFormat="1" x14ac:dyDescent="0.2"/>
    <row r="33992" s="689" customFormat="1" x14ac:dyDescent="0.2"/>
    <row r="33993" s="689" customFormat="1" x14ac:dyDescent="0.2"/>
    <row r="33994" s="689" customFormat="1" x14ac:dyDescent="0.2"/>
    <row r="33995" s="689" customFormat="1" x14ac:dyDescent="0.2"/>
    <row r="33996" s="689" customFormat="1" x14ac:dyDescent="0.2"/>
    <row r="33997" s="689" customFormat="1" x14ac:dyDescent="0.2"/>
    <row r="33998" s="689" customFormat="1" x14ac:dyDescent="0.2"/>
    <row r="33999" s="689" customFormat="1" x14ac:dyDescent="0.2"/>
    <row r="34000" s="689" customFormat="1" x14ac:dyDescent="0.2"/>
    <row r="34001" s="689" customFormat="1" x14ac:dyDescent="0.2"/>
    <row r="34002" s="689" customFormat="1" x14ac:dyDescent="0.2"/>
    <row r="34003" s="689" customFormat="1" x14ac:dyDescent="0.2"/>
    <row r="34004" s="689" customFormat="1" x14ac:dyDescent="0.2"/>
    <row r="34005" s="689" customFormat="1" x14ac:dyDescent="0.2"/>
    <row r="34006" s="689" customFormat="1" x14ac:dyDescent="0.2"/>
    <row r="34007" s="689" customFormat="1" x14ac:dyDescent="0.2"/>
    <row r="34008" s="689" customFormat="1" x14ac:dyDescent="0.2"/>
    <row r="34009" s="689" customFormat="1" x14ac:dyDescent="0.2"/>
    <row r="34010" s="689" customFormat="1" x14ac:dyDescent="0.2"/>
    <row r="34011" s="689" customFormat="1" x14ac:dyDescent="0.2"/>
    <row r="34012" s="689" customFormat="1" x14ac:dyDescent="0.2"/>
    <row r="34013" s="689" customFormat="1" x14ac:dyDescent="0.2"/>
    <row r="34014" s="689" customFormat="1" x14ac:dyDescent="0.2"/>
    <row r="34015" s="689" customFormat="1" x14ac:dyDescent="0.2"/>
    <row r="34016" s="689" customFormat="1" x14ac:dyDescent="0.2"/>
    <row r="34017" s="689" customFormat="1" x14ac:dyDescent="0.2"/>
    <row r="34018" s="689" customFormat="1" x14ac:dyDescent="0.2"/>
    <row r="34019" s="689" customFormat="1" x14ac:dyDescent="0.2"/>
    <row r="34020" s="689" customFormat="1" x14ac:dyDescent="0.2"/>
    <row r="34021" s="689" customFormat="1" x14ac:dyDescent="0.2"/>
    <row r="34022" s="689" customFormat="1" x14ac:dyDescent="0.2"/>
    <row r="34023" s="689" customFormat="1" x14ac:dyDescent="0.2"/>
    <row r="34024" s="689" customFormat="1" x14ac:dyDescent="0.2"/>
    <row r="34025" s="689" customFormat="1" x14ac:dyDescent="0.2"/>
    <row r="34026" s="689" customFormat="1" x14ac:dyDescent="0.2"/>
    <row r="34027" s="689" customFormat="1" x14ac:dyDescent="0.2"/>
    <row r="34028" s="689" customFormat="1" x14ac:dyDescent="0.2"/>
    <row r="34029" s="689" customFormat="1" x14ac:dyDescent="0.2"/>
    <row r="34030" s="689" customFormat="1" x14ac:dyDescent="0.2"/>
    <row r="34031" s="689" customFormat="1" x14ac:dyDescent="0.2"/>
    <row r="34032" s="689" customFormat="1" x14ac:dyDescent="0.2"/>
    <row r="34033" s="689" customFormat="1" x14ac:dyDescent="0.2"/>
    <row r="34034" s="689" customFormat="1" x14ac:dyDescent="0.2"/>
    <row r="34035" s="689" customFormat="1" x14ac:dyDescent="0.2"/>
    <row r="34036" s="689" customFormat="1" x14ac:dyDescent="0.2"/>
    <row r="34037" s="689" customFormat="1" x14ac:dyDescent="0.2"/>
    <row r="34038" s="689" customFormat="1" x14ac:dyDescent="0.2"/>
    <row r="34039" s="689" customFormat="1" x14ac:dyDescent="0.2"/>
    <row r="34040" s="689" customFormat="1" x14ac:dyDescent="0.2"/>
    <row r="34041" s="689" customFormat="1" x14ac:dyDescent="0.2"/>
    <row r="34042" s="689" customFormat="1" x14ac:dyDescent="0.2"/>
    <row r="34043" s="689" customFormat="1" x14ac:dyDescent="0.2"/>
    <row r="34044" s="689" customFormat="1" x14ac:dyDescent="0.2"/>
    <row r="34045" s="689" customFormat="1" x14ac:dyDescent="0.2"/>
    <row r="34046" s="689" customFormat="1" x14ac:dyDescent="0.2"/>
    <row r="34047" s="689" customFormat="1" x14ac:dyDescent="0.2"/>
    <row r="34048" s="689" customFormat="1" x14ac:dyDescent="0.2"/>
    <row r="34049" s="689" customFormat="1" x14ac:dyDescent="0.2"/>
    <row r="34050" s="689" customFormat="1" x14ac:dyDescent="0.2"/>
    <row r="34051" s="689" customFormat="1" x14ac:dyDescent="0.2"/>
    <row r="34052" s="689" customFormat="1" x14ac:dyDescent="0.2"/>
    <row r="34053" s="689" customFormat="1" x14ac:dyDescent="0.2"/>
    <row r="34054" s="689" customFormat="1" x14ac:dyDescent="0.2"/>
    <row r="34055" s="689" customFormat="1" x14ac:dyDescent="0.2"/>
    <row r="34056" s="689" customFormat="1" x14ac:dyDescent="0.2"/>
    <row r="34057" s="689" customFormat="1" x14ac:dyDescent="0.2"/>
    <row r="34058" s="689" customFormat="1" x14ac:dyDescent="0.2"/>
    <row r="34059" s="689" customFormat="1" x14ac:dyDescent="0.2"/>
    <row r="34060" s="689" customFormat="1" x14ac:dyDescent="0.2"/>
    <row r="34061" s="689" customFormat="1" x14ac:dyDescent="0.2"/>
    <row r="34062" s="689" customFormat="1" x14ac:dyDescent="0.2"/>
    <row r="34063" s="689" customFormat="1" x14ac:dyDescent="0.2"/>
    <row r="34064" s="689" customFormat="1" x14ac:dyDescent="0.2"/>
    <row r="34065" s="689" customFormat="1" x14ac:dyDescent="0.2"/>
    <row r="34066" s="689" customFormat="1" x14ac:dyDescent="0.2"/>
    <row r="34067" s="689" customFormat="1" x14ac:dyDescent="0.2"/>
    <row r="34068" s="689" customFormat="1" x14ac:dyDescent="0.2"/>
    <row r="34069" s="689" customFormat="1" x14ac:dyDescent="0.2"/>
    <row r="34070" s="689" customFormat="1" x14ac:dyDescent="0.2"/>
    <row r="34071" s="689" customFormat="1" x14ac:dyDescent="0.2"/>
    <row r="34072" s="689" customFormat="1" x14ac:dyDescent="0.2"/>
    <row r="34073" s="689" customFormat="1" x14ac:dyDescent="0.2"/>
    <row r="34074" s="689" customFormat="1" x14ac:dyDescent="0.2"/>
    <row r="34075" s="689" customFormat="1" x14ac:dyDescent="0.2"/>
    <row r="34076" s="689" customFormat="1" x14ac:dyDescent="0.2"/>
    <row r="34077" s="689" customFormat="1" x14ac:dyDescent="0.2"/>
    <row r="34078" s="689" customFormat="1" x14ac:dyDescent="0.2"/>
    <row r="34079" s="689" customFormat="1" x14ac:dyDescent="0.2"/>
    <row r="34080" s="689" customFormat="1" x14ac:dyDescent="0.2"/>
    <row r="34081" s="689" customFormat="1" x14ac:dyDescent="0.2"/>
    <row r="34082" s="689" customFormat="1" x14ac:dyDescent="0.2"/>
    <row r="34083" s="689" customFormat="1" x14ac:dyDescent="0.2"/>
    <row r="34084" s="689" customFormat="1" x14ac:dyDescent="0.2"/>
    <row r="34085" s="689" customFormat="1" x14ac:dyDescent="0.2"/>
    <row r="34086" s="689" customFormat="1" x14ac:dyDescent="0.2"/>
    <row r="34087" s="689" customFormat="1" x14ac:dyDescent="0.2"/>
    <row r="34088" s="689" customFormat="1" x14ac:dyDescent="0.2"/>
    <row r="34089" s="689" customFormat="1" x14ac:dyDescent="0.2"/>
    <row r="34090" s="689" customFormat="1" x14ac:dyDescent="0.2"/>
    <row r="34091" s="689" customFormat="1" x14ac:dyDescent="0.2"/>
    <row r="34092" s="689" customFormat="1" x14ac:dyDescent="0.2"/>
    <row r="34093" s="689" customFormat="1" x14ac:dyDescent="0.2"/>
    <row r="34094" s="689" customFormat="1" x14ac:dyDescent="0.2"/>
    <row r="34095" s="689" customFormat="1" x14ac:dyDescent="0.2"/>
    <row r="34096" s="689" customFormat="1" x14ac:dyDescent="0.2"/>
    <row r="34097" s="689" customFormat="1" x14ac:dyDescent="0.2"/>
    <row r="34098" s="689" customFormat="1" x14ac:dyDescent="0.2"/>
    <row r="34099" s="689" customFormat="1" x14ac:dyDescent="0.2"/>
    <row r="34100" s="689" customFormat="1" x14ac:dyDescent="0.2"/>
    <row r="34101" s="689" customFormat="1" x14ac:dyDescent="0.2"/>
    <row r="34102" s="689" customFormat="1" x14ac:dyDescent="0.2"/>
    <row r="34103" s="689" customFormat="1" x14ac:dyDescent="0.2"/>
    <row r="34104" s="689" customFormat="1" x14ac:dyDescent="0.2"/>
    <row r="34105" s="689" customFormat="1" x14ac:dyDescent="0.2"/>
    <row r="34106" s="689" customFormat="1" x14ac:dyDescent="0.2"/>
    <row r="34107" s="689" customFormat="1" x14ac:dyDescent="0.2"/>
    <row r="34108" s="689" customFormat="1" x14ac:dyDescent="0.2"/>
    <row r="34109" s="689" customFormat="1" x14ac:dyDescent="0.2"/>
    <row r="34110" s="689" customFormat="1" x14ac:dyDescent="0.2"/>
    <row r="34111" s="689" customFormat="1" x14ac:dyDescent="0.2"/>
    <row r="34112" s="689" customFormat="1" x14ac:dyDescent="0.2"/>
    <row r="34113" s="689" customFormat="1" x14ac:dyDescent="0.2"/>
    <row r="34114" s="689" customFormat="1" x14ac:dyDescent="0.2"/>
    <row r="34115" s="689" customFormat="1" x14ac:dyDescent="0.2"/>
    <row r="34116" s="689" customFormat="1" x14ac:dyDescent="0.2"/>
    <row r="34117" s="689" customFormat="1" x14ac:dyDescent="0.2"/>
    <row r="34118" s="689" customFormat="1" x14ac:dyDescent="0.2"/>
    <row r="34119" s="689" customFormat="1" x14ac:dyDescent="0.2"/>
    <row r="34120" s="689" customFormat="1" x14ac:dyDescent="0.2"/>
    <row r="34121" s="689" customFormat="1" x14ac:dyDescent="0.2"/>
    <row r="34122" s="689" customFormat="1" x14ac:dyDescent="0.2"/>
    <row r="34123" s="689" customFormat="1" x14ac:dyDescent="0.2"/>
    <row r="34124" s="689" customFormat="1" x14ac:dyDescent="0.2"/>
    <row r="34125" s="689" customFormat="1" x14ac:dyDescent="0.2"/>
    <row r="34126" s="689" customFormat="1" x14ac:dyDescent="0.2"/>
    <row r="34127" s="689" customFormat="1" x14ac:dyDescent="0.2"/>
    <row r="34128" s="689" customFormat="1" x14ac:dyDescent="0.2"/>
    <row r="34129" s="689" customFormat="1" x14ac:dyDescent="0.2"/>
    <row r="34130" s="689" customFormat="1" x14ac:dyDescent="0.2"/>
    <row r="34131" s="689" customFormat="1" x14ac:dyDescent="0.2"/>
    <row r="34132" s="689" customFormat="1" x14ac:dyDescent="0.2"/>
    <row r="34133" s="689" customFormat="1" x14ac:dyDescent="0.2"/>
    <row r="34134" s="689" customFormat="1" x14ac:dyDescent="0.2"/>
    <row r="34135" s="689" customFormat="1" x14ac:dyDescent="0.2"/>
    <row r="34136" s="689" customFormat="1" x14ac:dyDescent="0.2"/>
    <row r="34137" s="689" customFormat="1" x14ac:dyDescent="0.2"/>
    <row r="34138" s="689" customFormat="1" x14ac:dyDescent="0.2"/>
    <row r="34139" s="689" customFormat="1" x14ac:dyDescent="0.2"/>
    <row r="34140" s="689" customFormat="1" x14ac:dyDescent="0.2"/>
    <row r="34141" s="689" customFormat="1" x14ac:dyDescent="0.2"/>
    <row r="34142" s="689" customFormat="1" x14ac:dyDescent="0.2"/>
    <row r="34143" s="689" customFormat="1" x14ac:dyDescent="0.2"/>
    <row r="34144" s="689" customFormat="1" x14ac:dyDescent="0.2"/>
    <row r="34145" s="689" customFormat="1" x14ac:dyDescent="0.2"/>
    <row r="34146" s="689" customFormat="1" x14ac:dyDescent="0.2"/>
    <row r="34147" s="689" customFormat="1" x14ac:dyDescent="0.2"/>
    <row r="34148" s="689" customFormat="1" x14ac:dyDescent="0.2"/>
    <row r="34149" s="689" customFormat="1" x14ac:dyDescent="0.2"/>
    <row r="34150" s="689" customFormat="1" x14ac:dyDescent="0.2"/>
    <row r="34151" s="689" customFormat="1" x14ac:dyDescent="0.2"/>
    <row r="34152" s="689" customFormat="1" x14ac:dyDescent="0.2"/>
    <row r="34153" s="689" customFormat="1" x14ac:dyDescent="0.2"/>
    <row r="34154" s="689" customFormat="1" x14ac:dyDescent="0.2"/>
    <row r="34155" s="689" customFormat="1" x14ac:dyDescent="0.2"/>
    <row r="34156" s="689" customFormat="1" x14ac:dyDescent="0.2"/>
    <row r="34157" s="689" customFormat="1" x14ac:dyDescent="0.2"/>
    <row r="34158" s="689" customFormat="1" x14ac:dyDescent="0.2"/>
    <row r="34159" s="689" customFormat="1" x14ac:dyDescent="0.2"/>
    <row r="34160" s="689" customFormat="1" x14ac:dyDescent="0.2"/>
    <row r="34161" s="689" customFormat="1" x14ac:dyDescent="0.2"/>
    <row r="34162" s="689" customFormat="1" x14ac:dyDescent="0.2"/>
    <row r="34163" s="689" customFormat="1" x14ac:dyDescent="0.2"/>
    <row r="34164" s="689" customFormat="1" x14ac:dyDescent="0.2"/>
    <row r="34165" s="689" customFormat="1" x14ac:dyDescent="0.2"/>
    <row r="34166" s="689" customFormat="1" x14ac:dyDescent="0.2"/>
    <row r="34167" s="689" customFormat="1" x14ac:dyDescent="0.2"/>
    <row r="34168" s="689" customFormat="1" x14ac:dyDescent="0.2"/>
    <row r="34169" s="689" customFormat="1" x14ac:dyDescent="0.2"/>
    <row r="34170" s="689" customFormat="1" x14ac:dyDescent="0.2"/>
    <row r="34171" s="689" customFormat="1" x14ac:dyDescent="0.2"/>
    <row r="34172" s="689" customFormat="1" x14ac:dyDescent="0.2"/>
    <row r="34173" s="689" customFormat="1" x14ac:dyDescent="0.2"/>
    <row r="34174" s="689" customFormat="1" x14ac:dyDescent="0.2"/>
    <row r="34175" s="689" customFormat="1" x14ac:dyDescent="0.2"/>
    <row r="34176" s="689" customFormat="1" x14ac:dyDescent="0.2"/>
    <row r="34177" s="689" customFormat="1" x14ac:dyDescent="0.2"/>
    <row r="34178" s="689" customFormat="1" x14ac:dyDescent="0.2"/>
    <row r="34179" s="689" customFormat="1" x14ac:dyDescent="0.2"/>
    <row r="34180" s="689" customFormat="1" x14ac:dyDescent="0.2"/>
    <row r="34181" s="689" customFormat="1" x14ac:dyDescent="0.2"/>
    <row r="34182" s="689" customFormat="1" x14ac:dyDescent="0.2"/>
    <row r="34183" s="689" customFormat="1" x14ac:dyDescent="0.2"/>
    <row r="34184" s="689" customFormat="1" x14ac:dyDescent="0.2"/>
    <row r="34185" s="689" customFormat="1" x14ac:dyDescent="0.2"/>
    <row r="34186" s="689" customFormat="1" x14ac:dyDescent="0.2"/>
    <row r="34187" s="689" customFormat="1" x14ac:dyDescent="0.2"/>
    <row r="34188" s="689" customFormat="1" x14ac:dyDescent="0.2"/>
    <row r="34189" s="689" customFormat="1" x14ac:dyDescent="0.2"/>
    <row r="34190" s="689" customFormat="1" x14ac:dyDescent="0.2"/>
    <row r="34191" s="689" customFormat="1" x14ac:dyDescent="0.2"/>
    <row r="34192" s="689" customFormat="1" x14ac:dyDescent="0.2"/>
    <row r="34193" s="689" customFormat="1" x14ac:dyDescent="0.2"/>
    <row r="34194" s="689" customFormat="1" x14ac:dyDescent="0.2"/>
    <row r="34195" s="689" customFormat="1" x14ac:dyDescent="0.2"/>
    <row r="34196" s="689" customFormat="1" x14ac:dyDescent="0.2"/>
    <row r="34197" s="689" customFormat="1" x14ac:dyDescent="0.2"/>
    <row r="34198" s="689" customFormat="1" x14ac:dyDescent="0.2"/>
    <row r="34199" s="689" customFormat="1" x14ac:dyDescent="0.2"/>
    <row r="34200" s="689" customFormat="1" x14ac:dyDescent="0.2"/>
    <row r="34201" s="689" customFormat="1" x14ac:dyDescent="0.2"/>
    <row r="34202" s="689" customFormat="1" x14ac:dyDescent="0.2"/>
    <row r="34203" s="689" customFormat="1" x14ac:dyDescent="0.2"/>
    <row r="34204" s="689" customFormat="1" x14ac:dyDescent="0.2"/>
    <row r="34205" s="689" customFormat="1" x14ac:dyDescent="0.2"/>
    <row r="34206" s="689" customFormat="1" x14ac:dyDescent="0.2"/>
    <row r="34207" s="689" customFormat="1" x14ac:dyDescent="0.2"/>
    <row r="34208" s="689" customFormat="1" x14ac:dyDescent="0.2"/>
    <row r="34209" s="689" customFormat="1" x14ac:dyDescent="0.2"/>
    <row r="34210" s="689" customFormat="1" x14ac:dyDescent="0.2"/>
    <row r="34211" s="689" customFormat="1" x14ac:dyDescent="0.2"/>
    <row r="34212" s="689" customFormat="1" x14ac:dyDescent="0.2"/>
    <row r="34213" s="689" customFormat="1" x14ac:dyDescent="0.2"/>
    <row r="34214" s="689" customFormat="1" x14ac:dyDescent="0.2"/>
    <row r="34215" s="689" customFormat="1" x14ac:dyDescent="0.2"/>
    <row r="34216" s="689" customFormat="1" x14ac:dyDescent="0.2"/>
    <row r="34217" s="689" customFormat="1" x14ac:dyDescent="0.2"/>
    <row r="34218" s="689" customFormat="1" x14ac:dyDescent="0.2"/>
    <row r="34219" s="689" customFormat="1" x14ac:dyDescent="0.2"/>
    <row r="34220" s="689" customFormat="1" x14ac:dyDescent="0.2"/>
    <row r="34221" s="689" customFormat="1" x14ac:dyDescent="0.2"/>
    <row r="34222" s="689" customFormat="1" x14ac:dyDescent="0.2"/>
    <row r="34223" s="689" customFormat="1" x14ac:dyDescent="0.2"/>
    <row r="34224" s="689" customFormat="1" x14ac:dyDescent="0.2"/>
    <row r="34225" s="689" customFormat="1" x14ac:dyDescent="0.2"/>
    <row r="34226" s="689" customFormat="1" x14ac:dyDescent="0.2"/>
    <row r="34227" s="689" customFormat="1" x14ac:dyDescent="0.2"/>
    <row r="34228" s="689" customFormat="1" x14ac:dyDescent="0.2"/>
    <row r="34229" s="689" customFormat="1" x14ac:dyDescent="0.2"/>
    <row r="34230" s="689" customFormat="1" x14ac:dyDescent="0.2"/>
    <row r="34231" s="689" customFormat="1" x14ac:dyDescent="0.2"/>
    <row r="34232" s="689" customFormat="1" x14ac:dyDescent="0.2"/>
    <row r="34233" s="689" customFormat="1" x14ac:dyDescent="0.2"/>
    <row r="34234" s="689" customFormat="1" x14ac:dyDescent="0.2"/>
    <row r="34235" s="689" customFormat="1" x14ac:dyDescent="0.2"/>
    <row r="34236" s="689" customFormat="1" x14ac:dyDescent="0.2"/>
    <row r="34237" s="689" customFormat="1" x14ac:dyDescent="0.2"/>
    <row r="34238" s="689" customFormat="1" x14ac:dyDescent="0.2"/>
    <row r="34239" s="689" customFormat="1" x14ac:dyDescent="0.2"/>
    <row r="34240" s="689" customFormat="1" x14ac:dyDescent="0.2"/>
    <row r="34241" s="689" customFormat="1" x14ac:dyDescent="0.2"/>
    <row r="34242" s="689" customFormat="1" x14ac:dyDescent="0.2"/>
    <row r="34243" s="689" customFormat="1" x14ac:dyDescent="0.2"/>
    <row r="34244" s="689" customFormat="1" x14ac:dyDescent="0.2"/>
    <row r="34245" s="689" customFormat="1" x14ac:dyDescent="0.2"/>
    <row r="34246" s="689" customFormat="1" x14ac:dyDescent="0.2"/>
    <row r="34247" s="689" customFormat="1" x14ac:dyDescent="0.2"/>
    <row r="34248" s="689" customFormat="1" x14ac:dyDescent="0.2"/>
    <row r="34249" s="689" customFormat="1" x14ac:dyDescent="0.2"/>
    <row r="34250" s="689" customFormat="1" x14ac:dyDescent="0.2"/>
    <row r="34251" s="689" customFormat="1" x14ac:dyDescent="0.2"/>
    <row r="34252" s="689" customFormat="1" x14ac:dyDescent="0.2"/>
    <row r="34253" s="689" customFormat="1" x14ac:dyDescent="0.2"/>
    <row r="34254" s="689" customFormat="1" x14ac:dyDescent="0.2"/>
    <row r="34255" s="689" customFormat="1" x14ac:dyDescent="0.2"/>
    <row r="34256" s="689" customFormat="1" x14ac:dyDescent="0.2"/>
    <row r="34257" s="689" customFormat="1" x14ac:dyDescent="0.2"/>
    <row r="34258" s="689" customFormat="1" x14ac:dyDescent="0.2"/>
    <row r="34259" s="689" customFormat="1" x14ac:dyDescent="0.2"/>
    <row r="34260" s="689" customFormat="1" x14ac:dyDescent="0.2"/>
    <row r="34261" s="689" customFormat="1" x14ac:dyDescent="0.2"/>
    <row r="34262" s="689" customFormat="1" x14ac:dyDescent="0.2"/>
    <row r="34263" s="689" customFormat="1" x14ac:dyDescent="0.2"/>
    <row r="34264" s="689" customFormat="1" x14ac:dyDescent="0.2"/>
    <row r="34265" s="689" customFormat="1" x14ac:dyDescent="0.2"/>
    <row r="34266" s="689" customFormat="1" x14ac:dyDescent="0.2"/>
    <row r="34267" s="689" customFormat="1" x14ac:dyDescent="0.2"/>
    <row r="34268" s="689" customFormat="1" x14ac:dyDescent="0.2"/>
    <row r="34269" s="689" customFormat="1" x14ac:dyDescent="0.2"/>
    <row r="34270" s="689" customFormat="1" x14ac:dyDescent="0.2"/>
    <row r="34271" s="689" customFormat="1" x14ac:dyDescent="0.2"/>
    <row r="34272" s="689" customFormat="1" x14ac:dyDescent="0.2"/>
    <row r="34273" s="689" customFormat="1" x14ac:dyDescent="0.2"/>
    <row r="34274" s="689" customFormat="1" x14ac:dyDescent="0.2"/>
    <row r="34275" s="689" customFormat="1" x14ac:dyDescent="0.2"/>
    <row r="34276" s="689" customFormat="1" x14ac:dyDescent="0.2"/>
    <row r="34277" s="689" customFormat="1" x14ac:dyDescent="0.2"/>
    <row r="34278" s="689" customFormat="1" x14ac:dyDescent="0.2"/>
    <row r="34279" s="689" customFormat="1" x14ac:dyDescent="0.2"/>
    <row r="34280" s="689" customFormat="1" x14ac:dyDescent="0.2"/>
    <row r="34281" s="689" customFormat="1" x14ac:dyDescent="0.2"/>
    <row r="34282" s="689" customFormat="1" x14ac:dyDescent="0.2"/>
    <row r="34283" s="689" customFormat="1" x14ac:dyDescent="0.2"/>
    <row r="34284" s="689" customFormat="1" x14ac:dyDescent="0.2"/>
    <row r="34285" s="689" customFormat="1" x14ac:dyDescent="0.2"/>
    <row r="34286" s="689" customFormat="1" x14ac:dyDescent="0.2"/>
    <row r="34287" s="689" customFormat="1" x14ac:dyDescent="0.2"/>
    <row r="34288" s="689" customFormat="1" x14ac:dyDescent="0.2"/>
    <row r="34289" s="689" customFormat="1" x14ac:dyDescent="0.2"/>
    <row r="34290" s="689" customFormat="1" x14ac:dyDescent="0.2"/>
    <row r="34291" s="689" customFormat="1" x14ac:dyDescent="0.2"/>
    <row r="34292" s="689" customFormat="1" x14ac:dyDescent="0.2"/>
    <row r="34293" s="689" customFormat="1" x14ac:dyDescent="0.2"/>
    <row r="34294" s="689" customFormat="1" x14ac:dyDescent="0.2"/>
    <row r="34295" s="689" customFormat="1" x14ac:dyDescent="0.2"/>
    <row r="34296" s="689" customFormat="1" x14ac:dyDescent="0.2"/>
    <row r="34297" s="689" customFormat="1" x14ac:dyDescent="0.2"/>
    <row r="34298" s="689" customFormat="1" x14ac:dyDescent="0.2"/>
    <row r="34299" s="689" customFormat="1" x14ac:dyDescent="0.2"/>
    <row r="34300" s="689" customFormat="1" x14ac:dyDescent="0.2"/>
    <row r="34301" s="689" customFormat="1" x14ac:dyDescent="0.2"/>
    <row r="34302" s="689" customFormat="1" x14ac:dyDescent="0.2"/>
    <row r="34303" s="689" customFormat="1" x14ac:dyDescent="0.2"/>
    <row r="34304" s="689" customFormat="1" x14ac:dyDescent="0.2"/>
    <row r="34305" s="689" customFormat="1" x14ac:dyDescent="0.2"/>
    <row r="34306" s="689" customFormat="1" x14ac:dyDescent="0.2"/>
    <row r="34307" s="689" customFormat="1" x14ac:dyDescent="0.2"/>
    <row r="34308" s="689" customFormat="1" x14ac:dyDescent="0.2"/>
    <row r="34309" s="689" customFormat="1" x14ac:dyDescent="0.2"/>
    <row r="34310" s="689" customFormat="1" x14ac:dyDescent="0.2"/>
    <row r="34311" s="689" customFormat="1" x14ac:dyDescent="0.2"/>
    <row r="34312" s="689" customFormat="1" x14ac:dyDescent="0.2"/>
    <row r="34313" s="689" customFormat="1" x14ac:dyDescent="0.2"/>
    <row r="34314" s="689" customFormat="1" x14ac:dyDescent="0.2"/>
    <row r="34315" s="689" customFormat="1" x14ac:dyDescent="0.2"/>
    <row r="34316" s="689" customFormat="1" x14ac:dyDescent="0.2"/>
    <row r="34317" s="689" customFormat="1" x14ac:dyDescent="0.2"/>
    <row r="34318" s="689" customFormat="1" x14ac:dyDescent="0.2"/>
    <row r="34319" s="689" customFormat="1" x14ac:dyDescent="0.2"/>
    <row r="34320" s="689" customFormat="1" x14ac:dyDescent="0.2"/>
    <row r="34321" s="689" customFormat="1" x14ac:dyDescent="0.2"/>
    <row r="34322" s="689" customFormat="1" x14ac:dyDescent="0.2"/>
    <row r="34323" s="689" customFormat="1" x14ac:dyDescent="0.2"/>
    <row r="34324" s="689" customFormat="1" x14ac:dyDescent="0.2"/>
    <row r="34325" s="689" customFormat="1" x14ac:dyDescent="0.2"/>
    <row r="34326" s="689" customFormat="1" x14ac:dyDescent="0.2"/>
    <row r="34327" s="689" customFormat="1" x14ac:dyDescent="0.2"/>
    <row r="34328" s="689" customFormat="1" x14ac:dyDescent="0.2"/>
    <row r="34329" s="689" customFormat="1" x14ac:dyDescent="0.2"/>
    <row r="34330" s="689" customFormat="1" x14ac:dyDescent="0.2"/>
    <row r="34331" s="689" customFormat="1" x14ac:dyDescent="0.2"/>
    <row r="34332" s="689" customFormat="1" x14ac:dyDescent="0.2"/>
    <row r="34333" s="689" customFormat="1" x14ac:dyDescent="0.2"/>
    <row r="34334" s="689" customFormat="1" x14ac:dyDescent="0.2"/>
    <row r="34335" s="689" customFormat="1" x14ac:dyDescent="0.2"/>
    <row r="34336" s="689" customFormat="1" x14ac:dyDescent="0.2"/>
    <row r="34337" s="689" customFormat="1" x14ac:dyDescent="0.2"/>
    <row r="34338" s="689" customFormat="1" x14ac:dyDescent="0.2"/>
    <row r="34339" s="689" customFormat="1" x14ac:dyDescent="0.2"/>
    <row r="34340" s="689" customFormat="1" x14ac:dyDescent="0.2"/>
    <row r="34341" s="689" customFormat="1" x14ac:dyDescent="0.2"/>
    <row r="34342" s="689" customFormat="1" x14ac:dyDescent="0.2"/>
    <row r="34343" s="689" customFormat="1" x14ac:dyDescent="0.2"/>
    <row r="34344" s="689" customFormat="1" x14ac:dyDescent="0.2"/>
    <row r="34345" s="689" customFormat="1" x14ac:dyDescent="0.2"/>
    <row r="34346" s="689" customFormat="1" x14ac:dyDescent="0.2"/>
    <row r="34347" s="689" customFormat="1" x14ac:dyDescent="0.2"/>
    <row r="34348" s="689" customFormat="1" x14ac:dyDescent="0.2"/>
    <row r="34349" s="689" customFormat="1" x14ac:dyDescent="0.2"/>
    <row r="34350" s="689" customFormat="1" x14ac:dyDescent="0.2"/>
    <row r="34351" s="689" customFormat="1" x14ac:dyDescent="0.2"/>
    <row r="34352" s="689" customFormat="1" x14ac:dyDescent="0.2"/>
    <row r="34353" s="689" customFormat="1" x14ac:dyDescent="0.2"/>
    <row r="34354" s="689" customFormat="1" x14ac:dyDescent="0.2"/>
    <row r="34355" s="689" customFormat="1" x14ac:dyDescent="0.2"/>
    <row r="34356" s="689" customFormat="1" x14ac:dyDescent="0.2"/>
    <row r="34357" s="689" customFormat="1" x14ac:dyDescent="0.2"/>
    <row r="34358" s="689" customFormat="1" x14ac:dyDescent="0.2"/>
    <row r="34359" s="689" customFormat="1" x14ac:dyDescent="0.2"/>
    <row r="34360" s="689" customFormat="1" x14ac:dyDescent="0.2"/>
    <row r="34361" s="689" customFormat="1" x14ac:dyDescent="0.2"/>
    <row r="34362" s="689" customFormat="1" x14ac:dyDescent="0.2"/>
    <row r="34363" s="689" customFormat="1" x14ac:dyDescent="0.2"/>
    <row r="34364" s="689" customFormat="1" x14ac:dyDescent="0.2"/>
    <row r="34365" s="689" customFormat="1" x14ac:dyDescent="0.2"/>
    <row r="34366" s="689" customFormat="1" x14ac:dyDescent="0.2"/>
    <row r="34367" s="689" customFormat="1" x14ac:dyDescent="0.2"/>
    <row r="34368" s="689" customFormat="1" x14ac:dyDescent="0.2"/>
    <row r="34369" s="689" customFormat="1" x14ac:dyDescent="0.2"/>
    <row r="34370" s="689" customFormat="1" x14ac:dyDescent="0.2"/>
    <row r="34371" s="689" customFormat="1" x14ac:dyDescent="0.2"/>
    <row r="34372" s="689" customFormat="1" x14ac:dyDescent="0.2"/>
    <row r="34373" s="689" customFormat="1" x14ac:dyDescent="0.2"/>
    <row r="34374" s="689" customFormat="1" x14ac:dyDescent="0.2"/>
    <row r="34375" s="689" customFormat="1" x14ac:dyDescent="0.2"/>
    <row r="34376" s="689" customFormat="1" x14ac:dyDescent="0.2"/>
    <row r="34377" s="689" customFormat="1" x14ac:dyDescent="0.2"/>
    <row r="34378" s="689" customFormat="1" x14ac:dyDescent="0.2"/>
    <row r="34379" s="689" customFormat="1" x14ac:dyDescent="0.2"/>
    <row r="34380" s="689" customFormat="1" x14ac:dyDescent="0.2"/>
    <row r="34381" s="689" customFormat="1" x14ac:dyDescent="0.2"/>
    <row r="34382" s="689" customFormat="1" x14ac:dyDescent="0.2"/>
    <row r="34383" s="689" customFormat="1" x14ac:dyDescent="0.2"/>
    <row r="34384" s="689" customFormat="1" x14ac:dyDescent="0.2"/>
    <row r="34385" s="689" customFormat="1" x14ac:dyDescent="0.2"/>
    <row r="34386" s="689" customFormat="1" x14ac:dyDescent="0.2"/>
    <row r="34387" s="689" customFormat="1" x14ac:dyDescent="0.2"/>
    <row r="34388" s="689" customFormat="1" x14ac:dyDescent="0.2"/>
    <row r="34389" s="689" customFormat="1" x14ac:dyDescent="0.2"/>
    <row r="34390" s="689" customFormat="1" x14ac:dyDescent="0.2"/>
    <row r="34391" s="689" customFormat="1" x14ac:dyDescent="0.2"/>
    <row r="34392" s="689" customFormat="1" x14ac:dyDescent="0.2"/>
    <row r="34393" s="689" customFormat="1" x14ac:dyDescent="0.2"/>
    <row r="34394" s="689" customFormat="1" x14ac:dyDescent="0.2"/>
    <row r="34395" s="689" customFormat="1" x14ac:dyDescent="0.2"/>
    <row r="34396" s="689" customFormat="1" x14ac:dyDescent="0.2"/>
    <row r="34397" s="689" customFormat="1" x14ac:dyDescent="0.2"/>
    <row r="34398" s="689" customFormat="1" x14ac:dyDescent="0.2"/>
    <row r="34399" s="689" customFormat="1" x14ac:dyDescent="0.2"/>
    <row r="34400" s="689" customFormat="1" x14ac:dyDescent="0.2"/>
    <row r="34401" s="689" customFormat="1" x14ac:dyDescent="0.2"/>
    <row r="34402" s="689" customFormat="1" x14ac:dyDescent="0.2"/>
    <row r="34403" s="689" customFormat="1" x14ac:dyDescent="0.2"/>
    <row r="34404" s="689" customFormat="1" x14ac:dyDescent="0.2"/>
    <row r="34405" s="689" customFormat="1" x14ac:dyDescent="0.2"/>
    <row r="34406" s="689" customFormat="1" x14ac:dyDescent="0.2"/>
    <row r="34407" s="689" customFormat="1" x14ac:dyDescent="0.2"/>
    <row r="34408" s="689" customFormat="1" x14ac:dyDescent="0.2"/>
    <row r="34409" s="689" customFormat="1" x14ac:dyDescent="0.2"/>
    <row r="34410" s="689" customFormat="1" x14ac:dyDescent="0.2"/>
    <row r="34411" s="689" customFormat="1" x14ac:dyDescent="0.2"/>
    <row r="34412" s="689" customFormat="1" x14ac:dyDescent="0.2"/>
    <row r="34413" s="689" customFormat="1" x14ac:dyDescent="0.2"/>
    <row r="34414" s="689" customFormat="1" x14ac:dyDescent="0.2"/>
    <row r="34415" s="689" customFormat="1" x14ac:dyDescent="0.2"/>
    <row r="34416" s="689" customFormat="1" x14ac:dyDescent="0.2"/>
    <row r="34417" s="689" customFormat="1" x14ac:dyDescent="0.2"/>
    <row r="34418" s="689" customFormat="1" x14ac:dyDescent="0.2"/>
    <row r="34419" s="689" customFormat="1" x14ac:dyDescent="0.2"/>
    <row r="34420" s="689" customFormat="1" x14ac:dyDescent="0.2"/>
    <row r="34421" s="689" customFormat="1" x14ac:dyDescent="0.2"/>
    <row r="34422" s="689" customFormat="1" x14ac:dyDescent="0.2"/>
    <row r="34423" s="689" customFormat="1" x14ac:dyDescent="0.2"/>
    <row r="34424" s="689" customFormat="1" x14ac:dyDescent="0.2"/>
    <row r="34425" s="689" customFormat="1" x14ac:dyDescent="0.2"/>
    <row r="34426" s="689" customFormat="1" x14ac:dyDescent="0.2"/>
    <row r="34427" s="689" customFormat="1" x14ac:dyDescent="0.2"/>
    <row r="34428" s="689" customFormat="1" x14ac:dyDescent="0.2"/>
    <row r="34429" s="689" customFormat="1" x14ac:dyDescent="0.2"/>
    <row r="34430" s="689" customFormat="1" x14ac:dyDescent="0.2"/>
    <row r="34431" s="689" customFormat="1" x14ac:dyDescent="0.2"/>
    <row r="34432" s="689" customFormat="1" x14ac:dyDescent="0.2"/>
    <row r="34433" s="689" customFormat="1" x14ac:dyDescent="0.2"/>
    <row r="34434" s="689" customFormat="1" x14ac:dyDescent="0.2"/>
    <row r="34435" s="689" customFormat="1" x14ac:dyDescent="0.2"/>
    <row r="34436" s="689" customFormat="1" x14ac:dyDescent="0.2"/>
    <row r="34437" s="689" customFormat="1" x14ac:dyDescent="0.2"/>
    <row r="34438" s="689" customFormat="1" x14ac:dyDescent="0.2"/>
    <row r="34439" s="689" customFormat="1" x14ac:dyDescent="0.2"/>
    <row r="34440" s="689" customFormat="1" x14ac:dyDescent="0.2"/>
    <row r="34441" s="689" customFormat="1" x14ac:dyDescent="0.2"/>
    <row r="34442" s="689" customFormat="1" x14ac:dyDescent="0.2"/>
    <row r="34443" s="689" customFormat="1" x14ac:dyDescent="0.2"/>
    <row r="34444" s="689" customFormat="1" x14ac:dyDescent="0.2"/>
    <row r="34445" s="689" customFormat="1" x14ac:dyDescent="0.2"/>
    <row r="34446" s="689" customFormat="1" x14ac:dyDescent="0.2"/>
    <row r="34447" s="689" customFormat="1" x14ac:dyDescent="0.2"/>
    <row r="34448" s="689" customFormat="1" x14ac:dyDescent="0.2"/>
    <row r="34449" s="689" customFormat="1" x14ac:dyDescent="0.2"/>
    <row r="34450" s="689" customFormat="1" x14ac:dyDescent="0.2"/>
    <row r="34451" s="689" customFormat="1" x14ac:dyDescent="0.2"/>
    <row r="34452" s="689" customFormat="1" x14ac:dyDescent="0.2"/>
    <row r="34453" s="689" customFormat="1" x14ac:dyDescent="0.2"/>
    <row r="34454" s="689" customFormat="1" x14ac:dyDescent="0.2"/>
    <row r="34455" s="689" customFormat="1" x14ac:dyDescent="0.2"/>
    <row r="34456" s="689" customFormat="1" x14ac:dyDescent="0.2"/>
    <row r="34457" s="689" customFormat="1" x14ac:dyDescent="0.2"/>
    <row r="34458" s="689" customFormat="1" x14ac:dyDescent="0.2"/>
    <row r="34459" s="689" customFormat="1" x14ac:dyDescent="0.2"/>
    <row r="34460" s="689" customFormat="1" x14ac:dyDescent="0.2"/>
    <row r="34461" s="689" customFormat="1" x14ac:dyDescent="0.2"/>
    <row r="34462" s="689" customFormat="1" x14ac:dyDescent="0.2"/>
    <row r="34463" s="689" customFormat="1" x14ac:dyDescent="0.2"/>
    <row r="34464" s="689" customFormat="1" x14ac:dyDescent="0.2"/>
    <row r="34465" s="689" customFormat="1" x14ac:dyDescent="0.2"/>
    <row r="34466" s="689" customFormat="1" x14ac:dyDescent="0.2"/>
    <row r="34467" s="689" customFormat="1" x14ac:dyDescent="0.2"/>
    <row r="34468" s="689" customFormat="1" x14ac:dyDescent="0.2"/>
    <row r="34469" s="689" customFormat="1" x14ac:dyDescent="0.2"/>
    <row r="34470" s="689" customFormat="1" x14ac:dyDescent="0.2"/>
    <row r="34471" s="689" customFormat="1" x14ac:dyDescent="0.2"/>
    <row r="34472" s="689" customFormat="1" x14ac:dyDescent="0.2"/>
    <row r="34473" s="689" customFormat="1" x14ac:dyDescent="0.2"/>
    <row r="34474" s="689" customFormat="1" x14ac:dyDescent="0.2"/>
    <row r="34475" s="689" customFormat="1" x14ac:dyDescent="0.2"/>
    <row r="34476" s="689" customFormat="1" x14ac:dyDescent="0.2"/>
    <row r="34477" s="689" customFormat="1" x14ac:dyDescent="0.2"/>
    <row r="34478" s="689" customFormat="1" x14ac:dyDescent="0.2"/>
    <row r="34479" s="689" customFormat="1" x14ac:dyDescent="0.2"/>
    <row r="34480" s="689" customFormat="1" x14ac:dyDescent="0.2"/>
    <row r="34481" s="689" customFormat="1" x14ac:dyDescent="0.2"/>
    <row r="34482" s="689" customFormat="1" x14ac:dyDescent="0.2"/>
    <row r="34483" s="689" customFormat="1" x14ac:dyDescent="0.2"/>
    <row r="34484" s="689" customFormat="1" x14ac:dyDescent="0.2"/>
    <row r="34485" s="689" customFormat="1" x14ac:dyDescent="0.2"/>
    <row r="34486" s="689" customFormat="1" x14ac:dyDescent="0.2"/>
    <row r="34487" s="689" customFormat="1" x14ac:dyDescent="0.2"/>
    <row r="34488" s="689" customFormat="1" x14ac:dyDescent="0.2"/>
    <row r="34489" s="689" customFormat="1" x14ac:dyDescent="0.2"/>
    <row r="34490" s="689" customFormat="1" x14ac:dyDescent="0.2"/>
    <row r="34491" s="689" customFormat="1" x14ac:dyDescent="0.2"/>
    <row r="34492" s="689" customFormat="1" x14ac:dyDescent="0.2"/>
    <row r="34493" s="689" customFormat="1" x14ac:dyDescent="0.2"/>
    <row r="34494" s="689" customFormat="1" x14ac:dyDescent="0.2"/>
    <row r="34495" s="689" customFormat="1" x14ac:dyDescent="0.2"/>
    <row r="34496" s="689" customFormat="1" x14ac:dyDescent="0.2"/>
    <row r="34497" s="689" customFormat="1" x14ac:dyDescent="0.2"/>
    <row r="34498" s="689" customFormat="1" x14ac:dyDescent="0.2"/>
    <row r="34499" s="689" customFormat="1" x14ac:dyDescent="0.2"/>
    <row r="34500" s="689" customFormat="1" x14ac:dyDescent="0.2"/>
    <row r="34501" s="689" customFormat="1" x14ac:dyDescent="0.2"/>
    <row r="34502" s="689" customFormat="1" x14ac:dyDescent="0.2"/>
    <row r="34503" s="689" customFormat="1" x14ac:dyDescent="0.2"/>
    <row r="34504" s="689" customFormat="1" x14ac:dyDescent="0.2"/>
    <row r="34505" s="689" customFormat="1" x14ac:dyDescent="0.2"/>
    <row r="34506" s="689" customFormat="1" x14ac:dyDescent="0.2"/>
    <row r="34507" s="689" customFormat="1" x14ac:dyDescent="0.2"/>
    <row r="34508" s="689" customFormat="1" x14ac:dyDescent="0.2"/>
    <row r="34509" s="689" customFormat="1" x14ac:dyDescent="0.2"/>
    <row r="34510" s="689" customFormat="1" x14ac:dyDescent="0.2"/>
    <row r="34511" s="689" customFormat="1" x14ac:dyDescent="0.2"/>
    <row r="34512" s="689" customFormat="1" x14ac:dyDescent="0.2"/>
    <row r="34513" s="689" customFormat="1" x14ac:dyDescent="0.2"/>
    <row r="34514" s="689" customFormat="1" x14ac:dyDescent="0.2"/>
    <row r="34515" s="689" customFormat="1" x14ac:dyDescent="0.2"/>
    <row r="34516" s="689" customFormat="1" x14ac:dyDescent="0.2"/>
    <row r="34517" s="689" customFormat="1" x14ac:dyDescent="0.2"/>
    <row r="34518" s="689" customFormat="1" x14ac:dyDescent="0.2"/>
    <row r="34519" s="689" customFormat="1" x14ac:dyDescent="0.2"/>
    <row r="34520" s="689" customFormat="1" x14ac:dyDescent="0.2"/>
    <row r="34521" s="689" customFormat="1" x14ac:dyDescent="0.2"/>
    <row r="34522" s="689" customFormat="1" x14ac:dyDescent="0.2"/>
    <row r="34523" s="689" customFormat="1" x14ac:dyDescent="0.2"/>
    <row r="34524" s="689" customFormat="1" x14ac:dyDescent="0.2"/>
    <row r="34525" s="689" customFormat="1" x14ac:dyDescent="0.2"/>
    <row r="34526" s="689" customFormat="1" x14ac:dyDescent="0.2"/>
    <row r="34527" s="689" customFormat="1" x14ac:dyDescent="0.2"/>
    <row r="34528" s="689" customFormat="1" x14ac:dyDescent="0.2"/>
    <row r="34529" s="689" customFormat="1" x14ac:dyDescent="0.2"/>
    <row r="34530" s="689" customFormat="1" x14ac:dyDescent="0.2"/>
    <row r="34531" s="689" customFormat="1" x14ac:dyDescent="0.2"/>
    <row r="34532" s="689" customFormat="1" x14ac:dyDescent="0.2"/>
    <row r="34533" s="689" customFormat="1" x14ac:dyDescent="0.2"/>
    <row r="34534" s="689" customFormat="1" x14ac:dyDescent="0.2"/>
    <row r="34535" s="689" customFormat="1" x14ac:dyDescent="0.2"/>
    <row r="34536" s="689" customFormat="1" x14ac:dyDescent="0.2"/>
    <row r="34537" s="689" customFormat="1" x14ac:dyDescent="0.2"/>
    <row r="34538" s="689" customFormat="1" x14ac:dyDescent="0.2"/>
    <row r="34539" s="689" customFormat="1" x14ac:dyDescent="0.2"/>
    <row r="34540" s="689" customFormat="1" x14ac:dyDescent="0.2"/>
    <row r="34541" s="689" customFormat="1" x14ac:dyDescent="0.2"/>
    <row r="34542" s="689" customFormat="1" x14ac:dyDescent="0.2"/>
    <row r="34543" s="689" customFormat="1" x14ac:dyDescent="0.2"/>
    <row r="34544" s="689" customFormat="1" x14ac:dyDescent="0.2"/>
    <row r="34545" s="689" customFormat="1" x14ac:dyDescent="0.2"/>
    <row r="34546" s="689" customFormat="1" x14ac:dyDescent="0.2"/>
    <row r="34547" s="689" customFormat="1" x14ac:dyDescent="0.2"/>
    <row r="34548" s="689" customFormat="1" x14ac:dyDescent="0.2"/>
    <row r="34549" s="689" customFormat="1" x14ac:dyDescent="0.2"/>
    <row r="34550" s="689" customFormat="1" x14ac:dyDescent="0.2"/>
    <row r="34551" s="689" customFormat="1" x14ac:dyDescent="0.2"/>
    <row r="34552" s="689" customFormat="1" x14ac:dyDescent="0.2"/>
    <row r="34553" s="689" customFormat="1" x14ac:dyDescent="0.2"/>
    <row r="34554" s="689" customFormat="1" x14ac:dyDescent="0.2"/>
    <row r="34555" s="689" customFormat="1" x14ac:dyDescent="0.2"/>
    <row r="34556" s="689" customFormat="1" x14ac:dyDescent="0.2"/>
    <row r="34557" s="689" customFormat="1" x14ac:dyDescent="0.2"/>
    <row r="34558" s="689" customFormat="1" x14ac:dyDescent="0.2"/>
    <row r="34559" s="689" customFormat="1" x14ac:dyDescent="0.2"/>
    <row r="34560" s="689" customFormat="1" x14ac:dyDescent="0.2"/>
    <row r="34561" s="689" customFormat="1" x14ac:dyDescent="0.2"/>
    <row r="34562" s="689" customFormat="1" x14ac:dyDescent="0.2"/>
    <row r="34563" s="689" customFormat="1" x14ac:dyDescent="0.2"/>
    <row r="34564" s="689" customFormat="1" x14ac:dyDescent="0.2"/>
    <row r="34565" s="689" customFormat="1" x14ac:dyDescent="0.2"/>
    <row r="34566" s="689" customFormat="1" x14ac:dyDescent="0.2"/>
    <row r="34567" s="689" customFormat="1" x14ac:dyDescent="0.2"/>
    <row r="34568" s="689" customFormat="1" x14ac:dyDescent="0.2"/>
    <row r="34569" s="689" customFormat="1" x14ac:dyDescent="0.2"/>
    <row r="34570" s="689" customFormat="1" x14ac:dyDescent="0.2"/>
    <row r="34571" s="689" customFormat="1" x14ac:dyDescent="0.2"/>
    <row r="34572" s="689" customFormat="1" x14ac:dyDescent="0.2"/>
    <row r="34573" s="689" customFormat="1" x14ac:dyDescent="0.2"/>
    <row r="34574" s="689" customFormat="1" x14ac:dyDescent="0.2"/>
    <row r="34575" s="689" customFormat="1" x14ac:dyDescent="0.2"/>
    <row r="34576" s="689" customFormat="1" x14ac:dyDescent="0.2"/>
    <row r="34577" s="689" customFormat="1" x14ac:dyDescent="0.2"/>
    <row r="34578" s="689" customFormat="1" x14ac:dyDescent="0.2"/>
    <row r="34579" s="689" customFormat="1" x14ac:dyDescent="0.2"/>
    <row r="34580" s="689" customFormat="1" x14ac:dyDescent="0.2"/>
    <row r="34581" s="689" customFormat="1" x14ac:dyDescent="0.2"/>
    <row r="34582" s="689" customFormat="1" x14ac:dyDescent="0.2"/>
    <row r="34583" s="689" customFormat="1" x14ac:dyDescent="0.2"/>
    <row r="34584" s="689" customFormat="1" x14ac:dyDescent="0.2"/>
    <row r="34585" s="689" customFormat="1" x14ac:dyDescent="0.2"/>
    <row r="34586" s="689" customFormat="1" x14ac:dyDescent="0.2"/>
    <row r="34587" s="689" customFormat="1" x14ac:dyDescent="0.2"/>
    <row r="34588" s="689" customFormat="1" x14ac:dyDescent="0.2"/>
    <row r="34589" s="689" customFormat="1" x14ac:dyDescent="0.2"/>
    <row r="34590" s="689" customFormat="1" x14ac:dyDescent="0.2"/>
    <row r="34591" s="689" customFormat="1" x14ac:dyDescent="0.2"/>
    <row r="34592" s="689" customFormat="1" x14ac:dyDescent="0.2"/>
    <row r="34593" s="689" customFormat="1" x14ac:dyDescent="0.2"/>
    <row r="34594" s="689" customFormat="1" x14ac:dyDescent="0.2"/>
    <row r="34595" s="689" customFormat="1" x14ac:dyDescent="0.2"/>
    <row r="34596" s="689" customFormat="1" x14ac:dyDescent="0.2"/>
    <row r="34597" s="689" customFormat="1" x14ac:dyDescent="0.2"/>
    <row r="34598" s="689" customFormat="1" x14ac:dyDescent="0.2"/>
    <row r="34599" s="689" customFormat="1" x14ac:dyDescent="0.2"/>
    <row r="34600" s="689" customFormat="1" x14ac:dyDescent="0.2"/>
    <row r="34601" s="689" customFormat="1" x14ac:dyDescent="0.2"/>
    <row r="34602" s="689" customFormat="1" x14ac:dyDescent="0.2"/>
    <row r="34603" s="689" customFormat="1" x14ac:dyDescent="0.2"/>
    <row r="34604" s="689" customFormat="1" x14ac:dyDescent="0.2"/>
    <row r="34605" s="689" customFormat="1" x14ac:dyDescent="0.2"/>
    <row r="34606" s="689" customFormat="1" x14ac:dyDescent="0.2"/>
    <row r="34607" s="689" customFormat="1" x14ac:dyDescent="0.2"/>
    <row r="34608" s="689" customFormat="1" x14ac:dyDescent="0.2"/>
    <row r="34609" s="689" customFormat="1" x14ac:dyDescent="0.2"/>
    <row r="34610" s="689" customFormat="1" x14ac:dyDescent="0.2"/>
    <row r="34611" s="689" customFormat="1" x14ac:dyDescent="0.2"/>
    <row r="34612" s="689" customFormat="1" x14ac:dyDescent="0.2"/>
    <row r="34613" s="689" customFormat="1" x14ac:dyDescent="0.2"/>
    <row r="34614" s="689" customFormat="1" x14ac:dyDescent="0.2"/>
    <row r="34615" s="689" customFormat="1" x14ac:dyDescent="0.2"/>
    <row r="34616" s="689" customFormat="1" x14ac:dyDescent="0.2"/>
    <row r="34617" s="689" customFormat="1" x14ac:dyDescent="0.2"/>
    <row r="34618" s="689" customFormat="1" x14ac:dyDescent="0.2"/>
    <row r="34619" s="689" customFormat="1" x14ac:dyDescent="0.2"/>
    <row r="34620" s="689" customFormat="1" x14ac:dyDescent="0.2"/>
    <row r="34621" s="689" customFormat="1" x14ac:dyDescent="0.2"/>
    <row r="34622" s="689" customFormat="1" x14ac:dyDescent="0.2"/>
    <row r="34623" s="689" customFormat="1" x14ac:dyDescent="0.2"/>
    <row r="34624" s="689" customFormat="1" x14ac:dyDescent="0.2"/>
    <row r="34625" s="689" customFormat="1" x14ac:dyDescent="0.2"/>
    <row r="34626" s="689" customFormat="1" x14ac:dyDescent="0.2"/>
    <row r="34627" s="689" customFormat="1" x14ac:dyDescent="0.2"/>
    <row r="34628" s="689" customFormat="1" x14ac:dyDescent="0.2"/>
    <row r="34629" s="689" customFormat="1" x14ac:dyDescent="0.2"/>
    <row r="34630" s="689" customFormat="1" x14ac:dyDescent="0.2"/>
    <row r="34631" s="689" customFormat="1" x14ac:dyDescent="0.2"/>
    <row r="34632" s="689" customFormat="1" x14ac:dyDescent="0.2"/>
    <row r="34633" s="689" customFormat="1" x14ac:dyDescent="0.2"/>
    <row r="34634" s="689" customFormat="1" x14ac:dyDescent="0.2"/>
    <row r="34635" s="689" customFormat="1" x14ac:dyDescent="0.2"/>
    <row r="34636" s="689" customFormat="1" x14ac:dyDescent="0.2"/>
    <row r="34637" s="689" customFormat="1" x14ac:dyDescent="0.2"/>
    <row r="34638" s="689" customFormat="1" x14ac:dyDescent="0.2"/>
    <row r="34639" s="689" customFormat="1" x14ac:dyDescent="0.2"/>
    <row r="34640" s="689" customFormat="1" x14ac:dyDescent="0.2"/>
    <row r="34641" s="689" customFormat="1" x14ac:dyDescent="0.2"/>
    <row r="34642" s="689" customFormat="1" x14ac:dyDescent="0.2"/>
    <row r="34643" s="689" customFormat="1" x14ac:dyDescent="0.2"/>
    <row r="34644" s="689" customFormat="1" x14ac:dyDescent="0.2"/>
    <row r="34645" s="689" customFormat="1" x14ac:dyDescent="0.2"/>
    <row r="34646" s="689" customFormat="1" x14ac:dyDescent="0.2"/>
    <row r="34647" s="689" customFormat="1" x14ac:dyDescent="0.2"/>
    <row r="34648" s="689" customFormat="1" x14ac:dyDescent="0.2"/>
    <row r="34649" s="689" customFormat="1" x14ac:dyDescent="0.2"/>
    <row r="34650" s="689" customFormat="1" x14ac:dyDescent="0.2"/>
    <row r="34651" s="689" customFormat="1" x14ac:dyDescent="0.2"/>
    <row r="34652" s="689" customFormat="1" x14ac:dyDescent="0.2"/>
    <row r="34653" s="689" customFormat="1" x14ac:dyDescent="0.2"/>
    <row r="34654" s="689" customFormat="1" x14ac:dyDescent="0.2"/>
    <row r="34655" s="689" customFormat="1" x14ac:dyDescent="0.2"/>
    <row r="34656" s="689" customFormat="1" x14ac:dyDescent="0.2"/>
    <row r="34657" s="689" customFormat="1" x14ac:dyDescent="0.2"/>
    <row r="34658" s="689" customFormat="1" x14ac:dyDescent="0.2"/>
    <row r="34659" s="689" customFormat="1" x14ac:dyDescent="0.2"/>
    <row r="34660" s="689" customFormat="1" x14ac:dyDescent="0.2"/>
    <row r="34661" s="689" customFormat="1" x14ac:dyDescent="0.2"/>
    <row r="34662" s="689" customFormat="1" x14ac:dyDescent="0.2"/>
    <row r="34663" s="689" customFormat="1" x14ac:dyDescent="0.2"/>
    <row r="34664" s="689" customFormat="1" x14ac:dyDescent="0.2"/>
    <row r="34665" s="689" customFormat="1" x14ac:dyDescent="0.2"/>
    <row r="34666" s="689" customFormat="1" x14ac:dyDescent="0.2"/>
    <row r="34667" s="689" customFormat="1" x14ac:dyDescent="0.2"/>
    <row r="34668" s="689" customFormat="1" x14ac:dyDescent="0.2"/>
    <row r="34669" s="689" customFormat="1" x14ac:dyDescent="0.2"/>
    <row r="34670" s="689" customFormat="1" x14ac:dyDescent="0.2"/>
    <row r="34671" s="689" customFormat="1" x14ac:dyDescent="0.2"/>
    <row r="34672" s="689" customFormat="1" x14ac:dyDescent="0.2"/>
    <row r="34673" s="689" customFormat="1" x14ac:dyDescent="0.2"/>
    <row r="34674" s="689" customFormat="1" x14ac:dyDescent="0.2"/>
    <row r="34675" s="689" customFormat="1" x14ac:dyDescent="0.2"/>
    <row r="34676" s="689" customFormat="1" x14ac:dyDescent="0.2"/>
    <row r="34677" s="689" customFormat="1" x14ac:dyDescent="0.2"/>
    <row r="34678" s="689" customFormat="1" x14ac:dyDescent="0.2"/>
    <row r="34679" s="689" customFormat="1" x14ac:dyDescent="0.2"/>
    <row r="34680" s="689" customFormat="1" x14ac:dyDescent="0.2"/>
    <row r="34681" s="689" customFormat="1" x14ac:dyDescent="0.2"/>
    <row r="34682" s="689" customFormat="1" x14ac:dyDescent="0.2"/>
    <row r="34683" s="689" customFormat="1" x14ac:dyDescent="0.2"/>
    <row r="34684" s="689" customFormat="1" x14ac:dyDescent="0.2"/>
    <row r="34685" s="689" customFormat="1" x14ac:dyDescent="0.2"/>
    <row r="34686" s="689" customFormat="1" x14ac:dyDescent="0.2"/>
    <row r="34687" s="689" customFormat="1" x14ac:dyDescent="0.2"/>
    <row r="34688" s="689" customFormat="1" x14ac:dyDescent="0.2"/>
    <row r="34689" s="689" customFormat="1" x14ac:dyDescent="0.2"/>
    <row r="34690" s="689" customFormat="1" x14ac:dyDescent="0.2"/>
    <row r="34691" s="689" customFormat="1" x14ac:dyDescent="0.2"/>
    <row r="34692" s="689" customFormat="1" x14ac:dyDescent="0.2"/>
    <row r="34693" s="689" customFormat="1" x14ac:dyDescent="0.2"/>
    <row r="34694" s="689" customFormat="1" x14ac:dyDescent="0.2"/>
    <row r="34695" s="689" customFormat="1" x14ac:dyDescent="0.2"/>
    <row r="34696" s="689" customFormat="1" x14ac:dyDescent="0.2"/>
    <row r="34697" s="689" customFormat="1" x14ac:dyDescent="0.2"/>
    <row r="34698" s="689" customFormat="1" x14ac:dyDescent="0.2"/>
    <row r="34699" s="689" customFormat="1" x14ac:dyDescent="0.2"/>
    <row r="34700" s="689" customFormat="1" x14ac:dyDescent="0.2"/>
    <row r="34701" s="689" customFormat="1" x14ac:dyDescent="0.2"/>
    <row r="34702" s="689" customFormat="1" x14ac:dyDescent="0.2"/>
    <row r="34703" s="689" customFormat="1" x14ac:dyDescent="0.2"/>
    <row r="34704" s="689" customFormat="1" x14ac:dyDescent="0.2"/>
    <row r="34705" s="689" customFormat="1" x14ac:dyDescent="0.2"/>
    <row r="34706" s="689" customFormat="1" x14ac:dyDescent="0.2"/>
    <row r="34707" s="689" customFormat="1" x14ac:dyDescent="0.2"/>
    <row r="34708" s="689" customFormat="1" x14ac:dyDescent="0.2"/>
    <row r="34709" s="689" customFormat="1" x14ac:dyDescent="0.2"/>
    <row r="34710" s="689" customFormat="1" x14ac:dyDescent="0.2"/>
    <row r="34711" s="689" customFormat="1" x14ac:dyDescent="0.2"/>
    <row r="34712" s="689" customFormat="1" x14ac:dyDescent="0.2"/>
    <row r="34713" s="689" customFormat="1" x14ac:dyDescent="0.2"/>
    <row r="34714" s="689" customFormat="1" x14ac:dyDescent="0.2"/>
    <row r="34715" s="689" customFormat="1" x14ac:dyDescent="0.2"/>
    <row r="34716" s="689" customFormat="1" x14ac:dyDescent="0.2"/>
    <row r="34717" s="689" customFormat="1" x14ac:dyDescent="0.2"/>
    <row r="34718" s="689" customFormat="1" x14ac:dyDescent="0.2"/>
    <row r="34719" s="689" customFormat="1" x14ac:dyDescent="0.2"/>
    <row r="34720" s="689" customFormat="1" x14ac:dyDescent="0.2"/>
    <row r="34721" s="689" customFormat="1" x14ac:dyDescent="0.2"/>
    <row r="34722" s="689" customFormat="1" x14ac:dyDescent="0.2"/>
    <row r="34723" s="689" customFormat="1" x14ac:dyDescent="0.2"/>
    <row r="34724" s="689" customFormat="1" x14ac:dyDescent="0.2"/>
    <row r="34725" s="689" customFormat="1" x14ac:dyDescent="0.2"/>
    <row r="34726" s="689" customFormat="1" x14ac:dyDescent="0.2"/>
    <row r="34727" s="689" customFormat="1" x14ac:dyDescent="0.2"/>
    <row r="34728" s="689" customFormat="1" x14ac:dyDescent="0.2"/>
    <row r="34729" s="689" customFormat="1" x14ac:dyDescent="0.2"/>
    <row r="34730" s="689" customFormat="1" x14ac:dyDescent="0.2"/>
    <row r="34731" s="689" customFormat="1" x14ac:dyDescent="0.2"/>
    <row r="34732" s="689" customFormat="1" x14ac:dyDescent="0.2"/>
    <row r="34733" s="689" customFormat="1" x14ac:dyDescent="0.2"/>
    <row r="34734" s="689" customFormat="1" x14ac:dyDescent="0.2"/>
    <row r="34735" s="689" customFormat="1" x14ac:dyDescent="0.2"/>
    <row r="34736" s="689" customFormat="1" x14ac:dyDescent="0.2"/>
    <row r="34737" s="689" customFormat="1" x14ac:dyDescent="0.2"/>
    <row r="34738" s="689" customFormat="1" x14ac:dyDescent="0.2"/>
    <row r="34739" s="689" customFormat="1" x14ac:dyDescent="0.2"/>
    <row r="34740" s="689" customFormat="1" x14ac:dyDescent="0.2"/>
    <row r="34741" s="689" customFormat="1" x14ac:dyDescent="0.2"/>
    <row r="34742" s="689" customFormat="1" x14ac:dyDescent="0.2"/>
    <row r="34743" s="689" customFormat="1" x14ac:dyDescent="0.2"/>
    <row r="34744" s="689" customFormat="1" x14ac:dyDescent="0.2"/>
    <row r="34745" s="689" customFormat="1" x14ac:dyDescent="0.2"/>
    <row r="34746" s="689" customFormat="1" x14ac:dyDescent="0.2"/>
    <row r="34747" s="689" customFormat="1" x14ac:dyDescent="0.2"/>
    <row r="34748" s="689" customFormat="1" x14ac:dyDescent="0.2"/>
    <row r="34749" s="689" customFormat="1" x14ac:dyDescent="0.2"/>
    <row r="34750" s="689" customFormat="1" x14ac:dyDescent="0.2"/>
    <row r="34751" s="689" customFormat="1" x14ac:dyDescent="0.2"/>
    <row r="34752" s="689" customFormat="1" x14ac:dyDescent="0.2"/>
    <row r="34753" s="689" customFormat="1" x14ac:dyDescent="0.2"/>
    <row r="34754" s="689" customFormat="1" x14ac:dyDescent="0.2"/>
    <row r="34755" s="689" customFormat="1" x14ac:dyDescent="0.2"/>
    <row r="34756" s="689" customFormat="1" x14ac:dyDescent="0.2"/>
    <row r="34757" s="689" customFormat="1" x14ac:dyDescent="0.2"/>
    <row r="34758" s="689" customFormat="1" x14ac:dyDescent="0.2"/>
    <row r="34759" s="689" customFormat="1" x14ac:dyDescent="0.2"/>
    <row r="34760" s="689" customFormat="1" x14ac:dyDescent="0.2"/>
    <row r="34761" s="689" customFormat="1" x14ac:dyDescent="0.2"/>
    <row r="34762" s="689" customFormat="1" x14ac:dyDescent="0.2"/>
    <row r="34763" s="689" customFormat="1" x14ac:dyDescent="0.2"/>
    <row r="34764" s="689" customFormat="1" x14ac:dyDescent="0.2"/>
    <row r="34765" s="689" customFormat="1" x14ac:dyDescent="0.2"/>
    <row r="34766" s="689" customFormat="1" x14ac:dyDescent="0.2"/>
    <row r="34767" s="689" customFormat="1" x14ac:dyDescent="0.2"/>
    <row r="34768" s="689" customFormat="1" x14ac:dyDescent="0.2"/>
    <row r="34769" s="689" customFormat="1" x14ac:dyDescent="0.2"/>
    <row r="34770" s="689" customFormat="1" x14ac:dyDescent="0.2"/>
    <row r="34771" s="689" customFormat="1" x14ac:dyDescent="0.2"/>
    <row r="34772" s="689" customFormat="1" x14ac:dyDescent="0.2"/>
    <row r="34773" s="689" customFormat="1" x14ac:dyDescent="0.2"/>
    <row r="34774" s="689" customFormat="1" x14ac:dyDescent="0.2"/>
    <row r="34775" s="689" customFormat="1" x14ac:dyDescent="0.2"/>
    <row r="34776" s="689" customFormat="1" x14ac:dyDescent="0.2"/>
    <row r="34777" s="689" customFormat="1" x14ac:dyDescent="0.2"/>
    <row r="34778" s="689" customFormat="1" x14ac:dyDescent="0.2"/>
    <row r="34779" s="689" customFormat="1" x14ac:dyDescent="0.2"/>
    <row r="34780" s="689" customFormat="1" x14ac:dyDescent="0.2"/>
    <row r="34781" s="689" customFormat="1" x14ac:dyDescent="0.2"/>
    <row r="34782" s="689" customFormat="1" x14ac:dyDescent="0.2"/>
    <row r="34783" s="689" customFormat="1" x14ac:dyDescent="0.2"/>
    <row r="34784" s="689" customFormat="1" x14ac:dyDescent="0.2"/>
    <row r="34785" s="689" customFormat="1" x14ac:dyDescent="0.2"/>
    <row r="34786" s="689" customFormat="1" x14ac:dyDescent="0.2"/>
    <row r="34787" s="689" customFormat="1" x14ac:dyDescent="0.2"/>
    <row r="34788" s="689" customFormat="1" x14ac:dyDescent="0.2"/>
    <row r="34789" s="689" customFormat="1" x14ac:dyDescent="0.2"/>
    <row r="34790" s="689" customFormat="1" x14ac:dyDescent="0.2"/>
    <row r="34791" s="689" customFormat="1" x14ac:dyDescent="0.2"/>
    <row r="34792" s="689" customFormat="1" x14ac:dyDescent="0.2"/>
    <row r="34793" s="689" customFormat="1" x14ac:dyDescent="0.2"/>
    <row r="34794" s="689" customFormat="1" x14ac:dyDescent="0.2"/>
    <row r="34795" s="689" customFormat="1" x14ac:dyDescent="0.2"/>
    <row r="34796" s="689" customFormat="1" x14ac:dyDescent="0.2"/>
    <row r="34797" s="689" customFormat="1" x14ac:dyDescent="0.2"/>
    <row r="34798" s="689" customFormat="1" x14ac:dyDescent="0.2"/>
    <row r="34799" s="689" customFormat="1" x14ac:dyDescent="0.2"/>
    <row r="34800" s="689" customFormat="1" x14ac:dyDescent="0.2"/>
    <row r="34801" s="689" customFormat="1" x14ac:dyDescent="0.2"/>
    <row r="34802" s="689" customFormat="1" x14ac:dyDescent="0.2"/>
    <row r="34803" s="689" customFormat="1" x14ac:dyDescent="0.2"/>
    <row r="34804" s="689" customFormat="1" x14ac:dyDescent="0.2"/>
    <row r="34805" s="689" customFormat="1" x14ac:dyDescent="0.2"/>
    <row r="34806" s="689" customFormat="1" x14ac:dyDescent="0.2"/>
    <row r="34807" s="689" customFormat="1" x14ac:dyDescent="0.2"/>
    <row r="34808" s="689" customFormat="1" x14ac:dyDescent="0.2"/>
    <row r="34809" s="689" customFormat="1" x14ac:dyDescent="0.2"/>
    <row r="34810" s="689" customFormat="1" x14ac:dyDescent="0.2"/>
    <row r="34811" s="689" customFormat="1" x14ac:dyDescent="0.2"/>
    <row r="34812" s="689" customFormat="1" x14ac:dyDescent="0.2"/>
    <row r="34813" s="689" customFormat="1" x14ac:dyDescent="0.2"/>
    <row r="34814" s="689" customFormat="1" x14ac:dyDescent="0.2"/>
    <row r="34815" s="689" customFormat="1" x14ac:dyDescent="0.2"/>
    <row r="34816" s="689" customFormat="1" x14ac:dyDescent="0.2"/>
    <row r="34817" s="689" customFormat="1" x14ac:dyDescent="0.2"/>
    <row r="34818" s="689" customFormat="1" x14ac:dyDescent="0.2"/>
    <row r="34819" s="689" customFormat="1" x14ac:dyDescent="0.2"/>
    <row r="34820" s="689" customFormat="1" x14ac:dyDescent="0.2"/>
    <row r="34821" s="689" customFormat="1" x14ac:dyDescent="0.2"/>
    <row r="34822" s="689" customFormat="1" x14ac:dyDescent="0.2"/>
    <row r="34823" s="689" customFormat="1" x14ac:dyDescent="0.2"/>
    <row r="34824" s="689" customFormat="1" x14ac:dyDescent="0.2"/>
    <row r="34825" s="689" customFormat="1" x14ac:dyDescent="0.2"/>
    <row r="34826" s="689" customFormat="1" x14ac:dyDescent="0.2"/>
    <row r="34827" s="689" customFormat="1" x14ac:dyDescent="0.2"/>
    <row r="34828" s="689" customFormat="1" x14ac:dyDescent="0.2"/>
    <row r="34829" s="689" customFormat="1" x14ac:dyDescent="0.2"/>
    <row r="34830" s="689" customFormat="1" x14ac:dyDescent="0.2"/>
    <row r="34831" s="689" customFormat="1" x14ac:dyDescent="0.2"/>
    <row r="34832" s="689" customFormat="1" x14ac:dyDescent="0.2"/>
    <row r="34833" s="689" customFormat="1" x14ac:dyDescent="0.2"/>
    <row r="34834" s="689" customFormat="1" x14ac:dyDescent="0.2"/>
    <row r="34835" s="689" customFormat="1" x14ac:dyDescent="0.2"/>
    <row r="34836" s="689" customFormat="1" x14ac:dyDescent="0.2"/>
    <row r="34837" s="689" customFormat="1" x14ac:dyDescent="0.2"/>
    <row r="34838" s="689" customFormat="1" x14ac:dyDescent="0.2"/>
    <row r="34839" s="689" customFormat="1" x14ac:dyDescent="0.2"/>
    <row r="34840" s="689" customFormat="1" x14ac:dyDescent="0.2"/>
    <row r="34841" s="689" customFormat="1" x14ac:dyDescent="0.2"/>
    <row r="34842" s="689" customFormat="1" x14ac:dyDescent="0.2"/>
    <row r="34843" s="689" customFormat="1" x14ac:dyDescent="0.2"/>
    <row r="34844" s="689" customFormat="1" x14ac:dyDescent="0.2"/>
    <row r="34845" s="689" customFormat="1" x14ac:dyDescent="0.2"/>
    <row r="34846" s="689" customFormat="1" x14ac:dyDescent="0.2"/>
    <row r="34847" s="689" customFormat="1" x14ac:dyDescent="0.2"/>
    <row r="34848" s="689" customFormat="1" x14ac:dyDescent="0.2"/>
    <row r="34849" s="689" customFormat="1" x14ac:dyDescent="0.2"/>
    <row r="34850" s="689" customFormat="1" x14ac:dyDescent="0.2"/>
    <row r="34851" s="689" customFormat="1" x14ac:dyDescent="0.2"/>
    <row r="34852" s="689" customFormat="1" x14ac:dyDescent="0.2"/>
    <row r="34853" s="689" customFormat="1" x14ac:dyDescent="0.2"/>
    <row r="34854" s="689" customFormat="1" x14ac:dyDescent="0.2"/>
    <row r="34855" s="689" customFormat="1" x14ac:dyDescent="0.2"/>
    <row r="34856" s="689" customFormat="1" x14ac:dyDescent="0.2"/>
    <row r="34857" s="689" customFormat="1" x14ac:dyDescent="0.2"/>
    <row r="34858" s="689" customFormat="1" x14ac:dyDescent="0.2"/>
    <row r="34859" s="689" customFormat="1" x14ac:dyDescent="0.2"/>
    <row r="34860" s="689" customFormat="1" x14ac:dyDescent="0.2"/>
    <row r="34861" s="689" customFormat="1" x14ac:dyDescent="0.2"/>
    <row r="34862" s="689" customFormat="1" x14ac:dyDescent="0.2"/>
    <row r="34863" s="689" customFormat="1" x14ac:dyDescent="0.2"/>
    <row r="34864" s="689" customFormat="1" x14ac:dyDescent="0.2"/>
    <row r="34865" s="689" customFormat="1" x14ac:dyDescent="0.2"/>
    <row r="34866" s="689" customFormat="1" x14ac:dyDescent="0.2"/>
    <row r="34867" s="689" customFormat="1" x14ac:dyDescent="0.2"/>
    <row r="34868" s="689" customFormat="1" x14ac:dyDescent="0.2"/>
    <row r="34869" s="689" customFormat="1" x14ac:dyDescent="0.2"/>
    <row r="34870" s="689" customFormat="1" x14ac:dyDescent="0.2"/>
    <row r="34871" s="689" customFormat="1" x14ac:dyDescent="0.2"/>
    <row r="34872" s="689" customFormat="1" x14ac:dyDescent="0.2"/>
    <row r="34873" s="689" customFormat="1" x14ac:dyDescent="0.2"/>
    <row r="34874" s="689" customFormat="1" x14ac:dyDescent="0.2"/>
    <row r="34875" s="689" customFormat="1" x14ac:dyDescent="0.2"/>
    <row r="34876" s="689" customFormat="1" x14ac:dyDescent="0.2"/>
    <row r="34877" s="689" customFormat="1" x14ac:dyDescent="0.2"/>
    <row r="34878" s="689" customFormat="1" x14ac:dyDescent="0.2"/>
    <row r="34879" s="689" customFormat="1" x14ac:dyDescent="0.2"/>
    <row r="34880" s="689" customFormat="1" x14ac:dyDescent="0.2"/>
    <row r="34881" s="689" customFormat="1" x14ac:dyDescent="0.2"/>
    <row r="34882" s="689" customFormat="1" x14ac:dyDescent="0.2"/>
    <row r="34883" s="689" customFormat="1" x14ac:dyDescent="0.2"/>
    <row r="34884" s="689" customFormat="1" x14ac:dyDescent="0.2"/>
    <row r="34885" s="689" customFormat="1" x14ac:dyDescent="0.2"/>
    <row r="34886" s="689" customFormat="1" x14ac:dyDescent="0.2"/>
    <row r="34887" s="689" customFormat="1" x14ac:dyDescent="0.2"/>
    <row r="34888" s="689" customFormat="1" x14ac:dyDescent="0.2"/>
    <row r="34889" s="689" customFormat="1" x14ac:dyDescent="0.2"/>
    <row r="34890" s="689" customFormat="1" x14ac:dyDescent="0.2"/>
    <row r="34891" s="689" customFormat="1" x14ac:dyDescent="0.2"/>
    <row r="34892" s="689" customFormat="1" x14ac:dyDescent="0.2"/>
    <row r="34893" s="689" customFormat="1" x14ac:dyDescent="0.2"/>
    <row r="34894" s="689" customFormat="1" x14ac:dyDescent="0.2"/>
    <row r="34895" s="689" customFormat="1" x14ac:dyDescent="0.2"/>
    <row r="34896" s="689" customFormat="1" x14ac:dyDescent="0.2"/>
    <row r="34897" s="689" customFormat="1" x14ac:dyDescent="0.2"/>
    <row r="34898" s="689" customFormat="1" x14ac:dyDescent="0.2"/>
    <row r="34899" s="689" customFormat="1" x14ac:dyDescent="0.2"/>
    <row r="34900" s="689" customFormat="1" x14ac:dyDescent="0.2"/>
    <row r="34901" s="689" customFormat="1" x14ac:dyDescent="0.2"/>
    <row r="34902" s="689" customFormat="1" x14ac:dyDescent="0.2"/>
    <row r="34903" s="689" customFormat="1" x14ac:dyDescent="0.2"/>
    <row r="34904" s="689" customFormat="1" x14ac:dyDescent="0.2"/>
    <row r="34905" s="689" customFormat="1" x14ac:dyDescent="0.2"/>
    <row r="34906" s="689" customFormat="1" x14ac:dyDescent="0.2"/>
    <row r="34907" s="689" customFormat="1" x14ac:dyDescent="0.2"/>
    <row r="34908" s="689" customFormat="1" x14ac:dyDescent="0.2"/>
    <row r="34909" s="689" customFormat="1" x14ac:dyDescent="0.2"/>
    <row r="34910" s="689" customFormat="1" x14ac:dyDescent="0.2"/>
    <row r="34911" s="689" customFormat="1" x14ac:dyDescent="0.2"/>
    <row r="34912" s="689" customFormat="1" x14ac:dyDescent="0.2"/>
    <row r="34913" s="689" customFormat="1" x14ac:dyDescent="0.2"/>
    <row r="34914" s="689" customFormat="1" x14ac:dyDescent="0.2"/>
    <row r="34915" s="689" customFormat="1" x14ac:dyDescent="0.2"/>
    <row r="34916" s="689" customFormat="1" x14ac:dyDescent="0.2"/>
    <row r="34917" s="689" customFormat="1" x14ac:dyDescent="0.2"/>
    <row r="34918" s="689" customFormat="1" x14ac:dyDescent="0.2"/>
    <row r="34919" s="689" customFormat="1" x14ac:dyDescent="0.2"/>
    <row r="34920" s="689" customFormat="1" x14ac:dyDescent="0.2"/>
    <row r="34921" s="689" customFormat="1" x14ac:dyDescent="0.2"/>
    <row r="34922" s="689" customFormat="1" x14ac:dyDescent="0.2"/>
    <row r="34923" s="689" customFormat="1" x14ac:dyDescent="0.2"/>
    <row r="34924" s="689" customFormat="1" x14ac:dyDescent="0.2"/>
    <row r="34925" s="689" customFormat="1" x14ac:dyDescent="0.2"/>
    <row r="34926" s="689" customFormat="1" x14ac:dyDescent="0.2"/>
    <row r="34927" s="689" customFormat="1" x14ac:dyDescent="0.2"/>
    <row r="34928" s="689" customFormat="1" x14ac:dyDescent="0.2"/>
    <row r="34929" s="689" customFormat="1" x14ac:dyDescent="0.2"/>
    <row r="34930" s="689" customFormat="1" x14ac:dyDescent="0.2"/>
    <row r="34931" s="689" customFormat="1" x14ac:dyDescent="0.2"/>
    <row r="34932" s="689" customFormat="1" x14ac:dyDescent="0.2"/>
    <row r="34933" s="689" customFormat="1" x14ac:dyDescent="0.2"/>
    <row r="34934" s="689" customFormat="1" x14ac:dyDescent="0.2"/>
    <row r="34935" s="689" customFormat="1" x14ac:dyDescent="0.2"/>
    <row r="34936" s="689" customFormat="1" x14ac:dyDescent="0.2"/>
    <row r="34937" s="689" customFormat="1" x14ac:dyDescent="0.2"/>
    <row r="34938" s="689" customFormat="1" x14ac:dyDescent="0.2"/>
    <row r="34939" s="689" customFormat="1" x14ac:dyDescent="0.2"/>
    <row r="34940" s="689" customFormat="1" x14ac:dyDescent="0.2"/>
    <row r="34941" s="689" customFormat="1" x14ac:dyDescent="0.2"/>
    <row r="34942" s="689" customFormat="1" x14ac:dyDescent="0.2"/>
    <row r="34943" s="689" customFormat="1" x14ac:dyDescent="0.2"/>
    <row r="34944" s="689" customFormat="1" x14ac:dyDescent="0.2"/>
    <row r="34945" s="689" customFormat="1" x14ac:dyDescent="0.2"/>
    <row r="34946" s="689" customFormat="1" x14ac:dyDescent="0.2"/>
    <row r="34947" s="689" customFormat="1" x14ac:dyDescent="0.2"/>
    <row r="34948" s="689" customFormat="1" x14ac:dyDescent="0.2"/>
    <row r="34949" s="689" customFormat="1" x14ac:dyDescent="0.2"/>
    <row r="34950" s="689" customFormat="1" x14ac:dyDescent="0.2"/>
    <row r="34951" s="689" customFormat="1" x14ac:dyDescent="0.2"/>
    <row r="34952" s="689" customFormat="1" x14ac:dyDescent="0.2"/>
    <row r="34953" s="689" customFormat="1" x14ac:dyDescent="0.2"/>
    <row r="34954" s="689" customFormat="1" x14ac:dyDescent="0.2"/>
    <row r="34955" s="689" customFormat="1" x14ac:dyDescent="0.2"/>
    <row r="34956" s="689" customFormat="1" x14ac:dyDescent="0.2"/>
    <row r="34957" s="689" customFormat="1" x14ac:dyDescent="0.2"/>
    <row r="34958" s="689" customFormat="1" x14ac:dyDescent="0.2"/>
    <row r="34959" s="689" customFormat="1" x14ac:dyDescent="0.2"/>
    <row r="34960" s="689" customFormat="1" x14ac:dyDescent="0.2"/>
    <row r="34961" s="689" customFormat="1" x14ac:dyDescent="0.2"/>
    <row r="34962" s="689" customFormat="1" x14ac:dyDescent="0.2"/>
    <row r="34963" s="689" customFormat="1" x14ac:dyDescent="0.2"/>
    <row r="34964" s="689" customFormat="1" x14ac:dyDescent="0.2"/>
    <row r="34965" s="689" customFormat="1" x14ac:dyDescent="0.2"/>
    <row r="34966" s="689" customFormat="1" x14ac:dyDescent="0.2"/>
    <row r="34967" s="689" customFormat="1" x14ac:dyDescent="0.2"/>
    <row r="34968" s="689" customFormat="1" x14ac:dyDescent="0.2"/>
    <row r="34969" s="689" customFormat="1" x14ac:dyDescent="0.2"/>
    <row r="34970" s="689" customFormat="1" x14ac:dyDescent="0.2"/>
    <row r="34971" s="689" customFormat="1" x14ac:dyDescent="0.2"/>
    <row r="34972" s="689" customFormat="1" x14ac:dyDescent="0.2"/>
    <row r="34973" s="689" customFormat="1" x14ac:dyDescent="0.2"/>
    <row r="34974" s="689" customFormat="1" x14ac:dyDescent="0.2"/>
    <row r="34975" s="689" customFormat="1" x14ac:dyDescent="0.2"/>
    <row r="34976" s="689" customFormat="1" x14ac:dyDescent="0.2"/>
    <row r="34977" s="689" customFormat="1" x14ac:dyDescent="0.2"/>
    <row r="34978" s="689" customFormat="1" x14ac:dyDescent="0.2"/>
    <row r="34979" s="689" customFormat="1" x14ac:dyDescent="0.2"/>
    <row r="34980" s="689" customFormat="1" x14ac:dyDescent="0.2"/>
    <row r="34981" s="689" customFormat="1" x14ac:dyDescent="0.2"/>
    <row r="34982" s="689" customFormat="1" x14ac:dyDescent="0.2"/>
    <row r="34983" s="689" customFormat="1" x14ac:dyDescent="0.2"/>
    <row r="34984" s="689" customFormat="1" x14ac:dyDescent="0.2"/>
    <row r="34985" s="689" customFormat="1" x14ac:dyDescent="0.2"/>
    <row r="34986" s="689" customFormat="1" x14ac:dyDescent="0.2"/>
    <row r="34987" s="689" customFormat="1" x14ac:dyDescent="0.2"/>
    <row r="34988" s="689" customFormat="1" x14ac:dyDescent="0.2"/>
    <row r="34989" s="689" customFormat="1" x14ac:dyDescent="0.2"/>
    <row r="34990" s="689" customFormat="1" x14ac:dyDescent="0.2"/>
    <row r="34991" s="689" customFormat="1" x14ac:dyDescent="0.2"/>
    <row r="34992" s="689" customFormat="1" x14ac:dyDescent="0.2"/>
    <row r="34993" s="689" customFormat="1" x14ac:dyDescent="0.2"/>
    <row r="34994" s="689" customFormat="1" x14ac:dyDescent="0.2"/>
    <row r="34995" s="689" customFormat="1" x14ac:dyDescent="0.2"/>
    <row r="34996" s="689" customFormat="1" x14ac:dyDescent="0.2"/>
    <row r="34997" s="689" customFormat="1" x14ac:dyDescent="0.2"/>
    <row r="34998" s="689" customFormat="1" x14ac:dyDescent="0.2"/>
    <row r="34999" s="689" customFormat="1" x14ac:dyDescent="0.2"/>
    <row r="35000" s="689" customFormat="1" x14ac:dyDescent="0.2"/>
    <row r="35001" s="689" customFormat="1" x14ac:dyDescent="0.2"/>
    <row r="35002" s="689" customFormat="1" x14ac:dyDescent="0.2"/>
    <row r="35003" s="689" customFormat="1" x14ac:dyDescent="0.2"/>
    <row r="35004" s="689" customFormat="1" x14ac:dyDescent="0.2"/>
    <row r="35005" s="689" customFormat="1" x14ac:dyDescent="0.2"/>
    <row r="35006" s="689" customFormat="1" x14ac:dyDescent="0.2"/>
    <row r="35007" s="689" customFormat="1" x14ac:dyDescent="0.2"/>
    <row r="35008" s="689" customFormat="1" x14ac:dyDescent="0.2"/>
    <row r="35009" s="689" customFormat="1" x14ac:dyDescent="0.2"/>
    <row r="35010" s="689" customFormat="1" x14ac:dyDescent="0.2"/>
    <row r="35011" s="689" customFormat="1" x14ac:dyDescent="0.2"/>
    <row r="35012" s="689" customFormat="1" x14ac:dyDescent="0.2"/>
    <row r="35013" s="689" customFormat="1" x14ac:dyDescent="0.2"/>
    <row r="35014" s="689" customFormat="1" x14ac:dyDescent="0.2"/>
    <row r="35015" s="689" customFormat="1" x14ac:dyDescent="0.2"/>
    <row r="35016" s="689" customFormat="1" x14ac:dyDescent="0.2"/>
    <row r="35017" s="689" customFormat="1" x14ac:dyDescent="0.2"/>
    <row r="35018" s="689" customFormat="1" x14ac:dyDescent="0.2"/>
    <row r="35019" s="689" customFormat="1" x14ac:dyDescent="0.2"/>
    <row r="35020" s="689" customFormat="1" x14ac:dyDescent="0.2"/>
    <row r="35021" s="689" customFormat="1" x14ac:dyDescent="0.2"/>
    <row r="35022" s="689" customFormat="1" x14ac:dyDescent="0.2"/>
    <row r="35023" s="689" customFormat="1" x14ac:dyDescent="0.2"/>
    <row r="35024" s="689" customFormat="1" x14ac:dyDescent="0.2"/>
    <row r="35025" s="689" customFormat="1" x14ac:dyDescent="0.2"/>
    <row r="35026" s="689" customFormat="1" x14ac:dyDescent="0.2"/>
    <row r="35027" s="689" customFormat="1" x14ac:dyDescent="0.2"/>
    <row r="35028" s="689" customFormat="1" x14ac:dyDescent="0.2"/>
    <row r="35029" s="689" customFormat="1" x14ac:dyDescent="0.2"/>
    <row r="35030" s="689" customFormat="1" x14ac:dyDescent="0.2"/>
    <row r="35031" s="689" customFormat="1" x14ac:dyDescent="0.2"/>
    <row r="35032" s="689" customFormat="1" x14ac:dyDescent="0.2"/>
    <row r="35033" s="689" customFormat="1" x14ac:dyDescent="0.2"/>
    <row r="35034" s="689" customFormat="1" x14ac:dyDescent="0.2"/>
    <row r="35035" s="689" customFormat="1" x14ac:dyDescent="0.2"/>
    <row r="35036" s="689" customFormat="1" x14ac:dyDescent="0.2"/>
    <row r="35037" s="689" customFormat="1" x14ac:dyDescent="0.2"/>
    <row r="35038" s="689" customFormat="1" x14ac:dyDescent="0.2"/>
    <row r="35039" s="689" customFormat="1" x14ac:dyDescent="0.2"/>
    <row r="35040" s="689" customFormat="1" x14ac:dyDescent="0.2"/>
    <row r="35041" s="689" customFormat="1" x14ac:dyDescent="0.2"/>
    <row r="35042" s="689" customFormat="1" x14ac:dyDescent="0.2"/>
    <row r="35043" s="689" customFormat="1" x14ac:dyDescent="0.2"/>
    <row r="35044" s="689" customFormat="1" x14ac:dyDescent="0.2"/>
    <row r="35045" s="689" customFormat="1" x14ac:dyDescent="0.2"/>
    <row r="35046" s="689" customFormat="1" x14ac:dyDescent="0.2"/>
    <row r="35047" s="689" customFormat="1" x14ac:dyDescent="0.2"/>
    <row r="35048" s="689" customFormat="1" x14ac:dyDescent="0.2"/>
    <row r="35049" s="689" customFormat="1" x14ac:dyDescent="0.2"/>
    <row r="35050" s="689" customFormat="1" x14ac:dyDescent="0.2"/>
    <row r="35051" s="689" customFormat="1" x14ac:dyDescent="0.2"/>
    <row r="35052" s="689" customFormat="1" x14ac:dyDescent="0.2"/>
    <row r="35053" s="689" customFormat="1" x14ac:dyDescent="0.2"/>
    <row r="35054" s="689" customFormat="1" x14ac:dyDescent="0.2"/>
    <row r="35055" s="689" customFormat="1" x14ac:dyDescent="0.2"/>
    <row r="35056" s="689" customFormat="1" x14ac:dyDescent="0.2"/>
    <row r="35057" s="689" customFormat="1" x14ac:dyDescent="0.2"/>
    <row r="35058" s="689" customFormat="1" x14ac:dyDescent="0.2"/>
    <row r="35059" s="689" customFormat="1" x14ac:dyDescent="0.2"/>
    <row r="35060" s="689" customFormat="1" x14ac:dyDescent="0.2"/>
    <row r="35061" s="689" customFormat="1" x14ac:dyDescent="0.2"/>
    <row r="35062" s="689" customFormat="1" x14ac:dyDescent="0.2"/>
    <row r="35063" s="689" customFormat="1" x14ac:dyDescent="0.2"/>
    <row r="35064" s="689" customFormat="1" x14ac:dyDescent="0.2"/>
    <row r="35065" s="689" customFormat="1" x14ac:dyDescent="0.2"/>
    <row r="35066" s="689" customFormat="1" x14ac:dyDescent="0.2"/>
    <row r="35067" s="689" customFormat="1" x14ac:dyDescent="0.2"/>
    <row r="35068" s="689" customFormat="1" x14ac:dyDescent="0.2"/>
    <row r="35069" s="689" customFormat="1" x14ac:dyDescent="0.2"/>
    <row r="35070" s="689" customFormat="1" x14ac:dyDescent="0.2"/>
    <row r="35071" s="689" customFormat="1" x14ac:dyDescent="0.2"/>
    <row r="35072" s="689" customFormat="1" x14ac:dyDescent="0.2"/>
    <row r="35073" s="689" customFormat="1" x14ac:dyDescent="0.2"/>
    <row r="35074" s="689" customFormat="1" x14ac:dyDescent="0.2"/>
    <row r="35075" s="689" customFormat="1" x14ac:dyDescent="0.2"/>
    <row r="35076" s="689" customFormat="1" x14ac:dyDescent="0.2"/>
    <row r="35077" s="689" customFormat="1" x14ac:dyDescent="0.2"/>
    <row r="35078" s="689" customFormat="1" x14ac:dyDescent="0.2"/>
    <row r="35079" s="689" customFormat="1" x14ac:dyDescent="0.2"/>
    <row r="35080" s="689" customFormat="1" x14ac:dyDescent="0.2"/>
    <row r="35081" s="689" customFormat="1" x14ac:dyDescent="0.2"/>
    <row r="35082" s="689" customFormat="1" x14ac:dyDescent="0.2"/>
    <row r="35083" s="689" customFormat="1" x14ac:dyDescent="0.2"/>
    <row r="35084" s="689" customFormat="1" x14ac:dyDescent="0.2"/>
    <row r="35085" s="689" customFormat="1" x14ac:dyDescent="0.2"/>
    <row r="35086" s="689" customFormat="1" x14ac:dyDescent="0.2"/>
    <row r="35087" s="689" customFormat="1" x14ac:dyDescent="0.2"/>
    <row r="35088" s="689" customFormat="1" x14ac:dyDescent="0.2"/>
    <row r="35089" s="689" customFormat="1" x14ac:dyDescent="0.2"/>
    <row r="35090" s="689" customFormat="1" x14ac:dyDescent="0.2"/>
    <row r="35091" s="689" customFormat="1" x14ac:dyDescent="0.2"/>
    <row r="35092" s="689" customFormat="1" x14ac:dyDescent="0.2"/>
    <row r="35093" s="689" customFormat="1" x14ac:dyDescent="0.2"/>
    <row r="35094" s="689" customFormat="1" x14ac:dyDescent="0.2"/>
    <row r="35095" s="689" customFormat="1" x14ac:dyDescent="0.2"/>
    <row r="35096" s="689" customFormat="1" x14ac:dyDescent="0.2"/>
    <row r="35097" s="689" customFormat="1" x14ac:dyDescent="0.2"/>
    <row r="35098" s="689" customFormat="1" x14ac:dyDescent="0.2"/>
    <row r="35099" s="689" customFormat="1" x14ac:dyDescent="0.2"/>
    <row r="35100" s="689" customFormat="1" x14ac:dyDescent="0.2"/>
    <row r="35101" s="689" customFormat="1" x14ac:dyDescent="0.2"/>
    <row r="35102" s="689" customFormat="1" x14ac:dyDescent="0.2"/>
    <row r="35103" s="689" customFormat="1" x14ac:dyDescent="0.2"/>
    <row r="35104" s="689" customFormat="1" x14ac:dyDescent="0.2"/>
    <row r="35105" s="689" customFormat="1" x14ac:dyDescent="0.2"/>
    <row r="35106" s="689" customFormat="1" x14ac:dyDescent="0.2"/>
    <row r="35107" s="689" customFormat="1" x14ac:dyDescent="0.2"/>
    <row r="35108" s="689" customFormat="1" x14ac:dyDescent="0.2"/>
    <row r="35109" s="689" customFormat="1" x14ac:dyDescent="0.2"/>
    <row r="35110" s="689" customFormat="1" x14ac:dyDescent="0.2"/>
    <row r="35111" s="689" customFormat="1" x14ac:dyDescent="0.2"/>
    <row r="35112" s="689" customFormat="1" x14ac:dyDescent="0.2"/>
    <row r="35113" s="689" customFormat="1" x14ac:dyDescent="0.2"/>
    <row r="35114" s="689" customFormat="1" x14ac:dyDescent="0.2"/>
    <row r="35115" s="689" customFormat="1" x14ac:dyDescent="0.2"/>
    <row r="35116" s="689" customFormat="1" x14ac:dyDescent="0.2"/>
    <row r="35117" s="689" customFormat="1" x14ac:dyDescent="0.2"/>
    <row r="35118" s="689" customFormat="1" x14ac:dyDescent="0.2"/>
    <row r="35119" s="689" customFormat="1" x14ac:dyDescent="0.2"/>
    <row r="35120" s="689" customFormat="1" x14ac:dyDescent="0.2"/>
    <row r="35121" s="689" customFormat="1" x14ac:dyDescent="0.2"/>
    <row r="35122" s="689" customFormat="1" x14ac:dyDescent="0.2"/>
    <row r="35123" s="689" customFormat="1" x14ac:dyDescent="0.2"/>
    <row r="35124" s="689" customFormat="1" x14ac:dyDescent="0.2"/>
    <row r="35125" s="689" customFormat="1" x14ac:dyDescent="0.2"/>
    <row r="35126" s="689" customFormat="1" x14ac:dyDescent="0.2"/>
    <row r="35127" s="689" customFormat="1" x14ac:dyDescent="0.2"/>
    <row r="35128" s="689" customFormat="1" x14ac:dyDescent="0.2"/>
    <row r="35129" s="689" customFormat="1" x14ac:dyDescent="0.2"/>
    <row r="35130" s="689" customFormat="1" x14ac:dyDescent="0.2"/>
    <row r="35131" s="689" customFormat="1" x14ac:dyDescent="0.2"/>
    <row r="35132" s="689" customFormat="1" x14ac:dyDescent="0.2"/>
    <row r="35133" s="689" customFormat="1" x14ac:dyDescent="0.2"/>
    <row r="35134" s="689" customFormat="1" x14ac:dyDescent="0.2"/>
    <row r="35135" s="689" customFormat="1" x14ac:dyDescent="0.2"/>
    <row r="35136" s="689" customFormat="1" x14ac:dyDescent="0.2"/>
    <row r="35137" s="689" customFormat="1" x14ac:dyDescent="0.2"/>
    <row r="35138" s="689" customFormat="1" x14ac:dyDescent="0.2"/>
    <row r="35139" s="689" customFormat="1" x14ac:dyDescent="0.2"/>
    <row r="35140" s="689" customFormat="1" x14ac:dyDescent="0.2"/>
    <row r="35141" s="689" customFormat="1" x14ac:dyDescent="0.2"/>
    <row r="35142" s="689" customFormat="1" x14ac:dyDescent="0.2"/>
    <row r="35143" s="689" customFormat="1" x14ac:dyDescent="0.2"/>
    <row r="35144" s="689" customFormat="1" x14ac:dyDescent="0.2"/>
    <row r="35145" s="689" customFormat="1" x14ac:dyDescent="0.2"/>
    <row r="35146" s="689" customFormat="1" x14ac:dyDescent="0.2"/>
    <row r="35147" s="689" customFormat="1" x14ac:dyDescent="0.2"/>
    <row r="35148" s="689" customFormat="1" x14ac:dyDescent="0.2"/>
    <row r="35149" s="689" customFormat="1" x14ac:dyDescent="0.2"/>
    <row r="35150" s="689" customFormat="1" x14ac:dyDescent="0.2"/>
    <row r="35151" s="689" customFormat="1" x14ac:dyDescent="0.2"/>
    <row r="35152" s="689" customFormat="1" x14ac:dyDescent="0.2"/>
    <row r="35153" s="689" customFormat="1" x14ac:dyDescent="0.2"/>
    <row r="35154" s="689" customFormat="1" x14ac:dyDescent="0.2"/>
    <row r="35155" s="689" customFormat="1" x14ac:dyDescent="0.2"/>
    <row r="35156" s="689" customFormat="1" x14ac:dyDescent="0.2"/>
    <row r="35157" s="689" customFormat="1" x14ac:dyDescent="0.2"/>
    <row r="35158" s="689" customFormat="1" x14ac:dyDescent="0.2"/>
    <row r="35159" s="689" customFormat="1" x14ac:dyDescent="0.2"/>
    <row r="35160" s="689" customFormat="1" x14ac:dyDescent="0.2"/>
    <row r="35161" s="689" customFormat="1" x14ac:dyDescent="0.2"/>
    <row r="35162" s="689" customFormat="1" x14ac:dyDescent="0.2"/>
    <row r="35163" s="689" customFormat="1" x14ac:dyDescent="0.2"/>
    <row r="35164" s="689" customFormat="1" x14ac:dyDescent="0.2"/>
    <row r="35165" s="689" customFormat="1" x14ac:dyDescent="0.2"/>
    <row r="35166" s="689" customFormat="1" x14ac:dyDescent="0.2"/>
    <row r="35167" s="689" customFormat="1" x14ac:dyDescent="0.2"/>
    <row r="35168" s="689" customFormat="1" x14ac:dyDescent="0.2"/>
    <row r="35169" s="689" customFormat="1" x14ac:dyDescent="0.2"/>
    <row r="35170" s="689" customFormat="1" x14ac:dyDescent="0.2"/>
    <row r="35171" s="689" customFormat="1" x14ac:dyDescent="0.2"/>
    <row r="35172" s="689" customFormat="1" x14ac:dyDescent="0.2"/>
    <row r="35173" s="689" customFormat="1" x14ac:dyDescent="0.2"/>
    <row r="35174" s="689" customFormat="1" x14ac:dyDescent="0.2"/>
    <row r="35175" s="689" customFormat="1" x14ac:dyDescent="0.2"/>
    <row r="35176" s="689" customFormat="1" x14ac:dyDescent="0.2"/>
    <row r="35177" s="689" customFormat="1" x14ac:dyDescent="0.2"/>
    <row r="35178" s="689" customFormat="1" x14ac:dyDescent="0.2"/>
    <row r="35179" s="689" customFormat="1" x14ac:dyDescent="0.2"/>
    <row r="35180" s="689" customFormat="1" x14ac:dyDescent="0.2"/>
    <row r="35181" s="689" customFormat="1" x14ac:dyDescent="0.2"/>
    <row r="35182" s="689" customFormat="1" x14ac:dyDescent="0.2"/>
    <row r="35183" s="689" customFormat="1" x14ac:dyDescent="0.2"/>
    <row r="35184" s="689" customFormat="1" x14ac:dyDescent="0.2"/>
    <row r="35185" s="689" customFormat="1" x14ac:dyDescent="0.2"/>
    <row r="35186" s="689" customFormat="1" x14ac:dyDescent="0.2"/>
    <row r="35187" s="689" customFormat="1" x14ac:dyDescent="0.2"/>
    <row r="35188" s="689" customFormat="1" x14ac:dyDescent="0.2"/>
    <row r="35189" s="689" customFormat="1" x14ac:dyDescent="0.2"/>
    <row r="35190" s="689" customFormat="1" x14ac:dyDescent="0.2"/>
    <row r="35191" s="689" customFormat="1" x14ac:dyDescent="0.2"/>
    <row r="35192" s="689" customFormat="1" x14ac:dyDescent="0.2"/>
    <row r="35193" s="689" customFormat="1" x14ac:dyDescent="0.2"/>
    <row r="35194" s="689" customFormat="1" x14ac:dyDescent="0.2"/>
    <row r="35195" s="689" customFormat="1" x14ac:dyDescent="0.2"/>
    <row r="35196" s="689" customFormat="1" x14ac:dyDescent="0.2"/>
    <row r="35197" s="689" customFormat="1" x14ac:dyDescent="0.2"/>
    <row r="35198" s="689" customFormat="1" x14ac:dyDescent="0.2"/>
    <row r="35199" s="689" customFormat="1" x14ac:dyDescent="0.2"/>
    <row r="35200" s="689" customFormat="1" x14ac:dyDescent="0.2"/>
    <row r="35201" s="689" customFormat="1" x14ac:dyDescent="0.2"/>
    <row r="35202" s="689" customFormat="1" x14ac:dyDescent="0.2"/>
    <row r="35203" s="689" customFormat="1" x14ac:dyDescent="0.2"/>
    <row r="35204" s="689" customFormat="1" x14ac:dyDescent="0.2"/>
    <row r="35205" s="689" customFormat="1" x14ac:dyDescent="0.2"/>
    <row r="35206" s="689" customFormat="1" x14ac:dyDescent="0.2"/>
    <row r="35207" s="689" customFormat="1" x14ac:dyDescent="0.2"/>
    <row r="35208" s="689" customFormat="1" x14ac:dyDescent="0.2"/>
    <row r="35209" s="689" customFormat="1" x14ac:dyDescent="0.2"/>
    <row r="35210" s="689" customFormat="1" x14ac:dyDescent="0.2"/>
    <row r="35211" s="689" customFormat="1" x14ac:dyDescent="0.2"/>
    <row r="35212" s="689" customFormat="1" x14ac:dyDescent="0.2"/>
    <row r="35213" s="689" customFormat="1" x14ac:dyDescent="0.2"/>
    <row r="35214" s="689" customFormat="1" x14ac:dyDescent="0.2"/>
    <row r="35215" s="689" customFormat="1" x14ac:dyDescent="0.2"/>
    <row r="35216" s="689" customFormat="1" x14ac:dyDescent="0.2"/>
    <row r="35217" s="689" customFormat="1" x14ac:dyDescent="0.2"/>
    <row r="35218" s="689" customFormat="1" x14ac:dyDescent="0.2"/>
    <row r="35219" s="689" customFormat="1" x14ac:dyDescent="0.2"/>
    <row r="35220" s="689" customFormat="1" x14ac:dyDescent="0.2"/>
    <row r="35221" s="689" customFormat="1" x14ac:dyDescent="0.2"/>
    <row r="35222" s="689" customFormat="1" x14ac:dyDescent="0.2"/>
    <row r="35223" s="689" customFormat="1" x14ac:dyDescent="0.2"/>
    <row r="35224" s="689" customFormat="1" x14ac:dyDescent="0.2"/>
    <row r="35225" s="689" customFormat="1" x14ac:dyDescent="0.2"/>
    <row r="35226" s="689" customFormat="1" x14ac:dyDescent="0.2"/>
    <row r="35227" s="689" customFormat="1" x14ac:dyDescent="0.2"/>
    <row r="35228" s="689" customFormat="1" x14ac:dyDescent="0.2"/>
    <row r="35229" s="689" customFormat="1" x14ac:dyDescent="0.2"/>
    <row r="35230" s="689" customFormat="1" x14ac:dyDescent="0.2"/>
    <row r="35231" s="689" customFormat="1" x14ac:dyDescent="0.2"/>
    <row r="35232" s="689" customFormat="1" x14ac:dyDescent="0.2"/>
    <row r="35233" s="689" customFormat="1" x14ac:dyDescent="0.2"/>
    <row r="35234" s="689" customFormat="1" x14ac:dyDescent="0.2"/>
    <row r="35235" s="689" customFormat="1" x14ac:dyDescent="0.2"/>
    <row r="35236" s="689" customFormat="1" x14ac:dyDescent="0.2"/>
    <row r="35237" s="689" customFormat="1" x14ac:dyDescent="0.2"/>
    <row r="35238" s="689" customFormat="1" x14ac:dyDescent="0.2"/>
    <row r="35239" s="689" customFormat="1" x14ac:dyDescent="0.2"/>
    <row r="35240" s="689" customFormat="1" x14ac:dyDescent="0.2"/>
    <row r="35241" s="689" customFormat="1" x14ac:dyDescent="0.2"/>
    <row r="35242" s="689" customFormat="1" x14ac:dyDescent="0.2"/>
    <row r="35243" s="689" customFormat="1" x14ac:dyDescent="0.2"/>
    <row r="35244" s="689" customFormat="1" x14ac:dyDescent="0.2"/>
    <row r="35245" s="689" customFormat="1" x14ac:dyDescent="0.2"/>
    <row r="35246" s="689" customFormat="1" x14ac:dyDescent="0.2"/>
    <row r="35247" s="689" customFormat="1" x14ac:dyDescent="0.2"/>
    <row r="35248" s="689" customFormat="1" x14ac:dyDescent="0.2"/>
    <row r="35249" s="689" customFormat="1" x14ac:dyDescent="0.2"/>
    <row r="35250" s="689" customFormat="1" x14ac:dyDescent="0.2"/>
    <row r="35251" s="689" customFormat="1" x14ac:dyDescent="0.2"/>
    <row r="35252" s="689" customFormat="1" x14ac:dyDescent="0.2"/>
    <row r="35253" s="689" customFormat="1" x14ac:dyDescent="0.2"/>
    <row r="35254" s="689" customFormat="1" x14ac:dyDescent="0.2"/>
    <row r="35255" s="689" customFormat="1" x14ac:dyDescent="0.2"/>
    <row r="35256" s="689" customFormat="1" x14ac:dyDescent="0.2"/>
    <row r="35257" s="689" customFormat="1" x14ac:dyDescent="0.2"/>
    <row r="35258" s="689" customFormat="1" x14ac:dyDescent="0.2"/>
    <row r="35259" s="689" customFormat="1" x14ac:dyDescent="0.2"/>
    <row r="35260" s="689" customFormat="1" x14ac:dyDescent="0.2"/>
    <row r="35261" s="689" customFormat="1" x14ac:dyDescent="0.2"/>
    <row r="35262" s="689" customFormat="1" x14ac:dyDescent="0.2"/>
    <row r="35263" s="689" customFormat="1" x14ac:dyDescent="0.2"/>
    <row r="35264" s="689" customFormat="1" x14ac:dyDescent="0.2"/>
    <row r="35265" s="689" customFormat="1" x14ac:dyDescent="0.2"/>
    <row r="35266" s="689" customFormat="1" x14ac:dyDescent="0.2"/>
    <row r="35267" s="689" customFormat="1" x14ac:dyDescent="0.2"/>
    <row r="35268" s="689" customFormat="1" x14ac:dyDescent="0.2"/>
    <row r="35269" s="689" customFormat="1" x14ac:dyDescent="0.2"/>
    <row r="35270" s="689" customFormat="1" x14ac:dyDescent="0.2"/>
    <row r="35271" s="689" customFormat="1" x14ac:dyDescent="0.2"/>
    <row r="35272" s="689" customFormat="1" x14ac:dyDescent="0.2"/>
    <row r="35273" s="689" customFormat="1" x14ac:dyDescent="0.2"/>
    <row r="35274" s="689" customFormat="1" x14ac:dyDescent="0.2"/>
    <row r="35275" s="689" customFormat="1" x14ac:dyDescent="0.2"/>
    <row r="35276" s="689" customFormat="1" x14ac:dyDescent="0.2"/>
    <row r="35277" s="689" customFormat="1" x14ac:dyDescent="0.2"/>
    <row r="35278" s="689" customFormat="1" x14ac:dyDescent="0.2"/>
    <row r="35279" s="689" customFormat="1" x14ac:dyDescent="0.2"/>
    <row r="35280" s="689" customFormat="1" x14ac:dyDescent="0.2"/>
    <row r="35281" s="689" customFormat="1" x14ac:dyDescent="0.2"/>
    <row r="35282" s="689" customFormat="1" x14ac:dyDescent="0.2"/>
    <row r="35283" s="689" customFormat="1" x14ac:dyDescent="0.2"/>
    <row r="35284" s="689" customFormat="1" x14ac:dyDescent="0.2"/>
    <row r="35285" s="689" customFormat="1" x14ac:dyDescent="0.2"/>
    <row r="35286" s="689" customFormat="1" x14ac:dyDescent="0.2"/>
    <row r="35287" s="689" customFormat="1" x14ac:dyDescent="0.2"/>
    <row r="35288" s="689" customFormat="1" x14ac:dyDescent="0.2"/>
    <row r="35289" s="689" customFormat="1" x14ac:dyDescent="0.2"/>
    <row r="35290" s="689" customFormat="1" x14ac:dyDescent="0.2"/>
    <row r="35291" s="689" customFormat="1" x14ac:dyDescent="0.2"/>
    <row r="35292" s="689" customFormat="1" x14ac:dyDescent="0.2"/>
    <row r="35293" s="689" customFormat="1" x14ac:dyDescent="0.2"/>
    <row r="35294" s="689" customFormat="1" x14ac:dyDescent="0.2"/>
    <row r="35295" s="689" customFormat="1" x14ac:dyDescent="0.2"/>
    <row r="35296" s="689" customFormat="1" x14ac:dyDescent="0.2"/>
    <row r="35297" s="689" customFormat="1" x14ac:dyDescent="0.2"/>
    <row r="35298" s="689" customFormat="1" x14ac:dyDescent="0.2"/>
    <row r="35299" s="689" customFormat="1" x14ac:dyDescent="0.2"/>
    <row r="35300" s="689" customFormat="1" x14ac:dyDescent="0.2"/>
    <row r="35301" s="689" customFormat="1" x14ac:dyDescent="0.2"/>
    <row r="35302" s="689" customFormat="1" x14ac:dyDescent="0.2"/>
    <row r="35303" s="689" customFormat="1" x14ac:dyDescent="0.2"/>
    <row r="35304" s="689" customFormat="1" x14ac:dyDescent="0.2"/>
    <row r="35305" s="689" customFormat="1" x14ac:dyDescent="0.2"/>
    <row r="35306" s="689" customFormat="1" x14ac:dyDescent="0.2"/>
    <row r="35307" s="689" customFormat="1" x14ac:dyDescent="0.2"/>
    <row r="35308" s="689" customFormat="1" x14ac:dyDescent="0.2"/>
    <row r="35309" s="689" customFormat="1" x14ac:dyDescent="0.2"/>
    <row r="35310" s="689" customFormat="1" x14ac:dyDescent="0.2"/>
    <row r="35311" s="689" customFormat="1" x14ac:dyDescent="0.2"/>
    <row r="35312" s="689" customFormat="1" x14ac:dyDescent="0.2"/>
    <row r="35313" s="689" customFormat="1" x14ac:dyDescent="0.2"/>
    <row r="35314" s="689" customFormat="1" x14ac:dyDescent="0.2"/>
    <row r="35315" s="689" customFormat="1" x14ac:dyDescent="0.2"/>
    <row r="35316" s="689" customFormat="1" x14ac:dyDescent="0.2"/>
    <row r="35317" s="689" customFormat="1" x14ac:dyDescent="0.2"/>
    <row r="35318" s="689" customFormat="1" x14ac:dyDescent="0.2"/>
    <row r="35319" s="689" customFormat="1" x14ac:dyDescent="0.2"/>
    <row r="35320" s="689" customFormat="1" x14ac:dyDescent="0.2"/>
    <row r="35321" s="689" customFormat="1" x14ac:dyDescent="0.2"/>
    <row r="35322" s="689" customFormat="1" x14ac:dyDescent="0.2"/>
    <row r="35323" s="689" customFormat="1" x14ac:dyDescent="0.2"/>
    <row r="35324" s="689" customFormat="1" x14ac:dyDescent="0.2"/>
    <row r="35325" s="689" customFormat="1" x14ac:dyDescent="0.2"/>
    <row r="35326" s="689" customFormat="1" x14ac:dyDescent="0.2"/>
    <row r="35327" s="689" customFormat="1" x14ac:dyDescent="0.2"/>
    <row r="35328" s="689" customFormat="1" x14ac:dyDescent="0.2"/>
    <row r="35329" s="689" customFormat="1" x14ac:dyDescent="0.2"/>
    <row r="35330" s="689" customFormat="1" x14ac:dyDescent="0.2"/>
    <row r="35331" s="689" customFormat="1" x14ac:dyDescent="0.2"/>
    <row r="35332" s="689" customFormat="1" x14ac:dyDescent="0.2"/>
    <row r="35333" s="689" customFormat="1" x14ac:dyDescent="0.2"/>
    <row r="35334" s="689" customFormat="1" x14ac:dyDescent="0.2"/>
    <row r="35335" s="689" customFormat="1" x14ac:dyDescent="0.2"/>
    <row r="35336" s="689" customFormat="1" x14ac:dyDescent="0.2"/>
    <row r="35337" s="689" customFormat="1" x14ac:dyDescent="0.2"/>
    <row r="35338" s="689" customFormat="1" x14ac:dyDescent="0.2"/>
    <row r="35339" s="689" customFormat="1" x14ac:dyDescent="0.2"/>
    <row r="35340" s="689" customFormat="1" x14ac:dyDescent="0.2"/>
    <row r="35341" s="689" customFormat="1" x14ac:dyDescent="0.2"/>
    <row r="35342" s="689" customFormat="1" x14ac:dyDescent="0.2"/>
    <row r="35343" s="689" customFormat="1" x14ac:dyDescent="0.2"/>
    <row r="35344" s="689" customFormat="1" x14ac:dyDescent="0.2"/>
    <row r="35345" s="689" customFormat="1" x14ac:dyDescent="0.2"/>
    <row r="35346" s="689" customFormat="1" x14ac:dyDescent="0.2"/>
    <row r="35347" s="689" customFormat="1" x14ac:dyDescent="0.2"/>
    <row r="35348" s="689" customFormat="1" x14ac:dyDescent="0.2"/>
    <row r="35349" s="689" customFormat="1" x14ac:dyDescent="0.2"/>
    <row r="35350" s="689" customFormat="1" x14ac:dyDescent="0.2"/>
    <row r="35351" s="689" customFormat="1" x14ac:dyDescent="0.2"/>
    <row r="35352" s="689" customFormat="1" x14ac:dyDescent="0.2"/>
    <row r="35353" s="689" customFormat="1" x14ac:dyDescent="0.2"/>
    <row r="35354" s="689" customFormat="1" x14ac:dyDescent="0.2"/>
    <row r="35355" s="689" customFormat="1" x14ac:dyDescent="0.2"/>
    <row r="35356" s="689" customFormat="1" x14ac:dyDescent="0.2"/>
    <row r="35357" s="689" customFormat="1" x14ac:dyDescent="0.2"/>
    <row r="35358" s="689" customFormat="1" x14ac:dyDescent="0.2"/>
    <row r="35359" s="689" customFormat="1" x14ac:dyDescent="0.2"/>
    <row r="35360" s="689" customFormat="1" x14ac:dyDescent="0.2"/>
    <row r="35361" s="689" customFormat="1" x14ac:dyDescent="0.2"/>
    <row r="35362" s="689" customFormat="1" x14ac:dyDescent="0.2"/>
    <row r="35363" s="689" customFormat="1" x14ac:dyDescent="0.2"/>
    <row r="35364" s="689" customFormat="1" x14ac:dyDescent="0.2"/>
    <row r="35365" s="689" customFormat="1" x14ac:dyDescent="0.2"/>
    <row r="35366" s="689" customFormat="1" x14ac:dyDescent="0.2"/>
    <row r="35367" s="689" customFormat="1" x14ac:dyDescent="0.2"/>
    <row r="35368" s="689" customFormat="1" x14ac:dyDescent="0.2"/>
    <row r="35369" s="689" customFormat="1" x14ac:dyDescent="0.2"/>
    <row r="35370" s="689" customFormat="1" x14ac:dyDescent="0.2"/>
    <row r="35371" s="689" customFormat="1" x14ac:dyDescent="0.2"/>
    <row r="35372" s="689" customFormat="1" x14ac:dyDescent="0.2"/>
    <row r="35373" s="689" customFormat="1" x14ac:dyDescent="0.2"/>
    <row r="35374" s="689" customFormat="1" x14ac:dyDescent="0.2"/>
    <row r="35375" s="689" customFormat="1" x14ac:dyDescent="0.2"/>
    <row r="35376" s="689" customFormat="1" x14ac:dyDescent="0.2"/>
    <row r="35377" s="689" customFormat="1" x14ac:dyDescent="0.2"/>
    <row r="35378" s="689" customFormat="1" x14ac:dyDescent="0.2"/>
    <row r="35379" s="689" customFormat="1" x14ac:dyDescent="0.2"/>
    <row r="35380" s="689" customFormat="1" x14ac:dyDescent="0.2"/>
    <row r="35381" s="689" customFormat="1" x14ac:dyDescent="0.2"/>
    <row r="35382" s="689" customFormat="1" x14ac:dyDescent="0.2"/>
    <row r="35383" s="689" customFormat="1" x14ac:dyDescent="0.2"/>
    <row r="35384" s="689" customFormat="1" x14ac:dyDescent="0.2"/>
    <row r="35385" s="689" customFormat="1" x14ac:dyDescent="0.2"/>
    <row r="35386" s="689" customFormat="1" x14ac:dyDescent="0.2"/>
    <row r="35387" s="689" customFormat="1" x14ac:dyDescent="0.2"/>
    <row r="35388" s="689" customFormat="1" x14ac:dyDescent="0.2"/>
    <row r="35389" s="689" customFormat="1" x14ac:dyDescent="0.2"/>
    <row r="35390" s="689" customFormat="1" x14ac:dyDescent="0.2"/>
    <row r="35391" s="689" customFormat="1" x14ac:dyDescent="0.2"/>
    <row r="35392" s="689" customFormat="1" x14ac:dyDescent="0.2"/>
    <row r="35393" s="689" customFormat="1" x14ac:dyDescent="0.2"/>
    <row r="35394" s="689" customFormat="1" x14ac:dyDescent="0.2"/>
    <row r="35395" s="689" customFormat="1" x14ac:dyDescent="0.2"/>
    <row r="35396" s="689" customFormat="1" x14ac:dyDescent="0.2"/>
    <row r="35397" s="689" customFormat="1" x14ac:dyDescent="0.2"/>
    <row r="35398" s="689" customFormat="1" x14ac:dyDescent="0.2"/>
    <row r="35399" s="689" customFormat="1" x14ac:dyDescent="0.2"/>
    <row r="35400" s="689" customFormat="1" x14ac:dyDescent="0.2"/>
    <row r="35401" s="689" customFormat="1" x14ac:dyDescent="0.2"/>
    <row r="35402" s="689" customFormat="1" x14ac:dyDescent="0.2"/>
    <row r="35403" s="689" customFormat="1" x14ac:dyDescent="0.2"/>
    <row r="35404" s="689" customFormat="1" x14ac:dyDescent="0.2"/>
    <row r="35405" s="689" customFormat="1" x14ac:dyDescent="0.2"/>
    <row r="35406" s="689" customFormat="1" x14ac:dyDescent="0.2"/>
    <row r="35407" s="689" customFormat="1" x14ac:dyDescent="0.2"/>
    <row r="35408" s="689" customFormat="1" x14ac:dyDescent="0.2"/>
    <row r="35409" s="689" customFormat="1" x14ac:dyDescent="0.2"/>
    <row r="35410" s="689" customFormat="1" x14ac:dyDescent="0.2"/>
    <row r="35411" s="689" customFormat="1" x14ac:dyDescent="0.2"/>
    <row r="35412" s="689" customFormat="1" x14ac:dyDescent="0.2"/>
    <row r="35413" s="689" customFormat="1" x14ac:dyDescent="0.2"/>
    <row r="35414" s="689" customFormat="1" x14ac:dyDescent="0.2"/>
    <row r="35415" s="689" customFormat="1" x14ac:dyDescent="0.2"/>
    <row r="35416" s="689" customFormat="1" x14ac:dyDescent="0.2"/>
    <row r="35417" s="689" customFormat="1" x14ac:dyDescent="0.2"/>
    <row r="35418" s="689" customFormat="1" x14ac:dyDescent="0.2"/>
    <row r="35419" s="689" customFormat="1" x14ac:dyDescent="0.2"/>
    <row r="35420" s="689" customFormat="1" x14ac:dyDescent="0.2"/>
    <row r="35421" s="689" customFormat="1" x14ac:dyDescent="0.2"/>
    <row r="35422" s="689" customFormat="1" x14ac:dyDescent="0.2"/>
    <row r="35423" s="689" customFormat="1" x14ac:dyDescent="0.2"/>
    <row r="35424" s="689" customFormat="1" x14ac:dyDescent="0.2"/>
    <row r="35425" s="689" customFormat="1" x14ac:dyDescent="0.2"/>
    <row r="35426" s="689" customFormat="1" x14ac:dyDescent="0.2"/>
    <row r="35427" s="689" customFormat="1" x14ac:dyDescent="0.2"/>
    <row r="35428" s="689" customFormat="1" x14ac:dyDescent="0.2"/>
    <row r="35429" s="689" customFormat="1" x14ac:dyDescent="0.2"/>
    <row r="35430" s="689" customFormat="1" x14ac:dyDescent="0.2"/>
    <row r="35431" s="689" customFormat="1" x14ac:dyDescent="0.2"/>
    <row r="35432" s="689" customFormat="1" x14ac:dyDescent="0.2"/>
    <row r="35433" s="689" customFormat="1" x14ac:dyDescent="0.2"/>
    <row r="35434" s="689" customFormat="1" x14ac:dyDescent="0.2"/>
    <row r="35435" s="689" customFormat="1" x14ac:dyDescent="0.2"/>
    <row r="35436" s="689" customFormat="1" x14ac:dyDescent="0.2"/>
    <row r="35437" s="689" customFormat="1" x14ac:dyDescent="0.2"/>
    <row r="35438" s="689" customFormat="1" x14ac:dyDescent="0.2"/>
    <row r="35439" s="689" customFormat="1" x14ac:dyDescent="0.2"/>
    <row r="35440" s="689" customFormat="1" x14ac:dyDescent="0.2"/>
    <row r="35441" s="689" customFormat="1" x14ac:dyDescent="0.2"/>
    <row r="35442" s="689" customFormat="1" x14ac:dyDescent="0.2"/>
    <row r="35443" s="689" customFormat="1" x14ac:dyDescent="0.2"/>
    <row r="35444" s="689" customFormat="1" x14ac:dyDescent="0.2"/>
    <row r="35445" s="689" customFormat="1" x14ac:dyDescent="0.2"/>
    <row r="35446" s="689" customFormat="1" x14ac:dyDescent="0.2"/>
    <row r="35447" s="689" customFormat="1" x14ac:dyDescent="0.2"/>
    <row r="35448" s="689" customFormat="1" x14ac:dyDescent="0.2"/>
    <row r="35449" s="689" customFormat="1" x14ac:dyDescent="0.2"/>
    <row r="35450" s="689" customFormat="1" x14ac:dyDescent="0.2"/>
    <row r="35451" s="689" customFormat="1" x14ac:dyDescent="0.2"/>
    <row r="35452" s="689" customFormat="1" x14ac:dyDescent="0.2"/>
    <row r="35453" s="689" customFormat="1" x14ac:dyDescent="0.2"/>
    <row r="35454" s="689" customFormat="1" x14ac:dyDescent="0.2"/>
    <row r="35455" s="689" customFormat="1" x14ac:dyDescent="0.2"/>
    <row r="35456" s="689" customFormat="1" x14ac:dyDescent="0.2"/>
    <row r="35457" s="689" customFormat="1" x14ac:dyDescent="0.2"/>
    <row r="35458" s="689" customFormat="1" x14ac:dyDescent="0.2"/>
    <row r="35459" s="689" customFormat="1" x14ac:dyDescent="0.2"/>
    <row r="35460" s="689" customFormat="1" x14ac:dyDescent="0.2"/>
    <row r="35461" s="689" customFormat="1" x14ac:dyDescent="0.2"/>
    <row r="35462" s="689" customFormat="1" x14ac:dyDescent="0.2"/>
    <row r="35463" s="689" customFormat="1" x14ac:dyDescent="0.2"/>
    <row r="35464" s="689" customFormat="1" x14ac:dyDescent="0.2"/>
    <row r="35465" s="689" customFormat="1" x14ac:dyDescent="0.2"/>
    <row r="35466" s="689" customFormat="1" x14ac:dyDescent="0.2"/>
    <row r="35467" s="689" customFormat="1" x14ac:dyDescent="0.2"/>
    <row r="35468" s="689" customFormat="1" x14ac:dyDescent="0.2"/>
    <row r="35469" s="689" customFormat="1" x14ac:dyDescent="0.2"/>
    <row r="35470" s="689" customFormat="1" x14ac:dyDescent="0.2"/>
    <row r="35471" s="689" customFormat="1" x14ac:dyDescent="0.2"/>
    <row r="35472" s="689" customFormat="1" x14ac:dyDescent="0.2"/>
    <row r="35473" s="689" customFormat="1" x14ac:dyDescent="0.2"/>
    <row r="35474" s="689" customFormat="1" x14ac:dyDescent="0.2"/>
    <row r="35475" s="689" customFormat="1" x14ac:dyDescent="0.2"/>
    <row r="35476" s="689" customFormat="1" x14ac:dyDescent="0.2"/>
    <row r="35477" s="689" customFormat="1" x14ac:dyDescent="0.2"/>
    <row r="35478" s="689" customFormat="1" x14ac:dyDescent="0.2"/>
    <row r="35479" s="689" customFormat="1" x14ac:dyDescent="0.2"/>
    <row r="35480" s="689" customFormat="1" x14ac:dyDescent="0.2"/>
    <row r="35481" s="689" customFormat="1" x14ac:dyDescent="0.2"/>
    <row r="35482" s="689" customFormat="1" x14ac:dyDescent="0.2"/>
    <row r="35483" s="689" customFormat="1" x14ac:dyDescent="0.2"/>
    <row r="35484" s="689" customFormat="1" x14ac:dyDescent="0.2"/>
    <row r="35485" s="689" customFormat="1" x14ac:dyDescent="0.2"/>
    <row r="35486" s="689" customFormat="1" x14ac:dyDescent="0.2"/>
    <row r="35487" s="689" customFormat="1" x14ac:dyDescent="0.2"/>
    <row r="35488" s="689" customFormat="1" x14ac:dyDescent="0.2"/>
    <row r="35489" s="689" customFormat="1" x14ac:dyDescent="0.2"/>
    <row r="35490" s="689" customFormat="1" x14ac:dyDescent="0.2"/>
    <row r="35491" s="689" customFormat="1" x14ac:dyDescent="0.2"/>
    <row r="35492" s="689" customFormat="1" x14ac:dyDescent="0.2"/>
    <row r="35493" s="689" customFormat="1" x14ac:dyDescent="0.2"/>
    <row r="35494" s="689" customFormat="1" x14ac:dyDescent="0.2"/>
    <row r="35495" s="689" customFormat="1" x14ac:dyDescent="0.2"/>
    <row r="35496" s="689" customFormat="1" x14ac:dyDescent="0.2"/>
    <row r="35497" s="689" customFormat="1" x14ac:dyDescent="0.2"/>
    <row r="35498" s="689" customFormat="1" x14ac:dyDescent="0.2"/>
    <row r="35499" s="689" customFormat="1" x14ac:dyDescent="0.2"/>
    <row r="35500" s="689" customFormat="1" x14ac:dyDescent="0.2"/>
    <row r="35501" s="689" customFormat="1" x14ac:dyDescent="0.2"/>
    <row r="35502" s="689" customFormat="1" x14ac:dyDescent="0.2"/>
    <row r="35503" s="689" customFormat="1" x14ac:dyDescent="0.2"/>
    <row r="35504" s="689" customFormat="1" x14ac:dyDescent="0.2"/>
    <row r="35505" s="689" customFormat="1" x14ac:dyDescent="0.2"/>
    <row r="35506" s="689" customFormat="1" x14ac:dyDescent="0.2"/>
    <row r="35507" s="689" customFormat="1" x14ac:dyDescent="0.2"/>
    <row r="35508" s="689" customFormat="1" x14ac:dyDescent="0.2"/>
    <row r="35509" s="689" customFormat="1" x14ac:dyDescent="0.2"/>
    <row r="35510" s="689" customFormat="1" x14ac:dyDescent="0.2"/>
    <row r="35511" s="689" customFormat="1" x14ac:dyDescent="0.2"/>
    <row r="35512" s="689" customFormat="1" x14ac:dyDescent="0.2"/>
    <row r="35513" s="689" customFormat="1" x14ac:dyDescent="0.2"/>
    <row r="35514" s="689" customFormat="1" x14ac:dyDescent="0.2"/>
    <row r="35515" s="689" customFormat="1" x14ac:dyDescent="0.2"/>
    <row r="35516" s="689" customFormat="1" x14ac:dyDescent="0.2"/>
    <row r="35517" s="689" customFormat="1" x14ac:dyDescent="0.2"/>
    <row r="35518" s="689" customFormat="1" x14ac:dyDescent="0.2"/>
    <row r="35519" s="689" customFormat="1" x14ac:dyDescent="0.2"/>
    <row r="35520" s="689" customFormat="1" x14ac:dyDescent="0.2"/>
    <row r="35521" s="689" customFormat="1" x14ac:dyDescent="0.2"/>
    <row r="35522" s="689" customFormat="1" x14ac:dyDescent="0.2"/>
    <row r="35523" s="689" customFormat="1" x14ac:dyDescent="0.2"/>
    <row r="35524" s="689" customFormat="1" x14ac:dyDescent="0.2"/>
    <row r="35525" s="689" customFormat="1" x14ac:dyDescent="0.2"/>
    <row r="35526" s="689" customFormat="1" x14ac:dyDescent="0.2"/>
    <row r="35527" s="689" customFormat="1" x14ac:dyDescent="0.2"/>
    <row r="35528" s="689" customFormat="1" x14ac:dyDescent="0.2"/>
    <row r="35529" s="689" customFormat="1" x14ac:dyDescent="0.2"/>
    <row r="35530" s="689" customFormat="1" x14ac:dyDescent="0.2"/>
    <row r="35531" s="689" customFormat="1" x14ac:dyDescent="0.2"/>
    <row r="35532" s="689" customFormat="1" x14ac:dyDescent="0.2"/>
    <row r="35533" s="689" customFormat="1" x14ac:dyDescent="0.2"/>
    <row r="35534" s="689" customFormat="1" x14ac:dyDescent="0.2"/>
    <row r="35535" s="689" customFormat="1" x14ac:dyDescent="0.2"/>
    <row r="35536" s="689" customFormat="1" x14ac:dyDescent="0.2"/>
    <row r="35537" s="689" customFormat="1" x14ac:dyDescent="0.2"/>
    <row r="35538" s="689" customFormat="1" x14ac:dyDescent="0.2"/>
    <row r="35539" s="689" customFormat="1" x14ac:dyDescent="0.2"/>
    <row r="35540" s="689" customFormat="1" x14ac:dyDescent="0.2"/>
    <row r="35541" s="689" customFormat="1" x14ac:dyDescent="0.2"/>
    <row r="35542" s="689" customFormat="1" x14ac:dyDescent="0.2"/>
    <row r="35543" s="689" customFormat="1" x14ac:dyDescent="0.2"/>
    <row r="35544" s="689" customFormat="1" x14ac:dyDescent="0.2"/>
    <row r="35545" s="689" customFormat="1" x14ac:dyDescent="0.2"/>
    <row r="35546" s="689" customFormat="1" x14ac:dyDescent="0.2"/>
    <row r="35547" s="689" customFormat="1" x14ac:dyDescent="0.2"/>
    <row r="35548" s="689" customFormat="1" x14ac:dyDescent="0.2"/>
    <row r="35549" s="689" customFormat="1" x14ac:dyDescent="0.2"/>
    <row r="35550" s="689" customFormat="1" x14ac:dyDescent="0.2"/>
    <row r="35551" s="689" customFormat="1" x14ac:dyDescent="0.2"/>
    <row r="35552" s="689" customFormat="1" x14ac:dyDescent="0.2"/>
    <row r="35553" s="689" customFormat="1" x14ac:dyDescent="0.2"/>
    <row r="35554" s="689" customFormat="1" x14ac:dyDescent="0.2"/>
    <row r="35555" s="689" customFormat="1" x14ac:dyDescent="0.2"/>
    <row r="35556" s="689" customFormat="1" x14ac:dyDescent="0.2"/>
    <row r="35557" s="689" customFormat="1" x14ac:dyDescent="0.2"/>
    <row r="35558" s="689" customFormat="1" x14ac:dyDescent="0.2"/>
    <row r="35559" s="689" customFormat="1" x14ac:dyDescent="0.2"/>
    <row r="35560" s="689" customFormat="1" x14ac:dyDescent="0.2"/>
    <row r="35561" s="689" customFormat="1" x14ac:dyDescent="0.2"/>
    <row r="35562" s="689" customFormat="1" x14ac:dyDescent="0.2"/>
    <row r="35563" s="689" customFormat="1" x14ac:dyDescent="0.2"/>
    <row r="35564" s="689" customFormat="1" x14ac:dyDescent="0.2"/>
    <row r="35565" s="689" customFormat="1" x14ac:dyDescent="0.2"/>
    <row r="35566" s="689" customFormat="1" x14ac:dyDescent="0.2"/>
    <row r="35567" s="689" customFormat="1" x14ac:dyDescent="0.2"/>
    <row r="35568" s="689" customFormat="1" x14ac:dyDescent="0.2"/>
    <row r="35569" s="689" customFormat="1" x14ac:dyDescent="0.2"/>
    <row r="35570" s="689" customFormat="1" x14ac:dyDescent="0.2"/>
    <row r="35571" s="689" customFormat="1" x14ac:dyDescent="0.2"/>
    <row r="35572" s="689" customFormat="1" x14ac:dyDescent="0.2"/>
    <row r="35573" s="689" customFormat="1" x14ac:dyDescent="0.2"/>
    <row r="35574" s="689" customFormat="1" x14ac:dyDescent="0.2"/>
    <row r="35575" s="689" customFormat="1" x14ac:dyDescent="0.2"/>
    <row r="35576" s="689" customFormat="1" x14ac:dyDescent="0.2"/>
    <row r="35577" s="689" customFormat="1" x14ac:dyDescent="0.2"/>
    <row r="35578" s="689" customFormat="1" x14ac:dyDescent="0.2"/>
    <row r="35579" s="689" customFormat="1" x14ac:dyDescent="0.2"/>
    <row r="35580" s="689" customFormat="1" x14ac:dyDescent="0.2"/>
    <row r="35581" s="689" customFormat="1" x14ac:dyDescent="0.2"/>
    <row r="35582" s="689" customFormat="1" x14ac:dyDescent="0.2"/>
    <row r="35583" s="689" customFormat="1" x14ac:dyDescent="0.2"/>
    <row r="35584" s="689" customFormat="1" x14ac:dyDescent="0.2"/>
    <row r="35585" s="689" customFormat="1" x14ac:dyDescent="0.2"/>
    <row r="35586" s="689" customFormat="1" x14ac:dyDescent="0.2"/>
    <row r="35587" s="689" customFormat="1" x14ac:dyDescent="0.2"/>
    <row r="35588" s="689" customFormat="1" x14ac:dyDescent="0.2"/>
    <row r="35589" s="689" customFormat="1" x14ac:dyDescent="0.2"/>
    <row r="35590" s="689" customFormat="1" x14ac:dyDescent="0.2"/>
    <row r="35591" s="689" customFormat="1" x14ac:dyDescent="0.2"/>
    <row r="35592" s="689" customFormat="1" x14ac:dyDescent="0.2"/>
    <row r="35593" s="689" customFormat="1" x14ac:dyDescent="0.2"/>
    <row r="35594" s="689" customFormat="1" x14ac:dyDescent="0.2"/>
    <row r="35595" s="689" customFormat="1" x14ac:dyDescent="0.2"/>
    <row r="35596" s="689" customFormat="1" x14ac:dyDescent="0.2"/>
    <row r="35597" s="689" customFormat="1" x14ac:dyDescent="0.2"/>
    <row r="35598" s="689" customFormat="1" x14ac:dyDescent="0.2"/>
    <row r="35599" s="689" customFormat="1" x14ac:dyDescent="0.2"/>
    <row r="35600" s="689" customFormat="1" x14ac:dyDescent="0.2"/>
    <row r="35601" s="689" customFormat="1" x14ac:dyDescent="0.2"/>
    <row r="35602" s="689" customFormat="1" x14ac:dyDescent="0.2"/>
    <row r="35603" s="689" customFormat="1" x14ac:dyDescent="0.2"/>
    <row r="35604" s="689" customFormat="1" x14ac:dyDescent="0.2"/>
    <row r="35605" s="689" customFormat="1" x14ac:dyDescent="0.2"/>
    <row r="35606" s="689" customFormat="1" x14ac:dyDescent="0.2"/>
    <row r="35607" s="689" customFormat="1" x14ac:dyDescent="0.2"/>
    <row r="35608" s="689" customFormat="1" x14ac:dyDescent="0.2"/>
    <row r="35609" s="689" customFormat="1" x14ac:dyDescent="0.2"/>
    <row r="35610" s="689" customFormat="1" x14ac:dyDescent="0.2"/>
    <row r="35611" s="689" customFormat="1" x14ac:dyDescent="0.2"/>
    <row r="35612" s="689" customFormat="1" x14ac:dyDescent="0.2"/>
    <row r="35613" s="689" customFormat="1" x14ac:dyDescent="0.2"/>
    <row r="35614" s="689" customFormat="1" x14ac:dyDescent="0.2"/>
    <row r="35615" s="689" customFormat="1" x14ac:dyDescent="0.2"/>
    <row r="35616" s="689" customFormat="1" x14ac:dyDescent="0.2"/>
    <row r="35617" s="689" customFormat="1" x14ac:dyDescent="0.2"/>
    <row r="35618" s="689" customFormat="1" x14ac:dyDescent="0.2"/>
    <row r="35619" s="689" customFormat="1" x14ac:dyDescent="0.2"/>
    <row r="35620" s="689" customFormat="1" x14ac:dyDescent="0.2"/>
    <row r="35621" s="689" customFormat="1" x14ac:dyDescent="0.2"/>
    <row r="35622" s="689" customFormat="1" x14ac:dyDescent="0.2"/>
    <row r="35623" s="689" customFormat="1" x14ac:dyDescent="0.2"/>
    <row r="35624" s="689" customFormat="1" x14ac:dyDescent="0.2"/>
    <row r="35625" s="689" customFormat="1" x14ac:dyDescent="0.2"/>
    <row r="35626" s="689" customFormat="1" x14ac:dyDescent="0.2"/>
    <row r="35627" s="689" customFormat="1" x14ac:dyDescent="0.2"/>
    <row r="35628" s="689" customFormat="1" x14ac:dyDescent="0.2"/>
    <row r="35629" s="689" customFormat="1" x14ac:dyDescent="0.2"/>
    <row r="35630" s="689" customFormat="1" x14ac:dyDescent="0.2"/>
    <row r="35631" s="689" customFormat="1" x14ac:dyDescent="0.2"/>
    <row r="35632" s="689" customFormat="1" x14ac:dyDescent="0.2"/>
    <row r="35633" s="689" customFormat="1" x14ac:dyDescent="0.2"/>
    <row r="35634" s="689" customFormat="1" x14ac:dyDescent="0.2"/>
    <row r="35635" s="689" customFormat="1" x14ac:dyDescent="0.2"/>
    <row r="35636" s="689" customFormat="1" x14ac:dyDescent="0.2"/>
    <row r="35637" s="689" customFormat="1" x14ac:dyDescent="0.2"/>
    <row r="35638" s="689" customFormat="1" x14ac:dyDescent="0.2"/>
    <row r="35639" s="689" customFormat="1" x14ac:dyDescent="0.2"/>
    <row r="35640" s="689" customFormat="1" x14ac:dyDescent="0.2"/>
    <row r="35641" s="689" customFormat="1" x14ac:dyDescent="0.2"/>
    <row r="35642" s="689" customFormat="1" x14ac:dyDescent="0.2"/>
    <row r="35643" s="689" customFormat="1" x14ac:dyDescent="0.2"/>
    <row r="35644" s="689" customFormat="1" x14ac:dyDescent="0.2"/>
    <row r="35645" s="689" customFormat="1" x14ac:dyDescent="0.2"/>
    <row r="35646" s="689" customFormat="1" x14ac:dyDescent="0.2"/>
    <row r="35647" s="689" customFormat="1" x14ac:dyDescent="0.2"/>
    <row r="35648" s="689" customFormat="1" x14ac:dyDescent="0.2"/>
    <row r="35649" s="689" customFormat="1" x14ac:dyDescent="0.2"/>
    <row r="35650" s="689" customFormat="1" x14ac:dyDescent="0.2"/>
    <row r="35651" s="689" customFormat="1" x14ac:dyDescent="0.2"/>
    <row r="35652" s="689" customFormat="1" x14ac:dyDescent="0.2"/>
    <row r="35653" s="689" customFormat="1" x14ac:dyDescent="0.2"/>
    <row r="35654" s="689" customFormat="1" x14ac:dyDescent="0.2"/>
    <row r="35655" s="689" customFormat="1" x14ac:dyDescent="0.2"/>
    <row r="35656" s="689" customFormat="1" x14ac:dyDescent="0.2"/>
    <row r="35657" s="689" customFormat="1" x14ac:dyDescent="0.2"/>
    <row r="35658" s="689" customFormat="1" x14ac:dyDescent="0.2"/>
    <row r="35659" s="689" customFormat="1" x14ac:dyDescent="0.2"/>
    <row r="35660" s="689" customFormat="1" x14ac:dyDescent="0.2"/>
    <row r="35661" s="689" customFormat="1" x14ac:dyDescent="0.2"/>
    <row r="35662" s="689" customFormat="1" x14ac:dyDescent="0.2"/>
    <row r="35663" s="689" customFormat="1" x14ac:dyDescent="0.2"/>
    <row r="35664" s="689" customFormat="1" x14ac:dyDescent="0.2"/>
    <row r="35665" s="689" customFormat="1" x14ac:dyDescent="0.2"/>
    <row r="35666" s="689" customFormat="1" x14ac:dyDescent="0.2"/>
    <row r="35667" s="689" customFormat="1" x14ac:dyDescent="0.2"/>
    <row r="35668" s="689" customFormat="1" x14ac:dyDescent="0.2"/>
    <row r="35669" s="689" customFormat="1" x14ac:dyDescent="0.2"/>
    <row r="35670" s="689" customFormat="1" x14ac:dyDescent="0.2"/>
    <row r="35671" s="689" customFormat="1" x14ac:dyDescent="0.2"/>
    <row r="35672" s="689" customFormat="1" x14ac:dyDescent="0.2"/>
    <row r="35673" s="689" customFormat="1" x14ac:dyDescent="0.2"/>
    <row r="35674" s="689" customFormat="1" x14ac:dyDescent="0.2"/>
    <row r="35675" s="689" customFormat="1" x14ac:dyDescent="0.2"/>
    <row r="35676" s="689" customFormat="1" x14ac:dyDescent="0.2"/>
    <row r="35677" s="689" customFormat="1" x14ac:dyDescent="0.2"/>
    <row r="35678" s="689" customFormat="1" x14ac:dyDescent="0.2"/>
    <row r="35679" s="689" customFormat="1" x14ac:dyDescent="0.2"/>
    <row r="35680" s="689" customFormat="1" x14ac:dyDescent="0.2"/>
    <row r="35681" s="689" customFormat="1" x14ac:dyDescent="0.2"/>
    <row r="35682" s="689" customFormat="1" x14ac:dyDescent="0.2"/>
    <row r="35683" s="689" customFormat="1" x14ac:dyDescent="0.2"/>
    <row r="35684" s="689" customFormat="1" x14ac:dyDescent="0.2"/>
    <row r="35685" s="689" customFormat="1" x14ac:dyDescent="0.2"/>
    <row r="35686" s="689" customFormat="1" x14ac:dyDescent="0.2"/>
    <row r="35687" s="689" customFormat="1" x14ac:dyDescent="0.2"/>
    <row r="35688" s="689" customFormat="1" x14ac:dyDescent="0.2"/>
    <row r="35689" s="689" customFormat="1" x14ac:dyDescent="0.2"/>
    <row r="35690" s="689" customFormat="1" x14ac:dyDescent="0.2"/>
    <row r="35691" s="689" customFormat="1" x14ac:dyDescent="0.2"/>
    <row r="35692" s="689" customFormat="1" x14ac:dyDescent="0.2"/>
    <row r="35693" s="689" customFormat="1" x14ac:dyDescent="0.2"/>
    <row r="35694" s="689" customFormat="1" x14ac:dyDescent="0.2"/>
    <row r="35695" s="689" customFormat="1" x14ac:dyDescent="0.2"/>
    <row r="35696" s="689" customFormat="1" x14ac:dyDescent="0.2"/>
    <row r="35697" s="689" customFormat="1" x14ac:dyDescent="0.2"/>
    <row r="35698" s="689" customFormat="1" x14ac:dyDescent="0.2"/>
    <row r="35699" s="689" customFormat="1" x14ac:dyDescent="0.2"/>
    <row r="35700" s="689" customFormat="1" x14ac:dyDescent="0.2"/>
    <row r="35701" s="689" customFormat="1" x14ac:dyDescent="0.2"/>
    <row r="35702" s="689" customFormat="1" x14ac:dyDescent="0.2"/>
    <row r="35703" s="689" customFormat="1" x14ac:dyDescent="0.2"/>
    <row r="35704" s="689" customFormat="1" x14ac:dyDescent="0.2"/>
    <row r="35705" s="689" customFormat="1" x14ac:dyDescent="0.2"/>
    <row r="35706" s="689" customFormat="1" x14ac:dyDescent="0.2"/>
    <row r="35707" s="689" customFormat="1" x14ac:dyDescent="0.2"/>
    <row r="35708" s="689" customFormat="1" x14ac:dyDescent="0.2"/>
    <row r="35709" s="689" customFormat="1" x14ac:dyDescent="0.2"/>
    <row r="35710" s="689" customFormat="1" x14ac:dyDescent="0.2"/>
    <row r="35711" s="689" customFormat="1" x14ac:dyDescent="0.2"/>
    <row r="35712" s="689" customFormat="1" x14ac:dyDescent="0.2"/>
    <row r="35713" s="689" customFormat="1" x14ac:dyDescent="0.2"/>
    <row r="35714" s="689" customFormat="1" x14ac:dyDescent="0.2"/>
    <row r="35715" s="689" customFormat="1" x14ac:dyDescent="0.2"/>
    <row r="35716" s="689" customFormat="1" x14ac:dyDescent="0.2"/>
    <row r="35717" s="689" customFormat="1" x14ac:dyDescent="0.2"/>
    <row r="35718" s="689" customFormat="1" x14ac:dyDescent="0.2"/>
    <row r="35719" s="689" customFormat="1" x14ac:dyDescent="0.2"/>
    <row r="35720" s="689" customFormat="1" x14ac:dyDescent="0.2"/>
    <row r="35721" s="689" customFormat="1" x14ac:dyDescent="0.2"/>
    <row r="35722" s="689" customFormat="1" x14ac:dyDescent="0.2"/>
    <row r="35723" s="689" customFormat="1" x14ac:dyDescent="0.2"/>
    <row r="35724" s="689" customFormat="1" x14ac:dyDescent="0.2"/>
    <row r="35725" s="689" customFormat="1" x14ac:dyDescent="0.2"/>
    <row r="35726" s="689" customFormat="1" x14ac:dyDescent="0.2"/>
    <row r="35727" s="689" customFormat="1" x14ac:dyDescent="0.2"/>
    <row r="35728" s="689" customFormat="1" x14ac:dyDescent="0.2"/>
    <row r="35729" s="689" customFormat="1" x14ac:dyDescent="0.2"/>
    <row r="35730" s="689" customFormat="1" x14ac:dyDescent="0.2"/>
    <row r="35731" s="689" customFormat="1" x14ac:dyDescent="0.2"/>
    <row r="35732" s="689" customFormat="1" x14ac:dyDescent="0.2"/>
    <row r="35733" s="689" customFormat="1" x14ac:dyDescent="0.2"/>
    <row r="35734" s="689" customFormat="1" x14ac:dyDescent="0.2"/>
    <row r="35735" s="689" customFormat="1" x14ac:dyDescent="0.2"/>
    <row r="35736" s="689" customFormat="1" x14ac:dyDescent="0.2"/>
    <row r="35737" s="689" customFormat="1" x14ac:dyDescent="0.2"/>
    <row r="35738" s="689" customFormat="1" x14ac:dyDescent="0.2"/>
    <row r="35739" s="689" customFormat="1" x14ac:dyDescent="0.2"/>
    <row r="35740" s="689" customFormat="1" x14ac:dyDescent="0.2"/>
    <row r="35741" s="689" customFormat="1" x14ac:dyDescent="0.2"/>
    <row r="35742" s="689" customFormat="1" x14ac:dyDescent="0.2"/>
    <row r="35743" s="689" customFormat="1" x14ac:dyDescent="0.2"/>
    <row r="35744" s="689" customFormat="1" x14ac:dyDescent="0.2"/>
    <row r="35745" s="689" customFormat="1" x14ac:dyDescent="0.2"/>
    <row r="35746" s="689" customFormat="1" x14ac:dyDescent="0.2"/>
    <row r="35747" s="689" customFormat="1" x14ac:dyDescent="0.2"/>
    <row r="35748" s="689" customFormat="1" x14ac:dyDescent="0.2"/>
    <row r="35749" s="689" customFormat="1" x14ac:dyDescent="0.2"/>
    <row r="35750" s="689" customFormat="1" x14ac:dyDescent="0.2"/>
    <row r="35751" s="689" customFormat="1" x14ac:dyDescent="0.2"/>
    <row r="35752" s="689" customFormat="1" x14ac:dyDescent="0.2"/>
    <row r="35753" s="689" customFormat="1" x14ac:dyDescent="0.2"/>
    <row r="35754" s="689" customFormat="1" x14ac:dyDescent="0.2"/>
    <row r="35755" s="689" customFormat="1" x14ac:dyDescent="0.2"/>
    <row r="35756" s="689" customFormat="1" x14ac:dyDescent="0.2"/>
    <row r="35757" s="689" customFormat="1" x14ac:dyDescent="0.2"/>
    <row r="35758" s="689" customFormat="1" x14ac:dyDescent="0.2"/>
    <row r="35759" s="689" customFormat="1" x14ac:dyDescent="0.2"/>
    <row r="35760" s="689" customFormat="1" x14ac:dyDescent="0.2"/>
    <row r="35761" s="689" customFormat="1" x14ac:dyDescent="0.2"/>
    <row r="35762" s="689" customFormat="1" x14ac:dyDescent="0.2"/>
    <row r="35763" s="689" customFormat="1" x14ac:dyDescent="0.2"/>
    <row r="35764" s="689" customFormat="1" x14ac:dyDescent="0.2"/>
    <row r="35765" s="689" customFormat="1" x14ac:dyDescent="0.2"/>
    <row r="35766" s="689" customFormat="1" x14ac:dyDescent="0.2"/>
    <row r="35767" s="689" customFormat="1" x14ac:dyDescent="0.2"/>
    <row r="35768" s="689" customFormat="1" x14ac:dyDescent="0.2"/>
    <row r="35769" s="689" customFormat="1" x14ac:dyDescent="0.2"/>
    <row r="35770" s="689" customFormat="1" x14ac:dyDescent="0.2"/>
    <row r="35771" s="689" customFormat="1" x14ac:dyDescent="0.2"/>
    <row r="35772" s="689" customFormat="1" x14ac:dyDescent="0.2"/>
    <row r="35773" s="689" customFormat="1" x14ac:dyDescent="0.2"/>
    <row r="35774" s="689" customFormat="1" x14ac:dyDescent="0.2"/>
    <row r="35775" s="689" customFormat="1" x14ac:dyDescent="0.2"/>
    <row r="35776" s="689" customFormat="1" x14ac:dyDescent="0.2"/>
    <row r="35777" s="689" customFormat="1" x14ac:dyDescent="0.2"/>
    <row r="35778" s="689" customFormat="1" x14ac:dyDescent="0.2"/>
    <row r="35779" s="689" customFormat="1" x14ac:dyDescent="0.2"/>
    <row r="35780" s="689" customFormat="1" x14ac:dyDescent="0.2"/>
    <row r="35781" s="689" customFormat="1" x14ac:dyDescent="0.2"/>
    <row r="35782" s="689" customFormat="1" x14ac:dyDescent="0.2"/>
    <row r="35783" s="689" customFormat="1" x14ac:dyDescent="0.2"/>
    <row r="35784" s="689" customFormat="1" x14ac:dyDescent="0.2"/>
    <row r="35785" s="689" customFormat="1" x14ac:dyDescent="0.2"/>
    <row r="35786" s="689" customFormat="1" x14ac:dyDescent="0.2"/>
    <row r="35787" s="689" customFormat="1" x14ac:dyDescent="0.2"/>
    <row r="35788" s="689" customFormat="1" x14ac:dyDescent="0.2"/>
    <row r="35789" s="689" customFormat="1" x14ac:dyDescent="0.2"/>
    <row r="35790" s="689" customFormat="1" x14ac:dyDescent="0.2"/>
    <row r="35791" s="689" customFormat="1" x14ac:dyDescent="0.2"/>
    <row r="35792" s="689" customFormat="1" x14ac:dyDescent="0.2"/>
    <row r="35793" s="689" customFormat="1" x14ac:dyDescent="0.2"/>
    <row r="35794" s="689" customFormat="1" x14ac:dyDescent="0.2"/>
    <row r="35795" s="689" customFormat="1" x14ac:dyDescent="0.2"/>
    <row r="35796" s="689" customFormat="1" x14ac:dyDescent="0.2"/>
    <row r="35797" s="689" customFormat="1" x14ac:dyDescent="0.2"/>
    <row r="35798" s="689" customFormat="1" x14ac:dyDescent="0.2"/>
    <row r="35799" s="689" customFormat="1" x14ac:dyDescent="0.2"/>
    <row r="35800" s="689" customFormat="1" x14ac:dyDescent="0.2"/>
    <row r="35801" s="689" customFormat="1" x14ac:dyDescent="0.2"/>
    <row r="35802" s="689" customFormat="1" x14ac:dyDescent="0.2"/>
    <row r="35803" s="689" customFormat="1" x14ac:dyDescent="0.2"/>
    <row r="35804" s="689" customFormat="1" x14ac:dyDescent="0.2"/>
    <row r="35805" s="689" customFormat="1" x14ac:dyDescent="0.2"/>
    <row r="35806" s="689" customFormat="1" x14ac:dyDescent="0.2"/>
    <row r="35807" s="689" customFormat="1" x14ac:dyDescent="0.2"/>
    <row r="35808" s="689" customFormat="1" x14ac:dyDescent="0.2"/>
    <row r="35809" s="689" customFormat="1" x14ac:dyDescent="0.2"/>
    <row r="35810" s="689" customFormat="1" x14ac:dyDescent="0.2"/>
    <row r="35811" s="689" customFormat="1" x14ac:dyDescent="0.2"/>
    <row r="35812" s="689" customFormat="1" x14ac:dyDescent="0.2"/>
    <row r="35813" s="689" customFormat="1" x14ac:dyDescent="0.2"/>
    <row r="35814" s="689" customFormat="1" x14ac:dyDescent="0.2"/>
    <row r="35815" s="689" customFormat="1" x14ac:dyDescent="0.2"/>
    <row r="35816" s="689" customFormat="1" x14ac:dyDescent="0.2"/>
    <row r="35817" s="689" customFormat="1" x14ac:dyDescent="0.2"/>
    <row r="35818" s="689" customFormat="1" x14ac:dyDescent="0.2"/>
    <row r="35819" s="689" customFormat="1" x14ac:dyDescent="0.2"/>
    <row r="35820" s="689" customFormat="1" x14ac:dyDescent="0.2"/>
    <row r="35821" s="689" customFormat="1" x14ac:dyDescent="0.2"/>
    <row r="35822" s="689" customFormat="1" x14ac:dyDescent="0.2"/>
    <row r="35823" s="689" customFormat="1" x14ac:dyDescent="0.2"/>
    <row r="35824" s="689" customFormat="1" x14ac:dyDescent="0.2"/>
    <row r="35825" s="689" customFormat="1" x14ac:dyDescent="0.2"/>
    <row r="35826" s="689" customFormat="1" x14ac:dyDescent="0.2"/>
    <row r="35827" s="689" customFormat="1" x14ac:dyDescent="0.2"/>
    <row r="35828" s="689" customFormat="1" x14ac:dyDescent="0.2"/>
    <row r="35829" s="689" customFormat="1" x14ac:dyDescent="0.2"/>
    <row r="35830" s="689" customFormat="1" x14ac:dyDescent="0.2"/>
    <row r="35831" s="689" customFormat="1" x14ac:dyDescent="0.2"/>
    <row r="35832" s="689" customFormat="1" x14ac:dyDescent="0.2"/>
    <row r="35833" s="689" customFormat="1" x14ac:dyDescent="0.2"/>
    <row r="35834" s="689" customFormat="1" x14ac:dyDescent="0.2"/>
    <row r="35835" s="689" customFormat="1" x14ac:dyDescent="0.2"/>
    <row r="35836" s="689" customFormat="1" x14ac:dyDescent="0.2"/>
    <row r="35837" s="689" customFormat="1" x14ac:dyDescent="0.2"/>
    <row r="35838" s="689" customFormat="1" x14ac:dyDescent="0.2"/>
    <row r="35839" s="689" customFormat="1" x14ac:dyDescent="0.2"/>
    <row r="35840" s="689" customFormat="1" x14ac:dyDescent="0.2"/>
    <row r="35841" s="689" customFormat="1" x14ac:dyDescent="0.2"/>
    <row r="35842" s="689" customFormat="1" x14ac:dyDescent="0.2"/>
    <row r="35843" s="689" customFormat="1" x14ac:dyDescent="0.2"/>
    <row r="35844" s="689" customFormat="1" x14ac:dyDescent="0.2"/>
    <row r="35845" s="689" customFormat="1" x14ac:dyDescent="0.2"/>
    <row r="35846" s="689" customFormat="1" x14ac:dyDescent="0.2"/>
    <row r="35847" s="689" customFormat="1" x14ac:dyDescent="0.2"/>
    <row r="35848" s="689" customFormat="1" x14ac:dyDescent="0.2"/>
    <row r="35849" s="689" customFormat="1" x14ac:dyDescent="0.2"/>
    <row r="35850" s="689" customFormat="1" x14ac:dyDescent="0.2"/>
    <row r="35851" s="689" customFormat="1" x14ac:dyDescent="0.2"/>
    <row r="35852" s="689" customFormat="1" x14ac:dyDescent="0.2"/>
    <row r="35853" s="689" customFormat="1" x14ac:dyDescent="0.2"/>
    <row r="35854" s="689" customFormat="1" x14ac:dyDescent="0.2"/>
    <row r="35855" s="689" customFormat="1" x14ac:dyDescent="0.2"/>
    <row r="35856" s="689" customFormat="1" x14ac:dyDescent="0.2"/>
    <row r="35857" s="689" customFormat="1" x14ac:dyDescent="0.2"/>
    <row r="35858" s="689" customFormat="1" x14ac:dyDescent="0.2"/>
    <row r="35859" s="689" customFormat="1" x14ac:dyDescent="0.2"/>
    <row r="35860" s="689" customFormat="1" x14ac:dyDescent="0.2"/>
    <row r="35861" s="689" customFormat="1" x14ac:dyDescent="0.2"/>
    <row r="35862" s="689" customFormat="1" x14ac:dyDescent="0.2"/>
    <row r="35863" s="689" customFormat="1" x14ac:dyDescent="0.2"/>
    <row r="35864" s="689" customFormat="1" x14ac:dyDescent="0.2"/>
    <row r="35865" s="689" customFormat="1" x14ac:dyDescent="0.2"/>
    <row r="35866" s="689" customFormat="1" x14ac:dyDescent="0.2"/>
    <row r="35867" s="689" customFormat="1" x14ac:dyDescent="0.2"/>
    <row r="35868" s="689" customFormat="1" x14ac:dyDescent="0.2"/>
    <row r="35869" s="689" customFormat="1" x14ac:dyDescent="0.2"/>
    <row r="35870" s="689" customFormat="1" x14ac:dyDescent="0.2"/>
    <row r="35871" s="689" customFormat="1" x14ac:dyDescent="0.2"/>
    <row r="35872" s="689" customFormat="1" x14ac:dyDescent="0.2"/>
    <row r="35873" s="689" customFormat="1" x14ac:dyDescent="0.2"/>
    <row r="35874" s="689" customFormat="1" x14ac:dyDescent="0.2"/>
    <row r="35875" s="689" customFormat="1" x14ac:dyDescent="0.2"/>
    <row r="35876" s="689" customFormat="1" x14ac:dyDescent="0.2"/>
    <row r="35877" s="689" customFormat="1" x14ac:dyDescent="0.2"/>
    <row r="35878" s="689" customFormat="1" x14ac:dyDescent="0.2"/>
    <row r="35879" s="689" customFormat="1" x14ac:dyDescent="0.2"/>
    <row r="35880" s="689" customFormat="1" x14ac:dyDescent="0.2"/>
    <row r="35881" s="689" customFormat="1" x14ac:dyDescent="0.2"/>
    <row r="35882" s="689" customFormat="1" x14ac:dyDescent="0.2"/>
    <row r="35883" s="689" customFormat="1" x14ac:dyDescent="0.2"/>
    <row r="35884" s="689" customFormat="1" x14ac:dyDescent="0.2"/>
    <row r="35885" s="689" customFormat="1" x14ac:dyDescent="0.2"/>
    <row r="35886" s="689" customFormat="1" x14ac:dyDescent="0.2"/>
    <row r="35887" s="689" customFormat="1" x14ac:dyDescent="0.2"/>
    <row r="35888" s="689" customFormat="1" x14ac:dyDescent="0.2"/>
    <row r="35889" s="689" customFormat="1" x14ac:dyDescent="0.2"/>
    <row r="35890" s="689" customFormat="1" x14ac:dyDescent="0.2"/>
    <row r="35891" s="689" customFormat="1" x14ac:dyDescent="0.2"/>
    <row r="35892" s="689" customFormat="1" x14ac:dyDescent="0.2"/>
    <row r="35893" s="689" customFormat="1" x14ac:dyDescent="0.2"/>
    <row r="35894" s="689" customFormat="1" x14ac:dyDescent="0.2"/>
    <row r="35895" s="689" customFormat="1" x14ac:dyDescent="0.2"/>
    <row r="35896" s="689" customFormat="1" x14ac:dyDescent="0.2"/>
    <row r="35897" s="689" customFormat="1" x14ac:dyDescent="0.2"/>
    <row r="35898" s="689" customFormat="1" x14ac:dyDescent="0.2"/>
    <row r="35899" s="689" customFormat="1" x14ac:dyDescent="0.2"/>
    <row r="35900" s="689" customFormat="1" x14ac:dyDescent="0.2"/>
    <row r="35901" s="689" customFormat="1" x14ac:dyDescent="0.2"/>
    <row r="35902" s="689" customFormat="1" x14ac:dyDescent="0.2"/>
    <row r="35903" s="689" customFormat="1" x14ac:dyDescent="0.2"/>
    <row r="35904" s="689" customFormat="1" x14ac:dyDescent="0.2"/>
    <row r="35905" s="689" customFormat="1" x14ac:dyDescent="0.2"/>
    <row r="35906" s="689" customFormat="1" x14ac:dyDescent="0.2"/>
    <row r="35907" s="689" customFormat="1" x14ac:dyDescent="0.2"/>
    <row r="35908" s="689" customFormat="1" x14ac:dyDescent="0.2"/>
    <row r="35909" s="689" customFormat="1" x14ac:dyDescent="0.2"/>
    <row r="35910" s="689" customFormat="1" x14ac:dyDescent="0.2"/>
    <row r="35911" s="689" customFormat="1" x14ac:dyDescent="0.2"/>
    <row r="35912" s="689" customFormat="1" x14ac:dyDescent="0.2"/>
    <row r="35913" s="689" customFormat="1" x14ac:dyDescent="0.2"/>
    <row r="35914" s="689" customFormat="1" x14ac:dyDescent="0.2"/>
    <row r="35915" s="689" customFormat="1" x14ac:dyDescent="0.2"/>
    <row r="35916" s="689" customFormat="1" x14ac:dyDescent="0.2"/>
    <row r="35917" s="689" customFormat="1" x14ac:dyDescent="0.2"/>
    <row r="35918" s="689" customFormat="1" x14ac:dyDescent="0.2"/>
    <row r="35919" s="689" customFormat="1" x14ac:dyDescent="0.2"/>
    <row r="35920" s="689" customFormat="1" x14ac:dyDescent="0.2"/>
    <row r="35921" s="689" customFormat="1" x14ac:dyDescent="0.2"/>
    <row r="35922" s="689" customFormat="1" x14ac:dyDescent="0.2"/>
    <row r="35923" s="689" customFormat="1" x14ac:dyDescent="0.2"/>
    <row r="35924" s="689" customFormat="1" x14ac:dyDescent="0.2"/>
    <row r="35925" s="689" customFormat="1" x14ac:dyDescent="0.2"/>
    <row r="35926" s="689" customFormat="1" x14ac:dyDescent="0.2"/>
    <row r="35927" s="689" customFormat="1" x14ac:dyDescent="0.2"/>
    <row r="35928" s="689" customFormat="1" x14ac:dyDescent="0.2"/>
    <row r="35929" s="689" customFormat="1" x14ac:dyDescent="0.2"/>
    <row r="35930" s="689" customFormat="1" x14ac:dyDescent="0.2"/>
    <row r="35931" s="689" customFormat="1" x14ac:dyDescent="0.2"/>
    <row r="35932" s="689" customFormat="1" x14ac:dyDescent="0.2"/>
    <row r="35933" s="689" customFormat="1" x14ac:dyDescent="0.2"/>
    <row r="35934" s="689" customFormat="1" x14ac:dyDescent="0.2"/>
    <row r="35935" s="689" customFormat="1" x14ac:dyDescent="0.2"/>
    <row r="35936" s="689" customFormat="1" x14ac:dyDescent="0.2"/>
    <row r="35937" s="689" customFormat="1" x14ac:dyDescent="0.2"/>
    <row r="35938" s="689" customFormat="1" x14ac:dyDescent="0.2"/>
    <row r="35939" s="689" customFormat="1" x14ac:dyDescent="0.2"/>
    <row r="35940" s="689" customFormat="1" x14ac:dyDescent="0.2"/>
    <row r="35941" s="689" customFormat="1" x14ac:dyDescent="0.2"/>
    <row r="35942" s="689" customFormat="1" x14ac:dyDescent="0.2"/>
    <row r="35943" s="689" customFormat="1" x14ac:dyDescent="0.2"/>
    <row r="35944" s="689" customFormat="1" x14ac:dyDescent="0.2"/>
    <row r="35945" s="689" customFormat="1" x14ac:dyDescent="0.2"/>
    <row r="35946" s="689" customFormat="1" x14ac:dyDescent="0.2"/>
    <row r="35947" s="689" customFormat="1" x14ac:dyDescent="0.2"/>
    <row r="35948" s="689" customFormat="1" x14ac:dyDescent="0.2"/>
    <row r="35949" s="689" customFormat="1" x14ac:dyDescent="0.2"/>
    <row r="35950" s="689" customFormat="1" x14ac:dyDescent="0.2"/>
    <row r="35951" s="689" customFormat="1" x14ac:dyDescent="0.2"/>
    <row r="35952" s="689" customFormat="1" x14ac:dyDescent="0.2"/>
    <row r="35953" s="689" customFormat="1" x14ac:dyDescent="0.2"/>
    <row r="35954" s="689" customFormat="1" x14ac:dyDescent="0.2"/>
    <row r="35955" s="689" customFormat="1" x14ac:dyDescent="0.2"/>
    <row r="35956" s="689" customFormat="1" x14ac:dyDescent="0.2"/>
    <row r="35957" s="689" customFormat="1" x14ac:dyDescent="0.2"/>
    <row r="35958" s="689" customFormat="1" x14ac:dyDescent="0.2"/>
    <row r="35959" s="689" customFormat="1" x14ac:dyDescent="0.2"/>
    <row r="35960" s="689" customFormat="1" x14ac:dyDescent="0.2"/>
    <row r="35961" s="689" customFormat="1" x14ac:dyDescent="0.2"/>
    <row r="35962" s="689" customFormat="1" x14ac:dyDescent="0.2"/>
    <row r="35963" s="689" customFormat="1" x14ac:dyDescent="0.2"/>
    <row r="35964" s="689" customFormat="1" x14ac:dyDescent="0.2"/>
    <row r="35965" s="689" customFormat="1" x14ac:dyDescent="0.2"/>
    <row r="35966" s="689" customFormat="1" x14ac:dyDescent="0.2"/>
    <row r="35967" s="689" customFormat="1" x14ac:dyDescent="0.2"/>
    <row r="35968" s="689" customFormat="1" x14ac:dyDescent="0.2"/>
    <row r="35969" s="689" customFormat="1" x14ac:dyDescent="0.2"/>
    <row r="35970" s="689" customFormat="1" x14ac:dyDescent="0.2"/>
    <row r="35971" s="689" customFormat="1" x14ac:dyDescent="0.2"/>
    <row r="35972" s="689" customFormat="1" x14ac:dyDescent="0.2"/>
    <row r="35973" s="689" customFormat="1" x14ac:dyDescent="0.2"/>
    <row r="35974" s="689" customFormat="1" x14ac:dyDescent="0.2"/>
    <row r="35975" s="689" customFormat="1" x14ac:dyDescent="0.2"/>
    <row r="35976" s="689" customFormat="1" x14ac:dyDescent="0.2"/>
    <row r="35977" s="689" customFormat="1" x14ac:dyDescent="0.2"/>
    <row r="35978" s="689" customFormat="1" x14ac:dyDescent="0.2"/>
    <row r="35979" s="689" customFormat="1" x14ac:dyDescent="0.2"/>
    <row r="35980" s="689" customFormat="1" x14ac:dyDescent="0.2"/>
    <row r="35981" s="689" customFormat="1" x14ac:dyDescent="0.2"/>
    <row r="35982" s="689" customFormat="1" x14ac:dyDescent="0.2"/>
    <row r="35983" s="689" customFormat="1" x14ac:dyDescent="0.2"/>
    <row r="35984" s="689" customFormat="1" x14ac:dyDescent="0.2"/>
    <row r="35985" s="689" customFormat="1" x14ac:dyDescent="0.2"/>
    <row r="35986" s="689" customFormat="1" x14ac:dyDescent="0.2"/>
    <row r="35987" s="689" customFormat="1" x14ac:dyDescent="0.2"/>
    <row r="35988" s="689" customFormat="1" x14ac:dyDescent="0.2"/>
    <row r="35989" s="689" customFormat="1" x14ac:dyDescent="0.2"/>
    <row r="35990" s="689" customFormat="1" x14ac:dyDescent="0.2"/>
    <row r="35991" s="689" customFormat="1" x14ac:dyDescent="0.2"/>
    <row r="35992" s="689" customFormat="1" x14ac:dyDescent="0.2"/>
    <row r="35993" s="689" customFormat="1" x14ac:dyDescent="0.2"/>
    <row r="35994" s="689" customFormat="1" x14ac:dyDescent="0.2"/>
    <row r="35995" s="689" customFormat="1" x14ac:dyDescent="0.2"/>
    <row r="35996" s="689" customFormat="1" x14ac:dyDescent="0.2"/>
    <row r="35997" s="689" customFormat="1" x14ac:dyDescent="0.2"/>
    <row r="35998" s="689" customFormat="1" x14ac:dyDescent="0.2"/>
    <row r="35999" s="689" customFormat="1" x14ac:dyDescent="0.2"/>
    <row r="36000" s="689" customFormat="1" x14ac:dyDescent="0.2"/>
    <row r="36001" s="689" customFormat="1" x14ac:dyDescent="0.2"/>
    <row r="36002" s="689" customFormat="1" x14ac:dyDescent="0.2"/>
    <row r="36003" s="689" customFormat="1" x14ac:dyDescent="0.2"/>
    <row r="36004" s="689" customFormat="1" x14ac:dyDescent="0.2"/>
    <row r="36005" s="689" customFormat="1" x14ac:dyDescent="0.2"/>
    <row r="36006" s="689" customFormat="1" x14ac:dyDescent="0.2"/>
    <row r="36007" s="689" customFormat="1" x14ac:dyDescent="0.2"/>
    <row r="36008" s="689" customFormat="1" x14ac:dyDescent="0.2"/>
    <row r="36009" s="689" customFormat="1" x14ac:dyDescent="0.2"/>
    <row r="36010" s="689" customFormat="1" x14ac:dyDescent="0.2"/>
    <row r="36011" s="689" customFormat="1" x14ac:dyDescent="0.2"/>
    <row r="36012" s="689" customFormat="1" x14ac:dyDescent="0.2"/>
    <row r="36013" s="689" customFormat="1" x14ac:dyDescent="0.2"/>
    <row r="36014" s="689" customFormat="1" x14ac:dyDescent="0.2"/>
    <row r="36015" s="689" customFormat="1" x14ac:dyDescent="0.2"/>
    <row r="36016" s="689" customFormat="1" x14ac:dyDescent="0.2"/>
    <row r="36017" s="689" customFormat="1" x14ac:dyDescent="0.2"/>
    <row r="36018" s="689" customFormat="1" x14ac:dyDescent="0.2"/>
    <row r="36019" s="689" customFormat="1" x14ac:dyDescent="0.2"/>
    <row r="36020" s="689" customFormat="1" x14ac:dyDescent="0.2"/>
    <row r="36021" s="689" customFormat="1" x14ac:dyDescent="0.2"/>
    <row r="36022" s="689" customFormat="1" x14ac:dyDescent="0.2"/>
    <row r="36023" s="689" customFormat="1" x14ac:dyDescent="0.2"/>
    <row r="36024" s="689" customFormat="1" x14ac:dyDescent="0.2"/>
    <row r="36025" s="689" customFormat="1" x14ac:dyDescent="0.2"/>
    <row r="36026" s="689" customFormat="1" x14ac:dyDescent="0.2"/>
    <row r="36027" s="689" customFormat="1" x14ac:dyDescent="0.2"/>
    <row r="36028" s="689" customFormat="1" x14ac:dyDescent="0.2"/>
    <row r="36029" s="689" customFormat="1" x14ac:dyDescent="0.2"/>
    <row r="36030" s="689" customFormat="1" x14ac:dyDescent="0.2"/>
    <row r="36031" s="689" customFormat="1" x14ac:dyDescent="0.2"/>
    <row r="36032" s="689" customFormat="1" x14ac:dyDescent="0.2"/>
    <row r="36033" s="689" customFormat="1" x14ac:dyDescent="0.2"/>
    <row r="36034" s="689" customFormat="1" x14ac:dyDescent="0.2"/>
    <row r="36035" s="689" customFormat="1" x14ac:dyDescent="0.2"/>
    <row r="36036" s="689" customFormat="1" x14ac:dyDescent="0.2"/>
    <row r="36037" s="689" customFormat="1" x14ac:dyDescent="0.2"/>
    <row r="36038" s="689" customFormat="1" x14ac:dyDescent="0.2"/>
    <row r="36039" s="689" customFormat="1" x14ac:dyDescent="0.2"/>
    <row r="36040" s="689" customFormat="1" x14ac:dyDescent="0.2"/>
    <row r="36041" s="689" customFormat="1" x14ac:dyDescent="0.2"/>
    <row r="36042" s="689" customFormat="1" x14ac:dyDescent="0.2"/>
    <row r="36043" s="689" customFormat="1" x14ac:dyDescent="0.2"/>
    <row r="36044" s="689" customFormat="1" x14ac:dyDescent="0.2"/>
    <row r="36045" s="689" customFormat="1" x14ac:dyDescent="0.2"/>
    <row r="36046" s="689" customFormat="1" x14ac:dyDescent="0.2"/>
    <row r="36047" s="689" customFormat="1" x14ac:dyDescent="0.2"/>
    <row r="36048" s="689" customFormat="1" x14ac:dyDescent="0.2"/>
    <row r="36049" s="689" customFormat="1" x14ac:dyDescent="0.2"/>
    <row r="36050" s="689" customFormat="1" x14ac:dyDescent="0.2"/>
    <row r="36051" s="689" customFormat="1" x14ac:dyDescent="0.2"/>
    <row r="36052" s="689" customFormat="1" x14ac:dyDescent="0.2"/>
    <row r="36053" s="689" customFormat="1" x14ac:dyDescent="0.2"/>
    <row r="36054" s="689" customFormat="1" x14ac:dyDescent="0.2"/>
    <row r="36055" s="689" customFormat="1" x14ac:dyDescent="0.2"/>
    <row r="36056" s="689" customFormat="1" x14ac:dyDescent="0.2"/>
    <row r="36057" s="689" customFormat="1" x14ac:dyDescent="0.2"/>
    <row r="36058" s="689" customFormat="1" x14ac:dyDescent="0.2"/>
    <row r="36059" s="689" customFormat="1" x14ac:dyDescent="0.2"/>
    <row r="36060" s="689" customFormat="1" x14ac:dyDescent="0.2"/>
    <row r="36061" s="689" customFormat="1" x14ac:dyDescent="0.2"/>
    <row r="36062" s="689" customFormat="1" x14ac:dyDescent="0.2"/>
    <row r="36063" s="689" customFormat="1" x14ac:dyDescent="0.2"/>
    <row r="36064" s="689" customFormat="1" x14ac:dyDescent="0.2"/>
    <row r="36065" s="689" customFormat="1" x14ac:dyDescent="0.2"/>
    <row r="36066" s="689" customFormat="1" x14ac:dyDescent="0.2"/>
    <row r="36067" s="689" customFormat="1" x14ac:dyDescent="0.2"/>
    <row r="36068" s="689" customFormat="1" x14ac:dyDescent="0.2"/>
    <row r="36069" s="689" customFormat="1" x14ac:dyDescent="0.2"/>
    <row r="36070" s="689" customFormat="1" x14ac:dyDescent="0.2"/>
    <row r="36071" s="689" customFormat="1" x14ac:dyDescent="0.2"/>
    <row r="36072" s="689" customFormat="1" x14ac:dyDescent="0.2"/>
    <row r="36073" s="689" customFormat="1" x14ac:dyDescent="0.2"/>
    <row r="36074" s="689" customFormat="1" x14ac:dyDescent="0.2"/>
    <row r="36075" s="689" customFormat="1" x14ac:dyDescent="0.2"/>
    <row r="36076" s="689" customFormat="1" x14ac:dyDescent="0.2"/>
    <row r="36077" s="689" customFormat="1" x14ac:dyDescent="0.2"/>
    <row r="36078" s="689" customFormat="1" x14ac:dyDescent="0.2"/>
    <row r="36079" s="689" customFormat="1" x14ac:dyDescent="0.2"/>
    <row r="36080" s="689" customFormat="1" x14ac:dyDescent="0.2"/>
    <row r="36081" s="689" customFormat="1" x14ac:dyDescent="0.2"/>
    <row r="36082" s="689" customFormat="1" x14ac:dyDescent="0.2"/>
    <row r="36083" s="689" customFormat="1" x14ac:dyDescent="0.2"/>
    <row r="36084" s="689" customFormat="1" x14ac:dyDescent="0.2"/>
    <row r="36085" s="689" customFormat="1" x14ac:dyDescent="0.2"/>
    <row r="36086" s="689" customFormat="1" x14ac:dyDescent="0.2"/>
    <row r="36087" s="689" customFormat="1" x14ac:dyDescent="0.2"/>
    <row r="36088" s="689" customFormat="1" x14ac:dyDescent="0.2"/>
    <row r="36089" s="689" customFormat="1" x14ac:dyDescent="0.2"/>
    <row r="36090" s="689" customFormat="1" x14ac:dyDescent="0.2"/>
    <row r="36091" s="689" customFormat="1" x14ac:dyDescent="0.2"/>
    <row r="36092" s="689" customFormat="1" x14ac:dyDescent="0.2"/>
    <row r="36093" s="689" customFormat="1" x14ac:dyDescent="0.2"/>
    <row r="36094" s="689" customFormat="1" x14ac:dyDescent="0.2"/>
    <row r="36095" s="689" customFormat="1" x14ac:dyDescent="0.2"/>
    <row r="36096" s="689" customFormat="1" x14ac:dyDescent="0.2"/>
    <row r="36097" s="689" customFormat="1" x14ac:dyDescent="0.2"/>
    <row r="36098" s="689" customFormat="1" x14ac:dyDescent="0.2"/>
    <row r="36099" s="689" customFormat="1" x14ac:dyDescent="0.2"/>
    <row r="36100" s="689" customFormat="1" x14ac:dyDescent="0.2"/>
    <row r="36101" s="689" customFormat="1" x14ac:dyDescent="0.2"/>
    <row r="36102" s="689" customFormat="1" x14ac:dyDescent="0.2"/>
    <row r="36103" s="689" customFormat="1" x14ac:dyDescent="0.2"/>
    <row r="36104" s="689" customFormat="1" x14ac:dyDescent="0.2"/>
    <row r="36105" s="689" customFormat="1" x14ac:dyDescent="0.2"/>
    <row r="36106" s="689" customFormat="1" x14ac:dyDescent="0.2"/>
    <row r="36107" s="689" customFormat="1" x14ac:dyDescent="0.2"/>
    <row r="36108" s="689" customFormat="1" x14ac:dyDescent="0.2"/>
    <row r="36109" s="689" customFormat="1" x14ac:dyDescent="0.2"/>
    <row r="36110" s="689" customFormat="1" x14ac:dyDescent="0.2"/>
    <row r="36111" s="689" customFormat="1" x14ac:dyDescent="0.2"/>
    <row r="36112" s="689" customFormat="1" x14ac:dyDescent="0.2"/>
    <row r="36113" s="689" customFormat="1" x14ac:dyDescent="0.2"/>
    <row r="36114" s="689" customFormat="1" x14ac:dyDescent="0.2"/>
    <row r="36115" s="689" customFormat="1" x14ac:dyDescent="0.2"/>
    <row r="36116" s="689" customFormat="1" x14ac:dyDescent="0.2"/>
    <row r="36117" s="689" customFormat="1" x14ac:dyDescent="0.2"/>
    <row r="36118" s="689" customFormat="1" x14ac:dyDescent="0.2"/>
    <row r="36119" s="689" customFormat="1" x14ac:dyDescent="0.2"/>
    <row r="36120" s="689" customFormat="1" x14ac:dyDescent="0.2"/>
    <row r="36121" s="689" customFormat="1" x14ac:dyDescent="0.2"/>
    <row r="36122" s="689" customFormat="1" x14ac:dyDescent="0.2"/>
    <row r="36123" s="689" customFormat="1" x14ac:dyDescent="0.2"/>
    <row r="36124" s="689" customFormat="1" x14ac:dyDescent="0.2"/>
    <row r="36125" s="689" customFormat="1" x14ac:dyDescent="0.2"/>
    <row r="36126" s="689" customFormat="1" x14ac:dyDescent="0.2"/>
    <row r="36127" s="689" customFormat="1" x14ac:dyDescent="0.2"/>
    <row r="36128" s="689" customFormat="1" x14ac:dyDescent="0.2"/>
    <row r="36129" s="689" customFormat="1" x14ac:dyDescent="0.2"/>
    <row r="36130" s="689" customFormat="1" x14ac:dyDescent="0.2"/>
    <row r="36131" s="689" customFormat="1" x14ac:dyDescent="0.2"/>
    <row r="36132" s="689" customFormat="1" x14ac:dyDescent="0.2"/>
    <row r="36133" s="689" customFormat="1" x14ac:dyDescent="0.2"/>
    <row r="36134" s="689" customFormat="1" x14ac:dyDescent="0.2"/>
    <row r="36135" s="689" customFormat="1" x14ac:dyDescent="0.2"/>
    <row r="36136" s="689" customFormat="1" x14ac:dyDescent="0.2"/>
    <row r="36137" s="689" customFormat="1" x14ac:dyDescent="0.2"/>
    <row r="36138" s="689" customFormat="1" x14ac:dyDescent="0.2"/>
    <row r="36139" s="689" customFormat="1" x14ac:dyDescent="0.2"/>
    <row r="36140" s="689" customFormat="1" x14ac:dyDescent="0.2"/>
    <row r="36141" s="689" customFormat="1" x14ac:dyDescent="0.2"/>
    <row r="36142" s="689" customFormat="1" x14ac:dyDescent="0.2"/>
    <row r="36143" s="689" customFormat="1" x14ac:dyDescent="0.2"/>
    <row r="36144" s="689" customFormat="1" x14ac:dyDescent="0.2"/>
    <row r="36145" s="689" customFormat="1" x14ac:dyDescent="0.2"/>
    <row r="36146" s="689" customFormat="1" x14ac:dyDescent="0.2"/>
    <row r="36147" s="689" customFormat="1" x14ac:dyDescent="0.2"/>
    <row r="36148" s="689" customFormat="1" x14ac:dyDescent="0.2"/>
    <row r="36149" s="689" customFormat="1" x14ac:dyDescent="0.2"/>
    <row r="36150" s="689" customFormat="1" x14ac:dyDescent="0.2"/>
    <row r="36151" s="689" customFormat="1" x14ac:dyDescent="0.2"/>
    <row r="36152" s="689" customFormat="1" x14ac:dyDescent="0.2"/>
    <row r="36153" s="689" customFormat="1" x14ac:dyDescent="0.2"/>
    <row r="36154" s="689" customFormat="1" x14ac:dyDescent="0.2"/>
    <row r="36155" s="689" customFormat="1" x14ac:dyDescent="0.2"/>
    <row r="36156" s="689" customFormat="1" x14ac:dyDescent="0.2"/>
    <row r="36157" s="689" customFormat="1" x14ac:dyDescent="0.2"/>
    <row r="36158" s="689" customFormat="1" x14ac:dyDescent="0.2"/>
    <row r="36159" s="689" customFormat="1" x14ac:dyDescent="0.2"/>
    <row r="36160" s="689" customFormat="1" x14ac:dyDescent="0.2"/>
    <row r="36161" s="689" customFormat="1" x14ac:dyDescent="0.2"/>
    <row r="36162" s="689" customFormat="1" x14ac:dyDescent="0.2"/>
    <row r="36163" s="689" customFormat="1" x14ac:dyDescent="0.2"/>
    <row r="36164" s="689" customFormat="1" x14ac:dyDescent="0.2"/>
    <row r="36165" s="689" customFormat="1" x14ac:dyDescent="0.2"/>
    <row r="36166" s="689" customFormat="1" x14ac:dyDescent="0.2"/>
    <row r="36167" s="689" customFormat="1" x14ac:dyDescent="0.2"/>
    <row r="36168" s="689" customFormat="1" x14ac:dyDescent="0.2"/>
    <row r="36169" s="689" customFormat="1" x14ac:dyDescent="0.2"/>
    <row r="36170" s="689" customFormat="1" x14ac:dyDescent="0.2"/>
    <row r="36171" s="689" customFormat="1" x14ac:dyDescent="0.2"/>
    <row r="36172" s="689" customFormat="1" x14ac:dyDescent="0.2"/>
    <row r="36173" s="689" customFormat="1" x14ac:dyDescent="0.2"/>
    <row r="36174" s="689" customFormat="1" x14ac:dyDescent="0.2"/>
    <row r="36175" s="689" customFormat="1" x14ac:dyDescent="0.2"/>
    <row r="36176" s="689" customFormat="1" x14ac:dyDescent="0.2"/>
    <row r="36177" s="689" customFormat="1" x14ac:dyDescent="0.2"/>
    <row r="36178" s="689" customFormat="1" x14ac:dyDescent="0.2"/>
    <row r="36179" s="689" customFormat="1" x14ac:dyDescent="0.2"/>
    <row r="36180" s="689" customFormat="1" x14ac:dyDescent="0.2"/>
    <row r="36181" s="689" customFormat="1" x14ac:dyDescent="0.2"/>
    <row r="36182" s="689" customFormat="1" x14ac:dyDescent="0.2"/>
    <row r="36183" s="689" customFormat="1" x14ac:dyDescent="0.2"/>
    <row r="36184" s="689" customFormat="1" x14ac:dyDescent="0.2"/>
    <row r="36185" s="689" customFormat="1" x14ac:dyDescent="0.2"/>
    <row r="36186" s="689" customFormat="1" x14ac:dyDescent="0.2"/>
    <row r="36187" s="689" customFormat="1" x14ac:dyDescent="0.2"/>
    <row r="36188" s="689" customFormat="1" x14ac:dyDescent="0.2"/>
    <row r="36189" s="689" customFormat="1" x14ac:dyDescent="0.2"/>
    <row r="36190" s="689" customFormat="1" x14ac:dyDescent="0.2"/>
    <row r="36191" s="689" customFormat="1" x14ac:dyDescent="0.2"/>
    <row r="36192" s="689" customFormat="1" x14ac:dyDescent="0.2"/>
    <row r="36193" s="689" customFormat="1" x14ac:dyDescent="0.2"/>
    <row r="36194" s="689" customFormat="1" x14ac:dyDescent="0.2"/>
    <row r="36195" s="689" customFormat="1" x14ac:dyDescent="0.2"/>
    <row r="36196" s="689" customFormat="1" x14ac:dyDescent="0.2"/>
    <row r="36197" s="689" customFormat="1" x14ac:dyDescent="0.2"/>
    <row r="36198" s="689" customFormat="1" x14ac:dyDescent="0.2"/>
    <row r="36199" s="689" customFormat="1" x14ac:dyDescent="0.2"/>
    <row r="36200" s="689" customFormat="1" x14ac:dyDescent="0.2"/>
    <row r="36201" s="689" customFormat="1" x14ac:dyDescent="0.2"/>
    <row r="36202" s="689" customFormat="1" x14ac:dyDescent="0.2"/>
    <row r="36203" s="689" customFormat="1" x14ac:dyDescent="0.2"/>
    <row r="36204" s="689" customFormat="1" x14ac:dyDescent="0.2"/>
    <row r="36205" s="689" customFormat="1" x14ac:dyDescent="0.2"/>
    <row r="36206" s="689" customFormat="1" x14ac:dyDescent="0.2"/>
    <row r="36207" s="689" customFormat="1" x14ac:dyDescent="0.2"/>
    <row r="36208" s="689" customFormat="1" x14ac:dyDescent="0.2"/>
    <row r="36209" s="689" customFormat="1" x14ac:dyDescent="0.2"/>
    <row r="36210" s="689" customFormat="1" x14ac:dyDescent="0.2"/>
    <row r="36211" s="689" customFormat="1" x14ac:dyDescent="0.2"/>
    <row r="36212" s="689" customFormat="1" x14ac:dyDescent="0.2"/>
    <row r="36213" s="689" customFormat="1" x14ac:dyDescent="0.2"/>
    <row r="36214" s="689" customFormat="1" x14ac:dyDescent="0.2"/>
    <row r="36215" s="689" customFormat="1" x14ac:dyDescent="0.2"/>
    <row r="36216" s="689" customFormat="1" x14ac:dyDescent="0.2"/>
    <row r="36217" s="689" customFormat="1" x14ac:dyDescent="0.2"/>
    <row r="36218" s="689" customFormat="1" x14ac:dyDescent="0.2"/>
    <row r="36219" s="689" customFormat="1" x14ac:dyDescent="0.2"/>
    <row r="36220" s="689" customFormat="1" x14ac:dyDescent="0.2"/>
    <row r="36221" s="689" customFormat="1" x14ac:dyDescent="0.2"/>
    <row r="36222" s="689" customFormat="1" x14ac:dyDescent="0.2"/>
    <row r="36223" s="689" customFormat="1" x14ac:dyDescent="0.2"/>
    <row r="36224" s="689" customFormat="1" x14ac:dyDescent="0.2"/>
    <row r="36225" s="689" customFormat="1" x14ac:dyDescent="0.2"/>
    <row r="36226" s="689" customFormat="1" x14ac:dyDescent="0.2"/>
    <row r="36227" s="689" customFormat="1" x14ac:dyDescent="0.2"/>
    <row r="36228" s="689" customFormat="1" x14ac:dyDescent="0.2"/>
    <row r="36229" s="689" customFormat="1" x14ac:dyDescent="0.2"/>
    <row r="36230" s="689" customFormat="1" x14ac:dyDescent="0.2"/>
    <row r="36231" s="689" customFormat="1" x14ac:dyDescent="0.2"/>
    <row r="36232" s="689" customFormat="1" x14ac:dyDescent="0.2"/>
    <row r="36233" s="689" customFormat="1" x14ac:dyDescent="0.2"/>
    <row r="36234" s="689" customFormat="1" x14ac:dyDescent="0.2"/>
    <row r="36235" s="689" customFormat="1" x14ac:dyDescent="0.2"/>
    <row r="36236" s="689" customFormat="1" x14ac:dyDescent="0.2"/>
    <row r="36237" s="689" customFormat="1" x14ac:dyDescent="0.2"/>
    <row r="36238" s="689" customFormat="1" x14ac:dyDescent="0.2"/>
    <row r="36239" s="689" customFormat="1" x14ac:dyDescent="0.2"/>
    <row r="36240" s="689" customFormat="1" x14ac:dyDescent="0.2"/>
    <row r="36241" s="689" customFormat="1" x14ac:dyDescent="0.2"/>
    <row r="36242" s="689" customFormat="1" x14ac:dyDescent="0.2"/>
    <row r="36243" s="689" customFormat="1" x14ac:dyDescent="0.2"/>
    <row r="36244" s="689" customFormat="1" x14ac:dyDescent="0.2"/>
    <row r="36245" s="689" customFormat="1" x14ac:dyDescent="0.2"/>
    <row r="36246" s="689" customFormat="1" x14ac:dyDescent="0.2"/>
    <row r="36247" s="689" customFormat="1" x14ac:dyDescent="0.2"/>
    <row r="36248" s="689" customFormat="1" x14ac:dyDescent="0.2"/>
    <row r="36249" s="689" customFormat="1" x14ac:dyDescent="0.2"/>
    <row r="36250" s="689" customFormat="1" x14ac:dyDescent="0.2"/>
    <row r="36251" s="689" customFormat="1" x14ac:dyDescent="0.2"/>
    <row r="36252" s="689" customFormat="1" x14ac:dyDescent="0.2"/>
    <row r="36253" s="689" customFormat="1" x14ac:dyDescent="0.2"/>
    <row r="36254" s="689" customFormat="1" x14ac:dyDescent="0.2"/>
    <row r="36255" s="689" customFormat="1" x14ac:dyDescent="0.2"/>
    <row r="36256" s="689" customFormat="1" x14ac:dyDescent="0.2"/>
    <row r="36257" s="689" customFormat="1" x14ac:dyDescent="0.2"/>
    <row r="36258" s="689" customFormat="1" x14ac:dyDescent="0.2"/>
    <row r="36259" s="689" customFormat="1" x14ac:dyDescent="0.2"/>
    <row r="36260" s="689" customFormat="1" x14ac:dyDescent="0.2"/>
    <row r="36261" s="689" customFormat="1" x14ac:dyDescent="0.2"/>
    <row r="36262" s="689" customFormat="1" x14ac:dyDescent="0.2"/>
    <row r="36263" s="689" customFormat="1" x14ac:dyDescent="0.2"/>
    <row r="36264" s="689" customFormat="1" x14ac:dyDescent="0.2"/>
    <row r="36265" s="689" customFormat="1" x14ac:dyDescent="0.2"/>
    <row r="36266" s="689" customFormat="1" x14ac:dyDescent="0.2"/>
    <row r="36267" s="689" customFormat="1" x14ac:dyDescent="0.2"/>
    <row r="36268" s="689" customFormat="1" x14ac:dyDescent="0.2"/>
    <row r="36269" s="689" customFormat="1" x14ac:dyDescent="0.2"/>
    <row r="36270" s="689" customFormat="1" x14ac:dyDescent="0.2"/>
    <row r="36271" s="689" customFormat="1" x14ac:dyDescent="0.2"/>
    <row r="36272" s="689" customFormat="1" x14ac:dyDescent="0.2"/>
    <row r="36273" s="689" customFormat="1" x14ac:dyDescent="0.2"/>
    <row r="36274" s="689" customFormat="1" x14ac:dyDescent="0.2"/>
    <row r="36275" s="689" customFormat="1" x14ac:dyDescent="0.2"/>
    <row r="36276" s="689" customFormat="1" x14ac:dyDescent="0.2"/>
    <row r="36277" s="689" customFormat="1" x14ac:dyDescent="0.2"/>
    <row r="36278" s="689" customFormat="1" x14ac:dyDescent="0.2"/>
    <row r="36279" s="689" customFormat="1" x14ac:dyDescent="0.2"/>
    <row r="36280" s="689" customFormat="1" x14ac:dyDescent="0.2"/>
    <row r="36281" s="689" customFormat="1" x14ac:dyDescent="0.2"/>
    <row r="36282" s="689" customFormat="1" x14ac:dyDescent="0.2"/>
    <row r="36283" s="689" customFormat="1" x14ac:dyDescent="0.2"/>
    <row r="36284" s="689" customFormat="1" x14ac:dyDescent="0.2"/>
    <row r="36285" s="689" customFormat="1" x14ac:dyDescent="0.2"/>
    <row r="36286" s="689" customFormat="1" x14ac:dyDescent="0.2"/>
    <row r="36287" s="689" customFormat="1" x14ac:dyDescent="0.2"/>
    <row r="36288" s="689" customFormat="1" x14ac:dyDescent="0.2"/>
    <row r="36289" s="689" customFormat="1" x14ac:dyDescent="0.2"/>
    <row r="36290" s="689" customFormat="1" x14ac:dyDescent="0.2"/>
    <row r="36291" s="689" customFormat="1" x14ac:dyDescent="0.2"/>
    <row r="36292" s="689" customFormat="1" x14ac:dyDescent="0.2"/>
    <row r="36293" s="689" customFormat="1" x14ac:dyDescent="0.2"/>
    <row r="36294" s="689" customFormat="1" x14ac:dyDescent="0.2"/>
    <row r="36295" s="689" customFormat="1" x14ac:dyDescent="0.2"/>
    <row r="36296" s="689" customFormat="1" x14ac:dyDescent="0.2"/>
    <row r="36297" s="689" customFormat="1" x14ac:dyDescent="0.2"/>
    <row r="36298" s="689" customFormat="1" x14ac:dyDescent="0.2"/>
    <row r="36299" s="689" customFormat="1" x14ac:dyDescent="0.2"/>
    <row r="36300" s="689" customFormat="1" x14ac:dyDescent="0.2"/>
    <row r="36301" s="689" customFormat="1" x14ac:dyDescent="0.2"/>
    <row r="36302" s="689" customFormat="1" x14ac:dyDescent="0.2"/>
    <row r="36303" s="689" customFormat="1" x14ac:dyDescent="0.2"/>
    <row r="36304" s="689" customFormat="1" x14ac:dyDescent="0.2"/>
    <row r="36305" s="689" customFormat="1" x14ac:dyDescent="0.2"/>
    <row r="36306" s="689" customFormat="1" x14ac:dyDescent="0.2"/>
    <row r="36307" s="689" customFormat="1" x14ac:dyDescent="0.2"/>
    <row r="36308" s="689" customFormat="1" x14ac:dyDescent="0.2"/>
    <row r="36309" s="689" customFormat="1" x14ac:dyDescent="0.2"/>
    <row r="36310" s="689" customFormat="1" x14ac:dyDescent="0.2"/>
    <row r="36311" s="689" customFormat="1" x14ac:dyDescent="0.2"/>
    <row r="36312" s="689" customFormat="1" x14ac:dyDescent="0.2"/>
    <row r="36313" s="689" customFormat="1" x14ac:dyDescent="0.2"/>
    <row r="36314" s="689" customFormat="1" x14ac:dyDescent="0.2"/>
    <row r="36315" s="689" customFormat="1" x14ac:dyDescent="0.2"/>
    <row r="36316" s="689" customFormat="1" x14ac:dyDescent="0.2"/>
    <row r="36317" s="689" customFormat="1" x14ac:dyDescent="0.2"/>
    <row r="36318" s="689" customFormat="1" x14ac:dyDescent="0.2"/>
    <row r="36319" s="689" customFormat="1" x14ac:dyDescent="0.2"/>
    <row r="36320" s="689" customFormat="1" x14ac:dyDescent="0.2"/>
    <row r="36321" s="689" customFormat="1" x14ac:dyDescent="0.2"/>
    <row r="36322" s="689" customFormat="1" x14ac:dyDescent="0.2"/>
    <row r="36323" s="689" customFormat="1" x14ac:dyDescent="0.2"/>
    <row r="36324" s="689" customFormat="1" x14ac:dyDescent="0.2"/>
    <row r="36325" s="689" customFormat="1" x14ac:dyDescent="0.2"/>
    <row r="36326" s="689" customFormat="1" x14ac:dyDescent="0.2"/>
    <row r="36327" s="689" customFormat="1" x14ac:dyDescent="0.2"/>
    <row r="36328" s="689" customFormat="1" x14ac:dyDescent="0.2"/>
    <row r="36329" s="689" customFormat="1" x14ac:dyDescent="0.2"/>
    <row r="36330" s="689" customFormat="1" x14ac:dyDescent="0.2"/>
    <row r="36331" s="689" customFormat="1" x14ac:dyDescent="0.2"/>
    <row r="36332" s="689" customFormat="1" x14ac:dyDescent="0.2"/>
    <row r="36333" s="689" customFormat="1" x14ac:dyDescent="0.2"/>
    <row r="36334" s="689" customFormat="1" x14ac:dyDescent="0.2"/>
    <row r="36335" s="689" customFormat="1" x14ac:dyDescent="0.2"/>
    <row r="36336" s="689" customFormat="1" x14ac:dyDescent="0.2"/>
    <row r="36337" s="689" customFormat="1" x14ac:dyDescent="0.2"/>
    <row r="36338" s="689" customFormat="1" x14ac:dyDescent="0.2"/>
    <row r="36339" s="689" customFormat="1" x14ac:dyDescent="0.2"/>
    <row r="36340" s="689" customFormat="1" x14ac:dyDescent="0.2"/>
    <row r="36341" s="689" customFormat="1" x14ac:dyDescent="0.2"/>
    <row r="36342" s="689" customFormat="1" x14ac:dyDescent="0.2"/>
    <row r="36343" s="689" customFormat="1" x14ac:dyDescent="0.2"/>
    <row r="36344" s="689" customFormat="1" x14ac:dyDescent="0.2"/>
    <row r="36345" s="689" customFormat="1" x14ac:dyDescent="0.2"/>
    <row r="36346" s="689" customFormat="1" x14ac:dyDescent="0.2"/>
    <row r="36347" s="689" customFormat="1" x14ac:dyDescent="0.2"/>
    <row r="36348" s="689" customFormat="1" x14ac:dyDescent="0.2"/>
    <row r="36349" s="689" customFormat="1" x14ac:dyDescent="0.2"/>
    <row r="36350" s="689" customFormat="1" x14ac:dyDescent="0.2"/>
    <row r="36351" s="689" customFormat="1" x14ac:dyDescent="0.2"/>
    <row r="36352" s="689" customFormat="1" x14ac:dyDescent="0.2"/>
    <row r="36353" s="689" customFormat="1" x14ac:dyDescent="0.2"/>
    <row r="36354" s="689" customFormat="1" x14ac:dyDescent="0.2"/>
    <row r="36355" s="689" customFormat="1" x14ac:dyDescent="0.2"/>
    <row r="36356" s="689" customFormat="1" x14ac:dyDescent="0.2"/>
    <row r="36357" s="689" customFormat="1" x14ac:dyDescent="0.2"/>
    <row r="36358" s="689" customFormat="1" x14ac:dyDescent="0.2"/>
    <row r="36359" s="689" customFormat="1" x14ac:dyDescent="0.2"/>
    <row r="36360" s="689" customFormat="1" x14ac:dyDescent="0.2"/>
    <row r="36361" s="689" customFormat="1" x14ac:dyDescent="0.2"/>
    <row r="36362" s="689" customFormat="1" x14ac:dyDescent="0.2"/>
    <row r="36363" s="689" customFormat="1" x14ac:dyDescent="0.2"/>
    <row r="36364" s="689" customFormat="1" x14ac:dyDescent="0.2"/>
    <row r="36365" s="689" customFormat="1" x14ac:dyDescent="0.2"/>
    <row r="36366" s="689" customFormat="1" x14ac:dyDescent="0.2"/>
    <row r="36367" s="689" customFormat="1" x14ac:dyDescent="0.2"/>
    <row r="36368" s="689" customFormat="1" x14ac:dyDescent="0.2"/>
    <row r="36369" s="689" customFormat="1" x14ac:dyDescent="0.2"/>
    <row r="36370" s="689" customFormat="1" x14ac:dyDescent="0.2"/>
    <row r="36371" s="689" customFormat="1" x14ac:dyDescent="0.2"/>
    <row r="36372" s="689" customFormat="1" x14ac:dyDescent="0.2"/>
    <row r="36373" s="689" customFormat="1" x14ac:dyDescent="0.2"/>
    <row r="36374" s="689" customFormat="1" x14ac:dyDescent="0.2"/>
    <row r="36375" s="689" customFormat="1" x14ac:dyDescent="0.2"/>
    <row r="36376" s="689" customFormat="1" x14ac:dyDescent="0.2"/>
    <row r="36377" s="689" customFormat="1" x14ac:dyDescent="0.2"/>
    <row r="36378" s="689" customFormat="1" x14ac:dyDescent="0.2"/>
    <row r="36379" s="689" customFormat="1" x14ac:dyDescent="0.2"/>
    <row r="36380" s="689" customFormat="1" x14ac:dyDescent="0.2"/>
    <row r="36381" s="689" customFormat="1" x14ac:dyDescent="0.2"/>
    <row r="36382" s="689" customFormat="1" x14ac:dyDescent="0.2"/>
    <row r="36383" s="689" customFormat="1" x14ac:dyDescent="0.2"/>
    <row r="36384" s="689" customFormat="1" x14ac:dyDescent="0.2"/>
    <row r="36385" s="689" customFormat="1" x14ac:dyDescent="0.2"/>
    <row r="36386" s="689" customFormat="1" x14ac:dyDescent="0.2"/>
    <row r="36387" s="689" customFormat="1" x14ac:dyDescent="0.2"/>
    <row r="36388" s="689" customFormat="1" x14ac:dyDescent="0.2"/>
    <row r="36389" s="689" customFormat="1" x14ac:dyDescent="0.2"/>
    <row r="36390" s="689" customFormat="1" x14ac:dyDescent="0.2"/>
    <row r="36391" s="689" customFormat="1" x14ac:dyDescent="0.2"/>
    <row r="36392" s="689" customFormat="1" x14ac:dyDescent="0.2"/>
    <row r="36393" s="689" customFormat="1" x14ac:dyDescent="0.2"/>
    <row r="36394" s="689" customFormat="1" x14ac:dyDescent="0.2"/>
    <row r="36395" s="689" customFormat="1" x14ac:dyDescent="0.2"/>
    <row r="36396" s="689" customFormat="1" x14ac:dyDescent="0.2"/>
    <row r="36397" s="689" customFormat="1" x14ac:dyDescent="0.2"/>
    <row r="36398" s="689" customFormat="1" x14ac:dyDescent="0.2"/>
    <row r="36399" s="689" customFormat="1" x14ac:dyDescent="0.2"/>
    <row r="36400" s="689" customFormat="1" x14ac:dyDescent="0.2"/>
    <row r="36401" s="689" customFormat="1" x14ac:dyDescent="0.2"/>
    <row r="36402" s="689" customFormat="1" x14ac:dyDescent="0.2"/>
    <row r="36403" s="689" customFormat="1" x14ac:dyDescent="0.2"/>
    <row r="36404" s="689" customFormat="1" x14ac:dyDescent="0.2"/>
    <row r="36405" s="689" customFormat="1" x14ac:dyDescent="0.2"/>
    <row r="36406" s="689" customFormat="1" x14ac:dyDescent="0.2"/>
    <row r="36407" s="689" customFormat="1" x14ac:dyDescent="0.2"/>
    <row r="36408" s="689" customFormat="1" x14ac:dyDescent="0.2"/>
    <row r="36409" s="689" customFormat="1" x14ac:dyDescent="0.2"/>
    <row r="36410" s="689" customFormat="1" x14ac:dyDescent="0.2"/>
    <row r="36411" s="689" customFormat="1" x14ac:dyDescent="0.2"/>
    <row r="36412" s="689" customFormat="1" x14ac:dyDescent="0.2"/>
    <row r="36413" s="689" customFormat="1" x14ac:dyDescent="0.2"/>
    <row r="36414" s="689" customFormat="1" x14ac:dyDescent="0.2"/>
    <row r="36415" s="689" customFormat="1" x14ac:dyDescent="0.2"/>
    <row r="36416" s="689" customFormat="1" x14ac:dyDescent="0.2"/>
    <row r="36417" s="689" customFormat="1" x14ac:dyDescent="0.2"/>
    <row r="36418" s="689" customFormat="1" x14ac:dyDescent="0.2"/>
    <row r="36419" s="689" customFormat="1" x14ac:dyDescent="0.2"/>
    <row r="36420" s="689" customFormat="1" x14ac:dyDescent="0.2"/>
    <row r="36421" s="689" customFormat="1" x14ac:dyDescent="0.2"/>
    <row r="36422" s="689" customFormat="1" x14ac:dyDescent="0.2"/>
    <row r="36423" s="689" customFormat="1" x14ac:dyDescent="0.2"/>
    <row r="36424" s="689" customFormat="1" x14ac:dyDescent="0.2"/>
    <row r="36425" s="689" customFormat="1" x14ac:dyDescent="0.2"/>
    <row r="36426" s="689" customFormat="1" x14ac:dyDescent="0.2"/>
    <row r="36427" s="689" customFormat="1" x14ac:dyDescent="0.2"/>
    <row r="36428" s="689" customFormat="1" x14ac:dyDescent="0.2"/>
    <row r="36429" s="689" customFormat="1" x14ac:dyDescent="0.2"/>
    <row r="36430" s="689" customFormat="1" x14ac:dyDescent="0.2"/>
    <row r="36431" s="689" customFormat="1" x14ac:dyDescent="0.2"/>
    <row r="36432" s="689" customFormat="1" x14ac:dyDescent="0.2"/>
    <row r="36433" s="689" customFormat="1" x14ac:dyDescent="0.2"/>
    <row r="36434" s="689" customFormat="1" x14ac:dyDescent="0.2"/>
    <row r="36435" s="689" customFormat="1" x14ac:dyDescent="0.2"/>
    <row r="36436" s="689" customFormat="1" x14ac:dyDescent="0.2"/>
    <row r="36437" s="689" customFormat="1" x14ac:dyDescent="0.2"/>
    <row r="36438" s="689" customFormat="1" x14ac:dyDescent="0.2"/>
    <row r="36439" s="689" customFormat="1" x14ac:dyDescent="0.2"/>
    <row r="36440" s="689" customFormat="1" x14ac:dyDescent="0.2"/>
    <row r="36441" s="689" customFormat="1" x14ac:dyDescent="0.2"/>
    <row r="36442" s="689" customFormat="1" x14ac:dyDescent="0.2"/>
    <row r="36443" s="689" customFormat="1" x14ac:dyDescent="0.2"/>
    <row r="36444" s="689" customFormat="1" x14ac:dyDescent="0.2"/>
    <row r="36445" s="689" customFormat="1" x14ac:dyDescent="0.2"/>
    <row r="36446" s="689" customFormat="1" x14ac:dyDescent="0.2"/>
    <row r="36447" s="689" customFormat="1" x14ac:dyDescent="0.2"/>
    <row r="36448" s="689" customFormat="1" x14ac:dyDescent="0.2"/>
    <row r="36449" s="689" customFormat="1" x14ac:dyDescent="0.2"/>
    <row r="36450" s="689" customFormat="1" x14ac:dyDescent="0.2"/>
    <row r="36451" s="689" customFormat="1" x14ac:dyDescent="0.2"/>
    <row r="36452" s="689" customFormat="1" x14ac:dyDescent="0.2"/>
    <row r="36453" s="689" customFormat="1" x14ac:dyDescent="0.2"/>
    <row r="36454" s="689" customFormat="1" x14ac:dyDescent="0.2"/>
    <row r="36455" s="689" customFormat="1" x14ac:dyDescent="0.2"/>
    <row r="36456" s="689" customFormat="1" x14ac:dyDescent="0.2"/>
    <row r="36457" s="689" customFormat="1" x14ac:dyDescent="0.2"/>
    <row r="36458" s="689" customFormat="1" x14ac:dyDescent="0.2"/>
    <row r="36459" s="689" customFormat="1" x14ac:dyDescent="0.2"/>
    <row r="36460" s="689" customFormat="1" x14ac:dyDescent="0.2"/>
    <row r="36461" s="689" customFormat="1" x14ac:dyDescent="0.2"/>
    <row r="36462" s="689" customFormat="1" x14ac:dyDescent="0.2"/>
    <row r="36463" s="689" customFormat="1" x14ac:dyDescent="0.2"/>
    <row r="36464" s="689" customFormat="1" x14ac:dyDescent="0.2"/>
    <row r="36465" s="689" customFormat="1" x14ac:dyDescent="0.2"/>
    <row r="36466" s="689" customFormat="1" x14ac:dyDescent="0.2"/>
    <row r="36467" s="689" customFormat="1" x14ac:dyDescent="0.2"/>
    <row r="36468" s="689" customFormat="1" x14ac:dyDescent="0.2"/>
    <row r="36469" s="689" customFormat="1" x14ac:dyDescent="0.2"/>
    <row r="36470" s="689" customFormat="1" x14ac:dyDescent="0.2"/>
    <row r="36471" s="689" customFormat="1" x14ac:dyDescent="0.2"/>
    <row r="36472" s="689" customFormat="1" x14ac:dyDescent="0.2"/>
    <row r="36473" s="689" customFormat="1" x14ac:dyDescent="0.2"/>
    <row r="36474" s="689" customFormat="1" x14ac:dyDescent="0.2"/>
    <row r="36475" s="689" customFormat="1" x14ac:dyDescent="0.2"/>
    <row r="36476" s="689" customFormat="1" x14ac:dyDescent="0.2"/>
    <row r="36477" s="689" customFormat="1" x14ac:dyDescent="0.2"/>
    <row r="36478" s="689" customFormat="1" x14ac:dyDescent="0.2"/>
    <row r="36479" s="689" customFormat="1" x14ac:dyDescent="0.2"/>
    <row r="36480" s="689" customFormat="1" x14ac:dyDescent="0.2"/>
    <row r="36481" s="689" customFormat="1" x14ac:dyDescent="0.2"/>
    <row r="36482" s="689" customFormat="1" x14ac:dyDescent="0.2"/>
    <row r="36483" s="689" customFormat="1" x14ac:dyDescent="0.2"/>
    <row r="36484" s="689" customFormat="1" x14ac:dyDescent="0.2"/>
    <row r="36485" s="689" customFormat="1" x14ac:dyDescent="0.2"/>
    <row r="36486" s="689" customFormat="1" x14ac:dyDescent="0.2"/>
    <row r="36487" s="689" customFormat="1" x14ac:dyDescent="0.2"/>
    <row r="36488" s="689" customFormat="1" x14ac:dyDescent="0.2"/>
    <row r="36489" s="689" customFormat="1" x14ac:dyDescent="0.2"/>
    <row r="36490" s="689" customFormat="1" x14ac:dyDescent="0.2"/>
    <row r="36491" s="689" customFormat="1" x14ac:dyDescent="0.2"/>
    <row r="36492" s="689" customFormat="1" x14ac:dyDescent="0.2"/>
    <row r="36493" s="689" customFormat="1" x14ac:dyDescent="0.2"/>
    <row r="36494" s="689" customFormat="1" x14ac:dyDescent="0.2"/>
    <row r="36495" s="689" customFormat="1" x14ac:dyDescent="0.2"/>
    <row r="36496" s="689" customFormat="1" x14ac:dyDescent="0.2"/>
    <row r="36497" s="689" customFormat="1" x14ac:dyDescent="0.2"/>
    <row r="36498" s="689" customFormat="1" x14ac:dyDescent="0.2"/>
    <row r="36499" s="689" customFormat="1" x14ac:dyDescent="0.2"/>
    <row r="36500" s="689" customFormat="1" x14ac:dyDescent="0.2"/>
    <row r="36501" s="689" customFormat="1" x14ac:dyDescent="0.2"/>
    <row r="36502" s="689" customFormat="1" x14ac:dyDescent="0.2"/>
    <row r="36503" s="689" customFormat="1" x14ac:dyDescent="0.2"/>
    <row r="36504" s="689" customFormat="1" x14ac:dyDescent="0.2"/>
    <row r="36505" s="689" customFormat="1" x14ac:dyDescent="0.2"/>
    <row r="36506" s="689" customFormat="1" x14ac:dyDescent="0.2"/>
    <row r="36507" s="689" customFormat="1" x14ac:dyDescent="0.2"/>
    <row r="36508" s="689" customFormat="1" x14ac:dyDescent="0.2"/>
    <row r="36509" s="689" customFormat="1" x14ac:dyDescent="0.2"/>
    <row r="36510" s="689" customFormat="1" x14ac:dyDescent="0.2"/>
    <row r="36511" s="689" customFormat="1" x14ac:dyDescent="0.2"/>
    <row r="36512" s="689" customFormat="1" x14ac:dyDescent="0.2"/>
    <row r="36513" s="689" customFormat="1" x14ac:dyDescent="0.2"/>
    <row r="36514" s="689" customFormat="1" x14ac:dyDescent="0.2"/>
    <row r="36515" s="689" customFormat="1" x14ac:dyDescent="0.2"/>
    <row r="36516" s="689" customFormat="1" x14ac:dyDescent="0.2"/>
    <row r="36517" s="689" customFormat="1" x14ac:dyDescent="0.2"/>
    <row r="36518" s="689" customFormat="1" x14ac:dyDescent="0.2"/>
    <row r="36519" s="689" customFormat="1" x14ac:dyDescent="0.2"/>
    <row r="36520" s="689" customFormat="1" x14ac:dyDescent="0.2"/>
    <row r="36521" s="689" customFormat="1" x14ac:dyDescent="0.2"/>
    <row r="36522" s="689" customFormat="1" x14ac:dyDescent="0.2"/>
    <row r="36523" s="689" customFormat="1" x14ac:dyDescent="0.2"/>
    <row r="36524" s="689" customFormat="1" x14ac:dyDescent="0.2"/>
    <row r="36525" s="689" customFormat="1" x14ac:dyDescent="0.2"/>
    <row r="36526" s="689" customFormat="1" x14ac:dyDescent="0.2"/>
    <row r="36527" s="689" customFormat="1" x14ac:dyDescent="0.2"/>
    <row r="36528" s="689" customFormat="1" x14ac:dyDescent="0.2"/>
    <row r="36529" s="689" customFormat="1" x14ac:dyDescent="0.2"/>
    <row r="36530" s="689" customFormat="1" x14ac:dyDescent="0.2"/>
    <row r="36531" s="689" customFormat="1" x14ac:dyDescent="0.2"/>
    <row r="36532" s="689" customFormat="1" x14ac:dyDescent="0.2"/>
    <row r="36533" s="689" customFormat="1" x14ac:dyDescent="0.2"/>
    <row r="36534" s="689" customFormat="1" x14ac:dyDescent="0.2"/>
    <row r="36535" s="689" customFormat="1" x14ac:dyDescent="0.2"/>
    <row r="36536" s="689" customFormat="1" x14ac:dyDescent="0.2"/>
    <row r="36537" s="689" customFormat="1" x14ac:dyDescent="0.2"/>
    <row r="36538" s="689" customFormat="1" x14ac:dyDescent="0.2"/>
    <row r="36539" s="689" customFormat="1" x14ac:dyDescent="0.2"/>
    <row r="36540" s="689" customFormat="1" x14ac:dyDescent="0.2"/>
    <row r="36541" s="689" customFormat="1" x14ac:dyDescent="0.2"/>
    <row r="36542" s="689" customFormat="1" x14ac:dyDescent="0.2"/>
    <row r="36543" s="689" customFormat="1" x14ac:dyDescent="0.2"/>
    <row r="36544" s="689" customFormat="1" x14ac:dyDescent="0.2"/>
    <row r="36545" s="689" customFormat="1" x14ac:dyDescent="0.2"/>
    <row r="36546" s="689" customFormat="1" x14ac:dyDescent="0.2"/>
    <row r="36547" s="689" customFormat="1" x14ac:dyDescent="0.2"/>
    <row r="36548" s="689" customFormat="1" x14ac:dyDescent="0.2"/>
    <row r="36549" s="689" customFormat="1" x14ac:dyDescent="0.2"/>
    <row r="36550" s="689" customFormat="1" x14ac:dyDescent="0.2"/>
    <row r="36551" s="689" customFormat="1" x14ac:dyDescent="0.2"/>
    <row r="36552" s="689" customFormat="1" x14ac:dyDescent="0.2"/>
    <row r="36553" s="689" customFormat="1" x14ac:dyDescent="0.2"/>
    <row r="36554" s="689" customFormat="1" x14ac:dyDescent="0.2"/>
    <row r="36555" s="689" customFormat="1" x14ac:dyDescent="0.2"/>
    <row r="36556" s="689" customFormat="1" x14ac:dyDescent="0.2"/>
    <row r="36557" s="689" customFormat="1" x14ac:dyDescent="0.2"/>
    <row r="36558" s="689" customFormat="1" x14ac:dyDescent="0.2"/>
    <row r="36559" s="689" customFormat="1" x14ac:dyDescent="0.2"/>
    <row r="36560" s="689" customFormat="1" x14ac:dyDescent="0.2"/>
    <row r="36561" s="689" customFormat="1" x14ac:dyDescent="0.2"/>
    <row r="36562" s="689" customFormat="1" x14ac:dyDescent="0.2"/>
    <row r="36563" s="689" customFormat="1" x14ac:dyDescent="0.2"/>
    <row r="36564" s="689" customFormat="1" x14ac:dyDescent="0.2"/>
    <row r="36565" s="689" customFormat="1" x14ac:dyDescent="0.2"/>
    <row r="36566" s="689" customFormat="1" x14ac:dyDescent="0.2"/>
    <row r="36567" s="689" customFormat="1" x14ac:dyDescent="0.2"/>
    <row r="36568" s="689" customFormat="1" x14ac:dyDescent="0.2"/>
    <row r="36569" s="689" customFormat="1" x14ac:dyDescent="0.2"/>
    <row r="36570" s="689" customFormat="1" x14ac:dyDescent="0.2"/>
    <row r="36571" s="689" customFormat="1" x14ac:dyDescent="0.2"/>
    <row r="36572" s="689" customFormat="1" x14ac:dyDescent="0.2"/>
    <row r="36573" s="689" customFormat="1" x14ac:dyDescent="0.2"/>
    <row r="36574" s="689" customFormat="1" x14ac:dyDescent="0.2"/>
    <row r="36575" s="689" customFormat="1" x14ac:dyDescent="0.2"/>
    <row r="36576" s="689" customFormat="1" x14ac:dyDescent="0.2"/>
    <row r="36577" s="689" customFormat="1" x14ac:dyDescent="0.2"/>
    <row r="36578" s="689" customFormat="1" x14ac:dyDescent="0.2"/>
    <row r="36579" s="689" customFormat="1" x14ac:dyDescent="0.2"/>
    <row r="36580" s="689" customFormat="1" x14ac:dyDescent="0.2"/>
    <row r="36581" s="689" customFormat="1" x14ac:dyDescent="0.2"/>
    <row r="36582" s="689" customFormat="1" x14ac:dyDescent="0.2"/>
    <row r="36583" s="689" customFormat="1" x14ac:dyDescent="0.2"/>
    <row r="36584" s="689" customFormat="1" x14ac:dyDescent="0.2"/>
    <row r="36585" s="689" customFormat="1" x14ac:dyDescent="0.2"/>
    <row r="36586" s="689" customFormat="1" x14ac:dyDescent="0.2"/>
    <row r="36587" s="689" customFormat="1" x14ac:dyDescent="0.2"/>
    <row r="36588" s="689" customFormat="1" x14ac:dyDescent="0.2"/>
    <row r="36589" s="689" customFormat="1" x14ac:dyDescent="0.2"/>
    <row r="36590" s="689" customFormat="1" x14ac:dyDescent="0.2"/>
    <row r="36591" s="689" customFormat="1" x14ac:dyDescent="0.2"/>
    <row r="36592" s="689" customFormat="1" x14ac:dyDescent="0.2"/>
    <row r="36593" s="689" customFormat="1" x14ac:dyDescent="0.2"/>
    <row r="36594" s="689" customFormat="1" x14ac:dyDescent="0.2"/>
    <row r="36595" s="689" customFormat="1" x14ac:dyDescent="0.2"/>
    <row r="36596" s="689" customFormat="1" x14ac:dyDescent="0.2"/>
    <row r="36597" s="689" customFormat="1" x14ac:dyDescent="0.2"/>
    <row r="36598" s="689" customFormat="1" x14ac:dyDescent="0.2"/>
    <row r="36599" s="689" customFormat="1" x14ac:dyDescent="0.2"/>
    <row r="36600" s="689" customFormat="1" x14ac:dyDescent="0.2"/>
    <row r="36601" s="689" customFormat="1" x14ac:dyDescent="0.2"/>
    <row r="36602" s="689" customFormat="1" x14ac:dyDescent="0.2"/>
    <row r="36603" s="689" customFormat="1" x14ac:dyDescent="0.2"/>
    <row r="36604" s="689" customFormat="1" x14ac:dyDescent="0.2"/>
    <row r="36605" s="689" customFormat="1" x14ac:dyDescent="0.2"/>
    <row r="36606" s="689" customFormat="1" x14ac:dyDescent="0.2"/>
    <row r="36607" s="689" customFormat="1" x14ac:dyDescent="0.2"/>
    <row r="36608" s="689" customFormat="1" x14ac:dyDescent="0.2"/>
    <row r="36609" s="689" customFormat="1" x14ac:dyDescent="0.2"/>
    <row r="36610" s="689" customFormat="1" x14ac:dyDescent="0.2"/>
    <row r="36611" s="689" customFormat="1" x14ac:dyDescent="0.2"/>
    <row r="36612" s="689" customFormat="1" x14ac:dyDescent="0.2"/>
    <row r="36613" s="689" customFormat="1" x14ac:dyDescent="0.2"/>
    <row r="36614" s="689" customFormat="1" x14ac:dyDescent="0.2"/>
    <row r="36615" s="689" customFormat="1" x14ac:dyDescent="0.2"/>
    <row r="36616" s="689" customFormat="1" x14ac:dyDescent="0.2"/>
    <row r="36617" s="689" customFormat="1" x14ac:dyDescent="0.2"/>
    <row r="36618" s="689" customFormat="1" x14ac:dyDescent="0.2"/>
    <row r="36619" s="689" customFormat="1" x14ac:dyDescent="0.2"/>
    <row r="36620" s="689" customFormat="1" x14ac:dyDescent="0.2"/>
    <row r="36621" s="689" customFormat="1" x14ac:dyDescent="0.2"/>
    <row r="36622" s="689" customFormat="1" x14ac:dyDescent="0.2"/>
    <row r="36623" s="689" customFormat="1" x14ac:dyDescent="0.2"/>
    <row r="36624" s="689" customFormat="1" x14ac:dyDescent="0.2"/>
    <row r="36625" s="689" customFormat="1" x14ac:dyDescent="0.2"/>
    <row r="36626" s="689" customFormat="1" x14ac:dyDescent="0.2"/>
    <row r="36627" s="689" customFormat="1" x14ac:dyDescent="0.2"/>
    <row r="36628" s="689" customFormat="1" x14ac:dyDescent="0.2"/>
    <row r="36629" s="689" customFormat="1" x14ac:dyDescent="0.2"/>
    <row r="36630" s="689" customFormat="1" x14ac:dyDescent="0.2"/>
    <row r="36631" s="689" customFormat="1" x14ac:dyDescent="0.2"/>
    <row r="36632" s="689" customFormat="1" x14ac:dyDescent="0.2"/>
    <row r="36633" s="689" customFormat="1" x14ac:dyDescent="0.2"/>
    <row r="36634" s="689" customFormat="1" x14ac:dyDescent="0.2"/>
    <row r="36635" s="689" customFormat="1" x14ac:dyDescent="0.2"/>
    <row r="36636" s="689" customFormat="1" x14ac:dyDescent="0.2"/>
    <row r="36637" s="689" customFormat="1" x14ac:dyDescent="0.2"/>
    <row r="36638" s="689" customFormat="1" x14ac:dyDescent="0.2"/>
    <row r="36639" s="689" customFormat="1" x14ac:dyDescent="0.2"/>
    <row r="36640" s="689" customFormat="1" x14ac:dyDescent="0.2"/>
    <row r="36641" s="689" customFormat="1" x14ac:dyDescent="0.2"/>
    <row r="36642" s="689" customFormat="1" x14ac:dyDescent="0.2"/>
    <row r="36643" s="689" customFormat="1" x14ac:dyDescent="0.2"/>
    <row r="36644" s="689" customFormat="1" x14ac:dyDescent="0.2"/>
    <row r="36645" s="689" customFormat="1" x14ac:dyDescent="0.2"/>
    <row r="36646" s="689" customFormat="1" x14ac:dyDescent="0.2"/>
    <row r="36647" s="689" customFormat="1" x14ac:dyDescent="0.2"/>
    <row r="36648" s="689" customFormat="1" x14ac:dyDescent="0.2"/>
    <row r="36649" s="689" customFormat="1" x14ac:dyDescent="0.2"/>
    <row r="36650" s="689" customFormat="1" x14ac:dyDescent="0.2"/>
    <row r="36651" s="689" customFormat="1" x14ac:dyDescent="0.2"/>
    <row r="36652" s="689" customFormat="1" x14ac:dyDescent="0.2"/>
    <row r="36653" s="689" customFormat="1" x14ac:dyDescent="0.2"/>
    <row r="36654" s="689" customFormat="1" x14ac:dyDescent="0.2"/>
    <row r="36655" s="689" customFormat="1" x14ac:dyDescent="0.2"/>
    <row r="36656" s="689" customFormat="1" x14ac:dyDescent="0.2"/>
    <row r="36657" s="689" customFormat="1" x14ac:dyDescent="0.2"/>
    <row r="36658" s="689" customFormat="1" x14ac:dyDescent="0.2"/>
    <row r="36659" s="689" customFormat="1" x14ac:dyDescent="0.2"/>
    <row r="36660" s="689" customFormat="1" x14ac:dyDescent="0.2"/>
    <row r="36661" s="689" customFormat="1" x14ac:dyDescent="0.2"/>
    <row r="36662" s="689" customFormat="1" x14ac:dyDescent="0.2"/>
    <row r="36663" s="689" customFormat="1" x14ac:dyDescent="0.2"/>
    <row r="36664" s="689" customFormat="1" x14ac:dyDescent="0.2"/>
    <row r="36665" s="689" customFormat="1" x14ac:dyDescent="0.2"/>
    <row r="36666" s="689" customFormat="1" x14ac:dyDescent="0.2"/>
    <row r="36667" s="689" customFormat="1" x14ac:dyDescent="0.2"/>
    <row r="36668" s="689" customFormat="1" x14ac:dyDescent="0.2"/>
    <row r="36669" s="689" customFormat="1" x14ac:dyDescent="0.2"/>
    <row r="36670" s="689" customFormat="1" x14ac:dyDescent="0.2"/>
    <row r="36671" s="689" customFormat="1" x14ac:dyDescent="0.2"/>
    <row r="36672" s="689" customFormat="1" x14ac:dyDescent="0.2"/>
    <row r="36673" s="689" customFormat="1" x14ac:dyDescent="0.2"/>
    <row r="36674" s="689" customFormat="1" x14ac:dyDescent="0.2"/>
    <row r="36675" s="689" customFormat="1" x14ac:dyDescent="0.2"/>
    <row r="36676" s="689" customFormat="1" x14ac:dyDescent="0.2"/>
    <row r="36677" s="689" customFormat="1" x14ac:dyDescent="0.2"/>
    <row r="36678" s="689" customFormat="1" x14ac:dyDescent="0.2"/>
    <row r="36679" s="689" customFormat="1" x14ac:dyDescent="0.2"/>
    <row r="36680" s="689" customFormat="1" x14ac:dyDescent="0.2"/>
    <row r="36681" s="689" customFormat="1" x14ac:dyDescent="0.2"/>
    <row r="36682" s="689" customFormat="1" x14ac:dyDescent="0.2"/>
    <row r="36683" s="689" customFormat="1" x14ac:dyDescent="0.2"/>
    <row r="36684" s="689" customFormat="1" x14ac:dyDescent="0.2"/>
    <row r="36685" s="689" customFormat="1" x14ac:dyDescent="0.2"/>
    <row r="36686" s="689" customFormat="1" x14ac:dyDescent="0.2"/>
    <row r="36687" s="689" customFormat="1" x14ac:dyDescent="0.2"/>
    <row r="36688" s="689" customFormat="1" x14ac:dyDescent="0.2"/>
    <row r="36689" s="689" customFormat="1" x14ac:dyDescent="0.2"/>
    <row r="36690" s="689" customFormat="1" x14ac:dyDescent="0.2"/>
    <row r="36691" s="689" customFormat="1" x14ac:dyDescent="0.2"/>
    <row r="36692" s="689" customFormat="1" x14ac:dyDescent="0.2"/>
    <row r="36693" s="689" customFormat="1" x14ac:dyDescent="0.2"/>
    <row r="36694" s="689" customFormat="1" x14ac:dyDescent="0.2"/>
    <row r="36695" s="689" customFormat="1" x14ac:dyDescent="0.2"/>
    <row r="36696" s="689" customFormat="1" x14ac:dyDescent="0.2"/>
    <row r="36697" s="689" customFormat="1" x14ac:dyDescent="0.2"/>
    <row r="36698" s="689" customFormat="1" x14ac:dyDescent="0.2"/>
    <row r="36699" s="689" customFormat="1" x14ac:dyDescent="0.2"/>
    <row r="36700" s="689" customFormat="1" x14ac:dyDescent="0.2"/>
    <row r="36701" s="689" customFormat="1" x14ac:dyDescent="0.2"/>
    <row r="36702" s="689" customFormat="1" x14ac:dyDescent="0.2"/>
    <row r="36703" s="689" customFormat="1" x14ac:dyDescent="0.2"/>
    <row r="36704" s="689" customFormat="1" x14ac:dyDescent="0.2"/>
    <row r="36705" s="689" customFormat="1" x14ac:dyDescent="0.2"/>
    <row r="36706" s="689" customFormat="1" x14ac:dyDescent="0.2"/>
    <row r="36707" s="689" customFormat="1" x14ac:dyDescent="0.2"/>
    <row r="36708" s="689" customFormat="1" x14ac:dyDescent="0.2"/>
    <row r="36709" s="689" customFormat="1" x14ac:dyDescent="0.2"/>
    <row r="36710" s="689" customFormat="1" x14ac:dyDescent="0.2"/>
    <row r="36711" s="689" customFormat="1" x14ac:dyDescent="0.2"/>
    <row r="36712" s="689" customFormat="1" x14ac:dyDescent="0.2"/>
    <row r="36713" s="689" customFormat="1" x14ac:dyDescent="0.2"/>
    <row r="36714" s="689" customFormat="1" x14ac:dyDescent="0.2"/>
    <row r="36715" s="689" customFormat="1" x14ac:dyDescent="0.2"/>
    <row r="36716" s="689" customFormat="1" x14ac:dyDescent="0.2"/>
    <row r="36717" s="689" customFormat="1" x14ac:dyDescent="0.2"/>
    <row r="36718" s="689" customFormat="1" x14ac:dyDescent="0.2"/>
    <row r="36719" s="689" customFormat="1" x14ac:dyDescent="0.2"/>
    <row r="36720" s="689" customFormat="1" x14ac:dyDescent="0.2"/>
    <row r="36721" s="689" customFormat="1" x14ac:dyDescent="0.2"/>
    <row r="36722" s="689" customFormat="1" x14ac:dyDescent="0.2"/>
    <row r="36723" s="689" customFormat="1" x14ac:dyDescent="0.2"/>
    <row r="36724" s="689" customFormat="1" x14ac:dyDescent="0.2"/>
    <row r="36725" s="689" customFormat="1" x14ac:dyDescent="0.2"/>
    <row r="36726" s="689" customFormat="1" x14ac:dyDescent="0.2"/>
    <row r="36727" s="689" customFormat="1" x14ac:dyDescent="0.2"/>
    <row r="36728" s="689" customFormat="1" x14ac:dyDescent="0.2"/>
    <row r="36729" s="689" customFormat="1" x14ac:dyDescent="0.2"/>
    <row r="36730" s="689" customFormat="1" x14ac:dyDescent="0.2"/>
    <row r="36731" s="689" customFormat="1" x14ac:dyDescent="0.2"/>
    <row r="36732" s="689" customFormat="1" x14ac:dyDescent="0.2"/>
    <row r="36733" s="689" customFormat="1" x14ac:dyDescent="0.2"/>
    <row r="36734" s="689" customFormat="1" x14ac:dyDescent="0.2"/>
    <row r="36735" s="689" customFormat="1" x14ac:dyDescent="0.2"/>
    <row r="36736" s="689" customFormat="1" x14ac:dyDescent="0.2"/>
    <row r="36737" s="689" customFormat="1" x14ac:dyDescent="0.2"/>
    <row r="36738" s="689" customFormat="1" x14ac:dyDescent="0.2"/>
    <row r="36739" s="689" customFormat="1" x14ac:dyDescent="0.2"/>
    <row r="36740" s="689" customFormat="1" x14ac:dyDescent="0.2"/>
    <row r="36741" s="689" customFormat="1" x14ac:dyDescent="0.2"/>
    <row r="36742" s="689" customFormat="1" x14ac:dyDescent="0.2"/>
    <row r="36743" s="689" customFormat="1" x14ac:dyDescent="0.2"/>
    <row r="36744" s="689" customFormat="1" x14ac:dyDescent="0.2"/>
    <row r="36745" s="689" customFormat="1" x14ac:dyDescent="0.2"/>
    <row r="36746" s="689" customFormat="1" x14ac:dyDescent="0.2"/>
    <row r="36747" s="689" customFormat="1" x14ac:dyDescent="0.2"/>
    <row r="36748" s="689" customFormat="1" x14ac:dyDescent="0.2"/>
    <row r="36749" s="689" customFormat="1" x14ac:dyDescent="0.2"/>
    <row r="36750" s="689" customFormat="1" x14ac:dyDescent="0.2"/>
    <row r="36751" s="689" customFormat="1" x14ac:dyDescent="0.2"/>
    <row r="36752" s="689" customFormat="1" x14ac:dyDescent="0.2"/>
    <row r="36753" s="689" customFormat="1" x14ac:dyDescent="0.2"/>
    <row r="36754" s="689" customFormat="1" x14ac:dyDescent="0.2"/>
    <row r="36755" s="689" customFormat="1" x14ac:dyDescent="0.2"/>
    <row r="36756" s="689" customFormat="1" x14ac:dyDescent="0.2"/>
    <row r="36757" s="689" customFormat="1" x14ac:dyDescent="0.2"/>
    <row r="36758" s="689" customFormat="1" x14ac:dyDescent="0.2"/>
    <row r="36759" s="689" customFormat="1" x14ac:dyDescent="0.2"/>
    <row r="36760" s="689" customFormat="1" x14ac:dyDescent="0.2"/>
    <row r="36761" s="689" customFormat="1" x14ac:dyDescent="0.2"/>
    <row r="36762" s="689" customFormat="1" x14ac:dyDescent="0.2"/>
    <row r="36763" s="689" customFormat="1" x14ac:dyDescent="0.2"/>
    <row r="36764" s="689" customFormat="1" x14ac:dyDescent="0.2"/>
    <row r="36765" s="689" customFormat="1" x14ac:dyDescent="0.2"/>
    <row r="36766" s="689" customFormat="1" x14ac:dyDescent="0.2"/>
    <row r="36767" s="689" customFormat="1" x14ac:dyDescent="0.2"/>
    <row r="36768" s="689" customFormat="1" x14ac:dyDescent="0.2"/>
    <row r="36769" s="689" customFormat="1" x14ac:dyDescent="0.2"/>
    <row r="36770" s="689" customFormat="1" x14ac:dyDescent="0.2"/>
    <row r="36771" s="689" customFormat="1" x14ac:dyDescent="0.2"/>
    <row r="36772" s="689" customFormat="1" x14ac:dyDescent="0.2"/>
    <row r="36773" s="689" customFormat="1" x14ac:dyDescent="0.2"/>
    <row r="36774" s="689" customFormat="1" x14ac:dyDescent="0.2"/>
    <row r="36775" s="689" customFormat="1" x14ac:dyDescent="0.2"/>
    <row r="36776" s="689" customFormat="1" x14ac:dyDescent="0.2"/>
    <row r="36777" s="689" customFormat="1" x14ac:dyDescent="0.2"/>
    <row r="36778" s="689" customFormat="1" x14ac:dyDescent="0.2"/>
    <row r="36779" s="689" customFormat="1" x14ac:dyDescent="0.2"/>
    <row r="36780" s="689" customFormat="1" x14ac:dyDescent="0.2"/>
    <row r="36781" s="689" customFormat="1" x14ac:dyDescent="0.2"/>
    <row r="36782" s="689" customFormat="1" x14ac:dyDescent="0.2"/>
    <row r="36783" s="689" customFormat="1" x14ac:dyDescent="0.2"/>
    <row r="36784" s="689" customFormat="1" x14ac:dyDescent="0.2"/>
    <row r="36785" s="689" customFormat="1" x14ac:dyDescent="0.2"/>
    <row r="36786" s="689" customFormat="1" x14ac:dyDescent="0.2"/>
    <row r="36787" s="689" customFormat="1" x14ac:dyDescent="0.2"/>
    <row r="36788" s="689" customFormat="1" x14ac:dyDescent="0.2"/>
    <row r="36789" s="689" customFormat="1" x14ac:dyDescent="0.2"/>
    <row r="36790" s="689" customFormat="1" x14ac:dyDescent="0.2"/>
    <row r="36791" s="689" customFormat="1" x14ac:dyDescent="0.2"/>
    <row r="36792" s="689" customFormat="1" x14ac:dyDescent="0.2"/>
    <row r="36793" s="689" customFormat="1" x14ac:dyDescent="0.2"/>
    <row r="36794" s="689" customFormat="1" x14ac:dyDescent="0.2"/>
    <row r="36795" s="689" customFormat="1" x14ac:dyDescent="0.2"/>
    <row r="36796" s="689" customFormat="1" x14ac:dyDescent="0.2"/>
    <row r="36797" s="689" customFormat="1" x14ac:dyDescent="0.2"/>
    <row r="36798" s="689" customFormat="1" x14ac:dyDescent="0.2"/>
    <row r="36799" s="689" customFormat="1" x14ac:dyDescent="0.2"/>
    <row r="36800" s="689" customFormat="1" x14ac:dyDescent="0.2"/>
    <row r="36801" s="689" customFormat="1" x14ac:dyDescent="0.2"/>
    <row r="36802" s="689" customFormat="1" x14ac:dyDescent="0.2"/>
    <row r="36803" s="689" customFormat="1" x14ac:dyDescent="0.2"/>
    <row r="36804" s="689" customFormat="1" x14ac:dyDescent="0.2"/>
    <row r="36805" s="689" customFormat="1" x14ac:dyDescent="0.2"/>
    <row r="36806" s="689" customFormat="1" x14ac:dyDescent="0.2"/>
    <row r="36807" s="689" customFormat="1" x14ac:dyDescent="0.2"/>
    <row r="36808" s="689" customFormat="1" x14ac:dyDescent="0.2"/>
    <row r="36809" s="689" customFormat="1" x14ac:dyDescent="0.2"/>
    <row r="36810" s="689" customFormat="1" x14ac:dyDescent="0.2"/>
    <row r="36811" s="689" customFormat="1" x14ac:dyDescent="0.2"/>
    <row r="36812" s="689" customFormat="1" x14ac:dyDescent="0.2"/>
    <row r="36813" s="689" customFormat="1" x14ac:dyDescent="0.2"/>
    <row r="36814" s="689" customFormat="1" x14ac:dyDescent="0.2"/>
    <row r="36815" s="689" customFormat="1" x14ac:dyDescent="0.2"/>
    <row r="36816" s="689" customFormat="1" x14ac:dyDescent="0.2"/>
    <row r="36817" s="689" customFormat="1" x14ac:dyDescent="0.2"/>
    <row r="36818" s="689" customFormat="1" x14ac:dyDescent="0.2"/>
    <row r="36819" s="689" customFormat="1" x14ac:dyDescent="0.2"/>
    <row r="36820" s="689" customFormat="1" x14ac:dyDescent="0.2"/>
    <row r="36821" s="689" customFormat="1" x14ac:dyDescent="0.2"/>
    <row r="36822" s="689" customFormat="1" x14ac:dyDescent="0.2"/>
    <row r="36823" s="689" customFormat="1" x14ac:dyDescent="0.2"/>
    <row r="36824" s="689" customFormat="1" x14ac:dyDescent="0.2"/>
    <row r="36825" s="689" customFormat="1" x14ac:dyDescent="0.2"/>
    <row r="36826" s="689" customFormat="1" x14ac:dyDescent="0.2"/>
    <row r="36827" s="689" customFormat="1" x14ac:dyDescent="0.2"/>
    <row r="36828" s="689" customFormat="1" x14ac:dyDescent="0.2"/>
    <row r="36829" s="689" customFormat="1" x14ac:dyDescent="0.2"/>
    <row r="36830" s="689" customFormat="1" x14ac:dyDescent="0.2"/>
    <row r="36831" s="689" customFormat="1" x14ac:dyDescent="0.2"/>
    <row r="36832" s="689" customFormat="1" x14ac:dyDescent="0.2"/>
    <row r="36833" s="689" customFormat="1" x14ac:dyDescent="0.2"/>
    <row r="36834" s="689" customFormat="1" x14ac:dyDescent="0.2"/>
    <row r="36835" s="689" customFormat="1" x14ac:dyDescent="0.2"/>
    <row r="36836" s="689" customFormat="1" x14ac:dyDescent="0.2"/>
    <row r="36837" s="689" customFormat="1" x14ac:dyDescent="0.2"/>
    <row r="36838" s="689" customFormat="1" x14ac:dyDescent="0.2"/>
    <row r="36839" s="689" customFormat="1" x14ac:dyDescent="0.2"/>
    <row r="36840" s="689" customFormat="1" x14ac:dyDescent="0.2"/>
    <row r="36841" s="689" customFormat="1" x14ac:dyDescent="0.2"/>
    <row r="36842" s="689" customFormat="1" x14ac:dyDescent="0.2"/>
    <row r="36843" s="689" customFormat="1" x14ac:dyDescent="0.2"/>
    <row r="36844" s="689" customFormat="1" x14ac:dyDescent="0.2"/>
    <row r="36845" s="689" customFormat="1" x14ac:dyDescent="0.2"/>
    <row r="36846" s="689" customFormat="1" x14ac:dyDescent="0.2"/>
    <row r="36847" s="689" customFormat="1" x14ac:dyDescent="0.2"/>
    <row r="36848" s="689" customFormat="1" x14ac:dyDescent="0.2"/>
    <row r="36849" s="689" customFormat="1" x14ac:dyDescent="0.2"/>
    <row r="36850" s="689" customFormat="1" x14ac:dyDescent="0.2"/>
    <row r="36851" s="689" customFormat="1" x14ac:dyDescent="0.2"/>
    <row r="36852" s="689" customFormat="1" x14ac:dyDescent="0.2"/>
    <row r="36853" s="689" customFormat="1" x14ac:dyDescent="0.2"/>
    <row r="36854" s="689" customFormat="1" x14ac:dyDescent="0.2"/>
    <row r="36855" s="689" customFormat="1" x14ac:dyDescent="0.2"/>
    <row r="36856" s="689" customFormat="1" x14ac:dyDescent="0.2"/>
    <row r="36857" s="689" customFormat="1" x14ac:dyDescent="0.2"/>
    <row r="36858" s="689" customFormat="1" x14ac:dyDescent="0.2"/>
    <row r="36859" s="689" customFormat="1" x14ac:dyDescent="0.2"/>
    <row r="36860" s="689" customFormat="1" x14ac:dyDescent="0.2"/>
    <row r="36861" s="689" customFormat="1" x14ac:dyDescent="0.2"/>
    <row r="36862" s="689" customFormat="1" x14ac:dyDescent="0.2"/>
    <row r="36863" s="689" customFormat="1" x14ac:dyDescent="0.2"/>
    <row r="36864" s="689" customFormat="1" x14ac:dyDescent="0.2"/>
    <row r="36865" s="689" customFormat="1" x14ac:dyDescent="0.2"/>
    <row r="36866" s="689" customFormat="1" x14ac:dyDescent="0.2"/>
    <row r="36867" s="689" customFormat="1" x14ac:dyDescent="0.2"/>
    <row r="36868" s="689" customFormat="1" x14ac:dyDescent="0.2"/>
    <row r="36869" s="689" customFormat="1" x14ac:dyDescent="0.2"/>
    <row r="36870" s="689" customFormat="1" x14ac:dyDescent="0.2"/>
    <row r="36871" s="689" customFormat="1" x14ac:dyDescent="0.2"/>
    <row r="36872" s="689" customFormat="1" x14ac:dyDescent="0.2"/>
    <row r="36873" s="689" customFormat="1" x14ac:dyDescent="0.2"/>
    <row r="36874" s="689" customFormat="1" x14ac:dyDescent="0.2"/>
    <row r="36875" s="689" customFormat="1" x14ac:dyDescent="0.2"/>
    <row r="36876" s="689" customFormat="1" x14ac:dyDescent="0.2"/>
    <row r="36877" s="689" customFormat="1" x14ac:dyDescent="0.2"/>
    <row r="36878" s="689" customFormat="1" x14ac:dyDescent="0.2"/>
    <row r="36879" s="689" customFormat="1" x14ac:dyDescent="0.2"/>
    <row r="36880" s="689" customFormat="1" x14ac:dyDescent="0.2"/>
    <row r="36881" s="689" customFormat="1" x14ac:dyDescent="0.2"/>
    <row r="36882" s="689" customFormat="1" x14ac:dyDescent="0.2"/>
    <row r="36883" s="689" customFormat="1" x14ac:dyDescent="0.2"/>
    <row r="36884" s="689" customFormat="1" x14ac:dyDescent="0.2"/>
    <row r="36885" s="689" customFormat="1" x14ac:dyDescent="0.2"/>
    <row r="36886" s="689" customFormat="1" x14ac:dyDescent="0.2"/>
    <row r="36887" s="689" customFormat="1" x14ac:dyDescent="0.2"/>
    <row r="36888" s="689" customFormat="1" x14ac:dyDescent="0.2"/>
    <row r="36889" s="689" customFormat="1" x14ac:dyDescent="0.2"/>
    <row r="36890" s="689" customFormat="1" x14ac:dyDescent="0.2"/>
    <row r="36891" s="689" customFormat="1" x14ac:dyDescent="0.2"/>
    <row r="36892" s="689" customFormat="1" x14ac:dyDescent="0.2"/>
    <row r="36893" s="689" customFormat="1" x14ac:dyDescent="0.2"/>
    <row r="36894" s="689" customFormat="1" x14ac:dyDescent="0.2"/>
    <row r="36895" s="689" customFormat="1" x14ac:dyDescent="0.2"/>
    <row r="36896" s="689" customFormat="1" x14ac:dyDescent="0.2"/>
    <row r="36897" s="689" customFormat="1" x14ac:dyDescent="0.2"/>
    <row r="36898" s="689" customFormat="1" x14ac:dyDescent="0.2"/>
    <row r="36899" s="689" customFormat="1" x14ac:dyDescent="0.2"/>
    <row r="36900" s="689" customFormat="1" x14ac:dyDescent="0.2"/>
    <row r="36901" s="689" customFormat="1" x14ac:dyDescent="0.2"/>
    <row r="36902" s="689" customFormat="1" x14ac:dyDescent="0.2"/>
    <row r="36903" s="689" customFormat="1" x14ac:dyDescent="0.2"/>
    <row r="36904" s="689" customFormat="1" x14ac:dyDescent="0.2"/>
    <row r="36905" s="689" customFormat="1" x14ac:dyDescent="0.2"/>
    <row r="36906" s="689" customFormat="1" x14ac:dyDescent="0.2"/>
    <row r="36907" s="689" customFormat="1" x14ac:dyDescent="0.2"/>
    <row r="36908" s="689" customFormat="1" x14ac:dyDescent="0.2"/>
    <row r="36909" s="689" customFormat="1" x14ac:dyDescent="0.2"/>
    <row r="36910" s="689" customFormat="1" x14ac:dyDescent="0.2"/>
    <row r="36911" s="689" customFormat="1" x14ac:dyDescent="0.2"/>
    <row r="36912" s="689" customFormat="1" x14ac:dyDescent="0.2"/>
    <row r="36913" s="689" customFormat="1" x14ac:dyDescent="0.2"/>
    <row r="36914" s="689" customFormat="1" x14ac:dyDescent="0.2"/>
    <row r="36915" s="689" customFormat="1" x14ac:dyDescent="0.2"/>
    <row r="36916" s="689" customFormat="1" x14ac:dyDescent="0.2"/>
    <row r="36917" s="689" customFormat="1" x14ac:dyDescent="0.2"/>
    <row r="36918" s="689" customFormat="1" x14ac:dyDescent="0.2"/>
    <row r="36919" s="689" customFormat="1" x14ac:dyDescent="0.2"/>
    <row r="36920" s="689" customFormat="1" x14ac:dyDescent="0.2"/>
    <row r="36921" s="689" customFormat="1" x14ac:dyDescent="0.2"/>
    <row r="36922" s="689" customFormat="1" x14ac:dyDescent="0.2"/>
    <row r="36923" s="689" customFormat="1" x14ac:dyDescent="0.2"/>
    <row r="36924" s="689" customFormat="1" x14ac:dyDescent="0.2"/>
    <row r="36925" s="689" customFormat="1" x14ac:dyDescent="0.2"/>
    <row r="36926" s="689" customFormat="1" x14ac:dyDescent="0.2"/>
    <row r="36927" s="689" customFormat="1" x14ac:dyDescent="0.2"/>
    <row r="36928" s="689" customFormat="1" x14ac:dyDescent="0.2"/>
    <row r="36929" s="689" customFormat="1" x14ac:dyDescent="0.2"/>
    <row r="36930" s="689" customFormat="1" x14ac:dyDescent="0.2"/>
    <row r="36931" s="689" customFormat="1" x14ac:dyDescent="0.2"/>
    <row r="36932" s="689" customFormat="1" x14ac:dyDescent="0.2"/>
    <row r="36933" s="689" customFormat="1" x14ac:dyDescent="0.2"/>
    <row r="36934" s="689" customFormat="1" x14ac:dyDescent="0.2"/>
    <row r="36935" s="689" customFormat="1" x14ac:dyDescent="0.2"/>
    <row r="36936" s="689" customFormat="1" x14ac:dyDescent="0.2"/>
    <row r="36937" s="689" customFormat="1" x14ac:dyDescent="0.2"/>
    <row r="36938" s="689" customFormat="1" x14ac:dyDescent="0.2"/>
    <row r="36939" s="689" customFormat="1" x14ac:dyDescent="0.2"/>
    <row r="36940" s="689" customFormat="1" x14ac:dyDescent="0.2"/>
    <row r="36941" s="689" customFormat="1" x14ac:dyDescent="0.2"/>
    <row r="36942" s="689" customFormat="1" x14ac:dyDescent="0.2"/>
    <row r="36943" s="689" customFormat="1" x14ac:dyDescent="0.2"/>
    <row r="36944" s="689" customFormat="1" x14ac:dyDescent="0.2"/>
    <row r="36945" s="689" customFormat="1" x14ac:dyDescent="0.2"/>
    <row r="36946" s="689" customFormat="1" x14ac:dyDescent="0.2"/>
    <row r="36947" s="689" customFormat="1" x14ac:dyDescent="0.2"/>
    <row r="36948" s="689" customFormat="1" x14ac:dyDescent="0.2"/>
    <row r="36949" s="689" customFormat="1" x14ac:dyDescent="0.2"/>
    <row r="36950" s="689" customFormat="1" x14ac:dyDescent="0.2"/>
    <row r="36951" s="689" customFormat="1" x14ac:dyDescent="0.2"/>
    <row r="36952" s="689" customFormat="1" x14ac:dyDescent="0.2"/>
    <row r="36953" s="689" customFormat="1" x14ac:dyDescent="0.2"/>
    <row r="36954" s="689" customFormat="1" x14ac:dyDescent="0.2"/>
    <row r="36955" s="689" customFormat="1" x14ac:dyDescent="0.2"/>
    <row r="36956" s="689" customFormat="1" x14ac:dyDescent="0.2"/>
    <row r="36957" s="689" customFormat="1" x14ac:dyDescent="0.2"/>
    <row r="36958" s="689" customFormat="1" x14ac:dyDescent="0.2"/>
    <row r="36959" s="689" customFormat="1" x14ac:dyDescent="0.2"/>
    <row r="36960" s="689" customFormat="1" x14ac:dyDescent="0.2"/>
    <row r="36961" s="689" customFormat="1" x14ac:dyDescent="0.2"/>
    <row r="36962" s="689" customFormat="1" x14ac:dyDescent="0.2"/>
    <row r="36963" s="689" customFormat="1" x14ac:dyDescent="0.2"/>
    <row r="36964" s="689" customFormat="1" x14ac:dyDescent="0.2"/>
    <row r="36965" s="689" customFormat="1" x14ac:dyDescent="0.2"/>
    <row r="36966" s="689" customFormat="1" x14ac:dyDescent="0.2"/>
    <row r="36967" s="689" customFormat="1" x14ac:dyDescent="0.2"/>
    <row r="36968" s="689" customFormat="1" x14ac:dyDescent="0.2"/>
    <row r="36969" s="689" customFormat="1" x14ac:dyDescent="0.2"/>
    <row r="36970" s="689" customFormat="1" x14ac:dyDescent="0.2"/>
    <row r="36971" s="689" customFormat="1" x14ac:dyDescent="0.2"/>
    <row r="36972" s="689" customFormat="1" x14ac:dyDescent="0.2"/>
    <row r="36973" s="689" customFormat="1" x14ac:dyDescent="0.2"/>
    <row r="36974" s="689" customFormat="1" x14ac:dyDescent="0.2"/>
    <row r="36975" s="689" customFormat="1" x14ac:dyDescent="0.2"/>
    <row r="36976" s="689" customFormat="1" x14ac:dyDescent="0.2"/>
    <row r="36977" s="689" customFormat="1" x14ac:dyDescent="0.2"/>
    <row r="36978" s="689" customFormat="1" x14ac:dyDescent="0.2"/>
    <row r="36979" s="689" customFormat="1" x14ac:dyDescent="0.2"/>
    <row r="36980" s="689" customFormat="1" x14ac:dyDescent="0.2"/>
    <row r="36981" s="689" customFormat="1" x14ac:dyDescent="0.2"/>
    <row r="36982" s="689" customFormat="1" x14ac:dyDescent="0.2"/>
    <row r="36983" s="689" customFormat="1" x14ac:dyDescent="0.2"/>
    <row r="36984" s="689" customFormat="1" x14ac:dyDescent="0.2"/>
    <row r="36985" s="689" customFormat="1" x14ac:dyDescent="0.2"/>
    <row r="36986" s="689" customFormat="1" x14ac:dyDescent="0.2"/>
    <row r="36987" s="689" customFormat="1" x14ac:dyDescent="0.2"/>
    <row r="36988" s="689" customFormat="1" x14ac:dyDescent="0.2"/>
    <row r="36989" s="689" customFormat="1" x14ac:dyDescent="0.2"/>
    <row r="36990" s="689" customFormat="1" x14ac:dyDescent="0.2"/>
    <row r="36991" s="689" customFormat="1" x14ac:dyDescent="0.2"/>
    <row r="36992" s="689" customFormat="1" x14ac:dyDescent="0.2"/>
    <row r="36993" s="689" customFormat="1" x14ac:dyDescent="0.2"/>
    <row r="36994" s="689" customFormat="1" x14ac:dyDescent="0.2"/>
    <row r="36995" s="689" customFormat="1" x14ac:dyDescent="0.2"/>
    <row r="36996" s="689" customFormat="1" x14ac:dyDescent="0.2"/>
    <row r="36997" s="689" customFormat="1" x14ac:dyDescent="0.2"/>
    <row r="36998" s="689" customFormat="1" x14ac:dyDescent="0.2"/>
    <row r="36999" s="689" customFormat="1" x14ac:dyDescent="0.2"/>
    <row r="37000" s="689" customFormat="1" x14ac:dyDescent="0.2"/>
    <row r="37001" s="689" customFormat="1" x14ac:dyDescent="0.2"/>
    <row r="37002" s="689" customFormat="1" x14ac:dyDescent="0.2"/>
    <row r="37003" s="689" customFormat="1" x14ac:dyDescent="0.2"/>
    <row r="37004" s="689" customFormat="1" x14ac:dyDescent="0.2"/>
    <row r="37005" s="689" customFormat="1" x14ac:dyDescent="0.2"/>
    <row r="37006" s="689" customFormat="1" x14ac:dyDescent="0.2"/>
    <row r="37007" s="689" customFormat="1" x14ac:dyDescent="0.2"/>
    <row r="37008" s="689" customFormat="1" x14ac:dyDescent="0.2"/>
    <row r="37009" s="689" customFormat="1" x14ac:dyDescent="0.2"/>
    <row r="37010" s="689" customFormat="1" x14ac:dyDescent="0.2"/>
    <row r="37011" s="689" customFormat="1" x14ac:dyDescent="0.2"/>
    <row r="37012" s="689" customFormat="1" x14ac:dyDescent="0.2"/>
    <row r="37013" s="689" customFormat="1" x14ac:dyDescent="0.2"/>
    <row r="37014" s="689" customFormat="1" x14ac:dyDescent="0.2"/>
    <row r="37015" s="689" customFormat="1" x14ac:dyDescent="0.2"/>
    <row r="37016" s="689" customFormat="1" x14ac:dyDescent="0.2"/>
    <row r="37017" s="689" customFormat="1" x14ac:dyDescent="0.2"/>
    <row r="37018" s="689" customFormat="1" x14ac:dyDescent="0.2"/>
    <row r="37019" s="689" customFormat="1" x14ac:dyDescent="0.2"/>
    <row r="37020" s="689" customFormat="1" x14ac:dyDescent="0.2"/>
    <row r="37021" s="689" customFormat="1" x14ac:dyDescent="0.2"/>
    <row r="37022" s="689" customFormat="1" x14ac:dyDescent="0.2"/>
    <row r="37023" s="689" customFormat="1" x14ac:dyDescent="0.2"/>
    <row r="37024" s="689" customFormat="1" x14ac:dyDescent="0.2"/>
    <row r="37025" s="689" customFormat="1" x14ac:dyDescent="0.2"/>
    <row r="37026" s="689" customFormat="1" x14ac:dyDescent="0.2"/>
    <row r="37027" s="689" customFormat="1" x14ac:dyDescent="0.2"/>
    <row r="37028" s="689" customFormat="1" x14ac:dyDescent="0.2"/>
    <row r="37029" s="689" customFormat="1" x14ac:dyDescent="0.2"/>
    <row r="37030" s="689" customFormat="1" x14ac:dyDescent="0.2"/>
    <row r="37031" s="689" customFormat="1" x14ac:dyDescent="0.2"/>
    <row r="37032" s="689" customFormat="1" x14ac:dyDescent="0.2"/>
    <row r="37033" s="689" customFormat="1" x14ac:dyDescent="0.2"/>
    <row r="37034" s="689" customFormat="1" x14ac:dyDescent="0.2"/>
    <row r="37035" s="689" customFormat="1" x14ac:dyDescent="0.2"/>
    <row r="37036" s="689" customFormat="1" x14ac:dyDescent="0.2"/>
    <row r="37037" s="689" customFormat="1" x14ac:dyDescent="0.2"/>
    <row r="37038" s="689" customFormat="1" x14ac:dyDescent="0.2"/>
    <row r="37039" s="689" customFormat="1" x14ac:dyDescent="0.2"/>
    <row r="37040" s="689" customFormat="1" x14ac:dyDescent="0.2"/>
    <row r="37041" s="689" customFormat="1" x14ac:dyDescent="0.2"/>
    <row r="37042" s="689" customFormat="1" x14ac:dyDescent="0.2"/>
    <row r="37043" s="689" customFormat="1" x14ac:dyDescent="0.2"/>
    <row r="37044" s="689" customFormat="1" x14ac:dyDescent="0.2"/>
    <row r="37045" s="689" customFormat="1" x14ac:dyDescent="0.2"/>
    <row r="37046" s="689" customFormat="1" x14ac:dyDescent="0.2"/>
    <row r="37047" s="689" customFormat="1" x14ac:dyDescent="0.2"/>
    <row r="37048" s="689" customFormat="1" x14ac:dyDescent="0.2"/>
    <row r="37049" s="689" customFormat="1" x14ac:dyDescent="0.2"/>
    <row r="37050" s="689" customFormat="1" x14ac:dyDescent="0.2"/>
    <row r="37051" s="689" customFormat="1" x14ac:dyDescent="0.2"/>
    <row r="37052" s="689" customFormat="1" x14ac:dyDescent="0.2"/>
    <row r="37053" s="689" customFormat="1" x14ac:dyDescent="0.2"/>
    <row r="37054" s="689" customFormat="1" x14ac:dyDescent="0.2"/>
    <row r="37055" s="689" customFormat="1" x14ac:dyDescent="0.2"/>
    <row r="37056" s="689" customFormat="1" x14ac:dyDescent="0.2"/>
    <row r="37057" s="689" customFormat="1" x14ac:dyDescent="0.2"/>
    <row r="37058" s="689" customFormat="1" x14ac:dyDescent="0.2"/>
    <row r="37059" s="689" customFormat="1" x14ac:dyDescent="0.2"/>
    <row r="37060" s="689" customFormat="1" x14ac:dyDescent="0.2"/>
    <row r="37061" s="689" customFormat="1" x14ac:dyDescent="0.2"/>
    <row r="37062" s="689" customFormat="1" x14ac:dyDescent="0.2"/>
    <row r="37063" s="689" customFormat="1" x14ac:dyDescent="0.2"/>
    <row r="37064" s="689" customFormat="1" x14ac:dyDescent="0.2"/>
    <row r="37065" s="689" customFormat="1" x14ac:dyDescent="0.2"/>
    <row r="37066" s="689" customFormat="1" x14ac:dyDescent="0.2"/>
    <row r="37067" s="689" customFormat="1" x14ac:dyDescent="0.2"/>
    <row r="37068" s="689" customFormat="1" x14ac:dyDescent="0.2"/>
    <row r="37069" s="689" customFormat="1" x14ac:dyDescent="0.2"/>
    <row r="37070" s="689" customFormat="1" x14ac:dyDescent="0.2"/>
    <row r="37071" s="689" customFormat="1" x14ac:dyDescent="0.2"/>
    <row r="37072" s="689" customFormat="1" x14ac:dyDescent="0.2"/>
    <row r="37073" s="689" customFormat="1" x14ac:dyDescent="0.2"/>
    <row r="37074" s="689" customFormat="1" x14ac:dyDescent="0.2"/>
    <row r="37075" s="689" customFormat="1" x14ac:dyDescent="0.2"/>
    <row r="37076" s="689" customFormat="1" x14ac:dyDescent="0.2"/>
    <row r="37077" s="689" customFormat="1" x14ac:dyDescent="0.2"/>
    <row r="37078" s="689" customFormat="1" x14ac:dyDescent="0.2"/>
    <row r="37079" s="689" customFormat="1" x14ac:dyDescent="0.2"/>
    <row r="37080" s="689" customFormat="1" x14ac:dyDescent="0.2"/>
    <row r="37081" s="689" customFormat="1" x14ac:dyDescent="0.2"/>
    <row r="37082" s="689" customFormat="1" x14ac:dyDescent="0.2"/>
    <row r="37083" s="689" customFormat="1" x14ac:dyDescent="0.2"/>
    <row r="37084" s="689" customFormat="1" x14ac:dyDescent="0.2"/>
    <row r="37085" s="689" customFormat="1" x14ac:dyDescent="0.2"/>
    <row r="37086" s="689" customFormat="1" x14ac:dyDescent="0.2"/>
    <row r="37087" s="689" customFormat="1" x14ac:dyDescent="0.2"/>
    <row r="37088" s="689" customFormat="1" x14ac:dyDescent="0.2"/>
    <row r="37089" s="689" customFormat="1" x14ac:dyDescent="0.2"/>
    <row r="37090" s="689" customFormat="1" x14ac:dyDescent="0.2"/>
    <row r="37091" s="689" customFormat="1" x14ac:dyDescent="0.2"/>
    <row r="37092" s="689" customFormat="1" x14ac:dyDescent="0.2"/>
    <row r="37093" s="689" customFormat="1" x14ac:dyDescent="0.2"/>
    <row r="37094" s="689" customFormat="1" x14ac:dyDescent="0.2"/>
    <row r="37095" s="689" customFormat="1" x14ac:dyDescent="0.2"/>
    <row r="37096" s="689" customFormat="1" x14ac:dyDescent="0.2"/>
    <row r="37097" s="689" customFormat="1" x14ac:dyDescent="0.2"/>
    <row r="37098" s="689" customFormat="1" x14ac:dyDescent="0.2"/>
    <row r="37099" s="689" customFormat="1" x14ac:dyDescent="0.2"/>
    <row r="37100" s="689" customFormat="1" x14ac:dyDescent="0.2"/>
    <row r="37101" s="689" customFormat="1" x14ac:dyDescent="0.2"/>
    <row r="37102" s="689" customFormat="1" x14ac:dyDescent="0.2"/>
    <row r="37103" s="689" customFormat="1" x14ac:dyDescent="0.2"/>
    <row r="37104" s="689" customFormat="1" x14ac:dyDescent="0.2"/>
    <row r="37105" s="689" customFormat="1" x14ac:dyDescent="0.2"/>
    <row r="37106" s="689" customFormat="1" x14ac:dyDescent="0.2"/>
    <row r="37107" s="689" customFormat="1" x14ac:dyDescent="0.2"/>
    <row r="37108" s="689" customFormat="1" x14ac:dyDescent="0.2"/>
    <row r="37109" s="689" customFormat="1" x14ac:dyDescent="0.2"/>
    <row r="37110" s="689" customFormat="1" x14ac:dyDescent="0.2"/>
    <row r="37111" s="689" customFormat="1" x14ac:dyDescent="0.2"/>
    <row r="37112" s="689" customFormat="1" x14ac:dyDescent="0.2"/>
    <row r="37113" s="689" customFormat="1" x14ac:dyDescent="0.2"/>
    <row r="37114" s="689" customFormat="1" x14ac:dyDescent="0.2"/>
    <row r="37115" s="689" customFormat="1" x14ac:dyDescent="0.2"/>
    <row r="37116" s="689" customFormat="1" x14ac:dyDescent="0.2"/>
    <row r="37117" s="689" customFormat="1" x14ac:dyDescent="0.2"/>
    <row r="37118" s="689" customFormat="1" x14ac:dyDescent="0.2"/>
    <row r="37119" s="689" customFormat="1" x14ac:dyDescent="0.2"/>
    <row r="37120" s="689" customFormat="1" x14ac:dyDescent="0.2"/>
    <row r="37121" s="689" customFormat="1" x14ac:dyDescent="0.2"/>
    <row r="37122" s="689" customFormat="1" x14ac:dyDescent="0.2"/>
    <row r="37123" s="689" customFormat="1" x14ac:dyDescent="0.2"/>
    <row r="37124" s="689" customFormat="1" x14ac:dyDescent="0.2"/>
    <row r="37125" s="689" customFormat="1" x14ac:dyDescent="0.2"/>
    <row r="37126" s="689" customFormat="1" x14ac:dyDescent="0.2"/>
    <row r="37127" s="689" customFormat="1" x14ac:dyDescent="0.2"/>
    <row r="37128" s="689" customFormat="1" x14ac:dyDescent="0.2"/>
    <row r="37129" s="689" customFormat="1" x14ac:dyDescent="0.2"/>
    <row r="37130" s="689" customFormat="1" x14ac:dyDescent="0.2"/>
    <row r="37131" s="689" customFormat="1" x14ac:dyDescent="0.2"/>
    <row r="37132" s="689" customFormat="1" x14ac:dyDescent="0.2"/>
    <row r="37133" s="689" customFormat="1" x14ac:dyDescent="0.2"/>
    <row r="37134" s="689" customFormat="1" x14ac:dyDescent="0.2"/>
    <row r="37135" s="689" customFormat="1" x14ac:dyDescent="0.2"/>
    <row r="37136" s="689" customFormat="1" x14ac:dyDescent="0.2"/>
    <row r="37137" s="689" customFormat="1" x14ac:dyDescent="0.2"/>
    <row r="37138" s="689" customFormat="1" x14ac:dyDescent="0.2"/>
    <row r="37139" s="689" customFormat="1" x14ac:dyDescent="0.2"/>
    <row r="37140" s="689" customFormat="1" x14ac:dyDescent="0.2"/>
    <row r="37141" s="689" customFormat="1" x14ac:dyDescent="0.2"/>
    <row r="37142" s="689" customFormat="1" x14ac:dyDescent="0.2"/>
    <row r="37143" s="689" customFormat="1" x14ac:dyDescent="0.2"/>
    <row r="37144" s="689" customFormat="1" x14ac:dyDescent="0.2"/>
    <row r="37145" s="689" customFormat="1" x14ac:dyDescent="0.2"/>
    <row r="37146" s="689" customFormat="1" x14ac:dyDescent="0.2"/>
    <row r="37147" s="689" customFormat="1" x14ac:dyDescent="0.2"/>
    <row r="37148" s="689" customFormat="1" x14ac:dyDescent="0.2"/>
    <row r="37149" s="689" customFormat="1" x14ac:dyDescent="0.2"/>
    <row r="37150" s="689" customFormat="1" x14ac:dyDescent="0.2"/>
    <row r="37151" s="689" customFormat="1" x14ac:dyDescent="0.2"/>
    <row r="37152" s="689" customFormat="1" x14ac:dyDescent="0.2"/>
    <row r="37153" s="689" customFormat="1" x14ac:dyDescent="0.2"/>
    <row r="37154" s="689" customFormat="1" x14ac:dyDescent="0.2"/>
    <row r="37155" s="689" customFormat="1" x14ac:dyDescent="0.2"/>
    <row r="37156" s="689" customFormat="1" x14ac:dyDescent="0.2"/>
    <row r="37157" s="689" customFormat="1" x14ac:dyDescent="0.2"/>
    <row r="37158" s="689" customFormat="1" x14ac:dyDescent="0.2"/>
    <row r="37159" s="689" customFormat="1" x14ac:dyDescent="0.2"/>
    <row r="37160" s="689" customFormat="1" x14ac:dyDescent="0.2"/>
    <row r="37161" s="689" customFormat="1" x14ac:dyDescent="0.2"/>
    <row r="37162" s="689" customFormat="1" x14ac:dyDescent="0.2"/>
    <row r="37163" s="689" customFormat="1" x14ac:dyDescent="0.2"/>
    <row r="37164" s="689" customFormat="1" x14ac:dyDescent="0.2"/>
    <row r="37165" s="689" customFormat="1" x14ac:dyDescent="0.2"/>
    <row r="37166" s="689" customFormat="1" x14ac:dyDescent="0.2"/>
    <row r="37167" s="689" customFormat="1" x14ac:dyDescent="0.2"/>
    <row r="37168" s="689" customFormat="1" x14ac:dyDescent="0.2"/>
    <row r="37169" s="689" customFormat="1" x14ac:dyDescent="0.2"/>
    <row r="37170" s="689" customFormat="1" x14ac:dyDescent="0.2"/>
    <row r="37171" s="689" customFormat="1" x14ac:dyDescent="0.2"/>
    <row r="37172" s="689" customFormat="1" x14ac:dyDescent="0.2"/>
    <row r="37173" s="689" customFormat="1" x14ac:dyDescent="0.2"/>
    <row r="37174" s="689" customFormat="1" x14ac:dyDescent="0.2"/>
    <row r="37175" s="689" customFormat="1" x14ac:dyDescent="0.2"/>
    <row r="37176" s="689" customFormat="1" x14ac:dyDescent="0.2"/>
    <row r="37177" s="689" customFormat="1" x14ac:dyDescent="0.2"/>
    <row r="37178" s="689" customFormat="1" x14ac:dyDescent="0.2"/>
    <row r="37179" s="689" customFormat="1" x14ac:dyDescent="0.2"/>
    <row r="37180" s="689" customFormat="1" x14ac:dyDescent="0.2"/>
    <row r="37181" s="689" customFormat="1" x14ac:dyDescent="0.2"/>
    <row r="37182" s="689" customFormat="1" x14ac:dyDescent="0.2"/>
    <row r="37183" s="689" customFormat="1" x14ac:dyDescent="0.2"/>
    <row r="37184" s="689" customFormat="1" x14ac:dyDescent="0.2"/>
    <row r="37185" s="689" customFormat="1" x14ac:dyDescent="0.2"/>
    <row r="37186" s="689" customFormat="1" x14ac:dyDescent="0.2"/>
    <row r="37187" s="689" customFormat="1" x14ac:dyDescent="0.2"/>
    <row r="37188" s="689" customFormat="1" x14ac:dyDescent="0.2"/>
    <row r="37189" s="689" customFormat="1" x14ac:dyDescent="0.2"/>
    <row r="37190" s="689" customFormat="1" x14ac:dyDescent="0.2"/>
    <row r="37191" s="689" customFormat="1" x14ac:dyDescent="0.2"/>
    <row r="37192" s="689" customFormat="1" x14ac:dyDescent="0.2"/>
    <row r="37193" s="689" customFormat="1" x14ac:dyDescent="0.2"/>
    <row r="37194" s="689" customFormat="1" x14ac:dyDescent="0.2"/>
    <row r="37195" s="689" customFormat="1" x14ac:dyDescent="0.2"/>
    <row r="37196" s="689" customFormat="1" x14ac:dyDescent="0.2"/>
    <row r="37197" s="689" customFormat="1" x14ac:dyDescent="0.2"/>
    <row r="37198" s="689" customFormat="1" x14ac:dyDescent="0.2"/>
    <row r="37199" s="689" customFormat="1" x14ac:dyDescent="0.2"/>
    <row r="37200" s="689" customFormat="1" x14ac:dyDescent="0.2"/>
    <row r="37201" s="689" customFormat="1" x14ac:dyDescent="0.2"/>
    <row r="37202" s="689" customFormat="1" x14ac:dyDescent="0.2"/>
    <row r="37203" s="689" customFormat="1" x14ac:dyDescent="0.2"/>
    <row r="37204" s="689" customFormat="1" x14ac:dyDescent="0.2"/>
    <row r="37205" s="689" customFormat="1" x14ac:dyDescent="0.2"/>
    <row r="37206" s="689" customFormat="1" x14ac:dyDescent="0.2"/>
    <row r="37207" s="689" customFormat="1" x14ac:dyDescent="0.2"/>
    <row r="37208" s="689" customFormat="1" x14ac:dyDescent="0.2"/>
    <row r="37209" s="689" customFormat="1" x14ac:dyDescent="0.2"/>
    <row r="37210" s="689" customFormat="1" x14ac:dyDescent="0.2"/>
    <row r="37211" s="689" customFormat="1" x14ac:dyDescent="0.2"/>
    <row r="37212" s="689" customFormat="1" x14ac:dyDescent="0.2"/>
    <row r="37213" s="689" customFormat="1" x14ac:dyDescent="0.2"/>
    <row r="37214" s="689" customFormat="1" x14ac:dyDescent="0.2"/>
    <row r="37215" s="689" customFormat="1" x14ac:dyDescent="0.2"/>
    <row r="37216" s="689" customFormat="1" x14ac:dyDescent="0.2"/>
    <row r="37217" s="689" customFormat="1" x14ac:dyDescent="0.2"/>
    <row r="37218" s="689" customFormat="1" x14ac:dyDescent="0.2"/>
    <row r="37219" s="689" customFormat="1" x14ac:dyDescent="0.2"/>
    <row r="37220" s="689" customFormat="1" x14ac:dyDescent="0.2"/>
    <row r="37221" s="689" customFormat="1" x14ac:dyDescent="0.2"/>
    <row r="37222" s="689" customFormat="1" x14ac:dyDescent="0.2"/>
    <row r="37223" s="689" customFormat="1" x14ac:dyDescent="0.2"/>
    <row r="37224" s="689" customFormat="1" x14ac:dyDescent="0.2"/>
    <row r="37225" s="689" customFormat="1" x14ac:dyDescent="0.2"/>
    <row r="37226" s="689" customFormat="1" x14ac:dyDescent="0.2"/>
    <row r="37227" s="689" customFormat="1" x14ac:dyDescent="0.2"/>
    <row r="37228" s="689" customFormat="1" x14ac:dyDescent="0.2"/>
    <row r="37229" s="689" customFormat="1" x14ac:dyDescent="0.2"/>
    <row r="37230" s="689" customFormat="1" x14ac:dyDescent="0.2"/>
    <row r="37231" s="689" customFormat="1" x14ac:dyDescent="0.2"/>
    <row r="37232" s="689" customFormat="1" x14ac:dyDescent="0.2"/>
    <row r="37233" s="689" customFormat="1" x14ac:dyDescent="0.2"/>
    <row r="37234" s="689" customFormat="1" x14ac:dyDescent="0.2"/>
    <row r="37235" s="689" customFormat="1" x14ac:dyDescent="0.2"/>
    <row r="37236" s="689" customFormat="1" x14ac:dyDescent="0.2"/>
    <row r="37237" s="689" customFormat="1" x14ac:dyDescent="0.2"/>
    <row r="37238" s="689" customFormat="1" x14ac:dyDescent="0.2"/>
    <row r="37239" s="689" customFormat="1" x14ac:dyDescent="0.2"/>
    <row r="37240" s="689" customFormat="1" x14ac:dyDescent="0.2"/>
    <row r="37241" s="689" customFormat="1" x14ac:dyDescent="0.2"/>
    <row r="37242" s="689" customFormat="1" x14ac:dyDescent="0.2"/>
    <row r="37243" s="689" customFormat="1" x14ac:dyDescent="0.2"/>
    <row r="37244" s="689" customFormat="1" x14ac:dyDescent="0.2"/>
    <row r="37245" s="689" customFormat="1" x14ac:dyDescent="0.2"/>
    <row r="37246" s="689" customFormat="1" x14ac:dyDescent="0.2"/>
    <row r="37247" s="689" customFormat="1" x14ac:dyDescent="0.2"/>
    <row r="37248" s="689" customFormat="1" x14ac:dyDescent="0.2"/>
    <row r="37249" s="689" customFormat="1" x14ac:dyDescent="0.2"/>
    <row r="37250" s="689" customFormat="1" x14ac:dyDescent="0.2"/>
    <row r="37251" s="689" customFormat="1" x14ac:dyDescent="0.2"/>
    <row r="37252" s="689" customFormat="1" x14ac:dyDescent="0.2"/>
    <row r="37253" s="689" customFormat="1" x14ac:dyDescent="0.2"/>
    <row r="37254" s="689" customFormat="1" x14ac:dyDescent="0.2"/>
    <row r="37255" s="689" customFormat="1" x14ac:dyDescent="0.2"/>
    <row r="37256" s="689" customFormat="1" x14ac:dyDescent="0.2"/>
    <row r="37257" s="689" customFormat="1" x14ac:dyDescent="0.2"/>
    <row r="37258" s="689" customFormat="1" x14ac:dyDescent="0.2"/>
    <row r="37259" s="689" customFormat="1" x14ac:dyDescent="0.2"/>
    <row r="37260" s="689" customFormat="1" x14ac:dyDescent="0.2"/>
    <row r="37261" s="689" customFormat="1" x14ac:dyDescent="0.2"/>
    <row r="37262" s="689" customFormat="1" x14ac:dyDescent="0.2"/>
    <row r="37263" s="689" customFormat="1" x14ac:dyDescent="0.2"/>
    <row r="37264" s="689" customFormat="1" x14ac:dyDescent="0.2"/>
    <row r="37265" s="689" customFormat="1" x14ac:dyDescent="0.2"/>
    <row r="37266" s="689" customFormat="1" x14ac:dyDescent="0.2"/>
    <row r="37267" s="689" customFormat="1" x14ac:dyDescent="0.2"/>
    <row r="37268" s="689" customFormat="1" x14ac:dyDescent="0.2"/>
    <row r="37269" s="689" customFormat="1" x14ac:dyDescent="0.2"/>
    <row r="37270" s="689" customFormat="1" x14ac:dyDescent="0.2"/>
    <row r="37271" s="689" customFormat="1" x14ac:dyDescent="0.2"/>
    <row r="37272" s="689" customFormat="1" x14ac:dyDescent="0.2"/>
    <row r="37273" s="689" customFormat="1" x14ac:dyDescent="0.2"/>
    <row r="37274" s="689" customFormat="1" x14ac:dyDescent="0.2"/>
    <row r="37275" s="689" customFormat="1" x14ac:dyDescent="0.2"/>
    <row r="37276" s="689" customFormat="1" x14ac:dyDescent="0.2"/>
    <row r="37277" s="689" customFormat="1" x14ac:dyDescent="0.2"/>
    <row r="37278" s="689" customFormat="1" x14ac:dyDescent="0.2"/>
    <row r="37279" s="689" customFormat="1" x14ac:dyDescent="0.2"/>
    <row r="37280" s="689" customFormat="1" x14ac:dyDescent="0.2"/>
    <row r="37281" s="689" customFormat="1" x14ac:dyDescent="0.2"/>
    <row r="37282" s="689" customFormat="1" x14ac:dyDescent="0.2"/>
    <row r="37283" s="689" customFormat="1" x14ac:dyDescent="0.2"/>
    <row r="37284" s="689" customFormat="1" x14ac:dyDescent="0.2"/>
    <row r="37285" s="689" customFormat="1" x14ac:dyDescent="0.2"/>
    <row r="37286" s="689" customFormat="1" x14ac:dyDescent="0.2"/>
    <row r="37287" s="689" customFormat="1" x14ac:dyDescent="0.2"/>
    <row r="37288" s="689" customFormat="1" x14ac:dyDescent="0.2"/>
    <row r="37289" s="689" customFormat="1" x14ac:dyDescent="0.2"/>
    <row r="37290" s="689" customFormat="1" x14ac:dyDescent="0.2"/>
    <row r="37291" s="689" customFormat="1" x14ac:dyDescent="0.2"/>
    <row r="37292" s="689" customFormat="1" x14ac:dyDescent="0.2"/>
    <row r="37293" s="689" customFormat="1" x14ac:dyDescent="0.2"/>
    <row r="37294" s="689" customFormat="1" x14ac:dyDescent="0.2"/>
    <row r="37295" s="689" customFormat="1" x14ac:dyDescent="0.2"/>
    <row r="37296" s="689" customFormat="1" x14ac:dyDescent="0.2"/>
    <row r="37297" s="689" customFormat="1" x14ac:dyDescent="0.2"/>
    <row r="37298" s="689" customFormat="1" x14ac:dyDescent="0.2"/>
    <row r="37299" s="689" customFormat="1" x14ac:dyDescent="0.2"/>
    <row r="37300" s="689" customFormat="1" x14ac:dyDescent="0.2"/>
    <row r="37301" s="689" customFormat="1" x14ac:dyDescent="0.2"/>
    <row r="37302" s="689" customFormat="1" x14ac:dyDescent="0.2"/>
    <row r="37303" s="689" customFormat="1" x14ac:dyDescent="0.2"/>
    <row r="37304" s="689" customFormat="1" x14ac:dyDescent="0.2"/>
    <row r="37305" s="689" customFormat="1" x14ac:dyDescent="0.2"/>
    <row r="37306" s="689" customFormat="1" x14ac:dyDescent="0.2"/>
    <row r="37307" s="689" customFormat="1" x14ac:dyDescent="0.2"/>
    <row r="37308" s="689" customFormat="1" x14ac:dyDescent="0.2"/>
    <row r="37309" s="689" customFormat="1" x14ac:dyDescent="0.2"/>
    <row r="37310" s="689" customFormat="1" x14ac:dyDescent="0.2"/>
    <row r="37311" s="689" customFormat="1" x14ac:dyDescent="0.2"/>
    <row r="37312" s="689" customFormat="1" x14ac:dyDescent="0.2"/>
    <row r="37313" s="689" customFormat="1" x14ac:dyDescent="0.2"/>
    <row r="37314" s="689" customFormat="1" x14ac:dyDescent="0.2"/>
    <row r="37315" s="689" customFormat="1" x14ac:dyDescent="0.2"/>
    <row r="37316" s="689" customFormat="1" x14ac:dyDescent="0.2"/>
    <row r="37317" s="689" customFormat="1" x14ac:dyDescent="0.2"/>
    <row r="37318" s="689" customFormat="1" x14ac:dyDescent="0.2"/>
    <row r="37319" s="689" customFormat="1" x14ac:dyDescent="0.2"/>
    <row r="37320" s="689" customFormat="1" x14ac:dyDescent="0.2"/>
    <row r="37321" s="689" customFormat="1" x14ac:dyDescent="0.2"/>
    <row r="37322" s="689" customFormat="1" x14ac:dyDescent="0.2"/>
    <row r="37323" s="689" customFormat="1" x14ac:dyDescent="0.2"/>
    <row r="37324" s="689" customFormat="1" x14ac:dyDescent="0.2"/>
    <row r="37325" s="689" customFormat="1" x14ac:dyDescent="0.2"/>
    <row r="37326" s="689" customFormat="1" x14ac:dyDescent="0.2"/>
    <row r="37327" s="689" customFormat="1" x14ac:dyDescent="0.2"/>
    <row r="37328" s="689" customFormat="1" x14ac:dyDescent="0.2"/>
    <row r="37329" s="689" customFormat="1" x14ac:dyDescent="0.2"/>
    <row r="37330" s="689" customFormat="1" x14ac:dyDescent="0.2"/>
    <row r="37331" s="689" customFormat="1" x14ac:dyDescent="0.2"/>
    <row r="37332" s="689" customFormat="1" x14ac:dyDescent="0.2"/>
    <row r="37333" s="689" customFormat="1" x14ac:dyDescent="0.2"/>
    <row r="37334" s="689" customFormat="1" x14ac:dyDescent="0.2"/>
    <row r="37335" s="689" customFormat="1" x14ac:dyDescent="0.2"/>
    <row r="37336" s="689" customFormat="1" x14ac:dyDescent="0.2"/>
    <row r="37337" s="689" customFormat="1" x14ac:dyDescent="0.2"/>
    <row r="37338" s="689" customFormat="1" x14ac:dyDescent="0.2"/>
    <row r="37339" s="689" customFormat="1" x14ac:dyDescent="0.2"/>
    <row r="37340" s="689" customFormat="1" x14ac:dyDescent="0.2"/>
    <row r="37341" s="689" customFormat="1" x14ac:dyDescent="0.2"/>
    <row r="37342" s="689" customFormat="1" x14ac:dyDescent="0.2"/>
    <row r="37343" s="689" customFormat="1" x14ac:dyDescent="0.2"/>
    <row r="37344" s="689" customFormat="1" x14ac:dyDescent="0.2"/>
    <row r="37345" s="689" customFormat="1" x14ac:dyDescent="0.2"/>
    <row r="37346" s="689" customFormat="1" x14ac:dyDescent="0.2"/>
    <row r="37347" s="689" customFormat="1" x14ac:dyDescent="0.2"/>
    <row r="37348" s="689" customFormat="1" x14ac:dyDescent="0.2"/>
    <row r="37349" s="689" customFormat="1" x14ac:dyDescent="0.2"/>
    <row r="37350" s="689" customFormat="1" x14ac:dyDescent="0.2"/>
    <row r="37351" s="689" customFormat="1" x14ac:dyDescent="0.2"/>
    <row r="37352" s="689" customFormat="1" x14ac:dyDescent="0.2"/>
    <row r="37353" s="689" customFormat="1" x14ac:dyDescent="0.2"/>
    <row r="37354" s="689" customFormat="1" x14ac:dyDescent="0.2"/>
    <row r="37355" s="689" customFormat="1" x14ac:dyDescent="0.2"/>
    <row r="37356" s="689" customFormat="1" x14ac:dyDescent="0.2"/>
    <row r="37357" s="689" customFormat="1" x14ac:dyDescent="0.2"/>
    <row r="37358" s="689" customFormat="1" x14ac:dyDescent="0.2"/>
    <row r="37359" s="689" customFormat="1" x14ac:dyDescent="0.2"/>
    <row r="37360" s="689" customFormat="1" x14ac:dyDescent="0.2"/>
    <row r="37361" s="689" customFormat="1" x14ac:dyDescent="0.2"/>
    <row r="37362" s="689" customFormat="1" x14ac:dyDescent="0.2"/>
    <row r="37363" s="689" customFormat="1" x14ac:dyDescent="0.2"/>
    <row r="37364" s="689" customFormat="1" x14ac:dyDescent="0.2"/>
    <row r="37365" s="689" customFormat="1" x14ac:dyDescent="0.2"/>
    <row r="37366" s="689" customFormat="1" x14ac:dyDescent="0.2"/>
    <row r="37367" s="689" customFormat="1" x14ac:dyDescent="0.2"/>
    <row r="37368" s="689" customFormat="1" x14ac:dyDescent="0.2"/>
    <row r="37369" s="689" customFormat="1" x14ac:dyDescent="0.2"/>
    <row r="37370" s="689" customFormat="1" x14ac:dyDescent="0.2"/>
    <row r="37371" s="689" customFormat="1" x14ac:dyDescent="0.2"/>
    <row r="37372" s="689" customFormat="1" x14ac:dyDescent="0.2"/>
    <row r="37373" s="689" customFormat="1" x14ac:dyDescent="0.2"/>
    <row r="37374" s="689" customFormat="1" x14ac:dyDescent="0.2"/>
    <row r="37375" s="689" customFormat="1" x14ac:dyDescent="0.2"/>
    <row r="37376" s="689" customFormat="1" x14ac:dyDescent="0.2"/>
    <row r="37377" s="689" customFormat="1" x14ac:dyDescent="0.2"/>
    <row r="37378" s="689" customFormat="1" x14ac:dyDescent="0.2"/>
    <row r="37379" s="689" customFormat="1" x14ac:dyDescent="0.2"/>
    <row r="37380" s="689" customFormat="1" x14ac:dyDescent="0.2"/>
    <row r="37381" s="689" customFormat="1" x14ac:dyDescent="0.2"/>
    <row r="37382" s="689" customFormat="1" x14ac:dyDescent="0.2"/>
    <row r="37383" s="689" customFormat="1" x14ac:dyDescent="0.2"/>
    <row r="37384" s="689" customFormat="1" x14ac:dyDescent="0.2"/>
    <row r="37385" s="689" customFormat="1" x14ac:dyDescent="0.2"/>
    <row r="37386" s="689" customFormat="1" x14ac:dyDescent="0.2"/>
    <row r="37387" s="689" customFormat="1" x14ac:dyDescent="0.2"/>
    <row r="37388" s="689" customFormat="1" x14ac:dyDescent="0.2"/>
    <row r="37389" s="689" customFormat="1" x14ac:dyDescent="0.2"/>
    <row r="37390" s="689" customFormat="1" x14ac:dyDescent="0.2"/>
    <row r="37391" s="689" customFormat="1" x14ac:dyDescent="0.2"/>
    <row r="37392" s="689" customFormat="1" x14ac:dyDescent="0.2"/>
    <row r="37393" s="689" customFormat="1" x14ac:dyDescent="0.2"/>
    <row r="37394" s="689" customFormat="1" x14ac:dyDescent="0.2"/>
    <row r="37395" s="689" customFormat="1" x14ac:dyDescent="0.2"/>
    <row r="37396" s="689" customFormat="1" x14ac:dyDescent="0.2"/>
    <row r="37397" s="689" customFormat="1" x14ac:dyDescent="0.2"/>
    <row r="37398" s="689" customFormat="1" x14ac:dyDescent="0.2"/>
    <row r="37399" s="689" customFormat="1" x14ac:dyDescent="0.2"/>
    <row r="37400" s="689" customFormat="1" x14ac:dyDescent="0.2"/>
    <row r="37401" s="689" customFormat="1" x14ac:dyDescent="0.2"/>
    <row r="37402" s="689" customFormat="1" x14ac:dyDescent="0.2"/>
    <row r="37403" s="689" customFormat="1" x14ac:dyDescent="0.2"/>
    <row r="37404" s="689" customFormat="1" x14ac:dyDescent="0.2"/>
    <row r="37405" s="689" customFormat="1" x14ac:dyDescent="0.2"/>
    <row r="37406" s="689" customFormat="1" x14ac:dyDescent="0.2"/>
    <row r="37407" s="689" customFormat="1" x14ac:dyDescent="0.2"/>
    <row r="37408" s="689" customFormat="1" x14ac:dyDescent="0.2"/>
    <row r="37409" s="689" customFormat="1" x14ac:dyDescent="0.2"/>
    <row r="37410" s="689" customFormat="1" x14ac:dyDescent="0.2"/>
    <row r="37411" s="689" customFormat="1" x14ac:dyDescent="0.2"/>
    <row r="37412" s="689" customFormat="1" x14ac:dyDescent="0.2"/>
    <row r="37413" s="689" customFormat="1" x14ac:dyDescent="0.2"/>
    <row r="37414" s="689" customFormat="1" x14ac:dyDescent="0.2"/>
    <row r="37415" s="689" customFormat="1" x14ac:dyDescent="0.2"/>
    <row r="37416" s="689" customFormat="1" x14ac:dyDescent="0.2"/>
    <row r="37417" s="689" customFormat="1" x14ac:dyDescent="0.2"/>
    <row r="37418" s="689" customFormat="1" x14ac:dyDescent="0.2"/>
    <row r="37419" s="689" customFormat="1" x14ac:dyDescent="0.2"/>
    <row r="37420" s="689" customFormat="1" x14ac:dyDescent="0.2"/>
    <row r="37421" s="689" customFormat="1" x14ac:dyDescent="0.2"/>
    <row r="37422" s="689" customFormat="1" x14ac:dyDescent="0.2"/>
    <row r="37423" s="689" customFormat="1" x14ac:dyDescent="0.2"/>
    <row r="37424" s="689" customFormat="1" x14ac:dyDescent="0.2"/>
    <row r="37425" s="689" customFormat="1" x14ac:dyDescent="0.2"/>
    <row r="37426" s="689" customFormat="1" x14ac:dyDescent="0.2"/>
    <row r="37427" s="689" customFormat="1" x14ac:dyDescent="0.2"/>
    <row r="37428" s="689" customFormat="1" x14ac:dyDescent="0.2"/>
    <row r="37429" s="689" customFormat="1" x14ac:dyDescent="0.2"/>
    <row r="37430" s="689" customFormat="1" x14ac:dyDescent="0.2"/>
    <row r="37431" s="689" customFormat="1" x14ac:dyDescent="0.2"/>
    <row r="37432" s="689" customFormat="1" x14ac:dyDescent="0.2"/>
    <row r="37433" s="689" customFormat="1" x14ac:dyDescent="0.2"/>
    <row r="37434" s="689" customFormat="1" x14ac:dyDescent="0.2"/>
    <row r="37435" s="689" customFormat="1" x14ac:dyDescent="0.2"/>
    <row r="37436" s="689" customFormat="1" x14ac:dyDescent="0.2"/>
    <row r="37437" s="689" customFormat="1" x14ac:dyDescent="0.2"/>
    <row r="37438" s="689" customFormat="1" x14ac:dyDescent="0.2"/>
    <row r="37439" s="689" customFormat="1" x14ac:dyDescent="0.2"/>
    <row r="37440" s="689" customFormat="1" x14ac:dyDescent="0.2"/>
    <row r="37441" s="689" customFormat="1" x14ac:dyDescent="0.2"/>
    <row r="37442" s="689" customFormat="1" x14ac:dyDescent="0.2"/>
    <row r="37443" s="689" customFormat="1" x14ac:dyDescent="0.2"/>
    <row r="37444" s="689" customFormat="1" x14ac:dyDescent="0.2"/>
    <row r="37445" s="689" customFormat="1" x14ac:dyDescent="0.2"/>
    <row r="37446" s="689" customFormat="1" x14ac:dyDescent="0.2"/>
    <row r="37447" s="689" customFormat="1" x14ac:dyDescent="0.2"/>
    <row r="37448" s="689" customFormat="1" x14ac:dyDescent="0.2"/>
    <row r="37449" s="689" customFormat="1" x14ac:dyDescent="0.2"/>
    <row r="37450" s="689" customFormat="1" x14ac:dyDescent="0.2"/>
    <row r="37451" s="689" customFormat="1" x14ac:dyDescent="0.2"/>
    <row r="37452" s="689" customFormat="1" x14ac:dyDescent="0.2"/>
    <row r="37453" s="689" customFormat="1" x14ac:dyDescent="0.2"/>
    <row r="37454" s="689" customFormat="1" x14ac:dyDescent="0.2"/>
    <row r="37455" s="689" customFormat="1" x14ac:dyDescent="0.2"/>
    <row r="37456" s="689" customFormat="1" x14ac:dyDescent="0.2"/>
    <row r="37457" s="689" customFormat="1" x14ac:dyDescent="0.2"/>
    <row r="37458" s="689" customFormat="1" x14ac:dyDescent="0.2"/>
    <row r="37459" s="689" customFormat="1" x14ac:dyDescent="0.2"/>
    <row r="37460" s="689" customFormat="1" x14ac:dyDescent="0.2"/>
    <row r="37461" s="689" customFormat="1" x14ac:dyDescent="0.2"/>
    <row r="37462" s="689" customFormat="1" x14ac:dyDescent="0.2"/>
    <row r="37463" s="689" customFormat="1" x14ac:dyDescent="0.2"/>
    <row r="37464" s="689" customFormat="1" x14ac:dyDescent="0.2"/>
    <row r="37465" s="689" customFormat="1" x14ac:dyDescent="0.2"/>
    <row r="37466" s="689" customFormat="1" x14ac:dyDescent="0.2"/>
    <row r="37467" s="689" customFormat="1" x14ac:dyDescent="0.2"/>
    <row r="37468" s="689" customFormat="1" x14ac:dyDescent="0.2"/>
    <row r="37469" s="689" customFormat="1" x14ac:dyDescent="0.2"/>
    <row r="37470" s="689" customFormat="1" x14ac:dyDescent="0.2"/>
    <row r="37471" s="689" customFormat="1" x14ac:dyDescent="0.2"/>
    <row r="37472" s="689" customFormat="1" x14ac:dyDescent="0.2"/>
    <row r="37473" s="689" customFormat="1" x14ac:dyDescent="0.2"/>
    <row r="37474" s="689" customFormat="1" x14ac:dyDescent="0.2"/>
    <row r="37475" s="689" customFormat="1" x14ac:dyDescent="0.2"/>
    <row r="37476" s="689" customFormat="1" x14ac:dyDescent="0.2"/>
    <row r="37477" s="689" customFormat="1" x14ac:dyDescent="0.2"/>
    <row r="37478" s="689" customFormat="1" x14ac:dyDescent="0.2"/>
    <row r="37479" s="689" customFormat="1" x14ac:dyDescent="0.2"/>
    <row r="37480" s="689" customFormat="1" x14ac:dyDescent="0.2"/>
    <row r="37481" s="689" customFormat="1" x14ac:dyDescent="0.2"/>
    <row r="37482" s="689" customFormat="1" x14ac:dyDescent="0.2"/>
    <row r="37483" s="689" customFormat="1" x14ac:dyDescent="0.2"/>
    <row r="37484" s="689" customFormat="1" x14ac:dyDescent="0.2"/>
    <row r="37485" s="689" customFormat="1" x14ac:dyDescent="0.2"/>
    <row r="37486" s="689" customFormat="1" x14ac:dyDescent="0.2"/>
    <row r="37487" s="689" customFormat="1" x14ac:dyDescent="0.2"/>
    <row r="37488" s="689" customFormat="1" x14ac:dyDescent="0.2"/>
    <row r="37489" s="689" customFormat="1" x14ac:dyDescent="0.2"/>
    <row r="37490" s="689" customFormat="1" x14ac:dyDescent="0.2"/>
    <row r="37491" s="689" customFormat="1" x14ac:dyDescent="0.2"/>
    <row r="37492" s="689" customFormat="1" x14ac:dyDescent="0.2"/>
    <row r="37493" s="689" customFormat="1" x14ac:dyDescent="0.2"/>
    <row r="37494" s="689" customFormat="1" x14ac:dyDescent="0.2"/>
    <row r="37495" s="689" customFormat="1" x14ac:dyDescent="0.2"/>
    <row r="37496" s="689" customFormat="1" x14ac:dyDescent="0.2"/>
    <row r="37497" s="689" customFormat="1" x14ac:dyDescent="0.2"/>
    <row r="37498" s="689" customFormat="1" x14ac:dyDescent="0.2"/>
    <row r="37499" s="689" customFormat="1" x14ac:dyDescent="0.2"/>
    <row r="37500" s="689" customFormat="1" x14ac:dyDescent="0.2"/>
    <row r="37501" s="689" customFormat="1" x14ac:dyDescent="0.2"/>
    <row r="37502" s="689" customFormat="1" x14ac:dyDescent="0.2"/>
    <row r="37503" s="689" customFormat="1" x14ac:dyDescent="0.2"/>
    <row r="37504" s="689" customFormat="1" x14ac:dyDescent="0.2"/>
    <row r="37505" s="689" customFormat="1" x14ac:dyDescent="0.2"/>
    <row r="37506" s="689" customFormat="1" x14ac:dyDescent="0.2"/>
    <row r="37507" s="689" customFormat="1" x14ac:dyDescent="0.2"/>
    <row r="37508" s="689" customFormat="1" x14ac:dyDescent="0.2"/>
    <row r="37509" s="689" customFormat="1" x14ac:dyDescent="0.2"/>
    <row r="37510" s="689" customFormat="1" x14ac:dyDescent="0.2"/>
    <row r="37511" s="689" customFormat="1" x14ac:dyDescent="0.2"/>
    <row r="37512" s="689" customFormat="1" x14ac:dyDescent="0.2"/>
    <row r="37513" s="689" customFormat="1" x14ac:dyDescent="0.2"/>
    <row r="37514" s="689" customFormat="1" x14ac:dyDescent="0.2"/>
    <row r="37515" s="689" customFormat="1" x14ac:dyDescent="0.2"/>
    <row r="37516" s="689" customFormat="1" x14ac:dyDescent="0.2"/>
    <row r="37517" s="689" customFormat="1" x14ac:dyDescent="0.2"/>
    <row r="37518" s="689" customFormat="1" x14ac:dyDescent="0.2"/>
    <row r="37519" s="689" customFormat="1" x14ac:dyDescent="0.2"/>
    <row r="37520" s="689" customFormat="1" x14ac:dyDescent="0.2"/>
    <row r="37521" s="689" customFormat="1" x14ac:dyDescent="0.2"/>
    <row r="37522" s="689" customFormat="1" x14ac:dyDescent="0.2"/>
    <row r="37523" s="689" customFormat="1" x14ac:dyDescent="0.2"/>
    <row r="37524" s="689" customFormat="1" x14ac:dyDescent="0.2"/>
    <row r="37525" s="689" customFormat="1" x14ac:dyDescent="0.2"/>
    <row r="37526" s="689" customFormat="1" x14ac:dyDescent="0.2"/>
    <row r="37527" s="689" customFormat="1" x14ac:dyDescent="0.2"/>
    <row r="37528" s="689" customFormat="1" x14ac:dyDescent="0.2"/>
    <row r="37529" s="689" customFormat="1" x14ac:dyDescent="0.2"/>
    <row r="37530" s="689" customFormat="1" x14ac:dyDescent="0.2"/>
    <row r="37531" s="689" customFormat="1" x14ac:dyDescent="0.2"/>
    <row r="37532" s="689" customFormat="1" x14ac:dyDescent="0.2"/>
    <row r="37533" s="689" customFormat="1" x14ac:dyDescent="0.2"/>
    <row r="37534" s="689" customFormat="1" x14ac:dyDescent="0.2"/>
    <row r="37535" s="689" customFormat="1" x14ac:dyDescent="0.2"/>
    <row r="37536" s="689" customFormat="1" x14ac:dyDescent="0.2"/>
    <row r="37537" s="689" customFormat="1" x14ac:dyDescent="0.2"/>
    <row r="37538" s="689" customFormat="1" x14ac:dyDescent="0.2"/>
    <row r="37539" s="689" customFormat="1" x14ac:dyDescent="0.2"/>
    <row r="37540" s="689" customFormat="1" x14ac:dyDescent="0.2"/>
    <row r="37541" s="689" customFormat="1" x14ac:dyDescent="0.2"/>
    <row r="37542" s="689" customFormat="1" x14ac:dyDescent="0.2"/>
    <row r="37543" s="689" customFormat="1" x14ac:dyDescent="0.2"/>
    <row r="37544" s="689" customFormat="1" x14ac:dyDescent="0.2"/>
    <row r="37545" s="689" customFormat="1" x14ac:dyDescent="0.2"/>
    <row r="37546" s="689" customFormat="1" x14ac:dyDescent="0.2"/>
    <row r="37547" s="689" customFormat="1" x14ac:dyDescent="0.2"/>
    <row r="37548" s="689" customFormat="1" x14ac:dyDescent="0.2"/>
    <row r="37549" s="689" customFormat="1" x14ac:dyDescent="0.2"/>
    <row r="37550" s="689" customFormat="1" x14ac:dyDescent="0.2"/>
    <row r="37551" s="689" customFormat="1" x14ac:dyDescent="0.2"/>
    <row r="37552" s="689" customFormat="1" x14ac:dyDescent="0.2"/>
    <row r="37553" s="689" customFormat="1" x14ac:dyDescent="0.2"/>
    <row r="37554" s="689" customFormat="1" x14ac:dyDescent="0.2"/>
    <row r="37555" s="689" customFormat="1" x14ac:dyDescent="0.2"/>
    <row r="37556" s="689" customFormat="1" x14ac:dyDescent="0.2"/>
    <row r="37557" s="689" customFormat="1" x14ac:dyDescent="0.2"/>
    <row r="37558" s="689" customFormat="1" x14ac:dyDescent="0.2"/>
    <row r="37559" s="689" customFormat="1" x14ac:dyDescent="0.2"/>
    <row r="37560" s="689" customFormat="1" x14ac:dyDescent="0.2"/>
    <row r="37561" s="689" customFormat="1" x14ac:dyDescent="0.2"/>
    <row r="37562" s="689" customFormat="1" x14ac:dyDescent="0.2"/>
    <row r="37563" s="689" customFormat="1" x14ac:dyDescent="0.2"/>
    <row r="37564" s="689" customFormat="1" x14ac:dyDescent="0.2"/>
    <row r="37565" s="689" customFormat="1" x14ac:dyDescent="0.2"/>
    <row r="37566" s="689" customFormat="1" x14ac:dyDescent="0.2"/>
    <row r="37567" s="689" customFormat="1" x14ac:dyDescent="0.2"/>
    <row r="37568" s="689" customFormat="1" x14ac:dyDescent="0.2"/>
    <row r="37569" s="689" customFormat="1" x14ac:dyDescent="0.2"/>
    <row r="37570" s="689" customFormat="1" x14ac:dyDescent="0.2"/>
    <row r="37571" s="689" customFormat="1" x14ac:dyDescent="0.2"/>
    <row r="37572" s="689" customFormat="1" x14ac:dyDescent="0.2"/>
    <row r="37573" s="689" customFormat="1" x14ac:dyDescent="0.2"/>
    <row r="37574" s="689" customFormat="1" x14ac:dyDescent="0.2"/>
    <row r="37575" s="689" customFormat="1" x14ac:dyDescent="0.2"/>
    <row r="37576" s="689" customFormat="1" x14ac:dyDescent="0.2"/>
    <row r="37577" s="689" customFormat="1" x14ac:dyDescent="0.2"/>
    <row r="37578" s="689" customFormat="1" x14ac:dyDescent="0.2"/>
    <row r="37579" s="689" customFormat="1" x14ac:dyDescent="0.2"/>
    <row r="37580" s="689" customFormat="1" x14ac:dyDescent="0.2"/>
    <row r="37581" s="689" customFormat="1" x14ac:dyDescent="0.2"/>
    <row r="37582" s="689" customFormat="1" x14ac:dyDescent="0.2"/>
    <row r="37583" s="689" customFormat="1" x14ac:dyDescent="0.2"/>
    <row r="37584" s="689" customFormat="1" x14ac:dyDescent="0.2"/>
    <row r="37585" s="689" customFormat="1" x14ac:dyDescent="0.2"/>
    <row r="37586" s="689" customFormat="1" x14ac:dyDescent="0.2"/>
    <row r="37587" s="689" customFormat="1" x14ac:dyDescent="0.2"/>
    <row r="37588" s="689" customFormat="1" x14ac:dyDescent="0.2"/>
    <row r="37589" s="689" customFormat="1" x14ac:dyDescent="0.2"/>
    <row r="37590" s="689" customFormat="1" x14ac:dyDescent="0.2"/>
    <row r="37591" s="689" customFormat="1" x14ac:dyDescent="0.2"/>
    <row r="37592" s="689" customFormat="1" x14ac:dyDescent="0.2"/>
    <row r="37593" s="689" customFormat="1" x14ac:dyDescent="0.2"/>
    <row r="37594" s="689" customFormat="1" x14ac:dyDescent="0.2"/>
    <row r="37595" s="689" customFormat="1" x14ac:dyDescent="0.2"/>
    <row r="37596" s="689" customFormat="1" x14ac:dyDescent="0.2"/>
    <row r="37597" s="689" customFormat="1" x14ac:dyDescent="0.2"/>
    <row r="37598" s="689" customFormat="1" x14ac:dyDescent="0.2"/>
    <row r="37599" s="689" customFormat="1" x14ac:dyDescent="0.2"/>
    <row r="37600" s="689" customFormat="1" x14ac:dyDescent="0.2"/>
    <row r="37601" s="689" customFormat="1" x14ac:dyDescent="0.2"/>
    <row r="37602" s="689" customFormat="1" x14ac:dyDescent="0.2"/>
    <row r="37603" s="689" customFormat="1" x14ac:dyDescent="0.2"/>
    <row r="37604" s="689" customFormat="1" x14ac:dyDescent="0.2"/>
    <row r="37605" s="689" customFormat="1" x14ac:dyDescent="0.2"/>
    <row r="37606" s="689" customFormat="1" x14ac:dyDescent="0.2"/>
    <row r="37607" s="689" customFormat="1" x14ac:dyDescent="0.2"/>
    <row r="37608" s="689" customFormat="1" x14ac:dyDescent="0.2"/>
    <row r="37609" s="689" customFormat="1" x14ac:dyDescent="0.2"/>
    <row r="37610" s="689" customFormat="1" x14ac:dyDescent="0.2"/>
    <row r="37611" s="689" customFormat="1" x14ac:dyDescent="0.2"/>
    <row r="37612" s="689" customFormat="1" x14ac:dyDescent="0.2"/>
    <row r="37613" s="689" customFormat="1" x14ac:dyDescent="0.2"/>
    <row r="37614" s="689" customFormat="1" x14ac:dyDescent="0.2"/>
    <row r="37615" s="689" customFormat="1" x14ac:dyDescent="0.2"/>
    <row r="37616" s="689" customFormat="1" x14ac:dyDescent="0.2"/>
    <row r="37617" s="689" customFormat="1" x14ac:dyDescent="0.2"/>
    <row r="37618" s="689" customFormat="1" x14ac:dyDescent="0.2"/>
    <row r="37619" s="689" customFormat="1" x14ac:dyDescent="0.2"/>
    <row r="37620" s="689" customFormat="1" x14ac:dyDescent="0.2"/>
    <row r="37621" s="689" customFormat="1" x14ac:dyDescent="0.2"/>
    <row r="37622" s="689" customFormat="1" x14ac:dyDescent="0.2"/>
    <row r="37623" s="689" customFormat="1" x14ac:dyDescent="0.2"/>
    <row r="37624" s="689" customFormat="1" x14ac:dyDescent="0.2"/>
    <row r="37625" s="689" customFormat="1" x14ac:dyDescent="0.2"/>
    <row r="37626" s="689" customFormat="1" x14ac:dyDescent="0.2"/>
    <row r="37627" s="689" customFormat="1" x14ac:dyDescent="0.2"/>
    <row r="37628" s="689" customFormat="1" x14ac:dyDescent="0.2"/>
    <row r="37629" s="689" customFormat="1" x14ac:dyDescent="0.2"/>
    <row r="37630" s="689" customFormat="1" x14ac:dyDescent="0.2"/>
    <row r="37631" s="689" customFormat="1" x14ac:dyDescent="0.2"/>
    <row r="37632" s="689" customFormat="1" x14ac:dyDescent="0.2"/>
    <row r="37633" s="689" customFormat="1" x14ac:dyDescent="0.2"/>
    <row r="37634" s="689" customFormat="1" x14ac:dyDescent="0.2"/>
    <row r="37635" s="689" customFormat="1" x14ac:dyDescent="0.2"/>
    <row r="37636" s="689" customFormat="1" x14ac:dyDescent="0.2"/>
    <row r="37637" s="689" customFormat="1" x14ac:dyDescent="0.2"/>
    <row r="37638" s="689" customFormat="1" x14ac:dyDescent="0.2"/>
    <row r="37639" s="689" customFormat="1" x14ac:dyDescent="0.2"/>
    <row r="37640" s="689" customFormat="1" x14ac:dyDescent="0.2"/>
    <row r="37641" s="689" customFormat="1" x14ac:dyDescent="0.2"/>
    <row r="37642" s="689" customFormat="1" x14ac:dyDescent="0.2"/>
    <row r="37643" s="689" customFormat="1" x14ac:dyDescent="0.2"/>
    <row r="37644" s="689" customFormat="1" x14ac:dyDescent="0.2"/>
    <row r="37645" s="689" customFormat="1" x14ac:dyDescent="0.2"/>
    <row r="37646" s="689" customFormat="1" x14ac:dyDescent="0.2"/>
    <row r="37647" s="689" customFormat="1" x14ac:dyDescent="0.2"/>
    <row r="37648" s="689" customFormat="1" x14ac:dyDescent="0.2"/>
    <row r="37649" s="689" customFormat="1" x14ac:dyDescent="0.2"/>
    <row r="37650" s="689" customFormat="1" x14ac:dyDescent="0.2"/>
    <row r="37651" s="689" customFormat="1" x14ac:dyDescent="0.2"/>
    <row r="37652" s="689" customFormat="1" x14ac:dyDescent="0.2"/>
    <row r="37653" s="689" customFormat="1" x14ac:dyDescent="0.2"/>
    <row r="37654" s="689" customFormat="1" x14ac:dyDescent="0.2"/>
    <row r="37655" s="689" customFormat="1" x14ac:dyDescent="0.2"/>
    <row r="37656" s="689" customFormat="1" x14ac:dyDescent="0.2"/>
    <row r="37657" s="689" customFormat="1" x14ac:dyDescent="0.2"/>
    <row r="37658" s="689" customFormat="1" x14ac:dyDescent="0.2"/>
    <row r="37659" s="689" customFormat="1" x14ac:dyDescent="0.2"/>
    <row r="37660" s="689" customFormat="1" x14ac:dyDescent="0.2"/>
    <row r="37661" s="689" customFormat="1" x14ac:dyDescent="0.2"/>
    <row r="37662" s="689" customFormat="1" x14ac:dyDescent="0.2"/>
    <row r="37663" s="689" customFormat="1" x14ac:dyDescent="0.2"/>
    <row r="37664" s="689" customFormat="1" x14ac:dyDescent="0.2"/>
    <row r="37665" s="689" customFormat="1" x14ac:dyDescent="0.2"/>
    <row r="37666" s="689" customFormat="1" x14ac:dyDescent="0.2"/>
    <row r="37667" s="689" customFormat="1" x14ac:dyDescent="0.2"/>
    <row r="37668" s="689" customFormat="1" x14ac:dyDescent="0.2"/>
    <row r="37669" s="689" customFormat="1" x14ac:dyDescent="0.2"/>
    <row r="37670" s="689" customFormat="1" x14ac:dyDescent="0.2"/>
    <row r="37671" s="689" customFormat="1" x14ac:dyDescent="0.2"/>
    <row r="37672" s="689" customFormat="1" x14ac:dyDescent="0.2"/>
    <row r="37673" s="689" customFormat="1" x14ac:dyDescent="0.2"/>
    <row r="37674" s="689" customFormat="1" x14ac:dyDescent="0.2"/>
    <row r="37675" s="689" customFormat="1" x14ac:dyDescent="0.2"/>
    <row r="37676" s="689" customFormat="1" x14ac:dyDescent="0.2"/>
    <row r="37677" s="689" customFormat="1" x14ac:dyDescent="0.2"/>
    <row r="37678" s="689" customFormat="1" x14ac:dyDescent="0.2"/>
    <row r="37679" s="689" customFormat="1" x14ac:dyDescent="0.2"/>
    <row r="37680" s="689" customFormat="1" x14ac:dyDescent="0.2"/>
    <row r="37681" s="689" customFormat="1" x14ac:dyDescent="0.2"/>
    <row r="37682" s="689" customFormat="1" x14ac:dyDescent="0.2"/>
    <row r="37683" s="689" customFormat="1" x14ac:dyDescent="0.2"/>
    <row r="37684" s="689" customFormat="1" x14ac:dyDescent="0.2"/>
    <row r="37685" s="689" customFormat="1" x14ac:dyDescent="0.2"/>
    <row r="37686" s="689" customFormat="1" x14ac:dyDescent="0.2"/>
    <row r="37687" s="689" customFormat="1" x14ac:dyDescent="0.2"/>
    <row r="37688" s="689" customFormat="1" x14ac:dyDescent="0.2"/>
    <row r="37689" s="689" customFormat="1" x14ac:dyDescent="0.2"/>
    <row r="37690" s="689" customFormat="1" x14ac:dyDescent="0.2"/>
    <row r="37691" s="689" customFormat="1" x14ac:dyDescent="0.2"/>
    <row r="37692" s="689" customFormat="1" x14ac:dyDescent="0.2"/>
    <row r="37693" s="689" customFormat="1" x14ac:dyDescent="0.2"/>
    <row r="37694" s="689" customFormat="1" x14ac:dyDescent="0.2"/>
    <row r="37695" s="689" customFormat="1" x14ac:dyDescent="0.2"/>
    <row r="37696" s="689" customFormat="1" x14ac:dyDescent="0.2"/>
    <row r="37697" s="689" customFormat="1" x14ac:dyDescent="0.2"/>
    <row r="37698" s="689" customFormat="1" x14ac:dyDescent="0.2"/>
    <row r="37699" s="689" customFormat="1" x14ac:dyDescent="0.2"/>
    <row r="37700" s="689" customFormat="1" x14ac:dyDescent="0.2"/>
    <row r="37701" s="689" customFormat="1" x14ac:dyDescent="0.2"/>
    <row r="37702" s="689" customFormat="1" x14ac:dyDescent="0.2"/>
    <row r="37703" s="689" customFormat="1" x14ac:dyDescent="0.2"/>
    <row r="37704" s="689" customFormat="1" x14ac:dyDescent="0.2"/>
    <row r="37705" s="689" customFormat="1" x14ac:dyDescent="0.2"/>
    <row r="37706" s="689" customFormat="1" x14ac:dyDescent="0.2"/>
    <row r="37707" s="689" customFormat="1" x14ac:dyDescent="0.2"/>
    <row r="37708" s="689" customFormat="1" x14ac:dyDescent="0.2"/>
    <row r="37709" s="689" customFormat="1" x14ac:dyDescent="0.2"/>
    <row r="37710" s="689" customFormat="1" x14ac:dyDescent="0.2"/>
    <row r="37711" s="689" customFormat="1" x14ac:dyDescent="0.2"/>
    <row r="37712" s="689" customFormat="1" x14ac:dyDescent="0.2"/>
    <row r="37713" s="689" customFormat="1" x14ac:dyDescent="0.2"/>
    <row r="37714" s="689" customFormat="1" x14ac:dyDescent="0.2"/>
    <row r="37715" s="689" customFormat="1" x14ac:dyDescent="0.2"/>
    <row r="37716" s="689" customFormat="1" x14ac:dyDescent="0.2"/>
    <row r="37717" s="689" customFormat="1" x14ac:dyDescent="0.2"/>
    <row r="37718" s="689" customFormat="1" x14ac:dyDescent="0.2"/>
    <row r="37719" s="689" customFormat="1" x14ac:dyDescent="0.2"/>
    <row r="37720" s="689" customFormat="1" x14ac:dyDescent="0.2"/>
    <row r="37721" s="689" customFormat="1" x14ac:dyDescent="0.2"/>
    <row r="37722" s="689" customFormat="1" x14ac:dyDescent="0.2"/>
    <row r="37723" s="689" customFormat="1" x14ac:dyDescent="0.2"/>
    <row r="37724" s="689" customFormat="1" x14ac:dyDescent="0.2"/>
    <row r="37725" s="689" customFormat="1" x14ac:dyDescent="0.2"/>
    <row r="37726" s="689" customFormat="1" x14ac:dyDescent="0.2"/>
    <row r="37727" s="689" customFormat="1" x14ac:dyDescent="0.2"/>
    <row r="37728" s="689" customFormat="1" x14ac:dyDescent="0.2"/>
    <row r="37729" s="689" customFormat="1" x14ac:dyDescent="0.2"/>
    <row r="37730" s="689" customFormat="1" x14ac:dyDescent="0.2"/>
    <row r="37731" s="689" customFormat="1" x14ac:dyDescent="0.2"/>
    <row r="37732" s="689" customFormat="1" x14ac:dyDescent="0.2"/>
    <row r="37733" s="689" customFormat="1" x14ac:dyDescent="0.2"/>
    <row r="37734" s="689" customFormat="1" x14ac:dyDescent="0.2"/>
    <row r="37735" s="689" customFormat="1" x14ac:dyDescent="0.2"/>
    <row r="37736" s="689" customFormat="1" x14ac:dyDescent="0.2"/>
    <row r="37737" s="689" customFormat="1" x14ac:dyDescent="0.2"/>
    <row r="37738" s="689" customFormat="1" x14ac:dyDescent="0.2"/>
    <row r="37739" s="689" customFormat="1" x14ac:dyDescent="0.2"/>
    <row r="37740" s="689" customFormat="1" x14ac:dyDescent="0.2"/>
    <row r="37741" s="689" customFormat="1" x14ac:dyDescent="0.2"/>
    <row r="37742" s="689" customFormat="1" x14ac:dyDescent="0.2"/>
    <row r="37743" s="689" customFormat="1" x14ac:dyDescent="0.2"/>
    <row r="37744" s="689" customFormat="1" x14ac:dyDescent="0.2"/>
    <row r="37745" s="689" customFormat="1" x14ac:dyDescent="0.2"/>
    <row r="37746" s="689" customFormat="1" x14ac:dyDescent="0.2"/>
    <row r="37747" s="689" customFormat="1" x14ac:dyDescent="0.2"/>
    <row r="37748" s="689" customFormat="1" x14ac:dyDescent="0.2"/>
    <row r="37749" s="689" customFormat="1" x14ac:dyDescent="0.2"/>
    <row r="37750" s="689" customFormat="1" x14ac:dyDescent="0.2"/>
    <row r="37751" s="689" customFormat="1" x14ac:dyDescent="0.2"/>
    <row r="37752" s="689" customFormat="1" x14ac:dyDescent="0.2"/>
    <row r="37753" s="689" customFormat="1" x14ac:dyDescent="0.2"/>
    <row r="37754" s="689" customFormat="1" x14ac:dyDescent="0.2"/>
    <row r="37755" s="689" customFormat="1" x14ac:dyDescent="0.2"/>
    <row r="37756" s="689" customFormat="1" x14ac:dyDescent="0.2"/>
    <row r="37757" s="689" customFormat="1" x14ac:dyDescent="0.2"/>
    <row r="37758" s="689" customFormat="1" x14ac:dyDescent="0.2"/>
    <row r="37759" s="689" customFormat="1" x14ac:dyDescent="0.2"/>
    <row r="37760" s="689" customFormat="1" x14ac:dyDescent="0.2"/>
    <row r="37761" s="689" customFormat="1" x14ac:dyDescent="0.2"/>
    <row r="37762" s="689" customFormat="1" x14ac:dyDescent="0.2"/>
    <row r="37763" s="689" customFormat="1" x14ac:dyDescent="0.2"/>
    <row r="37764" s="689" customFormat="1" x14ac:dyDescent="0.2"/>
    <row r="37765" s="689" customFormat="1" x14ac:dyDescent="0.2"/>
    <row r="37766" s="689" customFormat="1" x14ac:dyDescent="0.2"/>
    <row r="37767" s="689" customFormat="1" x14ac:dyDescent="0.2"/>
    <row r="37768" s="689" customFormat="1" x14ac:dyDescent="0.2"/>
    <row r="37769" s="689" customFormat="1" x14ac:dyDescent="0.2"/>
    <row r="37770" s="689" customFormat="1" x14ac:dyDescent="0.2"/>
    <row r="37771" s="689" customFormat="1" x14ac:dyDescent="0.2"/>
    <row r="37772" s="689" customFormat="1" x14ac:dyDescent="0.2"/>
    <row r="37773" s="689" customFormat="1" x14ac:dyDescent="0.2"/>
    <row r="37774" s="689" customFormat="1" x14ac:dyDescent="0.2"/>
    <row r="37775" s="689" customFormat="1" x14ac:dyDescent="0.2"/>
    <row r="37776" s="689" customFormat="1" x14ac:dyDescent="0.2"/>
    <row r="37777" s="689" customFormat="1" x14ac:dyDescent="0.2"/>
    <row r="37778" s="689" customFormat="1" x14ac:dyDescent="0.2"/>
    <row r="37779" s="689" customFormat="1" x14ac:dyDescent="0.2"/>
    <row r="37780" s="689" customFormat="1" x14ac:dyDescent="0.2"/>
    <row r="37781" s="689" customFormat="1" x14ac:dyDescent="0.2"/>
    <row r="37782" s="689" customFormat="1" x14ac:dyDescent="0.2"/>
    <row r="37783" s="689" customFormat="1" x14ac:dyDescent="0.2"/>
    <row r="37784" s="689" customFormat="1" x14ac:dyDescent="0.2"/>
    <row r="37785" s="689" customFormat="1" x14ac:dyDescent="0.2"/>
    <row r="37786" s="689" customFormat="1" x14ac:dyDescent="0.2"/>
    <row r="37787" s="689" customFormat="1" x14ac:dyDescent="0.2"/>
    <row r="37788" s="689" customFormat="1" x14ac:dyDescent="0.2"/>
    <row r="37789" s="689" customFormat="1" x14ac:dyDescent="0.2"/>
    <row r="37790" s="689" customFormat="1" x14ac:dyDescent="0.2"/>
    <row r="37791" s="689" customFormat="1" x14ac:dyDescent="0.2"/>
    <row r="37792" s="689" customFormat="1" x14ac:dyDescent="0.2"/>
    <row r="37793" s="689" customFormat="1" x14ac:dyDescent="0.2"/>
    <row r="37794" s="689" customFormat="1" x14ac:dyDescent="0.2"/>
    <row r="37795" s="689" customFormat="1" x14ac:dyDescent="0.2"/>
    <row r="37796" s="689" customFormat="1" x14ac:dyDescent="0.2"/>
    <row r="37797" s="689" customFormat="1" x14ac:dyDescent="0.2"/>
    <row r="37798" s="689" customFormat="1" x14ac:dyDescent="0.2"/>
    <row r="37799" s="689" customFormat="1" x14ac:dyDescent="0.2"/>
    <row r="37800" s="689" customFormat="1" x14ac:dyDescent="0.2"/>
    <row r="37801" s="689" customFormat="1" x14ac:dyDescent="0.2"/>
    <row r="37802" s="689" customFormat="1" x14ac:dyDescent="0.2"/>
    <row r="37803" s="689" customFormat="1" x14ac:dyDescent="0.2"/>
    <row r="37804" s="689" customFormat="1" x14ac:dyDescent="0.2"/>
    <row r="37805" s="689" customFormat="1" x14ac:dyDescent="0.2"/>
    <row r="37806" s="689" customFormat="1" x14ac:dyDescent="0.2"/>
    <row r="37807" s="689" customFormat="1" x14ac:dyDescent="0.2"/>
    <row r="37808" s="689" customFormat="1" x14ac:dyDescent="0.2"/>
    <row r="37809" s="689" customFormat="1" x14ac:dyDescent="0.2"/>
    <row r="37810" s="689" customFormat="1" x14ac:dyDescent="0.2"/>
    <row r="37811" s="689" customFormat="1" x14ac:dyDescent="0.2"/>
    <row r="37812" s="689" customFormat="1" x14ac:dyDescent="0.2"/>
    <row r="37813" s="689" customFormat="1" x14ac:dyDescent="0.2"/>
    <row r="37814" s="689" customFormat="1" x14ac:dyDescent="0.2"/>
    <row r="37815" s="689" customFormat="1" x14ac:dyDescent="0.2"/>
    <row r="37816" s="689" customFormat="1" x14ac:dyDescent="0.2"/>
    <row r="37817" s="689" customFormat="1" x14ac:dyDescent="0.2"/>
    <row r="37818" s="689" customFormat="1" x14ac:dyDescent="0.2"/>
    <row r="37819" s="689" customFormat="1" x14ac:dyDescent="0.2"/>
    <row r="37820" s="689" customFormat="1" x14ac:dyDescent="0.2"/>
    <row r="37821" s="689" customFormat="1" x14ac:dyDescent="0.2"/>
    <row r="37822" s="689" customFormat="1" x14ac:dyDescent="0.2"/>
    <row r="37823" s="689" customFormat="1" x14ac:dyDescent="0.2"/>
    <row r="37824" s="689" customFormat="1" x14ac:dyDescent="0.2"/>
    <row r="37825" s="689" customFormat="1" x14ac:dyDescent="0.2"/>
    <row r="37826" s="689" customFormat="1" x14ac:dyDescent="0.2"/>
    <row r="37827" s="689" customFormat="1" x14ac:dyDescent="0.2"/>
    <row r="37828" s="689" customFormat="1" x14ac:dyDescent="0.2"/>
    <row r="37829" s="689" customFormat="1" x14ac:dyDescent="0.2"/>
    <row r="37830" s="689" customFormat="1" x14ac:dyDescent="0.2"/>
    <row r="37831" s="689" customFormat="1" x14ac:dyDescent="0.2"/>
    <row r="37832" s="689" customFormat="1" x14ac:dyDescent="0.2"/>
    <row r="37833" s="689" customFormat="1" x14ac:dyDescent="0.2"/>
    <row r="37834" s="689" customFormat="1" x14ac:dyDescent="0.2"/>
    <row r="37835" s="689" customFormat="1" x14ac:dyDescent="0.2"/>
    <row r="37836" s="689" customFormat="1" x14ac:dyDescent="0.2"/>
    <row r="37837" s="689" customFormat="1" x14ac:dyDescent="0.2"/>
    <row r="37838" s="689" customFormat="1" x14ac:dyDescent="0.2"/>
    <row r="37839" s="689" customFormat="1" x14ac:dyDescent="0.2"/>
    <row r="37840" s="689" customFormat="1" x14ac:dyDescent="0.2"/>
    <row r="37841" s="689" customFormat="1" x14ac:dyDescent="0.2"/>
    <row r="37842" s="689" customFormat="1" x14ac:dyDescent="0.2"/>
    <row r="37843" s="689" customFormat="1" x14ac:dyDescent="0.2"/>
    <row r="37844" s="689" customFormat="1" x14ac:dyDescent="0.2"/>
    <row r="37845" s="689" customFormat="1" x14ac:dyDescent="0.2"/>
    <row r="37846" s="689" customFormat="1" x14ac:dyDescent="0.2"/>
    <row r="37847" s="689" customFormat="1" x14ac:dyDescent="0.2"/>
    <row r="37848" s="689" customFormat="1" x14ac:dyDescent="0.2"/>
    <row r="37849" s="689" customFormat="1" x14ac:dyDescent="0.2"/>
    <row r="37850" s="689" customFormat="1" x14ac:dyDescent="0.2"/>
    <row r="37851" s="689" customFormat="1" x14ac:dyDescent="0.2"/>
    <row r="37852" s="689" customFormat="1" x14ac:dyDescent="0.2"/>
    <row r="37853" s="689" customFormat="1" x14ac:dyDescent="0.2"/>
    <row r="37854" s="689" customFormat="1" x14ac:dyDescent="0.2"/>
    <row r="37855" s="689" customFormat="1" x14ac:dyDescent="0.2"/>
    <row r="37856" s="689" customFormat="1" x14ac:dyDescent="0.2"/>
    <row r="37857" s="689" customFormat="1" x14ac:dyDescent="0.2"/>
    <row r="37858" s="689" customFormat="1" x14ac:dyDescent="0.2"/>
    <row r="37859" s="689" customFormat="1" x14ac:dyDescent="0.2"/>
    <row r="37860" s="689" customFormat="1" x14ac:dyDescent="0.2"/>
    <row r="37861" s="689" customFormat="1" x14ac:dyDescent="0.2"/>
    <row r="37862" s="689" customFormat="1" x14ac:dyDescent="0.2"/>
    <row r="37863" s="689" customFormat="1" x14ac:dyDescent="0.2"/>
    <row r="37864" s="689" customFormat="1" x14ac:dyDescent="0.2"/>
    <row r="37865" s="689" customFormat="1" x14ac:dyDescent="0.2"/>
    <row r="37866" s="689" customFormat="1" x14ac:dyDescent="0.2"/>
    <row r="37867" s="689" customFormat="1" x14ac:dyDescent="0.2"/>
    <row r="37868" s="689" customFormat="1" x14ac:dyDescent="0.2"/>
    <row r="37869" s="689" customFormat="1" x14ac:dyDescent="0.2"/>
    <row r="37870" s="689" customFormat="1" x14ac:dyDescent="0.2"/>
    <row r="37871" s="689" customFormat="1" x14ac:dyDescent="0.2"/>
    <row r="37872" s="689" customFormat="1" x14ac:dyDescent="0.2"/>
    <row r="37873" s="689" customFormat="1" x14ac:dyDescent="0.2"/>
    <row r="37874" s="689" customFormat="1" x14ac:dyDescent="0.2"/>
    <row r="37875" s="689" customFormat="1" x14ac:dyDescent="0.2"/>
    <row r="37876" s="689" customFormat="1" x14ac:dyDescent="0.2"/>
    <row r="37877" s="689" customFormat="1" x14ac:dyDescent="0.2"/>
    <row r="37878" s="689" customFormat="1" x14ac:dyDescent="0.2"/>
    <row r="37879" s="689" customFormat="1" x14ac:dyDescent="0.2"/>
    <row r="37880" s="689" customFormat="1" x14ac:dyDescent="0.2"/>
    <row r="37881" s="689" customFormat="1" x14ac:dyDescent="0.2"/>
    <row r="37882" s="689" customFormat="1" x14ac:dyDescent="0.2"/>
    <row r="37883" s="689" customFormat="1" x14ac:dyDescent="0.2"/>
    <row r="37884" s="689" customFormat="1" x14ac:dyDescent="0.2"/>
    <row r="37885" s="689" customFormat="1" x14ac:dyDescent="0.2"/>
    <row r="37886" s="689" customFormat="1" x14ac:dyDescent="0.2"/>
    <row r="37887" s="689" customFormat="1" x14ac:dyDescent="0.2"/>
    <row r="37888" s="689" customFormat="1" x14ac:dyDescent="0.2"/>
    <row r="37889" s="689" customFormat="1" x14ac:dyDescent="0.2"/>
    <row r="37890" s="689" customFormat="1" x14ac:dyDescent="0.2"/>
    <row r="37891" s="689" customFormat="1" x14ac:dyDescent="0.2"/>
    <row r="37892" s="689" customFormat="1" x14ac:dyDescent="0.2"/>
    <row r="37893" s="689" customFormat="1" x14ac:dyDescent="0.2"/>
    <row r="37894" s="689" customFormat="1" x14ac:dyDescent="0.2"/>
    <row r="37895" s="689" customFormat="1" x14ac:dyDescent="0.2"/>
    <row r="37896" s="689" customFormat="1" x14ac:dyDescent="0.2"/>
    <row r="37897" s="689" customFormat="1" x14ac:dyDescent="0.2"/>
    <row r="37898" s="689" customFormat="1" x14ac:dyDescent="0.2"/>
    <row r="37899" s="689" customFormat="1" x14ac:dyDescent="0.2"/>
    <row r="37900" s="689" customFormat="1" x14ac:dyDescent="0.2"/>
    <row r="37901" s="689" customFormat="1" x14ac:dyDescent="0.2"/>
    <row r="37902" s="689" customFormat="1" x14ac:dyDescent="0.2"/>
    <row r="37903" s="689" customFormat="1" x14ac:dyDescent="0.2"/>
    <row r="37904" s="689" customFormat="1" x14ac:dyDescent="0.2"/>
    <row r="37905" s="689" customFormat="1" x14ac:dyDescent="0.2"/>
    <row r="37906" s="689" customFormat="1" x14ac:dyDescent="0.2"/>
    <row r="37907" s="689" customFormat="1" x14ac:dyDescent="0.2"/>
    <row r="37908" s="689" customFormat="1" x14ac:dyDescent="0.2"/>
    <row r="37909" s="689" customFormat="1" x14ac:dyDescent="0.2"/>
    <row r="37910" s="689" customFormat="1" x14ac:dyDescent="0.2"/>
    <row r="37911" s="689" customFormat="1" x14ac:dyDescent="0.2"/>
    <row r="37912" s="689" customFormat="1" x14ac:dyDescent="0.2"/>
    <row r="37913" s="689" customFormat="1" x14ac:dyDescent="0.2"/>
    <row r="37914" s="689" customFormat="1" x14ac:dyDescent="0.2"/>
    <row r="37915" s="689" customFormat="1" x14ac:dyDescent="0.2"/>
    <row r="37916" s="689" customFormat="1" x14ac:dyDescent="0.2"/>
    <row r="37917" s="689" customFormat="1" x14ac:dyDescent="0.2"/>
    <row r="37918" s="689" customFormat="1" x14ac:dyDescent="0.2"/>
    <row r="37919" s="689" customFormat="1" x14ac:dyDescent="0.2"/>
    <row r="37920" s="689" customFormat="1" x14ac:dyDescent="0.2"/>
    <row r="37921" s="689" customFormat="1" x14ac:dyDescent="0.2"/>
    <row r="37922" s="689" customFormat="1" x14ac:dyDescent="0.2"/>
    <row r="37923" s="689" customFormat="1" x14ac:dyDescent="0.2"/>
    <row r="37924" s="689" customFormat="1" x14ac:dyDescent="0.2"/>
    <row r="37925" s="689" customFormat="1" x14ac:dyDescent="0.2"/>
    <row r="37926" s="689" customFormat="1" x14ac:dyDescent="0.2"/>
    <row r="37927" s="689" customFormat="1" x14ac:dyDescent="0.2"/>
    <row r="37928" s="689" customFormat="1" x14ac:dyDescent="0.2"/>
    <row r="37929" s="689" customFormat="1" x14ac:dyDescent="0.2"/>
    <row r="37930" s="689" customFormat="1" x14ac:dyDescent="0.2"/>
    <row r="37931" s="689" customFormat="1" x14ac:dyDescent="0.2"/>
    <row r="37932" s="689" customFormat="1" x14ac:dyDescent="0.2"/>
    <row r="37933" s="689" customFormat="1" x14ac:dyDescent="0.2"/>
    <row r="37934" s="689" customFormat="1" x14ac:dyDescent="0.2"/>
    <row r="37935" s="689" customFormat="1" x14ac:dyDescent="0.2"/>
    <row r="37936" s="689" customFormat="1" x14ac:dyDescent="0.2"/>
    <row r="37937" s="689" customFormat="1" x14ac:dyDescent="0.2"/>
    <row r="37938" s="689" customFormat="1" x14ac:dyDescent="0.2"/>
    <row r="37939" s="689" customFormat="1" x14ac:dyDescent="0.2"/>
    <row r="37940" s="689" customFormat="1" x14ac:dyDescent="0.2"/>
    <row r="37941" s="689" customFormat="1" x14ac:dyDescent="0.2"/>
    <row r="37942" s="689" customFormat="1" x14ac:dyDescent="0.2"/>
    <row r="37943" s="689" customFormat="1" x14ac:dyDescent="0.2"/>
    <row r="37944" s="689" customFormat="1" x14ac:dyDescent="0.2"/>
    <row r="37945" s="689" customFormat="1" x14ac:dyDescent="0.2"/>
    <row r="37946" s="689" customFormat="1" x14ac:dyDescent="0.2"/>
    <row r="37947" s="689" customFormat="1" x14ac:dyDescent="0.2"/>
    <row r="37948" s="689" customFormat="1" x14ac:dyDescent="0.2"/>
    <row r="37949" s="689" customFormat="1" x14ac:dyDescent="0.2"/>
    <row r="37950" s="689" customFormat="1" x14ac:dyDescent="0.2"/>
    <row r="37951" s="689" customFormat="1" x14ac:dyDescent="0.2"/>
    <row r="37952" s="689" customFormat="1" x14ac:dyDescent="0.2"/>
    <row r="37953" s="689" customFormat="1" x14ac:dyDescent="0.2"/>
    <row r="37954" s="689" customFormat="1" x14ac:dyDescent="0.2"/>
    <row r="37955" s="689" customFormat="1" x14ac:dyDescent="0.2"/>
    <row r="37956" s="689" customFormat="1" x14ac:dyDescent="0.2"/>
    <row r="37957" s="689" customFormat="1" x14ac:dyDescent="0.2"/>
    <row r="37958" s="689" customFormat="1" x14ac:dyDescent="0.2"/>
    <row r="37959" s="689" customFormat="1" x14ac:dyDescent="0.2"/>
    <row r="37960" s="689" customFormat="1" x14ac:dyDescent="0.2"/>
    <row r="37961" s="689" customFormat="1" x14ac:dyDescent="0.2"/>
    <row r="37962" s="689" customFormat="1" x14ac:dyDescent="0.2"/>
    <row r="37963" s="689" customFormat="1" x14ac:dyDescent="0.2"/>
    <row r="37964" s="689" customFormat="1" x14ac:dyDescent="0.2"/>
    <row r="37965" s="689" customFormat="1" x14ac:dyDescent="0.2"/>
    <row r="37966" s="689" customFormat="1" x14ac:dyDescent="0.2"/>
    <row r="37967" s="689" customFormat="1" x14ac:dyDescent="0.2"/>
    <row r="37968" s="689" customFormat="1" x14ac:dyDescent="0.2"/>
    <row r="37969" s="689" customFormat="1" x14ac:dyDescent="0.2"/>
    <row r="37970" s="689" customFormat="1" x14ac:dyDescent="0.2"/>
    <row r="37971" s="689" customFormat="1" x14ac:dyDescent="0.2"/>
    <row r="37972" s="689" customFormat="1" x14ac:dyDescent="0.2"/>
    <row r="37973" s="689" customFormat="1" x14ac:dyDescent="0.2"/>
    <row r="37974" s="689" customFormat="1" x14ac:dyDescent="0.2"/>
    <row r="37975" s="689" customFormat="1" x14ac:dyDescent="0.2"/>
    <row r="37976" s="689" customFormat="1" x14ac:dyDescent="0.2"/>
    <row r="37977" s="689" customFormat="1" x14ac:dyDescent="0.2"/>
    <row r="37978" s="689" customFormat="1" x14ac:dyDescent="0.2"/>
    <row r="37979" s="689" customFormat="1" x14ac:dyDescent="0.2"/>
    <row r="37980" s="689" customFormat="1" x14ac:dyDescent="0.2"/>
    <row r="37981" s="689" customFormat="1" x14ac:dyDescent="0.2"/>
    <row r="37982" s="689" customFormat="1" x14ac:dyDescent="0.2"/>
    <row r="37983" s="689" customFormat="1" x14ac:dyDescent="0.2"/>
    <row r="37984" s="689" customFormat="1" x14ac:dyDescent="0.2"/>
    <row r="37985" s="689" customFormat="1" x14ac:dyDescent="0.2"/>
    <row r="37986" s="689" customFormat="1" x14ac:dyDescent="0.2"/>
    <row r="37987" s="689" customFormat="1" x14ac:dyDescent="0.2"/>
    <row r="37988" s="689" customFormat="1" x14ac:dyDescent="0.2"/>
    <row r="37989" s="689" customFormat="1" x14ac:dyDescent="0.2"/>
    <row r="37990" s="689" customFormat="1" x14ac:dyDescent="0.2"/>
    <row r="37991" s="689" customFormat="1" x14ac:dyDescent="0.2"/>
    <row r="37992" s="689" customFormat="1" x14ac:dyDescent="0.2"/>
    <row r="37993" s="689" customFormat="1" x14ac:dyDescent="0.2"/>
    <row r="37994" s="689" customFormat="1" x14ac:dyDescent="0.2"/>
    <row r="37995" s="689" customFormat="1" x14ac:dyDescent="0.2"/>
    <row r="37996" s="689" customFormat="1" x14ac:dyDescent="0.2"/>
    <row r="37997" s="689" customFormat="1" x14ac:dyDescent="0.2"/>
    <row r="37998" s="689" customFormat="1" x14ac:dyDescent="0.2"/>
    <row r="37999" s="689" customFormat="1" x14ac:dyDescent="0.2"/>
    <row r="38000" s="689" customFormat="1" x14ac:dyDescent="0.2"/>
    <row r="38001" s="689" customFormat="1" x14ac:dyDescent="0.2"/>
    <row r="38002" s="689" customFormat="1" x14ac:dyDescent="0.2"/>
    <row r="38003" s="689" customFormat="1" x14ac:dyDescent="0.2"/>
    <row r="38004" s="689" customFormat="1" x14ac:dyDescent="0.2"/>
    <row r="38005" s="689" customFormat="1" x14ac:dyDescent="0.2"/>
    <row r="38006" s="689" customFormat="1" x14ac:dyDescent="0.2"/>
    <row r="38007" s="689" customFormat="1" x14ac:dyDescent="0.2"/>
    <row r="38008" s="689" customFormat="1" x14ac:dyDescent="0.2"/>
    <row r="38009" s="689" customFormat="1" x14ac:dyDescent="0.2"/>
    <row r="38010" s="689" customFormat="1" x14ac:dyDescent="0.2"/>
    <row r="38011" s="689" customFormat="1" x14ac:dyDescent="0.2"/>
    <row r="38012" s="689" customFormat="1" x14ac:dyDescent="0.2"/>
    <row r="38013" s="689" customFormat="1" x14ac:dyDescent="0.2"/>
    <row r="38014" s="689" customFormat="1" x14ac:dyDescent="0.2"/>
    <row r="38015" s="689" customFormat="1" x14ac:dyDescent="0.2"/>
    <row r="38016" s="689" customFormat="1" x14ac:dyDescent="0.2"/>
    <row r="38017" s="689" customFormat="1" x14ac:dyDescent="0.2"/>
    <row r="38018" s="689" customFormat="1" x14ac:dyDescent="0.2"/>
    <row r="38019" s="689" customFormat="1" x14ac:dyDescent="0.2"/>
    <row r="38020" s="689" customFormat="1" x14ac:dyDescent="0.2"/>
    <row r="38021" s="689" customFormat="1" x14ac:dyDescent="0.2"/>
    <row r="38022" s="689" customFormat="1" x14ac:dyDescent="0.2"/>
    <row r="38023" s="689" customFormat="1" x14ac:dyDescent="0.2"/>
    <row r="38024" s="689" customFormat="1" x14ac:dyDescent="0.2"/>
    <row r="38025" s="689" customFormat="1" x14ac:dyDescent="0.2"/>
    <row r="38026" s="689" customFormat="1" x14ac:dyDescent="0.2"/>
    <row r="38027" s="689" customFormat="1" x14ac:dyDescent="0.2"/>
    <row r="38028" s="689" customFormat="1" x14ac:dyDescent="0.2"/>
    <row r="38029" s="689" customFormat="1" x14ac:dyDescent="0.2"/>
    <row r="38030" s="689" customFormat="1" x14ac:dyDescent="0.2"/>
    <row r="38031" s="689" customFormat="1" x14ac:dyDescent="0.2"/>
    <row r="38032" s="689" customFormat="1" x14ac:dyDescent="0.2"/>
    <row r="38033" s="689" customFormat="1" x14ac:dyDescent="0.2"/>
    <row r="38034" s="689" customFormat="1" x14ac:dyDescent="0.2"/>
    <row r="38035" s="689" customFormat="1" x14ac:dyDescent="0.2"/>
    <row r="38036" s="689" customFormat="1" x14ac:dyDescent="0.2"/>
    <row r="38037" s="689" customFormat="1" x14ac:dyDescent="0.2"/>
    <row r="38038" s="689" customFormat="1" x14ac:dyDescent="0.2"/>
    <row r="38039" s="689" customFormat="1" x14ac:dyDescent="0.2"/>
    <row r="38040" s="689" customFormat="1" x14ac:dyDescent="0.2"/>
    <row r="38041" s="689" customFormat="1" x14ac:dyDescent="0.2"/>
    <row r="38042" s="689" customFormat="1" x14ac:dyDescent="0.2"/>
    <row r="38043" s="689" customFormat="1" x14ac:dyDescent="0.2"/>
    <row r="38044" s="689" customFormat="1" x14ac:dyDescent="0.2"/>
    <row r="38045" s="689" customFormat="1" x14ac:dyDescent="0.2"/>
    <row r="38046" s="689" customFormat="1" x14ac:dyDescent="0.2"/>
    <row r="38047" s="689" customFormat="1" x14ac:dyDescent="0.2"/>
    <row r="38048" s="689" customFormat="1" x14ac:dyDescent="0.2"/>
    <row r="38049" s="689" customFormat="1" x14ac:dyDescent="0.2"/>
    <row r="38050" s="689" customFormat="1" x14ac:dyDescent="0.2"/>
    <row r="38051" s="689" customFormat="1" x14ac:dyDescent="0.2"/>
    <row r="38052" s="689" customFormat="1" x14ac:dyDescent="0.2"/>
    <row r="38053" s="689" customFormat="1" x14ac:dyDescent="0.2"/>
    <row r="38054" s="689" customFormat="1" x14ac:dyDescent="0.2"/>
    <row r="38055" s="689" customFormat="1" x14ac:dyDescent="0.2"/>
    <row r="38056" s="689" customFormat="1" x14ac:dyDescent="0.2"/>
    <row r="38057" s="689" customFormat="1" x14ac:dyDescent="0.2"/>
    <row r="38058" s="689" customFormat="1" x14ac:dyDescent="0.2"/>
    <row r="38059" s="689" customFormat="1" x14ac:dyDescent="0.2"/>
    <row r="38060" s="689" customFormat="1" x14ac:dyDescent="0.2"/>
    <row r="38061" s="689" customFormat="1" x14ac:dyDescent="0.2"/>
    <row r="38062" s="689" customFormat="1" x14ac:dyDescent="0.2"/>
    <row r="38063" s="689" customFormat="1" x14ac:dyDescent="0.2"/>
    <row r="38064" s="689" customFormat="1" x14ac:dyDescent="0.2"/>
    <row r="38065" s="689" customFormat="1" x14ac:dyDescent="0.2"/>
    <row r="38066" s="689" customFormat="1" x14ac:dyDescent="0.2"/>
    <row r="38067" s="689" customFormat="1" x14ac:dyDescent="0.2"/>
    <row r="38068" s="689" customFormat="1" x14ac:dyDescent="0.2"/>
    <row r="38069" s="689" customFormat="1" x14ac:dyDescent="0.2"/>
    <row r="38070" s="689" customFormat="1" x14ac:dyDescent="0.2"/>
    <row r="38071" s="689" customFormat="1" x14ac:dyDescent="0.2"/>
    <row r="38072" s="689" customFormat="1" x14ac:dyDescent="0.2"/>
    <row r="38073" s="689" customFormat="1" x14ac:dyDescent="0.2"/>
    <row r="38074" s="689" customFormat="1" x14ac:dyDescent="0.2"/>
    <row r="38075" s="689" customFormat="1" x14ac:dyDescent="0.2"/>
    <row r="38076" s="689" customFormat="1" x14ac:dyDescent="0.2"/>
    <row r="38077" s="689" customFormat="1" x14ac:dyDescent="0.2"/>
    <row r="38078" s="689" customFormat="1" x14ac:dyDescent="0.2"/>
    <row r="38079" s="689" customFormat="1" x14ac:dyDescent="0.2"/>
    <row r="38080" s="689" customFormat="1" x14ac:dyDescent="0.2"/>
    <row r="38081" s="689" customFormat="1" x14ac:dyDescent="0.2"/>
    <row r="38082" s="689" customFormat="1" x14ac:dyDescent="0.2"/>
    <row r="38083" s="689" customFormat="1" x14ac:dyDescent="0.2"/>
    <row r="38084" s="689" customFormat="1" x14ac:dyDescent="0.2"/>
    <row r="38085" s="689" customFormat="1" x14ac:dyDescent="0.2"/>
    <row r="38086" s="689" customFormat="1" x14ac:dyDescent="0.2"/>
    <row r="38087" s="689" customFormat="1" x14ac:dyDescent="0.2"/>
    <row r="38088" s="689" customFormat="1" x14ac:dyDescent="0.2"/>
    <row r="38089" s="689" customFormat="1" x14ac:dyDescent="0.2"/>
    <row r="38090" s="689" customFormat="1" x14ac:dyDescent="0.2"/>
    <row r="38091" s="689" customFormat="1" x14ac:dyDescent="0.2"/>
    <row r="38092" s="689" customFormat="1" x14ac:dyDescent="0.2"/>
    <row r="38093" s="689" customFormat="1" x14ac:dyDescent="0.2"/>
    <row r="38094" s="689" customFormat="1" x14ac:dyDescent="0.2"/>
    <row r="38095" s="689" customFormat="1" x14ac:dyDescent="0.2"/>
    <row r="38096" s="689" customFormat="1" x14ac:dyDescent="0.2"/>
    <row r="38097" s="689" customFormat="1" x14ac:dyDescent="0.2"/>
    <row r="38098" s="689" customFormat="1" x14ac:dyDescent="0.2"/>
    <row r="38099" s="689" customFormat="1" x14ac:dyDescent="0.2"/>
    <row r="38100" s="689" customFormat="1" x14ac:dyDescent="0.2"/>
    <row r="38101" s="689" customFormat="1" x14ac:dyDescent="0.2"/>
    <row r="38102" s="689" customFormat="1" x14ac:dyDescent="0.2"/>
    <row r="38103" s="689" customFormat="1" x14ac:dyDescent="0.2"/>
    <row r="38104" s="689" customFormat="1" x14ac:dyDescent="0.2"/>
    <row r="38105" s="689" customFormat="1" x14ac:dyDescent="0.2"/>
    <row r="38106" s="689" customFormat="1" x14ac:dyDescent="0.2"/>
    <row r="38107" s="689" customFormat="1" x14ac:dyDescent="0.2"/>
    <row r="38108" s="689" customFormat="1" x14ac:dyDescent="0.2"/>
    <row r="38109" s="689" customFormat="1" x14ac:dyDescent="0.2"/>
    <row r="38110" s="689" customFormat="1" x14ac:dyDescent="0.2"/>
    <row r="38111" s="689" customFormat="1" x14ac:dyDescent="0.2"/>
    <row r="38112" s="689" customFormat="1" x14ac:dyDescent="0.2"/>
    <row r="38113" s="689" customFormat="1" x14ac:dyDescent="0.2"/>
    <row r="38114" s="689" customFormat="1" x14ac:dyDescent="0.2"/>
    <row r="38115" s="689" customFormat="1" x14ac:dyDescent="0.2"/>
    <row r="38116" s="689" customFormat="1" x14ac:dyDescent="0.2"/>
    <row r="38117" s="689" customFormat="1" x14ac:dyDescent="0.2"/>
    <row r="38118" s="689" customFormat="1" x14ac:dyDescent="0.2"/>
    <row r="38119" s="689" customFormat="1" x14ac:dyDescent="0.2"/>
    <row r="38120" s="689" customFormat="1" x14ac:dyDescent="0.2"/>
    <row r="38121" s="689" customFormat="1" x14ac:dyDescent="0.2"/>
    <row r="38122" s="689" customFormat="1" x14ac:dyDescent="0.2"/>
    <row r="38123" s="689" customFormat="1" x14ac:dyDescent="0.2"/>
    <row r="38124" s="689" customFormat="1" x14ac:dyDescent="0.2"/>
    <row r="38125" s="689" customFormat="1" x14ac:dyDescent="0.2"/>
    <row r="38126" s="689" customFormat="1" x14ac:dyDescent="0.2"/>
    <row r="38127" s="689" customFormat="1" x14ac:dyDescent="0.2"/>
    <row r="38128" s="689" customFormat="1" x14ac:dyDescent="0.2"/>
    <row r="38129" s="689" customFormat="1" x14ac:dyDescent="0.2"/>
    <row r="38130" s="689" customFormat="1" x14ac:dyDescent="0.2"/>
    <row r="38131" s="689" customFormat="1" x14ac:dyDescent="0.2"/>
    <row r="38132" s="689" customFormat="1" x14ac:dyDescent="0.2"/>
    <row r="38133" s="689" customFormat="1" x14ac:dyDescent="0.2"/>
    <row r="38134" s="689" customFormat="1" x14ac:dyDescent="0.2"/>
    <row r="38135" s="689" customFormat="1" x14ac:dyDescent="0.2"/>
    <row r="38136" s="689" customFormat="1" x14ac:dyDescent="0.2"/>
    <row r="38137" s="689" customFormat="1" x14ac:dyDescent="0.2"/>
    <row r="38138" s="689" customFormat="1" x14ac:dyDescent="0.2"/>
    <row r="38139" s="689" customFormat="1" x14ac:dyDescent="0.2"/>
    <row r="38140" s="689" customFormat="1" x14ac:dyDescent="0.2"/>
    <row r="38141" s="689" customFormat="1" x14ac:dyDescent="0.2"/>
    <row r="38142" s="689" customFormat="1" x14ac:dyDescent="0.2"/>
    <row r="38143" s="689" customFormat="1" x14ac:dyDescent="0.2"/>
    <row r="38144" s="689" customFormat="1" x14ac:dyDescent="0.2"/>
    <row r="38145" s="689" customFormat="1" x14ac:dyDescent="0.2"/>
    <row r="38146" s="689" customFormat="1" x14ac:dyDescent="0.2"/>
    <row r="38147" s="689" customFormat="1" x14ac:dyDescent="0.2"/>
    <row r="38148" s="689" customFormat="1" x14ac:dyDescent="0.2"/>
    <row r="38149" s="689" customFormat="1" x14ac:dyDescent="0.2"/>
    <row r="38150" s="689" customFormat="1" x14ac:dyDescent="0.2"/>
    <row r="38151" s="689" customFormat="1" x14ac:dyDescent="0.2"/>
    <row r="38152" s="689" customFormat="1" x14ac:dyDescent="0.2"/>
    <row r="38153" s="689" customFormat="1" x14ac:dyDescent="0.2"/>
    <row r="38154" s="689" customFormat="1" x14ac:dyDescent="0.2"/>
    <row r="38155" s="689" customFormat="1" x14ac:dyDescent="0.2"/>
    <row r="38156" s="689" customFormat="1" x14ac:dyDescent="0.2"/>
    <row r="38157" s="689" customFormat="1" x14ac:dyDescent="0.2"/>
    <row r="38158" s="689" customFormat="1" x14ac:dyDescent="0.2"/>
    <row r="38159" s="689" customFormat="1" x14ac:dyDescent="0.2"/>
    <row r="38160" s="689" customFormat="1" x14ac:dyDescent="0.2"/>
    <row r="38161" s="689" customFormat="1" x14ac:dyDescent="0.2"/>
    <row r="38162" s="689" customFormat="1" x14ac:dyDescent="0.2"/>
    <row r="38163" s="689" customFormat="1" x14ac:dyDescent="0.2"/>
    <row r="38164" s="689" customFormat="1" x14ac:dyDescent="0.2"/>
    <row r="38165" s="689" customFormat="1" x14ac:dyDescent="0.2"/>
    <row r="38166" s="689" customFormat="1" x14ac:dyDescent="0.2"/>
    <row r="38167" s="689" customFormat="1" x14ac:dyDescent="0.2"/>
    <row r="38168" s="689" customFormat="1" x14ac:dyDescent="0.2"/>
    <row r="38169" s="689" customFormat="1" x14ac:dyDescent="0.2"/>
    <row r="38170" s="689" customFormat="1" x14ac:dyDescent="0.2"/>
    <row r="38171" s="689" customFormat="1" x14ac:dyDescent="0.2"/>
    <row r="38172" s="689" customFormat="1" x14ac:dyDescent="0.2"/>
    <row r="38173" s="689" customFormat="1" x14ac:dyDescent="0.2"/>
    <row r="38174" s="689" customFormat="1" x14ac:dyDescent="0.2"/>
    <row r="38175" s="689" customFormat="1" x14ac:dyDescent="0.2"/>
    <row r="38176" s="689" customFormat="1" x14ac:dyDescent="0.2"/>
    <row r="38177" s="689" customFormat="1" x14ac:dyDescent="0.2"/>
    <row r="38178" s="689" customFormat="1" x14ac:dyDescent="0.2"/>
    <row r="38179" s="689" customFormat="1" x14ac:dyDescent="0.2"/>
    <row r="38180" s="689" customFormat="1" x14ac:dyDescent="0.2"/>
    <row r="38181" s="689" customFormat="1" x14ac:dyDescent="0.2"/>
    <row r="38182" s="689" customFormat="1" x14ac:dyDescent="0.2"/>
    <row r="38183" s="689" customFormat="1" x14ac:dyDescent="0.2"/>
    <row r="38184" s="689" customFormat="1" x14ac:dyDescent="0.2"/>
    <row r="38185" s="689" customFormat="1" x14ac:dyDescent="0.2"/>
    <row r="38186" s="689" customFormat="1" x14ac:dyDescent="0.2"/>
    <row r="38187" s="689" customFormat="1" x14ac:dyDescent="0.2"/>
    <row r="38188" s="689" customFormat="1" x14ac:dyDescent="0.2"/>
    <row r="38189" s="689" customFormat="1" x14ac:dyDescent="0.2"/>
    <row r="38190" s="689" customFormat="1" x14ac:dyDescent="0.2"/>
    <row r="38191" s="689" customFormat="1" x14ac:dyDescent="0.2"/>
    <row r="38192" s="689" customFormat="1" x14ac:dyDescent="0.2"/>
    <row r="38193" s="689" customFormat="1" x14ac:dyDescent="0.2"/>
    <row r="38194" s="689" customFormat="1" x14ac:dyDescent="0.2"/>
    <row r="38195" s="689" customFormat="1" x14ac:dyDescent="0.2"/>
    <row r="38196" s="689" customFormat="1" x14ac:dyDescent="0.2"/>
    <row r="38197" s="689" customFormat="1" x14ac:dyDescent="0.2"/>
    <row r="38198" s="689" customFormat="1" x14ac:dyDescent="0.2"/>
    <row r="38199" s="689" customFormat="1" x14ac:dyDescent="0.2"/>
    <row r="38200" s="689" customFormat="1" x14ac:dyDescent="0.2"/>
    <row r="38201" s="689" customFormat="1" x14ac:dyDescent="0.2"/>
    <row r="38202" s="689" customFormat="1" x14ac:dyDescent="0.2"/>
    <row r="38203" s="689" customFormat="1" x14ac:dyDescent="0.2"/>
    <row r="38204" s="689" customFormat="1" x14ac:dyDescent="0.2"/>
    <row r="38205" s="689" customFormat="1" x14ac:dyDescent="0.2"/>
    <row r="38206" s="689" customFormat="1" x14ac:dyDescent="0.2"/>
    <row r="38207" s="689" customFormat="1" x14ac:dyDescent="0.2"/>
    <row r="38208" s="689" customFormat="1" x14ac:dyDescent="0.2"/>
    <row r="38209" s="689" customFormat="1" x14ac:dyDescent="0.2"/>
    <row r="38210" s="689" customFormat="1" x14ac:dyDescent="0.2"/>
    <row r="38211" s="689" customFormat="1" x14ac:dyDescent="0.2"/>
    <row r="38212" s="689" customFormat="1" x14ac:dyDescent="0.2"/>
    <row r="38213" s="689" customFormat="1" x14ac:dyDescent="0.2"/>
    <row r="38214" s="689" customFormat="1" x14ac:dyDescent="0.2"/>
    <row r="38215" s="689" customFormat="1" x14ac:dyDescent="0.2"/>
    <row r="38216" s="689" customFormat="1" x14ac:dyDescent="0.2"/>
    <row r="38217" s="689" customFormat="1" x14ac:dyDescent="0.2"/>
    <row r="38218" s="689" customFormat="1" x14ac:dyDescent="0.2"/>
    <row r="38219" s="689" customFormat="1" x14ac:dyDescent="0.2"/>
    <row r="38220" s="689" customFormat="1" x14ac:dyDescent="0.2"/>
    <row r="38221" s="689" customFormat="1" x14ac:dyDescent="0.2"/>
    <row r="38222" s="689" customFormat="1" x14ac:dyDescent="0.2"/>
    <row r="38223" s="689" customFormat="1" x14ac:dyDescent="0.2"/>
    <row r="38224" s="689" customFormat="1" x14ac:dyDescent="0.2"/>
    <row r="38225" s="689" customFormat="1" x14ac:dyDescent="0.2"/>
    <row r="38226" s="689" customFormat="1" x14ac:dyDescent="0.2"/>
    <row r="38227" s="689" customFormat="1" x14ac:dyDescent="0.2"/>
    <row r="38228" s="689" customFormat="1" x14ac:dyDescent="0.2"/>
    <row r="38229" s="689" customFormat="1" x14ac:dyDescent="0.2"/>
    <row r="38230" s="689" customFormat="1" x14ac:dyDescent="0.2"/>
    <row r="38231" s="689" customFormat="1" x14ac:dyDescent="0.2"/>
    <row r="38232" s="689" customFormat="1" x14ac:dyDescent="0.2"/>
    <row r="38233" s="689" customFormat="1" x14ac:dyDescent="0.2"/>
    <row r="38234" s="689" customFormat="1" x14ac:dyDescent="0.2"/>
    <row r="38235" s="689" customFormat="1" x14ac:dyDescent="0.2"/>
    <row r="38236" s="689" customFormat="1" x14ac:dyDescent="0.2"/>
    <row r="38237" s="689" customFormat="1" x14ac:dyDescent="0.2"/>
    <row r="38238" s="689" customFormat="1" x14ac:dyDescent="0.2"/>
    <row r="38239" s="689" customFormat="1" x14ac:dyDescent="0.2"/>
    <row r="38240" s="689" customFormat="1" x14ac:dyDescent="0.2"/>
    <row r="38241" s="689" customFormat="1" x14ac:dyDescent="0.2"/>
    <row r="38242" s="689" customFormat="1" x14ac:dyDescent="0.2"/>
    <row r="38243" s="689" customFormat="1" x14ac:dyDescent="0.2"/>
    <row r="38244" s="689" customFormat="1" x14ac:dyDescent="0.2"/>
    <row r="38245" s="689" customFormat="1" x14ac:dyDescent="0.2"/>
    <row r="38246" s="689" customFormat="1" x14ac:dyDescent="0.2"/>
    <row r="38247" s="689" customFormat="1" x14ac:dyDescent="0.2"/>
    <row r="38248" s="689" customFormat="1" x14ac:dyDescent="0.2"/>
    <row r="38249" s="689" customFormat="1" x14ac:dyDescent="0.2"/>
    <row r="38250" s="689" customFormat="1" x14ac:dyDescent="0.2"/>
    <row r="38251" s="689" customFormat="1" x14ac:dyDescent="0.2"/>
    <row r="38252" s="689" customFormat="1" x14ac:dyDescent="0.2"/>
    <row r="38253" s="689" customFormat="1" x14ac:dyDescent="0.2"/>
    <row r="38254" s="689" customFormat="1" x14ac:dyDescent="0.2"/>
    <row r="38255" s="689" customFormat="1" x14ac:dyDescent="0.2"/>
    <row r="38256" s="689" customFormat="1" x14ac:dyDescent="0.2"/>
    <row r="38257" s="689" customFormat="1" x14ac:dyDescent="0.2"/>
    <row r="38258" s="689" customFormat="1" x14ac:dyDescent="0.2"/>
    <row r="38259" s="689" customFormat="1" x14ac:dyDescent="0.2"/>
    <row r="38260" s="689" customFormat="1" x14ac:dyDescent="0.2"/>
    <row r="38261" s="689" customFormat="1" x14ac:dyDescent="0.2"/>
    <row r="38262" s="689" customFormat="1" x14ac:dyDescent="0.2"/>
    <row r="38263" s="689" customFormat="1" x14ac:dyDescent="0.2"/>
    <row r="38264" s="689" customFormat="1" x14ac:dyDescent="0.2"/>
    <row r="38265" s="689" customFormat="1" x14ac:dyDescent="0.2"/>
    <row r="38266" s="689" customFormat="1" x14ac:dyDescent="0.2"/>
    <row r="38267" s="689" customFormat="1" x14ac:dyDescent="0.2"/>
    <row r="38268" s="689" customFormat="1" x14ac:dyDescent="0.2"/>
    <row r="38269" s="689" customFormat="1" x14ac:dyDescent="0.2"/>
    <row r="38270" s="689" customFormat="1" x14ac:dyDescent="0.2"/>
    <row r="38271" s="689" customFormat="1" x14ac:dyDescent="0.2"/>
    <row r="38272" s="689" customFormat="1" x14ac:dyDescent="0.2"/>
    <row r="38273" s="689" customFormat="1" x14ac:dyDescent="0.2"/>
    <row r="38274" s="689" customFormat="1" x14ac:dyDescent="0.2"/>
    <row r="38275" s="689" customFormat="1" x14ac:dyDescent="0.2"/>
    <row r="38276" s="689" customFormat="1" x14ac:dyDescent="0.2"/>
    <row r="38277" s="689" customFormat="1" x14ac:dyDescent="0.2"/>
    <row r="38278" s="689" customFormat="1" x14ac:dyDescent="0.2"/>
    <row r="38279" s="689" customFormat="1" x14ac:dyDescent="0.2"/>
    <row r="38280" s="689" customFormat="1" x14ac:dyDescent="0.2"/>
    <row r="38281" s="689" customFormat="1" x14ac:dyDescent="0.2"/>
    <row r="38282" s="689" customFormat="1" x14ac:dyDescent="0.2"/>
    <row r="38283" s="689" customFormat="1" x14ac:dyDescent="0.2"/>
    <row r="38284" s="689" customFormat="1" x14ac:dyDescent="0.2"/>
    <row r="38285" s="689" customFormat="1" x14ac:dyDescent="0.2"/>
    <row r="38286" s="689" customFormat="1" x14ac:dyDescent="0.2"/>
    <row r="38287" s="689" customFormat="1" x14ac:dyDescent="0.2"/>
    <row r="38288" s="689" customFormat="1" x14ac:dyDescent="0.2"/>
    <row r="38289" s="689" customFormat="1" x14ac:dyDescent="0.2"/>
    <row r="38290" s="689" customFormat="1" x14ac:dyDescent="0.2"/>
    <row r="38291" s="689" customFormat="1" x14ac:dyDescent="0.2"/>
    <row r="38292" s="689" customFormat="1" x14ac:dyDescent="0.2"/>
    <row r="38293" s="689" customFormat="1" x14ac:dyDescent="0.2"/>
    <row r="38294" s="689" customFormat="1" x14ac:dyDescent="0.2"/>
    <row r="38295" s="689" customFormat="1" x14ac:dyDescent="0.2"/>
    <row r="38296" s="689" customFormat="1" x14ac:dyDescent="0.2"/>
    <row r="38297" s="689" customFormat="1" x14ac:dyDescent="0.2"/>
    <row r="38298" s="689" customFormat="1" x14ac:dyDescent="0.2"/>
    <row r="38299" s="689" customFormat="1" x14ac:dyDescent="0.2"/>
    <row r="38300" s="689" customFormat="1" x14ac:dyDescent="0.2"/>
    <row r="38301" s="689" customFormat="1" x14ac:dyDescent="0.2"/>
    <row r="38302" s="689" customFormat="1" x14ac:dyDescent="0.2"/>
    <row r="38303" s="689" customFormat="1" x14ac:dyDescent="0.2"/>
    <row r="38304" s="689" customFormat="1" x14ac:dyDescent="0.2"/>
    <row r="38305" s="689" customFormat="1" x14ac:dyDescent="0.2"/>
    <row r="38306" s="689" customFormat="1" x14ac:dyDescent="0.2"/>
    <row r="38307" s="689" customFormat="1" x14ac:dyDescent="0.2"/>
    <row r="38308" s="689" customFormat="1" x14ac:dyDescent="0.2"/>
    <row r="38309" s="689" customFormat="1" x14ac:dyDescent="0.2"/>
    <row r="38310" s="689" customFormat="1" x14ac:dyDescent="0.2"/>
    <row r="38311" s="689" customFormat="1" x14ac:dyDescent="0.2"/>
    <row r="38312" s="689" customFormat="1" x14ac:dyDescent="0.2"/>
    <row r="38313" s="689" customFormat="1" x14ac:dyDescent="0.2"/>
    <row r="38314" s="689" customFormat="1" x14ac:dyDescent="0.2"/>
    <row r="38315" s="689" customFormat="1" x14ac:dyDescent="0.2"/>
    <row r="38316" s="689" customFormat="1" x14ac:dyDescent="0.2"/>
    <row r="38317" s="689" customFormat="1" x14ac:dyDescent="0.2"/>
    <row r="38318" s="689" customFormat="1" x14ac:dyDescent="0.2"/>
    <row r="38319" s="689" customFormat="1" x14ac:dyDescent="0.2"/>
    <row r="38320" s="689" customFormat="1" x14ac:dyDescent="0.2"/>
    <row r="38321" s="689" customFormat="1" x14ac:dyDescent="0.2"/>
    <row r="38322" s="689" customFormat="1" x14ac:dyDescent="0.2"/>
    <row r="38323" s="689" customFormat="1" x14ac:dyDescent="0.2"/>
    <row r="38324" s="689" customFormat="1" x14ac:dyDescent="0.2"/>
    <row r="38325" s="689" customFormat="1" x14ac:dyDescent="0.2"/>
    <row r="38326" s="689" customFormat="1" x14ac:dyDescent="0.2"/>
    <row r="38327" s="689" customFormat="1" x14ac:dyDescent="0.2"/>
    <row r="38328" s="689" customFormat="1" x14ac:dyDescent="0.2"/>
    <row r="38329" s="689" customFormat="1" x14ac:dyDescent="0.2"/>
    <row r="38330" s="689" customFormat="1" x14ac:dyDescent="0.2"/>
    <row r="38331" s="689" customFormat="1" x14ac:dyDescent="0.2"/>
    <row r="38332" s="689" customFormat="1" x14ac:dyDescent="0.2"/>
    <row r="38333" s="689" customFormat="1" x14ac:dyDescent="0.2"/>
    <row r="38334" s="689" customFormat="1" x14ac:dyDescent="0.2"/>
    <row r="38335" s="689" customFormat="1" x14ac:dyDescent="0.2"/>
    <row r="38336" s="689" customFormat="1" x14ac:dyDescent="0.2"/>
    <row r="38337" s="689" customFormat="1" x14ac:dyDescent="0.2"/>
    <row r="38338" s="689" customFormat="1" x14ac:dyDescent="0.2"/>
    <row r="38339" s="689" customFormat="1" x14ac:dyDescent="0.2"/>
    <row r="38340" s="689" customFormat="1" x14ac:dyDescent="0.2"/>
    <row r="38341" s="689" customFormat="1" x14ac:dyDescent="0.2"/>
    <row r="38342" s="689" customFormat="1" x14ac:dyDescent="0.2"/>
    <row r="38343" s="689" customFormat="1" x14ac:dyDescent="0.2"/>
    <row r="38344" s="689" customFormat="1" x14ac:dyDescent="0.2"/>
    <row r="38345" s="689" customFormat="1" x14ac:dyDescent="0.2"/>
    <row r="38346" s="689" customFormat="1" x14ac:dyDescent="0.2"/>
    <row r="38347" s="689" customFormat="1" x14ac:dyDescent="0.2"/>
    <row r="38348" s="689" customFormat="1" x14ac:dyDescent="0.2"/>
    <row r="38349" s="689" customFormat="1" x14ac:dyDescent="0.2"/>
    <row r="38350" s="689" customFormat="1" x14ac:dyDescent="0.2"/>
    <row r="38351" s="689" customFormat="1" x14ac:dyDescent="0.2"/>
    <row r="38352" s="689" customFormat="1" x14ac:dyDescent="0.2"/>
    <row r="38353" s="689" customFormat="1" x14ac:dyDescent="0.2"/>
    <row r="38354" s="689" customFormat="1" x14ac:dyDescent="0.2"/>
    <row r="38355" s="689" customFormat="1" x14ac:dyDescent="0.2"/>
    <row r="38356" s="689" customFormat="1" x14ac:dyDescent="0.2"/>
    <row r="38357" s="689" customFormat="1" x14ac:dyDescent="0.2"/>
    <row r="38358" s="689" customFormat="1" x14ac:dyDescent="0.2"/>
    <row r="38359" s="689" customFormat="1" x14ac:dyDescent="0.2"/>
    <row r="38360" s="689" customFormat="1" x14ac:dyDescent="0.2"/>
    <row r="38361" s="689" customFormat="1" x14ac:dyDescent="0.2"/>
    <row r="38362" s="689" customFormat="1" x14ac:dyDescent="0.2"/>
    <row r="38363" s="689" customFormat="1" x14ac:dyDescent="0.2"/>
    <row r="38364" s="689" customFormat="1" x14ac:dyDescent="0.2"/>
    <row r="38365" s="689" customFormat="1" x14ac:dyDescent="0.2"/>
    <row r="38366" s="689" customFormat="1" x14ac:dyDescent="0.2"/>
    <row r="38367" s="689" customFormat="1" x14ac:dyDescent="0.2"/>
    <row r="38368" s="689" customFormat="1" x14ac:dyDescent="0.2"/>
    <row r="38369" s="689" customFormat="1" x14ac:dyDescent="0.2"/>
    <row r="38370" s="689" customFormat="1" x14ac:dyDescent="0.2"/>
    <row r="38371" s="689" customFormat="1" x14ac:dyDescent="0.2"/>
    <row r="38372" s="689" customFormat="1" x14ac:dyDescent="0.2"/>
    <row r="38373" s="689" customFormat="1" x14ac:dyDescent="0.2"/>
    <row r="38374" s="689" customFormat="1" x14ac:dyDescent="0.2"/>
    <row r="38375" s="689" customFormat="1" x14ac:dyDescent="0.2"/>
    <row r="38376" s="689" customFormat="1" x14ac:dyDescent="0.2"/>
    <row r="38377" s="689" customFormat="1" x14ac:dyDescent="0.2"/>
    <row r="38378" s="689" customFormat="1" x14ac:dyDescent="0.2"/>
    <row r="38379" s="689" customFormat="1" x14ac:dyDescent="0.2"/>
    <row r="38380" s="689" customFormat="1" x14ac:dyDescent="0.2"/>
    <row r="38381" s="689" customFormat="1" x14ac:dyDescent="0.2"/>
    <row r="38382" s="689" customFormat="1" x14ac:dyDescent="0.2"/>
    <row r="38383" s="689" customFormat="1" x14ac:dyDescent="0.2"/>
    <row r="38384" s="689" customFormat="1" x14ac:dyDescent="0.2"/>
    <row r="38385" s="689" customFormat="1" x14ac:dyDescent="0.2"/>
    <row r="38386" s="689" customFormat="1" x14ac:dyDescent="0.2"/>
    <row r="38387" s="689" customFormat="1" x14ac:dyDescent="0.2"/>
    <row r="38388" s="689" customFormat="1" x14ac:dyDescent="0.2"/>
    <row r="38389" s="689" customFormat="1" x14ac:dyDescent="0.2"/>
    <row r="38390" s="689" customFormat="1" x14ac:dyDescent="0.2"/>
    <row r="38391" s="689" customFormat="1" x14ac:dyDescent="0.2"/>
    <row r="38392" s="689" customFormat="1" x14ac:dyDescent="0.2"/>
    <row r="38393" s="689" customFormat="1" x14ac:dyDescent="0.2"/>
    <row r="38394" s="689" customFormat="1" x14ac:dyDescent="0.2"/>
    <row r="38395" s="689" customFormat="1" x14ac:dyDescent="0.2"/>
    <row r="38396" s="689" customFormat="1" x14ac:dyDescent="0.2"/>
    <row r="38397" s="689" customFormat="1" x14ac:dyDescent="0.2"/>
    <row r="38398" s="689" customFormat="1" x14ac:dyDescent="0.2"/>
    <row r="38399" s="689" customFormat="1" x14ac:dyDescent="0.2"/>
    <row r="38400" s="689" customFormat="1" x14ac:dyDescent="0.2"/>
    <row r="38401" s="689" customFormat="1" x14ac:dyDescent="0.2"/>
    <row r="38402" s="689" customFormat="1" x14ac:dyDescent="0.2"/>
    <row r="38403" s="689" customFormat="1" x14ac:dyDescent="0.2"/>
    <row r="38404" s="689" customFormat="1" x14ac:dyDescent="0.2"/>
    <row r="38405" s="689" customFormat="1" x14ac:dyDescent="0.2"/>
    <row r="38406" s="689" customFormat="1" x14ac:dyDescent="0.2"/>
    <row r="38407" s="689" customFormat="1" x14ac:dyDescent="0.2"/>
    <row r="38408" s="689" customFormat="1" x14ac:dyDescent="0.2"/>
    <row r="38409" s="689" customFormat="1" x14ac:dyDescent="0.2"/>
    <row r="38410" s="689" customFormat="1" x14ac:dyDescent="0.2"/>
    <row r="38411" s="689" customFormat="1" x14ac:dyDescent="0.2"/>
    <row r="38412" s="689" customFormat="1" x14ac:dyDescent="0.2"/>
    <row r="38413" s="689" customFormat="1" x14ac:dyDescent="0.2"/>
    <row r="38414" s="689" customFormat="1" x14ac:dyDescent="0.2"/>
    <row r="38415" s="689" customFormat="1" x14ac:dyDescent="0.2"/>
    <row r="38416" s="689" customFormat="1" x14ac:dyDescent="0.2"/>
    <row r="38417" s="689" customFormat="1" x14ac:dyDescent="0.2"/>
    <row r="38418" s="689" customFormat="1" x14ac:dyDescent="0.2"/>
    <row r="38419" s="689" customFormat="1" x14ac:dyDescent="0.2"/>
    <row r="38420" s="689" customFormat="1" x14ac:dyDescent="0.2"/>
    <row r="38421" s="689" customFormat="1" x14ac:dyDescent="0.2"/>
    <row r="38422" s="689" customFormat="1" x14ac:dyDescent="0.2"/>
    <row r="38423" s="689" customFormat="1" x14ac:dyDescent="0.2"/>
    <row r="38424" s="689" customFormat="1" x14ac:dyDescent="0.2"/>
    <row r="38425" s="689" customFormat="1" x14ac:dyDescent="0.2"/>
    <row r="38426" s="689" customFormat="1" x14ac:dyDescent="0.2"/>
    <row r="38427" s="689" customFormat="1" x14ac:dyDescent="0.2"/>
    <row r="38428" s="689" customFormat="1" x14ac:dyDescent="0.2"/>
    <row r="38429" s="689" customFormat="1" x14ac:dyDescent="0.2"/>
    <row r="38430" s="689" customFormat="1" x14ac:dyDescent="0.2"/>
    <row r="38431" s="689" customFormat="1" x14ac:dyDescent="0.2"/>
    <row r="38432" s="689" customFormat="1" x14ac:dyDescent="0.2"/>
    <row r="38433" s="689" customFormat="1" x14ac:dyDescent="0.2"/>
    <row r="38434" s="689" customFormat="1" x14ac:dyDescent="0.2"/>
    <row r="38435" s="689" customFormat="1" x14ac:dyDescent="0.2"/>
    <row r="38436" s="689" customFormat="1" x14ac:dyDescent="0.2"/>
    <row r="38437" s="689" customFormat="1" x14ac:dyDescent="0.2"/>
    <row r="38438" s="689" customFormat="1" x14ac:dyDescent="0.2"/>
    <row r="38439" s="689" customFormat="1" x14ac:dyDescent="0.2"/>
    <row r="38440" s="689" customFormat="1" x14ac:dyDescent="0.2"/>
    <row r="38441" s="689" customFormat="1" x14ac:dyDescent="0.2"/>
    <row r="38442" s="689" customFormat="1" x14ac:dyDescent="0.2"/>
    <row r="38443" s="689" customFormat="1" x14ac:dyDescent="0.2"/>
    <row r="38444" s="689" customFormat="1" x14ac:dyDescent="0.2"/>
    <row r="38445" s="689" customFormat="1" x14ac:dyDescent="0.2"/>
    <row r="38446" s="689" customFormat="1" x14ac:dyDescent="0.2"/>
    <row r="38447" s="689" customFormat="1" x14ac:dyDescent="0.2"/>
    <row r="38448" s="689" customFormat="1" x14ac:dyDescent="0.2"/>
    <row r="38449" s="689" customFormat="1" x14ac:dyDescent="0.2"/>
    <row r="38450" s="689" customFormat="1" x14ac:dyDescent="0.2"/>
    <row r="38451" s="689" customFormat="1" x14ac:dyDescent="0.2"/>
    <row r="38452" s="689" customFormat="1" x14ac:dyDescent="0.2"/>
    <row r="38453" s="689" customFormat="1" x14ac:dyDescent="0.2"/>
    <row r="38454" s="689" customFormat="1" x14ac:dyDescent="0.2"/>
    <row r="38455" s="689" customFormat="1" x14ac:dyDescent="0.2"/>
    <row r="38456" s="689" customFormat="1" x14ac:dyDescent="0.2"/>
    <row r="38457" s="689" customFormat="1" x14ac:dyDescent="0.2"/>
    <row r="38458" s="689" customFormat="1" x14ac:dyDescent="0.2"/>
    <row r="38459" s="689" customFormat="1" x14ac:dyDescent="0.2"/>
    <row r="38460" s="689" customFormat="1" x14ac:dyDescent="0.2"/>
    <row r="38461" s="689" customFormat="1" x14ac:dyDescent="0.2"/>
    <row r="38462" s="689" customFormat="1" x14ac:dyDescent="0.2"/>
    <row r="38463" s="689" customFormat="1" x14ac:dyDescent="0.2"/>
    <row r="38464" s="689" customFormat="1" x14ac:dyDescent="0.2"/>
    <row r="38465" s="689" customFormat="1" x14ac:dyDescent="0.2"/>
    <row r="38466" s="689" customFormat="1" x14ac:dyDescent="0.2"/>
    <row r="38467" s="689" customFormat="1" x14ac:dyDescent="0.2"/>
    <row r="38468" s="689" customFormat="1" x14ac:dyDescent="0.2"/>
    <row r="38469" s="689" customFormat="1" x14ac:dyDescent="0.2"/>
    <row r="38470" s="689" customFormat="1" x14ac:dyDescent="0.2"/>
    <row r="38471" s="689" customFormat="1" x14ac:dyDescent="0.2"/>
    <row r="38472" s="689" customFormat="1" x14ac:dyDescent="0.2"/>
    <row r="38473" s="689" customFormat="1" x14ac:dyDescent="0.2"/>
    <row r="38474" s="689" customFormat="1" x14ac:dyDescent="0.2"/>
    <row r="38475" s="689" customFormat="1" x14ac:dyDescent="0.2"/>
    <row r="38476" s="689" customFormat="1" x14ac:dyDescent="0.2"/>
    <row r="38477" s="689" customFormat="1" x14ac:dyDescent="0.2"/>
    <row r="38478" s="689" customFormat="1" x14ac:dyDescent="0.2"/>
    <row r="38479" s="689" customFormat="1" x14ac:dyDescent="0.2"/>
    <row r="38480" s="689" customFormat="1" x14ac:dyDescent="0.2"/>
    <row r="38481" s="689" customFormat="1" x14ac:dyDescent="0.2"/>
    <row r="38482" s="689" customFormat="1" x14ac:dyDescent="0.2"/>
    <row r="38483" s="689" customFormat="1" x14ac:dyDescent="0.2"/>
    <row r="38484" s="689" customFormat="1" x14ac:dyDescent="0.2"/>
    <row r="38485" s="689" customFormat="1" x14ac:dyDescent="0.2"/>
    <row r="38486" s="689" customFormat="1" x14ac:dyDescent="0.2"/>
    <row r="38487" s="689" customFormat="1" x14ac:dyDescent="0.2"/>
    <row r="38488" s="689" customFormat="1" x14ac:dyDescent="0.2"/>
    <row r="38489" s="689" customFormat="1" x14ac:dyDescent="0.2"/>
    <row r="38490" s="689" customFormat="1" x14ac:dyDescent="0.2"/>
    <row r="38491" s="689" customFormat="1" x14ac:dyDescent="0.2"/>
    <row r="38492" s="689" customFormat="1" x14ac:dyDescent="0.2"/>
    <row r="38493" s="689" customFormat="1" x14ac:dyDescent="0.2"/>
    <row r="38494" s="689" customFormat="1" x14ac:dyDescent="0.2"/>
    <row r="38495" s="689" customFormat="1" x14ac:dyDescent="0.2"/>
    <row r="38496" s="689" customFormat="1" x14ac:dyDescent="0.2"/>
    <row r="38497" s="689" customFormat="1" x14ac:dyDescent="0.2"/>
    <row r="38498" s="689" customFormat="1" x14ac:dyDescent="0.2"/>
    <row r="38499" s="689" customFormat="1" x14ac:dyDescent="0.2"/>
    <row r="38500" s="689" customFormat="1" x14ac:dyDescent="0.2"/>
    <row r="38501" s="689" customFormat="1" x14ac:dyDescent="0.2"/>
    <row r="38502" s="689" customFormat="1" x14ac:dyDescent="0.2"/>
    <row r="38503" s="689" customFormat="1" x14ac:dyDescent="0.2"/>
    <row r="38504" s="689" customFormat="1" x14ac:dyDescent="0.2"/>
    <row r="38505" s="689" customFormat="1" x14ac:dyDescent="0.2"/>
    <row r="38506" s="689" customFormat="1" x14ac:dyDescent="0.2"/>
    <row r="38507" s="689" customFormat="1" x14ac:dyDescent="0.2"/>
    <row r="38508" s="689" customFormat="1" x14ac:dyDescent="0.2"/>
    <row r="38509" s="689" customFormat="1" x14ac:dyDescent="0.2"/>
    <row r="38510" s="689" customFormat="1" x14ac:dyDescent="0.2"/>
    <row r="38511" s="689" customFormat="1" x14ac:dyDescent="0.2"/>
    <row r="38512" s="689" customFormat="1" x14ac:dyDescent="0.2"/>
    <row r="38513" s="689" customFormat="1" x14ac:dyDescent="0.2"/>
    <row r="38514" s="689" customFormat="1" x14ac:dyDescent="0.2"/>
    <row r="38515" s="689" customFormat="1" x14ac:dyDescent="0.2"/>
    <row r="38516" s="689" customFormat="1" x14ac:dyDescent="0.2"/>
    <row r="38517" s="689" customFormat="1" x14ac:dyDescent="0.2"/>
    <row r="38518" s="689" customFormat="1" x14ac:dyDescent="0.2"/>
    <row r="38519" s="689" customFormat="1" x14ac:dyDescent="0.2"/>
    <row r="38520" s="689" customFormat="1" x14ac:dyDescent="0.2"/>
    <row r="38521" s="689" customFormat="1" x14ac:dyDescent="0.2"/>
    <row r="38522" s="689" customFormat="1" x14ac:dyDescent="0.2"/>
    <row r="38523" s="689" customFormat="1" x14ac:dyDescent="0.2"/>
    <row r="38524" s="689" customFormat="1" x14ac:dyDescent="0.2"/>
    <row r="38525" s="689" customFormat="1" x14ac:dyDescent="0.2"/>
    <row r="38526" s="689" customFormat="1" x14ac:dyDescent="0.2"/>
    <row r="38527" s="689" customFormat="1" x14ac:dyDescent="0.2"/>
    <row r="38528" s="689" customFormat="1" x14ac:dyDescent="0.2"/>
    <row r="38529" s="689" customFormat="1" x14ac:dyDescent="0.2"/>
    <row r="38530" s="689" customFormat="1" x14ac:dyDescent="0.2"/>
    <row r="38531" s="689" customFormat="1" x14ac:dyDescent="0.2"/>
    <row r="38532" s="689" customFormat="1" x14ac:dyDescent="0.2"/>
    <row r="38533" s="689" customFormat="1" x14ac:dyDescent="0.2"/>
    <row r="38534" s="689" customFormat="1" x14ac:dyDescent="0.2"/>
    <row r="38535" s="689" customFormat="1" x14ac:dyDescent="0.2"/>
    <row r="38536" s="689" customFormat="1" x14ac:dyDescent="0.2"/>
    <row r="38537" s="689" customFormat="1" x14ac:dyDescent="0.2"/>
    <row r="38538" s="689" customFormat="1" x14ac:dyDescent="0.2"/>
    <row r="38539" s="689" customFormat="1" x14ac:dyDescent="0.2"/>
    <row r="38540" s="689" customFormat="1" x14ac:dyDescent="0.2"/>
    <row r="38541" s="689" customFormat="1" x14ac:dyDescent="0.2"/>
    <row r="38542" s="689" customFormat="1" x14ac:dyDescent="0.2"/>
    <row r="38543" s="689" customFormat="1" x14ac:dyDescent="0.2"/>
    <row r="38544" s="689" customFormat="1" x14ac:dyDescent="0.2"/>
    <row r="38545" s="689" customFormat="1" x14ac:dyDescent="0.2"/>
    <row r="38546" s="689" customFormat="1" x14ac:dyDescent="0.2"/>
    <row r="38547" s="689" customFormat="1" x14ac:dyDescent="0.2"/>
    <row r="38548" s="689" customFormat="1" x14ac:dyDescent="0.2"/>
    <row r="38549" s="689" customFormat="1" x14ac:dyDescent="0.2"/>
    <row r="38550" s="689" customFormat="1" x14ac:dyDescent="0.2"/>
    <row r="38551" s="689" customFormat="1" x14ac:dyDescent="0.2"/>
    <row r="38552" s="689" customFormat="1" x14ac:dyDescent="0.2"/>
    <row r="38553" s="689" customFormat="1" x14ac:dyDescent="0.2"/>
    <row r="38554" s="689" customFormat="1" x14ac:dyDescent="0.2"/>
    <row r="38555" s="689" customFormat="1" x14ac:dyDescent="0.2"/>
    <row r="38556" s="689" customFormat="1" x14ac:dyDescent="0.2"/>
    <row r="38557" s="689" customFormat="1" x14ac:dyDescent="0.2"/>
    <row r="38558" s="689" customFormat="1" x14ac:dyDescent="0.2"/>
    <row r="38559" s="689" customFormat="1" x14ac:dyDescent="0.2"/>
    <row r="38560" s="689" customFormat="1" x14ac:dyDescent="0.2"/>
    <row r="38561" s="689" customFormat="1" x14ac:dyDescent="0.2"/>
    <row r="38562" s="689" customFormat="1" x14ac:dyDescent="0.2"/>
    <row r="38563" s="689" customFormat="1" x14ac:dyDescent="0.2"/>
    <row r="38564" s="689" customFormat="1" x14ac:dyDescent="0.2"/>
    <row r="38565" s="689" customFormat="1" x14ac:dyDescent="0.2"/>
    <row r="38566" s="689" customFormat="1" x14ac:dyDescent="0.2"/>
    <row r="38567" s="689" customFormat="1" x14ac:dyDescent="0.2"/>
    <row r="38568" s="689" customFormat="1" x14ac:dyDescent="0.2"/>
    <row r="38569" s="689" customFormat="1" x14ac:dyDescent="0.2"/>
    <row r="38570" s="689" customFormat="1" x14ac:dyDescent="0.2"/>
    <row r="38571" s="689" customFormat="1" x14ac:dyDescent="0.2"/>
    <row r="38572" s="689" customFormat="1" x14ac:dyDescent="0.2"/>
    <row r="38573" s="689" customFormat="1" x14ac:dyDescent="0.2"/>
    <row r="38574" s="689" customFormat="1" x14ac:dyDescent="0.2"/>
    <row r="38575" s="689" customFormat="1" x14ac:dyDescent="0.2"/>
    <row r="38576" s="689" customFormat="1" x14ac:dyDescent="0.2"/>
    <row r="38577" s="689" customFormat="1" x14ac:dyDescent="0.2"/>
    <row r="38578" s="689" customFormat="1" x14ac:dyDescent="0.2"/>
    <row r="38579" s="689" customFormat="1" x14ac:dyDescent="0.2"/>
    <row r="38580" s="689" customFormat="1" x14ac:dyDescent="0.2"/>
    <row r="38581" s="689" customFormat="1" x14ac:dyDescent="0.2"/>
    <row r="38582" s="689" customFormat="1" x14ac:dyDescent="0.2"/>
    <row r="38583" s="689" customFormat="1" x14ac:dyDescent="0.2"/>
    <row r="38584" s="689" customFormat="1" x14ac:dyDescent="0.2"/>
    <row r="38585" s="689" customFormat="1" x14ac:dyDescent="0.2"/>
    <row r="38586" s="689" customFormat="1" x14ac:dyDescent="0.2"/>
    <row r="38587" s="689" customFormat="1" x14ac:dyDescent="0.2"/>
    <row r="38588" s="689" customFormat="1" x14ac:dyDescent="0.2"/>
    <row r="38589" s="689" customFormat="1" x14ac:dyDescent="0.2"/>
    <row r="38590" s="689" customFormat="1" x14ac:dyDescent="0.2"/>
    <row r="38591" s="689" customFormat="1" x14ac:dyDescent="0.2"/>
    <row r="38592" s="689" customFormat="1" x14ac:dyDescent="0.2"/>
    <row r="38593" s="689" customFormat="1" x14ac:dyDescent="0.2"/>
    <row r="38594" s="689" customFormat="1" x14ac:dyDescent="0.2"/>
    <row r="38595" s="689" customFormat="1" x14ac:dyDescent="0.2"/>
    <row r="38596" s="689" customFormat="1" x14ac:dyDescent="0.2"/>
    <row r="38597" s="689" customFormat="1" x14ac:dyDescent="0.2"/>
    <row r="38598" s="689" customFormat="1" x14ac:dyDescent="0.2"/>
    <row r="38599" s="689" customFormat="1" x14ac:dyDescent="0.2"/>
    <row r="38600" s="689" customFormat="1" x14ac:dyDescent="0.2"/>
    <row r="38601" s="689" customFormat="1" x14ac:dyDescent="0.2"/>
    <row r="38602" s="689" customFormat="1" x14ac:dyDescent="0.2"/>
    <row r="38603" s="689" customFormat="1" x14ac:dyDescent="0.2"/>
    <row r="38604" s="689" customFormat="1" x14ac:dyDescent="0.2"/>
    <row r="38605" s="689" customFormat="1" x14ac:dyDescent="0.2"/>
    <row r="38606" s="689" customFormat="1" x14ac:dyDescent="0.2"/>
    <row r="38607" s="689" customFormat="1" x14ac:dyDescent="0.2"/>
    <row r="38608" s="689" customFormat="1" x14ac:dyDescent="0.2"/>
    <row r="38609" s="689" customFormat="1" x14ac:dyDescent="0.2"/>
    <row r="38610" s="689" customFormat="1" x14ac:dyDescent="0.2"/>
    <row r="38611" s="689" customFormat="1" x14ac:dyDescent="0.2"/>
    <row r="38612" s="689" customFormat="1" x14ac:dyDescent="0.2"/>
    <row r="38613" s="689" customFormat="1" x14ac:dyDescent="0.2"/>
    <row r="38614" s="689" customFormat="1" x14ac:dyDescent="0.2"/>
    <row r="38615" s="689" customFormat="1" x14ac:dyDescent="0.2"/>
    <row r="38616" s="689" customFormat="1" x14ac:dyDescent="0.2"/>
    <row r="38617" s="689" customFormat="1" x14ac:dyDescent="0.2"/>
    <row r="38618" s="689" customFormat="1" x14ac:dyDescent="0.2"/>
    <row r="38619" s="689" customFormat="1" x14ac:dyDescent="0.2"/>
    <row r="38620" s="689" customFormat="1" x14ac:dyDescent="0.2"/>
    <row r="38621" s="689" customFormat="1" x14ac:dyDescent="0.2"/>
    <row r="38622" s="689" customFormat="1" x14ac:dyDescent="0.2"/>
    <row r="38623" s="689" customFormat="1" x14ac:dyDescent="0.2"/>
    <row r="38624" s="689" customFormat="1" x14ac:dyDescent="0.2"/>
    <row r="38625" s="689" customFormat="1" x14ac:dyDescent="0.2"/>
    <row r="38626" s="689" customFormat="1" x14ac:dyDescent="0.2"/>
    <row r="38627" s="689" customFormat="1" x14ac:dyDescent="0.2"/>
    <row r="38628" s="689" customFormat="1" x14ac:dyDescent="0.2"/>
    <row r="38629" s="689" customFormat="1" x14ac:dyDescent="0.2"/>
    <row r="38630" s="689" customFormat="1" x14ac:dyDescent="0.2"/>
    <row r="38631" s="689" customFormat="1" x14ac:dyDescent="0.2"/>
    <row r="38632" s="689" customFormat="1" x14ac:dyDescent="0.2"/>
    <row r="38633" s="689" customFormat="1" x14ac:dyDescent="0.2"/>
    <row r="38634" s="689" customFormat="1" x14ac:dyDescent="0.2"/>
    <row r="38635" s="689" customFormat="1" x14ac:dyDescent="0.2"/>
    <row r="38636" s="689" customFormat="1" x14ac:dyDescent="0.2"/>
    <row r="38637" s="689" customFormat="1" x14ac:dyDescent="0.2"/>
    <row r="38638" s="689" customFormat="1" x14ac:dyDescent="0.2"/>
    <row r="38639" s="689" customFormat="1" x14ac:dyDescent="0.2"/>
    <row r="38640" s="689" customFormat="1" x14ac:dyDescent="0.2"/>
    <row r="38641" s="689" customFormat="1" x14ac:dyDescent="0.2"/>
    <row r="38642" s="689" customFormat="1" x14ac:dyDescent="0.2"/>
    <row r="38643" s="689" customFormat="1" x14ac:dyDescent="0.2"/>
    <row r="38644" s="689" customFormat="1" x14ac:dyDescent="0.2"/>
    <row r="38645" s="689" customFormat="1" x14ac:dyDescent="0.2"/>
    <row r="38646" s="689" customFormat="1" x14ac:dyDescent="0.2"/>
    <row r="38647" s="689" customFormat="1" x14ac:dyDescent="0.2"/>
    <row r="38648" s="689" customFormat="1" x14ac:dyDescent="0.2"/>
    <row r="38649" s="689" customFormat="1" x14ac:dyDescent="0.2"/>
    <row r="38650" s="689" customFormat="1" x14ac:dyDescent="0.2"/>
    <row r="38651" s="689" customFormat="1" x14ac:dyDescent="0.2"/>
    <row r="38652" s="689" customFormat="1" x14ac:dyDescent="0.2"/>
    <row r="38653" s="689" customFormat="1" x14ac:dyDescent="0.2"/>
    <row r="38654" s="689" customFormat="1" x14ac:dyDescent="0.2"/>
    <row r="38655" s="689" customFormat="1" x14ac:dyDescent="0.2"/>
    <row r="38656" s="689" customFormat="1" x14ac:dyDescent="0.2"/>
    <row r="38657" s="689" customFormat="1" x14ac:dyDescent="0.2"/>
    <row r="38658" s="689" customFormat="1" x14ac:dyDescent="0.2"/>
    <row r="38659" s="689" customFormat="1" x14ac:dyDescent="0.2"/>
    <row r="38660" s="689" customFormat="1" x14ac:dyDescent="0.2"/>
    <row r="38661" s="689" customFormat="1" x14ac:dyDescent="0.2"/>
    <row r="38662" s="689" customFormat="1" x14ac:dyDescent="0.2"/>
    <row r="38663" s="689" customFormat="1" x14ac:dyDescent="0.2"/>
    <row r="38664" s="689" customFormat="1" x14ac:dyDescent="0.2"/>
    <row r="38665" s="689" customFormat="1" x14ac:dyDescent="0.2"/>
    <row r="38666" s="689" customFormat="1" x14ac:dyDescent="0.2"/>
    <row r="38667" s="689" customFormat="1" x14ac:dyDescent="0.2"/>
    <row r="38668" s="689" customFormat="1" x14ac:dyDescent="0.2"/>
    <row r="38669" s="689" customFormat="1" x14ac:dyDescent="0.2"/>
    <row r="38670" s="689" customFormat="1" x14ac:dyDescent="0.2"/>
    <row r="38671" s="689" customFormat="1" x14ac:dyDescent="0.2"/>
    <row r="38672" s="689" customFormat="1" x14ac:dyDescent="0.2"/>
    <row r="38673" s="689" customFormat="1" x14ac:dyDescent="0.2"/>
    <row r="38674" s="689" customFormat="1" x14ac:dyDescent="0.2"/>
    <row r="38675" s="689" customFormat="1" x14ac:dyDescent="0.2"/>
    <row r="38676" s="689" customFormat="1" x14ac:dyDescent="0.2"/>
    <row r="38677" s="689" customFormat="1" x14ac:dyDescent="0.2"/>
    <row r="38678" s="689" customFormat="1" x14ac:dyDescent="0.2"/>
    <row r="38679" s="689" customFormat="1" x14ac:dyDescent="0.2"/>
    <row r="38680" s="689" customFormat="1" x14ac:dyDescent="0.2"/>
    <row r="38681" s="689" customFormat="1" x14ac:dyDescent="0.2"/>
    <row r="38682" s="689" customFormat="1" x14ac:dyDescent="0.2"/>
    <row r="38683" s="689" customFormat="1" x14ac:dyDescent="0.2"/>
    <row r="38684" s="689" customFormat="1" x14ac:dyDescent="0.2"/>
    <row r="38685" s="689" customFormat="1" x14ac:dyDescent="0.2"/>
    <row r="38686" s="689" customFormat="1" x14ac:dyDescent="0.2"/>
    <row r="38687" s="689" customFormat="1" x14ac:dyDescent="0.2"/>
    <row r="38688" s="689" customFormat="1" x14ac:dyDescent="0.2"/>
    <row r="38689" s="689" customFormat="1" x14ac:dyDescent="0.2"/>
    <row r="38690" s="689" customFormat="1" x14ac:dyDescent="0.2"/>
    <row r="38691" s="689" customFormat="1" x14ac:dyDescent="0.2"/>
    <row r="38692" s="689" customFormat="1" x14ac:dyDescent="0.2"/>
    <row r="38693" s="689" customFormat="1" x14ac:dyDescent="0.2"/>
    <row r="38694" s="689" customFormat="1" x14ac:dyDescent="0.2"/>
    <row r="38695" s="689" customFormat="1" x14ac:dyDescent="0.2"/>
    <row r="38696" s="689" customFormat="1" x14ac:dyDescent="0.2"/>
    <row r="38697" s="689" customFormat="1" x14ac:dyDescent="0.2"/>
    <row r="38698" s="689" customFormat="1" x14ac:dyDescent="0.2"/>
    <row r="38699" s="689" customFormat="1" x14ac:dyDescent="0.2"/>
    <row r="38700" s="689" customFormat="1" x14ac:dyDescent="0.2"/>
    <row r="38701" s="689" customFormat="1" x14ac:dyDescent="0.2"/>
    <row r="38702" s="689" customFormat="1" x14ac:dyDescent="0.2"/>
    <row r="38703" s="689" customFormat="1" x14ac:dyDescent="0.2"/>
    <row r="38704" s="689" customFormat="1" x14ac:dyDescent="0.2"/>
    <row r="38705" s="689" customFormat="1" x14ac:dyDescent="0.2"/>
    <row r="38706" s="689" customFormat="1" x14ac:dyDescent="0.2"/>
    <row r="38707" s="689" customFormat="1" x14ac:dyDescent="0.2"/>
    <row r="38708" s="689" customFormat="1" x14ac:dyDescent="0.2"/>
    <row r="38709" s="689" customFormat="1" x14ac:dyDescent="0.2"/>
    <row r="38710" s="689" customFormat="1" x14ac:dyDescent="0.2"/>
    <row r="38711" s="689" customFormat="1" x14ac:dyDescent="0.2"/>
    <row r="38712" s="689" customFormat="1" x14ac:dyDescent="0.2"/>
    <row r="38713" s="689" customFormat="1" x14ac:dyDescent="0.2"/>
    <row r="38714" s="689" customFormat="1" x14ac:dyDescent="0.2"/>
    <row r="38715" s="689" customFormat="1" x14ac:dyDescent="0.2"/>
    <row r="38716" s="689" customFormat="1" x14ac:dyDescent="0.2"/>
    <row r="38717" s="689" customFormat="1" x14ac:dyDescent="0.2"/>
    <row r="38718" s="689" customFormat="1" x14ac:dyDescent="0.2"/>
    <row r="38719" s="689" customFormat="1" x14ac:dyDescent="0.2"/>
    <row r="38720" s="689" customFormat="1" x14ac:dyDescent="0.2"/>
    <row r="38721" s="689" customFormat="1" x14ac:dyDescent="0.2"/>
    <row r="38722" s="689" customFormat="1" x14ac:dyDescent="0.2"/>
    <row r="38723" s="689" customFormat="1" x14ac:dyDescent="0.2"/>
    <row r="38724" s="689" customFormat="1" x14ac:dyDescent="0.2"/>
    <row r="38725" s="689" customFormat="1" x14ac:dyDescent="0.2"/>
    <row r="38726" s="689" customFormat="1" x14ac:dyDescent="0.2"/>
    <row r="38727" s="689" customFormat="1" x14ac:dyDescent="0.2"/>
    <row r="38728" s="689" customFormat="1" x14ac:dyDescent="0.2"/>
    <row r="38729" s="689" customFormat="1" x14ac:dyDescent="0.2"/>
    <row r="38730" s="689" customFormat="1" x14ac:dyDescent="0.2"/>
    <row r="38731" s="689" customFormat="1" x14ac:dyDescent="0.2"/>
    <row r="38732" s="689" customFormat="1" x14ac:dyDescent="0.2"/>
    <row r="38733" s="689" customFormat="1" x14ac:dyDescent="0.2"/>
    <row r="38734" s="689" customFormat="1" x14ac:dyDescent="0.2"/>
    <row r="38735" s="689" customFormat="1" x14ac:dyDescent="0.2"/>
    <row r="38736" s="689" customFormat="1" x14ac:dyDescent="0.2"/>
    <row r="38737" s="689" customFormat="1" x14ac:dyDescent="0.2"/>
    <row r="38738" s="689" customFormat="1" x14ac:dyDescent="0.2"/>
    <row r="38739" s="689" customFormat="1" x14ac:dyDescent="0.2"/>
    <row r="38740" s="689" customFormat="1" x14ac:dyDescent="0.2"/>
    <row r="38741" s="689" customFormat="1" x14ac:dyDescent="0.2"/>
    <row r="38742" s="689" customFormat="1" x14ac:dyDescent="0.2"/>
    <row r="38743" s="689" customFormat="1" x14ac:dyDescent="0.2"/>
    <row r="38744" s="689" customFormat="1" x14ac:dyDescent="0.2"/>
    <row r="38745" s="689" customFormat="1" x14ac:dyDescent="0.2"/>
    <row r="38746" s="689" customFormat="1" x14ac:dyDescent="0.2"/>
    <row r="38747" s="689" customFormat="1" x14ac:dyDescent="0.2"/>
    <row r="38748" s="689" customFormat="1" x14ac:dyDescent="0.2"/>
    <row r="38749" s="689" customFormat="1" x14ac:dyDescent="0.2"/>
    <row r="38750" s="689" customFormat="1" x14ac:dyDescent="0.2"/>
    <row r="38751" s="689" customFormat="1" x14ac:dyDescent="0.2"/>
    <row r="38752" s="689" customFormat="1" x14ac:dyDescent="0.2"/>
    <row r="38753" s="689" customFormat="1" x14ac:dyDescent="0.2"/>
    <row r="38754" s="689" customFormat="1" x14ac:dyDescent="0.2"/>
    <row r="38755" s="689" customFormat="1" x14ac:dyDescent="0.2"/>
    <row r="38756" s="689" customFormat="1" x14ac:dyDescent="0.2"/>
    <row r="38757" s="689" customFormat="1" x14ac:dyDescent="0.2"/>
    <row r="38758" s="689" customFormat="1" x14ac:dyDescent="0.2"/>
    <row r="38759" s="689" customFormat="1" x14ac:dyDescent="0.2"/>
    <row r="38760" s="689" customFormat="1" x14ac:dyDescent="0.2"/>
    <row r="38761" s="689" customFormat="1" x14ac:dyDescent="0.2"/>
    <row r="38762" s="689" customFormat="1" x14ac:dyDescent="0.2"/>
    <row r="38763" s="689" customFormat="1" x14ac:dyDescent="0.2"/>
    <row r="38764" s="689" customFormat="1" x14ac:dyDescent="0.2"/>
    <row r="38765" s="689" customFormat="1" x14ac:dyDescent="0.2"/>
    <row r="38766" s="689" customFormat="1" x14ac:dyDescent="0.2"/>
    <row r="38767" s="689" customFormat="1" x14ac:dyDescent="0.2"/>
    <row r="38768" s="689" customFormat="1" x14ac:dyDescent="0.2"/>
    <row r="38769" s="689" customFormat="1" x14ac:dyDescent="0.2"/>
    <row r="38770" s="689" customFormat="1" x14ac:dyDescent="0.2"/>
    <row r="38771" s="689" customFormat="1" x14ac:dyDescent="0.2"/>
    <row r="38772" s="689" customFormat="1" x14ac:dyDescent="0.2"/>
    <row r="38773" s="689" customFormat="1" x14ac:dyDescent="0.2"/>
    <row r="38774" s="689" customFormat="1" x14ac:dyDescent="0.2"/>
    <row r="38775" s="689" customFormat="1" x14ac:dyDescent="0.2"/>
    <row r="38776" s="689" customFormat="1" x14ac:dyDescent="0.2"/>
    <row r="38777" s="689" customFormat="1" x14ac:dyDescent="0.2"/>
    <row r="38778" s="689" customFormat="1" x14ac:dyDescent="0.2"/>
    <row r="38779" s="689" customFormat="1" x14ac:dyDescent="0.2"/>
    <row r="38780" s="689" customFormat="1" x14ac:dyDescent="0.2"/>
    <row r="38781" s="689" customFormat="1" x14ac:dyDescent="0.2"/>
    <row r="38782" s="689" customFormat="1" x14ac:dyDescent="0.2"/>
    <row r="38783" s="689" customFormat="1" x14ac:dyDescent="0.2"/>
    <row r="38784" s="689" customFormat="1" x14ac:dyDescent="0.2"/>
    <row r="38785" s="689" customFormat="1" x14ac:dyDescent="0.2"/>
    <row r="38786" s="689" customFormat="1" x14ac:dyDescent="0.2"/>
    <row r="38787" s="689" customFormat="1" x14ac:dyDescent="0.2"/>
    <row r="38788" s="689" customFormat="1" x14ac:dyDescent="0.2"/>
    <row r="38789" s="689" customFormat="1" x14ac:dyDescent="0.2"/>
    <row r="38790" s="689" customFormat="1" x14ac:dyDescent="0.2"/>
    <row r="38791" s="689" customFormat="1" x14ac:dyDescent="0.2"/>
    <row r="38792" s="689" customFormat="1" x14ac:dyDescent="0.2"/>
    <row r="38793" s="689" customFormat="1" x14ac:dyDescent="0.2"/>
    <row r="38794" s="689" customFormat="1" x14ac:dyDescent="0.2"/>
    <row r="38795" s="689" customFormat="1" x14ac:dyDescent="0.2"/>
    <row r="38796" s="689" customFormat="1" x14ac:dyDescent="0.2"/>
    <row r="38797" s="689" customFormat="1" x14ac:dyDescent="0.2"/>
    <row r="38798" s="689" customFormat="1" x14ac:dyDescent="0.2"/>
    <row r="38799" s="689" customFormat="1" x14ac:dyDescent="0.2"/>
    <row r="38800" s="689" customFormat="1" x14ac:dyDescent="0.2"/>
    <row r="38801" s="689" customFormat="1" x14ac:dyDescent="0.2"/>
    <row r="38802" s="689" customFormat="1" x14ac:dyDescent="0.2"/>
    <row r="38803" s="689" customFormat="1" x14ac:dyDescent="0.2"/>
    <row r="38804" s="689" customFormat="1" x14ac:dyDescent="0.2"/>
    <row r="38805" s="689" customFormat="1" x14ac:dyDescent="0.2"/>
    <row r="38806" s="689" customFormat="1" x14ac:dyDescent="0.2"/>
    <row r="38807" s="689" customFormat="1" x14ac:dyDescent="0.2"/>
    <row r="38808" s="689" customFormat="1" x14ac:dyDescent="0.2"/>
    <row r="38809" s="689" customFormat="1" x14ac:dyDescent="0.2"/>
    <row r="38810" s="689" customFormat="1" x14ac:dyDescent="0.2"/>
    <row r="38811" s="689" customFormat="1" x14ac:dyDescent="0.2"/>
    <row r="38812" s="689" customFormat="1" x14ac:dyDescent="0.2"/>
    <row r="38813" s="689" customFormat="1" x14ac:dyDescent="0.2"/>
    <row r="38814" s="689" customFormat="1" x14ac:dyDescent="0.2"/>
    <row r="38815" s="689" customFormat="1" x14ac:dyDescent="0.2"/>
    <row r="38816" s="689" customFormat="1" x14ac:dyDescent="0.2"/>
    <row r="38817" s="689" customFormat="1" x14ac:dyDescent="0.2"/>
    <row r="38818" s="689" customFormat="1" x14ac:dyDescent="0.2"/>
    <row r="38819" s="689" customFormat="1" x14ac:dyDescent="0.2"/>
    <row r="38820" s="689" customFormat="1" x14ac:dyDescent="0.2"/>
    <row r="38821" s="689" customFormat="1" x14ac:dyDescent="0.2"/>
    <row r="38822" s="689" customFormat="1" x14ac:dyDescent="0.2"/>
    <row r="38823" s="689" customFormat="1" x14ac:dyDescent="0.2"/>
    <row r="38824" s="689" customFormat="1" x14ac:dyDescent="0.2"/>
    <row r="38825" s="689" customFormat="1" x14ac:dyDescent="0.2"/>
    <row r="38826" s="689" customFormat="1" x14ac:dyDescent="0.2"/>
    <row r="38827" s="689" customFormat="1" x14ac:dyDescent="0.2"/>
    <row r="38828" s="689" customFormat="1" x14ac:dyDescent="0.2"/>
    <row r="38829" s="689" customFormat="1" x14ac:dyDescent="0.2"/>
    <row r="38830" s="689" customFormat="1" x14ac:dyDescent="0.2"/>
    <row r="38831" s="689" customFormat="1" x14ac:dyDescent="0.2"/>
    <row r="38832" s="689" customFormat="1" x14ac:dyDescent="0.2"/>
    <row r="38833" s="689" customFormat="1" x14ac:dyDescent="0.2"/>
    <row r="38834" s="689" customFormat="1" x14ac:dyDescent="0.2"/>
    <row r="38835" s="689" customFormat="1" x14ac:dyDescent="0.2"/>
    <row r="38836" s="689" customFormat="1" x14ac:dyDescent="0.2"/>
    <row r="38837" s="689" customFormat="1" x14ac:dyDescent="0.2"/>
    <row r="38838" s="689" customFormat="1" x14ac:dyDescent="0.2"/>
    <row r="38839" s="689" customFormat="1" x14ac:dyDescent="0.2"/>
    <row r="38840" s="689" customFormat="1" x14ac:dyDescent="0.2"/>
    <row r="38841" s="689" customFormat="1" x14ac:dyDescent="0.2"/>
    <row r="38842" s="689" customFormat="1" x14ac:dyDescent="0.2"/>
    <row r="38843" s="689" customFormat="1" x14ac:dyDescent="0.2"/>
    <row r="38844" s="689" customFormat="1" x14ac:dyDescent="0.2"/>
    <row r="38845" s="689" customFormat="1" x14ac:dyDescent="0.2"/>
    <row r="38846" s="689" customFormat="1" x14ac:dyDescent="0.2"/>
    <row r="38847" s="689" customFormat="1" x14ac:dyDescent="0.2"/>
    <row r="38848" s="689" customFormat="1" x14ac:dyDescent="0.2"/>
    <row r="38849" s="689" customFormat="1" x14ac:dyDescent="0.2"/>
    <row r="38850" s="689" customFormat="1" x14ac:dyDescent="0.2"/>
    <row r="38851" s="689" customFormat="1" x14ac:dyDescent="0.2"/>
    <row r="38852" s="689" customFormat="1" x14ac:dyDescent="0.2"/>
    <row r="38853" s="689" customFormat="1" x14ac:dyDescent="0.2"/>
    <row r="38854" s="689" customFormat="1" x14ac:dyDescent="0.2"/>
    <row r="38855" s="689" customFormat="1" x14ac:dyDescent="0.2"/>
    <row r="38856" s="689" customFormat="1" x14ac:dyDescent="0.2"/>
    <row r="38857" s="689" customFormat="1" x14ac:dyDescent="0.2"/>
    <row r="38858" s="689" customFormat="1" x14ac:dyDescent="0.2"/>
    <row r="38859" s="689" customFormat="1" x14ac:dyDescent="0.2"/>
    <row r="38860" s="689" customFormat="1" x14ac:dyDescent="0.2"/>
    <row r="38861" s="689" customFormat="1" x14ac:dyDescent="0.2"/>
    <row r="38862" s="689" customFormat="1" x14ac:dyDescent="0.2"/>
    <row r="38863" s="689" customFormat="1" x14ac:dyDescent="0.2"/>
    <row r="38864" s="689" customFormat="1" x14ac:dyDescent="0.2"/>
    <row r="38865" s="689" customFormat="1" x14ac:dyDescent="0.2"/>
    <row r="38866" s="689" customFormat="1" x14ac:dyDescent="0.2"/>
    <row r="38867" s="689" customFormat="1" x14ac:dyDescent="0.2"/>
    <row r="38868" s="689" customFormat="1" x14ac:dyDescent="0.2"/>
    <row r="38869" s="689" customFormat="1" x14ac:dyDescent="0.2"/>
    <row r="38870" s="689" customFormat="1" x14ac:dyDescent="0.2"/>
    <row r="38871" s="689" customFormat="1" x14ac:dyDescent="0.2"/>
    <row r="38872" s="689" customFormat="1" x14ac:dyDescent="0.2"/>
    <row r="38873" s="689" customFormat="1" x14ac:dyDescent="0.2"/>
    <row r="38874" s="689" customFormat="1" x14ac:dyDescent="0.2"/>
    <row r="38875" s="689" customFormat="1" x14ac:dyDescent="0.2"/>
    <row r="38876" s="689" customFormat="1" x14ac:dyDescent="0.2"/>
    <row r="38877" s="689" customFormat="1" x14ac:dyDescent="0.2"/>
    <row r="38878" s="689" customFormat="1" x14ac:dyDescent="0.2"/>
    <row r="38879" s="689" customFormat="1" x14ac:dyDescent="0.2"/>
    <row r="38880" s="689" customFormat="1" x14ac:dyDescent="0.2"/>
    <row r="38881" s="689" customFormat="1" x14ac:dyDescent="0.2"/>
    <row r="38882" s="689" customFormat="1" x14ac:dyDescent="0.2"/>
    <row r="38883" s="689" customFormat="1" x14ac:dyDescent="0.2"/>
    <row r="38884" s="689" customFormat="1" x14ac:dyDescent="0.2"/>
    <row r="38885" s="689" customFormat="1" x14ac:dyDescent="0.2"/>
    <row r="38886" s="689" customFormat="1" x14ac:dyDescent="0.2"/>
    <row r="38887" s="689" customFormat="1" x14ac:dyDescent="0.2"/>
    <row r="38888" s="689" customFormat="1" x14ac:dyDescent="0.2"/>
    <row r="38889" s="689" customFormat="1" x14ac:dyDescent="0.2"/>
    <row r="38890" s="689" customFormat="1" x14ac:dyDescent="0.2"/>
    <row r="38891" s="689" customFormat="1" x14ac:dyDescent="0.2"/>
    <row r="38892" s="689" customFormat="1" x14ac:dyDescent="0.2"/>
    <row r="38893" s="689" customFormat="1" x14ac:dyDescent="0.2"/>
    <row r="38894" s="689" customFormat="1" x14ac:dyDescent="0.2"/>
    <row r="38895" s="689" customFormat="1" x14ac:dyDescent="0.2"/>
    <row r="38896" s="689" customFormat="1" x14ac:dyDescent="0.2"/>
    <row r="38897" s="689" customFormat="1" x14ac:dyDescent="0.2"/>
    <row r="38898" s="689" customFormat="1" x14ac:dyDescent="0.2"/>
    <row r="38899" s="689" customFormat="1" x14ac:dyDescent="0.2"/>
    <row r="38900" s="689" customFormat="1" x14ac:dyDescent="0.2"/>
    <row r="38901" s="689" customFormat="1" x14ac:dyDescent="0.2"/>
    <row r="38902" s="689" customFormat="1" x14ac:dyDescent="0.2"/>
    <row r="38903" s="689" customFormat="1" x14ac:dyDescent="0.2"/>
    <row r="38904" s="689" customFormat="1" x14ac:dyDescent="0.2"/>
    <row r="38905" s="689" customFormat="1" x14ac:dyDescent="0.2"/>
    <row r="38906" s="689" customFormat="1" x14ac:dyDescent="0.2"/>
    <row r="38907" s="689" customFormat="1" x14ac:dyDescent="0.2"/>
    <row r="38908" s="689" customFormat="1" x14ac:dyDescent="0.2"/>
    <row r="38909" s="689" customFormat="1" x14ac:dyDescent="0.2"/>
    <row r="38910" s="689" customFormat="1" x14ac:dyDescent="0.2"/>
    <row r="38911" s="689" customFormat="1" x14ac:dyDescent="0.2"/>
    <row r="38912" s="689" customFormat="1" x14ac:dyDescent="0.2"/>
    <row r="38913" s="689" customFormat="1" x14ac:dyDescent="0.2"/>
    <row r="38914" s="689" customFormat="1" x14ac:dyDescent="0.2"/>
    <row r="38915" s="689" customFormat="1" x14ac:dyDescent="0.2"/>
    <row r="38916" s="689" customFormat="1" x14ac:dyDescent="0.2"/>
    <row r="38917" s="689" customFormat="1" x14ac:dyDescent="0.2"/>
    <row r="38918" s="689" customFormat="1" x14ac:dyDescent="0.2"/>
    <row r="38919" s="689" customFormat="1" x14ac:dyDescent="0.2"/>
    <row r="38920" s="689" customFormat="1" x14ac:dyDescent="0.2"/>
    <row r="38921" s="689" customFormat="1" x14ac:dyDescent="0.2"/>
    <row r="38922" s="689" customFormat="1" x14ac:dyDescent="0.2"/>
    <row r="38923" s="689" customFormat="1" x14ac:dyDescent="0.2"/>
    <row r="38924" s="689" customFormat="1" x14ac:dyDescent="0.2"/>
    <row r="38925" s="689" customFormat="1" x14ac:dyDescent="0.2"/>
    <row r="38926" s="689" customFormat="1" x14ac:dyDescent="0.2"/>
    <row r="38927" s="689" customFormat="1" x14ac:dyDescent="0.2"/>
    <row r="38928" s="689" customFormat="1" x14ac:dyDescent="0.2"/>
    <row r="38929" s="689" customFormat="1" x14ac:dyDescent="0.2"/>
    <row r="38930" s="689" customFormat="1" x14ac:dyDescent="0.2"/>
    <row r="38931" s="689" customFormat="1" x14ac:dyDescent="0.2"/>
    <row r="38932" s="689" customFormat="1" x14ac:dyDescent="0.2"/>
    <row r="38933" s="689" customFormat="1" x14ac:dyDescent="0.2"/>
    <row r="38934" s="689" customFormat="1" x14ac:dyDescent="0.2"/>
    <row r="38935" s="689" customFormat="1" x14ac:dyDescent="0.2"/>
    <row r="38936" s="689" customFormat="1" x14ac:dyDescent="0.2"/>
    <row r="38937" s="689" customFormat="1" x14ac:dyDescent="0.2"/>
    <row r="38938" s="689" customFormat="1" x14ac:dyDescent="0.2"/>
    <row r="38939" s="689" customFormat="1" x14ac:dyDescent="0.2"/>
    <row r="38940" s="689" customFormat="1" x14ac:dyDescent="0.2"/>
    <row r="38941" s="689" customFormat="1" x14ac:dyDescent="0.2"/>
    <row r="38942" s="689" customFormat="1" x14ac:dyDescent="0.2"/>
    <row r="38943" s="689" customFormat="1" x14ac:dyDescent="0.2"/>
    <row r="38944" s="689" customFormat="1" x14ac:dyDescent="0.2"/>
    <row r="38945" s="689" customFormat="1" x14ac:dyDescent="0.2"/>
    <row r="38946" s="689" customFormat="1" x14ac:dyDescent="0.2"/>
    <row r="38947" s="689" customFormat="1" x14ac:dyDescent="0.2"/>
    <row r="38948" s="689" customFormat="1" x14ac:dyDescent="0.2"/>
    <row r="38949" s="689" customFormat="1" x14ac:dyDescent="0.2"/>
    <row r="38950" s="689" customFormat="1" x14ac:dyDescent="0.2"/>
    <row r="38951" s="689" customFormat="1" x14ac:dyDescent="0.2"/>
    <row r="38952" s="689" customFormat="1" x14ac:dyDescent="0.2"/>
    <row r="38953" s="689" customFormat="1" x14ac:dyDescent="0.2"/>
    <row r="38954" s="689" customFormat="1" x14ac:dyDescent="0.2"/>
    <row r="38955" s="689" customFormat="1" x14ac:dyDescent="0.2"/>
    <row r="38956" s="689" customFormat="1" x14ac:dyDescent="0.2"/>
    <row r="38957" s="689" customFormat="1" x14ac:dyDescent="0.2"/>
    <row r="38958" s="689" customFormat="1" x14ac:dyDescent="0.2"/>
    <row r="38959" s="689" customFormat="1" x14ac:dyDescent="0.2"/>
    <row r="38960" s="689" customFormat="1" x14ac:dyDescent="0.2"/>
    <row r="38961" s="689" customFormat="1" x14ac:dyDescent="0.2"/>
    <row r="38962" s="689" customFormat="1" x14ac:dyDescent="0.2"/>
    <row r="38963" s="689" customFormat="1" x14ac:dyDescent="0.2"/>
    <row r="38964" s="689" customFormat="1" x14ac:dyDescent="0.2"/>
    <row r="38965" s="689" customFormat="1" x14ac:dyDescent="0.2"/>
    <row r="38966" s="689" customFormat="1" x14ac:dyDescent="0.2"/>
    <row r="38967" s="689" customFormat="1" x14ac:dyDescent="0.2"/>
    <row r="38968" s="689" customFormat="1" x14ac:dyDescent="0.2"/>
    <row r="38969" s="689" customFormat="1" x14ac:dyDescent="0.2"/>
    <row r="38970" s="689" customFormat="1" x14ac:dyDescent="0.2"/>
    <row r="38971" s="689" customFormat="1" x14ac:dyDescent="0.2"/>
    <row r="38972" s="689" customFormat="1" x14ac:dyDescent="0.2"/>
    <row r="38973" s="689" customFormat="1" x14ac:dyDescent="0.2"/>
    <row r="38974" s="689" customFormat="1" x14ac:dyDescent="0.2"/>
    <row r="38975" s="689" customFormat="1" x14ac:dyDescent="0.2"/>
    <row r="38976" s="689" customFormat="1" x14ac:dyDescent="0.2"/>
    <row r="38977" s="689" customFormat="1" x14ac:dyDescent="0.2"/>
    <row r="38978" s="689" customFormat="1" x14ac:dyDescent="0.2"/>
    <row r="38979" s="689" customFormat="1" x14ac:dyDescent="0.2"/>
    <row r="38980" s="689" customFormat="1" x14ac:dyDescent="0.2"/>
    <row r="38981" s="689" customFormat="1" x14ac:dyDescent="0.2"/>
    <row r="38982" s="689" customFormat="1" x14ac:dyDescent="0.2"/>
    <row r="38983" s="689" customFormat="1" x14ac:dyDescent="0.2"/>
    <row r="38984" s="689" customFormat="1" x14ac:dyDescent="0.2"/>
    <row r="38985" s="689" customFormat="1" x14ac:dyDescent="0.2"/>
    <row r="38986" s="689" customFormat="1" x14ac:dyDescent="0.2"/>
    <row r="38987" s="689" customFormat="1" x14ac:dyDescent="0.2"/>
    <row r="38988" s="689" customFormat="1" x14ac:dyDescent="0.2"/>
    <row r="38989" s="689" customFormat="1" x14ac:dyDescent="0.2"/>
    <row r="38990" s="689" customFormat="1" x14ac:dyDescent="0.2"/>
    <row r="38991" s="689" customFormat="1" x14ac:dyDescent="0.2"/>
    <row r="38992" s="689" customFormat="1" x14ac:dyDescent="0.2"/>
    <row r="38993" s="689" customFormat="1" x14ac:dyDescent="0.2"/>
    <row r="38994" s="689" customFormat="1" x14ac:dyDescent="0.2"/>
    <row r="38995" s="689" customFormat="1" x14ac:dyDescent="0.2"/>
    <row r="38996" s="689" customFormat="1" x14ac:dyDescent="0.2"/>
    <row r="38997" s="689" customFormat="1" x14ac:dyDescent="0.2"/>
    <row r="38998" s="689" customFormat="1" x14ac:dyDescent="0.2"/>
    <row r="38999" s="689" customFormat="1" x14ac:dyDescent="0.2"/>
    <row r="39000" s="689" customFormat="1" x14ac:dyDescent="0.2"/>
    <row r="39001" s="689" customFormat="1" x14ac:dyDescent="0.2"/>
    <row r="39002" s="689" customFormat="1" x14ac:dyDescent="0.2"/>
    <row r="39003" s="689" customFormat="1" x14ac:dyDescent="0.2"/>
    <row r="39004" s="689" customFormat="1" x14ac:dyDescent="0.2"/>
    <row r="39005" s="689" customFormat="1" x14ac:dyDescent="0.2"/>
    <row r="39006" s="689" customFormat="1" x14ac:dyDescent="0.2"/>
    <row r="39007" s="689" customFormat="1" x14ac:dyDescent="0.2"/>
    <row r="39008" s="689" customFormat="1" x14ac:dyDescent="0.2"/>
    <row r="39009" s="689" customFormat="1" x14ac:dyDescent="0.2"/>
    <row r="39010" s="689" customFormat="1" x14ac:dyDescent="0.2"/>
    <row r="39011" s="689" customFormat="1" x14ac:dyDescent="0.2"/>
    <row r="39012" s="689" customFormat="1" x14ac:dyDescent="0.2"/>
    <row r="39013" s="689" customFormat="1" x14ac:dyDescent="0.2"/>
    <row r="39014" s="689" customFormat="1" x14ac:dyDescent="0.2"/>
    <row r="39015" s="689" customFormat="1" x14ac:dyDescent="0.2"/>
    <row r="39016" s="689" customFormat="1" x14ac:dyDescent="0.2"/>
    <row r="39017" s="689" customFormat="1" x14ac:dyDescent="0.2"/>
    <row r="39018" s="689" customFormat="1" x14ac:dyDescent="0.2"/>
    <row r="39019" s="689" customFormat="1" x14ac:dyDescent="0.2"/>
    <row r="39020" s="689" customFormat="1" x14ac:dyDescent="0.2"/>
    <row r="39021" s="689" customFormat="1" x14ac:dyDescent="0.2"/>
    <row r="39022" s="689" customFormat="1" x14ac:dyDescent="0.2"/>
    <row r="39023" s="689" customFormat="1" x14ac:dyDescent="0.2"/>
    <row r="39024" s="689" customFormat="1" x14ac:dyDescent="0.2"/>
    <row r="39025" s="689" customFormat="1" x14ac:dyDescent="0.2"/>
    <row r="39026" s="689" customFormat="1" x14ac:dyDescent="0.2"/>
    <row r="39027" s="689" customFormat="1" x14ac:dyDescent="0.2"/>
    <row r="39028" s="689" customFormat="1" x14ac:dyDescent="0.2"/>
    <row r="39029" s="689" customFormat="1" x14ac:dyDescent="0.2"/>
    <row r="39030" s="689" customFormat="1" x14ac:dyDescent="0.2"/>
    <row r="39031" s="689" customFormat="1" x14ac:dyDescent="0.2"/>
    <row r="39032" s="689" customFormat="1" x14ac:dyDescent="0.2"/>
    <row r="39033" s="689" customFormat="1" x14ac:dyDescent="0.2"/>
    <row r="39034" s="689" customFormat="1" x14ac:dyDescent="0.2"/>
    <row r="39035" s="689" customFormat="1" x14ac:dyDescent="0.2"/>
    <row r="39036" s="689" customFormat="1" x14ac:dyDescent="0.2"/>
    <row r="39037" s="689" customFormat="1" x14ac:dyDescent="0.2"/>
    <row r="39038" s="689" customFormat="1" x14ac:dyDescent="0.2"/>
    <row r="39039" s="689" customFormat="1" x14ac:dyDescent="0.2"/>
    <row r="39040" s="689" customFormat="1" x14ac:dyDescent="0.2"/>
    <row r="39041" s="689" customFormat="1" x14ac:dyDescent="0.2"/>
    <row r="39042" s="689" customFormat="1" x14ac:dyDescent="0.2"/>
    <row r="39043" s="689" customFormat="1" x14ac:dyDescent="0.2"/>
    <row r="39044" s="689" customFormat="1" x14ac:dyDescent="0.2"/>
    <row r="39045" s="689" customFormat="1" x14ac:dyDescent="0.2"/>
    <row r="39046" s="689" customFormat="1" x14ac:dyDescent="0.2"/>
    <row r="39047" s="689" customFormat="1" x14ac:dyDescent="0.2"/>
    <row r="39048" s="689" customFormat="1" x14ac:dyDescent="0.2"/>
    <row r="39049" s="689" customFormat="1" x14ac:dyDescent="0.2"/>
    <row r="39050" s="689" customFormat="1" x14ac:dyDescent="0.2"/>
    <row r="39051" s="689" customFormat="1" x14ac:dyDescent="0.2"/>
    <row r="39052" s="689" customFormat="1" x14ac:dyDescent="0.2"/>
    <row r="39053" s="689" customFormat="1" x14ac:dyDescent="0.2"/>
    <row r="39054" s="689" customFormat="1" x14ac:dyDescent="0.2"/>
    <row r="39055" s="689" customFormat="1" x14ac:dyDescent="0.2"/>
    <row r="39056" s="689" customFormat="1" x14ac:dyDescent="0.2"/>
    <row r="39057" s="689" customFormat="1" x14ac:dyDescent="0.2"/>
    <row r="39058" s="689" customFormat="1" x14ac:dyDescent="0.2"/>
    <row r="39059" s="689" customFormat="1" x14ac:dyDescent="0.2"/>
    <row r="39060" s="689" customFormat="1" x14ac:dyDescent="0.2"/>
    <row r="39061" s="689" customFormat="1" x14ac:dyDescent="0.2"/>
    <row r="39062" s="689" customFormat="1" x14ac:dyDescent="0.2"/>
    <row r="39063" s="689" customFormat="1" x14ac:dyDescent="0.2"/>
    <row r="39064" s="689" customFormat="1" x14ac:dyDescent="0.2"/>
    <row r="39065" s="689" customFormat="1" x14ac:dyDescent="0.2"/>
    <row r="39066" s="689" customFormat="1" x14ac:dyDescent="0.2"/>
    <row r="39067" s="689" customFormat="1" x14ac:dyDescent="0.2"/>
    <row r="39068" s="689" customFormat="1" x14ac:dyDescent="0.2"/>
    <row r="39069" s="689" customFormat="1" x14ac:dyDescent="0.2"/>
    <row r="39070" s="689" customFormat="1" x14ac:dyDescent="0.2"/>
    <row r="39071" s="689" customFormat="1" x14ac:dyDescent="0.2"/>
    <row r="39072" s="689" customFormat="1" x14ac:dyDescent="0.2"/>
    <row r="39073" s="689" customFormat="1" x14ac:dyDescent="0.2"/>
    <row r="39074" s="689" customFormat="1" x14ac:dyDescent="0.2"/>
    <row r="39075" s="689" customFormat="1" x14ac:dyDescent="0.2"/>
    <row r="39076" s="689" customFormat="1" x14ac:dyDescent="0.2"/>
    <row r="39077" s="689" customFormat="1" x14ac:dyDescent="0.2"/>
    <row r="39078" s="689" customFormat="1" x14ac:dyDescent="0.2"/>
    <row r="39079" s="689" customFormat="1" x14ac:dyDescent="0.2"/>
    <row r="39080" s="689" customFormat="1" x14ac:dyDescent="0.2"/>
    <row r="39081" s="689" customFormat="1" x14ac:dyDescent="0.2"/>
    <row r="39082" s="689" customFormat="1" x14ac:dyDescent="0.2"/>
    <row r="39083" s="689" customFormat="1" x14ac:dyDescent="0.2"/>
    <row r="39084" s="689" customFormat="1" x14ac:dyDescent="0.2"/>
    <row r="39085" s="689" customFormat="1" x14ac:dyDescent="0.2"/>
    <row r="39086" s="689" customFormat="1" x14ac:dyDescent="0.2"/>
    <row r="39087" s="689" customFormat="1" x14ac:dyDescent="0.2"/>
    <row r="39088" s="689" customFormat="1" x14ac:dyDescent="0.2"/>
    <row r="39089" s="689" customFormat="1" x14ac:dyDescent="0.2"/>
    <row r="39090" s="689" customFormat="1" x14ac:dyDescent="0.2"/>
    <row r="39091" s="689" customFormat="1" x14ac:dyDescent="0.2"/>
    <row r="39092" s="689" customFormat="1" x14ac:dyDescent="0.2"/>
    <row r="39093" s="689" customFormat="1" x14ac:dyDescent="0.2"/>
    <row r="39094" s="689" customFormat="1" x14ac:dyDescent="0.2"/>
    <row r="39095" s="689" customFormat="1" x14ac:dyDescent="0.2"/>
    <row r="39096" s="689" customFormat="1" x14ac:dyDescent="0.2"/>
    <row r="39097" s="689" customFormat="1" x14ac:dyDescent="0.2"/>
    <row r="39098" s="689" customFormat="1" x14ac:dyDescent="0.2"/>
    <row r="39099" s="689" customFormat="1" x14ac:dyDescent="0.2"/>
    <row r="39100" s="689" customFormat="1" x14ac:dyDescent="0.2"/>
    <row r="39101" s="689" customFormat="1" x14ac:dyDescent="0.2"/>
    <row r="39102" s="689" customFormat="1" x14ac:dyDescent="0.2"/>
    <row r="39103" s="689" customFormat="1" x14ac:dyDescent="0.2"/>
    <row r="39104" s="689" customFormat="1" x14ac:dyDescent="0.2"/>
    <row r="39105" s="689" customFormat="1" x14ac:dyDescent="0.2"/>
    <row r="39106" s="689" customFormat="1" x14ac:dyDescent="0.2"/>
    <row r="39107" s="689" customFormat="1" x14ac:dyDescent="0.2"/>
    <row r="39108" s="689" customFormat="1" x14ac:dyDescent="0.2"/>
    <row r="39109" s="689" customFormat="1" x14ac:dyDescent="0.2"/>
    <row r="39110" s="689" customFormat="1" x14ac:dyDescent="0.2"/>
    <row r="39111" s="689" customFormat="1" x14ac:dyDescent="0.2"/>
    <row r="39112" s="689" customFormat="1" x14ac:dyDescent="0.2"/>
    <row r="39113" s="689" customFormat="1" x14ac:dyDescent="0.2"/>
    <row r="39114" s="689" customFormat="1" x14ac:dyDescent="0.2"/>
    <row r="39115" s="689" customFormat="1" x14ac:dyDescent="0.2"/>
    <row r="39116" s="689" customFormat="1" x14ac:dyDescent="0.2"/>
    <row r="39117" s="689" customFormat="1" x14ac:dyDescent="0.2"/>
    <row r="39118" s="689" customFormat="1" x14ac:dyDescent="0.2"/>
    <row r="39119" s="689" customFormat="1" x14ac:dyDescent="0.2"/>
    <row r="39120" s="689" customFormat="1" x14ac:dyDescent="0.2"/>
    <row r="39121" s="689" customFormat="1" x14ac:dyDescent="0.2"/>
    <row r="39122" s="689" customFormat="1" x14ac:dyDescent="0.2"/>
    <row r="39123" s="689" customFormat="1" x14ac:dyDescent="0.2"/>
    <row r="39124" s="689" customFormat="1" x14ac:dyDescent="0.2"/>
    <row r="39125" s="689" customFormat="1" x14ac:dyDescent="0.2"/>
    <row r="39126" s="689" customFormat="1" x14ac:dyDescent="0.2"/>
    <row r="39127" s="689" customFormat="1" x14ac:dyDescent="0.2"/>
    <row r="39128" s="689" customFormat="1" x14ac:dyDescent="0.2"/>
    <row r="39129" s="689" customFormat="1" x14ac:dyDescent="0.2"/>
    <row r="39130" s="689" customFormat="1" x14ac:dyDescent="0.2"/>
    <row r="39131" s="689" customFormat="1" x14ac:dyDescent="0.2"/>
    <row r="39132" s="689" customFormat="1" x14ac:dyDescent="0.2"/>
    <row r="39133" s="689" customFormat="1" x14ac:dyDescent="0.2"/>
    <row r="39134" s="689" customFormat="1" x14ac:dyDescent="0.2"/>
    <row r="39135" s="689" customFormat="1" x14ac:dyDescent="0.2"/>
    <row r="39136" s="689" customFormat="1" x14ac:dyDescent="0.2"/>
    <row r="39137" s="689" customFormat="1" x14ac:dyDescent="0.2"/>
    <row r="39138" s="689" customFormat="1" x14ac:dyDescent="0.2"/>
    <row r="39139" s="689" customFormat="1" x14ac:dyDescent="0.2"/>
    <row r="39140" s="689" customFormat="1" x14ac:dyDescent="0.2"/>
    <row r="39141" s="689" customFormat="1" x14ac:dyDescent="0.2"/>
    <row r="39142" s="689" customFormat="1" x14ac:dyDescent="0.2"/>
    <row r="39143" s="689" customFormat="1" x14ac:dyDescent="0.2"/>
    <row r="39144" s="689" customFormat="1" x14ac:dyDescent="0.2"/>
    <row r="39145" s="689" customFormat="1" x14ac:dyDescent="0.2"/>
    <row r="39146" s="689" customFormat="1" x14ac:dyDescent="0.2"/>
    <row r="39147" s="689" customFormat="1" x14ac:dyDescent="0.2"/>
    <row r="39148" s="689" customFormat="1" x14ac:dyDescent="0.2"/>
    <row r="39149" s="689" customFormat="1" x14ac:dyDescent="0.2"/>
    <row r="39150" s="689" customFormat="1" x14ac:dyDescent="0.2"/>
    <row r="39151" s="689" customFormat="1" x14ac:dyDescent="0.2"/>
    <row r="39152" s="689" customFormat="1" x14ac:dyDescent="0.2"/>
    <row r="39153" s="689" customFormat="1" x14ac:dyDescent="0.2"/>
    <row r="39154" s="689" customFormat="1" x14ac:dyDescent="0.2"/>
    <row r="39155" s="689" customFormat="1" x14ac:dyDescent="0.2"/>
    <row r="39156" s="689" customFormat="1" x14ac:dyDescent="0.2"/>
    <row r="39157" s="689" customFormat="1" x14ac:dyDescent="0.2"/>
    <row r="39158" s="689" customFormat="1" x14ac:dyDescent="0.2"/>
    <row r="39159" s="689" customFormat="1" x14ac:dyDescent="0.2"/>
    <row r="39160" s="689" customFormat="1" x14ac:dyDescent="0.2"/>
    <row r="39161" s="689" customFormat="1" x14ac:dyDescent="0.2"/>
    <row r="39162" s="689" customFormat="1" x14ac:dyDescent="0.2"/>
    <row r="39163" s="689" customFormat="1" x14ac:dyDescent="0.2"/>
    <row r="39164" s="689" customFormat="1" x14ac:dyDescent="0.2"/>
    <row r="39165" s="689" customFormat="1" x14ac:dyDescent="0.2"/>
    <row r="39166" s="689" customFormat="1" x14ac:dyDescent="0.2"/>
    <row r="39167" s="689" customFormat="1" x14ac:dyDescent="0.2"/>
    <row r="39168" s="689" customFormat="1" x14ac:dyDescent="0.2"/>
    <row r="39169" s="689" customFormat="1" x14ac:dyDescent="0.2"/>
    <row r="39170" s="689" customFormat="1" x14ac:dyDescent="0.2"/>
    <row r="39171" s="689" customFormat="1" x14ac:dyDescent="0.2"/>
    <row r="39172" s="689" customFormat="1" x14ac:dyDescent="0.2"/>
    <row r="39173" s="689" customFormat="1" x14ac:dyDescent="0.2"/>
    <row r="39174" s="689" customFormat="1" x14ac:dyDescent="0.2"/>
    <row r="39175" s="689" customFormat="1" x14ac:dyDescent="0.2"/>
    <row r="39176" s="689" customFormat="1" x14ac:dyDescent="0.2"/>
    <row r="39177" s="689" customFormat="1" x14ac:dyDescent="0.2"/>
    <row r="39178" s="689" customFormat="1" x14ac:dyDescent="0.2"/>
    <row r="39179" s="689" customFormat="1" x14ac:dyDescent="0.2"/>
    <row r="39180" s="689" customFormat="1" x14ac:dyDescent="0.2"/>
    <row r="39181" s="689" customFormat="1" x14ac:dyDescent="0.2"/>
    <row r="39182" s="689" customFormat="1" x14ac:dyDescent="0.2"/>
    <row r="39183" s="689" customFormat="1" x14ac:dyDescent="0.2"/>
    <row r="39184" s="689" customFormat="1" x14ac:dyDescent="0.2"/>
    <row r="39185" s="689" customFormat="1" x14ac:dyDescent="0.2"/>
    <row r="39186" s="689" customFormat="1" x14ac:dyDescent="0.2"/>
    <row r="39187" s="689" customFormat="1" x14ac:dyDescent="0.2"/>
    <row r="39188" s="689" customFormat="1" x14ac:dyDescent="0.2"/>
    <row r="39189" s="689" customFormat="1" x14ac:dyDescent="0.2"/>
    <row r="39190" s="689" customFormat="1" x14ac:dyDescent="0.2"/>
    <row r="39191" s="689" customFormat="1" x14ac:dyDescent="0.2"/>
    <row r="39192" s="689" customFormat="1" x14ac:dyDescent="0.2"/>
    <row r="39193" s="689" customFormat="1" x14ac:dyDescent="0.2"/>
    <row r="39194" s="689" customFormat="1" x14ac:dyDescent="0.2"/>
    <row r="39195" s="689" customFormat="1" x14ac:dyDescent="0.2"/>
    <row r="39196" s="689" customFormat="1" x14ac:dyDescent="0.2"/>
    <row r="39197" s="689" customFormat="1" x14ac:dyDescent="0.2"/>
    <row r="39198" s="689" customFormat="1" x14ac:dyDescent="0.2"/>
    <row r="39199" s="689" customFormat="1" x14ac:dyDescent="0.2"/>
    <row r="39200" s="689" customFormat="1" x14ac:dyDescent="0.2"/>
    <row r="39201" s="689" customFormat="1" x14ac:dyDescent="0.2"/>
    <row r="39202" s="689" customFormat="1" x14ac:dyDescent="0.2"/>
    <row r="39203" s="689" customFormat="1" x14ac:dyDescent="0.2"/>
    <row r="39204" s="689" customFormat="1" x14ac:dyDescent="0.2"/>
    <row r="39205" s="689" customFormat="1" x14ac:dyDescent="0.2"/>
    <row r="39206" s="689" customFormat="1" x14ac:dyDescent="0.2"/>
    <row r="39207" s="689" customFormat="1" x14ac:dyDescent="0.2"/>
    <row r="39208" s="689" customFormat="1" x14ac:dyDescent="0.2"/>
    <row r="39209" s="689" customFormat="1" x14ac:dyDescent="0.2"/>
    <row r="39210" s="689" customFormat="1" x14ac:dyDescent="0.2"/>
    <row r="39211" s="689" customFormat="1" x14ac:dyDescent="0.2"/>
    <row r="39212" s="689" customFormat="1" x14ac:dyDescent="0.2"/>
    <row r="39213" s="689" customFormat="1" x14ac:dyDescent="0.2"/>
    <row r="39214" s="689" customFormat="1" x14ac:dyDescent="0.2"/>
    <row r="39215" s="689" customFormat="1" x14ac:dyDescent="0.2"/>
    <row r="39216" s="689" customFormat="1" x14ac:dyDescent="0.2"/>
    <row r="39217" s="689" customFormat="1" x14ac:dyDescent="0.2"/>
    <row r="39218" s="689" customFormat="1" x14ac:dyDescent="0.2"/>
    <row r="39219" s="689" customFormat="1" x14ac:dyDescent="0.2"/>
    <row r="39220" s="689" customFormat="1" x14ac:dyDescent="0.2"/>
    <row r="39221" s="689" customFormat="1" x14ac:dyDescent="0.2"/>
    <row r="39222" s="689" customFormat="1" x14ac:dyDescent="0.2"/>
    <row r="39223" s="689" customFormat="1" x14ac:dyDescent="0.2"/>
    <row r="39224" s="689" customFormat="1" x14ac:dyDescent="0.2"/>
    <row r="39225" s="689" customFormat="1" x14ac:dyDescent="0.2"/>
    <row r="39226" s="689" customFormat="1" x14ac:dyDescent="0.2"/>
    <row r="39227" s="689" customFormat="1" x14ac:dyDescent="0.2"/>
    <row r="39228" s="689" customFormat="1" x14ac:dyDescent="0.2"/>
    <row r="39229" s="689" customFormat="1" x14ac:dyDescent="0.2"/>
    <row r="39230" s="689" customFormat="1" x14ac:dyDescent="0.2"/>
    <row r="39231" s="689" customFormat="1" x14ac:dyDescent="0.2"/>
    <row r="39232" s="689" customFormat="1" x14ac:dyDescent="0.2"/>
    <row r="39233" s="689" customFormat="1" x14ac:dyDescent="0.2"/>
    <row r="39234" s="689" customFormat="1" x14ac:dyDescent="0.2"/>
    <row r="39235" s="689" customFormat="1" x14ac:dyDescent="0.2"/>
    <row r="39236" s="689" customFormat="1" x14ac:dyDescent="0.2"/>
    <row r="39237" s="689" customFormat="1" x14ac:dyDescent="0.2"/>
    <row r="39238" s="689" customFormat="1" x14ac:dyDescent="0.2"/>
    <row r="39239" s="689" customFormat="1" x14ac:dyDescent="0.2"/>
    <row r="39240" s="689" customFormat="1" x14ac:dyDescent="0.2"/>
    <row r="39241" s="689" customFormat="1" x14ac:dyDescent="0.2"/>
    <row r="39242" s="689" customFormat="1" x14ac:dyDescent="0.2"/>
    <row r="39243" s="689" customFormat="1" x14ac:dyDescent="0.2"/>
    <row r="39244" s="689" customFormat="1" x14ac:dyDescent="0.2"/>
    <row r="39245" s="689" customFormat="1" x14ac:dyDescent="0.2"/>
    <row r="39246" s="689" customFormat="1" x14ac:dyDescent="0.2"/>
    <row r="39247" s="689" customFormat="1" x14ac:dyDescent="0.2"/>
    <row r="39248" s="689" customFormat="1" x14ac:dyDescent="0.2"/>
    <row r="39249" s="689" customFormat="1" x14ac:dyDescent="0.2"/>
    <row r="39250" s="689" customFormat="1" x14ac:dyDescent="0.2"/>
    <row r="39251" s="689" customFormat="1" x14ac:dyDescent="0.2"/>
    <row r="39252" s="689" customFormat="1" x14ac:dyDescent="0.2"/>
    <row r="39253" s="689" customFormat="1" x14ac:dyDescent="0.2"/>
    <row r="39254" s="689" customFormat="1" x14ac:dyDescent="0.2"/>
    <row r="39255" s="689" customFormat="1" x14ac:dyDescent="0.2"/>
    <row r="39256" s="689" customFormat="1" x14ac:dyDescent="0.2"/>
    <row r="39257" s="689" customFormat="1" x14ac:dyDescent="0.2"/>
    <row r="39258" s="689" customFormat="1" x14ac:dyDescent="0.2"/>
    <row r="39259" s="689" customFormat="1" x14ac:dyDescent="0.2"/>
    <row r="39260" s="689" customFormat="1" x14ac:dyDescent="0.2"/>
    <row r="39261" s="689" customFormat="1" x14ac:dyDescent="0.2"/>
    <row r="39262" s="689" customFormat="1" x14ac:dyDescent="0.2"/>
    <row r="39263" s="689" customFormat="1" x14ac:dyDescent="0.2"/>
    <row r="39264" s="689" customFormat="1" x14ac:dyDescent="0.2"/>
    <row r="39265" s="689" customFormat="1" x14ac:dyDescent="0.2"/>
    <row r="39266" s="689" customFormat="1" x14ac:dyDescent="0.2"/>
    <row r="39267" s="689" customFormat="1" x14ac:dyDescent="0.2"/>
    <row r="39268" s="689" customFormat="1" x14ac:dyDescent="0.2"/>
    <row r="39269" s="689" customFormat="1" x14ac:dyDescent="0.2"/>
    <row r="39270" s="689" customFormat="1" x14ac:dyDescent="0.2"/>
    <row r="39271" s="689" customFormat="1" x14ac:dyDescent="0.2"/>
    <row r="39272" s="689" customFormat="1" x14ac:dyDescent="0.2"/>
    <row r="39273" s="689" customFormat="1" x14ac:dyDescent="0.2"/>
    <row r="39274" s="689" customFormat="1" x14ac:dyDescent="0.2"/>
    <row r="39275" s="689" customFormat="1" x14ac:dyDescent="0.2"/>
    <row r="39276" s="689" customFormat="1" x14ac:dyDescent="0.2"/>
    <row r="39277" s="689" customFormat="1" x14ac:dyDescent="0.2"/>
    <row r="39278" s="689" customFormat="1" x14ac:dyDescent="0.2"/>
    <row r="39279" s="689" customFormat="1" x14ac:dyDescent="0.2"/>
    <row r="39280" s="689" customFormat="1" x14ac:dyDescent="0.2"/>
    <row r="39281" s="689" customFormat="1" x14ac:dyDescent="0.2"/>
    <row r="39282" s="689" customFormat="1" x14ac:dyDescent="0.2"/>
    <row r="39283" s="689" customFormat="1" x14ac:dyDescent="0.2"/>
    <row r="39284" s="689" customFormat="1" x14ac:dyDescent="0.2"/>
    <row r="39285" s="689" customFormat="1" x14ac:dyDescent="0.2"/>
    <row r="39286" s="689" customFormat="1" x14ac:dyDescent="0.2"/>
    <row r="39287" s="689" customFormat="1" x14ac:dyDescent="0.2"/>
    <row r="39288" s="689" customFormat="1" x14ac:dyDescent="0.2"/>
    <row r="39289" s="689" customFormat="1" x14ac:dyDescent="0.2"/>
    <row r="39290" s="689" customFormat="1" x14ac:dyDescent="0.2"/>
    <row r="39291" s="689" customFormat="1" x14ac:dyDescent="0.2"/>
    <row r="39292" s="689" customFormat="1" x14ac:dyDescent="0.2"/>
    <row r="39293" s="689" customFormat="1" x14ac:dyDescent="0.2"/>
    <row r="39294" s="689" customFormat="1" x14ac:dyDescent="0.2"/>
    <row r="39295" s="689" customFormat="1" x14ac:dyDescent="0.2"/>
    <row r="39296" s="689" customFormat="1" x14ac:dyDescent="0.2"/>
    <row r="39297" s="689" customFormat="1" x14ac:dyDescent="0.2"/>
    <row r="39298" s="689" customFormat="1" x14ac:dyDescent="0.2"/>
    <row r="39299" s="689" customFormat="1" x14ac:dyDescent="0.2"/>
    <row r="39300" s="689" customFormat="1" x14ac:dyDescent="0.2"/>
    <row r="39301" s="689" customFormat="1" x14ac:dyDescent="0.2"/>
    <row r="39302" s="689" customFormat="1" x14ac:dyDescent="0.2"/>
    <row r="39303" s="689" customFormat="1" x14ac:dyDescent="0.2"/>
    <row r="39304" s="689" customFormat="1" x14ac:dyDescent="0.2"/>
    <row r="39305" s="689" customFormat="1" x14ac:dyDescent="0.2"/>
    <row r="39306" s="689" customFormat="1" x14ac:dyDescent="0.2"/>
    <row r="39307" s="689" customFormat="1" x14ac:dyDescent="0.2"/>
    <row r="39308" s="689" customFormat="1" x14ac:dyDescent="0.2"/>
    <row r="39309" s="689" customFormat="1" x14ac:dyDescent="0.2"/>
    <row r="39310" s="689" customFormat="1" x14ac:dyDescent="0.2"/>
    <row r="39311" s="689" customFormat="1" x14ac:dyDescent="0.2"/>
    <row r="39312" s="689" customFormat="1" x14ac:dyDescent="0.2"/>
    <row r="39313" s="689" customFormat="1" x14ac:dyDescent="0.2"/>
    <row r="39314" s="689" customFormat="1" x14ac:dyDescent="0.2"/>
    <row r="39315" s="689" customFormat="1" x14ac:dyDescent="0.2"/>
    <row r="39316" s="689" customFormat="1" x14ac:dyDescent="0.2"/>
    <row r="39317" s="689" customFormat="1" x14ac:dyDescent="0.2"/>
    <row r="39318" s="689" customFormat="1" x14ac:dyDescent="0.2"/>
    <row r="39319" s="689" customFormat="1" x14ac:dyDescent="0.2"/>
    <row r="39320" s="689" customFormat="1" x14ac:dyDescent="0.2"/>
    <row r="39321" s="689" customFormat="1" x14ac:dyDescent="0.2"/>
    <row r="39322" s="689" customFormat="1" x14ac:dyDescent="0.2"/>
    <row r="39323" s="689" customFormat="1" x14ac:dyDescent="0.2"/>
    <row r="39324" s="689" customFormat="1" x14ac:dyDescent="0.2"/>
    <row r="39325" s="689" customFormat="1" x14ac:dyDescent="0.2"/>
    <row r="39326" s="689" customFormat="1" x14ac:dyDescent="0.2"/>
    <row r="39327" s="689" customFormat="1" x14ac:dyDescent="0.2"/>
    <row r="39328" s="689" customFormat="1" x14ac:dyDescent="0.2"/>
    <row r="39329" s="689" customFormat="1" x14ac:dyDescent="0.2"/>
    <row r="39330" s="689" customFormat="1" x14ac:dyDescent="0.2"/>
    <row r="39331" s="689" customFormat="1" x14ac:dyDescent="0.2"/>
    <row r="39332" s="689" customFormat="1" x14ac:dyDescent="0.2"/>
    <row r="39333" s="689" customFormat="1" x14ac:dyDescent="0.2"/>
    <row r="39334" s="689" customFormat="1" x14ac:dyDescent="0.2"/>
    <row r="39335" s="689" customFormat="1" x14ac:dyDescent="0.2"/>
    <row r="39336" s="689" customFormat="1" x14ac:dyDescent="0.2"/>
    <row r="39337" s="689" customFormat="1" x14ac:dyDescent="0.2"/>
    <row r="39338" s="689" customFormat="1" x14ac:dyDescent="0.2"/>
    <row r="39339" s="689" customFormat="1" x14ac:dyDescent="0.2"/>
    <row r="39340" s="689" customFormat="1" x14ac:dyDescent="0.2"/>
    <row r="39341" s="689" customFormat="1" x14ac:dyDescent="0.2"/>
    <row r="39342" s="689" customFormat="1" x14ac:dyDescent="0.2"/>
    <row r="39343" s="689" customFormat="1" x14ac:dyDescent="0.2"/>
    <row r="39344" s="689" customFormat="1" x14ac:dyDescent="0.2"/>
    <row r="39345" s="689" customFormat="1" x14ac:dyDescent="0.2"/>
    <row r="39346" s="689" customFormat="1" x14ac:dyDescent="0.2"/>
    <row r="39347" s="689" customFormat="1" x14ac:dyDescent="0.2"/>
    <row r="39348" s="689" customFormat="1" x14ac:dyDescent="0.2"/>
    <row r="39349" s="689" customFormat="1" x14ac:dyDescent="0.2"/>
    <row r="39350" s="689" customFormat="1" x14ac:dyDescent="0.2"/>
    <row r="39351" s="689" customFormat="1" x14ac:dyDescent="0.2"/>
    <row r="39352" s="689" customFormat="1" x14ac:dyDescent="0.2"/>
    <row r="39353" s="689" customFormat="1" x14ac:dyDescent="0.2"/>
    <row r="39354" s="689" customFormat="1" x14ac:dyDescent="0.2"/>
    <row r="39355" s="689" customFormat="1" x14ac:dyDescent="0.2"/>
    <row r="39356" s="689" customFormat="1" x14ac:dyDescent="0.2"/>
    <row r="39357" s="689" customFormat="1" x14ac:dyDescent="0.2"/>
    <row r="39358" s="689" customFormat="1" x14ac:dyDescent="0.2"/>
    <row r="39359" s="689" customFormat="1" x14ac:dyDescent="0.2"/>
    <row r="39360" s="689" customFormat="1" x14ac:dyDescent="0.2"/>
    <row r="39361" s="689" customFormat="1" x14ac:dyDescent="0.2"/>
    <row r="39362" s="689" customFormat="1" x14ac:dyDescent="0.2"/>
    <row r="39363" s="689" customFormat="1" x14ac:dyDescent="0.2"/>
    <row r="39364" s="689" customFormat="1" x14ac:dyDescent="0.2"/>
    <row r="39365" s="689" customFormat="1" x14ac:dyDescent="0.2"/>
    <row r="39366" s="689" customFormat="1" x14ac:dyDescent="0.2"/>
    <row r="39367" s="689" customFormat="1" x14ac:dyDescent="0.2"/>
    <row r="39368" s="689" customFormat="1" x14ac:dyDescent="0.2"/>
    <row r="39369" s="689" customFormat="1" x14ac:dyDescent="0.2"/>
    <row r="39370" s="689" customFormat="1" x14ac:dyDescent="0.2"/>
    <row r="39371" s="689" customFormat="1" x14ac:dyDescent="0.2"/>
    <row r="39372" s="689" customFormat="1" x14ac:dyDescent="0.2"/>
    <row r="39373" s="689" customFormat="1" x14ac:dyDescent="0.2"/>
    <row r="39374" s="689" customFormat="1" x14ac:dyDescent="0.2"/>
    <row r="39375" s="689" customFormat="1" x14ac:dyDescent="0.2"/>
    <row r="39376" s="689" customFormat="1" x14ac:dyDescent="0.2"/>
    <row r="39377" s="689" customFormat="1" x14ac:dyDescent="0.2"/>
    <row r="39378" s="689" customFormat="1" x14ac:dyDescent="0.2"/>
    <row r="39379" s="689" customFormat="1" x14ac:dyDescent="0.2"/>
    <row r="39380" s="689" customFormat="1" x14ac:dyDescent="0.2"/>
    <row r="39381" s="689" customFormat="1" x14ac:dyDescent="0.2"/>
    <row r="39382" s="689" customFormat="1" x14ac:dyDescent="0.2"/>
    <row r="39383" s="689" customFormat="1" x14ac:dyDescent="0.2"/>
    <row r="39384" s="689" customFormat="1" x14ac:dyDescent="0.2"/>
    <row r="39385" s="689" customFormat="1" x14ac:dyDescent="0.2"/>
    <row r="39386" s="689" customFormat="1" x14ac:dyDescent="0.2"/>
    <row r="39387" s="689" customFormat="1" x14ac:dyDescent="0.2"/>
    <row r="39388" s="689" customFormat="1" x14ac:dyDescent="0.2"/>
    <row r="39389" s="689" customFormat="1" x14ac:dyDescent="0.2"/>
    <row r="39390" s="689" customFormat="1" x14ac:dyDescent="0.2"/>
    <row r="39391" s="689" customFormat="1" x14ac:dyDescent="0.2"/>
    <row r="39392" s="689" customFormat="1" x14ac:dyDescent="0.2"/>
    <row r="39393" s="689" customFormat="1" x14ac:dyDescent="0.2"/>
    <row r="39394" s="689" customFormat="1" x14ac:dyDescent="0.2"/>
    <row r="39395" s="689" customFormat="1" x14ac:dyDescent="0.2"/>
    <row r="39396" s="689" customFormat="1" x14ac:dyDescent="0.2"/>
    <row r="39397" s="689" customFormat="1" x14ac:dyDescent="0.2"/>
    <row r="39398" s="689" customFormat="1" x14ac:dyDescent="0.2"/>
    <row r="39399" s="689" customFormat="1" x14ac:dyDescent="0.2"/>
    <row r="39400" s="689" customFormat="1" x14ac:dyDescent="0.2"/>
    <row r="39401" s="689" customFormat="1" x14ac:dyDescent="0.2"/>
    <row r="39402" s="689" customFormat="1" x14ac:dyDescent="0.2"/>
    <row r="39403" s="689" customFormat="1" x14ac:dyDescent="0.2"/>
    <row r="39404" s="689" customFormat="1" x14ac:dyDescent="0.2"/>
    <row r="39405" s="689" customFormat="1" x14ac:dyDescent="0.2"/>
    <row r="39406" s="689" customFormat="1" x14ac:dyDescent="0.2"/>
    <row r="39407" s="689" customFormat="1" x14ac:dyDescent="0.2"/>
    <row r="39408" s="689" customFormat="1" x14ac:dyDescent="0.2"/>
    <row r="39409" s="689" customFormat="1" x14ac:dyDescent="0.2"/>
    <row r="39410" s="689" customFormat="1" x14ac:dyDescent="0.2"/>
    <row r="39411" s="689" customFormat="1" x14ac:dyDescent="0.2"/>
    <row r="39412" s="689" customFormat="1" x14ac:dyDescent="0.2"/>
    <row r="39413" s="689" customFormat="1" x14ac:dyDescent="0.2"/>
    <row r="39414" s="689" customFormat="1" x14ac:dyDescent="0.2"/>
    <row r="39415" s="689" customFormat="1" x14ac:dyDescent="0.2"/>
    <row r="39416" s="689" customFormat="1" x14ac:dyDescent="0.2"/>
    <row r="39417" s="689" customFormat="1" x14ac:dyDescent="0.2"/>
    <row r="39418" s="689" customFormat="1" x14ac:dyDescent="0.2"/>
    <row r="39419" s="689" customFormat="1" x14ac:dyDescent="0.2"/>
    <row r="39420" s="689" customFormat="1" x14ac:dyDescent="0.2"/>
    <row r="39421" s="689" customFormat="1" x14ac:dyDescent="0.2"/>
    <row r="39422" s="689" customFormat="1" x14ac:dyDescent="0.2"/>
    <row r="39423" s="689" customFormat="1" x14ac:dyDescent="0.2"/>
    <row r="39424" s="689" customFormat="1" x14ac:dyDescent="0.2"/>
    <row r="39425" s="689" customFormat="1" x14ac:dyDescent="0.2"/>
    <row r="39426" s="689" customFormat="1" x14ac:dyDescent="0.2"/>
    <row r="39427" s="689" customFormat="1" x14ac:dyDescent="0.2"/>
    <row r="39428" s="689" customFormat="1" x14ac:dyDescent="0.2"/>
    <row r="39429" s="689" customFormat="1" x14ac:dyDescent="0.2"/>
    <row r="39430" s="689" customFormat="1" x14ac:dyDescent="0.2"/>
    <row r="39431" s="689" customFormat="1" x14ac:dyDescent="0.2"/>
    <row r="39432" s="689" customFormat="1" x14ac:dyDescent="0.2"/>
    <row r="39433" s="689" customFormat="1" x14ac:dyDescent="0.2"/>
    <row r="39434" s="689" customFormat="1" x14ac:dyDescent="0.2"/>
    <row r="39435" s="689" customFormat="1" x14ac:dyDescent="0.2"/>
    <row r="39436" s="689" customFormat="1" x14ac:dyDescent="0.2"/>
    <row r="39437" s="689" customFormat="1" x14ac:dyDescent="0.2"/>
    <row r="39438" s="689" customFormat="1" x14ac:dyDescent="0.2"/>
    <row r="39439" s="689" customFormat="1" x14ac:dyDescent="0.2"/>
    <row r="39440" s="689" customFormat="1" x14ac:dyDescent="0.2"/>
    <row r="39441" s="689" customFormat="1" x14ac:dyDescent="0.2"/>
    <row r="39442" s="689" customFormat="1" x14ac:dyDescent="0.2"/>
    <row r="39443" s="689" customFormat="1" x14ac:dyDescent="0.2"/>
    <row r="39444" s="689" customFormat="1" x14ac:dyDescent="0.2"/>
    <row r="39445" s="689" customFormat="1" x14ac:dyDescent="0.2"/>
    <row r="39446" s="689" customFormat="1" x14ac:dyDescent="0.2"/>
    <row r="39447" s="689" customFormat="1" x14ac:dyDescent="0.2"/>
    <row r="39448" s="689" customFormat="1" x14ac:dyDescent="0.2"/>
    <row r="39449" s="689" customFormat="1" x14ac:dyDescent="0.2"/>
    <row r="39450" s="689" customFormat="1" x14ac:dyDescent="0.2"/>
    <row r="39451" s="689" customFormat="1" x14ac:dyDescent="0.2"/>
    <row r="39452" s="689" customFormat="1" x14ac:dyDescent="0.2"/>
    <row r="39453" s="689" customFormat="1" x14ac:dyDescent="0.2"/>
    <row r="39454" s="689" customFormat="1" x14ac:dyDescent="0.2"/>
    <row r="39455" s="689" customFormat="1" x14ac:dyDescent="0.2"/>
    <row r="39456" s="689" customFormat="1" x14ac:dyDescent="0.2"/>
    <row r="39457" s="689" customFormat="1" x14ac:dyDescent="0.2"/>
    <row r="39458" s="689" customFormat="1" x14ac:dyDescent="0.2"/>
    <row r="39459" s="689" customFormat="1" x14ac:dyDescent="0.2"/>
    <row r="39460" s="689" customFormat="1" x14ac:dyDescent="0.2"/>
    <row r="39461" s="689" customFormat="1" x14ac:dyDescent="0.2"/>
    <row r="39462" s="689" customFormat="1" x14ac:dyDescent="0.2"/>
    <row r="39463" s="689" customFormat="1" x14ac:dyDescent="0.2"/>
    <row r="39464" s="689" customFormat="1" x14ac:dyDescent="0.2"/>
    <row r="39465" s="689" customFormat="1" x14ac:dyDescent="0.2"/>
    <row r="39466" s="689" customFormat="1" x14ac:dyDescent="0.2"/>
    <row r="39467" s="689" customFormat="1" x14ac:dyDescent="0.2"/>
    <row r="39468" s="689" customFormat="1" x14ac:dyDescent="0.2"/>
    <row r="39469" s="689" customFormat="1" x14ac:dyDescent="0.2"/>
    <row r="39470" s="689" customFormat="1" x14ac:dyDescent="0.2"/>
    <row r="39471" s="689" customFormat="1" x14ac:dyDescent="0.2"/>
    <row r="39472" s="689" customFormat="1" x14ac:dyDescent="0.2"/>
    <row r="39473" s="689" customFormat="1" x14ac:dyDescent="0.2"/>
    <row r="39474" s="689" customFormat="1" x14ac:dyDescent="0.2"/>
    <row r="39475" s="689" customFormat="1" x14ac:dyDescent="0.2"/>
    <row r="39476" s="689" customFormat="1" x14ac:dyDescent="0.2"/>
    <row r="39477" s="689" customFormat="1" x14ac:dyDescent="0.2"/>
    <row r="39478" s="689" customFormat="1" x14ac:dyDescent="0.2"/>
    <row r="39479" s="689" customFormat="1" x14ac:dyDescent="0.2"/>
    <row r="39480" s="689" customFormat="1" x14ac:dyDescent="0.2"/>
    <row r="39481" s="689" customFormat="1" x14ac:dyDescent="0.2"/>
    <row r="39482" s="689" customFormat="1" x14ac:dyDescent="0.2"/>
    <row r="39483" s="689" customFormat="1" x14ac:dyDescent="0.2"/>
    <row r="39484" s="689" customFormat="1" x14ac:dyDescent="0.2"/>
    <row r="39485" s="689" customFormat="1" x14ac:dyDescent="0.2"/>
    <row r="39486" s="689" customFormat="1" x14ac:dyDescent="0.2"/>
    <row r="39487" s="689" customFormat="1" x14ac:dyDescent="0.2"/>
    <row r="39488" s="689" customFormat="1" x14ac:dyDescent="0.2"/>
    <row r="39489" s="689" customFormat="1" x14ac:dyDescent="0.2"/>
    <row r="39490" s="689" customFormat="1" x14ac:dyDescent="0.2"/>
    <row r="39491" s="689" customFormat="1" x14ac:dyDescent="0.2"/>
    <row r="39492" s="689" customFormat="1" x14ac:dyDescent="0.2"/>
    <row r="39493" s="689" customFormat="1" x14ac:dyDescent="0.2"/>
    <row r="39494" s="689" customFormat="1" x14ac:dyDescent="0.2"/>
    <row r="39495" s="689" customFormat="1" x14ac:dyDescent="0.2"/>
    <row r="39496" s="689" customFormat="1" x14ac:dyDescent="0.2"/>
    <row r="39497" s="689" customFormat="1" x14ac:dyDescent="0.2"/>
    <row r="39498" s="689" customFormat="1" x14ac:dyDescent="0.2"/>
    <row r="39499" s="689" customFormat="1" x14ac:dyDescent="0.2"/>
    <row r="39500" s="689" customFormat="1" x14ac:dyDescent="0.2"/>
    <row r="39501" s="689" customFormat="1" x14ac:dyDescent="0.2"/>
    <row r="39502" s="689" customFormat="1" x14ac:dyDescent="0.2"/>
    <row r="39503" s="689" customFormat="1" x14ac:dyDescent="0.2"/>
    <row r="39504" s="689" customFormat="1" x14ac:dyDescent="0.2"/>
    <row r="39505" s="689" customFormat="1" x14ac:dyDescent="0.2"/>
    <row r="39506" s="689" customFormat="1" x14ac:dyDescent="0.2"/>
    <row r="39507" s="689" customFormat="1" x14ac:dyDescent="0.2"/>
    <row r="39508" s="689" customFormat="1" x14ac:dyDescent="0.2"/>
    <row r="39509" s="689" customFormat="1" x14ac:dyDescent="0.2"/>
    <row r="39510" s="689" customFormat="1" x14ac:dyDescent="0.2"/>
    <row r="39511" s="689" customFormat="1" x14ac:dyDescent="0.2"/>
    <row r="39512" s="689" customFormat="1" x14ac:dyDescent="0.2"/>
    <row r="39513" s="689" customFormat="1" x14ac:dyDescent="0.2"/>
    <row r="39514" s="689" customFormat="1" x14ac:dyDescent="0.2"/>
    <row r="39515" s="689" customFormat="1" x14ac:dyDescent="0.2"/>
    <row r="39516" s="689" customFormat="1" x14ac:dyDescent="0.2"/>
    <row r="39517" s="689" customFormat="1" x14ac:dyDescent="0.2"/>
    <row r="39518" s="689" customFormat="1" x14ac:dyDescent="0.2"/>
    <row r="39519" s="689" customFormat="1" x14ac:dyDescent="0.2"/>
    <row r="39520" s="689" customFormat="1" x14ac:dyDescent="0.2"/>
    <row r="39521" s="689" customFormat="1" x14ac:dyDescent="0.2"/>
    <row r="39522" s="689" customFormat="1" x14ac:dyDescent="0.2"/>
    <row r="39523" s="689" customFormat="1" x14ac:dyDescent="0.2"/>
    <row r="39524" s="689" customFormat="1" x14ac:dyDescent="0.2"/>
    <row r="39525" s="689" customFormat="1" x14ac:dyDescent="0.2"/>
    <row r="39526" s="689" customFormat="1" x14ac:dyDescent="0.2"/>
    <row r="39527" s="689" customFormat="1" x14ac:dyDescent="0.2"/>
    <row r="39528" s="689" customFormat="1" x14ac:dyDescent="0.2"/>
    <row r="39529" s="689" customFormat="1" x14ac:dyDescent="0.2"/>
    <row r="39530" s="689" customFormat="1" x14ac:dyDescent="0.2"/>
    <row r="39531" s="689" customFormat="1" x14ac:dyDescent="0.2"/>
    <row r="39532" s="689" customFormat="1" x14ac:dyDescent="0.2"/>
    <row r="39533" s="689" customFormat="1" x14ac:dyDescent="0.2"/>
    <row r="39534" s="689" customFormat="1" x14ac:dyDescent="0.2"/>
    <row r="39535" s="689" customFormat="1" x14ac:dyDescent="0.2"/>
    <row r="39536" s="689" customFormat="1" x14ac:dyDescent="0.2"/>
    <row r="39537" s="689" customFormat="1" x14ac:dyDescent="0.2"/>
    <row r="39538" s="689" customFormat="1" x14ac:dyDescent="0.2"/>
    <row r="39539" s="689" customFormat="1" x14ac:dyDescent="0.2"/>
    <row r="39540" s="689" customFormat="1" x14ac:dyDescent="0.2"/>
    <row r="39541" s="689" customFormat="1" x14ac:dyDescent="0.2"/>
    <row r="39542" s="689" customFormat="1" x14ac:dyDescent="0.2"/>
    <row r="39543" s="689" customFormat="1" x14ac:dyDescent="0.2"/>
    <row r="39544" s="689" customFormat="1" x14ac:dyDescent="0.2"/>
    <row r="39545" s="689" customFormat="1" x14ac:dyDescent="0.2"/>
    <row r="39546" s="689" customFormat="1" x14ac:dyDescent="0.2"/>
    <row r="39547" s="689" customFormat="1" x14ac:dyDescent="0.2"/>
    <row r="39548" s="689" customFormat="1" x14ac:dyDescent="0.2"/>
    <row r="39549" s="689" customFormat="1" x14ac:dyDescent="0.2"/>
    <row r="39550" s="689" customFormat="1" x14ac:dyDescent="0.2"/>
    <row r="39551" s="689" customFormat="1" x14ac:dyDescent="0.2"/>
    <row r="39552" s="689" customFormat="1" x14ac:dyDescent="0.2"/>
    <row r="39553" s="689" customFormat="1" x14ac:dyDescent="0.2"/>
    <row r="39554" s="689" customFormat="1" x14ac:dyDescent="0.2"/>
    <row r="39555" s="689" customFormat="1" x14ac:dyDescent="0.2"/>
    <row r="39556" s="689" customFormat="1" x14ac:dyDescent="0.2"/>
    <row r="39557" s="689" customFormat="1" x14ac:dyDescent="0.2"/>
    <row r="39558" s="689" customFormat="1" x14ac:dyDescent="0.2"/>
    <row r="39559" s="689" customFormat="1" x14ac:dyDescent="0.2"/>
    <row r="39560" s="689" customFormat="1" x14ac:dyDescent="0.2"/>
    <row r="39561" s="689" customFormat="1" x14ac:dyDescent="0.2"/>
    <row r="39562" s="689" customFormat="1" x14ac:dyDescent="0.2"/>
    <row r="39563" s="689" customFormat="1" x14ac:dyDescent="0.2"/>
    <row r="39564" s="689" customFormat="1" x14ac:dyDescent="0.2"/>
    <row r="39565" s="689" customFormat="1" x14ac:dyDescent="0.2"/>
    <row r="39566" s="689" customFormat="1" x14ac:dyDescent="0.2"/>
    <row r="39567" s="689" customFormat="1" x14ac:dyDescent="0.2"/>
    <row r="39568" s="689" customFormat="1" x14ac:dyDescent="0.2"/>
    <row r="39569" s="689" customFormat="1" x14ac:dyDescent="0.2"/>
    <row r="39570" s="689" customFormat="1" x14ac:dyDescent="0.2"/>
    <row r="39571" s="689" customFormat="1" x14ac:dyDescent="0.2"/>
    <row r="39572" s="689" customFormat="1" x14ac:dyDescent="0.2"/>
    <row r="39573" s="689" customFormat="1" x14ac:dyDescent="0.2"/>
    <row r="39574" s="689" customFormat="1" x14ac:dyDescent="0.2"/>
    <row r="39575" s="689" customFormat="1" x14ac:dyDescent="0.2"/>
    <row r="39576" s="689" customFormat="1" x14ac:dyDescent="0.2"/>
    <row r="39577" s="689" customFormat="1" x14ac:dyDescent="0.2"/>
    <row r="39578" s="689" customFormat="1" x14ac:dyDescent="0.2"/>
    <row r="39579" s="689" customFormat="1" x14ac:dyDescent="0.2"/>
    <row r="39580" s="689" customFormat="1" x14ac:dyDescent="0.2"/>
    <row r="39581" s="689" customFormat="1" x14ac:dyDescent="0.2"/>
    <row r="39582" s="689" customFormat="1" x14ac:dyDescent="0.2"/>
    <row r="39583" s="689" customFormat="1" x14ac:dyDescent="0.2"/>
    <row r="39584" s="689" customFormat="1" x14ac:dyDescent="0.2"/>
    <row r="39585" s="689" customFormat="1" x14ac:dyDescent="0.2"/>
    <row r="39586" s="689" customFormat="1" x14ac:dyDescent="0.2"/>
    <row r="39587" s="689" customFormat="1" x14ac:dyDescent="0.2"/>
    <row r="39588" s="689" customFormat="1" x14ac:dyDescent="0.2"/>
    <row r="39589" s="689" customFormat="1" x14ac:dyDescent="0.2"/>
    <row r="39590" s="689" customFormat="1" x14ac:dyDescent="0.2"/>
    <row r="39591" s="689" customFormat="1" x14ac:dyDescent="0.2"/>
    <row r="39592" s="689" customFormat="1" x14ac:dyDescent="0.2"/>
    <row r="39593" s="689" customFormat="1" x14ac:dyDescent="0.2"/>
    <row r="39594" s="689" customFormat="1" x14ac:dyDescent="0.2"/>
    <row r="39595" s="689" customFormat="1" x14ac:dyDescent="0.2"/>
    <row r="39596" s="689" customFormat="1" x14ac:dyDescent="0.2"/>
    <row r="39597" s="689" customFormat="1" x14ac:dyDescent="0.2"/>
    <row r="39598" s="689" customFormat="1" x14ac:dyDescent="0.2"/>
    <row r="39599" s="689" customFormat="1" x14ac:dyDescent="0.2"/>
    <row r="39600" s="689" customFormat="1" x14ac:dyDescent="0.2"/>
    <row r="39601" s="689" customFormat="1" x14ac:dyDescent="0.2"/>
    <row r="39602" s="689" customFormat="1" x14ac:dyDescent="0.2"/>
    <row r="39603" s="689" customFormat="1" x14ac:dyDescent="0.2"/>
    <row r="39604" s="689" customFormat="1" x14ac:dyDescent="0.2"/>
    <row r="39605" s="689" customFormat="1" x14ac:dyDescent="0.2"/>
    <row r="39606" s="689" customFormat="1" x14ac:dyDescent="0.2"/>
    <row r="39607" s="689" customFormat="1" x14ac:dyDescent="0.2"/>
    <row r="39608" s="689" customFormat="1" x14ac:dyDescent="0.2"/>
    <row r="39609" s="689" customFormat="1" x14ac:dyDescent="0.2"/>
    <row r="39610" s="689" customFormat="1" x14ac:dyDescent="0.2"/>
    <row r="39611" s="689" customFormat="1" x14ac:dyDescent="0.2"/>
    <row r="39612" s="689" customFormat="1" x14ac:dyDescent="0.2"/>
    <row r="39613" s="689" customFormat="1" x14ac:dyDescent="0.2"/>
    <row r="39614" s="689" customFormat="1" x14ac:dyDescent="0.2"/>
    <row r="39615" s="689" customFormat="1" x14ac:dyDescent="0.2"/>
    <row r="39616" s="689" customFormat="1" x14ac:dyDescent="0.2"/>
    <row r="39617" s="689" customFormat="1" x14ac:dyDescent="0.2"/>
    <row r="39618" s="689" customFormat="1" x14ac:dyDescent="0.2"/>
    <row r="39619" s="689" customFormat="1" x14ac:dyDescent="0.2"/>
    <row r="39620" s="689" customFormat="1" x14ac:dyDescent="0.2"/>
    <row r="39621" s="689" customFormat="1" x14ac:dyDescent="0.2"/>
    <row r="39622" s="689" customFormat="1" x14ac:dyDescent="0.2"/>
    <row r="39623" s="689" customFormat="1" x14ac:dyDescent="0.2"/>
    <row r="39624" s="689" customFormat="1" x14ac:dyDescent="0.2"/>
    <row r="39625" s="689" customFormat="1" x14ac:dyDescent="0.2"/>
    <row r="39626" s="689" customFormat="1" x14ac:dyDescent="0.2"/>
    <row r="39627" s="689" customFormat="1" x14ac:dyDescent="0.2"/>
    <row r="39628" s="689" customFormat="1" x14ac:dyDescent="0.2"/>
    <row r="39629" s="689" customFormat="1" x14ac:dyDescent="0.2"/>
    <row r="39630" s="689" customFormat="1" x14ac:dyDescent="0.2"/>
    <row r="39631" s="689" customFormat="1" x14ac:dyDescent="0.2"/>
    <row r="39632" s="689" customFormat="1" x14ac:dyDescent="0.2"/>
    <row r="39633" s="689" customFormat="1" x14ac:dyDescent="0.2"/>
    <row r="39634" s="689" customFormat="1" x14ac:dyDescent="0.2"/>
    <row r="39635" s="689" customFormat="1" x14ac:dyDescent="0.2"/>
    <row r="39636" s="689" customFormat="1" x14ac:dyDescent="0.2"/>
    <row r="39637" s="689" customFormat="1" x14ac:dyDescent="0.2"/>
    <row r="39638" s="689" customFormat="1" x14ac:dyDescent="0.2"/>
    <row r="39639" s="689" customFormat="1" x14ac:dyDescent="0.2"/>
    <row r="39640" s="689" customFormat="1" x14ac:dyDescent="0.2"/>
    <row r="39641" s="689" customFormat="1" x14ac:dyDescent="0.2"/>
    <row r="39642" s="689" customFormat="1" x14ac:dyDescent="0.2"/>
    <row r="39643" s="689" customFormat="1" x14ac:dyDescent="0.2"/>
    <row r="39644" s="689" customFormat="1" x14ac:dyDescent="0.2"/>
    <row r="39645" s="689" customFormat="1" x14ac:dyDescent="0.2"/>
    <row r="39646" s="689" customFormat="1" x14ac:dyDescent="0.2"/>
    <row r="39647" s="689" customFormat="1" x14ac:dyDescent="0.2"/>
    <row r="39648" s="689" customFormat="1" x14ac:dyDescent="0.2"/>
    <row r="39649" s="689" customFormat="1" x14ac:dyDescent="0.2"/>
    <row r="39650" s="689" customFormat="1" x14ac:dyDescent="0.2"/>
    <row r="39651" s="689" customFormat="1" x14ac:dyDescent="0.2"/>
    <row r="39652" s="689" customFormat="1" x14ac:dyDescent="0.2"/>
    <row r="39653" s="689" customFormat="1" x14ac:dyDescent="0.2"/>
    <row r="39654" s="689" customFormat="1" x14ac:dyDescent="0.2"/>
    <row r="39655" s="689" customFormat="1" x14ac:dyDescent="0.2"/>
    <row r="39656" s="689" customFormat="1" x14ac:dyDescent="0.2"/>
    <row r="39657" s="689" customFormat="1" x14ac:dyDescent="0.2"/>
    <row r="39658" s="689" customFormat="1" x14ac:dyDescent="0.2"/>
    <row r="39659" s="689" customFormat="1" x14ac:dyDescent="0.2"/>
    <row r="39660" s="689" customFormat="1" x14ac:dyDescent="0.2"/>
    <row r="39661" s="689" customFormat="1" x14ac:dyDescent="0.2"/>
    <row r="39662" s="689" customFormat="1" x14ac:dyDescent="0.2"/>
    <row r="39663" s="689" customFormat="1" x14ac:dyDescent="0.2"/>
    <row r="39664" s="689" customFormat="1" x14ac:dyDescent="0.2"/>
    <row r="39665" s="689" customFormat="1" x14ac:dyDescent="0.2"/>
    <row r="39666" s="689" customFormat="1" x14ac:dyDescent="0.2"/>
    <row r="39667" s="689" customFormat="1" x14ac:dyDescent="0.2"/>
    <row r="39668" s="689" customFormat="1" x14ac:dyDescent="0.2"/>
    <row r="39669" s="689" customFormat="1" x14ac:dyDescent="0.2"/>
    <row r="39670" s="689" customFormat="1" x14ac:dyDescent="0.2"/>
    <row r="39671" s="689" customFormat="1" x14ac:dyDescent="0.2"/>
    <row r="39672" s="689" customFormat="1" x14ac:dyDescent="0.2"/>
    <row r="39673" s="689" customFormat="1" x14ac:dyDescent="0.2"/>
    <row r="39674" s="689" customFormat="1" x14ac:dyDescent="0.2"/>
    <row r="39675" s="689" customFormat="1" x14ac:dyDescent="0.2"/>
    <row r="39676" s="689" customFormat="1" x14ac:dyDescent="0.2"/>
    <row r="39677" s="689" customFormat="1" x14ac:dyDescent="0.2"/>
    <row r="39678" s="689" customFormat="1" x14ac:dyDescent="0.2"/>
    <row r="39679" s="689" customFormat="1" x14ac:dyDescent="0.2"/>
    <row r="39680" s="689" customFormat="1" x14ac:dyDescent="0.2"/>
    <row r="39681" s="689" customFormat="1" x14ac:dyDescent="0.2"/>
    <row r="39682" s="689" customFormat="1" x14ac:dyDescent="0.2"/>
    <row r="39683" s="689" customFormat="1" x14ac:dyDescent="0.2"/>
    <row r="39684" s="689" customFormat="1" x14ac:dyDescent="0.2"/>
    <row r="39685" s="689" customFormat="1" x14ac:dyDescent="0.2"/>
    <row r="39686" s="689" customFormat="1" x14ac:dyDescent="0.2"/>
    <row r="39687" s="689" customFormat="1" x14ac:dyDescent="0.2"/>
    <row r="39688" s="689" customFormat="1" x14ac:dyDescent="0.2"/>
    <row r="39689" s="689" customFormat="1" x14ac:dyDescent="0.2"/>
    <row r="39690" s="689" customFormat="1" x14ac:dyDescent="0.2"/>
    <row r="39691" s="689" customFormat="1" x14ac:dyDescent="0.2"/>
    <row r="39692" s="689" customFormat="1" x14ac:dyDescent="0.2"/>
    <row r="39693" s="689" customFormat="1" x14ac:dyDescent="0.2"/>
    <row r="39694" s="689" customFormat="1" x14ac:dyDescent="0.2"/>
    <row r="39695" s="689" customFormat="1" x14ac:dyDescent="0.2"/>
    <row r="39696" s="689" customFormat="1" x14ac:dyDescent="0.2"/>
    <row r="39697" s="689" customFormat="1" x14ac:dyDescent="0.2"/>
    <row r="39698" s="689" customFormat="1" x14ac:dyDescent="0.2"/>
    <row r="39699" s="689" customFormat="1" x14ac:dyDescent="0.2"/>
    <row r="39700" s="689" customFormat="1" x14ac:dyDescent="0.2"/>
    <row r="39701" s="689" customFormat="1" x14ac:dyDescent="0.2"/>
    <row r="39702" s="689" customFormat="1" x14ac:dyDescent="0.2"/>
    <row r="39703" s="689" customFormat="1" x14ac:dyDescent="0.2"/>
    <row r="39704" s="689" customFormat="1" x14ac:dyDescent="0.2"/>
    <row r="39705" s="689" customFormat="1" x14ac:dyDescent="0.2"/>
    <row r="39706" s="689" customFormat="1" x14ac:dyDescent="0.2"/>
    <row r="39707" s="689" customFormat="1" x14ac:dyDescent="0.2"/>
    <row r="39708" s="689" customFormat="1" x14ac:dyDescent="0.2"/>
    <row r="39709" s="689" customFormat="1" x14ac:dyDescent="0.2"/>
    <row r="39710" s="689" customFormat="1" x14ac:dyDescent="0.2"/>
    <row r="39711" s="689" customFormat="1" x14ac:dyDescent="0.2"/>
    <row r="39712" s="689" customFormat="1" x14ac:dyDescent="0.2"/>
    <row r="39713" s="689" customFormat="1" x14ac:dyDescent="0.2"/>
    <row r="39714" s="689" customFormat="1" x14ac:dyDescent="0.2"/>
    <row r="39715" s="689" customFormat="1" x14ac:dyDescent="0.2"/>
    <row r="39716" s="689" customFormat="1" x14ac:dyDescent="0.2"/>
    <row r="39717" s="689" customFormat="1" x14ac:dyDescent="0.2"/>
    <row r="39718" s="689" customFormat="1" x14ac:dyDescent="0.2"/>
    <row r="39719" s="689" customFormat="1" x14ac:dyDescent="0.2"/>
    <row r="39720" s="689" customFormat="1" x14ac:dyDescent="0.2"/>
    <row r="39721" s="689" customFormat="1" x14ac:dyDescent="0.2"/>
    <row r="39722" s="689" customFormat="1" x14ac:dyDescent="0.2"/>
    <row r="39723" s="689" customFormat="1" x14ac:dyDescent="0.2"/>
    <row r="39724" s="689" customFormat="1" x14ac:dyDescent="0.2"/>
    <row r="39725" s="689" customFormat="1" x14ac:dyDescent="0.2"/>
    <row r="39726" s="689" customFormat="1" x14ac:dyDescent="0.2"/>
    <row r="39727" s="689" customFormat="1" x14ac:dyDescent="0.2"/>
    <row r="39728" s="689" customFormat="1" x14ac:dyDescent="0.2"/>
    <row r="39729" s="689" customFormat="1" x14ac:dyDescent="0.2"/>
    <row r="39730" s="689" customFormat="1" x14ac:dyDescent="0.2"/>
    <row r="39731" s="689" customFormat="1" x14ac:dyDescent="0.2"/>
    <row r="39732" s="689" customFormat="1" x14ac:dyDescent="0.2"/>
    <row r="39733" s="689" customFormat="1" x14ac:dyDescent="0.2"/>
    <row r="39734" s="689" customFormat="1" x14ac:dyDescent="0.2"/>
    <row r="39735" s="689" customFormat="1" x14ac:dyDescent="0.2"/>
    <row r="39736" s="689" customFormat="1" x14ac:dyDescent="0.2"/>
    <row r="39737" s="689" customFormat="1" x14ac:dyDescent="0.2"/>
    <row r="39738" s="689" customFormat="1" x14ac:dyDescent="0.2"/>
    <row r="39739" s="689" customFormat="1" x14ac:dyDescent="0.2"/>
    <row r="39740" s="689" customFormat="1" x14ac:dyDescent="0.2"/>
    <row r="39741" s="689" customFormat="1" x14ac:dyDescent="0.2"/>
    <row r="39742" s="689" customFormat="1" x14ac:dyDescent="0.2"/>
    <row r="39743" s="689" customFormat="1" x14ac:dyDescent="0.2"/>
    <row r="39744" s="689" customFormat="1" x14ac:dyDescent="0.2"/>
    <row r="39745" s="689" customFormat="1" x14ac:dyDescent="0.2"/>
    <row r="39746" s="689" customFormat="1" x14ac:dyDescent="0.2"/>
    <row r="39747" s="689" customFormat="1" x14ac:dyDescent="0.2"/>
    <row r="39748" s="689" customFormat="1" x14ac:dyDescent="0.2"/>
    <row r="39749" s="689" customFormat="1" x14ac:dyDescent="0.2"/>
    <row r="39750" s="689" customFormat="1" x14ac:dyDescent="0.2"/>
    <row r="39751" s="689" customFormat="1" x14ac:dyDescent="0.2"/>
    <row r="39752" s="689" customFormat="1" x14ac:dyDescent="0.2"/>
    <row r="39753" s="689" customFormat="1" x14ac:dyDescent="0.2"/>
    <row r="39754" s="689" customFormat="1" x14ac:dyDescent="0.2"/>
    <row r="39755" s="689" customFormat="1" x14ac:dyDescent="0.2"/>
    <row r="39756" s="689" customFormat="1" x14ac:dyDescent="0.2"/>
    <row r="39757" s="689" customFormat="1" x14ac:dyDescent="0.2"/>
    <row r="39758" s="689" customFormat="1" x14ac:dyDescent="0.2"/>
    <row r="39759" s="689" customFormat="1" x14ac:dyDescent="0.2"/>
    <row r="39760" s="689" customFormat="1" x14ac:dyDescent="0.2"/>
    <row r="39761" s="689" customFormat="1" x14ac:dyDescent="0.2"/>
    <row r="39762" s="689" customFormat="1" x14ac:dyDescent="0.2"/>
    <row r="39763" s="689" customFormat="1" x14ac:dyDescent="0.2"/>
    <row r="39764" s="689" customFormat="1" x14ac:dyDescent="0.2"/>
    <row r="39765" s="689" customFormat="1" x14ac:dyDescent="0.2"/>
    <row r="39766" s="689" customFormat="1" x14ac:dyDescent="0.2"/>
    <row r="39767" s="689" customFormat="1" x14ac:dyDescent="0.2"/>
    <row r="39768" s="689" customFormat="1" x14ac:dyDescent="0.2"/>
    <row r="39769" s="689" customFormat="1" x14ac:dyDescent="0.2"/>
    <row r="39770" s="689" customFormat="1" x14ac:dyDescent="0.2"/>
    <row r="39771" s="689" customFormat="1" x14ac:dyDescent="0.2"/>
    <row r="39772" s="689" customFormat="1" x14ac:dyDescent="0.2"/>
    <row r="39773" s="689" customFormat="1" x14ac:dyDescent="0.2"/>
    <row r="39774" s="689" customFormat="1" x14ac:dyDescent="0.2"/>
    <row r="39775" s="689" customFormat="1" x14ac:dyDescent="0.2"/>
    <row r="39776" s="689" customFormat="1" x14ac:dyDescent="0.2"/>
    <row r="39777" s="689" customFormat="1" x14ac:dyDescent="0.2"/>
    <row r="39778" s="689" customFormat="1" x14ac:dyDescent="0.2"/>
    <row r="39779" s="689" customFormat="1" x14ac:dyDescent="0.2"/>
    <row r="39780" s="689" customFormat="1" x14ac:dyDescent="0.2"/>
    <row r="39781" s="689" customFormat="1" x14ac:dyDescent="0.2"/>
    <row r="39782" s="689" customFormat="1" x14ac:dyDescent="0.2"/>
    <row r="39783" s="689" customFormat="1" x14ac:dyDescent="0.2"/>
    <row r="39784" s="689" customFormat="1" x14ac:dyDescent="0.2"/>
    <row r="39785" s="689" customFormat="1" x14ac:dyDescent="0.2"/>
    <row r="39786" s="689" customFormat="1" x14ac:dyDescent="0.2"/>
    <row r="39787" s="689" customFormat="1" x14ac:dyDescent="0.2"/>
    <row r="39788" s="689" customFormat="1" x14ac:dyDescent="0.2"/>
    <row r="39789" s="689" customFormat="1" x14ac:dyDescent="0.2"/>
    <row r="39790" s="689" customFormat="1" x14ac:dyDescent="0.2"/>
    <row r="39791" s="689" customFormat="1" x14ac:dyDescent="0.2"/>
    <row r="39792" s="689" customFormat="1" x14ac:dyDescent="0.2"/>
    <row r="39793" s="689" customFormat="1" x14ac:dyDescent="0.2"/>
    <row r="39794" s="689" customFormat="1" x14ac:dyDescent="0.2"/>
    <row r="39795" s="689" customFormat="1" x14ac:dyDescent="0.2"/>
    <row r="39796" s="689" customFormat="1" x14ac:dyDescent="0.2"/>
    <row r="39797" s="689" customFormat="1" x14ac:dyDescent="0.2"/>
    <row r="39798" s="689" customFormat="1" x14ac:dyDescent="0.2"/>
    <row r="39799" s="689" customFormat="1" x14ac:dyDescent="0.2"/>
    <row r="39800" s="689" customFormat="1" x14ac:dyDescent="0.2"/>
    <row r="39801" s="689" customFormat="1" x14ac:dyDescent="0.2"/>
    <row r="39802" s="689" customFormat="1" x14ac:dyDescent="0.2"/>
    <row r="39803" s="689" customFormat="1" x14ac:dyDescent="0.2"/>
    <row r="39804" s="689" customFormat="1" x14ac:dyDescent="0.2"/>
    <row r="39805" s="689" customFormat="1" x14ac:dyDescent="0.2"/>
    <row r="39806" s="689" customFormat="1" x14ac:dyDescent="0.2"/>
    <row r="39807" s="689" customFormat="1" x14ac:dyDescent="0.2"/>
    <row r="39808" s="689" customFormat="1" x14ac:dyDescent="0.2"/>
    <row r="39809" s="689" customFormat="1" x14ac:dyDescent="0.2"/>
    <row r="39810" s="689" customFormat="1" x14ac:dyDescent="0.2"/>
    <row r="39811" s="689" customFormat="1" x14ac:dyDescent="0.2"/>
    <row r="39812" s="689" customFormat="1" x14ac:dyDescent="0.2"/>
    <row r="39813" s="689" customFormat="1" x14ac:dyDescent="0.2"/>
    <row r="39814" s="689" customFormat="1" x14ac:dyDescent="0.2"/>
    <row r="39815" s="689" customFormat="1" x14ac:dyDescent="0.2"/>
    <row r="39816" s="689" customFormat="1" x14ac:dyDescent="0.2"/>
    <row r="39817" s="689" customFormat="1" x14ac:dyDescent="0.2"/>
    <row r="39818" s="689" customFormat="1" x14ac:dyDescent="0.2"/>
    <row r="39819" s="689" customFormat="1" x14ac:dyDescent="0.2"/>
    <row r="39820" s="689" customFormat="1" x14ac:dyDescent="0.2"/>
    <row r="39821" s="689" customFormat="1" x14ac:dyDescent="0.2"/>
    <row r="39822" s="689" customFormat="1" x14ac:dyDescent="0.2"/>
    <row r="39823" s="689" customFormat="1" x14ac:dyDescent="0.2"/>
    <row r="39824" s="689" customFormat="1" x14ac:dyDescent="0.2"/>
    <row r="39825" s="689" customFormat="1" x14ac:dyDescent="0.2"/>
    <row r="39826" s="689" customFormat="1" x14ac:dyDescent="0.2"/>
    <row r="39827" s="689" customFormat="1" x14ac:dyDescent="0.2"/>
    <row r="39828" s="689" customFormat="1" x14ac:dyDescent="0.2"/>
    <row r="39829" s="689" customFormat="1" x14ac:dyDescent="0.2"/>
    <row r="39830" s="689" customFormat="1" x14ac:dyDescent="0.2"/>
    <row r="39831" s="689" customFormat="1" x14ac:dyDescent="0.2"/>
    <row r="39832" s="689" customFormat="1" x14ac:dyDescent="0.2"/>
    <row r="39833" s="689" customFormat="1" x14ac:dyDescent="0.2"/>
    <row r="39834" s="689" customFormat="1" x14ac:dyDescent="0.2"/>
    <row r="39835" s="689" customFormat="1" x14ac:dyDescent="0.2"/>
    <row r="39836" s="689" customFormat="1" x14ac:dyDescent="0.2"/>
    <row r="39837" s="689" customFormat="1" x14ac:dyDescent="0.2"/>
    <row r="39838" s="689" customFormat="1" x14ac:dyDescent="0.2"/>
    <row r="39839" s="689" customFormat="1" x14ac:dyDescent="0.2"/>
    <row r="39840" s="689" customFormat="1" x14ac:dyDescent="0.2"/>
    <row r="39841" s="689" customFormat="1" x14ac:dyDescent="0.2"/>
    <row r="39842" s="689" customFormat="1" x14ac:dyDescent="0.2"/>
    <row r="39843" s="689" customFormat="1" x14ac:dyDescent="0.2"/>
    <row r="39844" s="689" customFormat="1" x14ac:dyDescent="0.2"/>
    <row r="39845" s="689" customFormat="1" x14ac:dyDescent="0.2"/>
    <row r="39846" s="689" customFormat="1" x14ac:dyDescent="0.2"/>
    <row r="39847" s="689" customFormat="1" x14ac:dyDescent="0.2"/>
    <row r="39848" s="689" customFormat="1" x14ac:dyDescent="0.2"/>
    <row r="39849" s="689" customFormat="1" x14ac:dyDescent="0.2"/>
    <row r="39850" s="689" customFormat="1" x14ac:dyDescent="0.2"/>
    <row r="39851" s="689" customFormat="1" x14ac:dyDescent="0.2"/>
    <row r="39852" s="689" customFormat="1" x14ac:dyDescent="0.2"/>
    <row r="39853" s="689" customFormat="1" x14ac:dyDescent="0.2"/>
    <row r="39854" s="689" customFormat="1" x14ac:dyDescent="0.2"/>
    <row r="39855" s="689" customFormat="1" x14ac:dyDescent="0.2"/>
    <row r="39856" s="689" customFormat="1" x14ac:dyDescent="0.2"/>
    <row r="39857" s="689" customFormat="1" x14ac:dyDescent="0.2"/>
    <row r="39858" s="689" customFormat="1" x14ac:dyDescent="0.2"/>
    <row r="39859" s="689" customFormat="1" x14ac:dyDescent="0.2"/>
    <row r="39860" s="689" customFormat="1" x14ac:dyDescent="0.2"/>
    <row r="39861" s="689" customFormat="1" x14ac:dyDescent="0.2"/>
    <row r="39862" s="689" customFormat="1" x14ac:dyDescent="0.2"/>
    <row r="39863" s="689" customFormat="1" x14ac:dyDescent="0.2"/>
    <row r="39864" s="689" customFormat="1" x14ac:dyDescent="0.2"/>
    <row r="39865" s="689" customFormat="1" x14ac:dyDescent="0.2"/>
    <row r="39866" s="689" customFormat="1" x14ac:dyDescent="0.2"/>
    <row r="39867" s="689" customFormat="1" x14ac:dyDescent="0.2"/>
    <row r="39868" s="689" customFormat="1" x14ac:dyDescent="0.2"/>
    <row r="39869" s="689" customFormat="1" x14ac:dyDescent="0.2"/>
    <row r="39870" s="689" customFormat="1" x14ac:dyDescent="0.2"/>
    <row r="39871" s="689" customFormat="1" x14ac:dyDescent="0.2"/>
    <row r="39872" s="689" customFormat="1" x14ac:dyDescent="0.2"/>
    <row r="39873" s="689" customFormat="1" x14ac:dyDescent="0.2"/>
    <row r="39874" s="689" customFormat="1" x14ac:dyDescent="0.2"/>
    <row r="39875" s="689" customFormat="1" x14ac:dyDescent="0.2"/>
    <row r="39876" s="689" customFormat="1" x14ac:dyDescent="0.2"/>
    <row r="39877" s="689" customFormat="1" x14ac:dyDescent="0.2"/>
    <row r="39878" s="689" customFormat="1" x14ac:dyDescent="0.2"/>
    <row r="39879" s="689" customFormat="1" x14ac:dyDescent="0.2"/>
    <row r="39880" s="689" customFormat="1" x14ac:dyDescent="0.2"/>
    <row r="39881" s="689" customFormat="1" x14ac:dyDescent="0.2"/>
    <row r="39882" s="689" customFormat="1" x14ac:dyDescent="0.2"/>
    <row r="39883" s="689" customFormat="1" x14ac:dyDescent="0.2"/>
    <row r="39884" s="689" customFormat="1" x14ac:dyDescent="0.2"/>
    <row r="39885" s="689" customFormat="1" x14ac:dyDescent="0.2"/>
    <row r="39886" s="689" customFormat="1" x14ac:dyDescent="0.2"/>
    <row r="39887" s="689" customFormat="1" x14ac:dyDescent="0.2"/>
    <row r="39888" s="689" customFormat="1" x14ac:dyDescent="0.2"/>
    <row r="39889" s="689" customFormat="1" x14ac:dyDescent="0.2"/>
    <row r="39890" s="689" customFormat="1" x14ac:dyDescent="0.2"/>
    <row r="39891" s="689" customFormat="1" x14ac:dyDescent="0.2"/>
    <row r="39892" s="689" customFormat="1" x14ac:dyDescent="0.2"/>
    <row r="39893" s="689" customFormat="1" x14ac:dyDescent="0.2"/>
    <row r="39894" s="689" customFormat="1" x14ac:dyDescent="0.2"/>
    <row r="39895" s="689" customFormat="1" x14ac:dyDescent="0.2"/>
    <row r="39896" s="689" customFormat="1" x14ac:dyDescent="0.2"/>
    <row r="39897" s="689" customFormat="1" x14ac:dyDescent="0.2"/>
    <row r="39898" s="689" customFormat="1" x14ac:dyDescent="0.2"/>
    <row r="39899" s="689" customFormat="1" x14ac:dyDescent="0.2"/>
    <row r="39900" s="689" customFormat="1" x14ac:dyDescent="0.2"/>
    <row r="39901" s="689" customFormat="1" x14ac:dyDescent="0.2"/>
    <row r="39902" s="689" customFormat="1" x14ac:dyDescent="0.2"/>
    <row r="39903" s="689" customFormat="1" x14ac:dyDescent="0.2"/>
    <row r="39904" s="689" customFormat="1" x14ac:dyDescent="0.2"/>
    <row r="39905" s="689" customFormat="1" x14ac:dyDescent="0.2"/>
    <row r="39906" s="689" customFormat="1" x14ac:dyDescent="0.2"/>
    <row r="39907" s="689" customFormat="1" x14ac:dyDescent="0.2"/>
    <row r="39908" s="689" customFormat="1" x14ac:dyDescent="0.2"/>
    <row r="39909" s="689" customFormat="1" x14ac:dyDescent="0.2"/>
    <row r="39910" s="689" customFormat="1" x14ac:dyDescent="0.2"/>
    <row r="39911" s="689" customFormat="1" x14ac:dyDescent="0.2"/>
    <row r="39912" s="689" customFormat="1" x14ac:dyDescent="0.2"/>
    <row r="39913" s="689" customFormat="1" x14ac:dyDescent="0.2"/>
    <row r="39914" s="689" customFormat="1" x14ac:dyDescent="0.2"/>
    <row r="39915" s="689" customFormat="1" x14ac:dyDescent="0.2"/>
    <row r="39916" s="689" customFormat="1" x14ac:dyDescent="0.2"/>
    <row r="39917" s="689" customFormat="1" x14ac:dyDescent="0.2"/>
    <row r="39918" s="689" customFormat="1" x14ac:dyDescent="0.2"/>
    <row r="39919" s="689" customFormat="1" x14ac:dyDescent="0.2"/>
    <row r="39920" s="689" customFormat="1" x14ac:dyDescent="0.2"/>
    <row r="39921" s="689" customFormat="1" x14ac:dyDescent="0.2"/>
    <row r="39922" s="689" customFormat="1" x14ac:dyDescent="0.2"/>
    <row r="39923" s="689" customFormat="1" x14ac:dyDescent="0.2"/>
    <row r="39924" s="689" customFormat="1" x14ac:dyDescent="0.2"/>
    <row r="39925" s="689" customFormat="1" x14ac:dyDescent="0.2"/>
    <row r="39926" s="689" customFormat="1" x14ac:dyDescent="0.2"/>
    <row r="39927" s="689" customFormat="1" x14ac:dyDescent="0.2"/>
    <row r="39928" s="689" customFormat="1" x14ac:dyDescent="0.2"/>
    <row r="39929" s="689" customFormat="1" x14ac:dyDescent="0.2"/>
    <row r="39930" s="689" customFormat="1" x14ac:dyDescent="0.2"/>
    <row r="39931" s="689" customFormat="1" x14ac:dyDescent="0.2"/>
    <row r="39932" s="689" customFormat="1" x14ac:dyDescent="0.2"/>
    <row r="39933" s="689" customFormat="1" x14ac:dyDescent="0.2"/>
    <row r="39934" s="689" customFormat="1" x14ac:dyDescent="0.2"/>
    <row r="39935" s="689" customFormat="1" x14ac:dyDescent="0.2"/>
    <row r="39936" s="689" customFormat="1" x14ac:dyDescent="0.2"/>
    <row r="39937" s="689" customFormat="1" x14ac:dyDescent="0.2"/>
    <row r="39938" s="689" customFormat="1" x14ac:dyDescent="0.2"/>
    <row r="39939" s="689" customFormat="1" x14ac:dyDescent="0.2"/>
    <row r="39940" s="689" customFormat="1" x14ac:dyDescent="0.2"/>
    <row r="39941" s="689" customFormat="1" x14ac:dyDescent="0.2"/>
    <row r="39942" s="689" customFormat="1" x14ac:dyDescent="0.2"/>
    <row r="39943" s="689" customFormat="1" x14ac:dyDescent="0.2"/>
    <row r="39944" s="689" customFormat="1" x14ac:dyDescent="0.2"/>
    <row r="39945" s="689" customFormat="1" x14ac:dyDescent="0.2"/>
    <row r="39946" s="689" customFormat="1" x14ac:dyDescent="0.2"/>
    <row r="39947" s="689" customFormat="1" x14ac:dyDescent="0.2"/>
    <row r="39948" s="689" customFormat="1" x14ac:dyDescent="0.2"/>
    <row r="39949" s="689" customFormat="1" x14ac:dyDescent="0.2"/>
    <row r="39950" s="689" customFormat="1" x14ac:dyDescent="0.2"/>
    <row r="39951" s="689" customFormat="1" x14ac:dyDescent="0.2"/>
    <row r="39952" s="689" customFormat="1" x14ac:dyDescent="0.2"/>
    <row r="39953" s="689" customFormat="1" x14ac:dyDescent="0.2"/>
    <row r="39954" s="689" customFormat="1" x14ac:dyDescent="0.2"/>
    <row r="39955" s="689" customFormat="1" x14ac:dyDescent="0.2"/>
    <row r="39956" s="689" customFormat="1" x14ac:dyDescent="0.2"/>
    <row r="39957" s="689" customFormat="1" x14ac:dyDescent="0.2"/>
    <row r="39958" s="689" customFormat="1" x14ac:dyDescent="0.2"/>
    <row r="39959" s="689" customFormat="1" x14ac:dyDescent="0.2"/>
    <row r="39960" s="689" customFormat="1" x14ac:dyDescent="0.2"/>
    <row r="39961" s="689" customFormat="1" x14ac:dyDescent="0.2"/>
    <row r="39962" s="689" customFormat="1" x14ac:dyDescent="0.2"/>
    <row r="39963" s="689" customFormat="1" x14ac:dyDescent="0.2"/>
    <row r="39964" s="689" customFormat="1" x14ac:dyDescent="0.2"/>
    <row r="39965" s="689" customFormat="1" x14ac:dyDescent="0.2"/>
    <row r="39966" s="689" customFormat="1" x14ac:dyDescent="0.2"/>
    <row r="39967" s="689" customFormat="1" x14ac:dyDescent="0.2"/>
    <row r="39968" s="689" customFormat="1" x14ac:dyDescent="0.2"/>
    <row r="39969" s="689" customFormat="1" x14ac:dyDescent="0.2"/>
    <row r="39970" s="689" customFormat="1" x14ac:dyDescent="0.2"/>
    <row r="39971" s="689" customFormat="1" x14ac:dyDescent="0.2"/>
    <row r="39972" s="689" customFormat="1" x14ac:dyDescent="0.2"/>
    <row r="39973" s="689" customFormat="1" x14ac:dyDescent="0.2"/>
    <row r="39974" s="689" customFormat="1" x14ac:dyDescent="0.2"/>
    <row r="39975" s="689" customFormat="1" x14ac:dyDescent="0.2"/>
    <row r="39976" s="689" customFormat="1" x14ac:dyDescent="0.2"/>
    <row r="39977" s="689" customFormat="1" x14ac:dyDescent="0.2"/>
    <row r="39978" s="689" customFormat="1" x14ac:dyDescent="0.2"/>
    <row r="39979" s="689" customFormat="1" x14ac:dyDescent="0.2"/>
    <row r="39980" s="689" customFormat="1" x14ac:dyDescent="0.2"/>
    <row r="39981" s="689" customFormat="1" x14ac:dyDescent="0.2"/>
    <row r="39982" s="689" customFormat="1" x14ac:dyDescent="0.2"/>
    <row r="39983" s="689" customFormat="1" x14ac:dyDescent="0.2"/>
    <row r="39984" s="689" customFormat="1" x14ac:dyDescent="0.2"/>
    <row r="39985" s="689" customFormat="1" x14ac:dyDescent="0.2"/>
    <row r="39986" s="689" customFormat="1" x14ac:dyDescent="0.2"/>
    <row r="39987" s="689" customFormat="1" x14ac:dyDescent="0.2"/>
    <row r="39988" s="689" customFormat="1" x14ac:dyDescent="0.2"/>
    <row r="39989" s="689" customFormat="1" x14ac:dyDescent="0.2"/>
    <row r="39990" s="689" customFormat="1" x14ac:dyDescent="0.2"/>
    <row r="39991" s="689" customFormat="1" x14ac:dyDescent="0.2"/>
    <row r="39992" s="689" customFormat="1" x14ac:dyDescent="0.2"/>
    <row r="39993" s="689" customFormat="1" x14ac:dyDescent="0.2"/>
    <row r="39994" s="689" customFormat="1" x14ac:dyDescent="0.2"/>
    <row r="39995" s="689" customFormat="1" x14ac:dyDescent="0.2"/>
    <row r="39996" s="689" customFormat="1" x14ac:dyDescent="0.2"/>
    <row r="39997" s="689" customFormat="1" x14ac:dyDescent="0.2"/>
    <row r="39998" s="689" customFormat="1" x14ac:dyDescent="0.2"/>
    <row r="39999" s="689" customFormat="1" x14ac:dyDescent="0.2"/>
    <row r="40000" s="689" customFormat="1" x14ac:dyDescent="0.2"/>
    <row r="40001" s="689" customFormat="1" x14ac:dyDescent="0.2"/>
    <row r="40002" s="689" customFormat="1" x14ac:dyDescent="0.2"/>
    <row r="40003" s="689" customFormat="1" x14ac:dyDescent="0.2"/>
    <row r="40004" s="689" customFormat="1" x14ac:dyDescent="0.2"/>
    <row r="40005" s="689" customFormat="1" x14ac:dyDescent="0.2"/>
    <row r="40006" s="689" customFormat="1" x14ac:dyDescent="0.2"/>
    <row r="40007" s="689" customFormat="1" x14ac:dyDescent="0.2"/>
    <row r="40008" s="689" customFormat="1" x14ac:dyDescent="0.2"/>
    <row r="40009" s="689" customFormat="1" x14ac:dyDescent="0.2"/>
    <row r="40010" s="689" customFormat="1" x14ac:dyDescent="0.2"/>
    <row r="40011" s="689" customFormat="1" x14ac:dyDescent="0.2"/>
    <row r="40012" s="689" customFormat="1" x14ac:dyDescent="0.2"/>
    <row r="40013" s="689" customFormat="1" x14ac:dyDescent="0.2"/>
    <row r="40014" s="689" customFormat="1" x14ac:dyDescent="0.2"/>
    <row r="40015" s="689" customFormat="1" x14ac:dyDescent="0.2"/>
    <row r="40016" s="689" customFormat="1" x14ac:dyDescent="0.2"/>
    <row r="40017" s="689" customFormat="1" x14ac:dyDescent="0.2"/>
    <row r="40018" s="689" customFormat="1" x14ac:dyDescent="0.2"/>
    <row r="40019" s="689" customFormat="1" x14ac:dyDescent="0.2"/>
    <row r="40020" s="689" customFormat="1" x14ac:dyDescent="0.2"/>
    <row r="40021" s="689" customFormat="1" x14ac:dyDescent="0.2"/>
    <row r="40022" s="689" customFormat="1" x14ac:dyDescent="0.2"/>
    <row r="40023" s="689" customFormat="1" x14ac:dyDescent="0.2"/>
    <row r="40024" s="689" customFormat="1" x14ac:dyDescent="0.2"/>
    <row r="40025" s="689" customFormat="1" x14ac:dyDescent="0.2"/>
    <row r="40026" s="689" customFormat="1" x14ac:dyDescent="0.2"/>
    <row r="40027" s="689" customFormat="1" x14ac:dyDescent="0.2"/>
    <row r="40028" s="689" customFormat="1" x14ac:dyDescent="0.2"/>
    <row r="40029" s="689" customFormat="1" x14ac:dyDescent="0.2"/>
    <row r="40030" s="689" customFormat="1" x14ac:dyDescent="0.2"/>
    <row r="40031" s="689" customFormat="1" x14ac:dyDescent="0.2"/>
    <row r="40032" s="689" customFormat="1" x14ac:dyDescent="0.2"/>
    <row r="40033" s="689" customFormat="1" x14ac:dyDescent="0.2"/>
    <row r="40034" s="689" customFormat="1" x14ac:dyDescent="0.2"/>
    <row r="40035" s="689" customFormat="1" x14ac:dyDescent="0.2"/>
    <row r="40036" s="689" customFormat="1" x14ac:dyDescent="0.2"/>
    <row r="40037" s="689" customFormat="1" x14ac:dyDescent="0.2"/>
    <row r="40038" s="689" customFormat="1" x14ac:dyDescent="0.2"/>
    <row r="40039" s="689" customFormat="1" x14ac:dyDescent="0.2"/>
    <row r="40040" s="689" customFormat="1" x14ac:dyDescent="0.2"/>
    <row r="40041" s="689" customFormat="1" x14ac:dyDescent="0.2"/>
    <row r="40042" s="689" customFormat="1" x14ac:dyDescent="0.2"/>
    <row r="40043" s="689" customFormat="1" x14ac:dyDescent="0.2"/>
    <row r="40044" s="689" customFormat="1" x14ac:dyDescent="0.2"/>
    <row r="40045" s="689" customFormat="1" x14ac:dyDescent="0.2"/>
    <row r="40046" s="689" customFormat="1" x14ac:dyDescent="0.2"/>
    <row r="40047" s="689" customFormat="1" x14ac:dyDescent="0.2"/>
    <row r="40048" s="689" customFormat="1" x14ac:dyDescent="0.2"/>
    <row r="40049" s="689" customFormat="1" x14ac:dyDescent="0.2"/>
    <row r="40050" s="689" customFormat="1" x14ac:dyDescent="0.2"/>
    <row r="40051" s="689" customFormat="1" x14ac:dyDescent="0.2"/>
    <row r="40052" s="689" customFormat="1" x14ac:dyDescent="0.2"/>
    <row r="40053" s="689" customFormat="1" x14ac:dyDescent="0.2"/>
    <row r="40054" s="689" customFormat="1" x14ac:dyDescent="0.2"/>
    <row r="40055" s="689" customFormat="1" x14ac:dyDescent="0.2"/>
    <row r="40056" s="689" customFormat="1" x14ac:dyDescent="0.2"/>
    <row r="40057" s="689" customFormat="1" x14ac:dyDescent="0.2"/>
    <row r="40058" s="689" customFormat="1" x14ac:dyDescent="0.2"/>
    <row r="40059" s="689" customFormat="1" x14ac:dyDescent="0.2"/>
    <row r="40060" s="689" customFormat="1" x14ac:dyDescent="0.2"/>
    <row r="40061" s="689" customFormat="1" x14ac:dyDescent="0.2"/>
    <row r="40062" s="689" customFormat="1" x14ac:dyDescent="0.2"/>
    <row r="40063" s="689" customFormat="1" x14ac:dyDescent="0.2"/>
    <row r="40064" s="689" customFormat="1" x14ac:dyDescent="0.2"/>
    <row r="40065" s="689" customFormat="1" x14ac:dyDescent="0.2"/>
    <row r="40066" s="689" customFormat="1" x14ac:dyDescent="0.2"/>
    <row r="40067" s="689" customFormat="1" x14ac:dyDescent="0.2"/>
    <row r="40068" s="689" customFormat="1" x14ac:dyDescent="0.2"/>
    <row r="40069" s="689" customFormat="1" x14ac:dyDescent="0.2"/>
    <row r="40070" s="689" customFormat="1" x14ac:dyDescent="0.2"/>
    <row r="40071" s="689" customFormat="1" x14ac:dyDescent="0.2"/>
    <row r="40072" s="689" customFormat="1" x14ac:dyDescent="0.2"/>
    <row r="40073" s="689" customFormat="1" x14ac:dyDescent="0.2"/>
    <row r="40074" s="689" customFormat="1" x14ac:dyDescent="0.2"/>
    <row r="40075" s="689" customFormat="1" x14ac:dyDescent="0.2"/>
    <row r="40076" s="689" customFormat="1" x14ac:dyDescent="0.2"/>
    <row r="40077" s="689" customFormat="1" x14ac:dyDescent="0.2"/>
    <row r="40078" s="689" customFormat="1" x14ac:dyDescent="0.2"/>
    <row r="40079" s="689" customFormat="1" x14ac:dyDescent="0.2"/>
    <row r="40080" s="689" customFormat="1" x14ac:dyDescent="0.2"/>
    <row r="40081" s="689" customFormat="1" x14ac:dyDescent="0.2"/>
    <row r="40082" s="689" customFormat="1" x14ac:dyDescent="0.2"/>
    <row r="40083" s="689" customFormat="1" x14ac:dyDescent="0.2"/>
    <row r="40084" s="689" customFormat="1" x14ac:dyDescent="0.2"/>
    <row r="40085" s="689" customFormat="1" x14ac:dyDescent="0.2"/>
    <row r="40086" s="689" customFormat="1" x14ac:dyDescent="0.2"/>
    <row r="40087" s="689" customFormat="1" x14ac:dyDescent="0.2"/>
    <row r="40088" s="689" customFormat="1" x14ac:dyDescent="0.2"/>
    <row r="40089" s="689" customFormat="1" x14ac:dyDescent="0.2"/>
    <row r="40090" s="689" customFormat="1" x14ac:dyDescent="0.2"/>
    <row r="40091" s="689" customFormat="1" x14ac:dyDescent="0.2"/>
    <row r="40092" s="689" customFormat="1" x14ac:dyDescent="0.2"/>
    <row r="40093" s="689" customFormat="1" x14ac:dyDescent="0.2"/>
    <row r="40094" s="689" customFormat="1" x14ac:dyDescent="0.2"/>
    <row r="40095" s="689" customFormat="1" x14ac:dyDescent="0.2"/>
    <row r="40096" s="689" customFormat="1" x14ac:dyDescent="0.2"/>
    <row r="40097" s="689" customFormat="1" x14ac:dyDescent="0.2"/>
    <row r="40098" s="689" customFormat="1" x14ac:dyDescent="0.2"/>
    <row r="40099" s="689" customFormat="1" x14ac:dyDescent="0.2"/>
    <row r="40100" s="689" customFormat="1" x14ac:dyDescent="0.2"/>
    <row r="40101" s="689" customFormat="1" x14ac:dyDescent="0.2"/>
    <row r="40102" s="689" customFormat="1" x14ac:dyDescent="0.2"/>
    <row r="40103" s="689" customFormat="1" x14ac:dyDescent="0.2"/>
    <row r="40104" s="689" customFormat="1" x14ac:dyDescent="0.2"/>
    <row r="40105" s="689" customFormat="1" x14ac:dyDescent="0.2"/>
    <row r="40106" s="689" customFormat="1" x14ac:dyDescent="0.2"/>
    <row r="40107" s="689" customFormat="1" x14ac:dyDescent="0.2"/>
    <row r="40108" s="689" customFormat="1" x14ac:dyDescent="0.2"/>
    <row r="40109" s="689" customFormat="1" x14ac:dyDescent="0.2"/>
    <row r="40110" s="689" customFormat="1" x14ac:dyDescent="0.2"/>
    <row r="40111" s="689" customFormat="1" x14ac:dyDescent="0.2"/>
    <row r="40112" s="689" customFormat="1" x14ac:dyDescent="0.2"/>
    <row r="40113" s="689" customFormat="1" x14ac:dyDescent="0.2"/>
    <row r="40114" s="689" customFormat="1" x14ac:dyDescent="0.2"/>
    <row r="40115" s="689" customFormat="1" x14ac:dyDescent="0.2"/>
    <row r="40116" s="689" customFormat="1" x14ac:dyDescent="0.2"/>
    <row r="40117" s="689" customFormat="1" x14ac:dyDescent="0.2"/>
    <row r="40118" s="689" customFormat="1" x14ac:dyDescent="0.2"/>
    <row r="40119" s="689" customFormat="1" x14ac:dyDescent="0.2"/>
    <row r="40120" s="689" customFormat="1" x14ac:dyDescent="0.2"/>
    <row r="40121" s="689" customFormat="1" x14ac:dyDescent="0.2"/>
    <row r="40122" s="689" customFormat="1" x14ac:dyDescent="0.2"/>
    <row r="40123" s="689" customFormat="1" x14ac:dyDescent="0.2"/>
    <row r="40124" s="689" customFormat="1" x14ac:dyDescent="0.2"/>
    <row r="40125" s="689" customFormat="1" x14ac:dyDescent="0.2"/>
    <row r="40126" s="689" customFormat="1" x14ac:dyDescent="0.2"/>
    <row r="40127" s="689" customFormat="1" x14ac:dyDescent="0.2"/>
    <row r="40128" s="689" customFormat="1" x14ac:dyDescent="0.2"/>
    <row r="40129" s="689" customFormat="1" x14ac:dyDescent="0.2"/>
    <row r="40130" s="689" customFormat="1" x14ac:dyDescent="0.2"/>
    <row r="40131" s="689" customFormat="1" x14ac:dyDescent="0.2"/>
    <row r="40132" s="689" customFormat="1" x14ac:dyDescent="0.2"/>
    <row r="40133" s="689" customFormat="1" x14ac:dyDescent="0.2"/>
    <row r="40134" s="689" customFormat="1" x14ac:dyDescent="0.2"/>
    <row r="40135" s="689" customFormat="1" x14ac:dyDescent="0.2"/>
    <row r="40136" s="689" customFormat="1" x14ac:dyDescent="0.2"/>
    <row r="40137" s="689" customFormat="1" x14ac:dyDescent="0.2"/>
    <row r="40138" s="689" customFormat="1" x14ac:dyDescent="0.2"/>
    <row r="40139" s="689" customFormat="1" x14ac:dyDescent="0.2"/>
    <row r="40140" s="689" customFormat="1" x14ac:dyDescent="0.2"/>
    <row r="40141" s="689" customFormat="1" x14ac:dyDescent="0.2"/>
    <row r="40142" s="689" customFormat="1" x14ac:dyDescent="0.2"/>
    <row r="40143" s="689" customFormat="1" x14ac:dyDescent="0.2"/>
    <row r="40144" s="689" customFormat="1" x14ac:dyDescent="0.2"/>
    <row r="40145" s="689" customFormat="1" x14ac:dyDescent="0.2"/>
    <row r="40146" s="689" customFormat="1" x14ac:dyDescent="0.2"/>
    <row r="40147" s="689" customFormat="1" x14ac:dyDescent="0.2"/>
    <row r="40148" s="689" customFormat="1" x14ac:dyDescent="0.2"/>
    <row r="40149" s="689" customFormat="1" x14ac:dyDescent="0.2"/>
    <row r="40150" s="689" customFormat="1" x14ac:dyDescent="0.2"/>
    <row r="40151" s="689" customFormat="1" x14ac:dyDescent="0.2"/>
    <row r="40152" s="689" customFormat="1" x14ac:dyDescent="0.2"/>
    <row r="40153" s="689" customFormat="1" x14ac:dyDescent="0.2"/>
    <row r="40154" s="689" customFormat="1" x14ac:dyDescent="0.2"/>
    <row r="40155" s="689" customFormat="1" x14ac:dyDescent="0.2"/>
    <row r="40156" s="689" customFormat="1" x14ac:dyDescent="0.2"/>
    <row r="40157" s="689" customFormat="1" x14ac:dyDescent="0.2"/>
    <row r="40158" s="689" customFormat="1" x14ac:dyDescent="0.2"/>
    <row r="40159" s="689" customFormat="1" x14ac:dyDescent="0.2"/>
    <row r="40160" s="689" customFormat="1" x14ac:dyDescent="0.2"/>
    <row r="40161" s="689" customFormat="1" x14ac:dyDescent="0.2"/>
    <row r="40162" s="689" customFormat="1" x14ac:dyDescent="0.2"/>
    <row r="40163" s="689" customFormat="1" x14ac:dyDescent="0.2"/>
    <row r="40164" s="689" customFormat="1" x14ac:dyDescent="0.2"/>
    <row r="40165" s="689" customFormat="1" x14ac:dyDescent="0.2"/>
    <row r="40166" s="689" customFormat="1" x14ac:dyDescent="0.2"/>
    <row r="40167" s="689" customFormat="1" x14ac:dyDescent="0.2"/>
    <row r="40168" s="689" customFormat="1" x14ac:dyDescent="0.2"/>
    <row r="40169" s="689" customFormat="1" x14ac:dyDescent="0.2"/>
    <row r="40170" s="689" customFormat="1" x14ac:dyDescent="0.2"/>
    <row r="40171" s="689" customFormat="1" x14ac:dyDescent="0.2"/>
    <row r="40172" s="689" customFormat="1" x14ac:dyDescent="0.2"/>
    <row r="40173" s="689" customFormat="1" x14ac:dyDescent="0.2"/>
    <row r="40174" s="689" customFormat="1" x14ac:dyDescent="0.2"/>
    <row r="40175" s="689" customFormat="1" x14ac:dyDescent="0.2"/>
    <row r="40176" s="689" customFormat="1" x14ac:dyDescent="0.2"/>
    <row r="40177" s="689" customFormat="1" x14ac:dyDescent="0.2"/>
    <row r="40178" s="689" customFormat="1" x14ac:dyDescent="0.2"/>
    <row r="40179" s="689" customFormat="1" x14ac:dyDescent="0.2"/>
    <row r="40180" s="689" customFormat="1" x14ac:dyDescent="0.2"/>
    <row r="40181" s="689" customFormat="1" x14ac:dyDescent="0.2"/>
    <row r="40182" s="689" customFormat="1" x14ac:dyDescent="0.2"/>
    <row r="40183" s="689" customFormat="1" x14ac:dyDescent="0.2"/>
    <row r="40184" s="689" customFormat="1" x14ac:dyDescent="0.2"/>
    <row r="40185" s="689" customFormat="1" x14ac:dyDescent="0.2"/>
    <row r="40186" s="689" customFormat="1" x14ac:dyDescent="0.2"/>
    <row r="40187" s="689" customFormat="1" x14ac:dyDescent="0.2"/>
    <row r="40188" s="689" customFormat="1" x14ac:dyDescent="0.2"/>
    <row r="40189" s="689" customFormat="1" x14ac:dyDescent="0.2"/>
    <row r="40190" s="689" customFormat="1" x14ac:dyDescent="0.2"/>
    <row r="40191" s="689" customFormat="1" x14ac:dyDescent="0.2"/>
    <row r="40192" s="689" customFormat="1" x14ac:dyDescent="0.2"/>
    <row r="40193" s="689" customFormat="1" x14ac:dyDescent="0.2"/>
    <row r="40194" s="689" customFormat="1" x14ac:dyDescent="0.2"/>
    <row r="40195" s="689" customFormat="1" x14ac:dyDescent="0.2"/>
    <row r="40196" s="689" customFormat="1" x14ac:dyDescent="0.2"/>
    <row r="40197" s="689" customFormat="1" x14ac:dyDescent="0.2"/>
    <row r="40198" s="689" customFormat="1" x14ac:dyDescent="0.2"/>
    <row r="40199" s="689" customFormat="1" x14ac:dyDescent="0.2"/>
    <row r="40200" s="689" customFormat="1" x14ac:dyDescent="0.2"/>
    <row r="40201" s="689" customFormat="1" x14ac:dyDescent="0.2"/>
    <row r="40202" s="689" customFormat="1" x14ac:dyDescent="0.2"/>
    <row r="40203" s="689" customFormat="1" x14ac:dyDescent="0.2"/>
    <row r="40204" s="689" customFormat="1" x14ac:dyDescent="0.2"/>
    <row r="40205" s="689" customFormat="1" x14ac:dyDescent="0.2"/>
    <row r="40206" s="689" customFormat="1" x14ac:dyDescent="0.2"/>
    <row r="40207" s="689" customFormat="1" x14ac:dyDescent="0.2"/>
    <row r="40208" s="689" customFormat="1" x14ac:dyDescent="0.2"/>
    <row r="40209" s="689" customFormat="1" x14ac:dyDescent="0.2"/>
    <row r="40210" s="689" customFormat="1" x14ac:dyDescent="0.2"/>
    <row r="40211" s="689" customFormat="1" x14ac:dyDescent="0.2"/>
    <row r="40212" s="689" customFormat="1" x14ac:dyDescent="0.2"/>
    <row r="40213" s="689" customFormat="1" x14ac:dyDescent="0.2"/>
    <row r="40214" s="689" customFormat="1" x14ac:dyDescent="0.2"/>
    <row r="40215" s="689" customFormat="1" x14ac:dyDescent="0.2"/>
    <row r="40216" s="689" customFormat="1" x14ac:dyDescent="0.2"/>
    <row r="40217" s="689" customFormat="1" x14ac:dyDescent="0.2"/>
    <row r="40218" s="689" customFormat="1" x14ac:dyDescent="0.2"/>
    <row r="40219" s="689" customFormat="1" x14ac:dyDescent="0.2"/>
    <row r="40220" s="689" customFormat="1" x14ac:dyDescent="0.2"/>
    <row r="40221" s="689" customFormat="1" x14ac:dyDescent="0.2"/>
    <row r="40222" s="689" customFormat="1" x14ac:dyDescent="0.2"/>
    <row r="40223" s="689" customFormat="1" x14ac:dyDescent="0.2"/>
    <row r="40224" s="689" customFormat="1" x14ac:dyDescent="0.2"/>
    <row r="40225" s="689" customFormat="1" x14ac:dyDescent="0.2"/>
    <row r="40226" s="689" customFormat="1" x14ac:dyDescent="0.2"/>
    <row r="40227" s="689" customFormat="1" x14ac:dyDescent="0.2"/>
    <row r="40228" s="689" customFormat="1" x14ac:dyDescent="0.2"/>
    <row r="40229" s="689" customFormat="1" x14ac:dyDescent="0.2"/>
    <row r="40230" s="689" customFormat="1" x14ac:dyDescent="0.2"/>
    <row r="40231" s="689" customFormat="1" x14ac:dyDescent="0.2"/>
    <row r="40232" s="689" customFormat="1" x14ac:dyDescent="0.2"/>
    <row r="40233" s="689" customFormat="1" x14ac:dyDescent="0.2"/>
    <row r="40234" s="689" customFormat="1" x14ac:dyDescent="0.2"/>
    <row r="40235" s="689" customFormat="1" x14ac:dyDescent="0.2"/>
    <row r="40236" s="689" customFormat="1" x14ac:dyDescent="0.2"/>
    <row r="40237" s="689" customFormat="1" x14ac:dyDescent="0.2"/>
    <row r="40238" s="689" customFormat="1" x14ac:dyDescent="0.2"/>
    <row r="40239" s="689" customFormat="1" x14ac:dyDescent="0.2"/>
    <row r="40240" s="689" customFormat="1" x14ac:dyDescent="0.2"/>
    <row r="40241" s="689" customFormat="1" x14ac:dyDescent="0.2"/>
    <row r="40242" s="689" customFormat="1" x14ac:dyDescent="0.2"/>
    <row r="40243" s="689" customFormat="1" x14ac:dyDescent="0.2"/>
    <row r="40244" s="689" customFormat="1" x14ac:dyDescent="0.2"/>
    <row r="40245" s="689" customFormat="1" x14ac:dyDescent="0.2"/>
    <row r="40246" s="689" customFormat="1" x14ac:dyDescent="0.2"/>
    <row r="40247" s="689" customFormat="1" x14ac:dyDescent="0.2"/>
    <row r="40248" s="689" customFormat="1" x14ac:dyDescent="0.2"/>
    <row r="40249" s="689" customFormat="1" x14ac:dyDescent="0.2"/>
    <row r="40250" s="689" customFormat="1" x14ac:dyDescent="0.2"/>
    <row r="40251" s="689" customFormat="1" x14ac:dyDescent="0.2"/>
    <row r="40252" s="689" customFormat="1" x14ac:dyDescent="0.2"/>
    <row r="40253" s="689" customFormat="1" x14ac:dyDescent="0.2"/>
    <row r="40254" s="689" customFormat="1" x14ac:dyDescent="0.2"/>
    <row r="40255" s="689" customFormat="1" x14ac:dyDescent="0.2"/>
    <row r="40256" s="689" customFormat="1" x14ac:dyDescent="0.2"/>
    <row r="40257" s="689" customFormat="1" x14ac:dyDescent="0.2"/>
    <row r="40258" s="689" customFormat="1" x14ac:dyDescent="0.2"/>
    <row r="40259" s="689" customFormat="1" x14ac:dyDescent="0.2"/>
    <row r="40260" s="689" customFormat="1" x14ac:dyDescent="0.2"/>
    <row r="40261" s="689" customFormat="1" x14ac:dyDescent="0.2"/>
    <row r="40262" s="689" customFormat="1" x14ac:dyDescent="0.2"/>
    <row r="40263" s="689" customFormat="1" x14ac:dyDescent="0.2"/>
    <row r="40264" s="689" customFormat="1" x14ac:dyDescent="0.2"/>
    <row r="40265" s="689" customFormat="1" x14ac:dyDescent="0.2"/>
    <row r="40266" s="689" customFormat="1" x14ac:dyDescent="0.2"/>
    <row r="40267" s="689" customFormat="1" x14ac:dyDescent="0.2"/>
    <row r="40268" s="689" customFormat="1" x14ac:dyDescent="0.2"/>
    <row r="40269" s="689" customFormat="1" x14ac:dyDescent="0.2"/>
    <row r="40270" s="689" customFormat="1" x14ac:dyDescent="0.2"/>
    <row r="40271" s="689" customFormat="1" x14ac:dyDescent="0.2"/>
    <row r="40272" s="689" customFormat="1" x14ac:dyDescent="0.2"/>
    <row r="40273" s="689" customFormat="1" x14ac:dyDescent="0.2"/>
    <row r="40274" s="689" customFormat="1" x14ac:dyDescent="0.2"/>
    <row r="40275" s="689" customFormat="1" x14ac:dyDescent="0.2"/>
    <row r="40276" s="689" customFormat="1" x14ac:dyDescent="0.2"/>
    <row r="40277" s="689" customFormat="1" x14ac:dyDescent="0.2"/>
    <row r="40278" s="689" customFormat="1" x14ac:dyDescent="0.2"/>
    <row r="40279" s="689" customFormat="1" x14ac:dyDescent="0.2"/>
    <row r="40280" s="689" customFormat="1" x14ac:dyDescent="0.2"/>
    <row r="40281" s="689" customFormat="1" x14ac:dyDescent="0.2"/>
    <row r="40282" s="689" customFormat="1" x14ac:dyDescent="0.2"/>
    <row r="40283" s="689" customFormat="1" x14ac:dyDescent="0.2"/>
    <row r="40284" s="689" customFormat="1" x14ac:dyDescent="0.2"/>
    <row r="40285" s="689" customFormat="1" x14ac:dyDescent="0.2"/>
    <row r="40286" s="689" customFormat="1" x14ac:dyDescent="0.2"/>
    <row r="40287" s="689" customFormat="1" x14ac:dyDescent="0.2"/>
    <row r="40288" s="689" customFormat="1" x14ac:dyDescent="0.2"/>
    <row r="40289" s="689" customFormat="1" x14ac:dyDescent="0.2"/>
    <row r="40290" s="689" customFormat="1" x14ac:dyDescent="0.2"/>
    <row r="40291" s="689" customFormat="1" x14ac:dyDescent="0.2"/>
    <row r="40292" s="689" customFormat="1" x14ac:dyDescent="0.2"/>
    <row r="40293" s="689" customFormat="1" x14ac:dyDescent="0.2"/>
    <row r="40294" s="689" customFormat="1" x14ac:dyDescent="0.2"/>
    <row r="40295" s="689" customFormat="1" x14ac:dyDescent="0.2"/>
    <row r="40296" s="689" customFormat="1" x14ac:dyDescent="0.2"/>
    <row r="40297" s="689" customFormat="1" x14ac:dyDescent="0.2"/>
    <row r="40298" s="689" customFormat="1" x14ac:dyDescent="0.2"/>
    <row r="40299" s="689" customFormat="1" x14ac:dyDescent="0.2"/>
    <row r="40300" s="689" customFormat="1" x14ac:dyDescent="0.2"/>
    <row r="40301" s="689" customFormat="1" x14ac:dyDescent="0.2"/>
    <row r="40302" s="689" customFormat="1" x14ac:dyDescent="0.2"/>
    <row r="40303" s="689" customFormat="1" x14ac:dyDescent="0.2"/>
    <row r="40304" s="689" customFormat="1" x14ac:dyDescent="0.2"/>
    <row r="40305" s="689" customFormat="1" x14ac:dyDescent="0.2"/>
    <row r="40306" s="689" customFormat="1" x14ac:dyDescent="0.2"/>
    <row r="40307" s="689" customFormat="1" x14ac:dyDescent="0.2"/>
    <row r="40308" s="689" customFormat="1" x14ac:dyDescent="0.2"/>
    <row r="40309" s="689" customFormat="1" x14ac:dyDescent="0.2"/>
    <row r="40310" s="689" customFormat="1" x14ac:dyDescent="0.2"/>
    <row r="40311" s="689" customFormat="1" x14ac:dyDescent="0.2"/>
    <row r="40312" s="689" customFormat="1" x14ac:dyDescent="0.2"/>
    <row r="40313" s="689" customFormat="1" x14ac:dyDescent="0.2"/>
    <row r="40314" s="689" customFormat="1" x14ac:dyDescent="0.2"/>
    <row r="40315" s="689" customFormat="1" x14ac:dyDescent="0.2"/>
    <row r="40316" s="689" customFormat="1" x14ac:dyDescent="0.2"/>
    <row r="40317" s="689" customFormat="1" x14ac:dyDescent="0.2"/>
    <row r="40318" s="689" customFormat="1" x14ac:dyDescent="0.2"/>
    <row r="40319" s="689" customFormat="1" x14ac:dyDescent="0.2"/>
    <row r="40320" s="689" customFormat="1" x14ac:dyDescent="0.2"/>
    <row r="40321" s="689" customFormat="1" x14ac:dyDescent="0.2"/>
    <row r="40322" s="689" customFormat="1" x14ac:dyDescent="0.2"/>
    <row r="40323" s="689" customFormat="1" x14ac:dyDescent="0.2"/>
    <row r="40324" s="689" customFormat="1" x14ac:dyDescent="0.2"/>
    <row r="40325" s="689" customFormat="1" x14ac:dyDescent="0.2"/>
    <row r="40326" s="689" customFormat="1" x14ac:dyDescent="0.2"/>
    <row r="40327" s="689" customFormat="1" x14ac:dyDescent="0.2"/>
    <row r="40328" s="689" customFormat="1" x14ac:dyDescent="0.2"/>
    <row r="40329" s="689" customFormat="1" x14ac:dyDescent="0.2"/>
    <row r="40330" s="689" customFormat="1" x14ac:dyDescent="0.2"/>
    <row r="40331" s="689" customFormat="1" x14ac:dyDescent="0.2"/>
    <row r="40332" s="689" customFormat="1" x14ac:dyDescent="0.2"/>
    <row r="40333" s="689" customFormat="1" x14ac:dyDescent="0.2"/>
    <row r="40334" s="689" customFormat="1" x14ac:dyDescent="0.2"/>
    <row r="40335" s="689" customFormat="1" x14ac:dyDescent="0.2"/>
    <row r="40336" s="689" customFormat="1" x14ac:dyDescent="0.2"/>
    <row r="40337" s="689" customFormat="1" x14ac:dyDescent="0.2"/>
    <row r="40338" s="689" customFormat="1" x14ac:dyDescent="0.2"/>
    <row r="40339" s="689" customFormat="1" x14ac:dyDescent="0.2"/>
    <row r="40340" s="689" customFormat="1" x14ac:dyDescent="0.2"/>
    <row r="40341" s="689" customFormat="1" x14ac:dyDescent="0.2"/>
    <row r="40342" s="689" customFormat="1" x14ac:dyDescent="0.2"/>
    <row r="40343" s="689" customFormat="1" x14ac:dyDescent="0.2"/>
    <row r="40344" s="689" customFormat="1" x14ac:dyDescent="0.2"/>
    <row r="40345" s="689" customFormat="1" x14ac:dyDescent="0.2"/>
    <row r="40346" s="689" customFormat="1" x14ac:dyDescent="0.2"/>
    <row r="40347" s="689" customFormat="1" x14ac:dyDescent="0.2"/>
    <row r="40348" s="689" customFormat="1" x14ac:dyDescent="0.2"/>
    <row r="40349" s="689" customFormat="1" x14ac:dyDescent="0.2"/>
    <row r="40350" s="689" customFormat="1" x14ac:dyDescent="0.2"/>
    <row r="40351" s="689" customFormat="1" x14ac:dyDescent="0.2"/>
    <row r="40352" s="689" customFormat="1" x14ac:dyDescent="0.2"/>
    <row r="40353" s="689" customFormat="1" x14ac:dyDescent="0.2"/>
    <row r="40354" s="689" customFormat="1" x14ac:dyDescent="0.2"/>
    <row r="40355" s="689" customFormat="1" x14ac:dyDescent="0.2"/>
    <row r="40356" s="689" customFormat="1" x14ac:dyDescent="0.2"/>
    <row r="40357" s="689" customFormat="1" x14ac:dyDescent="0.2"/>
    <row r="40358" s="689" customFormat="1" x14ac:dyDescent="0.2"/>
    <row r="40359" s="689" customFormat="1" x14ac:dyDescent="0.2"/>
    <row r="40360" s="689" customFormat="1" x14ac:dyDescent="0.2"/>
    <row r="40361" s="689" customFormat="1" x14ac:dyDescent="0.2"/>
    <row r="40362" s="689" customFormat="1" x14ac:dyDescent="0.2"/>
    <row r="40363" s="689" customFormat="1" x14ac:dyDescent="0.2"/>
    <row r="40364" s="689" customFormat="1" x14ac:dyDescent="0.2"/>
    <row r="40365" s="689" customFormat="1" x14ac:dyDescent="0.2"/>
    <row r="40366" s="689" customFormat="1" x14ac:dyDescent="0.2"/>
    <row r="40367" s="689" customFormat="1" x14ac:dyDescent="0.2"/>
    <row r="40368" s="689" customFormat="1" x14ac:dyDescent="0.2"/>
    <row r="40369" s="689" customFormat="1" x14ac:dyDescent="0.2"/>
    <row r="40370" s="689" customFormat="1" x14ac:dyDescent="0.2"/>
    <row r="40371" s="689" customFormat="1" x14ac:dyDescent="0.2"/>
    <row r="40372" s="689" customFormat="1" x14ac:dyDescent="0.2"/>
    <row r="40373" s="689" customFormat="1" x14ac:dyDescent="0.2"/>
    <row r="40374" s="689" customFormat="1" x14ac:dyDescent="0.2"/>
    <row r="40375" s="689" customFormat="1" x14ac:dyDescent="0.2"/>
    <row r="40376" s="689" customFormat="1" x14ac:dyDescent="0.2"/>
    <row r="40377" s="689" customFormat="1" x14ac:dyDescent="0.2"/>
    <row r="40378" s="689" customFormat="1" x14ac:dyDescent="0.2"/>
    <row r="40379" s="689" customFormat="1" x14ac:dyDescent="0.2"/>
    <row r="40380" s="689" customFormat="1" x14ac:dyDescent="0.2"/>
    <row r="40381" s="689" customFormat="1" x14ac:dyDescent="0.2"/>
    <row r="40382" s="689" customFormat="1" x14ac:dyDescent="0.2"/>
    <row r="40383" s="689" customFormat="1" x14ac:dyDescent="0.2"/>
    <row r="40384" s="689" customFormat="1" x14ac:dyDescent="0.2"/>
    <row r="40385" s="689" customFormat="1" x14ac:dyDescent="0.2"/>
    <row r="40386" s="689" customFormat="1" x14ac:dyDescent="0.2"/>
    <row r="40387" s="689" customFormat="1" x14ac:dyDescent="0.2"/>
    <row r="40388" s="689" customFormat="1" x14ac:dyDescent="0.2"/>
    <row r="40389" s="689" customFormat="1" x14ac:dyDescent="0.2"/>
    <row r="40390" s="689" customFormat="1" x14ac:dyDescent="0.2"/>
    <row r="40391" s="689" customFormat="1" x14ac:dyDescent="0.2"/>
    <row r="40392" s="689" customFormat="1" x14ac:dyDescent="0.2"/>
    <row r="40393" s="689" customFormat="1" x14ac:dyDescent="0.2"/>
    <row r="40394" s="689" customFormat="1" x14ac:dyDescent="0.2"/>
    <row r="40395" s="689" customFormat="1" x14ac:dyDescent="0.2"/>
    <row r="40396" s="689" customFormat="1" x14ac:dyDescent="0.2"/>
    <row r="40397" s="689" customFormat="1" x14ac:dyDescent="0.2"/>
    <row r="40398" s="689" customFormat="1" x14ac:dyDescent="0.2"/>
    <row r="40399" s="689" customFormat="1" x14ac:dyDescent="0.2"/>
    <row r="40400" s="689" customFormat="1" x14ac:dyDescent="0.2"/>
    <row r="40401" s="689" customFormat="1" x14ac:dyDescent="0.2"/>
    <row r="40402" s="689" customFormat="1" x14ac:dyDescent="0.2"/>
    <row r="40403" s="689" customFormat="1" x14ac:dyDescent="0.2"/>
    <row r="40404" s="689" customFormat="1" x14ac:dyDescent="0.2"/>
    <row r="40405" s="689" customFormat="1" x14ac:dyDescent="0.2"/>
    <row r="40406" s="689" customFormat="1" x14ac:dyDescent="0.2"/>
    <row r="40407" s="689" customFormat="1" x14ac:dyDescent="0.2"/>
    <row r="40408" s="689" customFormat="1" x14ac:dyDescent="0.2"/>
    <row r="40409" s="689" customFormat="1" x14ac:dyDescent="0.2"/>
    <row r="40410" s="689" customFormat="1" x14ac:dyDescent="0.2"/>
    <row r="40411" s="689" customFormat="1" x14ac:dyDescent="0.2"/>
    <row r="40412" s="689" customFormat="1" x14ac:dyDescent="0.2"/>
    <row r="40413" s="689" customFormat="1" x14ac:dyDescent="0.2"/>
    <row r="40414" s="689" customFormat="1" x14ac:dyDescent="0.2"/>
    <row r="40415" s="689" customFormat="1" x14ac:dyDescent="0.2"/>
    <row r="40416" s="689" customFormat="1" x14ac:dyDescent="0.2"/>
    <row r="40417" s="689" customFormat="1" x14ac:dyDescent="0.2"/>
    <row r="40418" s="689" customFormat="1" x14ac:dyDescent="0.2"/>
    <row r="40419" s="689" customFormat="1" x14ac:dyDescent="0.2"/>
    <row r="40420" s="689" customFormat="1" x14ac:dyDescent="0.2"/>
    <row r="40421" s="689" customFormat="1" x14ac:dyDescent="0.2"/>
    <row r="40422" s="689" customFormat="1" x14ac:dyDescent="0.2"/>
    <row r="40423" s="689" customFormat="1" x14ac:dyDescent="0.2"/>
    <row r="40424" s="689" customFormat="1" x14ac:dyDescent="0.2"/>
    <row r="40425" s="689" customFormat="1" x14ac:dyDescent="0.2"/>
    <row r="40426" s="689" customFormat="1" x14ac:dyDescent="0.2"/>
    <row r="40427" s="689" customFormat="1" x14ac:dyDescent="0.2"/>
    <row r="40428" s="689" customFormat="1" x14ac:dyDescent="0.2"/>
    <row r="40429" s="689" customFormat="1" x14ac:dyDescent="0.2"/>
    <row r="40430" s="689" customFormat="1" x14ac:dyDescent="0.2"/>
    <row r="40431" s="689" customFormat="1" x14ac:dyDescent="0.2"/>
    <row r="40432" s="689" customFormat="1" x14ac:dyDescent="0.2"/>
    <row r="40433" s="689" customFormat="1" x14ac:dyDescent="0.2"/>
    <row r="40434" s="689" customFormat="1" x14ac:dyDescent="0.2"/>
    <row r="40435" s="689" customFormat="1" x14ac:dyDescent="0.2"/>
    <row r="40436" s="689" customFormat="1" x14ac:dyDescent="0.2"/>
    <row r="40437" s="689" customFormat="1" x14ac:dyDescent="0.2"/>
    <row r="40438" s="689" customFormat="1" x14ac:dyDescent="0.2"/>
    <row r="40439" s="689" customFormat="1" x14ac:dyDescent="0.2"/>
    <row r="40440" s="689" customFormat="1" x14ac:dyDescent="0.2"/>
    <row r="40441" s="689" customFormat="1" x14ac:dyDescent="0.2"/>
    <row r="40442" s="689" customFormat="1" x14ac:dyDescent="0.2"/>
    <row r="40443" s="689" customFormat="1" x14ac:dyDescent="0.2"/>
    <row r="40444" s="689" customFormat="1" x14ac:dyDescent="0.2"/>
    <row r="40445" s="689" customFormat="1" x14ac:dyDescent="0.2"/>
    <row r="40446" s="689" customFormat="1" x14ac:dyDescent="0.2"/>
    <row r="40447" s="689" customFormat="1" x14ac:dyDescent="0.2"/>
    <row r="40448" s="689" customFormat="1" x14ac:dyDescent="0.2"/>
    <row r="40449" s="689" customFormat="1" x14ac:dyDescent="0.2"/>
    <row r="40450" s="689" customFormat="1" x14ac:dyDescent="0.2"/>
    <row r="40451" s="689" customFormat="1" x14ac:dyDescent="0.2"/>
    <row r="40452" s="689" customFormat="1" x14ac:dyDescent="0.2"/>
    <row r="40453" s="689" customFormat="1" x14ac:dyDescent="0.2"/>
    <row r="40454" s="689" customFormat="1" x14ac:dyDescent="0.2"/>
    <row r="40455" s="689" customFormat="1" x14ac:dyDescent="0.2"/>
    <row r="40456" s="689" customFormat="1" x14ac:dyDescent="0.2"/>
    <row r="40457" s="689" customFormat="1" x14ac:dyDescent="0.2"/>
    <row r="40458" s="689" customFormat="1" x14ac:dyDescent="0.2"/>
    <row r="40459" s="689" customFormat="1" x14ac:dyDescent="0.2"/>
    <row r="40460" s="689" customFormat="1" x14ac:dyDescent="0.2"/>
    <row r="40461" s="689" customFormat="1" x14ac:dyDescent="0.2"/>
    <row r="40462" s="689" customFormat="1" x14ac:dyDescent="0.2"/>
    <row r="40463" s="689" customFormat="1" x14ac:dyDescent="0.2"/>
    <row r="40464" s="689" customFormat="1" x14ac:dyDescent="0.2"/>
    <row r="40465" s="689" customFormat="1" x14ac:dyDescent="0.2"/>
    <row r="40466" s="689" customFormat="1" x14ac:dyDescent="0.2"/>
    <row r="40467" s="689" customFormat="1" x14ac:dyDescent="0.2"/>
    <row r="40468" s="689" customFormat="1" x14ac:dyDescent="0.2"/>
    <row r="40469" s="689" customFormat="1" x14ac:dyDescent="0.2"/>
    <row r="40470" s="689" customFormat="1" x14ac:dyDescent="0.2"/>
    <row r="40471" s="689" customFormat="1" x14ac:dyDescent="0.2"/>
    <row r="40472" s="689" customFormat="1" x14ac:dyDescent="0.2"/>
    <row r="40473" s="689" customFormat="1" x14ac:dyDescent="0.2"/>
    <row r="40474" s="689" customFormat="1" x14ac:dyDescent="0.2"/>
    <row r="40475" s="689" customFormat="1" x14ac:dyDescent="0.2"/>
    <row r="40476" s="689" customFormat="1" x14ac:dyDescent="0.2"/>
    <row r="40477" s="689" customFormat="1" x14ac:dyDescent="0.2"/>
    <row r="40478" s="689" customFormat="1" x14ac:dyDescent="0.2"/>
    <row r="40479" s="689" customFormat="1" x14ac:dyDescent="0.2"/>
    <row r="40480" s="689" customFormat="1" x14ac:dyDescent="0.2"/>
    <row r="40481" s="689" customFormat="1" x14ac:dyDescent="0.2"/>
    <row r="40482" s="689" customFormat="1" x14ac:dyDescent="0.2"/>
    <row r="40483" s="689" customFormat="1" x14ac:dyDescent="0.2"/>
    <row r="40484" s="689" customFormat="1" x14ac:dyDescent="0.2"/>
    <row r="40485" s="689" customFormat="1" x14ac:dyDescent="0.2"/>
    <row r="40486" s="689" customFormat="1" x14ac:dyDescent="0.2"/>
    <row r="40487" s="689" customFormat="1" x14ac:dyDescent="0.2"/>
    <row r="40488" s="689" customFormat="1" x14ac:dyDescent="0.2"/>
    <row r="40489" s="689" customFormat="1" x14ac:dyDescent="0.2"/>
    <row r="40490" s="689" customFormat="1" x14ac:dyDescent="0.2"/>
    <row r="40491" s="689" customFormat="1" x14ac:dyDescent="0.2"/>
    <row r="40492" s="689" customFormat="1" x14ac:dyDescent="0.2"/>
    <row r="40493" s="689" customFormat="1" x14ac:dyDescent="0.2"/>
    <row r="40494" s="689" customFormat="1" x14ac:dyDescent="0.2"/>
    <row r="40495" s="689" customFormat="1" x14ac:dyDescent="0.2"/>
    <row r="40496" s="689" customFormat="1" x14ac:dyDescent="0.2"/>
    <row r="40497" s="689" customFormat="1" x14ac:dyDescent="0.2"/>
    <row r="40498" s="689" customFormat="1" x14ac:dyDescent="0.2"/>
    <row r="40499" s="689" customFormat="1" x14ac:dyDescent="0.2"/>
    <row r="40500" s="689" customFormat="1" x14ac:dyDescent="0.2"/>
    <row r="40501" s="689" customFormat="1" x14ac:dyDescent="0.2"/>
    <row r="40502" s="689" customFormat="1" x14ac:dyDescent="0.2"/>
    <row r="40503" s="689" customFormat="1" x14ac:dyDescent="0.2"/>
    <row r="40504" s="689" customFormat="1" x14ac:dyDescent="0.2"/>
    <row r="40505" s="689" customFormat="1" x14ac:dyDescent="0.2"/>
    <row r="40506" s="689" customFormat="1" x14ac:dyDescent="0.2"/>
    <row r="40507" s="689" customFormat="1" x14ac:dyDescent="0.2"/>
    <row r="40508" s="689" customFormat="1" x14ac:dyDescent="0.2"/>
    <row r="40509" s="689" customFormat="1" x14ac:dyDescent="0.2"/>
    <row r="40510" s="689" customFormat="1" x14ac:dyDescent="0.2"/>
    <row r="40511" s="689" customFormat="1" x14ac:dyDescent="0.2"/>
    <row r="40512" s="689" customFormat="1" x14ac:dyDescent="0.2"/>
    <row r="40513" s="689" customFormat="1" x14ac:dyDescent="0.2"/>
    <row r="40514" s="689" customFormat="1" x14ac:dyDescent="0.2"/>
    <row r="40515" s="689" customFormat="1" x14ac:dyDescent="0.2"/>
    <row r="40516" s="689" customFormat="1" x14ac:dyDescent="0.2"/>
    <row r="40517" s="689" customFormat="1" x14ac:dyDescent="0.2"/>
    <row r="40518" s="689" customFormat="1" x14ac:dyDescent="0.2"/>
    <row r="40519" s="689" customFormat="1" x14ac:dyDescent="0.2"/>
    <row r="40520" s="689" customFormat="1" x14ac:dyDescent="0.2"/>
    <row r="40521" s="689" customFormat="1" x14ac:dyDescent="0.2"/>
    <row r="40522" s="689" customFormat="1" x14ac:dyDescent="0.2"/>
    <row r="40523" s="689" customFormat="1" x14ac:dyDescent="0.2"/>
    <row r="40524" s="689" customFormat="1" x14ac:dyDescent="0.2"/>
    <row r="40525" s="689" customFormat="1" x14ac:dyDescent="0.2"/>
    <row r="40526" s="689" customFormat="1" x14ac:dyDescent="0.2"/>
    <row r="40527" s="689" customFormat="1" x14ac:dyDescent="0.2"/>
    <row r="40528" s="689" customFormat="1" x14ac:dyDescent="0.2"/>
    <row r="40529" s="689" customFormat="1" x14ac:dyDescent="0.2"/>
    <row r="40530" s="689" customFormat="1" x14ac:dyDescent="0.2"/>
    <row r="40531" s="689" customFormat="1" x14ac:dyDescent="0.2"/>
    <row r="40532" s="689" customFormat="1" x14ac:dyDescent="0.2"/>
    <row r="40533" s="689" customFormat="1" x14ac:dyDescent="0.2"/>
    <row r="40534" s="689" customFormat="1" x14ac:dyDescent="0.2"/>
    <row r="40535" s="689" customFormat="1" x14ac:dyDescent="0.2"/>
    <row r="40536" s="689" customFormat="1" x14ac:dyDescent="0.2"/>
    <row r="40537" s="689" customFormat="1" x14ac:dyDescent="0.2"/>
    <row r="40538" s="689" customFormat="1" x14ac:dyDescent="0.2"/>
    <row r="40539" s="689" customFormat="1" x14ac:dyDescent="0.2"/>
    <row r="40540" s="689" customFormat="1" x14ac:dyDescent="0.2"/>
    <row r="40541" s="689" customFormat="1" x14ac:dyDescent="0.2"/>
    <row r="40542" s="689" customFormat="1" x14ac:dyDescent="0.2"/>
    <row r="40543" s="689" customFormat="1" x14ac:dyDescent="0.2"/>
    <row r="40544" s="689" customFormat="1" x14ac:dyDescent="0.2"/>
    <row r="40545" s="689" customFormat="1" x14ac:dyDescent="0.2"/>
    <row r="40546" s="689" customFormat="1" x14ac:dyDescent="0.2"/>
    <row r="40547" s="689" customFormat="1" x14ac:dyDescent="0.2"/>
    <row r="40548" s="689" customFormat="1" x14ac:dyDescent="0.2"/>
    <row r="40549" s="689" customFormat="1" x14ac:dyDescent="0.2"/>
    <row r="40550" s="689" customFormat="1" x14ac:dyDescent="0.2"/>
    <row r="40551" s="689" customFormat="1" x14ac:dyDescent="0.2"/>
    <row r="40552" s="689" customFormat="1" x14ac:dyDescent="0.2"/>
    <row r="40553" s="689" customFormat="1" x14ac:dyDescent="0.2"/>
    <row r="40554" s="689" customFormat="1" x14ac:dyDescent="0.2"/>
    <row r="40555" s="689" customFormat="1" x14ac:dyDescent="0.2"/>
    <row r="40556" s="689" customFormat="1" x14ac:dyDescent="0.2"/>
    <row r="40557" s="689" customFormat="1" x14ac:dyDescent="0.2"/>
    <row r="40558" s="689" customFormat="1" x14ac:dyDescent="0.2"/>
    <row r="40559" s="689" customFormat="1" x14ac:dyDescent="0.2"/>
    <row r="40560" s="689" customFormat="1" x14ac:dyDescent="0.2"/>
    <row r="40561" s="689" customFormat="1" x14ac:dyDescent="0.2"/>
    <row r="40562" s="689" customFormat="1" x14ac:dyDescent="0.2"/>
    <row r="40563" s="689" customFormat="1" x14ac:dyDescent="0.2"/>
    <row r="40564" s="689" customFormat="1" x14ac:dyDescent="0.2"/>
    <row r="40565" s="689" customFormat="1" x14ac:dyDescent="0.2"/>
    <row r="40566" s="689" customFormat="1" x14ac:dyDescent="0.2"/>
    <row r="40567" s="689" customFormat="1" x14ac:dyDescent="0.2"/>
    <row r="40568" s="689" customFormat="1" x14ac:dyDescent="0.2"/>
    <row r="40569" s="689" customFormat="1" x14ac:dyDescent="0.2"/>
    <row r="40570" s="689" customFormat="1" x14ac:dyDescent="0.2"/>
    <row r="40571" s="689" customFormat="1" x14ac:dyDescent="0.2"/>
    <row r="40572" s="689" customFormat="1" x14ac:dyDescent="0.2"/>
    <row r="40573" s="689" customFormat="1" x14ac:dyDescent="0.2"/>
    <row r="40574" s="689" customFormat="1" x14ac:dyDescent="0.2"/>
    <row r="40575" s="689" customFormat="1" x14ac:dyDescent="0.2"/>
    <row r="40576" s="689" customFormat="1" x14ac:dyDescent="0.2"/>
    <row r="40577" s="689" customFormat="1" x14ac:dyDescent="0.2"/>
    <row r="40578" s="689" customFormat="1" x14ac:dyDescent="0.2"/>
    <row r="40579" s="689" customFormat="1" x14ac:dyDescent="0.2"/>
    <row r="40580" s="689" customFormat="1" x14ac:dyDescent="0.2"/>
    <row r="40581" s="689" customFormat="1" x14ac:dyDescent="0.2"/>
    <row r="40582" s="689" customFormat="1" x14ac:dyDescent="0.2"/>
    <row r="40583" s="689" customFormat="1" x14ac:dyDescent="0.2"/>
    <row r="40584" s="689" customFormat="1" x14ac:dyDescent="0.2"/>
    <row r="40585" s="689" customFormat="1" x14ac:dyDescent="0.2"/>
    <row r="40586" s="689" customFormat="1" x14ac:dyDescent="0.2"/>
    <row r="40587" s="689" customFormat="1" x14ac:dyDescent="0.2"/>
    <row r="40588" s="689" customFormat="1" x14ac:dyDescent="0.2"/>
    <row r="40589" s="689" customFormat="1" x14ac:dyDescent="0.2"/>
    <row r="40590" s="689" customFormat="1" x14ac:dyDescent="0.2"/>
    <row r="40591" s="689" customFormat="1" x14ac:dyDescent="0.2"/>
    <row r="40592" s="689" customFormat="1" x14ac:dyDescent="0.2"/>
    <row r="40593" s="689" customFormat="1" x14ac:dyDescent="0.2"/>
    <row r="40594" s="689" customFormat="1" x14ac:dyDescent="0.2"/>
    <row r="40595" s="689" customFormat="1" x14ac:dyDescent="0.2"/>
    <row r="40596" s="689" customFormat="1" x14ac:dyDescent="0.2"/>
    <row r="40597" s="689" customFormat="1" x14ac:dyDescent="0.2"/>
    <row r="40598" s="689" customFormat="1" x14ac:dyDescent="0.2"/>
    <row r="40599" s="689" customFormat="1" x14ac:dyDescent="0.2"/>
    <row r="40600" s="689" customFormat="1" x14ac:dyDescent="0.2"/>
    <row r="40601" s="689" customFormat="1" x14ac:dyDescent="0.2"/>
    <row r="40602" s="689" customFormat="1" x14ac:dyDescent="0.2"/>
    <row r="40603" s="689" customFormat="1" x14ac:dyDescent="0.2"/>
    <row r="40604" s="689" customFormat="1" x14ac:dyDescent="0.2"/>
    <row r="40605" s="689" customFormat="1" x14ac:dyDescent="0.2"/>
    <row r="40606" s="689" customFormat="1" x14ac:dyDescent="0.2"/>
    <row r="40607" s="689" customFormat="1" x14ac:dyDescent="0.2"/>
    <row r="40608" s="689" customFormat="1" x14ac:dyDescent="0.2"/>
    <row r="40609" s="689" customFormat="1" x14ac:dyDescent="0.2"/>
    <row r="40610" s="689" customFormat="1" x14ac:dyDescent="0.2"/>
    <row r="40611" s="689" customFormat="1" x14ac:dyDescent="0.2"/>
    <row r="40612" s="689" customFormat="1" x14ac:dyDescent="0.2"/>
    <row r="40613" s="689" customFormat="1" x14ac:dyDescent="0.2"/>
    <row r="40614" s="689" customFormat="1" x14ac:dyDescent="0.2"/>
    <row r="40615" s="689" customFormat="1" x14ac:dyDescent="0.2"/>
    <row r="40616" s="689" customFormat="1" x14ac:dyDescent="0.2"/>
    <row r="40617" s="689" customFormat="1" x14ac:dyDescent="0.2"/>
    <row r="40618" s="689" customFormat="1" x14ac:dyDescent="0.2"/>
    <row r="40619" s="689" customFormat="1" x14ac:dyDescent="0.2"/>
    <row r="40620" s="689" customFormat="1" x14ac:dyDescent="0.2"/>
    <row r="40621" s="689" customFormat="1" x14ac:dyDescent="0.2"/>
    <row r="40622" s="689" customFormat="1" x14ac:dyDescent="0.2"/>
    <row r="40623" s="689" customFormat="1" x14ac:dyDescent="0.2"/>
    <row r="40624" s="689" customFormat="1" x14ac:dyDescent="0.2"/>
    <row r="40625" s="689" customFormat="1" x14ac:dyDescent="0.2"/>
    <row r="40626" s="689" customFormat="1" x14ac:dyDescent="0.2"/>
    <row r="40627" s="689" customFormat="1" x14ac:dyDescent="0.2"/>
    <row r="40628" s="689" customFormat="1" x14ac:dyDescent="0.2"/>
    <row r="40629" s="689" customFormat="1" x14ac:dyDescent="0.2"/>
    <row r="40630" s="689" customFormat="1" x14ac:dyDescent="0.2"/>
    <row r="40631" s="689" customFormat="1" x14ac:dyDescent="0.2"/>
    <row r="40632" s="689" customFormat="1" x14ac:dyDescent="0.2"/>
    <row r="40633" s="689" customFormat="1" x14ac:dyDescent="0.2"/>
    <row r="40634" s="689" customFormat="1" x14ac:dyDescent="0.2"/>
    <row r="40635" s="689" customFormat="1" x14ac:dyDescent="0.2"/>
    <row r="40636" s="689" customFormat="1" x14ac:dyDescent="0.2"/>
    <row r="40637" s="689" customFormat="1" x14ac:dyDescent="0.2"/>
    <row r="40638" s="689" customFormat="1" x14ac:dyDescent="0.2"/>
    <row r="40639" s="689" customFormat="1" x14ac:dyDescent="0.2"/>
    <row r="40640" s="689" customFormat="1" x14ac:dyDescent="0.2"/>
    <row r="40641" s="689" customFormat="1" x14ac:dyDescent="0.2"/>
    <row r="40642" s="689" customFormat="1" x14ac:dyDescent="0.2"/>
    <row r="40643" s="689" customFormat="1" x14ac:dyDescent="0.2"/>
    <row r="40644" s="689" customFormat="1" x14ac:dyDescent="0.2"/>
    <row r="40645" s="689" customFormat="1" x14ac:dyDescent="0.2"/>
    <row r="40646" s="689" customFormat="1" x14ac:dyDescent="0.2"/>
    <row r="40647" s="689" customFormat="1" x14ac:dyDescent="0.2"/>
    <row r="40648" s="689" customFormat="1" x14ac:dyDescent="0.2"/>
    <row r="40649" s="689" customFormat="1" x14ac:dyDescent="0.2"/>
    <row r="40650" s="689" customFormat="1" x14ac:dyDescent="0.2"/>
    <row r="40651" s="689" customFormat="1" x14ac:dyDescent="0.2"/>
    <row r="40652" s="689" customFormat="1" x14ac:dyDescent="0.2"/>
    <row r="40653" s="689" customFormat="1" x14ac:dyDescent="0.2"/>
    <row r="40654" s="689" customFormat="1" x14ac:dyDescent="0.2"/>
    <row r="40655" s="689" customFormat="1" x14ac:dyDescent="0.2"/>
    <row r="40656" s="689" customFormat="1" x14ac:dyDescent="0.2"/>
    <row r="40657" s="689" customFormat="1" x14ac:dyDescent="0.2"/>
    <row r="40658" s="689" customFormat="1" x14ac:dyDescent="0.2"/>
    <row r="40659" s="689" customFormat="1" x14ac:dyDescent="0.2"/>
    <row r="40660" s="689" customFormat="1" x14ac:dyDescent="0.2"/>
    <row r="40661" s="689" customFormat="1" x14ac:dyDescent="0.2"/>
    <row r="40662" s="689" customFormat="1" x14ac:dyDescent="0.2"/>
    <row r="40663" s="689" customFormat="1" x14ac:dyDescent="0.2"/>
    <row r="40664" s="689" customFormat="1" x14ac:dyDescent="0.2"/>
    <row r="40665" s="689" customFormat="1" x14ac:dyDescent="0.2"/>
    <row r="40666" s="689" customFormat="1" x14ac:dyDescent="0.2"/>
    <row r="40667" s="689" customFormat="1" x14ac:dyDescent="0.2"/>
    <row r="40668" s="689" customFormat="1" x14ac:dyDescent="0.2"/>
    <row r="40669" s="689" customFormat="1" x14ac:dyDescent="0.2"/>
    <row r="40670" s="689" customFormat="1" x14ac:dyDescent="0.2"/>
    <row r="40671" s="689" customFormat="1" x14ac:dyDescent="0.2"/>
    <row r="40672" s="689" customFormat="1" x14ac:dyDescent="0.2"/>
    <row r="40673" s="689" customFormat="1" x14ac:dyDescent="0.2"/>
    <row r="40674" s="689" customFormat="1" x14ac:dyDescent="0.2"/>
    <row r="40675" s="689" customFormat="1" x14ac:dyDescent="0.2"/>
    <row r="40676" s="689" customFormat="1" x14ac:dyDescent="0.2"/>
    <row r="40677" s="689" customFormat="1" x14ac:dyDescent="0.2"/>
    <row r="40678" s="689" customFormat="1" x14ac:dyDescent="0.2"/>
    <row r="40679" s="689" customFormat="1" x14ac:dyDescent="0.2"/>
    <row r="40680" s="689" customFormat="1" x14ac:dyDescent="0.2"/>
    <row r="40681" s="689" customFormat="1" x14ac:dyDescent="0.2"/>
    <row r="40682" s="689" customFormat="1" x14ac:dyDescent="0.2"/>
    <row r="40683" s="689" customFormat="1" x14ac:dyDescent="0.2"/>
    <row r="40684" s="689" customFormat="1" x14ac:dyDescent="0.2"/>
    <row r="40685" s="689" customFormat="1" x14ac:dyDescent="0.2"/>
    <row r="40686" s="689" customFormat="1" x14ac:dyDescent="0.2"/>
    <row r="40687" s="689" customFormat="1" x14ac:dyDescent="0.2"/>
    <row r="40688" s="689" customFormat="1" x14ac:dyDescent="0.2"/>
    <row r="40689" s="689" customFormat="1" x14ac:dyDescent="0.2"/>
    <row r="40690" s="689" customFormat="1" x14ac:dyDescent="0.2"/>
    <row r="40691" s="689" customFormat="1" x14ac:dyDescent="0.2"/>
    <row r="40692" s="689" customFormat="1" x14ac:dyDescent="0.2"/>
    <row r="40693" s="689" customFormat="1" x14ac:dyDescent="0.2"/>
    <row r="40694" s="689" customFormat="1" x14ac:dyDescent="0.2"/>
    <row r="40695" s="689" customFormat="1" x14ac:dyDescent="0.2"/>
    <row r="40696" s="689" customFormat="1" x14ac:dyDescent="0.2"/>
    <row r="40697" s="689" customFormat="1" x14ac:dyDescent="0.2"/>
    <row r="40698" s="689" customFormat="1" x14ac:dyDescent="0.2"/>
    <row r="40699" s="689" customFormat="1" x14ac:dyDescent="0.2"/>
    <row r="40700" s="689" customFormat="1" x14ac:dyDescent="0.2"/>
    <row r="40701" s="689" customFormat="1" x14ac:dyDescent="0.2"/>
    <row r="40702" s="689" customFormat="1" x14ac:dyDescent="0.2"/>
    <row r="40703" s="689" customFormat="1" x14ac:dyDescent="0.2"/>
    <row r="40704" s="689" customFormat="1" x14ac:dyDescent="0.2"/>
    <row r="40705" s="689" customFormat="1" x14ac:dyDescent="0.2"/>
    <row r="40706" s="689" customFormat="1" x14ac:dyDescent="0.2"/>
    <row r="40707" s="689" customFormat="1" x14ac:dyDescent="0.2"/>
    <row r="40708" s="689" customFormat="1" x14ac:dyDescent="0.2"/>
    <row r="40709" s="689" customFormat="1" x14ac:dyDescent="0.2"/>
    <row r="40710" s="689" customFormat="1" x14ac:dyDescent="0.2"/>
    <row r="40711" s="689" customFormat="1" x14ac:dyDescent="0.2"/>
    <row r="40712" s="689" customFormat="1" x14ac:dyDescent="0.2"/>
    <row r="40713" s="689" customFormat="1" x14ac:dyDescent="0.2"/>
    <row r="40714" s="689" customFormat="1" x14ac:dyDescent="0.2"/>
    <row r="40715" s="689" customFormat="1" x14ac:dyDescent="0.2"/>
    <row r="40716" s="689" customFormat="1" x14ac:dyDescent="0.2"/>
    <row r="40717" s="689" customFormat="1" x14ac:dyDescent="0.2"/>
    <row r="40718" s="689" customFormat="1" x14ac:dyDescent="0.2"/>
    <row r="40719" s="689" customFormat="1" x14ac:dyDescent="0.2"/>
    <row r="40720" s="689" customFormat="1" x14ac:dyDescent="0.2"/>
    <row r="40721" s="689" customFormat="1" x14ac:dyDescent="0.2"/>
    <row r="40722" s="689" customFormat="1" x14ac:dyDescent="0.2"/>
    <row r="40723" s="689" customFormat="1" x14ac:dyDescent="0.2"/>
    <row r="40724" s="689" customFormat="1" x14ac:dyDescent="0.2"/>
    <row r="40725" s="689" customFormat="1" x14ac:dyDescent="0.2"/>
    <row r="40726" s="689" customFormat="1" x14ac:dyDescent="0.2"/>
    <row r="40727" s="689" customFormat="1" x14ac:dyDescent="0.2"/>
    <row r="40728" s="689" customFormat="1" x14ac:dyDescent="0.2"/>
    <row r="40729" s="689" customFormat="1" x14ac:dyDescent="0.2"/>
    <row r="40730" s="689" customFormat="1" x14ac:dyDescent="0.2"/>
    <row r="40731" s="689" customFormat="1" x14ac:dyDescent="0.2"/>
    <row r="40732" s="689" customFormat="1" x14ac:dyDescent="0.2"/>
    <row r="40733" s="689" customFormat="1" x14ac:dyDescent="0.2"/>
    <row r="40734" s="689" customFormat="1" x14ac:dyDescent="0.2"/>
    <row r="40735" s="689" customFormat="1" x14ac:dyDescent="0.2"/>
    <row r="40736" s="689" customFormat="1" x14ac:dyDescent="0.2"/>
    <row r="40737" s="689" customFormat="1" x14ac:dyDescent="0.2"/>
    <row r="40738" s="689" customFormat="1" x14ac:dyDescent="0.2"/>
    <row r="40739" s="689" customFormat="1" x14ac:dyDescent="0.2"/>
    <row r="40740" s="689" customFormat="1" x14ac:dyDescent="0.2"/>
    <row r="40741" s="689" customFormat="1" x14ac:dyDescent="0.2"/>
    <row r="40742" s="689" customFormat="1" x14ac:dyDescent="0.2"/>
    <row r="40743" s="689" customFormat="1" x14ac:dyDescent="0.2"/>
    <row r="40744" s="689" customFormat="1" x14ac:dyDescent="0.2"/>
    <row r="40745" s="689" customFormat="1" x14ac:dyDescent="0.2"/>
    <row r="40746" s="689" customFormat="1" x14ac:dyDescent="0.2"/>
    <row r="40747" s="689" customFormat="1" x14ac:dyDescent="0.2"/>
    <row r="40748" s="689" customFormat="1" x14ac:dyDescent="0.2"/>
    <row r="40749" s="689" customFormat="1" x14ac:dyDescent="0.2"/>
    <row r="40750" s="689" customFormat="1" x14ac:dyDescent="0.2"/>
    <row r="40751" s="689" customFormat="1" x14ac:dyDescent="0.2"/>
    <row r="40752" s="689" customFormat="1" x14ac:dyDescent="0.2"/>
    <row r="40753" s="689" customFormat="1" x14ac:dyDescent="0.2"/>
    <row r="40754" s="689" customFormat="1" x14ac:dyDescent="0.2"/>
    <row r="40755" s="689" customFormat="1" x14ac:dyDescent="0.2"/>
    <row r="40756" s="689" customFormat="1" x14ac:dyDescent="0.2"/>
    <row r="40757" s="689" customFormat="1" x14ac:dyDescent="0.2"/>
    <row r="40758" s="689" customFormat="1" x14ac:dyDescent="0.2"/>
    <row r="40759" s="689" customFormat="1" x14ac:dyDescent="0.2"/>
    <row r="40760" s="689" customFormat="1" x14ac:dyDescent="0.2"/>
    <row r="40761" s="689" customFormat="1" x14ac:dyDescent="0.2"/>
    <row r="40762" s="689" customFormat="1" x14ac:dyDescent="0.2"/>
    <row r="40763" s="689" customFormat="1" x14ac:dyDescent="0.2"/>
    <row r="40764" s="689" customFormat="1" x14ac:dyDescent="0.2"/>
    <row r="40765" s="689" customFormat="1" x14ac:dyDescent="0.2"/>
    <row r="40766" s="689" customFormat="1" x14ac:dyDescent="0.2"/>
    <row r="40767" s="689" customFormat="1" x14ac:dyDescent="0.2"/>
    <row r="40768" s="689" customFormat="1" x14ac:dyDescent="0.2"/>
    <row r="40769" s="689" customFormat="1" x14ac:dyDescent="0.2"/>
    <row r="40770" s="689" customFormat="1" x14ac:dyDescent="0.2"/>
    <row r="40771" s="689" customFormat="1" x14ac:dyDescent="0.2"/>
    <row r="40772" s="689" customFormat="1" x14ac:dyDescent="0.2"/>
    <row r="40773" s="689" customFormat="1" x14ac:dyDescent="0.2"/>
    <row r="40774" s="689" customFormat="1" x14ac:dyDescent="0.2"/>
    <row r="40775" s="689" customFormat="1" x14ac:dyDescent="0.2"/>
    <row r="40776" s="689" customFormat="1" x14ac:dyDescent="0.2"/>
    <row r="40777" s="689" customFormat="1" x14ac:dyDescent="0.2"/>
    <row r="40778" s="689" customFormat="1" x14ac:dyDescent="0.2"/>
    <row r="40779" s="689" customFormat="1" x14ac:dyDescent="0.2"/>
    <row r="40780" s="689" customFormat="1" x14ac:dyDescent="0.2"/>
    <row r="40781" s="689" customFormat="1" x14ac:dyDescent="0.2"/>
    <row r="40782" s="689" customFormat="1" x14ac:dyDescent="0.2"/>
    <row r="40783" s="689" customFormat="1" x14ac:dyDescent="0.2"/>
    <row r="40784" s="689" customFormat="1" x14ac:dyDescent="0.2"/>
    <row r="40785" s="689" customFormat="1" x14ac:dyDescent="0.2"/>
    <row r="40786" s="689" customFormat="1" x14ac:dyDescent="0.2"/>
    <row r="40787" s="689" customFormat="1" x14ac:dyDescent="0.2"/>
    <row r="40788" s="689" customFormat="1" x14ac:dyDescent="0.2"/>
    <row r="40789" s="689" customFormat="1" x14ac:dyDescent="0.2"/>
    <row r="40790" s="689" customFormat="1" x14ac:dyDescent="0.2"/>
    <row r="40791" s="689" customFormat="1" x14ac:dyDescent="0.2"/>
    <row r="40792" s="689" customFormat="1" x14ac:dyDescent="0.2"/>
    <row r="40793" s="689" customFormat="1" x14ac:dyDescent="0.2"/>
    <row r="40794" s="689" customFormat="1" x14ac:dyDescent="0.2"/>
    <row r="40795" s="689" customFormat="1" x14ac:dyDescent="0.2"/>
    <row r="40796" s="689" customFormat="1" x14ac:dyDescent="0.2"/>
    <row r="40797" s="689" customFormat="1" x14ac:dyDescent="0.2"/>
    <row r="40798" s="689" customFormat="1" x14ac:dyDescent="0.2"/>
    <row r="40799" s="689" customFormat="1" x14ac:dyDescent="0.2"/>
    <row r="40800" s="689" customFormat="1" x14ac:dyDescent="0.2"/>
    <row r="40801" s="689" customFormat="1" x14ac:dyDescent="0.2"/>
    <row r="40802" s="689" customFormat="1" x14ac:dyDescent="0.2"/>
    <row r="40803" s="689" customFormat="1" x14ac:dyDescent="0.2"/>
    <row r="40804" s="689" customFormat="1" x14ac:dyDescent="0.2"/>
    <row r="40805" s="689" customFormat="1" x14ac:dyDescent="0.2"/>
    <row r="40806" s="689" customFormat="1" x14ac:dyDescent="0.2"/>
    <row r="40807" s="689" customFormat="1" x14ac:dyDescent="0.2"/>
    <row r="40808" s="689" customFormat="1" x14ac:dyDescent="0.2"/>
    <row r="40809" s="689" customFormat="1" x14ac:dyDescent="0.2"/>
    <row r="40810" s="689" customFormat="1" x14ac:dyDescent="0.2"/>
    <row r="40811" s="689" customFormat="1" x14ac:dyDescent="0.2"/>
    <row r="40812" s="689" customFormat="1" x14ac:dyDescent="0.2"/>
    <row r="40813" s="689" customFormat="1" x14ac:dyDescent="0.2"/>
    <row r="40814" s="689" customFormat="1" x14ac:dyDescent="0.2"/>
    <row r="40815" s="689" customFormat="1" x14ac:dyDescent="0.2"/>
    <row r="40816" s="689" customFormat="1" x14ac:dyDescent="0.2"/>
    <row r="40817" s="689" customFormat="1" x14ac:dyDescent="0.2"/>
    <row r="40818" s="689" customFormat="1" x14ac:dyDescent="0.2"/>
    <row r="40819" s="689" customFormat="1" x14ac:dyDescent="0.2"/>
    <row r="40820" s="689" customFormat="1" x14ac:dyDescent="0.2"/>
    <row r="40821" s="689" customFormat="1" x14ac:dyDescent="0.2"/>
    <row r="40822" s="689" customFormat="1" x14ac:dyDescent="0.2"/>
    <row r="40823" s="689" customFormat="1" x14ac:dyDescent="0.2"/>
    <row r="40824" s="689" customFormat="1" x14ac:dyDescent="0.2"/>
    <row r="40825" s="689" customFormat="1" x14ac:dyDescent="0.2"/>
    <row r="40826" s="689" customFormat="1" x14ac:dyDescent="0.2"/>
    <row r="40827" s="689" customFormat="1" x14ac:dyDescent="0.2"/>
    <row r="40828" s="689" customFormat="1" x14ac:dyDescent="0.2"/>
    <row r="40829" s="689" customFormat="1" x14ac:dyDescent="0.2"/>
    <row r="40830" s="689" customFormat="1" x14ac:dyDescent="0.2"/>
    <row r="40831" s="689" customFormat="1" x14ac:dyDescent="0.2"/>
    <row r="40832" s="689" customFormat="1" x14ac:dyDescent="0.2"/>
    <row r="40833" s="689" customFormat="1" x14ac:dyDescent="0.2"/>
    <row r="40834" s="689" customFormat="1" x14ac:dyDescent="0.2"/>
    <row r="40835" s="689" customFormat="1" x14ac:dyDescent="0.2"/>
    <row r="40836" s="689" customFormat="1" x14ac:dyDescent="0.2"/>
    <row r="40837" s="689" customFormat="1" x14ac:dyDescent="0.2"/>
    <row r="40838" s="689" customFormat="1" x14ac:dyDescent="0.2"/>
    <row r="40839" s="689" customFormat="1" x14ac:dyDescent="0.2"/>
    <row r="40840" s="689" customFormat="1" x14ac:dyDescent="0.2"/>
    <row r="40841" s="689" customFormat="1" x14ac:dyDescent="0.2"/>
    <row r="40842" s="689" customFormat="1" x14ac:dyDescent="0.2"/>
    <row r="40843" s="689" customFormat="1" x14ac:dyDescent="0.2"/>
    <row r="40844" s="689" customFormat="1" x14ac:dyDescent="0.2"/>
    <row r="40845" s="689" customFormat="1" x14ac:dyDescent="0.2"/>
    <row r="40846" s="689" customFormat="1" x14ac:dyDescent="0.2"/>
    <row r="40847" s="689" customFormat="1" x14ac:dyDescent="0.2"/>
    <row r="40848" s="689" customFormat="1" x14ac:dyDescent="0.2"/>
    <row r="40849" s="689" customFormat="1" x14ac:dyDescent="0.2"/>
    <row r="40850" s="689" customFormat="1" x14ac:dyDescent="0.2"/>
    <row r="40851" s="689" customFormat="1" x14ac:dyDescent="0.2"/>
    <row r="40852" s="689" customFormat="1" x14ac:dyDescent="0.2"/>
    <row r="40853" s="689" customFormat="1" x14ac:dyDescent="0.2"/>
    <row r="40854" s="689" customFormat="1" x14ac:dyDescent="0.2"/>
    <row r="40855" s="689" customFormat="1" x14ac:dyDescent="0.2"/>
    <row r="40856" s="689" customFormat="1" x14ac:dyDescent="0.2"/>
    <row r="40857" s="689" customFormat="1" x14ac:dyDescent="0.2"/>
    <row r="40858" s="689" customFormat="1" x14ac:dyDescent="0.2"/>
    <row r="40859" s="689" customFormat="1" x14ac:dyDescent="0.2"/>
    <row r="40860" s="689" customFormat="1" x14ac:dyDescent="0.2"/>
    <row r="40861" s="689" customFormat="1" x14ac:dyDescent="0.2"/>
    <row r="40862" s="689" customFormat="1" x14ac:dyDescent="0.2"/>
    <row r="40863" s="689" customFormat="1" x14ac:dyDescent="0.2"/>
    <row r="40864" s="689" customFormat="1" x14ac:dyDescent="0.2"/>
    <row r="40865" s="689" customFormat="1" x14ac:dyDescent="0.2"/>
    <row r="40866" s="689" customFormat="1" x14ac:dyDescent="0.2"/>
    <row r="40867" s="689" customFormat="1" x14ac:dyDescent="0.2"/>
    <row r="40868" s="689" customFormat="1" x14ac:dyDescent="0.2"/>
    <row r="40869" s="689" customFormat="1" x14ac:dyDescent="0.2"/>
    <row r="40870" s="689" customFormat="1" x14ac:dyDescent="0.2"/>
    <row r="40871" s="689" customFormat="1" x14ac:dyDescent="0.2"/>
    <row r="40872" s="689" customFormat="1" x14ac:dyDescent="0.2"/>
    <row r="40873" s="689" customFormat="1" x14ac:dyDescent="0.2"/>
    <row r="40874" s="689" customFormat="1" x14ac:dyDescent="0.2"/>
    <row r="40875" s="689" customFormat="1" x14ac:dyDescent="0.2"/>
    <row r="40876" s="689" customFormat="1" x14ac:dyDescent="0.2"/>
    <row r="40877" s="689" customFormat="1" x14ac:dyDescent="0.2"/>
    <row r="40878" s="689" customFormat="1" x14ac:dyDescent="0.2"/>
    <row r="40879" s="689" customFormat="1" x14ac:dyDescent="0.2"/>
    <row r="40880" s="689" customFormat="1" x14ac:dyDescent="0.2"/>
    <row r="40881" s="689" customFormat="1" x14ac:dyDescent="0.2"/>
    <row r="40882" s="689" customFormat="1" x14ac:dyDescent="0.2"/>
    <row r="40883" s="689" customFormat="1" x14ac:dyDescent="0.2"/>
    <row r="40884" s="689" customFormat="1" x14ac:dyDescent="0.2"/>
    <row r="40885" s="689" customFormat="1" x14ac:dyDescent="0.2"/>
    <row r="40886" s="689" customFormat="1" x14ac:dyDescent="0.2"/>
    <row r="40887" s="689" customFormat="1" x14ac:dyDescent="0.2"/>
    <row r="40888" s="689" customFormat="1" x14ac:dyDescent="0.2"/>
    <row r="40889" s="689" customFormat="1" x14ac:dyDescent="0.2"/>
    <row r="40890" s="689" customFormat="1" x14ac:dyDescent="0.2"/>
    <row r="40891" s="689" customFormat="1" x14ac:dyDescent="0.2"/>
    <row r="40892" s="689" customFormat="1" x14ac:dyDescent="0.2"/>
    <row r="40893" s="689" customFormat="1" x14ac:dyDescent="0.2"/>
    <row r="40894" s="689" customFormat="1" x14ac:dyDescent="0.2"/>
    <row r="40895" s="689" customFormat="1" x14ac:dyDescent="0.2"/>
    <row r="40896" s="689" customFormat="1" x14ac:dyDescent="0.2"/>
    <row r="40897" s="689" customFormat="1" x14ac:dyDescent="0.2"/>
    <row r="40898" s="689" customFormat="1" x14ac:dyDescent="0.2"/>
    <row r="40899" s="689" customFormat="1" x14ac:dyDescent="0.2"/>
    <row r="40900" s="689" customFormat="1" x14ac:dyDescent="0.2"/>
    <row r="40901" s="689" customFormat="1" x14ac:dyDescent="0.2"/>
    <row r="40902" s="689" customFormat="1" x14ac:dyDescent="0.2"/>
    <row r="40903" s="689" customFormat="1" x14ac:dyDescent="0.2"/>
    <row r="40904" s="689" customFormat="1" x14ac:dyDescent="0.2"/>
    <row r="40905" s="689" customFormat="1" x14ac:dyDescent="0.2"/>
    <row r="40906" s="689" customFormat="1" x14ac:dyDescent="0.2"/>
    <row r="40907" s="689" customFormat="1" x14ac:dyDescent="0.2"/>
    <row r="40908" s="689" customFormat="1" x14ac:dyDescent="0.2"/>
    <row r="40909" s="689" customFormat="1" x14ac:dyDescent="0.2"/>
    <row r="40910" s="689" customFormat="1" x14ac:dyDescent="0.2"/>
    <row r="40911" s="689" customFormat="1" x14ac:dyDescent="0.2"/>
    <row r="40912" s="689" customFormat="1" x14ac:dyDescent="0.2"/>
    <row r="40913" s="689" customFormat="1" x14ac:dyDescent="0.2"/>
    <row r="40914" s="689" customFormat="1" x14ac:dyDescent="0.2"/>
    <row r="40915" s="689" customFormat="1" x14ac:dyDescent="0.2"/>
    <row r="40916" s="689" customFormat="1" x14ac:dyDescent="0.2"/>
    <row r="40917" s="689" customFormat="1" x14ac:dyDescent="0.2"/>
    <row r="40918" s="689" customFormat="1" x14ac:dyDescent="0.2"/>
    <row r="40919" s="689" customFormat="1" x14ac:dyDescent="0.2"/>
    <row r="40920" s="689" customFormat="1" x14ac:dyDescent="0.2"/>
    <row r="40921" s="689" customFormat="1" x14ac:dyDescent="0.2"/>
    <row r="40922" s="689" customFormat="1" x14ac:dyDescent="0.2"/>
    <row r="40923" s="689" customFormat="1" x14ac:dyDescent="0.2"/>
    <row r="40924" s="689" customFormat="1" x14ac:dyDescent="0.2"/>
    <row r="40925" s="689" customFormat="1" x14ac:dyDescent="0.2"/>
    <row r="40926" s="689" customFormat="1" x14ac:dyDescent="0.2"/>
    <row r="40927" s="689" customFormat="1" x14ac:dyDescent="0.2"/>
    <row r="40928" s="689" customFormat="1" x14ac:dyDescent="0.2"/>
    <row r="40929" s="689" customFormat="1" x14ac:dyDescent="0.2"/>
    <row r="40930" s="689" customFormat="1" x14ac:dyDescent="0.2"/>
    <row r="40931" s="689" customFormat="1" x14ac:dyDescent="0.2"/>
    <row r="40932" s="689" customFormat="1" x14ac:dyDescent="0.2"/>
    <row r="40933" s="689" customFormat="1" x14ac:dyDescent="0.2"/>
    <row r="40934" s="689" customFormat="1" x14ac:dyDescent="0.2"/>
    <row r="40935" s="689" customFormat="1" x14ac:dyDescent="0.2"/>
    <row r="40936" s="689" customFormat="1" x14ac:dyDescent="0.2"/>
    <row r="40937" s="689" customFormat="1" x14ac:dyDescent="0.2"/>
    <row r="40938" s="689" customFormat="1" x14ac:dyDescent="0.2"/>
    <row r="40939" s="689" customFormat="1" x14ac:dyDescent="0.2"/>
    <row r="40940" s="689" customFormat="1" x14ac:dyDescent="0.2"/>
    <row r="40941" s="689" customFormat="1" x14ac:dyDescent="0.2"/>
    <row r="40942" s="689" customFormat="1" x14ac:dyDescent="0.2"/>
    <row r="40943" s="689" customFormat="1" x14ac:dyDescent="0.2"/>
    <row r="40944" s="689" customFormat="1" x14ac:dyDescent="0.2"/>
    <row r="40945" s="689" customFormat="1" x14ac:dyDescent="0.2"/>
    <row r="40946" s="689" customFormat="1" x14ac:dyDescent="0.2"/>
    <row r="40947" s="689" customFormat="1" x14ac:dyDescent="0.2"/>
    <row r="40948" s="689" customFormat="1" x14ac:dyDescent="0.2"/>
    <row r="40949" s="689" customFormat="1" x14ac:dyDescent="0.2"/>
    <row r="40950" s="689" customFormat="1" x14ac:dyDescent="0.2"/>
    <row r="40951" s="689" customFormat="1" x14ac:dyDescent="0.2"/>
    <row r="40952" s="689" customFormat="1" x14ac:dyDescent="0.2"/>
    <row r="40953" s="689" customFormat="1" x14ac:dyDescent="0.2"/>
    <row r="40954" s="689" customFormat="1" x14ac:dyDescent="0.2"/>
    <row r="40955" s="689" customFormat="1" x14ac:dyDescent="0.2"/>
    <row r="40956" s="689" customFormat="1" x14ac:dyDescent="0.2"/>
    <row r="40957" s="689" customFormat="1" x14ac:dyDescent="0.2"/>
    <row r="40958" s="689" customFormat="1" x14ac:dyDescent="0.2"/>
    <row r="40959" s="689" customFormat="1" x14ac:dyDescent="0.2"/>
    <row r="40960" s="689" customFormat="1" x14ac:dyDescent="0.2"/>
    <row r="40961" s="689" customFormat="1" x14ac:dyDescent="0.2"/>
    <row r="40962" s="689" customFormat="1" x14ac:dyDescent="0.2"/>
    <row r="40963" s="689" customFormat="1" x14ac:dyDescent="0.2"/>
    <row r="40964" s="689" customFormat="1" x14ac:dyDescent="0.2"/>
    <row r="40965" s="689" customFormat="1" x14ac:dyDescent="0.2"/>
    <row r="40966" s="689" customFormat="1" x14ac:dyDescent="0.2"/>
    <row r="40967" s="689" customFormat="1" x14ac:dyDescent="0.2"/>
    <row r="40968" s="689" customFormat="1" x14ac:dyDescent="0.2"/>
    <row r="40969" s="689" customFormat="1" x14ac:dyDescent="0.2"/>
    <row r="40970" s="689" customFormat="1" x14ac:dyDescent="0.2"/>
    <row r="40971" s="689" customFormat="1" x14ac:dyDescent="0.2"/>
    <row r="40972" s="689" customFormat="1" x14ac:dyDescent="0.2"/>
    <row r="40973" s="689" customFormat="1" x14ac:dyDescent="0.2"/>
    <row r="40974" s="689" customFormat="1" x14ac:dyDescent="0.2"/>
    <row r="40975" s="689" customFormat="1" x14ac:dyDescent="0.2"/>
    <row r="40976" s="689" customFormat="1" x14ac:dyDescent="0.2"/>
    <row r="40977" s="689" customFormat="1" x14ac:dyDescent="0.2"/>
    <row r="40978" s="689" customFormat="1" x14ac:dyDescent="0.2"/>
    <row r="40979" s="689" customFormat="1" x14ac:dyDescent="0.2"/>
    <row r="40980" s="689" customFormat="1" x14ac:dyDescent="0.2"/>
    <row r="40981" s="689" customFormat="1" x14ac:dyDescent="0.2"/>
    <row r="40982" s="689" customFormat="1" x14ac:dyDescent="0.2"/>
    <row r="40983" s="689" customFormat="1" x14ac:dyDescent="0.2"/>
    <row r="40984" s="689" customFormat="1" x14ac:dyDescent="0.2"/>
    <row r="40985" s="689" customFormat="1" x14ac:dyDescent="0.2"/>
    <row r="40986" s="689" customFormat="1" x14ac:dyDescent="0.2"/>
    <row r="40987" s="689" customFormat="1" x14ac:dyDescent="0.2"/>
    <row r="40988" s="689" customFormat="1" x14ac:dyDescent="0.2"/>
    <row r="40989" s="689" customFormat="1" x14ac:dyDescent="0.2"/>
    <row r="40990" s="689" customFormat="1" x14ac:dyDescent="0.2"/>
    <row r="40991" s="689" customFormat="1" x14ac:dyDescent="0.2"/>
    <row r="40992" s="689" customFormat="1" x14ac:dyDescent="0.2"/>
    <row r="40993" s="689" customFormat="1" x14ac:dyDescent="0.2"/>
    <row r="40994" s="689" customFormat="1" x14ac:dyDescent="0.2"/>
    <row r="40995" s="689" customFormat="1" x14ac:dyDescent="0.2"/>
    <row r="40996" s="689" customFormat="1" x14ac:dyDescent="0.2"/>
    <row r="40997" s="689" customFormat="1" x14ac:dyDescent="0.2"/>
    <row r="40998" s="689" customFormat="1" x14ac:dyDescent="0.2"/>
    <row r="40999" s="689" customFormat="1" x14ac:dyDescent="0.2"/>
    <row r="41000" s="689" customFormat="1" x14ac:dyDescent="0.2"/>
    <row r="41001" s="689" customFormat="1" x14ac:dyDescent="0.2"/>
    <row r="41002" s="689" customFormat="1" x14ac:dyDescent="0.2"/>
    <row r="41003" s="689" customFormat="1" x14ac:dyDescent="0.2"/>
    <row r="41004" s="689" customFormat="1" x14ac:dyDescent="0.2"/>
    <row r="41005" s="689" customFormat="1" x14ac:dyDescent="0.2"/>
    <row r="41006" s="689" customFormat="1" x14ac:dyDescent="0.2"/>
    <row r="41007" s="689" customFormat="1" x14ac:dyDescent="0.2"/>
    <row r="41008" s="689" customFormat="1" x14ac:dyDescent="0.2"/>
    <row r="41009" s="689" customFormat="1" x14ac:dyDescent="0.2"/>
    <row r="41010" s="689" customFormat="1" x14ac:dyDescent="0.2"/>
    <row r="41011" s="689" customFormat="1" x14ac:dyDescent="0.2"/>
    <row r="41012" s="689" customFormat="1" x14ac:dyDescent="0.2"/>
    <row r="41013" s="689" customFormat="1" x14ac:dyDescent="0.2"/>
    <row r="41014" s="689" customFormat="1" x14ac:dyDescent="0.2"/>
    <row r="41015" s="689" customFormat="1" x14ac:dyDescent="0.2"/>
    <row r="41016" s="689" customFormat="1" x14ac:dyDescent="0.2"/>
    <row r="41017" s="689" customFormat="1" x14ac:dyDescent="0.2"/>
    <row r="41018" s="689" customFormat="1" x14ac:dyDescent="0.2"/>
    <row r="41019" s="689" customFormat="1" x14ac:dyDescent="0.2"/>
    <row r="41020" s="689" customFormat="1" x14ac:dyDescent="0.2"/>
    <row r="41021" s="689" customFormat="1" x14ac:dyDescent="0.2"/>
    <row r="41022" s="689" customFormat="1" x14ac:dyDescent="0.2"/>
    <row r="41023" s="689" customFormat="1" x14ac:dyDescent="0.2"/>
    <row r="41024" s="689" customFormat="1" x14ac:dyDescent="0.2"/>
    <row r="41025" s="689" customFormat="1" x14ac:dyDescent="0.2"/>
    <row r="41026" s="689" customFormat="1" x14ac:dyDescent="0.2"/>
    <row r="41027" s="689" customFormat="1" x14ac:dyDescent="0.2"/>
    <row r="41028" s="689" customFormat="1" x14ac:dyDescent="0.2"/>
    <row r="41029" s="689" customFormat="1" x14ac:dyDescent="0.2"/>
    <row r="41030" s="689" customFormat="1" x14ac:dyDescent="0.2"/>
    <row r="41031" s="689" customFormat="1" x14ac:dyDescent="0.2"/>
    <row r="41032" s="689" customFormat="1" x14ac:dyDescent="0.2"/>
    <row r="41033" s="689" customFormat="1" x14ac:dyDescent="0.2"/>
    <row r="41034" s="689" customFormat="1" x14ac:dyDescent="0.2"/>
    <row r="41035" s="689" customFormat="1" x14ac:dyDescent="0.2"/>
    <row r="41036" s="689" customFormat="1" x14ac:dyDescent="0.2"/>
    <row r="41037" s="689" customFormat="1" x14ac:dyDescent="0.2"/>
    <row r="41038" s="689" customFormat="1" x14ac:dyDescent="0.2"/>
    <row r="41039" s="689" customFormat="1" x14ac:dyDescent="0.2"/>
    <row r="41040" s="689" customFormat="1" x14ac:dyDescent="0.2"/>
    <row r="41041" s="689" customFormat="1" x14ac:dyDescent="0.2"/>
    <row r="41042" s="689" customFormat="1" x14ac:dyDescent="0.2"/>
    <row r="41043" s="689" customFormat="1" x14ac:dyDescent="0.2"/>
    <row r="41044" s="689" customFormat="1" x14ac:dyDescent="0.2"/>
    <row r="41045" s="689" customFormat="1" x14ac:dyDescent="0.2"/>
    <row r="41046" s="689" customFormat="1" x14ac:dyDescent="0.2"/>
    <row r="41047" s="689" customFormat="1" x14ac:dyDescent="0.2"/>
    <row r="41048" s="689" customFormat="1" x14ac:dyDescent="0.2"/>
    <row r="41049" s="689" customFormat="1" x14ac:dyDescent="0.2"/>
    <row r="41050" s="689" customFormat="1" x14ac:dyDescent="0.2"/>
    <row r="41051" s="689" customFormat="1" x14ac:dyDescent="0.2"/>
    <row r="41052" s="689" customFormat="1" x14ac:dyDescent="0.2"/>
    <row r="41053" s="689" customFormat="1" x14ac:dyDescent="0.2"/>
    <row r="41054" s="689" customFormat="1" x14ac:dyDescent="0.2"/>
    <row r="41055" s="689" customFormat="1" x14ac:dyDescent="0.2"/>
    <row r="41056" s="689" customFormat="1" x14ac:dyDescent="0.2"/>
    <row r="41057" s="689" customFormat="1" x14ac:dyDescent="0.2"/>
    <row r="41058" s="689" customFormat="1" x14ac:dyDescent="0.2"/>
    <row r="41059" s="689" customFormat="1" x14ac:dyDescent="0.2"/>
    <row r="41060" s="689" customFormat="1" x14ac:dyDescent="0.2"/>
    <row r="41061" s="689" customFormat="1" x14ac:dyDescent="0.2"/>
    <row r="41062" s="689" customFormat="1" x14ac:dyDescent="0.2"/>
    <row r="41063" s="689" customFormat="1" x14ac:dyDescent="0.2"/>
    <row r="41064" s="689" customFormat="1" x14ac:dyDescent="0.2"/>
    <row r="41065" s="689" customFormat="1" x14ac:dyDescent="0.2"/>
    <row r="41066" s="689" customFormat="1" x14ac:dyDescent="0.2"/>
    <row r="41067" s="689" customFormat="1" x14ac:dyDescent="0.2"/>
    <row r="41068" s="689" customFormat="1" x14ac:dyDescent="0.2"/>
    <row r="41069" s="689" customFormat="1" x14ac:dyDescent="0.2"/>
    <row r="41070" s="689" customFormat="1" x14ac:dyDescent="0.2"/>
    <row r="41071" s="689" customFormat="1" x14ac:dyDescent="0.2"/>
    <row r="41072" s="689" customFormat="1" x14ac:dyDescent="0.2"/>
    <row r="41073" s="689" customFormat="1" x14ac:dyDescent="0.2"/>
    <row r="41074" s="689" customFormat="1" x14ac:dyDescent="0.2"/>
    <row r="41075" s="689" customFormat="1" x14ac:dyDescent="0.2"/>
    <row r="41076" s="689" customFormat="1" x14ac:dyDescent="0.2"/>
    <row r="41077" s="689" customFormat="1" x14ac:dyDescent="0.2"/>
    <row r="41078" s="689" customFormat="1" x14ac:dyDescent="0.2"/>
    <row r="41079" s="689" customFormat="1" x14ac:dyDescent="0.2"/>
    <row r="41080" s="689" customFormat="1" x14ac:dyDescent="0.2"/>
    <row r="41081" s="689" customFormat="1" x14ac:dyDescent="0.2"/>
    <row r="41082" s="689" customFormat="1" x14ac:dyDescent="0.2"/>
    <row r="41083" s="689" customFormat="1" x14ac:dyDescent="0.2"/>
    <row r="41084" s="689" customFormat="1" x14ac:dyDescent="0.2"/>
    <row r="41085" s="689" customFormat="1" x14ac:dyDescent="0.2"/>
    <row r="41086" s="689" customFormat="1" x14ac:dyDescent="0.2"/>
    <row r="41087" s="689" customFormat="1" x14ac:dyDescent="0.2"/>
    <row r="41088" s="689" customFormat="1" x14ac:dyDescent="0.2"/>
    <row r="41089" s="689" customFormat="1" x14ac:dyDescent="0.2"/>
    <row r="41090" s="689" customFormat="1" x14ac:dyDescent="0.2"/>
    <row r="41091" s="689" customFormat="1" x14ac:dyDescent="0.2"/>
    <row r="41092" s="689" customFormat="1" x14ac:dyDescent="0.2"/>
    <row r="41093" s="689" customFormat="1" x14ac:dyDescent="0.2"/>
    <row r="41094" s="689" customFormat="1" x14ac:dyDescent="0.2"/>
    <row r="41095" s="689" customFormat="1" x14ac:dyDescent="0.2"/>
    <row r="41096" s="689" customFormat="1" x14ac:dyDescent="0.2"/>
    <row r="41097" s="689" customFormat="1" x14ac:dyDescent="0.2"/>
    <row r="41098" s="689" customFormat="1" x14ac:dyDescent="0.2"/>
    <row r="41099" s="689" customFormat="1" x14ac:dyDescent="0.2"/>
    <row r="41100" s="689" customFormat="1" x14ac:dyDescent="0.2"/>
    <row r="41101" s="689" customFormat="1" x14ac:dyDescent="0.2"/>
    <row r="41102" s="689" customFormat="1" x14ac:dyDescent="0.2"/>
    <row r="41103" s="689" customFormat="1" x14ac:dyDescent="0.2"/>
    <row r="41104" s="689" customFormat="1" x14ac:dyDescent="0.2"/>
    <row r="41105" s="689" customFormat="1" x14ac:dyDescent="0.2"/>
    <row r="41106" s="689" customFormat="1" x14ac:dyDescent="0.2"/>
    <row r="41107" s="689" customFormat="1" x14ac:dyDescent="0.2"/>
    <row r="41108" s="689" customFormat="1" x14ac:dyDescent="0.2"/>
    <row r="41109" s="689" customFormat="1" x14ac:dyDescent="0.2"/>
    <row r="41110" s="689" customFormat="1" x14ac:dyDescent="0.2"/>
    <row r="41111" s="689" customFormat="1" x14ac:dyDescent="0.2"/>
    <row r="41112" s="689" customFormat="1" x14ac:dyDescent="0.2"/>
    <row r="41113" s="689" customFormat="1" x14ac:dyDescent="0.2"/>
    <row r="41114" s="689" customFormat="1" x14ac:dyDescent="0.2"/>
    <row r="41115" s="689" customFormat="1" x14ac:dyDescent="0.2"/>
    <row r="41116" s="689" customFormat="1" x14ac:dyDescent="0.2"/>
    <row r="41117" s="689" customFormat="1" x14ac:dyDescent="0.2"/>
    <row r="41118" s="689" customFormat="1" x14ac:dyDescent="0.2"/>
    <row r="41119" s="689" customFormat="1" x14ac:dyDescent="0.2"/>
    <row r="41120" s="689" customFormat="1" x14ac:dyDescent="0.2"/>
    <row r="41121" s="689" customFormat="1" x14ac:dyDescent="0.2"/>
    <row r="41122" s="689" customFormat="1" x14ac:dyDescent="0.2"/>
    <row r="41123" s="689" customFormat="1" x14ac:dyDescent="0.2"/>
    <row r="41124" s="689" customFormat="1" x14ac:dyDescent="0.2"/>
    <row r="41125" s="689" customFormat="1" x14ac:dyDescent="0.2"/>
    <row r="41126" s="689" customFormat="1" x14ac:dyDescent="0.2"/>
    <row r="41127" s="689" customFormat="1" x14ac:dyDescent="0.2"/>
    <row r="41128" s="689" customFormat="1" x14ac:dyDescent="0.2"/>
    <row r="41129" s="689" customFormat="1" x14ac:dyDescent="0.2"/>
    <row r="41130" s="689" customFormat="1" x14ac:dyDescent="0.2"/>
    <row r="41131" s="689" customFormat="1" x14ac:dyDescent="0.2"/>
    <row r="41132" s="689" customFormat="1" x14ac:dyDescent="0.2"/>
    <row r="41133" s="689" customFormat="1" x14ac:dyDescent="0.2"/>
    <row r="41134" s="689" customFormat="1" x14ac:dyDescent="0.2"/>
    <row r="41135" s="689" customFormat="1" x14ac:dyDescent="0.2"/>
    <row r="41136" s="689" customFormat="1" x14ac:dyDescent="0.2"/>
    <row r="41137" s="689" customFormat="1" x14ac:dyDescent="0.2"/>
    <row r="41138" s="689" customFormat="1" x14ac:dyDescent="0.2"/>
    <row r="41139" s="689" customFormat="1" x14ac:dyDescent="0.2"/>
    <row r="41140" s="689" customFormat="1" x14ac:dyDescent="0.2"/>
    <row r="41141" s="689" customFormat="1" x14ac:dyDescent="0.2"/>
    <row r="41142" s="689" customFormat="1" x14ac:dyDescent="0.2"/>
    <row r="41143" s="689" customFormat="1" x14ac:dyDescent="0.2"/>
    <row r="41144" s="689" customFormat="1" x14ac:dyDescent="0.2"/>
    <row r="41145" s="689" customFormat="1" x14ac:dyDescent="0.2"/>
    <row r="41146" s="689" customFormat="1" x14ac:dyDescent="0.2"/>
    <row r="41147" s="689" customFormat="1" x14ac:dyDescent="0.2"/>
    <row r="41148" s="689" customFormat="1" x14ac:dyDescent="0.2"/>
    <row r="41149" s="689" customFormat="1" x14ac:dyDescent="0.2"/>
    <row r="41150" s="689" customFormat="1" x14ac:dyDescent="0.2"/>
    <row r="41151" s="689" customFormat="1" x14ac:dyDescent="0.2"/>
    <row r="41152" s="689" customFormat="1" x14ac:dyDescent="0.2"/>
    <row r="41153" s="689" customFormat="1" x14ac:dyDescent="0.2"/>
    <row r="41154" s="689" customFormat="1" x14ac:dyDescent="0.2"/>
    <row r="41155" s="689" customFormat="1" x14ac:dyDescent="0.2"/>
    <row r="41156" s="689" customFormat="1" x14ac:dyDescent="0.2"/>
    <row r="41157" s="689" customFormat="1" x14ac:dyDescent="0.2"/>
    <row r="41158" s="689" customFormat="1" x14ac:dyDescent="0.2"/>
    <row r="41159" s="689" customFormat="1" x14ac:dyDescent="0.2"/>
    <row r="41160" s="689" customFormat="1" x14ac:dyDescent="0.2"/>
    <row r="41161" s="689" customFormat="1" x14ac:dyDescent="0.2"/>
    <row r="41162" s="689" customFormat="1" x14ac:dyDescent="0.2"/>
    <row r="41163" s="689" customFormat="1" x14ac:dyDescent="0.2"/>
    <row r="41164" s="689" customFormat="1" x14ac:dyDescent="0.2"/>
    <row r="41165" s="689" customFormat="1" x14ac:dyDescent="0.2"/>
    <row r="41166" s="689" customFormat="1" x14ac:dyDescent="0.2"/>
    <row r="41167" s="689" customFormat="1" x14ac:dyDescent="0.2"/>
    <row r="41168" s="689" customFormat="1" x14ac:dyDescent="0.2"/>
    <row r="41169" s="689" customFormat="1" x14ac:dyDescent="0.2"/>
    <row r="41170" s="689" customFormat="1" x14ac:dyDescent="0.2"/>
    <row r="41171" s="689" customFormat="1" x14ac:dyDescent="0.2"/>
    <row r="41172" s="689" customFormat="1" x14ac:dyDescent="0.2"/>
    <row r="41173" s="689" customFormat="1" x14ac:dyDescent="0.2"/>
    <row r="41174" s="689" customFormat="1" x14ac:dyDescent="0.2"/>
    <row r="41175" s="689" customFormat="1" x14ac:dyDescent="0.2"/>
    <row r="41176" s="689" customFormat="1" x14ac:dyDescent="0.2"/>
    <row r="41177" s="689" customFormat="1" x14ac:dyDescent="0.2"/>
    <row r="41178" s="689" customFormat="1" x14ac:dyDescent="0.2"/>
    <row r="41179" s="689" customFormat="1" x14ac:dyDescent="0.2"/>
    <row r="41180" s="689" customFormat="1" x14ac:dyDescent="0.2"/>
    <row r="41181" s="689" customFormat="1" x14ac:dyDescent="0.2"/>
    <row r="41182" s="689" customFormat="1" x14ac:dyDescent="0.2"/>
    <row r="41183" s="689" customFormat="1" x14ac:dyDescent="0.2"/>
    <row r="41184" s="689" customFormat="1" x14ac:dyDescent="0.2"/>
    <row r="41185" s="689" customFormat="1" x14ac:dyDescent="0.2"/>
    <row r="41186" s="689" customFormat="1" x14ac:dyDescent="0.2"/>
    <row r="41187" s="689" customFormat="1" x14ac:dyDescent="0.2"/>
    <row r="41188" s="689" customFormat="1" x14ac:dyDescent="0.2"/>
    <row r="41189" s="689" customFormat="1" x14ac:dyDescent="0.2"/>
    <row r="41190" s="689" customFormat="1" x14ac:dyDescent="0.2"/>
    <row r="41191" s="689" customFormat="1" x14ac:dyDescent="0.2"/>
    <row r="41192" s="689" customFormat="1" x14ac:dyDescent="0.2"/>
    <row r="41193" s="689" customFormat="1" x14ac:dyDescent="0.2"/>
    <row r="41194" s="689" customFormat="1" x14ac:dyDescent="0.2"/>
    <row r="41195" s="689" customFormat="1" x14ac:dyDescent="0.2"/>
    <row r="41196" s="689" customFormat="1" x14ac:dyDescent="0.2"/>
    <row r="41197" s="689" customFormat="1" x14ac:dyDescent="0.2"/>
    <row r="41198" s="689" customFormat="1" x14ac:dyDescent="0.2"/>
    <row r="41199" s="689" customFormat="1" x14ac:dyDescent="0.2"/>
    <row r="41200" s="689" customFormat="1" x14ac:dyDescent="0.2"/>
    <row r="41201" s="689" customFormat="1" x14ac:dyDescent="0.2"/>
    <row r="41202" s="689" customFormat="1" x14ac:dyDescent="0.2"/>
    <row r="41203" s="689" customFormat="1" x14ac:dyDescent="0.2"/>
    <row r="41204" s="689" customFormat="1" x14ac:dyDescent="0.2"/>
    <row r="41205" s="689" customFormat="1" x14ac:dyDescent="0.2"/>
    <row r="41206" s="689" customFormat="1" x14ac:dyDescent="0.2"/>
    <row r="41207" s="689" customFormat="1" x14ac:dyDescent="0.2"/>
    <row r="41208" s="689" customFormat="1" x14ac:dyDescent="0.2"/>
    <row r="41209" s="689" customFormat="1" x14ac:dyDescent="0.2"/>
    <row r="41210" s="689" customFormat="1" x14ac:dyDescent="0.2"/>
    <row r="41211" s="689" customFormat="1" x14ac:dyDescent="0.2"/>
    <row r="41212" s="689" customFormat="1" x14ac:dyDescent="0.2"/>
    <row r="41213" s="689" customFormat="1" x14ac:dyDescent="0.2"/>
    <row r="41214" s="689" customFormat="1" x14ac:dyDescent="0.2"/>
    <row r="41215" s="689" customFormat="1" x14ac:dyDescent="0.2"/>
    <row r="41216" s="689" customFormat="1" x14ac:dyDescent="0.2"/>
    <row r="41217" s="689" customFormat="1" x14ac:dyDescent="0.2"/>
    <row r="41218" s="689" customFormat="1" x14ac:dyDescent="0.2"/>
    <row r="41219" s="689" customFormat="1" x14ac:dyDescent="0.2"/>
    <row r="41220" s="689" customFormat="1" x14ac:dyDescent="0.2"/>
    <row r="41221" s="689" customFormat="1" x14ac:dyDescent="0.2"/>
    <row r="41222" s="689" customFormat="1" x14ac:dyDescent="0.2"/>
    <row r="41223" s="689" customFormat="1" x14ac:dyDescent="0.2"/>
    <row r="41224" s="689" customFormat="1" x14ac:dyDescent="0.2"/>
    <row r="41225" s="689" customFormat="1" x14ac:dyDescent="0.2"/>
    <row r="41226" s="689" customFormat="1" x14ac:dyDescent="0.2"/>
    <row r="41227" s="689" customFormat="1" x14ac:dyDescent="0.2"/>
    <row r="41228" s="689" customFormat="1" x14ac:dyDescent="0.2"/>
    <row r="41229" s="689" customFormat="1" x14ac:dyDescent="0.2"/>
    <row r="41230" s="689" customFormat="1" x14ac:dyDescent="0.2"/>
    <row r="41231" s="689" customFormat="1" x14ac:dyDescent="0.2"/>
    <row r="41232" s="689" customFormat="1" x14ac:dyDescent="0.2"/>
    <row r="41233" s="689" customFormat="1" x14ac:dyDescent="0.2"/>
    <row r="41234" s="689" customFormat="1" x14ac:dyDescent="0.2"/>
    <row r="41235" s="689" customFormat="1" x14ac:dyDescent="0.2"/>
    <row r="41236" s="689" customFormat="1" x14ac:dyDescent="0.2"/>
    <row r="41237" s="689" customFormat="1" x14ac:dyDescent="0.2"/>
    <row r="41238" s="689" customFormat="1" x14ac:dyDescent="0.2"/>
    <row r="41239" s="689" customFormat="1" x14ac:dyDescent="0.2"/>
    <row r="41240" s="689" customFormat="1" x14ac:dyDescent="0.2"/>
    <row r="41241" s="689" customFormat="1" x14ac:dyDescent="0.2"/>
    <row r="41242" s="689" customFormat="1" x14ac:dyDescent="0.2"/>
    <row r="41243" s="689" customFormat="1" x14ac:dyDescent="0.2"/>
    <row r="41244" s="689" customFormat="1" x14ac:dyDescent="0.2"/>
    <row r="41245" s="689" customFormat="1" x14ac:dyDescent="0.2"/>
    <row r="41246" s="689" customFormat="1" x14ac:dyDescent="0.2"/>
    <row r="41247" s="689" customFormat="1" x14ac:dyDescent="0.2"/>
    <row r="41248" s="689" customFormat="1" x14ac:dyDescent="0.2"/>
    <row r="41249" s="689" customFormat="1" x14ac:dyDescent="0.2"/>
    <row r="41250" s="689" customFormat="1" x14ac:dyDescent="0.2"/>
    <row r="41251" s="689" customFormat="1" x14ac:dyDescent="0.2"/>
    <row r="41252" s="689" customFormat="1" x14ac:dyDescent="0.2"/>
    <row r="41253" s="689" customFormat="1" x14ac:dyDescent="0.2"/>
    <row r="41254" s="689" customFormat="1" x14ac:dyDescent="0.2"/>
    <row r="41255" s="689" customFormat="1" x14ac:dyDescent="0.2"/>
    <row r="41256" s="689" customFormat="1" x14ac:dyDescent="0.2"/>
    <row r="41257" s="689" customFormat="1" x14ac:dyDescent="0.2"/>
    <row r="41258" s="689" customFormat="1" x14ac:dyDescent="0.2"/>
    <row r="41259" s="689" customFormat="1" x14ac:dyDescent="0.2"/>
    <row r="41260" s="689" customFormat="1" x14ac:dyDescent="0.2"/>
    <row r="41261" s="689" customFormat="1" x14ac:dyDescent="0.2"/>
    <row r="41262" s="689" customFormat="1" x14ac:dyDescent="0.2"/>
    <row r="41263" s="689" customFormat="1" x14ac:dyDescent="0.2"/>
    <row r="41264" s="689" customFormat="1" x14ac:dyDescent="0.2"/>
    <row r="41265" s="689" customFormat="1" x14ac:dyDescent="0.2"/>
    <row r="41266" s="689" customFormat="1" x14ac:dyDescent="0.2"/>
    <row r="41267" s="689" customFormat="1" x14ac:dyDescent="0.2"/>
    <row r="41268" s="689" customFormat="1" x14ac:dyDescent="0.2"/>
    <row r="41269" s="689" customFormat="1" x14ac:dyDescent="0.2"/>
    <row r="41270" s="689" customFormat="1" x14ac:dyDescent="0.2"/>
    <row r="41271" s="689" customFormat="1" x14ac:dyDescent="0.2"/>
    <row r="41272" s="689" customFormat="1" x14ac:dyDescent="0.2"/>
    <row r="41273" s="689" customFormat="1" x14ac:dyDescent="0.2"/>
    <row r="41274" s="689" customFormat="1" x14ac:dyDescent="0.2"/>
    <row r="41275" s="689" customFormat="1" x14ac:dyDescent="0.2"/>
    <row r="41276" s="689" customFormat="1" x14ac:dyDescent="0.2"/>
    <row r="41277" s="689" customFormat="1" x14ac:dyDescent="0.2"/>
    <row r="41278" s="689" customFormat="1" x14ac:dyDescent="0.2"/>
    <row r="41279" s="689" customFormat="1" x14ac:dyDescent="0.2"/>
    <row r="41280" s="689" customFormat="1" x14ac:dyDescent="0.2"/>
    <row r="41281" s="689" customFormat="1" x14ac:dyDescent="0.2"/>
    <row r="41282" s="689" customFormat="1" x14ac:dyDescent="0.2"/>
    <row r="41283" s="689" customFormat="1" x14ac:dyDescent="0.2"/>
    <row r="41284" s="689" customFormat="1" x14ac:dyDescent="0.2"/>
    <row r="41285" s="689" customFormat="1" x14ac:dyDescent="0.2"/>
    <row r="41286" s="689" customFormat="1" x14ac:dyDescent="0.2"/>
    <row r="41287" s="689" customFormat="1" x14ac:dyDescent="0.2"/>
    <row r="41288" s="689" customFormat="1" x14ac:dyDescent="0.2"/>
    <row r="41289" s="689" customFormat="1" x14ac:dyDescent="0.2"/>
    <row r="41290" s="689" customFormat="1" x14ac:dyDescent="0.2"/>
    <row r="41291" s="689" customFormat="1" x14ac:dyDescent="0.2"/>
    <row r="41292" s="689" customFormat="1" x14ac:dyDescent="0.2"/>
    <row r="41293" s="689" customFormat="1" x14ac:dyDescent="0.2"/>
    <row r="41294" s="689" customFormat="1" x14ac:dyDescent="0.2"/>
    <row r="41295" s="689" customFormat="1" x14ac:dyDescent="0.2"/>
    <row r="41296" s="689" customFormat="1" x14ac:dyDescent="0.2"/>
    <row r="41297" s="689" customFormat="1" x14ac:dyDescent="0.2"/>
    <row r="41298" s="689" customFormat="1" x14ac:dyDescent="0.2"/>
    <row r="41299" s="689" customFormat="1" x14ac:dyDescent="0.2"/>
    <row r="41300" s="689" customFormat="1" x14ac:dyDescent="0.2"/>
    <row r="41301" s="689" customFormat="1" x14ac:dyDescent="0.2"/>
    <row r="41302" s="689" customFormat="1" x14ac:dyDescent="0.2"/>
    <row r="41303" s="689" customFormat="1" x14ac:dyDescent="0.2"/>
    <row r="41304" s="689" customFormat="1" x14ac:dyDescent="0.2"/>
    <row r="41305" s="689" customFormat="1" x14ac:dyDescent="0.2"/>
    <row r="41306" s="689" customFormat="1" x14ac:dyDescent="0.2"/>
    <row r="41307" s="689" customFormat="1" x14ac:dyDescent="0.2"/>
    <row r="41308" s="689" customFormat="1" x14ac:dyDescent="0.2"/>
    <row r="41309" s="689" customFormat="1" x14ac:dyDescent="0.2"/>
    <row r="41310" s="689" customFormat="1" x14ac:dyDescent="0.2"/>
    <row r="41311" s="689" customFormat="1" x14ac:dyDescent="0.2"/>
    <row r="41312" s="689" customFormat="1" x14ac:dyDescent="0.2"/>
    <row r="41313" s="689" customFormat="1" x14ac:dyDescent="0.2"/>
    <row r="41314" s="689" customFormat="1" x14ac:dyDescent="0.2"/>
    <row r="41315" s="689" customFormat="1" x14ac:dyDescent="0.2"/>
    <row r="41316" s="689" customFormat="1" x14ac:dyDescent="0.2"/>
    <row r="41317" s="689" customFormat="1" x14ac:dyDescent="0.2"/>
    <row r="41318" s="689" customFormat="1" x14ac:dyDescent="0.2"/>
    <row r="41319" s="689" customFormat="1" x14ac:dyDescent="0.2"/>
    <row r="41320" s="689" customFormat="1" x14ac:dyDescent="0.2"/>
    <row r="41321" s="689" customFormat="1" x14ac:dyDescent="0.2"/>
    <row r="41322" s="689" customFormat="1" x14ac:dyDescent="0.2"/>
    <row r="41323" s="689" customFormat="1" x14ac:dyDescent="0.2"/>
    <row r="41324" s="689" customFormat="1" x14ac:dyDescent="0.2"/>
    <row r="41325" s="689" customFormat="1" x14ac:dyDescent="0.2"/>
    <row r="41326" s="689" customFormat="1" x14ac:dyDescent="0.2"/>
    <row r="41327" s="689" customFormat="1" x14ac:dyDescent="0.2"/>
    <row r="41328" s="689" customFormat="1" x14ac:dyDescent="0.2"/>
    <row r="41329" s="689" customFormat="1" x14ac:dyDescent="0.2"/>
    <row r="41330" s="689" customFormat="1" x14ac:dyDescent="0.2"/>
    <row r="41331" s="689" customFormat="1" x14ac:dyDescent="0.2"/>
    <row r="41332" s="689" customFormat="1" x14ac:dyDescent="0.2"/>
    <row r="41333" s="689" customFormat="1" x14ac:dyDescent="0.2"/>
    <row r="41334" s="689" customFormat="1" x14ac:dyDescent="0.2"/>
    <row r="41335" s="689" customFormat="1" x14ac:dyDescent="0.2"/>
    <row r="41336" s="689" customFormat="1" x14ac:dyDescent="0.2"/>
    <row r="41337" s="689" customFormat="1" x14ac:dyDescent="0.2"/>
    <row r="41338" s="689" customFormat="1" x14ac:dyDescent="0.2"/>
    <row r="41339" s="689" customFormat="1" x14ac:dyDescent="0.2"/>
    <row r="41340" s="689" customFormat="1" x14ac:dyDescent="0.2"/>
    <row r="41341" s="689" customFormat="1" x14ac:dyDescent="0.2"/>
    <row r="41342" s="689" customFormat="1" x14ac:dyDescent="0.2"/>
    <row r="41343" s="689" customFormat="1" x14ac:dyDescent="0.2"/>
    <row r="41344" s="689" customFormat="1" x14ac:dyDescent="0.2"/>
    <row r="41345" s="689" customFormat="1" x14ac:dyDescent="0.2"/>
    <row r="41346" s="689" customFormat="1" x14ac:dyDescent="0.2"/>
    <row r="41347" s="689" customFormat="1" x14ac:dyDescent="0.2"/>
    <row r="41348" s="689" customFormat="1" x14ac:dyDescent="0.2"/>
    <row r="41349" s="689" customFormat="1" x14ac:dyDescent="0.2"/>
    <row r="41350" s="689" customFormat="1" x14ac:dyDescent="0.2"/>
    <row r="41351" s="689" customFormat="1" x14ac:dyDescent="0.2"/>
    <row r="41352" s="689" customFormat="1" x14ac:dyDescent="0.2"/>
    <row r="41353" s="689" customFormat="1" x14ac:dyDescent="0.2"/>
    <row r="41354" s="689" customFormat="1" x14ac:dyDescent="0.2"/>
    <row r="41355" s="689" customFormat="1" x14ac:dyDescent="0.2"/>
    <row r="41356" s="689" customFormat="1" x14ac:dyDescent="0.2"/>
    <row r="41357" s="689" customFormat="1" x14ac:dyDescent="0.2"/>
    <row r="41358" s="689" customFormat="1" x14ac:dyDescent="0.2"/>
    <row r="41359" s="689" customFormat="1" x14ac:dyDescent="0.2"/>
    <row r="41360" s="689" customFormat="1" x14ac:dyDescent="0.2"/>
    <row r="41361" s="689" customFormat="1" x14ac:dyDescent="0.2"/>
    <row r="41362" s="689" customFormat="1" x14ac:dyDescent="0.2"/>
    <row r="41363" s="689" customFormat="1" x14ac:dyDescent="0.2"/>
    <row r="41364" s="689" customFormat="1" x14ac:dyDescent="0.2"/>
    <row r="41365" s="689" customFormat="1" x14ac:dyDescent="0.2"/>
    <row r="41366" s="689" customFormat="1" x14ac:dyDescent="0.2"/>
    <row r="41367" s="689" customFormat="1" x14ac:dyDescent="0.2"/>
    <row r="41368" s="689" customFormat="1" x14ac:dyDescent="0.2"/>
    <row r="41369" s="689" customFormat="1" x14ac:dyDescent="0.2"/>
    <row r="41370" s="689" customFormat="1" x14ac:dyDescent="0.2"/>
    <row r="41371" s="689" customFormat="1" x14ac:dyDescent="0.2"/>
    <row r="41372" s="689" customFormat="1" x14ac:dyDescent="0.2"/>
    <row r="41373" s="689" customFormat="1" x14ac:dyDescent="0.2"/>
    <row r="41374" s="689" customFormat="1" x14ac:dyDescent="0.2"/>
    <row r="41375" s="689" customFormat="1" x14ac:dyDescent="0.2"/>
    <row r="41376" s="689" customFormat="1" x14ac:dyDescent="0.2"/>
    <row r="41377" s="689" customFormat="1" x14ac:dyDescent="0.2"/>
    <row r="41378" s="689" customFormat="1" x14ac:dyDescent="0.2"/>
    <row r="41379" s="689" customFormat="1" x14ac:dyDescent="0.2"/>
    <row r="41380" s="689" customFormat="1" x14ac:dyDescent="0.2"/>
    <row r="41381" s="689" customFormat="1" x14ac:dyDescent="0.2"/>
    <row r="41382" s="689" customFormat="1" x14ac:dyDescent="0.2"/>
    <row r="41383" s="689" customFormat="1" x14ac:dyDescent="0.2"/>
    <row r="41384" s="689" customFormat="1" x14ac:dyDescent="0.2"/>
    <row r="41385" s="689" customFormat="1" x14ac:dyDescent="0.2"/>
    <row r="41386" s="689" customFormat="1" x14ac:dyDescent="0.2"/>
    <row r="41387" s="689" customFormat="1" x14ac:dyDescent="0.2"/>
    <row r="41388" s="689" customFormat="1" x14ac:dyDescent="0.2"/>
    <row r="41389" s="689" customFormat="1" x14ac:dyDescent="0.2"/>
    <row r="41390" s="689" customFormat="1" x14ac:dyDescent="0.2"/>
    <row r="41391" s="689" customFormat="1" x14ac:dyDescent="0.2"/>
    <row r="41392" s="689" customFormat="1" x14ac:dyDescent="0.2"/>
    <row r="41393" s="689" customFormat="1" x14ac:dyDescent="0.2"/>
    <row r="41394" s="689" customFormat="1" x14ac:dyDescent="0.2"/>
    <row r="41395" s="689" customFormat="1" x14ac:dyDescent="0.2"/>
    <row r="41396" s="689" customFormat="1" x14ac:dyDescent="0.2"/>
    <row r="41397" s="689" customFormat="1" x14ac:dyDescent="0.2"/>
    <row r="41398" s="689" customFormat="1" x14ac:dyDescent="0.2"/>
    <row r="41399" s="689" customFormat="1" x14ac:dyDescent="0.2"/>
    <row r="41400" s="689" customFormat="1" x14ac:dyDescent="0.2"/>
    <row r="41401" s="689" customFormat="1" x14ac:dyDescent="0.2"/>
    <row r="41402" s="689" customFormat="1" x14ac:dyDescent="0.2"/>
    <row r="41403" s="689" customFormat="1" x14ac:dyDescent="0.2"/>
    <row r="41404" s="689" customFormat="1" x14ac:dyDescent="0.2"/>
    <row r="41405" s="689" customFormat="1" x14ac:dyDescent="0.2"/>
    <row r="41406" s="689" customFormat="1" x14ac:dyDescent="0.2"/>
    <row r="41407" s="689" customFormat="1" x14ac:dyDescent="0.2"/>
    <row r="41408" s="689" customFormat="1" x14ac:dyDescent="0.2"/>
    <row r="41409" s="689" customFormat="1" x14ac:dyDescent="0.2"/>
    <row r="41410" s="689" customFormat="1" x14ac:dyDescent="0.2"/>
    <row r="41411" s="689" customFormat="1" x14ac:dyDescent="0.2"/>
    <row r="41412" s="689" customFormat="1" x14ac:dyDescent="0.2"/>
    <row r="41413" s="689" customFormat="1" x14ac:dyDescent="0.2"/>
    <row r="41414" s="689" customFormat="1" x14ac:dyDescent="0.2"/>
    <row r="41415" s="689" customFormat="1" x14ac:dyDescent="0.2"/>
    <row r="41416" s="689" customFormat="1" x14ac:dyDescent="0.2"/>
    <row r="41417" s="689" customFormat="1" x14ac:dyDescent="0.2"/>
    <row r="41418" s="689" customFormat="1" x14ac:dyDescent="0.2"/>
    <row r="41419" s="689" customFormat="1" x14ac:dyDescent="0.2"/>
    <row r="41420" s="689" customFormat="1" x14ac:dyDescent="0.2"/>
    <row r="41421" s="689" customFormat="1" x14ac:dyDescent="0.2"/>
    <row r="41422" s="689" customFormat="1" x14ac:dyDescent="0.2"/>
    <row r="41423" s="689" customFormat="1" x14ac:dyDescent="0.2"/>
    <row r="41424" s="689" customFormat="1" x14ac:dyDescent="0.2"/>
    <row r="41425" s="689" customFormat="1" x14ac:dyDescent="0.2"/>
    <row r="41426" s="689" customFormat="1" x14ac:dyDescent="0.2"/>
    <row r="41427" s="689" customFormat="1" x14ac:dyDescent="0.2"/>
    <row r="41428" s="689" customFormat="1" x14ac:dyDescent="0.2"/>
    <row r="41429" s="689" customFormat="1" x14ac:dyDescent="0.2"/>
    <row r="41430" s="689" customFormat="1" x14ac:dyDescent="0.2"/>
    <row r="41431" s="689" customFormat="1" x14ac:dyDescent="0.2"/>
    <row r="41432" s="689" customFormat="1" x14ac:dyDescent="0.2"/>
    <row r="41433" s="689" customFormat="1" x14ac:dyDescent="0.2"/>
    <row r="41434" s="689" customFormat="1" x14ac:dyDescent="0.2"/>
    <row r="41435" s="689" customFormat="1" x14ac:dyDescent="0.2"/>
    <row r="41436" s="689" customFormat="1" x14ac:dyDescent="0.2"/>
    <row r="41437" s="689" customFormat="1" x14ac:dyDescent="0.2"/>
    <row r="41438" s="689" customFormat="1" x14ac:dyDescent="0.2"/>
    <row r="41439" s="689" customFormat="1" x14ac:dyDescent="0.2"/>
    <row r="41440" s="689" customFormat="1" x14ac:dyDescent="0.2"/>
    <row r="41441" s="689" customFormat="1" x14ac:dyDescent="0.2"/>
    <row r="41442" s="689" customFormat="1" x14ac:dyDescent="0.2"/>
    <row r="41443" s="689" customFormat="1" x14ac:dyDescent="0.2"/>
    <row r="41444" s="689" customFormat="1" x14ac:dyDescent="0.2"/>
    <row r="41445" s="689" customFormat="1" x14ac:dyDescent="0.2"/>
    <row r="41446" s="689" customFormat="1" x14ac:dyDescent="0.2"/>
    <row r="41447" s="689" customFormat="1" x14ac:dyDescent="0.2"/>
    <row r="41448" s="689" customFormat="1" x14ac:dyDescent="0.2"/>
    <row r="41449" s="689" customFormat="1" x14ac:dyDescent="0.2"/>
    <row r="41450" s="689" customFormat="1" x14ac:dyDescent="0.2"/>
    <row r="41451" s="689" customFormat="1" x14ac:dyDescent="0.2"/>
    <row r="41452" s="689" customFormat="1" x14ac:dyDescent="0.2"/>
    <row r="41453" s="689" customFormat="1" x14ac:dyDescent="0.2"/>
    <row r="41454" s="689" customFormat="1" x14ac:dyDescent="0.2"/>
    <row r="41455" s="689" customFormat="1" x14ac:dyDescent="0.2"/>
    <row r="41456" s="689" customFormat="1" x14ac:dyDescent="0.2"/>
    <row r="41457" s="689" customFormat="1" x14ac:dyDescent="0.2"/>
    <row r="41458" s="689" customFormat="1" x14ac:dyDescent="0.2"/>
    <row r="41459" s="689" customFormat="1" x14ac:dyDescent="0.2"/>
    <row r="41460" s="689" customFormat="1" x14ac:dyDescent="0.2"/>
    <row r="41461" s="689" customFormat="1" x14ac:dyDescent="0.2"/>
    <row r="41462" s="689" customFormat="1" x14ac:dyDescent="0.2"/>
    <row r="41463" s="689" customFormat="1" x14ac:dyDescent="0.2"/>
    <row r="41464" s="689" customFormat="1" x14ac:dyDescent="0.2"/>
    <row r="41465" s="689" customFormat="1" x14ac:dyDescent="0.2"/>
    <row r="41466" s="689" customFormat="1" x14ac:dyDescent="0.2"/>
    <row r="41467" s="689" customFormat="1" x14ac:dyDescent="0.2"/>
    <row r="41468" s="689" customFormat="1" x14ac:dyDescent="0.2"/>
    <row r="41469" s="689" customFormat="1" x14ac:dyDescent="0.2"/>
    <row r="41470" s="689" customFormat="1" x14ac:dyDescent="0.2"/>
    <row r="41471" s="689" customFormat="1" x14ac:dyDescent="0.2"/>
    <row r="41472" s="689" customFormat="1" x14ac:dyDescent="0.2"/>
    <row r="41473" s="689" customFormat="1" x14ac:dyDescent="0.2"/>
    <row r="41474" s="689" customFormat="1" x14ac:dyDescent="0.2"/>
    <row r="41475" s="689" customFormat="1" x14ac:dyDescent="0.2"/>
    <row r="41476" s="689" customFormat="1" x14ac:dyDescent="0.2"/>
    <row r="41477" s="689" customFormat="1" x14ac:dyDescent="0.2"/>
    <row r="41478" s="689" customFormat="1" x14ac:dyDescent="0.2"/>
    <row r="41479" s="689" customFormat="1" x14ac:dyDescent="0.2"/>
    <row r="41480" s="689" customFormat="1" x14ac:dyDescent="0.2"/>
    <row r="41481" s="689" customFormat="1" x14ac:dyDescent="0.2"/>
    <row r="41482" s="689" customFormat="1" x14ac:dyDescent="0.2"/>
    <row r="41483" s="689" customFormat="1" x14ac:dyDescent="0.2"/>
    <row r="41484" s="689" customFormat="1" x14ac:dyDescent="0.2"/>
    <row r="41485" s="689" customFormat="1" x14ac:dyDescent="0.2"/>
    <row r="41486" s="689" customFormat="1" x14ac:dyDescent="0.2"/>
    <row r="41487" s="689" customFormat="1" x14ac:dyDescent="0.2"/>
    <row r="41488" s="689" customFormat="1" x14ac:dyDescent="0.2"/>
    <row r="41489" s="689" customFormat="1" x14ac:dyDescent="0.2"/>
    <row r="41490" s="689" customFormat="1" x14ac:dyDescent="0.2"/>
    <row r="41491" s="689" customFormat="1" x14ac:dyDescent="0.2"/>
    <row r="41492" s="689" customFormat="1" x14ac:dyDescent="0.2"/>
    <row r="41493" s="689" customFormat="1" x14ac:dyDescent="0.2"/>
    <row r="41494" s="689" customFormat="1" x14ac:dyDescent="0.2"/>
    <row r="41495" s="689" customFormat="1" x14ac:dyDescent="0.2"/>
    <row r="41496" s="689" customFormat="1" x14ac:dyDescent="0.2"/>
    <row r="41497" s="689" customFormat="1" x14ac:dyDescent="0.2"/>
    <row r="41498" s="689" customFormat="1" x14ac:dyDescent="0.2"/>
    <row r="41499" s="689" customFormat="1" x14ac:dyDescent="0.2"/>
    <row r="41500" s="689" customFormat="1" x14ac:dyDescent="0.2"/>
    <row r="41501" s="689" customFormat="1" x14ac:dyDescent="0.2"/>
    <row r="41502" s="689" customFormat="1" x14ac:dyDescent="0.2"/>
    <row r="41503" s="689" customFormat="1" x14ac:dyDescent="0.2"/>
    <row r="41504" s="689" customFormat="1" x14ac:dyDescent="0.2"/>
    <row r="41505" s="689" customFormat="1" x14ac:dyDescent="0.2"/>
    <row r="41506" s="689" customFormat="1" x14ac:dyDescent="0.2"/>
    <row r="41507" s="689" customFormat="1" x14ac:dyDescent="0.2"/>
    <row r="41508" s="689" customFormat="1" x14ac:dyDescent="0.2"/>
    <row r="41509" s="689" customFormat="1" x14ac:dyDescent="0.2"/>
    <row r="41510" s="689" customFormat="1" x14ac:dyDescent="0.2"/>
    <row r="41511" s="689" customFormat="1" x14ac:dyDescent="0.2"/>
    <row r="41512" s="689" customFormat="1" x14ac:dyDescent="0.2"/>
    <row r="41513" s="689" customFormat="1" x14ac:dyDescent="0.2"/>
    <row r="41514" s="689" customFormat="1" x14ac:dyDescent="0.2"/>
    <row r="41515" s="689" customFormat="1" x14ac:dyDescent="0.2"/>
    <row r="41516" s="689" customFormat="1" x14ac:dyDescent="0.2"/>
    <row r="41517" s="689" customFormat="1" x14ac:dyDescent="0.2"/>
    <row r="41518" s="689" customFormat="1" x14ac:dyDescent="0.2"/>
    <row r="41519" s="689" customFormat="1" x14ac:dyDescent="0.2"/>
    <row r="41520" s="689" customFormat="1" x14ac:dyDescent="0.2"/>
    <row r="41521" s="689" customFormat="1" x14ac:dyDescent="0.2"/>
    <row r="41522" s="689" customFormat="1" x14ac:dyDescent="0.2"/>
    <row r="41523" s="689" customFormat="1" x14ac:dyDescent="0.2"/>
    <row r="41524" s="689" customFormat="1" x14ac:dyDescent="0.2"/>
    <row r="41525" s="689" customFormat="1" x14ac:dyDescent="0.2"/>
    <row r="41526" s="689" customFormat="1" x14ac:dyDescent="0.2"/>
    <row r="41527" s="689" customFormat="1" x14ac:dyDescent="0.2"/>
    <row r="41528" s="689" customFormat="1" x14ac:dyDescent="0.2"/>
    <row r="41529" s="689" customFormat="1" x14ac:dyDescent="0.2"/>
    <row r="41530" s="689" customFormat="1" x14ac:dyDescent="0.2"/>
    <row r="41531" s="689" customFormat="1" x14ac:dyDescent="0.2"/>
    <row r="41532" s="689" customFormat="1" x14ac:dyDescent="0.2"/>
    <row r="41533" s="689" customFormat="1" x14ac:dyDescent="0.2"/>
    <row r="41534" s="689" customFormat="1" x14ac:dyDescent="0.2"/>
    <row r="41535" s="689" customFormat="1" x14ac:dyDescent="0.2"/>
    <row r="41536" s="689" customFormat="1" x14ac:dyDescent="0.2"/>
    <row r="41537" s="689" customFormat="1" x14ac:dyDescent="0.2"/>
    <row r="41538" s="689" customFormat="1" x14ac:dyDescent="0.2"/>
    <row r="41539" s="689" customFormat="1" x14ac:dyDescent="0.2"/>
    <row r="41540" s="689" customFormat="1" x14ac:dyDescent="0.2"/>
    <row r="41541" s="689" customFormat="1" x14ac:dyDescent="0.2"/>
    <row r="41542" s="689" customFormat="1" x14ac:dyDescent="0.2"/>
    <row r="41543" s="689" customFormat="1" x14ac:dyDescent="0.2"/>
    <row r="41544" s="689" customFormat="1" x14ac:dyDescent="0.2"/>
    <row r="41545" s="689" customFormat="1" x14ac:dyDescent="0.2"/>
    <row r="41546" s="689" customFormat="1" x14ac:dyDescent="0.2"/>
    <row r="41547" s="689" customFormat="1" x14ac:dyDescent="0.2"/>
    <row r="41548" s="689" customFormat="1" x14ac:dyDescent="0.2"/>
    <row r="41549" s="689" customFormat="1" x14ac:dyDescent="0.2"/>
    <row r="41550" s="689" customFormat="1" x14ac:dyDescent="0.2"/>
    <row r="41551" s="689" customFormat="1" x14ac:dyDescent="0.2"/>
    <row r="41552" s="689" customFormat="1" x14ac:dyDescent="0.2"/>
    <row r="41553" s="689" customFormat="1" x14ac:dyDescent="0.2"/>
    <row r="41554" s="689" customFormat="1" x14ac:dyDescent="0.2"/>
    <row r="41555" s="689" customFormat="1" x14ac:dyDescent="0.2"/>
    <row r="41556" s="689" customFormat="1" x14ac:dyDescent="0.2"/>
    <row r="41557" s="689" customFormat="1" x14ac:dyDescent="0.2"/>
    <row r="41558" s="689" customFormat="1" x14ac:dyDescent="0.2"/>
    <row r="41559" s="689" customFormat="1" x14ac:dyDescent="0.2"/>
    <row r="41560" s="689" customFormat="1" x14ac:dyDescent="0.2"/>
    <row r="41561" s="689" customFormat="1" x14ac:dyDescent="0.2"/>
    <row r="41562" s="689" customFormat="1" x14ac:dyDescent="0.2"/>
    <row r="41563" s="689" customFormat="1" x14ac:dyDescent="0.2"/>
    <row r="41564" s="689" customFormat="1" x14ac:dyDescent="0.2"/>
    <row r="41565" s="689" customFormat="1" x14ac:dyDescent="0.2"/>
    <row r="41566" s="689" customFormat="1" x14ac:dyDescent="0.2"/>
    <row r="41567" s="689" customFormat="1" x14ac:dyDescent="0.2"/>
    <row r="41568" s="689" customFormat="1" x14ac:dyDescent="0.2"/>
    <row r="41569" s="689" customFormat="1" x14ac:dyDescent="0.2"/>
    <row r="41570" s="689" customFormat="1" x14ac:dyDescent="0.2"/>
    <row r="41571" s="689" customFormat="1" x14ac:dyDescent="0.2"/>
    <row r="41572" s="689" customFormat="1" x14ac:dyDescent="0.2"/>
    <row r="41573" s="689" customFormat="1" x14ac:dyDescent="0.2"/>
    <row r="41574" s="689" customFormat="1" x14ac:dyDescent="0.2"/>
    <row r="41575" s="689" customFormat="1" x14ac:dyDescent="0.2"/>
    <row r="41576" s="689" customFormat="1" x14ac:dyDescent="0.2"/>
    <row r="41577" s="689" customFormat="1" x14ac:dyDescent="0.2"/>
    <row r="41578" s="689" customFormat="1" x14ac:dyDescent="0.2"/>
    <row r="41579" s="689" customFormat="1" x14ac:dyDescent="0.2"/>
    <row r="41580" s="689" customFormat="1" x14ac:dyDescent="0.2"/>
    <row r="41581" s="689" customFormat="1" x14ac:dyDescent="0.2"/>
    <row r="41582" s="689" customFormat="1" x14ac:dyDescent="0.2"/>
    <row r="41583" s="689" customFormat="1" x14ac:dyDescent="0.2"/>
    <row r="41584" s="689" customFormat="1" x14ac:dyDescent="0.2"/>
    <row r="41585" s="689" customFormat="1" x14ac:dyDescent="0.2"/>
    <row r="41586" s="689" customFormat="1" x14ac:dyDescent="0.2"/>
    <row r="41587" s="689" customFormat="1" x14ac:dyDescent="0.2"/>
    <row r="41588" s="689" customFormat="1" x14ac:dyDescent="0.2"/>
    <row r="41589" s="689" customFormat="1" x14ac:dyDescent="0.2"/>
    <row r="41590" s="689" customFormat="1" x14ac:dyDescent="0.2"/>
    <row r="41591" s="689" customFormat="1" x14ac:dyDescent="0.2"/>
    <row r="41592" s="689" customFormat="1" x14ac:dyDescent="0.2"/>
    <row r="41593" s="689" customFormat="1" x14ac:dyDescent="0.2"/>
    <row r="41594" s="689" customFormat="1" x14ac:dyDescent="0.2"/>
    <row r="41595" s="689" customFormat="1" x14ac:dyDescent="0.2"/>
    <row r="41596" s="689" customFormat="1" x14ac:dyDescent="0.2"/>
    <row r="41597" s="689" customFormat="1" x14ac:dyDescent="0.2"/>
    <row r="41598" s="689" customFormat="1" x14ac:dyDescent="0.2"/>
    <row r="41599" s="689" customFormat="1" x14ac:dyDescent="0.2"/>
    <row r="41600" s="689" customFormat="1" x14ac:dyDescent="0.2"/>
    <row r="41601" s="689" customFormat="1" x14ac:dyDescent="0.2"/>
    <row r="41602" s="689" customFormat="1" x14ac:dyDescent="0.2"/>
    <row r="41603" s="689" customFormat="1" x14ac:dyDescent="0.2"/>
    <row r="41604" s="689" customFormat="1" x14ac:dyDescent="0.2"/>
    <row r="41605" s="689" customFormat="1" x14ac:dyDescent="0.2"/>
    <row r="41606" s="689" customFormat="1" x14ac:dyDescent="0.2"/>
    <row r="41607" s="689" customFormat="1" x14ac:dyDescent="0.2"/>
    <row r="41608" s="689" customFormat="1" x14ac:dyDescent="0.2"/>
    <row r="41609" s="689" customFormat="1" x14ac:dyDescent="0.2"/>
    <row r="41610" s="689" customFormat="1" x14ac:dyDescent="0.2"/>
    <row r="41611" s="689" customFormat="1" x14ac:dyDescent="0.2"/>
    <row r="41612" s="689" customFormat="1" x14ac:dyDescent="0.2"/>
    <row r="41613" s="689" customFormat="1" x14ac:dyDescent="0.2"/>
    <row r="41614" s="689" customFormat="1" x14ac:dyDescent="0.2"/>
    <row r="41615" s="689" customFormat="1" x14ac:dyDescent="0.2"/>
    <row r="41616" s="689" customFormat="1" x14ac:dyDescent="0.2"/>
    <row r="41617" s="689" customFormat="1" x14ac:dyDescent="0.2"/>
    <row r="41618" s="689" customFormat="1" x14ac:dyDescent="0.2"/>
    <row r="41619" s="689" customFormat="1" x14ac:dyDescent="0.2"/>
    <row r="41620" s="689" customFormat="1" x14ac:dyDescent="0.2"/>
    <row r="41621" s="689" customFormat="1" x14ac:dyDescent="0.2"/>
    <row r="41622" s="689" customFormat="1" x14ac:dyDescent="0.2"/>
    <row r="41623" s="689" customFormat="1" x14ac:dyDescent="0.2"/>
    <row r="41624" s="689" customFormat="1" x14ac:dyDescent="0.2"/>
    <row r="41625" s="689" customFormat="1" x14ac:dyDescent="0.2"/>
    <row r="41626" s="689" customFormat="1" x14ac:dyDescent="0.2"/>
    <row r="41627" s="689" customFormat="1" x14ac:dyDescent="0.2"/>
    <row r="41628" s="689" customFormat="1" x14ac:dyDescent="0.2"/>
    <row r="41629" s="689" customFormat="1" x14ac:dyDescent="0.2"/>
    <row r="41630" s="689" customFormat="1" x14ac:dyDescent="0.2"/>
    <row r="41631" s="689" customFormat="1" x14ac:dyDescent="0.2"/>
    <row r="41632" s="689" customFormat="1" x14ac:dyDescent="0.2"/>
    <row r="41633" s="689" customFormat="1" x14ac:dyDescent="0.2"/>
    <row r="41634" s="689" customFormat="1" x14ac:dyDescent="0.2"/>
    <row r="41635" s="689" customFormat="1" x14ac:dyDescent="0.2"/>
    <row r="41636" s="689" customFormat="1" x14ac:dyDescent="0.2"/>
    <row r="41637" s="689" customFormat="1" x14ac:dyDescent="0.2"/>
    <row r="41638" s="689" customFormat="1" x14ac:dyDescent="0.2"/>
    <row r="41639" s="689" customFormat="1" x14ac:dyDescent="0.2"/>
    <row r="41640" s="689" customFormat="1" x14ac:dyDescent="0.2"/>
    <row r="41641" s="689" customFormat="1" x14ac:dyDescent="0.2"/>
    <row r="41642" s="689" customFormat="1" x14ac:dyDescent="0.2"/>
    <row r="41643" s="689" customFormat="1" x14ac:dyDescent="0.2"/>
    <row r="41644" s="689" customFormat="1" x14ac:dyDescent="0.2"/>
    <row r="41645" s="689" customFormat="1" x14ac:dyDescent="0.2"/>
    <row r="41646" s="689" customFormat="1" x14ac:dyDescent="0.2"/>
    <row r="41647" s="689" customFormat="1" x14ac:dyDescent="0.2"/>
    <row r="41648" s="689" customFormat="1" x14ac:dyDescent="0.2"/>
    <row r="41649" s="689" customFormat="1" x14ac:dyDescent="0.2"/>
    <row r="41650" s="689" customFormat="1" x14ac:dyDescent="0.2"/>
    <row r="41651" s="689" customFormat="1" x14ac:dyDescent="0.2"/>
    <row r="41652" s="689" customFormat="1" x14ac:dyDescent="0.2"/>
    <row r="41653" s="689" customFormat="1" x14ac:dyDescent="0.2"/>
    <row r="41654" s="689" customFormat="1" x14ac:dyDescent="0.2"/>
    <row r="41655" s="689" customFormat="1" x14ac:dyDescent="0.2"/>
    <row r="41656" s="689" customFormat="1" x14ac:dyDescent="0.2"/>
    <row r="41657" s="689" customFormat="1" x14ac:dyDescent="0.2"/>
    <row r="41658" s="689" customFormat="1" x14ac:dyDescent="0.2"/>
    <row r="41659" s="689" customFormat="1" x14ac:dyDescent="0.2"/>
    <row r="41660" s="689" customFormat="1" x14ac:dyDescent="0.2"/>
    <row r="41661" s="689" customFormat="1" x14ac:dyDescent="0.2"/>
    <row r="41662" s="689" customFormat="1" x14ac:dyDescent="0.2"/>
    <row r="41663" s="689" customFormat="1" x14ac:dyDescent="0.2"/>
    <row r="41664" s="689" customFormat="1" x14ac:dyDescent="0.2"/>
    <row r="41665" s="689" customFormat="1" x14ac:dyDescent="0.2"/>
    <row r="41666" s="689" customFormat="1" x14ac:dyDescent="0.2"/>
    <row r="41667" s="689" customFormat="1" x14ac:dyDescent="0.2"/>
    <row r="41668" s="689" customFormat="1" x14ac:dyDescent="0.2"/>
    <row r="41669" s="689" customFormat="1" x14ac:dyDescent="0.2"/>
    <row r="41670" s="689" customFormat="1" x14ac:dyDescent="0.2"/>
    <row r="41671" s="689" customFormat="1" x14ac:dyDescent="0.2"/>
    <row r="41672" s="689" customFormat="1" x14ac:dyDescent="0.2"/>
    <row r="41673" s="689" customFormat="1" x14ac:dyDescent="0.2"/>
    <row r="41674" s="689" customFormat="1" x14ac:dyDescent="0.2"/>
    <row r="41675" s="689" customFormat="1" x14ac:dyDescent="0.2"/>
    <row r="41676" s="689" customFormat="1" x14ac:dyDescent="0.2"/>
    <row r="41677" s="689" customFormat="1" x14ac:dyDescent="0.2"/>
    <row r="41678" s="689" customFormat="1" x14ac:dyDescent="0.2"/>
    <row r="41679" s="689" customFormat="1" x14ac:dyDescent="0.2"/>
    <row r="41680" s="689" customFormat="1" x14ac:dyDescent="0.2"/>
    <row r="41681" s="689" customFormat="1" x14ac:dyDescent="0.2"/>
    <row r="41682" s="689" customFormat="1" x14ac:dyDescent="0.2"/>
    <row r="41683" s="689" customFormat="1" x14ac:dyDescent="0.2"/>
    <row r="41684" s="689" customFormat="1" x14ac:dyDescent="0.2"/>
    <row r="41685" s="689" customFormat="1" x14ac:dyDescent="0.2"/>
    <row r="41686" s="689" customFormat="1" x14ac:dyDescent="0.2"/>
    <row r="41687" s="689" customFormat="1" x14ac:dyDescent="0.2"/>
    <row r="41688" s="689" customFormat="1" x14ac:dyDescent="0.2"/>
    <row r="41689" s="689" customFormat="1" x14ac:dyDescent="0.2"/>
    <row r="41690" s="689" customFormat="1" x14ac:dyDescent="0.2"/>
    <row r="41691" s="689" customFormat="1" x14ac:dyDescent="0.2"/>
    <row r="41692" s="689" customFormat="1" x14ac:dyDescent="0.2"/>
    <row r="41693" s="689" customFormat="1" x14ac:dyDescent="0.2"/>
    <row r="41694" s="689" customFormat="1" x14ac:dyDescent="0.2"/>
    <row r="41695" s="689" customFormat="1" x14ac:dyDescent="0.2"/>
    <row r="41696" s="689" customFormat="1" x14ac:dyDescent="0.2"/>
    <row r="41697" s="689" customFormat="1" x14ac:dyDescent="0.2"/>
    <row r="41698" s="689" customFormat="1" x14ac:dyDescent="0.2"/>
    <row r="41699" s="689" customFormat="1" x14ac:dyDescent="0.2"/>
    <row r="41700" s="689" customFormat="1" x14ac:dyDescent="0.2"/>
    <row r="41701" s="689" customFormat="1" x14ac:dyDescent="0.2"/>
    <row r="41702" s="689" customFormat="1" x14ac:dyDescent="0.2"/>
    <row r="41703" s="689" customFormat="1" x14ac:dyDescent="0.2"/>
    <row r="41704" s="689" customFormat="1" x14ac:dyDescent="0.2"/>
    <row r="41705" s="689" customFormat="1" x14ac:dyDescent="0.2"/>
    <row r="41706" s="689" customFormat="1" x14ac:dyDescent="0.2"/>
    <row r="41707" s="689" customFormat="1" x14ac:dyDescent="0.2"/>
    <row r="41708" s="689" customFormat="1" x14ac:dyDescent="0.2"/>
    <row r="41709" s="689" customFormat="1" x14ac:dyDescent="0.2"/>
    <row r="41710" s="689" customFormat="1" x14ac:dyDescent="0.2"/>
    <row r="41711" s="689" customFormat="1" x14ac:dyDescent="0.2"/>
    <row r="41712" s="689" customFormat="1" x14ac:dyDescent="0.2"/>
    <row r="41713" s="689" customFormat="1" x14ac:dyDescent="0.2"/>
    <row r="41714" s="689" customFormat="1" x14ac:dyDescent="0.2"/>
    <row r="41715" s="689" customFormat="1" x14ac:dyDescent="0.2"/>
    <row r="41716" s="689" customFormat="1" x14ac:dyDescent="0.2"/>
    <row r="41717" s="689" customFormat="1" x14ac:dyDescent="0.2"/>
    <row r="41718" s="689" customFormat="1" x14ac:dyDescent="0.2"/>
    <row r="41719" s="689" customFormat="1" x14ac:dyDescent="0.2"/>
    <row r="41720" s="689" customFormat="1" x14ac:dyDescent="0.2"/>
    <row r="41721" s="689" customFormat="1" x14ac:dyDescent="0.2"/>
    <row r="41722" s="689" customFormat="1" x14ac:dyDescent="0.2"/>
    <row r="41723" s="689" customFormat="1" x14ac:dyDescent="0.2"/>
    <row r="41724" s="689" customFormat="1" x14ac:dyDescent="0.2"/>
    <row r="41725" s="689" customFormat="1" x14ac:dyDescent="0.2"/>
    <row r="41726" s="689" customFormat="1" x14ac:dyDescent="0.2"/>
    <row r="41727" s="689" customFormat="1" x14ac:dyDescent="0.2"/>
    <row r="41728" s="689" customFormat="1" x14ac:dyDescent="0.2"/>
    <row r="41729" s="689" customFormat="1" x14ac:dyDescent="0.2"/>
    <row r="41730" s="689" customFormat="1" x14ac:dyDescent="0.2"/>
    <row r="41731" s="689" customFormat="1" x14ac:dyDescent="0.2"/>
    <row r="41732" s="689" customFormat="1" x14ac:dyDescent="0.2"/>
    <row r="41733" s="689" customFormat="1" x14ac:dyDescent="0.2"/>
    <row r="41734" s="689" customFormat="1" x14ac:dyDescent="0.2"/>
    <row r="41735" s="689" customFormat="1" x14ac:dyDescent="0.2"/>
    <row r="41736" s="689" customFormat="1" x14ac:dyDescent="0.2"/>
    <row r="41737" s="689" customFormat="1" x14ac:dyDescent="0.2"/>
    <row r="41738" s="689" customFormat="1" x14ac:dyDescent="0.2"/>
    <row r="41739" s="689" customFormat="1" x14ac:dyDescent="0.2"/>
    <row r="41740" s="689" customFormat="1" x14ac:dyDescent="0.2"/>
    <row r="41741" s="689" customFormat="1" x14ac:dyDescent="0.2"/>
    <row r="41742" s="689" customFormat="1" x14ac:dyDescent="0.2"/>
    <row r="41743" s="689" customFormat="1" x14ac:dyDescent="0.2"/>
    <row r="41744" s="689" customFormat="1" x14ac:dyDescent="0.2"/>
    <row r="41745" s="689" customFormat="1" x14ac:dyDescent="0.2"/>
    <row r="41746" s="689" customFormat="1" x14ac:dyDescent="0.2"/>
    <row r="41747" s="689" customFormat="1" x14ac:dyDescent="0.2"/>
    <row r="41748" s="689" customFormat="1" x14ac:dyDescent="0.2"/>
    <row r="41749" s="689" customFormat="1" x14ac:dyDescent="0.2"/>
    <row r="41750" s="689" customFormat="1" x14ac:dyDescent="0.2"/>
    <row r="41751" s="689" customFormat="1" x14ac:dyDescent="0.2"/>
    <row r="41752" s="689" customFormat="1" x14ac:dyDescent="0.2"/>
    <row r="41753" s="689" customFormat="1" x14ac:dyDescent="0.2"/>
    <row r="41754" s="689" customFormat="1" x14ac:dyDescent="0.2"/>
    <row r="41755" s="689" customFormat="1" x14ac:dyDescent="0.2"/>
    <row r="41756" s="689" customFormat="1" x14ac:dyDescent="0.2"/>
    <row r="41757" s="689" customFormat="1" x14ac:dyDescent="0.2"/>
    <row r="41758" s="689" customFormat="1" x14ac:dyDescent="0.2"/>
    <row r="41759" s="689" customFormat="1" x14ac:dyDescent="0.2"/>
    <row r="41760" s="689" customFormat="1" x14ac:dyDescent="0.2"/>
    <row r="41761" s="689" customFormat="1" x14ac:dyDescent="0.2"/>
    <row r="41762" s="689" customFormat="1" x14ac:dyDescent="0.2"/>
    <row r="41763" s="689" customFormat="1" x14ac:dyDescent="0.2"/>
    <row r="41764" s="689" customFormat="1" x14ac:dyDescent="0.2"/>
    <row r="41765" s="689" customFormat="1" x14ac:dyDescent="0.2"/>
    <row r="41766" s="689" customFormat="1" x14ac:dyDescent="0.2"/>
    <row r="41767" s="689" customFormat="1" x14ac:dyDescent="0.2"/>
    <row r="41768" s="689" customFormat="1" x14ac:dyDescent="0.2"/>
    <row r="41769" s="689" customFormat="1" x14ac:dyDescent="0.2"/>
    <row r="41770" s="689" customFormat="1" x14ac:dyDescent="0.2"/>
    <row r="41771" s="689" customFormat="1" x14ac:dyDescent="0.2"/>
    <row r="41772" s="689" customFormat="1" x14ac:dyDescent="0.2"/>
    <row r="41773" s="689" customFormat="1" x14ac:dyDescent="0.2"/>
    <row r="41774" s="689" customFormat="1" x14ac:dyDescent="0.2"/>
    <row r="41775" s="689" customFormat="1" x14ac:dyDescent="0.2"/>
    <row r="41776" s="689" customFormat="1" x14ac:dyDescent="0.2"/>
    <row r="41777" s="689" customFormat="1" x14ac:dyDescent="0.2"/>
    <row r="41778" s="689" customFormat="1" x14ac:dyDescent="0.2"/>
    <row r="41779" s="689" customFormat="1" x14ac:dyDescent="0.2"/>
    <row r="41780" s="689" customFormat="1" x14ac:dyDescent="0.2"/>
    <row r="41781" s="689" customFormat="1" x14ac:dyDescent="0.2"/>
    <row r="41782" s="689" customFormat="1" x14ac:dyDescent="0.2"/>
    <row r="41783" s="689" customFormat="1" x14ac:dyDescent="0.2"/>
    <row r="41784" s="689" customFormat="1" x14ac:dyDescent="0.2"/>
    <row r="41785" s="689" customFormat="1" x14ac:dyDescent="0.2"/>
    <row r="41786" s="689" customFormat="1" x14ac:dyDescent="0.2"/>
    <row r="41787" s="689" customFormat="1" x14ac:dyDescent="0.2"/>
    <row r="41788" s="689" customFormat="1" x14ac:dyDescent="0.2"/>
    <row r="41789" s="689" customFormat="1" x14ac:dyDescent="0.2"/>
    <row r="41790" s="689" customFormat="1" x14ac:dyDescent="0.2"/>
    <row r="41791" s="689" customFormat="1" x14ac:dyDescent="0.2"/>
    <row r="41792" s="689" customFormat="1" x14ac:dyDescent="0.2"/>
    <row r="41793" s="689" customFormat="1" x14ac:dyDescent="0.2"/>
    <row r="41794" s="689" customFormat="1" x14ac:dyDescent="0.2"/>
    <row r="41795" s="689" customFormat="1" x14ac:dyDescent="0.2"/>
    <row r="41796" s="689" customFormat="1" x14ac:dyDescent="0.2"/>
    <row r="41797" s="689" customFormat="1" x14ac:dyDescent="0.2"/>
    <row r="41798" s="689" customFormat="1" x14ac:dyDescent="0.2"/>
    <row r="41799" s="689" customFormat="1" x14ac:dyDescent="0.2"/>
    <row r="41800" s="689" customFormat="1" x14ac:dyDescent="0.2"/>
    <row r="41801" s="689" customFormat="1" x14ac:dyDescent="0.2"/>
    <row r="41802" s="689" customFormat="1" x14ac:dyDescent="0.2"/>
    <row r="41803" s="689" customFormat="1" x14ac:dyDescent="0.2"/>
    <row r="41804" s="689" customFormat="1" x14ac:dyDescent="0.2"/>
    <row r="41805" s="689" customFormat="1" x14ac:dyDescent="0.2"/>
    <row r="41806" s="689" customFormat="1" x14ac:dyDescent="0.2"/>
    <row r="41807" s="689" customFormat="1" x14ac:dyDescent="0.2"/>
    <row r="41808" s="689" customFormat="1" x14ac:dyDescent="0.2"/>
    <row r="41809" s="689" customFormat="1" x14ac:dyDescent="0.2"/>
    <row r="41810" s="689" customFormat="1" x14ac:dyDescent="0.2"/>
    <row r="41811" s="689" customFormat="1" x14ac:dyDescent="0.2"/>
    <row r="41812" s="689" customFormat="1" x14ac:dyDescent="0.2"/>
    <row r="41813" s="689" customFormat="1" x14ac:dyDescent="0.2"/>
    <row r="41814" s="689" customFormat="1" x14ac:dyDescent="0.2"/>
    <row r="41815" s="689" customFormat="1" x14ac:dyDescent="0.2"/>
    <row r="41816" s="689" customFormat="1" x14ac:dyDescent="0.2"/>
    <row r="41817" s="689" customFormat="1" x14ac:dyDescent="0.2"/>
    <row r="41818" s="689" customFormat="1" x14ac:dyDescent="0.2"/>
    <row r="41819" s="689" customFormat="1" x14ac:dyDescent="0.2"/>
    <row r="41820" s="689" customFormat="1" x14ac:dyDescent="0.2"/>
    <row r="41821" s="689" customFormat="1" x14ac:dyDescent="0.2"/>
    <row r="41822" s="689" customFormat="1" x14ac:dyDescent="0.2"/>
    <row r="41823" s="689" customFormat="1" x14ac:dyDescent="0.2"/>
    <row r="41824" s="689" customFormat="1" x14ac:dyDescent="0.2"/>
    <row r="41825" s="689" customFormat="1" x14ac:dyDescent="0.2"/>
    <row r="41826" s="689" customFormat="1" x14ac:dyDescent="0.2"/>
    <row r="41827" s="689" customFormat="1" x14ac:dyDescent="0.2"/>
    <row r="41828" s="689" customFormat="1" x14ac:dyDescent="0.2"/>
    <row r="41829" s="689" customFormat="1" x14ac:dyDescent="0.2"/>
    <row r="41830" s="689" customFormat="1" x14ac:dyDescent="0.2"/>
    <row r="41831" s="689" customFormat="1" x14ac:dyDescent="0.2"/>
    <row r="41832" s="689" customFormat="1" x14ac:dyDescent="0.2"/>
    <row r="41833" s="689" customFormat="1" x14ac:dyDescent="0.2"/>
    <row r="41834" s="689" customFormat="1" x14ac:dyDescent="0.2"/>
    <row r="41835" s="689" customFormat="1" x14ac:dyDescent="0.2"/>
    <row r="41836" s="689" customFormat="1" x14ac:dyDescent="0.2"/>
    <row r="41837" s="689" customFormat="1" x14ac:dyDescent="0.2"/>
    <row r="41838" s="689" customFormat="1" x14ac:dyDescent="0.2"/>
    <row r="41839" s="689" customFormat="1" x14ac:dyDescent="0.2"/>
    <row r="41840" s="689" customFormat="1" x14ac:dyDescent="0.2"/>
    <row r="41841" s="689" customFormat="1" x14ac:dyDescent="0.2"/>
    <row r="41842" s="689" customFormat="1" x14ac:dyDescent="0.2"/>
    <row r="41843" s="689" customFormat="1" x14ac:dyDescent="0.2"/>
    <row r="41844" s="689" customFormat="1" x14ac:dyDescent="0.2"/>
    <row r="41845" s="689" customFormat="1" x14ac:dyDescent="0.2"/>
    <row r="41846" s="689" customFormat="1" x14ac:dyDescent="0.2"/>
    <row r="41847" s="689" customFormat="1" x14ac:dyDescent="0.2"/>
    <row r="41848" s="689" customFormat="1" x14ac:dyDescent="0.2"/>
    <row r="41849" s="689" customFormat="1" x14ac:dyDescent="0.2"/>
    <row r="41850" s="689" customFormat="1" x14ac:dyDescent="0.2"/>
    <row r="41851" s="689" customFormat="1" x14ac:dyDescent="0.2"/>
    <row r="41852" s="689" customFormat="1" x14ac:dyDescent="0.2"/>
    <row r="41853" s="689" customFormat="1" x14ac:dyDescent="0.2"/>
    <row r="41854" s="689" customFormat="1" x14ac:dyDescent="0.2"/>
    <row r="41855" s="689" customFormat="1" x14ac:dyDescent="0.2"/>
    <row r="41856" s="689" customFormat="1" x14ac:dyDescent="0.2"/>
    <row r="41857" s="689" customFormat="1" x14ac:dyDescent="0.2"/>
    <row r="41858" s="689" customFormat="1" x14ac:dyDescent="0.2"/>
    <row r="41859" s="689" customFormat="1" x14ac:dyDescent="0.2"/>
    <row r="41860" s="689" customFormat="1" x14ac:dyDescent="0.2"/>
    <row r="41861" s="689" customFormat="1" x14ac:dyDescent="0.2"/>
    <row r="41862" s="689" customFormat="1" x14ac:dyDescent="0.2"/>
    <row r="41863" s="689" customFormat="1" x14ac:dyDescent="0.2"/>
    <row r="41864" s="689" customFormat="1" x14ac:dyDescent="0.2"/>
    <row r="41865" s="689" customFormat="1" x14ac:dyDescent="0.2"/>
    <row r="41866" s="689" customFormat="1" x14ac:dyDescent="0.2"/>
    <row r="41867" s="689" customFormat="1" x14ac:dyDescent="0.2"/>
    <row r="41868" s="689" customFormat="1" x14ac:dyDescent="0.2"/>
    <row r="41869" s="689" customFormat="1" x14ac:dyDescent="0.2"/>
    <row r="41870" s="689" customFormat="1" x14ac:dyDescent="0.2"/>
    <row r="41871" s="689" customFormat="1" x14ac:dyDescent="0.2"/>
    <row r="41872" s="689" customFormat="1" x14ac:dyDescent="0.2"/>
    <row r="41873" s="689" customFormat="1" x14ac:dyDescent="0.2"/>
    <row r="41874" s="689" customFormat="1" x14ac:dyDescent="0.2"/>
    <row r="41875" s="689" customFormat="1" x14ac:dyDescent="0.2"/>
    <row r="41876" s="689" customFormat="1" x14ac:dyDescent="0.2"/>
    <row r="41877" s="689" customFormat="1" x14ac:dyDescent="0.2"/>
    <row r="41878" s="689" customFormat="1" x14ac:dyDescent="0.2"/>
    <row r="41879" s="689" customFormat="1" x14ac:dyDescent="0.2"/>
    <row r="41880" s="689" customFormat="1" x14ac:dyDescent="0.2"/>
    <row r="41881" s="689" customFormat="1" x14ac:dyDescent="0.2"/>
    <row r="41882" s="689" customFormat="1" x14ac:dyDescent="0.2"/>
    <row r="41883" s="689" customFormat="1" x14ac:dyDescent="0.2"/>
    <row r="41884" s="689" customFormat="1" x14ac:dyDescent="0.2"/>
    <row r="41885" s="689" customFormat="1" x14ac:dyDescent="0.2"/>
    <row r="41886" s="689" customFormat="1" x14ac:dyDescent="0.2"/>
    <row r="41887" s="689" customFormat="1" x14ac:dyDescent="0.2"/>
    <row r="41888" s="689" customFormat="1" x14ac:dyDescent="0.2"/>
    <row r="41889" s="689" customFormat="1" x14ac:dyDescent="0.2"/>
    <row r="41890" s="689" customFormat="1" x14ac:dyDescent="0.2"/>
    <row r="41891" s="689" customFormat="1" x14ac:dyDescent="0.2"/>
    <row r="41892" s="689" customFormat="1" x14ac:dyDescent="0.2"/>
    <row r="41893" s="689" customFormat="1" x14ac:dyDescent="0.2"/>
    <row r="41894" s="689" customFormat="1" x14ac:dyDescent="0.2"/>
    <row r="41895" s="689" customFormat="1" x14ac:dyDescent="0.2"/>
    <row r="41896" s="689" customFormat="1" x14ac:dyDescent="0.2"/>
    <row r="41897" s="689" customFormat="1" x14ac:dyDescent="0.2"/>
    <row r="41898" s="689" customFormat="1" x14ac:dyDescent="0.2"/>
    <row r="41899" s="689" customFormat="1" x14ac:dyDescent="0.2"/>
    <row r="41900" s="689" customFormat="1" x14ac:dyDescent="0.2"/>
    <row r="41901" s="689" customFormat="1" x14ac:dyDescent="0.2"/>
    <row r="41902" s="689" customFormat="1" x14ac:dyDescent="0.2"/>
    <row r="41903" s="689" customFormat="1" x14ac:dyDescent="0.2"/>
    <row r="41904" s="689" customFormat="1" x14ac:dyDescent="0.2"/>
    <row r="41905" s="689" customFormat="1" x14ac:dyDescent="0.2"/>
    <row r="41906" s="689" customFormat="1" x14ac:dyDescent="0.2"/>
    <row r="41907" s="689" customFormat="1" x14ac:dyDescent="0.2"/>
    <row r="41908" s="689" customFormat="1" x14ac:dyDescent="0.2"/>
    <row r="41909" s="689" customFormat="1" x14ac:dyDescent="0.2"/>
    <row r="41910" s="689" customFormat="1" x14ac:dyDescent="0.2"/>
    <row r="41911" s="689" customFormat="1" x14ac:dyDescent="0.2"/>
    <row r="41912" s="689" customFormat="1" x14ac:dyDescent="0.2"/>
    <row r="41913" s="689" customFormat="1" x14ac:dyDescent="0.2"/>
    <row r="41914" s="689" customFormat="1" x14ac:dyDescent="0.2"/>
    <row r="41915" s="689" customFormat="1" x14ac:dyDescent="0.2"/>
    <row r="41916" s="689" customFormat="1" x14ac:dyDescent="0.2"/>
    <row r="41917" s="689" customFormat="1" x14ac:dyDescent="0.2"/>
    <row r="41918" s="689" customFormat="1" x14ac:dyDescent="0.2"/>
    <row r="41919" s="689" customFormat="1" x14ac:dyDescent="0.2"/>
    <row r="41920" s="689" customFormat="1" x14ac:dyDescent="0.2"/>
    <row r="41921" s="689" customFormat="1" x14ac:dyDescent="0.2"/>
    <row r="41922" s="689" customFormat="1" x14ac:dyDescent="0.2"/>
    <row r="41923" s="689" customFormat="1" x14ac:dyDescent="0.2"/>
    <row r="41924" s="689" customFormat="1" x14ac:dyDescent="0.2"/>
    <row r="41925" s="689" customFormat="1" x14ac:dyDescent="0.2"/>
    <row r="41926" s="689" customFormat="1" x14ac:dyDescent="0.2"/>
    <row r="41927" s="689" customFormat="1" x14ac:dyDescent="0.2"/>
    <row r="41928" s="689" customFormat="1" x14ac:dyDescent="0.2"/>
    <row r="41929" s="689" customFormat="1" x14ac:dyDescent="0.2"/>
    <row r="41930" s="689" customFormat="1" x14ac:dyDescent="0.2"/>
    <row r="41931" s="689" customFormat="1" x14ac:dyDescent="0.2"/>
    <row r="41932" s="689" customFormat="1" x14ac:dyDescent="0.2"/>
    <row r="41933" s="689" customFormat="1" x14ac:dyDescent="0.2"/>
    <row r="41934" s="689" customFormat="1" x14ac:dyDescent="0.2"/>
    <row r="41935" s="689" customFormat="1" x14ac:dyDescent="0.2"/>
    <row r="41936" s="689" customFormat="1" x14ac:dyDescent="0.2"/>
    <row r="41937" s="689" customFormat="1" x14ac:dyDescent="0.2"/>
    <row r="41938" s="689" customFormat="1" x14ac:dyDescent="0.2"/>
    <row r="41939" s="689" customFormat="1" x14ac:dyDescent="0.2"/>
    <row r="41940" s="689" customFormat="1" x14ac:dyDescent="0.2"/>
    <row r="41941" s="689" customFormat="1" x14ac:dyDescent="0.2"/>
    <row r="41942" s="689" customFormat="1" x14ac:dyDescent="0.2"/>
    <row r="41943" s="689" customFormat="1" x14ac:dyDescent="0.2"/>
    <row r="41944" s="689" customFormat="1" x14ac:dyDescent="0.2"/>
    <row r="41945" s="689" customFormat="1" x14ac:dyDescent="0.2"/>
    <row r="41946" s="689" customFormat="1" x14ac:dyDescent="0.2"/>
    <row r="41947" s="689" customFormat="1" x14ac:dyDescent="0.2"/>
    <row r="41948" s="689" customFormat="1" x14ac:dyDescent="0.2"/>
    <row r="41949" s="689" customFormat="1" x14ac:dyDescent="0.2"/>
    <row r="41950" s="689" customFormat="1" x14ac:dyDescent="0.2"/>
    <row r="41951" s="689" customFormat="1" x14ac:dyDescent="0.2"/>
    <row r="41952" s="689" customFormat="1" x14ac:dyDescent="0.2"/>
    <row r="41953" s="689" customFormat="1" x14ac:dyDescent="0.2"/>
    <row r="41954" s="689" customFormat="1" x14ac:dyDescent="0.2"/>
    <row r="41955" s="689" customFormat="1" x14ac:dyDescent="0.2"/>
    <row r="41956" s="689" customFormat="1" x14ac:dyDescent="0.2"/>
    <row r="41957" s="689" customFormat="1" x14ac:dyDescent="0.2"/>
    <row r="41958" s="689" customFormat="1" x14ac:dyDescent="0.2"/>
    <row r="41959" s="689" customFormat="1" x14ac:dyDescent="0.2"/>
    <row r="41960" s="689" customFormat="1" x14ac:dyDescent="0.2"/>
    <row r="41961" s="689" customFormat="1" x14ac:dyDescent="0.2"/>
    <row r="41962" s="689" customFormat="1" x14ac:dyDescent="0.2"/>
    <row r="41963" s="689" customFormat="1" x14ac:dyDescent="0.2"/>
    <row r="41964" s="689" customFormat="1" x14ac:dyDescent="0.2"/>
    <row r="41965" s="689" customFormat="1" x14ac:dyDescent="0.2"/>
    <row r="41966" s="689" customFormat="1" x14ac:dyDescent="0.2"/>
    <row r="41967" s="689" customFormat="1" x14ac:dyDescent="0.2"/>
    <row r="41968" s="689" customFormat="1" x14ac:dyDescent="0.2"/>
    <row r="41969" s="689" customFormat="1" x14ac:dyDescent="0.2"/>
    <row r="41970" s="689" customFormat="1" x14ac:dyDescent="0.2"/>
    <row r="41971" s="689" customFormat="1" x14ac:dyDescent="0.2"/>
    <row r="41972" s="689" customFormat="1" x14ac:dyDescent="0.2"/>
    <row r="41973" s="689" customFormat="1" x14ac:dyDescent="0.2"/>
    <row r="41974" s="689" customFormat="1" x14ac:dyDescent="0.2"/>
    <row r="41975" s="689" customFormat="1" x14ac:dyDescent="0.2"/>
    <row r="41976" s="689" customFormat="1" x14ac:dyDescent="0.2"/>
    <row r="41977" s="689" customFormat="1" x14ac:dyDescent="0.2"/>
    <row r="41978" s="689" customFormat="1" x14ac:dyDescent="0.2"/>
    <row r="41979" s="689" customFormat="1" x14ac:dyDescent="0.2"/>
    <row r="41980" s="689" customFormat="1" x14ac:dyDescent="0.2"/>
    <row r="41981" s="689" customFormat="1" x14ac:dyDescent="0.2"/>
    <row r="41982" s="689" customFormat="1" x14ac:dyDescent="0.2"/>
    <row r="41983" s="689" customFormat="1" x14ac:dyDescent="0.2"/>
    <row r="41984" s="689" customFormat="1" x14ac:dyDescent="0.2"/>
    <row r="41985" s="689" customFormat="1" x14ac:dyDescent="0.2"/>
    <row r="41986" s="689" customFormat="1" x14ac:dyDescent="0.2"/>
    <row r="41987" s="689" customFormat="1" x14ac:dyDescent="0.2"/>
    <row r="41988" s="689" customFormat="1" x14ac:dyDescent="0.2"/>
    <row r="41989" s="689" customFormat="1" x14ac:dyDescent="0.2"/>
    <row r="41990" s="689" customFormat="1" x14ac:dyDescent="0.2"/>
    <row r="41991" s="689" customFormat="1" x14ac:dyDescent="0.2"/>
    <row r="41992" s="689" customFormat="1" x14ac:dyDescent="0.2"/>
    <row r="41993" s="689" customFormat="1" x14ac:dyDescent="0.2"/>
    <row r="41994" s="689" customFormat="1" x14ac:dyDescent="0.2"/>
    <row r="41995" s="689" customFormat="1" x14ac:dyDescent="0.2"/>
    <row r="41996" s="689" customFormat="1" x14ac:dyDescent="0.2"/>
    <row r="41997" s="689" customFormat="1" x14ac:dyDescent="0.2"/>
    <row r="41998" s="689" customFormat="1" x14ac:dyDescent="0.2"/>
    <row r="41999" s="689" customFormat="1" x14ac:dyDescent="0.2"/>
    <row r="42000" s="689" customFormat="1" x14ac:dyDescent="0.2"/>
    <row r="42001" s="689" customFormat="1" x14ac:dyDescent="0.2"/>
    <row r="42002" s="689" customFormat="1" x14ac:dyDescent="0.2"/>
    <row r="42003" s="689" customFormat="1" x14ac:dyDescent="0.2"/>
    <row r="42004" s="689" customFormat="1" x14ac:dyDescent="0.2"/>
    <row r="42005" s="689" customFormat="1" x14ac:dyDescent="0.2"/>
    <row r="42006" s="689" customFormat="1" x14ac:dyDescent="0.2"/>
    <row r="42007" s="689" customFormat="1" x14ac:dyDescent="0.2"/>
    <row r="42008" s="689" customFormat="1" x14ac:dyDescent="0.2"/>
    <row r="42009" s="689" customFormat="1" x14ac:dyDescent="0.2"/>
    <row r="42010" s="689" customFormat="1" x14ac:dyDescent="0.2"/>
    <row r="42011" s="689" customFormat="1" x14ac:dyDescent="0.2"/>
    <row r="42012" s="689" customFormat="1" x14ac:dyDescent="0.2"/>
    <row r="42013" s="689" customFormat="1" x14ac:dyDescent="0.2"/>
    <row r="42014" s="689" customFormat="1" x14ac:dyDescent="0.2"/>
    <row r="42015" s="689" customFormat="1" x14ac:dyDescent="0.2"/>
    <row r="42016" s="689" customFormat="1" x14ac:dyDescent="0.2"/>
    <row r="42017" s="689" customFormat="1" x14ac:dyDescent="0.2"/>
    <row r="42018" s="689" customFormat="1" x14ac:dyDescent="0.2"/>
    <row r="42019" s="689" customFormat="1" x14ac:dyDescent="0.2"/>
    <row r="42020" s="689" customFormat="1" x14ac:dyDescent="0.2"/>
    <row r="42021" s="689" customFormat="1" x14ac:dyDescent="0.2"/>
    <row r="42022" s="689" customFormat="1" x14ac:dyDescent="0.2"/>
    <row r="42023" s="689" customFormat="1" x14ac:dyDescent="0.2"/>
    <row r="42024" s="689" customFormat="1" x14ac:dyDescent="0.2"/>
    <row r="42025" s="689" customFormat="1" x14ac:dyDescent="0.2"/>
    <row r="42026" s="689" customFormat="1" x14ac:dyDescent="0.2"/>
    <row r="42027" s="689" customFormat="1" x14ac:dyDescent="0.2"/>
    <row r="42028" s="689" customFormat="1" x14ac:dyDescent="0.2"/>
    <row r="42029" s="689" customFormat="1" x14ac:dyDescent="0.2"/>
    <row r="42030" s="689" customFormat="1" x14ac:dyDescent="0.2"/>
    <row r="42031" s="689" customFormat="1" x14ac:dyDescent="0.2"/>
    <row r="42032" s="689" customFormat="1" x14ac:dyDescent="0.2"/>
    <row r="42033" s="689" customFormat="1" x14ac:dyDescent="0.2"/>
    <row r="42034" s="689" customFormat="1" x14ac:dyDescent="0.2"/>
    <row r="42035" s="689" customFormat="1" x14ac:dyDescent="0.2"/>
    <row r="42036" s="689" customFormat="1" x14ac:dyDescent="0.2"/>
    <row r="42037" s="689" customFormat="1" x14ac:dyDescent="0.2"/>
    <row r="42038" s="689" customFormat="1" x14ac:dyDescent="0.2"/>
    <row r="42039" s="689" customFormat="1" x14ac:dyDescent="0.2"/>
    <row r="42040" s="689" customFormat="1" x14ac:dyDescent="0.2"/>
    <row r="42041" s="689" customFormat="1" x14ac:dyDescent="0.2"/>
    <row r="42042" s="689" customFormat="1" x14ac:dyDescent="0.2"/>
    <row r="42043" s="689" customFormat="1" x14ac:dyDescent="0.2"/>
    <row r="42044" s="689" customFormat="1" x14ac:dyDescent="0.2"/>
    <row r="42045" s="689" customFormat="1" x14ac:dyDescent="0.2"/>
    <row r="42046" s="689" customFormat="1" x14ac:dyDescent="0.2"/>
    <row r="42047" s="689" customFormat="1" x14ac:dyDescent="0.2"/>
    <row r="42048" s="689" customFormat="1" x14ac:dyDescent="0.2"/>
    <row r="42049" s="689" customFormat="1" x14ac:dyDescent="0.2"/>
    <row r="42050" s="689" customFormat="1" x14ac:dyDescent="0.2"/>
    <row r="42051" s="689" customFormat="1" x14ac:dyDescent="0.2"/>
    <row r="42052" s="689" customFormat="1" x14ac:dyDescent="0.2"/>
    <row r="42053" s="689" customFormat="1" x14ac:dyDescent="0.2"/>
    <row r="42054" s="689" customFormat="1" x14ac:dyDescent="0.2"/>
    <row r="42055" s="689" customFormat="1" x14ac:dyDescent="0.2"/>
    <row r="42056" s="689" customFormat="1" x14ac:dyDescent="0.2"/>
    <row r="42057" s="689" customFormat="1" x14ac:dyDescent="0.2"/>
    <row r="42058" s="689" customFormat="1" x14ac:dyDescent="0.2"/>
    <row r="42059" s="689" customFormat="1" x14ac:dyDescent="0.2"/>
    <row r="42060" s="689" customFormat="1" x14ac:dyDescent="0.2"/>
    <row r="42061" s="689" customFormat="1" x14ac:dyDescent="0.2"/>
    <row r="42062" s="689" customFormat="1" x14ac:dyDescent="0.2"/>
    <row r="42063" s="689" customFormat="1" x14ac:dyDescent="0.2"/>
    <row r="42064" s="689" customFormat="1" x14ac:dyDescent="0.2"/>
    <row r="42065" s="689" customFormat="1" x14ac:dyDescent="0.2"/>
    <row r="42066" s="689" customFormat="1" x14ac:dyDescent="0.2"/>
    <row r="42067" s="689" customFormat="1" x14ac:dyDescent="0.2"/>
    <row r="42068" s="689" customFormat="1" x14ac:dyDescent="0.2"/>
    <row r="42069" s="689" customFormat="1" x14ac:dyDescent="0.2"/>
    <row r="42070" s="689" customFormat="1" x14ac:dyDescent="0.2"/>
    <row r="42071" s="689" customFormat="1" x14ac:dyDescent="0.2"/>
    <row r="42072" s="689" customFormat="1" x14ac:dyDescent="0.2"/>
    <row r="42073" s="689" customFormat="1" x14ac:dyDescent="0.2"/>
    <row r="42074" s="689" customFormat="1" x14ac:dyDescent="0.2"/>
    <row r="42075" s="689" customFormat="1" x14ac:dyDescent="0.2"/>
    <row r="42076" s="689" customFormat="1" x14ac:dyDescent="0.2"/>
    <row r="42077" s="689" customFormat="1" x14ac:dyDescent="0.2"/>
    <row r="42078" s="689" customFormat="1" x14ac:dyDescent="0.2"/>
    <row r="42079" s="689" customFormat="1" x14ac:dyDescent="0.2"/>
    <row r="42080" s="689" customFormat="1" x14ac:dyDescent="0.2"/>
    <row r="42081" s="689" customFormat="1" x14ac:dyDescent="0.2"/>
    <row r="42082" s="689" customFormat="1" x14ac:dyDescent="0.2"/>
    <row r="42083" s="689" customFormat="1" x14ac:dyDescent="0.2"/>
    <row r="42084" s="689" customFormat="1" x14ac:dyDescent="0.2"/>
    <row r="42085" s="689" customFormat="1" x14ac:dyDescent="0.2"/>
    <row r="42086" s="689" customFormat="1" x14ac:dyDescent="0.2"/>
    <row r="42087" s="689" customFormat="1" x14ac:dyDescent="0.2"/>
    <row r="42088" s="689" customFormat="1" x14ac:dyDescent="0.2"/>
    <row r="42089" s="689" customFormat="1" x14ac:dyDescent="0.2"/>
    <row r="42090" s="689" customFormat="1" x14ac:dyDescent="0.2"/>
    <row r="42091" s="689" customFormat="1" x14ac:dyDescent="0.2"/>
    <row r="42092" s="689" customFormat="1" x14ac:dyDescent="0.2"/>
    <row r="42093" s="689" customFormat="1" x14ac:dyDescent="0.2"/>
    <row r="42094" s="689" customFormat="1" x14ac:dyDescent="0.2"/>
    <row r="42095" s="689" customFormat="1" x14ac:dyDescent="0.2"/>
    <row r="42096" s="689" customFormat="1" x14ac:dyDescent="0.2"/>
    <row r="42097" s="689" customFormat="1" x14ac:dyDescent="0.2"/>
    <row r="42098" s="689" customFormat="1" x14ac:dyDescent="0.2"/>
    <row r="42099" s="689" customFormat="1" x14ac:dyDescent="0.2"/>
    <row r="42100" s="689" customFormat="1" x14ac:dyDescent="0.2"/>
    <row r="42101" s="689" customFormat="1" x14ac:dyDescent="0.2"/>
    <row r="42102" s="689" customFormat="1" x14ac:dyDescent="0.2"/>
    <row r="42103" s="689" customFormat="1" x14ac:dyDescent="0.2"/>
    <row r="42104" s="689" customFormat="1" x14ac:dyDescent="0.2"/>
    <row r="42105" s="689" customFormat="1" x14ac:dyDescent="0.2"/>
    <row r="42106" s="689" customFormat="1" x14ac:dyDescent="0.2"/>
    <row r="42107" s="689" customFormat="1" x14ac:dyDescent="0.2"/>
    <row r="42108" s="689" customFormat="1" x14ac:dyDescent="0.2"/>
    <row r="42109" s="689" customFormat="1" x14ac:dyDescent="0.2"/>
    <row r="42110" s="689" customFormat="1" x14ac:dyDescent="0.2"/>
    <row r="42111" s="689" customFormat="1" x14ac:dyDescent="0.2"/>
    <row r="42112" s="689" customFormat="1" x14ac:dyDescent="0.2"/>
    <row r="42113" s="689" customFormat="1" x14ac:dyDescent="0.2"/>
    <row r="42114" s="689" customFormat="1" x14ac:dyDescent="0.2"/>
    <row r="42115" s="689" customFormat="1" x14ac:dyDescent="0.2"/>
    <row r="42116" s="689" customFormat="1" x14ac:dyDescent="0.2"/>
    <row r="42117" s="689" customFormat="1" x14ac:dyDescent="0.2"/>
    <row r="42118" s="689" customFormat="1" x14ac:dyDescent="0.2"/>
    <row r="42119" s="689" customFormat="1" x14ac:dyDescent="0.2"/>
    <row r="42120" s="689" customFormat="1" x14ac:dyDescent="0.2"/>
    <row r="42121" s="689" customFormat="1" x14ac:dyDescent="0.2"/>
    <row r="42122" s="689" customFormat="1" x14ac:dyDescent="0.2"/>
    <row r="42123" s="689" customFormat="1" x14ac:dyDescent="0.2"/>
    <row r="42124" s="689" customFormat="1" x14ac:dyDescent="0.2"/>
    <row r="42125" s="689" customFormat="1" x14ac:dyDescent="0.2"/>
    <row r="42126" s="689" customFormat="1" x14ac:dyDescent="0.2"/>
    <row r="42127" s="689" customFormat="1" x14ac:dyDescent="0.2"/>
    <row r="42128" s="689" customFormat="1" x14ac:dyDescent="0.2"/>
    <row r="42129" s="689" customFormat="1" x14ac:dyDescent="0.2"/>
    <row r="42130" s="689" customFormat="1" x14ac:dyDescent="0.2"/>
    <row r="42131" s="689" customFormat="1" x14ac:dyDescent="0.2"/>
    <row r="42132" s="689" customFormat="1" x14ac:dyDescent="0.2"/>
    <row r="42133" s="689" customFormat="1" x14ac:dyDescent="0.2"/>
    <row r="42134" s="689" customFormat="1" x14ac:dyDescent="0.2"/>
    <row r="42135" s="689" customFormat="1" x14ac:dyDescent="0.2"/>
    <row r="42136" s="689" customFormat="1" x14ac:dyDescent="0.2"/>
    <row r="42137" s="689" customFormat="1" x14ac:dyDescent="0.2"/>
    <row r="42138" s="689" customFormat="1" x14ac:dyDescent="0.2"/>
    <row r="42139" s="689" customFormat="1" x14ac:dyDescent="0.2"/>
    <row r="42140" s="689" customFormat="1" x14ac:dyDescent="0.2"/>
    <row r="42141" s="689" customFormat="1" x14ac:dyDescent="0.2"/>
    <row r="42142" s="689" customFormat="1" x14ac:dyDescent="0.2"/>
    <row r="42143" s="689" customFormat="1" x14ac:dyDescent="0.2"/>
    <row r="42144" s="689" customFormat="1" x14ac:dyDescent="0.2"/>
    <row r="42145" s="689" customFormat="1" x14ac:dyDescent="0.2"/>
    <row r="42146" s="689" customFormat="1" x14ac:dyDescent="0.2"/>
    <row r="42147" s="689" customFormat="1" x14ac:dyDescent="0.2"/>
    <row r="42148" s="689" customFormat="1" x14ac:dyDescent="0.2"/>
    <row r="42149" s="689" customFormat="1" x14ac:dyDescent="0.2"/>
    <row r="42150" s="689" customFormat="1" x14ac:dyDescent="0.2"/>
    <row r="42151" s="689" customFormat="1" x14ac:dyDescent="0.2"/>
    <row r="42152" s="689" customFormat="1" x14ac:dyDescent="0.2"/>
    <row r="42153" s="689" customFormat="1" x14ac:dyDescent="0.2"/>
    <row r="42154" s="689" customFormat="1" x14ac:dyDescent="0.2"/>
    <row r="42155" s="689" customFormat="1" x14ac:dyDescent="0.2"/>
    <row r="42156" s="689" customFormat="1" x14ac:dyDescent="0.2"/>
    <row r="42157" s="689" customFormat="1" x14ac:dyDescent="0.2"/>
    <row r="42158" s="689" customFormat="1" x14ac:dyDescent="0.2"/>
    <row r="42159" s="689" customFormat="1" x14ac:dyDescent="0.2"/>
    <row r="42160" s="689" customFormat="1" x14ac:dyDescent="0.2"/>
    <row r="42161" s="689" customFormat="1" x14ac:dyDescent="0.2"/>
    <row r="42162" s="689" customFormat="1" x14ac:dyDescent="0.2"/>
    <row r="42163" s="689" customFormat="1" x14ac:dyDescent="0.2"/>
    <row r="42164" s="689" customFormat="1" x14ac:dyDescent="0.2"/>
    <row r="42165" s="689" customFormat="1" x14ac:dyDescent="0.2"/>
    <row r="42166" s="689" customFormat="1" x14ac:dyDescent="0.2"/>
    <row r="42167" s="689" customFormat="1" x14ac:dyDescent="0.2"/>
    <row r="42168" s="689" customFormat="1" x14ac:dyDescent="0.2"/>
    <row r="42169" s="689" customFormat="1" x14ac:dyDescent="0.2"/>
    <row r="42170" s="689" customFormat="1" x14ac:dyDescent="0.2"/>
    <row r="42171" s="689" customFormat="1" x14ac:dyDescent="0.2"/>
    <row r="42172" s="689" customFormat="1" x14ac:dyDescent="0.2"/>
    <row r="42173" s="689" customFormat="1" x14ac:dyDescent="0.2"/>
    <row r="42174" s="689" customFormat="1" x14ac:dyDescent="0.2"/>
    <row r="42175" s="689" customFormat="1" x14ac:dyDescent="0.2"/>
    <row r="42176" s="689" customFormat="1" x14ac:dyDescent="0.2"/>
    <row r="42177" s="689" customFormat="1" x14ac:dyDescent="0.2"/>
    <row r="42178" s="689" customFormat="1" x14ac:dyDescent="0.2"/>
    <row r="42179" s="689" customFormat="1" x14ac:dyDescent="0.2"/>
    <row r="42180" s="689" customFormat="1" x14ac:dyDescent="0.2"/>
    <row r="42181" s="689" customFormat="1" x14ac:dyDescent="0.2"/>
    <row r="42182" s="689" customFormat="1" x14ac:dyDescent="0.2"/>
    <row r="42183" s="689" customFormat="1" x14ac:dyDescent="0.2"/>
    <row r="42184" s="689" customFormat="1" x14ac:dyDescent="0.2"/>
    <row r="42185" s="689" customFormat="1" x14ac:dyDescent="0.2"/>
    <row r="42186" s="689" customFormat="1" x14ac:dyDescent="0.2"/>
    <row r="42187" s="689" customFormat="1" x14ac:dyDescent="0.2"/>
    <row r="42188" s="689" customFormat="1" x14ac:dyDescent="0.2"/>
    <row r="42189" s="689" customFormat="1" x14ac:dyDescent="0.2"/>
    <row r="42190" s="689" customFormat="1" x14ac:dyDescent="0.2"/>
    <row r="42191" s="689" customFormat="1" x14ac:dyDescent="0.2"/>
    <row r="42192" s="689" customFormat="1" x14ac:dyDescent="0.2"/>
    <row r="42193" s="689" customFormat="1" x14ac:dyDescent="0.2"/>
    <row r="42194" s="689" customFormat="1" x14ac:dyDescent="0.2"/>
    <row r="42195" s="689" customFormat="1" x14ac:dyDescent="0.2"/>
    <row r="42196" s="689" customFormat="1" x14ac:dyDescent="0.2"/>
    <row r="42197" s="689" customFormat="1" x14ac:dyDescent="0.2"/>
    <row r="42198" s="689" customFormat="1" x14ac:dyDescent="0.2"/>
    <row r="42199" s="689" customFormat="1" x14ac:dyDescent="0.2"/>
    <row r="42200" s="689" customFormat="1" x14ac:dyDescent="0.2"/>
    <row r="42201" s="689" customFormat="1" x14ac:dyDescent="0.2"/>
    <row r="42202" s="689" customFormat="1" x14ac:dyDescent="0.2"/>
    <row r="42203" s="689" customFormat="1" x14ac:dyDescent="0.2"/>
    <row r="42204" s="689" customFormat="1" x14ac:dyDescent="0.2"/>
    <row r="42205" s="689" customFormat="1" x14ac:dyDescent="0.2"/>
    <row r="42206" s="689" customFormat="1" x14ac:dyDescent="0.2"/>
    <row r="42207" s="689" customFormat="1" x14ac:dyDescent="0.2"/>
    <row r="42208" s="689" customFormat="1" x14ac:dyDescent="0.2"/>
    <row r="42209" s="689" customFormat="1" x14ac:dyDescent="0.2"/>
    <row r="42210" s="689" customFormat="1" x14ac:dyDescent="0.2"/>
    <row r="42211" s="689" customFormat="1" x14ac:dyDescent="0.2"/>
    <row r="42212" s="689" customFormat="1" x14ac:dyDescent="0.2"/>
    <row r="42213" s="689" customFormat="1" x14ac:dyDescent="0.2"/>
    <row r="42214" s="689" customFormat="1" x14ac:dyDescent="0.2"/>
    <row r="42215" s="689" customFormat="1" x14ac:dyDescent="0.2"/>
    <row r="42216" s="689" customFormat="1" x14ac:dyDescent="0.2"/>
    <row r="42217" s="689" customFormat="1" x14ac:dyDescent="0.2"/>
    <row r="42218" s="689" customFormat="1" x14ac:dyDescent="0.2"/>
    <row r="42219" s="689" customFormat="1" x14ac:dyDescent="0.2"/>
    <row r="42220" s="689" customFormat="1" x14ac:dyDescent="0.2"/>
    <row r="42221" s="689" customFormat="1" x14ac:dyDescent="0.2"/>
    <row r="42222" s="689" customFormat="1" x14ac:dyDescent="0.2"/>
    <row r="42223" s="689" customFormat="1" x14ac:dyDescent="0.2"/>
    <row r="42224" s="689" customFormat="1" x14ac:dyDescent="0.2"/>
    <row r="42225" s="689" customFormat="1" x14ac:dyDescent="0.2"/>
    <row r="42226" s="689" customFormat="1" x14ac:dyDescent="0.2"/>
    <row r="42227" s="689" customFormat="1" x14ac:dyDescent="0.2"/>
    <row r="42228" s="689" customFormat="1" x14ac:dyDescent="0.2"/>
    <row r="42229" s="689" customFormat="1" x14ac:dyDescent="0.2"/>
    <row r="42230" s="689" customFormat="1" x14ac:dyDescent="0.2"/>
    <row r="42231" s="689" customFormat="1" x14ac:dyDescent="0.2"/>
    <row r="42232" s="689" customFormat="1" x14ac:dyDescent="0.2"/>
    <row r="42233" s="689" customFormat="1" x14ac:dyDescent="0.2"/>
    <row r="42234" s="689" customFormat="1" x14ac:dyDescent="0.2"/>
    <row r="42235" s="689" customFormat="1" x14ac:dyDescent="0.2"/>
    <row r="42236" s="689" customFormat="1" x14ac:dyDescent="0.2"/>
    <row r="42237" s="689" customFormat="1" x14ac:dyDescent="0.2"/>
    <row r="42238" s="689" customFormat="1" x14ac:dyDescent="0.2"/>
    <row r="42239" s="689" customFormat="1" x14ac:dyDescent="0.2"/>
    <row r="42240" s="689" customFormat="1" x14ac:dyDescent="0.2"/>
    <row r="42241" s="689" customFormat="1" x14ac:dyDescent="0.2"/>
    <row r="42242" s="689" customFormat="1" x14ac:dyDescent="0.2"/>
    <row r="42243" s="689" customFormat="1" x14ac:dyDescent="0.2"/>
    <row r="42244" s="689" customFormat="1" x14ac:dyDescent="0.2"/>
    <row r="42245" s="689" customFormat="1" x14ac:dyDescent="0.2"/>
    <row r="42246" s="689" customFormat="1" x14ac:dyDescent="0.2"/>
    <row r="42247" s="689" customFormat="1" x14ac:dyDescent="0.2"/>
    <row r="42248" s="689" customFormat="1" x14ac:dyDescent="0.2"/>
    <row r="42249" s="689" customFormat="1" x14ac:dyDescent="0.2"/>
    <row r="42250" s="689" customFormat="1" x14ac:dyDescent="0.2"/>
    <row r="42251" s="689" customFormat="1" x14ac:dyDescent="0.2"/>
    <row r="42252" s="689" customFormat="1" x14ac:dyDescent="0.2"/>
    <row r="42253" s="689" customFormat="1" x14ac:dyDescent="0.2"/>
    <row r="42254" s="689" customFormat="1" x14ac:dyDescent="0.2"/>
    <row r="42255" s="689" customFormat="1" x14ac:dyDescent="0.2"/>
    <row r="42256" s="689" customFormat="1" x14ac:dyDescent="0.2"/>
    <row r="42257" s="689" customFormat="1" x14ac:dyDescent="0.2"/>
    <row r="42258" s="689" customFormat="1" x14ac:dyDescent="0.2"/>
    <row r="42259" s="689" customFormat="1" x14ac:dyDescent="0.2"/>
    <row r="42260" s="689" customFormat="1" x14ac:dyDescent="0.2"/>
    <row r="42261" s="689" customFormat="1" x14ac:dyDescent="0.2"/>
    <row r="42262" s="689" customFormat="1" x14ac:dyDescent="0.2"/>
    <row r="42263" s="689" customFormat="1" x14ac:dyDescent="0.2"/>
    <row r="42264" s="689" customFormat="1" x14ac:dyDescent="0.2"/>
    <row r="42265" s="689" customFormat="1" x14ac:dyDescent="0.2"/>
    <row r="42266" s="689" customFormat="1" x14ac:dyDescent="0.2"/>
    <row r="42267" s="689" customFormat="1" x14ac:dyDescent="0.2"/>
    <row r="42268" s="689" customFormat="1" x14ac:dyDescent="0.2"/>
    <row r="42269" s="689" customFormat="1" x14ac:dyDescent="0.2"/>
    <row r="42270" s="689" customFormat="1" x14ac:dyDescent="0.2"/>
    <row r="42271" s="689" customFormat="1" x14ac:dyDescent="0.2"/>
    <row r="42272" s="689" customFormat="1" x14ac:dyDescent="0.2"/>
    <row r="42273" s="689" customFormat="1" x14ac:dyDescent="0.2"/>
    <row r="42274" s="689" customFormat="1" x14ac:dyDescent="0.2"/>
    <row r="42275" s="689" customFormat="1" x14ac:dyDescent="0.2"/>
    <row r="42276" s="689" customFormat="1" x14ac:dyDescent="0.2"/>
    <row r="42277" s="689" customFormat="1" x14ac:dyDescent="0.2"/>
    <row r="42278" s="689" customFormat="1" x14ac:dyDescent="0.2"/>
    <row r="42279" s="689" customFormat="1" x14ac:dyDescent="0.2"/>
    <row r="42280" s="689" customFormat="1" x14ac:dyDescent="0.2"/>
    <row r="42281" s="689" customFormat="1" x14ac:dyDescent="0.2"/>
    <row r="42282" s="689" customFormat="1" x14ac:dyDescent="0.2"/>
    <row r="42283" s="689" customFormat="1" x14ac:dyDescent="0.2"/>
    <row r="42284" s="689" customFormat="1" x14ac:dyDescent="0.2"/>
    <row r="42285" s="689" customFormat="1" x14ac:dyDescent="0.2"/>
    <row r="42286" s="689" customFormat="1" x14ac:dyDescent="0.2"/>
    <row r="42287" s="689" customFormat="1" x14ac:dyDescent="0.2"/>
    <row r="42288" s="689" customFormat="1" x14ac:dyDescent="0.2"/>
    <row r="42289" s="689" customFormat="1" x14ac:dyDescent="0.2"/>
    <row r="42290" s="689" customFormat="1" x14ac:dyDescent="0.2"/>
    <row r="42291" s="689" customFormat="1" x14ac:dyDescent="0.2"/>
    <row r="42292" s="689" customFormat="1" x14ac:dyDescent="0.2"/>
    <row r="42293" s="689" customFormat="1" x14ac:dyDescent="0.2"/>
    <row r="42294" s="689" customFormat="1" x14ac:dyDescent="0.2"/>
    <row r="42295" s="689" customFormat="1" x14ac:dyDescent="0.2"/>
    <row r="42296" s="689" customFormat="1" x14ac:dyDescent="0.2"/>
    <row r="42297" s="689" customFormat="1" x14ac:dyDescent="0.2"/>
    <row r="42298" s="689" customFormat="1" x14ac:dyDescent="0.2"/>
    <row r="42299" s="689" customFormat="1" x14ac:dyDescent="0.2"/>
    <row r="42300" s="689" customFormat="1" x14ac:dyDescent="0.2"/>
    <row r="42301" s="689" customFormat="1" x14ac:dyDescent="0.2"/>
    <row r="42302" s="689" customFormat="1" x14ac:dyDescent="0.2"/>
    <row r="42303" s="689" customFormat="1" x14ac:dyDescent="0.2"/>
    <row r="42304" s="689" customFormat="1" x14ac:dyDescent="0.2"/>
    <row r="42305" s="689" customFormat="1" x14ac:dyDescent="0.2"/>
    <row r="42306" s="689" customFormat="1" x14ac:dyDescent="0.2"/>
    <row r="42307" s="689" customFormat="1" x14ac:dyDescent="0.2"/>
    <row r="42308" s="689" customFormat="1" x14ac:dyDescent="0.2"/>
    <row r="42309" s="689" customFormat="1" x14ac:dyDescent="0.2"/>
    <row r="42310" s="689" customFormat="1" x14ac:dyDescent="0.2"/>
    <row r="42311" s="689" customFormat="1" x14ac:dyDescent="0.2"/>
    <row r="42312" s="689" customFormat="1" x14ac:dyDescent="0.2"/>
    <row r="42313" s="689" customFormat="1" x14ac:dyDescent="0.2"/>
    <row r="42314" s="689" customFormat="1" x14ac:dyDescent="0.2"/>
    <row r="42315" s="689" customFormat="1" x14ac:dyDescent="0.2"/>
    <row r="42316" s="689" customFormat="1" x14ac:dyDescent="0.2"/>
    <row r="42317" s="689" customFormat="1" x14ac:dyDescent="0.2"/>
    <row r="42318" s="689" customFormat="1" x14ac:dyDescent="0.2"/>
    <row r="42319" s="689" customFormat="1" x14ac:dyDescent="0.2"/>
    <row r="42320" s="689" customFormat="1" x14ac:dyDescent="0.2"/>
    <row r="42321" s="689" customFormat="1" x14ac:dyDescent="0.2"/>
    <row r="42322" s="689" customFormat="1" x14ac:dyDescent="0.2"/>
    <row r="42323" s="689" customFormat="1" x14ac:dyDescent="0.2"/>
    <row r="42324" s="689" customFormat="1" x14ac:dyDescent="0.2"/>
    <row r="42325" s="689" customFormat="1" x14ac:dyDescent="0.2"/>
    <row r="42326" s="689" customFormat="1" x14ac:dyDescent="0.2"/>
    <row r="42327" s="689" customFormat="1" x14ac:dyDescent="0.2"/>
    <row r="42328" s="689" customFormat="1" x14ac:dyDescent="0.2"/>
    <row r="42329" s="689" customFormat="1" x14ac:dyDescent="0.2"/>
    <row r="42330" s="689" customFormat="1" x14ac:dyDescent="0.2"/>
    <row r="42331" s="689" customFormat="1" x14ac:dyDescent="0.2"/>
    <row r="42332" s="689" customFormat="1" x14ac:dyDescent="0.2"/>
    <row r="42333" s="689" customFormat="1" x14ac:dyDescent="0.2"/>
    <row r="42334" s="689" customFormat="1" x14ac:dyDescent="0.2"/>
    <row r="42335" s="689" customFormat="1" x14ac:dyDescent="0.2"/>
    <row r="42336" s="689" customFormat="1" x14ac:dyDescent="0.2"/>
    <row r="42337" s="689" customFormat="1" x14ac:dyDescent="0.2"/>
    <row r="42338" s="689" customFormat="1" x14ac:dyDescent="0.2"/>
    <row r="42339" s="689" customFormat="1" x14ac:dyDescent="0.2"/>
    <row r="42340" s="689" customFormat="1" x14ac:dyDescent="0.2"/>
    <row r="42341" s="689" customFormat="1" x14ac:dyDescent="0.2"/>
    <row r="42342" s="689" customFormat="1" x14ac:dyDescent="0.2"/>
    <row r="42343" s="689" customFormat="1" x14ac:dyDescent="0.2"/>
    <row r="42344" s="689" customFormat="1" x14ac:dyDescent="0.2"/>
    <row r="42345" s="689" customFormat="1" x14ac:dyDescent="0.2"/>
    <row r="42346" s="689" customFormat="1" x14ac:dyDescent="0.2"/>
    <row r="42347" s="689" customFormat="1" x14ac:dyDescent="0.2"/>
    <row r="42348" s="689" customFormat="1" x14ac:dyDescent="0.2"/>
    <row r="42349" s="689" customFormat="1" x14ac:dyDescent="0.2"/>
    <row r="42350" s="689" customFormat="1" x14ac:dyDescent="0.2"/>
    <row r="42351" s="689" customFormat="1" x14ac:dyDescent="0.2"/>
    <row r="42352" s="689" customFormat="1" x14ac:dyDescent="0.2"/>
    <row r="42353" s="689" customFormat="1" x14ac:dyDescent="0.2"/>
    <row r="42354" s="689" customFormat="1" x14ac:dyDescent="0.2"/>
    <row r="42355" s="689" customFormat="1" x14ac:dyDescent="0.2"/>
    <row r="42356" s="689" customFormat="1" x14ac:dyDescent="0.2"/>
    <row r="42357" s="689" customFormat="1" x14ac:dyDescent="0.2"/>
    <row r="42358" s="689" customFormat="1" x14ac:dyDescent="0.2"/>
    <row r="42359" s="689" customFormat="1" x14ac:dyDescent="0.2"/>
    <row r="42360" s="689" customFormat="1" x14ac:dyDescent="0.2"/>
    <row r="42361" s="689" customFormat="1" x14ac:dyDescent="0.2"/>
    <row r="42362" s="689" customFormat="1" x14ac:dyDescent="0.2"/>
    <row r="42363" s="689" customFormat="1" x14ac:dyDescent="0.2"/>
    <row r="42364" s="689" customFormat="1" x14ac:dyDescent="0.2"/>
    <row r="42365" s="689" customFormat="1" x14ac:dyDescent="0.2"/>
    <row r="42366" s="689" customFormat="1" x14ac:dyDescent="0.2"/>
    <row r="42367" s="689" customFormat="1" x14ac:dyDescent="0.2"/>
    <row r="42368" s="689" customFormat="1" x14ac:dyDescent="0.2"/>
    <row r="42369" s="689" customFormat="1" x14ac:dyDescent="0.2"/>
    <row r="42370" s="689" customFormat="1" x14ac:dyDescent="0.2"/>
    <row r="42371" s="689" customFormat="1" x14ac:dyDescent="0.2"/>
    <row r="42372" s="689" customFormat="1" x14ac:dyDescent="0.2"/>
    <row r="42373" s="689" customFormat="1" x14ac:dyDescent="0.2"/>
    <row r="42374" s="689" customFormat="1" x14ac:dyDescent="0.2"/>
    <row r="42375" s="689" customFormat="1" x14ac:dyDescent="0.2"/>
    <row r="42376" s="689" customFormat="1" x14ac:dyDescent="0.2"/>
    <row r="42377" s="689" customFormat="1" x14ac:dyDescent="0.2"/>
    <row r="42378" s="689" customFormat="1" x14ac:dyDescent="0.2"/>
    <row r="42379" s="689" customFormat="1" x14ac:dyDescent="0.2"/>
    <row r="42380" s="689" customFormat="1" x14ac:dyDescent="0.2"/>
    <row r="42381" s="689" customFormat="1" x14ac:dyDescent="0.2"/>
    <row r="42382" s="689" customFormat="1" x14ac:dyDescent="0.2"/>
    <row r="42383" s="689" customFormat="1" x14ac:dyDescent="0.2"/>
    <row r="42384" s="689" customFormat="1" x14ac:dyDescent="0.2"/>
    <row r="42385" s="689" customFormat="1" x14ac:dyDescent="0.2"/>
    <row r="42386" s="689" customFormat="1" x14ac:dyDescent="0.2"/>
    <row r="42387" s="689" customFormat="1" x14ac:dyDescent="0.2"/>
    <row r="42388" s="689" customFormat="1" x14ac:dyDescent="0.2"/>
    <row r="42389" s="689" customFormat="1" x14ac:dyDescent="0.2"/>
    <row r="42390" s="689" customFormat="1" x14ac:dyDescent="0.2"/>
    <row r="42391" s="689" customFormat="1" x14ac:dyDescent="0.2"/>
    <row r="42392" s="689" customFormat="1" x14ac:dyDescent="0.2"/>
    <row r="42393" s="689" customFormat="1" x14ac:dyDescent="0.2"/>
    <row r="42394" s="689" customFormat="1" x14ac:dyDescent="0.2"/>
    <row r="42395" s="689" customFormat="1" x14ac:dyDescent="0.2"/>
    <row r="42396" s="689" customFormat="1" x14ac:dyDescent="0.2"/>
    <row r="42397" s="689" customFormat="1" x14ac:dyDescent="0.2"/>
    <row r="42398" s="689" customFormat="1" x14ac:dyDescent="0.2"/>
    <row r="42399" s="689" customFormat="1" x14ac:dyDescent="0.2"/>
    <row r="42400" s="689" customFormat="1" x14ac:dyDescent="0.2"/>
    <row r="42401" s="689" customFormat="1" x14ac:dyDescent="0.2"/>
    <row r="42402" s="689" customFormat="1" x14ac:dyDescent="0.2"/>
    <row r="42403" s="689" customFormat="1" x14ac:dyDescent="0.2"/>
    <row r="42404" s="689" customFormat="1" x14ac:dyDescent="0.2"/>
    <row r="42405" s="689" customFormat="1" x14ac:dyDescent="0.2"/>
    <row r="42406" s="689" customFormat="1" x14ac:dyDescent="0.2"/>
    <row r="42407" s="689" customFormat="1" x14ac:dyDescent="0.2"/>
    <row r="42408" s="689" customFormat="1" x14ac:dyDescent="0.2"/>
    <row r="42409" s="689" customFormat="1" x14ac:dyDescent="0.2"/>
    <row r="42410" s="689" customFormat="1" x14ac:dyDescent="0.2"/>
    <row r="42411" s="689" customFormat="1" x14ac:dyDescent="0.2"/>
    <row r="42412" s="689" customFormat="1" x14ac:dyDescent="0.2"/>
    <row r="42413" s="689" customFormat="1" x14ac:dyDescent="0.2"/>
    <row r="42414" s="689" customFormat="1" x14ac:dyDescent="0.2"/>
    <row r="42415" s="689" customFormat="1" x14ac:dyDescent="0.2"/>
    <row r="42416" s="689" customFormat="1" x14ac:dyDescent="0.2"/>
    <row r="42417" s="689" customFormat="1" x14ac:dyDescent="0.2"/>
    <row r="42418" s="689" customFormat="1" x14ac:dyDescent="0.2"/>
    <row r="42419" s="689" customFormat="1" x14ac:dyDescent="0.2"/>
    <row r="42420" s="689" customFormat="1" x14ac:dyDescent="0.2"/>
    <row r="42421" s="689" customFormat="1" x14ac:dyDescent="0.2"/>
    <row r="42422" s="689" customFormat="1" x14ac:dyDescent="0.2"/>
    <row r="42423" s="689" customFormat="1" x14ac:dyDescent="0.2"/>
    <row r="42424" s="689" customFormat="1" x14ac:dyDescent="0.2"/>
    <row r="42425" s="689" customFormat="1" x14ac:dyDescent="0.2"/>
    <row r="42426" s="689" customFormat="1" x14ac:dyDescent="0.2"/>
    <row r="42427" s="689" customFormat="1" x14ac:dyDescent="0.2"/>
    <row r="42428" s="689" customFormat="1" x14ac:dyDescent="0.2"/>
    <row r="42429" s="689" customFormat="1" x14ac:dyDescent="0.2"/>
    <row r="42430" s="689" customFormat="1" x14ac:dyDescent="0.2"/>
    <row r="42431" s="689" customFormat="1" x14ac:dyDescent="0.2"/>
    <row r="42432" s="689" customFormat="1" x14ac:dyDescent="0.2"/>
    <row r="42433" s="689" customFormat="1" x14ac:dyDescent="0.2"/>
    <row r="42434" s="689" customFormat="1" x14ac:dyDescent="0.2"/>
    <row r="42435" s="689" customFormat="1" x14ac:dyDescent="0.2"/>
    <row r="42436" s="689" customFormat="1" x14ac:dyDescent="0.2"/>
    <row r="42437" s="689" customFormat="1" x14ac:dyDescent="0.2"/>
    <row r="42438" s="689" customFormat="1" x14ac:dyDescent="0.2"/>
    <row r="42439" s="689" customFormat="1" x14ac:dyDescent="0.2"/>
    <row r="42440" s="689" customFormat="1" x14ac:dyDescent="0.2"/>
    <row r="42441" s="689" customFormat="1" x14ac:dyDescent="0.2"/>
    <row r="42442" s="689" customFormat="1" x14ac:dyDescent="0.2"/>
    <row r="42443" s="689" customFormat="1" x14ac:dyDescent="0.2"/>
    <row r="42444" s="689" customFormat="1" x14ac:dyDescent="0.2"/>
    <row r="42445" s="689" customFormat="1" x14ac:dyDescent="0.2"/>
    <row r="42446" s="689" customFormat="1" x14ac:dyDescent="0.2"/>
    <row r="42447" s="689" customFormat="1" x14ac:dyDescent="0.2"/>
    <row r="42448" s="689" customFormat="1" x14ac:dyDescent="0.2"/>
    <row r="42449" s="689" customFormat="1" x14ac:dyDescent="0.2"/>
    <row r="42450" s="689" customFormat="1" x14ac:dyDescent="0.2"/>
    <row r="42451" s="689" customFormat="1" x14ac:dyDescent="0.2"/>
    <row r="42452" s="689" customFormat="1" x14ac:dyDescent="0.2"/>
    <row r="42453" s="689" customFormat="1" x14ac:dyDescent="0.2"/>
    <row r="42454" s="689" customFormat="1" x14ac:dyDescent="0.2"/>
    <row r="42455" s="689" customFormat="1" x14ac:dyDescent="0.2"/>
    <row r="42456" s="689" customFormat="1" x14ac:dyDescent="0.2"/>
    <row r="42457" s="689" customFormat="1" x14ac:dyDescent="0.2"/>
    <row r="42458" s="689" customFormat="1" x14ac:dyDescent="0.2"/>
    <row r="42459" s="689" customFormat="1" x14ac:dyDescent="0.2"/>
    <row r="42460" s="689" customFormat="1" x14ac:dyDescent="0.2"/>
    <row r="42461" s="689" customFormat="1" x14ac:dyDescent="0.2"/>
    <row r="42462" s="689" customFormat="1" x14ac:dyDescent="0.2"/>
    <row r="42463" s="689" customFormat="1" x14ac:dyDescent="0.2"/>
    <row r="42464" s="689" customFormat="1" x14ac:dyDescent="0.2"/>
    <row r="42465" s="689" customFormat="1" x14ac:dyDescent="0.2"/>
    <row r="42466" s="689" customFormat="1" x14ac:dyDescent="0.2"/>
    <row r="42467" s="689" customFormat="1" x14ac:dyDescent="0.2"/>
    <row r="42468" s="689" customFormat="1" x14ac:dyDescent="0.2"/>
    <row r="42469" s="689" customFormat="1" x14ac:dyDescent="0.2"/>
    <row r="42470" s="689" customFormat="1" x14ac:dyDescent="0.2"/>
    <row r="42471" s="689" customFormat="1" x14ac:dyDescent="0.2"/>
    <row r="42472" s="689" customFormat="1" x14ac:dyDescent="0.2"/>
    <row r="42473" s="689" customFormat="1" x14ac:dyDescent="0.2"/>
    <row r="42474" s="689" customFormat="1" x14ac:dyDescent="0.2"/>
    <row r="42475" s="689" customFormat="1" x14ac:dyDescent="0.2"/>
    <row r="42476" s="689" customFormat="1" x14ac:dyDescent="0.2"/>
    <row r="42477" s="689" customFormat="1" x14ac:dyDescent="0.2"/>
    <row r="42478" s="689" customFormat="1" x14ac:dyDescent="0.2"/>
    <row r="42479" s="689" customFormat="1" x14ac:dyDescent="0.2"/>
    <row r="42480" s="689" customFormat="1" x14ac:dyDescent="0.2"/>
    <row r="42481" s="689" customFormat="1" x14ac:dyDescent="0.2"/>
    <row r="42482" s="689" customFormat="1" x14ac:dyDescent="0.2"/>
    <row r="42483" s="689" customFormat="1" x14ac:dyDescent="0.2"/>
    <row r="42484" s="689" customFormat="1" x14ac:dyDescent="0.2"/>
    <row r="42485" s="689" customFormat="1" x14ac:dyDescent="0.2"/>
    <row r="42486" s="689" customFormat="1" x14ac:dyDescent="0.2"/>
    <row r="42487" s="689" customFormat="1" x14ac:dyDescent="0.2"/>
    <row r="42488" s="689" customFormat="1" x14ac:dyDescent="0.2"/>
    <row r="42489" s="689" customFormat="1" x14ac:dyDescent="0.2"/>
    <row r="42490" s="689" customFormat="1" x14ac:dyDescent="0.2"/>
    <row r="42491" s="689" customFormat="1" x14ac:dyDescent="0.2"/>
    <row r="42492" s="689" customFormat="1" x14ac:dyDescent="0.2"/>
    <row r="42493" s="689" customFormat="1" x14ac:dyDescent="0.2"/>
    <row r="42494" s="689" customFormat="1" x14ac:dyDescent="0.2"/>
    <row r="42495" s="689" customFormat="1" x14ac:dyDescent="0.2"/>
    <row r="42496" s="689" customFormat="1" x14ac:dyDescent="0.2"/>
    <row r="42497" s="689" customFormat="1" x14ac:dyDescent="0.2"/>
    <row r="42498" s="689" customFormat="1" x14ac:dyDescent="0.2"/>
    <row r="42499" s="689" customFormat="1" x14ac:dyDescent="0.2"/>
    <row r="42500" s="689" customFormat="1" x14ac:dyDescent="0.2"/>
    <row r="42501" s="689" customFormat="1" x14ac:dyDescent="0.2"/>
    <row r="42502" s="689" customFormat="1" x14ac:dyDescent="0.2"/>
    <row r="42503" s="689" customFormat="1" x14ac:dyDescent="0.2"/>
    <row r="42504" s="689" customFormat="1" x14ac:dyDescent="0.2"/>
    <row r="42505" s="689" customFormat="1" x14ac:dyDescent="0.2"/>
    <row r="42506" s="689" customFormat="1" x14ac:dyDescent="0.2"/>
    <row r="42507" s="689" customFormat="1" x14ac:dyDescent="0.2"/>
    <row r="42508" s="689" customFormat="1" x14ac:dyDescent="0.2"/>
    <row r="42509" s="689" customFormat="1" x14ac:dyDescent="0.2"/>
    <row r="42510" s="689" customFormat="1" x14ac:dyDescent="0.2"/>
    <row r="42511" s="689" customFormat="1" x14ac:dyDescent="0.2"/>
    <row r="42512" s="689" customFormat="1" x14ac:dyDescent="0.2"/>
    <row r="42513" s="689" customFormat="1" x14ac:dyDescent="0.2"/>
    <row r="42514" s="689" customFormat="1" x14ac:dyDescent="0.2"/>
    <row r="42515" s="689" customFormat="1" x14ac:dyDescent="0.2"/>
    <row r="42516" s="689" customFormat="1" x14ac:dyDescent="0.2"/>
    <row r="42517" s="689" customFormat="1" x14ac:dyDescent="0.2"/>
    <row r="42518" s="689" customFormat="1" x14ac:dyDescent="0.2"/>
    <row r="42519" s="689" customFormat="1" x14ac:dyDescent="0.2"/>
    <row r="42520" s="689" customFormat="1" x14ac:dyDescent="0.2"/>
    <row r="42521" s="689" customFormat="1" x14ac:dyDescent="0.2"/>
    <row r="42522" s="689" customFormat="1" x14ac:dyDescent="0.2"/>
    <row r="42523" s="689" customFormat="1" x14ac:dyDescent="0.2"/>
    <row r="42524" s="689" customFormat="1" x14ac:dyDescent="0.2"/>
    <row r="42525" s="689" customFormat="1" x14ac:dyDescent="0.2"/>
    <row r="42526" s="689" customFormat="1" x14ac:dyDescent="0.2"/>
    <row r="42527" s="689" customFormat="1" x14ac:dyDescent="0.2"/>
    <row r="42528" s="689" customFormat="1" x14ac:dyDescent="0.2"/>
    <row r="42529" s="689" customFormat="1" x14ac:dyDescent="0.2"/>
    <row r="42530" s="689" customFormat="1" x14ac:dyDescent="0.2"/>
    <row r="42531" s="689" customFormat="1" x14ac:dyDescent="0.2"/>
    <row r="42532" s="689" customFormat="1" x14ac:dyDescent="0.2"/>
    <row r="42533" s="689" customFormat="1" x14ac:dyDescent="0.2"/>
    <row r="42534" s="689" customFormat="1" x14ac:dyDescent="0.2"/>
    <row r="42535" s="689" customFormat="1" x14ac:dyDescent="0.2"/>
    <row r="42536" s="689" customFormat="1" x14ac:dyDescent="0.2"/>
    <row r="42537" s="689" customFormat="1" x14ac:dyDescent="0.2"/>
    <row r="42538" s="689" customFormat="1" x14ac:dyDescent="0.2"/>
    <row r="42539" s="689" customFormat="1" x14ac:dyDescent="0.2"/>
    <row r="42540" s="689" customFormat="1" x14ac:dyDescent="0.2"/>
    <row r="42541" s="689" customFormat="1" x14ac:dyDescent="0.2"/>
    <row r="42542" s="689" customFormat="1" x14ac:dyDescent="0.2"/>
    <row r="42543" s="689" customFormat="1" x14ac:dyDescent="0.2"/>
    <row r="42544" s="689" customFormat="1" x14ac:dyDescent="0.2"/>
    <row r="42545" s="689" customFormat="1" x14ac:dyDescent="0.2"/>
    <row r="42546" s="689" customFormat="1" x14ac:dyDescent="0.2"/>
    <row r="42547" s="689" customFormat="1" x14ac:dyDescent="0.2"/>
    <row r="42548" s="689" customFormat="1" x14ac:dyDescent="0.2"/>
    <row r="42549" s="689" customFormat="1" x14ac:dyDescent="0.2"/>
    <row r="42550" s="689" customFormat="1" x14ac:dyDescent="0.2"/>
    <row r="42551" s="689" customFormat="1" x14ac:dyDescent="0.2"/>
    <row r="42552" s="689" customFormat="1" x14ac:dyDescent="0.2"/>
    <row r="42553" s="689" customFormat="1" x14ac:dyDescent="0.2"/>
    <row r="42554" s="689" customFormat="1" x14ac:dyDescent="0.2"/>
    <row r="42555" s="689" customFormat="1" x14ac:dyDescent="0.2"/>
    <row r="42556" s="689" customFormat="1" x14ac:dyDescent="0.2"/>
    <row r="42557" s="689" customFormat="1" x14ac:dyDescent="0.2"/>
    <row r="42558" s="689" customFormat="1" x14ac:dyDescent="0.2"/>
    <row r="42559" s="689" customFormat="1" x14ac:dyDescent="0.2"/>
    <row r="42560" s="689" customFormat="1" x14ac:dyDescent="0.2"/>
    <row r="42561" s="689" customFormat="1" x14ac:dyDescent="0.2"/>
    <row r="42562" s="689" customFormat="1" x14ac:dyDescent="0.2"/>
    <row r="42563" s="689" customFormat="1" x14ac:dyDescent="0.2"/>
    <row r="42564" s="689" customFormat="1" x14ac:dyDescent="0.2"/>
    <row r="42565" s="689" customFormat="1" x14ac:dyDescent="0.2"/>
    <row r="42566" s="689" customFormat="1" x14ac:dyDescent="0.2"/>
    <row r="42567" s="689" customFormat="1" x14ac:dyDescent="0.2"/>
    <row r="42568" s="689" customFormat="1" x14ac:dyDescent="0.2"/>
    <row r="42569" s="689" customFormat="1" x14ac:dyDescent="0.2"/>
    <row r="42570" s="689" customFormat="1" x14ac:dyDescent="0.2"/>
    <row r="42571" s="689" customFormat="1" x14ac:dyDescent="0.2"/>
    <row r="42572" s="689" customFormat="1" x14ac:dyDescent="0.2"/>
    <row r="42573" s="689" customFormat="1" x14ac:dyDescent="0.2"/>
    <row r="42574" s="689" customFormat="1" x14ac:dyDescent="0.2"/>
    <row r="42575" s="689" customFormat="1" x14ac:dyDescent="0.2"/>
    <row r="42576" s="689" customFormat="1" x14ac:dyDescent="0.2"/>
    <row r="42577" s="689" customFormat="1" x14ac:dyDescent="0.2"/>
    <row r="42578" s="689" customFormat="1" x14ac:dyDescent="0.2"/>
    <row r="42579" s="689" customFormat="1" x14ac:dyDescent="0.2"/>
    <row r="42580" s="689" customFormat="1" x14ac:dyDescent="0.2"/>
    <row r="42581" s="689" customFormat="1" x14ac:dyDescent="0.2"/>
    <row r="42582" s="689" customFormat="1" x14ac:dyDescent="0.2"/>
    <row r="42583" s="689" customFormat="1" x14ac:dyDescent="0.2"/>
    <row r="42584" s="689" customFormat="1" x14ac:dyDescent="0.2"/>
    <row r="42585" s="689" customFormat="1" x14ac:dyDescent="0.2"/>
    <row r="42586" s="689" customFormat="1" x14ac:dyDescent="0.2"/>
    <row r="42587" s="689" customFormat="1" x14ac:dyDescent="0.2"/>
    <row r="42588" s="689" customFormat="1" x14ac:dyDescent="0.2"/>
    <row r="42589" s="689" customFormat="1" x14ac:dyDescent="0.2"/>
    <row r="42590" s="689" customFormat="1" x14ac:dyDescent="0.2"/>
    <row r="42591" s="689" customFormat="1" x14ac:dyDescent="0.2"/>
    <row r="42592" s="689" customFormat="1" x14ac:dyDescent="0.2"/>
    <row r="42593" s="689" customFormat="1" x14ac:dyDescent="0.2"/>
    <row r="42594" s="689" customFormat="1" x14ac:dyDescent="0.2"/>
    <row r="42595" s="689" customFormat="1" x14ac:dyDescent="0.2"/>
    <row r="42596" s="689" customFormat="1" x14ac:dyDescent="0.2"/>
    <row r="42597" s="689" customFormat="1" x14ac:dyDescent="0.2"/>
    <row r="42598" s="689" customFormat="1" x14ac:dyDescent="0.2"/>
    <row r="42599" s="689" customFormat="1" x14ac:dyDescent="0.2"/>
    <row r="42600" s="689" customFormat="1" x14ac:dyDescent="0.2"/>
    <row r="42601" s="689" customFormat="1" x14ac:dyDescent="0.2"/>
    <row r="42602" s="689" customFormat="1" x14ac:dyDescent="0.2"/>
    <row r="42603" s="689" customFormat="1" x14ac:dyDescent="0.2"/>
    <row r="42604" s="689" customFormat="1" x14ac:dyDescent="0.2"/>
    <row r="42605" s="689" customFormat="1" x14ac:dyDescent="0.2"/>
    <row r="42606" s="689" customFormat="1" x14ac:dyDescent="0.2"/>
    <row r="42607" s="689" customFormat="1" x14ac:dyDescent="0.2"/>
    <row r="42608" s="689" customFormat="1" x14ac:dyDescent="0.2"/>
    <row r="42609" s="689" customFormat="1" x14ac:dyDescent="0.2"/>
    <row r="42610" s="689" customFormat="1" x14ac:dyDescent="0.2"/>
    <row r="42611" s="689" customFormat="1" x14ac:dyDescent="0.2"/>
    <row r="42612" s="689" customFormat="1" x14ac:dyDescent="0.2"/>
    <row r="42613" s="689" customFormat="1" x14ac:dyDescent="0.2"/>
    <row r="42614" s="689" customFormat="1" x14ac:dyDescent="0.2"/>
    <row r="42615" s="689" customFormat="1" x14ac:dyDescent="0.2"/>
    <row r="42616" s="689" customFormat="1" x14ac:dyDescent="0.2"/>
    <row r="42617" s="689" customFormat="1" x14ac:dyDescent="0.2"/>
    <row r="42618" s="689" customFormat="1" x14ac:dyDescent="0.2"/>
    <row r="42619" s="689" customFormat="1" x14ac:dyDescent="0.2"/>
    <row r="42620" s="689" customFormat="1" x14ac:dyDescent="0.2"/>
    <row r="42621" s="689" customFormat="1" x14ac:dyDescent="0.2"/>
    <row r="42622" s="689" customFormat="1" x14ac:dyDescent="0.2"/>
    <row r="42623" s="689" customFormat="1" x14ac:dyDescent="0.2"/>
    <row r="42624" s="689" customFormat="1" x14ac:dyDescent="0.2"/>
    <row r="42625" s="689" customFormat="1" x14ac:dyDescent="0.2"/>
    <row r="42626" s="689" customFormat="1" x14ac:dyDescent="0.2"/>
    <row r="42627" s="689" customFormat="1" x14ac:dyDescent="0.2"/>
    <row r="42628" s="689" customFormat="1" x14ac:dyDescent="0.2"/>
    <row r="42629" s="689" customFormat="1" x14ac:dyDescent="0.2"/>
    <row r="42630" s="689" customFormat="1" x14ac:dyDescent="0.2"/>
    <row r="42631" s="689" customFormat="1" x14ac:dyDescent="0.2"/>
    <row r="42632" s="689" customFormat="1" x14ac:dyDescent="0.2"/>
    <row r="42633" s="689" customFormat="1" x14ac:dyDescent="0.2"/>
    <row r="42634" s="689" customFormat="1" x14ac:dyDescent="0.2"/>
    <row r="42635" s="689" customFormat="1" x14ac:dyDescent="0.2"/>
    <row r="42636" s="689" customFormat="1" x14ac:dyDescent="0.2"/>
    <row r="42637" s="689" customFormat="1" x14ac:dyDescent="0.2"/>
    <row r="42638" s="689" customFormat="1" x14ac:dyDescent="0.2"/>
    <row r="42639" s="689" customFormat="1" x14ac:dyDescent="0.2"/>
    <row r="42640" s="689" customFormat="1" x14ac:dyDescent="0.2"/>
    <row r="42641" s="689" customFormat="1" x14ac:dyDescent="0.2"/>
    <row r="42642" s="689" customFormat="1" x14ac:dyDescent="0.2"/>
    <row r="42643" s="689" customFormat="1" x14ac:dyDescent="0.2"/>
    <row r="42644" s="689" customFormat="1" x14ac:dyDescent="0.2"/>
    <row r="42645" s="689" customFormat="1" x14ac:dyDescent="0.2"/>
    <row r="42646" s="689" customFormat="1" x14ac:dyDescent="0.2"/>
    <row r="42647" s="689" customFormat="1" x14ac:dyDescent="0.2"/>
    <row r="42648" s="689" customFormat="1" x14ac:dyDescent="0.2"/>
    <row r="42649" s="689" customFormat="1" x14ac:dyDescent="0.2"/>
    <row r="42650" s="689" customFormat="1" x14ac:dyDescent="0.2"/>
    <row r="42651" s="689" customFormat="1" x14ac:dyDescent="0.2"/>
    <row r="42652" s="689" customFormat="1" x14ac:dyDescent="0.2"/>
    <row r="42653" s="689" customFormat="1" x14ac:dyDescent="0.2"/>
    <row r="42654" s="689" customFormat="1" x14ac:dyDescent="0.2"/>
    <row r="42655" s="689" customFormat="1" x14ac:dyDescent="0.2"/>
    <row r="42656" s="689" customFormat="1" x14ac:dyDescent="0.2"/>
    <row r="42657" s="689" customFormat="1" x14ac:dyDescent="0.2"/>
    <row r="42658" s="689" customFormat="1" x14ac:dyDescent="0.2"/>
    <row r="42659" s="689" customFormat="1" x14ac:dyDescent="0.2"/>
    <row r="42660" s="689" customFormat="1" x14ac:dyDescent="0.2"/>
    <row r="42661" s="689" customFormat="1" x14ac:dyDescent="0.2"/>
    <row r="42662" s="689" customFormat="1" x14ac:dyDescent="0.2"/>
    <row r="42663" s="689" customFormat="1" x14ac:dyDescent="0.2"/>
    <row r="42664" s="689" customFormat="1" x14ac:dyDescent="0.2"/>
    <row r="42665" s="689" customFormat="1" x14ac:dyDescent="0.2"/>
    <row r="42666" s="689" customFormat="1" x14ac:dyDescent="0.2"/>
    <row r="42667" s="689" customFormat="1" x14ac:dyDescent="0.2"/>
    <row r="42668" s="689" customFormat="1" x14ac:dyDescent="0.2"/>
    <row r="42669" s="689" customFormat="1" x14ac:dyDescent="0.2"/>
    <row r="42670" s="689" customFormat="1" x14ac:dyDescent="0.2"/>
    <row r="42671" s="689" customFormat="1" x14ac:dyDescent="0.2"/>
    <row r="42672" s="689" customFormat="1" x14ac:dyDescent="0.2"/>
    <row r="42673" s="689" customFormat="1" x14ac:dyDescent="0.2"/>
    <row r="42674" s="689" customFormat="1" x14ac:dyDescent="0.2"/>
    <row r="42675" s="689" customFormat="1" x14ac:dyDescent="0.2"/>
    <row r="42676" s="689" customFormat="1" x14ac:dyDescent="0.2"/>
    <row r="42677" s="689" customFormat="1" x14ac:dyDescent="0.2"/>
    <row r="42678" s="689" customFormat="1" x14ac:dyDescent="0.2"/>
    <row r="42679" s="689" customFormat="1" x14ac:dyDescent="0.2"/>
    <row r="42680" s="689" customFormat="1" x14ac:dyDescent="0.2"/>
    <row r="42681" s="689" customFormat="1" x14ac:dyDescent="0.2"/>
    <row r="42682" s="689" customFormat="1" x14ac:dyDescent="0.2"/>
    <row r="42683" s="689" customFormat="1" x14ac:dyDescent="0.2"/>
    <row r="42684" s="689" customFormat="1" x14ac:dyDescent="0.2"/>
    <row r="42685" s="689" customFormat="1" x14ac:dyDescent="0.2"/>
    <row r="42686" s="689" customFormat="1" x14ac:dyDescent="0.2"/>
    <row r="42687" s="689" customFormat="1" x14ac:dyDescent="0.2"/>
    <row r="42688" s="689" customFormat="1" x14ac:dyDescent="0.2"/>
    <row r="42689" s="689" customFormat="1" x14ac:dyDescent="0.2"/>
    <row r="42690" s="689" customFormat="1" x14ac:dyDescent="0.2"/>
    <row r="42691" s="689" customFormat="1" x14ac:dyDescent="0.2"/>
    <row r="42692" s="689" customFormat="1" x14ac:dyDescent="0.2"/>
    <row r="42693" s="689" customFormat="1" x14ac:dyDescent="0.2"/>
    <row r="42694" s="689" customFormat="1" x14ac:dyDescent="0.2"/>
    <row r="42695" s="689" customFormat="1" x14ac:dyDescent="0.2"/>
    <row r="42696" s="689" customFormat="1" x14ac:dyDescent="0.2"/>
    <row r="42697" s="689" customFormat="1" x14ac:dyDescent="0.2"/>
    <row r="42698" s="689" customFormat="1" x14ac:dyDescent="0.2"/>
    <row r="42699" s="689" customFormat="1" x14ac:dyDescent="0.2"/>
    <row r="42700" s="689" customFormat="1" x14ac:dyDescent="0.2"/>
    <row r="42701" s="689" customFormat="1" x14ac:dyDescent="0.2"/>
    <row r="42702" s="689" customFormat="1" x14ac:dyDescent="0.2"/>
    <row r="42703" s="689" customFormat="1" x14ac:dyDescent="0.2"/>
    <row r="42704" s="689" customFormat="1" x14ac:dyDescent="0.2"/>
    <row r="42705" s="689" customFormat="1" x14ac:dyDescent="0.2"/>
    <row r="42706" s="689" customFormat="1" x14ac:dyDescent="0.2"/>
    <row r="42707" s="689" customFormat="1" x14ac:dyDescent="0.2"/>
    <row r="42708" s="689" customFormat="1" x14ac:dyDescent="0.2"/>
    <row r="42709" s="689" customFormat="1" x14ac:dyDescent="0.2"/>
    <row r="42710" s="689" customFormat="1" x14ac:dyDescent="0.2"/>
    <row r="42711" s="689" customFormat="1" x14ac:dyDescent="0.2"/>
    <row r="42712" s="689" customFormat="1" x14ac:dyDescent="0.2"/>
    <row r="42713" s="689" customFormat="1" x14ac:dyDescent="0.2"/>
    <row r="42714" s="689" customFormat="1" x14ac:dyDescent="0.2"/>
    <row r="42715" s="689" customFormat="1" x14ac:dyDescent="0.2"/>
    <row r="42716" s="689" customFormat="1" x14ac:dyDescent="0.2"/>
    <row r="42717" s="689" customFormat="1" x14ac:dyDescent="0.2"/>
    <row r="42718" s="689" customFormat="1" x14ac:dyDescent="0.2"/>
    <row r="42719" s="689" customFormat="1" x14ac:dyDescent="0.2"/>
    <row r="42720" s="689" customFormat="1" x14ac:dyDescent="0.2"/>
    <row r="42721" s="689" customFormat="1" x14ac:dyDescent="0.2"/>
    <row r="42722" s="689" customFormat="1" x14ac:dyDescent="0.2"/>
    <row r="42723" s="689" customFormat="1" x14ac:dyDescent="0.2"/>
    <row r="42724" s="689" customFormat="1" x14ac:dyDescent="0.2"/>
    <row r="42725" s="689" customFormat="1" x14ac:dyDescent="0.2"/>
    <row r="42726" s="689" customFormat="1" x14ac:dyDescent="0.2"/>
    <row r="42727" s="689" customFormat="1" x14ac:dyDescent="0.2"/>
    <row r="42728" s="689" customFormat="1" x14ac:dyDescent="0.2"/>
    <row r="42729" s="689" customFormat="1" x14ac:dyDescent="0.2"/>
    <row r="42730" s="689" customFormat="1" x14ac:dyDescent="0.2"/>
    <row r="42731" s="689" customFormat="1" x14ac:dyDescent="0.2"/>
    <row r="42732" s="689" customFormat="1" x14ac:dyDescent="0.2"/>
    <row r="42733" s="689" customFormat="1" x14ac:dyDescent="0.2"/>
    <row r="42734" s="689" customFormat="1" x14ac:dyDescent="0.2"/>
    <row r="42735" s="689" customFormat="1" x14ac:dyDescent="0.2"/>
    <row r="42736" s="689" customFormat="1" x14ac:dyDescent="0.2"/>
    <row r="42737" s="689" customFormat="1" x14ac:dyDescent="0.2"/>
    <row r="42738" s="689" customFormat="1" x14ac:dyDescent="0.2"/>
    <row r="42739" s="689" customFormat="1" x14ac:dyDescent="0.2"/>
    <row r="42740" s="689" customFormat="1" x14ac:dyDescent="0.2"/>
    <row r="42741" s="689" customFormat="1" x14ac:dyDescent="0.2"/>
    <row r="42742" s="689" customFormat="1" x14ac:dyDescent="0.2"/>
    <row r="42743" s="689" customFormat="1" x14ac:dyDescent="0.2"/>
    <row r="42744" s="689" customFormat="1" x14ac:dyDescent="0.2"/>
    <row r="42745" s="689" customFormat="1" x14ac:dyDescent="0.2"/>
    <row r="42746" s="689" customFormat="1" x14ac:dyDescent="0.2"/>
    <row r="42747" s="689" customFormat="1" x14ac:dyDescent="0.2"/>
    <row r="42748" s="689" customFormat="1" x14ac:dyDescent="0.2"/>
    <row r="42749" s="689" customFormat="1" x14ac:dyDescent="0.2"/>
    <row r="42750" s="689" customFormat="1" x14ac:dyDescent="0.2"/>
    <row r="42751" s="689" customFormat="1" x14ac:dyDescent="0.2"/>
    <row r="42752" s="689" customFormat="1" x14ac:dyDescent="0.2"/>
    <row r="42753" s="689" customFormat="1" x14ac:dyDescent="0.2"/>
    <row r="42754" s="689" customFormat="1" x14ac:dyDescent="0.2"/>
    <row r="42755" s="689" customFormat="1" x14ac:dyDescent="0.2"/>
    <row r="42756" s="689" customFormat="1" x14ac:dyDescent="0.2"/>
    <row r="42757" s="689" customFormat="1" x14ac:dyDescent="0.2"/>
    <row r="42758" s="689" customFormat="1" x14ac:dyDescent="0.2"/>
    <row r="42759" s="689" customFormat="1" x14ac:dyDescent="0.2"/>
    <row r="42760" s="689" customFormat="1" x14ac:dyDescent="0.2"/>
    <row r="42761" s="689" customFormat="1" x14ac:dyDescent="0.2"/>
    <row r="42762" s="689" customFormat="1" x14ac:dyDescent="0.2"/>
    <row r="42763" s="689" customFormat="1" x14ac:dyDescent="0.2"/>
    <row r="42764" s="689" customFormat="1" x14ac:dyDescent="0.2"/>
    <row r="42765" s="689" customFormat="1" x14ac:dyDescent="0.2"/>
    <row r="42766" s="689" customFormat="1" x14ac:dyDescent="0.2"/>
    <row r="42767" s="689" customFormat="1" x14ac:dyDescent="0.2"/>
    <row r="42768" s="689" customFormat="1" x14ac:dyDescent="0.2"/>
    <row r="42769" s="689" customFormat="1" x14ac:dyDescent="0.2"/>
    <row r="42770" s="689" customFormat="1" x14ac:dyDescent="0.2"/>
    <row r="42771" s="689" customFormat="1" x14ac:dyDescent="0.2"/>
    <row r="42772" s="689" customFormat="1" x14ac:dyDescent="0.2"/>
    <row r="42773" s="689" customFormat="1" x14ac:dyDescent="0.2"/>
    <row r="42774" s="689" customFormat="1" x14ac:dyDescent="0.2"/>
    <row r="42775" s="689" customFormat="1" x14ac:dyDescent="0.2"/>
    <row r="42776" s="689" customFormat="1" x14ac:dyDescent="0.2"/>
    <row r="42777" s="689" customFormat="1" x14ac:dyDescent="0.2"/>
    <row r="42778" s="689" customFormat="1" x14ac:dyDescent="0.2"/>
    <row r="42779" s="689" customFormat="1" x14ac:dyDescent="0.2"/>
    <row r="42780" s="689" customFormat="1" x14ac:dyDescent="0.2"/>
    <row r="42781" s="689" customFormat="1" x14ac:dyDescent="0.2"/>
    <row r="42782" s="689" customFormat="1" x14ac:dyDescent="0.2"/>
    <row r="42783" s="689" customFormat="1" x14ac:dyDescent="0.2"/>
    <row r="42784" s="689" customFormat="1" x14ac:dyDescent="0.2"/>
    <row r="42785" s="689" customFormat="1" x14ac:dyDescent="0.2"/>
    <row r="42786" s="689" customFormat="1" x14ac:dyDescent="0.2"/>
    <row r="42787" s="689" customFormat="1" x14ac:dyDescent="0.2"/>
    <row r="42788" s="689" customFormat="1" x14ac:dyDescent="0.2"/>
    <row r="42789" s="689" customFormat="1" x14ac:dyDescent="0.2"/>
    <row r="42790" s="689" customFormat="1" x14ac:dyDescent="0.2"/>
    <row r="42791" s="689" customFormat="1" x14ac:dyDescent="0.2"/>
    <row r="42792" s="689" customFormat="1" x14ac:dyDescent="0.2"/>
    <row r="42793" s="689" customFormat="1" x14ac:dyDescent="0.2"/>
    <row r="42794" s="689" customFormat="1" x14ac:dyDescent="0.2"/>
    <row r="42795" s="689" customFormat="1" x14ac:dyDescent="0.2"/>
    <row r="42796" s="689" customFormat="1" x14ac:dyDescent="0.2"/>
    <row r="42797" s="689" customFormat="1" x14ac:dyDescent="0.2"/>
    <row r="42798" s="689" customFormat="1" x14ac:dyDescent="0.2"/>
    <row r="42799" s="689" customFormat="1" x14ac:dyDescent="0.2"/>
    <row r="42800" s="689" customFormat="1" x14ac:dyDescent="0.2"/>
    <row r="42801" s="689" customFormat="1" x14ac:dyDescent="0.2"/>
    <row r="42802" s="689" customFormat="1" x14ac:dyDescent="0.2"/>
    <row r="42803" s="689" customFormat="1" x14ac:dyDescent="0.2"/>
    <row r="42804" s="689" customFormat="1" x14ac:dyDescent="0.2"/>
    <row r="42805" s="689" customFormat="1" x14ac:dyDescent="0.2"/>
    <row r="42806" s="689" customFormat="1" x14ac:dyDescent="0.2"/>
    <row r="42807" s="689" customFormat="1" x14ac:dyDescent="0.2"/>
    <row r="42808" s="689" customFormat="1" x14ac:dyDescent="0.2"/>
    <row r="42809" s="689" customFormat="1" x14ac:dyDescent="0.2"/>
    <row r="42810" s="689" customFormat="1" x14ac:dyDescent="0.2"/>
    <row r="42811" s="689" customFormat="1" x14ac:dyDescent="0.2"/>
    <row r="42812" s="689" customFormat="1" x14ac:dyDescent="0.2"/>
    <row r="42813" s="689" customFormat="1" x14ac:dyDescent="0.2"/>
    <row r="42814" s="689" customFormat="1" x14ac:dyDescent="0.2"/>
    <row r="42815" s="689" customFormat="1" x14ac:dyDescent="0.2"/>
    <row r="42816" s="689" customFormat="1" x14ac:dyDescent="0.2"/>
    <row r="42817" s="689" customFormat="1" x14ac:dyDescent="0.2"/>
    <row r="42818" s="689" customFormat="1" x14ac:dyDescent="0.2"/>
    <row r="42819" s="689" customFormat="1" x14ac:dyDescent="0.2"/>
    <row r="42820" s="689" customFormat="1" x14ac:dyDescent="0.2"/>
    <row r="42821" s="689" customFormat="1" x14ac:dyDescent="0.2"/>
    <row r="42822" s="689" customFormat="1" x14ac:dyDescent="0.2"/>
    <row r="42823" s="689" customFormat="1" x14ac:dyDescent="0.2"/>
    <row r="42824" s="689" customFormat="1" x14ac:dyDescent="0.2"/>
    <row r="42825" s="689" customFormat="1" x14ac:dyDescent="0.2"/>
    <row r="42826" s="689" customFormat="1" x14ac:dyDescent="0.2"/>
    <row r="42827" s="689" customFormat="1" x14ac:dyDescent="0.2"/>
    <row r="42828" s="689" customFormat="1" x14ac:dyDescent="0.2"/>
    <row r="42829" s="689" customFormat="1" x14ac:dyDescent="0.2"/>
    <row r="42830" s="689" customFormat="1" x14ac:dyDescent="0.2"/>
    <row r="42831" s="689" customFormat="1" x14ac:dyDescent="0.2"/>
    <row r="42832" s="689" customFormat="1" x14ac:dyDescent="0.2"/>
    <row r="42833" s="689" customFormat="1" x14ac:dyDescent="0.2"/>
    <row r="42834" s="689" customFormat="1" x14ac:dyDescent="0.2"/>
    <row r="42835" s="689" customFormat="1" x14ac:dyDescent="0.2"/>
    <row r="42836" s="689" customFormat="1" x14ac:dyDescent="0.2"/>
    <row r="42837" s="689" customFormat="1" x14ac:dyDescent="0.2"/>
    <row r="42838" s="689" customFormat="1" x14ac:dyDescent="0.2"/>
    <row r="42839" s="689" customFormat="1" x14ac:dyDescent="0.2"/>
    <row r="42840" s="689" customFormat="1" x14ac:dyDescent="0.2"/>
    <row r="42841" s="689" customFormat="1" x14ac:dyDescent="0.2"/>
    <row r="42842" s="689" customFormat="1" x14ac:dyDescent="0.2"/>
    <row r="42843" s="689" customFormat="1" x14ac:dyDescent="0.2"/>
    <row r="42844" s="689" customFormat="1" x14ac:dyDescent="0.2"/>
    <row r="42845" s="689" customFormat="1" x14ac:dyDescent="0.2"/>
    <row r="42846" s="689" customFormat="1" x14ac:dyDescent="0.2"/>
    <row r="42847" s="689" customFormat="1" x14ac:dyDescent="0.2"/>
    <row r="42848" s="689" customFormat="1" x14ac:dyDescent="0.2"/>
    <row r="42849" s="689" customFormat="1" x14ac:dyDescent="0.2"/>
    <row r="42850" s="689" customFormat="1" x14ac:dyDescent="0.2"/>
    <row r="42851" s="689" customFormat="1" x14ac:dyDescent="0.2"/>
    <row r="42852" s="689" customFormat="1" x14ac:dyDescent="0.2"/>
    <row r="42853" s="689" customFormat="1" x14ac:dyDescent="0.2"/>
    <row r="42854" s="689" customFormat="1" x14ac:dyDescent="0.2"/>
    <row r="42855" s="689" customFormat="1" x14ac:dyDescent="0.2"/>
    <row r="42856" s="689" customFormat="1" x14ac:dyDescent="0.2"/>
    <row r="42857" s="689" customFormat="1" x14ac:dyDescent="0.2"/>
    <row r="42858" s="689" customFormat="1" x14ac:dyDescent="0.2"/>
    <row r="42859" s="689" customFormat="1" x14ac:dyDescent="0.2"/>
    <row r="42860" s="689" customFormat="1" x14ac:dyDescent="0.2"/>
    <row r="42861" s="689" customFormat="1" x14ac:dyDescent="0.2"/>
    <row r="42862" s="689" customFormat="1" x14ac:dyDescent="0.2"/>
    <row r="42863" s="689" customFormat="1" x14ac:dyDescent="0.2"/>
    <row r="42864" s="689" customFormat="1" x14ac:dyDescent="0.2"/>
    <row r="42865" s="689" customFormat="1" x14ac:dyDescent="0.2"/>
    <row r="42866" s="689" customFormat="1" x14ac:dyDescent="0.2"/>
    <row r="42867" s="689" customFormat="1" x14ac:dyDescent="0.2"/>
    <row r="42868" s="689" customFormat="1" x14ac:dyDescent="0.2"/>
    <row r="42869" s="689" customFormat="1" x14ac:dyDescent="0.2"/>
    <row r="42870" s="689" customFormat="1" x14ac:dyDescent="0.2"/>
    <row r="42871" s="689" customFormat="1" x14ac:dyDescent="0.2"/>
    <row r="42872" s="689" customFormat="1" x14ac:dyDescent="0.2"/>
    <row r="42873" s="689" customFormat="1" x14ac:dyDescent="0.2"/>
    <row r="42874" s="689" customFormat="1" x14ac:dyDescent="0.2"/>
    <row r="42875" s="689" customFormat="1" x14ac:dyDescent="0.2"/>
    <row r="42876" s="689" customFormat="1" x14ac:dyDescent="0.2"/>
    <row r="42877" s="689" customFormat="1" x14ac:dyDescent="0.2"/>
    <row r="42878" s="689" customFormat="1" x14ac:dyDescent="0.2"/>
    <row r="42879" s="689" customFormat="1" x14ac:dyDescent="0.2"/>
    <row r="42880" s="689" customFormat="1" x14ac:dyDescent="0.2"/>
    <row r="42881" s="689" customFormat="1" x14ac:dyDescent="0.2"/>
    <row r="42882" s="689" customFormat="1" x14ac:dyDescent="0.2"/>
    <row r="42883" s="689" customFormat="1" x14ac:dyDescent="0.2"/>
    <row r="42884" s="689" customFormat="1" x14ac:dyDescent="0.2"/>
    <row r="42885" s="689" customFormat="1" x14ac:dyDescent="0.2"/>
    <row r="42886" s="689" customFormat="1" x14ac:dyDescent="0.2"/>
    <row r="42887" s="689" customFormat="1" x14ac:dyDescent="0.2"/>
    <row r="42888" s="689" customFormat="1" x14ac:dyDescent="0.2"/>
    <row r="42889" s="689" customFormat="1" x14ac:dyDescent="0.2"/>
    <row r="42890" s="689" customFormat="1" x14ac:dyDescent="0.2"/>
    <row r="42891" s="689" customFormat="1" x14ac:dyDescent="0.2"/>
    <row r="42892" s="689" customFormat="1" x14ac:dyDescent="0.2"/>
    <row r="42893" s="689" customFormat="1" x14ac:dyDescent="0.2"/>
    <row r="42894" s="689" customFormat="1" x14ac:dyDescent="0.2"/>
    <row r="42895" s="689" customFormat="1" x14ac:dyDescent="0.2"/>
    <row r="42896" s="689" customFormat="1" x14ac:dyDescent="0.2"/>
    <row r="42897" s="689" customFormat="1" x14ac:dyDescent="0.2"/>
    <row r="42898" s="689" customFormat="1" x14ac:dyDescent="0.2"/>
    <row r="42899" s="689" customFormat="1" x14ac:dyDescent="0.2"/>
    <row r="42900" s="689" customFormat="1" x14ac:dyDescent="0.2"/>
    <row r="42901" s="689" customFormat="1" x14ac:dyDescent="0.2"/>
    <row r="42902" s="689" customFormat="1" x14ac:dyDescent="0.2"/>
    <row r="42903" s="689" customFormat="1" x14ac:dyDescent="0.2"/>
    <row r="42904" s="689" customFormat="1" x14ac:dyDescent="0.2"/>
    <row r="42905" s="689" customFormat="1" x14ac:dyDescent="0.2"/>
    <row r="42906" s="689" customFormat="1" x14ac:dyDescent="0.2"/>
    <row r="42907" s="689" customFormat="1" x14ac:dyDescent="0.2"/>
    <row r="42908" s="689" customFormat="1" x14ac:dyDescent="0.2"/>
    <row r="42909" s="689" customFormat="1" x14ac:dyDescent="0.2"/>
    <row r="42910" s="689" customFormat="1" x14ac:dyDescent="0.2"/>
    <row r="42911" s="689" customFormat="1" x14ac:dyDescent="0.2"/>
    <row r="42912" s="689" customFormat="1" x14ac:dyDescent="0.2"/>
    <row r="42913" s="689" customFormat="1" x14ac:dyDescent="0.2"/>
    <row r="42914" s="689" customFormat="1" x14ac:dyDescent="0.2"/>
    <row r="42915" s="689" customFormat="1" x14ac:dyDescent="0.2"/>
    <row r="42916" s="689" customFormat="1" x14ac:dyDescent="0.2"/>
    <row r="42917" s="689" customFormat="1" x14ac:dyDescent="0.2"/>
    <row r="42918" s="689" customFormat="1" x14ac:dyDescent="0.2"/>
    <row r="42919" s="689" customFormat="1" x14ac:dyDescent="0.2"/>
    <row r="42920" s="689" customFormat="1" x14ac:dyDescent="0.2"/>
    <row r="42921" s="689" customFormat="1" x14ac:dyDescent="0.2"/>
    <row r="42922" s="689" customFormat="1" x14ac:dyDescent="0.2"/>
    <row r="42923" s="689" customFormat="1" x14ac:dyDescent="0.2"/>
    <row r="42924" s="689" customFormat="1" x14ac:dyDescent="0.2"/>
    <row r="42925" s="689" customFormat="1" x14ac:dyDescent="0.2"/>
    <row r="42926" s="689" customFormat="1" x14ac:dyDescent="0.2"/>
    <row r="42927" s="689" customFormat="1" x14ac:dyDescent="0.2"/>
    <row r="42928" s="689" customFormat="1" x14ac:dyDescent="0.2"/>
    <row r="42929" s="689" customFormat="1" x14ac:dyDescent="0.2"/>
    <row r="42930" s="689" customFormat="1" x14ac:dyDescent="0.2"/>
    <row r="42931" s="689" customFormat="1" x14ac:dyDescent="0.2"/>
    <row r="42932" s="689" customFormat="1" x14ac:dyDescent="0.2"/>
    <row r="42933" s="689" customFormat="1" x14ac:dyDescent="0.2"/>
    <row r="42934" s="689" customFormat="1" x14ac:dyDescent="0.2"/>
    <row r="42935" s="689" customFormat="1" x14ac:dyDescent="0.2"/>
    <row r="42936" s="689" customFormat="1" x14ac:dyDescent="0.2"/>
    <row r="42937" s="689" customFormat="1" x14ac:dyDescent="0.2"/>
    <row r="42938" s="689" customFormat="1" x14ac:dyDescent="0.2"/>
    <row r="42939" s="689" customFormat="1" x14ac:dyDescent="0.2"/>
    <row r="42940" s="689" customFormat="1" x14ac:dyDescent="0.2"/>
    <row r="42941" s="689" customFormat="1" x14ac:dyDescent="0.2"/>
    <row r="42942" s="689" customFormat="1" x14ac:dyDescent="0.2"/>
    <row r="42943" s="689" customFormat="1" x14ac:dyDescent="0.2"/>
    <row r="42944" s="689" customFormat="1" x14ac:dyDescent="0.2"/>
    <row r="42945" s="689" customFormat="1" x14ac:dyDescent="0.2"/>
    <row r="42946" s="689" customFormat="1" x14ac:dyDescent="0.2"/>
    <row r="42947" s="689" customFormat="1" x14ac:dyDescent="0.2"/>
    <row r="42948" s="689" customFormat="1" x14ac:dyDescent="0.2"/>
    <row r="42949" s="689" customFormat="1" x14ac:dyDescent="0.2"/>
    <row r="42950" s="689" customFormat="1" x14ac:dyDescent="0.2"/>
    <row r="42951" s="689" customFormat="1" x14ac:dyDescent="0.2"/>
    <row r="42952" s="689" customFormat="1" x14ac:dyDescent="0.2"/>
    <row r="42953" s="689" customFormat="1" x14ac:dyDescent="0.2"/>
    <row r="42954" s="689" customFormat="1" x14ac:dyDescent="0.2"/>
    <row r="42955" s="689" customFormat="1" x14ac:dyDescent="0.2"/>
    <row r="42956" s="689" customFormat="1" x14ac:dyDescent="0.2"/>
    <row r="42957" s="689" customFormat="1" x14ac:dyDescent="0.2"/>
    <row r="42958" s="689" customFormat="1" x14ac:dyDescent="0.2"/>
    <row r="42959" s="689" customFormat="1" x14ac:dyDescent="0.2"/>
    <row r="42960" s="689" customFormat="1" x14ac:dyDescent="0.2"/>
    <row r="42961" s="689" customFormat="1" x14ac:dyDescent="0.2"/>
    <row r="42962" s="689" customFormat="1" x14ac:dyDescent="0.2"/>
    <row r="42963" s="689" customFormat="1" x14ac:dyDescent="0.2"/>
    <row r="42964" s="689" customFormat="1" x14ac:dyDescent="0.2"/>
    <row r="42965" s="689" customFormat="1" x14ac:dyDescent="0.2"/>
    <row r="42966" s="689" customFormat="1" x14ac:dyDescent="0.2"/>
    <row r="42967" s="689" customFormat="1" x14ac:dyDescent="0.2"/>
    <row r="42968" s="689" customFormat="1" x14ac:dyDescent="0.2"/>
    <row r="42969" s="689" customFormat="1" x14ac:dyDescent="0.2"/>
    <row r="42970" s="689" customFormat="1" x14ac:dyDescent="0.2"/>
    <row r="42971" s="689" customFormat="1" x14ac:dyDescent="0.2"/>
    <row r="42972" s="689" customFormat="1" x14ac:dyDescent="0.2"/>
    <row r="42973" s="689" customFormat="1" x14ac:dyDescent="0.2"/>
    <row r="42974" s="689" customFormat="1" x14ac:dyDescent="0.2"/>
    <row r="42975" s="689" customFormat="1" x14ac:dyDescent="0.2"/>
    <row r="42976" s="689" customFormat="1" x14ac:dyDescent="0.2"/>
    <row r="42977" s="689" customFormat="1" x14ac:dyDescent="0.2"/>
    <row r="42978" s="689" customFormat="1" x14ac:dyDescent="0.2"/>
    <row r="42979" s="689" customFormat="1" x14ac:dyDescent="0.2"/>
    <row r="42980" s="689" customFormat="1" x14ac:dyDescent="0.2"/>
    <row r="42981" s="689" customFormat="1" x14ac:dyDescent="0.2"/>
    <row r="42982" s="689" customFormat="1" x14ac:dyDescent="0.2"/>
    <row r="42983" s="689" customFormat="1" x14ac:dyDescent="0.2"/>
    <row r="42984" s="689" customFormat="1" x14ac:dyDescent="0.2"/>
    <row r="42985" s="689" customFormat="1" x14ac:dyDescent="0.2"/>
    <row r="42986" s="689" customFormat="1" x14ac:dyDescent="0.2"/>
    <row r="42987" s="689" customFormat="1" x14ac:dyDescent="0.2"/>
    <row r="42988" s="689" customFormat="1" x14ac:dyDescent="0.2"/>
    <row r="42989" s="689" customFormat="1" x14ac:dyDescent="0.2"/>
    <row r="42990" s="689" customFormat="1" x14ac:dyDescent="0.2"/>
    <row r="42991" s="689" customFormat="1" x14ac:dyDescent="0.2"/>
    <row r="42992" s="689" customFormat="1" x14ac:dyDescent="0.2"/>
    <row r="42993" s="689" customFormat="1" x14ac:dyDescent="0.2"/>
    <row r="42994" s="689" customFormat="1" x14ac:dyDescent="0.2"/>
    <row r="42995" s="689" customFormat="1" x14ac:dyDescent="0.2"/>
    <row r="42996" s="689" customFormat="1" x14ac:dyDescent="0.2"/>
    <row r="42997" s="689" customFormat="1" x14ac:dyDescent="0.2"/>
    <row r="42998" s="689" customFormat="1" x14ac:dyDescent="0.2"/>
    <row r="42999" s="689" customFormat="1" x14ac:dyDescent="0.2"/>
    <row r="43000" s="689" customFormat="1" x14ac:dyDescent="0.2"/>
    <row r="43001" s="689" customFormat="1" x14ac:dyDescent="0.2"/>
    <row r="43002" s="689" customFormat="1" x14ac:dyDescent="0.2"/>
    <row r="43003" s="689" customFormat="1" x14ac:dyDescent="0.2"/>
    <row r="43004" s="689" customFormat="1" x14ac:dyDescent="0.2"/>
    <row r="43005" s="689" customFormat="1" x14ac:dyDescent="0.2"/>
    <row r="43006" s="689" customFormat="1" x14ac:dyDescent="0.2"/>
    <row r="43007" s="689" customFormat="1" x14ac:dyDescent="0.2"/>
    <row r="43008" s="689" customFormat="1" x14ac:dyDescent="0.2"/>
    <row r="43009" s="689" customFormat="1" x14ac:dyDescent="0.2"/>
    <row r="43010" s="689" customFormat="1" x14ac:dyDescent="0.2"/>
    <row r="43011" s="689" customFormat="1" x14ac:dyDescent="0.2"/>
    <row r="43012" s="689" customFormat="1" x14ac:dyDescent="0.2"/>
    <row r="43013" s="689" customFormat="1" x14ac:dyDescent="0.2"/>
    <row r="43014" s="689" customFormat="1" x14ac:dyDescent="0.2"/>
    <row r="43015" s="689" customFormat="1" x14ac:dyDescent="0.2"/>
    <row r="43016" s="689" customFormat="1" x14ac:dyDescent="0.2"/>
    <row r="43017" s="689" customFormat="1" x14ac:dyDescent="0.2"/>
    <row r="43018" s="689" customFormat="1" x14ac:dyDescent="0.2"/>
    <row r="43019" s="689" customFormat="1" x14ac:dyDescent="0.2"/>
    <row r="43020" s="689" customFormat="1" x14ac:dyDescent="0.2"/>
    <row r="43021" s="689" customFormat="1" x14ac:dyDescent="0.2"/>
    <row r="43022" s="689" customFormat="1" x14ac:dyDescent="0.2"/>
    <row r="43023" s="689" customFormat="1" x14ac:dyDescent="0.2"/>
    <row r="43024" s="689" customFormat="1" x14ac:dyDescent="0.2"/>
    <row r="43025" s="689" customFormat="1" x14ac:dyDescent="0.2"/>
    <row r="43026" s="689" customFormat="1" x14ac:dyDescent="0.2"/>
    <row r="43027" s="689" customFormat="1" x14ac:dyDescent="0.2"/>
    <row r="43028" s="689" customFormat="1" x14ac:dyDescent="0.2"/>
    <row r="43029" s="689" customFormat="1" x14ac:dyDescent="0.2"/>
    <row r="43030" s="689" customFormat="1" x14ac:dyDescent="0.2"/>
    <row r="43031" s="689" customFormat="1" x14ac:dyDescent="0.2"/>
    <row r="43032" s="689" customFormat="1" x14ac:dyDescent="0.2"/>
    <row r="43033" s="689" customFormat="1" x14ac:dyDescent="0.2"/>
    <row r="43034" s="689" customFormat="1" x14ac:dyDescent="0.2"/>
    <row r="43035" s="689" customFormat="1" x14ac:dyDescent="0.2"/>
    <row r="43036" s="689" customFormat="1" x14ac:dyDescent="0.2"/>
    <row r="43037" s="689" customFormat="1" x14ac:dyDescent="0.2"/>
    <row r="43038" s="689" customFormat="1" x14ac:dyDescent="0.2"/>
    <row r="43039" s="689" customFormat="1" x14ac:dyDescent="0.2"/>
    <row r="43040" s="689" customFormat="1" x14ac:dyDescent="0.2"/>
    <row r="43041" s="689" customFormat="1" x14ac:dyDescent="0.2"/>
    <row r="43042" s="689" customFormat="1" x14ac:dyDescent="0.2"/>
    <row r="43043" s="689" customFormat="1" x14ac:dyDescent="0.2"/>
    <row r="43044" s="689" customFormat="1" x14ac:dyDescent="0.2"/>
    <row r="43045" s="689" customFormat="1" x14ac:dyDescent="0.2"/>
    <row r="43046" s="689" customFormat="1" x14ac:dyDescent="0.2"/>
    <row r="43047" s="689" customFormat="1" x14ac:dyDescent="0.2"/>
    <row r="43048" s="689" customFormat="1" x14ac:dyDescent="0.2"/>
    <row r="43049" s="689" customFormat="1" x14ac:dyDescent="0.2"/>
    <row r="43050" s="689" customFormat="1" x14ac:dyDescent="0.2"/>
    <row r="43051" s="689" customFormat="1" x14ac:dyDescent="0.2"/>
    <row r="43052" s="689" customFormat="1" x14ac:dyDescent="0.2"/>
    <row r="43053" s="689" customFormat="1" x14ac:dyDescent="0.2"/>
    <row r="43054" s="689" customFormat="1" x14ac:dyDescent="0.2"/>
    <row r="43055" s="689" customFormat="1" x14ac:dyDescent="0.2"/>
    <row r="43056" s="689" customFormat="1" x14ac:dyDescent="0.2"/>
    <row r="43057" s="689" customFormat="1" x14ac:dyDescent="0.2"/>
    <row r="43058" s="689" customFormat="1" x14ac:dyDescent="0.2"/>
    <row r="43059" s="689" customFormat="1" x14ac:dyDescent="0.2"/>
    <row r="43060" s="689" customFormat="1" x14ac:dyDescent="0.2"/>
    <row r="43061" s="689" customFormat="1" x14ac:dyDescent="0.2"/>
    <row r="43062" s="689" customFormat="1" x14ac:dyDescent="0.2"/>
    <row r="43063" s="689" customFormat="1" x14ac:dyDescent="0.2"/>
    <row r="43064" s="689" customFormat="1" x14ac:dyDescent="0.2"/>
    <row r="43065" s="689" customFormat="1" x14ac:dyDescent="0.2"/>
    <row r="43066" s="689" customFormat="1" x14ac:dyDescent="0.2"/>
    <row r="43067" s="689" customFormat="1" x14ac:dyDescent="0.2"/>
    <row r="43068" s="689" customFormat="1" x14ac:dyDescent="0.2"/>
    <row r="43069" s="689" customFormat="1" x14ac:dyDescent="0.2"/>
    <row r="43070" s="689" customFormat="1" x14ac:dyDescent="0.2"/>
    <row r="43071" s="689" customFormat="1" x14ac:dyDescent="0.2"/>
    <row r="43072" s="689" customFormat="1" x14ac:dyDescent="0.2"/>
    <row r="43073" s="689" customFormat="1" x14ac:dyDescent="0.2"/>
    <row r="43074" s="689" customFormat="1" x14ac:dyDescent="0.2"/>
    <row r="43075" s="689" customFormat="1" x14ac:dyDescent="0.2"/>
    <row r="43076" s="689" customFormat="1" x14ac:dyDescent="0.2"/>
    <row r="43077" s="689" customFormat="1" x14ac:dyDescent="0.2"/>
    <row r="43078" s="689" customFormat="1" x14ac:dyDescent="0.2"/>
    <row r="43079" s="689" customFormat="1" x14ac:dyDescent="0.2"/>
    <row r="43080" s="689" customFormat="1" x14ac:dyDescent="0.2"/>
    <row r="43081" s="689" customFormat="1" x14ac:dyDescent="0.2"/>
    <row r="43082" s="689" customFormat="1" x14ac:dyDescent="0.2"/>
    <row r="43083" s="689" customFormat="1" x14ac:dyDescent="0.2"/>
    <row r="43084" s="689" customFormat="1" x14ac:dyDescent="0.2"/>
    <row r="43085" s="689" customFormat="1" x14ac:dyDescent="0.2"/>
    <row r="43086" s="689" customFormat="1" x14ac:dyDescent="0.2"/>
    <row r="43087" s="689" customFormat="1" x14ac:dyDescent="0.2"/>
    <row r="43088" s="689" customFormat="1" x14ac:dyDescent="0.2"/>
    <row r="43089" s="689" customFormat="1" x14ac:dyDescent="0.2"/>
    <row r="43090" s="689" customFormat="1" x14ac:dyDescent="0.2"/>
    <row r="43091" s="689" customFormat="1" x14ac:dyDescent="0.2"/>
    <row r="43092" s="689" customFormat="1" x14ac:dyDescent="0.2"/>
    <row r="43093" s="689" customFormat="1" x14ac:dyDescent="0.2"/>
    <row r="43094" s="689" customFormat="1" x14ac:dyDescent="0.2"/>
    <row r="43095" s="689" customFormat="1" x14ac:dyDescent="0.2"/>
    <row r="43096" s="689" customFormat="1" x14ac:dyDescent="0.2"/>
    <row r="43097" s="689" customFormat="1" x14ac:dyDescent="0.2"/>
    <row r="43098" s="689" customFormat="1" x14ac:dyDescent="0.2"/>
    <row r="43099" s="689" customFormat="1" x14ac:dyDescent="0.2"/>
    <row r="43100" s="689" customFormat="1" x14ac:dyDescent="0.2"/>
    <row r="43101" s="689" customFormat="1" x14ac:dyDescent="0.2"/>
    <row r="43102" s="689" customFormat="1" x14ac:dyDescent="0.2"/>
    <row r="43103" s="689" customFormat="1" x14ac:dyDescent="0.2"/>
    <row r="43104" s="689" customFormat="1" x14ac:dyDescent="0.2"/>
    <row r="43105" s="689" customFormat="1" x14ac:dyDescent="0.2"/>
    <row r="43106" s="689" customFormat="1" x14ac:dyDescent="0.2"/>
    <row r="43107" s="689" customFormat="1" x14ac:dyDescent="0.2"/>
    <row r="43108" s="689" customFormat="1" x14ac:dyDescent="0.2"/>
    <row r="43109" s="689" customFormat="1" x14ac:dyDescent="0.2"/>
    <row r="43110" s="689" customFormat="1" x14ac:dyDescent="0.2"/>
    <row r="43111" s="689" customFormat="1" x14ac:dyDescent="0.2"/>
    <row r="43112" s="689" customFormat="1" x14ac:dyDescent="0.2"/>
    <row r="43113" s="689" customFormat="1" x14ac:dyDescent="0.2"/>
    <row r="43114" s="689" customFormat="1" x14ac:dyDescent="0.2"/>
    <row r="43115" s="689" customFormat="1" x14ac:dyDescent="0.2"/>
    <row r="43116" s="689" customFormat="1" x14ac:dyDescent="0.2"/>
    <row r="43117" s="689" customFormat="1" x14ac:dyDescent="0.2"/>
    <row r="43118" s="689" customFormat="1" x14ac:dyDescent="0.2"/>
    <row r="43119" s="689" customFormat="1" x14ac:dyDescent="0.2"/>
    <row r="43120" s="689" customFormat="1" x14ac:dyDescent="0.2"/>
    <row r="43121" s="689" customFormat="1" x14ac:dyDescent="0.2"/>
    <row r="43122" s="689" customFormat="1" x14ac:dyDescent="0.2"/>
    <row r="43123" s="689" customFormat="1" x14ac:dyDescent="0.2"/>
    <row r="43124" s="689" customFormat="1" x14ac:dyDescent="0.2"/>
    <row r="43125" s="689" customFormat="1" x14ac:dyDescent="0.2"/>
    <row r="43126" s="689" customFormat="1" x14ac:dyDescent="0.2"/>
    <row r="43127" s="689" customFormat="1" x14ac:dyDescent="0.2"/>
    <row r="43128" s="689" customFormat="1" x14ac:dyDescent="0.2"/>
    <row r="43129" s="689" customFormat="1" x14ac:dyDescent="0.2"/>
    <row r="43130" s="689" customFormat="1" x14ac:dyDescent="0.2"/>
    <row r="43131" s="689" customFormat="1" x14ac:dyDescent="0.2"/>
    <row r="43132" s="689" customFormat="1" x14ac:dyDescent="0.2"/>
    <row r="43133" s="689" customFormat="1" x14ac:dyDescent="0.2"/>
    <row r="43134" s="689" customFormat="1" x14ac:dyDescent="0.2"/>
    <row r="43135" s="689" customFormat="1" x14ac:dyDescent="0.2"/>
    <row r="43136" s="689" customFormat="1" x14ac:dyDescent="0.2"/>
    <row r="43137" s="689" customFormat="1" x14ac:dyDescent="0.2"/>
    <row r="43138" s="689" customFormat="1" x14ac:dyDescent="0.2"/>
    <row r="43139" s="689" customFormat="1" x14ac:dyDescent="0.2"/>
    <row r="43140" s="689" customFormat="1" x14ac:dyDescent="0.2"/>
    <row r="43141" s="689" customFormat="1" x14ac:dyDescent="0.2"/>
    <row r="43142" s="689" customFormat="1" x14ac:dyDescent="0.2"/>
    <row r="43143" s="689" customFormat="1" x14ac:dyDescent="0.2"/>
    <row r="43144" s="689" customFormat="1" x14ac:dyDescent="0.2"/>
    <row r="43145" s="689" customFormat="1" x14ac:dyDescent="0.2"/>
    <row r="43146" s="689" customFormat="1" x14ac:dyDescent="0.2"/>
    <row r="43147" s="689" customFormat="1" x14ac:dyDescent="0.2"/>
    <row r="43148" s="689" customFormat="1" x14ac:dyDescent="0.2"/>
    <row r="43149" s="689" customFormat="1" x14ac:dyDescent="0.2"/>
    <row r="43150" s="689" customFormat="1" x14ac:dyDescent="0.2"/>
    <row r="43151" s="689" customFormat="1" x14ac:dyDescent="0.2"/>
    <row r="43152" s="689" customFormat="1" x14ac:dyDescent="0.2"/>
    <row r="43153" s="689" customFormat="1" x14ac:dyDescent="0.2"/>
    <row r="43154" s="689" customFormat="1" x14ac:dyDescent="0.2"/>
    <row r="43155" s="689" customFormat="1" x14ac:dyDescent="0.2"/>
    <row r="43156" s="689" customFormat="1" x14ac:dyDescent="0.2"/>
    <row r="43157" s="689" customFormat="1" x14ac:dyDescent="0.2"/>
    <row r="43158" s="689" customFormat="1" x14ac:dyDescent="0.2"/>
    <row r="43159" s="689" customFormat="1" x14ac:dyDescent="0.2"/>
    <row r="43160" s="689" customFormat="1" x14ac:dyDescent="0.2"/>
    <row r="43161" s="689" customFormat="1" x14ac:dyDescent="0.2"/>
    <row r="43162" s="689" customFormat="1" x14ac:dyDescent="0.2"/>
    <row r="43163" s="689" customFormat="1" x14ac:dyDescent="0.2"/>
    <row r="43164" s="689" customFormat="1" x14ac:dyDescent="0.2"/>
    <row r="43165" s="689" customFormat="1" x14ac:dyDescent="0.2"/>
    <row r="43166" s="689" customFormat="1" x14ac:dyDescent="0.2"/>
    <row r="43167" s="689" customFormat="1" x14ac:dyDescent="0.2"/>
    <row r="43168" s="689" customFormat="1" x14ac:dyDescent="0.2"/>
    <row r="43169" s="689" customFormat="1" x14ac:dyDescent="0.2"/>
    <row r="43170" s="689" customFormat="1" x14ac:dyDescent="0.2"/>
    <row r="43171" s="689" customFormat="1" x14ac:dyDescent="0.2"/>
    <row r="43172" s="689" customFormat="1" x14ac:dyDescent="0.2"/>
    <row r="43173" s="689" customFormat="1" x14ac:dyDescent="0.2"/>
    <row r="43174" s="689" customFormat="1" x14ac:dyDescent="0.2"/>
    <row r="43175" s="689" customFormat="1" x14ac:dyDescent="0.2"/>
    <row r="43176" s="689" customFormat="1" x14ac:dyDescent="0.2"/>
    <row r="43177" s="689" customFormat="1" x14ac:dyDescent="0.2"/>
    <row r="43178" s="689" customFormat="1" x14ac:dyDescent="0.2"/>
    <row r="43179" s="689" customFormat="1" x14ac:dyDescent="0.2"/>
    <row r="43180" s="689" customFormat="1" x14ac:dyDescent="0.2"/>
    <row r="43181" s="689" customFormat="1" x14ac:dyDescent="0.2"/>
    <row r="43182" s="689" customFormat="1" x14ac:dyDescent="0.2"/>
    <row r="43183" s="689" customFormat="1" x14ac:dyDescent="0.2"/>
    <row r="43184" s="689" customFormat="1" x14ac:dyDescent="0.2"/>
    <row r="43185" s="689" customFormat="1" x14ac:dyDescent="0.2"/>
    <row r="43186" s="689" customFormat="1" x14ac:dyDescent="0.2"/>
    <row r="43187" s="689" customFormat="1" x14ac:dyDescent="0.2"/>
    <row r="43188" s="689" customFormat="1" x14ac:dyDescent="0.2"/>
    <row r="43189" s="689" customFormat="1" x14ac:dyDescent="0.2"/>
    <row r="43190" s="689" customFormat="1" x14ac:dyDescent="0.2"/>
    <row r="43191" s="689" customFormat="1" x14ac:dyDescent="0.2"/>
    <row r="43192" s="689" customFormat="1" x14ac:dyDescent="0.2"/>
    <row r="43193" s="689" customFormat="1" x14ac:dyDescent="0.2"/>
    <row r="43194" s="689" customFormat="1" x14ac:dyDescent="0.2"/>
    <row r="43195" s="689" customFormat="1" x14ac:dyDescent="0.2"/>
    <row r="43196" s="689" customFormat="1" x14ac:dyDescent="0.2"/>
    <row r="43197" s="689" customFormat="1" x14ac:dyDescent="0.2"/>
    <row r="43198" s="689" customFormat="1" x14ac:dyDescent="0.2"/>
    <row r="43199" s="689" customFormat="1" x14ac:dyDescent="0.2"/>
    <row r="43200" s="689" customFormat="1" x14ac:dyDescent="0.2"/>
    <row r="43201" s="689" customFormat="1" x14ac:dyDescent="0.2"/>
    <row r="43202" s="689" customFormat="1" x14ac:dyDescent="0.2"/>
    <row r="43203" s="689" customFormat="1" x14ac:dyDescent="0.2"/>
    <row r="43204" s="689" customFormat="1" x14ac:dyDescent="0.2"/>
    <row r="43205" s="689" customFormat="1" x14ac:dyDescent="0.2"/>
    <row r="43206" s="689" customFormat="1" x14ac:dyDescent="0.2"/>
    <row r="43207" s="689" customFormat="1" x14ac:dyDescent="0.2"/>
    <row r="43208" s="689" customFormat="1" x14ac:dyDescent="0.2"/>
    <row r="43209" s="689" customFormat="1" x14ac:dyDescent="0.2"/>
    <row r="43210" s="689" customFormat="1" x14ac:dyDescent="0.2"/>
    <row r="43211" s="689" customFormat="1" x14ac:dyDescent="0.2"/>
    <row r="43212" s="689" customFormat="1" x14ac:dyDescent="0.2"/>
    <row r="43213" s="689" customFormat="1" x14ac:dyDescent="0.2"/>
    <row r="43214" s="689" customFormat="1" x14ac:dyDescent="0.2"/>
    <row r="43215" s="689" customFormat="1" x14ac:dyDescent="0.2"/>
    <row r="43216" s="689" customFormat="1" x14ac:dyDescent="0.2"/>
    <row r="43217" s="689" customFormat="1" x14ac:dyDescent="0.2"/>
    <row r="43218" s="689" customFormat="1" x14ac:dyDescent="0.2"/>
    <row r="43219" s="689" customFormat="1" x14ac:dyDescent="0.2"/>
    <row r="43220" s="689" customFormat="1" x14ac:dyDescent="0.2"/>
    <row r="43221" s="689" customFormat="1" x14ac:dyDescent="0.2"/>
    <row r="43222" s="689" customFormat="1" x14ac:dyDescent="0.2"/>
    <row r="43223" s="689" customFormat="1" x14ac:dyDescent="0.2"/>
    <row r="43224" s="689" customFormat="1" x14ac:dyDescent="0.2"/>
    <row r="43225" s="689" customFormat="1" x14ac:dyDescent="0.2"/>
    <row r="43226" s="689" customFormat="1" x14ac:dyDescent="0.2"/>
    <row r="43227" s="689" customFormat="1" x14ac:dyDescent="0.2"/>
    <row r="43228" s="689" customFormat="1" x14ac:dyDescent="0.2"/>
    <row r="43229" s="689" customFormat="1" x14ac:dyDescent="0.2"/>
    <row r="43230" s="689" customFormat="1" x14ac:dyDescent="0.2"/>
    <row r="43231" s="689" customFormat="1" x14ac:dyDescent="0.2"/>
    <row r="43232" s="689" customFormat="1" x14ac:dyDescent="0.2"/>
    <row r="43233" s="689" customFormat="1" x14ac:dyDescent="0.2"/>
    <row r="43234" s="689" customFormat="1" x14ac:dyDescent="0.2"/>
    <row r="43235" s="689" customFormat="1" x14ac:dyDescent="0.2"/>
    <row r="43236" s="689" customFormat="1" x14ac:dyDescent="0.2"/>
    <row r="43237" s="689" customFormat="1" x14ac:dyDescent="0.2"/>
    <row r="43238" s="689" customFormat="1" x14ac:dyDescent="0.2"/>
    <row r="43239" s="689" customFormat="1" x14ac:dyDescent="0.2"/>
    <row r="43240" s="689" customFormat="1" x14ac:dyDescent="0.2"/>
    <row r="43241" s="689" customFormat="1" x14ac:dyDescent="0.2"/>
    <row r="43242" s="689" customFormat="1" x14ac:dyDescent="0.2"/>
    <row r="43243" s="689" customFormat="1" x14ac:dyDescent="0.2"/>
    <row r="43244" s="689" customFormat="1" x14ac:dyDescent="0.2"/>
    <row r="43245" s="689" customFormat="1" x14ac:dyDescent="0.2"/>
    <row r="43246" s="689" customFormat="1" x14ac:dyDescent="0.2"/>
    <row r="43247" s="689" customFormat="1" x14ac:dyDescent="0.2"/>
    <row r="43248" s="689" customFormat="1" x14ac:dyDescent="0.2"/>
    <row r="43249" s="689" customFormat="1" x14ac:dyDescent="0.2"/>
    <row r="43250" s="689" customFormat="1" x14ac:dyDescent="0.2"/>
    <row r="43251" s="689" customFormat="1" x14ac:dyDescent="0.2"/>
    <row r="43252" s="689" customFormat="1" x14ac:dyDescent="0.2"/>
    <row r="43253" s="689" customFormat="1" x14ac:dyDescent="0.2"/>
    <row r="43254" s="689" customFormat="1" x14ac:dyDescent="0.2"/>
    <row r="43255" s="689" customFormat="1" x14ac:dyDescent="0.2"/>
    <row r="43256" s="689" customFormat="1" x14ac:dyDescent="0.2"/>
    <row r="43257" s="689" customFormat="1" x14ac:dyDescent="0.2"/>
    <row r="43258" s="689" customFormat="1" x14ac:dyDescent="0.2"/>
    <row r="43259" s="689" customFormat="1" x14ac:dyDescent="0.2"/>
    <row r="43260" s="689" customFormat="1" x14ac:dyDescent="0.2"/>
    <row r="43261" s="689" customFormat="1" x14ac:dyDescent="0.2"/>
    <row r="43262" s="689" customFormat="1" x14ac:dyDescent="0.2"/>
    <row r="43263" s="689" customFormat="1" x14ac:dyDescent="0.2"/>
    <row r="43264" s="689" customFormat="1" x14ac:dyDescent="0.2"/>
    <row r="43265" s="689" customFormat="1" x14ac:dyDescent="0.2"/>
    <row r="43266" s="689" customFormat="1" x14ac:dyDescent="0.2"/>
    <row r="43267" s="689" customFormat="1" x14ac:dyDescent="0.2"/>
    <row r="43268" s="689" customFormat="1" x14ac:dyDescent="0.2"/>
    <row r="43269" s="689" customFormat="1" x14ac:dyDescent="0.2"/>
    <row r="43270" s="689" customFormat="1" x14ac:dyDescent="0.2"/>
    <row r="43271" s="689" customFormat="1" x14ac:dyDescent="0.2"/>
    <row r="43272" s="689" customFormat="1" x14ac:dyDescent="0.2"/>
    <row r="43273" s="689" customFormat="1" x14ac:dyDescent="0.2"/>
    <row r="43274" s="689" customFormat="1" x14ac:dyDescent="0.2"/>
    <row r="43275" s="689" customFormat="1" x14ac:dyDescent="0.2"/>
    <row r="43276" s="689" customFormat="1" x14ac:dyDescent="0.2"/>
    <row r="43277" s="689" customFormat="1" x14ac:dyDescent="0.2"/>
    <row r="43278" s="689" customFormat="1" x14ac:dyDescent="0.2"/>
    <row r="43279" s="689" customFormat="1" x14ac:dyDescent="0.2"/>
    <row r="43280" s="689" customFormat="1" x14ac:dyDescent="0.2"/>
    <row r="43281" s="689" customFormat="1" x14ac:dyDescent="0.2"/>
    <row r="43282" s="689" customFormat="1" x14ac:dyDescent="0.2"/>
    <row r="43283" s="689" customFormat="1" x14ac:dyDescent="0.2"/>
    <row r="43284" s="689" customFormat="1" x14ac:dyDescent="0.2"/>
    <row r="43285" s="689" customFormat="1" x14ac:dyDescent="0.2"/>
    <row r="43286" s="689" customFormat="1" x14ac:dyDescent="0.2"/>
    <row r="43287" s="689" customFormat="1" x14ac:dyDescent="0.2"/>
    <row r="43288" s="689" customFormat="1" x14ac:dyDescent="0.2"/>
    <row r="43289" s="689" customFormat="1" x14ac:dyDescent="0.2"/>
    <row r="43290" s="689" customFormat="1" x14ac:dyDescent="0.2"/>
    <row r="43291" s="689" customFormat="1" x14ac:dyDescent="0.2"/>
    <row r="43292" s="689" customFormat="1" x14ac:dyDescent="0.2"/>
    <row r="43293" s="689" customFormat="1" x14ac:dyDescent="0.2"/>
    <row r="43294" s="689" customFormat="1" x14ac:dyDescent="0.2"/>
    <row r="43295" s="689" customFormat="1" x14ac:dyDescent="0.2"/>
    <row r="43296" s="689" customFormat="1" x14ac:dyDescent="0.2"/>
    <row r="43297" s="689" customFormat="1" x14ac:dyDescent="0.2"/>
    <row r="43298" s="689" customFormat="1" x14ac:dyDescent="0.2"/>
    <row r="43299" s="689" customFormat="1" x14ac:dyDescent="0.2"/>
    <row r="43300" s="689" customFormat="1" x14ac:dyDescent="0.2"/>
    <row r="43301" s="689" customFormat="1" x14ac:dyDescent="0.2"/>
    <row r="43302" s="689" customFormat="1" x14ac:dyDescent="0.2"/>
    <row r="43303" s="689" customFormat="1" x14ac:dyDescent="0.2"/>
    <row r="43304" s="689" customFormat="1" x14ac:dyDescent="0.2"/>
    <row r="43305" s="689" customFormat="1" x14ac:dyDescent="0.2"/>
    <row r="43306" s="689" customFormat="1" x14ac:dyDescent="0.2"/>
    <row r="43307" s="689" customFormat="1" x14ac:dyDescent="0.2"/>
    <row r="43308" s="689" customFormat="1" x14ac:dyDescent="0.2"/>
    <row r="43309" s="689" customFormat="1" x14ac:dyDescent="0.2"/>
    <row r="43310" s="689" customFormat="1" x14ac:dyDescent="0.2"/>
    <row r="43311" s="689" customFormat="1" x14ac:dyDescent="0.2"/>
    <row r="43312" s="689" customFormat="1" x14ac:dyDescent="0.2"/>
    <row r="43313" s="689" customFormat="1" x14ac:dyDescent="0.2"/>
    <row r="43314" s="689" customFormat="1" x14ac:dyDescent="0.2"/>
    <row r="43315" s="689" customFormat="1" x14ac:dyDescent="0.2"/>
    <row r="43316" s="689" customFormat="1" x14ac:dyDescent="0.2"/>
    <row r="43317" s="689" customFormat="1" x14ac:dyDescent="0.2"/>
    <row r="43318" s="689" customFormat="1" x14ac:dyDescent="0.2"/>
    <row r="43319" s="689" customFormat="1" x14ac:dyDescent="0.2"/>
    <row r="43320" s="689" customFormat="1" x14ac:dyDescent="0.2"/>
    <row r="43321" s="689" customFormat="1" x14ac:dyDescent="0.2"/>
    <row r="43322" s="689" customFormat="1" x14ac:dyDescent="0.2"/>
    <row r="43323" s="689" customFormat="1" x14ac:dyDescent="0.2"/>
    <row r="43324" s="689" customFormat="1" x14ac:dyDescent="0.2"/>
    <row r="43325" s="689" customFormat="1" x14ac:dyDescent="0.2"/>
    <row r="43326" s="689" customFormat="1" x14ac:dyDescent="0.2"/>
    <row r="43327" s="689" customFormat="1" x14ac:dyDescent="0.2"/>
    <row r="43328" s="689" customFormat="1" x14ac:dyDescent="0.2"/>
    <row r="43329" s="689" customFormat="1" x14ac:dyDescent="0.2"/>
    <row r="43330" s="689" customFormat="1" x14ac:dyDescent="0.2"/>
    <row r="43331" s="689" customFormat="1" x14ac:dyDescent="0.2"/>
    <row r="43332" s="689" customFormat="1" x14ac:dyDescent="0.2"/>
    <row r="43333" s="689" customFormat="1" x14ac:dyDescent="0.2"/>
    <row r="43334" s="689" customFormat="1" x14ac:dyDescent="0.2"/>
    <row r="43335" s="689" customFormat="1" x14ac:dyDescent="0.2"/>
    <row r="43336" s="689" customFormat="1" x14ac:dyDescent="0.2"/>
    <row r="43337" s="689" customFormat="1" x14ac:dyDescent="0.2"/>
    <row r="43338" s="689" customFormat="1" x14ac:dyDescent="0.2"/>
    <row r="43339" s="689" customFormat="1" x14ac:dyDescent="0.2"/>
    <row r="43340" s="689" customFormat="1" x14ac:dyDescent="0.2"/>
    <row r="43341" s="689" customFormat="1" x14ac:dyDescent="0.2"/>
    <row r="43342" s="689" customFormat="1" x14ac:dyDescent="0.2"/>
    <row r="43343" s="689" customFormat="1" x14ac:dyDescent="0.2"/>
    <row r="43344" s="689" customFormat="1" x14ac:dyDescent="0.2"/>
    <row r="43345" s="689" customFormat="1" x14ac:dyDescent="0.2"/>
    <row r="43346" s="689" customFormat="1" x14ac:dyDescent="0.2"/>
    <row r="43347" s="689" customFormat="1" x14ac:dyDescent="0.2"/>
    <row r="43348" s="689" customFormat="1" x14ac:dyDescent="0.2"/>
    <row r="43349" s="689" customFormat="1" x14ac:dyDescent="0.2"/>
    <row r="43350" s="689" customFormat="1" x14ac:dyDescent="0.2"/>
    <row r="43351" s="689" customFormat="1" x14ac:dyDescent="0.2"/>
    <row r="43352" s="689" customFormat="1" x14ac:dyDescent="0.2"/>
    <row r="43353" s="689" customFormat="1" x14ac:dyDescent="0.2"/>
    <row r="43354" s="689" customFormat="1" x14ac:dyDescent="0.2"/>
    <row r="43355" s="689" customFormat="1" x14ac:dyDescent="0.2"/>
    <row r="43356" s="689" customFormat="1" x14ac:dyDescent="0.2"/>
    <row r="43357" s="689" customFormat="1" x14ac:dyDescent="0.2"/>
    <row r="43358" s="689" customFormat="1" x14ac:dyDescent="0.2"/>
    <row r="43359" s="689" customFormat="1" x14ac:dyDescent="0.2"/>
    <row r="43360" s="689" customFormat="1" x14ac:dyDescent="0.2"/>
    <row r="43361" s="689" customFormat="1" x14ac:dyDescent="0.2"/>
    <row r="43362" s="689" customFormat="1" x14ac:dyDescent="0.2"/>
    <row r="43363" s="689" customFormat="1" x14ac:dyDescent="0.2"/>
    <row r="43364" s="689" customFormat="1" x14ac:dyDescent="0.2"/>
    <row r="43365" s="689" customFormat="1" x14ac:dyDescent="0.2"/>
    <row r="43366" s="689" customFormat="1" x14ac:dyDescent="0.2"/>
    <row r="43367" s="689" customFormat="1" x14ac:dyDescent="0.2"/>
    <row r="43368" s="689" customFormat="1" x14ac:dyDescent="0.2"/>
    <row r="43369" s="689" customFormat="1" x14ac:dyDescent="0.2"/>
    <row r="43370" s="689" customFormat="1" x14ac:dyDescent="0.2"/>
    <row r="43371" s="689" customFormat="1" x14ac:dyDescent="0.2"/>
    <row r="43372" s="689" customFormat="1" x14ac:dyDescent="0.2"/>
    <row r="43373" s="689" customFormat="1" x14ac:dyDescent="0.2"/>
    <row r="43374" s="689" customFormat="1" x14ac:dyDescent="0.2"/>
    <row r="43375" s="689" customFormat="1" x14ac:dyDescent="0.2"/>
    <row r="43376" s="689" customFormat="1" x14ac:dyDescent="0.2"/>
    <row r="43377" s="689" customFormat="1" x14ac:dyDescent="0.2"/>
    <row r="43378" s="689" customFormat="1" x14ac:dyDescent="0.2"/>
    <row r="43379" s="689" customFormat="1" x14ac:dyDescent="0.2"/>
    <row r="43380" s="689" customFormat="1" x14ac:dyDescent="0.2"/>
    <row r="43381" s="689" customFormat="1" x14ac:dyDescent="0.2"/>
    <row r="43382" s="689" customFormat="1" x14ac:dyDescent="0.2"/>
    <row r="43383" s="689" customFormat="1" x14ac:dyDescent="0.2"/>
    <row r="43384" s="689" customFormat="1" x14ac:dyDescent="0.2"/>
    <row r="43385" s="689" customFormat="1" x14ac:dyDescent="0.2"/>
    <row r="43386" s="689" customFormat="1" x14ac:dyDescent="0.2"/>
    <row r="43387" s="689" customFormat="1" x14ac:dyDescent="0.2"/>
    <row r="43388" s="689" customFormat="1" x14ac:dyDescent="0.2"/>
    <row r="43389" s="689" customFormat="1" x14ac:dyDescent="0.2"/>
    <row r="43390" s="689" customFormat="1" x14ac:dyDescent="0.2"/>
    <row r="43391" s="689" customFormat="1" x14ac:dyDescent="0.2"/>
    <row r="43392" s="689" customFormat="1" x14ac:dyDescent="0.2"/>
    <row r="43393" s="689" customFormat="1" x14ac:dyDescent="0.2"/>
    <row r="43394" s="689" customFormat="1" x14ac:dyDescent="0.2"/>
    <row r="43395" s="689" customFormat="1" x14ac:dyDescent="0.2"/>
    <row r="43396" s="689" customFormat="1" x14ac:dyDescent="0.2"/>
    <row r="43397" s="689" customFormat="1" x14ac:dyDescent="0.2"/>
    <row r="43398" s="689" customFormat="1" x14ac:dyDescent="0.2"/>
    <row r="43399" s="689" customFormat="1" x14ac:dyDescent="0.2"/>
    <row r="43400" s="689" customFormat="1" x14ac:dyDescent="0.2"/>
    <row r="43401" s="689" customFormat="1" x14ac:dyDescent="0.2"/>
    <row r="43402" s="689" customFormat="1" x14ac:dyDescent="0.2"/>
    <row r="43403" s="689" customFormat="1" x14ac:dyDescent="0.2"/>
    <row r="43404" s="689" customFormat="1" x14ac:dyDescent="0.2"/>
    <row r="43405" s="689" customFormat="1" x14ac:dyDescent="0.2"/>
    <row r="43406" s="689" customFormat="1" x14ac:dyDescent="0.2"/>
    <row r="43407" s="689" customFormat="1" x14ac:dyDescent="0.2"/>
    <row r="43408" s="689" customFormat="1" x14ac:dyDescent="0.2"/>
    <row r="43409" s="689" customFormat="1" x14ac:dyDescent="0.2"/>
    <row r="43410" s="689" customFormat="1" x14ac:dyDescent="0.2"/>
    <row r="43411" s="689" customFormat="1" x14ac:dyDescent="0.2"/>
    <row r="43412" s="689" customFormat="1" x14ac:dyDescent="0.2"/>
    <row r="43413" s="689" customFormat="1" x14ac:dyDescent="0.2"/>
    <row r="43414" s="689" customFormat="1" x14ac:dyDescent="0.2"/>
    <row r="43415" s="689" customFormat="1" x14ac:dyDescent="0.2"/>
    <row r="43416" s="689" customFormat="1" x14ac:dyDescent="0.2"/>
    <row r="43417" s="689" customFormat="1" x14ac:dyDescent="0.2"/>
    <row r="43418" s="689" customFormat="1" x14ac:dyDescent="0.2"/>
    <row r="43419" s="689" customFormat="1" x14ac:dyDescent="0.2"/>
    <row r="43420" s="689" customFormat="1" x14ac:dyDescent="0.2"/>
    <row r="43421" s="689" customFormat="1" x14ac:dyDescent="0.2"/>
    <row r="43422" s="689" customFormat="1" x14ac:dyDescent="0.2"/>
    <row r="43423" s="689" customFormat="1" x14ac:dyDescent="0.2"/>
    <row r="43424" s="689" customFormat="1" x14ac:dyDescent="0.2"/>
    <row r="43425" s="689" customFormat="1" x14ac:dyDescent="0.2"/>
    <row r="43426" s="689" customFormat="1" x14ac:dyDescent="0.2"/>
    <row r="43427" s="689" customFormat="1" x14ac:dyDescent="0.2"/>
    <row r="43428" s="689" customFormat="1" x14ac:dyDescent="0.2"/>
    <row r="43429" s="689" customFormat="1" x14ac:dyDescent="0.2"/>
    <row r="43430" s="689" customFormat="1" x14ac:dyDescent="0.2"/>
    <row r="43431" s="689" customFormat="1" x14ac:dyDescent="0.2"/>
    <row r="43432" s="689" customFormat="1" x14ac:dyDescent="0.2"/>
    <row r="43433" s="689" customFormat="1" x14ac:dyDescent="0.2"/>
    <row r="43434" s="689" customFormat="1" x14ac:dyDescent="0.2"/>
    <row r="43435" s="689" customFormat="1" x14ac:dyDescent="0.2"/>
    <row r="43436" s="689" customFormat="1" x14ac:dyDescent="0.2"/>
    <row r="43437" s="689" customFormat="1" x14ac:dyDescent="0.2"/>
    <row r="43438" s="689" customFormat="1" x14ac:dyDescent="0.2"/>
    <row r="43439" s="689" customFormat="1" x14ac:dyDescent="0.2"/>
    <row r="43440" s="689" customFormat="1" x14ac:dyDescent="0.2"/>
    <row r="43441" s="689" customFormat="1" x14ac:dyDescent="0.2"/>
    <row r="43442" s="689" customFormat="1" x14ac:dyDescent="0.2"/>
    <row r="43443" s="689" customFormat="1" x14ac:dyDescent="0.2"/>
    <row r="43444" s="689" customFormat="1" x14ac:dyDescent="0.2"/>
    <row r="43445" s="689" customFormat="1" x14ac:dyDescent="0.2"/>
    <row r="43446" s="689" customFormat="1" x14ac:dyDescent="0.2"/>
    <row r="43447" s="689" customFormat="1" x14ac:dyDescent="0.2"/>
    <row r="43448" s="689" customFormat="1" x14ac:dyDescent="0.2"/>
    <row r="43449" s="689" customFormat="1" x14ac:dyDescent="0.2"/>
    <row r="43450" s="689" customFormat="1" x14ac:dyDescent="0.2"/>
    <row r="43451" s="689" customFormat="1" x14ac:dyDescent="0.2"/>
    <row r="43452" s="689" customFormat="1" x14ac:dyDescent="0.2"/>
    <row r="43453" s="689" customFormat="1" x14ac:dyDescent="0.2"/>
    <row r="43454" s="689" customFormat="1" x14ac:dyDescent="0.2"/>
    <row r="43455" s="689" customFormat="1" x14ac:dyDescent="0.2"/>
    <row r="43456" s="689" customFormat="1" x14ac:dyDescent="0.2"/>
    <row r="43457" s="689" customFormat="1" x14ac:dyDescent="0.2"/>
    <row r="43458" s="689" customFormat="1" x14ac:dyDescent="0.2"/>
    <row r="43459" s="689" customFormat="1" x14ac:dyDescent="0.2"/>
    <row r="43460" s="689" customFormat="1" x14ac:dyDescent="0.2"/>
    <row r="43461" s="689" customFormat="1" x14ac:dyDescent="0.2"/>
    <row r="43462" s="689" customFormat="1" x14ac:dyDescent="0.2"/>
    <row r="43463" s="689" customFormat="1" x14ac:dyDescent="0.2"/>
    <row r="43464" s="689" customFormat="1" x14ac:dyDescent="0.2"/>
    <row r="43465" s="689" customFormat="1" x14ac:dyDescent="0.2"/>
    <row r="43466" s="689" customFormat="1" x14ac:dyDescent="0.2"/>
    <row r="43467" s="689" customFormat="1" x14ac:dyDescent="0.2"/>
    <row r="43468" s="689" customFormat="1" x14ac:dyDescent="0.2"/>
    <row r="43469" s="689" customFormat="1" x14ac:dyDescent="0.2"/>
    <row r="43470" s="689" customFormat="1" x14ac:dyDescent="0.2"/>
    <row r="43471" s="689" customFormat="1" x14ac:dyDescent="0.2"/>
    <row r="43472" s="689" customFormat="1" x14ac:dyDescent="0.2"/>
    <row r="43473" s="689" customFormat="1" x14ac:dyDescent="0.2"/>
    <row r="43474" s="689" customFormat="1" x14ac:dyDescent="0.2"/>
    <row r="43475" s="689" customFormat="1" x14ac:dyDescent="0.2"/>
    <row r="43476" s="689" customFormat="1" x14ac:dyDescent="0.2"/>
    <row r="43477" s="689" customFormat="1" x14ac:dyDescent="0.2"/>
    <row r="43478" s="689" customFormat="1" x14ac:dyDescent="0.2"/>
    <row r="43479" s="689" customFormat="1" x14ac:dyDescent="0.2"/>
    <row r="43480" s="689" customFormat="1" x14ac:dyDescent="0.2"/>
    <row r="43481" s="689" customFormat="1" x14ac:dyDescent="0.2"/>
    <row r="43482" s="689" customFormat="1" x14ac:dyDescent="0.2"/>
    <row r="43483" s="689" customFormat="1" x14ac:dyDescent="0.2"/>
    <row r="43484" s="689" customFormat="1" x14ac:dyDescent="0.2"/>
    <row r="43485" s="689" customFormat="1" x14ac:dyDescent="0.2"/>
    <row r="43486" s="689" customFormat="1" x14ac:dyDescent="0.2"/>
    <row r="43487" s="689" customFormat="1" x14ac:dyDescent="0.2"/>
    <row r="43488" s="689" customFormat="1" x14ac:dyDescent="0.2"/>
    <row r="43489" s="689" customFormat="1" x14ac:dyDescent="0.2"/>
    <row r="43490" s="689" customFormat="1" x14ac:dyDescent="0.2"/>
    <row r="43491" s="689" customFormat="1" x14ac:dyDescent="0.2"/>
    <row r="43492" s="689" customFormat="1" x14ac:dyDescent="0.2"/>
    <row r="43493" s="689" customFormat="1" x14ac:dyDescent="0.2"/>
    <row r="43494" s="689" customFormat="1" x14ac:dyDescent="0.2"/>
    <row r="43495" s="689" customFormat="1" x14ac:dyDescent="0.2"/>
    <row r="43496" s="689" customFormat="1" x14ac:dyDescent="0.2"/>
    <row r="43497" s="689" customFormat="1" x14ac:dyDescent="0.2"/>
    <row r="43498" s="689" customFormat="1" x14ac:dyDescent="0.2"/>
    <row r="43499" s="689" customFormat="1" x14ac:dyDescent="0.2"/>
    <row r="43500" s="689" customFormat="1" x14ac:dyDescent="0.2"/>
    <row r="43501" s="689" customFormat="1" x14ac:dyDescent="0.2"/>
    <row r="43502" s="689" customFormat="1" x14ac:dyDescent="0.2"/>
    <row r="43503" s="689" customFormat="1" x14ac:dyDescent="0.2"/>
    <row r="43504" s="689" customFormat="1" x14ac:dyDescent="0.2"/>
    <row r="43505" s="689" customFormat="1" x14ac:dyDescent="0.2"/>
    <row r="43506" s="689" customFormat="1" x14ac:dyDescent="0.2"/>
    <row r="43507" s="689" customFormat="1" x14ac:dyDescent="0.2"/>
    <row r="43508" s="689" customFormat="1" x14ac:dyDescent="0.2"/>
    <row r="43509" s="689" customFormat="1" x14ac:dyDescent="0.2"/>
    <row r="43510" s="689" customFormat="1" x14ac:dyDescent="0.2"/>
    <row r="43511" s="689" customFormat="1" x14ac:dyDescent="0.2"/>
    <row r="43512" s="689" customFormat="1" x14ac:dyDescent="0.2"/>
    <row r="43513" s="689" customFormat="1" x14ac:dyDescent="0.2"/>
    <row r="43514" s="689" customFormat="1" x14ac:dyDescent="0.2"/>
    <row r="43515" s="689" customFormat="1" x14ac:dyDescent="0.2"/>
    <row r="43516" s="689" customFormat="1" x14ac:dyDescent="0.2"/>
    <row r="43517" s="689" customFormat="1" x14ac:dyDescent="0.2"/>
    <row r="43518" s="689" customFormat="1" x14ac:dyDescent="0.2"/>
    <row r="43519" s="689" customFormat="1" x14ac:dyDescent="0.2"/>
    <row r="43520" s="689" customFormat="1" x14ac:dyDescent="0.2"/>
    <row r="43521" s="689" customFormat="1" x14ac:dyDescent="0.2"/>
    <row r="43522" s="689" customFormat="1" x14ac:dyDescent="0.2"/>
    <row r="43523" s="689" customFormat="1" x14ac:dyDescent="0.2"/>
    <row r="43524" s="689" customFormat="1" x14ac:dyDescent="0.2"/>
    <row r="43525" s="689" customFormat="1" x14ac:dyDescent="0.2"/>
    <row r="43526" s="689" customFormat="1" x14ac:dyDescent="0.2"/>
    <row r="43527" s="689" customFormat="1" x14ac:dyDescent="0.2"/>
    <row r="43528" s="689" customFormat="1" x14ac:dyDescent="0.2"/>
    <row r="43529" s="689" customFormat="1" x14ac:dyDescent="0.2"/>
    <row r="43530" s="689" customFormat="1" x14ac:dyDescent="0.2"/>
    <row r="43531" s="689" customFormat="1" x14ac:dyDescent="0.2"/>
    <row r="43532" s="689" customFormat="1" x14ac:dyDescent="0.2"/>
    <row r="43533" s="689" customFormat="1" x14ac:dyDescent="0.2"/>
    <row r="43534" s="689" customFormat="1" x14ac:dyDescent="0.2"/>
    <row r="43535" s="689" customFormat="1" x14ac:dyDescent="0.2"/>
    <row r="43536" s="689" customFormat="1" x14ac:dyDescent="0.2"/>
    <row r="43537" s="689" customFormat="1" x14ac:dyDescent="0.2"/>
    <row r="43538" s="689" customFormat="1" x14ac:dyDescent="0.2"/>
    <row r="43539" s="689" customFormat="1" x14ac:dyDescent="0.2"/>
    <row r="43540" s="689" customFormat="1" x14ac:dyDescent="0.2"/>
    <row r="43541" s="689" customFormat="1" x14ac:dyDescent="0.2"/>
    <row r="43542" s="689" customFormat="1" x14ac:dyDescent="0.2"/>
    <row r="43543" s="689" customFormat="1" x14ac:dyDescent="0.2"/>
    <row r="43544" s="689" customFormat="1" x14ac:dyDescent="0.2"/>
    <row r="43545" s="689" customFormat="1" x14ac:dyDescent="0.2"/>
    <row r="43546" s="689" customFormat="1" x14ac:dyDescent="0.2"/>
    <row r="43547" s="689" customFormat="1" x14ac:dyDescent="0.2"/>
    <row r="43548" s="689" customFormat="1" x14ac:dyDescent="0.2"/>
    <row r="43549" s="689" customFormat="1" x14ac:dyDescent="0.2"/>
    <row r="43550" s="689" customFormat="1" x14ac:dyDescent="0.2"/>
    <row r="43551" s="689" customFormat="1" x14ac:dyDescent="0.2"/>
    <row r="43552" s="689" customFormat="1" x14ac:dyDescent="0.2"/>
    <row r="43553" s="689" customFormat="1" x14ac:dyDescent="0.2"/>
    <row r="43554" s="689" customFormat="1" x14ac:dyDescent="0.2"/>
    <row r="43555" s="689" customFormat="1" x14ac:dyDescent="0.2"/>
    <row r="43556" s="689" customFormat="1" x14ac:dyDescent="0.2"/>
    <row r="43557" s="689" customFormat="1" x14ac:dyDescent="0.2"/>
    <row r="43558" s="689" customFormat="1" x14ac:dyDescent="0.2"/>
    <row r="43559" s="689" customFormat="1" x14ac:dyDescent="0.2"/>
    <row r="43560" s="689" customFormat="1" x14ac:dyDescent="0.2"/>
    <row r="43561" s="689" customFormat="1" x14ac:dyDescent="0.2"/>
    <row r="43562" s="689" customFormat="1" x14ac:dyDescent="0.2"/>
    <row r="43563" s="689" customFormat="1" x14ac:dyDescent="0.2"/>
    <row r="43564" s="689" customFormat="1" x14ac:dyDescent="0.2"/>
    <row r="43565" s="689" customFormat="1" x14ac:dyDescent="0.2"/>
    <row r="43566" s="689" customFormat="1" x14ac:dyDescent="0.2"/>
    <row r="43567" s="689" customFormat="1" x14ac:dyDescent="0.2"/>
    <row r="43568" s="689" customFormat="1" x14ac:dyDescent="0.2"/>
    <row r="43569" s="689" customFormat="1" x14ac:dyDescent="0.2"/>
    <row r="43570" s="689" customFormat="1" x14ac:dyDescent="0.2"/>
    <row r="43571" s="689" customFormat="1" x14ac:dyDescent="0.2"/>
    <row r="43572" s="689" customFormat="1" x14ac:dyDescent="0.2"/>
    <row r="43573" s="689" customFormat="1" x14ac:dyDescent="0.2"/>
    <row r="43574" s="689" customFormat="1" x14ac:dyDescent="0.2"/>
    <row r="43575" s="689" customFormat="1" x14ac:dyDescent="0.2"/>
    <row r="43576" s="689" customFormat="1" x14ac:dyDescent="0.2"/>
    <row r="43577" s="689" customFormat="1" x14ac:dyDescent="0.2"/>
    <row r="43578" s="689" customFormat="1" x14ac:dyDescent="0.2"/>
    <row r="43579" s="689" customFormat="1" x14ac:dyDescent="0.2"/>
    <row r="43580" s="689" customFormat="1" x14ac:dyDescent="0.2"/>
    <row r="43581" s="689" customFormat="1" x14ac:dyDescent="0.2"/>
    <row r="43582" s="689" customFormat="1" x14ac:dyDescent="0.2"/>
    <row r="43583" s="689" customFormat="1" x14ac:dyDescent="0.2"/>
    <row r="43584" s="689" customFormat="1" x14ac:dyDescent="0.2"/>
    <row r="43585" s="689" customFormat="1" x14ac:dyDescent="0.2"/>
    <row r="43586" s="689" customFormat="1" x14ac:dyDescent="0.2"/>
    <row r="43587" s="689" customFormat="1" x14ac:dyDescent="0.2"/>
    <row r="43588" s="689" customFormat="1" x14ac:dyDescent="0.2"/>
    <row r="43589" s="689" customFormat="1" x14ac:dyDescent="0.2"/>
    <row r="43590" s="689" customFormat="1" x14ac:dyDescent="0.2"/>
    <row r="43591" s="689" customFormat="1" x14ac:dyDescent="0.2"/>
    <row r="43592" s="689" customFormat="1" x14ac:dyDescent="0.2"/>
    <row r="43593" s="689" customFormat="1" x14ac:dyDescent="0.2"/>
    <row r="43594" s="689" customFormat="1" x14ac:dyDescent="0.2"/>
    <row r="43595" s="689" customFormat="1" x14ac:dyDescent="0.2"/>
    <row r="43596" s="689" customFormat="1" x14ac:dyDescent="0.2"/>
    <row r="43597" s="689" customFormat="1" x14ac:dyDescent="0.2"/>
    <row r="43598" s="689" customFormat="1" x14ac:dyDescent="0.2"/>
    <row r="43599" s="689" customFormat="1" x14ac:dyDescent="0.2"/>
    <row r="43600" s="689" customFormat="1" x14ac:dyDescent="0.2"/>
    <row r="43601" s="689" customFormat="1" x14ac:dyDescent="0.2"/>
    <row r="43602" s="689" customFormat="1" x14ac:dyDescent="0.2"/>
    <row r="43603" s="689" customFormat="1" x14ac:dyDescent="0.2"/>
    <row r="43604" s="689" customFormat="1" x14ac:dyDescent="0.2"/>
    <row r="43605" s="689" customFormat="1" x14ac:dyDescent="0.2"/>
    <row r="43606" s="689" customFormat="1" x14ac:dyDescent="0.2"/>
    <row r="43607" s="689" customFormat="1" x14ac:dyDescent="0.2"/>
    <row r="43608" s="689" customFormat="1" x14ac:dyDescent="0.2"/>
    <row r="43609" s="689" customFormat="1" x14ac:dyDescent="0.2"/>
    <row r="43610" s="689" customFormat="1" x14ac:dyDescent="0.2"/>
    <row r="43611" s="689" customFormat="1" x14ac:dyDescent="0.2"/>
    <row r="43612" s="689" customFormat="1" x14ac:dyDescent="0.2"/>
    <row r="43613" s="689" customFormat="1" x14ac:dyDescent="0.2"/>
    <row r="43614" s="689" customFormat="1" x14ac:dyDescent="0.2"/>
    <row r="43615" s="689" customFormat="1" x14ac:dyDescent="0.2"/>
    <row r="43616" s="689" customFormat="1" x14ac:dyDescent="0.2"/>
    <row r="43617" s="689" customFormat="1" x14ac:dyDescent="0.2"/>
    <row r="43618" s="689" customFormat="1" x14ac:dyDescent="0.2"/>
    <row r="43619" s="689" customFormat="1" x14ac:dyDescent="0.2"/>
    <row r="43620" s="689" customFormat="1" x14ac:dyDescent="0.2"/>
    <row r="43621" s="689" customFormat="1" x14ac:dyDescent="0.2"/>
    <row r="43622" s="689" customFormat="1" x14ac:dyDescent="0.2"/>
    <row r="43623" s="689" customFormat="1" x14ac:dyDescent="0.2"/>
    <row r="43624" s="689" customFormat="1" x14ac:dyDescent="0.2"/>
    <row r="43625" s="689" customFormat="1" x14ac:dyDescent="0.2"/>
    <row r="43626" s="689" customFormat="1" x14ac:dyDescent="0.2"/>
    <row r="43627" s="689" customFormat="1" x14ac:dyDescent="0.2"/>
    <row r="43628" s="689" customFormat="1" x14ac:dyDescent="0.2"/>
    <row r="43629" s="689" customFormat="1" x14ac:dyDescent="0.2"/>
    <row r="43630" s="689" customFormat="1" x14ac:dyDescent="0.2"/>
    <row r="43631" s="689" customFormat="1" x14ac:dyDescent="0.2"/>
    <row r="43632" s="689" customFormat="1" x14ac:dyDescent="0.2"/>
    <row r="43633" s="689" customFormat="1" x14ac:dyDescent="0.2"/>
    <row r="43634" s="689" customFormat="1" x14ac:dyDescent="0.2"/>
    <row r="43635" s="689" customFormat="1" x14ac:dyDescent="0.2"/>
    <row r="43636" s="689" customFormat="1" x14ac:dyDescent="0.2"/>
    <row r="43637" s="689" customFormat="1" x14ac:dyDescent="0.2"/>
    <row r="43638" s="689" customFormat="1" x14ac:dyDescent="0.2"/>
    <row r="43639" s="689" customFormat="1" x14ac:dyDescent="0.2"/>
    <row r="43640" s="689" customFormat="1" x14ac:dyDescent="0.2"/>
    <row r="43641" s="689" customFormat="1" x14ac:dyDescent="0.2"/>
    <row r="43642" s="689" customFormat="1" x14ac:dyDescent="0.2"/>
    <row r="43643" s="689" customFormat="1" x14ac:dyDescent="0.2"/>
    <row r="43644" s="689" customFormat="1" x14ac:dyDescent="0.2"/>
    <row r="43645" s="689" customFormat="1" x14ac:dyDescent="0.2"/>
    <row r="43646" s="689" customFormat="1" x14ac:dyDescent="0.2"/>
    <row r="43647" s="689" customFormat="1" x14ac:dyDescent="0.2"/>
    <row r="43648" s="689" customFormat="1" x14ac:dyDescent="0.2"/>
    <row r="43649" s="689" customFormat="1" x14ac:dyDescent="0.2"/>
    <row r="43650" s="689" customFormat="1" x14ac:dyDescent="0.2"/>
    <row r="43651" s="689" customFormat="1" x14ac:dyDescent="0.2"/>
    <row r="43652" s="689" customFormat="1" x14ac:dyDescent="0.2"/>
    <row r="43653" s="689" customFormat="1" x14ac:dyDescent="0.2"/>
    <row r="43654" s="689" customFormat="1" x14ac:dyDescent="0.2"/>
    <row r="43655" s="689" customFormat="1" x14ac:dyDescent="0.2"/>
    <row r="43656" s="689" customFormat="1" x14ac:dyDescent="0.2"/>
    <row r="43657" s="689" customFormat="1" x14ac:dyDescent="0.2"/>
    <row r="43658" s="689" customFormat="1" x14ac:dyDescent="0.2"/>
    <row r="43659" s="689" customFormat="1" x14ac:dyDescent="0.2"/>
    <row r="43660" s="689" customFormat="1" x14ac:dyDescent="0.2"/>
    <row r="43661" s="689" customFormat="1" x14ac:dyDescent="0.2"/>
    <row r="43662" s="689" customFormat="1" x14ac:dyDescent="0.2"/>
    <row r="43663" s="689" customFormat="1" x14ac:dyDescent="0.2"/>
    <row r="43664" s="689" customFormat="1" x14ac:dyDescent="0.2"/>
    <row r="43665" s="689" customFormat="1" x14ac:dyDescent="0.2"/>
    <row r="43666" s="689" customFormat="1" x14ac:dyDescent="0.2"/>
    <row r="43667" s="689" customFormat="1" x14ac:dyDescent="0.2"/>
    <row r="43668" s="689" customFormat="1" x14ac:dyDescent="0.2"/>
    <row r="43669" s="689" customFormat="1" x14ac:dyDescent="0.2"/>
    <row r="43670" s="689" customFormat="1" x14ac:dyDescent="0.2"/>
    <row r="43671" s="689" customFormat="1" x14ac:dyDescent="0.2"/>
    <row r="43672" s="689" customFormat="1" x14ac:dyDescent="0.2"/>
    <row r="43673" s="689" customFormat="1" x14ac:dyDescent="0.2"/>
    <row r="43674" s="689" customFormat="1" x14ac:dyDescent="0.2"/>
    <row r="43675" s="689" customFormat="1" x14ac:dyDescent="0.2"/>
    <row r="43676" s="689" customFormat="1" x14ac:dyDescent="0.2"/>
    <row r="43677" s="689" customFormat="1" x14ac:dyDescent="0.2"/>
    <row r="43678" s="689" customFormat="1" x14ac:dyDescent="0.2"/>
    <row r="43679" s="689" customFormat="1" x14ac:dyDescent="0.2"/>
    <row r="43680" s="689" customFormat="1" x14ac:dyDescent="0.2"/>
    <row r="43681" s="689" customFormat="1" x14ac:dyDescent="0.2"/>
    <row r="43682" s="689" customFormat="1" x14ac:dyDescent="0.2"/>
    <row r="43683" s="689" customFormat="1" x14ac:dyDescent="0.2"/>
    <row r="43684" s="689" customFormat="1" x14ac:dyDescent="0.2"/>
    <row r="43685" s="689" customFormat="1" x14ac:dyDescent="0.2"/>
    <row r="43686" s="689" customFormat="1" x14ac:dyDescent="0.2"/>
    <row r="43687" s="689" customFormat="1" x14ac:dyDescent="0.2"/>
    <row r="43688" s="689" customFormat="1" x14ac:dyDescent="0.2"/>
    <row r="43689" s="689" customFormat="1" x14ac:dyDescent="0.2"/>
    <row r="43690" s="689" customFormat="1" x14ac:dyDescent="0.2"/>
    <row r="43691" s="689" customFormat="1" x14ac:dyDescent="0.2"/>
    <row r="43692" s="689" customFormat="1" x14ac:dyDescent="0.2"/>
    <row r="43693" s="689" customFormat="1" x14ac:dyDescent="0.2"/>
    <row r="43694" s="689" customFormat="1" x14ac:dyDescent="0.2"/>
    <row r="43695" s="689" customFormat="1" x14ac:dyDescent="0.2"/>
    <row r="43696" s="689" customFormat="1" x14ac:dyDescent="0.2"/>
    <row r="43697" s="689" customFormat="1" x14ac:dyDescent="0.2"/>
    <row r="43698" s="689" customFormat="1" x14ac:dyDescent="0.2"/>
    <row r="43699" s="689" customFormat="1" x14ac:dyDescent="0.2"/>
    <row r="43700" s="689" customFormat="1" x14ac:dyDescent="0.2"/>
    <row r="43701" s="689" customFormat="1" x14ac:dyDescent="0.2"/>
    <row r="43702" s="689" customFormat="1" x14ac:dyDescent="0.2"/>
    <row r="43703" s="689" customFormat="1" x14ac:dyDescent="0.2"/>
    <row r="43704" s="689" customFormat="1" x14ac:dyDescent="0.2"/>
    <row r="43705" s="689" customFormat="1" x14ac:dyDescent="0.2"/>
    <row r="43706" s="689" customFormat="1" x14ac:dyDescent="0.2"/>
    <row r="43707" s="689" customFormat="1" x14ac:dyDescent="0.2"/>
    <row r="43708" s="689" customFormat="1" x14ac:dyDescent="0.2"/>
    <row r="43709" s="689" customFormat="1" x14ac:dyDescent="0.2"/>
    <row r="43710" s="689" customFormat="1" x14ac:dyDescent="0.2"/>
    <row r="43711" s="689" customFormat="1" x14ac:dyDescent="0.2"/>
    <row r="43712" s="689" customFormat="1" x14ac:dyDescent="0.2"/>
    <row r="43713" s="689" customFormat="1" x14ac:dyDescent="0.2"/>
    <row r="43714" s="689" customFormat="1" x14ac:dyDescent="0.2"/>
    <row r="43715" s="689" customFormat="1" x14ac:dyDescent="0.2"/>
    <row r="43716" s="689" customFormat="1" x14ac:dyDescent="0.2"/>
    <row r="43717" s="689" customFormat="1" x14ac:dyDescent="0.2"/>
    <row r="43718" s="689" customFormat="1" x14ac:dyDescent="0.2"/>
    <row r="43719" s="689" customFormat="1" x14ac:dyDescent="0.2"/>
    <row r="43720" s="689" customFormat="1" x14ac:dyDescent="0.2"/>
    <row r="43721" s="689" customFormat="1" x14ac:dyDescent="0.2"/>
    <row r="43722" s="689" customFormat="1" x14ac:dyDescent="0.2"/>
    <row r="43723" s="689" customFormat="1" x14ac:dyDescent="0.2"/>
    <row r="43724" s="689" customFormat="1" x14ac:dyDescent="0.2"/>
    <row r="43725" s="689" customFormat="1" x14ac:dyDescent="0.2"/>
    <row r="43726" s="689" customFormat="1" x14ac:dyDescent="0.2"/>
    <row r="43727" s="689" customFormat="1" x14ac:dyDescent="0.2"/>
    <row r="43728" s="689" customFormat="1" x14ac:dyDescent="0.2"/>
    <row r="43729" s="689" customFormat="1" x14ac:dyDescent="0.2"/>
    <row r="43730" s="689" customFormat="1" x14ac:dyDescent="0.2"/>
    <row r="43731" s="689" customFormat="1" x14ac:dyDescent="0.2"/>
    <row r="43732" s="689" customFormat="1" x14ac:dyDescent="0.2"/>
    <row r="43733" s="689" customFormat="1" x14ac:dyDescent="0.2"/>
    <row r="43734" s="689" customFormat="1" x14ac:dyDescent="0.2"/>
    <row r="43735" s="689" customFormat="1" x14ac:dyDescent="0.2"/>
    <row r="43736" s="689" customFormat="1" x14ac:dyDescent="0.2"/>
    <row r="43737" s="689" customFormat="1" x14ac:dyDescent="0.2"/>
    <row r="43738" s="689" customFormat="1" x14ac:dyDescent="0.2"/>
    <row r="43739" s="689" customFormat="1" x14ac:dyDescent="0.2"/>
    <row r="43740" s="689" customFormat="1" x14ac:dyDescent="0.2"/>
    <row r="43741" s="689" customFormat="1" x14ac:dyDescent="0.2"/>
    <row r="43742" s="689" customFormat="1" x14ac:dyDescent="0.2"/>
    <row r="43743" s="689" customFormat="1" x14ac:dyDescent="0.2"/>
    <row r="43744" s="689" customFormat="1" x14ac:dyDescent="0.2"/>
    <row r="43745" s="689" customFormat="1" x14ac:dyDescent="0.2"/>
    <row r="43746" s="689" customFormat="1" x14ac:dyDescent="0.2"/>
    <row r="43747" s="689" customFormat="1" x14ac:dyDescent="0.2"/>
    <row r="43748" s="689" customFormat="1" x14ac:dyDescent="0.2"/>
    <row r="43749" s="689" customFormat="1" x14ac:dyDescent="0.2"/>
    <row r="43750" s="689" customFormat="1" x14ac:dyDescent="0.2"/>
    <row r="43751" s="689" customFormat="1" x14ac:dyDescent="0.2"/>
    <row r="43752" s="689" customFormat="1" x14ac:dyDescent="0.2"/>
    <row r="43753" s="689" customFormat="1" x14ac:dyDescent="0.2"/>
    <row r="43754" s="689" customFormat="1" x14ac:dyDescent="0.2"/>
    <row r="43755" s="689" customFormat="1" x14ac:dyDescent="0.2"/>
    <row r="43756" s="689" customFormat="1" x14ac:dyDescent="0.2"/>
    <row r="43757" s="689" customFormat="1" x14ac:dyDescent="0.2"/>
    <row r="43758" s="689" customFormat="1" x14ac:dyDescent="0.2"/>
    <row r="43759" s="689" customFormat="1" x14ac:dyDescent="0.2"/>
    <row r="43760" s="689" customFormat="1" x14ac:dyDescent="0.2"/>
    <row r="43761" s="689" customFormat="1" x14ac:dyDescent="0.2"/>
    <row r="43762" s="689" customFormat="1" x14ac:dyDescent="0.2"/>
    <row r="43763" s="689" customFormat="1" x14ac:dyDescent="0.2"/>
    <row r="43764" s="689" customFormat="1" x14ac:dyDescent="0.2"/>
    <row r="43765" s="689" customFormat="1" x14ac:dyDescent="0.2"/>
    <row r="43766" s="689" customFormat="1" x14ac:dyDescent="0.2"/>
    <row r="43767" s="689" customFormat="1" x14ac:dyDescent="0.2"/>
    <row r="43768" s="689" customFormat="1" x14ac:dyDescent="0.2"/>
    <row r="43769" s="689" customFormat="1" x14ac:dyDescent="0.2"/>
    <row r="43770" s="689" customFormat="1" x14ac:dyDescent="0.2"/>
    <row r="43771" s="689" customFormat="1" x14ac:dyDescent="0.2"/>
    <row r="43772" s="689" customFormat="1" x14ac:dyDescent="0.2"/>
    <row r="43773" s="689" customFormat="1" x14ac:dyDescent="0.2"/>
    <row r="43774" s="689" customFormat="1" x14ac:dyDescent="0.2"/>
    <row r="43775" s="689" customFormat="1" x14ac:dyDescent="0.2"/>
    <row r="43776" s="689" customFormat="1" x14ac:dyDescent="0.2"/>
    <row r="43777" s="689" customFormat="1" x14ac:dyDescent="0.2"/>
    <row r="43778" s="689" customFormat="1" x14ac:dyDescent="0.2"/>
    <row r="43779" s="689" customFormat="1" x14ac:dyDescent="0.2"/>
    <row r="43780" s="689" customFormat="1" x14ac:dyDescent="0.2"/>
    <row r="43781" s="689" customFormat="1" x14ac:dyDescent="0.2"/>
    <row r="43782" s="689" customFormat="1" x14ac:dyDescent="0.2"/>
    <row r="43783" s="689" customFormat="1" x14ac:dyDescent="0.2"/>
    <row r="43784" s="689" customFormat="1" x14ac:dyDescent="0.2"/>
    <row r="43785" s="689" customFormat="1" x14ac:dyDescent="0.2"/>
    <row r="43786" s="689" customFormat="1" x14ac:dyDescent="0.2"/>
    <row r="43787" s="689" customFormat="1" x14ac:dyDescent="0.2"/>
    <row r="43788" s="689" customFormat="1" x14ac:dyDescent="0.2"/>
    <row r="43789" s="689" customFormat="1" x14ac:dyDescent="0.2"/>
    <row r="43790" s="689" customFormat="1" x14ac:dyDescent="0.2"/>
    <row r="43791" s="689" customFormat="1" x14ac:dyDescent="0.2"/>
    <row r="43792" s="689" customFormat="1" x14ac:dyDescent="0.2"/>
    <row r="43793" s="689" customFormat="1" x14ac:dyDescent="0.2"/>
    <row r="43794" s="689" customFormat="1" x14ac:dyDescent="0.2"/>
    <row r="43795" s="689" customFormat="1" x14ac:dyDescent="0.2"/>
    <row r="43796" s="689" customFormat="1" x14ac:dyDescent="0.2"/>
    <row r="43797" s="689" customFormat="1" x14ac:dyDescent="0.2"/>
    <row r="43798" s="689" customFormat="1" x14ac:dyDescent="0.2"/>
    <row r="43799" s="689" customFormat="1" x14ac:dyDescent="0.2"/>
    <row r="43800" s="689" customFormat="1" x14ac:dyDescent="0.2"/>
    <row r="43801" s="689" customFormat="1" x14ac:dyDescent="0.2"/>
    <row r="43802" s="689" customFormat="1" x14ac:dyDescent="0.2"/>
    <row r="43803" s="689" customFormat="1" x14ac:dyDescent="0.2"/>
    <row r="43804" s="689" customFormat="1" x14ac:dyDescent="0.2"/>
    <row r="43805" s="689" customFormat="1" x14ac:dyDescent="0.2"/>
    <row r="43806" s="689" customFormat="1" x14ac:dyDescent="0.2"/>
    <row r="43807" s="689" customFormat="1" x14ac:dyDescent="0.2"/>
    <row r="43808" s="689" customFormat="1" x14ac:dyDescent="0.2"/>
    <row r="43809" s="689" customFormat="1" x14ac:dyDescent="0.2"/>
    <row r="43810" s="689" customFormat="1" x14ac:dyDescent="0.2"/>
    <row r="43811" s="689" customFormat="1" x14ac:dyDescent="0.2"/>
    <row r="43812" s="689" customFormat="1" x14ac:dyDescent="0.2"/>
    <row r="43813" s="689" customFormat="1" x14ac:dyDescent="0.2"/>
    <row r="43814" s="689" customFormat="1" x14ac:dyDescent="0.2"/>
    <row r="43815" s="689" customFormat="1" x14ac:dyDescent="0.2"/>
    <row r="43816" s="689" customFormat="1" x14ac:dyDescent="0.2"/>
    <row r="43817" s="689" customFormat="1" x14ac:dyDescent="0.2"/>
    <row r="43818" s="689" customFormat="1" x14ac:dyDescent="0.2"/>
    <row r="43819" s="689" customFormat="1" x14ac:dyDescent="0.2"/>
    <row r="43820" s="689" customFormat="1" x14ac:dyDescent="0.2"/>
    <row r="43821" s="689" customFormat="1" x14ac:dyDescent="0.2"/>
    <row r="43822" s="689" customFormat="1" x14ac:dyDescent="0.2"/>
    <row r="43823" s="689" customFormat="1" x14ac:dyDescent="0.2"/>
    <row r="43824" s="689" customFormat="1" x14ac:dyDescent="0.2"/>
    <row r="43825" s="689" customFormat="1" x14ac:dyDescent="0.2"/>
    <row r="43826" s="689" customFormat="1" x14ac:dyDescent="0.2"/>
    <row r="43827" s="689" customFormat="1" x14ac:dyDescent="0.2"/>
    <row r="43828" s="689" customFormat="1" x14ac:dyDescent="0.2"/>
    <row r="43829" s="689" customFormat="1" x14ac:dyDescent="0.2"/>
    <row r="43830" s="689" customFormat="1" x14ac:dyDescent="0.2"/>
    <row r="43831" s="689" customFormat="1" x14ac:dyDescent="0.2"/>
    <row r="43832" s="689" customFormat="1" x14ac:dyDescent="0.2"/>
    <row r="43833" s="689" customFormat="1" x14ac:dyDescent="0.2"/>
    <row r="43834" s="689" customFormat="1" x14ac:dyDescent="0.2"/>
    <row r="43835" s="689" customFormat="1" x14ac:dyDescent="0.2"/>
    <row r="43836" s="689" customFormat="1" x14ac:dyDescent="0.2"/>
    <row r="43837" s="689" customFormat="1" x14ac:dyDescent="0.2"/>
    <row r="43838" s="689" customFormat="1" x14ac:dyDescent="0.2"/>
    <row r="43839" s="689" customFormat="1" x14ac:dyDescent="0.2"/>
    <row r="43840" s="689" customFormat="1" x14ac:dyDescent="0.2"/>
    <row r="43841" s="689" customFormat="1" x14ac:dyDescent="0.2"/>
    <row r="43842" s="689" customFormat="1" x14ac:dyDescent="0.2"/>
    <row r="43843" s="689" customFormat="1" x14ac:dyDescent="0.2"/>
    <row r="43844" s="689" customFormat="1" x14ac:dyDescent="0.2"/>
    <row r="43845" s="689" customFormat="1" x14ac:dyDescent="0.2"/>
    <row r="43846" s="689" customFormat="1" x14ac:dyDescent="0.2"/>
    <row r="43847" s="689" customFormat="1" x14ac:dyDescent="0.2"/>
    <row r="43848" s="689" customFormat="1" x14ac:dyDescent="0.2"/>
    <row r="43849" s="689" customFormat="1" x14ac:dyDescent="0.2"/>
    <row r="43850" s="689" customFormat="1" x14ac:dyDescent="0.2"/>
    <row r="43851" s="689" customFormat="1" x14ac:dyDescent="0.2"/>
    <row r="43852" s="689" customFormat="1" x14ac:dyDescent="0.2"/>
    <row r="43853" s="689" customFormat="1" x14ac:dyDescent="0.2"/>
    <row r="43854" s="689" customFormat="1" x14ac:dyDescent="0.2"/>
    <row r="43855" s="689" customFormat="1" x14ac:dyDescent="0.2"/>
    <row r="43856" s="689" customFormat="1" x14ac:dyDescent="0.2"/>
    <row r="43857" s="689" customFormat="1" x14ac:dyDescent="0.2"/>
    <row r="43858" s="689" customFormat="1" x14ac:dyDescent="0.2"/>
    <row r="43859" s="689" customFormat="1" x14ac:dyDescent="0.2"/>
    <row r="43860" s="689" customFormat="1" x14ac:dyDescent="0.2"/>
    <row r="43861" s="689" customFormat="1" x14ac:dyDescent="0.2"/>
    <row r="43862" s="689" customFormat="1" x14ac:dyDescent="0.2"/>
    <row r="43863" s="689" customFormat="1" x14ac:dyDescent="0.2"/>
    <row r="43864" s="689" customFormat="1" x14ac:dyDescent="0.2"/>
    <row r="43865" s="689" customFormat="1" x14ac:dyDescent="0.2"/>
    <row r="43866" s="689" customFormat="1" x14ac:dyDescent="0.2"/>
    <row r="43867" s="689" customFormat="1" x14ac:dyDescent="0.2"/>
    <row r="43868" s="689" customFormat="1" x14ac:dyDescent="0.2"/>
    <row r="43869" s="689" customFormat="1" x14ac:dyDescent="0.2"/>
    <row r="43870" s="689" customFormat="1" x14ac:dyDescent="0.2"/>
    <row r="43871" s="689" customFormat="1" x14ac:dyDescent="0.2"/>
    <row r="43872" s="689" customFormat="1" x14ac:dyDescent="0.2"/>
    <row r="43873" s="689" customFormat="1" x14ac:dyDescent="0.2"/>
    <row r="43874" s="689" customFormat="1" x14ac:dyDescent="0.2"/>
    <row r="43875" s="689" customFormat="1" x14ac:dyDescent="0.2"/>
    <row r="43876" s="689" customFormat="1" x14ac:dyDescent="0.2"/>
    <row r="43877" s="689" customFormat="1" x14ac:dyDescent="0.2"/>
    <row r="43878" s="689" customFormat="1" x14ac:dyDescent="0.2"/>
    <row r="43879" s="689" customFormat="1" x14ac:dyDescent="0.2"/>
    <row r="43880" s="689" customFormat="1" x14ac:dyDescent="0.2"/>
    <row r="43881" s="689" customFormat="1" x14ac:dyDescent="0.2"/>
    <row r="43882" s="689" customFormat="1" x14ac:dyDescent="0.2"/>
    <row r="43883" s="689" customFormat="1" x14ac:dyDescent="0.2"/>
    <row r="43884" s="689" customFormat="1" x14ac:dyDescent="0.2"/>
    <row r="43885" s="689" customFormat="1" x14ac:dyDescent="0.2"/>
    <row r="43886" s="689" customFormat="1" x14ac:dyDescent="0.2"/>
    <row r="43887" s="689" customFormat="1" x14ac:dyDescent="0.2"/>
    <row r="43888" s="689" customFormat="1" x14ac:dyDescent="0.2"/>
    <row r="43889" s="689" customFormat="1" x14ac:dyDescent="0.2"/>
    <row r="43890" s="689" customFormat="1" x14ac:dyDescent="0.2"/>
    <row r="43891" s="689" customFormat="1" x14ac:dyDescent="0.2"/>
    <row r="43892" s="689" customFormat="1" x14ac:dyDescent="0.2"/>
    <row r="43893" s="689" customFormat="1" x14ac:dyDescent="0.2"/>
    <row r="43894" s="689" customFormat="1" x14ac:dyDescent="0.2"/>
    <row r="43895" s="689" customFormat="1" x14ac:dyDescent="0.2"/>
    <row r="43896" s="689" customFormat="1" x14ac:dyDescent="0.2"/>
    <row r="43897" s="689" customFormat="1" x14ac:dyDescent="0.2"/>
    <row r="43898" s="689" customFormat="1" x14ac:dyDescent="0.2"/>
    <row r="43899" s="689" customFormat="1" x14ac:dyDescent="0.2"/>
    <row r="43900" s="689" customFormat="1" x14ac:dyDescent="0.2"/>
    <row r="43901" s="689" customFormat="1" x14ac:dyDescent="0.2"/>
    <row r="43902" s="689" customFormat="1" x14ac:dyDescent="0.2"/>
    <row r="43903" s="689" customFormat="1" x14ac:dyDescent="0.2"/>
    <row r="43904" s="689" customFormat="1" x14ac:dyDescent="0.2"/>
    <row r="43905" s="689" customFormat="1" x14ac:dyDescent="0.2"/>
    <row r="43906" s="689" customFormat="1" x14ac:dyDescent="0.2"/>
    <row r="43907" s="689" customFormat="1" x14ac:dyDescent="0.2"/>
    <row r="43908" s="689" customFormat="1" x14ac:dyDescent="0.2"/>
    <row r="43909" s="689" customFormat="1" x14ac:dyDescent="0.2"/>
    <row r="43910" s="689" customFormat="1" x14ac:dyDescent="0.2"/>
    <row r="43911" s="689" customFormat="1" x14ac:dyDescent="0.2"/>
    <row r="43912" s="689" customFormat="1" x14ac:dyDescent="0.2"/>
    <row r="43913" s="689" customFormat="1" x14ac:dyDescent="0.2"/>
    <row r="43914" s="689" customFormat="1" x14ac:dyDescent="0.2"/>
    <row r="43915" s="689" customFormat="1" x14ac:dyDescent="0.2"/>
    <row r="43916" s="689" customFormat="1" x14ac:dyDescent="0.2"/>
    <row r="43917" s="689" customFormat="1" x14ac:dyDescent="0.2"/>
    <row r="43918" s="689" customFormat="1" x14ac:dyDescent="0.2"/>
    <row r="43919" s="689" customFormat="1" x14ac:dyDescent="0.2"/>
    <row r="43920" s="689" customFormat="1" x14ac:dyDescent="0.2"/>
    <row r="43921" s="689" customFormat="1" x14ac:dyDescent="0.2"/>
    <row r="43922" s="689" customFormat="1" x14ac:dyDescent="0.2"/>
    <row r="43923" s="689" customFormat="1" x14ac:dyDescent="0.2"/>
    <row r="43924" s="689" customFormat="1" x14ac:dyDescent="0.2"/>
    <row r="43925" s="689" customFormat="1" x14ac:dyDescent="0.2"/>
    <row r="43926" s="689" customFormat="1" x14ac:dyDescent="0.2"/>
    <row r="43927" s="689" customFormat="1" x14ac:dyDescent="0.2"/>
    <row r="43928" s="689" customFormat="1" x14ac:dyDescent="0.2"/>
    <row r="43929" s="689" customFormat="1" x14ac:dyDescent="0.2"/>
    <row r="43930" s="689" customFormat="1" x14ac:dyDescent="0.2"/>
    <row r="43931" s="689" customFormat="1" x14ac:dyDescent="0.2"/>
    <row r="43932" s="689" customFormat="1" x14ac:dyDescent="0.2"/>
    <row r="43933" s="689" customFormat="1" x14ac:dyDescent="0.2"/>
    <row r="43934" s="689" customFormat="1" x14ac:dyDescent="0.2"/>
    <row r="43935" s="689" customFormat="1" x14ac:dyDescent="0.2"/>
    <row r="43936" s="689" customFormat="1" x14ac:dyDescent="0.2"/>
    <row r="43937" s="689" customFormat="1" x14ac:dyDescent="0.2"/>
    <row r="43938" s="689" customFormat="1" x14ac:dyDescent="0.2"/>
    <row r="43939" s="689" customFormat="1" x14ac:dyDescent="0.2"/>
    <row r="43940" s="689" customFormat="1" x14ac:dyDescent="0.2"/>
    <row r="43941" s="689" customFormat="1" x14ac:dyDescent="0.2"/>
    <row r="43942" s="689" customFormat="1" x14ac:dyDescent="0.2"/>
    <row r="43943" s="689" customFormat="1" x14ac:dyDescent="0.2"/>
    <row r="43944" s="689" customFormat="1" x14ac:dyDescent="0.2"/>
    <row r="43945" s="689" customFormat="1" x14ac:dyDescent="0.2"/>
    <row r="43946" s="689" customFormat="1" x14ac:dyDescent="0.2"/>
    <row r="43947" s="689" customFormat="1" x14ac:dyDescent="0.2"/>
    <row r="43948" s="689" customFormat="1" x14ac:dyDescent="0.2"/>
    <row r="43949" s="689" customFormat="1" x14ac:dyDescent="0.2"/>
    <row r="43950" s="689" customFormat="1" x14ac:dyDescent="0.2"/>
    <row r="43951" s="689" customFormat="1" x14ac:dyDescent="0.2"/>
    <row r="43952" s="689" customFormat="1" x14ac:dyDescent="0.2"/>
    <row r="43953" s="689" customFormat="1" x14ac:dyDescent="0.2"/>
    <row r="43954" s="689" customFormat="1" x14ac:dyDescent="0.2"/>
    <row r="43955" s="689" customFormat="1" x14ac:dyDescent="0.2"/>
    <row r="43956" s="689" customFormat="1" x14ac:dyDescent="0.2"/>
    <row r="43957" s="689" customFormat="1" x14ac:dyDescent="0.2"/>
    <row r="43958" s="689" customFormat="1" x14ac:dyDescent="0.2"/>
    <row r="43959" s="689" customFormat="1" x14ac:dyDescent="0.2"/>
    <row r="43960" s="689" customFormat="1" x14ac:dyDescent="0.2"/>
    <row r="43961" s="689" customFormat="1" x14ac:dyDescent="0.2"/>
    <row r="43962" s="689" customFormat="1" x14ac:dyDescent="0.2"/>
    <row r="43963" s="689" customFormat="1" x14ac:dyDescent="0.2"/>
    <row r="43964" s="689" customFormat="1" x14ac:dyDescent="0.2"/>
    <row r="43965" s="689" customFormat="1" x14ac:dyDescent="0.2"/>
    <row r="43966" s="689" customFormat="1" x14ac:dyDescent="0.2"/>
    <row r="43967" s="689" customFormat="1" x14ac:dyDescent="0.2"/>
    <row r="43968" s="689" customFormat="1" x14ac:dyDescent="0.2"/>
    <row r="43969" s="689" customFormat="1" x14ac:dyDescent="0.2"/>
    <row r="43970" s="689" customFormat="1" x14ac:dyDescent="0.2"/>
    <row r="43971" s="689" customFormat="1" x14ac:dyDescent="0.2"/>
    <row r="43972" s="689" customFormat="1" x14ac:dyDescent="0.2"/>
    <row r="43973" s="689" customFormat="1" x14ac:dyDescent="0.2"/>
    <row r="43974" s="689" customFormat="1" x14ac:dyDescent="0.2"/>
    <row r="43975" s="689" customFormat="1" x14ac:dyDescent="0.2"/>
    <row r="43976" s="689" customFormat="1" x14ac:dyDescent="0.2"/>
    <row r="43977" s="689" customFormat="1" x14ac:dyDescent="0.2"/>
    <row r="43978" s="689" customFormat="1" x14ac:dyDescent="0.2"/>
    <row r="43979" s="689" customFormat="1" x14ac:dyDescent="0.2"/>
    <row r="43980" s="689" customFormat="1" x14ac:dyDescent="0.2"/>
    <row r="43981" s="689" customFormat="1" x14ac:dyDescent="0.2"/>
    <row r="43982" s="689" customFormat="1" x14ac:dyDescent="0.2"/>
    <row r="43983" s="689" customFormat="1" x14ac:dyDescent="0.2"/>
    <row r="43984" s="689" customFormat="1" x14ac:dyDescent="0.2"/>
    <row r="43985" s="689" customFormat="1" x14ac:dyDescent="0.2"/>
    <row r="43986" s="689" customFormat="1" x14ac:dyDescent="0.2"/>
    <row r="43987" s="689" customFormat="1" x14ac:dyDescent="0.2"/>
    <row r="43988" s="689" customFormat="1" x14ac:dyDescent="0.2"/>
    <row r="43989" s="689" customFormat="1" x14ac:dyDescent="0.2"/>
    <row r="43990" s="689" customFormat="1" x14ac:dyDescent="0.2"/>
    <row r="43991" s="689" customFormat="1" x14ac:dyDescent="0.2"/>
    <row r="43992" s="689" customFormat="1" x14ac:dyDescent="0.2"/>
    <row r="43993" s="689" customFormat="1" x14ac:dyDescent="0.2"/>
    <row r="43994" s="689" customFormat="1" x14ac:dyDescent="0.2"/>
    <row r="43995" s="689" customFormat="1" x14ac:dyDescent="0.2"/>
    <row r="43996" s="689" customFormat="1" x14ac:dyDescent="0.2"/>
    <row r="43997" s="689" customFormat="1" x14ac:dyDescent="0.2"/>
    <row r="43998" s="689" customFormat="1" x14ac:dyDescent="0.2"/>
    <row r="43999" s="689" customFormat="1" x14ac:dyDescent="0.2"/>
    <row r="44000" s="689" customFormat="1" x14ac:dyDescent="0.2"/>
    <row r="44001" s="689" customFormat="1" x14ac:dyDescent="0.2"/>
    <row r="44002" s="689" customFormat="1" x14ac:dyDescent="0.2"/>
    <row r="44003" s="689" customFormat="1" x14ac:dyDescent="0.2"/>
    <row r="44004" s="689" customFormat="1" x14ac:dyDescent="0.2"/>
    <row r="44005" s="689" customFormat="1" x14ac:dyDescent="0.2"/>
    <row r="44006" s="689" customFormat="1" x14ac:dyDescent="0.2"/>
    <row r="44007" s="689" customFormat="1" x14ac:dyDescent="0.2"/>
    <row r="44008" s="689" customFormat="1" x14ac:dyDescent="0.2"/>
    <row r="44009" s="689" customFormat="1" x14ac:dyDescent="0.2"/>
    <row r="44010" s="689" customFormat="1" x14ac:dyDescent="0.2"/>
    <row r="44011" s="689" customFormat="1" x14ac:dyDescent="0.2"/>
    <row r="44012" s="689" customFormat="1" x14ac:dyDescent="0.2"/>
    <row r="44013" s="689" customFormat="1" x14ac:dyDescent="0.2"/>
    <row r="44014" s="689" customFormat="1" x14ac:dyDescent="0.2"/>
    <row r="44015" s="689" customFormat="1" x14ac:dyDescent="0.2"/>
    <row r="44016" s="689" customFormat="1" x14ac:dyDescent="0.2"/>
    <row r="44017" s="689" customFormat="1" x14ac:dyDescent="0.2"/>
    <row r="44018" s="689" customFormat="1" x14ac:dyDescent="0.2"/>
    <row r="44019" s="689" customFormat="1" x14ac:dyDescent="0.2"/>
    <row r="44020" s="689" customFormat="1" x14ac:dyDescent="0.2"/>
    <row r="44021" s="689" customFormat="1" x14ac:dyDescent="0.2"/>
    <row r="44022" s="689" customFormat="1" x14ac:dyDescent="0.2"/>
    <row r="44023" s="689" customFormat="1" x14ac:dyDescent="0.2"/>
    <row r="44024" s="689" customFormat="1" x14ac:dyDescent="0.2"/>
    <row r="44025" s="689" customFormat="1" x14ac:dyDescent="0.2"/>
    <row r="44026" s="689" customFormat="1" x14ac:dyDescent="0.2"/>
    <row r="44027" s="689" customFormat="1" x14ac:dyDescent="0.2"/>
    <row r="44028" s="689" customFormat="1" x14ac:dyDescent="0.2"/>
    <row r="44029" s="689" customFormat="1" x14ac:dyDescent="0.2"/>
    <row r="44030" s="689" customFormat="1" x14ac:dyDescent="0.2"/>
    <row r="44031" s="689" customFormat="1" x14ac:dyDescent="0.2"/>
    <row r="44032" s="689" customFormat="1" x14ac:dyDescent="0.2"/>
    <row r="44033" s="689" customFormat="1" x14ac:dyDescent="0.2"/>
    <row r="44034" s="689" customFormat="1" x14ac:dyDescent="0.2"/>
    <row r="44035" s="689" customFormat="1" x14ac:dyDescent="0.2"/>
    <row r="44036" s="689" customFormat="1" x14ac:dyDescent="0.2"/>
    <row r="44037" s="689" customFormat="1" x14ac:dyDescent="0.2"/>
    <row r="44038" s="689" customFormat="1" x14ac:dyDescent="0.2"/>
    <row r="44039" s="689" customFormat="1" x14ac:dyDescent="0.2"/>
    <row r="44040" s="689" customFormat="1" x14ac:dyDescent="0.2"/>
    <row r="44041" s="689" customFormat="1" x14ac:dyDescent="0.2"/>
    <row r="44042" s="689" customFormat="1" x14ac:dyDescent="0.2"/>
    <row r="44043" s="689" customFormat="1" x14ac:dyDescent="0.2"/>
    <row r="44044" s="689" customFormat="1" x14ac:dyDescent="0.2"/>
    <row r="44045" s="689" customFormat="1" x14ac:dyDescent="0.2"/>
    <row r="44046" s="689" customFormat="1" x14ac:dyDescent="0.2"/>
    <row r="44047" s="689" customFormat="1" x14ac:dyDescent="0.2"/>
    <row r="44048" s="689" customFormat="1" x14ac:dyDescent="0.2"/>
    <row r="44049" s="689" customFormat="1" x14ac:dyDescent="0.2"/>
    <row r="44050" s="689" customFormat="1" x14ac:dyDescent="0.2"/>
    <row r="44051" s="689" customFormat="1" x14ac:dyDescent="0.2"/>
    <row r="44052" s="689" customFormat="1" x14ac:dyDescent="0.2"/>
    <row r="44053" s="689" customFormat="1" x14ac:dyDescent="0.2"/>
    <row r="44054" s="689" customFormat="1" x14ac:dyDescent="0.2"/>
    <row r="44055" s="689" customFormat="1" x14ac:dyDescent="0.2"/>
    <row r="44056" s="689" customFormat="1" x14ac:dyDescent="0.2"/>
    <row r="44057" s="689" customFormat="1" x14ac:dyDescent="0.2"/>
    <row r="44058" s="689" customFormat="1" x14ac:dyDescent="0.2"/>
    <row r="44059" s="689" customFormat="1" x14ac:dyDescent="0.2"/>
    <row r="44060" s="689" customFormat="1" x14ac:dyDescent="0.2"/>
    <row r="44061" s="689" customFormat="1" x14ac:dyDescent="0.2"/>
    <row r="44062" s="689" customFormat="1" x14ac:dyDescent="0.2"/>
    <row r="44063" s="689" customFormat="1" x14ac:dyDescent="0.2"/>
    <row r="44064" s="689" customFormat="1" x14ac:dyDescent="0.2"/>
    <row r="44065" s="689" customFormat="1" x14ac:dyDescent="0.2"/>
    <row r="44066" s="689" customFormat="1" x14ac:dyDescent="0.2"/>
    <row r="44067" s="689" customFormat="1" x14ac:dyDescent="0.2"/>
    <row r="44068" s="689" customFormat="1" x14ac:dyDescent="0.2"/>
    <row r="44069" s="689" customFormat="1" x14ac:dyDescent="0.2"/>
    <row r="44070" s="689" customFormat="1" x14ac:dyDescent="0.2"/>
    <row r="44071" s="689" customFormat="1" x14ac:dyDescent="0.2"/>
    <row r="44072" s="689" customFormat="1" x14ac:dyDescent="0.2"/>
    <row r="44073" s="689" customFormat="1" x14ac:dyDescent="0.2"/>
    <row r="44074" s="689" customFormat="1" x14ac:dyDescent="0.2"/>
    <row r="44075" s="689" customFormat="1" x14ac:dyDescent="0.2"/>
    <row r="44076" s="689" customFormat="1" x14ac:dyDescent="0.2"/>
    <row r="44077" s="689" customFormat="1" x14ac:dyDescent="0.2"/>
    <row r="44078" s="689" customFormat="1" x14ac:dyDescent="0.2"/>
    <row r="44079" s="689" customFormat="1" x14ac:dyDescent="0.2"/>
    <row r="44080" s="689" customFormat="1" x14ac:dyDescent="0.2"/>
    <row r="44081" s="689" customFormat="1" x14ac:dyDescent="0.2"/>
    <row r="44082" s="689" customFormat="1" x14ac:dyDescent="0.2"/>
    <row r="44083" s="689" customFormat="1" x14ac:dyDescent="0.2"/>
    <row r="44084" s="689" customFormat="1" x14ac:dyDescent="0.2"/>
    <row r="44085" s="689" customFormat="1" x14ac:dyDescent="0.2"/>
    <row r="44086" s="689" customFormat="1" x14ac:dyDescent="0.2"/>
    <row r="44087" s="689" customFormat="1" x14ac:dyDescent="0.2"/>
    <row r="44088" s="689" customFormat="1" x14ac:dyDescent="0.2"/>
    <row r="44089" s="689" customFormat="1" x14ac:dyDescent="0.2"/>
    <row r="44090" s="689" customFormat="1" x14ac:dyDescent="0.2"/>
    <row r="44091" s="689" customFormat="1" x14ac:dyDescent="0.2"/>
    <row r="44092" s="689" customFormat="1" x14ac:dyDescent="0.2"/>
    <row r="44093" s="689" customFormat="1" x14ac:dyDescent="0.2"/>
    <row r="44094" s="689" customFormat="1" x14ac:dyDescent="0.2"/>
    <row r="44095" s="689" customFormat="1" x14ac:dyDescent="0.2"/>
    <row r="44096" s="689" customFormat="1" x14ac:dyDescent="0.2"/>
    <row r="44097" s="689" customFormat="1" x14ac:dyDescent="0.2"/>
    <row r="44098" s="689" customFormat="1" x14ac:dyDescent="0.2"/>
    <row r="44099" s="689" customFormat="1" x14ac:dyDescent="0.2"/>
    <row r="44100" s="689" customFormat="1" x14ac:dyDescent="0.2"/>
    <row r="44101" s="689" customFormat="1" x14ac:dyDescent="0.2"/>
    <row r="44102" s="689" customFormat="1" x14ac:dyDescent="0.2"/>
    <row r="44103" s="689" customFormat="1" x14ac:dyDescent="0.2"/>
    <row r="44104" s="689" customFormat="1" x14ac:dyDescent="0.2"/>
    <row r="44105" s="689" customFormat="1" x14ac:dyDescent="0.2"/>
    <row r="44106" s="689" customFormat="1" x14ac:dyDescent="0.2"/>
    <row r="44107" s="689" customFormat="1" x14ac:dyDescent="0.2"/>
    <row r="44108" s="689" customFormat="1" x14ac:dyDescent="0.2"/>
    <row r="44109" s="689" customFormat="1" x14ac:dyDescent="0.2"/>
    <row r="44110" s="689" customFormat="1" x14ac:dyDescent="0.2"/>
    <row r="44111" s="689" customFormat="1" x14ac:dyDescent="0.2"/>
    <row r="44112" s="689" customFormat="1" x14ac:dyDescent="0.2"/>
    <row r="44113" s="689" customFormat="1" x14ac:dyDescent="0.2"/>
    <row r="44114" s="689" customFormat="1" x14ac:dyDescent="0.2"/>
    <row r="44115" s="689" customFormat="1" x14ac:dyDescent="0.2"/>
    <row r="44116" s="689" customFormat="1" x14ac:dyDescent="0.2"/>
    <row r="44117" s="689" customFormat="1" x14ac:dyDescent="0.2"/>
    <row r="44118" s="689" customFormat="1" x14ac:dyDescent="0.2"/>
    <row r="44119" s="689" customFormat="1" x14ac:dyDescent="0.2"/>
    <row r="44120" s="689" customFormat="1" x14ac:dyDescent="0.2"/>
    <row r="44121" s="689" customFormat="1" x14ac:dyDescent="0.2"/>
    <row r="44122" s="689" customFormat="1" x14ac:dyDescent="0.2"/>
    <row r="44123" s="689" customFormat="1" x14ac:dyDescent="0.2"/>
    <row r="44124" s="689" customFormat="1" x14ac:dyDescent="0.2"/>
    <row r="44125" s="689" customFormat="1" x14ac:dyDescent="0.2"/>
    <row r="44126" s="689" customFormat="1" x14ac:dyDescent="0.2"/>
    <row r="44127" s="689" customFormat="1" x14ac:dyDescent="0.2"/>
    <row r="44128" s="689" customFormat="1" x14ac:dyDescent="0.2"/>
    <row r="44129" s="689" customFormat="1" x14ac:dyDescent="0.2"/>
    <row r="44130" s="689" customFormat="1" x14ac:dyDescent="0.2"/>
    <row r="44131" s="689" customFormat="1" x14ac:dyDescent="0.2"/>
    <row r="44132" s="689" customFormat="1" x14ac:dyDescent="0.2"/>
    <row r="44133" s="689" customFormat="1" x14ac:dyDescent="0.2"/>
    <row r="44134" s="689" customFormat="1" x14ac:dyDescent="0.2"/>
    <row r="44135" s="689" customFormat="1" x14ac:dyDescent="0.2"/>
    <row r="44136" s="689" customFormat="1" x14ac:dyDescent="0.2"/>
    <row r="44137" s="689" customFormat="1" x14ac:dyDescent="0.2"/>
    <row r="44138" s="689" customFormat="1" x14ac:dyDescent="0.2"/>
    <row r="44139" s="689" customFormat="1" x14ac:dyDescent="0.2"/>
    <row r="44140" s="689" customFormat="1" x14ac:dyDescent="0.2"/>
    <row r="44141" s="689" customFormat="1" x14ac:dyDescent="0.2"/>
    <row r="44142" s="689" customFormat="1" x14ac:dyDescent="0.2"/>
    <row r="44143" s="689" customFormat="1" x14ac:dyDescent="0.2"/>
    <row r="44144" s="689" customFormat="1" x14ac:dyDescent="0.2"/>
    <row r="44145" s="689" customFormat="1" x14ac:dyDescent="0.2"/>
    <row r="44146" s="689" customFormat="1" x14ac:dyDescent="0.2"/>
    <row r="44147" s="689" customFormat="1" x14ac:dyDescent="0.2"/>
    <row r="44148" s="689" customFormat="1" x14ac:dyDescent="0.2"/>
    <row r="44149" s="689" customFormat="1" x14ac:dyDescent="0.2"/>
    <row r="44150" s="689" customFormat="1" x14ac:dyDescent="0.2"/>
    <row r="44151" s="689" customFormat="1" x14ac:dyDescent="0.2"/>
    <row r="44152" s="689" customFormat="1" x14ac:dyDescent="0.2"/>
    <row r="44153" s="689" customFormat="1" x14ac:dyDescent="0.2"/>
    <row r="44154" s="689" customFormat="1" x14ac:dyDescent="0.2"/>
    <row r="44155" s="689" customFormat="1" x14ac:dyDescent="0.2"/>
    <row r="44156" s="689" customFormat="1" x14ac:dyDescent="0.2"/>
    <row r="44157" s="689" customFormat="1" x14ac:dyDescent="0.2"/>
    <row r="44158" s="689" customFormat="1" x14ac:dyDescent="0.2"/>
    <row r="44159" s="689" customFormat="1" x14ac:dyDescent="0.2"/>
    <row r="44160" s="689" customFormat="1" x14ac:dyDescent="0.2"/>
    <row r="44161" s="689" customFormat="1" x14ac:dyDescent="0.2"/>
    <row r="44162" s="689" customFormat="1" x14ac:dyDescent="0.2"/>
    <row r="44163" s="689" customFormat="1" x14ac:dyDescent="0.2"/>
    <row r="44164" s="689" customFormat="1" x14ac:dyDescent="0.2"/>
    <row r="44165" s="689" customFormat="1" x14ac:dyDescent="0.2"/>
    <row r="44166" s="689" customFormat="1" x14ac:dyDescent="0.2"/>
    <row r="44167" s="689" customFormat="1" x14ac:dyDescent="0.2"/>
    <row r="44168" s="689" customFormat="1" x14ac:dyDescent="0.2"/>
    <row r="44169" s="689" customFormat="1" x14ac:dyDescent="0.2"/>
    <row r="44170" s="689" customFormat="1" x14ac:dyDescent="0.2"/>
    <row r="44171" s="689" customFormat="1" x14ac:dyDescent="0.2"/>
    <row r="44172" s="689" customFormat="1" x14ac:dyDescent="0.2"/>
    <row r="44173" s="689" customFormat="1" x14ac:dyDescent="0.2"/>
    <row r="44174" s="689" customFormat="1" x14ac:dyDescent="0.2"/>
    <row r="44175" s="689" customFormat="1" x14ac:dyDescent="0.2"/>
    <row r="44176" s="689" customFormat="1" x14ac:dyDescent="0.2"/>
    <row r="44177" s="689" customFormat="1" x14ac:dyDescent="0.2"/>
    <row r="44178" s="689" customFormat="1" x14ac:dyDescent="0.2"/>
    <row r="44179" s="689" customFormat="1" x14ac:dyDescent="0.2"/>
    <row r="44180" s="689" customFormat="1" x14ac:dyDescent="0.2"/>
    <row r="44181" s="689" customFormat="1" x14ac:dyDescent="0.2"/>
    <row r="44182" s="689" customFormat="1" x14ac:dyDescent="0.2"/>
    <row r="44183" s="689" customFormat="1" x14ac:dyDescent="0.2"/>
    <row r="44184" s="689" customFormat="1" x14ac:dyDescent="0.2"/>
    <row r="44185" s="689" customFormat="1" x14ac:dyDescent="0.2"/>
    <row r="44186" s="689" customFormat="1" x14ac:dyDescent="0.2"/>
    <row r="44187" s="689" customFormat="1" x14ac:dyDescent="0.2"/>
    <row r="44188" s="689" customFormat="1" x14ac:dyDescent="0.2"/>
    <row r="44189" s="689" customFormat="1" x14ac:dyDescent="0.2"/>
    <row r="44190" s="689" customFormat="1" x14ac:dyDescent="0.2"/>
    <row r="44191" s="689" customFormat="1" x14ac:dyDescent="0.2"/>
    <row r="44192" s="689" customFormat="1" x14ac:dyDescent="0.2"/>
    <row r="44193" s="689" customFormat="1" x14ac:dyDescent="0.2"/>
    <row r="44194" s="689" customFormat="1" x14ac:dyDescent="0.2"/>
    <row r="44195" s="689" customFormat="1" x14ac:dyDescent="0.2"/>
    <row r="44196" s="689" customFormat="1" x14ac:dyDescent="0.2"/>
    <row r="44197" s="689" customFormat="1" x14ac:dyDescent="0.2"/>
    <row r="44198" s="689" customFormat="1" x14ac:dyDescent="0.2"/>
    <row r="44199" s="689" customFormat="1" x14ac:dyDescent="0.2"/>
    <row r="44200" s="689" customFormat="1" x14ac:dyDescent="0.2"/>
    <row r="44201" s="689" customFormat="1" x14ac:dyDescent="0.2"/>
    <row r="44202" s="689" customFormat="1" x14ac:dyDescent="0.2"/>
    <row r="44203" s="689" customFormat="1" x14ac:dyDescent="0.2"/>
    <row r="44204" s="689" customFormat="1" x14ac:dyDescent="0.2"/>
    <row r="44205" s="689" customFormat="1" x14ac:dyDescent="0.2"/>
    <row r="44206" s="689" customFormat="1" x14ac:dyDescent="0.2"/>
    <row r="44207" s="689" customFormat="1" x14ac:dyDescent="0.2"/>
    <row r="44208" s="689" customFormat="1" x14ac:dyDescent="0.2"/>
    <row r="44209" s="689" customFormat="1" x14ac:dyDescent="0.2"/>
    <row r="44210" s="689" customFormat="1" x14ac:dyDescent="0.2"/>
    <row r="44211" s="689" customFormat="1" x14ac:dyDescent="0.2"/>
    <row r="44212" s="689" customFormat="1" x14ac:dyDescent="0.2"/>
    <row r="44213" s="689" customFormat="1" x14ac:dyDescent="0.2"/>
    <row r="44214" s="689" customFormat="1" x14ac:dyDescent="0.2"/>
    <row r="44215" s="689" customFormat="1" x14ac:dyDescent="0.2"/>
    <row r="44216" s="689" customFormat="1" x14ac:dyDescent="0.2"/>
    <row r="44217" s="689" customFormat="1" x14ac:dyDescent="0.2"/>
    <row r="44218" s="689" customFormat="1" x14ac:dyDescent="0.2"/>
    <row r="44219" s="689" customFormat="1" x14ac:dyDescent="0.2"/>
    <row r="44220" s="689" customFormat="1" x14ac:dyDescent="0.2"/>
    <row r="44221" s="689" customFormat="1" x14ac:dyDescent="0.2"/>
    <row r="44222" s="689" customFormat="1" x14ac:dyDescent="0.2"/>
    <row r="44223" s="689" customFormat="1" x14ac:dyDescent="0.2"/>
    <row r="44224" s="689" customFormat="1" x14ac:dyDescent="0.2"/>
    <row r="44225" s="689" customFormat="1" x14ac:dyDescent="0.2"/>
    <row r="44226" s="689" customFormat="1" x14ac:dyDescent="0.2"/>
    <row r="44227" s="689" customFormat="1" x14ac:dyDescent="0.2"/>
    <row r="44228" s="689" customFormat="1" x14ac:dyDescent="0.2"/>
    <row r="44229" s="689" customFormat="1" x14ac:dyDescent="0.2"/>
    <row r="44230" s="689" customFormat="1" x14ac:dyDescent="0.2"/>
    <row r="44231" s="689" customFormat="1" x14ac:dyDescent="0.2"/>
    <row r="44232" s="689" customFormat="1" x14ac:dyDescent="0.2"/>
    <row r="44233" s="689" customFormat="1" x14ac:dyDescent="0.2"/>
    <row r="44234" s="689" customFormat="1" x14ac:dyDescent="0.2"/>
    <row r="44235" s="689" customFormat="1" x14ac:dyDescent="0.2"/>
    <row r="44236" s="689" customFormat="1" x14ac:dyDescent="0.2"/>
    <row r="44237" s="689" customFormat="1" x14ac:dyDescent="0.2"/>
    <row r="44238" s="689" customFormat="1" x14ac:dyDescent="0.2"/>
    <row r="44239" s="689" customFormat="1" x14ac:dyDescent="0.2"/>
    <row r="44240" s="689" customFormat="1" x14ac:dyDescent="0.2"/>
    <row r="44241" s="689" customFormat="1" x14ac:dyDescent="0.2"/>
    <row r="44242" s="689" customFormat="1" x14ac:dyDescent="0.2"/>
    <row r="44243" s="689" customFormat="1" x14ac:dyDescent="0.2"/>
    <row r="44244" s="689" customFormat="1" x14ac:dyDescent="0.2"/>
    <row r="44245" s="689" customFormat="1" x14ac:dyDescent="0.2"/>
    <row r="44246" s="689" customFormat="1" x14ac:dyDescent="0.2"/>
    <row r="44247" s="689" customFormat="1" x14ac:dyDescent="0.2"/>
    <row r="44248" s="689" customFormat="1" x14ac:dyDescent="0.2"/>
    <row r="44249" s="689" customFormat="1" x14ac:dyDescent="0.2"/>
    <row r="44250" s="689" customFormat="1" x14ac:dyDescent="0.2"/>
    <row r="44251" s="689" customFormat="1" x14ac:dyDescent="0.2"/>
    <row r="44252" s="689" customFormat="1" x14ac:dyDescent="0.2"/>
    <row r="44253" s="689" customFormat="1" x14ac:dyDescent="0.2"/>
    <row r="44254" s="689" customFormat="1" x14ac:dyDescent="0.2"/>
    <row r="44255" s="689" customFormat="1" x14ac:dyDescent="0.2"/>
    <row r="44256" s="689" customFormat="1" x14ac:dyDescent="0.2"/>
    <row r="44257" s="689" customFormat="1" x14ac:dyDescent="0.2"/>
    <row r="44258" s="689" customFormat="1" x14ac:dyDescent="0.2"/>
    <row r="44259" s="689" customFormat="1" x14ac:dyDescent="0.2"/>
    <row r="44260" s="689" customFormat="1" x14ac:dyDescent="0.2"/>
    <row r="44261" s="689" customFormat="1" x14ac:dyDescent="0.2"/>
    <row r="44262" s="689" customFormat="1" x14ac:dyDescent="0.2"/>
    <row r="44263" s="689" customFormat="1" x14ac:dyDescent="0.2"/>
    <row r="44264" s="689" customFormat="1" x14ac:dyDescent="0.2"/>
    <row r="44265" s="689" customFormat="1" x14ac:dyDescent="0.2"/>
    <row r="44266" s="689" customFormat="1" x14ac:dyDescent="0.2"/>
    <row r="44267" s="689" customFormat="1" x14ac:dyDescent="0.2"/>
    <row r="44268" s="689" customFormat="1" x14ac:dyDescent="0.2"/>
    <row r="44269" s="689" customFormat="1" x14ac:dyDescent="0.2"/>
    <row r="44270" s="689" customFormat="1" x14ac:dyDescent="0.2"/>
    <row r="44271" s="689" customFormat="1" x14ac:dyDescent="0.2"/>
    <row r="44272" s="689" customFormat="1" x14ac:dyDescent="0.2"/>
    <row r="44273" s="689" customFormat="1" x14ac:dyDescent="0.2"/>
    <row r="44274" s="689" customFormat="1" x14ac:dyDescent="0.2"/>
    <row r="44275" s="689" customFormat="1" x14ac:dyDescent="0.2"/>
    <row r="44276" s="689" customFormat="1" x14ac:dyDescent="0.2"/>
    <row r="44277" s="689" customFormat="1" x14ac:dyDescent="0.2"/>
    <row r="44278" s="689" customFormat="1" x14ac:dyDescent="0.2"/>
    <row r="44279" s="689" customFormat="1" x14ac:dyDescent="0.2"/>
    <row r="44280" s="689" customFormat="1" x14ac:dyDescent="0.2"/>
    <row r="44281" s="689" customFormat="1" x14ac:dyDescent="0.2"/>
    <row r="44282" s="689" customFormat="1" x14ac:dyDescent="0.2"/>
    <row r="44283" s="689" customFormat="1" x14ac:dyDescent="0.2"/>
    <row r="44284" s="689" customFormat="1" x14ac:dyDescent="0.2"/>
    <row r="44285" s="689" customFormat="1" x14ac:dyDescent="0.2"/>
    <row r="44286" s="689" customFormat="1" x14ac:dyDescent="0.2"/>
    <row r="44287" s="689" customFormat="1" x14ac:dyDescent="0.2"/>
    <row r="44288" s="689" customFormat="1" x14ac:dyDescent="0.2"/>
    <row r="44289" s="689" customFormat="1" x14ac:dyDescent="0.2"/>
    <row r="44290" s="689" customFormat="1" x14ac:dyDescent="0.2"/>
    <row r="44291" s="689" customFormat="1" x14ac:dyDescent="0.2"/>
    <row r="44292" s="689" customFormat="1" x14ac:dyDescent="0.2"/>
    <row r="44293" s="689" customFormat="1" x14ac:dyDescent="0.2"/>
    <row r="44294" s="689" customFormat="1" x14ac:dyDescent="0.2"/>
    <row r="44295" s="689" customFormat="1" x14ac:dyDescent="0.2"/>
    <row r="44296" s="689" customFormat="1" x14ac:dyDescent="0.2"/>
    <row r="44297" s="689" customFormat="1" x14ac:dyDescent="0.2"/>
    <row r="44298" s="689" customFormat="1" x14ac:dyDescent="0.2"/>
    <row r="44299" s="689" customFormat="1" x14ac:dyDescent="0.2"/>
    <row r="44300" s="689" customFormat="1" x14ac:dyDescent="0.2"/>
    <row r="44301" s="689" customFormat="1" x14ac:dyDescent="0.2"/>
    <row r="44302" s="689" customFormat="1" x14ac:dyDescent="0.2"/>
    <row r="44303" s="689" customFormat="1" x14ac:dyDescent="0.2"/>
    <row r="44304" s="689" customFormat="1" x14ac:dyDescent="0.2"/>
    <row r="44305" s="689" customFormat="1" x14ac:dyDescent="0.2"/>
    <row r="44306" s="689" customFormat="1" x14ac:dyDescent="0.2"/>
    <row r="44307" s="689" customFormat="1" x14ac:dyDescent="0.2"/>
    <row r="44308" s="689" customFormat="1" x14ac:dyDescent="0.2"/>
    <row r="44309" s="689" customFormat="1" x14ac:dyDescent="0.2"/>
    <row r="44310" s="689" customFormat="1" x14ac:dyDescent="0.2"/>
    <row r="44311" s="689" customFormat="1" x14ac:dyDescent="0.2"/>
    <row r="44312" s="689" customFormat="1" x14ac:dyDescent="0.2"/>
    <row r="44313" s="689" customFormat="1" x14ac:dyDescent="0.2"/>
    <row r="44314" s="689" customFormat="1" x14ac:dyDescent="0.2"/>
    <row r="44315" s="689" customFormat="1" x14ac:dyDescent="0.2"/>
    <row r="44316" s="689" customFormat="1" x14ac:dyDescent="0.2"/>
    <row r="44317" s="689" customFormat="1" x14ac:dyDescent="0.2"/>
    <row r="44318" s="689" customFormat="1" x14ac:dyDescent="0.2"/>
    <row r="44319" s="689" customFormat="1" x14ac:dyDescent="0.2"/>
    <row r="44320" s="689" customFormat="1" x14ac:dyDescent="0.2"/>
    <row r="44321" s="689" customFormat="1" x14ac:dyDescent="0.2"/>
    <row r="44322" s="689" customFormat="1" x14ac:dyDescent="0.2"/>
    <row r="44323" s="689" customFormat="1" x14ac:dyDescent="0.2"/>
    <row r="44324" s="689" customFormat="1" x14ac:dyDescent="0.2"/>
    <row r="44325" s="689" customFormat="1" x14ac:dyDescent="0.2"/>
    <row r="44326" s="689" customFormat="1" x14ac:dyDescent="0.2"/>
    <row r="44327" s="689" customFormat="1" x14ac:dyDescent="0.2"/>
    <row r="44328" s="689" customFormat="1" x14ac:dyDescent="0.2"/>
    <row r="44329" s="689" customFormat="1" x14ac:dyDescent="0.2"/>
    <row r="44330" s="689" customFormat="1" x14ac:dyDescent="0.2"/>
    <row r="44331" s="689" customFormat="1" x14ac:dyDescent="0.2"/>
    <row r="44332" s="689" customFormat="1" x14ac:dyDescent="0.2"/>
    <row r="44333" s="689" customFormat="1" x14ac:dyDescent="0.2"/>
    <row r="44334" s="689" customFormat="1" x14ac:dyDescent="0.2"/>
    <row r="44335" s="689" customFormat="1" x14ac:dyDescent="0.2"/>
    <row r="44336" s="689" customFormat="1" x14ac:dyDescent="0.2"/>
    <row r="44337" s="689" customFormat="1" x14ac:dyDescent="0.2"/>
    <row r="44338" s="689" customFormat="1" x14ac:dyDescent="0.2"/>
    <row r="44339" s="689" customFormat="1" x14ac:dyDescent="0.2"/>
    <row r="44340" s="689" customFormat="1" x14ac:dyDescent="0.2"/>
    <row r="44341" s="689" customFormat="1" x14ac:dyDescent="0.2"/>
    <row r="44342" s="689" customFormat="1" x14ac:dyDescent="0.2"/>
    <row r="44343" s="689" customFormat="1" x14ac:dyDescent="0.2"/>
    <row r="44344" s="689" customFormat="1" x14ac:dyDescent="0.2"/>
    <row r="44345" s="689" customFormat="1" x14ac:dyDescent="0.2"/>
    <row r="44346" s="689" customFormat="1" x14ac:dyDescent="0.2"/>
    <row r="44347" s="689" customFormat="1" x14ac:dyDescent="0.2"/>
    <row r="44348" s="689" customFormat="1" x14ac:dyDescent="0.2"/>
    <row r="44349" s="689" customFormat="1" x14ac:dyDescent="0.2"/>
    <row r="44350" s="689" customFormat="1" x14ac:dyDescent="0.2"/>
    <row r="44351" s="689" customFormat="1" x14ac:dyDescent="0.2"/>
    <row r="44352" s="689" customFormat="1" x14ac:dyDescent="0.2"/>
    <row r="44353" s="689" customFormat="1" x14ac:dyDescent="0.2"/>
    <row r="44354" s="689" customFormat="1" x14ac:dyDescent="0.2"/>
    <row r="44355" s="689" customFormat="1" x14ac:dyDescent="0.2"/>
    <row r="44356" s="689" customFormat="1" x14ac:dyDescent="0.2"/>
    <row r="44357" s="689" customFormat="1" x14ac:dyDescent="0.2"/>
    <row r="44358" s="689" customFormat="1" x14ac:dyDescent="0.2"/>
    <row r="44359" s="689" customFormat="1" x14ac:dyDescent="0.2"/>
    <row r="44360" s="689" customFormat="1" x14ac:dyDescent="0.2"/>
    <row r="44361" s="689" customFormat="1" x14ac:dyDescent="0.2"/>
    <row r="44362" s="689" customFormat="1" x14ac:dyDescent="0.2"/>
    <row r="44363" s="689" customFormat="1" x14ac:dyDescent="0.2"/>
    <row r="44364" s="689" customFormat="1" x14ac:dyDescent="0.2"/>
    <row r="44365" s="689" customFormat="1" x14ac:dyDescent="0.2"/>
    <row r="44366" s="689" customFormat="1" x14ac:dyDescent="0.2"/>
    <row r="44367" s="689" customFormat="1" x14ac:dyDescent="0.2"/>
    <row r="44368" s="689" customFormat="1" x14ac:dyDescent="0.2"/>
    <row r="44369" s="689" customFormat="1" x14ac:dyDescent="0.2"/>
    <row r="44370" s="689" customFormat="1" x14ac:dyDescent="0.2"/>
    <row r="44371" s="689" customFormat="1" x14ac:dyDescent="0.2"/>
    <row r="44372" s="689" customFormat="1" x14ac:dyDescent="0.2"/>
    <row r="44373" s="689" customFormat="1" x14ac:dyDescent="0.2"/>
    <row r="44374" s="689" customFormat="1" x14ac:dyDescent="0.2"/>
    <row r="44375" s="689" customFormat="1" x14ac:dyDescent="0.2"/>
    <row r="44376" s="689" customFormat="1" x14ac:dyDescent="0.2"/>
    <row r="44377" s="689" customFormat="1" x14ac:dyDescent="0.2"/>
    <row r="44378" s="689" customFormat="1" x14ac:dyDescent="0.2"/>
    <row r="44379" s="689" customFormat="1" x14ac:dyDescent="0.2"/>
    <row r="44380" s="689" customFormat="1" x14ac:dyDescent="0.2"/>
    <row r="44381" s="689" customFormat="1" x14ac:dyDescent="0.2"/>
    <row r="44382" s="689" customFormat="1" x14ac:dyDescent="0.2"/>
    <row r="44383" s="689" customFormat="1" x14ac:dyDescent="0.2"/>
    <row r="44384" s="689" customFormat="1" x14ac:dyDescent="0.2"/>
    <row r="44385" s="689" customFormat="1" x14ac:dyDescent="0.2"/>
    <row r="44386" s="689" customFormat="1" x14ac:dyDescent="0.2"/>
    <row r="44387" s="689" customFormat="1" x14ac:dyDescent="0.2"/>
    <row r="44388" s="689" customFormat="1" x14ac:dyDescent="0.2"/>
    <row r="44389" s="689" customFormat="1" x14ac:dyDescent="0.2"/>
    <row r="44390" s="689" customFormat="1" x14ac:dyDescent="0.2"/>
    <row r="44391" s="689" customFormat="1" x14ac:dyDescent="0.2"/>
    <row r="44392" s="689" customFormat="1" x14ac:dyDescent="0.2"/>
    <row r="44393" s="689" customFormat="1" x14ac:dyDescent="0.2"/>
    <row r="44394" s="689" customFormat="1" x14ac:dyDescent="0.2"/>
    <row r="44395" s="689" customFormat="1" x14ac:dyDescent="0.2"/>
    <row r="44396" s="689" customFormat="1" x14ac:dyDescent="0.2"/>
    <row r="44397" s="689" customFormat="1" x14ac:dyDescent="0.2"/>
    <row r="44398" s="689" customFormat="1" x14ac:dyDescent="0.2"/>
    <row r="44399" s="689" customFormat="1" x14ac:dyDescent="0.2"/>
    <row r="44400" s="689" customFormat="1" x14ac:dyDescent="0.2"/>
    <row r="44401" s="689" customFormat="1" x14ac:dyDescent="0.2"/>
    <row r="44402" s="689" customFormat="1" x14ac:dyDescent="0.2"/>
    <row r="44403" s="689" customFormat="1" x14ac:dyDescent="0.2"/>
    <row r="44404" s="689" customFormat="1" x14ac:dyDescent="0.2"/>
    <row r="44405" s="689" customFormat="1" x14ac:dyDescent="0.2"/>
    <row r="44406" s="689" customFormat="1" x14ac:dyDescent="0.2"/>
    <row r="44407" s="689" customFormat="1" x14ac:dyDescent="0.2"/>
    <row r="44408" s="689" customFormat="1" x14ac:dyDescent="0.2"/>
    <row r="44409" s="689" customFormat="1" x14ac:dyDescent="0.2"/>
    <row r="44410" s="689" customFormat="1" x14ac:dyDescent="0.2"/>
    <row r="44411" s="689" customFormat="1" x14ac:dyDescent="0.2"/>
    <row r="44412" s="689" customFormat="1" x14ac:dyDescent="0.2"/>
    <row r="44413" s="689" customFormat="1" x14ac:dyDescent="0.2"/>
    <row r="44414" s="689" customFormat="1" x14ac:dyDescent="0.2"/>
    <row r="44415" s="689" customFormat="1" x14ac:dyDescent="0.2"/>
    <row r="44416" s="689" customFormat="1" x14ac:dyDescent="0.2"/>
    <row r="44417" s="689" customFormat="1" x14ac:dyDescent="0.2"/>
    <row r="44418" s="689" customFormat="1" x14ac:dyDescent="0.2"/>
    <row r="44419" s="689" customFormat="1" x14ac:dyDescent="0.2"/>
    <row r="44420" s="689" customFormat="1" x14ac:dyDescent="0.2"/>
    <row r="44421" s="689" customFormat="1" x14ac:dyDescent="0.2"/>
    <row r="44422" s="689" customFormat="1" x14ac:dyDescent="0.2"/>
    <row r="44423" s="689" customFormat="1" x14ac:dyDescent="0.2"/>
    <row r="44424" s="689" customFormat="1" x14ac:dyDescent="0.2"/>
    <row r="44425" s="689" customFormat="1" x14ac:dyDescent="0.2"/>
    <row r="44426" s="689" customFormat="1" x14ac:dyDescent="0.2"/>
    <row r="44427" s="689" customFormat="1" x14ac:dyDescent="0.2"/>
    <row r="44428" s="689" customFormat="1" x14ac:dyDescent="0.2"/>
    <row r="44429" s="689" customFormat="1" x14ac:dyDescent="0.2"/>
    <row r="44430" s="689" customFormat="1" x14ac:dyDescent="0.2"/>
    <row r="44431" s="689" customFormat="1" x14ac:dyDescent="0.2"/>
    <row r="44432" s="689" customFormat="1" x14ac:dyDescent="0.2"/>
    <row r="44433" s="689" customFormat="1" x14ac:dyDescent="0.2"/>
    <row r="44434" s="689" customFormat="1" x14ac:dyDescent="0.2"/>
    <row r="44435" s="689" customFormat="1" x14ac:dyDescent="0.2"/>
    <row r="44436" s="689" customFormat="1" x14ac:dyDescent="0.2"/>
    <row r="44437" s="689" customFormat="1" x14ac:dyDescent="0.2"/>
    <row r="44438" s="689" customFormat="1" x14ac:dyDescent="0.2"/>
    <row r="44439" s="689" customFormat="1" x14ac:dyDescent="0.2"/>
    <row r="44440" s="689" customFormat="1" x14ac:dyDescent="0.2"/>
    <row r="44441" s="689" customFormat="1" x14ac:dyDescent="0.2"/>
    <row r="44442" s="689" customFormat="1" x14ac:dyDescent="0.2"/>
    <row r="44443" s="689" customFormat="1" x14ac:dyDescent="0.2"/>
    <row r="44444" s="689" customFormat="1" x14ac:dyDescent="0.2"/>
    <row r="44445" s="689" customFormat="1" x14ac:dyDescent="0.2"/>
    <row r="44446" s="689" customFormat="1" x14ac:dyDescent="0.2"/>
    <row r="44447" s="689" customFormat="1" x14ac:dyDescent="0.2"/>
    <row r="44448" s="689" customFormat="1" x14ac:dyDescent="0.2"/>
    <row r="44449" s="689" customFormat="1" x14ac:dyDescent="0.2"/>
    <row r="44450" s="689" customFormat="1" x14ac:dyDescent="0.2"/>
    <row r="44451" s="689" customFormat="1" x14ac:dyDescent="0.2"/>
    <row r="44452" s="689" customFormat="1" x14ac:dyDescent="0.2"/>
    <row r="44453" s="689" customFormat="1" x14ac:dyDescent="0.2"/>
    <row r="44454" s="689" customFormat="1" x14ac:dyDescent="0.2"/>
    <row r="44455" s="689" customFormat="1" x14ac:dyDescent="0.2"/>
    <row r="44456" s="689" customFormat="1" x14ac:dyDescent="0.2"/>
    <row r="44457" s="689" customFormat="1" x14ac:dyDescent="0.2"/>
    <row r="44458" s="689" customFormat="1" x14ac:dyDescent="0.2"/>
    <row r="44459" s="689" customFormat="1" x14ac:dyDescent="0.2"/>
    <row r="44460" s="689" customFormat="1" x14ac:dyDescent="0.2"/>
    <row r="44461" s="689" customFormat="1" x14ac:dyDescent="0.2"/>
    <row r="44462" s="689" customFormat="1" x14ac:dyDescent="0.2"/>
    <row r="44463" s="689" customFormat="1" x14ac:dyDescent="0.2"/>
    <row r="44464" s="689" customFormat="1" x14ac:dyDescent="0.2"/>
    <row r="44465" s="689" customFormat="1" x14ac:dyDescent="0.2"/>
    <row r="44466" s="689" customFormat="1" x14ac:dyDescent="0.2"/>
    <row r="44467" s="689" customFormat="1" x14ac:dyDescent="0.2"/>
    <row r="44468" s="689" customFormat="1" x14ac:dyDescent="0.2"/>
    <row r="44469" s="689" customFormat="1" x14ac:dyDescent="0.2"/>
    <row r="44470" s="689" customFormat="1" x14ac:dyDescent="0.2"/>
    <row r="44471" s="689" customFormat="1" x14ac:dyDescent="0.2"/>
    <row r="44472" s="689" customFormat="1" x14ac:dyDescent="0.2"/>
    <row r="44473" s="689" customFormat="1" x14ac:dyDescent="0.2"/>
    <row r="44474" s="689" customFormat="1" x14ac:dyDescent="0.2"/>
    <row r="44475" s="689" customFormat="1" x14ac:dyDescent="0.2"/>
    <row r="44476" s="689" customFormat="1" x14ac:dyDescent="0.2"/>
    <row r="44477" s="689" customFormat="1" x14ac:dyDescent="0.2"/>
    <row r="44478" s="689" customFormat="1" x14ac:dyDescent="0.2"/>
    <row r="44479" s="689" customFormat="1" x14ac:dyDescent="0.2"/>
    <row r="44480" s="689" customFormat="1" x14ac:dyDescent="0.2"/>
    <row r="44481" s="689" customFormat="1" x14ac:dyDescent="0.2"/>
    <row r="44482" s="689" customFormat="1" x14ac:dyDescent="0.2"/>
    <row r="44483" s="689" customFormat="1" x14ac:dyDescent="0.2"/>
    <row r="44484" s="689" customFormat="1" x14ac:dyDescent="0.2"/>
    <row r="44485" s="689" customFormat="1" x14ac:dyDescent="0.2"/>
    <row r="44486" s="689" customFormat="1" x14ac:dyDescent="0.2"/>
    <row r="44487" s="689" customFormat="1" x14ac:dyDescent="0.2"/>
    <row r="44488" s="689" customFormat="1" x14ac:dyDescent="0.2"/>
    <row r="44489" s="689" customFormat="1" x14ac:dyDescent="0.2"/>
    <row r="44490" s="689" customFormat="1" x14ac:dyDescent="0.2"/>
    <row r="44491" s="689" customFormat="1" x14ac:dyDescent="0.2"/>
    <row r="44492" s="689" customFormat="1" x14ac:dyDescent="0.2"/>
    <row r="44493" s="689" customFormat="1" x14ac:dyDescent="0.2"/>
    <row r="44494" s="689" customFormat="1" x14ac:dyDescent="0.2"/>
    <row r="44495" s="689" customFormat="1" x14ac:dyDescent="0.2"/>
    <row r="44496" s="689" customFormat="1" x14ac:dyDescent="0.2"/>
    <row r="44497" s="689" customFormat="1" x14ac:dyDescent="0.2"/>
    <row r="44498" s="689" customFormat="1" x14ac:dyDescent="0.2"/>
    <row r="44499" s="689" customFormat="1" x14ac:dyDescent="0.2"/>
    <row r="44500" s="689" customFormat="1" x14ac:dyDescent="0.2"/>
    <row r="44501" s="689" customFormat="1" x14ac:dyDescent="0.2"/>
    <row r="44502" s="689" customFormat="1" x14ac:dyDescent="0.2"/>
    <row r="44503" s="689" customFormat="1" x14ac:dyDescent="0.2"/>
    <row r="44504" s="689" customFormat="1" x14ac:dyDescent="0.2"/>
    <row r="44505" s="689" customFormat="1" x14ac:dyDescent="0.2"/>
    <row r="44506" s="689" customFormat="1" x14ac:dyDescent="0.2"/>
    <row r="44507" s="689" customFormat="1" x14ac:dyDescent="0.2"/>
    <row r="44508" s="689" customFormat="1" x14ac:dyDescent="0.2"/>
    <row r="44509" s="689" customFormat="1" x14ac:dyDescent="0.2"/>
    <row r="44510" s="689" customFormat="1" x14ac:dyDescent="0.2"/>
    <row r="44511" s="689" customFormat="1" x14ac:dyDescent="0.2"/>
    <row r="44512" s="689" customFormat="1" x14ac:dyDescent="0.2"/>
    <row r="44513" s="689" customFormat="1" x14ac:dyDescent="0.2"/>
    <row r="44514" s="689" customFormat="1" x14ac:dyDescent="0.2"/>
    <row r="44515" s="689" customFormat="1" x14ac:dyDescent="0.2"/>
    <row r="44516" s="689" customFormat="1" x14ac:dyDescent="0.2"/>
    <row r="44517" s="689" customFormat="1" x14ac:dyDescent="0.2"/>
    <row r="44518" s="689" customFormat="1" x14ac:dyDescent="0.2"/>
    <row r="44519" s="689" customFormat="1" x14ac:dyDescent="0.2"/>
    <row r="44520" s="689" customFormat="1" x14ac:dyDescent="0.2"/>
    <row r="44521" s="689" customFormat="1" x14ac:dyDescent="0.2"/>
    <row r="44522" s="689" customFormat="1" x14ac:dyDescent="0.2"/>
    <row r="44523" s="689" customFormat="1" x14ac:dyDescent="0.2"/>
    <row r="44524" s="689" customFormat="1" x14ac:dyDescent="0.2"/>
    <row r="44525" s="689" customFormat="1" x14ac:dyDescent="0.2"/>
    <row r="44526" s="689" customFormat="1" x14ac:dyDescent="0.2"/>
    <row r="44527" s="689" customFormat="1" x14ac:dyDescent="0.2"/>
    <row r="44528" s="689" customFormat="1" x14ac:dyDescent="0.2"/>
    <row r="44529" s="689" customFormat="1" x14ac:dyDescent="0.2"/>
    <row r="44530" s="689" customFormat="1" x14ac:dyDescent="0.2"/>
    <row r="44531" s="689" customFormat="1" x14ac:dyDescent="0.2"/>
    <row r="44532" s="689" customFormat="1" x14ac:dyDescent="0.2"/>
    <row r="44533" s="689" customFormat="1" x14ac:dyDescent="0.2"/>
    <row r="44534" s="689" customFormat="1" x14ac:dyDescent="0.2"/>
    <row r="44535" s="689" customFormat="1" x14ac:dyDescent="0.2"/>
    <row r="44536" s="689" customFormat="1" x14ac:dyDescent="0.2"/>
    <row r="44537" s="689" customFormat="1" x14ac:dyDescent="0.2"/>
    <row r="44538" s="689" customFormat="1" x14ac:dyDescent="0.2"/>
    <row r="44539" s="689" customFormat="1" x14ac:dyDescent="0.2"/>
    <row r="44540" s="689" customFormat="1" x14ac:dyDescent="0.2"/>
    <row r="44541" s="689" customFormat="1" x14ac:dyDescent="0.2"/>
    <row r="44542" s="689" customFormat="1" x14ac:dyDescent="0.2"/>
    <row r="44543" s="689" customFormat="1" x14ac:dyDescent="0.2"/>
    <row r="44544" s="689" customFormat="1" x14ac:dyDescent="0.2"/>
    <row r="44545" s="689" customFormat="1" x14ac:dyDescent="0.2"/>
    <row r="44546" s="689" customFormat="1" x14ac:dyDescent="0.2"/>
    <row r="44547" s="689" customFormat="1" x14ac:dyDescent="0.2"/>
    <row r="44548" s="689" customFormat="1" x14ac:dyDescent="0.2"/>
    <row r="44549" s="689" customFormat="1" x14ac:dyDescent="0.2"/>
    <row r="44550" s="689" customFormat="1" x14ac:dyDescent="0.2"/>
    <row r="44551" s="689" customFormat="1" x14ac:dyDescent="0.2"/>
    <row r="44552" s="689" customFormat="1" x14ac:dyDescent="0.2"/>
    <row r="44553" s="689" customFormat="1" x14ac:dyDescent="0.2"/>
    <row r="44554" s="689" customFormat="1" x14ac:dyDescent="0.2"/>
    <row r="44555" s="689" customFormat="1" x14ac:dyDescent="0.2"/>
    <row r="44556" s="689" customFormat="1" x14ac:dyDescent="0.2"/>
    <row r="44557" s="689" customFormat="1" x14ac:dyDescent="0.2"/>
    <row r="44558" s="689" customFormat="1" x14ac:dyDescent="0.2"/>
    <row r="44559" s="689" customFormat="1" x14ac:dyDescent="0.2"/>
    <row r="44560" s="689" customFormat="1" x14ac:dyDescent="0.2"/>
    <row r="44561" s="689" customFormat="1" x14ac:dyDescent="0.2"/>
    <row r="44562" s="689" customFormat="1" x14ac:dyDescent="0.2"/>
    <row r="44563" s="689" customFormat="1" x14ac:dyDescent="0.2"/>
    <row r="44564" s="689" customFormat="1" x14ac:dyDescent="0.2"/>
    <row r="44565" s="689" customFormat="1" x14ac:dyDescent="0.2"/>
    <row r="44566" s="689" customFormat="1" x14ac:dyDescent="0.2"/>
    <row r="44567" s="689" customFormat="1" x14ac:dyDescent="0.2"/>
    <row r="44568" s="689" customFormat="1" x14ac:dyDescent="0.2"/>
    <row r="44569" s="689" customFormat="1" x14ac:dyDescent="0.2"/>
    <row r="44570" s="689" customFormat="1" x14ac:dyDescent="0.2"/>
    <row r="44571" s="689" customFormat="1" x14ac:dyDescent="0.2"/>
    <row r="44572" s="689" customFormat="1" x14ac:dyDescent="0.2"/>
    <row r="44573" s="689" customFormat="1" x14ac:dyDescent="0.2"/>
    <row r="44574" s="689" customFormat="1" x14ac:dyDescent="0.2"/>
    <row r="44575" s="689" customFormat="1" x14ac:dyDescent="0.2"/>
    <row r="44576" s="689" customFormat="1" x14ac:dyDescent="0.2"/>
    <row r="44577" s="689" customFormat="1" x14ac:dyDescent="0.2"/>
    <row r="44578" s="689" customFormat="1" x14ac:dyDescent="0.2"/>
    <row r="44579" s="689" customFormat="1" x14ac:dyDescent="0.2"/>
    <row r="44580" s="689" customFormat="1" x14ac:dyDescent="0.2"/>
    <row r="44581" s="689" customFormat="1" x14ac:dyDescent="0.2"/>
    <row r="44582" s="689" customFormat="1" x14ac:dyDescent="0.2"/>
    <row r="44583" s="689" customFormat="1" x14ac:dyDescent="0.2"/>
    <row r="44584" s="689" customFormat="1" x14ac:dyDescent="0.2"/>
    <row r="44585" s="689" customFormat="1" x14ac:dyDescent="0.2"/>
    <row r="44586" s="689" customFormat="1" x14ac:dyDescent="0.2"/>
    <row r="44587" s="689" customFormat="1" x14ac:dyDescent="0.2"/>
    <row r="44588" s="689" customFormat="1" x14ac:dyDescent="0.2"/>
    <row r="44589" s="689" customFormat="1" x14ac:dyDescent="0.2"/>
    <row r="44590" s="689" customFormat="1" x14ac:dyDescent="0.2"/>
    <row r="44591" s="689" customFormat="1" x14ac:dyDescent="0.2"/>
    <row r="44592" s="689" customFormat="1" x14ac:dyDescent="0.2"/>
    <row r="44593" s="689" customFormat="1" x14ac:dyDescent="0.2"/>
    <row r="44594" s="689" customFormat="1" x14ac:dyDescent="0.2"/>
    <row r="44595" s="689" customFormat="1" x14ac:dyDescent="0.2"/>
    <row r="44596" s="689" customFormat="1" x14ac:dyDescent="0.2"/>
    <row r="44597" s="689" customFormat="1" x14ac:dyDescent="0.2"/>
    <row r="44598" s="689" customFormat="1" x14ac:dyDescent="0.2"/>
    <row r="44599" s="689" customFormat="1" x14ac:dyDescent="0.2"/>
    <row r="44600" s="689" customFormat="1" x14ac:dyDescent="0.2"/>
    <row r="44601" s="689" customFormat="1" x14ac:dyDescent="0.2"/>
    <row r="44602" s="689" customFormat="1" x14ac:dyDescent="0.2"/>
    <row r="44603" s="689" customFormat="1" x14ac:dyDescent="0.2"/>
    <row r="44604" s="689" customFormat="1" x14ac:dyDescent="0.2"/>
    <row r="44605" s="689" customFormat="1" x14ac:dyDescent="0.2"/>
    <row r="44606" s="689" customFormat="1" x14ac:dyDescent="0.2"/>
    <row r="44607" s="689" customFormat="1" x14ac:dyDescent="0.2"/>
    <row r="44608" s="689" customFormat="1" x14ac:dyDescent="0.2"/>
    <row r="44609" s="689" customFormat="1" x14ac:dyDescent="0.2"/>
    <row r="44610" s="689" customFormat="1" x14ac:dyDescent="0.2"/>
    <row r="44611" s="689" customFormat="1" x14ac:dyDescent="0.2"/>
    <row r="44612" s="689" customFormat="1" x14ac:dyDescent="0.2"/>
    <row r="44613" s="689" customFormat="1" x14ac:dyDescent="0.2"/>
    <row r="44614" s="689" customFormat="1" x14ac:dyDescent="0.2"/>
    <row r="44615" s="689" customFormat="1" x14ac:dyDescent="0.2"/>
    <row r="44616" s="689" customFormat="1" x14ac:dyDescent="0.2"/>
    <row r="44617" s="689" customFormat="1" x14ac:dyDescent="0.2"/>
    <row r="44618" s="689" customFormat="1" x14ac:dyDescent="0.2"/>
    <row r="44619" s="689" customFormat="1" x14ac:dyDescent="0.2"/>
    <row r="44620" s="689" customFormat="1" x14ac:dyDescent="0.2"/>
    <row r="44621" s="689" customFormat="1" x14ac:dyDescent="0.2"/>
    <row r="44622" s="689" customFormat="1" x14ac:dyDescent="0.2"/>
    <row r="44623" s="689" customFormat="1" x14ac:dyDescent="0.2"/>
    <row r="44624" s="689" customFormat="1" x14ac:dyDescent="0.2"/>
    <row r="44625" s="689" customFormat="1" x14ac:dyDescent="0.2"/>
    <row r="44626" s="689" customFormat="1" x14ac:dyDescent="0.2"/>
    <row r="44627" s="689" customFormat="1" x14ac:dyDescent="0.2"/>
    <row r="44628" s="689" customFormat="1" x14ac:dyDescent="0.2"/>
    <row r="44629" s="689" customFormat="1" x14ac:dyDescent="0.2"/>
    <row r="44630" s="689" customFormat="1" x14ac:dyDescent="0.2"/>
    <row r="44631" s="689" customFormat="1" x14ac:dyDescent="0.2"/>
    <row r="44632" s="689" customFormat="1" x14ac:dyDescent="0.2"/>
    <row r="44633" s="689" customFormat="1" x14ac:dyDescent="0.2"/>
    <row r="44634" s="689" customFormat="1" x14ac:dyDescent="0.2"/>
    <row r="44635" s="689" customFormat="1" x14ac:dyDescent="0.2"/>
    <row r="44636" s="689" customFormat="1" x14ac:dyDescent="0.2"/>
    <row r="44637" s="689" customFormat="1" x14ac:dyDescent="0.2"/>
    <row r="44638" s="689" customFormat="1" x14ac:dyDescent="0.2"/>
    <row r="44639" s="689" customFormat="1" x14ac:dyDescent="0.2"/>
    <row r="44640" s="689" customFormat="1" x14ac:dyDescent="0.2"/>
    <row r="44641" s="689" customFormat="1" x14ac:dyDescent="0.2"/>
    <row r="44642" s="689" customFormat="1" x14ac:dyDescent="0.2"/>
    <row r="44643" s="689" customFormat="1" x14ac:dyDescent="0.2"/>
    <row r="44644" s="689" customFormat="1" x14ac:dyDescent="0.2"/>
    <row r="44645" s="689" customFormat="1" x14ac:dyDescent="0.2"/>
    <row r="44646" s="689" customFormat="1" x14ac:dyDescent="0.2"/>
    <row r="44647" s="689" customFormat="1" x14ac:dyDescent="0.2"/>
    <row r="44648" s="689" customFormat="1" x14ac:dyDescent="0.2"/>
    <row r="44649" s="689" customFormat="1" x14ac:dyDescent="0.2"/>
    <row r="44650" s="689" customFormat="1" x14ac:dyDescent="0.2"/>
    <row r="44651" s="689" customFormat="1" x14ac:dyDescent="0.2"/>
    <row r="44652" s="689" customFormat="1" x14ac:dyDescent="0.2"/>
    <row r="44653" s="689" customFormat="1" x14ac:dyDescent="0.2"/>
    <row r="44654" s="689" customFormat="1" x14ac:dyDescent="0.2"/>
    <row r="44655" s="689" customFormat="1" x14ac:dyDescent="0.2"/>
    <row r="44656" s="689" customFormat="1" x14ac:dyDescent="0.2"/>
    <row r="44657" s="689" customFormat="1" x14ac:dyDescent="0.2"/>
    <row r="44658" s="689" customFormat="1" x14ac:dyDescent="0.2"/>
    <row r="44659" s="689" customFormat="1" x14ac:dyDescent="0.2"/>
    <row r="44660" s="689" customFormat="1" x14ac:dyDescent="0.2"/>
    <row r="44661" s="689" customFormat="1" x14ac:dyDescent="0.2"/>
    <row r="44662" s="689" customFormat="1" x14ac:dyDescent="0.2"/>
    <row r="44663" s="689" customFormat="1" x14ac:dyDescent="0.2"/>
    <row r="44664" s="689" customFormat="1" x14ac:dyDescent="0.2"/>
    <row r="44665" s="689" customFormat="1" x14ac:dyDescent="0.2"/>
    <row r="44666" s="689" customFormat="1" x14ac:dyDescent="0.2"/>
    <row r="44667" s="689" customFormat="1" x14ac:dyDescent="0.2"/>
    <row r="44668" s="689" customFormat="1" x14ac:dyDescent="0.2"/>
    <row r="44669" s="689" customFormat="1" x14ac:dyDescent="0.2"/>
    <row r="44670" s="689" customFormat="1" x14ac:dyDescent="0.2"/>
    <row r="44671" s="689" customFormat="1" x14ac:dyDescent="0.2"/>
    <row r="44672" s="689" customFormat="1" x14ac:dyDescent="0.2"/>
    <row r="44673" s="689" customFormat="1" x14ac:dyDescent="0.2"/>
    <row r="44674" s="689" customFormat="1" x14ac:dyDescent="0.2"/>
    <row r="44675" s="689" customFormat="1" x14ac:dyDescent="0.2"/>
    <row r="44676" s="689" customFormat="1" x14ac:dyDescent="0.2"/>
    <row r="44677" s="689" customFormat="1" x14ac:dyDescent="0.2"/>
    <row r="44678" s="689" customFormat="1" x14ac:dyDescent="0.2"/>
    <row r="44679" s="689" customFormat="1" x14ac:dyDescent="0.2"/>
    <row r="44680" s="689" customFormat="1" x14ac:dyDescent="0.2"/>
    <row r="44681" s="689" customFormat="1" x14ac:dyDescent="0.2"/>
    <row r="44682" s="689" customFormat="1" x14ac:dyDescent="0.2"/>
    <row r="44683" s="689" customFormat="1" x14ac:dyDescent="0.2"/>
    <row r="44684" s="689" customFormat="1" x14ac:dyDescent="0.2"/>
    <row r="44685" s="689" customFormat="1" x14ac:dyDescent="0.2"/>
    <row r="44686" s="689" customFormat="1" x14ac:dyDescent="0.2"/>
    <row r="44687" s="689" customFormat="1" x14ac:dyDescent="0.2"/>
    <row r="44688" s="689" customFormat="1" x14ac:dyDescent="0.2"/>
    <row r="44689" s="689" customFormat="1" x14ac:dyDescent="0.2"/>
    <row r="44690" s="689" customFormat="1" x14ac:dyDescent="0.2"/>
    <row r="44691" s="689" customFormat="1" x14ac:dyDescent="0.2"/>
    <row r="44692" s="689" customFormat="1" x14ac:dyDescent="0.2"/>
    <row r="44693" s="689" customFormat="1" x14ac:dyDescent="0.2"/>
    <row r="44694" s="689" customFormat="1" x14ac:dyDescent="0.2"/>
    <row r="44695" s="689" customFormat="1" x14ac:dyDescent="0.2"/>
    <row r="44696" s="689" customFormat="1" x14ac:dyDescent="0.2"/>
    <row r="44697" s="689" customFormat="1" x14ac:dyDescent="0.2"/>
    <row r="44698" s="689" customFormat="1" x14ac:dyDescent="0.2"/>
    <row r="44699" s="689" customFormat="1" x14ac:dyDescent="0.2"/>
    <row r="44700" s="689" customFormat="1" x14ac:dyDescent="0.2"/>
    <row r="44701" s="689" customFormat="1" x14ac:dyDescent="0.2"/>
    <row r="44702" s="689" customFormat="1" x14ac:dyDescent="0.2"/>
    <row r="44703" s="689" customFormat="1" x14ac:dyDescent="0.2"/>
    <row r="44704" s="689" customFormat="1" x14ac:dyDescent="0.2"/>
    <row r="44705" s="689" customFormat="1" x14ac:dyDescent="0.2"/>
    <row r="44706" s="689" customFormat="1" x14ac:dyDescent="0.2"/>
    <row r="44707" s="689" customFormat="1" x14ac:dyDescent="0.2"/>
    <row r="44708" s="689" customFormat="1" x14ac:dyDescent="0.2"/>
    <row r="44709" s="689" customFormat="1" x14ac:dyDescent="0.2"/>
    <row r="44710" s="689" customFormat="1" x14ac:dyDescent="0.2"/>
    <row r="44711" s="689" customFormat="1" x14ac:dyDescent="0.2"/>
    <row r="44712" s="689" customFormat="1" x14ac:dyDescent="0.2"/>
    <row r="44713" s="689" customFormat="1" x14ac:dyDescent="0.2"/>
    <row r="44714" s="689" customFormat="1" x14ac:dyDescent="0.2"/>
    <row r="44715" s="689" customFormat="1" x14ac:dyDescent="0.2"/>
    <row r="44716" s="689" customFormat="1" x14ac:dyDescent="0.2"/>
    <row r="44717" s="689" customFormat="1" x14ac:dyDescent="0.2"/>
    <row r="44718" s="689" customFormat="1" x14ac:dyDescent="0.2"/>
    <row r="44719" s="689" customFormat="1" x14ac:dyDescent="0.2"/>
    <row r="44720" s="689" customFormat="1" x14ac:dyDescent="0.2"/>
    <row r="44721" s="689" customFormat="1" x14ac:dyDescent="0.2"/>
    <row r="44722" s="689" customFormat="1" x14ac:dyDescent="0.2"/>
    <row r="44723" s="689" customFormat="1" x14ac:dyDescent="0.2"/>
    <row r="44724" s="689" customFormat="1" x14ac:dyDescent="0.2"/>
    <row r="44725" s="689" customFormat="1" x14ac:dyDescent="0.2"/>
    <row r="44726" s="689" customFormat="1" x14ac:dyDescent="0.2"/>
    <row r="44727" s="689" customFormat="1" x14ac:dyDescent="0.2"/>
    <row r="44728" s="689" customFormat="1" x14ac:dyDescent="0.2"/>
    <row r="44729" s="689" customFormat="1" x14ac:dyDescent="0.2"/>
    <row r="44730" s="689" customFormat="1" x14ac:dyDescent="0.2"/>
    <row r="44731" s="689" customFormat="1" x14ac:dyDescent="0.2"/>
    <row r="44732" s="689" customFormat="1" x14ac:dyDescent="0.2"/>
    <row r="44733" s="689" customFormat="1" x14ac:dyDescent="0.2"/>
    <row r="44734" s="689" customFormat="1" x14ac:dyDescent="0.2"/>
    <row r="44735" s="689" customFormat="1" x14ac:dyDescent="0.2"/>
    <row r="44736" s="689" customFormat="1" x14ac:dyDescent="0.2"/>
    <row r="44737" s="689" customFormat="1" x14ac:dyDescent="0.2"/>
    <row r="44738" s="689" customFormat="1" x14ac:dyDescent="0.2"/>
    <row r="44739" s="689" customFormat="1" x14ac:dyDescent="0.2"/>
    <row r="44740" s="689" customFormat="1" x14ac:dyDescent="0.2"/>
    <row r="44741" s="689" customFormat="1" x14ac:dyDescent="0.2"/>
    <row r="44742" s="689" customFormat="1" x14ac:dyDescent="0.2"/>
    <row r="44743" s="689" customFormat="1" x14ac:dyDescent="0.2"/>
    <row r="44744" s="689" customFormat="1" x14ac:dyDescent="0.2"/>
    <row r="44745" s="689" customFormat="1" x14ac:dyDescent="0.2"/>
    <row r="44746" s="689" customFormat="1" x14ac:dyDescent="0.2"/>
    <row r="44747" s="689" customFormat="1" x14ac:dyDescent="0.2"/>
    <row r="44748" s="689" customFormat="1" x14ac:dyDescent="0.2"/>
    <row r="44749" s="689" customFormat="1" x14ac:dyDescent="0.2"/>
    <row r="44750" s="689" customFormat="1" x14ac:dyDescent="0.2"/>
    <row r="44751" s="689" customFormat="1" x14ac:dyDescent="0.2"/>
    <row r="44752" s="689" customFormat="1" x14ac:dyDescent="0.2"/>
    <row r="44753" s="689" customFormat="1" x14ac:dyDescent="0.2"/>
    <row r="44754" s="689" customFormat="1" x14ac:dyDescent="0.2"/>
    <row r="44755" s="689" customFormat="1" x14ac:dyDescent="0.2"/>
    <row r="44756" s="689" customFormat="1" x14ac:dyDescent="0.2"/>
    <row r="44757" s="689" customFormat="1" x14ac:dyDescent="0.2"/>
    <row r="44758" s="689" customFormat="1" x14ac:dyDescent="0.2"/>
    <row r="44759" s="689" customFormat="1" x14ac:dyDescent="0.2"/>
    <row r="44760" s="689" customFormat="1" x14ac:dyDescent="0.2"/>
    <row r="44761" s="689" customFormat="1" x14ac:dyDescent="0.2"/>
    <row r="44762" s="689" customFormat="1" x14ac:dyDescent="0.2"/>
    <row r="44763" s="689" customFormat="1" x14ac:dyDescent="0.2"/>
    <row r="44764" s="689" customFormat="1" x14ac:dyDescent="0.2"/>
    <row r="44765" s="689" customFormat="1" x14ac:dyDescent="0.2"/>
    <row r="44766" s="689" customFormat="1" x14ac:dyDescent="0.2"/>
    <row r="44767" s="689" customFormat="1" x14ac:dyDescent="0.2"/>
    <row r="44768" s="689" customFormat="1" x14ac:dyDescent="0.2"/>
    <row r="44769" s="689" customFormat="1" x14ac:dyDescent="0.2"/>
    <row r="44770" s="689" customFormat="1" x14ac:dyDescent="0.2"/>
    <row r="44771" s="689" customFormat="1" x14ac:dyDescent="0.2"/>
    <row r="44772" s="689" customFormat="1" x14ac:dyDescent="0.2"/>
    <row r="44773" s="689" customFormat="1" x14ac:dyDescent="0.2"/>
    <row r="44774" s="689" customFormat="1" x14ac:dyDescent="0.2"/>
    <row r="44775" s="689" customFormat="1" x14ac:dyDescent="0.2"/>
    <row r="44776" s="689" customFormat="1" x14ac:dyDescent="0.2"/>
    <row r="44777" s="689" customFormat="1" x14ac:dyDescent="0.2"/>
    <row r="44778" s="689" customFormat="1" x14ac:dyDescent="0.2"/>
    <row r="44779" s="689" customFormat="1" x14ac:dyDescent="0.2"/>
    <row r="44780" s="689" customFormat="1" x14ac:dyDescent="0.2"/>
    <row r="44781" s="689" customFormat="1" x14ac:dyDescent="0.2"/>
    <row r="44782" s="689" customFormat="1" x14ac:dyDescent="0.2"/>
    <row r="44783" s="689" customFormat="1" x14ac:dyDescent="0.2"/>
    <row r="44784" s="689" customFormat="1" x14ac:dyDescent="0.2"/>
    <row r="44785" s="689" customFormat="1" x14ac:dyDescent="0.2"/>
    <row r="44786" s="689" customFormat="1" x14ac:dyDescent="0.2"/>
    <row r="44787" s="689" customFormat="1" x14ac:dyDescent="0.2"/>
    <row r="44788" s="689" customFormat="1" x14ac:dyDescent="0.2"/>
    <row r="44789" s="689" customFormat="1" x14ac:dyDescent="0.2"/>
    <row r="44790" s="689" customFormat="1" x14ac:dyDescent="0.2"/>
    <row r="44791" s="689" customFormat="1" x14ac:dyDescent="0.2"/>
    <row r="44792" s="689" customFormat="1" x14ac:dyDescent="0.2"/>
    <row r="44793" s="689" customFormat="1" x14ac:dyDescent="0.2"/>
    <row r="44794" s="689" customFormat="1" x14ac:dyDescent="0.2"/>
    <row r="44795" s="689" customFormat="1" x14ac:dyDescent="0.2"/>
    <row r="44796" s="689" customFormat="1" x14ac:dyDescent="0.2"/>
    <row r="44797" s="689" customFormat="1" x14ac:dyDescent="0.2"/>
    <row r="44798" s="689" customFormat="1" x14ac:dyDescent="0.2"/>
    <row r="44799" s="689" customFormat="1" x14ac:dyDescent="0.2"/>
    <row r="44800" s="689" customFormat="1" x14ac:dyDescent="0.2"/>
    <row r="44801" s="689" customFormat="1" x14ac:dyDescent="0.2"/>
    <row r="44802" s="689" customFormat="1" x14ac:dyDescent="0.2"/>
    <row r="44803" s="689" customFormat="1" x14ac:dyDescent="0.2"/>
    <row r="44804" s="689" customFormat="1" x14ac:dyDescent="0.2"/>
    <row r="44805" s="689" customFormat="1" x14ac:dyDescent="0.2"/>
    <row r="44806" s="689" customFormat="1" x14ac:dyDescent="0.2"/>
    <row r="44807" s="689" customFormat="1" x14ac:dyDescent="0.2"/>
    <row r="44808" s="689" customFormat="1" x14ac:dyDescent="0.2"/>
    <row r="44809" s="689" customFormat="1" x14ac:dyDescent="0.2"/>
    <row r="44810" s="689" customFormat="1" x14ac:dyDescent="0.2"/>
    <row r="44811" s="689" customFormat="1" x14ac:dyDescent="0.2"/>
    <row r="44812" s="689" customFormat="1" x14ac:dyDescent="0.2"/>
    <row r="44813" s="689" customFormat="1" x14ac:dyDescent="0.2"/>
    <row r="44814" s="689" customFormat="1" x14ac:dyDescent="0.2"/>
    <row r="44815" s="689" customFormat="1" x14ac:dyDescent="0.2"/>
    <row r="44816" s="689" customFormat="1" x14ac:dyDescent="0.2"/>
    <row r="44817" s="689" customFormat="1" x14ac:dyDescent="0.2"/>
    <row r="44818" s="689" customFormat="1" x14ac:dyDescent="0.2"/>
    <row r="44819" s="689" customFormat="1" x14ac:dyDescent="0.2"/>
    <row r="44820" s="689" customFormat="1" x14ac:dyDescent="0.2"/>
    <row r="44821" s="689" customFormat="1" x14ac:dyDescent="0.2"/>
    <row r="44822" s="689" customFormat="1" x14ac:dyDescent="0.2"/>
    <row r="44823" s="689" customFormat="1" x14ac:dyDescent="0.2"/>
    <row r="44824" s="689" customFormat="1" x14ac:dyDescent="0.2"/>
    <row r="44825" s="689" customFormat="1" x14ac:dyDescent="0.2"/>
    <row r="44826" s="689" customFormat="1" x14ac:dyDescent="0.2"/>
    <row r="44827" s="689" customFormat="1" x14ac:dyDescent="0.2"/>
    <row r="44828" s="689" customFormat="1" x14ac:dyDescent="0.2"/>
    <row r="44829" s="689" customFormat="1" x14ac:dyDescent="0.2"/>
    <row r="44830" s="689" customFormat="1" x14ac:dyDescent="0.2"/>
    <row r="44831" s="689" customFormat="1" x14ac:dyDescent="0.2"/>
    <row r="44832" s="689" customFormat="1" x14ac:dyDescent="0.2"/>
    <row r="44833" s="689" customFormat="1" x14ac:dyDescent="0.2"/>
    <row r="44834" s="689" customFormat="1" x14ac:dyDescent="0.2"/>
    <row r="44835" s="689" customFormat="1" x14ac:dyDescent="0.2"/>
    <row r="44836" s="689" customFormat="1" x14ac:dyDescent="0.2"/>
    <row r="44837" s="689" customFormat="1" x14ac:dyDescent="0.2"/>
    <row r="44838" s="689" customFormat="1" x14ac:dyDescent="0.2"/>
    <row r="44839" s="689" customFormat="1" x14ac:dyDescent="0.2"/>
    <row r="44840" s="689" customFormat="1" x14ac:dyDescent="0.2"/>
    <row r="44841" s="689" customFormat="1" x14ac:dyDescent="0.2"/>
    <row r="44842" s="689" customFormat="1" x14ac:dyDescent="0.2"/>
    <row r="44843" s="689" customFormat="1" x14ac:dyDescent="0.2"/>
    <row r="44844" s="689" customFormat="1" x14ac:dyDescent="0.2"/>
    <row r="44845" s="689" customFormat="1" x14ac:dyDescent="0.2"/>
    <row r="44846" s="689" customFormat="1" x14ac:dyDescent="0.2"/>
    <row r="44847" s="689" customFormat="1" x14ac:dyDescent="0.2"/>
    <row r="44848" s="689" customFormat="1" x14ac:dyDescent="0.2"/>
    <row r="44849" s="689" customFormat="1" x14ac:dyDescent="0.2"/>
    <row r="44850" s="689" customFormat="1" x14ac:dyDescent="0.2"/>
    <row r="44851" s="689" customFormat="1" x14ac:dyDescent="0.2"/>
    <row r="44852" s="689" customFormat="1" x14ac:dyDescent="0.2"/>
    <row r="44853" s="689" customFormat="1" x14ac:dyDescent="0.2"/>
    <row r="44854" s="689" customFormat="1" x14ac:dyDescent="0.2"/>
    <row r="44855" s="689" customFormat="1" x14ac:dyDescent="0.2"/>
    <row r="44856" s="689" customFormat="1" x14ac:dyDescent="0.2"/>
    <row r="44857" s="689" customFormat="1" x14ac:dyDescent="0.2"/>
    <row r="44858" s="689" customFormat="1" x14ac:dyDescent="0.2"/>
    <row r="44859" s="689" customFormat="1" x14ac:dyDescent="0.2"/>
    <row r="44860" s="689" customFormat="1" x14ac:dyDescent="0.2"/>
    <row r="44861" s="689" customFormat="1" x14ac:dyDescent="0.2"/>
    <row r="44862" s="689" customFormat="1" x14ac:dyDescent="0.2"/>
    <row r="44863" s="689" customFormat="1" x14ac:dyDescent="0.2"/>
    <row r="44864" s="689" customFormat="1" x14ac:dyDescent="0.2"/>
    <row r="44865" s="689" customFormat="1" x14ac:dyDescent="0.2"/>
    <row r="44866" s="689" customFormat="1" x14ac:dyDescent="0.2"/>
    <row r="44867" s="689" customFormat="1" x14ac:dyDescent="0.2"/>
    <row r="44868" s="689" customFormat="1" x14ac:dyDescent="0.2"/>
    <row r="44869" s="689" customFormat="1" x14ac:dyDescent="0.2"/>
    <row r="44870" s="689" customFormat="1" x14ac:dyDescent="0.2"/>
    <row r="44871" s="689" customFormat="1" x14ac:dyDescent="0.2"/>
    <row r="44872" s="689" customFormat="1" x14ac:dyDescent="0.2"/>
    <row r="44873" s="689" customFormat="1" x14ac:dyDescent="0.2"/>
    <row r="44874" s="689" customFormat="1" x14ac:dyDescent="0.2"/>
    <row r="44875" s="689" customFormat="1" x14ac:dyDescent="0.2"/>
    <row r="44876" s="689" customFormat="1" x14ac:dyDescent="0.2"/>
    <row r="44877" s="689" customFormat="1" x14ac:dyDescent="0.2"/>
    <row r="44878" s="689" customFormat="1" x14ac:dyDescent="0.2"/>
    <row r="44879" s="689" customFormat="1" x14ac:dyDescent="0.2"/>
    <row r="44880" s="689" customFormat="1" x14ac:dyDescent="0.2"/>
    <row r="44881" s="689" customFormat="1" x14ac:dyDescent="0.2"/>
    <row r="44882" s="689" customFormat="1" x14ac:dyDescent="0.2"/>
    <row r="44883" s="689" customFormat="1" x14ac:dyDescent="0.2"/>
    <row r="44884" s="689" customFormat="1" x14ac:dyDescent="0.2"/>
    <row r="44885" s="689" customFormat="1" x14ac:dyDescent="0.2"/>
    <row r="44886" s="689" customFormat="1" x14ac:dyDescent="0.2"/>
    <row r="44887" s="689" customFormat="1" x14ac:dyDescent="0.2"/>
    <row r="44888" s="689" customFormat="1" x14ac:dyDescent="0.2"/>
    <row r="44889" s="689" customFormat="1" x14ac:dyDescent="0.2"/>
    <row r="44890" s="689" customFormat="1" x14ac:dyDescent="0.2"/>
    <row r="44891" s="689" customFormat="1" x14ac:dyDescent="0.2"/>
    <row r="44892" s="689" customFormat="1" x14ac:dyDescent="0.2"/>
    <row r="44893" s="689" customFormat="1" x14ac:dyDescent="0.2"/>
    <row r="44894" s="689" customFormat="1" x14ac:dyDescent="0.2"/>
    <row r="44895" s="689" customFormat="1" x14ac:dyDescent="0.2"/>
    <row r="44896" s="689" customFormat="1" x14ac:dyDescent="0.2"/>
    <row r="44897" s="689" customFormat="1" x14ac:dyDescent="0.2"/>
    <row r="44898" s="689" customFormat="1" x14ac:dyDescent="0.2"/>
    <row r="44899" s="689" customFormat="1" x14ac:dyDescent="0.2"/>
    <row r="44900" s="689" customFormat="1" x14ac:dyDescent="0.2"/>
    <row r="44901" s="689" customFormat="1" x14ac:dyDescent="0.2"/>
    <row r="44902" s="689" customFormat="1" x14ac:dyDescent="0.2"/>
    <row r="44903" s="689" customFormat="1" x14ac:dyDescent="0.2"/>
    <row r="44904" s="689" customFormat="1" x14ac:dyDescent="0.2"/>
    <row r="44905" s="689" customFormat="1" x14ac:dyDescent="0.2"/>
    <row r="44906" s="689" customFormat="1" x14ac:dyDescent="0.2"/>
    <row r="44907" s="689" customFormat="1" x14ac:dyDescent="0.2"/>
    <row r="44908" s="689" customFormat="1" x14ac:dyDescent="0.2"/>
    <row r="44909" s="689" customFormat="1" x14ac:dyDescent="0.2"/>
    <row r="44910" s="689" customFormat="1" x14ac:dyDescent="0.2"/>
    <row r="44911" s="689" customFormat="1" x14ac:dyDescent="0.2"/>
    <row r="44912" s="689" customFormat="1" x14ac:dyDescent="0.2"/>
    <row r="44913" s="689" customFormat="1" x14ac:dyDescent="0.2"/>
    <row r="44914" s="689" customFormat="1" x14ac:dyDescent="0.2"/>
    <row r="44915" s="689" customFormat="1" x14ac:dyDescent="0.2"/>
    <row r="44916" s="689" customFormat="1" x14ac:dyDescent="0.2"/>
    <row r="44917" s="689" customFormat="1" x14ac:dyDescent="0.2"/>
    <row r="44918" s="689" customFormat="1" x14ac:dyDescent="0.2"/>
    <row r="44919" s="689" customFormat="1" x14ac:dyDescent="0.2"/>
    <row r="44920" s="689" customFormat="1" x14ac:dyDescent="0.2"/>
    <row r="44921" s="689" customFormat="1" x14ac:dyDescent="0.2"/>
    <row r="44922" s="689" customFormat="1" x14ac:dyDescent="0.2"/>
    <row r="44923" s="689" customFormat="1" x14ac:dyDescent="0.2"/>
    <row r="44924" s="689" customFormat="1" x14ac:dyDescent="0.2"/>
    <row r="44925" s="689" customFormat="1" x14ac:dyDescent="0.2"/>
    <row r="44926" s="689" customFormat="1" x14ac:dyDescent="0.2"/>
    <row r="44927" s="689" customFormat="1" x14ac:dyDescent="0.2"/>
    <row r="44928" s="689" customFormat="1" x14ac:dyDescent="0.2"/>
    <row r="44929" s="689" customFormat="1" x14ac:dyDescent="0.2"/>
    <row r="44930" s="689" customFormat="1" x14ac:dyDescent="0.2"/>
    <row r="44931" s="689" customFormat="1" x14ac:dyDescent="0.2"/>
    <row r="44932" s="689" customFormat="1" x14ac:dyDescent="0.2"/>
    <row r="44933" s="689" customFormat="1" x14ac:dyDescent="0.2"/>
    <row r="44934" s="689" customFormat="1" x14ac:dyDescent="0.2"/>
    <row r="44935" s="689" customFormat="1" x14ac:dyDescent="0.2"/>
    <row r="44936" s="689" customFormat="1" x14ac:dyDescent="0.2"/>
    <row r="44937" s="689" customFormat="1" x14ac:dyDescent="0.2"/>
    <row r="44938" s="689" customFormat="1" x14ac:dyDescent="0.2"/>
    <row r="44939" s="689" customFormat="1" x14ac:dyDescent="0.2"/>
    <row r="44940" s="689" customFormat="1" x14ac:dyDescent="0.2"/>
    <row r="44941" s="689" customFormat="1" x14ac:dyDescent="0.2"/>
    <row r="44942" s="689" customFormat="1" x14ac:dyDescent="0.2"/>
    <row r="44943" s="689" customFormat="1" x14ac:dyDescent="0.2"/>
    <row r="44944" s="689" customFormat="1" x14ac:dyDescent="0.2"/>
    <row r="44945" s="689" customFormat="1" x14ac:dyDescent="0.2"/>
    <row r="44946" s="689" customFormat="1" x14ac:dyDescent="0.2"/>
    <row r="44947" s="689" customFormat="1" x14ac:dyDescent="0.2"/>
    <row r="44948" s="689" customFormat="1" x14ac:dyDescent="0.2"/>
    <row r="44949" s="689" customFormat="1" x14ac:dyDescent="0.2"/>
    <row r="44950" s="689" customFormat="1" x14ac:dyDescent="0.2"/>
    <row r="44951" s="689" customFormat="1" x14ac:dyDescent="0.2"/>
    <row r="44952" s="689" customFormat="1" x14ac:dyDescent="0.2"/>
    <row r="44953" s="689" customFormat="1" x14ac:dyDescent="0.2"/>
    <row r="44954" s="689" customFormat="1" x14ac:dyDescent="0.2"/>
    <row r="44955" s="689" customFormat="1" x14ac:dyDescent="0.2"/>
    <row r="44956" s="689" customFormat="1" x14ac:dyDescent="0.2"/>
    <row r="44957" s="689" customFormat="1" x14ac:dyDescent="0.2"/>
    <row r="44958" s="689" customFormat="1" x14ac:dyDescent="0.2"/>
    <row r="44959" s="689" customFormat="1" x14ac:dyDescent="0.2"/>
    <row r="44960" s="689" customFormat="1" x14ac:dyDescent="0.2"/>
    <row r="44961" s="689" customFormat="1" x14ac:dyDescent="0.2"/>
    <row r="44962" s="689" customFormat="1" x14ac:dyDescent="0.2"/>
    <row r="44963" s="689" customFormat="1" x14ac:dyDescent="0.2"/>
    <row r="44964" s="689" customFormat="1" x14ac:dyDescent="0.2"/>
    <row r="44965" s="689" customFormat="1" x14ac:dyDescent="0.2"/>
    <row r="44966" s="689" customFormat="1" x14ac:dyDescent="0.2"/>
    <row r="44967" s="689" customFormat="1" x14ac:dyDescent="0.2"/>
    <row r="44968" s="689" customFormat="1" x14ac:dyDescent="0.2"/>
    <row r="44969" s="689" customFormat="1" x14ac:dyDescent="0.2"/>
    <row r="44970" s="689" customFormat="1" x14ac:dyDescent="0.2"/>
    <row r="44971" s="689" customFormat="1" x14ac:dyDescent="0.2"/>
    <row r="44972" s="689" customFormat="1" x14ac:dyDescent="0.2"/>
    <row r="44973" s="689" customFormat="1" x14ac:dyDescent="0.2"/>
    <row r="44974" s="689" customFormat="1" x14ac:dyDescent="0.2"/>
    <row r="44975" s="689" customFormat="1" x14ac:dyDescent="0.2"/>
    <row r="44976" s="689" customFormat="1" x14ac:dyDescent="0.2"/>
    <row r="44977" s="689" customFormat="1" x14ac:dyDescent="0.2"/>
    <row r="44978" s="689" customFormat="1" x14ac:dyDescent="0.2"/>
    <row r="44979" s="689" customFormat="1" x14ac:dyDescent="0.2"/>
    <row r="44980" s="689" customFormat="1" x14ac:dyDescent="0.2"/>
    <row r="44981" s="689" customFormat="1" x14ac:dyDescent="0.2"/>
    <row r="44982" s="689" customFormat="1" x14ac:dyDescent="0.2"/>
    <row r="44983" s="689" customFormat="1" x14ac:dyDescent="0.2"/>
    <row r="44984" s="689" customFormat="1" x14ac:dyDescent="0.2"/>
    <row r="44985" s="689" customFormat="1" x14ac:dyDescent="0.2"/>
    <row r="44986" s="689" customFormat="1" x14ac:dyDescent="0.2"/>
    <row r="44987" s="689" customFormat="1" x14ac:dyDescent="0.2"/>
    <row r="44988" s="689" customFormat="1" x14ac:dyDescent="0.2"/>
    <row r="44989" s="689" customFormat="1" x14ac:dyDescent="0.2"/>
    <row r="44990" s="689" customFormat="1" x14ac:dyDescent="0.2"/>
    <row r="44991" s="689" customFormat="1" x14ac:dyDescent="0.2"/>
    <row r="44992" s="689" customFormat="1" x14ac:dyDescent="0.2"/>
    <row r="44993" s="689" customFormat="1" x14ac:dyDescent="0.2"/>
    <row r="44994" s="689" customFormat="1" x14ac:dyDescent="0.2"/>
    <row r="44995" s="689" customFormat="1" x14ac:dyDescent="0.2"/>
    <row r="44996" s="689" customFormat="1" x14ac:dyDescent="0.2"/>
    <row r="44997" s="689" customFormat="1" x14ac:dyDescent="0.2"/>
    <row r="44998" s="689" customFormat="1" x14ac:dyDescent="0.2"/>
    <row r="44999" s="689" customFormat="1" x14ac:dyDescent="0.2"/>
    <row r="45000" s="689" customFormat="1" x14ac:dyDescent="0.2"/>
    <row r="45001" s="689" customFormat="1" x14ac:dyDescent="0.2"/>
    <row r="45002" s="689" customFormat="1" x14ac:dyDescent="0.2"/>
    <row r="45003" s="689" customFormat="1" x14ac:dyDescent="0.2"/>
    <row r="45004" s="689" customFormat="1" x14ac:dyDescent="0.2"/>
    <row r="45005" s="689" customFormat="1" x14ac:dyDescent="0.2"/>
    <row r="45006" s="689" customFormat="1" x14ac:dyDescent="0.2"/>
    <row r="45007" s="689" customFormat="1" x14ac:dyDescent="0.2"/>
    <row r="45008" s="689" customFormat="1" x14ac:dyDescent="0.2"/>
    <row r="45009" s="689" customFormat="1" x14ac:dyDescent="0.2"/>
    <row r="45010" s="689" customFormat="1" x14ac:dyDescent="0.2"/>
    <row r="45011" s="689" customFormat="1" x14ac:dyDescent="0.2"/>
    <row r="45012" s="689" customFormat="1" x14ac:dyDescent="0.2"/>
    <row r="45013" s="689" customFormat="1" x14ac:dyDescent="0.2"/>
    <row r="45014" s="689" customFormat="1" x14ac:dyDescent="0.2"/>
    <row r="45015" s="689" customFormat="1" x14ac:dyDescent="0.2"/>
    <row r="45016" s="689" customFormat="1" x14ac:dyDescent="0.2"/>
    <row r="45017" s="689" customFormat="1" x14ac:dyDescent="0.2"/>
    <row r="45018" s="689" customFormat="1" x14ac:dyDescent="0.2"/>
    <row r="45019" s="689" customFormat="1" x14ac:dyDescent="0.2"/>
    <row r="45020" s="689" customFormat="1" x14ac:dyDescent="0.2"/>
    <row r="45021" s="689" customFormat="1" x14ac:dyDescent="0.2"/>
    <row r="45022" s="689" customFormat="1" x14ac:dyDescent="0.2"/>
    <row r="45023" s="689" customFormat="1" x14ac:dyDescent="0.2"/>
    <row r="45024" s="689" customFormat="1" x14ac:dyDescent="0.2"/>
    <row r="45025" s="689" customFormat="1" x14ac:dyDescent="0.2"/>
    <row r="45026" s="689" customFormat="1" x14ac:dyDescent="0.2"/>
    <row r="45027" s="689" customFormat="1" x14ac:dyDescent="0.2"/>
    <row r="45028" s="689" customFormat="1" x14ac:dyDescent="0.2"/>
    <row r="45029" s="689" customFormat="1" x14ac:dyDescent="0.2"/>
    <row r="45030" s="689" customFormat="1" x14ac:dyDescent="0.2"/>
    <row r="45031" s="689" customFormat="1" x14ac:dyDescent="0.2"/>
    <row r="45032" s="689" customFormat="1" x14ac:dyDescent="0.2"/>
    <row r="45033" s="689" customFormat="1" x14ac:dyDescent="0.2"/>
    <row r="45034" s="689" customFormat="1" x14ac:dyDescent="0.2"/>
    <row r="45035" s="689" customFormat="1" x14ac:dyDescent="0.2"/>
    <row r="45036" s="689" customFormat="1" x14ac:dyDescent="0.2"/>
    <row r="45037" s="689" customFormat="1" x14ac:dyDescent="0.2"/>
    <row r="45038" s="689" customFormat="1" x14ac:dyDescent="0.2"/>
    <row r="45039" s="689" customFormat="1" x14ac:dyDescent="0.2"/>
    <row r="45040" s="689" customFormat="1" x14ac:dyDescent="0.2"/>
    <row r="45041" s="689" customFormat="1" x14ac:dyDescent="0.2"/>
    <row r="45042" s="689" customFormat="1" x14ac:dyDescent="0.2"/>
    <row r="45043" s="689" customFormat="1" x14ac:dyDescent="0.2"/>
    <row r="45044" s="689" customFormat="1" x14ac:dyDescent="0.2"/>
    <row r="45045" s="689" customFormat="1" x14ac:dyDescent="0.2"/>
    <row r="45046" s="689" customFormat="1" x14ac:dyDescent="0.2"/>
    <row r="45047" s="689" customFormat="1" x14ac:dyDescent="0.2"/>
    <row r="45048" s="689" customFormat="1" x14ac:dyDescent="0.2"/>
    <row r="45049" s="689" customFormat="1" x14ac:dyDescent="0.2"/>
    <row r="45050" s="689" customFormat="1" x14ac:dyDescent="0.2"/>
    <row r="45051" s="689" customFormat="1" x14ac:dyDescent="0.2"/>
    <row r="45052" s="689" customFormat="1" x14ac:dyDescent="0.2"/>
    <row r="45053" s="689" customFormat="1" x14ac:dyDescent="0.2"/>
    <row r="45054" s="689" customFormat="1" x14ac:dyDescent="0.2"/>
    <row r="45055" s="689" customFormat="1" x14ac:dyDescent="0.2"/>
    <row r="45056" s="689" customFormat="1" x14ac:dyDescent="0.2"/>
    <row r="45057" s="689" customFormat="1" x14ac:dyDescent="0.2"/>
    <row r="45058" s="689" customFormat="1" x14ac:dyDescent="0.2"/>
    <row r="45059" s="689" customFormat="1" x14ac:dyDescent="0.2"/>
    <row r="45060" s="689" customFormat="1" x14ac:dyDescent="0.2"/>
    <row r="45061" s="689" customFormat="1" x14ac:dyDescent="0.2"/>
    <row r="45062" s="689" customFormat="1" x14ac:dyDescent="0.2"/>
    <row r="45063" s="689" customFormat="1" x14ac:dyDescent="0.2"/>
    <row r="45064" s="689" customFormat="1" x14ac:dyDescent="0.2"/>
    <row r="45065" s="689" customFormat="1" x14ac:dyDescent="0.2"/>
    <row r="45066" s="689" customFormat="1" x14ac:dyDescent="0.2"/>
    <row r="45067" s="689" customFormat="1" x14ac:dyDescent="0.2"/>
    <row r="45068" s="689" customFormat="1" x14ac:dyDescent="0.2"/>
    <row r="45069" s="689" customFormat="1" x14ac:dyDescent="0.2"/>
    <row r="45070" s="689" customFormat="1" x14ac:dyDescent="0.2"/>
    <row r="45071" s="689" customFormat="1" x14ac:dyDescent="0.2"/>
    <row r="45072" s="689" customFormat="1" x14ac:dyDescent="0.2"/>
    <row r="45073" s="689" customFormat="1" x14ac:dyDescent="0.2"/>
    <row r="45074" s="689" customFormat="1" x14ac:dyDescent="0.2"/>
    <row r="45075" s="689" customFormat="1" x14ac:dyDescent="0.2"/>
    <row r="45076" s="689" customFormat="1" x14ac:dyDescent="0.2"/>
    <row r="45077" s="689" customFormat="1" x14ac:dyDescent="0.2"/>
    <row r="45078" s="689" customFormat="1" x14ac:dyDescent="0.2"/>
    <row r="45079" s="689" customFormat="1" x14ac:dyDescent="0.2"/>
    <row r="45080" s="689" customFormat="1" x14ac:dyDescent="0.2"/>
    <row r="45081" s="689" customFormat="1" x14ac:dyDescent="0.2"/>
    <row r="45082" s="689" customFormat="1" x14ac:dyDescent="0.2"/>
    <row r="45083" s="689" customFormat="1" x14ac:dyDescent="0.2"/>
    <row r="45084" s="689" customFormat="1" x14ac:dyDescent="0.2"/>
    <row r="45085" s="689" customFormat="1" x14ac:dyDescent="0.2"/>
    <row r="45086" s="689" customFormat="1" x14ac:dyDescent="0.2"/>
    <row r="45087" s="689" customFormat="1" x14ac:dyDescent="0.2"/>
    <row r="45088" s="689" customFormat="1" x14ac:dyDescent="0.2"/>
    <row r="45089" s="689" customFormat="1" x14ac:dyDescent="0.2"/>
    <row r="45090" s="689" customFormat="1" x14ac:dyDescent="0.2"/>
    <row r="45091" s="689" customFormat="1" x14ac:dyDescent="0.2"/>
    <row r="45092" s="689" customFormat="1" x14ac:dyDescent="0.2"/>
    <row r="45093" s="689" customFormat="1" x14ac:dyDescent="0.2"/>
    <row r="45094" s="689" customFormat="1" x14ac:dyDescent="0.2"/>
    <row r="45095" s="689" customFormat="1" x14ac:dyDescent="0.2"/>
    <row r="45096" s="689" customFormat="1" x14ac:dyDescent="0.2"/>
    <row r="45097" s="689" customFormat="1" x14ac:dyDescent="0.2"/>
    <row r="45098" s="689" customFormat="1" x14ac:dyDescent="0.2"/>
    <row r="45099" s="689" customFormat="1" x14ac:dyDescent="0.2"/>
    <row r="45100" s="689" customFormat="1" x14ac:dyDescent="0.2"/>
    <row r="45101" s="689" customFormat="1" x14ac:dyDescent="0.2"/>
    <row r="45102" s="689" customFormat="1" x14ac:dyDescent="0.2"/>
    <row r="45103" s="689" customFormat="1" x14ac:dyDescent="0.2"/>
    <row r="45104" s="689" customFormat="1" x14ac:dyDescent="0.2"/>
    <row r="45105" s="689" customFormat="1" x14ac:dyDescent="0.2"/>
    <row r="45106" s="689" customFormat="1" x14ac:dyDescent="0.2"/>
    <row r="45107" s="689" customFormat="1" x14ac:dyDescent="0.2"/>
    <row r="45108" s="689" customFormat="1" x14ac:dyDescent="0.2"/>
    <row r="45109" s="689" customFormat="1" x14ac:dyDescent="0.2"/>
    <row r="45110" s="689" customFormat="1" x14ac:dyDescent="0.2"/>
    <row r="45111" s="689" customFormat="1" x14ac:dyDescent="0.2"/>
    <row r="45112" s="689" customFormat="1" x14ac:dyDescent="0.2"/>
    <row r="45113" s="689" customFormat="1" x14ac:dyDescent="0.2"/>
    <row r="45114" s="689" customFormat="1" x14ac:dyDescent="0.2"/>
    <row r="45115" s="689" customFormat="1" x14ac:dyDescent="0.2"/>
    <row r="45116" s="689" customFormat="1" x14ac:dyDescent="0.2"/>
    <row r="45117" s="689" customFormat="1" x14ac:dyDescent="0.2"/>
    <row r="45118" s="689" customFormat="1" x14ac:dyDescent="0.2"/>
    <row r="45119" s="689" customFormat="1" x14ac:dyDescent="0.2"/>
    <row r="45120" s="689" customFormat="1" x14ac:dyDescent="0.2"/>
    <row r="45121" s="689" customFormat="1" x14ac:dyDescent="0.2"/>
    <row r="45122" s="689" customFormat="1" x14ac:dyDescent="0.2"/>
    <row r="45123" s="689" customFormat="1" x14ac:dyDescent="0.2"/>
    <row r="45124" s="689" customFormat="1" x14ac:dyDescent="0.2"/>
    <row r="45125" s="689" customFormat="1" x14ac:dyDescent="0.2"/>
    <row r="45126" s="689" customFormat="1" x14ac:dyDescent="0.2"/>
    <row r="45127" s="689" customFormat="1" x14ac:dyDescent="0.2"/>
    <row r="45128" s="689" customFormat="1" x14ac:dyDescent="0.2"/>
    <row r="45129" s="689" customFormat="1" x14ac:dyDescent="0.2"/>
    <row r="45130" s="689" customFormat="1" x14ac:dyDescent="0.2"/>
    <row r="45131" s="689" customFormat="1" x14ac:dyDescent="0.2"/>
    <row r="45132" s="689" customFormat="1" x14ac:dyDescent="0.2"/>
    <row r="45133" s="689" customFormat="1" x14ac:dyDescent="0.2"/>
    <row r="45134" s="689" customFormat="1" x14ac:dyDescent="0.2"/>
    <row r="45135" s="689" customFormat="1" x14ac:dyDescent="0.2"/>
    <row r="45136" s="689" customFormat="1" x14ac:dyDescent="0.2"/>
    <row r="45137" s="689" customFormat="1" x14ac:dyDescent="0.2"/>
    <row r="45138" s="689" customFormat="1" x14ac:dyDescent="0.2"/>
    <row r="45139" s="689" customFormat="1" x14ac:dyDescent="0.2"/>
    <row r="45140" s="689" customFormat="1" x14ac:dyDescent="0.2"/>
    <row r="45141" s="689" customFormat="1" x14ac:dyDescent="0.2"/>
    <row r="45142" s="689" customFormat="1" x14ac:dyDescent="0.2"/>
    <row r="45143" s="689" customFormat="1" x14ac:dyDescent="0.2"/>
    <row r="45144" s="689" customFormat="1" x14ac:dyDescent="0.2"/>
    <row r="45145" s="689" customFormat="1" x14ac:dyDescent="0.2"/>
    <row r="45146" s="689" customFormat="1" x14ac:dyDescent="0.2"/>
    <row r="45147" s="689" customFormat="1" x14ac:dyDescent="0.2"/>
    <row r="45148" s="689" customFormat="1" x14ac:dyDescent="0.2"/>
    <row r="45149" s="689" customFormat="1" x14ac:dyDescent="0.2"/>
    <row r="45150" s="689" customFormat="1" x14ac:dyDescent="0.2"/>
    <row r="45151" s="689" customFormat="1" x14ac:dyDescent="0.2"/>
    <row r="45152" s="689" customFormat="1" x14ac:dyDescent="0.2"/>
    <row r="45153" s="689" customFormat="1" x14ac:dyDescent="0.2"/>
    <row r="45154" s="689" customFormat="1" x14ac:dyDescent="0.2"/>
    <row r="45155" s="689" customFormat="1" x14ac:dyDescent="0.2"/>
    <row r="45156" s="689" customFormat="1" x14ac:dyDescent="0.2"/>
    <row r="45157" s="689" customFormat="1" x14ac:dyDescent="0.2"/>
    <row r="45158" s="689" customFormat="1" x14ac:dyDescent="0.2"/>
    <row r="45159" s="689" customFormat="1" x14ac:dyDescent="0.2"/>
    <row r="45160" s="689" customFormat="1" x14ac:dyDescent="0.2"/>
    <row r="45161" s="689" customFormat="1" x14ac:dyDescent="0.2"/>
    <row r="45162" s="689" customFormat="1" x14ac:dyDescent="0.2"/>
    <row r="45163" s="689" customFormat="1" x14ac:dyDescent="0.2"/>
    <row r="45164" s="689" customFormat="1" x14ac:dyDescent="0.2"/>
    <row r="45165" s="689" customFormat="1" x14ac:dyDescent="0.2"/>
    <row r="45166" s="689" customFormat="1" x14ac:dyDescent="0.2"/>
    <row r="45167" s="689" customFormat="1" x14ac:dyDescent="0.2"/>
    <row r="45168" s="689" customFormat="1" x14ac:dyDescent="0.2"/>
    <row r="45169" s="689" customFormat="1" x14ac:dyDescent="0.2"/>
    <row r="45170" s="689" customFormat="1" x14ac:dyDescent="0.2"/>
    <row r="45171" s="689" customFormat="1" x14ac:dyDescent="0.2"/>
    <row r="45172" s="689" customFormat="1" x14ac:dyDescent="0.2"/>
    <row r="45173" s="689" customFormat="1" x14ac:dyDescent="0.2"/>
    <row r="45174" s="689" customFormat="1" x14ac:dyDescent="0.2"/>
    <row r="45175" s="689" customFormat="1" x14ac:dyDescent="0.2"/>
    <row r="45176" s="689" customFormat="1" x14ac:dyDescent="0.2"/>
    <row r="45177" s="689" customFormat="1" x14ac:dyDescent="0.2"/>
    <row r="45178" s="689" customFormat="1" x14ac:dyDescent="0.2"/>
    <row r="45179" s="689" customFormat="1" x14ac:dyDescent="0.2"/>
    <row r="45180" s="689" customFormat="1" x14ac:dyDescent="0.2"/>
    <row r="45181" s="689" customFormat="1" x14ac:dyDescent="0.2"/>
    <row r="45182" s="689" customFormat="1" x14ac:dyDescent="0.2"/>
    <row r="45183" s="689" customFormat="1" x14ac:dyDescent="0.2"/>
    <row r="45184" s="689" customFormat="1" x14ac:dyDescent="0.2"/>
    <row r="45185" s="689" customFormat="1" x14ac:dyDescent="0.2"/>
    <row r="45186" s="689" customFormat="1" x14ac:dyDescent="0.2"/>
    <row r="45187" s="689" customFormat="1" x14ac:dyDescent="0.2"/>
    <row r="45188" s="689" customFormat="1" x14ac:dyDescent="0.2"/>
    <row r="45189" s="689" customFormat="1" x14ac:dyDescent="0.2"/>
    <row r="45190" s="689" customFormat="1" x14ac:dyDescent="0.2"/>
    <row r="45191" s="689" customFormat="1" x14ac:dyDescent="0.2"/>
    <row r="45192" s="689" customFormat="1" x14ac:dyDescent="0.2"/>
    <row r="45193" s="689" customFormat="1" x14ac:dyDescent="0.2"/>
    <row r="45194" s="689" customFormat="1" x14ac:dyDescent="0.2"/>
    <row r="45195" s="689" customFormat="1" x14ac:dyDescent="0.2"/>
    <row r="45196" s="689" customFormat="1" x14ac:dyDescent="0.2"/>
    <row r="45197" s="689" customFormat="1" x14ac:dyDescent="0.2"/>
    <row r="45198" s="689" customFormat="1" x14ac:dyDescent="0.2"/>
    <row r="45199" s="689" customFormat="1" x14ac:dyDescent="0.2"/>
    <row r="45200" s="689" customFormat="1" x14ac:dyDescent="0.2"/>
    <row r="45201" s="689" customFormat="1" x14ac:dyDescent="0.2"/>
    <row r="45202" s="689" customFormat="1" x14ac:dyDescent="0.2"/>
    <row r="45203" s="689" customFormat="1" x14ac:dyDescent="0.2"/>
    <row r="45204" s="689" customFormat="1" x14ac:dyDescent="0.2"/>
    <row r="45205" s="689" customFormat="1" x14ac:dyDescent="0.2"/>
    <row r="45206" s="689" customFormat="1" x14ac:dyDescent="0.2"/>
    <row r="45207" s="689" customFormat="1" x14ac:dyDescent="0.2"/>
    <row r="45208" s="689" customFormat="1" x14ac:dyDescent="0.2"/>
    <row r="45209" s="689" customFormat="1" x14ac:dyDescent="0.2"/>
    <row r="45210" s="689" customFormat="1" x14ac:dyDescent="0.2"/>
    <row r="45211" s="689" customFormat="1" x14ac:dyDescent="0.2"/>
    <row r="45212" s="689" customFormat="1" x14ac:dyDescent="0.2"/>
    <row r="45213" s="689" customFormat="1" x14ac:dyDescent="0.2"/>
    <row r="45214" s="689" customFormat="1" x14ac:dyDescent="0.2"/>
    <row r="45215" s="689" customFormat="1" x14ac:dyDescent="0.2"/>
    <row r="45216" s="689" customFormat="1" x14ac:dyDescent="0.2"/>
    <row r="45217" s="689" customFormat="1" x14ac:dyDescent="0.2"/>
    <row r="45218" s="689" customFormat="1" x14ac:dyDescent="0.2"/>
    <row r="45219" s="689" customFormat="1" x14ac:dyDescent="0.2"/>
    <row r="45220" s="689" customFormat="1" x14ac:dyDescent="0.2"/>
    <row r="45221" s="689" customFormat="1" x14ac:dyDescent="0.2"/>
    <row r="45222" s="689" customFormat="1" x14ac:dyDescent="0.2"/>
    <row r="45223" s="689" customFormat="1" x14ac:dyDescent="0.2"/>
    <row r="45224" s="689" customFormat="1" x14ac:dyDescent="0.2"/>
    <row r="45225" s="689" customFormat="1" x14ac:dyDescent="0.2"/>
    <row r="45226" s="689" customFormat="1" x14ac:dyDescent="0.2"/>
    <row r="45227" s="689" customFormat="1" x14ac:dyDescent="0.2"/>
    <row r="45228" s="689" customFormat="1" x14ac:dyDescent="0.2"/>
    <row r="45229" s="689" customFormat="1" x14ac:dyDescent="0.2"/>
    <row r="45230" s="689" customFormat="1" x14ac:dyDescent="0.2"/>
    <row r="45231" s="689" customFormat="1" x14ac:dyDescent="0.2"/>
    <row r="45232" s="689" customFormat="1" x14ac:dyDescent="0.2"/>
    <row r="45233" s="689" customFormat="1" x14ac:dyDescent="0.2"/>
    <row r="45234" s="689" customFormat="1" x14ac:dyDescent="0.2"/>
    <row r="45235" s="689" customFormat="1" x14ac:dyDescent="0.2"/>
    <row r="45236" s="689" customFormat="1" x14ac:dyDescent="0.2"/>
    <row r="45237" s="689" customFormat="1" x14ac:dyDescent="0.2"/>
    <row r="45238" s="689" customFormat="1" x14ac:dyDescent="0.2"/>
    <row r="45239" s="689" customFormat="1" x14ac:dyDescent="0.2"/>
    <row r="45240" s="689" customFormat="1" x14ac:dyDescent="0.2"/>
    <row r="45241" s="689" customFormat="1" x14ac:dyDescent="0.2"/>
    <row r="45242" s="689" customFormat="1" x14ac:dyDescent="0.2"/>
    <row r="45243" s="689" customFormat="1" x14ac:dyDescent="0.2"/>
    <row r="45244" s="689" customFormat="1" x14ac:dyDescent="0.2"/>
    <row r="45245" s="689" customFormat="1" x14ac:dyDescent="0.2"/>
    <row r="45246" s="689" customFormat="1" x14ac:dyDescent="0.2"/>
    <row r="45247" s="689" customFormat="1" x14ac:dyDescent="0.2"/>
    <row r="45248" s="689" customFormat="1" x14ac:dyDescent="0.2"/>
    <row r="45249" s="689" customFormat="1" x14ac:dyDescent="0.2"/>
    <row r="45250" s="689" customFormat="1" x14ac:dyDescent="0.2"/>
    <row r="45251" s="689" customFormat="1" x14ac:dyDescent="0.2"/>
    <row r="45252" s="689" customFormat="1" x14ac:dyDescent="0.2"/>
    <row r="45253" s="689" customFormat="1" x14ac:dyDescent="0.2"/>
    <row r="45254" s="689" customFormat="1" x14ac:dyDescent="0.2"/>
    <row r="45255" s="689" customFormat="1" x14ac:dyDescent="0.2"/>
    <row r="45256" s="689" customFormat="1" x14ac:dyDescent="0.2"/>
    <row r="45257" s="689" customFormat="1" x14ac:dyDescent="0.2"/>
    <row r="45258" s="689" customFormat="1" x14ac:dyDescent="0.2"/>
    <row r="45259" s="689" customFormat="1" x14ac:dyDescent="0.2"/>
    <row r="45260" s="689" customFormat="1" x14ac:dyDescent="0.2"/>
    <row r="45261" s="689" customFormat="1" x14ac:dyDescent="0.2"/>
    <row r="45262" s="689" customFormat="1" x14ac:dyDescent="0.2"/>
    <row r="45263" s="689" customFormat="1" x14ac:dyDescent="0.2"/>
    <row r="45264" s="689" customFormat="1" x14ac:dyDescent="0.2"/>
    <row r="45265" s="689" customFormat="1" x14ac:dyDescent="0.2"/>
    <row r="45266" s="689" customFormat="1" x14ac:dyDescent="0.2"/>
    <row r="45267" s="689" customFormat="1" x14ac:dyDescent="0.2"/>
    <row r="45268" s="689" customFormat="1" x14ac:dyDescent="0.2"/>
    <row r="45269" s="689" customFormat="1" x14ac:dyDescent="0.2"/>
    <row r="45270" s="689" customFormat="1" x14ac:dyDescent="0.2"/>
    <row r="45271" s="689" customFormat="1" x14ac:dyDescent="0.2"/>
    <row r="45272" s="689" customFormat="1" x14ac:dyDescent="0.2"/>
    <row r="45273" s="689" customFormat="1" x14ac:dyDescent="0.2"/>
    <row r="45274" s="689" customFormat="1" x14ac:dyDescent="0.2"/>
    <row r="45275" s="689" customFormat="1" x14ac:dyDescent="0.2"/>
    <row r="45276" s="689" customFormat="1" x14ac:dyDescent="0.2"/>
    <row r="45277" s="689" customFormat="1" x14ac:dyDescent="0.2"/>
    <row r="45278" s="689" customFormat="1" x14ac:dyDescent="0.2"/>
    <row r="45279" s="689" customFormat="1" x14ac:dyDescent="0.2"/>
    <row r="45280" s="689" customFormat="1" x14ac:dyDescent="0.2"/>
    <row r="45281" s="689" customFormat="1" x14ac:dyDescent="0.2"/>
    <row r="45282" s="689" customFormat="1" x14ac:dyDescent="0.2"/>
    <row r="45283" s="689" customFormat="1" x14ac:dyDescent="0.2"/>
    <row r="45284" s="689" customFormat="1" x14ac:dyDescent="0.2"/>
    <row r="45285" s="689" customFormat="1" x14ac:dyDescent="0.2"/>
    <row r="45286" s="689" customFormat="1" x14ac:dyDescent="0.2"/>
    <row r="45287" s="689" customFormat="1" x14ac:dyDescent="0.2"/>
    <row r="45288" s="689" customFormat="1" x14ac:dyDescent="0.2"/>
    <row r="45289" s="689" customFormat="1" x14ac:dyDescent="0.2"/>
    <row r="45290" s="689" customFormat="1" x14ac:dyDescent="0.2"/>
    <row r="45291" s="689" customFormat="1" x14ac:dyDescent="0.2"/>
    <row r="45292" s="689" customFormat="1" x14ac:dyDescent="0.2"/>
    <row r="45293" s="689" customFormat="1" x14ac:dyDescent="0.2"/>
    <row r="45294" s="689" customFormat="1" x14ac:dyDescent="0.2"/>
    <row r="45295" s="689" customFormat="1" x14ac:dyDescent="0.2"/>
    <row r="45296" s="689" customFormat="1" x14ac:dyDescent="0.2"/>
    <row r="45297" s="689" customFormat="1" x14ac:dyDescent="0.2"/>
    <row r="45298" s="689" customFormat="1" x14ac:dyDescent="0.2"/>
    <row r="45299" s="689" customFormat="1" x14ac:dyDescent="0.2"/>
    <row r="45300" s="689" customFormat="1" x14ac:dyDescent="0.2"/>
    <row r="45301" s="689" customFormat="1" x14ac:dyDescent="0.2"/>
    <row r="45302" s="689" customFormat="1" x14ac:dyDescent="0.2"/>
    <row r="45303" s="689" customFormat="1" x14ac:dyDescent="0.2"/>
    <row r="45304" s="689" customFormat="1" x14ac:dyDescent="0.2"/>
    <row r="45305" s="689" customFormat="1" x14ac:dyDescent="0.2"/>
    <row r="45306" s="689" customFormat="1" x14ac:dyDescent="0.2"/>
    <row r="45307" s="689" customFormat="1" x14ac:dyDescent="0.2"/>
    <row r="45308" s="689" customFormat="1" x14ac:dyDescent="0.2"/>
    <row r="45309" s="689" customFormat="1" x14ac:dyDescent="0.2"/>
    <row r="45310" s="689" customFormat="1" x14ac:dyDescent="0.2"/>
    <row r="45311" s="689" customFormat="1" x14ac:dyDescent="0.2"/>
    <row r="45312" s="689" customFormat="1" x14ac:dyDescent="0.2"/>
    <row r="45313" s="689" customFormat="1" x14ac:dyDescent="0.2"/>
    <row r="45314" s="689" customFormat="1" x14ac:dyDescent="0.2"/>
    <row r="45315" s="689" customFormat="1" x14ac:dyDescent="0.2"/>
    <row r="45316" s="689" customFormat="1" x14ac:dyDescent="0.2"/>
    <row r="45317" s="689" customFormat="1" x14ac:dyDescent="0.2"/>
    <row r="45318" s="689" customFormat="1" x14ac:dyDescent="0.2"/>
    <row r="45319" s="689" customFormat="1" x14ac:dyDescent="0.2"/>
    <row r="45320" s="689" customFormat="1" x14ac:dyDescent="0.2"/>
    <row r="45321" s="689" customFormat="1" x14ac:dyDescent="0.2"/>
    <row r="45322" s="689" customFormat="1" x14ac:dyDescent="0.2"/>
    <row r="45323" s="689" customFormat="1" x14ac:dyDescent="0.2"/>
    <row r="45324" s="689" customFormat="1" x14ac:dyDescent="0.2"/>
    <row r="45325" s="689" customFormat="1" x14ac:dyDescent="0.2"/>
    <row r="45326" s="689" customFormat="1" x14ac:dyDescent="0.2"/>
    <row r="45327" s="689" customFormat="1" x14ac:dyDescent="0.2"/>
    <row r="45328" s="689" customFormat="1" x14ac:dyDescent="0.2"/>
    <row r="45329" s="689" customFormat="1" x14ac:dyDescent="0.2"/>
    <row r="45330" s="689" customFormat="1" x14ac:dyDescent="0.2"/>
    <row r="45331" s="689" customFormat="1" x14ac:dyDescent="0.2"/>
    <row r="45332" s="689" customFormat="1" x14ac:dyDescent="0.2"/>
    <row r="45333" s="689" customFormat="1" x14ac:dyDescent="0.2"/>
    <row r="45334" s="689" customFormat="1" x14ac:dyDescent="0.2"/>
    <row r="45335" s="689" customFormat="1" x14ac:dyDescent="0.2"/>
    <row r="45336" s="689" customFormat="1" x14ac:dyDescent="0.2"/>
    <row r="45337" s="689" customFormat="1" x14ac:dyDescent="0.2"/>
    <row r="45338" s="689" customFormat="1" x14ac:dyDescent="0.2"/>
    <row r="45339" s="689" customFormat="1" x14ac:dyDescent="0.2"/>
    <row r="45340" s="689" customFormat="1" x14ac:dyDescent="0.2"/>
    <row r="45341" s="689" customFormat="1" x14ac:dyDescent="0.2"/>
    <row r="45342" s="689" customFormat="1" x14ac:dyDescent="0.2"/>
    <row r="45343" s="689" customFormat="1" x14ac:dyDescent="0.2"/>
    <row r="45344" s="689" customFormat="1" x14ac:dyDescent="0.2"/>
    <row r="45345" s="689" customFormat="1" x14ac:dyDescent="0.2"/>
    <row r="45346" s="689" customFormat="1" x14ac:dyDescent="0.2"/>
    <row r="45347" s="689" customFormat="1" x14ac:dyDescent="0.2"/>
    <row r="45348" s="689" customFormat="1" x14ac:dyDescent="0.2"/>
    <row r="45349" s="689" customFormat="1" x14ac:dyDescent="0.2"/>
    <row r="45350" s="689" customFormat="1" x14ac:dyDescent="0.2"/>
    <row r="45351" s="689" customFormat="1" x14ac:dyDescent="0.2"/>
    <row r="45352" s="689" customFormat="1" x14ac:dyDescent="0.2"/>
    <row r="45353" s="689" customFormat="1" x14ac:dyDescent="0.2"/>
    <row r="45354" s="689" customFormat="1" x14ac:dyDescent="0.2"/>
    <row r="45355" s="689" customFormat="1" x14ac:dyDescent="0.2"/>
    <row r="45356" s="689" customFormat="1" x14ac:dyDescent="0.2"/>
    <row r="45357" s="689" customFormat="1" x14ac:dyDescent="0.2"/>
    <row r="45358" s="689" customFormat="1" x14ac:dyDescent="0.2"/>
    <row r="45359" s="689" customFormat="1" x14ac:dyDescent="0.2"/>
    <row r="45360" s="689" customFormat="1" x14ac:dyDescent="0.2"/>
    <row r="45361" s="689" customFormat="1" x14ac:dyDescent="0.2"/>
    <row r="45362" s="689" customFormat="1" x14ac:dyDescent="0.2"/>
    <row r="45363" s="689" customFormat="1" x14ac:dyDescent="0.2"/>
    <row r="45364" s="689" customFormat="1" x14ac:dyDescent="0.2"/>
    <row r="45365" s="689" customFormat="1" x14ac:dyDescent="0.2"/>
    <row r="45366" s="689" customFormat="1" x14ac:dyDescent="0.2"/>
    <row r="45367" s="689" customFormat="1" x14ac:dyDescent="0.2"/>
    <row r="45368" s="689" customFormat="1" x14ac:dyDescent="0.2"/>
    <row r="45369" s="689" customFormat="1" x14ac:dyDescent="0.2"/>
    <row r="45370" s="689" customFormat="1" x14ac:dyDescent="0.2"/>
    <row r="45371" s="689" customFormat="1" x14ac:dyDescent="0.2"/>
    <row r="45372" s="689" customFormat="1" x14ac:dyDescent="0.2"/>
    <row r="45373" s="689" customFormat="1" x14ac:dyDescent="0.2"/>
    <row r="45374" s="689" customFormat="1" x14ac:dyDescent="0.2"/>
    <row r="45375" s="689" customFormat="1" x14ac:dyDescent="0.2"/>
    <row r="45376" s="689" customFormat="1" x14ac:dyDescent="0.2"/>
    <row r="45377" s="689" customFormat="1" x14ac:dyDescent="0.2"/>
    <row r="45378" s="689" customFormat="1" x14ac:dyDescent="0.2"/>
    <row r="45379" s="689" customFormat="1" x14ac:dyDescent="0.2"/>
    <row r="45380" s="689" customFormat="1" x14ac:dyDescent="0.2"/>
    <row r="45381" s="689" customFormat="1" x14ac:dyDescent="0.2"/>
    <row r="45382" s="689" customFormat="1" x14ac:dyDescent="0.2"/>
    <row r="45383" s="689" customFormat="1" x14ac:dyDescent="0.2"/>
    <row r="45384" s="689" customFormat="1" x14ac:dyDescent="0.2"/>
    <row r="45385" s="689" customFormat="1" x14ac:dyDescent="0.2"/>
    <row r="45386" s="689" customFormat="1" x14ac:dyDescent="0.2"/>
    <row r="45387" s="689" customFormat="1" x14ac:dyDescent="0.2"/>
    <row r="45388" s="689" customFormat="1" x14ac:dyDescent="0.2"/>
    <row r="45389" s="689" customFormat="1" x14ac:dyDescent="0.2"/>
    <row r="45390" s="689" customFormat="1" x14ac:dyDescent="0.2"/>
    <row r="45391" s="689" customFormat="1" x14ac:dyDescent="0.2"/>
    <row r="45392" s="689" customFormat="1" x14ac:dyDescent="0.2"/>
    <row r="45393" s="689" customFormat="1" x14ac:dyDescent="0.2"/>
    <row r="45394" s="689" customFormat="1" x14ac:dyDescent="0.2"/>
    <row r="45395" s="689" customFormat="1" x14ac:dyDescent="0.2"/>
    <row r="45396" s="689" customFormat="1" x14ac:dyDescent="0.2"/>
    <row r="45397" s="689" customFormat="1" x14ac:dyDescent="0.2"/>
    <row r="45398" s="689" customFormat="1" x14ac:dyDescent="0.2"/>
    <row r="45399" s="689" customFormat="1" x14ac:dyDescent="0.2"/>
    <row r="45400" s="689" customFormat="1" x14ac:dyDescent="0.2"/>
    <row r="45401" s="689" customFormat="1" x14ac:dyDescent="0.2"/>
    <row r="45402" s="689" customFormat="1" x14ac:dyDescent="0.2"/>
    <row r="45403" s="689" customFormat="1" x14ac:dyDescent="0.2"/>
    <row r="45404" s="689" customFormat="1" x14ac:dyDescent="0.2"/>
    <row r="45405" s="689" customFormat="1" x14ac:dyDescent="0.2"/>
    <row r="45406" s="689" customFormat="1" x14ac:dyDescent="0.2"/>
    <row r="45407" s="689" customFormat="1" x14ac:dyDescent="0.2"/>
    <row r="45408" s="689" customFormat="1" x14ac:dyDescent="0.2"/>
    <row r="45409" s="689" customFormat="1" x14ac:dyDescent="0.2"/>
    <row r="45410" s="689" customFormat="1" x14ac:dyDescent="0.2"/>
    <row r="45411" s="689" customFormat="1" x14ac:dyDescent="0.2"/>
    <row r="45412" s="689" customFormat="1" x14ac:dyDescent="0.2"/>
    <row r="45413" s="689" customFormat="1" x14ac:dyDescent="0.2"/>
    <row r="45414" s="689" customFormat="1" x14ac:dyDescent="0.2"/>
    <row r="45415" s="689" customFormat="1" x14ac:dyDescent="0.2"/>
    <row r="45416" s="689" customFormat="1" x14ac:dyDescent="0.2"/>
    <row r="45417" s="689" customFormat="1" x14ac:dyDescent="0.2"/>
    <row r="45418" s="689" customFormat="1" x14ac:dyDescent="0.2"/>
    <row r="45419" s="689" customFormat="1" x14ac:dyDescent="0.2"/>
    <row r="45420" s="689" customFormat="1" x14ac:dyDescent="0.2"/>
    <row r="45421" s="689" customFormat="1" x14ac:dyDescent="0.2"/>
    <row r="45422" s="689" customFormat="1" x14ac:dyDescent="0.2"/>
    <row r="45423" s="689" customFormat="1" x14ac:dyDescent="0.2"/>
    <row r="45424" s="689" customFormat="1" x14ac:dyDescent="0.2"/>
    <row r="45425" s="689" customFormat="1" x14ac:dyDescent="0.2"/>
    <row r="45426" s="689" customFormat="1" x14ac:dyDescent="0.2"/>
    <row r="45427" s="689" customFormat="1" x14ac:dyDescent="0.2"/>
    <row r="45428" s="689" customFormat="1" x14ac:dyDescent="0.2"/>
    <row r="45429" s="689" customFormat="1" x14ac:dyDescent="0.2"/>
    <row r="45430" s="689" customFormat="1" x14ac:dyDescent="0.2"/>
    <row r="45431" s="689" customFormat="1" x14ac:dyDescent="0.2"/>
    <row r="45432" s="689" customFormat="1" x14ac:dyDescent="0.2"/>
    <row r="45433" s="689" customFormat="1" x14ac:dyDescent="0.2"/>
    <row r="45434" s="689" customFormat="1" x14ac:dyDescent="0.2"/>
    <row r="45435" s="689" customFormat="1" x14ac:dyDescent="0.2"/>
    <row r="45436" s="689" customFormat="1" x14ac:dyDescent="0.2"/>
    <row r="45437" s="689" customFormat="1" x14ac:dyDescent="0.2"/>
    <row r="45438" s="689" customFormat="1" x14ac:dyDescent="0.2"/>
    <row r="45439" s="689" customFormat="1" x14ac:dyDescent="0.2"/>
    <row r="45440" s="689" customFormat="1" x14ac:dyDescent="0.2"/>
    <row r="45441" s="689" customFormat="1" x14ac:dyDescent="0.2"/>
    <row r="45442" s="689" customFormat="1" x14ac:dyDescent="0.2"/>
    <row r="45443" s="689" customFormat="1" x14ac:dyDescent="0.2"/>
    <row r="45444" s="689" customFormat="1" x14ac:dyDescent="0.2"/>
    <row r="45445" s="689" customFormat="1" x14ac:dyDescent="0.2"/>
    <row r="45446" s="689" customFormat="1" x14ac:dyDescent="0.2"/>
    <row r="45447" s="689" customFormat="1" x14ac:dyDescent="0.2"/>
    <row r="45448" s="689" customFormat="1" x14ac:dyDescent="0.2"/>
    <row r="45449" s="689" customFormat="1" x14ac:dyDescent="0.2"/>
    <row r="45450" s="689" customFormat="1" x14ac:dyDescent="0.2"/>
    <row r="45451" s="689" customFormat="1" x14ac:dyDescent="0.2"/>
    <row r="45452" s="689" customFormat="1" x14ac:dyDescent="0.2"/>
    <row r="45453" s="689" customFormat="1" x14ac:dyDescent="0.2"/>
    <row r="45454" s="689" customFormat="1" x14ac:dyDescent="0.2"/>
    <row r="45455" s="689" customFormat="1" x14ac:dyDescent="0.2"/>
    <row r="45456" s="689" customFormat="1" x14ac:dyDescent="0.2"/>
    <row r="45457" s="689" customFormat="1" x14ac:dyDescent="0.2"/>
    <row r="45458" s="689" customFormat="1" x14ac:dyDescent="0.2"/>
    <row r="45459" s="689" customFormat="1" x14ac:dyDescent="0.2"/>
    <row r="45460" s="689" customFormat="1" x14ac:dyDescent="0.2"/>
    <row r="45461" s="689" customFormat="1" x14ac:dyDescent="0.2"/>
    <row r="45462" s="689" customFormat="1" x14ac:dyDescent="0.2"/>
    <row r="45463" s="689" customFormat="1" x14ac:dyDescent="0.2"/>
    <row r="45464" s="689" customFormat="1" x14ac:dyDescent="0.2"/>
    <row r="45465" s="689" customFormat="1" x14ac:dyDescent="0.2"/>
    <row r="45466" s="689" customFormat="1" x14ac:dyDescent="0.2"/>
    <row r="45467" s="689" customFormat="1" x14ac:dyDescent="0.2"/>
    <row r="45468" s="689" customFormat="1" x14ac:dyDescent="0.2"/>
    <row r="45469" s="689" customFormat="1" x14ac:dyDescent="0.2"/>
    <row r="45470" s="689" customFormat="1" x14ac:dyDescent="0.2"/>
    <row r="45471" s="689" customFormat="1" x14ac:dyDescent="0.2"/>
    <row r="45472" s="689" customFormat="1" x14ac:dyDescent="0.2"/>
    <row r="45473" s="689" customFormat="1" x14ac:dyDescent="0.2"/>
    <row r="45474" s="689" customFormat="1" x14ac:dyDescent="0.2"/>
    <row r="45475" s="689" customFormat="1" x14ac:dyDescent="0.2"/>
    <row r="45476" s="689" customFormat="1" x14ac:dyDescent="0.2"/>
    <row r="45477" s="689" customFormat="1" x14ac:dyDescent="0.2"/>
    <row r="45478" s="689" customFormat="1" x14ac:dyDescent="0.2"/>
    <row r="45479" s="689" customFormat="1" x14ac:dyDescent="0.2"/>
    <row r="45480" s="689" customFormat="1" x14ac:dyDescent="0.2"/>
    <row r="45481" s="689" customFormat="1" x14ac:dyDescent="0.2"/>
    <row r="45482" s="689" customFormat="1" x14ac:dyDescent="0.2"/>
    <row r="45483" s="689" customFormat="1" x14ac:dyDescent="0.2"/>
    <row r="45484" s="689" customFormat="1" x14ac:dyDescent="0.2"/>
    <row r="45485" s="689" customFormat="1" x14ac:dyDescent="0.2"/>
    <row r="45486" s="689" customFormat="1" x14ac:dyDescent="0.2"/>
    <row r="45487" s="689" customFormat="1" x14ac:dyDescent="0.2"/>
    <row r="45488" s="689" customFormat="1" x14ac:dyDescent="0.2"/>
    <row r="45489" s="689" customFormat="1" x14ac:dyDescent="0.2"/>
    <row r="45490" s="689" customFormat="1" x14ac:dyDescent="0.2"/>
    <row r="45491" s="689" customFormat="1" x14ac:dyDescent="0.2"/>
    <row r="45492" s="689" customFormat="1" x14ac:dyDescent="0.2"/>
    <row r="45493" s="689" customFormat="1" x14ac:dyDescent="0.2"/>
    <row r="45494" s="689" customFormat="1" x14ac:dyDescent="0.2"/>
    <row r="45495" s="689" customFormat="1" x14ac:dyDescent="0.2"/>
    <row r="45496" s="689" customFormat="1" x14ac:dyDescent="0.2"/>
    <row r="45497" s="689" customFormat="1" x14ac:dyDescent="0.2"/>
    <row r="45498" s="689" customFormat="1" x14ac:dyDescent="0.2"/>
    <row r="45499" s="689" customFormat="1" x14ac:dyDescent="0.2"/>
    <row r="45500" s="689" customFormat="1" x14ac:dyDescent="0.2"/>
    <row r="45501" s="689" customFormat="1" x14ac:dyDescent="0.2"/>
    <row r="45502" s="689" customFormat="1" x14ac:dyDescent="0.2"/>
    <row r="45503" s="689" customFormat="1" x14ac:dyDescent="0.2"/>
    <row r="45504" s="689" customFormat="1" x14ac:dyDescent="0.2"/>
    <row r="45505" s="689" customFormat="1" x14ac:dyDescent="0.2"/>
    <row r="45506" s="689" customFormat="1" x14ac:dyDescent="0.2"/>
    <row r="45507" s="689" customFormat="1" x14ac:dyDescent="0.2"/>
    <row r="45508" s="689" customFormat="1" x14ac:dyDescent="0.2"/>
    <row r="45509" s="689" customFormat="1" x14ac:dyDescent="0.2"/>
    <row r="45510" s="689" customFormat="1" x14ac:dyDescent="0.2"/>
    <row r="45511" s="689" customFormat="1" x14ac:dyDescent="0.2"/>
    <row r="45512" s="689" customFormat="1" x14ac:dyDescent="0.2"/>
    <row r="45513" s="689" customFormat="1" x14ac:dyDescent="0.2"/>
    <row r="45514" s="689" customFormat="1" x14ac:dyDescent="0.2"/>
    <row r="45515" s="689" customFormat="1" x14ac:dyDescent="0.2"/>
    <row r="45516" s="689" customFormat="1" x14ac:dyDescent="0.2"/>
    <row r="45517" s="689" customFormat="1" x14ac:dyDescent="0.2"/>
    <row r="45518" s="689" customFormat="1" x14ac:dyDescent="0.2"/>
    <row r="45519" s="689" customFormat="1" x14ac:dyDescent="0.2"/>
    <row r="45520" s="689" customFormat="1" x14ac:dyDescent="0.2"/>
    <row r="45521" s="689" customFormat="1" x14ac:dyDescent="0.2"/>
    <row r="45522" s="689" customFormat="1" x14ac:dyDescent="0.2"/>
    <row r="45523" s="689" customFormat="1" x14ac:dyDescent="0.2"/>
    <row r="45524" s="689" customFormat="1" x14ac:dyDescent="0.2"/>
    <row r="45525" s="689" customFormat="1" x14ac:dyDescent="0.2"/>
    <row r="45526" s="689" customFormat="1" x14ac:dyDescent="0.2"/>
    <row r="45527" s="689" customFormat="1" x14ac:dyDescent="0.2"/>
    <row r="45528" s="689" customFormat="1" x14ac:dyDescent="0.2"/>
    <row r="45529" s="689" customFormat="1" x14ac:dyDescent="0.2"/>
    <row r="45530" s="689" customFormat="1" x14ac:dyDescent="0.2"/>
    <row r="45531" s="689" customFormat="1" x14ac:dyDescent="0.2"/>
    <row r="45532" s="689" customFormat="1" x14ac:dyDescent="0.2"/>
    <row r="45533" s="689" customFormat="1" x14ac:dyDescent="0.2"/>
    <row r="45534" s="689" customFormat="1" x14ac:dyDescent="0.2"/>
    <row r="45535" s="689" customFormat="1" x14ac:dyDescent="0.2"/>
    <row r="45536" s="689" customFormat="1" x14ac:dyDescent="0.2"/>
    <row r="45537" s="689" customFormat="1" x14ac:dyDescent="0.2"/>
    <row r="45538" s="689" customFormat="1" x14ac:dyDescent="0.2"/>
    <row r="45539" s="689" customFormat="1" x14ac:dyDescent="0.2"/>
    <row r="45540" s="689" customFormat="1" x14ac:dyDescent="0.2"/>
    <row r="45541" s="689" customFormat="1" x14ac:dyDescent="0.2"/>
    <row r="45542" s="689" customFormat="1" x14ac:dyDescent="0.2"/>
    <row r="45543" s="689" customFormat="1" x14ac:dyDescent="0.2"/>
    <row r="45544" s="689" customFormat="1" x14ac:dyDescent="0.2"/>
    <row r="45545" s="689" customFormat="1" x14ac:dyDescent="0.2"/>
    <row r="45546" s="689" customFormat="1" x14ac:dyDescent="0.2"/>
    <row r="45547" s="689" customFormat="1" x14ac:dyDescent="0.2"/>
    <row r="45548" s="689" customFormat="1" x14ac:dyDescent="0.2"/>
    <row r="45549" s="689" customFormat="1" x14ac:dyDescent="0.2"/>
    <row r="45550" s="689" customFormat="1" x14ac:dyDescent="0.2"/>
    <row r="45551" s="689" customFormat="1" x14ac:dyDescent="0.2"/>
    <row r="45552" s="689" customFormat="1" x14ac:dyDescent="0.2"/>
    <row r="45553" s="689" customFormat="1" x14ac:dyDescent="0.2"/>
    <row r="45554" s="689" customFormat="1" x14ac:dyDescent="0.2"/>
    <row r="45555" s="689" customFormat="1" x14ac:dyDescent="0.2"/>
    <row r="45556" s="689" customFormat="1" x14ac:dyDescent="0.2"/>
    <row r="45557" s="689" customFormat="1" x14ac:dyDescent="0.2"/>
    <row r="45558" s="689" customFormat="1" x14ac:dyDescent="0.2"/>
    <row r="45559" s="689" customFormat="1" x14ac:dyDescent="0.2"/>
    <row r="45560" s="689" customFormat="1" x14ac:dyDescent="0.2"/>
    <row r="45561" s="689" customFormat="1" x14ac:dyDescent="0.2"/>
    <row r="45562" s="689" customFormat="1" x14ac:dyDescent="0.2"/>
    <row r="45563" s="689" customFormat="1" x14ac:dyDescent="0.2"/>
    <row r="45564" s="689" customFormat="1" x14ac:dyDescent="0.2"/>
    <row r="45565" s="689" customFormat="1" x14ac:dyDescent="0.2"/>
    <row r="45566" s="689" customFormat="1" x14ac:dyDescent="0.2"/>
    <row r="45567" s="689" customFormat="1" x14ac:dyDescent="0.2"/>
    <row r="45568" s="689" customFormat="1" x14ac:dyDescent="0.2"/>
    <row r="45569" s="689" customFormat="1" x14ac:dyDescent="0.2"/>
    <row r="45570" s="689" customFormat="1" x14ac:dyDescent="0.2"/>
    <row r="45571" s="689" customFormat="1" x14ac:dyDescent="0.2"/>
    <row r="45572" s="689" customFormat="1" x14ac:dyDescent="0.2"/>
    <row r="45573" s="689" customFormat="1" x14ac:dyDescent="0.2"/>
    <row r="45574" s="689" customFormat="1" x14ac:dyDescent="0.2"/>
    <row r="45575" s="689" customFormat="1" x14ac:dyDescent="0.2"/>
    <row r="45576" s="689" customFormat="1" x14ac:dyDescent="0.2"/>
    <row r="45577" s="689" customFormat="1" x14ac:dyDescent="0.2"/>
    <row r="45578" s="689" customFormat="1" x14ac:dyDescent="0.2"/>
    <row r="45579" s="689" customFormat="1" x14ac:dyDescent="0.2"/>
    <row r="45580" s="689" customFormat="1" x14ac:dyDescent="0.2"/>
    <row r="45581" s="689" customFormat="1" x14ac:dyDescent="0.2"/>
    <row r="45582" s="689" customFormat="1" x14ac:dyDescent="0.2"/>
    <row r="45583" s="689" customFormat="1" x14ac:dyDescent="0.2"/>
    <row r="45584" s="689" customFormat="1" x14ac:dyDescent="0.2"/>
    <row r="45585" s="689" customFormat="1" x14ac:dyDescent="0.2"/>
    <row r="45586" s="689" customFormat="1" x14ac:dyDescent="0.2"/>
    <row r="45587" s="689" customFormat="1" x14ac:dyDescent="0.2"/>
    <row r="45588" s="689" customFormat="1" x14ac:dyDescent="0.2"/>
    <row r="45589" s="689" customFormat="1" x14ac:dyDescent="0.2"/>
    <row r="45590" s="689" customFormat="1" x14ac:dyDescent="0.2"/>
    <row r="45591" s="689" customFormat="1" x14ac:dyDescent="0.2"/>
    <row r="45592" s="689" customFormat="1" x14ac:dyDescent="0.2"/>
    <row r="45593" s="689" customFormat="1" x14ac:dyDescent="0.2"/>
    <row r="45594" s="689" customFormat="1" x14ac:dyDescent="0.2"/>
    <row r="45595" s="689" customFormat="1" x14ac:dyDescent="0.2"/>
    <row r="45596" s="689" customFormat="1" x14ac:dyDescent="0.2"/>
    <row r="45597" s="689" customFormat="1" x14ac:dyDescent="0.2"/>
    <row r="45598" s="689" customFormat="1" x14ac:dyDescent="0.2"/>
    <row r="45599" s="689" customFormat="1" x14ac:dyDescent="0.2"/>
    <row r="45600" s="689" customFormat="1" x14ac:dyDescent="0.2"/>
    <row r="45601" s="689" customFormat="1" x14ac:dyDescent="0.2"/>
    <row r="45602" s="689" customFormat="1" x14ac:dyDescent="0.2"/>
    <row r="45603" s="689" customFormat="1" x14ac:dyDescent="0.2"/>
    <row r="45604" s="689" customFormat="1" x14ac:dyDescent="0.2"/>
    <row r="45605" s="689" customFormat="1" x14ac:dyDescent="0.2"/>
    <row r="45606" s="689" customFormat="1" x14ac:dyDescent="0.2"/>
    <row r="45607" s="689" customFormat="1" x14ac:dyDescent="0.2"/>
    <row r="45608" s="689" customFormat="1" x14ac:dyDescent="0.2"/>
    <row r="45609" s="689" customFormat="1" x14ac:dyDescent="0.2"/>
    <row r="45610" s="689" customFormat="1" x14ac:dyDescent="0.2"/>
    <row r="45611" s="689" customFormat="1" x14ac:dyDescent="0.2"/>
    <row r="45612" s="689" customFormat="1" x14ac:dyDescent="0.2"/>
    <row r="45613" s="689" customFormat="1" x14ac:dyDescent="0.2"/>
    <row r="45614" s="689" customFormat="1" x14ac:dyDescent="0.2"/>
    <row r="45615" s="689" customFormat="1" x14ac:dyDescent="0.2"/>
    <row r="45616" s="689" customFormat="1" x14ac:dyDescent="0.2"/>
    <row r="45617" s="689" customFormat="1" x14ac:dyDescent="0.2"/>
    <row r="45618" s="689" customFormat="1" x14ac:dyDescent="0.2"/>
    <row r="45619" s="689" customFormat="1" x14ac:dyDescent="0.2"/>
    <row r="45620" s="689" customFormat="1" x14ac:dyDescent="0.2"/>
    <row r="45621" s="689" customFormat="1" x14ac:dyDescent="0.2"/>
    <row r="45622" s="689" customFormat="1" x14ac:dyDescent="0.2"/>
    <row r="45623" s="689" customFormat="1" x14ac:dyDescent="0.2"/>
    <row r="45624" s="689" customFormat="1" x14ac:dyDescent="0.2"/>
    <row r="45625" s="689" customFormat="1" x14ac:dyDescent="0.2"/>
    <row r="45626" s="689" customFormat="1" x14ac:dyDescent="0.2"/>
    <row r="45627" s="689" customFormat="1" x14ac:dyDescent="0.2"/>
    <row r="45628" s="689" customFormat="1" x14ac:dyDescent="0.2"/>
    <row r="45629" s="689" customFormat="1" x14ac:dyDescent="0.2"/>
    <row r="45630" s="689" customFormat="1" x14ac:dyDescent="0.2"/>
    <row r="45631" s="689" customFormat="1" x14ac:dyDescent="0.2"/>
    <row r="45632" s="689" customFormat="1" x14ac:dyDescent="0.2"/>
    <row r="45633" s="689" customFormat="1" x14ac:dyDescent="0.2"/>
    <row r="45634" s="689" customFormat="1" x14ac:dyDescent="0.2"/>
    <row r="45635" s="689" customFormat="1" x14ac:dyDescent="0.2"/>
    <row r="45636" s="689" customFormat="1" x14ac:dyDescent="0.2"/>
    <row r="45637" s="689" customFormat="1" x14ac:dyDescent="0.2"/>
    <row r="45638" s="689" customFormat="1" x14ac:dyDescent="0.2"/>
    <row r="45639" s="689" customFormat="1" x14ac:dyDescent="0.2"/>
    <row r="45640" s="689" customFormat="1" x14ac:dyDescent="0.2"/>
    <row r="45641" s="689" customFormat="1" x14ac:dyDescent="0.2"/>
    <row r="45642" s="689" customFormat="1" x14ac:dyDescent="0.2"/>
    <row r="45643" s="689" customFormat="1" x14ac:dyDescent="0.2"/>
    <row r="45644" s="689" customFormat="1" x14ac:dyDescent="0.2"/>
    <row r="45645" s="689" customFormat="1" x14ac:dyDescent="0.2"/>
    <row r="45646" s="689" customFormat="1" x14ac:dyDescent="0.2"/>
    <row r="45647" s="689" customFormat="1" x14ac:dyDescent="0.2"/>
    <row r="45648" s="689" customFormat="1" x14ac:dyDescent="0.2"/>
    <row r="45649" s="689" customFormat="1" x14ac:dyDescent="0.2"/>
    <row r="45650" s="689" customFormat="1" x14ac:dyDescent="0.2"/>
    <row r="45651" s="689" customFormat="1" x14ac:dyDescent="0.2"/>
    <row r="45652" s="689" customFormat="1" x14ac:dyDescent="0.2"/>
    <row r="45653" s="689" customFormat="1" x14ac:dyDescent="0.2"/>
    <row r="45654" s="689" customFormat="1" x14ac:dyDescent="0.2"/>
    <row r="45655" s="689" customFormat="1" x14ac:dyDescent="0.2"/>
    <row r="45656" s="689" customFormat="1" x14ac:dyDescent="0.2"/>
    <row r="45657" s="689" customFormat="1" x14ac:dyDescent="0.2"/>
    <row r="45658" s="689" customFormat="1" x14ac:dyDescent="0.2"/>
    <row r="45659" s="689" customFormat="1" x14ac:dyDescent="0.2"/>
    <row r="45660" s="689" customFormat="1" x14ac:dyDescent="0.2"/>
    <row r="45661" s="689" customFormat="1" x14ac:dyDescent="0.2"/>
    <row r="45662" s="689" customFormat="1" x14ac:dyDescent="0.2"/>
    <row r="45663" s="689" customFormat="1" x14ac:dyDescent="0.2"/>
    <row r="45664" s="689" customFormat="1" x14ac:dyDescent="0.2"/>
    <row r="45665" s="689" customFormat="1" x14ac:dyDescent="0.2"/>
    <row r="45666" s="689" customFormat="1" x14ac:dyDescent="0.2"/>
    <row r="45667" s="689" customFormat="1" x14ac:dyDescent="0.2"/>
    <row r="45668" s="689" customFormat="1" x14ac:dyDescent="0.2"/>
    <row r="45669" s="689" customFormat="1" x14ac:dyDescent="0.2"/>
    <row r="45670" s="689" customFormat="1" x14ac:dyDescent="0.2"/>
    <row r="45671" s="689" customFormat="1" x14ac:dyDescent="0.2"/>
    <row r="45672" s="689" customFormat="1" x14ac:dyDescent="0.2"/>
    <row r="45673" s="689" customFormat="1" x14ac:dyDescent="0.2"/>
    <row r="45674" s="689" customFormat="1" x14ac:dyDescent="0.2"/>
    <row r="45675" s="689" customFormat="1" x14ac:dyDescent="0.2"/>
    <row r="45676" s="689" customFormat="1" x14ac:dyDescent="0.2"/>
    <row r="45677" s="689" customFormat="1" x14ac:dyDescent="0.2"/>
    <row r="45678" s="689" customFormat="1" x14ac:dyDescent="0.2"/>
    <row r="45679" s="689" customFormat="1" x14ac:dyDescent="0.2"/>
    <row r="45680" s="689" customFormat="1" x14ac:dyDescent="0.2"/>
    <row r="45681" s="689" customFormat="1" x14ac:dyDescent="0.2"/>
    <row r="45682" s="689" customFormat="1" x14ac:dyDescent="0.2"/>
    <row r="45683" s="689" customFormat="1" x14ac:dyDescent="0.2"/>
    <row r="45684" s="689" customFormat="1" x14ac:dyDescent="0.2"/>
    <row r="45685" s="689" customFormat="1" x14ac:dyDescent="0.2"/>
    <row r="45686" s="689" customFormat="1" x14ac:dyDescent="0.2"/>
    <row r="45687" s="689" customFormat="1" x14ac:dyDescent="0.2"/>
    <row r="45688" s="689" customFormat="1" x14ac:dyDescent="0.2"/>
    <row r="45689" s="689" customFormat="1" x14ac:dyDescent="0.2"/>
    <row r="45690" s="689" customFormat="1" x14ac:dyDescent="0.2"/>
    <row r="45691" s="689" customFormat="1" x14ac:dyDescent="0.2"/>
    <row r="45692" s="689" customFormat="1" x14ac:dyDescent="0.2"/>
    <row r="45693" s="689" customFormat="1" x14ac:dyDescent="0.2"/>
    <row r="45694" s="689" customFormat="1" x14ac:dyDescent="0.2"/>
    <row r="45695" s="689" customFormat="1" x14ac:dyDescent="0.2"/>
    <row r="45696" s="689" customFormat="1" x14ac:dyDescent="0.2"/>
    <row r="45697" s="689" customFormat="1" x14ac:dyDescent="0.2"/>
    <row r="45698" s="689" customFormat="1" x14ac:dyDescent="0.2"/>
    <row r="45699" s="689" customFormat="1" x14ac:dyDescent="0.2"/>
    <row r="45700" s="689" customFormat="1" x14ac:dyDescent="0.2"/>
    <row r="45701" s="689" customFormat="1" x14ac:dyDescent="0.2"/>
    <row r="45702" s="689" customFormat="1" x14ac:dyDescent="0.2"/>
    <row r="45703" s="689" customFormat="1" x14ac:dyDescent="0.2"/>
    <row r="45704" s="689" customFormat="1" x14ac:dyDescent="0.2"/>
    <row r="45705" s="689" customFormat="1" x14ac:dyDescent="0.2"/>
    <row r="45706" s="689" customFormat="1" x14ac:dyDescent="0.2"/>
    <row r="45707" s="689" customFormat="1" x14ac:dyDescent="0.2"/>
    <row r="45708" s="689" customFormat="1" x14ac:dyDescent="0.2"/>
    <row r="45709" s="689" customFormat="1" x14ac:dyDescent="0.2"/>
    <row r="45710" s="689" customFormat="1" x14ac:dyDescent="0.2"/>
    <row r="45711" s="689" customFormat="1" x14ac:dyDescent="0.2"/>
    <row r="45712" s="689" customFormat="1" x14ac:dyDescent="0.2"/>
    <row r="45713" s="689" customFormat="1" x14ac:dyDescent="0.2"/>
    <row r="45714" s="689" customFormat="1" x14ac:dyDescent="0.2"/>
    <row r="45715" s="689" customFormat="1" x14ac:dyDescent="0.2"/>
    <row r="45716" s="689" customFormat="1" x14ac:dyDescent="0.2"/>
    <row r="45717" s="689" customFormat="1" x14ac:dyDescent="0.2"/>
    <row r="45718" s="689" customFormat="1" x14ac:dyDescent="0.2"/>
    <row r="45719" s="689" customFormat="1" x14ac:dyDescent="0.2"/>
    <row r="45720" s="689" customFormat="1" x14ac:dyDescent="0.2"/>
    <row r="45721" s="689" customFormat="1" x14ac:dyDescent="0.2"/>
    <row r="45722" s="689" customFormat="1" x14ac:dyDescent="0.2"/>
    <row r="45723" s="689" customFormat="1" x14ac:dyDescent="0.2"/>
    <row r="45724" s="689" customFormat="1" x14ac:dyDescent="0.2"/>
    <row r="45725" s="689" customFormat="1" x14ac:dyDescent="0.2"/>
    <row r="45726" s="689" customFormat="1" x14ac:dyDescent="0.2"/>
    <row r="45727" s="689" customFormat="1" x14ac:dyDescent="0.2"/>
    <row r="45728" s="689" customFormat="1" x14ac:dyDescent="0.2"/>
    <row r="45729" s="689" customFormat="1" x14ac:dyDescent="0.2"/>
    <row r="45730" s="689" customFormat="1" x14ac:dyDescent="0.2"/>
    <row r="45731" s="689" customFormat="1" x14ac:dyDescent="0.2"/>
    <row r="45732" s="689" customFormat="1" x14ac:dyDescent="0.2"/>
    <row r="45733" s="689" customFormat="1" x14ac:dyDescent="0.2"/>
    <row r="45734" s="689" customFormat="1" x14ac:dyDescent="0.2"/>
    <row r="45735" s="689" customFormat="1" x14ac:dyDescent="0.2"/>
    <row r="45736" s="689" customFormat="1" x14ac:dyDescent="0.2"/>
    <row r="45737" s="689" customFormat="1" x14ac:dyDescent="0.2"/>
    <row r="45738" s="689" customFormat="1" x14ac:dyDescent="0.2"/>
    <row r="45739" s="689" customFormat="1" x14ac:dyDescent="0.2"/>
    <row r="45740" s="689" customFormat="1" x14ac:dyDescent="0.2"/>
    <row r="45741" s="689" customFormat="1" x14ac:dyDescent="0.2"/>
    <row r="45742" s="689" customFormat="1" x14ac:dyDescent="0.2"/>
    <row r="45743" s="689" customFormat="1" x14ac:dyDescent="0.2"/>
    <row r="45744" s="689" customFormat="1" x14ac:dyDescent="0.2"/>
    <row r="45745" s="689" customFormat="1" x14ac:dyDescent="0.2"/>
    <row r="45746" s="689" customFormat="1" x14ac:dyDescent="0.2"/>
    <row r="45747" s="689" customFormat="1" x14ac:dyDescent="0.2"/>
    <row r="45748" s="689" customFormat="1" x14ac:dyDescent="0.2"/>
    <row r="45749" s="689" customFormat="1" x14ac:dyDescent="0.2"/>
    <row r="45750" s="689" customFormat="1" x14ac:dyDescent="0.2"/>
    <row r="45751" s="689" customFormat="1" x14ac:dyDescent="0.2"/>
    <row r="45752" s="689" customFormat="1" x14ac:dyDescent="0.2"/>
    <row r="45753" s="689" customFormat="1" x14ac:dyDescent="0.2"/>
    <row r="45754" s="689" customFormat="1" x14ac:dyDescent="0.2"/>
    <row r="45755" s="689" customFormat="1" x14ac:dyDescent="0.2"/>
    <row r="45756" s="689" customFormat="1" x14ac:dyDescent="0.2"/>
    <row r="45757" s="689" customFormat="1" x14ac:dyDescent="0.2"/>
    <row r="45758" s="689" customFormat="1" x14ac:dyDescent="0.2"/>
    <row r="45759" s="689" customFormat="1" x14ac:dyDescent="0.2"/>
    <row r="45760" s="689" customFormat="1" x14ac:dyDescent="0.2"/>
    <row r="45761" s="689" customFormat="1" x14ac:dyDescent="0.2"/>
    <row r="45762" s="689" customFormat="1" x14ac:dyDescent="0.2"/>
    <row r="45763" s="689" customFormat="1" x14ac:dyDescent="0.2"/>
    <row r="45764" s="689" customFormat="1" x14ac:dyDescent="0.2"/>
    <row r="45765" s="689" customFormat="1" x14ac:dyDescent="0.2"/>
    <row r="45766" s="689" customFormat="1" x14ac:dyDescent="0.2"/>
    <row r="45767" s="689" customFormat="1" x14ac:dyDescent="0.2"/>
    <row r="45768" s="689" customFormat="1" x14ac:dyDescent="0.2"/>
    <row r="45769" s="689" customFormat="1" x14ac:dyDescent="0.2"/>
    <row r="45770" s="689" customFormat="1" x14ac:dyDescent="0.2"/>
    <row r="45771" s="689" customFormat="1" x14ac:dyDescent="0.2"/>
    <row r="45772" s="689" customFormat="1" x14ac:dyDescent="0.2"/>
    <row r="45773" s="689" customFormat="1" x14ac:dyDescent="0.2"/>
    <row r="45774" s="689" customFormat="1" x14ac:dyDescent="0.2"/>
    <row r="45775" s="689" customFormat="1" x14ac:dyDescent="0.2"/>
    <row r="45776" s="689" customFormat="1" x14ac:dyDescent="0.2"/>
    <row r="45777" s="689" customFormat="1" x14ac:dyDescent="0.2"/>
    <row r="45778" s="689" customFormat="1" x14ac:dyDescent="0.2"/>
    <row r="45779" s="689" customFormat="1" x14ac:dyDescent="0.2"/>
    <row r="45780" s="689" customFormat="1" x14ac:dyDescent="0.2"/>
    <row r="45781" s="689" customFormat="1" x14ac:dyDescent="0.2"/>
    <row r="45782" s="689" customFormat="1" x14ac:dyDescent="0.2"/>
    <row r="45783" s="689" customFormat="1" x14ac:dyDescent="0.2"/>
    <row r="45784" s="689" customFormat="1" x14ac:dyDescent="0.2"/>
    <row r="45785" s="689" customFormat="1" x14ac:dyDescent="0.2"/>
    <row r="45786" s="689" customFormat="1" x14ac:dyDescent="0.2"/>
    <row r="45787" s="689" customFormat="1" x14ac:dyDescent="0.2"/>
    <row r="45788" s="689" customFormat="1" x14ac:dyDescent="0.2"/>
    <row r="45789" s="689" customFormat="1" x14ac:dyDescent="0.2"/>
    <row r="45790" s="689" customFormat="1" x14ac:dyDescent="0.2"/>
    <row r="45791" s="689" customFormat="1" x14ac:dyDescent="0.2"/>
    <row r="45792" s="689" customFormat="1" x14ac:dyDescent="0.2"/>
    <row r="45793" s="689" customFormat="1" x14ac:dyDescent="0.2"/>
    <row r="45794" s="689" customFormat="1" x14ac:dyDescent="0.2"/>
    <row r="45795" s="689" customFormat="1" x14ac:dyDescent="0.2"/>
    <row r="45796" s="689" customFormat="1" x14ac:dyDescent="0.2"/>
    <row r="45797" s="689" customFormat="1" x14ac:dyDescent="0.2"/>
    <row r="45798" s="689" customFormat="1" x14ac:dyDescent="0.2"/>
    <row r="45799" s="689" customFormat="1" x14ac:dyDescent="0.2"/>
    <row r="45800" s="689" customFormat="1" x14ac:dyDescent="0.2"/>
    <row r="45801" s="689" customFormat="1" x14ac:dyDescent="0.2"/>
    <row r="45802" s="689" customFormat="1" x14ac:dyDescent="0.2"/>
    <row r="45803" s="689" customFormat="1" x14ac:dyDescent="0.2"/>
    <row r="45804" s="689" customFormat="1" x14ac:dyDescent="0.2"/>
    <row r="45805" s="689" customFormat="1" x14ac:dyDescent="0.2"/>
    <row r="45806" s="689" customFormat="1" x14ac:dyDescent="0.2"/>
    <row r="45807" s="689" customFormat="1" x14ac:dyDescent="0.2"/>
    <row r="45808" s="689" customFormat="1" x14ac:dyDescent="0.2"/>
    <row r="45809" s="689" customFormat="1" x14ac:dyDescent="0.2"/>
    <row r="45810" s="689" customFormat="1" x14ac:dyDescent="0.2"/>
    <row r="45811" s="689" customFormat="1" x14ac:dyDescent="0.2"/>
    <row r="45812" s="689" customFormat="1" x14ac:dyDescent="0.2"/>
    <row r="45813" s="689" customFormat="1" x14ac:dyDescent="0.2"/>
    <row r="45814" s="689" customFormat="1" x14ac:dyDescent="0.2"/>
    <row r="45815" s="689" customFormat="1" x14ac:dyDescent="0.2"/>
    <row r="45816" s="689" customFormat="1" x14ac:dyDescent="0.2"/>
    <row r="45817" s="689" customFormat="1" x14ac:dyDescent="0.2"/>
    <row r="45818" s="689" customFormat="1" x14ac:dyDescent="0.2"/>
    <row r="45819" s="689" customFormat="1" x14ac:dyDescent="0.2"/>
    <row r="45820" s="689" customFormat="1" x14ac:dyDescent="0.2"/>
    <row r="45821" s="689" customFormat="1" x14ac:dyDescent="0.2"/>
    <row r="45822" s="689" customFormat="1" x14ac:dyDescent="0.2"/>
    <row r="45823" s="689" customFormat="1" x14ac:dyDescent="0.2"/>
    <row r="45824" s="689" customFormat="1" x14ac:dyDescent="0.2"/>
    <row r="45825" s="689" customFormat="1" x14ac:dyDescent="0.2"/>
    <row r="45826" s="689" customFormat="1" x14ac:dyDescent="0.2"/>
    <row r="45827" s="689" customFormat="1" x14ac:dyDescent="0.2"/>
    <row r="45828" s="689" customFormat="1" x14ac:dyDescent="0.2"/>
    <row r="45829" s="689" customFormat="1" x14ac:dyDescent="0.2"/>
    <row r="45830" s="689" customFormat="1" x14ac:dyDescent="0.2"/>
    <row r="45831" s="689" customFormat="1" x14ac:dyDescent="0.2"/>
    <row r="45832" s="689" customFormat="1" x14ac:dyDescent="0.2"/>
    <row r="45833" s="689" customFormat="1" x14ac:dyDescent="0.2"/>
    <row r="45834" s="689" customFormat="1" x14ac:dyDescent="0.2"/>
    <row r="45835" s="689" customFormat="1" x14ac:dyDescent="0.2"/>
    <row r="45836" s="689" customFormat="1" x14ac:dyDescent="0.2"/>
    <row r="45837" s="689" customFormat="1" x14ac:dyDescent="0.2"/>
    <row r="45838" s="689" customFormat="1" x14ac:dyDescent="0.2"/>
    <row r="45839" s="689" customFormat="1" x14ac:dyDescent="0.2"/>
    <row r="45840" s="689" customFormat="1" x14ac:dyDescent="0.2"/>
    <row r="45841" s="689" customFormat="1" x14ac:dyDescent="0.2"/>
    <row r="45842" s="689" customFormat="1" x14ac:dyDescent="0.2"/>
    <row r="45843" s="689" customFormat="1" x14ac:dyDescent="0.2"/>
    <row r="45844" s="689" customFormat="1" x14ac:dyDescent="0.2"/>
    <row r="45845" s="689" customFormat="1" x14ac:dyDescent="0.2"/>
    <row r="45846" s="689" customFormat="1" x14ac:dyDescent="0.2"/>
    <row r="45847" s="689" customFormat="1" x14ac:dyDescent="0.2"/>
    <row r="45848" s="689" customFormat="1" x14ac:dyDescent="0.2"/>
    <row r="45849" s="689" customFormat="1" x14ac:dyDescent="0.2"/>
    <row r="45850" s="689" customFormat="1" x14ac:dyDescent="0.2"/>
    <row r="45851" s="689" customFormat="1" x14ac:dyDescent="0.2"/>
    <row r="45852" s="689" customFormat="1" x14ac:dyDescent="0.2"/>
    <row r="45853" s="689" customFormat="1" x14ac:dyDescent="0.2"/>
    <row r="45854" s="689" customFormat="1" x14ac:dyDescent="0.2"/>
    <row r="45855" s="689" customFormat="1" x14ac:dyDescent="0.2"/>
    <row r="45856" s="689" customFormat="1" x14ac:dyDescent="0.2"/>
    <row r="45857" s="689" customFormat="1" x14ac:dyDescent="0.2"/>
    <row r="45858" s="689" customFormat="1" x14ac:dyDescent="0.2"/>
    <row r="45859" s="689" customFormat="1" x14ac:dyDescent="0.2"/>
    <row r="45860" s="689" customFormat="1" x14ac:dyDescent="0.2"/>
    <row r="45861" s="689" customFormat="1" x14ac:dyDescent="0.2"/>
    <row r="45862" s="689" customFormat="1" x14ac:dyDescent="0.2"/>
    <row r="45863" s="689" customFormat="1" x14ac:dyDescent="0.2"/>
    <row r="45864" s="689" customFormat="1" x14ac:dyDescent="0.2"/>
    <row r="45865" s="689" customFormat="1" x14ac:dyDescent="0.2"/>
    <row r="45866" s="689" customFormat="1" x14ac:dyDescent="0.2"/>
    <row r="45867" s="689" customFormat="1" x14ac:dyDescent="0.2"/>
    <row r="45868" s="689" customFormat="1" x14ac:dyDescent="0.2"/>
    <row r="45869" s="689" customFormat="1" x14ac:dyDescent="0.2"/>
    <row r="45870" s="689" customFormat="1" x14ac:dyDescent="0.2"/>
    <row r="45871" s="689" customFormat="1" x14ac:dyDescent="0.2"/>
    <row r="45872" s="689" customFormat="1" x14ac:dyDescent="0.2"/>
    <row r="45873" s="689" customFormat="1" x14ac:dyDescent="0.2"/>
    <row r="45874" s="689" customFormat="1" x14ac:dyDescent="0.2"/>
    <row r="45875" s="689" customFormat="1" x14ac:dyDescent="0.2"/>
    <row r="45876" s="689" customFormat="1" x14ac:dyDescent="0.2"/>
    <row r="45877" s="689" customFormat="1" x14ac:dyDescent="0.2"/>
    <row r="45878" s="689" customFormat="1" x14ac:dyDescent="0.2"/>
    <row r="45879" s="689" customFormat="1" x14ac:dyDescent="0.2"/>
    <row r="45880" s="689" customFormat="1" x14ac:dyDescent="0.2"/>
    <row r="45881" s="689" customFormat="1" x14ac:dyDescent="0.2"/>
    <row r="45882" s="689" customFormat="1" x14ac:dyDescent="0.2"/>
    <row r="45883" s="689" customFormat="1" x14ac:dyDescent="0.2"/>
    <row r="45884" s="689" customFormat="1" x14ac:dyDescent="0.2"/>
    <row r="45885" s="689" customFormat="1" x14ac:dyDescent="0.2"/>
    <row r="45886" s="689" customFormat="1" x14ac:dyDescent="0.2"/>
    <row r="45887" s="689" customFormat="1" x14ac:dyDescent="0.2"/>
    <row r="45888" s="689" customFormat="1" x14ac:dyDescent="0.2"/>
    <row r="45889" s="689" customFormat="1" x14ac:dyDescent="0.2"/>
    <row r="45890" s="689" customFormat="1" x14ac:dyDescent="0.2"/>
    <row r="45891" s="689" customFormat="1" x14ac:dyDescent="0.2"/>
    <row r="45892" s="689" customFormat="1" x14ac:dyDescent="0.2"/>
    <row r="45893" s="689" customFormat="1" x14ac:dyDescent="0.2"/>
    <row r="45894" s="689" customFormat="1" x14ac:dyDescent="0.2"/>
    <row r="45895" s="689" customFormat="1" x14ac:dyDescent="0.2"/>
    <row r="45896" s="689" customFormat="1" x14ac:dyDescent="0.2"/>
    <row r="45897" s="689" customFormat="1" x14ac:dyDescent="0.2"/>
    <row r="45898" s="689" customFormat="1" x14ac:dyDescent="0.2"/>
    <row r="45899" s="689" customFormat="1" x14ac:dyDescent="0.2"/>
    <row r="45900" s="689" customFormat="1" x14ac:dyDescent="0.2"/>
    <row r="45901" s="689" customFormat="1" x14ac:dyDescent="0.2"/>
    <row r="45902" s="689" customFormat="1" x14ac:dyDescent="0.2"/>
    <row r="45903" s="689" customFormat="1" x14ac:dyDescent="0.2"/>
    <row r="45904" s="689" customFormat="1" x14ac:dyDescent="0.2"/>
    <row r="45905" s="689" customFormat="1" x14ac:dyDescent="0.2"/>
    <row r="45906" s="689" customFormat="1" x14ac:dyDescent="0.2"/>
    <row r="45907" s="689" customFormat="1" x14ac:dyDescent="0.2"/>
    <row r="45908" s="689" customFormat="1" x14ac:dyDescent="0.2"/>
    <row r="45909" s="689" customFormat="1" x14ac:dyDescent="0.2"/>
    <row r="45910" s="689" customFormat="1" x14ac:dyDescent="0.2"/>
    <row r="45911" s="689" customFormat="1" x14ac:dyDescent="0.2"/>
    <row r="45912" s="689" customFormat="1" x14ac:dyDescent="0.2"/>
    <row r="45913" s="689" customFormat="1" x14ac:dyDescent="0.2"/>
    <row r="45914" s="689" customFormat="1" x14ac:dyDescent="0.2"/>
    <row r="45915" s="689" customFormat="1" x14ac:dyDescent="0.2"/>
    <row r="45916" s="689" customFormat="1" x14ac:dyDescent="0.2"/>
    <row r="45917" s="689" customFormat="1" x14ac:dyDescent="0.2"/>
    <row r="45918" s="689" customFormat="1" x14ac:dyDescent="0.2"/>
    <row r="45919" s="689" customFormat="1" x14ac:dyDescent="0.2"/>
    <row r="45920" s="689" customFormat="1" x14ac:dyDescent="0.2"/>
    <row r="45921" s="689" customFormat="1" x14ac:dyDescent="0.2"/>
    <row r="45922" s="689" customFormat="1" x14ac:dyDescent="0.2"/>
    <row r="45923" s="689" customFormat="1" x14ac:dyDescent="0.2"/>
    <row r="45924" s="689" customFormat="1" x14ac:dyDescent="0.2"/>
    <row r="45925" s="689" customFormat="1" x14ac:dyDescent="0.2"/>
    <row r="45926" s="689" customFormat="1" x14ac:dyDescent="0.2"/>
    <row r="45927" s="689" customFormat="1" x14ac:dyDescent="0.2"/>
    <row r="45928" s="689" customFormat="1" x14ac:dyDescent="0.2"/>
    <row r="45929" s="689" customFormat="1" x14ac:dyDescent="0.2"/>
    <row r="45930" s="689" customFormat="1" x14ac:dyDescent="0.2"/>
    <row r="45931" s="689" customFormat="1" x14ac:dyDescent="0.2"/>
    <row r="45932" s="689" customFormat="1" x14ac:dyDescent="0.2"/>
    <row r="45933" s="689" customFormat="1" x14ac:dyDescent="0.2"/>
    <row r="45934" s="689" customFormat="1" x14ac:dyDescent="0.2"/>
    <row r="45935" s="689" customFormat="1" x14ac:dyDescent="0.2"/>
    <row r="45936" s="689" customFormat="1" x14ac:dyDescent="0.2"/>
    <row r="45937" s="689" customFormat="1" x14ac:dyDescent="0.2"/>
    <row r="45938" s="689" customFormat="1" x14ac:dyDescent="0.2"/>
    <row r="45939" s="689" customFormat="1" x14ac:dyDescent="0.2"/>
    <row r="45940" s="689" customFormat="1" x14ac:dyDescent="0.2"/>
    <row r="45941" s="689" customFormat="1" x14ac:dyDescent="0.2"/>
    <row r="45942" s="689" customFormat="1" x14ac:dyDescent="0.2"/>
    <row r="45943" s="689" customFormat="1" x14ac:dyDescent="0.2"/>
    <row r="45944" s="689" customFormat="1" x14ac:dyDescent="0.2"/>
    <row r="45945" s="689" customFormat="1" x14ac:dyDescent="0.2"/>
    <row r="45946" s="689" customFormat="1" x14ac:dyDescent="0.2"/>
    <row r="45947" s="689" customFormat="1" x14ac:dyDescent="0.2"/>
    <row r="45948" s="689" customFormat="1" x14ac:dyDescent="0.2"/>
    <row r="45949" s="689" customFormat="1" x14ac:dyDescent="0.2"/>
    <row r="45950" s="689" customFormat="1" x14ac:dyDescent="0.2"/>
    <row r="45951" s="689" customFormat="1" x14ac:dyDescent="0.2"/>
    <row r="45952" s="689" customFormat="1" x14ac:dyDescent="0.2"/>
    <row r="45953" s="689" customFormat="1" x14ac:dyDescent="0.2"/>
    <row r="45954" s="689" customFormat="1" x14ac:dyDescent="0.2"/>
    <row r="45955" s="689" customFormat="1" x14ac:dyDescent="0.2"/>
    <row r="45956" s="689" customFormat="1" x14ac:dyDescent="0.2"/>
    <row r="45957" s="689" customFormat="1" x14ac:dyDescent="0.2"/>
    <row r="45958" s="689" customFormat="1" x14ac:dyDescent="0.2"/>
    <row r="45959" s="689" customFormat="1" x14ac:dyDescent="0.2"/>
    <row r="45960" s="689" customFormat="1" x14ac:dyDescent="0.2"/>
    <row r="45961" s="689" customFormat="1" x14ac:dyDescent="0.2"/>
    <row r="45962" s="689" customFormat="1" x14ac:dyDescent="0.2"/>
    <row r="45963" s="689" customFormat="1" x14ac:dyDescent="0.2"/>
    <row r="45964" s="689" customFormat="1" x14ac:dyDescent="0.2"/>
    <row r="45965" s="689" customFormat="1" x14ac:dyDescent="0.2"/>
    <row r="45966" s="689" customFormat="1" x14ac:dyDescent="0.2"/>
    <row r="45967" s="689" customFormat="1" x14ac:dyDescent="0.2"/>
    <row r="45968" s="689" customFormat="1" x14ac:dyDescent="0.2"/>
    <row r="45969" s="689" customFormat="1" x14ac:dyDescent="0.2"/>
    <row r="45970" s="689" customFormat="1" x14ac:dyDescent="0.2"/>
    <row r="45971" s="689" customFormat="1" x14ac:dyDescent="0.2"/>
    <row r="45972" s="689" customFormat="1" x14ac:dyDescent="0.2"/>
    <row r="45973" s="689" customFormat="1" x14ac:dyDescent="0.2"/>
    <row r="45974" s="689" customFormat="1" x14ac:dyDescent="0.2"/>
    <row r="45975" s="689" customFormat="1" x14ac:dyDescent="0.2"/>
    <row r="45976" s="689" customFormat="1" x14ac:dyDescent="0.2"/>
    <row r="45977" s="689" customFormat="1" x14ac:dyDescent="0.2"/>
    <row r="45978" s="689" customFormat="1" x14ac:dyDescent="0.2"/>
    <row r="45979" s="689" customFormat="1" x14ac:dyDescent="0.2"/>
    <row r="45980" s="689" customFormat="1" x14ac:dyDescent="0.2"/>
    <row r="45981" s="689" customFormat="1" x14ac:dyDescent="0.2"/>
    <row r="45982" s="689" customFormat="1" x14ac:dyDescent="0.2"/>
    <row r="45983" s="689" customFormat="1" x14ac:dyDescent="0.2"/>
    <row r="45984" s="689" customFormat="1" x14ac:dyDescent="0.2"/>
    <row r="45985" s="689" customFormat="1" x14ac:dyDescent="0.2"/>
    <row r="45986" s="689" customFormat="1" x14ac:dyDescent="0.2"/>
    <row r="45987" s="689" customFormat="1" x14ac:dyDescent="0.2"/>
    <row r="45988" s="689" customFormat="1" x14ac:dyDescent="0.2"/>
    <row r="45989" s="689" customFormat="1" x14ac:dyDescent="0.2"/>
    <row r="45990" s="689" customFormat="1" x14ac:dyDescent="0.2"/>
    <row r="45991" s="689" customFormat="1" x14ac:dyDescent="0.2"/>
    <row r="45992" s="689" customFormat="1" x14ac:dyDescent="0.2"/>
    <row r="45993" s="689" customFormat="1" x14ac:dyDescent="0.2"/>
    <row r="45994" s="689" customFormat="1" x14ac:dyDescent="0.2"/>
    <row r="45995" s="689" customFormat="1" x14ac:dyDescent="0.2"/>
    <row r="45996" s="689" customFormat="1" x14ac:dyDescent="0.2"/>
    <row r="45997" s="689" customFormat="1" x14ac:dyDescent="0.2"/>
    <row r="45998" s="689" customFormat="1" x14ac:dyDescent="0.2"/>
    <row r="45999" s="689" customFormat="1" x14ac:dyDescent="0.2"/>
    <row r="46000" s="689" customFormat="1" x14ac:dyDescent="0.2"/>
    <row r="46001" s="689" customFormat="1" x14ac:dyDescent="0.2"/>
    <row r="46002" s="689" customFormat="1" x14ac:dyDescent="0.2"/>
    <row r="46003" s="689" customFormat="1" x14ac:dyDescent="0.2"/>
    <row r="46004" s="689" customFormat="1" x14ac:dyDescent="0.2"/>
    <row r="46005" s="689" customFormat="1" x14ac:dyDescent="0.2"/>
    <row r="46006" s="689" customFormat="1" x14ac:dyDescent="0.2"/>
    <row r="46007" s="689" customFormat="1" x14ac:dyDescent="0.2"/>
    <row r="46008" s="689" customFormat="1" x14ac:dyDescent="0.2"/>
    <row r="46009" s="689" customFormat="1" x14ac:dyDescent="0.2"/>
    <row r="46010" s="689" customFormat="1" x14ac:dyDescent="0.2"/>
    <row r="46011" s="689" customFormat="1" x14ac:dyDescent="0.2"/>
    <row r="46012" s="689" customFormat="1" x14ac:dyDescent="0.2"/>
    <row r="46013" s="689" customFormat="1" x14ac:dyDescent="0.2"/>
    <row r="46014" s="689" customFormat="1" x14ac:dyDescent="0.2"/>
    <row r="46015" s="689" customFormat="1" x14ac:dyDescent="0.2"/>
    <row r="46016" s="689" customFormat="1" x14ac:dyDescent="0.2"/>
    <row r="46017" s="689" customFormat="1" x14ac:dyDescent="0.2"/>
    <row r="46018" s="689" customFormat="1" x14ac:dyDescent="0.2"/>
    <row r="46019" s="689" customFormat="1" x14ac:dyDescent="0.2"/>
    <row r="46020" s="689" customFormat="1" x14ac:dyDescent="0.2"/>
    <row r="46021" s="689" customFormat="1" x14ac:dyDescent="0.2"/>
    <row r="46022" s="689" customFormat="1" x14ac:dyDescent="0.2"/>
    <row r="46023" s="689" customFormat="1" x14ac:dyDescent="0.2"/>
    <row r="46024" s="689" customFormat="1" x14ac:dyDescent="0.2"/>
    <row r="46025" s="689" customFormat="1" x14ac:dyDescent="0.2"/>
    <row r="46026" s="689" customFormat="1" x14ac:dyDescent="0.2"/>
    <row r="46027" s="689" customFormat="1" x14ac:dyDescent="0.2"/>
    <row r="46028" s="689" customFormat="1" x14ac:dyDescent="0.2"/>
    <row r="46029" s="689" customFormat="1" x14ac:dyDescent="0.2"/>
    <row r="46030" s="689" customFormat="1" x14ac:dyDescent="0.2"/>
    <row r="46031" s="689" customFormat="1" x14ac:dyDescent="0.2"/>
    <row r="46032" s="689" customFormat="1" x14ac:dyDescent="0.2"/>
    <row r="46033" s="689" customFormat="1" x14ac:dyDescent="0.2"/>
    <row r="46034" s="689" customFormat="1" x14ac:dyDescent="0.2"/>
    <row r="46035" s="689" customFormat="1" x14ac:dyDescent="0.2"/>
    <row r="46036" s="689" customFormat="1" x14ac:dyDescent="0.2"/>
    <row r="46037" s="689" customFormat="1" x14ac:dyDescent="0.2"/>
    <row r="46038" s="689" customFormat="1" x14ac:dyDescent="0.2"/>
    <row r="46039" s="689" customFormat="1" x14ac:dyDescent="0.2"/>
    <row r="46040" s="689" customFormat="1" x14ac:dyDescent="0.2"/>
    <row r="46041" s="689" customFormat="1" x14ac:dyDescent="0.2"/>
    <row r="46042" s="689" customFormat="1" x14ac:dyDescent="0.2"/>
    <row r="46043" s="689" customFormat="1" x14ac:dyDescent="0.2"/>
    <row r="46044" s="689" customFormat="1" x14ac:dyDescent="0.2"/>
    <row r="46045" s="689" customFormat="1" x14ac:dyDescent="0.2"/>
    <row r="46046" s="689" customFormat="1" x14ac:dyDescent="0.2"/>
    <row r="46047" s="689" customFormat="1" x14ac:dyDescent="0.2"/>
    <row r="46048" s="689" customFormat="1" x14ac:dyDescent="0.2"/>
    <row r="46049" s="689" customFormat="1" x14ac:dyDescent="0.2"/>
    <row r="46050" s="689" customFormat="1" x14ac:dyDescent="0.2"/>
    <row r="46051" s="689" customFormat="1" x14ac:dyDescent="0.2"/>
    <row r="46052" s="689" customFormat="1" x14ac:dyDescent="0.2"/>
    <row r="46053" s="689" customFormat="1" x14ac:dyDescent="0.2"/>
    <row r="46054" s="689" customFormat="1" x14ac:dyDescent="0.2"/>
    <row r="46055" s="689" customFormat="1" x14ac:dyDescent="0.2"/>
    <row r="46056" s="689" customFormat="1" x14ac:dyDescent="0.2"/>
    <row r="46057" s="689" customFormat="1" x14ac:dyDescent="0.2"/>
    <row r="46058" s="689" customFormat="1" x14ac:dyDescent="0.2"/>
    <row r="46059" s="689" customFormat="1" x14ac:dyDescent="0.2"/>
    <row r="46060" s="689" customFormat="1" x14ac:dyDescent="0.2"/>
    <row r="46061" s="689" customFormat="1" x14ac:dyDescent="0.2"/>
    <row r="46062" s="689" customFormat="1" x14ac:dyDescent="0.2"/>
    <row r="46063" s="689" customFormat="1" x14ac:dyDescent="0.2"/>
    <row r="46064" s="689" customFormat="1" x14ac:dyDescent="0.2"/>
    <row r="46065" s="689" customFormat="1" x14ac:dyDescent="0.2"/>
    <row r="46066" s="689" customFormat="1" x14ac:dyDescent="0.2"/>
    <row r="46067" s="689" customFormat="1" x14ac:dyDescent="0.2"/>
    <row r="46068" s="689" customFormat="1" x14ac:dyDescent="0.2"/>
    <row r="46069" s="689" customFormat="1" x14ac:dyDescent="0.2"/>
    <row r="46070" s="689" customFormat="1" x14ac:dyDescent="0.2"/>
    <row r="46071" s="689" customFormat="1" x14ac:dyDescent="0.2"/>
    <row r="46072" s="689" customFormat="1" x14ac:dyDescent="0.2"/>
    <row r="46073" s="689" customFormat="1" x14ac:dyDescent="0.2"/>
    <row r="46074" s="689" customFormat="1" x14ac:dyDescent="0.2"/>
    <row r="46075" s="689" customFormat="1" x14ac:dyDescent="0.2"/>
    <row r="46076" s="689" customFormat="1" x14ac:dyDescent="0.2"/>
    <row r="46077" s="689" customFormat="1" x14ac:dyDescent="0.2"/>
    <row r="46078" s="689" customFormat="1" x14ac:dyDescent="0.2"/>
    <row r="46079" s="689" customFormat="1" x14ac:dyDescent="0.2"/>
    <row r="46080" s="689" customFormat="1" x14ac:dyDescent="0.2"/>
    <row r="46081" s="689" customFormat="1" x14ac:dyDescent="0.2"/>
    <row r="46082" s="689" customFormat="1" x14ac:dyDescent="0.2"/>
    <row r="46083" s="689" customFormat="1" x14ac:dyDescent="0.2"/>
    <row r="46084" s="689" customFormat="1" x14ac:dyDescent="0.2"/>
    <row r="46085" s="689" customFormat="1" x14ac:dyDescent="0.2"/>
    <row r="46086" s="689" customFormat="1" x14ac:dyDescent="0.2"/>
    <row r="46087" s="689" customFormat="1" x14ac:dyDescent="0.2"/>
    <row r="46088" s="689" customFormat="1" x14ac:dyDescent="0.2"/>
    <row r="46089" s="689" customFormat="1" x14ac:dyDescent="0.2"/>
    <row r="46090" s="689" customFormat="1" x14ac:dyDescent="0.2"/>
    <row r="46091" s="689" customFormat="1" x14ac:dyDescent="0.2"/>
    <row r="46092" s="689" customFormat="1" x14ac:dyDescent="0.2"/>
    <row r="46093" s="689" customFormat="1" x14ac:dyDescent="0.2"/>
    <row r="46094" s="689" customFormat="1" x14ac:dyDescent="0.2"/>
    <row r="46095" s="689" customFormat="1" x14ac:dyDescent="0.2"/>
    <row r="46096" s="689" customFormat="1" x14ac:dyDescent="0.2"/>
    <row r="46097" s="689" customFormat="1" x14ac:dyDescent="0.2"/>
    <row r="46098" s="689" customFormat="1" x14ac:dyDescent="0.2"/>
    <row r="46099" s="689" customFormat="1" x14ac:dyDescent="0.2"/>
    <row r="46100" s="689" customFormat="1" x14ac:dyDescent="0.2"/>
    <row r="46101" s="689" customFormat="1" x14ac:dyDescent="0.2"/>
    <row r="46102" s="689" customFormat="1" x14ac:dyDescent="0.2"/>
    <row r="46103" s="689" customFormat="1" x14ac:dyDescent="0.2"/>
    <row r="46104" s="689" customFormat="1" x14ac:dyDescent="0.2"/>
    <row r="46105" s="689" customFormat="1" x14ac:dyDescent="0.2"/>
    <row r="46106" s="689" customFormat="1" x14ac:dyDescent="0.2"/>
    <row r="46107" s="689" customFormat="1" x14ac:dyDescent="0.2"/>
    <row r="46108" s="689" customFormat="1" x14ac:dyDescent="0.2"/>
    <row r="46109" s="689" customFormat="1" x14ac:dyDescent="0.2"/>
    <row r="46110" s="689" customFormat="1" x14ac:dyDescent="0.2"/>
    <row r="46111" s="689" customFormat="1" x14ac:dyDescent="0.2"/>
    <row r="46112" s="689" customFormat="1" x14ac:dyDescent="0.2"/>
    <row r="46113" s="689" customFormat="1" x14ac:dyDescent="0.2"/>
    <row r="46114" s="689" customFormat="1" x14ac:dyDescent="0.2"/>
    <row r="46115" s="689" customFormat="1" x14ac:dyDescent="0.2"/>
    <row r="46116" s="689" customFormat="1" x14ac:dyDescent="0.2"/>
    <row r="46117" s="689" customFormat="1" x14ac:dyDescent="0.2"/>
    <row r="46118" s="689" customFormat="1" x14ac:dyDescent="0.2"/>
    <row r="46119" s="689" customFormat="1" x14ac:dyDescent="0.2"/>
    <row r="46120" s="689" customFormat="1" x14ac:dyDescent="0.2"/>
    <row r="46121" s="689" customFormat="1" x14ac:dyDescent="0.2"/>
    <row r="46122" s="689" customFormat="1" x14ac:dyDescent="0.2"/>
    <row r="46123" s="689" customFormat="1" x14ac:dyDescent="0.2"/>
    <row r="46124" s="689" customFormat="1" x14ac:dyDescent="0.2"/>
    <row r="46125" s="689" customFormat="1" x14ac:dyDescent="0.2"/>
    <row r="46126" s="689" customFormat="1" x14ac:dyDescent="0.2"/>
    <row r="46127" s="689" customFormat="1" x14ac:dyDescent="0.2"/>
    <row r="46128" s="689" customFormat="1" x14ac:dyDescent="0.2"/>
    <row r="46129" s="689" customFormat="1" x14ac:dyDescent="0.2"/>
    <row r="46130" s="689" customFormat="1" x14ac:dyDescent="0.2"/>
    <row r="46131" s="689" customFormat="1" x14ac:dyDescent="0.2"/>
    <row r="46132" s="689" customFormat="1" x14ac:dyDescent="0.2"/>
    <row r="46133" s="689" customFormat="1" x14ac:dyDescent="0.2"/>
    <row r="46134" s="689" customFormat="1" x14ac:dyDescent="0.2"/>
    <row r="46135" s="689" customFormat="1" x14ac:dyDescent="0.2"/>
    <row r="46136" s="689" customFormat="1" x14ac:dyDescent="0.2"/>
    <row r="46137" s="689" customFormat="1" x14ac:dyDescent="0.2"/>
    <row r="46138" s="689" customFormat="1" x14ac:dyDescent="0.2"/>
    <row r="46139" s="689" customFormat="1" x14ac:dyDescent="0.2"/>
    <row r="46140" s="689" customFormat="1" x14ac:dyDescent="0.2"/>
    <row r="46141" s="689" customFormat="1" x14ac:dyDescent="0.2"/>
    <row r="46142" s="689" customFormat="1" x14ac:dyDescent="0.2"/>
    <row r="46143" s="689" customFormat="1" x14ac:dyDescent="0.2"/>
    <row r="46144" s="689" customFormat="1" x14ac:dyDescent="0.2"/>
    <row r="46145" s="689" customFormat="1" x14ac:dyDescent="0.2"/>
    <row r="46146" s="689" customFormat="1" x14ac:dyDescent="0.2"/>
    <row r="46147" s="689" customFormat="1" x14ac:dyDescent="0.2"/>
    <row r="46148" s="689" customFormat="1" x14ac:dyDescent="0.2"/>
    <row r="46149" s="689" customFormat="1" x14ac:dyDescent="0.2"/>
    <row r="46150" s="689" customFormat="1" x14ac:dyDescent="0.2"/>
    <row r="46151" s="689" customFormat="1" x14ac:dyDescent="0.2"/>
    <row r="46152" s="689" customFormat="1" x14ac:dyDescent="0.2"/>
    <row r="46153" s="689" customFormat="1" x14ac:dyDescent="0.2"/>
    <row r="46154" s="689" customFormat="1" x14ac:dyDescent="0.2"/>
    <row r="46155" s="689" customFormat="1" x14ac:dyDescent="0.2"/>
    <row r="46156" s="689" customFormat="1" x14ac:dyDescent="0.2"/>
    <row r="46157" s="689" customFormat="1" x14ac:dyDescent="0.2"/>
    <row r="46158" s="689" customFormat="1" x14ac:dyDescent="0.2"/>
    <row r="46159" s="689" customFormat="1" x14ac:dyDescent="0.2"/>
    <row r="46160" s="689" customFormat="1" x14ac:dyDescent="0.2"/>
    <row r="46161" s="689" customFormat="1" x14ac:dyDescent="0.2"/>
    <row r="46162" s="689" customFormat="1" x14ac:dyDescent="0.2"/>
    <row r="46163" s="689" customFormat="1" x14ac:dyDescent="0.2"/>
    <row r="46164" s="689" customFormat="1" x14ac:dyDescent="0.2"/>
    <row r="46165" s="689" customFormat="1" x14ac:dyDescent="0.2"/>
    <row r="46166" s="689" customFormat="1" x14ac:dyDescent="0.2"/>
    <row r="46167" s="689" customFormat="1" x14ac:dyDescent="0.2"/>
    <row r="46168" s="689" customFormat="1" x14ac:dyDescent="0.2"/>
    <row r="46169" s="689" customFormat="1" x14ac:dyDescent="0.2"/>
    <row r="46170" s="689" customFormat="1" x14ac:dyDescent="0.2"/>
    <row r="46171" s="689" customFormat="1" x14ac:dyDescent="0.2"/>
    <row r="46172" s="689" customFormat="1" x14ac:dyDescent="0.2"/>
    <row r="46173" s="689" customFormat="1" x14ac:dyDescent="0.2"/>
    <row r="46174" s="689" customFormat="1" x14ac:dyDescent="0.2"/>
    <row r="46175" s="689" customFormat="1" x14ac:dyDescent="0.2"/>
    <row r="46176" s="689" customFormat="1" x14ac:dyDescent="0.2"/>
    <row r="46177" s="689" customFormat="1" x14ac:dyDescent="0.2"/>
    <row r="46178" s="689" customFormat="1" x14ac:dyDescent="0.2"/>
    <row r="46179" s="689" customFormat="1" x14ac:dyDescent="0.2"/>
    <row r="46180" s="689" customFormat="1" x14ac:dyDescent="0.2"/>
    <row r="46181" s="689" customFormat="1" x14ac:dyDescent="0.2"/>
    <row r="46182" s="689" customFormat="1" x14ac:dyDescent="0.2"/>
    <row r="46183" s="689" customFormat="1" x14ac:dyDescent="0.2"/>
    <row r="46184" s="689" customFormat="1" x14ac:dyDescent="0.2"/>
    <row r="46185" s="689" customFormat="1" x14ac:dyDescent="0.2"/>
    <row r="46186" s="689" customFormat="1" x14ac:dyDescent="0.2"/>
    <row r="46187" s="689" customFormat="1" x14ac:dyDescent="0.2"/>
    <row r="46188" s="689" customFormat="1" x14ac:dyDescent="0.2"/>
    <row r="46189" s="689" customFormat="1" x14ac:dyDescent="0.2"/>
    <row r="46190" s="689" customFormat="1" x14ac:dyDescent="0.2"/>
    <row r="46191" s="689" customFormat="1" x14ac:dyDescent="0.2"/>
    <row r="46192" s="689" customFormat="1" x14ac:dyDescent="0.2"/>
    <row r="46193" s="689" customFormat="1" x14ac:dyDescent="0.2"/>
    <row r="46194" s="689" customFormat="1" x14ac:dyDescent="0.2"/>
    <row r="46195" s="689" customFormat="1" x14ac:dyDescent="0.2"/>
    <row r="46196" s="689" customFormat="1" x14ac:dyDescent="0.2"/>
    <row r="46197" s="689" customFormat="1" x14ac:dyDescent="0.2"/>
    <row r="46198" s="689" customFormat="1" x14ac:dyDescent="0.2"/>
    <row r="46199" s="689" customFormat="1" x14ac:dyDescent="0.2"/>
    <row r="46200" s="689" customFormat="1" x14ac:dyDescent="0.2"/>
    <row r="46201" s="689" customFormat="1" x14ac:dyDescent="0.2"/>
    <row r="46202" s="689" customFormat="1" x14ac:dyDescent="0.2"/>
    <row r="46203" s="689" customFormat="1" x14ac:dyDescent="0.2"/>
    <row r="46204" s="689" customFormat="1" x14ac:dyDescent="0.2"/>
    <row r="46205" s="689" customFormat="1" x14ac:dyDescent="0.2"/>
    <row r="46206" s="689" customFormat="1" x14ac:dyDescent="0.2"/>
    <row r="46207" s="689" customFormat="1" x14ac:dyDescent="0.2"/>
    <row r="46208" s="689" customFormat="1" x14ac:dyDescent="0.2"/>
    <row r="46209" s="689" customFormat="1" x14ac:dyDescent="0.2"/>
    <row r="46210" s="689" customFormat="1" x14ac:dyDescent="0.2"/>
    <row r="46211" s="689" customFormat="1" x14ac:dyDescent="0.2"/>
    <row r="46212" s="689" customFormat="1" x14ac:dyDescent="0.2"/>
    <row r="46213" s="689" customFormat="1" x14ac:dyDescent="0.2"/>
    <row r="46214" s="689" customFormat="1" x14ac:dyDescent="0.2"/>
    <row r="46215" s="689" customFormat="1" x14ac:dyDescent="0.2"/>
    <row r="46216" s="689" customFormat="1" x14ac:dyDescent="0.2"/>
    <row r="46217" s="689" customFormat="1" x14ac:dyDescent="0.2"/>
    <row r="46218" s="689" customFormat="1" x14ac:dyDescent="0.2"/>
    <row r="46219" s="689" customFormat="1" x14ac:dyDescent="0.2"/>
    <row r="46220" s="689" customFormat="1" x14ac:dyDescent="0.2"/>
    <row r="46221" s="689" customFormat="1" x14ac:dyDescent="0.2"/>
    <row r="46222" s="689" customFormat="1" x14ac:dyDescent="0.2"/>
    <row r="46223" s="689" customFormat="1" x14ac:dyDescent="0.2"/>
    <row r="46224" s="689" customFormat="1" x14ac:dyDescent="0.2"/>
    <row r="46225" s="689" customFormat="1" x14ac:dyDescent="0.2"/>
    <row r="46226" s="689" customFormat="1" x14ac:dyDescent="0.2"/>
    <row r="46227" s="689" customFormat="1" x14ac:dyDescent="0.2"/>
    <row r="46228" s="689" customFormat="1" x14ac:dyDescent="0.2"/>
    <row r="46229" s="689" customFormat="1" x14ac:dyDescent="0.2"/>
    <row r="46230" s="689" customFormat="1" x14ac:dyDescent="0.2"/>
    <row r="46231" s="689" customFormat="1" x14ac:dyDescent="0.2"/>
    <row r="46232" s="689" customFormat="1" x14ac:dyDescent="0.2"/>
    <row r="46233" s="689" customFormat="1" x14ac:dyDescent="0.2"/>
    <row r="46234" s="689" customFormat="1" x14ac:dyDescent="0.2"/>
    <row r="46235" s="689" customFormat="1" x14ac:dyDescent="0.2"/>
    <row r="46236" s="689" customFormat="1" x14ac:dyDescent="0.2"/>
    <row r="46237" s="689" customFormat="1" x14ac:dyDescent="0.2"/>
    <row r="46238" s="689" customFormat="1" x14ac:dyDescent="0.2"/>
    <row r="46239" s="689" customFormat="1" x14ac:dyDescent="0.2"/>
    <row r="46240" s="689" customFormat="1" x14ac:dyDescent="0.2"/>
    <row r="46241" s="689" customFormat="1" x14ac:dyDescent="0.2"/>
    <row r="46242" s="689" customFormat="1" x14ac:dyDescent="0.2"/>
    <row r="46243" s="689" customFormat="1" x14ac:dyDescent="0.2"/>
    <row r="46244" s="689" customFormat="1" x14ac:dyDescent="0.2"/>
    <row r="46245" s="689" customFormat="1" x14ac:dyDescent="0.2"/>
    <row r="46246" s="689" customFormat="1" x14ac:dyDescent="0.2"/>
    <row r="46247" s="689" customFormat="1" x14ac:dyDescent="0.2"/>
    <row r="46248" s="689" customFormat="1" x14ac:dyDescent="0.2"/>
    <row r="46249" s="689" customFormat="1" x14ac:dyDescent="0.2"/>
    <row r="46250" s="689" customFormat="1" x14ac:dyDescent="0.2"/>
    <row r="46251" s="689" customFormat="1" x14ac:dyDescent="0.2"/>
    <row r="46252" s="689" customFormat="1" x14ac:dyDescent="0.2"/>
    <row r="46253" s="689" customFormat="1" x14ac:dyDescent="0.2"/>
    <row r="46254" s="689" customFormat="1" x14ac:dyDescent="0.2"/>
    <row r="46255" s="689" customFormat="1" x14ac:dyDescent="0.2"/>
    <row r="46256" s="689" customFormat="1" x14ac:dyDescent="0.2"/>
    <row r="46257" s="689" customFormat="1" x14ac:dyDescent="0.2"/>
    <row r="46258" s="689" customFormat="1" x14ac:dyDescent="0.2"/>
    <row r="46259" s="689" customFormat="1" x14ac:dyDescent="0.2"/>
    <row r="46260" s="689" customFormat="1" x14ac:dyDescent="0.2"/>
    <row r="46261" s="689" customFormat="1" x14ac:dyDescent="0.2"/>
    <row r="46262" s="689" customFormat="1" x14ac:dyDescent="0.2"/>
    <row r="46263" s="689" customFormat="1" x14ac:dyDescent="0.2"/>
    <row r="46264" s="689" customFormat="1" x14ac:dyDescent="0.2"/>
    <row r="46265" s="689" customFormat="1" x14ac:dyDescent="0.2"/>
    <row r="46266" s="689" customFormat="1" x14ac:dyDescent="0.2"/>
    <row r="46267" s="689" customFormat="1" x14ac:dyDescent="0.2"/>
    <row r="46268" s="689" customFormat="1" x14ac:dyDescent="0.2"/>
    <row r="46269" s="689" customFormat="1" x14ac:dyDescent="0.2"/>
    <row r="46270" s="689" customFormat="1" x14ac:dyDescent="0.2"/>
    <row r="46271" s="689" customFormat="1" x14ac:dyDescent="0.2"/>
    <row r="46272" s="689" customFormat="1" x14ac:dyDescent="0.2"/>
    <row r="46273" s="689" customFormat="1" x14ac:dyDescent="0.2"/>
    <row r="46274" s="689" customFormat="1" x14ac:dyDescent="0.2"/>
    <row r="46275" s="689" customFormat="1" x14ac:dyDescent="0.2"/>
    <row r="46276" s="689" customFormat="1" x14ac:dyDescent="0.2"/>
    <row r="46277" s="689" customFormat="1" x14ac:dyDescent="0.2"/>
    <row r="46278" s="689" customFormat="1" x14ac:dyDescent="0.2"/>
    <row r="46279" s="689" customFormat="1" x14ac:dyDescent="0.2"/>
    <row r="46280" s="689" customFormat="1" x14ac:dyDescent="0.2"/>
    <row r="46281" s="689" customFormat="1" x14ac:dyDescent="0.2"/>
    <row r="46282" s="689" customFormat="1" x14ac:dyDescent="0.2"/>
    <row r="46283" s="689" customFormat="1" x14ac:dyDescent="0.2"/>
    <row r="46284" s="689" customFormat="1" x14ac:dyDescent="0.2"/>
    <row r="46285" s="689" customFormat="1" x14ac:dyDescent="0.2"/>
    <row r="46286" s="689" customFormat="1" x14ac:dyDescent="0.2"/>
    <row r="46287" s="689" customFormat="1" x14ac:dyDescent="0.2"/>
    <row r="46288" s="689" customFormat="1" x14ac:dyDescent="0.2"/>
    <row r="46289" s="689" customFormat="1" x14ac:dyDescent="0.2"/>
    <row r="46290" s="689" customFormat="1" x14ac:dyDescent="0.2"/>
    <row r="46291" s="689" customFormat="1" x14ac:dyDescent="0.2"/>
    <row r="46292" s="689" customFormat="1" x14ac:dyDescent="0.2"/>
    <row r="46293" s="689" customFormat="1" x14ac:dyDescent="0.2"/>
    <row r="46294" s="689" customFormat="1" x14ac:dyDescent="0.2"/>
    <row r="46295" s="689" customFormat="1" x14ac:dyDescent="0.2"/>
    <row r="46296" s="689" customFormat="1" x14ac:dyDescent="0.2"/>
    <row r="46297" s="689" customFormat="1" x14ac:dyDescent="0.2"/>
    <row r="46298" s="689" customFormat="1" x14ac:dyDescent="0.2"/>
    <row r="46299" s="689" customFormat="1" x14ac:dyDescent="0.2"/>
    <row r="46300" s="689" customFormat="1" x14ac:dyDescent="0.2"/>
    <row r="46301" s="689" customFormat="1" x14ac:dyDescent="0.2"/>
    <row r="46302" s="689" customFormat="1" x14ac:dyDescent="0.2"/>
    <row r="46303" s="689" customFormat="1" x14ac:dyDescent="0.2"/>
    <row r="46304" s="689" customFormat="1" x14ac:dyDescent="0.2"/>
    <row r="46305" s="689" customFormat="1" x14ac:dyDescent="0.2"/>
    <row r="46306" s="689" customFormat="1" x14ac:dyDescent="0.2"/>
    <row r="46307" s="689" customFormat="1" x14ac:dyDescent="0.2"/>
    <row r="46308" s="689" customFormat="1" x14ac:dyDescent="0.2"/>
    <row r="46309" s="689" customFormat="1" x14ac:dyDescent="0.2"/>
    <row r="46310" s="689" customFormat="1" x14ac:dyDescent="0.2"/>
    <row r="46311" s="689" customFormat="1" x14ac:dyDescent="0.2"/>
    <row r="46312" s="689" customFormat="1" x14ac:dyDescent="0.2"/>
    <row r="46313" s="689" customFormat="1" x14ac:dyDescent="0.2"/>
    <row r="46314" s="689" customFormat="1" x14ac:dyDescent="0.2"/>
    <row r="46315" s="689" customFormat="1" x14ac:dyDescent="0.2"/>
    <row r="46316" s="689" customFormat="1" x14ac:dyDescent="0.2"/>
    <row r="46317" s="689" customFormat="1" x14ac:dyDescent="0.2"/>
    <row r="46318" s="689" customFormat="1" x14ac:dyDescent="0.2"/>
    <row r="46319" s="689" customFormat="1" x14ac:dyDescent="0.2"/>
    <row r="46320" s="689" customFormat="1" x14ac:dyDescent="0.2"/>
    <row r="46321" s="689" customFormat="1" x14ac:dyDescent="0.2"/>
    <row r="46322" s="689" customFormat="1" x14ac:dyDescent="0.2"/>
    <row r="46323" s="689" customFormat="1" x14ac:dyDescent="0.2"/>
    <row r="46324" s="689" customFormat="1" x14ac:dyDescent="0.2"/>
    <row r="46325" s="689" customFormat="1" x14ac:dyDescent="0.2"/>
    <row r="46326" s="689" customFormat="1" x14ac:dyDescent="0.2"/>
    <row r="46327" s="689" customFormat="1" x14ac:dyDescent="0.2"/>
    <row r="46328" s="689" customFormat="1" x14ac:dyDescent="0.2"/>
    <row r="46329" s="689" customFormat="1" x14ac:dyDescent="0.2"/>
    <row r="46330" s="689" customFormat="1" x14ac:dyDescent="0.2"/>
    <row r="46331" s="689" customFormat="1" x14ac:dyDescent="0.2"/>
    <row r="46332" s="689" customFormat="1" x14ac:dyDescent="0.2"/>
    <row r="46333" s="689" customFormat="1" x14ac:dyDescent="0.2"/>
    <row r="46334" s="689" customFormat="1" x14ac:dyDescent="0.2"/>
    <row r="46335" s="689" customFormat="1" x14ac:dyDescent="0.2"/>
    <row r="46336" s="689" customFormat="1" x14ac:dyDescent="0.2"/>
    <row r="46337" s="689" customFormat="1" x14ac:dyDescent="0.2"/>
    <row r="46338" s="689" customFormat="1" x14ac:dyDescent="0.2"/>
    <row r="46339" s="689" customFormat="1" x14ac:dyDescent="0.2"/>
    <row r="46340" s="689" customFormat="1" x14ac:dyDescent="0.2"/>
    <row r="46341" s="689" customFormat="1" x14ac:dyDescent="0.2"/>
    <row r="46342" s="689" customFormat="1" x14ac:dyDescent="0.2"/>
    <row r="46343" s="689" customFormat="1" x14ac:dyDescent="0.2"/>
    <row r="46344" s="689" customFormat="1" x14ac:dyDescent="0.2"/>
    <row r="46345" s="689" customFormat="1" x14ac:dyDescent="0.2"/>
    <row r="46346" s="689" customFormat="1" x14ac:dyDescent="0.2"/>
    <row r="46347" s="689" customFormat="1" x14ac:dyDescent="0.2"/>
    <row r="46348" s="689" customFormat="1" x14ac:dyDescent="0.2"/>
    <row r="46349" s="689" customFormat="1" x14ac:dyDescent="0.2"/>
    <row r="46350" s="689" customFormat="1" x14ac:dyDescent="0.2"/>
    <row r="46351" s="689" customFormat="1" x14ac:dyDescent="0.2"/>
    <row r="46352" s="689" customFormat="1" x14ac:dyDescent="0.2"/>
    <row r="46353" s="689" customFormat="1" x14ac:dyDescent="0.2"/>
    <row r="46354" s="689" customFormat="1" x14ac:dyDescent="0.2"/>
    <row r="46355" s="689" customFormat="1" x14ac:dyDescent="0.2"/>
    <row r="46356" s="689" customFormat="1" x14ac:dyDescent="0.2"/>
    <row r="46357" s="689" customFormat="1" x14ac:dyDescent="0.2"/>
    <row r="46358" s="689" customFormat="1" x14ac:dyDescent="0.2"/>
    <row r="46359" s="689" customFormat="1" x14ac:dyDescent="0.2"/>
    <row r="46360" s="689" customFormat="1" x14ac:dyDescent="0.2"/>
    <row r="46361" s="689" customFormat="1" x14ac:dyDescent="0.2"/>
    <row r="46362" s="689" customFormat="1" x14ac:dyDescent="0.2"/>
    <row r="46363" s="689" customFormat="1" x14ac:dyDescent="0.2"/>
    <row r="46364" s="689" customFormat="1" x14ac:dyDescent="0.2"/>
    <row r="46365" s="689" customFormat="1" x14ac:dyDescent="0.2"/>
    <row r="46366" s="689" customFormat="1" x14ac:dyDescent="0.2"/>
    <row r="46367" s="689" customFormat="1" x14ac:dyDescent="0.2"/>
    <row r="46368" s="689" customFormat="1" x14ac:dyDescent="0.2"/>
    <row r="46369" s="689" customFormat="1" x14ac:dyDescent="0.2"/>
    <row r="46370" s="689" customFormat="1" x14ac:dyDescent="0.2"/>
    <row r="46371" s="689" customFormat="1" x14ac:dyDescent="0.2"/>
    <row r="46372" s="689" customFormat="1" x14ac:dyDescent="0.2"/>
    <row r="46373" s="689" customFormat="1" x14ac:dyDescent="0.2"/>
    <row r="46374" s="689" customFormat="1" x14ac:dyDescent="0.2"/>
    <row r="46375" s="689" customFormat="1" x14ac:dyDescent="0.2"/>
    <row r="46376" s="689" customFormat="1" x14ac:dyDescent="0.2"/>
    <row r="46377" s="689" customFormat="1" x14ac:dyDescent="0.2"/>
    <row r="46378" s="689" customFormat="1" x14ac:dyDescent="0.2"/>
    <row r="46379" s="689" customFormat="1" x14ac:dyDescent="0.2"/>
    <row r="46380" s="689" customFormat="1" x14ac:dyDescent="0.2"/>
    <row r="46381" s="689" customFormat="1" x14ac:dyDescent="0.2"/>
    <row r="46382" s="689" customFormat="1" x14ac:dyDescent="0.2"/>
    <row r="46383" s="689" customFormat="1" x14ac:dyDescent="0.2"/>
    <row r="46384" s="689" customFormat="1" x14ac:dyDescent="0.2"/>
    <row r="46385" s="689" customFormat="1" x14ac:dyDescent="0.2"/>
    <row r="46386" s="689" customFormat="1" x14ac:dyDescent="0.2"/>
    <row r="46387" s="689" customFormat="1" x14ac:dyDescent="0.2"/>
    <row r="46388" s="689" customFormat="1" x14ac:dyDescent="0.2"/>
    <row r="46389" s="689" customFormat="1" x14ac:dyDescent="0.2"/>
    <row r="46390" s="689" customFormat="1" x14ac:dyDescent="0.2"/>
    <row r="46391" s="689" customFormat="1" x14ac:dyDescent="0.2"/>
    <row r="46392" s="689" customFormat="1" x14ac:dyDescent="0.2"/>
    <row r="46393" s="689" customFormat="1" x14ac:dyDescent="0.2"/>
    <row r="46394" s="689" customFormat="1" x14ac:dyDescent="0.2"/>
    <row r="46395" s="689" customFormat="1" x14ac:dyDescent="0.2"/>
    <row r="46396" s="689" customFormat="1" x14ac:dyDescent="0.2"/>
    <row r="46397" s="689" customFormat="1" x14ac:dyDescent="0.2"/>
    <row r="46398" s="689" customFormat="1" x14ac:dyDescent="0.2"/>
    <row r="46399" s="689" customFormat="1" x14ac:dyDescent="0.2"/>
    <row r="46400" s="689" customFormat="1" x14ac:dyDescent="0.2"/>
    <row r="46401" s="689" customFormat="1" x14ac:dyDescent="0.2"/>
    <row r="46402" s="689" customFormat="1" x14ac:dyDescent="0.2"/>
    <row r="46403" s="689" customFormat="1" x14ac:dyDescent="0.2"/>
    <row r="46404" s="689" customFormat="1" x14ac:dyDescent="0.2"/>
    <row r="46405" s="689" customFormat="1" x14ac:dyDescent="0.2"/>
    <row r="46406" s="689" customFormat="1" x14ac:dyDescent="0.2"/>
    <row r="46407" s="689" customFormat="1" x14ac:dyDescent="0.2"/>
    <row r="46408" s="689" customFormat="1" x14ac:dyDescent="0.2"/>
    <row r="46409" s="689" customFormat="1" x14ac:dyDescent="0.2"/>
    <row r="46410" s="689" customFormat="1" x14ac:dyDescent="0.2"/>
    <row r="46411" s="689" customFormat="1" x14ac:dyDescent="0.2"/>
    <row r="46412" s="689" customFormat="1" x14ac:dyDescent="0.2"/>
    <row r="46413" s="689" customFormat="1" x14ac:dyDescent="0.2"/>
    <row r="46414" s="689" customFormat="1" x14ac:dyDescent="0.2"/>
    <row r="46415" s="689" customFormat="1" x14ac:dyDescent="0.2"/>
    <row r="46416" s="689" customFormat="1" x14ac:dyDescent="0.2"/>
    <row r="46417" s="689" customFormat="1" x14ac:dyDescent="0.2"/>
    <row r="46418" s="689" customFormat="1" x14ac:dyDescent="0.2"/>
    <row r="46419" s="689" customFormat="1" x14ac:dyDescent="0.2"/>
    <row r="46420" s="689" customFormat="1" x14ac:dyDescent="0.2"/>
    <row r="46421" s="689" customFormat="1" x14ac:dyDescent="0.2"/>
    <row r="46422" s="689" customFormat="1" x14ac:dyDescent="0.2"/>
    <row r="46423" s="689" customFormat="1" x14ac:dyDescent="0.2"/>
    <row r="46424" s="689" customFormat="1" x14ac:dyDescent="0.2"/>
    <row r="46425" s="689" customFormat="1" x14ac:dyDescent="0.2"/>
    <row r="46426" s="689" customFormat="1" x14ac:dyDescent="0.2"/>
    <row r="46427" s="689" customFormat="1" x14ac:dyDescent="0.2"/>
    <row r="46428" s="689" customFormat="1" x14ac:dyDescent="0.2"/>
    <row r="46429" s="689" customFormat="1" x14ac:dyDescent="0.2"/>
    <row r="46430" s="689" customFormat="1" x14ac:dyDescent="0.2"/>
    <row r="46431" s="689" customFormat="1" x14ac:dyDescent="0.2"/>
    <row r="46432" s="689" customFormat="1" x14ac:dyDescent="0.2"/>
    <row r="46433" s="689" customFormat="1" x14ac:dyDescent="0.2"/>
    <row r="46434" s="689" customFormat="1" x14ac:dyDescent="0.2"/>
    <row r="46435" s="689" customFormat="1" x14ac:dyDescent="0.2"/>
    <row r="46436" s="689" customFormat="1" x14ac:dyDescent="0.2"/>
    <row r="46437" s="689" customFormat="1" x14ac:dyDescent="0.2"/>
    <row r="46438" s="689" customFormat="1" x14ac:dyDescent="0.2"/>
    <row r="46439" s="689" customFormat="1" x14ac:dyDescent="0.2"/>
    <row r="46440" s="689" customFormat="1" x14ac:dyDescent="0.2"/>
    <row r="46441" s="689" customFormat="1" x14ac:dyDescent="0.2"/>
    <row r="46442" s="689" customFormat="1" x14ac:dyDescent="0.2"/>
    <row r="46443" s="689" customFormat="1" x14ac:dyDescent="0.2"/>
    <row r="46444" s="689" customFormat="1" x14ac:dyDescent="0.2"/>
    <row r="46445" s="689" customFormat="1" x14ac:dyDescent="0.2"/>
    <row r="46446" s="689" customFormat="1" x14ac:dyDescent="0.2"/>
    <row r="46447" s="689" customFormat="1" x14ac:dyDescent="0.2"/>
    <row r="46448" s="689" customFormat="1" x14ac:dyDescent="0.2"/>
    <row r="46449" s="689" customFormat="1" x14ac:dyDescent="0.2"/>
    <row r="46450" s="689" customFormat="1" x14ac:dyDescent="0.2"/>
    <row r="46451" s="689" customFormat="1" x14ac:dyDescent="0.2"/>
    <row r="46452" s="689" customFormat="1" x14ac:dyDescent="0.2"/>
    <row r="46453" s="689" customFormat="1" x14ac:dyDescent="0.2"/>
    <row r="46454" s="689" customFormat="1" x14ac:dyDescent="0.2"/>
    <row r="46455" s="689" customFormat="1" x14ac:dyDescent="0.2"/>
    <row r="46456" s="689" customFormat="1" x14ac:dyDescent="0.2"/>
    <row r="46457" s="689" customFormat="1" x14ac:dyDescent="0.2"/>
    <row r="46458" s="689" customFormat="1" x14ac:dyDescent="0.2"/>
    <row r="46459" s="689" customFormat="1" x14ac:dyDescent="0.2"/>
    <row r="46460" s="689" customFormat="1" x14ac:dyDescent="0.2"/>
    <row r="46461" s="689" customFormat="1" x14ac:dyDescent="0.2"/>
    <row r="46462" s="689" customFormat="1" x14ac:dyDescent="0.2"/>
    <row r="46463" s="689" customFormat="1" x14ac:dyDescent="0.2"/>
    <row r="46464" s="689" customFormat="1" x14ac:dyDescent="0.2"/>
    <row r="46465" s="689" customFormat="1" x14ac:dyDescent="0.2"/>
    <row r="46466" s="689" customFormat="1" x14ac:dyDescent="0.2"/>
    <row r="46467" s="689" customFormat="1" x14ac:dyDescent="0.2"/>
    <row r="46468" s="689" customFormat="1" x14ac:dyDescent="0.2"/>
    <row r="46469" s="689" customFormat="1" x14ac:dyDescent="0.2"/>
    <row r="46470" s="689" customFormat="1" x14ac:dyDescent="0.2"/>
    <row r="46471" s="689" customFormat="1" x14ac:dyDescent="0.2"/>
    <row r="46472" s="689" customFormat="1" x14ac:dyDescent="0.2"/>
    <row r="46473" s="689" customFormat="1" x14ac:dyDescent="0.2"/>
    <row r="46474" s="689" customFormat="1" x14ac:dyDescent="0.2"/>
    <row r="46475" s="689" customFormat="1" x14ac:dyDescent="0.2"/>
    <row r="46476" s="689" customFormat="1" x14ac:dyDescent="0.2"/>
    <row r="46477" s="689" customFormat="1" x14ac:dyDescent="0.2"/>
    <row r="46478" s="689" customFormat="1" x14ac:dyDescent="0.2"/>
    <row r="46479" s="689" customFormat="1" x14ac:dyDescent="0.2"/>
    <row r="46480" s="689" customFormat="1" x14ac:dyDescent="0.2"/>
    <row r="46481" s="689" customFormat="1" x14ac:dyDescent="0.2"/>
    <row r="46482" s="689" customFormat="1" x14ac:dyDescent="0.2"/>
    <row r="46483" s="689" customFormat="1" x14ac:dyDescent="0.2"/>
    <row r="46484" s="689" customFormat="1" x14ac:dyDescent="0.2"/>
    <row r="46485" s="689" customFormat="1" x14ac:dyDescent="0.2"/>
    <row r="46486" s="689" customFormat="1" x14ac:dyDescent="0.2"/>
    <row r="46487" s="689" customFormat="1" x14ac:dyDescent="0.2"/>
    <row r="46488" s="689" customFormat="1" x14ac:dyDescent="0.2"/>
    <row r="46489" s="689" customFormat="1" x14ac:dyDescent="0.2"/>
    <row r="46490" s="689" customFormat="1" x14ac:dyDescent="0.2"/>
    <row r="46491" s="689" customFormat="1" x14ac:dyDescent="0.2"/>
    <row r="46492" s="689" customFormat="1" x14ac:dyDescent="0.2"/>
    <row r="46493" s="689" customFormat="1" x14ac:dyDescent="0.2"/>
    <row r="46494" s="689" customFormat="1" x14ac:dyDescent="0.2"/>
    <row r="46495" s="689" customFormat="1" x14ac:dyDescent="0.2"/>
    <row r="46496" s="689" customFormat="1" x14ac:dyDescent="0.2"/>
    <row r="46497" s="689" customFormat="1" x14ac:dyDescent="0.2"/>
    <row r="46498" s="689" customFormat="1" x14ac:dyDescent="0.2"/>
    <row r="46499" s="689" customFormat="1" x14ac:dyDescent="0.2"/>
    <row r="46500" s="689" customFormat="1" x14ac:dyDescent="0.2"/>
    <row r="46501" s="689" customFormat="1" x14ac:dyDescent="0.2"/>
    <row r="46502" s="689" customFormat="1" x14ac:dyDescent="0.2"/>
    <row r="46503" s="689" customFormat="1" x14ac:dyDescent="0.2"/>
    <row r="46504" s="689" customFormat="1" x14ac:dyDescent="0.2"/>
    <row r="46505" s="689" customFormat="1" x14ac:dyDescent="0.2"/>
    <row r="46506" s="689" customFormat="1" x14ac:dyDescent="0.2"/>
    <row r="46507" s="689" customFormat="1" x14ac:dyDescent="0.2"/>
    <row r="46508" s="689" customFormat="1" x14ac:dyDescent="0.2"/>
    <row r="46509" s="689" customFormat="1" x14ac:dyDescent="0.2"/>
    <row r="46510" s="689" customFormat="1" x14ac:dyDescent="0.2"/>
    <row r="46511" s="689" customFormat="1" x14ac:dyDescent="0.2"/>
    <row r="46512" s="689" customFormat="1" x14ac:dyDescent="0.2"/>
    <row r="46513" s="689" customFormat="1" x14ac:dyDescent="0.2"/>
    <row r="46514" s="689" customFormat="1" x14ac:dyDescent="0.2"/>
    <row r="46515" s="689" customFormat="1" x14ac:dyDescent="0.2"/>
    <row r="46516" s="689" customFormat="1" x14ac:dyDescent="0.2"/>
    <row r="46517" s="689" customFormat="1" x14ac:dyDescent="0.2"/>
    <row r="46518" s="689" customFormat="1" x14ac:dyDescent="0.2"/>
    <row r="46519" s="689" customFormat="1" x14ac:dyDescent="0.2"/>
    <row r="46520" s="689" customFormat="1" x14ac:dyDescent="0.2"/>
    <row r="46521" s="689" customFormat="1" x14ac:dyDescent="0.2"/>
    <row r="46522" s="689" customFormat="1" x14ac:dyDescent="0.2"/>
    <row r="46523" s="689" customFormat="1" x14ac:dyDescent="0.2"/>
    <row r="46524" s="689" customFormat="1" x14ac:dyDescent="0.2"/>
    <row r="46525" s="689" customFormat="1" x14ac:dyDescent="0.2"/>
    <row r="46526" s="689" customFormat="1" x14ac:dyDescent="0.2"/>
    <row r="46527" s="689" customFormat="1" x14ac:dyDescent="0.2"/>
    <row r="46528" s="689" customFormat="1" x14ac:dyDescent="0.2"/>
    <row r="46529" s="689" customFormat="1" x14ac:dyDescent="0.2"/>
    <row r="46530" s="689" customFormat="1" x14ac:dyDescent="0.2"/>
    <row r="46531" s="689" customFormat="1" x14ac:dyDescent="0.2"/>
    <row r="46532" s="689" customFormat="1" x14ac:dyDescent="0.2"/>
    <row r="46533" s="689" customFormat="1" x14ac:dyDescent="0.2"/>
    <row r="46534" s="689" customFormat="1" x14ac:dyDescent="0.2"/>
    <row r="46535" s="689" customFormat="1" x14ac:dyDescent="0.2"/>
    <row r="46536" s="689" customFormat="1" x14ac:dyDescent="0.2"/>
    <row r="46537" s="689" customFormat="1" x14ac:dyDescent="0.2"/>
    <row r="46538" s="689" customFormat="1" x14ac:dyDescent="0.2"/>
    <row r="46539" s="689" customFormat="1" x14ac:dyDescent="0.2"/>
    <row r="46540" s="689" customFormat="1" x14ac:dyDescent="0.2"/>
    <row r="46541" s="689" customFormat="1" x14ac:dyDescent="0.2"/>
    <row r="46542" s="689" customFormat="1" x14ac:dyDescent="0.2"/>
    <row r="46543" s="689" customFormat="1" x14ac:dyDescent="0.2"/>
    <row r="46544" s="689" customFormat="1" x14ac:dyDescent="0.2"/>
    <row r="46545" s="689" customFormat="1" x14ac:dyDescent="0.2"/>
    <row r="46546" s="689" customFormat="1" x14ac:dyDescent="0.2"/>
    <row r="46547" s="689" customFormat="1" x14ac:dyDescent="0.2"/>
    <row r="46548" s="689" customFormat="1" x14ac:dyDescent="0.2"/>
    <row r="46549" s="689" customFormat="1" x14ac:dyDescent="0.2"/>
    <row r="46550" s="689" customFormat="1" x14ac:dyDescent="0.2"/>
    <row r="46551" s="689" customFormat="1" x14ac:dyDescent="0.2"/>
    <row r="46552" s="689" customFormat="1" x14ac:dyDescent="0.2"/>
    <row r="46553" s="689" customFormat="1" x14ac:dyDescent="0.2"/>
    <row r="46554" s="689" customFormat="1" x14ac:dyDescent="0.2"/>
    <row r="46555" s="689" customFormat="1" x14ac:dyDescent="0.2"/>
    <row r="46556" s="689" customFormat="1" x14ac:dyDescent="0.2"/>
    <row r="46557" s="689" customFormat="1" x14ac:dyDescent="0.2"/>
    <row r="46558" s="689" customFormat="1" x14ac:dyDescent="0.2"/>
    <row r="46559" s="689" customFormat="1" x14ac:dyDescent="0.2"/>
    <row r="46560" s="689" customFormat="1" x14ac:dyDescent="0.2"/>
    <row r="46561" s="689" customFormat="1" x14ac:dyDescent="0.2"/>
    <row r="46562" s="689" customFormat="1" x14ac:dyDescent="0.2"/>
    <row r="46563" s="689" customFormat="1" x14ac:dyDescent="0.2"/>
    <row r="46564" s="689" customFormat="1" x14ac:dyDescent="0.2"/>
    <row r="46565" s="689" customFormat="1" x14ac:dyDescent="0.2"/>
    <row r="46566" s="689" customFormat="1" x14ac:dyDescent="0.2"/>
    <row r="46567" s="689" customFormat="1" x14ac:dyDescent="0.2"/>
    <row r="46568" s="689" customFormat="1" x14ac:dyDescent="0.2"/>
    <row r="46569" s="689" customFormat="1" x14ac:dyDescent="0.2"/>
    <row r="46570" s="689" customFormat="1" x14ac:dyDescent="0.2"/>
    <row r="46571" s="689" customFormat="1" x14ac:dyDescent="0.2"/>
    <row r="46572" s="689" customFormat="1" x14ac:dyDescent="0.2"/>
    <row r="46573" s="689" customFormat="1" x14ac:dyDescent="0.2"/>
    <row r="46574" s="689" customFormat="1" x14ac:dyDescent="0.2"/>
    <row r="46575" s="689" customFormat="1" x14ac:dyDescent="0.2"/>
    <row r="46576" s="689" customFormat="1" x14ac:dyDescent="0.2"/>
    <row r="46577" s="689" customFormat="1" x14ac:dyDescent="0.2"/>
    <row r="46578" s="689" customFormat="1" x14ac:dyDescent="0.2"/>
    <row r="46579" s="689" customFormat="1" x14ac:dyDescent="0.2"/>
    <row r="46580" s="689" customFormat="1" x14ac:dyDescent="0.2"/>
    <row r="46581" s="689" customFormat="1" x14ac:dyDescent="0.2"/>
    <row r="46582" s="689" customFormat="1" x14ac:dyDescent="0.2"/>
    <row r="46583" s="689" customFormat="1" x14ac:dyDescent="0.2"/>
    <row r="46584" s="689" customFormat="1" x14ac:dyDescent="0.2"/>
    <row r="46585" s="689" customFormat="1" x14ac:dyDescent="0.2"/>
    <row r="46586" s="689" customFormat="1" x14ac:dyDescent="0.2"/>
    <row r="46587" s="689" customFormat="1" x14ac:dyDescent="0.2"/>
    <row r="46588" s="689" customFormat="1" x14ac:dyDescent="0.2"/>
    <row r="46589" s="689" customFormat="1" x14ac:dyDescent="0.2"/>
    <row r="46590" s="689" customFormat="1" x14ac:dyDescent="0.2"/>
    <row r="46591" s="689" customFormat="1" x14ac:dyDescent="0.2"/>
    <row r="46592" s="689" customFormat="1" x14ac:dyDescent="0.2"/>
    <row r="46593" s="689" customFormat="1" x14ac:dyDescent="0.2"/>
    <row r="46594" s="689" customFormat="1" x14ac:dyDescent="0.2"/>
    <row r="46595" s="689" customFormat="1" x14ac:dyDescent="0.2"/>
    <row r="46596" s="689" customFormat="1" x14ac:dyDescent="0.2"/>
    <row r="46597" s="689" customFormat="1" x14ac:dyDescent="0.2"/>
    <row r="46598" s="689" customFormat="1" x14ac:dyDescent="0.2"/>
    <row r="46599" s="689" customFormat="1" x14ac:dyDescent="0.2"/>
    <row r="46600" s="689" customFormat="1" x14ac:dyDescent="0.2"/>
    <row r="46601" s="689" customFormat="1" x14ac:dyDescent="0.2"/>
    <row r="46602" s="689" customFormat="1" x14ac:dyDescent="0.2"/>
    <row r="46603" s="689" customFormat="1" x14ac:dyDescent="0.2"/>
    <row r="46604" s="689" customFormat="1" x14ac:dyDescent="0.2"/>
    <row r="46605" s="689" customFormat="1" x14ac:dyDescent="0.2"/>
    <row r="46606" s="689" customFormat="1" x14ac:dyDescent="0.2"/>
    <row r="46607" s="689" customFormat="1" x14ac:dyDescent="0.2"/>
    <row r="46608" s="689" customFormat="1" x14ac:dyDescent="0.2"/>
    <row r="46609" s="689" customFormat="1" x14ac:dyDescent="0.2"/>
    <row r="46610" s="689" customFormat="1" x14ac:dyDescent="0.2"/>
    <row r="46611" s="689" customFormat="1" x14ac:dyDescent="0.2"/>
    <row r="46612" s="689" customFormat="1" x14ac:dyDescent="0.2"/>
    <row r="46613" s="689" customFormat="1" x14ac:dyDescent="0.2"/>
    <row r="46614" s="689" customFormat="1" x14ac:dyDescent="0.2"/>
    <row r="46615" s="689" customFormat="1" x14ac:dyDescent="0.2"/>
    <row r="46616" s="689" customFormat="1" x14ac:dyDescent="0.2"/>
    <row r="46617" s="689" customFormat="1" x14ac:dyDescent="0.2"/>
    <row r="46618" s="689" customFormat="1" x14ac:dyDescent="0.2"/>
    <row r="46619" s="689" customFormat="1" x14ac:dyDescent="0.2"/>
    <row r="46620" s="689" customFormat="1" x14ac:dyDescent="0.2"/>
    <row r="46621" s="689" customFormat="1" x14ac:dyDescent="0.2"/>
    <row r="46622" s="689" customFormat="1" x14ac:dyDescent="0.2"/>
    <row r="46623" s="689" customFormat="1" x14ac:dyDescent="0.2"/>
    <row r="46624" s="689" customFormat="1" x14ac:dyDescent="0.2"/>
    <row r="46625" s="689" customFormat="1" x14ac:dyDescent="0.2"/>
    <row r="46626" s="689" customFormat="1" x14ac:dyDescent="0.2"/>
    <row r="46627" s="689" customFormat="1" x14ac:dyDescent="0.2"/>
    <row r="46628" s="689" customFormat="1" x14ac:dyDescent="0.2"/>
    <row r="46629" s="689" customFormat="1" x14ac:dyDescent="0.2"/>
    <row r="46630" s="689" customFormat="1" x14ac:dyDescent="0.2"/>
    <row r="46631" s="689" customFormat="1" x14ac:dyDescent="0.2"/>
    <row r="46632" s="689" customFormat="1" x14ac:dyDescent="0.2"/>
    <row r="46633" s="689" customFormat="1" x14ac:dyDescent="0.2"/>
    <row r="46634" s="689" customFormat="1" x14ac:dyDescent="0.2"/>
    <row r="46635" s="689" customFormat="1" x14ac:dyDescent="0.2"/>
    <row r="46636" s="689" customFormat="1" x14ac:dyDescent="0.2"/>
    <row r="46637" s="689" customFormat="1" x14ac:dyDescent="0.2"/>
    <row r="46638" s="689" customFormat="1" x14ac:dyDescent="0.2"/>
    <row r="46639" s="689" customFormat="1" x14ac:dyDescent="0.2"/>
    <row r="46640" s="689" customFormat="1" x14ac:dyDescent="0.2"/>
    <row r="46641" s="689" customFormat="1" x14ac:dyDescent="0.2"/>
    <row r="46642" s="689" customFormat="1" x14ac:dyDescent="0.2"/>
    <row r="46643" s="689" customFormat="1" x14ac:dyDescent="0.2"/>
    <row r="46644" s="689" customFormat="1" x14ac:dyDescent="0.2"/>
    <row r="46645" s="689" customFormat="1" x14ac:dyDescent="0.2"/>
    <row r="46646" s="689" customFormat="1" x14ac:dyDescent="0.2"/>
    <row r="46647" s="689" customFormat="1" x14ac:dyDescent="0.2"/>
    <row r="46648" s="689" customFormat="1" x14ac:dyDescent="0.2"/>
    <row r="46649" s="689" customFormat="1" x14ac:dyDescent="0.2"/>
    <row r="46650" s="689" customFormat="1" x14ac:dyDescent="0.2"/>
    <row r="46651" s="689" customFormat="1" x14ac:dyDescent="0.2"/>
    <row r="46652" s="689" customFormat="1" x14ac:dyDescent="0.2"/>
    <row r="46653" s="689" customFormat="1" x14ac:dyDescent="0.2"/>
    <row r="46654" s="689" customFormat="1" x14ac:dyDescent="0.2"/>
    <row r="46655" s="689" customFormat="1" x14ac:dyDescent="0.2"/>
    <row r="46656" s="689" customFormat="1" x14ac:dyDescent="0.2"/>
    <row r="46657" s="689" customFormat="1" x14ac:dyDescent="0.2"/>
    <row r="46658" s="689" customFormat="1" x14ac:dyDescent="0.2"/>
    <row r="46659" s="689" customFormat="1" x14ac:dyDescent="0.2"/>
    <row r="46660" s="689" customFormat="1" x14ac:dyDescent="0.2"/>
    <row r="46661" s="689" customFormat="1" x14ac:dyDescent="0.2"/>
    <row r="46662" s="689" customFormat="1" x14ac:dyDescent="0.2"/>
    <row r="46663" s="689" customFormat="1" x14ac:dyDescent="0.2"/>
    <row r="46664" s="689" customFormat="1" x14ac:dyDescent="0.2"/>
    <row r="46665" s="689" customFormat="1" x14ac:dyDescent="0.2"/>
    <row r="46666" s="689" customFormat="1" x14ac:dyDescent="0.2"/>
    <row r="46667" s="689" customFormat="1" x14ac:dyDescent="0.2"/>
    <row r="46668" s="689" customFormat="1" x14ac:dyDescent="0.2"/>
    <row r="46669" s="689" customFormat="1" x14ac:dyDescent="0.2"/>
    <row r="46670" s="689" customFormat="1" x14ac:dyDescent="0.2"/>
    <row r="46671" s="689" customFormat="1" x14ac:dyDescent="0.2"/>
    <row r="46672" s="689" customFormat="1" x14ac:dyDescent="0.2"/>
    <row r="46673" s="689" customFormat="1" x14ac:dyDescent="0.2"/>
    <row r="46674" s="689" customFormat="1" x14ac:dyDescent="0.2"/>
    <row r="46675" s="689" customFormat="1" x14ac:dyDescent="0.2"/>
    <row r="46676" s="689" customFormat="1" x14ac:dyDescent="0.2"/>
    <row r="46677" s="689" customFormat="1" x14ac:dyDescent="0.2"/>
    <row r="46678" s="689" customFormat="1" x14ac:dyDescent="0.2"/>
    <row r="46679" s="689" customFormat="1" x14ac:dyDescent="0.2"/>
    <row r="46680" s="689" customFormat="1" x14ac:dyDescent="0.2"/>
    <row r="46681" s="689" customFormat="1" x14ac:dyDescent="0.2"/>
    <row r="46682" s="689" customFormat="1" x14ac:dyDescent="0.2"/>
    <row r="46683" s="689" customFormat="1" x14ac:dyDescent="0.2"/>
    <row r="46684" s="689" customFormat="1" x14ac:dyDescent="0.2"/>
    <row r="46685" s="689" customFormat="1" x14ac:dyDescent="0.2"/>
    <row r="46686" s="689" customFormat="1" x14ac:dyDescent="0.2"/>
    <row r="46687" s="689" customFormat="1" x14ac:dyDescent="0.2"/>
    <row r="46688" s="689" customFormat="1" x14ac:dyDescent="0.2"/>
    <row r="46689" s="689" customFormat="1" x14ac:dyDescent="0.2"/>
    <row r="46690" s="689" customFormat="1" x14ac:dyDescent="0.2"/>
    <row r="46691" s="689" customFormat="1" x14ac:dyDescent="0.2"/>
    <row r="46692" s="689" customFormat="1" x14ac:dyDescent="0.2"/>
    <row r="46693" s="689" customFormat="1" x14ac:dyDescent="0.2"/>
    <row r="46694" s="689" customFormat="1" x14ac:dyDescent="0.2"/>
    <row r="46695" s="689" customFormat="1" x14ac:dyDescent="0.2"/>
    <row r="46696" s="689" customFormat="1" x14ac:dyDescent="0.2"/>
    <row r="46697" s="689" customFormat="1" x14ac:dyDescent="0.2"/>
    <row r="46698" s="689" customFormat="1" x14ac:dyDescent="0.2"/>
    <row r="46699" s="689" customFormat="1" x14ac:dyDescent="0.2"/>
    <row r="46700" s="689" customFormat="1" x14ac:dyDescent="0.2"/>
    <row r="46701" s="689" customFormat="1" x14ac:dyDescent="0.2"/>
    <row r="46702" s="689" customFormat="1" x14ac:dyDescent="0.2"/>
    <row r="46703" s="689" customFormat="1" x14ac:dyDescent="0.2"/>
    <row r="46704" s="689" customFormat="1" x14ac:dyDescent="0.2"/>
    <row r="46705" s="689" customFormat="1" x14ac:dyDescent="0.2"/>
    <row r="46706" s="689" customFormat="1" x14ac:dyDescent="0.2"/>
    <row r="46707" s="689" customFormat="1" x14ac:dyDescent="0.2"/>
    <row r="46708" s="689" customFormat="1" x14ac:dyDescent="0.2"/>
    <row r="46709" s="689" customFormat="1" x14ac:dyDescent="0.2"/>
    <row r="46710" s="689" customFormat="1" x14ac:dyDescent="0.2"/>
    <row r="46711" s="689" customFormat="1" x14ac:dyDescent="0.2"/>
    <row r="46712" s="689" customFormat="1" x14ac:dyDescent="0.2"/>
    <row r="46713" s="689" customFormat="1" x14ac:dyDescent="0.2"/>
    <row r="46714" s="689" customFormat="1" x14ac:dyDescent="0.2"/>
    <row r="46715" s="689" customFormat="1" x14ac:dyDescent="0.2"/>
    <row r="46716" s="689" customFormat="1" x14ac:dyDescent="0.2"/>
    <row r="46717" s="689" customFormat="1" x14ac:dyDescent="0.2"/>
    <row r="46718" s="689" customFormat="1" x14ac:dyDescent="0.2"/>
    <row r="46719" s="689" customFormat="1" x14ac:dyDescent="0.2"/>
    <row r="46720" s="689" customFormat="1" x14ac:dyDescent="0.2"/>
    <row r="46721" s="689" customFormat="1" x14ac:dyDescent="0.2"/>
    <row r="46722" s="689" customFormat="1" x14ac:dyDescent="0.2"/>
    <row r="46723" s="689" customFormat="1" x14ac:dyDescent="0.2"/>
    <row r="46724" s="689" customFormat="1" x14ac:dyDescent="0.2"/>
    <row r="46725" s="689" customFormat="1" x14ac:dyDescent="0.2"/>
    <row r="46726" s="689" customFormat="1" x14ac:dyDescent="0.2"/>
    <row r="46727" s="689" customFormat="1" x14ac:dyDescent="0.2"/>
    <row r="46728" s="689" customFormat="1" x14ac:dyDescent="0.2"/>
    <row r="46729" s="689" customFormat="1" x14ac:dyDescent="0.2"/>
    <row r="46730" s="689" customFormat="1" x14ac:dyDescent="0.2"/>
    <row r="46731" s="689" customFormat="1" x14ac:dyDescent="0.2"/>
    <row r="46732" s="689" customFormat="1" x14ac:dyDescent="0.2"/>
    <row r="46733" s="689" customFormat="1" x14ac:dyDescent="0.2"/>
    <row r="46734" s="689" customFormat="1" x14ac:dyDescent="0.2"/>
    <row r="46735" s="689" customFormat="1" x14ac:dyDescent="0.2"/>
    <row r="46736" s="689" customFormat="1" x14ac:dyDescent="0.2"/>
    <row r="46737" s="689" customFormat="1" x14ac:dyDescent="0.2"/>
    <row r="46738" s="689" customFormat="1" x14ac:dyDescent="0.2"/>
    <row r="46739" s="689" customFormat="1" x14ac:dyDescent="0.2"/>
    <row r="46740" s="689" customFormat="1" x14ac:dyDescent="0.2"/>
    <row r="46741" s="689" customFormat="1" x14ac:dyDescent="0.2"/>
    <row r="46742" s="689" customFormat="1" x14ac:dyDescent="0.2"/>
    <row r="46743" s="689" customFormat="1" x14ac:dyDescent="0.2"/>
    <row r="46744" s="689" customFormat="1" x14ac:dyDescent="0.2"/>
    <row r="46745" s="689" customFormat="1" x14ac:dyDescent="0.2"/>
    <row r="46746" s="689" customFormat="1" x14ac:dyDescent="0.2"/>
    <row r="46747" s="689" customFormat="1" x14ac:dyDescent="0.2"/>
    <row r="46748" s="689" customFormat="1" x14ac:dyDescent="0.2"/>
    <row r="46749" s="689" customFormat="1" x14ac:dyDescent="0.2"/>
    <row r="46750" s="689" customFormat="1" x14ac:dyDescent="0.2"/>
    <row r="46751" s="689" customFormat="1" x14ac:dyDescent="0.2"/>
    <row r="46752" s="689" customFormat="1" x14ac:dyDescent="0.2"/>
    <row r="46753" s="689" customFormat="1" x14ac:dyDescent="0.2"/>
    <row r="46754" s="689" customFormat="1" x14ac:dyDescent="0.2"/>
    <row r="46755" s="689" customFormat="1" x14ac:dyDescent="0.2"/>
    <row r="46756" s="689" customFormat="1" x14ac:dyDescent="0.2"/>
    <row r="46757" s="689" customFormat="1" x14ac:dyDescent="0.2"/>
    <row r="46758" s="689" customFormat="1" x14ac:dyDescent="0.2"/>
    <row r="46759" s="689" customFormat="1" x14ac:dyDescent="0.2"/>
    <row r="46760" s="689" customFormat="1" x14ac:dyDescent="0.2"/>
    <row r="46761" s="689" customFormat="1" x14ac:dyDescent="0.2"/>
    <row r="46762" s="689" customFormat="1" x14ac:dyDescent="0.2"/>
    <row r="46763" s="689" customFormat="1" x14ac:dyDescent="0.2"/>
    <row r="46764" s="689" customFormat="1" x14ac:dyDescent="0.2"/>
    <row r="46765" s="689" customFormat="1" x14ac:dyDescent="0.2"/>
    <row r="46766" s="689" customFormat="1" x14ac:dyDescent="0.2"/>
    <row r="46767" s="689" customFormat="1" x14ac:dyDescent="0.2"/>
    <row r="46768" s="689" customFormat="1" x14ac:dyDescent="0.2"/>
    <row r="46769" s="689" customFormat="1" x14ac:dyDescent="0.2"/>
    <row r="46770" s="689" customFormat="1" x14ac:dyDescent="0.2"/>
    <row r="46771" s="689" customFormat="1" x14ac:dyDescent="0.2"/>
    <row r="46772" s="689" customFormat="1" x14ac:dyDescent="0.2"/>
    <row r="46773" s="689" customFormat="1" x14ac:dyDescent="0.2"/>
    <row r="46774" s="689" customFormat="1" x14ac:dyDescent="0.2"/>
    <row r="46775" s="689" customFormat="1" x14ac:dyDescent="0.2"/>
    <row r="46776" s="689" customFormat="1" x14ac:dyDescent="0.2"/>
    <row r="46777" s="689" customFormat="1" x14ac:dyDescent="0.2"/>
    <row r="46778" s="689" customFormat="1" x14ac:dyDescent="0.2"/>
    <row r="46779" s="689" customFormat="1" x14ac:dyDescent="0.2"/>
    <row r="46780" s="689" customFormat="1" x14ac:dyDescent="0.2"/>
    <row r="46781" s="689" customFormat="1" x14ac:dyDescent="0.2"/>
    <row r="46782" s="689" customFormat="1" x14ac:dyDescent="0.2"/>
    <row r="46783" s="689" customFormat="1" x14ac:dyDescent="0.2"/>
    <row r="46784" s="689" customFormat="1" x14ac:dyDescent="0.2"/>
    <row r="46785" s="689" customFormat="1" x14ac:dyDescent="0.2"/>
    <row r="46786" s="689" customFormat="1" x14ac:dyDescent="0.2"/>
    <row r="46787" s="689" customFormat="1" x14ac:dyDescent="0.2"/>
    <row r="46788" s="689" customFormat="1" x14ac:dyDescent="0.2"/>
    <row r="46789" s="689" customFormat="1" x14ac:dyDescent="0.2"/>
    <row r="46790" s="689" customFormat="1" x14ac:dyDescent="0.2"/>
    <row r="46791" s="689" customFormat="1" x14ac:dyDescent="0.2"/>
    <row r="46792" s="689" customFormat="1" x14ac:dyDescent="0.2"/>
    <row r="46793" s="689" customFormat="1" x14ac:dyDescent="0.2"/>
    <row r="46794" s="689" customFormat="1" x14ac:dyDescent="0.2"/>
    <row r="46795" s="689" customFormat="1" x14ac:dyDescent="0.2"/>
    <row r="46796" s="689" customFormat="1" x14ac:dyDescent="0.2"/>
    <row r="46797" s="689" customFormat="1" x14ac:dyDescent="0.2"/>
    <row r="46798" s="689" customFormat="1" x14ac:dyDescent="0.2"/>
    <row r="46799" s="689" customFormat="1" x14ac:dyDescent="0.2"/>
    <row r="46800" s="689" customFormat="1" x14ac:dyDescent="0.2"/>
    <row r="46801" s="689" customFormat="1" x14ac:dyDescent="0.2"/>
    <row r="46802" s="689" customFormat="1" x14ac:dyDescent="0.2"/>
    <row r="46803" s="689" customFormat="1" x14ac:dyDescent="0.2"/>
    <row r="46804" s="689" customFormat="1" x14ac:dyDescent="0.2"/>
    <row r="46805" s="689" customFormat="1" x14ac:dyDescent="0.2"/>
    <row r="46806" s="689" customFormat="1" x14ac:dyDescent="0.2"/>
    <row r="46807" s="689" customFormat="1" x14ac:dyDescent="0.2"/>
    <row r="46808" s="689" customFormat="1" x14ac:dyDescent="0.2"/>
    <row r="46809" s="689" customFormat="1" x14ac:dyDescent="0.2"/>
    <row r="46810" s="689" customFormat="1" x14ac:dyDescent="0.2"/>
    <row r="46811" s="689" customFormat="1" x14ac:dyDescent="0.2"/>
    <row r="46812" s="689" customFormat="1" x14ac:dyDescent="0.2"/>
    <row r="46813" s="689" customFormat="1" x14ac:dyDescent="0.2"/>
    <row r="46814" s="689" customFormat="1" x14ac:dyDescent="0.2"/>
    <row r="46815" s="689" customFormat="1" x14ac:dyDescent="0.2"/>
    <row r="46816" s="689" customFormat="1" x14ac:dyDescent="0.2"/>
    <row r="46817" s="689" customFormat="1" x14ac:dyDescent="0.2"/>
    <row r="46818" s="689" customFormat="1" x14ac:dyDescent="0.2"/>
    <row r="46819" s="689" customFormat="1" x14ac:dyDescent="0.2"/>
    <row r="46820" s="689" customFormat="1" x14ac:dyDescent="0.2"/>
    <row r="46821" s="689" customFormat="1" x14ac:dyDescent="0.2"/>
    <row r="46822" s="689" customFormat="1" x14ac:dyDescent="0.2"/>
    <row r="46823" s="689" customFormat="1" x14ac:dyDescent="0.2"/>
    <row r="46824" s="689" customFormat="1" x14ac:dyDescent="0.2"/>
    <row r="46825" s="689" customFormat="1" x14ac:dyDescent="0.2"/>
    <row r="46826" s="689" customFormat="1" x14ac:dyDescent="0.2"/>
    <row r="46827" s="689" customFormat="1" x14ac:dyDescent="0.2"/>
    <row r="46828" s="689" customFormat="1" x14ac:dyDescent="0.2"/>
    <row r="46829" s="689" customFormat="1" x14ac:dyDescent="0.2"/>
    <row r="46830" s="689" customFormat="1" x14ac:dyDescent="0.2"/>
    <row r="46831" s="689" customFormat="1" x14ac:dyDescent="0.2"/>
    <row r="46832" s="689" customFormat="1" x14ac:dyDescent="0.2"/>
    <row r="46833" s="689" customFormat="1" x14ac:dyDescent="0.2"/>
    <row r="46834" s="689" customFormat="1" x14ac:dyDescent="0.2"/>
    <row r="46835" s="689" customFormat="1" x14ac:dyDescent="0.2"/>
    <row r="46836" s="689" customFormat="1" x14ac:dyDescent="0.2"/>
    <row r="46837" s="689" customFormat="1" x14ac:dyDescent="0.2"/>
    <row r="46838" s="689" customFormat="1" x14ac:dyDescent="0.2"/>
    <row r="46839" s="689" customFormat="1" x14ac:dyDescent="0.2"/>
    <row r="46840" s="689" customFormat="1" x14ac:dyDescent="0.2"/>
    <row r="46841" s="689" customFormat="1" x14ac:dyDescent="0.2"/>
    <row r="46842" s="689" customFormat="1" x14ac:dyDescent="0.2"/>
    <row r="46843" s="689" customFormat="1" x14ac:dyDescent="0.2"/>
    <row r="46844" s="689" customFormat="1" x14ac:dyDescent="0.2"/>
    <row r="46845" s="689" customFormat="1" x14ac:dyDescent="0.2"/>
    <row r="46846" s="689" customFormat="1" x14ac:dyDescent="0.2"/>
    <row r="46847" s="689" customFormat="1" x14ac:dyDescent="0.2"/>
    <row r="46848" s="689" customFormat="1" x14ac:dyDescent="0.2"/>
    <row r="46849" s="689" customFormat="1" x14ac:dyDescent="0.2"/>
    <row r="46850" s="689" customFormat="1" x14ac:dyDescent="0.2"/>
    <row r="46851" s="689" customFormat="1" x14ac:dyDescent="0.2"/>
    <row r="46852" s="689" customFormat="1" x14ac:dyDescent="0.2"/>
    <row r="46853" s="689" customFormat="1" x14ac:dyDescent="0.2"/>
    <row r="46854" s="689" customFormat="1" x14ac:dyDescent="0.2"/>
    <row r="46855" s="689" customFormat="1" x14ac:dyDescent="0.2"/>
    <row r="46856" s="689" customFormat="1" x14ac:dyDescent="0.2"/>
    <row r="46857" s="689" customFormat="1" x14ac:dyDescent="0.2"/>
    <row r="46858" s="689" customFormat="1" x14ac:dyDescent="0.2"/>
    <row r="46859" s="689" customFormat="1" x14ac:dyDescent="0.2"/>
    <row r="46860" s="689" customFormat="1" x14ac:dyDescent="0.2"/>
    <row r="46861" s="689" customFormat="1" x14ac:dyDescent="0.2"/>
    <row r="46862" s="689" customFormat="1" x14ac:dyDescent="0.2"/>
    <row r="46863" s="689" customFormat="1" x14ac:dyDescent="0.2"/>
    <row r="46864" s="689" customFormat="1" x14ac:dyDescent="0.2"/>
    <row r="46865" s="689" customFormat="1" x14ac:dyDescent="0.2"/>
    <row r="46866" s="689" customFormat="1" x14ac:dyDescent="0.2"/>
    <row r="46867" s="689" customFormat="1" x14ac:dyDescent="0.2"/>
    <row r="46868" s="689" customFormat="1" x14ac:dyDescent="0.2"/>
    <row r="46869" s="689" customFormat="1" x14ac:dyDescent="0.2"/>
    <row r="46870" s="689" customFormat="1" x14ac:dyDescent="0.2"/>
    <row r="46871" s="689" customFormat="1" x14ac:dyDescent="0.2"/>
    <row r="46872" s="689" customFormat="1" x14ac:dyDescent="0.2"/>
    <row r="46873" s="689" customFormat="1" x14ac:dyDescent="0.2"/>
    <row r="46874" s="689" customFormat="1" x14ac:dyDescent="0.2"/>
    <row r="46875" s="689" customFormat="1" x14ac:dyDescent="0.2"/>
    <row r="46876" s="689" customFormat="1" x14ac:dyDescent="0.2"/>
    <row r="46877" s="689" customFormat="1" x14ac:dyDescent="0.2"/>
    <row r="46878" s="689" customFormat="1" x14ac:dyDescent="0.2"/>
    <row r="46879" s="689" customFormat="1" x14ac:dyDescent="0.2"/>
    <row r="46880" s="689" customFormat="1" x14ac:dyDescent="0.2"/>
    <row r="46881" s="689" customFormat="1" x14ac:dyDescent="0.2"/>
    <row r="46882" s="689" customFormat="1" x14ac:dyDescent="0.2"/>
    <row r="46883" s="689" customFormat="1" x14ac:dyDescent="0.2"/>
    <row r="46884" s="689" customFormat="1" x14ac:dyDescent="0.2"/>
    <row r="46885" s="689" customFormat="1" x14ac:dyDescent="0.2"/>
    <row r="46886" s="689" customFormat="1" x14ac:dyDescent="0.2"/>
    <row r="46887" s="689" customFormat="1" x14ac:dyDescent="0.2"/>
    <row r="46888" s="689" customFormat="1" x14ac:dyDescent="0.2"/>
    <row r="46889" s="689" customFormat="1" x14ac:dyDescent="0.2"/>
    <row r="46890" s="689" customFormat="1" x14ac:dyDescent="0.2"/>
    <row r="46891" s="689" customFormat="1" x14ac:dyDescent="0.2"/>
    <row r="46892" s="689" customFormat="1" x14ac:dyDescent="0.2"/>
    <row r="46893" s="689" customFormat="1" x14ac:dyDescent="0.2"/>
    <row r="46894" s="689" customFormat="1" x14ac:dyDescent="0.2"/>
    <row r="46895" s="689" customFormat="1" x14ac:dyDescent="0.2"/>
    <row r="46896" s="689" customFormat="1" x14ac:dyDescent="0.2"/>
    <row r="46897" s="689" customFormat="1" x14ac:dyDescent="0.2"/>
    <row r="46898" s="689" customFormat="1" x14ac:dyDescent="0.2"/>
    <row r="46899" s="689" customFormat="1" x14ac:dyDescent="0.2"/>
    <row r="46900" s="689" customFormat="1" x14ac:dyDescent="0.2"/>
    <row r="46901" s="689" customFormat="1" x14ac:dyDescent="0.2"/>
    <row r="46902" s="689" customFormat="1" x14ac:dyDescent="0.2"/>
    <row r="46903" s="689" customFormat="1" x14ac:dyDescent="0.2"/>
    <row r="46904" s="689" customFormat="1" x14ac:dyDescent="0.2"/>
    <row r="46905" s="689" customFormat="1" x14ac:dyDescent="0.2"/>
    <row r="46906" s="689" customFormat="1" x14ac:dyDescent="0.2"/>
    <row r="46907" s="689" customFormat="1" x14ac:dyDescent="0.2"/>
    <row r="46908" s="689" customFormat="1" x14ac:dyDescent="0.2"/>
    <row r="46909" s="689" customFormat="1" x14ac:dyDescent="0.2"/>
    <row r="46910" s="689" customFormat="1" x14ac:dyDescent="0.2"/>
    <row r="46911" s="689" customFormat="1" x14ac:dyDescent="0.2"/>
    <row r="46912" s="689" customFormat="1" x14ac:dyDescent="0.2"/>
    <row r="46913" s="689" customFormat="1" x14ac:dyDescent="0.2"/>
    <row r="46914" s="689" customFormat="1" x14ac:dyDescent="0.2"/>
    <row r="46915" s="689" customFormat="1" x14ac:dyDescent="0.2"/>
    <row r="46916" s="689" customFormat="1" x14ac:dyDescent="0.2"/>
    <row r="46917" s="689" customFormat="1" x14ac:dyDescent="0.2"/>
    <row r="46918" s="689" customFormat="1" x14ac:dyDescent="0.2"/>
    <row r="46919" s="689" customFormat="1" x14ac:dyDescent="0.2"/>
    <row r="46920" s="689" customFormat="1" x14ac:dyDescent="0.2"/>
    <row r="46921" s="689" customFormat="1" x14ac:dyDescent="0.2"/>
    <row r="46922" s="689" customFormat="1" x14ac:dyDescent="0.2"/>
    <row r="46923" s="689" customFormat="1" x14ac:dyDescent="0.2"/>
    <row r="46924" s="689" customFormat="1" x14ac:dyDescent="0.2"/>
    <row r="46925" s="689" customFormat="1" x14ac:dyDescent="0.2"/>
    <row r="46926" s="689" customFormat="1" x14ac:dyDescent="0.2"/>
    <row r="46927" s="689" customFormat="1" x14ac:dyDescent="0.2"/>
    <row r="46928" s="689" customFormat="1" x14ac:dyDescent="0.2"/>
    <row r="46929" s="689" customFormat="1" x14ac:dyDescent="0.2"/>
    <row r="46930" s="689" customFormat="1" x14ac:dyDescent="0.2"/>
    <row r="46931" s="689" customFormat="1" x14ac:dyDescent="0.2"/>
    <row r="46932" s="689" customFormat="1" x14ac:dyDescent="0.2"/>
    <row r="46933" s="689" customFormat="1" x14ac:dyDescent="0.2"/>
    <row r="46934" s="689" customFormat="1" x14ac:dyDescent="0.2"/>
    <row r="46935" s="689" customFormat="1" x14ac:dyDescent="0.2"/>
    <row r="46936" s="689" customFormat="1" x14ac:dyDescent="0.2"/>
    <row r="46937" s="689" customFormat="1" x14ac:dyDescent="0.2"/>
    <row r="46938" s="689" customFormat="1" x14ac:dyDescent="0.2"/>
    <row r="46939" s="689" customFormat="1" x14ac:dyDescent="0.2"/>
    <row r="46940" s="689" customFormat="1" x14ac:dyDescent="0.2"/>
    <row r="46941" s="689" customFormat="1" x14ac:dyDescent="0.2"/>
    <row r="46942" s="689" customFormat="1" x14ac:dyDescent="0.2"/>
    <row r="46943" s="689" customFormat="1" x14ac:dyDescent="0.2"/>
    <row r="46944" s="689" customFormat="1" x14ac:dyDescent="0.2"/>
    <row r="46945" s="689" customFormat="1" x14ac:dyDescent="0.2"/>
    <row r="46946" s="689" customFormat="1" x14ac:dyDescent="0.2"/>
    <row r="46947" s="689" customFormat="1" x14ac:dyDescent="0.2"/>
    <row r="46948" s="689" customFormat="1" x14ac:dyDescent="0.2"/>
    <row r="46949" s="689" customFormat="1" x14ac:dyDescent="0.2"/>
    <row r="46950" s="689" customFormat="1" x14ac:dyDescent="0.2"/>
    <row r="46951" s="689" customFormat="1" x14ac:dyDescent="0.2"/>
    <row r="46952" s="689" customFormat="1" x14ac:dyDescent="0.2"/>
    <row r="46953" s="689" customFormat="1" x14ac:dyDescent="0.2"/>
    <row r="46954" s="689" customFormat="1" x14ac:dyDescent="0.2"/>
    <row r="46955" s="689" customFormat="1" x14ac:dyDescent="0.2"/>
    <row r="46956" s="689" customFormat="1" x14ac:dyDescent="0.2"/>
    <row r="46957" s="689" customFormat="1" x14ac:dyDescent="0.2"/>
    <row r="46958" s="689" customFormat="1" x14ac:dyDescent="0.2"/>
    <row r="46959" s="689" customFormat="1" x14ac:dyDescent="0.2"/>
    <row r="46960" s="689" customFormat="1" x14ac:dyDescent="0.2"/>
    <row r="46961" s="689" customFormat="1" x14ac:dyDescent="0.2"/>
    <row r="46962" s="689" customFormat="1" x14ac:dyDescent="0.2"/>
    <row r="46963" s="689" customFormat="1" x14ac:dyDescent="0.2"/>
    <row r="46964" s="689" customFormat="1" x14ac:dyDescent="0.2"/>
    <row r="46965" s="689" customFormat="1" x14ac:dyDescent="0.2"/>
    <row r="46966" s="689" customFormat="1" x14ac:dyDescent="0.2"/>
    <row r="46967" s="689" customFormat="1" x14ac:dyDescent="0.2"/>
    <row r="46968" s="689" customFormat="1" x14ac:dyDescent="0.2"/>
    <row r="46969" s="689" customFormat="1" x14ac:dyDescent="0.2"/>
    <row r="46970" s="689" customFormat="1" x14ac:dyDescent="0.2"/>
    <row r="46971" s="689" customFormat="1" x14ac:dyDescent="0.2"/>
    <row r="46972" s="689" customFormat="1" x14ac:dyDescent="0.2"/>
    <row r="46973" s="689" customFormat="1" x14ac:dyDescent="0.2"/>
    <row r="46974" s="689" customFormat="1" x14ac:dyDescent="0.2"/>
    <row r="46975" s="689" customFormat="1" x14ac:dyDescent="0.2"/>
    <row r="46976" s="689" customFormat="1" x14ac:dyDescent="0.2"/>
    <row r="46977" s="689" customFormat="1" x14ac:dyDescent="0.2"/>
    <row r="46978" s="689" customFormat="1" x14ac:dyDescent="0.2"/>
    <row r="46979" s="689" customFormat="1" x14ac:dyDescent="0.2"/>
    <row r="46980" s="689" customFormat="1" x14ac:dyDescent="0.2"/>
    <row r="46981" s="689" customFormat="1" x14ac:dyDescent="0.2"/>
    <row r="46982" s="689" customFormat="1" x14ac:dyDescent="0.2"/>
    <row r="46983" s="689" customFormat="1" x14ac:dyDescent="0.2"/>
    <row r="46984" s="689" customFormat="1" x14ac:dyDescent="0.2"/>
    <row r="46985" s="689" customFormat="1" x14ac:dyDescent="0.2"/>
    <row r="46986" s="689" customFormat="1" x14ac:dyDescent="0.2"/>
    <row r="46987" s="689" customFormat="1" x14ac:dyDescent="0.2"/>
    <row r="46988" s="689" customFormat="1" x14ac:dyDescent="0.2"/>
    <row r="46989" s="689" customFormat="1" x14ac:dyDescent="0.2"/>
    <row r="46990" s="689" customFormat="1" x14ac:dyDescent="0.2"/>
    <row r="46991" s="689" customFormat="1" x14ac:dyDescent="0.2"/>
    <row r="46992" s="689" customFormat="1" x14ac:dyDescent="0.2"/>
    <row r="46993" s="689" customFormat="1" x14ac:dyDescent="0.2"/>
    <row r="46994" s="689" customFormat="1" x14ac:dyDescent="0.2"/>
    <row r="46995" s="689" customFormat="1" x14ac:dyDescent="0.2"/>
    <row r="46996" s="689" customFormat="1" x14ac:dyDescent="0.2"/>
    <row r="46997" s="689" customFormat="1" x14ac:dyDescent="0.2"/>
    <row r="46998" s="689" customFormat="1" x14ac:dyDescent="0.2"/>
    <row r="46999" s="689" customFormat="1" x14ac:dyDescent="0.2"/>
    <row r="47000" s="689" customFormat="1" x14ac:dyDescent="0.2"/>
    <row r="47001" s="689" customFormat="1" x14ac:dyDescent="0.2"/>
    <row r="47002" s="689" customFormat="1" x14ac:dyDescent="0.2"/>
    <row r="47003" s="689" customFormat="1" x14ac:dyDescent="0.2"/>
    <row r="47004" s="689" customFormat="1" x14ac:dyDescent="0.2"/>
    <row r="47005" s="689" customFormat="1" x14ac:dyDescent="0.2"/>
    <row r="47006" s="689" customFormat="1" x14ac:dyDescent="0.2"/>
    <row r="47007" s="689" customFormat="1" x14ac:dyDescent="0.2"/>
    <row r="47008" s="689" customFormat="1" x14ac:dyDescent="0.2"/>
    <row r="47009" s="689" customFormat="1" x14ac:dyDescent="0.2"/>
    <row r="47010" s="689" customFormat="1" x14ac:dyDescent="0.2"/>
    <row r="47011" s="689" customFormat="1" x14ac:dyDescent="0.2"/>
    <row r="47012" s="689" customFormat="1" x14ac:dyDescent="0.2"/>
    <row r="47013" s="689" customFormat="1" x14ac:dyDescent="0.2"/>
    <row r="47014" s="689" customFormat="1" x14ac:dyDescent="0.2"/>
    <row r="47015" s="689" customFormat="1" x14ac:dyDescent="0.2"/>
    <row r="47016" s="689" customFormat="1" x14ac:dyDescent="0.2"/>
    <row r="47017" s="689" customFormat="1" x14ac:dyDescent="0.2"/>
    <row r="47018" s="689" customFormat="1" x14ac:dyDescent="0.2"/>
    <row r="47019" s="689" customFormat="1" x14ac:dyDescent="0.2"/>
    <row r="47020" s="689" customFormat="1" x14ac:dyDescent="0.2"/>
    <row r="47021" s="689" customFormat="1" x14ac:dyDescent="0.2"/>
    <row r="47022" s="689" customFormat="1" x14ac:dyDescent="0.2"/>
    <row r="47023" s="689" customFormat="1" x14ac:dyDescent="0.2"/>
    <row r="47024" s="689" customFormat="1" x14ac:dyDescent="0.2"/>
    <row r="47025" s="689" customFormat="1" x14ac:dyDescent="0.2"/>
    <row r="47026" s="689" customFormat="1" x14ac:dyDescent="0.2"/>
    <row r="47027" s="689" customFormat="1" x14ac:dyDescent="0.2"/>
    <row r="47028" s="689" customFormat="1" x14ac:dyDescent="0.2"/>
    <row r="47029" s="689" customFormat="1" x14ac:dyDescent="0.2"/>
    <row r="47030" s="689" customFormat="1" x14ac:dyDescent="0.2"/>
    <row r="47031" s="689" customFormat="1" x14ac:dyDescent="0.2"/>
    <row r="47032" s="689" customFormat="1" x14ac:dyDescent="0.2"/>
    <row r="47033" s="689" customFormat="1" x14ac:dyDescent="0.2"/>
    <row r="47034" s="689" customFormat="1" x14ac:dyDescent="0.2"/>
    <row r="47035" s="689" customFormat="1" x14ac:dyDescent="0.2"/>
    <row r="47036" s="689" customFormat="1" x14ac:dyDescent="0.2"/>
    <row r="47037" s="689" customFormat="1" x14ac:dyDescent="0.2"/>
    <row r="47038" s="689" customFormat="1" x14ac:dyDescent="0.2"/>
    <row r="47039" s="689" customFormat="1" x14ac:dyDescent="0.2"/>
    <row r="47040" s="689" customFormat="1" x14ac:dyDescent="0.2"/>
    <row r="47041" s="689" customFormat="1" x14ac:dyDescent="0.2"/>
    <row r="47042" s="689" customFormat="1" x14ac:dyDescent="0.2"/>
    <row r="47043" s="689" customFormat="1" x14ac:dyDescent="0.2"/>
    <row r="47044" s="689" customFormat="1" x14ac:dyDescent="0.2"/>
    <row r="47045" s="689" customFormat="1" x14ac:dyDescent="0.2"/>
    <row r="47046" s="689" customFormat="1" x14ac:dyDescent="0.2"/>
    <row r="47047" s="689" customFormat="1" x14ac:dyDescent="0.2"/>
    <row r="47048" s="689" customFormat="1" x14ac:dyDescent="0.2"/>
    <row r="47049" s="689" customFormat="1" x14ac:dyDescent="0.2"/>
    <row r="47050" s="689" customFormat="1" x14ac:dyDescent="0.2"/>
    <row r="47051" s="689" customFormat="1" x14ac:dyDescent="0.2"/>
    <row r="47052" s="689" customFormat="1" x14ac:dyDescent="0.2"/>
    <row r="47053" s="689" customFormat="1" x14ac:dyDescent="0.2"/>
    <row r="47054" s="689" customFormat="1" x14ac:dyDescent="0.2"/>
    <row r="47055" s="689" customFormat="1" x14ac:dyDescent="0.2"/>
    <row r="47056" s="689" customFormat="1" x14ac:dyDescent="0.2"/>
    <row r="47057" s="689" customFormat="1" x14ac:dyDescent="0.2"/>
    <row r="47058" s="689" customFormat="1" x14ac:dyDescent="0.2"/>
    <row r="47059" s="689" customFormat="1" x14ac:dyDescent="0.2"/>
    <row r="47060" s="689" customFormat="1" x14ac:dyDescent="0.2"/>
    <row r="47061" s="689" customFormat="1" x14ac:dyDescent="0.2"/>
    <row r="47062" s="689" customFormat="1" x14ac:dyDescent="0.2"/>
    <row r="47063" s="689" customFormat="1" x14ac:dyDescent="0.2"/>
    <row r="47064" s="689" customFormat="1" x14ac:dyDescent="0.2"/>
    <row r="47065" s="689" customFormat="1" x14ac:dyDescent="0.2"/>
    <row r="47066" s="689" customFormat="1" x14ac:dyDescent="0.2"/>
    <row r="47067" s="689" customFormat="1" x14ac:dyDescent="0.2"/>
    <row r="47068" s="689" customFormat="1" x14ac:dyDescent="0.2"/>
    <row r="47069" s="689" customFormat="1" x14ac:dyDescent="0.2"/>
    <row r="47070" s="689" customFormat="1" x14ac:dyDescent="0.2"/>
    <row r="47071" s="689" customFormat="1" x14ac:dyDescent="0.2"/>
    <row r="47072" s="689" customFormat="1" x14ac:dyDescent="0.2"/>
    <row r="47073" s="689" customFormat="1" x14ac:dyDescent="0.2"/>
    <row r="47074" s="689" customFormat="1" x14ac:dyDescent="0.2"/>
    <row r="47075" s="689" customFormat="1" x14ac:dyDescent="0.2"/>
    <row r="47076" s="689" customFormat="1" x14ac:dyDescent="0.2"/>
    <row r="47077" s="689" customFormat="1" x14ac:dyDescent="0.2"/>
    <row r="47078" s="689" customFormat="1" x14ac:dyDescent="0.2"/>
    <row r="47079" s="689" customFormat="1" x14ac:dyDescent="0.2"/>
    <row r="47080" s="689" customFormat="1" x14ac:dyDescent="0.2"/>
    <row r="47081" s="689" customFormat="1" x14ac:dyDescent="0.2"/>
    <row r="47082" s="689" customFormat="1" x14ac:dyDescent="0.2"/>
    <row r="47083" s="689" customFormat="1" x14ac:dyDescent="0.2"/>
    <row r="47084" s="689" customFormat="1" x14ac:dyDescent="0.2"/>
    <row r="47085" s="689" customFormat="1" x14ac:dyDescent="0.2"/>
    <row r="47086" s="689" customFormat="1" x14ac:dyDescent="0.2"/>
    <row r="47087" s="689" customFormat="1" x14ac:dyDescent="0.2"/>
    <row r="47088" s="689" customFormat="1" x14ac:dyDescent="0.2"/>
    <row r="47089" s="689" customFormat="1" x14ac:dyDescent="0.2"/>
    <row r="47090" s="689" customFormat="1" x14ac:dyDescent="0.2"/>
    <row r="47091" s="689" customFormat="1" x14ac:dyDescent="0.2"/>
    <row r="47092" s="689" customFormat="1" x14ac:dyDescent="0.2"/>
    <row r="47093" s="689" customFormat="1" x14ac:dyDescent="0.2"/>
    <row r="47094" s="689" customFormat="1" x14ac:dyDescent="0.2"/>
    <row r="47095" s="689" customFormat="1" x14ac:dyDescent="0.2"/>
    <row r="47096" s="689" customFormat="1" x14ac:dyDescent="0.2"/>
    <row r="47097" s="689" customFormat="1" x14ac:dyDescent="0.2"/>
    <row r="47098" s="689" customFormat="1" x14ac:dyDescent="0.2"/>
    <row r="47099" s="689" customFormat="1" x14ac:dyDescent="0.2"/>
    <row r="47100" s="689" customFormat="1" x14ac:dyDescent="0.2"/>
    <row r="47101" s="689" customFormat="1" x14ac:dyDescent="0.2"/>
    <row r="47102" s="689" customFormat="1" x14ac:dyDescent="0.2"/>
    <row r="47103" s="689" customFormat="1" x14ac:dyDescent="0.2"/>
    <row r="47104" s="689" customFormat="1" x14ac:dyDescent="0.2"/>
    <row r="47105" s="689" customFormat="1" x14ac:dyDescent="0.2"/>
    <row r="47106" s="689" customFormat="1" x14ac:dyDescent="0.2"/>
    <row r="47107" s="689" customFormat="1" x14ac:dyDescent="0.2"/>
    <row r="47108" s="689" customFormat="1" x14ac:dyDescent="0.2"/>
    <row r="47109" s="689" customFormat="1" x14ac:dyDescent="0.2"/>
    <row r="47110" s="689" customFormat="1" x14ac:dyDescent="0.2"/>
    <row r="47111" s="689" customFormat="1" x14ac:dyDescent="0.2"/>
    <row r="47112" s="689" customFormat="1" x14ac:dyDescent="0.2"/>
    <row r="47113" s="689" customFormat="1" x14ac:dyDescent="0.2"/>
    <row r="47114" s="689" customFormat="1" x14ac:dyDescent="0.2"/>
    <row r="47115" s="689" customFormat="1" x14ac:dyDescent="0.2"/>
    <row r="47116" s="689" customFormat="1" x14ac:dyDescent="0.2"/>
    <row r="47117" s="689" customFormat="1" x14ac:dyDescent="0.2"/>
    <row r="47118" s="689" customFormat="1" x14ac:dyDescent="0.2"/>
    <row r="47119" s="689" customFormat="1" x14ac:dyDescent="0.2"/>
    <row r="47120" s="689" customFormat="1" x14ac:dyDescent="0.2"/>
    <row r="47121" s="689" customFormat="1" x14ac:dyDescent="0.2"/>
    <row r="47122" s="689" customFormat="1" x14ac:dyDescent="0.2"/>
    <row r="47123" s="689" customFormat="1" x14ac:dyDescent="0.2"/>
    <row r="47124" s="689" customFormat="1" x14ac:dyDescent="0.2"/>
    <row r="47125" s="689" customFormat="1" x14ac:dyDescent="0.2"/>
    <row r="47126" s="689" customFormat="1" x14ac:dyDescent="0.2"/>
    <row r="47127" s="689" customFormat="1" x14ac:dyDescent="0.2"/>
    <row r="47128" s="689" customFormat="1" x14ac:dyDescent="0.2"/>
    <row r="47129" s="689" customFormat="1" x14ac:dyDescent="0.2"/>
    <row r="47130" s="689" customFormat="1" x14ac:dyDescent="0.2"/>
    <row r="47131" s="689" customFormat="1" x14ac:dyDescent="0.2"/>
    <row r="47132" s="689" customFormat="1" x14ac:dyDescent="0.2"/>
    <row r="47133" s="689" customFormat="1" x14ac:dyDescent="0.2"/>
    <row r="47134" s="689" customFormat="1" x14ac:dyDescent="0.2"/>
    <row r="47135" s="689" customFormat="1" x14ac:dyDescent="0.2"/>
    <row r="47136" s="689" customFormat="1" x14ac:dyDescent="0.2"/>
    <row r="47137" s="689" customFormat="1" x14ac:dyDescent="0.2"/>
    <row r="47138" s="689" customFormat="1" x14ac:dyDescent="0.2"/>
    <row r="47139" s="689" customFormat="1" x14ac:dyDescent="0.2"/>
    <row r="47140" s="689" customFormat="1" x14ac:dyDescent="0.2"/>
    <row r="47141" s="689" customFormat="1" x14ac:dyDescent="0.2"/>
    <row r="47142" s="689" customFormat="1" x14ac:dyDescent="0.2"/>
    <row r="47143" s="689" customFormat="1" x14ac:dyDescent="0.2"/>
    <row r="47144" s="689" customFormat="1" x14ac:dyDescent="0.2"/>
    <row r="47145" s="689" customFormat="1" x14ac:dyDescent="0.2"/>
    <row r="47146" s="689" customFormat="1" x14ac:dyDescent="0.2"/>
    <row r="47147" s="689" customFormat="1" x14ac:dyDescent="0.2"/>
    <row r="47148" s="689" customFormat="1" x14ac:dyDescent="0.2"/>
    <row r="47149" s="689" customFormat="1" x14ac:dyDescent="0.2"/>
    <row r="47150" s="689" customFormat="1" x14ac:dyDescent="0.2"/>
    <row r="47151" s="689" customFormat="1" x14ac:dyDescent="0.2"/>
    <row r="47152" s="689" customFormat="1" x14ac:dyDescent="0.2"/>
    <row r="47153" s="689" customFormat="1" x14ac:dyDescent="0.2"/>
    <row r="47154" s="689" customFormat="1" x14ac:dyDescent="0.2"/>
    <row r="47155" s="689" customFormat="1" x14ac:dyDescent="0.2"/>
    <row r="47156" s="689" customFormat="1" x14ac:dyDescent="0.2"/>
    <row r="47157" s="689" customFormat="1" x14ac:dyDescent="0.2"/>
    <row r="47158" s="689" customFormat="1" x14ac:dyDescent="0.2"/>
    <row r="47159" s="689" customFormat="1" x14ac:dyDescent="0.2"/>
    <row r="47160" s="689" customFormat="1" x14ac:dyDescent="0.2"/>
    <row r="47161" s="689" customFormat="1" x14ac:dyDescent="0.2"/>
    <row r="47162" s="689" customFormat="1" x14ac:dyDescent="0.2"/>
    <row r="47163" s="689" customFormat="1" x14ac:dyDescent="0.2"/>
    <row r="47164" s="689" customFormat="1" x14ac:dyDescent="0.2"/>
    <row r="47165" s="689" customFormat="1" x14ac:dyDescent="0.2"/>
    <row r="47166" s="689" customFormat="1" x14ac:dyDescent="0.2"/>
    <row r="47167" s="689" customFormat="1" x14ac:dyDescent="0.2"/>
    <row r="47168" s="689" customFormat="1" x14ac:dyDescent="0.2"/>
    <row r="47169" s="689" customFormat="1" x14ac:dyDescent="0.2"/>
    <row r="47170" s="689" customFormat="1" x14ac:dyDescent="0.2"/>
    <row r="47171" s="689" customFormat="1" x14ac:dyDescent="0.2"/>
    <row r="47172" s="689" customFormat="1" x14ac:dyDescent="0.2"/>
    <row r="47173" s="689" customFormat="1" x14ac:dyDescent="0.2"/>
    <row r="47174" s="689" customFormat="1" x14ac:dyDescent="0.2"/>
    <row r="47175" s="689" customFormat="1" x14ac:dyDescent="0.2"/>
    <row r="47176" s="689" customFormat="1" x14ac:dyDescent="0.2"/>
    <row r="47177" s="689" customFormat="1" x14ac:dyDescent="0.2"/>
    <row r="47178" s="689" customFormat="1" x14ac:dyDescent="0.2"/>
    <row r="47179" s="689" customFormat="1" x14ac:dyDescent="0.2"/>
    <row r="47180" s="689" customFormat="1" x14ac:dyDescent="0.2"/>
    <row r="47181" s="689" customFormat="1" x14ac:dyDescent="0.2"/>
    <row r="47182" s="689" customFormat="1" x14ac:dyDescent="0.2"/>
    <row r="47183" s="689" customFormat="1" x14ac:dyDescent="0.2"/>
    <row r="47184" s="689" customFormat="1" x14ac:dyDescent="0.2"/>
    <row r="47185" s="689" customFormat="1" x14ac:dyDescent="0.2"/>
    <row r="47186" s="689" customFormat="1" x14ac:dyDescent="0.2"/>
    <row r="47187" s="689" customFormat="1" x14ac:dyDescent="0.2"/>
    <row r="47188" s="689" customFormat="1" x14ac:dyDescent="0.2"/>
    <row r="47189" s="689" customFormat="1" x14ac:dyDescent="0.2"/>
    <row r="47190" s="689" customFormat="1" x14ac:dyDescent="0.2"/>
    <row r="47191" s="689" customFormat="1" x14ac:dyDescent="0.2"/>
    <row r="47192" s="689" customFormat="1" x14ac:dyDescent="0.2"/>
    <row r="47193" s="689" customFormat="1" x14ac:dyDescent="0.2"/>
    <row r="47194" s="689" customFormat="1" x14ac:dyDescent="0.2"/>
    <row r="47195" s="689" customFormat="1" x14ac:dyDescent="0.2"/>
    <row r="47196" s="689" customFormat="1" x14ac:dyDescent="0.2"/>
    <row r="47197" s="689" customFormat="1" x14ac:dyDescent="0.2"/>
    <row r="47198" s="689" customFormat="1" x14ac:dyDescent="0.2"/>
    <row r="47199" s="689" customFormat="1" x14ac:dyDescent="0.2"/>
    <row r="47200" s="689" customFormat="1" x14ac:dyDescent="0.2"/>
    <row r="47201" s="689" customFormat="1" x14ac:dyDescent="0.2"/>
    <row r="47202" s="689" customFormat="1" x14ac:dyDescent="0.2"/>
    <row r="47203" s="689" customFormat="1" x14ac:dyDescent="0.2"/>
    <row r="47204" s="689" customFormat="1" x14ac:dyDescent="0.2"/>
    <row r="47205" s="689" customFormat="1" x14ac:dyDescent="0.2"/>
    <row r="47206" s="689" customFormat="1" x14ac:dyDescent="0.2"/>
    <row r="47207" s="689" customFormat="1" x14ac:dyDescent="0.2"/>
    <row r="47208" s="689" customFormat="1" x14ac:dyDescent="0.2"/>
    <row r="47209" s="689" customFormat="1" x14ac:dyDescent="0.2"/>
    <row r="47210" s="689" customFormat="1" x14ac:dyDescent="0.2"/>
    <row r="47211" s="689" customFormat="1" x14ac:dyDescent="0.2"/>
    <row r="47212" s="689" customFormat="1" x14ac:dyDescent="0.2"/>
    <row r="47213" s="689" customFormat="1" x14ac:dyDescent="0.2"/>
    <row r="47214" s="689" customFormat="1" x14ac:dyDescent="0.2"/>
    <row r="47215" s="689" customFormat="1" x14ac:dyDescent="0.2"/>
    <row r="47216" s="689" customFormat="1" x14ac:dyDescent="0.2"/>
    <row r="47217" s="689" customFormat="1" x14ac:dyDescent="0.2"/>
    <row r="47218" s="689" customFormat="1" x14ac:dyDescent="0.2"/>
    <row r="47219" s="689" customFormat="1" x14ac:dyDescent="0.2"/>
    <row r="47220" s="689" customFormat="1" x14ac:dyDescent="0.2"/>
    <row r="47221" s="689" customFormat="1" x14ac:dyDescent="0.2"/>
    <row r="47222" s="689" customFormat="1" x14ac:dyDescent="0.2"/>
    <row r="47223" s="689" customFormat="1" x14ac:dyDescent="0.2"/>
    <row r="47224" s="689" customFormat="1" x14ac:dyDescent="0.2"/>
    <row r="47225" s="689" customFormat="1" x14ac:dyDescent="0.2"/>
    <row r="47226" s="689" customFormat="1" x14ac:dyDescent="0.2"/>
    <row r="47227" s="689" customFormat="1" x14ac:dyDescent="0.2"/>
    <row r="47228" s="689" customFormat="1" x14ac:dyDescent="0.2"/>
    <row r="47229" s="689" customFormat="1" x14ac:dyDescent="0.2"/>
    <row r="47230" s="689" customFormat="1" x14ac:dyDescent="0.2"/>
    <row r="47231" s="689" customFormat="1" x14ac:dyDescent="0.2"/>
    <row r="47232" s="689" customFormat="1" x14ac:dyDescent="0.2"/>
    <row r="47233" s="689" customFormat="1" x14ac:dyDescent="0.2"/>
    <row r="47234" s="689" customFormat="1" x14ac:dyDescent="0.2"/>
    <row r="47235" s="689" customFormat="1" x14ac:dyDescent="0.2"/>
    <row r="47236" s="689" customFormat="1" x14ac:dyDescent="0.2"/>
    <row r="47237" s="689" customFormat="1" x14ac:dyDescent="0.2"/>
    <row r="47238" s="689" customFormat="1" x14ac:dyDescent="0.2"/>
    <row r="47239" s="689" customFormat="1" x14ac:dyDescent="0.2"/>
    <row r="47240" s="689" customFormat="1" x14ac:dyDescent="0.2"/>
    <row r="47241" s="689" customFormat="1" x14ac:dyDescent="0.2"/>
    <row r="47242" s="689" customFormat="1" x14ac:dyDescent="0.2"/>
    <row r="47243" s="689" customFormat="1" x14ac:dyDescent="0.2"/>
    <row r="47244" s="689" customFormat="1" x14ac:dyDescent="0.2"/>
    <row r="47245" s="689" customFormat="1" x14ac:dyDescent="0.2"/>
    <row r="47246" s="689" customFormat="1" x14ac:dyDescent="0.2"/>
    <row r="47247" s="689" customFormat="1" x14ac:dyDescent="0.2"/>
    <row r="47248" s="689" customFormat="1" x14ac:dyDescent="0.2"/>
    <row r="47249" s="689" customFormat="1" x14ac:dyDescent="0.2"/>
    <row r="47250" s="689" customFormat="1" x14ac:dyDescent="0.2"/>
    <row r="47251" s="689" customFormat="1" x14ac:dyDescent="0.2"/>
    <row r="47252" s="689" customFormat="1" x14ac:dyDescent="0.2"/>
    <row r="47253" s="689" customFormat="1" x14ac:dyDescent="0.2"/>
    <row r="47254" s="689" customFormat="1" x14ac:dyDescent="0.2"/>
    <row r="47255" s="689" customFormat="1" x14ac:dyDescent="0.2"/>
    <row r="47256" s="689" customFormat="1" x14ac:dyDescent="0.2"/>
    <row r="47257" s="689" customFormat="1" x14ac:dyDescent="0.2"/>
    <row r="47258" s="689" customFormat="1" x14ac:dyDescent="0.2"/>
    <row r="47259" s="689" customFormat="1" x14ac:dyDescent="0.2"/>
    <row r="47260" s="689" customFormat="1" x14ac:dyDescent="0.2"/>
    <row r="47261" s="689" customFormat="1" x14ac:dyDescent="0.2"/>
    <row r="47262" s="689" customFormat="1" x14ac:dyDescent="0.2"/>
    <row r="47263" s="689" customFormat="1" x14ac:dyDescent="0.2"/>
    <row r="47264" s="689" customFormat="1" x14ac:dyDescent="0.2"/>
    <row r="47265" s="689" customFormat="1" x14ac:dyDescent="0.2"/>
    <row r="47266" s="689" customFormat="1" x14ac:dyDescent="0.2"/>
    <row r="47267" s="689" customFormat="1" x14ac:dyDescent="0.2"/>
    <row r="47268" s="689" customFormat="1" x14ac:dyDescent="0.2"/>
    <row r="47269" s="689" customFormat="1" x14ac:dyDescent="0.2"/>
    <row r="47270" s="689" customFormat="1" x14ac:dyDescent="0.2"/>
    <row r="47271" s="689" customFormat="1" x14ac:dyDescent="0.2"/>
    <row r="47272" s="689" customFormat="1" x14ac:dyDescent="0.2"/>
    <row r="47273" s="689" customFormat="1" x14ac:dyDescent="0.2"/>
    <row r="47274" s="689" customFormat="1" x14ac:dyDescent="0.2"/>
    <row r="47275" s="689" customFormat="1" x14ac:dyDescent="0.2"/>
    <row r="47276" s="689" customFormat="1" x14ac:dyDescent="0.2"/>
    <row r="47277" s="689" customFormat="1" x14ac:dyDescent="0.2"/>
    <row r="47278" s="689" customFormat="1" x14ac:dyDescent="0.2"/>
    <row r="47279" s="689" customFormat="1" x14ac:dyDescent="0.2"/>
    <row r="47280" s="689" customFormat="1" x14ac:dyDescent="0.2"/>
    <row r="47281" s="689" customFormat="1" x14ac:dyDescent="0.2"/>
    <row r="47282" s="689" customFormat="1" x14ac:dyDescent="0.2"/>
    <row r="47283" s="689" customFormat="1" x14ac:dyDescent="0.2"/>
    <row r="47284" s="689" customFormat="1" x14ac:dyDescent="0.2"/>
    <row r="47285" s="689" customFormat="1" x14ac:dyDescent="0.2"/>
    <row r="47286" s="689" customFormat="1" x14ac:dyDescent="0.2"/>
    <row r="47287" s="689" customFormat="1" x14ac:dyDescent="0.2"/>
    <row r="47288" s="689" customFormat="1" x14ac:dyDescent="0.2"/>
    <row r="47289" s="689" customFormat="1" x14ac:dyDescent="0.2"/>
    <row r="47290" s="689" customFormat="1" x14ac:dyDescent="0.2"/>
    <row r="47291" s="689" customFormat="1" x14ac:dyDescent="0.2"/>
    <row r="47292" s="689" customFormat="1" x14ac:dyDescent="0.2"/>
    <row r="47293" s="689" customFormat="1" x14ac:dyDescent="0.2"/>
    <row r="47294" s="689" customFormat="1" x14ac:dyDescent="0.2"/>
    <row r="47295" s="689" customFormat="1" x14ac:dyDescent="0.2"/>
    <row r="47296" s="689" customFormat="1" x14ac:dyDescent="0.2"/>
    <row r="47297" s="689" customFormat="1" x14ac:dyDescent="0.2"/>
    <row r="47298" s="689" customFormat="1" x14ac:dyDescent="0.2"/>
    <row r="47299" s="689" customFormat="1" x14ac:dyDescent="0.2"/>
    <row r="47300" s="689" customFormat="1" x14ac:dyDescent="0.2"/>
    <row r="47301" s="689" customFormat="1" x14ac:dyDescent="0.2"/>
    <row r="47302" s="689" customFormat="1" x14ac:dyDescent="0.2"/>
    <row r="47303" s="689" customFormat="1" x14ac:dyDescent="0.2"/>
    <row r="47304" s="689" customFormat="1" x14ac:dyDescent="0.2"/>
    <row r="47305" s="689" customFormat="1" x14ac:dyDescent="0.2"/>
    <row r="47306" s="689" customFormat="1" x14ac:dyDescent="0.2"/>
    <row r="47307" s="689" customFormat="1" x14ac:dyDescent="0.2"/>
    <row r="47308" s="689" customFormat="1" x14ac:dyDescent="0.2"/>
    <row r="47309" s="689" customFormat="1" x14ac:dyDescent="0.2"/>
    <row r="47310" s="689" customFormat="1" x14ac:dyDescent="0.2"/>
    <row r="47311" s="689" customFormat="1" x14ac:dyDescent="0.2"/>
    <row r="47312" s="689" customFormat="1" x14ac:dyDescent="0.2"/>
    <row r="47313" s="689" customFormat="1" x14ac:dyDescent="0.2"/>
    <row r="47314" s="689" customFormat="1" x14ac:dyDescent="0.2"/>
    <row r="47315" s="689" customFormat="1" x14ac:dyDescent="0.2"/>
    <row r="47316" s="689" customFormat="1" x14ac:dyDescent="0.2"/>
    <row r="47317" s="689" customFormat="1" x14ac:dyDescent="0.2"/>
    <row r="47318" s="689" customFormat="1" x14ac:dyDescent="0.2"/>
    <row r="47319" s="689" customFormat="1" x14ac:dyDescent="0.2"/>
    <row r="47320" s="689" customFormat="1" x14ac:dyDescent="0.2"/>
    <row r="47321" s="689" customFormat="1" x14ac:dyDescent="0.2"/>
    <row r="47322" s="689" customFormat="1" x14ac:dyDescent="0.2"/>
    <row r="47323" s="689" customFormat="1" x14ac:dyDescent="0.2"/>
    <row r="47324" s="689" customFormat="1" x14ac:dyDescent="0.2"/>
    <row r="47325" s="689" customFormat="1" x14ac:dyDescent="0.2"/>
    <row r="47326" s="689" customFormat="1" x14ac:dyDescent="0.2"/>
    <row r="47327" s="689" customFormat="1" x14ac:dyDescent="0.2"/>
    <row r="47328" s="689" customFormat="1" x14ac:dyDescent="0.2"/>
    <row r="47329" s="689" customFormat="1" x14ac:dyDescent="0.2"/>
    <row r="47330" s="689" customFormat="1" x14ac:dyDescent="0.2"/>
    <row r="47331" s="689" customFormat="1" x14ac:dyDescent="0.2"/>
    <row r="47332" s="689" customFormat="1" x14ac:dyDescent="0.2"/>
    <row r="47333" s="689" customFormat="1" x14ac:dyDescent="0.2"/>
    <row r="47334" s="689" customFormat="1" x14ac:dyDescent="0.2"/>
    <row r="47335" s="689" customFormat="1" x14ac:dyDescent="0.2"/>
    <row r="47336" s="689" customFormat="1" x14ac:dyDescent="0.2"/>
    <row r="47337" s="689" customFormat="1" x14ac:dyDescent="0.2"/>
    <row r="47338" s="689" customFormat="1" x14ac:dyDescent="0.2"/>
    <row r="47339" s="689" customFormat="1" x14ac:dyDescent="0.2"/>
    <row r="47340" s="689" customFormat="1" x14ac:dyDescent="0.2"/>
    <row r="47341" s="689" customFormat="1" x14ac:dyDescent="0.2"/>
    <row r="47342" s="689" customFormat="1" x14ac:dyDescent="0.2"/>
    <row r="47343" s="689" customFormat="1" x14ac:dyDescent="0.2"/>
    <row r="47344" s="689" customFormat="1" x14ac:dyDescent="0.2"/>
    <row r="47345" s="689" customFormat="1" x14ac:dyDescent="0.2"/>
    <row r="47346" s="689" customFormat="1" x14ac:dyDescent="0.2"/>
    <row r="47347" s="689" customFormat="1" x14ac:dyDescent="0.2"/>
    <row r="47348" s="689" customFormat="1" x14ac:dyDescent="0.2"/>
    <row r="47349" s="689" customFormat="1" x14ac:dyDescent="0.2"/>
    <row r="47350" s="689" customFormat="1" x14ac:dyDescent="0.2"/>
    <row r="47351" s="689" customFormat="1" x14ac:dyDescent="0.2"/>
    <row r="47352" s="689" customFormat="1" x14ac:dyDescent="0.2"/>
    <row r="47353" s="689" customFormat="1" x14ac:dyDescent="0.2"/>
    <row r="47354" s="689" customFormat="1" x14ac:dyDescent="0.2"/>
    <row r="47355" s="689" customFormat="1" x14ac:dyDescent="0.2"/>
    <row r="47356" s="689" customFormat="1" x14ac:dyDescent="0.2"/>
    <row r="47357" s="689" customFormat="1" x14ac:dyDescent="0.2"/>
    <row r="47358" s="689" customFormat="1" x14ac:dyDescent="0.2"/>
    <row r="47359" s="689" customFormat="1" x14ac:dyDescent="0.2"/>
    <row r="47360" s="689" customFormat="1" x14ac:dyDescent="0.2"/>
    <row r="47361" s="689" customFormat="1" x14ac:dyDescent="0.2"/>
    <row r="47362" s="689" customFormat="1" x14ac:dyDescent="0.2"/>
    <row r="47363" s="689" customFormat="1" x14ac:dyDescent="0.2"/>
    <row r="47364" s="689" customFormat="1" x14ac:dyDescent="0.2"/>
    <row r="47365" s="689" customFormat="1" x14ac:dyDescent="0.2"/>
    <row r="47366" s="689" customFormat="1" x14ac:dyDescent="0.2"/>
    <row r="47367" s="689" customFormat="1" x14ac:dyDescent="0.2"/>
    <row r="47368" s="689" customFormat="1" x14ac:dyDescent="0.2"/>
    <row r="47369" s="689" customFormat="1" x14ac:dyDescent="0.2"/>
    <row r="47370" s="689" customFormat="1" x14ac:dyDescent="0.2"/>
    <row r="47371" s="689" customFormat="1" x14ac:dyDescent="0.2"/>
    <row r="47372" s="689" customFormat="1" x14ac:dyDescent="0.2"/>
    <row r="47373" s="689" customFormat="1" x14ac:dyDescent="0.2"/>
    <row r="47374" s="689" customFormat="1" x14ac:dyDescent="0.2"/>
    <row r="47375" s="689" customFormat="1" x14ac:dyDescent="0.2"/>
    <row r="47376" s="689" customFormat="1" x14ac:dyDescent="0.2"/>
    <row r="47377" s="689" customFormat="1" x14ac:dyDescent="0.2"/>
    <row r="47378" s="689" customFormat="1" x14ac:dyDescent="0.2"/>
    <row r="47379" s="689" customFormat="1" x14ac:dyDescent="0.2"/>
    <row r="47380" s="689" customFormat="1" x14ac:dyDescent="0.2"/>
    <row r="47381" s="689" customFormat="1" x14ac:dyDescent="0.2"/>
    <row r="47382" s="689" customFormat="1" x14ac:dyDescent="0.2"/>
    <row r="47383" s="689" customFormat="1" x14ac:dyDescent="0.2"/>
    <row r="47384" s="689" customFormat="1" x14ac:dyDescent="0.2"/>
    <row r="47385" s="689" customFormat="1" x14ac:dyDescent="0.2"/>
    <row r="47386" s="689" customFormat="1" x14ac:dyDescent="0.2"/>
    <row r="47387" s="689" customFormat="1" x14ac:dyDescent="0.2"/>
    <row r="47388" s="689" customFormat="1" x14ac:dyDescent="0.2"/>
    <row r="47389" s="689" customFormat="1" x14ac:dyDescent="0.2"/>
    <row r="47390" s="689" customFormat="1" x14ac:dyDescent="0.2"/>
    <row r="47391" s="689" customFormat="1" x14ac:dyDescent="0.2"/>
    <row r="47392" s="689" customFormat="1" x14ac:dyDescent="0.2"/>
    <row r="47393" s="689" customFormat="1" x14ac:dyDescent="0.2"/>
    <row r="47394" s="689" customFormat="1" x14ac:dyDescent="0.2"/>
    <row r="47395" s="689" customFormat="1" x14ac:dyDescent="0.2"/>
    <row r="47396" s="689" customFormat="1" x14ac:dyDescent="0.2"/>
    <row r="47397" s="689" customFormat="1" x14ac:dyDescent="0.2"/>
    <row r="47398" s="689" customFormat="1" x14ac:dyDescent="0.2"/>
    <row r="47399" s="689" customFormat="1" x14ac:dyDescent="0.2"/>
    <row r="47400" s="689" customFormat="1" x14ac:dyDescent="0.2"/>
    <row r="47401" s="689" customFormat="1" x14ac:dyDescent="0.2"/>
    <row r="47402" s="689" customFormat="1" x14ac:dyDescent="0.2"/>
    <row r="47403" s="689" customFormat="1" x14ac:dyDescent="0.2"/>
    <row r="47404" s="689" customFormat="1" x14ac:dyDescent="0.2"/>
    <row r="47405" s="689" customFormat="1" x14ac:dyDescent="0.2"/>
    <row r="47406" s="689" customFormat="1" x14ac:dyDescent="0.2"/>
    <row r="47407" s="689" customFormat="1" x14ac:dyDescent="0.2"/>
    <row r="47408" s="689" customFormat="1" x14ac:dyDescent="0.2"/>
    <row r="47409" s="689" customFormat="1" x14ac:dyDescent="0.2"/>
    <row r="47410" s="689" customFormat="1" x14ac:dyDescent="0.2"/>
    <row r="47411" s="689" customFormat="1" x14ac:dyDescent="0.2"/>
    <row r="47412" s="689" customFormat="1" x14ac:dyDescent="0.2"/>
    <row r="47413" s="689" customFormat="1" x14ac:dyDescent="0.2"/>
    <row r="47414" s="689" customFormat="1" x14ac:dyDescent="0.2"/>
    <row r="47415" s="689" customFormat="1" x14ac:dyDescent="0.2"/>
    <row r="47416" s="689" customFormat="1" x14ac:dyDescent="0.2"/>
    <row r="47417" s="689" customFormat="1" x14ac:dyDescent="0.2"/>
    <row r="47418" s="689" customFormat="1" x14ac:dyDescent="0.2"/>
    <row r="47419" s="689" customFormat="1" x14ac:dyDescent="0.2"/>
    <row r="47420" s="689" customFormat="1" x14ac:dyDescent="0.2"/>
    <row r="47421" s="689" customFormat="1" x14ac:dyDescent="0.2"/>
    <row r="47422" s="689" customFormat="1" x14ac:dyDescent="0.2"/>
    <row r="47423" s="689" customFormat="1" x14ac:dyDescent="0.2"/>
    <row r="47424" s="689" customFormat="1" x14ac:dyDescent="0.2"/>
    <row r="47425" s="689" customFormat="1" x14ac:dyDescent="0.2"/>
    <row r="47426" s="689" customFormat="1" x14ac:dyDescent="0.2"/>
    <row r="47427" s="689" customFormat="1" x14ac:dyDescent="0.2"/>
    <row r="47428" s="689" customFormat="1" x14ac:dyDescent="0.2"/>
    <row r="47429" s="689" customFormat="1" x14ac:dyDescent="0.2"/>
    <row r="47430" s="689" customFormat="1" x14ac:dyDescent="0.2"/>
    <row r="47431" s="689" customFormat="1" x14ac:dyDescent="0.2"/>
    <row r="47432" s="689" customFormat="1" x14ac:dyDescent="0.2"/>
    <row r="47433" s="689" customFormat="1" x14ac:dyDescent="0.2"/>
    <row r="47434" s="689" customFormat="1" x14ac:dyDescent="0.2"/>
    <row r="47435" s="689" customFormat="1" x14ac:dyDescent="0.2"/>
    <row r="47436" s="689" customFormat="1" x14ac:dyDescent="0.2"/>
    <row r="47437" s="689" customFormat="1" x14ac:dyDescent="0.2"/>
    <row r="47438" s="689" customFormat="1" x14ac:dyDescent="0.2"/>
    <row r="47439" s="689" customFormat="1" x14ac:dyDescent="0.2"/>
    <row r="47440" s="689" customFormat="1" x14ac:dyDescent="0.2"/>
    <row r="47441" s="689" customFormat="1" x14ac:dyDescent="0.2"/>
    <row r="47442" s="689" customFormat="1" x14ac:dyDescent="0.2"/>
    <row r="47443" s="689" customFormat="1" x14ac:dyDescent="0.2"/>
    <row r="47444" s="689" customFormat="1" x14ac:dyDescent="0.2"/>
    <row r="47445" s="689" customFormat="1" x14ac:dyDescent="0.2"/>
    <row r="47446" s="689" customFormat="1" x14ac:dyDescent="0.2"/>
    <row r="47447" s="689" customFormat="1" x14ac:dyDescent="0.2"/>
    <row r="47448" s="689" customFormat="1" x14ac:dyDescent="0.2"/>
    <row r="47449" s="689" customFormat="1" x14ac:dyDescent="0.2"/>
    <row r="47450" s="689" customFormat="1" x14ac:dyDescent="0.2"/>
    <row r="47451" s="689" customFormat="1" x14ac:dyDescent="0.2"/>
    <row r="47452" s="689" customFormat="1" x14ac:dyDescent="0.2"/>
    <row r="47453" s="689" customFormat="1" x14ac:dyDescent="0.2"/>
    <row r="47454" s="689" customFormat="1" x14ac:dyDescent="0.2"/>
    <row r="47455" s="689" customFormat="1" x14ac:dyDescent="0.2"/>
    <row r="47456" s="689" customFormat="1" x14ac:dyDescent="0.2"/>
    <row r="47457" s="689" customFormat="1" x14ac:dyDescent="0.2"/>
    <row r="47458" s="689" customFormat="1" x14ac:dyDescent="0.2"/>
    <row r="47459" s="689" customFormat="1" x14ac:dyDescent="0.2"/>
    <row r="47460" s="689" customFormat="1" x14ac:dyDescent="0.2"/>
    <row r="47461" s="689" customFormat="1" x14ac:dyDescent="0.2"/>
    <row r="47462" s="689" customFormat="1" x14ac:dyDescent="0.2"/>
    <row r="47463" s="689" customFormat="1" x14ac:dyDescent="0.2"/>
    <row r="47464" s="689" customFormat="1" x14ac:dyDescent="0.2"/>
    <row r="47465" s="689" customFormat="1" x14ac:dyDescent="0.2"/>
    <row r="47466" s="689" customFormat="1" x14ac:dyDescent="0.2"/>
    <row r="47467" s="689" customFormat="1" x14ac:dyDescent="0.2"/>
    <row r="47468" s="689" customFormat="1" x14ac:dyDescent="0.2"/>
    <row r="47469" s="689" customFormat="1" x14ac:dyDescent="0.2"/>
    <row r="47470" s="689" customFormat="1" x14ac:dyDescent="0.2"/>
    <row r="47471" s="689" customFormat="1" x14ac:dyDescent="0.2"/>
    <row r="47472" s="689" customFormat="1" x14ac:dyDescent="0.2"/>
    <row r="47473" s="689" customFormat="1" x14ac:dyDescent="0.2"/>
    <row r="47474" s="689" customFormat="1" x14ac:dyDescent="0.2"/>
    <row r="47475" s="689" customFormat="1" x14ac:dyDescent="0.2"/>
    <row r="47476" s="689" customFormat="1" x14ac:dyDescent="0.2"/>
    <row r="47477" s="689" customFormat="1" x14ac:dyDescent="0.2"/>
    <row r="47478" s="689" customFormat="1" x14ac:dyDescent="0.2"/>
    <row r="47479" s="689" customFormat="1" x14ac:dyDescent="0.2"/>
    <row r="47480" s="689" customFormat="1" x14ac:dyDescent="0.2"/>
    <row r="47481" s="689" customFormat="1" x14ac:dyDescent="0.2"/>
    <row r="47482" s="689" customFormat="1" x14ac:dyDescent="0.2"/>
    <row r="47483" s="689" customFormat="1" x14ac:dyDescent="0.2"/>
    <row r="47484" s="689" customFormat="1" x14ac:dyDescent="0.2"/>
    <row r="47485" s="689" customFormat="1" x14ac:dyDescent="0.2"/>
    <row r="47486" s="689" customFormat="1" x14ac:dyDescent="0.2"/>
    <row r="47487" s="689" customFormat="1" x14ac:dyDescent="0.2"/>
    <row r="47488" s="689" customFormat="1" x14ac:dyDescent="0.2"/>
    <row r="47489" s="689" customFormat="1" x14ac:dyDescent="0.2"/>
    <row r="47490" s="689" customFormat="1" x14ac:dyDescent="0.2"/>
    <row r="47491" s="689" customFormat="1" x14ac:dyDescent="0.2"/>
    <row r="47492" s="689" customFormat="1" x14ac:dyDescent="0.2"/>
    <row r="47493" s="689" customFormat="1" x14ac:dyDescent="0.2"/>
    <row r="47494" s="689" customFormat="1" x14ac:dyDescent="0.2"/>
    <row r="47495" s="689" customFormat="1" x14ac:dyDescent="0.2"/>
    <row r="47496" s="689" customFormat="1" x14ac:dyDescent="0.2"/>
    <row r="47497" s="689" customFormat="1" x14ac:dyDescent="0.2"/>
    <row r="47498" s="689" customFormat="1" x14ac:dyDescent="0.2"/>
    <row r="47499" s="689" customFormat="1" x14ac:dyDescent="0.2"/>
    <row r="47500" s="689" customFormat="1" x14ac:dyDescent="0.2"/>
    <row r="47501" s="689" customFormat="1" x14ac:dyDescent="0.2"/>
    <row r="47502" s="689" customFormat="1" x14ac:dyDescent="0.2"/>
    <row r="47503" s="689" customFormat="1" x14ac:dyDescent="0.2"/>
    <row r="47504" s="689" customFormat="1" x14ac:dyDescent="0.2"/>
    <row r="47505" s="689" customFormat="1" x14ac:dyDescent="0.2"/>
    <row r="47506" s="689" customFormat="1" x14ac:dyDescent="0.2"/>
    <row r="47507" s="689" customFormat="1" x14ac:dyDescent="0.2"/>
    <row r="47508" s="689" customFormat="1" x14ac:dyDescent="0.2"/>
    <row r="47509" s="689" customFormat="1" x14ac:dyDescent="0.2"/>
    <row r="47510" s="689" customFormat="1" x14ac:dyDescent="0.2"/>
    <row r="47511" s="689" customFormat="1" x14ac:dyDescent="0.2"/>
    <row r="47512" s="689" customFormat="1" x14ac:dyDescent="0.2"/>
    <row r="47513" s="689" customFormat="1" x14ac:dyDescent="0.2"/>
    <row r="47514" s="689" customFormat="1" x14ac:dyDescent="0.2"/>
    <row r="47515" s="689" customFormat="1" x14ac:dyDescent="0.2"/>
    <row r="47516" s="689" customFormat="1" x14ac:dyDescent="0.2"/>
    <row r="47517" s="689" customFormat="1" x14ac:dyDescent="0.2"/>
    <row r="47518" s="689" customFormat="1" x14ac:dyDescent="0.2"/>
    <row r="47519" s="689" customFormat="1" x14ac:dyDescent="0.2"/>
    <row r="47520" s="689" customFormat="1" x14ac:dyDescent="0.2"/>
    <row r="47521" s="689" customFormat="1" x14ac:dyDescent="0.2"/>
    <row r="47522" s="689" customFormat="1" x14ac:dyDescent="0.2"/>
    <row r="47523" s="689" customFormat="1" x14ac:dyDescent="0.2"/>
    <row r="47524" s="689" customFormat="1" x14ac:dyDescent="0.2"/>
    <row r="47525" s="689" customFormat="1" x14ac:dyDescent="0.2"/>
    <row r="47526" s="689" customFormat="1" x14ac:dyDescent="0.2"/>
    <row r="47527" s="689" customFormat="1" x14ac:dyDescent="0.2"/>
    <row r="47528" s="689" customFormat="1" x14ac:dyDescent="0.2"/>
    <row r="47529" s="689" customFormat="1" x14ac:dyDescent="0.2"/>
    <row r="47530" s="689" customFormat="1" x14ac:dyDescent="0.2"/>
    <row r="47531" s="689" customFormat="1" x14ac:dyDescent="0.2"/>
    <row r="47532" s="689" customFormat="1" x14ac:dyDescent="0.2"/>
    <row r="47533" s="689" customFormat="1" x14ac:dyDescent="0.2"/>
    <row r="47534" s="689" customFormat="1" x14ac:dyDescent="0.2"/>
    <row r="47535" s="689" customFormat="1" x14ac:dyDescent="0.2"/>
    <row r="47536" s="689" customFormat="1" x14ac:dyDescent="0.2"/>
    <row r="47537" s="689" customFormat="1" x14ac:dyDescent="0.2"/>
    <row r="47538" s="689" customFormat="1" x14ac:dyDescent="0.2"/>
    <row r="47539" s="689" customFormat="1" x14ac:dyDescent="0.2"/>
    <row r="47540" s="689" customFormat="1" x14ac:dyDescent="0.2"/>
    <row r="47541" s="689" customFormat="1" x14ac:dyDescent="0.2"/>
    <row r="47542" s="689" customFormat="1" x14ac:dyDescent="0.2"/>
    <row r="47543" s="689" customFormat="1" x14ac:dyDescent="0.2"/>
    <row r="47544" s="689" customFormat="1" x14ac:dyDescent="0.2"/>
    <row r="47545" s="689" customFormat="1" x14ac:dyDescent="0.2"/>
    <row r="47546" s="689" customFormat="1" x14ac:dyDescent="0.2"/>
    <row r="47547" s="689" customFormat="1" x14ac:dyDescent="0.2"/>
    <row r="47548" s="689" customFormat="1" x14ac:dyDescent="0.2"/>
    <row r="47549" s="689" customFormat="1" x14ac:dyDescent="0.2"/>
    <row r="47550" s="689" customFormat="1" x14ac:dyDescent="0.2"/>
    <row r="47551" s="689" customFormat="1" x14ac:dyDescent="0.2"/>
    <row r="47552" s="689" customFormat="1" x14ac:dyDescent="0.2"/>
    <row r="47553" s="689" customFormat="1" x14ac:dyDescent="0.2"/>
    <row r="47554" s="689" customFormat="1" x14ac:dyDescent="0.2"/>
    <row r="47555" s="689" customFormat="1" x14ac:dyDescent="0.2"/>
    <row r="47556" s="689" customFormat="1" x14ac:dyDescent="0.2"/>
    <row r="47557" s="689" customFormat="1" x14ac:dyDescent="0.2"/>
    <row r="47558" s="689" customFormat="1" x14ac:dyDescent="0.2"/>
    <row r="47559" s="689" customFormat="1" x14ac:dyDescent="0.2"/>
    <row r="47560" s="689" customFormat="1" x14ac:dyDescent="0.2"/>
    <row r="47561" s="689" customFormat="1" x14ac:dyDescent="0.2"/>
    <row r="47562" s="689" customFormat="1" x14ac:dyDescent="0.2"/>
    <row r="47563" s="689" customFormat="1" x14ac:dyDescent="0.2"/>
    <row r="47564" s="689" customFormat="1" x14ac:dyDescent="0.2"/>
    <row r="47565" s="689" customFormat="1" x14ac:dyDescent="0.2"/>
    <row r="47566" s="689" customFormat="1" x14ac:dyDescent="0.2"/>
    <row r="47567" s="689" customFormat="1" x14ac:dyDescent="0.2"/>
    <row r="47568" s="689" customFormat="1" x14ac:dyDescent="0.2"/>
    <row r="47569" s="689" customFormat="1" x14ac:dyDescent="0.2"/>
    <row r="47570" s="689" customFormat="1" x14ac:dyDescent="0.2"/>
    <row r="47571" s="689" customFormat="1" x14ac:dyDescent="0.2"/>
    <row r="47572" s="689" customFormat="1" x14ac:dyDescent="0.2"/>
    <row r="47573" s="689" customFormat="1" x14ac:dyDescent="0.2"/>
    <row r="47574" s="689" customFormat="1" x14ac:dyDescent="0.2"/>
    <row r="47575" s="689" customFormat="1" x14ac:dyDescent="0.2"/>
    <row r="47576" s="689" customFormat="1" x14ac:dyDescent="0.2"/>
    <row r="47577" s="689" customFormat="1" x14ac:dyDescent="0.2"/>
    <row r="47578" s="689" customFormat="1" x14ac:dyDescent="0.2"/>
    <row r="47579" s="689" customFormat="1" x14ac:dyDescent="0.2"/>
    <row r="47580" s="689" customFormat="1" x14ac:dyDescent="0.2"/>
    <row r="47581" s="689" customFormat="1" x14ac:dyDescent="0.2"/>
    <row r="47582" s="689" customFormat="1" x14ac:dyDescent="0.2"/>
    <row r="47583" s="689" customFormat="1" x14ac:dyDescent="0.2"/>
    <row r="47584" s="689" customFormat="1" x14ac:dyDescent="0.2"/>
    <row r="47585" s="689" customFormat="1" x14ac:dyDescent="0.2"/>
    <row r="47586" s="689" customFormat="1" x14ac:dyDescent="0.2"/>
    <row r="47587" s="689" customFormat="1" x14ac:dyDescent="0.2"/>
    <row r="47588" s="689" customFormat="1" x14ac:dyDescent="0.2"/>
    <row r="47589" s="689" customFormat="1" x14ac:dyDescent="0.2"/>
    <row r="47590" s="689" customFormat="1" x14ac:dyDescent="0.2"/>
    <row r="47591" s="689" customFormat="1" x14ac:dyDescent="0.2"/>
    <row r="47592" s="689" customFormat="1" x14ac:dyDescent="0.2"/>
    <row r="47593" s="689" customFormat="1" x14ac:dyDescent="0.2"/>
    <row r="47594" s="689" customFormat="1" x14ac:dyDescent="0.2"/>
    <row r="47595" s="689" customFormat="1" x14ac:dyDescent="0.2"/>
    <row r="47596" s="689" customFormat="1" x14ac:dyDescent="0.2"/>
    <row r="47597" s="689" customFormat="1" x14ac:dyDescent="0.2"/>
    <row r="47598" s="689" customFormat="1" x14ac:dyDescent="0.2"/>
    <row r="47599" s="689" customFormat="1" x14ac:dyDescent="0.2"/>
    <row r="47600" s="689" customFormat="1" x14ac:dyDescent="0.2"/>
    <row r="47601" s="689" customFormat="1" x14ac:dyDescent="0.2"/>
    <row r="47602" s="689" customFormat="1" x14ac:dyDescent="0.2"/>
    <row r="47603" s="689" customFormat="1" x14ac:dyDescent="0.2"/>
    <row r="47604" s="689" customFormat="1" x14ac:dyDescent="0.2"/>
    <row r="47605" s="689" customFormat="1" x14ac:dyDescent="0.2"/>
    <row r="47606" s="689" customFormat="1" x14ac:dyDescent="0.2"/>
    <row r="47607" s="689" customFormat="1" x14ac:dyDescent="0.2"/>
    <row r="47608" s="689" customFormat="1" x14ac:dyDescent="0.2"/>
    <row r="47609" s="689" customFormat="1" x14ac:dyDescent="0.2"/>
    <row r="47610" s="689" customFormat="1" x14ac:dyDescent="0.2"/>
    <row r="47611" s="689" customFormat="1" x14ac:dyDescent="0.2"/>
    <row r="47612" s="689" customFormat="1" x14ac:dyDescent="0.2"/>
    <row r="47613" s="689" customFormat="1" x14ac:dyDescent="0.2"/>
    <row r="47614" s="689" customFormat="1" x14ac:dyDescent="0.2"/>
    <row r="47615" s="689" customFormat="1" x14ac:dyDescent="0.2"/>
    <row r="47616" s="689" customFormat="1" x14ac:dyDescent="0.2"/>
    <row r="47617" s="689" customFormat="1" x14ac:dyDescent="0.2"/>
    <row r="47618" s="689" customFormat="1" x14ac:dyDescent="0.2"/>
    <row r="47619" s="689" customFormat="1" x14ac:dyDescent="0.2"/>
    <row r="47620" s="689" customFormat="1" x14ac:dyDescent="0.2"/>
    <row r="47621" s="689" customFormat="1" x14ac:dyDescent="0.2"/>
    <row r="47622" s="689" customFormat="1" x14ac:dyDescent="0.2"/>
    <row r="47623" s="689" customFormat="1" x14ac:dyDescent="0.2"/>
    <row r="47624" s="689" customFormat="1" x14ac:dyDescent="0.2"/>
    <row r="47625" s="689" customFormat="1" x14ac:dyDescent="0.2"/>
    <row r="47626" s="689" customFormat="1" x14ac:dyDescent="0.2"/>
    <row r="47627" s="689" customFormat="1" x14ac:dyDescent="0.2"/>
    <row r="47628" s="689" customFormat="1" x14ac:dyDescent="0.2"/>
    <row r="47629" s="689" customFormat="1" x14ac:dyDescent="0.2"/>
    <row r="47630" s="689" customFormat="1" x14ac:dyDescent="0.2"/>
    <row r="47631" s="689" customFormat="1" x14ac:dyDescent="0.2"/>
    <row r="47632" s="689" customFormat="1" x14ac:dyDescent="0.2"/>
    <row r="47633" s="689" customFormat="1" x14ac:dyDescent="0.2"/>
    <row r="47634" s="689" customFormat="1" x14ac:dyDescent="0.2"/>
    <row r="47635" s="689" customFormat="1" x14ac:dyDescent="0.2"/>
    <row r="47636" s="689" customFormat="1" x14ac:dyDescent="0.2"/>
    <row r="47637" s="689" customFormat="1" x14ac:dyDescent="0.2"/>
    <row r="47638" s="689" customFormat="1" x14ac:dyDescent="0.2"/>
    <row r="47639" s="689" customFormat="1" x14ac:dyDescent="0.2"/>
    <row r="47640" s="689" customFormat="1" x14ac:dyDescent="0.2"/>
    <row r="47641" s="689" customFormat="1" x14ac:dyDescent="0.2"/>
    <row r="47642" s="689" customFormat="1" x14ac:dyDescent="0.2"/>
    <row r="47643" s="689" customFormat="1" x14ac:dyDescent="0.2"/>
    <row r="47644" s="689" customFormat="1" x14ac:dyDescent="0.2"/>
    <row r="47645" s="689" customFormat="1" x14ac:dyDescent="0.2"/>
    <row r="47646" s="689" customFormat="1" x14ac:dyDescent="0.2"/>
    <row r="47647" s="689" customFormat="1" x14ac:dyDescent="0.2"/>
    <row r="47648" s="689" customFormat="1" x14ac:dyDescent="0.2"/>
    <row r="47649" s="689" customFormat="1" x14ac:dyDescent="0.2"/>
    <row r="47650" s="689" customFormat="1" x14ac:dyDescent="0.2"/>
    <row r="47651" s="689" customFormat="1" x14ac:dyDescent="0.2"/>
    <row r="47652" s="689" customFormat="1" x14ac:dyDescent="0.2"/>
    <row r="47653" s="689" customFormat="1" x14ac:dyDescent="0.2"/>
    <row r="47654" s="689" customFormat="1" x14ac:dyDescent="0.2"/>
    <row r="47655" s="689" customFormat="1" x14ac:dyDescent="0.2"/>
    <row r="47656" s="689" customFormat="1" x14ac:dyDescent="0.2"/>
    <row r="47657" s="689" customFormat="1" x14ac:dyDescent="0.2"/>
    <row r="47658" s="689" customFormat="1" x14ac:dyDescent="0.2"/>
    <row r="47659" s="689" customFormat="1" x14ac:dyDescent="0.2"/>
    <row r="47660" s="689" customFormat="1" x14ac:dyDescent="0.2"/>
    <row r="47661" s="689" customFormat="1" x14ac:dyDescent="0.2"/>
    <row r="47662" s="689" customFormat="1" x14ac:dyDescent="0.2"/>
    <row r="47663" s="689" customFormat="1" x14ac:dyDescent="0.2"/>
    <row r="47664" s="689" customFormat="1" x14ac:dyDescent="0.2"/>
    <row r="47665" s="689" customFormat="1" x14ac:dyDescent="0.2"/>
    <row r="47666" s="689" customFormat="1" x14ac:dyDescent="0.2"/>
    <row r="47667" s="689" customFormat="1" x14ac:dyDescent="0.2"/>
    <row r="47668" s="689" customFormat="1" x14ac:dyDescent="0.2"/>
    <row r="47669" s="689" customFormat="1" x14ac:dyDescent="0.2"/>
    <row r="47670" s="689" customFormat="1" x14ac:dyDescent="0.2"/>
    <row r="47671" s="689" customFormat="1" x14ac:dyDescent="0.2"/>
    <row r="47672" s="689" customFormat="1" x14ac:dyDescent="0.2"/>
    <row r="47673" s="689" customFormat="1" x14ac:dyDescent="0.2"/>
    <row r="47674" s="689" customFormat="1" x14ac:dyDescent="0.2"/>
    <row r="47675" s="689" customFormat="1" x14ac:dyDescent="0.2"/>
    <row r="47676" s="689" customFormat="1" x14ac:dyDescent="0.2"/>
    <row r="47677" s="689" customFormat="1" x14ac:dyDescent="0.2"/>
    <row r="47678" s="689" customFormat="1" x14ac:dyDescent="0.2"/>
    <row r="47679" s="689" customFormat="1" x14ac:dyDescent="0.2"/>
    <row r="47680" s="689" customFormat="1" x14ac:dyDescent="0.2"/>
    <row r="47681" s="689" customFormat="1" x14ac:dyDescent="0.2"/>
    <row r="47682" s="689" customFormat="1" x14ac:dyDescent="0.2"/>
    <row r="47683" s="689" customFormat="1" x14ac:dyDescent="0.2"/>
    <row r="47684" s="689" customFormat="1" x14ac:dyDescent="0.2"/>
    <row r="47685" s="689" customFormat="1" x14ac:dyDescent="0.2"/>
    <row r="47686" s="689" customFormat="1" x14ac:dyDescent="0.2"/>
    <row r="47687" s="689" customFormat="1" x14ac:dyDescent="0.2"/>
    <row r="47688" s="689" customFormat="1" x14ac:dyDescent="0.2"/>
    <row r="47689" s="689" customFormat="1" x14ac:dyDescent="0.2"/>
    <row r="47690" s="689" customFormat="1" x14ac:dyDescent="0.2"/>
    <row r="47691" s="689" customFormat="1" x14ac:dyDescent="0.2"/>
    <row r="47692" s="689" customFormat="1" x14ac:dyDescent="0.2"/>
    <row r="47693" s="689" customFormat="1" x14ac:dyDescent="0.2"/>
    <row r="47694" s="689" customFormat="1" x14ac:dyDescent="0.2"/>
    <row r="47695" s="689" customFormat="1" x14ac:dyDescent="0.2"/>
    <row r="47696" s="689" customFormat="1" x14ac:dyDescent="0.2"/>
    <row r="47697" s="689" customFormat="1" x14ac:dyDescent="0.2"/>
    <row r="47698" s="689" customFormat="1" x14ac:dyDescent="0.2"/>
    <row r="47699" s="689" customFormat="1" x14ac:dyDescent="0.2"/>
    <row r="47700" s="689" customFormat="1" x14ac:dyDescent="0.2"/>
    <row r="47701" s="689" customFormat="1" x14ac:dyDescent="0.2"/>
    <row r="47702" s="689" customFormat="1" x14ac:dyDescent="0.2"/>
    <row r="47703" s="689" customFormat="1" x14ac:dyDescent="0.2"/>
    <row r="47704" s="689" customFormat="1" x14ac:dyDescent="0.2"/>
    <row r="47705" s="689" customFormat="1" x14ac:dyDescent="0.2"/>
    <row r="47706" s="689" customFormat="1" x14ac:dyDescent="0.2"/>
    <row r="47707" s="689" customFormat="1" x14ac:dyDescent="0.2"/>
    <row r="47708" s="689" customFormat="1" x14ac:dyDescent="0.2"/>
    <row r="47709" s="689" customFormat="1" x14ac:dyDescent="0.2"/>
    <row r="47710" s="689" customFormat="1" x14ac:dyDescent="0.2"/>
    <row r="47711" s="689" customFormat="1" x14ac:dyDescent="0.2"/>
    <row r="47712" s="689" customFormat="1" x14ac:dyDescent="0.2"/>
    <row r="47713" s="689" customFormat="1" x14ac:dyDescent="0.2"/>
    <row r="47714" s="689" customFormat="1" x14ac:dyDescent="0.2"/>
    <row r="47715" s="689" customFormat="1" x14ac:dyDescent="0.2"/>
    <row r="47716" s="689" customFormat="1" x14ac:dyDescent="0.2"/>
    <row r="47717" s="689" customFormat="1" x14ac:dyDescent="0.2"/>
    <row r="47718" s="689" customFormat="1" x14ac:dyDescent="0.2"/>
    <row r="47719" s="689" customFormat="1" x14ac:dyDescent="0.2"/>
    <row r="47720" s="689" customFormat="1" x14ac:dyDescent="0.2"/>
    <row r="47721" s="689" customFormat="1" x14ac:dyDescent="0.2"/>
    <row r="47722" s="689" customFormat="1" x14ac:dyDescent="0.2"/>
    <row r="47723" s="689" customFormat="1" x14ac:dyDescent="0.2"/>
    <row r="47724" s="689" customFormat="1" x14ac:dyDescent="0.2"/>
    <row r="47725" s="689" customFormat="1" x14ac:dyDescent="0.2"/>
    <row r="47726" s="689" customFormat="1" x14ac:dyDescent="0.2"/>
    <row r="47727" s="689" customFormat="1" x14ac:dyDescent="0.2"/>
    <row r="47728" s="689" customFormat="1" x14ac:dyDescent="0.2"/>
    <row r="47729" s="689" customFormat="1" x14ac:dyDescent="0.2"/>
    <row r="47730" s="689" customFormat="1" x14ac:dyDescent="0.2"/>
    <row r="47731" s="689" customFormat="1" x14ac:dyDescent="0.2"/>
    <row r="47732" s="689" customFormat="1" x14ac:dyDescent="0.2"/>
    <row r="47733" s="689" customFormat="1" x14ac:dyDescent="0.2"/>
    <row r="47734" s="689" customFormat="1" x14ac:dyDescent="0.2"/>
    <row r="47735" s="689" customFormat="1" x14ac:dyDescent="0.2"/>
    <row r="47736" s="689" customFormat="1" x14ac:dyDescent="0.2"/>
    <row r="47737" s="689" customFormat="1" x14ac:dyDescent="0.2"/>
    <row r="47738" s="689" customFormat="1" x14ac:dyDescent="0.2"/>
    <row r="47739" s="689" customFormat="1" x14ac:dyDescent="0.2"/>
    <row r="47740" s="689" customFormat="1" x14ac:dyDescent="0.2"/>
    <row r="47741" s="689" customFormat="1" x14ac:dyDescent="0.2"/>
    <row r="47742" s="689" customFormat="1" x14ac:dyDescent="0.2"/>
    <row r="47743" s="689" customFormat="1" x14ac:dyDescent="0.2"/>
    <row r="47744" s="689" customFormat="1" x14ac:dyDescent="0.2"/>
    <row r="47745" s="689" customFormat="1" x14ac:dyDescent="0.2"/>
    <row r="47746" s="689" customFormat="1" x14ac:dyDescent="0.2"/>
    <row r="47747" s="689" customFormat="1" x14ac:dyDescent="0.2"/>
    <row r="47748" s="689" customFormat="1" x14ac:dyDescent="0.2"/>
    <row r="47749" s="689" customFormat="1" x14ac:dyDescent="0.2"/>
    <row r="47750" s="689" customFormat="1" x14ac:dyDescent="0.2"/>
    <row r="47751" s="689" customFormat="1" x14ac:dyDescent="0.2"/>
    <row r="47752" s="689" customFormat="1" x14ac:dyDescent="0.2"/>
    <row r="47753" s="689" customFormat="1" x14ac:dyDescent="0.2"/>
    <row r="47754" s="689" customFormat="1" x14ac:dyDescent="0.2"/>
    <row r="47755" s="689" customFormat="1" x14ac:dyDescent="0.2"/>
    <row r="47756" s="689" customFormat="1" x14ac:dyDescent="0.2"/>
    <row r="47757" s="689" customFormat="1" x14ac:dyDescent="0.2"/>
    <row r="47758" s="689" customFormat="1" x14ac:dyDescent="0.2"/>
    <row r="47759" s="689" customFormat="1" x14ac:dyDescent="0.2"/>
    <row r="47760" s="689" customFormat="1" x14ac:dyDescent="0.2"/>
    <row r="47761" s="689" customFormat="1" x14ac:dyDescent="0.2"/>
    <row r="47762" s="689" customFormat="1" x14ac:dyDescent="0.2"/>
    <row r="47763" s="689" customFormat="1" x14ac:dyDescent="0.2"/>
    <row r="47764" s="689" customFormat="1" x14ac:dyDescent="0.2"/>
    <row r="47765" s="689" customFormat="1" x14ac:dyDescent="0.2"/>
    <row r="47766" s="689" customFormat="1" x14ac:dyDescent="0.2"/>
    <row r="47767" s="689" customFormat="1" x14ac:dyDescent="0.2"/>
    <row r="47768" s="689" customFormat="1" x14ac:dyDescent="0.2"/>
    <row r="47769" s="689" customFormat="1" x14ac:dyDescent="0.2"/>
    <row r="47770" s="689" customFormat="1" x14ac:dyDescent="0.2"/>
    <row r="47771" s="689" customFormat="1" x14ac:dyDescent="0.2"/>
    <row r="47772" s="689" customFormat="1" x14ac:dyDescent="0.2"/>
    <row r="47773" s="689" customFormat="1" x14ac:dyDescent="0.2"/>
    <row r="47774" s="689" customFormat="1" x14ac:dyDescent="0.2"/>
    <row r="47775" s="689" customFormat="1" x14ac:dyDescent="0.2"/>
    <row r="47776" s="689" customFormat="1" x14ac:dyDescent="0.2"/>
    <row r="47777" s="689" customFormat="1" x14ac:dyDescent="0.2"/>
    <row r="47778" s="689" customFormat="1" x14ac:dyDescent="0.2"/>
    <row r="47779" s="689" customFormat="1" x14ac:dyDescent="0.2"/>
    <row r="47780" s="689" customFormat="1" x14ac:dyDescent="0.2"/>
    <row r="47781" s="689" customFormat="1" x14ac:dyDescent="0.2"/>
    <row r="47782" s="689" customFormat="1" x14ac:dyDescent="0.2"/>
    <row r="47783" s="689" customFormat="1" x14ac:dyDescent="0.2"/>
    <row r="47784" s="689" customFormat="1" x14ac:dyDescent="0.2"/>
    <row r="47785" s="689" customFormat="1" x14ac:dyDescent="0.2"/>
    <row r="47786" s="689" customFormat="1" x14ac:dyDescent="0.2"/>
    <row r="47787" s="689" customFormat="1" x14ac:dyDescent="0.2"/>
    <row r="47788" s="689" customFormat="1" x14ac:dyDescent="0.2"/>
    <row r="47789" s="689" customFormat="1" x14ac:dyDescent="0.2"/>
    <row r="47790" s="689" customFormat="1" x14ac:dyDescent="0.2"/>
    <row r="47791" s="689" customFormat="1" x14ac:dyDescent="0.2"/>
    <row r="47792" s="689" customFormat="1" x14ac:dyDescent="0.2"/>
    <row r="47793" s="689" customFormat="1" x14ac:dyDescent="0.2"/>
    <row r="47794" s="689" customFormat="1" x14ac:dyDescent="0.2"/>
    <row r="47795" s="689" customFormat="1" x14ac:dyDescent="0.2"/>
    <row r="47796" s="689" customFormat="1" x14ac:dyDescent="0.2"/>
    <row r="47797" s="689" customFormat="1" x14ac:dyDescent="0.2"/>
    <row r="47798" s="689" customFormat="1" x14ac:dyDescent="0.2"/>
    <row r="47799" s="689" customFormat="1" x14ac:dyDescent="0.2"/>
    <row r="47800" s="689" customFormat="1" x14ac:dyDescent="0.2"/>
    <row r="47801" s="689" customFormat="1" x14ac:dyDescent="0.2"/>
    <row r="47802" s="689" customFormat="1" x14ac:dyDescent="0.2"/>
    <row r="47803" s="689" customFormat="1" x14ac:dyDescent="0.2"/>
    <row r="47804" s="689" customFormat="1" x14ac:dyDescent="0.2"/>
    <row r="47805" s="689" customFormat="1" x14ac:dyDescent="0.2"/>
    <row r="47806" s="689" customFormat="1" x14ac:dyDescent="0.2"/>
    <row r="47807" s="689" customFormat="1" x14ac:dyDescent="0.2"/>
    <row r="47808" s="689" customFormat="1" x14ac:dyDescent="0.2"/>
    <row r="47809" s="689" customFormat="1" x14ac:dyDescent="0.2"/>
    <row r="47810" s="689" customFormat="1" x14ac:dyDescent="0.2"/>
    <row r="47811" s="689" customFormat="1" x14ac:dyDescent="0.2"/>
    <row r="47812" s="689" customFormat="1" x14ac:dyDescent="0.2"/>
    <row r="47813" s="689" customFormat="1" x14ac:dyDescent="0.2"/>
    <row r="47814" s="689" customFormat="1" x14ac:dyDescent="0.2"/>
    <row r="47815" s="689" customFormat="1" x14ac:dyDescent="0.2"/>
    <row r="47816" s="689" customFormat="1" x14ac:dyDescent="0.2"/>
    <row r="47817" s="689" customFormat="1" x14ac:dyDescent="0.2"/>
    <row r="47818" s="689" customFormat="1" x14ac:dyDescent="0.2"/>
    <row r="47819" s="689" customFormat="1" x14ac:dyDescent="0.2"/>
    <row r="47820" s="689" customFormat="1" x14ac:dyDescent="0.2"/>
    <row r="47821" s="689" customFormat="1" x14ac:dyDescent="0.2"/>
    <row r="47822" s="689" customFormat="1" x14ac:dyDescent="0.2"/>
    <row r="47823" s="689" customFormat="1" x14ac:dyDescent="0.2"/>
    <row r="47824" s="689" customFormat="1" x14ac:dyDescent="0.2"/>
    <row r="47825" s="689" customFormat="1" x14ac:dyDescent="0.2"/>
    <row r="47826" s="689" customFormat="1" x14ac:dyDescent="0.2"/>
    <row r="47827" s="689" customFormat="1" x14ac:dyDescent="0.2"/>
    <row r="47828" s="689" customFormat="1" x14ac:dyDescent="0.2"/>
    <row r="47829" s="689" customFormat="1" x14ac:dyDescent="0.2"/>
    <row r="47830" s="689" customFormat="1" x14ac:dyDescent="0.2"/>
    <row r="47831" s="689" customFormat="1" x14ac:dyDescent="0.2"/>
    <row r="47832" s="689" customFormat="1" x14ac:dyDescent="0.2"/>
    <row r="47833" s="689" customFormat="1" x14ac:dyDescent="0.2"/>
    <row r="47834" s="689" customFormat="1" x14ac:dyDescent="0.2"/>
    <row r="47835" s="689" customFormat="1" x14ac:dyDescent="0.2"/>
    <row r="47836" s="689" customFormat="1" x14ac:dyDescent="0.2"/>
    <row r="47837" s="689" customFormat="1" x14ac:dyDescent="0.2"/>
    <row r="47838" s="689" customFormat="1" x14ac:dyDescent="0.2"/>
    <row r="47839" s="689" customFormat="1" x14ac:dyDescent="0.2"/>
    <row r="47840" s="689" customFormat="1" x14ac:dyDescent="0.2"/>
    <row r="47841" s="689" customFormat="1" x14ac:dyDescent="0.2"/>
    <row r="47842" s="689" customFormat="1" x14ac:dyDescent="0.2"/>
    <row r="47843" s="689" customFormat="1" x14ac:dyDescent="0.2"/>
    <row r="47844" s="689" customFormat="1" x14ac:dyDescent="0.2"/>
    <row r="47845" s="689" customFormat="1" x14ac:dyDescent="0.2"/>
    <row r="47846" s="689" customFormat="1" x14ac:dyDescent="0.2"/>
    <row r="47847" s="689" customFormat="1" x14ac:dyDescent="0.2"/>
    <row r="47848" s="689" customFormat="1" x14ac:dyDescent="0.2"/>
    <row r="47849" s="689" customFormat="1" x14ac:dyDescent="0.2"/>
    <row r="47850" s="689" customFormat="1" x14ac:dyDescent="0.2"/>
    <row r="47851" s="689" customFormat="1" x14ac:dyDescent="0.2"/>
    <row r="47852" s="689" customFormat="1" x14ac:dyDescent="0.2"/>
    <row r="47853" s="689" customFormat="1" x14ac:dyDescent="0.2"/>
    <row r="47854" s="689" customFormat="1" x14ac:dyDescent="0.2"/>
    <row r="47855" s="689" customFormat="1" x14ac:dyDescent="0.2"/>
    <row r="47856" s="689" customFormat="1" x14ac:dyDescent="0.2"/>
    <row r="47857" s="689" customFormat="1" x14ac:dyDescent="0.2"/>
    <row r="47858" s="689" customFormat="1" x14ac:dyDescent="0.2"/>
    <row r="47859" s="689" customFormat="1" x14ac:dyDescent="0.2"/>
    <row r="47860" s="689" customFormat="1" x14ac:dyDescent="0.2"/>
    <row r="47861" s="689" customFormat="1" x14ac:dyDescent="0.2"/>
    <row r="47862" s="689" customFormat="1" x14ac:dyDescent="0.2"/>
    <row r="47863" s="689" customFormat="1" x14ac:dyDescent="0.2"/>
    <row r="47864" s="689" customFormat="1" x14ac:dyDescent="0.2"/>
    <row r="47865" s="689" customFormat="1" x14ac:dyDescent="0.2"/>
    <row r="47866" s="689" customFormat="1" x14ac:dyDescent="0.2"/>
    <row r="47867" s="689" customFormat="1" x14ac:dyDescent="0.2"/>
    <row r="47868" s="689" customFormat="1" x14ac:dyDescent="0.2"/>
    <row r="47869" s="689" customFormat="1" x14ac:dyDescent="0.2"/>
    <row r="47870" s="689" customFormat="1" x14ac:dyDescent="0.2"/>
    <row r="47871" s="689" customFormat="1" x14ac:dyDescent="0.2"/>
    <row r="47872" s="689" customFormat="1" x14ac:dyDescent="0.2"/>
    <row r="47873" s="689" customFormat="1" x14ac:dyDescent="0.2"/>
    <row r="47874" s="689" customFormat="1" x14ac:dyDescent="0.2"/>
    <row r="47875" s="689" customFormat="1" x14ac:dyDescent="0.2"/>
    <row r="47876" s="689" customFormat="1" x14ac:dyDescent="0.2"/>
    <row r="47877" s="689" customFormat="1" x14ac:dyDescent="0.2"/>
    <row r="47878" s="689" customFormat="1" x14ac:dyDescent="0.2"/>
    <row r="47879" s="689" customFormat="1" x14ac:dyDescent="0.2"/>
    <row r="47880" s="689" customFormat="1" x14ac:dyDescent="0.2"/>
    <row r="47881" s="689" customFormat="1" x14ac:dyDescent="0.2"/>
    <row r="47882" s="689" customFormat="1" x14ac:dyDescent="0.2"/>
    <row r="47883" s="689" customFormat="1" x14ac:dyDescent="0.2"/>
    <row r="47884" s="689" customFormat="1" x14ac:dyDescent="0.2"/>
    <row r="47885" s="689" customFormat="1" x14ac:dyDescent="0.2"/>
    <row r="47886" s="689" customFormat="1" x14ac:dyDescent="0.2"/>
    <row r="47887" s="689" customFormat="1" x14ac:dyDescent="0.2"/>
    <row r="47888" s="689" customFormat="1" x14ac:dyDescent="0.2"/>
    <row r="47889" s="689" customFormat="1" x14ac:dyDescent="0.2"/>
    <row r="47890" s="689" customFormat="1" x14ac:dyDescent="0.2"/>
    <row r="47891" s="689" customFormat="1" x14ac:dyDescent="0.2"/>
    <row r="47892" s="689" customFormat="1" x14ac:dyDescent="0.2"/>
    <row r="47893" s="689" customFormat="1" x14ac:dyDescent="0.2"/>
    <row r="47894" s="689" customFormat="1" x14ac:dyDescent="0.2"/>
    <row r="47895" s="689" customFormat="1" x14ac:dyDescent="0.2"/>
    <row r="47896" s="689" customFormat="1" x14ac:dyDescent="0.2"/>
    <row r="47897" s="689" customFormat="1" x14ac:dyDescent="0.2"/>
    <row r="47898" s="689" customFormat="1" x14ac:dyDescent="0.2"/>
    <row r="47899" s="689" customFormat="1" x14ac:dyDescent="0.2"/>
    <row r="47900" s="689" customFormat="1" x14ac:dyDescent="0.2"/>
    <row r="47901" s="689" customFormat="1" x14ac:dyDescent="0.2"/>
    <row r="47902" s="689" customFormat="1" x14ac:dyDescent="0.2"/>
    <row r="47903" s="689" customFormat="1" x14ac:dyDescent="0.2"/>
    <row r="47904" s="689" customFormat="1" x14ac:dyDescent="0.2"/>
    <row r="47905" s="689" customFormat="1" x14ac:dyDescent="0.2"/>
    <row r="47906" s="689" customFormat="1" x14ac:dyDescent="0.2"/>
    <row r="47907" s="689" customFormat="1" x14ac:dyDescent="0.2"/>
    <row r="47908" s="689" customFormat="1" x14ac:dyDescent="0.2"/>
    <row r="47909" s="689" customFormat="1" x14ac:dyDescent="0.2"/>
    <row r="47910" s="689" customFormat="1" x14ac:dyDescent="0.2"/>
    <row r="47911" s="689" customFormat="1" x14ac:dyDescent="0.2"/>
    <row r="47912" s="689" customFormat="1" x14ac:dyDescent="0.2"/>
    <row r="47913" s="689" customFormat="1" x14ac:dyDescent="0.2"/>
    <row r="47914" s="689" customFormat="1" x14ac:dyDescent="0.2"/>
    <row r="47915" s="689" customFormat="1" x14ac:dyDescent="0.2"/>
    <row r="47916" s="689" customFormat="1" x14ac:dyDescent="0.2"/>
    <row r="47917" s="689" customFormat="1" x14ac:dyDescent="0.2"/>
    <row r="47918" s="689" customFormat="1" x14ac:dyDescent="0.2"/>
    <row r="47919" s="689" customFormat="1" x14ac:dyDescent="0.2"/>
    <row r="47920" s="689" customFormat="1" x14ac:dyDescent="0.2"/>
    <row r="47921" s="689" customFormat="1" x14ac:dyDescent="0.2"/>
    <row r="47922" s="689" customFormat="1" x14ac:dyDescent="0.2"/>
    <row r="47923" s="689" customFormat="1" x14ac:dyDescent="0.2"/>
    <row r="47924" s="689" customFormat="1" x14ac:dyDescent="0.2"/>
    <row r="47925" s="689" customFormat="1" x14ac:dyDescent="0.2"/>
    <row r="47926" s="689" customFormat="1" x14ac:dyDescent="0.2"/>
    <row r="47927" s="689" customFormat="1" x14ac:dyDescent="0.2"/>
    <row r="47928" s="689" customFormat="1" x14ac:dyDescent="0.2"/>
    <row r="47929" s="689" customFormat="1" x14ac:dyDescent="0.2"/>
    <row r="47930" s="689" customFormat="1" x14ac:dyDescent="0.2"/>
    <row r="47931" s="689" customFormat="1" x14ac:dyDescent="0.2"/>
    <row r="47932" s="689" customFormat="1" x14ac:dyDescent="0.2"/>
    <row r="47933" s="689" customFormat="1" x14ac:dyDescent="0.2"/>
    <row r="47934" s="689" customFormat="1" x14ac:dyDescent="0.2"/>
    <row r="47935" s="689" customFormat="1" x14ac:dyDescent="0.2"/>
    <row r="47936" s="689" customFormat="1" x14ac:dyDescent="0.2"/>
    <row r="47937" s="689" customFormat="1" x14ac:dyDescent="0.2"/>
    <row r="47938" s="689" customFormat="1" x14ac:dyDescent="0.2"/>
    <row r="47939" s="689" customFormat="1" x14ac:dyDescent="0.2"/>
    <row r="47940" s="689" customFormat="1" x14ac:dyDescent="0.2"/>
    <row r="47941" s="689" customFormat="1" x14ac:dyDescent="0.2"/>
    <row r="47942" s="689" customFormat="1" x14ac:dyDescent="0.2"/>
    <row r="47943" s="689" customFormat="1" x14ac:dyDescent="0.2"/>
    <row r="47944" s="689" customFormat="1" x14ac:dyDescent="0.2"/>
    <row r="47945" s="689" customFormat="1" x14ac:dyDescent="0.2"/>
    <row r="47946" s="689" customFormat="1" x14ac:dyDescent="0.2"/>
    <row r="47947" s="689" customFormat="1" x14ac:dyDescent="0.2"/>
    <row r="47948" s="689" customFormat="1" x14ac:dyDescent="0.2"/>
    <row r="47949" s="689" customFormat="1" x14ac:dyDescent="0.2"/>
    <row r="47950" s="689" customFormat="1" x14ac:dyDescent="0.2"/>
    <row r="47951" s="689" customFormat="1" x14ac:dyDescent="0.2"/>
    <row r="47952" s="689" customFormat="1" x14ac:dyDescent="0.2"/>
    <row r="47953" s="689" customFormat="1" x14ac:dyDescent="0.2"/>
    <row r="47954" s="689" customFormat="1" x14ac:dyDescent="0.2"/>
    <row r="47955" s="689" customFormat="1" x14ac:dyDescent="0.2"/>
    <row r="47956" s="689" customFormat="1" x14ac:dyDescent="0.2"/>
    <row r="47957" s="689" customFormat="1" x14ac:dyDescent="0.2"/>
    <row r="47958" s="689" customFormat="1" x14ac:dyDescent="0.2"/>
    <row r="47959" s="689" customFormat="1" x14ac:dyDescent="0.2"/>
    <row r="47960" s="689" customFormat="1" x14ac:dyDescent="0.2"/>
    <row r="47961" s="689" customFormat="1" x14ac:dyDescent="0.2"/>
    <row r="47962" s="689" customFormat="1" x14ac:dyDescent="0.2"/>
    <row r="47963" s="689" customFormat="1" x14ac:dyDescent="0.2"/>
    <row r="47964" s="689" customFormat="1" x14ac:dyDescent="0.2"/>
    <row r="47965" s="689" customFormat="1" x14ac:dyDescent="0.2"/>
    <row r="47966" s="689" customFormat="1" x14ac:dyDescent="0.2"/>
    <row r="47967" s="689" customFormat="1" x14ac:dyDescent="0.2"/>
    <row r="47968" s="689" customFormat="1" x14ac:dyDescent="0.2"/>
    <row r="47969" s="689" customFormat="1" x14ac:dyDescent="0.2"/>
    <row r="47970" s="689" customFormat="1" x14ac:dyDescent="0.2"/>
    <row r="47971" s="689" customFormat="1" x14ac:dyDescent="0.2"/>
    <row r="47972" s="689" customFormat="1" x14ac:dyDescent="0.2"/>
    <row r="47973" s="689" customFormat="1" x14ac:dyDescent="0.2"/>
    <row r="47974" s="689" customFormat="1" x14ac:dyDescent="0.2"/>
    <row r="47975" s="689" customFormat="1" x14ac:dyDescent="0.2"/>
    <row r="47976" s="689" customFormat="1" x14ac:dyDescent="0.2"/>
    <row r="47977" s="689" customFormat="1" x14ac:dyDescent="0.2"/>
    <row r="47978" s="689" customFormat="1" x14ac:dyDescent="0.2"/>
    <row r="47979" s="689" customFormat="1" x14ac:dyDescent="0.2"/>
    <row r="47980" s="689" customFormat="1" x14ac:dyDescent="0.2"/>
    <row r="47981" s="689" customFormat="1" x14ac:dyDescent="0.2"/>
    <row r="47982" s="689" customFormat="1" x14ac:dyDescent="0.2"/>
    <row r="47983" s="689" customFormat="1" x14ac:dyDescent="0.2"/>
    <row r="47984" s="689" customFormat="1" x14ac:dyDescent="0.2"/>
    <row r="47985" s="689" customFormat="1" x14ac:dyDescent="0.2"/>
    <row r="47986" s="689" customFormat="1" x14ac:dyDescent="0.2"/>
    <row r="47987" s="689" customFormat="1" x14ac:dyDescent="0.2"/>
    <row r="47988" s="689" customFormat="1" x14ac:dyDescent="0.2"/>
    <row r="47989" s="689" customFormat="1" x14ac:dyDescent="0.2"/>
    <row r="47990" s="689" customFormat="1" x14ac:dyDescent="0.2"/>
    <row r="47991" s="689" customFormat="1" x14ac:dyDescent="0.2"/>
    <row r="47992" s="689" customFormat="1" x14ac:dyDescent="0.2"/>
    <row r="47993" s="689" customFormat="1" x14ac:dyDescent="0.2"/>
    <row r="47994" s="689" customFormat="1" x14ac:dyDescent="0.2"/>
    <row r="47995" s="689" customFormat="1" x14ac:dyDescent="0.2"/>
    <row r="47996" s="689" customFormat="1" x14ac:dyDescent="0.2"/>
    <row r="47997" s="689" customFormat="1" x14ac:dyDescent="0.2"/>
    <row r="47998" s="689" customFormat="1" x14ac:dyDescent="0.2"/>
    <row r="47999" s="689" customFormat="1" x14ac:dyDescent="0.2"/>
    <row r="48000" s="689" customFormat="1" x14ac:dyDescent="0.2"/>
    <row r="48001" s="689" customFormat="1" x14ac:dyDescent="0.2"/>
    <row r="48002" s="689" customFormat="1" x14ac:dyDescent="0.2"/>
    <row r="48003" s="689" customFormat="1" x14ac:dyDescent="0.2"/>
    <row r="48004" s="689" customFormat="1" x14ac:dyDescent="0.2"/>
    <row r="48005" s="689" customFormat="1" x14ac:dyDescent="0.2"/>
    <row r="48006" s="689" customFormat="1" x14ac:dyDescent="0.2"/>
    <row r="48007" s="689" customFormat="1" x14ac:dyDescent="0.2"/>
    <row r="48008" s="689" customFormat="1" x14ac:dyDescent="0.2"/>
    <row r="48009" s="689" customFormat="1" x14ac:dyDescent="0.2"/>
    <row r="48010" s="689" customFormat="1" x14ac:dyDescent="0.2"/>
    <row r="48011" s="689" customFormat="1" x14ac:dyDescent="0.2"/>
    <row r="48012" s="689" customFormat="1" x14ac:dyDescent="0.2"/>
    <row r="48013" s="689" customFormat="1" x14ac:dyDescent="0.2"/>
    <row r="48014" s="689" customFormat="1" x14ac:dyDescent="0.2"/>
    <row r="48015" s="689" customFormat="1" x14ac:dyDescent="0.2"/>
    <row r="48016" s="689" customFormat="1" x14ac:dyDescent="0.2"/>
    <row r="48017" s="689" customFormat="1" x14ac:dyDescent="0.2"/>
    <row r="48018" s="689" customFormat="1" x14ac:dyDescent="0.2"/>
    <row r="48019" s="689" customFormat="1" x14ac:dyDescent="0.2"/>
    <row r="48020" s="689" customFormat="1" x14ac:dyDescent="0.2"/>
    <row r="48021" s="689" customFormat="1" x14ac:dyDescent="0.2"/>
    <row r="48022" s="689" customFormat="1" x14ac:dyDescent="0.2"/>
    <row r="48023" s="689" customFormat="1" x14ac:dyDescent="0.2"/>
    <row r="48024" s="689" customFormat="1" x14ac:dyDescent="0.2"/>
    <row r="48025" s="689" customFormat="1" x14ac:dyDescent="0.2"/>
    <row r="48026" s="689" customFormat="1" x14ac:dyDescent="0.2"/>
    <row r="48027" s="689" customFormat="1" x14ac:dyDescent="0.2"/>
    <row r="48028" s="689" customFormat="1" x14ac:dyDescent="0.2"/>
    <row r="48029" s="689" customFormat="1" x14ac:dyDescent="0.2"/>
    <row r="48030" s="689" customFormat="1" x14ac:dyDescent="0.2"/>
    <row r="48031" s="689" customFormat="1" x14ac:dyDescent="0.2"/>
    <row r="48032" s="689" customFormat="1" x14ac:dyDescent="0.2"/>
    <row r="48033" s="689" customFormat="1" x14ac:dyDescent="0.2"/>
    <row r="48034" s="689" customFormat="1" x14ac:dyDescent="0.2"/>
    <row r="48035" s="689" customFormat="1" x14ac:dyDescent="0.2"/>
    <row r="48036" s="689" customFormat="1" x14ac:dyDescent="0.2"/>
    <row r="48037" s="689" customFormat="1" x14ac:dyDescent="0.2"/>
    <row r="48038" s="689" customFormat="1" x14ac:dyDescent="0.2"/>
    <row r="48039" s="689" customFormat="1" x14ac:dyDescent="0.2"/>
    <row r="48040" s="689" customFormat="1" x14ac:dyDescent="0.2"/>
    <row r="48041" s="689" customFormat="1" x14ac:dyDescent="0.2"/>
    <row r="48042" s="689" customFormat="1" x14ac:dyDescent="0.2"/>
    <row r="48043" s="689" customFormat="1" x14ac:dyDescent="0.2"/>
    <row r="48044" s="689" customFormat="1" x14ac:dyDescent="0.2"/>
    <row r="48045" s="689" customFormat="1" x14ac:dyDescent="0.2"/>
    <row r="48046" s="689" customFormat="1" x14ac:dyDescent="0.2"/>
    <row r="48047" s="689" customFormat="1" x14ac:dyDescent="0.2"/>
    <row r="48048" s="689" customFormat="1" x14ac:dyDescent="0.2"/>
    <row r="48049" s="689" customFormat="1" x14ac:dyDescent="0.2"/>
    <row r="48050" s="689" customFormat="1" x14ac:dyDescent="0.2"/>
    <row r="48051" s="689" customFormat="1" x14ac:dyDescent="0.2"/>
    <row r="48052" s="689" customFormat="1" x14ac:dyDescent="0.2"/>
    <row r="48053" s="689" customFormat="1" x14ac:dyDescent="0.2"/>
    <row r="48054" s="689" customFormat="1" x14ac:dyDescent="0.2"/>
    <row r="48055" s="689" customFormat="1" x14ac:dyDescent="0.2"/>
    <row r="48056" s="689" customFormat="1" x14ac:dyDescent="0.2"/>
    <row r="48057" s="689" customFormat="1" x14ac:dyDescent="0.2"/>
    <row r="48058" s="689" customFormat="1" x14ac:dyDescent="0.2"/>
    <row r="48059" s="689" customFormat="1" x14ac:dyDescent="0.2"/>
    <row r="48060" s="689" customFormat="1" x14ac:dyDescent="0.2"/>
    <row r="48061" s="689" customFormat="1" x14ac:dyDescent="0.2"/>
    <row r="48062" s="689" customFormat="1" x14ac:dyDescent="0.2"/>
    <row r="48063" s="689" customFormat="1" x14ac:dyDescent="0.2"/>
    <row r="48064" s="689" customFormat="1" x14ac:dyDescent="0.2"/>
    <row r="48065" s="689" customFormat="1" x14ac:dyDescent="0.2"/>
    <row r="48066" s="689" customFormat="1" x14ac:dyDescent="0.2"/>
    <row r="48067" s="689" customFormat="1" x14ac:dyDescent="0.2"/>
    <row r="48068" s="689" customFormat="1" x14ac:dyDescent="0.2"/>
    <row r="48069" s="689" customFormat="1" x14ac:dyDescent="0.2"/>
    <row r="48070" s="689" customFormat="1" x14ac:dyDescent="0.2"/>
    <row r="48071" s="689" customFormat="1" x14ac:dyDescent="0.2"/>
    <row r="48072" s="689" customFormat="1" x14ac:dyDescent="0.2"/>
    <row r="48073" s="689" customFormat="1" x14ac:dyDescent="0.2"/>
    <row r="48074" s="689" customFormat="1" x14ac:dyDescent="0.2"/>
    <row r="48075" s="689" customFormat="1" x14ac:dyDescent="0.2"/>
    <row r="48076" s="689" customFormat="1" x14ac:dyDescent="0.2"/>
    <row r="48077" s="689" customFormat="1" x14ac:dyDescent="0.2"/>
    <row r="48078" s="689" customFormat="1" x14ac:dyDescent="0.2"/>
    <row r="48079" s="689" customFormat="1" x14ac:dyDescent="0.2"/>
    <row r="48080" s="689" customFormat="1" x14ac:dyDescent="0.2"/>
    <row r="48081" s="689" customFormat="1" x14ac:dyDescent="0.2"/>
    <row r="48082" s="689" customFormat="1" x14ac:dyDescent="0.2"/>
    <row r="48083" s="689" customFormat="1" x14ac:dyDescent="0.2"/>
    <row r="48084" s="689" customFormat="1" x14ac:dyDescent="0.2"/>
    <row r="48085" s="689" customFormat="1" x14ac:dyDescent="0.2"/>
    <row r="48086" s="689" customFormat="1" x14ac:dyDescent="0.2"/>
    <row r="48087" s="689" customFormat="1" x14ac:dyDescent="0.2"/>
    <row r="48088" s="689" customFormat="1" x14ac:dyDescent="0.2"/>
    <row r="48089" s="689" customFormat="1" x14ac:dyDescent="0.2"/>
    <row r="48090" s="689" customFormat="1" x14ac:dyDescent="0.2"/>
    <row r="48091" s="689" customFormat="1" x14ac:dyDescent="0.2"/>
    <row r="48092" s="689" customFormat="1" x14ac:dyDescent="0.2"/>
    <row r="48093" s="689" customFormat="1" x14ac:dyDescent="0.2"/>
    <row r="48094" s="689" customFormat="1" x14ac:dyDescent="0.2"/>
    <row r="48095" s="689" customFormat="1" x14ac:dyDescent="0.2"/>
    <row r="48096" s="689" customFormat="1" x14ac:dyDescent="0.2"/>
    <row r="48097" s="689" customFormat="1" x14ac:dyDescent="0.2"/>
    <row r="48098" s="689" customFormat="1" x14ac:dyDescent="0.2"/>
    <row r="48099" s="689" customFormat="1" x14ac:dyDescent="0.2"/>
    <row r="48100" s="689" customFormat="1" x14ac:dyDescent="0.2"/>
    <row r="48101" s="689" customFormat="1" x14ac:dyDescent="0.2"/>
    <row r="48102" s="689" customFormat="1" x14ac:dyDescent="0.2"/>
    <row r="48103" s="689" customFormat="1" x14ac:dyDescent="0.2"/>
    <row r="48104" s="689" customFormat="1" x14ac:dyDescent="0.2"/>
    <row r="48105" s="689" customFormat="1" x14ac:dyDescent="0.2"/>
    <row r="48106" s="689" customFormat="1" x14ac:dyDescent="0.2"/>
    <row r="48107" s="689" customFormat="1" x14ac:dyDescent="0.2"/>
    <row r="48108" s="689" customFormat="1" x14ac:dyDescent="0.2"/>
    <row r="48109" s="689" customFormat="1" x14ac:dyDescent="0.2"/>
    <row r="48110" s="689" customFormat="1" x14ac:dyDescent="0.2"/>
    <row r="48111" s="689" customFormat="1" x14ac:dyDescent="0.2"/>
    <row r="48112" s="689" customFormat="1" x14ac:dyDescent="0.2"/>
    <row r="48113" s="689" customFormat="1" x14ac:dyDescent="0.2"/>
    <row r="48114" s="689" customFormat="1" x14ac:dyDescent="0.2"/>
    <row r="48115" s="689" customFormat="1" x14ac:dyDescent="0.2"/>
    <row r="48116" s="689" customFormat="1" x14ac:dyDescent="0.2"/>
    <row r="48117" s="689" customFormat="1" x14ac:dyDescent="0.2"/>
    <row r="48118" s="689" customFormat="1" x14ac:dyDescent="0.2"/>
    <row r="48119" s="689" customFormat="1" x14ac:dyDescent="0.2"/>
    <row r="48120" s="689" customFormat="1" x14ac:dyDescent="0.2"/>
    <row r="48121" s="689" customFormat="1" x14ac:dyDescent="0.2"/>
    <row r="48122" s="689" customFormat="1" x14ac:dyDescent="0.2"/>
    <row r="48123" s="689" customFormat="1" x14ac:dyDescent="0.2"/>
    <row r="48124" s="689" customFormat="1" x14ac:dyDescent="0.2"/>
    <row r="48125" s="689" customFormat="1" x14ac:dyDescent="0.2"/>
    <row r="48126" s="689" customFormat="1" x14ac:dyDescent="0.2"/>
    <row r="48127" s="689" customFormat="1" x14ac:dyDescent="0.2"/>
    <row r="48128" s="689" customFormat="1" x14ac:dyDescent="0.2"/>
    <row r="48129" s="689" customFormat="1" x14ac:dyDescent="0.2"/>
    <row r="48130" s="689" customFormat="1" x14ac:dyDescent="0.2"/>
    <row r="48131" s="689" customFormat="1" x14ac:dyDescent="0.2"/>
    <row r="48132" s="689" customFormat="1" x14ac:dyDescent="0.2"/>
    <row r="48133" s="689" customFormat="1" x14ac:dyDescent="0.2"/>
    <row r="48134" s="689" customFormat="1" x14ac:dyDescent="0.2"/>
    <row r="48135" s="689" customFormat="1" x14ac:dyDescent="0.2"/>
    <row r="48136" s="689" customFormat="1" x14ac:dyDescent="0.2"/>
    <row r="48137" s="689" customFormat="1" x14ac:dyDescent="0.2"/>
    <row r="48138" s="689" customFormat="1" x14ac:dyDescent="0.2"/>
    <row r="48139" s="689" customFormat="1" x14ac:dyDescent="0.2"/>
    <row r="48140" s="689" customFormat="1" x14ac:dyDescent="0.2"/>
    <row r="48141" s="689" customFormat="1" x14ac:dyDescent="0.2"/>
    <row r="48142" s="689" customFormat="1" x14ac:dyDescent="0.2"/>
    <row r="48143" s="689" customFormat="1" x14ac:dyDescent="0.2"/>
    <row r="48144" s="689" customFormat="1" x14ac:dyDescent="0.2"/>
    <row r="48145" s="689" customFormat="1" x14ac:dyDescent="0.2"/>
    <row r="48146" s="689" customFormat="1" x14ac:dyDescent="0.2"/>
    <row r="48147" s="689" customFormat="1" x14ac:dyDescent="0.2"/>
    <row r="48148" s="689" customFormat="1" x14ac:dyDescent="0.2"/>
    <row r="48149" s="689" customFormat="1" x14ac:dyDescent="0.2"/>
    <row r="48150" s="689" customFormat="1" x14ac:dyDescent="0.2"/>
    <row r="48151" s="689" customFormat="1" x14ac:dyDescent="0.2"/>
    <row r="48152" s="689" customFormat="1" x14ac:dyDescent="0.2"/>
    <row r="48153" s="689" customFormat="1" x14ac:dyDescent="0.2"/>
    <row r="48154" s="689" customFormat="1" x14ac:dyDescent="0.2"/>
    <row r="48155" s="689" customFormat="1" x14ac:dyDescent="0.2"/>
    <row r="48156" s="689" customFormat="1" x14ac:dyDescent="0.2"/>
    <row r="48157" s="689" customFormat="1" x14ac:dyDescent="0.2"/>
    <row r="48158" s="689" customFormat="1" x14ac:dyDescent="0.2"/>
    <row r="48159" s="689" customFormat="1" x14ac:dyDescent="0.2"/>
    <row r="48160" s="689" customFormat="1" x14ac:dyDescent="0.2"/>
    <row r="48161" s="689" customFormat="1" x14ac:dyDescent="0.2"/>
    <row r="48162" s="689" customFormat="1" x14ac:dyDescent="0.2"/>
    <row r="48163" s="689" customFormat="1" x14ac:dyDescent="0.2"/>
    <row r="48164" s="689" customFormat="1" x14ac:dyDescent="0.2"/>
    <row r="48165" s="689" customFormat="1" x14ac:dyDescent="0.2"/>
    <row r="48166" s="689" customFormat="1" x14ac:dyDescent="0.2"/>
    <row r="48167" s="689" customFormat="1" x14ac:dyDescent="0.2"/>
    <row r="48168" s="689" customFormat="1" x14ac:dyDescent="0.2"/>
    <row r="48169" s="689" customFormat="1" x14ac:dyDescent="0.2"/>
    <row r="48170" s="689" customFormat="1" x14ac:dyDescent="0.2"/>
    <row r="48171" s="689" customFormat="1" x14ac:dyDescent="0.2"/>
    <row r="48172" s="689" customFormat="1" x14ac:dyDescent="0.2"/>
    <row r="48173" s="689" customFormat="1" x14ac:dyDescent="0.2"/>
    <row r="48174" s="689" customFormat="1" x14ac:dyDescent="0.2"/>
    <row r="48175" s="689" customFormat="1" x14ac:dyDescent="0.2"/>
    <row r="48176" s="689" customFormat="1" x14ac:dyDescent="0.2"/>
    <row r="48177" s="689" customFormat="1" x14ac:dyDescent="0.2"/>
    <row r="48178" s="689" customFormat="1" x14ac:dyDescent="0.2"/>
    <row r="48179" s="689" customFormat="1" x14ac:dyDescent="0.2"/>
    <row r="48180" s="689" customFormat="1" x14ac:dyDescent="0.2"/>
    <row r="48181" s="689" customFormat="1" x14ac:dyDescent="0.2"/>
    <row r="48182" s="689" customFormat="1" x14ac:dyDescent="0.2"/>
    <row r="48183" s="689" customFormat="1" x14ac:dyDescent="0.2"/>
    <row r="48184" s="689" customFormat="1" x14ac:dyDescent="0.2"/>
    <row r="48185" s="689" customFormat="1" x14ac:dyDescent="0.2"/>
    <row r="48186" s="689" customFormat="1" x14ac:dyDescent="0.2"/>
    <row r="48187" s="689" customFormat="1" x14ac:dyDescent="0.2"/>
    <row r="48188" s="689" customFormat="1" x14ac:dyDescent="0.2"/>
    <row r="48189" s="689" customFormat="1" x14ac:dyDescent="0.2"/>
    <row r="48190" s="689" customFormat="1" x14ac:dyDescent="0.2"/>
    <row r="48191" s="689" customFormat="1" x14ac:dyDescent="0.2"/>
    <row r="48192" s="689" customFormat="1" x14ac:dyDescent="0.2"/>
    <row r="48193" s="689" customFormat="1" x14ac:dyDescent="0.2"/>
    <row r="48194" s="689" customFormat="1" x14ac:dyDescent="0.2"/>
    <row r="48195" s="689" customFormat="1" x14ac:dyDescent="0.2"/>
    <row r="48196" s="689" customFormat="1" x14ac:dyDescent="0.2"/>
    <row r="48197" s="689" customFormat="1" x14ac:dyDescent="0.2"/>
    <row r="48198" s="689" customFormat="1" x14ac:dyDescent="0.2"/>
    <row r="48199" s="689" customFormat="1" x14ac:dyDescent="0.2"/>
    <row r="48200" s="689" customFormat="1" x14ac:dyDescent="0.2"/>
    <row r="48201" s="689" customFormat="1" x14ac:dyDescent="0.2"/>
    <row r="48202" s="689" customFormat="1" x14ac:dyDescent="0.2"/>
    <row r="48203" s="689" customFormat="1" x14ac:dyDescent="0.2"/>
    <row r="48204" s="689" customFormat="1" x14ac:dyDescent="0.2"/>
    <row r="48205" s="689" customFormat="1" x14ac:dyDescent="0.2"/>
    <row r="48206" s="689" customFormat="1" x14ac:dyDescent="0.2"/>
    <row r="48207" s="689" customFormat="1" x14ac:dyDescent="0.2"/>
    <row r="48208" s="689" customFormat="1" x14ac:dyDescent="0.2"/>
    <row r="48209" s="689" customFormat="1" x14ac:dyDescent="0.2"/>
    <row r="48210" s="689" customFormat="1" x14ac:dyDescent="0.2"/>
    <row r="48211" s="689" customFormat="1" x14ac:dyDescent="0.2"/>
    <row r="48212" s="689" customFormat="1" x14ac:dyDescent="0.2"/>
    <row r="48213" s="689" customFormat="1" x14ac:dyDescent="0.2"/>
    <row r="48214" s="689" customFormat="1" x14ac:dyDescent="0.2"/>
    <row r="48215" s="689" customFormat="1" x14ac:dyDescent="0.2"/>
    <row r="48216" s="689" customFormat="1" x14ac:dyDescent="0.2"/>
    <row r="48217" s="689" customFormat="1" x14ac:dyDescent="0.2"/>
    <row r="48218" s="689" customFormat="1" x14ac:dyDescent="0.2"/>
    <row r="48219" s="689" customFormat="1" x14ac:dyDescent="0.2"/>
    <row r="48220" s="689" customFormat="1" x14ac:dyDescent="0.2"/>
    <row r="48221" s="689" customFormat="1" x14ac:dyDescent="0.2"/>
    <row r="48222" s="689" customFormat="1" x14ac:dyDescent="0.2"/>
    <row r="48223" s="689" customFormat="1" x14ac:dyDescent="0.2"/>
    <row r="48224" s="689" customFormat="1" x14ac:dyDescent="0.2"/>
    <row r="48225" s="689" customFormat="1" x14ac:dyDescent="0.2"/>
    <row r="48226" s="689" customFormat="1" x14ac:dyDescent="0.2"/>
    <row r="48227" s="689" customFormat="1" x14ac:dyDescent="0.2"/>
    <row r="48228" s="689" customFormat="1" x14ac:dyDescent="0.2"/>
    <row r="48229" s="689" customFormat="1" x14ac:dyDescent="0.2"/>
    <row r="48230" s="689" customFormat="1" x14ac:dyDescent="0.2"/>
    <row r="48231" s="689" customFormat="1" x14ac:dyDescent="0.2"/>
    <row r="48232" s="689" customFormat="1" x14ac:dyDescent="0.2"/>
    <row r="48233" s="689" customFormat="1" x14ac:dyDescent="0.2"/>
    <row r="48234" s="689" customFormat="1" x14ac:dyDescent="0.2"/>
    <row r="48235" s="689" customFormat="1" x14ac:dyDescent="0.2"/>
    <row r="48236" s="689" customFormat="1" x14ac:dyDescent="0.2"/>
    <row r="48237" s="689" customFormat="1" x14ac:dyDescent="0.2"/>
    <row r="48238" s="689" customFormat="1" x14ac:dyDescent="0.2"/>
    <row r="48239" s="689" customFormat="1" x14ac:dyDescent="0.2"/>
    <row r="48240" s="689" customFormat="1" x14ac:dyDescent="0.2"/>
    <row r="48241" s="689" customFormat="1" x14ac:dyDescent="0.2"/>
    <row r="48242" s="689" customFormat="1" x14ac:dyDescent="0.2"/>
    <row r="48243" s="689" customFormat="1" x14ac:dyDescent="0.2"/>
    <row r="48244" s="689" customFormat="1" x14ac:dyDescent="0.2"/>
    <row r="48245" s="689" customFormat="1" x14ac:dyDescent="0.2"/>
    <row r="48246" s="689" customFormat="1" x14ac:dyDescent="0.2"/>
    <row r="48247" s="689" customFormat="1" x14ac:dyDescent="0.2"/>
    <row r="48248" s="689" customFormat="1" x14ac:dyDescent="0.2"/>
    <row r="48249" s="689" customFormat="1" x14ac:dyDescent="0.2"/>
    <row r="48250" s="689" customFormat="1" x14ac:dyDescent="0.2"/>
    <row r="48251" s="689" customFormat="1" x14ac:dyDescent="0.2"/>
    <row r="48252" s="689" customFormat="1" x14ac:dyDescent="0.2"/>
    <row r="48253" s="689" customFormat="1" x14ac:dyDescent="0.2"/>
    <row r="48254" s="689" customFormat="1" x14ac:dyDescent="0.2"/>
    <row r="48255" s="689" customFormat="1" x14ac:dyDescent="0.2"/>
    <row r="48256" s="689" customFormat="1" x14ac:dyDescent="0.2"/>
    <row r="48257" s="689" customFormat="1" x14ac:dyDescent="0.2"/>
    <row r="48258" s="689" customFormat="1" x14ac:dyDescent="0.2"/>
    <row r="48259" s="689" customFormat="1" x14ac:dyDescent="0.2"/>
    <row r="48260" s="689" customFormat="1" x14ac:dyDescent="0.2"/>
    <row r="48261" s="689" customFormat="1" x14ac:dyDescent="0.2"/>
    <row r="48262" s="689" customFormat="1" x14ac:dyDescent="0.2"/>
    <row r="48263" s="689" customFormat="1" x14ac:dyDescent="0.2"/>
    <row r="48264" s="689" customFormat="1" x14ac:dyDescent="0.2"/>
    <row r="48265" s="689" customFormat="1" x14ac:dyDescent="0.2"/>
    <row r="48266" s="689" customFormat="1" x14ac:dyDescent="0.2"/>
    <row r="48267" s="689" customFormat="1" x14ac:dyDescent="0.2"/>
    <row r="48268" s="689" customFormat="1" x14ac:dyDescent="0.2"/>
    <row r="48269" s="689" customFormat="1" x14ac:dyDescent="0.2"/>
    <row r="48270" s="689" customFormat="1" x14ac:dyDescent="0.2"/>
    <row r="48271" s="689" customFormat="1" x14ac:dyDescent="0.2"/>
    <row r="48272" s="689" customFormat="1" x14ac:dyDescent="0.2"/>
    <row r="48273" s="689" customFormat="1" x14ac:dyDescent="0.2"/>
    <row r="48274" s="689" customFormat="1" x14ac:dyDescent="0.2"/>
    <row r="48275" s="689" customFormat="1" x14ac:dyDescent="0.2"/>
    <row r="48276" s="689" customFormat="1" x14ac:dyDescent="0.2"/>
    <row r="48277" s="689" customFormat="1" x14ac:dyDescent="0.2"/>
    <row r="48278" s="689" customFormat="1" x14ac:dyDescent="0.2"/>
    <row r="48279" s="689" customFormat="1" x14ac:dyDescent="0.2"/>
    <row r="48280" s="689" customFormat="1" x14ac:dyDescent="0.2"/>
    <row r="48281" s="689" customFormat="1" x14ac:dyDescent="0.2"/>
    <row r="48282" s="689" customFormat="1" x14ac:dyDescent="0.2"/>
    <row r="48283" s="689" customFormat="1" x14ac:dyDescent="0.2"/>
    <row r="48284" s="689" customFormat="1" x14ac:dyDescent="0.2"/>
    <row r="48285" s="689" customFormat="1" x14ac:dyDescent="0.2"/>
    <row r="48286" s="689" customFormat="1" x14ac:dyDescent="0.2"/>
    <row r="48287" s="689" customFormat="1" x14ac:dyDescent="0.2"/>
    <row r="48288" s="689" customFormat="1" x14ac:dyDescent="0.2"/>
    <row r="48289" s="689" customFormat="1" x14ac:dyDescent="0.2"/>
    <row r="48290" s="689" customFormat="1" x14ac:dyDescent="0.2"/>
    <row r="48291" s="689" customFormat="1" x14ac:dyDescent="0.2"/>
    <row r="48292" s="689" customFormat="1" x14ac:dyDescent="0.2"/>
    <row r="48293" s="689" customFormat="1" x14ac:dyDescent="0.2"/>
    <row r="48294" s="689" customFormat="1" x14ac:dyDescent="0.2"/>
    <row r="48295" s="689" customFormat="1" x14ac:dyDescent="0.2"/>
    <row r="48296" s="689" customFormat="1" x14ac:dyDescent="0.2"/>
    <row r="48297" s="689" customFormat="1" x14ac:dyDescent="0.2"/>
    <row r="48298" s="689" customFormat="1" x14ac:dyDescent="0.2"/>
    <row r="48299" s="689" customFormat="1" x14ac:dyDescent="0.2"/>
    <row r="48300" s="689" customFormat="1" x14ac:dyDescent="0.2"/>
    <row r="48301" s="689" customFormat="1" x14ac:dyDescent="0.2"/>
    <row r="48302" s="689" customFormat="1" x14ac:dyDescent="0.2"/>
    <row r="48303" s="689" customFormat="1" x14ac:dyDescent="0.2"/>
    <row r="48304" s="689" customFormat="1" x14ac:dyDescent="0.2"/>
    <row r="48305" s="689" customFormat="1" x14ac:dyDescent="0.2"/>
    <row r="48306" s="689" customFormat="1" x14ac:dyDescent="0.2"/>
    <row r="48307" s="689" customFormat="1" x14ac:dyDescent="0.2"/>
    <row r="48308" s="689" customFormat="1" x14ac:dyDescent="0.2"/>
    <row r="48309" s="689" customFormat="1" x14ac:dyDescent="0.2"/>
    <row r="48310" s="689" customFormat="1" x14ac:dyDescent="0.2"/>
    <row r="48311" s="689" customFormat="1" x14ac:dyDescent="0.2"/>
    <row r="48312" s="689" customFormat="1" x14ac:dyDescent="0.2"/>
    <row r="48313" s="689" customFormat="1" x14ac:dyDescent="0.2"/>
    <row r="48314" s="689" customFormat="1" x14ac:dyDescent="0.2"/>
    <row r="48315" s="689" customFormat="1" x14ac:dyDescent="0.2"/>
    <row r="48316" s="689" customFormat="1" x14ac:dyDescent="0.2"/>
    <row r="48317" s="689" customFormat="1" x14ac:dyDescent="0.2"/>
    <row r="48318" s="689" customFormat="1" x14ac:dyDescent="0.2"/>
    <row r="48319" s="689" customFormat="1" x14ac:dyDescent="0.2"/>
    <row r="48320" s="689" customFormat="1" x14ac:dyDescent="0.2"/>
    <row r="48321" s="689" customFormat="1" x14ac:dyDescent="0.2"/>
    <row r="48322" s="689" customFormat="1" x14ac:dyDescent="0.2"/>
    <row r="48323" s="689" customFormat="1" x14ac:dyDescent="0.2"/>
    <row r="48324" s="689" customFormat="1" x14ac:dyDescent="0.2"/>
    <row r="48325" s="689" customFormat="1" x14ac:dyDescent="0.2"/>
    <row r="48326" s="689" customFormat="1" x14ac:dyDescent="0.2"/>
    <row r="48327" s="689" customFormat="1" x14ac:dyDescent="0.2"/>
    <row r="48328" s="689" customFormat="1" x14ac:dyDescent="0.2"/>
    <row r="48329" s="689" customFormat="1" x14ac:dyDescent="0.2"/>
    <row r="48330" s="689" customFormat="1" x14ac:dyDescent="0.2"/>
    <row r="48331" s="689" customFormat="1" x14ac:dyDescent="0.2"/>
    <row r="48332" s="689" customFormat="1" x14ac:dyDescent="0.2"/>
    <row r="48333" s="689" customFormat="1" x14ac:dyDescent="0.2"/>
    <row r="48334" s="689" customFormat="1" x14ac:dyDescent="0.2"/>
    <row r="48335" s="689" customFormat="1" x14ac:dyDescent="0.2"/>
    <row r="48336" s="689" customFormat="1" x14ac:dyDescent="0.2"/>
    <row r="48337" s="689" customFormat="1" x14ac:dyDescent="0.2"/>
    <row r="48338" s="689" customFormat="1" x14ac:dyDescent="0.2"/>
    <row r="48339" s="689" customFormat="1" x14ac:dyDescent="0.2"/>
    <row r="48340" s="689" customFormat="1" x14ac:dyDescent="0.2"/>
    <row r="48341" s="689" customFormat="1" x14ac:dyDescent="0.2"/>
    <row r="48342" s="689" customFormat="1" x14ac:dyDescent="0.2"/>
    <row r="48343" s="689" customFormat="1" x14ac:dyDescent="0.2"/>
    <row r="48344" s="689" customFormat="1" x14ac:dyDescent="0.2"/>
    <row r="48345" s="689" customFormat="1" x14ac:dyDescent="0.2"/>
    <row r="48346" s="689" customFormat="1" x14ac:dyDescent="0.2"/>
    <row r="48347" s="689" customFormat="1" x14ac:dyDescent="0.2"/>
    <row r="48348" s="689" customFormat="1" x14ac:dyDescent="0.2"/>
    <row r="48349" s="689" customFormat="1" x14ac:dyDescent="0.2"/>
    <row r="48350" s="689" customFormat="1" x14ac:dyDescent="0.2"/>
    <row r="48351" s="689" customFormat="1" x14ac:dyDescent="0.2"/>
    <row r="48352" s="689" customFormat="1" x14ac:dyDescent="0.2"/>
    <row r="48353" s="689" customFormat="1" x14ac:dyDescent="0.2"/>
    <row r="48354" s="689" customFormat="1" x14ac:dyDescent="0.2"/>
    <row r="48355" s="689" customFormat="1" x14ac:dyDescent="0.2"/>
    <row r="48356" s="689" customFormat="1" x14ac:dyDescent="0.2"/>
    <row r="48357" s="689" customFormat="1" x14ac:dyDescent="0.2"/>
    <row r="48358" s="689" customFormat="1" x14ac:dyDescent="0.2"/>
    <row r="48359" s="689" customFormat="1" x14ac:dyDescent="0.2"/>
    <row r="48360" s="689" customFormat="1" x14ac:dyDescent="0.2"/>
    <row r="48361" s="689" customFormat="1" x14ac:dyDescent="0.2"/>
    <row r="48362" s="689" customFormat="1" x14ac:dyDescent="0.2"/>
    <row r="48363" s="689" customFormat="1" x14ac:dyDescent="0.2"/>
    <row r="48364" s="689" customFormat="1" x14ac:dyDescent="0.2"/>
    <row r="48365" s="689" customFormat="1" x14ac:dyDescent="0.2"/>
    <row r="48366" s="689" customFormat="1" x14ac:dyDescent="0.2"/>
    <row r="48367" s="689" customFormat="1" x14ac:dyDescent="0.2"/>
    <row r="48368" s="689" customFormat="1" x14ac:dyDescent="0.2"/>
    <row r="48369" s="689" customFormat="1" x14ac:dyDescent="0.2"/>
    <row r="48370" s="689" customFormat="1" x14ac:dyDescent="0.2"/>
    <row r="48371" s="689" customFormat="1" x14ac:dyDescent="0.2"/>
    <row r="48372" s="689" customFormat="1" x14ac:dyDescent="0.2"/>
    <row r="48373" s="689" customFormat="1" x14ac:dyDescent="0.2"/>
    <row r="48374" s="689" customFormat="1" x14ac:dyDescent="0.2"/>
    <row r="48375" s="689" customFormat="1" x14ac:dyDescent="0.2"/>
    <row r="48376" s="689" customFormat="1" x14ac:dyDescent="0.2"/>
    <row r="48377" s="689" customFormat="1" x14ac:dyDescent="0.2"/>
    <row r="48378" s="689" customFormat="1" x14ac:dyDescent="0.2"/>
    <row r="48379" s="689" customFormat="1" x14ac:dyDescent="0.2"/>
    <row r="48380" s="689" customFormat="1" x14ac:dyDescent="0.2"/>
    <row r="48381" s="689" customFormat="1" x14ac:dyDescent="0.2"/>
    <row r="48382" s="689" customFormat="1" x14ac:dyDescent="0.2"/>
    <row r="48383" s="689" customFormat="1" x14ac:dyDescent="0.2"/>
    <row r="48384" s="689" customFormat="1" x14ac:dyDescent="0.2"/>
    <row r="48385" s="689" customFormat="1" x14ac:dyDescent="0.2"/>
    <row r="48386" s="689" customFormat="1" x14ac:dyDescent="0.2"/>
    <row r="48387" s="689" customFormat="1" x14ac:dyDescent="0.2"/>
    <row r="48388" s="689" customFormat="1" x14ac:dyDescent="0.2"/>
    <row r="48389" s="689" customFormat="1" x14ac:dyDescent="0.2"/>
    <row r="48390" s="689" customFormat="1" x14ac:dyDescent="0.2"/>
    <row r="48391" s="689" customFormat="1" x14ac:dyDescent="0.2"/>
    <row r="48392" s="689" customFormat="1" x14ac:dyDescent="0.2"/>
    <row r="48393" s="689" customFormat="1" x14ac:dyDescent="0.2"/>
    <row r="48394" s="689" customFormat="1" x14ac:dyDescent="0.2"/>
    <row r="48395" s="689" customFormat="1" x14ac:dyDescent="0.2"/>
    <row r="48396" s="689" customFormat="1" x14ac:dyDescent="0.2"/>
    <row r="48397" s="689" customFormat="1" x14ac:dyDescent="0.2"/>
    <row r="48398" s="689" customFormat="1" x14ac:dyDescent="0.2"/>
    <row r="48399" s="689" customFormat="1" x14ac:dyDescent="0.2"/>
    <row r="48400" s="689" customFormat="1" x14ac:dyDescent="0.2"/>
    <row r="48401" s="689" customFormat="1" x14ac:dyDescent="0.2"/>
    <row r="48402" s="689" customFormat="1" x14ac:dyDescent="0.2"/>
    <row r="48403" s="689" customFormat="1" x14ac:dyDescent="0.2"/>
    <row r="48404" s="689" customFormat="1" x14ac:dyDescent="0.2"/>
    <row r="48405" s="689" customFormat="1" x14ac:dyDescent="0.2"/>
    <row r="48406" s="689" customFormat="1" x14ac:dyDescent="0.2"/>
    <row r="48407" s="689" customFormat="1" x14ac:dyDescent="0.2"/>
    <row r="48408" s="689" customFormat="1" x14ac:dyDescent="0.2"/>
    <row r="48409" s="689" customFormat="1" x14ac:dyDescent="0.2"/>
    <row r="48410" s="689" customFormat="1" x14ac:dyDescent="0.2"/>
    <row r="48411" s="689" customFormat="1" x14ac:dyDescent="0.2"/>
    <row r="48412" s="689" customFormat="1" x14ac:dyDescent="0.2"/>
    <row r="48413" s="689" customFormat="1" x14ac:dyDescent="0.2"/>
    <row r="48414" s="689" customFormat="1" x14ac:dyDescent="0.2"/>
    <row r="48415" s="689" customFormat="1" x14ac:dyDescent="0.2"/>
    <row r="48416" s="689" customFormat="1" x14ac:dyDescent="0.2"/>
    <row r="48417" s="689" customFormat="1" x14ac:dyDescent="0.2"/>
    <row r="48418" s="689" customFormat="1" x14ac:dyDescent="0.2"/>
    <row r="48419" s="689" customFormat="1" x14ac:dyDescent="0.2"/>
    <row r="48420" s="689" customFormat="1" x14ac:dyDescent="0.2"/>
    <row r="48421" s="689" customFormat="1" x14ac:dyDescent="0.2"/>
    <row r="48422" s="689" customFormat="1" x14ac:dyDescent="0.2"/>
    <row r="48423" s="689" customFormat="1" x14ac:dyDescent="0.2"/>
    <row r="48424" s="689" customFormat="1" x14ac:dyDescent="0.2"/>
    <row r="48425" s="689" customFormat="1" x14ac:dyDescent="0.2"/>
    <row r="48426" s="689" customFormat="1" x14ac:dyDescent="0.2"/>
    <row r="48427" s="689" customFormat="1" x14ac:dyDescent="0.2"/>
    <row r="48428" s="689" customFormat="1" x14ac:dyDescent="0.2"/>
    <row r="48429" s="689" customFormat="1" x14ac:dyDescent="0.2"/>
    <row r="48430" s="689" customFormat="1" x14ac:dyDescent="0.2"/>
    <row r="48431" s="689" customFormat="1" x14ac:dyDescent="0.2"/>
    <row r="48432" s="689" customFormat="1" x14ac:dyDescent="0.2"/>
    <row r="48433" s="689" customFormat="1" x14ac:dyDescent="0.2"/>
    <row r="48434" s="689" customFormat="1" x14ac:dyDescent="0.2"/>
    <row r="48435" s="689" customFormat="1" x14ac:dyDescent="0.2"/>
    <row r="48436" s="689" customFormat="1" x14ac:dyDescent="0.2"/>
    <row r="48437" s="689" customFormat="1" x14ac:dyDescent="0.2"/>
    <row r="48438" s="689" customFormat="1" x14ac:dyDescent="0.2"/>
    <row r="48439" s="689" customFormat="1" x14ac:dyDescent="0.2"/>
    <row r="48440" s="689" customFormat="1" x14ac:dyDescent="0.2"/>
    <row r="48441" s="689" customFormat="1" x14ac:dyDescent="0.2"/>
    <row r="48442" s="689" customFormat="1" x14ac:dyDescent="0.2"/>
    <row r="48443" s="689" customFormat="1" x14ac:dyDescent="0.2"/>
    <row r="48444" s="689" customFormat="1" x14ac:dyDescent="0.2"/>
    <row r="48445" s="689" customFormat="1" x14ac:dyDescent="0.2"/>
    <row r="48446" s="689" customFormat="1" x14ac:dyDescent="0.2"/>
    <row r="48447" s="689" customFormat="1" x14ac:dyDescent="0.2"/>
    <row r="48448" s="689" customFormat="1" x14ac:dyDescent="0.2"/>
    <row r="48449" s="689" customFormat="1" x14ac:dyDescent="0.2"/>
    <row r="48450" s="689" customFormat="1" x14ac:dyDescent="0.2"/>
    <row r="48451" s="689" customFormat="1" x14ac:dyDescent="0.2"/>
    <row r="48452" s="689" customFormat="1" x14ac:dyDescent="0.2"/>
    <row r="48453" s="689" customFormat="1" x14ac:dyDescent="0.2"/>
    <row r="48454" s="689" customFormat="1" x14ac:dyDescent="0.2"/>
    <row r="48455" s="689" customFormat="1" x14ac:dyDescent="0.2"/>
    <row r="48456" s="689" customFormat="1" x14ac:dyDescent="0.2"/>
    <row r="48457" s="689" customFormat="1" x14ac:dyDescent="0.2"/>
    <row r="48458" s="689" customFormat="1" x14ac:dyDescent="0.2"/>
    <row r="48459" s="689" customFormat="1" x14ac:dyDescent="0.2"/>
    <row r="48460" s="689" customFormat="1" x14ac:dyDescent="0.2"/>
    <row r="48461" s="689" customFormat="1" x14ac:dyDescent="0.2"/>
    <row r="48462" s="689" customFormat="1" x14ac:dyDescent="0.2"/>
    <row r="48463" s="689" customFormat="1" x14ac:dyDescent="0.2"/>
    <row r="48464" s="689" customFormat="1" x14ac:dyDescent="0.2"/>
    <row r="48465" s="689" customFormat="1" x14ac:dyDescent="0.2"/>
    <row r="48466" s="689" customFormat="1" x14ac:dyDescent="0.2"/>
    <row r="48467" s="689" customFormat="1" x14ac:dyDescent="0.2"/>
    <row r="48468" s="689" customFormat="1" x14ac:dyDescent="0.2"/>
    <row r="48469" s="689" customFormat="1" x14ac:dyDescent="0.2"/>
    <row r="48470" s="689" customFormat="1" x14ac:dyDescent="0.2"/>
    <row r="48471" s="689" customFormat="1" x14ac:dyDescent="0.2"/>
    <row r="48472" s="689" customFormat="1" x14ac:dyDescent="0.2"/>
    <row r="48473" s="689" customFormat="1" x14ac:dyDescent="0.2"/>
    <row r="48474" s="689" customFormat="1" x14ac:dyDescent="0.2"/>
    <row r="48475" s="689" customFormat="1" x14ac:dyDescent="0.2"/>
    <row r="48476" s="689" customFormat="1" x14ac:dyDescent="0.2"/>
    <row r="48477" s="689" customFormat="1" x14ac:dyDescent="0.2"/>
    <row r="48478" s="689" customFormat="1" x14ac:dyDescent="0.2"/>
    <row r="48479" s="689" customFormat="1" x14ac:dyDescent="0.2"/>
    <row r="48480" s="689" customFormat="1" x14ac:dyDescent="0.2"/>
    <row r="48481" s="689" customFormat="1" x14ac:dyDescent="0.2"/>
    <row r="48482" s="689" customFormat="1" x14ac:dyDescent="0.2"/>
    <row r="48483" s="689" customFormat="1" x14ac:dyDescent="0.2"/>
    <row r="48484" s="689" customFormat="1" x14ac:dyDescent="0.2"/>
    <row r="48485" s="689" customFormat="1" x14ac:dyDescent="0.2"/>
    <row r="48486" s="689" customFormat="1" x14ac:dyDescent="0.2"/>
    <row r="48487" s="689" customFormat="1" x14ac:dyDescent="0.2"/>
    <row r="48488" s="689" customFormat="1" x14ac:dyDescent="0.2"/>
    <row r="48489" s="689" customFormat="1" x14ac:dyDescent="0.2"/>
    <row r="48490" s="689" customFormat="1" x14ac:dyDescent="0.2"/>
    <row r="48491" s="689" customFormat="1" x14ac:dyDescent="0.2"/>
    <row r="48492" s="689" customFormat="1" x14ac:dyDescent="0.2"/>
    <row r="48493" s="689" customFormat="1" x14ac:dyDescent="0.2"/>
    <row r="48494" s="689" customFormat="1" x14ac:dyDescent="0.2"/>
    <row r="48495" s="689" customFormat="1" x14ac:dyDescent="0.2"/>
    <row r="48496" s="689" customFormat="1" x14ac:dyDescent="0.2"/>
    <row r="48497" s="689" customFormat="1" x14ac:dyDescent="0.2"/>
    <row r="48498" s="689" customFormat="1" x14ac:dyDescent="0.2"/>
    <row r="48499" s="689" customFormat="1" x14ac:dyDescent="0.2"/>
    <row r="48500" s="689" customFormat="1" x14ac:dyDescent="0.2"/>
    <row r="48501" s="689" customFormat="1" x14ac:dyDescent="0.2"/>
    <row r="48502" s="689" customFormat="1" x14ac:dyDescent="0.2"/>
    <row r="48503" s="689" customFormat="1" x14ac:dyDescent="0.2"/>
    <row r="48504" s="689" customFormat="1" x14ac:dyDescent="0.2"/>
    <row r="48505" s="689" customFormat="1" x14ac:dyDescent="0.2"/>
    <row r="48506" s="689" customFormat="1" x14ac:dyDescent="0.2"/>
    <row r="48507" s="689" customFormat="1" x14ac:dyDescent="0.2"/>
    <row r="48508" s="689" customFormat="1" x14ac:dyDescent="0.2"/>
    <row r="48509" s="689" customFormat="1" x14ac:dyDescent="0.2"/>
    <row r="48510" s="689" customFormat="1" x14ac:dyDescent="0.2"/>
    <row r="48511" s="689" customFormat="1" x14ac:dyDescent="0.2"/>
    <row r="48512" s="689" customFormat="1" x14ac:dyDescent="0.2"/>
    <row r="48513" s="689" customFormat="1" x14ac:dyDescent="0.2"/>
    <row r="48514" s="689" customFormat="1" x14ac:dyDescent="0.2"/>
    <row r="48515" s="689" customFormat="1" x14ac:dyDescent="0.2"/>
    <row r="48516" s="689" customFormat="1" x14ac:dyDescent="0.2"/>
    <row r="48517" s="689" customFormat="1" x14ac:dyDescent="0.2"/>
    <row r="48518" s="689" customFormat="1" x14ac:dyDescent="0.2"/>
    <row r="48519" s="689" customFormat="1" x14ac:dyDescent="0.2"/>
    <row r="48520" s="689" customFormat="1" x14ac:dyDescent="0.2"/>
    <row r="48521" s="689" customFormat="1" x14ac:dyDescent="0.2"/>
    <row r="48522" s="689" customFormat="1" x14ac:dyDescent="0.2"/>
    <row r="48523" s="689" customFormat="1" x14ac:dyDescent="0.2"/>
    <row r="48524" s="689" customFormat="1" x14ac:dyDescent="0.2"/>
    <row r="48525" s="689" customFormat="1" x14ac:dyDescent="0.2"/>
    <row r="48526" s="689" customFormat="1" x14ac:dyDescent="0.2"/>
    <row r="48527" s="689" customFormat="1" x14ac:dyDescent="0.2"/>
    <row r="48528" s="689" customFormat="1" x14ac:dyDescent="0.2"/>
    <row r="48529" s="689" customFormat="1" x14ac:dyDescent="0.2"/>
    <row r="48530" s="689" customFormat="1" x14ac:dyDescent="0.2"/>
    <row r="48531" s="689" customFormat="1" x14ac:dyDescent="0.2"/>
    <row r="48532" s="689" customFormat="1" x14ac:dyDescent="0.2"/>
    <row r="48533" s="689" customFormat="1" x14ac:dyDescent="0.2"/>
    <row r="48534" s="689" customFormat="1" x14ac:dyDescent="0.2"/>
    <row r="48535" s="689" customFormat="1" x14ac:dyDescent="0.2"/>
    <row r="48536" s="689" customFormat="1" x14ac:dyDescent="0.2"/>
    <row r="48537" s="689" customFormat="1" x14ac:dyDescent="0.2"/>
    <row r="48538" s="689" customFormat="1" x14ac:dyDescent="0.2"/>
    <row r="48539" s="689" customFormat="1" x14ac:dyDescent="0.2"/>
    <row r="48540" s="689" customFormat="1" x14ac:dyDescent="0.2"/>
    <row r="48541" s="689" customFormat="1" x14ac:dyDescent="0.2"/>
    <row r="48542" s="689" customFormat="1" x14ac:dyDescent="0.2"/>
    <row r="48543" s="689" customFormat="1" x14ac:dyDescent="0.2"/>
    <row r="48544" s="689" customFormat="1" x14ac:dyDescent="0.2"/>
    <row r="48545" s="689" customFormat="1" x14ac:dyDescent="0.2"/>
    <row r="48546" s="689" customFormat="1" x14ac:dyDescent="0.2"/>
    <row r="48547" s="689" customFormat="1" x14ac:dyDescent="0.2"/>
    <row r="48548" s="689" customFormat="1" x14ac:dyDescent="0.2"/>
    <row r="48549" s="689" customFormat="1" x14ac:dyDescent="0.2"/>
    <row r="48550" s="689" customFormat="1" x14ac:dyDescent="0.2"/>
    <row r="48551" s="689" customFormat="1" x14ac:dyDescent="0.2"/>
    <row r="48552" s="689" customFormat="1" x14ac:dyDescent="0.2"/>
    <row r="48553" s="689" customFormat="1" x14ac:dyDescent="0.2"/>
    <row r="48554" s="689" customFormat="1" x14ac:dyDescent="0.2"/>
    <row r="48555" s="689" customFormat="1" x14ac:dyDescent="0.2"/>
    <row r="48556" s="689" customFormat="1" x14ac:dyDescent="0.2"/>
    <row r="48557" s="689" customFormat="1" x14ac:dyDescent="0.2"/>
    <row r="48558" s="689" customFormat="1" x14ac:dyDescent="0.2"/>
    <row r="48559" s="689" customFormat="1" x14ac:dyDescent="0.2"/>
    <row r="48560" s="689" customFormat="1" x14ac:dyDescent="0.2"/>
    <row r="48561" s="689" customFormat="1" x14ac:dyDescent="0.2"/>
    <row r="48562" s="689" customFormat="1" x14ac:dyDescent="0.2"/>
    <row r="48563" s="689" customFormat="1" x14ac:dyDescent="0.2"/>
    <row r="48564" s="689" customFormat="1" x14ac:dyDescent="0.2"/>
    <row r="48565" s="689" customFormat="1" x14ac:dyDescent="0.2"/>
    <row r="48566" s="689" customFormat="1" x14ac:dyDescent="0.2"/>
    <row r="48567" s="689" customFormat="1" x14ac:dyDescent="0.2"/>
    <row r="48568" s="689" customFormat="1" x14ac:dyDescent="0.2"/>
    <row r="48569" s="689" customFormat="1" x14ac:dyDescent="0.2"/>
    <row r="48570" s="689" customFormat="1" x14ac:dyDescent="0.2"/>
    <row r="48571" s="689" customFormat="1" x14ac:dyDescent="0.2"/>
    <row r="48572" s="689" customFormat="1" x14ac:dyDescent="0.2"/>
    <row r="48573" s="689" customFormat="1" x14ac:dyDescent="0.2"/>
    <row r="48574" s="689" customFormat="1" x14ac:dyDescent="0.2"/>
    <row r="48575" s="689" customFormat="1" x14ac:dyDescent="0.2"/>
    <row r="48576" s="689" customFormat="1" x14ac:dyDescent="0.2"/>
    <row r="48577" s="689" customFormat="1" x14ac:dyDescent="0.2"/>
    <row r="48578" s="689" customFormat="1" x14ac:dyDescent="0.2"/>
    <row r="48579" s="689" customFormat="1" x14ac:dyDescent="0.2"/>
    <row r="48580" s="689" customFormat="1" x14ac:dyDescent="0.2"/>
    <row r="48581" s="689" customFormat="1" x14ac:dyDescent="0.2"/>
    <row r="48582" s="689" customFormat="1" x14ac:dyDescent="0.2"/>
    <row r="48583" s="689" customFormat="1" x14ac:dyDescent="0.2"/>
    <row r="48584" s="689" customFormat="1" x14ac:dyDescent="0.2"/>
    <row r="48585" s="689" customFormat="1" x14ac:dyDescent="0.2"/>
    <row r="48586" s="689" customFormat="1" x14ac:dyDescent="0.2"/>
    <row r="48587" s="689" customFormat="1" x14ac:dyDescent="0.2"/>
    <row r="48588" s="689" customFormat="1" x14ac:dyDescent="0.2"/>
    <row r="48589" s="689" customFormat="1" x14ac:dyDescent="0.2"/>
    <row r="48590" s="689" customFormat="1" x14ac:dyDescent="0.2"/>
    <row r="48591" s="689" customFormat="1" x14ac:dyDescent="0.2"/>
    <row r="48592" s="689" customFormat="1" x14ac:dyDescent="0.2"/>
    <row r="48593" s="689" customFormat="1" x14ac:dyDescent="0.2"/>
    <row r="48594" s="689" customFormat="1" x14ac:dyDescent="0.2"/>
    <row r="48595" s="689" customFormat="1" x14ac:dyDescent="0.2"/>
    <row r="48596" s="689" customFormat="1" x14ac:dyDescent="0.2"/>
    <row r="48597" s="689" customFormat="1" x14ac:dyDescent="0.2"/>
    <row r="48598" s="689" customFormat="1" x14ac:dyDescent="0.2"/>
    <row r="48599" s="689" customFormat="1" x14ac:dyDescent="0.2"/>
    <row r="48600" s="689" customFormat="1" x14ac:dyDescent="0.2"/>
    <row r="48601" s="689" customFormat="1" x14ac:dyDescent="0.2"/>
    <row r="48602" s="689" customFormat="1" x14ac:dyDescent="0.2"/>
    <row r="48603" s="689" customFormat="1" x14ac:dyDescent="0.2"/>
    <row r="48604" s="689" customFormat="1" x14ac:dyDescent="0.2"/>
    <row r="48605" s="689" customFormat="1" x14ac:dyDescent="0.2"/>
    <row r="48606" s="689" customFormat="1" x14ac:dyDescent="0.2"/>
    <row r="48607" s="689" customFormat="1" x14ac:dyDescent="0.2"/>
    <row r="48608" s="689" customFormat="1" x14ac:dyDescent="0.2"/>
    <row r="48609" s="689" customFormat="1" x14ac:dyDescent="0.2"/>
    <row r="48610" s="689" customFormat="1" x14ac:dyDescent="0.2"/>
    <row r="48611" s="689" customFormat="1" x14ac:dyDescent="0.2"/>
    <row r="48612" s="689" customFormat="1" x14ac:dyDescent="0.2"/>
    <row r="48613" s="689" customFormat="1" x14ac:dyDescent="0.2"/>
    <row r="48614" s="689" customFormat="1" x14ac:dyDescent="0.2"/>
    <row r="48615" s="689" customFormat="1" x14ac:dyDescent="0.2"/>
    <row r="48616" s="689" customFormat="1" x14ac:dyDescent="0.2"/>
    <row r="48617" s="689" customFormat="1" x14ac:dyDescent="0.2"/>
    <row r="48618" s="689" customFormat="1" x14ac:dyDescent="0.2"/>
    <row r="48619" s="689" customFormat="1" x14ac:dyDescent="0.2"/>
    <row r="48620" s="689" customFormat="1" x14ac:dyDescent="0.2"/>
    <row r="48621" s="689" customFormat="1" x14ac:dyDescent="0.2"/>
    <row r="48622" s="689" customFormat="1" x14ac:dyDescent="0.2"/>
    <row r="48623" s="689" customFormat="1" x14ac:dyDescent="0.2"/>
    <row r="48624" s="689" customFormat="1" x14ac:dyDescent="0.2"/>
    <row r="48625" s="689" customFormat="1" x14ac:dyDescent="0.2"/>
    <row r="48626" s="689" customFormat="1" x14ac:dyDescent="0.2"/>
    <row r="48627" s="689" customFormat="1" x14ac:dyDescent="0.2"/>
    <row r="48628" s="689" customFormat="1" x14ac:dyDescent="0.2"/>
    <row r="48629" s="689" customFormat="1" x14ac:dyDescent="0.2"/>
    <row r="48630" s="689" customFormat="1" x14ac:dyDescent="0.2"/>
    <row r="48631" s="689" customFormat="1" x14ac:dyDescent="0.2"/>
    <row r="48632" s="689" customFormat="1" x14ac:dyDescent="0.2"/>
    <row r="48633" s="689" customFormat="1" x14ac:dyDescent="0.2"/>
    <row r="48634" s="689" customFormat="1" x14ac:dyDescent="0.2"/>
    <row r="48635" s="689" customFormat="1" x14ac:dyDescent="0.2"/>
    <row r="48636" s="689" customFormat="1" x14ac:dyDescent="0.2"/>
    <row r="48637" s="689" customFormat="1" x14ac:dyDescent="0.2"/>
    <row r="48638" s="689" customFormat="1" x14ac:dyDescent="0.2"/>
    <row r="48639" s="689" customFormat="1" x14ac:dyDescent="0.2"/>
    <row r="48640" s="689" customFormat="1" x14ac:dyDescent="0.2"/>
    <row r="48641" s="689" customFormat="1" x14ac:dyDescent="0.2"/>
    <row r="48642" s="689" customFormat="1" x14ac:dyDescent="0.2"/>
    <row r="48643" s="689" customFormat="1" x14ac:dyDescent="0.2"/>
    <row r="48644" s="689" customFormat="1" x14ac:dyDescent="0.2"/>
    <row r="48645" s="689" customFormat="1" x14ac:dyDescent="0.2"/>
    <row r="48646" s="689" customFormat="1" x14ac:dyDescent="0.2"/>
    <row r="48647" s="689" customFormat="1" x14ac:dyDescent="0.2"/>
    <row r="48648" s="689" customFormat="1" x14ac:dyDescent="0.2"/>
    <row r="48649" s="689" customFormat="1" x14ac:dyDescent="0.2"/>
    <row r="48650" s="689" customFormat="1" x14ac:dyDescent="0.2"/>
    <row r="48651" s="689" customFormat="1" x14ac:dyDescent="0.2"/>
    <row r="48652" s="689" customFormat="1" x14ac:dyDescent="0.2"/>
    <row r="48653" s="689" customFormat="1" x14ac:dyDescent="0.2"/>
    <row r="48654" s="689" customFormat="1" x14ac:dyDescent="0.2"/>
    <row r="48655" s="689" customFormat="1" x14ac:dyDescent="0.2"/>
    <row r="48656" s="689" customFormat="1" x14ac:dyDescent="0.2"/>
    <row r="48657" s="689" customFormat="1" x14ac:dyDescent="0.2"/>
    <row r="48658" s="689" customFormat="1" x14ac:dyDescent="0.2"/>
    <row r="48659" s="689" customFormat="1" x14ac:dyDescent="0.2"/>
    <row r="48660" s="689" customFormat="1" x14ac:dyDescent="0.2"/>
    <row r="48661" s="689" customFormat="1" x14ac:dyDescent="0.2"/>
    <row r="48662" s="689" customFormat="1" x14ac:dyDescent="0.2"/>
    <row r="48663" s="689" customFormat="1" x14ac:dyDescent="0.2"/>
    <row r="48664" s="689" customFormat="1" x14ac:dyDescent="0.2"/>
    <row r="48665" s="689" customFormat="1" x14ac:dyDescent="0.2"/>
    <row r="48666" s="689" customFormat="1" x14ac:dyDescent="0.2"/>
    <row r="48667" s="689" customFormat="1" x14ac:dyDescent="0.2"/>
    <row r="48668" s="689" customFormat="1" x14ac:dyDescent="0.2"/>
    <row r="48669" s="689" customFormat="1" x14ac:dyDescent="0.2"/>
    <row r="48670" s="689" customFormat="1" x14ac:dyDescent="0.2"/>
    <row r="48671" s="689" customFormat="1" x14ac:dyDescent="0.2"/>
    <row r="48672" s="689" customFormat="1" x14ac:dyDescent="0.2"/>
    <row r="48673" s="689" customFormat="1" x14ac:dyDescent="0.2"/>
    <row r="48674" s="689" customFormat="1" x14ac:dyDescent="0.2"/>
    <row r="48675" s="689" customFormat="1" x14ac:dyDescent="0.2"/>
    <row r="48676" s="689" customFormat="1" x14ac:dyDescent="0.2"/>
    <row r="48677" s="689" customFormat="1" x14ac:dyDescent="0.2"/>
    <row r="48678" s="689" customFormat="1" x14ac:dyDescent="0.2"/>
    <row r="48679" s="689" customFormat="1" x14ac:dyDescent="0.2"/>
    <row r="48680" s="689" customFormat="1" x14ac:dyDescent="0.2"/>
    <row r="48681" s="689" customFormat="1" x14ac:dyDescent="0.2"/>
    <row r="48682" s="689" customFormat="1" x14ac:dyDescent="0.2"/>
    <row r="48683" s="689" customFormat="1" x14ac:dyDescent="0.2"/>
    <row r="48684" s="689" customFormat="1" x14ac:dyDescent="0.2"/>
    <row r="48685" s="689" customFormat="1" x14ac:dyDescent="0.2"/>
    <row r="48686" s="689" customFormat="1" x14ac:dyDescent="0.2"/>
    <row r="48687" s="689" customFormat="1" x14ac:dyDescent="0.2"/>
    <row r="48688" s="689" customFormat="1" x14ac:dyDescent="0.2"/>
    <row r="48689" s="689" customFormat="1" x14ac:dyDescent="0.2"/>
    <row r="48690" s="689" customFormat="1" x14ac:dyDescent="0.2"/>
    <row r="48691" s="689" customFormat="1" x14ac:dyDescent="0.2"/>
    <row r="48692" s="689" customFormat="1" x14ac:dyDescent="0.2"/>
    <row r="48693" s="689" customFormat="1" x14ac:dyDescent="0.2"/>
    <row r="48694" s="689" customFormat="1" x14ac:dyDescent="0.2"/>
    <row r="48695" s="689" customFormat="1" x14ac:dyDescent="0.2"/>
    <row r="48696" s="689" customFormat="1" x14ac:dyDescent="0.2"/>
    <row r="48697" s="689" customFormat="1" x14ac:dyDescent="0.2"/>
    <row r="48698" s="689" customFormat="1" x14ac:dyDescent="0.2"/>
    <row r="48699" s="689" customFormat="1" x14ac:dyDescent="0.2"/>
    <row r="48700" s="689" customFormat="1" x14ac:dyDescent="0.2"/>
    <row r="48701" s="689" customFormat="1" x14ac:dyDescent="0.2"/>
    <row r="48702" s="689" customFormat="1" x14ac:dyDescent="0.2"/>
    <row r="48703" s="689" customFormat="1" x14ac:dyDescent="0.2"/>
    <row r="48704" s="689" customFormat="1" x14ac:dyDescent="0.2"/>
    <row r="48705" s="689" customFormat="1" x14ac:dyDescent="0.2"/>
    <row r="48706" s="689" customFormat="1" x14ac:dyDescent="0.2"/>
    <row r="48707" s="689" customFormat="1" x14ac:dyDescent="0.2"/>
    <row r="48708" s="689" customFormat="1" x14ac:dyDescent="0.2"/>
    <row r="48709" s="689" customFormat="1" x14ac:dyDescent="0.2"/>
    <row r="48710" s="689" customFormat="1" x14ac:dyDescent="0.2"/>
    <row r="48711" s="689" customFormat="1" x14ac:dyDescent="0.2"/>
    <row r="48712" s="689" customFormat="1" x14ac:dyDescent="0.2"/>
    <row r="48713" s="689" customFormat="1" x14ac:dyDescent="0.2"/>
    <row r="48714" s="689" customFormat="1" x14ac:dyDescent="0.2"/>
    <row r="48715" s="689" customFormat="1" x14ac:dyDescent="0.2"/>
    <row r="48716" s="689" customFormat="1" x14ac:dyDescent="0.2"/>
    <row r="48717" s="689" customFormat="1" x14ac:dyDescent="0.2"/>
    <row r="48718" s="689" customFormat="1" x14ac:dyDescent="0.2"/>
    <row r="48719" s="689" customFormat="1" x14ac:dyDescent="0.2"/>
    <row r="48720" s="689" customFormat="1" x14ac:dyDescent="0.2"/>
    <row r="48721" s="689" customFormat="1" x14ac:dyDescent="0.2"/>
    <row r="48722" s="689" customFormat="1" x14ac:dyDescent="0.2"/>
    <row r="48723" s="689" customFormat="1" x14ac:dyDescent="0.2"/>
    <row r="48724" s="689" customFormat="1" x14ac:dyDescent="0.2"/>
    <row r="48725" s="689" customFormat="1" x14ac:dyDescent="0.2"/>
    <row r="48726" s="689" customFormat="1" x14ac:dyDescent="0.2"/>
    <row r="48727" s="689" customFormat="1" x14ac:dyDescent="0.2"/>
    <row r="48728" s="689" customFormat="1" x14ac:dyDescent="0.2"/>
    <row r="48729" s="689" customFormat="1" x14ac:dyDescent="0.2"/>
    <row r="48730" s="689" customFormat="1" x14ac:dyDescent="0.2"/>
    <row r="48731" s="689" customFormat="1" x14ac:dyDescent="0.2"/>
    <row r="48732" s="689" customFormat="1" x14ac:dyDescent="0.2"/>
    <row r="48733" s="689" customFormat="1" x14ac:dyDescent="0.2"/>
    <row r="48734" s="689" customFormat="1" x14ac:dyDescent="0.2"/>
    <row r="48735" s="689" customFormat="1" x14ac:dyDescent="0.2"/>
    <row r="48736" s="689" customFormat="1" x14ac:dyDescent="0.2"/>
    <row r="48737" s="689" customFormat="1" x14ac:dyDescent="0.2"/>
    <row r="48738" s="689" customFormat="1" x14ac:dyDescent="0.2"/>
    <row r="48739" s="689" customFormat="1" x14ac:dyDescent="0.2"/>
    <row r="48740" s="689" customFormat="1" x14ac:dyDescent="0.2"/>
    <row r="48741" s="689" customFormat="1" x14ac:dyDescent="0.2"/>
    <row r="48742" s="689" customFormat="1" x14ac:dyDescent="0.2"/>
    <row r="48743" s="689" customFormat="1" x14ac:dyDescent="0.2"/>
    <row r="48744" s="689" customFormat="1" x14ac:dyDescent="0.2"/>
    <row r="48745" s="689" customFormat="1" x14ac:dyDescent="0.2"/>
    <row r="48746" s="689" customFormat="1" x14ac:dyDescent="0.2"/>
    <row r="48747" s="689" customFormat="1" x14ac:dyDescent="0.2"/>
    <row r="48748" s="689" customFormat="1" x14ac:dyDescent="0.2"/>
    <row r="48749" s="689" customFormat="1" x14ac:dyDescent="0.2"/>
    <row r="48750" s="689" customFormat="1" x14ac:dyDescent="0.2"/>
    <row r="48751" s="689" customFormat="1" x14ac:dyDescent="0.2"/>
    <row r="48752" s="689" customFormat="1" x14ac:dyDescent="0.2"/>
    <row r="48753" s="689" customFormat="1" x14ac:dyDescent="0.2"/>
    <row r="48754" s="689" customFormat="1" x14ac:dyDescent="0.2"/>
    <row r="48755" s="689" customFormat="1" x14ac:dyDescent="0.2"/>
    <row r="48756" s="689" customFormat="1" x14ac:dyDescent="0.2"/>
    <row r="48757" s="689" customFormat="1" x14ac:dyDescent="0.2"/>
    <row r="48758" s="689" customFormat="1" x14ac:dyDescent="0.2"/>
    <row r="48759" s="689" customFormat="1" x14ac:dyDescent="0.2"/>
    <row r="48760" s="689" customFormat="1" x14ac:dyDescent="0.2"/>
    <row r="48761" s="689" customFormat="1" x14ac:dyDescent="0.2"/>
    <row r="48762" s="689" customFormat="1" x14ac:dyDescent="0.2"/>
    <row r="48763" s="689" customFormat="1" x14ac:dyDescent="0.2"/>
    <row r="48764" s="689" customFormat="1" x14ac:dyDescent="0.2"/>
    <row r="48765" s="689" customFormat="1" x14ac:dyDescent="0.2"/>
    <row r="48766" s="689" customFormat="1" x14ac:dyDescent="0.2"/>
    <row r="48767" s="689" customFormat="1" x14ac:dyDescent="0.2"/>
    <row r="48768" s="689" customFormat="1" x14ac:dyDescent="0.2"/>
    <row r="48769" s="689" customFormat="1" x14ac:dyDescent="0.2"/>
    <row r="48770" s="689" customFormat="1" x14ac:dyDescent="0.2"/>
    <row r="48771" s="689" customFormat="1" x14ac:dyDescent="0.2"/>
    <row r="48772" s="689" customFormat="1" x14ac:dyDescent="0.2"/>
    <row r="48773" s="689" customFormat="1" x14ac:dyDescent="0.2"/>
    <row r="48774" s="689" customFormat="1" x14ac:dyDescent="0.2"/>
    <row r="48775" s="689" customFormat="1" x14ac:dyDescent="0.2"/>
    <row r="48776" s="689" customFormat="1" x14ac:dyDescent="0.2"/>
    <row r="48777" s="689" customFormat="1" x14ac:dyDescent="0.2"/>
    <row r="48778" s="689" customFormat="1" x14ac:dyDescent="0.2"/>
    <row r="48779" s="689" customFormat="1" x14ac:dyDescent="0.2"/>
    <row r="48780" s="689" customFormat="1" x14ac:dyDescent="0.2"/>
    <row r="48781" s="689" customFormat="1" x14ac:dyDescent="0.2"/>
    <row r="48782" s="689" customFormat="1" x14ac:dyDescent="0.2"/>
    <row r="48783" s="689" customFormat="1" x14ac:dyDescent="0.2"/>
    <row r="48784" s="689" customFormat="1" x14ac:dyDescent="0.2"/>
    <row r="48785" s="689" customFormat="1" x14ac:dyDescent="0.2"/>
    <row r="48786" s="689" customFormat="1" x14ac:dyDescent="0.2"/>
    <row r="48787" s="689" customFormat="1" x14ac:dyDescent="0.2"/>
    <row r="48788" s="689" customFormat="1" x14ac:dyDescent="0.2"/>
    <row r="48789" s="689" customFormat="1" x14ac:dyDescent="0.2"/>
    <row r="48790" s="689" customFormat="1" x14ac:dyDescent="0.2"/>
    <row r="48791" s="689" customFormat="1" x14ac:dyDescent="0.2"/>
    <row r="48792" s="689" customFormat="1" x14ac:dyDescent="0.2"/>
    <row r="48793" s="689" customFormat="1" x14ac:dyDescent="0.2"/>
    <row r="48794" s="689" customFormat="1" x14ac:dyDescent="0.2"/>
    <row r="48795" s="689" customFormat="1" x14ac:dyDescent="0.2"/>
    <row r="48796" s="689" customFormat="1" x14ac:dyDescent="0.2"/>
    <row r="48797" s="689" customFormat="1" x14ac:dyDescent="0.2"/>
    <row r="48798" s="689" customFormat="1" x14ac:dyDescent="0.2"/>
    <row r="48799" s="689" customFormat="1" x14ac:dyDescent="0.2"/>
    <row r="48800" s="689" customFormat="1" x14ac:dyDescent="0.2"/>
    <row r="48801" s="689" customFormat="1" x14ac:dyDescent="0.2"/>
    <row r="48802" s="689" customFormat="1" x14ac:dyDescent="0.2"/>
    <row r="48803" s="689" customFormat="1" x14ac:dyDescent="0.2"/>
    <row r="48804" s="689" customFormat="1" x14ac:dyDescent="0.2"/>
    <row r="48805" s="689" customFormat="1" x14ac:dyDescent="0.2"/>
    <row r="48806" s="689" customFormat="1" x14ac:dyDescent="0.2"/>
    <row r="48807" s="689" customFormat="1" x14ac:dyDescent="0.2"/>
    <row r="48808" s="689" customFormat="1" x14ac:dyDescent="0.2"/>
    <row r="48809" s="689" customFormat="1" x14ac:dyDescent="0.2"/>
    <row r="48810" s="689" customFormat="1" x14ac:dyDescent="0.2"/>
    <row r="48811" s="689" customFormat="1" x14ac:dyDescent="0.2"/>
    <row r="48812" s="689" customFormat="1" x14ac:dyDescent="0.2"/>
    <row r="48813" s="689" customFormat="1" x14ac:dyDescent="0.2"/>
    <row r="48814" s="689" customFormat="1" x14ac:dyDescent="0.2"/>
    <row r="48815" s="689" customFormat="1" x14ac:dyDescent="0.2"/>
    <row r="48816" s="689" customFormat="1" x14ac:dyDescent="0.2"/>
    <row r="48817" s="689" customFormat="1" x14ac:dyDescent="0.2"/>
    <row r="48818" s="689" customFormat="1" x14ac:dyDescent="0.2"/>
    <row r="48819" s="689" customFormat="1" x14ac:dyDescent="0.2"/>
    <row r="48820" s="689" customFormat="1" x14ac:dyDescent="0.2"/>
    <row r="48821" s="689" customFormat="1" x14ac:dyDescent="0.2"/>
    <row r="48822" s="689" customFormat="1" x14ac:dyDescent="0.2"/>
    <row r="48823" s="689" customFormat="1" x14ac:dyDescent="0.2"/>
    <row r="48824" s="689" customFormat="1" x14ac:dyDescent="0.2"/>
    <row r="48825" s="689" customFormat="1" x14ac:dyDescent="0.2"/>
    <row r="48826" s="689" customFormat="1" x14ac:dyDescent="0.2"/>
    <row r="48827" s="689" customFormat="1" x14ac:dyDescent="0.2"/>
    <row r="48828" s="689" customFormat="1" x14ac:dyDescent="0.2"/>
    <row r="48829" s="689" customFormat="1" x14ac:dyDescent="0.2"/>
    <row r="48830" s="689" customFormat="1" x14ac:dyDescent="0.2"/>
    <row r="48831" s="689" customFormat="1" x14ac:dyDescent="0.2"/>
    <row r="48832" s="689" customFormat="1" x14ac:dyDescent="0.2"/>
    <row r="48833" s="689" customFormat="1" x14ac:dyDescent="0.2"/>
    <row r="48834" s="689" customFormat="1" x14ac:dyDescent="0.2"/>
    <row r="48835" s="689" customFormat="1" x14ac:dyDescent="0.2"/>
    <row r="48836" s="689" customFormat="1" x14ac:dyDescent="0.2"/>
    <row r="48837" s="689" customFormat="1" x14ac:dyDescent="0.2"/>
    <row r="48838" s="689" customFormat="1" x14ac:dyDescent="0.2"/>
    <row r="48839" s="689" customFormat="1" x14ac:dyDescent="0.2"/>
    <row r="48840" s="689" customFormat="1" x14ac:dyDescent="0.2"/>
    <row r="48841" s="689" customFormat="1" x14ac:dyDescent="0.2"/>
    <row r="48842" s="689" customFormat="1" x14ac:dyDescent="0.2"/>
    <row r="48843" s="689" customFormat="1" x14ac:dyDescent="0.2"/>
    <row r="48844" s="689" customFormat="1" x14ac:dyDescent="0.2"/>
    <row r="48845" s="689" customFormat="1" x14ac:dyDescent="0.2"/>
    <row r="48846" s="689" customFormat="1" x14ac:dyDescent="0.2"/>
    <row r="48847" s="689" customFormat="1" x14ac:dyDescent="0.2"/>
    <row r="48848" s="689" customFormat="1" x14ac:dyDescent="0.2"/>
    <row r="48849" s="689" customFormat="1" x14ac:dyDescent="0.2"/>
    <row r="48850" s="689" customFormat="1" x14ac:dyDescent="0.2"/>
    <row r="48851" s="689" customFormat="1" x14ac:dyDescent="0.2"/>
    <row r="48852" s="689" customFormat="1" x14ac:dyDescent="0.2"/>
    <row r="48853" s="689" customFormat="1" x14ac:dyDescent="0.2"/>
    <row r="48854" s="689" customFormat="1" x14ac:dyDescent="0.2"/>
    <row r="48855" s="689" customFormat="1" x14ac:dyDescent="0.2"/>
    <row r="48856" s="689" customFormat="1" x14ac:dyDescent="0.2"/>
    <row r="48857" s="689" customFormat="1" x14ac:dyDescent="0.2"/>
    <row r="48858" s="689" customFormat="1" x14ac:dyDescent="0.2"/>
    <row r="48859" s="689" customFormat="1" x14ac:dyDescent="0.2"/>
    <row r="48860" s="689" customFormat="1" x14ac:dyDescent="0.2"/>
    <row r="48861" s="689" customFormat="1" x14ac:dyDescent="0.2"/>
    <row r="48862" s="689" customFormat="1" x14ac:dyDescent="0.2"/>
    <row r="48863" s="689" customFormat="1" x14ac:dyDescent="0.2"/>
    <row r="48864" s="689" customFormat="1" x14ac:dyDescent="0.2"/>
    <row r="48865" s="689" customFormat="1" x14ac:dyDescent="0.2"/>
    <row r="48866" s="689" customFormat="1" x14ac:dyDescent="0.2"/>
    <row r="48867" s="689" customFormat="1" x14ac:dyDescent="0.2"/>
    <row r="48868" s="689" customFormat="1" x14ac:dyDescent="0.2"/>
    <row r="48869" s="689" customFormat="1" x14ac:dyDescent="0.2"/>
    <row r="48870" s="689" customFormat="1" x14ac:dyDescent="0.2"/>
    <row r="48871" s="689" customFormat="1" x14ac:dyDescent="0.2"/>
    <row r="48872" s="689" customFormat="1" x14ac:dyDescent="0.2"/>
    <row r="48873" s="689" customFormat="1" x14ac:dyDescent="0.2"/>
    <row r="48874" s="689" customFormat="1" x14ac:dyDescent="0.2"/>
    <row r="48875" s="689" customFormat="1" x14ac:dyDescent="0.2"/>
    <row r="48876" s="689" customFormat="1" x14ac:dyDescent="0.2"/>
    <row r="48877" s="689" customFormat="1" x14ac:dyDescent="0.2"/>
    <row r="48878" s="689" customFormat="1" x14ac:dyDescent="0.2"/>
    <row r="48879" s="689" customFormat="1" x14ac:dyDescent="0.2"/>
    <row r="48880" s="689" customFormat="1" x14ac:dyDescent="0.2"/>
    <row r="48881" s="689" customFormat="1" x14ac:dyDescent="0.2"/>
    <row r="48882" s="689" customFormat="1" x14ac:dyDescent="0.2"/>
    <row r="48883" s="689" customFormat="1" x14ac:dyDescent="0.2"/>
    <row r="48884" s="689" customFormat="1" x14ac:dyDescent="0.2"/>
    <row r="48885" s="689" customFormat="1" x14ac:dyDescent="0.2"/>
    <row r="48886" s="689" customFormat="1" x14ac:dyDescent="0.2"/>
    <row r="48887" s="689" customFormat="1" x14ac:dyDescent="0.2"/>
    <row r="48888" s="689" customFormat="1" x14ac:dyDescent="0.2"/>
    <row r="48889" s="689" customFormat="1" x14ac:dyDescent="0.2"/>
    <row r="48890" s="689" customFormat="1" x14ac:dyDescent="0.2"/>
    <row r="48891" s="689" customFormat="1" x14ac:dyDescent="0.2"/>
    <row r="48892" s="689" customFormat="1" x14ac:dyDescent="0.2"/>
    <row r="48893" s="689" customFormat="1" x14ac:dyDescent="0.2"/>
    <row r="48894" s="689" customFormat="1" x14ac:dyDescent="0.2"/>
    <row r="48895" s="689" customFormat="1" x14ac:dyDescent="0.2"/>
    <row r="48896" s="689" customFormat="1" x14ac:dyDescent="0.2"/>
    <row r="48897" s="689" customFormat="1" x14ac:dyDescent="0.2"/>
    <row r="48898" s="689" customFormat="1" x14ac:dyDescent="0.2"/>
    <row r="48899" s="689" customFormat="1" x14ac:dyDescent="0.2"/>
    <row r="48900" s="689" customFormat="1" x14ac:dyDescent="0.2"/>
    <row r="48901" s="689" customFormat="1" x14ac:dyDescent="0.2"/>
    <row r="48902" s="689" customFormat="1" x14ac:dyDescent="0.2"/>
    <row r="48903" s="689" customFormat="1" x14ac:dyDescent="0.2"/>
    <row r="48904" s="689" customFormat="1" x14ac:dyDescent="0.2"/>
    <row r="48905" s="689" customFormat="1" x14ac:dyDescent="0.2"/>
    <row r="48906" s="689" customFormat="1" x14ac:dyDescent="0.2"/>
    <row r="48907" s="689" customFormat="1" x14ac:dyDescent="0.2"/>
    <row r="48908" s="689" customFormat="1" x14ac:dyDescent="0.2"/>
    <row r="48909" s="689" customFormat="1" x14ac:dyDescent="0.2"/>
    <row r="48910" s="689" customFormat="1" x14ac:dyDescent="0.2"/>
    <row r="48911" s="689" customFormat="1" x14ac:dyDescent="0.2"/>
    <row r="48912" s="689" customFormat="1" x14ac:dyDescent="0.2"/>
    <row r="48913" s="689" customFormat="1" x14ac:dyDescent="0.2"/>
    <row r="48914" s="689" customFormat="1" x14ac:dyDescent="0.2"/>
    <row r="48915" s="689" customFormat="1" x14ac:dyDescent="0.2"/>
    <row r="48916" s="689" customFormat="1" x14ac:dyDescent="0.2"/>
    <row r="48917" s="689" customFormat="1" x14ac:dyDescent="0.2"/>
    <row r="48918" s="689" customFormat="1" x14ac:dyDescent="0.2"/>
    <row r="48919" s="689" customFormat="1" x14ac:dyDescent="0.2"/>
    <row r="48920" s="689" customFormat="1" x14ac:dyDescent="0.2"/>
    <row r="48921" s="689" customFormat="1" x14ac:dyDescent="0.2"/>
    <row r="48922" s="689" customFormat="1" x14ac:dyDescent="0.2"/>
    <row r="48923" s="689" customFormat="1" x14ac:dyDescent="0.2"/>
    <row r="48924" s="689" customFormat="1" x14ac:dyDescent="0.2"/>
    <row r="48925" s="689" customFormat="1" x14ac:dyDescent="0.2"/>
    <row r="48926" s="689" customFormat="1" x14ac:dyDescent="0.2"/>
    <row r="48927" s="689" customFormat="1" x14ac:dyDescent="0.2"/>
    <row r="48928" s="689" customFormat="1" x14ac:dyDescent="0.2"/>
    <row r="48929" s="689" customFormat="1" x14ac:dyDescent="0.2"/>
    <row r="48930" s="689" customFormat="1" x14ac:dyDescent="0.2"/>
    <row r="48931" s="689" customFormat="1" x14ac:dyDescent="0.2"/>
    <row r="48932" s="689" customFormat="1" x14ac:dyDescent="0.2"/>
    <row r="48933" s="689" customFormat="1" x14ac:dyDescent="0.2"/>
    <row r="48934" s="689" customFormat="1" x14ac:dyDescent="0.2"/>
    <row r="48935" s="689" customFormat="1" x14ac:dyDescent="0.2"/>
    <row r="48936" s="689" customFormat="1" x14ac:dyDescent="0.2"/>
    <row r="48937" s="689" customFormat="1" x14ac:dyDescent="0.2"/>
    <row r="48938" s="689" customFormat="1" x14ac:dyDescent="0.2"/>
    <row r="48939" s="689" customFormat="1" x14ac:dyDescent="0.2"/>
    <row r="48940" s="689" customFormat="1" x14ac:dyDescent="0.2"/>
    <row r="48941" s="689" customFormat="1" x14ac:dyDescent="0.2"/>
    <row r="48942" s="689" customFormat="1" x14ac:dyDescent="0.2"/>
    <row r="48943" s="689" customFormat="1" x14ac:dyDescent="0.2"/>
    <row r="48944" s="689" customFormat="1" x14ac:dyDescent="0.2"/>
    <row r="48945" s="689" customFormat="1" x14ac:dyDescent="0.2"/>
    <row r="48946" s="689" customFormat="1" x14ac:dyDescent="0.2"/>
    <row r="48947" s="689" customFormat="1" x14ac:dyDescent="0.2"/>
    <row r="48948" s="689" customFormat="1" x14ac:dyDescent="0.2"/>
    <row r="48949" s="689" customFormat="1" x14ac:dyDescent="0.2"/>
    <row r="48950" s="689" customFormat="1" x14ac:dyDescent="0.2"/>
    <row r="48951" s="689" customFormat="1" x14ac:dyDescent="0.2"/>
    <row r="48952" s="689" customFormat="1" x14ac:dyDescent="0.2"/>
    <row r="48953" s="689" customFormat="1" x14ac:dyDescent="0.2"/>
    <row r="48954" s="689" customFormat="1" x14ac:dyDescent="0.2"/>
    <row r="48955" s="689" customFormat="1" x14ac:dyDescent="0.2"/>
    <row r="48956" s="689" customFormat="1" x14ac:dyDescent="0.2"/>
    <row r="48957" s="689" customFormat="1" x14ac:dyDescent="0.2"/>
    <row r="48958" s="689" customFormat="1" x14ac:dyDescent="0.2"/>
    <row r="48959" s="689" customFormat="1" x14ac:dyDescent="0.2"/>
    <row r="48960" s="689" customFormat="1" x14ac:dyDescent="0.2"/>
    <row r="48961" s="689" customFormat="1" x14ac:dyDescent="0.2"/>
    <row r="48962" s="689" customFormat="1" x14ac:dyDescent="0.2"/>
    <row r="48963" s="689" customFormat="1" x14ac:dyDescent="0.2"/>
    <row r="48964" s="689" customFormat="1" x14ac:dyDescent="0.2"/>
    <row r="48965" s="689" customFormat="1" x14ac:dyDescent="0.2"/>
    <row r="48966" s="689" customFormat="1" x14ac:dyDescent="0.2"/>
    <row r="48967" s="689" customFormat="1" x14ac:dyDescent="0.2"/>
    <row r="48968" s="689" customFormat="1" x14ac:dyDescent="0.2"/>
    <row r="48969" s="689" customFormat="1" x14ac:dyDescent="0.2"/>
    <row r="48970" s="689" customFormat="1" x14ac:dyDescent="0.2"/>
    <row r="48971" s="689" customFormat="1" x14ac:dyDescent="0.2"/>
    <row r="48972" s="689" customFormat="1" x14ac:dyDescent="0.2"/>
    <row r="48973" s="689" customFormat="1" x14ac:dyDescent="0.2"/>
    <row r="48974" s="689" customFormat="1" x14ac:dyDescent="0.2"/>
    <row r="48975" s="689" customFormat="1" x14ac:dyDescent="0.2"/>
    <row r="48976" s="689" customFormat="1" x14ac:dyDescent="0.2"/>
    <row r="48977" s="689" customFormat="1" x14ac:dyDescent="0.2"/>
    <row r="48978" s="689" customFormat="1" x14ac:dyDescent="0.2"/>
    <row r="48979" s="689" customFormat="1" x14ac:dyDescent="0.2"/>
    <row r="48980" s="689" customFormat="1" x14ac:dyDescent="0.2"/>
    <row r="48981" s="689" customFormat="1" x14ac:dyDescent="0.2"/>
    <row r="48982" s="689" customFormat="1" x14ac:dyDescent="0.2"/>
    <row r="48983" s="689" customFormat="1" x14ac:dyDescent="0.2"/>
    <row r="48984" s="689" customFormat="1" x14ac:dyDescent="0.2"/>
    <row r="48985" s="689" customFormat="1" x14ac:dyDescent="0.2"/>
    <row r="48986" s="689" customFormat="1" x14ac:dyDescent="0.2"/>
    <row r="48987" s="689" customFormat="1" x14ac:dyDescent="0.2"/>
    <row r="48988" s="689" customFormat="1" x14ac:dyDescent="0.2"/>
    <row r="48989" s="689" customFormat="1" x14ac:dyDescent="0.2"/>
    <row r="48990" s="689" customFormat="1" x14ac:dyDescent="0.2"/>
    <row r="48991" s="689" customFormat="1" x14ac:dyDescent="0.2"/>
    <row r="48992" s="689" customFormat="1" x14ac:dyDescent="0.2"/>
    <row r="48993" s="689" customFormat="1" x14ac:dyDescent="0.2"/>
    <row r="48994" s="689" customFormat="1" x14ac:dyDescent="0.2"/>
    <row r="48995" s="689" customFormat="1" x14ac:dyDescent="0.2"/>
    <row r="48996" s="689" customFormat="1" x14ac:dyDescent="0.2"/>
    <row r="48997" s="689" customFormat="1" x14ac:dyDescent="0.2"/>
    <row r="48998" s="689" customFormat="1" x14ac:dyDescent="0.2"/>
    <row r="48999" s="689" customFormat="1" x14ac:dyDescent="0.2"/>
    <row r="49000" s="689" customFormat="1" x14ac:dyDescent="0.2"/>
    <row r="49001" s="689" customFormat="1" x14ac:dyDescent="0.2"/>
    <row r="49002" s="689" customFormat="1" x14ac:dyDescent="0.2"/>
    <row r="49003" s="689" customFormat="1" x14ac:dyDescent="0.2"/>
    <row r="49004" s="689" customFormat="1" x14ac:dyDescent="0.2"/>
    <row r="49005" s="689" customFormat="1" x14ac:dyDescent="0.2"/>
    <row r="49006" s="689" customFormat="1" x14ac:dyDescent="0.2"/>
    <row r="49007" s="689" customFormat="1" x14ac:dyDescent="0.2"/>
    <row r="49008" s="689" customFormat="1" x14ac:dyDescent="0.2"/>
    <row r="49009" s="689" customFormat="1" x14ac:dyDescent="0.2"/>
    <row r="49010" s="689" customFormat="1" x14ac:dyDescent="0.2"/>
    <row r="49011" s="689" customFormat="1" x14ac:dyDescent="0.2"/>
    <row r="49012" s="689" customFormat="1" x14ac:dyDescent="0.2"/>
    <row r="49013" s="689" customFormat="1" x14ac:dyDescent="0.2"/>
    <row r="49014" s="689" customFormat="1" x14ac:dyDescent="0.2"/>
    <row r="49015" s="689" customFormat="1" x14ac:dyDescent="0.2"/>
    <row r="49016" s="689" customFormat="1" x14ac:dyDescent="0.2"/>
    <row r="49017" s="689" customFormat="1" x14ac:dyDescent="0.2"/>
    <row r="49018" s="689" customFormat="1" x14ac:dyDescent="0.2"/>
    <row r="49019" s="689" customFormat="1" x14ac:dyDescent="0.2"/>
    <row r="49020" s="689" customFormat="1" x14ac:dyDescent="0.2"/>
    <row r="49021" s="689" customFormat="1" x14ac:dyDescent="0.2"/>
    <row r="49022" s="689" customFormat="1" x14ac:dyDescent="0.2"/>
    <row r="49023" s="689" customFormat="1" x14ac:dyDescent="0.2"/>
    <row r="49024" s="689" customFormat="1" x14ac:dyDescent="0.2"/>
    <row r="49025" s="689" customFormat="1" x14ac:dyDescent="0.2"/>
    <row r="49026" s="689" customFormat="1" x14ac:dyDescent="0.2"/>
    <row r="49027" s="689" customFormat="1" x14ac:dyDescent="0.2"/>
    <row r="49028" s="689" customFormat="1" x14ac:dyDescent="0.2"/>
    <row r="49029" s="689" customFormat="1" x14ac:dyDescent="0.2"/>
    <row r="49030" s="689" customFormat="1" x14ac:dyDescent="0.2"/>
    <row r="49031" s="689" customFormat="1" x14ac:dyDescent="0.2"/>
    <row r="49032" s="689" customFormat="1" x14ac:dyDescent="0.2"/>
    <row r="49033" s="689" customFormat="1" x14ac:dyDescent="0.2"/>
    <row r="49034" s="689" customFormat="1" x14ac:dyDescent="0.2"/>
    <row r="49035" s="689" customFormat="1" x14ac:dyDescent="0.2"/>
    <row r="49036" s="689" customFormat="1" x14ac:dyDescent="0.2"/>
    <row r="49037" s="689" customFormat="1" x14ac:dyDescent="0.2"/>
    <row r="49038" s="689" customFormat="1" x14ac:dyDescent="0.2"/>
    <row r="49039" s="689" customFormat="1" x14ac:dyDescent="0.2"/>
    <row r="49040" s="689" customFormat="1" x14ac:dyDescent="0.2"/>
    <row r="49041" s="689" customFormat="1" x14ac:dyDescent="0.2"/>
    <row r="49042" s="689" customFormat="1" x14ac:dyDescent="0.2"/>
    <row r="49043" s="689" customFormat="1" x14ac:dyDescent="0.2"/>
    <row r="49044" s="689" customFormat="1" x14ac:dyDescent="0.2"/>
    <row r="49045" s="689" customFormat="1" x14ac:dyDescent="0.2"/>
    <row r="49046" s="689" customFormat="1" x14ac:dyDescent="0.2"/>
    <row r="49047" s="689" customFormat="1" x14ac:dyDescent="0.2"/>
    <row r="49048" s="689" customFormat="1" x14ac:dyDescent="0.2"/>
    <row r="49049" s="689" customFormat="1" x14ac:dyDescent="0.2"/>
    <row r="49050" s="689" customFormat="1" x14ac:dyDescent="0.2"/>
    <row r="49051" s="689" customFormat="1" x14ac:dyDescent="0.2"/>
    <row r="49052" s="689" customFormat="1" x14ac:dyDescent="0.2"/>
    <row r="49053" s="689" customFormat="1" x14ac:dyDescent="0.2"/>
    <row r="49054" s="689" customFormat="1" x14ac:dyDescent="0.2"/>
    <row r="49055" s="689" customFormat="1" x14ac:dyDescent="0.2"/>
    <row r="49056" s="689" customFormat="1" x14ac:dyDescent="0.2"/>
    <row r="49057" s="689" customFormat="1" x14ac:dyDescent="0.2"/>
    <row r="49058" s="689" customFormat="1" x14ac:dyDescent="0.2"/>
    <row r="49059" s="689" customFormat="1" x14ac:dyDescent="0.2"/>
    <row r="49060" s="689" customFormat="1" x14ac:dyDescent="0.2"/>
    <row r="49061" s="689" customFormat="1" x14ac:dyDescent="0.2"/>
    <row r="49062" s="689" customFormat="1" x14ac:dyDescent="0.2"/>
    <row r="49063" s="689" customFormat="1" x14ac:dyDescent="0.2"/>
    <row r="49064" s="689" customFormat="1" x14ac:dyDescent="0.2"/>
    <row r="49065" s="689" customFormat="1" x14ac:dyDescent="0.2"/>
    <row r="49066" s="689" customFormat="1" x14ac:dyDescent="0.2"/>
    <row r="49067" s="689" customFormat="1" x14ac:dyDescent="0.2"/>
    <row r="49068" s="689" customFormat="1" x14ac:dyDescent="0.2"/>
    <row r="49069" s="689" customFormat="1" x14ac:dyDescent="0.2"/>
    <row r="49070" s="689" customFormat="1" x14ac:dyDescent="0.2"/>
    <row r="49071" s="689" customFormat="1" x14ac:dyDescent="0.2"/>
    <row r="49072" s="689" customFormat="1" x14ac:dyDescent="0.2"/>
    <row r="49073" s="689" customFormat="1" x14ac:dyDescent="0.2"/>
    <row r="49074" s="689" customFormat="1" x14ac:dyDescent="0.2"/>
    <row r="49075" s="689" customFormat="1" x14ac:dyDescent="0.2"/>
    <row r="49076" s="689" customFormat="1" x14ac:dyDescent="0.2"/>
    <row r="49077" s="689" customFormat="1" x14ac:dyDescent="0.2"/>
    <row r="49078" s="689" customFormat="1" x14ac:dyDescent="0.2"/>
    <row r="49079" s="689" customFormat="1" x14ac:dyDescent="0.2"/>
    <row r="49080" s="689" customFormat="1" x14ac:dyDescent="0.2"/>
    <row r="49081" s="689" customFormat="1" x14ac:dyDescent="0.2"/>
    <row r="49082" s="689" customFormat="1" x14ac:dyDescent="0.2"/>
    <row r="49083" s="689" customFormat="1" x14ac:dyDescent="0.2"/>
    <row r="49084" s="689" customFormat="1" x14ac:dyDescent="0.2"/>
    <row r="49085" s="689" customFormat="1" x14ac:dyDescent="0.2"/>
    <row r="49086" s="689" customFormat="1" x14ac:dyDescent="0.2"/>
    <row r="49087" s="689" customFormat="1" x14ac:dyDescent="0.2"/>
    <row r="49088" s="689" customFormat="1" x14ac:dyDescent="0.2"/>
    <row r="49089" s="689" customFormat="1" x14ac:dyDescent="0.2"/>
    <row r="49090" s="689" customFormat="1" x14ac:dyDescent="0.2"/>
    <row r="49091" s="689" customFormat="1" x14ac:dyDescent="0.2"/>
    <row r="49092" s="689" customFormat="1" x14ac:dyDescent="0.2"/>
    <row r="49093" s="689" customFormat="1" x14ac:dyDescent="0.2"/>
    <row r="49094" s="689" customFormat="1" x14ac:dyDescent="0.2"/>
    <row r="49095" s="689" customFormat="1" x14ac:dyDescent="0.2"/>
    <row r="49096" s="689" customFormat="1" x14ac:dyDescent="0.2"/>
    <row r="49097" s="689" customFormat="1" x14ac:dyDescent="0.2"/>
    <row r="49098" s="689" customFormat="1" x14ac:dyDescent="0.2"/>
    <row r="49099" s="689" customFormat="1" x14ac:dyDescent="0.2"/>
    <row r="49100" s="689" customFormat="1" x14ac:dyDescent="0.2"/>
    <row r="49101" s="689" customFormat="1" x14ac:dyDescent="0.2"/>
    <row r="49102" s="689" customFormat="1" x14ac:dyDescent="0.2"/>
    <row r="49103" s="689" customFormat="1" x14ac:dyDescent="0.2"/>
    <row r="49104" s="689" customFormat="1" x14ac:dyDescent="0.2"/>
    <row r="49105" s="689" customFormat="1" x14ac:dyDescent="0.2"/>
    <row r="49106" s="689" customFormat="1" x14ac:dyDescent="0.2"/>
    <row r="49107" s="689" customFormat="1" x14ac:dyDescent="0.2"/>
    <row r="49108" s="689" customFormat="1" x14ac:dyDescent="0.2"/>
    <row r="49109" s="689" customFormat="1" x14ac:dyDescent="0.2"/>
    <row r="49110" s="689" customFormat="1" x14ac:dyDescent="0.2"/>
    <row r="49111" s="689" customFormat="1" x14ac:dyDescent="0.2"/>
    <row r="49112" s="689" customFormat="1" x14ac:dyDescent="0.2"/>
    <row r="49113" s="689" customFormat="1" x14ac:dyDescent="0.2"/>
    <row r="49114" s="689" customFormat="1" x14ac:dyDescent="0.2"/>
    <row r="49115" s="689" customFormat="1" x14ac:dyDescent="0.2"/>
    <row r="49116" s="689" customFormat="1" x14ac:dyDescent="0.2"/>
    <row r="49117" s="689" customFormat="1" x14ac:dyDescent="0.2"/>
    <row r="49118" s="689" customFormat="1" x14ac:dyDescent="0.2"/>
    <row r="49119" s="689" customFormat="1" x14ac:dyDescent="0.2"/>
    <row r="49120" s="689" customFormat="1" x14ac:dyDescent="0.2"/>
    <row r="49121" s="689" customFormat="1" x14ac:dyDescent="0.2"/>
    <row r="49122" s="689" customFormat="1" x14ac:dyDescent="0.2"/>
    <row r="49123" s="689" customFormat="1" x14ac:dyDescent="0.2"/>
    <row r="49124" s="689" customFormat="1" x14ac:dyDescent="0.2"/>
    <row r="49125" s="689" customFormat="1" x14ac:dyDescent="0.2"/>
    <row r="49126" s="689" customFormat="1" x14ac:dyDescent="0.2"/>
    <row r="49127" s="689" customFormat="1" x14ac:dyDescent="0.2"/>
    <row r="49128" s="689" customFormat="1" x14ac:dyDescent="0.2"/>
    <row r="49129" s="689" customFormat="1" x14ac:dyDescent="0.2"/>
    <row r="49130" s="689" customFormat="1" x14ac:dyDescent="0.2"/>
    <row r="49131" s="689" customFormat="1" x14ac:dyDescent="0.2"/>
    <row r="49132" s="689" customFormat="1" x14ac:dyDescent="0.2"/>
    <row r="49133" s="689" customFormat="1" x14ac:dyDescent="0.2"/>
    <row r="49134" s="689" customFormat="1" x14ac:dyDescent="0.2"/>
    <row r="49135" s="689" customFormat="1" x14ac:dyDescent="0.2"/>
    <row r="49136" s="689" customFormat="1" x14ac:dyDescent="0.2"/>
    <row r="49137" s="689" customFormat="1" x14ac:dyDescent="0.2"/>
    <row r="49138" s="689" customFormat="1" x14ac:dyDescent="0.2"/>
    <row r="49139" s="689" customFormat="1" x14ac:dyDescent="0.2"/>
    <row r="49140" s="689" customFormat="1" x14ac:dyDescent="0.2"/>
    <row r="49141" s="689" customFormat="1" x14ac:dyDescent="0.2"/>
    <row r="49142" s="689" customFormat="1" x14ac:dyDescent="0.2"/>
    <row r="49143" s="689" customFormat="1" x14ac:dyDescent="0.2"/>
    <row r="49144" s="689" customFormat="1" x14ac:dyDescent="0.2"/>
    <row r="49145" s="689" customFormat="1" x14ac:dyDescent="0.2"/>
    <row r="49146" s="689" customFormat="1" x14ac:dyDescent="0.2"/>
    <row r="49147" s="689" customFormat="1" x14ac:dyDescent="0.2"/>
    <row r="49148" s="689" customFormat="1" x14ac:dyDescent="0.2"/>
    <row r="49149" s="689" customFormat="1" x14ac:dyDescent="0.2"/>
    <row r="49150" s="689" customFormat="1" x14ac:dyDescent="0.2"/>
    <row r="49151" s="689" customFormat="1" x14ac:dyDescent="0.2"/>
    <row r="49152" s="689" customFormat="1" x14ac:dyDescent="0.2"/>
    <row r="49153" s="689" customFormat="1" x14ac:dyDescent="0.2"/>
    <row r="49154" s="689" customFormat="1" x14ac:dyDescent="0.2"/>
    <row r="49155" s="689" customFormat="1" x14ac:dyDescent="0.2"/>
    <row r="49156" s="689" customFormat="1" x14ac:dyDescent="0.2"/>
    <row r="49157" s="689" customFormat="1" x14ac:dyDescent="0.2"/>
    <row r="49158" s="689" customFormat="1" x14ac:dyDescent="0.2"/>
    <row r="49159" s="689" customFormat="1" x14ac:dyDescent="0.2"/>
    <row r="49160" s="689" customFormat="1" x14ac:dyDescent="0.2"/>
    <row r="49161" s="689" customFormat="1" x14ac:dyDescent="0.2"/>
    <row r="49162" s="689" customFormat="1" x14ac:dyDescent="0.2"/>
    <row r="49163" s="689" customFormat="1" x14ac:dyDescent="0.2"/>
    <row r="49164" s="689" customFormat="1" x14ac:dyDescent="0.2"/>
    <row r="49165" s="689" customFormat="1" x14ac:dyDescent="0.2"/>
    <row r="49166" s="689" customFormat="1" x14ac:dyDescent="0.2"/>
    <row r="49167" s="689" customFormat="1" x14ac:dyDescent="0.2"/>
    <row r="49168" s="689" customFormat="1" x14ac:dyDescent="0.2"/>
    <row r="49169" s="689" customFormat="1" x14ac:dyDescent="0.2"/>
    <row r="49170" s="689" customFormat="1" x14ac:dyDescent="0.2"/>
    <row r="49171" s="689" customFormat="1" x14ac:dyDescent="0.2"/>
    <row r="49172" s="689" customFormat="1" x14ac:dyDescent="0.2"/>
    <row r="49173" s="689" customFormat="1" x14ac:dyDescent="0.2"/>
    <row r="49174" s="689" customFormat="1" x14ac:dyDescent="0.2"/>
    <row r="49175" s="689" customFormat="1" x14ac:dyDescent="0.2"/>
    <row r="49176" s="689" customFormat="1" x14ac:dyDescent="0.2"/>
    <row r="49177" s="689" customFormat="1" x14ac:dyDescent="0.2"/>
    <row r="49178" s="689" customFormat="1" x14ac:dyDescent="0.2"/>
    <row r="49179" s="689" customFormat="1" x14ac:dyDescent="0.2"/>
    <row r="49180" s="689" customFormat="1" x14ac:dyDescent="0.2"/>
    <row r="49181" s="689" customFormat="1" x14ac:dyDescent="0.2"/>
    <row r="49182" s="689" customFormat="1" x14ac:dyDescent="0.2"/>
    <row r="49183" s="689" customFormat="1" x14ac:dyDescent="0.2"/>
    <row r="49184" s="689" customFormat="1" x14ac:dyDescent="0.2"/>
    <row r="49185" s="689" customFormat="1" x14ac:dyDescent="0.2"/>
    <row r="49186" s="689" customFormat="1" x14ac:dyDescent="0.2"/>
    <row r="49187" s="689" customFormat="1" x14ac:dyDescent="0.2"/>
    <row r="49188" s="689" customFormat="1" x14ac:dyDescent="0.2"/>
    <row r="49189" s="689" customFormat="1" x14ac:dyDescent="0.2"/>
    <row r="49190" s="689" customFormat="1" x14ac:dyDescent="0.2"/>
    <row r="49191" s="689" customFormat="1" x14ac:dyDescent="0.2"/>
    <row r="49192" s="689" customFormat="1" x14ac:dyDescent="0.2"/>
    <row r="49193" s="689" customFormat="1" x14ac:dyDescent="0.2"/>
    <row r="49194" s="689" customFormat="1" x14ac:dyDescent="0.2"/>
    <row r="49195" s="689" customFormat="1" x14ac:dyDescent="0.2"/>
    <row r="49196" s="689" customFormat="1" x14ac:dyDescent="0.2"/>
    <row r="49197" s="689" customFormat="1" x14ac:dyDescent="0.2"/>
    <row r="49198" s="689" customFormat="1" x14ac:dyDescent="0.2"/>
    <row r="49199" s="689" customFormat="1" x14ac:dyDescent="0.2"/>
    <row r="49200" s="689" customFormat="1" x14ac:dyDescent="0.2"/>
    <row r="49201" s="689" customFormat="1" x14ac:dyDescent="0.2"/>
    <row r="49202" s="689" customFormat="1" x14ac:dyDescent="0.2"/>
    <row r="49203" s="689" customFormat="1" x14ac:dyDescent="0.2"/>
    <row r="49204" s="689" customFormat="1" x14ac:dyDescent="0.2"/>
    <row r="49205" s="689" customFormat="1" x14ac:dyDescent="0.2"/>
    <row r="49206" s="689" customFormat="1" x14ac:dyDescent="0.2"/>
    <row r="49207" s="689" customFormat="1" x14ac:dyDescent="0.2"/>
    <row r="49208" s="689" customFormat="1" x14ac:dyDescent="0.2"/>
    <row r="49209" s="689" customFormat="1" x14ac:dyDescent="0.2"/>
    <row r="49210" s="689" customFormat="1" x14ac:dyDescent="0.2"/>
    <row r="49211" s="689" customFormat="1" x14ac:dyDescent="0.2"/>
    <row r="49212" s="689" customFormat="1" x14ac:dyDescent="0.2"/>
    <row r="49213" s="689" customFormat="1" x14ac:dyDescent="0.2"/>
    <row r="49214" s="689" customFormat="1" x14ac:dyDescent="0.2"/>
    <row r="49215" s="689" customFormat="1" x14ac:dyDescent="0.2"/>
    <row r="49216" s="689" customFormat="1" x14ac:dyDescent="0.2"/>
    <row r="49217" s="689" customFormat="1" x14ac:dyDescent="0.2"/>
    <row r="49218" s="689" customFormat="1" x14ac:dyDescent="0.2"/>
    <row r="49219" s="689" customFormat="1" x14ac:dyDescent="0.2"/>
    <row r="49220" s="689" customFormat="1" x14ac:dyDescent="0.2"/>
    <row r="49221" s="689" customFormat="1" x14ac:dyDescent="0.2"/>
    <row r="49222" s="689" customFormat="1" x14ac:dyDescent="0.2"/>
    <row r="49223" s="689" customFormat="1" x14ac:dyDescent="0.2"/>
    <row r="49224" s="689" customFormat="1" x14ac:dyDescent="0.2"/>
    <row r="49225" s="689" customFormat="1" x14ac:dyDescent="0.2"/>
    <row r="49226" s="689" customFormat="1" x14ac:dyDescent="0.2"/>
    <row r="49227" s="689" customFormat="1" x14ac:dyDescent="0.2"/>
    <row r="49228" s="689" customFormat="1" x14ac:dyDescent="0.2"/>
    <row r="49229" s="689" customFormat="1" x14ac:dyDescent="0.2"/>
    <row r="49230" s="689" customFormat="1" x14ac:dyDescent="0.2"/>
    <row r="49231" s="689" customFormat="1" x14ac:dyDescent="0.2"/>
    <row r="49232" s="689" customFormat="1" x14ac:dyDescent="0.2"/>
    <row r="49233" s="689" customFormat="1" x14ac:dyDescent="0.2"/>
    <row r="49234" s="689" customFormat="1" x14ac:dyDescent="0.2"/>
    <row r="49235" s="689" customFormat="1" x14ac:dyDescent="0.2"/>
    <row r="49236" s="689" customFormat="1" x14ac:dyDescent="0.2"/>
    <row r="49237" s="689" customFormat="1" x14ac:dyDescent="0.2"/>
    <row r="49238" s="689" customFormat="1" x14ac:dyDescent="0.2"/>
    <row r="49239" s="689" customFormat="1" x14ac:dyDescent="0.2"/>
    <row r="49240" s="689" customFormat="1" x14ac:dyDescent="0.2"/>
    <row r="49241" s="689" customFormat="1" x14ac:dyDescent="0.2"/>
    <row r="49242" s="689" customFormat="1" x14ac:dyDescent="0.2"/>
    <row r="49243" s="689" customFormat="1" x14ac:dyDescent="0.2"/>
    <row r="49244" s="689" customFormat="1" x14ac:dyDescent="0.2"/>
    <row r="49245" s="689" customFormat="1" x14ac:dyDescent="0.2"/>
    <row r="49246" s="689" customFormat="1" x14ac:dyDescent="0.2"/>
    <row r="49247" s="689" customFormat="1" x14ac:dyDescent="0.2"/>
    <row r="49248" s="689" customFormat="1" x14ac:dyDescent="0.2"/>
    <row r="49249" s="689" customFormat="1" x14ac:dyDescent="0.2"/>
    <row r="49250" s="689" customFormat="1" x14ac:dyDescent="0.2"/>
    <row r="49251" s="689" customFormat="1" x14ac:dyDescent="0.2"/>
    <row r="49252" s="689" customFormat="1" x14ac:dyDescent="0.2"/>
    <row r="49253" s="689" customFormat="1" x14ac:dyDescent="0.2"/>
    <row r="49254" s="689" customFormat="1" x14ac:dyDescent="0.2"/>
    <row r="49255" s="689" customFormat="1" x14ac:dyDescent="0.2"/>
    <row r="49256" s="689" customFormat="1" x14ac:dyDescent="0.2"/>
    <row r="49257" s="689" customFormat="1" x14ac:dyDescent="0.2"/>
    <row r="49258" s="689" customFormat="1" x14ac:dyDescent="0.2"/>
    <row r="49259" s="689" customFormat="1" x14ac:dyDescent="0.2"/>
    <row r="49260" s="689" customFormat="1" x14ac:dyDescent="0.2"/>
    <row r="49261" s="689" customFormat="1" x14ac:dyDescent="0.2"/>
    <row r="49262" s="689" customFormat="1" x14ac:dyDescent="0.2"/>
    <row r="49263" s="689" customFormat="1" x14ac:dyDescent="0.2"/>
    <row r="49264" s="689" customFormat="1" x14ac:dyDescent="0.2"/>
    <row r="49265" s="689" customFormat="1" x14ac:dyDescent="0.2"/>
    <row r="49266" s="689" customFormat="1" x14ac:dyDescent="0.2"/>
    <row r="49267" s="689" customFormat="1" x14ac:dyDescent="0.2"/>
    <row r="49268" s="689" customFormat="1" x14ac:dyDescent="0.2"/>
    <row r="49269" s="689" customFormat="1" x14ac:dyDescent="0.2"/>
    <row r="49270" s="689" customFormat="1" x14ac:dyDescent="0.2"/>
    <row r="49271" s="689" customFormat="1" x14ac:dyDescent="0.2"/>
    <row r="49272" s="689" customFormat="1" x14ac:dyDescent="0.2"/>
    <row r="49273" s="689" customFormat="1" x14ac:dyDescent="0.2"/>
    <row r="49274" s="689" customFormat="1" x14ac:dyDescent="0.2"/>
    <row r="49275" s="689" customFormat="1" x14ac:dyDescent="0.2"/>
    <row r="49276" s="689" customFormat="1" x14ac:dyDescent="0.2"/>
    <row r="49277" s="689" customFormat="1" x14ac:dyDescent="0.2"/>
    <row r="49278" s="689" customFormat="1" x14ac:dyDescent="0.2"/>
    <row r="49279" s="689" customFormat="1" x14ac:dyDescent="0.2"/>
    <row r="49280" s="689" customFormat="1" x14ac:dyDescent="0.2"/>
    <row r="49281" s="689" customFormat="1" x14ac:dyDescent="0.2"/>
    <row r="49282" s="689" customFormat="1" x14ac:dyDescent="0.2"/>
    <row r="49283" s="689" customFormat="1" x14ac:dyDescent="0.2"/>
    <row r="49284" s="689" customFormat="1" x14ac:dyDescent="0.2"/>
    <row r="49285" s="689" customFormat="1" x14ac:dyDescent="0.2"/>
    <row r="49286" s="689" customFormat="1" x14ac:dyDescent="0.2"/>
    <row r="49287" s="689" customFormat="1" x14ac:dyDescent="0.2"/>
    <row r="49288" s="689" customFormat="1" x14ac:dyDescent="0.2"/>
    <row r="49289" s="689" customFormat="1" x14ac:dyDescent="0.2"/>
    <row r="49290" s="689" customFormat="1" x14ac:dyDescent="0.2"/>
    <row r="49291" s="689" customFormat="1" x14ac:dyDescent="0.2"/>
    <row r="49292" s="689" customFormat="1" x14ac:dyDescent="0.2"/>
    <row r="49293" s="689" customFormat="1" x14ac:dyDescent="0.2"/>
    <row r="49294" s="689" customFormat="1" x14ac:dyDescent="0.2"/>
    <row r="49295" s="689" customFormat="1" x14ac:dyDescent="0.2"/>
    <row r="49296" s="689" customFormat="1" x14ac:dyDescent="0.2"/>
    <row r="49297" s="689" customFormat="1" x14ac:dyDescent="0.2"/>
    <row r="49298" s="689" customFormat="1" x14ac:dyDescent="0.2"/>
    <row r="49299" s="689" customFormat="1" x14ac:dyDescent="0.2"/>
    <row r="49300" s="689" customFormat="1" x14ac:dyDescent="0.2"/>
    <row r="49301" s="689" customFormat="1" x14ac:dyDescent="0.2"/>
    <row r="49302" s="689" customFormat="1" x14ac:dyDescent="0.2"/>
    <row r="49303" s="689" customFormat="1" x14ac:dyDescent="0.2"/>
    <row r="49304" s="689" customFormat="1" x14ac:dyDescent="0.2"/>
    <row r="49305" s="689" customFormat="1" x14ac:dyDescent="0.2"/>
    <row r="49306" s="689" customFormat="1" x14ac:dyDescent="0.2"/>
    <row r="49307" s="689" customFormat="1" x14ac:dyDescent="0.2"/>
    <row r="49308" s="689" customFormat="1" x14ac:dyDescent="0.2"/>
    <row r="49309" s="689" customFormat="1" x14ac:dyDescent="0.2"/>
    <row r="49310" s="689" customFormat="1" x14ac:dyDescent="0.2"/>
    <row r="49311" s="689" customFormat="1" x14ac:dyDescent="0.2"/>
    <row r="49312" s="689" customFormat="1" x14ac:dyDescent="0.2"/>
    <row r="49313" s="689" customFormat="1" x14ac:dyDescent="0.2"/>
    <row r="49314" s="689" customFormat="1" x14ac:dyDescent="0.2"/>
    <row r="49315" s="689" customFormat="1" x14ac:dyDescent="0.2"/>
    <row r="49316" s="689" customFormat="1" x14ac:dyDescent="0.2"/>
    <row r="49317" s="689" customFormat="1" x14ac:dyDescent="0.2"/>
    <row r="49318" s="689" customFormat="1" x14ac:dyDescent="0.2"/>
    <row r="49319" s="689" customFormat="1" x14ac:dyDescent="0.2"/>
    <row r="49320" s="689" customFormat="1" x14ac:dyDescent="0.2"/>
    <row r="49321" s="689" customFormat="1" x14ac:dyDescent="0.2"/>
    <row r="49322" s="689" customFormat="1" x14ac:dyDescent="0.2"/>
    <row r="49323" s="689" customFormat="1" x14ac:dyDescent="0.2"/>
    <row r="49324" s="689" customFormat="1" x14ac:dyDescent="0.2"/>
    <row r="49325" s="689" customFormat="1" x14ac:dyDescent="0.2"/>
    <row r="49326" s="689" customFormat="1" x14ac:dyDescent="0.2"/>
    <row r="49327" s="689" customFormat="1" x14ac:dyDescent="0.2"/>
    <row r="49328" s="689" customFormat="1" x14ac:dyDescent="0.2"/>
    <row r="49329" s="689" customFormat="1" x14ac:dyDescent="0.2"/>
    <row r="49330" s="689" customFormat="1" x14ac:dyDescent="0.2"/>
    <row r="49331" s="689" customFormat="1" x14ac:dyDescent="0.2"/>
    <row r="49332" s="689" customFormat="1" x14ac:dyDescent="0.2"/>
    <row r="49333" s="689" customFormat="1" x14ac:dyDescent="0.2"/>
    <row r="49334" s="689" customFormat="1" x14ac:dyDescent="0.2"/>
    <row r="49335" s="689" customFormat="1" x14ac:dyDescent="0.2"/>
    <row r="49336" s="689" customFormat="1" x14ac:dyDescent="0.2"/>
    <row r="49337" s="689" customFormat="1" x14ac:dyDescent="0.2"/>
    <row r="49338" s="689" customFormat="1" x14ac:dyDescent="0.2"/>
    <row r="49339" s="689" customFormat="1" x14ac:dyDescent="0.2"/>
    <row r="49340" s="689" customFormat="1" x14ac:dyDescent="0.2"/>
    <row r="49341" s="689" customFormat="1" x14ac:dyDescent="0.2"/>
    <row r="49342" s="689" customFormat="1" x14ac:dyDescent="0.2"/>
    <row r="49343" s="689" customFormat="1" x14ac:dyDescent="0.2"/>
    <row r="49344" s="689" customFormat="1" x14ac:dyDescent="0.2"/>
    <row r="49345" s="689" customFormat="1" x14ac:dyDescent="0.2"/>
    <row r="49346" s="689" customFormat="1" x14ac:dyDescent="0.2"/>
    <row r="49347" s="689" customFormat="1" x14ac:dyDescent="0.2"/>
    <row r="49348" s="689" customFormat="1" x14ac:dyDescent="0.2"/>
    <row r="49349" s="689" customFormat="1" x14ac:dyDescent="0.2"/>
    <row r="49350" s="689" customFormat="1" x14ac:dyDescent="0.2"/>
    <row r="49351" s="689" customFormat="1" x14ac:dyDescent="0.2"/>
    <row r="49352" s="689" customFormat="1" x14ac:dyDescent="0.2"/>
    <row r="49353" s="689" customFormat="1" x14ac:dyDescent="0.2"/>
    <row r="49354" s="689" customFormat="1" x14ac:dyDescent="0.2"/>
    <row r="49355" s="689" customFormat="1" x14ac:dyDescent="0.2"/>
    <row r="49356" s="689" customFormat="1" x14ac:dyDescent="0.2"/>
    <row r="49357" s="689" customFormat="1" x14ac:dyDescent="0.2"/>
    <row r="49358" s="689" customFormat="1" x14ac:dyDescent="0.2"/>
    <row r="49359" s="689" customFormat="1" x14ac:dyDescent="0.2"/>
    <row r="49360" s="689" customFormat="1" x14ac:dyDescent="0.2"/>
    <row r="49361" s="689" customFormat="1" x14ac:dyDescent="0.2"/>
    <row r="49362" s="689" customFormat="1" x14ac:dyDescent="0.2"/>
    <row r="49363" s="689" customFormat="1" x14ac:dyDescent="0.2"/>
    <row r="49364" s="689" customFormat="1" x14ac:dyDescent="0.2"/>
    <row r="49365" s="689" customFormat="1" x14ac:dyDescent="0.2"/>
    <row r="49366" s="689" customFormat="1" x14ac:dyDescent="0.2"/>
    <row r="49367" s="689" customFormat="1" x14ac:dyDescent="0.2"/>
    <row r="49368" s="689" customFormat="1" x14ac:dyDescent="0.2"/>
    <row r="49369" s="689" customFormat="1" x14ac:dyDescent="0.2"/>
    <row r="49370" s="689" customFormat="1" x14ac:dyDescent="0.2"/>
    <row r="49371" s="689" customFormat="1" x14ac:dyDescent="0.2"/>
    <row r="49372" s="689" customFormat="1" x14ac:dyDescent="0.2"/>
    <row r="49373" s="689" customFormat="1" x14ac:dyDescent="0.2"/>
    <row r="49374" s="689" customFormat="1" x14ac:dyDescent="0.2"/>
    <row r="49375" s="689" customFormat="1" x14ac:dyDescent="0.2"/>
    <row r="49376" s="689" customFormat="1" x14ac:dyDescent="0.2"/>
    <row r="49377" s="689" customFormat="1" x14ac:dyDescent="0.2"/>
    <row r="49378" s="689" customFormat="1" x14ac:dyDescent="0.2"/>
    <row r="49379" s="689" customFormat="1" x14ac:dyDescent="0.2"/>
    <row r="49380" s="689" customFormat="1" x14ac:dyDescent="0.2"/>
    <row r="49381" s="689" customFormat="1" x14ac:dyDescent="0.2"/>
    <row r="49382" s="689" customFormat="1" x14ac:dyDescent="0.2"/>
    <row r="49383" s="689" customFormat="1" x14ac:dyDescent="0.2"/>
    <row r="49384" s="689" customFormat="1" x14ac:dyDescent="0.2"/>
    <row r="49385" s="689" customFormat="1" x14ac:dyDescent="0.2"/>
    <row r="49386" s="689" customFormat="1" x14ac:dyDescent="0.2"/>
    <row r="49387" s="689" customFormat="1" x14ac:dyDescent="0.2"/>
    <row r="49388" s="689" customFormat="1" x14ac:dyDescent="0.2"/>
    <row r="49389" s="689" customFormat="1" x14ac:dyDescent="0.2"/>
    <row r="49390" s="689" customFormat="1" x14ac:dyDescent="0.2"/>
    <row r="49391" s="689" customFormat="1" x14ac:dyDescent="0.2"/>
    <row r="49392" s="689" customFormat="1" x14ac:dyDescent="0.2"/>
    <row r="49393" s="689" customFormat="1" x14ac:dyDescent="0.2"/>
    <row r="49394" s="689" customFormat="1" x14ac:dyDescent="0.2"/>
    <row r="49395" s="689" customFormat="1" x14ac:dyDescent="0.2"/>
    <row r="49396" s="689" customFormat="1" x14ac:dyDescent="0.2"/>
    <row r="49397" s="689" customFormat="1" x14ac:dyDescent="0.2"/>
    <row r="49398" s="689" customFormat="1" x14ac:dyDescent="0.2"/>
    <row r="49399" s="689" customFormat="1" x14ac:dyDescent="0.2"/>
    <row r="49400" s="689" customFormat="1" x14ac:dyDescent="0.2"/>
    <row r="49401" s="689" customFormat="1" x14ac:dyDescent="0.2"/>
    <row r="49402" s="689" customFormat="1" x14ac:dyDescent="0.2"/>
    <row r="49403" s="689" customFormat="1" x14ac:dyDescent="0.2"/>
    <row r="49404" s="689" customFormat="1" x14ac:dyDescent="0.2"/>
    <row r="49405" s="689" customFormat="1" x14ac:dyDescent="0.2"/>
    <row r="49406" s="689" customFormat="1" x14ac:dyDescent="0.2"/>
    <row r="49407" s="689" customFormat="1" x14ac:dyDescent="0.2"/>
    <row r="49408" s="689" customFormat="1" x14ac:dyDescent="0.2"/>
    <row r="49409" s="689" customFormat="1" x14ac:dyDescent="0.2"/>
    <row r="49410" s="689" customFormat="1" x14ac:dyDescent="0.2"/>
    <row r="49411" s="689" customFormat="1" x14ac:dyDescent="0.2"/>
    <row r="49412" s="689" customFormat="1" x14ac:dyDescent="0.2"/>
    <row r="49413" s="689" customFormat="1" x14ac:dyDescent="0.2"/>
    <row r="49414" s="689" customFormat="1" x14ac:dyDescent="0.2"/>
    <row r="49415" s="689" customFormat="1" x14ac:dyDescent="0.2"/>
    <row r="49416" s="689" customFormat="1" x14ac:dyDescent="0.2"/>
    <row r="49417" s="689" customFormat="1" x14ac:dyDescent="0.2"/>
    <row r="49418" s="689" customFormat="1" x14ac:dyDescent="0.2"/>
    <row r="49419" s="689" customFormat="1" x14ac:dyDescent="0.2"/>
    <row r="49420" s="689" customFormat="1" x14ac:dyDescent="0.2"/>
    <row r="49421" s="689" customFormat="1" x14ac:dyDescent="0.2"/>
    <row r="49422" s="689" customFormat="1" x14ac:dyDescent="0.2"/>
    <row r="49423" s="689" customFormat="1" x14ac:dyDescent="0.2"/>
    <row r="49424" s="689" customFormat="1" x14ac:dyDescent="0.2"/>
    <row r="49425" s="689" customFormat="1" x14ac:dyDescent="0.2"/>
    <row r="49426" s="689" customFormat="1" x14ac:dyDescent="0.2"/>
    <row r="49427" s="689" customFormat="1" x14ac:dyDescent="0.2"/>
    <row r="49428" s="689" customFormat="1" x14ac:dyDescent="0.2"/>
    <row r="49429" s="689" customFormat="1" x14ac:dyDescent="0.2"/>
    <row r="49430" s="689" customFormat="1" x14ac:dyDescent="0.2"/>
    <row r="49431" s="689" customFormat="1" x14ac:dyDescent="0.2"/>
    <row r="49432" s="689" customFormat="1" x14ac:dyDescent="0.2"/>
    <row r="49433" s="689" customFormat="1" x14ac:dyDescent="0.2"/>
    <row r="49434" s="689" customFormat="1" x14ac:dyDescent="0.2"/>
    <row r="49435" s="689" customFormat="1" x14ac:dyDescent="0.2"/>
    <row r="49436" s="689" customFormat="1" x14ac:dyDescent="0.2"/>
    <row r="49437" s="689" customFormat="1" x14ac:dyDescent="0.2"/>
    <row r="49438" s="689" customFormat="1" x14ac:dyDescent="0.2"/>
    <row r="49439" s="689" customFormat="1" x14ac:dyDescent="0.2"/>
    <row r="49440" s="689" customFormat="1" x14ac:dyDescent="0.2"/>
    <row r="49441" s="689" customFormat="1" x14ac:dyDescent="0.2"/>
    <row r="49442" s="689" customFormat="1" x14ac:dyDescent="0.2"/>
    <row r="49443" s="689" customFormat="1" x14ac:dyDescent="0.2"/>
    <row r="49444" s="689" customFormat="1" x14ac:dyDescent="0.2"/>
    <row r="49445" s="689" customFormat="1" x14ac:dyDescent="0.2"/>
    <row r="49446" s="689" customFormat="1" x14ac:dyDescent="0.2"/>
    <row r="49447" s="689" customFormat="1" x14ac:dyDescent="0.2"/>
    <row r="49448" s="689" customFormat="1" x14ac:dyDescent="0.2"/>
    <row r="49449" s="689" customFormat="1" x14ac:dyDescent="0.2"/>
    <row r="49450" s="689" customFormat="1" x14ac:dyDescent="0.2"/>
    <row r="49451" s="689" customFormat="1" x14ac:dyDescent="0.2"/>
    <row r="49452" s="689" customFormat="1" x14ac:dyDescent="0.2"/>
    <row r="49453" s="689" customFormat="1" x14ac:dyDescent="0.2"/>
    <row r="49454" s="689" customFormat="1" x14ac:dyDescent="0.2"/>
    <row r="49455" s="689" customFormat="1" x14ac:dyDescent="0.2"/>
    <row r="49456" s="689" customFormat="1" x14ac:dyDescent="0.2"/>
    <row r="49457" s="689" customFormat="1" x14ac:dyDescent="0.2"/>
    <row r="49458" s="689" customFormat="1" x14ac:dyDescent="0.2"/>
    <row r="49459" s="689" customFormat="1" x14ac:dyDescent="0.2"/>
    <row r="49460" s="689" customFormat="1" x14ac:dyDescent="0.2"/>
    <row r="49461" s="689" customFormat="1" x14ac:dyDescent="0.2"/>
    <row r="49462" s="689" customFormat="1" x14ac:dyDescent="0.2"/>
    <row r="49463" s="689" customFormat="1" x14ac:dyDescent="0.2"/>
    <row r="49464" s="689" customFormat="1" x14ac:dyDescent="0.2"/>
    <row r="49465" s="689" customFormat="1" x14ac:dyDescent="0.2"/>
    <row r="49466" s="689" customFormat="1" x14ac:dyDescent="0.2"/>
    <row r="49467" s="689" customFormat="1" x14ac:dyDescent="0.2"/>
    <row r="49468" s="689" customFormat="1" x14ac:dyDescent="0.2"/>
    <row r="49469" s="689" customFormat="1" x14ac:dyDescent="0.2"/>
    <row r="49470" s="689" customFormat="1" x14ac:dyDescent="0.2"/>
    <row r="49471" s="689" customFormat="1" x14ac:dyDescent="0.2"/>
    <row r="49472" s="689" customFormat="1" x14ac:dyDescent="0.2"/>
    <row r="49473" s="689" customFormat="1" x14ac:dyDescent="0.2"/>
    <row r="49474" s="689" customFormat="1" x14ac:dyDescent="0.2"/>
    <row r="49475" s="689" customFormat="1" x14ac:dyDescent="0.2"/>
    <row r="49476" s="689" customFormat="1" x14ac:dyDescent="0.2"/>
    <row r="49477" s="689" customFormat="1" x14ac:dyDescent="0.2"/>
    <row r="49478" s="689" customFormat="1" x14ac:dyDescent="0.2"/>
    <row r="49479" s="689" customFormat="1" x14ac:dyDescent="0.2"/>
    <row r="49480" s="689" customFormat="1" x14ac:dyDescent="0.2"/>
    <row r="49481" s="689" customFormat="1" x14ac:dyDescent="0.2"/>
    <row r="49482" s="689" customFormat="1" x14ac:dyDescent="0.2"/>
    <row r="49483" s="689" customFormat="1" x14ac:dyDescent="0.2"/>
    <row r="49484" s="689" customFormat="1" x14ac:dyDescent="0.2"/>
    <row r="49485" s="689" customFormat="1" x14ac:dyDescent="0.2"/>
    <row r="49486" s="689" customFormat="1" x14ac:dyDescent="0.2"/>
    <row r="49487" s="689" customFormat="1" x14ac:dyDescent="0.2"/>
    <row r="49488" s="689" customFormat="1" x14ac:dyDescent="0.2"/>
    <row r="49489" s="689" customFormat="1" x14ac:dyDescent="0.2"/>
    <row r="49490" s="689" customFormat="1" x14ac:dyDescent="0.2"/>
    <row r="49491" s="689" customFormat="1" x14ac:dyDescent="0.2"/>
    <row r="49492" s="689" customFormat="1" x14ac:dyDescent="0.2"/>
    <row r="49493" s="689" customFormat="1" x14ac:dyDescent="0.2"/>
    <row r="49494" s="689" customFormat="1" x14ac:dyDescent="0.2"/>
    <row r="49495" s="689" customFormat="1" x14ac:dyDescent="0.2"/>
    <row r="49496" s="689" customFormat="1" x14ac:dyDescent="0.2"/>
    <row r="49497" s="689" customFormat="1" x14ac:dyDescent="0.2"/>
    <row r="49498" s="689" customFormat="1" x14ac:dyDescent="0.2"/>
    <row r="49499" s="689" customFormat="1" x14ac:dyDescent="0.2"/>
    <row r="49500" s="689" customFormat="1" x14ac:dyDescent="0.2"/>
    <row r="49501" s="689" customFormat="1" x14ac:dyDescent="0.2"/>
    <row r="49502" s="689" customFormat="1" x14ac:dyDescent="0.2"/>
    <row r="49503" s="689" customFormat="1" x14ac:dyDescent="0.2"/>
    <row r="49504" s="689" customFormat="1" x14ac:dyDescent="0.2"/>
    <row r="49505" s="689" customFormat="1" x14ac:dyDescent="0.2"/>
    <row r="49506" s="689" customFormat="1" x14ac:dyDescent="0.2"/>
    <row r="49507" s="689" customFormat="1" x14ac:dyDescent="0.2"/>
    <row r="49508" s="689" customFormat="1" x14ac:dyDescent="0.2"/>
    <row r="49509" s="689" customFormat="1" x14ac:dyDescent="0.2"/>
    <row r="49510" s="689" customFormat="1" x14ac:dyDescent="0.2"/>
    <row r="49511" s="689" customFormat="1" x14ac:dyDescent="0.2"/>
    <row r="49512" s="689" customFormat="1" x14ac:dyDescent="0.2"/>
    <row r="49513" s="689" customFormat="1" x14ac:dyDescent="0.2"/>
    <row r="49514" s="689" customFormat="1" x14ac:dyDescent="0.2"/>
    <row r="49515" s="689" customFormat="1" x14ac:dyDescent="0.2"/>
    <row r="49516" s="689" customFormat="1" x14ac:dyDescent="0.2"/>
    <row r="49517" s="689" customFormat="1" x14ac:dyDescent="0.2"/>
    <row r="49518" s="689" customFormat="1" x14ac:dyDescent="0.2"/>
    <row r="49519" s="689" customFormat="1" x14ac:dyDescent="0.2"/>
    <row r="49520" s="689" customFormat="1" x14ac:dyDescent="0.2"/>
    <row r="49521" s="689" customFormat="1" x14ac:dyDescent="0.2"/>
    <row r="49522" s="689" customFormat="1" x14ac:dyDescent="0.2"/>
    <row r="49523" s="689" customFormat="1" x14ac:dyDescent="0.2"/>
    <row r="49524" s="689" customFormat="1" x14ac:dyDescent="0.2"/>
    <row r="49525" s="689" customFormat="1" x14ac:dyDescent="0.2"/>
    <row r="49526" s="689" customFormat="1" x14ac:dyDescent="0.2"/>
    <row r="49527" s="689" customFormat="1" x14ac:dyDescent="0.2"/>
    <row r="49528" s="689" customFormat="1" x14ac:dyDescent="0.2"/>
    <row r="49529" s="689" customFormat="1" x14ac:dyDescent="0.2"/>
    <row r="49530" s="689" customFormat="1" x14ac:dyDescent="0.2"/>
    <row r="49531" s="689" customFormat="1" x14ac:dyDescent="0.2"/>
    <row r="49532" s="689" customFormat="1" x14ac:dyDescent="0.2"/>
    <row r="49533" s="689" customFormat="1" x14ac:dyDescent="0.2"/>
    <row r="49534" s="689" customFormat="1" x14ac:dyDescent="0.2"/>
    <row r="49535" s="689" customFormat="1" x14ac:dyDescent="0.2"/>
    <row r="49536" s="689" customFormat="1" x14ac:dyDescent="0.2"/>
    <row r="49537" s="689" customFormat="1" x14ac:dyDescent="0.2"/>
    <row r="49538" s="689" customFormat="1" x14ac:dyDescent="0.2"/>
    <row r="49539" s="689" customFormat="1" x14ac:dyDescent="0.2"/>
    <row r="49540" s="689" customFormat="1" x14ac:dyDescent="0.2"/>
    <row r="49541" s="689" customFormat="1" x14ac:dyDescent="0.2"/>
    <row r="49542" s="689" customFormat="1" x14ac:dyDescent="0.2"/>
    <row r="49543" s="689" customFormat="1" x14ac:dyDescent="0.2"/>
    <row r="49544" s="689" customFormat="1" x14ac:dyDescent="0.2"/>
    <row r="49545" s="689" customFormat="1" x14ac:dyDescent="0.2"/>
    <row r="49546" s="689" customFormat="1" x14ac:dyDescent="0.2"/>
    <row r="49547" s="689" customFormat="1" x14ac:dyDescent="0.2"/>
    <row r="49548" s="689" customFormat="1" x14ac:dyDescent="0.2"/>
    <row r="49549" s="689" customFormat="1" x14ac:dyDescent="0.2"/>
    <row r="49550" s="689" customFormat="1" x14ac:dyDescent="0.2"/>
    <row r="49551" s="689" customFormat="1" x14ac:dyDescent="0.2"/>
    <row r="49552" s="689" customFormat="1" x14ac:dyDescent="0.2"/>
    <row r="49553" s="689" customFormat="1" x14ac:dyDescent="0.2"/>
    <row r="49554" s="689" customFormat="1" x14ac:dyDescent="0.2"/>
    <row r="49555" s="689" customFormat="1" x14ac:dyDescent="0.2"/>
    <row r="49556" s="689" customFormat="1" x14ac:dyDescent="0.2"/>
    <row r="49557" s="689" customFormat="1" x14ac:dyDescent="0.2"/>
    <row r="49558" s="689" customFormat="1" x14ac:dyDescent="0.2"/>
    <row r="49559" s="689" customFormat="1" x14ac:dyDescent="0.2"/>
    <row r="49560" s="689" customFormat="1" x14ac:dyDescent="0.2"/>
    <row r="49561" s="689" customFormat="1" x14ac:dyDescent="0.2"/>
    <row r="49562" s="689" customFormat="1" x14ac:dyDescent="0.2"/>
    <row r="49563" s="689" customFormat="1" x14ac:dyDescent="0.2"/>
    <row r="49564" s="689" customFormat="1" x14ac:dyDescent="0.2"/>
    <row r="49565" s="689" customFormat="1" x14ac:dyDescent="0.2"/>
    <row r="49566" s="689" customFormat="1" x14ac:dyDescent="0.2"/>
    <row r="49567" s="689" customFormat="1" x14ac:dyDescent="0.2"/>
    <row r="49568" s="689" customFormat="1" x14ac:dyDescent="0.2"/>
    <row r="49569" s="689" customFormat="1" x14ac:dyDescent="0.2"/>
    <row r="49570" s="689" customFormat="1" x14ac:dyDescent="0.2"/>
    <row r="49571" s="689" customFormat="1" x14ac:dyDescent="0.2"/>
    <row r="49572" s="689" customFormat="1" x14ac:dyDescent="0.2"/>
    <row r="49573" s="689" customFormat="1" x14ac:dyDescent="0.2"/>
    <row r="49574" s="689" customFormat="1" x14ac:dyDescent="0.2"/>
    <row r="49575" s="689" customFormat="1" x14ac:dyDescent="0.2"/>
    <row r="49576" s="689" customFormat="1" x14ac:dyDescent="0.2"/>
    <row r="49577" s="689" customFormat="1" x14ac:dyDescent="0.2"/>
    <row r="49578" s="689" customFormat="1" x14ac:dyDescent="0.2"/>
    <row r="49579" s="689" customFormat="1" x14ac:dyDescent="0.2"/>
    <row r="49580" s="689" customFormat="1" x14ac:dyDescent="0.2"/>
    <row r="49581" s="689" customFormat="1" x14ac:dyDescent="0.2"/>
    <row r="49582" s="689" customFormat="1" x14ac:dyDescent="0.2"/>
    <row r="49583" s="689" customFormat="1" x14ac:dyDescent="0.2"/>
    <row r="49584" s="689" customFormat="1" x14ac:dyDescent="0.2"/>
    <row r="49585" s="689" customFormat="1" x14ac:dyDescent="0.2"/>
    <row r="49586" s="689" customFormat="1" x14ac:dyDescent="0.2"/>
    <row r="49587" s="689" customFormat="1" x14ac:dyDescent="0.2"/>
    <row r="49588" s="689" customFormat="1" x14ac:dyDescent="0.2"/>
    <row r="49589" s="689" customFormat="1" x14ac:dyDescent="0.2"/>
    <row r="49590" s="689" customFormat="1" x14ac:dyDescent="0.2"/>
    <row r="49591" s="689" customFormat="1" x14ac:dyDescent="0.2"/>
    <row r="49592" s="689" customFormat="1" x14ac:dyDescent="0.2"/>
    <row r="49593" s="689" customFormat="1" x14ac:dyDescent="0.2"/>
    <row r="49594" s="689" customFormat="1" x14ac:dyDescent="0.2"/>
    <row r="49595" s="689" customFormat="1" x14ac:dyDescent="0.2"/>
    <row r="49596" s="689" customFormat="1" x14ac:dyDescent="0.2"/>
    <row r="49597" s="689" customFormat="1" x14ac:dyDescent="0.2"/>
    <row r="49598" s="689" customFormat="1" x14ac:dyDescent="0.2"/>
    <row r="49599" s="689" customFormat="1" x14ac:dyDescent="0.2"/>
    <row r="49600" s="689" customFormat="1" x14ac:dyDescent="0.2"/>
    <row r="49601" s="689" customFormat="1" x14ac:dyDescent="0.2"/>
    <row r="49602" s="689" customFormat="1" x14ac:dyDescent="0.2"/>
    <row r="49603" s="689" customFormat="1" x14ac:dyDescent="0.2"/>
    <row r="49604" s="689" customFormat="1" x14ac:dyDescent="0.2"/>
    <row r="49605" s="689" customFormat="1" x14ac:dyDescent="0.2"/>
    <row r="49606" s="689" customFormat="1" x14ac:dyDescent="0.2"/>
    <row r="49607" s="689" customFormat="1" x14ac:dyDescent="0.2"/>
    <row r="49608" s="689" customFormat="1" x14ac:dyDescent="0.2"/>
    <row r="49609" s="689" customFormat="1" x14ac:dyDescent="0.2"/>
    <row r="49610" s="689" customFormat="1" x14ac:dyDescent="0.2"/>
    <row r="49611" s="689" customFormat="1" x14ac:dyDescent="0.2"/>
    <row r="49612" s="689" customFormat="1" x14ac:dyDescent="0.2"/>
    <row r="49613" s="689" customFormat="1" x14ac:dyDescent="0.2"/>
    <row r="49614" s="689" customFormat="1" x14ac:dyDescent="0.2"/>
    <row r="49615" s="689" customFormat="1" x14ac:dyDescent="0.2"/>
    <row r="49616" s="689" customFormat="1" x14ac:dyDescent="0.2"/>
    <row r="49617" s="689" customFormat="1" x14ac:dyDescent="0.2"/>
    <row r="49618" s="689" customFormat="1" x14ac:dyDescent="0.2"/>
    <row r="49619" s="689" customFormat="1" x14ac:dyDescent="0.2"/>
    <row r="49620" s="689" customFormat="1" x14ac:dyDescent="0.2"/>
    <row r="49621" s="689" customFormat="1" x14ac:dyDescent="0.2"/>
    <row r="49622" s="689" customFormat="1" x14ac:dyDescent="0.2"/>
    <row r="49623" s="689" customFormat="1" x14ac:dyDescent="0.2"/>
    <row r="49624" s="689" customFormat="1" x14ac:dyDescent="0.2"/>
    <row r="49625" s="689" customFormat="1" x14ac:dyDescent="0.2"/>
    <row r="49626" s="689" customFormat="1" x14ac:dyDescent="0.2"/>
    <row r="49627" s="689" customFormat="1" x14ac:dyDescent="0.2"/>
    <row r="49628" s="689" customFormat="1" x14ac:dyDescent="0.2"/>
    <row r="49629" s="689" customFormat="1" x14ac:dyDescent="0.2"/>
    <row r="49630" s="689" customFormat="1" x14ac:dyDescent="0.2"/>
    <row r="49631" s="689" customFormat="1" x14ac:dyDescent="0.2"/>
    <row r="49632" s="689" customFormat="1" x14ac:dyDescent="0.2"/>
    <row r="49633" s="689" customFormat="1" x14ac:dyDescent="0.2"/>
    <row r="49634" s="689" customFormat="1" x14ac:dyDescent="0.2"/>
    <row r="49635" s="689" customFormat="1" x14ac:dyDescent="0.2"/>
    <row r="49636" s="689" customFormat="1" x14ac:dyDescent="0.2"/>
    <row r="49637" s="689" customFormat="1" x14ac:dyDescent="0.2"/>
    <row r="49638" s="689" customFormat="1" x14ac:dyDescent="0.2"/>
    <row r="49639" s="689" customFormat="1" x14ac:dyDescent="0.2"/>
    <row r="49640" s="689" customFormat="1" x14ac:dyDescent="0.2"/>
    <row r="49641" s="689" customFormat="1" x14ac:dyDescent="0.2"/>
    <row r="49642" s="689" customFormat="1" x14ac:dyDescent="0.2"/>
    <row r="49643" s="689" customFormat="1" x14ac:dyDescent="0.2"/>
    <row r="49644" s="689" customFormat="1" x14ac:dyDescent="0.2"/>
    <row r="49645" s="689" customFormat="1" x14ac:dyDescent="0.2"/>
    <row r="49646" s="689" customFormat="1" x14ac:dyDescent="0.2"/>
    <row r="49647" s="689" customFormat="1" x14ac:dyDescent="0.2"/>
    <row r="49648" s="689" customFormat="1" x14ac:dyDescent="0.2"/>
    <row r="49649" s="689" customFormat="1" x14ac:dyDescent="0.2"/>
    <row r="49650" s="689" customFormat="1" x14ac:dyDescent="0.2"/>
    <row r="49651" s="689" customFormat="1" x14ac:dyDescent="0.2"/>
    <row r="49652" s="689" customFormat="1" x14ac:dyDescent="0.2"/>
    <row r="49653" s="689" customFormat="1" x14ac:dyDescent="0.2"/>
    <row r="49654" s="689" customFormat="1" x14ac:dyDescent="0.2"/>
    <row r="49655" s="689" customFormat="1" x14ac:dyDescent="0.2"/>
    <row r="49656" s="689" customFormat="1" x14ac:dyDescent="0.2"/>
    <row r="49657" s="689" customFormat="1" x14ac:dyDescent="0.2"/>
    <row r="49658" s="689" customFormat="1" x14ac:dyDescent="0.2"/>
    <row r="49659" s="689" customFormat="1" x14ac:dyDescent="0.2"/>
    <row r="49660" s="689" customFormat="1" x14ac:dyDescent="0.2"/>
    <row r="49661" s="689" customFormat="1" x14ac:dyDescent="0.2"/>
    <row r="49662" s="689" customFormat="1" x14ac:dyDescent="0.2"/>
    <row r="49663" s="689" customFormat="1" x14ac:dyDescent="0.2"/>
    <row r="49664" s="689" customFormat="1" x14ac:dyDescent="0.2"/>
    <row r="49665" s="689" customFormat="1" x14ac:dyDescent="0.2"/>
    <row r="49666" s="689" customFormat="1" x14ac:dyDescent="0.2"/>
    <row r="49667" s="689" customFormat="1" x14ac:dyDescent="0.2"/>
    <row r="49668" s="689" customFormat="1" x14ac:dyDescent="0.2"/>
    <row r="49669" s="689" customFormat="1" x14ac:dyDescent="0.2"/>
    <row r="49670" s="689" customFormat="1" x14ac:dyDescent="0.2"/>
    <row r="49671" s="689" customFormat="1" x14ac:dyDescent="0.2"/>
    <row r="49672" s="689" customFormat="1" x14ac:dyDescent="0.2"/>
    <row r="49673" s="689" customFormat="1" x14ac:dyDescent="0.2"/>
    <row r="49674" s="689" customFormat="1" x14ac:dyDescent="0.2"/>
    <row r="49675" s="689" customFormat="1" x14ac:dyDescent="0.2"/>
    <row r="49676" s="689" customFormat="1" x14ac:dyDescent="0.2"/>
    <row r="49677" s="689" customFormat="1" x14ac:dyDescent="0.2"/>
    <row r="49678" s="689" customFormat="1" x14ac:dyDescent="0.2"/>
    <row r="49679" s="689" customFormat="1" x14ac:dyDescent="0.2"/>
    <row r="49680" s="689" customFormat="1" x14ac:dyDescent="0.2"/>
    <row r="49681" s="689" customFormat="1" x14ac:dyDescent="0.2"/>
    <row r="49682" s="689" customFormat="1" x14ac:dyDescent="0.2"/>
    <row r="49683" s="689" customFormat="1" x14ac:dyDescent="0.2"/>
    <row r="49684" s="689" customFormat="1" x14ac:dyDescent="0.2"/>
    <row r="49685" s="689" customFormat="1" x14ac:dyDescent="0.2"/>
    <row r="49686" s="689" customFormat="1" x14ac:dyDescent="0.2"/>
    <row r="49687" s="689" customFormat="1" x14ac:dyDescent="0.2"/>
    <row r="49688" s="689" customFormat="1" x14ac:dyDescent="0.2"/>
    <row r="49689" s="689" customFormat="1" x14ac:dyDescent="0.2"/>
    <row r="49690" s="689" customFormat="1" x14ac:dyDescent="0.2"/>
    <row r="49691" s="689" customFormat="1" x14ac:dyDescent="0.2"/>
    <row r="49692" s="689" customFormat="1" x14ac:dyDescent="0.2"/>
    <row r="49693" s="689" customFormat="1" x14ac:dyDescent="0.2"/>
    <row r="49694" s="689" customFormat="1" x14ac:dyDescent="0.2"/>
    <row r="49695" s="689" customFormat="1" x14ac:dyDescent="0.2"/>
    <row r="49696" s="689" customFormat="1" x14ac:dyDescent="0.2"/>
    <row r="49697" s="689" customFormat="1" x14ac:dyDescent="0.2"/>
    <row r="49698" s="689" customFormat="1" x14ac:dyDescent="0.2"/>
    <row r="49699" s="689" customFormat="1" x14ac:dyDescent="0.2"/>
    <row r="49700" s="689" customFormat="1" x14ac:dyDescent="0.2"/>
    <row r="49701" s="689" customFormat="1" x14ac:dyDescent="0.2"/>
    <row r="49702" s="689" customFormat="1" x14ac:dyDescent="0.2"/>
    <row r="49703" s="689" customFormat="1" x14ac:dyDescent="0.2"/>
    <row r="49704" s="689" customFormat="1" x14ac:dyDescent="0.2"/>
    <row r="49705" s="689" customFormat="1" x14ac:dyDescent="0.2"/>
    <row r="49706" s="689" customFormat="1" x14ac:dyDescent="0.2"/>
    <row r="49707" s="689" customFormat="1" x14ac:dyDescent="0.2"/>
    <row r="49708" s="689" customFormat="1" x14ac:dyDescent="0.2"/>
    <row r="49709" s="689" customFormat="1" x14ac:dyDescent="0.2"/>
    <row r="49710" s="689" customFormat="1" x14ac:dyDescent="0.2"/>
    <row r="49711" s="689" customFormat="1" x14ac:dyDescent="0.2"/>
    <row r="49712" s="689" customFormat="1" x14ac:dyDescent="0.2"/>
    <row r="49713" s="689" customFormat="1" x14ac:dyDescent="0.2"/>
    <row r="49714" s="689" customFormat="1" x14ac:dyDescent="0.2"/>
    <row r="49715" s="689" customFormat="1" x14ac:dyDescent="0.2"/>
    <row r="49716" s="689" customFormat="1" x14ac:dyDescent="0.2"/>
    <row r="49717" s="689" customFormat="1" x14ac:dyDescent="0.2"/>
    <row r="49718" s="689" customFormat="1" x14ac:dyDescent="0.2"/>
    <row r="49719" s="689" customFormat="1" x14ac:dyDescent="0.2"/>
    <row r="49720" s="689" customFormat="1" x14ac:dyDescent="0.2"/>
    <row r="49721" s="689" customFormat="1" x14ac:dyDescent="0.2"/>
    <row r="49722" s="689" customFormat="1" x14ac:dyDescent="0.2"/>
    <row r="49723" s="689" customFormat="1" x14ac:dyDescent="0.2"/>
    <row r="49724" s="689" customFormat="1" x14ac:dyDescent="0.2"/>
    <row r="49725" s="689" customFormat="1" x14ac:dyDescent="0.2"/>
    <row r="49726" s="689" customFormat="1" x14ac:dyDescent="0.2"/>
    <row r="49727" s="689" customFormat="1" x14ac:dyDescent="0.2"/>
    <row r="49728" s="689" customFormat="1" x14ac:dyDescent="0.2"/>
    <row r="49729" s="689" customFormat="1" x14ac:dyDescent="0.2"/>
    <row r="49730" s="689" customFormat="1" x14ac:dyDescent="0.2"/>
    <row r="49731" s="689" customFormat="1" x14ac:dyDescent="0.2"/>
    <row r="49732" s="689" customFormat="1" x14ac:dyDescent="0.2"/>
    <row r="49733" s="689" customFormat="1" x14ac:dyDescent="0.2"/>
    <row r="49734" s="689" customFormat="1" x14ac:dyDescent="0.2"/>
    <row r="49735" s="689" customFormat="1" x14ac:dyDescent="0.2"/>
    <row r="49736" s="689" customFormat="1" x14ac:dyDescent="0.2"/>
    <row r="49737" s="689" customFormat="1" x14ac:dyDescent="0.2"/>
    <row r="49738" s="689" customFormat="1" x14ac:dyDescent="0.2"/>
    <row r="49739" s="689" customFormat="1" x14ac:dyDescent="0.2"/>
    <row r="49740" s="689" customFormat="1" x14ac:dyDescent="0.2"/>
    <row r="49741" s="689" customFormat="1" x14ac:dyDescent="0.2"/>
    <row r="49742" s="689" customFormat="1" x14ac:dyDescent="0.2"/>
    <row r="49743" s="689" customFormat="1" x14ac:dyDescent="0.2"/>
    <row r="49744" s="689" customFormat="1" x14ac:dyDescent="0.2"/>
    <row r="49745" s="689" customFormat="1" x14ac:dyDescent="0.2"/>
    <row r="49746" s="689" customFormat="1" x14ac:dyDescent="0.2"/>
    <row r="49747" s="689" customFormat="1" x14ac:dyDescent="0.2"/>
    <row r="49748" s="689" customFormat="1" x14ac:dyDescent="0.2"/>
    <row r="49749" s="689" customFormat="1" x14ac:dyDescent="0.2"/>
    <row r="49750" s="689" customFormat="1" x14ac:dyDescent="0.2"/>
    <row r="49751" s="689" customFormat="1" x14ac:dyDescent="0.2"/>
    <row r="49752" s="689" customFormat="1" x14ac:dyDescent="0.2"/>
    <row r="49753" s="689" customFormat="1" x14ac:dyDescent="0.2"/>
    <row r="49754" s="689" customFormat="1" x14ac:dyDescent="0.2"/>
    <row r="49755" s="689" customFormat="1" x14ac:dyDescent="0.2"/>
    <row r="49756" s="689" customFormat="1" x14ac:dyDescent="0.2"/>
    <row r="49757" s="689" customFormat="1" x14ac:dyDescent="0.2"/>
    <row r="49758" s="689" customFormat="1" x14ac:dyDescent="0.2"/>
    <row r="49759" s="689" customFormat="1" x14ac:dyDescent="0.2"/>
    <row r="49760" s="689" customFormat="1" x14ac:dyDescent="0.2"/>
    <row r="49761" s="689" customFormat="1" x14ac:dyDescent="0.2"/>
    <row r="49762" s="689" customFormat="1" x14ac:dyDescent="0.2"/>
    <row r="49763" s="689" customFormat="1" x14ac:dyDescent="0.2"/>
    <row r="49764" s="689" customFormat="1" x14ac:dyDescent="0.2"/>
    <row r="49765" s="689" customFormat="1" x14ac:dyDescent="0.2"/>
    <row r="49766" s="689" customFormat="1" x14ac:dyDescent="0.2"/>
    <row r="49767" s="689" customFormat="1" x14ac:dyDescent="0.2"/>
    <row r="49768" s="689" customFormat="1" x14ac:dyDescent="0.2"/>
    <row r="49769" s="689" customFormat="1" x14ac:dyDescent="0.2"/>
    <row r="49770" s="689" customFormat="1" x14ac:dyDescent="0.2"/>
    <row r="49771" s="689" customFormat="1" x14ac:dyDescent="0.2"/>
    <row r="49772" s="689" customFormat="1" x14ac:dyDescent="0.2"/>
    <row r="49773" s="689" customFormat="1" x14ac:dyDescent="0.2"/>
    <row r="49774" s="689" customFormat="1" x14ac:dyDescent="0.2"/>
    <row r="49775" s="689" customFormat="1" x14ac:dyDescent="0.2"/>
    <row r="49776" s="689" customFormat="1" x14ac:dyDescent="0.2"/>
    <row r="49777" s="689" customFormat="1" x14ac:dyDescent="0.2"/>
    <row r="49778" s="689" customFormat="1" x14ac:dyDescent="0.2"/>
    <row r="49779" s="689" customFormat="1" x14ac:dyDescent="0.2"/>
    <row r="49780" s="689" customFormat="1" x14ac:dyDescent="0.2"/>
    <row r="49781" s="689" customFormat="1" x14ac:dyDescent="0.2"/>
    <row r="49782" s="689" customFormat="1" x14ac:dyDescent="0.2"/>
    <row r="49783" s="689" customFormat="1" x14ac:dyDescent="0.2"/>
    <row r="49784" s="689" customFormat="1" x14ac:dyDescent="0.2"/>
    <row r="49785" s="689" customFormat="1" x14ac:dyDescent="0.2"/>
    <row r="49786" s="689" customFormat="1" x14ac:dyDescent="0.2"/>
    <row r="49787" s="689" customFormat="1" x14ac:dyDescent="0.2"/>
    <row r="49788" s="689" customFormat="1" x14ac:dyDescent="0.2"/>
    <row r="49789" s="689" customFormat="1" x14ac:dyDescent="0.2"/>
    <row r="49790" s="689" customFormat="1" x14ac:dyDescent="0.2"/>
    <row r="49791" s="689" customFormat="1" x14ac:dyDescent="0.2"/>
    <row r="49792" s="689" customFormat="1" x14ac:dyDescent="0.2"/>
    <row r="49793" s="689" customFormat="1" x14ac:dyDescent="0.2"/>
    <row r="49794" s="689" customFormat="1" x14ac:dyDescent="0.2"/>
    <row r="49795" s="689" customFormat="1" x14ac:dyDescent="0.2"/>
    <row r="49796" s="689" customFormat="1" x14ac:dyDescent="0.2"/>
    <row r="49797" s="689" customFormat="1" x14ac:dyDescent="0.2"/>
    <row r="49798" s="689" customFormat="1" x14ac:dyDescent="0.2"/>
    <row r="49799" s="689" customFormat="1" x14ac:dyDescent="0.2"/>
    <row r="49800" s="689" customFormat="1" x14ac:dyDescent="0.2"/>
    <row r="49801" s="689" customFormat="1" x14ac:dyDescent="0.2"/>
    <row r="49802" s="689" customFormat="1" x14ac:dyDescent="0.2"/>
    <row r="49803" s="689" customFormat="1" x14ac:dyDescent="0.2"/>
    <row r="49804" s="689" customFormat="1" x14ac:dyDescent="0.2"/>
    <row r="49805" s="689" customFormat="1" x14ac:dyDescent="0.2"/>
    <row r="49806" s="689" customFormat="1" x14ac:dyDescent="0.2"/>
    <row r="49807" s="689" customFormat="1" x14ac:dyDescent="0.2"/>
    <row r="49808" s="689" customFormat="1" x14ac:dyDescent="0.2"/>
    <row r="49809" s="689" customFormat="1" x14ac:dyDescent="0.2"/>
    <row r="49810" s="689" customFormat="1" x14ac:dyDescent="0.2"/>
    <row r="49811" s="689" customFormat="1" x14ac:dyDescent="0.2"/>
    <row r="49812" s="689" customFormat="1" x14ac:dyDescent="0.2"/>
    <row r="49813" s="689" customFormat="1" x14ac:dyDescent="0.2"/>
    <row r="49814" s="689" customFormat="1" x14ac:dyDescent="0.2"/>
    <row r="49815" s="689" customFormat="1" x14ac:dyDescent="0.2"/>
    <row r="49816" s="689" customFormat="1" x14ac:dyDescent="0.2"/>
    <row r="49817" s="689" customFormat="1" x14ac:dyDescent="0.2"/>
    <row r="49818" s="689" customFormat="1" x14ac:dyDescent="0.2"/>
    <row r="49819" s="689" customFormat="1" x14ac:dyDescent="0.2"/>
    <row r="49820" s="689" customFormat="1" x14ac:dyDescent="0.2"/>
    <row r="49821" s="689" customFormat="1" x14ac:dyDescent="0.2"/>
    <row r="49822" s="689" customFormat="1" x14ac:dyDescent="0.2"/>
    <row r="49823" s="689" customFormat="1" x14ac:dyDescent="0.2"/>
    <row r="49824" s="689" customFormat="1" x14ac:dyDescent="0.2"/>
    <row r="49825" s="689" customFormat="1" x14ac:dyDescent="0.2"/>
    <row r="49826" s="689" customFormat="1" x14ac:dyDescent="0.2"/>
    <row r="49827" s="689" customFormat="1" x14ac:dyDescent="0.2"/>
    <row r="49828" s="689" customFormat="1" x14ac:dyDescent="0.2"/>
    <row r="49829" s="689" customFormat="1" x14ac:dyDescent="0.2"/>
    <row r="49830" s="689" customFormat="1" x14ac:dyDescent="0.2"/>
    <row r="49831" s="689" customFormat="1" x14ac:dyDescent="0.2"/>
    <row r="49832" s="689" customFormat="1" x14ac:dyDescent="0.2"/>
    <row r="49833" s="689" customFormat="1" x14ac:dyDescent="0.2"/>
    <row r="49834" s="689" customFormat="1" x14ac:dyDescent="0.2"/>
    <row r="49835" s="689" customFormat="1" x14ac:dyDescent="0.2"/>
    <row r="49836" s="689" customFormat="1" x14ac:dyDescent="0.2"/>
    <row r="49837" s="689" customFormat="1" x14ac:dyDescent="0.2"/>
    <row r="49838" s="689" customFormat="1" x14ac:dyDescent="0.2"/>
    <row r="49839" s="689" customFormat="1" x14ac:dyDescent="0.2"/>
    <row r="49840" s="689" customFormat="1" x14ac:dyDescent="0.2"/>
    <row r="49841" s="689" customFormat="1" x14ac:dyDescent="0.2"/>
    <row r="49842" s="689" customFormat="1" x14ac:dyDescent="0.2"/>
    <row r="49843" s="689" customFormat="1" x14ac:dyDescent="0.2"/>
    <row r="49844" s="689" customFormat="1" x14ac:dyDescent="0.2"/>
    <row r="49845" s="689" customFormat="1" x14ac:dyDescent="0.2"/>
    <row r="49846" s="689" customFormat="1" x14ac:dyDescent="0.2"/>
    <row r="49847" s="689" customFormat="1" x14ac:dyDescent="0.2"/>
    <row r="49848" s="689" customFormat="1" x14ac:dyDescent="0.2"/>
    <row r="49849" s="689" customFormat="1" x14ac:dyDescent="0.2"/>
    <row r="49850" s="689" customFormat="1" x14ac:dyDescent="0.2"/>
    <row r="49851" s="689" customFormat="1" x14ac:dyDescent="0.2"/>
    <row r="49852" s="689" customFormat="1" x14ac:dyDescent="0.2"/>
    <row r="49853" s="689" customFormat="1" x14ac:dyDescent="0.2"/>
    <row r="49854" s="689" customFormat="1" x14ac:dyDescent="0.2"/>
    <row r="49855" s="689" customFormat="1" x14ac:dyDescent="0.2"/>
    <row r="49856" s="689" customFormat="1" x14ac:dyDescent="0.2"/>
    <row r="49857" s="689" customFormat="1" x14ac:dyDescent="0.2"/>
    <row r="49858" s="689" customFormat="1" x14ac:dyDescent="0.2"/>
    <row r="49859" s="689" customFormat="1" x14ac:dyDescent="0.2"/>
    <row r="49860" s="689" customFormat="1" x14ac:dyDescent="0.2"/>
    <row r="49861" s="689" customFormat="1" x14ac:dyDescent="0.2"/>
    <row r="49862" s="689" customFormat="1" x14ac:dyDescent="0.2"/>
    <row r="49863" s="689" customFormat="1" x14ac:dyDescent="0.2"/>
    <row r="49864" s="689" customFormat="1" x14ac:dyDescent="0.2"/>
    <row r="49865" s="689" customFormat="1" x14ac:dyDescent="0.2"/>
    <row r="49866" s="689" customFormat="1" x14ac:dyDescent="0.2"/>
    <row r="49867" s="689" customFormat="1" x14ac:dyDescent="0.2"/>
    <row r="49868" s="689" customFormat="1" x14ac:dyDescent="0.2"/>
    <row r="49869" s="689" customFormat="1" x14ac:dyDescent="0.2"/>
    <row r="49870" s="689" customFormat="1" x14ac:dyDescent="0.2"/>
    <row r="49871" s="689" customFormat="1" x14ac:dyDescent="0.2"/>
    <row r="49872" s="689" customFormat="1" x14ac:dyDescent="0.2"/>
    <row r="49873" s="689" customFormat="1" x14ac:dyDescent="0.2"/>
    <row r="49874" s="689" customFormat="1" x14ac:dyDescent="0.2"/>
    <row r="49875" s="689" customFormat="1" x14ac:dyDescent="0.2"/>
    <row r="49876" s="689" customFormat="1" x14ac:dyDescent="0.2"/>
    <row r="49877" s="689" customFormat="1" x14ac:dyDescent="0.2"/>
    <row r="49878" s="689" customFormat="1" x14ac:dyDescent="0.2"/>
    <row r="49879" s="689" customFormat="1" x14ac:dyDescent="0.2"/>
    <row r="49880" s="689" customFormat="1" x14ac:dyDescent="0.2"/>
    <row r="49881" s="689" customFormat="1" x14ac:dyDescent="0.2"/>
    <row r="49882" s="689" customFormat="1" x14ac:dyDescent="0.2"/>
    <row r="49883" s="689" customFormat="1" x14ac:dyDescent="0.2"/>
    <row r="49884" s="689" customFormat="1" x14ac:dyDescent="0.2"/>
    <row r="49885" s="689" customFormat="1" x14ac:dyDescent="0.2"/>
    <row r="49886" s="689" customFormat="1" x14ac:dyDescent="0.2"/>
    <row r="49887" s="689" customFormat="1" x14ac:dyDescent="0.2"/>
    <row r="49888" s="689" customFormat="1" x14ac:dyDescent="0.2"/>
    <row r="49889" s="689" customFormat="1" x14ac:dyDescent="0.2"/>
    <row r="49890" s="689" customFormat="1" x14ac:dyDescent="0.2"/>
    <row r="49891" s="689" customFormat="1" x14ac:dyDescent="0.2"/>
    <row r="49892" s="689" customFormat="1" x14ac:dyDescent="0.2"/>
    <row r="49893" s="689" customFormat="1" x14ac:dyDescent="0.2"/>
    <row r="49894" s="689" customFormat="1" x14ac:dyDescent="0.2"/>
    <row r="49895" s="689" customFormat="1" x14ac:dyDescent="0.2"/>
    <row r="49896" s="689" customFormat="1" x14ac:dyDescent="0.2"/>
    <row r="49897" s="689" customFormat="1" x14ac:dyDescent="0.2"/>
    <row r="49898" s="689" customFormat="1" x14ac:dyDescent="0.2"/>
    <row r="49899" s="689" customFormat="1" x14ac:dyDescent="0.2"/>
    <row r="49900" s="689" customFormat="1" x14ac:dyDescent="0.2"/>
    <row r="49901" s="689" customFormat="1" x14ac:dyDescent="0.2"/>
    <row r="49902" s="689" customFormat="1" x14ac:dyDescent="0.2"/>
    <row r="49903" s="689" customFormat="1" x14ac:dyDescent="0.2"/>
    <row r="49904" s="689" customFormat="1" x14ac:dyDescent="0.2"/>
    <row r="49905" s="689" customFormat="1" x14ac:dyDescent="0.2"/>
    <row r="49906" s="689" customFormat="1" x14ac:dyDescent="0.2"/>
    <row r="49907" s="689" customFormat="1" x14ac:dyDescent="0.2"/>
    <row r="49908" s="689" customFormat="1" x14ac:dyDescent="0.2"/>
    <row r="49909" s="689" customFormat="1" x14ac:dyDescent="0.2"/>
    <row r="49910" s="689" customFormat="1" x14ac:dyDescent="0.2"/>
    <row r="49911" s="689" customFormat="1" x14ac:dyDescent="0.2"/>
    <row r="49912" s="689" customFormat="1" x14ac:dyDescent="0.2"/>
    <row r="49913" s="689" customFormat="1" x14ac:dyDescent="0.2"/>
    <row r="49914" s="689" customFormat="1" x14ac:dyDescent="0.2"/>
    <row r="49915" s="689" customFormat="1" x14ac:dyDescent="0.2"/>
    <row r="49916" s="689" customFormat="1" x14ac:dyDescent="0.2"/>
    <row r="49917" s="689" customFormat="1" x14ac:dyDescent="0.2"/>
    <row r="49918" s="689" customFormat="1" x14ac:dyDescent="0.2"/>
    <row r="49919" s="689" customFormat="1" x14ac:dyDescent="0.2"/>
    <row r="49920" s="689" customFormat="1" x14ac:dyDescent="0.2"/>
    <row r="49921" s="689" customFormat="1" x14ac:dyDescent="0.2"/>
    <row r="49922" s="689" customFormat="1" x14ac:dyDescent="0.2"/>
    <row r="49923" s="689" customFormat="1" x14ac:dyDescent="0.2"/>
    <row r="49924" s="689" customFormat="1" x14ac:dyDescent="0.2"/>
    <row r="49925" s="689" customFormat="1" x14ac:dyDescent="0.2"/>
    <row r="49926" s="689" customFormat="1" x14ac:dyDescent="0.2"/>
    <row r="49927" s="689" customFormat="1" x14ac:dyDescent="0.2"/>
    <row r="49928" s="689" customFormat="1" x14ac:dyDescent="0.2"/>
    <row r="49929" s="689" customFormat="1" x14ac:dyDescent="0.2"/>
    <row r="49930" s="689" customFormat="1" x14ac:dyDescent="0.2"/>
    <row r="49931" s="689" customFormat="1" x14ac:dyDescent="0.2"/>
    <row r="49932" s="689" customFormat="1" x14ac:dyDescent="0.2"/>
    <row r="49933" s="689" customFormat="1" x14ac:dyDescent="0.2"/>
    <row r="49934" s="689" customFormat="1" x14ac:dyDescent="0.2"/>
    <row r="49935" s="689" customFormat="1" x14ac:dyDescent="0.2"/>
    <row r="49936" s="689" customFormat="1" x14ac:dyDescent="0.2"/>
    <row r="49937" s="689" customFormat="1" x14ac:dyDescent="0.2"/>
    <row r="49938" s="689" customFormat="1" x14ac:dyDescent="0.2"/>
    <row r="49939" s="689" customFormat="1" x14ac:dyDescent="0.2"/>
    <row r="49940" s="689" customFormat="1" x14ac:dyDescent="0.2"/>
    <row r="49941" s="689" customFormat="1" x14ac:dyDescent="0.2"/>
    <row r="49942" s="689" customFormat="1" x14ac:dyDescent="0.2"/>
    <row r="49943" s="689" customFormat="1" x14ac:dyDescent="0.2"/>
    <row r="49944" s="689" customFormat="1" x14ac:dyDescent="0.2"/>
    <row r="49945" s="689" customFormat="1" x14ac:dyDescent="0.2"/>
    <row r="49946" s="689" customFormat="1" x14ac:dyDescent="0.2"/>
    <row r="49947" s="689" customFormat="1" x14ac:dyDescent="0.2"/>
    <row r="49948" s="689" customFormat="1" x14ac:dyDescent="0.2"/>
    <row r="49949" s="689" customFormat="1" x14ac:dyDescent="0.2"/>
    <row r="49950" s="689" customFormat="1" x14ac:dyDescent="0.2"/>
    <row r="49951" s="689" customFormat="1" x14ac:dyDescent="0.2"/>
    <row r="49952" s="689" customFormat="1" x14ac:dyDescent="0.2"/>
    <row r="49953" s="689" customFormat="1" x14ac:dyDescent="0.2"/>
    <row r="49954" s="689" customFormat="1" x14ac:dyDescent="0.2"/>
    <row r="49955" s="689" customFormat="1" x14ac:dyDescent="0.2"/>
    <row r="49956" s="689" customFormat="1" x14ac:dyDescent="0.2"/>
    <row r="49957" s="689" customFormat="1" x14ac:dyDescent="0.2"/>
    <row r="49958" s="689" customFormat="1" x14ac:dyDescent="0.2"/>
    <row r="49959" s="689" customFormat="1" x14ac:dyDescent="0.2"/>
    <row r="49960" s="689" customFormat="1" x14ac:dyDescent="0.2"/>
    <row r="49961" s="689" customFormat="1" x14ac:dyDescent="0.2"/>
    <row r="49962" s="689" customFormat="1" x14ac:dyDescent="0.2"/>
    <row r="49963" s="689" customFormat="1" x14ac:dyDescent="0.2"/>
    <row r="49964" s="689" customFormat="1" x14ac:dyDescent="0.2"/>
    <row r="49965" s="689" customFormat="1" x14ac:dyDescent="0.2"/>
    <row r="49966" s="689" customFormat="1" x14ac:dyDescent="0.2"/>
    <row r="49967" s="689" customFormat="1" x14ac:dyDescent="0.2"/>
    <row r="49968" s="689" customFormat="1" x14ac:dyDescent="0.2"/>
    <row r="49969" s="689" customFormat="1" x14ac:dyDescent="0.2"/>
    <row r="49970" s="689" customFormat="1" x14ac:dyDescent="0.2"/>
    <row r="49971" s="689" customFormat="1" x14ac:dyDescent="0.2"/>
    <row r="49972" s="689" customFormat="1" x14ac:dyDescent="0.2"/>
    <row r="49973" s="689" customFormat="1" x14ac:dyDescent="0.2"/>
    <row r="49974" s="689" customFormat="1" x14ac:dyDescent="0.2"/>
    <row r="49975" s="689" customFormat="1" x14ac:dyDescent="0.2"/>
    <row r="49976" s="689" customFormat="1" x14ac:dyDescent="0.2"/>
    <row r="49977" s="689" customFormat="1" x14ac:dyDescent="0.2"/>
    <row r="49978" s="689" customFormat="1" x14ac:dyDescent="0.2"/>
    <row r="49979" s="689" customFormat="1" x14ac:dyDescent="0.2"/>
    <row r="49980" s="689" customFormat="1" x14ac:dyDescent="0.2"/>
    <row r="49981" s="689" customFormat="1" x14ac:dyDescent="0.2"/>
    <row r="49982" s="689" customFormat="1" x14ac:dyDescent="0.2"/>
    <row r="49983" s="689" customFormat="1" x14ac:dyDescent="0.2"/>
    <row r="49984" s="689" customFormat="1" x14ac:dyDescent="0.2"/>
    <row r="49985" s="689" customFormat="1" x14ac:dyDescent="0.2"/>
    <row r="49986" s="689" customFormat="1" x14ac:dyDescent="0.2"/>
    <row r="49987" s="689" customFormat="1" x14ac:dyDescent="0.2"/>
    <row r="49988" s="689" customFormat="1" x14ac:dyDescent="0.2"/>
    <row r="49989" s="689" customFormat="1" x14ac:dyDescent="0.2"/>
    <row r="49990" s="689" customFormat="1" x14ac:dyDescent="0.2"/>
    <row r="49991" s="689" customFormat="1" x14ac:dyDescent="0.2"/>
    <row r="49992" s="689" customFormat="1" x14ac:dyDescent="0.2"/>
    <row r="49993" s="689" customFormat="1" x14ac:dyDescent="0.2"/>
    <row r="49994" s="689" customFormat="1" x14ac:dyDescent="0.2"/>
    <row r="49995" s="689" customFormat="1" x14ac:dyDescent="0.2"/>
    <row r="49996" s="689" customFormat="1" x14ac:dyDescent="0.2"/>
    <row r="49997" s="689" customFormat="1" x14ac:dyDescent="0.2"/>
    <row r="49998" s="689" customFormat="1" x14ac:dyDescent="0.2"/>
    <row r="49999" s="689" customFormat="1" x14ac:dyDescent="0.2"/>
    <row r="50000" s="689" customFormat="1" x14ac:dyDescent="0.2"/>
    <row r="50001" s="689" customFormat="1" x14ac:dyDescent="0.2"/>
    <row r="50002" s="689" customFormat="1" x14ac:dyDescent="0.2"/>
    <row r="50003" s="689" customFormat="1" x14ac:dyDescent="0.2"/>
    <row r="50004" s="689" customFormat="1" x14ac:dyDescent="0.2"/>
    <row r="50005" s="689" customFormat="1" x14ac:dyDescent="0.2"/>
    <row r="50006" s="689" customFormat="1" x14ac:dyDescent="0.2"/>
    <row r="50007" s="689" customFormat="1" x14ac:dyDescent="0.2"/>
    <row r="50008" s="689" customFormat="1" x14ac:dyDescent="0.2"/>
    <row r="50009" s="689" customFormat="1" x14ac:dyDescent="0.2"/>
    <row r="50010" s="689" customFormat="1" x14ac:dyDescent="0.2"/>
    <row r="50011" s="689" customFormat="1" x14ac:dyDescent="0.2"/>
    <row r="50012" s="689" customFormat="1" x14ac:dyDescent="0.2"/>
    <row r="50013" s="689" customFormat="1" x14ac:dyDescent="0.2"/>
    <row r="50014" s="689" customFormat="1" x14ac:dyDescent="0.2"/>
    <row r="50015" s="689" customFormat="1" x14ac:dyDescent="0.2"/>
    <row r="50016" s="689" customFormat="1" x14ac:dyDescent="0.2"/>
    <row r="50017" s="689" customFormat="1" x14ac:dyDescent="0.2"/>
    <row r="50018" s="689" customFormat="1" x14ac:dyDescent="0.2"/>
    <row r="50019" s="689" customFormat="1" x14ac:dyDescent="0.2"/>
    <row r="50020" s="689" customFormat="1" x14ac:dyDescent="0.2"/>
    <row r="50021" s="689" customFormat="1" x14ac:dyDescent="0.2"/>
    <row r="50022" s="689" customFormat="1" x14ac:dyDescent="0.2"/>
    <row r="50023" s="689" customFormat="1" x14ac:dyDescent="0.2"/>
    <row r="50024" s="689" customFormat="1" x14ac:dyDescent="0.2"/>
    <row r="50025" s="689" customFormat="1" x14ac:dyDescent="0.2"/>
    <row r="50026" s="689" customFormat="1" x14ac:dyDescent="0.2"/>
    <row r="50027" s="689" customFormat="1" x14ac:dyDescent="0.2"/>
    <row r="50028" s="689" customFormat="1" x14ac:dyDescent="0.2"/>
    <row r="50029" s="689" customFormat="1" x14ac:dyDescent="0.2"/>
    <row r="50030" s="689" customFormat="1" x14ac:dyDescent="0.2"/>
    <row r="50031" s="689" customFormat="1" x14ac:dyDescent="0.2"/>
    <row r="50032" s="689" customFormat="1" x14ac:dyDescent="0.2"/>
    <row r="50033" s="689" customFormat="1" x14ac:dyDescent="0.2"/>
    <row r="50034" s="689" customFormat="1" x14ac:dyDescent="0.2"/>
    <row r="50035" s="689" customFormat="1" x14ac:dyDescent="0.2"/>
    <row r="50036" s="689" customFormat="1" x14ac:dyDescent="0.2"/>
    <row r="50037" s="689" customFormat="1" x14ac:dyDescent="0.2"/>
    <row r="50038" s="689" customFormat="1" x14ac:dyDescent="0.2"/>
    <row r="50039" s="689" customFormat="1" x14ac:dyDescent="0.2"/>
    <row r="50040" s="689" customFormat="1" x14ac:dyDescent="0.2"/>
    <row r="50041" s="689" customFormat="1" x14ac:dyDescent="0.2"/>
    <row r="50042" s="689" customFormat="1" x14ac:dyDescent="0.2"/>
    <row r="50043" s="689" customFormat="1" x14ac:dyDescent="0.2"/>
    <row r="50044" s="689" customFormat="1" x14ac:dyDescent="0.2"/>
    <row r="50045" s="689" customFormat="1" x14ac:dyDescent="0.2"/>
    <row r="50046" s="689" customFormat="1" x14ac:dyDescent="0.2"/>
    <row r="50047" s="689" customFormat="1" x14ac:dyDescent="0.2"/>
    <row r="50048" s="689" customFormat="1" x14ac:dyDescent="0.2"/>
    <row r="50049" s="689" customFormat="1" x14ac:dyDescent="0.2"/>
    <row r="50050" s="689" customFormat="1" x14ac:dyDescent="0.2"/>
    <row r="50051" s="689" customFormat="1" x14ac:dyDescent="0.2"/>
    <row r="50052" s="689" customFormat="1" x14ac:dyDescent="0.2"/>
    <row r="50053" s="689" customFormat="1" x14ac:dyDescent="0.2"/>
    <row r="50054" s="689" customFormat="1" x14ac:dyDescent="0.2"/>
    <row r="50055" s="689" customFormat="1" x14ac:dyDescent="0.2"/>
    <row r="50056" s="689" customFormat="1" x14ac:dyDescent="0.2"/>
    <row r="50057" s="689" customFormat="1" x14ac:dyDescent="0.2"/>
    <row r="50058" s="689" customFormat="1" x14ac:dyDescent="0.2"/>
    <row r="50059" s="689" customFormat="1" x14ac:dyDescent="0.2"/>
    <row r="50060" s="689" customFormat="1" x14ac:dyDescent="0.2"/>
    <row r="50061" s="689" customFormat="1" x14ac:dyDescent="0.2"/>
    <row r="50062" s="689" customFormat="1" x14ac:dyDescent="0.2"/>
    <row r="50063" s="689" customFormat="1" x14ac:dyDescent="0.2"/>
    <row r="50064" s="689" customFormat="1" x14ac:dyDescent="0.2"/>
    <row r="50065" s="689" customFormat="1" x14ac:dyDescent="0.2"/>
    <row r="50066" s="689" customFormat="1" x14ac:dyDescent="0.2"/>
    <row r="50067" s="689" customFormat="1" x14ac:dyDescent="0.2"/>
    <row r="50068" s="689" customFormat="1" x14ac:dyDescent="0.2"/>
    <row r="50069" s="689" customFormat="1" x14ac:dyDescent="0.2"/>
    <row r="50070" s="689" customFormat="1" x14ac:dyDescent="0.2"/>
    <row r="50071" s="689" customFormat="1" x14ac:dyDescent="0.2"/>
    <row r="50072" s="689" customFormat="1" x14ac:dyDescent="0.2"/>
    <row r="50073" s="689" customFormat="1" x14ac:dyDescent="0.2"/>
    <row r="50074" s="689" customFormat="1" x14ac:dyDescent="0.2"/>
    <row r="50075" s="689" customFormat="1" x14ac:dyDescent="0.2"/>
    <row r="50076" s="689" customFormat="1" x14ac:dyDescent="0.2"/>
    <row r="50077" s="689" customFormat="1" x14ac:dyDescent="0.2"/>
    <row r="50078" s="689" customFormat="1" x14ac:dyDescent="0.2"/>
    <row r="50079" s="689" customFormat="1" x14ac:dyDescent="0.2"/>
    <row r="50080" s="689" customFormat="1" x14ac:dyDescent="0.2"/>
    <row r="50081" s="689" customFormat="1" x14ac:dyDescent="0.2"/>
    <row r="50082" s="689" customFormat="1" x14ac:dyDescent="0.2"/>
    <row r="50083" s="689" customFormat="1" x14ac:dyDescent="0.2"/>
    <row r="50084" s="689" customFormat="1" x14ac:dyDescent="0.2"/>
    <row r="50085" s="689" customFormat="1" x14ac:dyDescent="0.2"/>
    <row r="50086" s="689" customFormat="1" x14ac:dyDescent="0.2"/>
    <row r="50087" s="689" customFormat="1" x14ac:dyDescent="0.2"/>
    <row r="50088" s="689" customFormat="1" x14ac:dyDescent="0.2"/>
    <row r="50089" s="689" customFormat="1" x14ac:dyDescent="0.2"/>
    <row r="50090" s="689" customFormat="1" x14ac:dyDescent="0.2"/>
    <row r="50091" s="689" customFormat="1" x14ac:dyDescent="0.2"/>
    <row r="50092" s="689" customFormat="1" x14ac:dyDescent="0.2"/>
    <row r="50093" s="689" customFormat="1" x14ac:dyDescent="0.2"/>
    <row r="50094" s="689" customFormat="1" x14ac:dyDescent="0.2"/>
    <row r="50095" s="689" customFormat="1" x14ac:dyDescent="0.2"/>
    <row r="50096" s="689" customFormat="1" x14ac:dyDescent="0.2"/>
    <row r="50097" s="689" customFormat="1" x14ac:dyDescent="0.2"/>
    <row r="50098" s="689" customFormat="1" x14ac:dyDescent="0.2"/>
    <row r="50099" s="689" customFormat="1" x14ac:dyDescent="0.2"/>
    <row r="50100" s="689" customFormat="1" x14ac:dyDescent="0.2"/>
    <row r="50101" s="689" customFormat="1" x14ac:dyDescent="0.2"/>
    <row r="50102" s="689" customFormat="1" x14ac:dyDescent="0.2"/>
    <row r="50103" s="689" customFormat="1" x14ac:dyDescent="0.2"/>
    <row r="50104" s="689" customFormat="1" x14ac:dyDescent="0.2"/>
    <row r="50105" s="689" customFormat="1" x14ac:dyDescent="0.2"/>
    <row r="50106" s="689" customFormat="1" x14ac:dyDescent="0.2"/>
    <row r="50107" s="689" customFormat="1" x14ac:dyDescent="0.2"/>
    <row r="50108" s="689" customFormat="1" x14ac:dyDescent="0.2"/>
    <row r="50109" s="689" customFormat="1" x14ac:dyDescent="0.2"/>
    <row r="50110" s="689" customFormat="1" x14ac:dyDescent="0.2"/>
    <row r="50111" s="689" customFormat="1" x14ac:dyDescent="0.2"/>
    <row r="50112" s="689" customFormat="1" x14ac:dyDescent="0.2"/>
    <row r="50113" s="689" customFormat="1" x14ac:dyDescent="0.2"/>
    <row r="50114" s="689" customFormat="1" x14ac:dyDescent="0.2"/>
    <row r="50115" s="689" customFormat="1" x14ac:dyDescent="0.2"/>
    <row r="50116" s="689" customFormat="1" x14ac:dyDescent="0.2"/>
    <row r="50117" s="689" customFormat="1" x14ac:dyDescent="0.2"/>
    <row r="50118" s="689" customFormat="1" x14ac:dyDescent="0.2"/>
    <row r="50119" s="689" customFormat="1" x14ac:dyDescent="0.2"/>
    <row r="50120" s="689" customFormat="1" x14ac:dyDescent="0.2"/>
    <row r="50121" s="689" customFormat="1" x14ac:dyDescent="0.2"/>
    <row r="50122" s="689" customFormat="1" x14ac:dyDescent="0.2"/>
    <row r="50123" s="689" customFormat="1" x14ac:dyDescent="0.2"/>
    <row r="50124" s="689" customFormat="1" x14ac:dyDescent="0.2"/>
    <row r="50125" s="689" customFormat="1" x14ac:dyDescent="0.2"/>
    <row r="50126" s="689" customFormat="1" x14ac:dyDescent="0.2"/>
    <row r="50127" s="689" customFormat="1" x14ac:dyDescent="0.2"/>
    <row r="50128" s="689" customFormat="1" x14ac:dyDescent="0.2"/>
    <row r="50129" s="689" customFormat="1" x14ac:dyDescent="0.2"/>
    <row r="50130" s="689" customFormat="1" x14ac:dyDescent="0.2"/>
    <row r="50131" s="689" customFormat="1" x14ac:dyDescent="0.2"/>
    <row r="50132" s="689" customFormat="1" x14ac:dyDescent="0.2"/>
    <row r="50133" s="689" customFormat="1" x14ac:dyDescent="0.2"/>
    <row r="50134" s="689" customFormat="1" x14ac:dyDescent="0.2"/>
    <row r="50135" s="689" customFormat="1" x14ac:dyDescent="0.2"/>
    <row r="50136" s="689" customFormat="1" x14ac:dyDescent="0.2"/>
    <row r="50137" s="689" customFormat="1" x14ac:dyDescent="0.2"/>
    <row r="50138" s="689" customFormat="1" x14ac:dyDescent="0.2"/>
    <row r="50139" s="689" customFormat="1" x14ac:dyDescent="0.2"/>
    <row r="50140" s="689" customFormat="1" x14ac:dyDescent="0.2"/>
    <row r="50141" s="689" customFormat="1" x14ac:dyDescent="0.2"/>
    <row r="50142" s="689" customFormat="1" x14ac:dyDescent="0.2"/>
    <row r="50143" s="689" customFormat="1" x14ac:dyDescent="0.2"/>
    <row r="50144" s="689" customFormat="1" x14ac:dyDescent="0.2"/>
    <row r="50145" s="689" customFormat="1" x14ac:dyDescent="0.2"/>
    <row r="50146" s="689" customFormat="1" x14ac:dyDescent="0.2"/>
    <row r="50147" s="689" customFormat="1" x14ac:dyDescent="0.2"/>
    <row r="50148" s="689" customFormat="1" x14ac:dyDescent="0.2"/>
    <row r="50149" s="689" customFormat="1" x14ac:dyDescent="0.2"/>
    <row r="50150" s="689" customFormat="1" x14ac:dyDescent="0.2"/>
    <row r="50151" s="689" customFormat="1" x14ac:dyDescent="0.2"/>
    <row r="50152" s="689" customFormat="1" x14ac:dyDescent="0.2"/>
    <row r="50153" s="689" customFormat="1" x14ac:dyDescent="0.2"/>
    <row r="50154" s="689" customFormat="1" x14ac:dyDescent="0.2"/>
    <row r="50155" s="689" customFormat="1" x14ac:dyDescent="0.2"/>
    <row r="50156" s="689" customFormat="1" x14ac:dyDescent="0.2"/>
    <row r="50157" s="689" customFormat="1" x14ac:dyDescent="0.2"/>
    <row r="50158" s="689" customFormat="1" x14ac:dyDescent="0.2"/>
    <row r="50159" s="689" customFormat="1" x14ac:dyDescent="0.2"/>
    <row r="50160" s="689" customFormat="1" x14ac:dyDescent="0.2"/>
    <row r="50161" s="689" customFormat="1" x14ac:dyDescent="0.2"/>
    <row r="50162" s="689" customFormat="1" x14ac:dyDescent="0.2"/>
    <row r="50163" s="689" customFormat="1" x14ac:dyDescent="0.2"/>
    <row r="50164" s="689" customFormat="1" x14ac:dyDescent="0.2"/>
    <row r="50165" s="689" customFormat="1" x14ac:dyDescent="0.2"/>
    <row r="50166" s="689" customFormat="1" x14ac:dyDescent="0.2"/>
    <row r="50167" s="689" customFormat="1" x14ac:dyDescent="0.2"/>
    <row r="50168" s="689" customFormat="1" x14ac:dyDescent="0.2"/>
    <row r="50169" s="689" customFormat="1" x14ac:dyDescent="0.2"/>
    <row r="50170" s="689" customFormat="1" x14ac:dyDescent="0.2"/>
    <row r="50171" s="689" customFormat="1" x14ac:dyDescent="0.2"/>
    <row r="50172" s="689" customFormat="1" x14ac:dyDescent="0.2"/>
    <row r="50173" s="689" customFormat="1" x14ac:dyDescent="0.2"/>
    <row r="50174" s="689" customFormat="1" x14ac:dyDescent="0.2"/>
    <row r="50175" s="689" customFormat="1" x14ac:dyDescent="0.2"/>
    <row r="50176" s="689" customFormat="1" x14ac:dyDescent="0.2"/>
    <row r="50177" s="689" customFormat="1" x14ac:dyDescent="0.2"/>
    <row r="50178" s="689" customFormat="1" x14ac:dyDescent="0.2"/>
    <row r="50179" s="689" customFormat="1" x14ac:dyDescent="0.2"/>
    <row r="50180" s="689" customFormat="1" x14ac:dyDescent="0.2"/>
    <row r="50181" s="689" customFormat="1" x14ac:dyDescent="0.2"/>
    <row r="50182" s="689" customFormat="1" x14ac:dyDescent="0.2"/>
    <row r="50183" s="689" customFormat="1" x14ac:dyDescent="0.2"/>
    <row r="50184" s="689" customFormat="1" x14ac:dyDescent="0.2"/>
    <row r="50185" s="689" customFormat="1" x14ac:dyDescent="0.2"/>
    <row r="50186" s="689" customFormat="1" x14ac:dyDescent="0.2"/>
    <row r="50187" s="689" customFormat="1" x14ac:dyDescent="0.2"/>
    <row r="50188" s="689" customFormat="1" x14ac:dyDescent="0.2"/>
    <row r="50189" s="689" customFormat="1" x14ac:dyDescent="0.2"/>
    <row r="50190" s="689" customFormat="1" x14ac:dyDescent="0.2"/>
    <row r="50191" s="689" customFormat="1" x14ac:dyDescent="0.2"/>
    <row r="50192" s="689" customFormat="1" x14ac:dyDescent="0.2"/>
    <row r="50193" s="689" customFormat="1" x14ac:dyDescent="0.2"/>
    <row r="50194" s="689" customFormat="1" x14ac:dyDescent="0.2"/>
    <row r="50195" s="689" customFormat="1" x14ac:dyDescent="0.2"/>
    <row r="50196" s="689" customFormat="1" x14ac:dyDescent="0.2"/>
    <row r="50197" s="689" customFormat="1" x14ac:dyDescent="0.2"/>
    <row r="50198" s="689" customFormat="1" x14ac:dyDescent="0.2"/>
    <row r="50199" s="689" customFormat="1" x14ac:dyDescent="0.2"/>
    <row r="50200" s="689" customFormat="1" x14ac:dyDescent="0.2"/>
    <row r="50201" s="689" customFormat="1" x14ac:dyDescent="0.2"/>
    <row r="50202" s="689" customFormat="1" x14ac:dyDescent="0.2"/>
    <row r="50203" s="689" customFormat="1" x14ac:dyDescent="0.2"/>
    <row r="50204" s="689" customFormat="1" x14ac:dyDescent="0.2"/>
    <row r="50205" s="689" customFormat="1" x14ac:dyDescent="0.2"/>
    <row r="50206" s="689" customFormat="1" x14ac:dyDescent="0.2"/>
    <row r="50207" s="689" customFormat="1" x14ac:dyDescent="0.2"/>
    <row r="50208" s="689" customFormat="1" x14ac:dyDescent="0.2"/>
    <row r="50209" s="689" customFormat="1" x14ac:dyDescent="0.2"/>
    <row r="50210" s="689" customFormat="1" x14ac:dyDescent="0.2"/>
    <row r="50211" s="689" customFormat="1" x14ac:dyDescent="0.2"/>
    <row r="50212" s="689" customFormat="1" x14ac:dyDescent="0.2"/>
    <row r="50213" s="689" customFormat="1" x14ac:dyDescent="0.2"/>
    <row r="50214" s="689" customFormat="1" x14ac:dyDescent="0.2"/>
    <row r="50215" s="689" customFormat="1" x14ac:dyDescent="0.2"/>
    <row r="50216" s="689" customFormat="1" x14ac:dyDescent="0.2"/>
    <row r="50217" s="689" customFormat="1" x14ac:dyDescent="0.2"/>
    <row r="50218" s="689" customFormat="1" x14ac:dyDescent="0.2"/>
    <row r="50219" s="689" customFormat="1" x14ac:dyDescent="0.2"/>
    <row r="50220" s="689" customFormat="1" x14ac:dyDescent="0.2"/>
    <row r="50221" s="689" customFormat="1" x14ac:dyDescent="0.2"/>
    <row r="50222" s="689" customFormat="1" x14ac:dyDescent="0.2"/>
    <row r="50223" s="689" customFormat="1" x14ac:dyDescent="0.2"/>
    <row r="50224" s="689" customFormat="1" x14ac:dyDescent="0.2"/>
    <row r="50225" s="689" customFormat="1" x14ac:dyDescent="0.2"/>
    <row r="50226" s="689" customFormat="1" x14ac:dyDescent="0.2"/>
    <row r="50227" s="689" customFormat="1" x14ac:dyDescent="0.2"/>
    <row r="50228" s="689" customFormat="1" x14ac:dyDescent="0.2"/>
    <row r="50229" s="689" customFormat="1" x14ac:dyDescent="0.2"/>
    <row r="50230" s="689" customFormat="1" x14ac:dyDescent="0.2"/>
    <row r="50231" s="689" customFormat="1" x14ac:dyDescent="0.2"/>
    <row r="50232" s="689" customFormat="1" x14ac:dyDescent="0.2"/>
    <row r="50233" s="689" customFormat="1" x14ac:dyDescent="0.2"/>
    <row r="50234" s="689" customFormat="1" x14ac:dyDescent="0.2"/>
    <row r="50235" s="689" customFormat="1" x14ac:dyDescent="0.2"/>
    <row r="50236" s="689" customFormat="1" x14ac:dyDescent="0.2"/>
    <row r="50237" s="689" customFormat="1" x14ac:dyDescent="0.2"/>
    <row r="50238" s="689" customFormat="1" x14ac:dyDescent="0.2"/>
    <row r="50239" s="689" customFormat="1" x14ac:dyDescent="0.2"/>
    <row r="50240" s="689" customFormat="1" x14ac:dyDescent="0.2"/>
    <row r="50241" s="689" customFormat="1" x14ac:dyDescent="0.2"/>
    <row r="50242" s="689" customFormat="1" x14ac:dyDescent="0.2"/>
    <row r="50243" s="689" customFormat="1" x14ac:dyDescent="0.2"/>
    <row r="50244" s="689" customFormat="1" x14ac:dyDescent="0.2"/>
    <row r="50245" s="689" customFormat="1" x14ac:dyDescent="0.2"/>
    <row r="50246" s="689" customFormat="1" x14ac:dyDescent="0.2"/>
    <row r="50247" s="689" customFormat="1" x14ac:dyDescent="0.2"/>
    <row r="50248" s="689" customFormat="1" x14ac:dyDescent="0.2"/>
    <row r="50249" s="689" customFormat="1" x14ac:dyDescent="0.2"/>
    <row r="50250" s="689" customFormat="1" x14ac:dyDescent="0.2"/>
    <row r="50251" s="689" customFormat="1" x14ac:dyDescent="0.2"/>
    <row r="50252" s="689" customFormat="1" x14ac:dyDescent="0.2"/>
    <row r="50253" s="689" customFormat="1" x14ac:dyDescent="0.2"/>
    <row r="50254" s="689" customFormat="1" x14ac:dyDescent="0.2"/>
    <row r="50255" s="689" customFormat="1" x14ac:dyDescent="0.2"/>
    <row r="50256" s="689" customFormat="1" x14ac:dyDescent="0.2"/>
    <row r="50257" s="689" customFormat="1" x14ac:dyDescent="0.2"/>
    <row r="50258" s="689" customFormat="1" x14ac:dyDescent="0.2"/>
    <row r="50259" s="689" customFormat="1" x14ac:dyDescent="0.2"/>
    <row r="50260" s="689" customFormat="1" x14ac:dyDescent="0.2"/>
    <row r="50261" s="689" customFormat="1" x14ac:dyDescent="0.2"/>
    <row r="50262" s="689" customFormat="1" x14ac:dyDescent="0.2"/>
    <row r="50263" s="689" customFormat="1" x14ac:dyDescent="0.2"/>
    <row r="50264" s="689" customFormat="1" x14ac:dyDescent="0.2"/>
    <row r="50265" s="689" customFormat="1" x14ac:dyDescent="0.2"/>
    <row r="50266" s="689" customFormat="1" x14ac:dyDescent="0.2"/>
    <row r="50267" s="689" customFormat="1" x14ac:dyDescent="0.2"/>
    <row r="50268" s="689" customFormat="1" x14ac:dyDescent="0.2"/>
    <row r="50269" s="689" customFormat="1" x14ac:dyDescent="0.2"/>
    <row r="50270" s="689" customFormat="1" x14ac:dyDescent="0.2"/>
    <row r="50271" s="689" customFormat="1" x14ac:dyDescent="0.2"/>
    <row r="50272" s="689" customFormat="1" x14ac:dyDescent="0.2"/>
    <row r="50273" s="689" customFormat="1" x14ac:dyDescent="0.2"/>
    <row r="50274" s="689" customFormat="1" x14ac:dyDescent="0.2"/>
    <row r="50275" s="689" customFormat="1" x14ac:dyDescent="0.2"/>
    <row r="50276" s="689" customFormat="1" x14ac:dyDescent="0.2"/>
    <row r="50277" s="689" customFormat="1" x14ac:dyDescent="0.2"/>
    <row r="50278" s="689" customFormat="1" x14ac:dyDescent="0.2"/>
    <row r="50279" s="689" customFormat="1" x14ac:dyDescent="0.2"/>
    <row r="50280" s="689" customFormat="1" x14ac:dyDescent="0.2"/>
    <row r="50281" s="689" customFormat="1" x14ac:dyDescent="0.2"/>
    <row r="50282" s="689" customFormat="1" x14ac:dyDescent="0.2"/>
    <row r="50283" s="689" customFormat="1" x14ac:dyDescent="0.2"/>
    <row r="50284" s="689" customFormat="1" x14ac:dyDescent="0.2"/>
    <row r="50285" s="689" customFormat="1" x14ac:dyDescent="0.2"/>
    <row r="50286" s="689" customFormat="1" x14ac:dyDescent="0.2"/>
    <row r="50287" s="689" customFormat="1" x14ac:dyDescent="0.2"/>
    <row r="50288" s="689" customFormat="1" x14ac:dyDescent="0.2"/>
    <row r="50289" s="689" customFormat="1" x14ac:dyDescent="0.2"/>
    <row r="50290" s="689" customFormat="1" x14ac:dyDescent="0.2"/>
    <row r="50291" s="689" customFormat="1" x14ac:dyDescent="0.2"/>
    <row r="50292" s="689" customFormat="1" x14ac:dyDescent="0.2"/>
    <row r="50293" s="689" customFormat="1" x14ac:dyDescent="0.2"/>
    <row r="50294" s="689" customFormat="1" x14ac:dyDescent="0.2"/>
    <row r="50295" s="689" customFormat="1" x14ac:dyDescent="0.2"/>
    <row r="50296" s="689" customFormat="1" x14ac:dyDescent="0.2"/>
    <row r="50297" s="689" customFormat="1" x14ac:dyDescent="0.2"/>
    <row r="50298" s="689" customFormat="1" x14ac:dyDescent="0.2"/>
    <row r="50299" s="689" customFormat="1" x14ac:dyDescent="0.2"/>
    <row r="50300" s="689" customFormat="1" x14ac:dyDescent="0.2"/>
    <row r="50301" s="689" customFormat="1" x14ac:dyDescent="0.2"/>
    <row r="50302" s="689" customFormat="1" x14ac:dyDescent="0.2"/>
    <row r="50303" s="689" customFormat="1" x14ac:dyDescent="0.2"/>
    <row r="50304" s="689" customFormat="1" x14ac:dyDescent="0.2"/>
    <row r="50305" s="689" customFormat="1" x14ac:dyDescent="0.2"/>
    <row r="50306" s="689" customFormat="1" x14ac:dyDescent="0.2"/>
    <row r="50307" s="689" customFormat="1" x14ac:dyDescent="0.2"/>
    <row r="50308" s="689" customFormat="1" x14ac:dyDescent="0.2"/>
    <row r="50309" s="689" customFormat="1" x14ac:dyDescent="0.2"/>
    <row r="50310" s="689" customFormat="1" x14ac:dyDescent="0.2"/>
    <row r="50311" s="689" customFormat="1" x14ac:dyDescent="0.2"/>
    <row r="50312" s="689" customFormat="1" x14ac:dyDescent="0.2"/>
    <row r="50313" s="689" customFormat="1" x14ac:dyDescent="0.2"/>
    <row r="50314" s="689" customFormat="1" x14ac:dyDescent="0.2"/>
    <row r="50315" s="689" customFormat="1" x14ac:dyDescent="0.2"/>
    <row r="50316" s="689" customFormat="1" x14ac:dyDescent="0.2"/>
    <row r="50317" s="689" customFormat="1" x14ac:dyDescent="0.2"/>
    <row r="50318" s="689" customFormat="1" x14ac:dyDescent="0.2"/>
    <row r="50319" s="689" customFormat="1" x14ac:dyDescent="0.2"/>
    <row r="50320" s="689" customFormat="1" x14ac:dyDescent="0.2"/>
    <row r="50321" s="689" customFormat="1" x14ac:dyDescent="0.2"/>
    <row r="50322" s="689" customFormat="1" x14ac:dyDescent="0.2"/>
    <row r="50323" s="689" customFormat="1" x14ac:dyDescent="0.2"/>
    <row r="50324" s="689" customFormat="1" x14ac:dyDescent="0.2"/>
    <row r="50325" s="689" customFormat="1" x14ac:dyDescent="0.2"/>
    <row r="50326" s="689" customFormat="1" x14ac:dyDescent="0.2"/>
    <row r="50327" s="689" customFormat="1" x14ac:dyDescent="0.2"/>
    <row r="50328" s="689" customFormat="1" x14ac:dyDescent="0.2"/>
    <row r="50329" s="689" customFormat="1" x14ac:dyDescent="0.2"/>
    <row r="50330" s="689" customFormat="1" x14ac:dyDescent="0.2"/>
    <row r="50331" s="689" customFormat="1" x14ac:dyDescent="0.2"/>
    <row r="50332" s="689" customFormat="1" x14ac:dyDescent="0.2"/>
    <row r="50333" s="689" customFormat="1" x14ac:dyDescent="0.2"/>
    <row r="50334" s="689" customFormat="1" x14ac:dyDescent="0.2"/>
    <row r="50335" s="689" customFormat="1" x14ac:dyDescent="0.2"/>
    <row r="50336" s="689" customFormat="1" x14ac:dyDescent="0.2"/>
    <row r="50337" s="689" customFormat="1" x14ac:dyDescent="0.2"/>
    <row r="50338" s="689" customFormat="1" x14ac:dyDescent="0.2"/>
    <row r="50339" s="689" customFormat="1" x14ac:dyDescent="0.2"/>
    <row r="50340" s="689" customFormat="1" x14ac:dyDescent="0.2"/>
    <row r="50341" s="689" customFormat="1" x14ac:dyDescent="0.2"/>
    <row r="50342" s="689" customFormat="1" x14ac:dyDescent="0.2"/>
    <row r="50343" s="689" customFormat="1" x14ac:dyDescent="0.2"/>
    <row r="50344" s="689" customFormat="1" x14ac:dyDescent="0.2"/>
    <row r="50345" s="689" customFormat="1" x14ac:dyDescent="0.2"/>
    <row r="50346" s="689" customFormat="1" x14ac:dyDescent="0.2"/>
    <row r="50347" s="689" customFormat="1" x14ac:dyDescent="0.2"/>
    <row r="50348" s="689" customFormat="1" x14ac:dyDescent="0.2"/>
    <row r="50349" s="689" customFormat="1" x14ac:dyDescent="0.2"/>
    <row r="50350" s="689" customFormat="1" x14ac:dyDescent="0.2"/>
    <row r="50351" s="689" customFormat="1" x14ac:dyDescent="0.2"/>
    <row r="50352" s="689" customFormat="1" x14ac:dyDescent="0.2"/>
    <row r="50353" s="689" customFormat="1" x14ac:dyDescent="0.2"/>
    <row r="50354" s="689" customFormat="1" x14ac:dyDescent="0.2"/>
    <row r="50355" s="689" customFormat="1" x14ac:dyDescent="0.2"/>
    <row r="50356" s="689" customFormat="1" x14ac:dyDescent="0.2"/>
    <row r="50357" s="689" customFormat="1" x14ac:dyDescent="0.2"/>
    <row r="50358" s="689" customFormat="1" x14ac:dyDescent="0.2"/>
    <row r="50359" s="689" customFormat="1" x14ac:dyDescent="0.2"/>
    <row r="50360" s="689" customFormat="1" x14ac:dyDescent="0.2"/>
    <row r="50361" s="689" customFormat="1" x14ac:dyDescent="0.2"/>
    <row r="50362" s="689" customFormat="1" x14ac:dyDescent="0.2"/>
    <row r="50363" s="689" customFormat="1" x14ac:dyDescent="0.2"/>
    <row r="50364" s="689" customFormat="1" x14ac:dyDescent="0.2"/>
    <row r="50365" s="689" customFormat="1" x14ac:dyDescent="0.2"/>
    <row r="50366" s="689" customFormat="1" x14ac:dyDescent="0.2"/>
    <row r="50367" s="689" customFormat="1" x14ac:dyDescent="0.2"/>
    <row r="50368" s="689" customFormat="1" x14ac:dyDescent="0.2"/>
    <row r="50369" s="689" customFormat="1" x14ac:dyDescent="0.2"/>
    <row r="50370" s="689" customFormat="1" x14ac:dyDescent="0.2"/>
    <row r="50371" s="689" customFormat="1" x14ac:dyDescent="0.2"/>
    <row r="50372" s="689" customFormat="1" x14ac:dyDescent="0.2"/>
    <row r="50373" s="689" customFormat="1" x14ac:dyDescent="0.2"/>
    <row r="50374" s="689" customFormat="1" x14ac:dyDescent="0.2"/>
    <row r="50375" s="689" customFormat="1" x14ac:dyDescent="0.2"/>
    <row r="50376" s="689" customFormat="1" x14ac:dyDescent="0.2"/>
    <row r="50377" s="689" customFormat="1" x14ac:dyDescent="0.2"/>
    <row r="50378" s="689" customFormat="1" x14ac:dyDescent="0.2"/>
    <row r="50379" s="689" customFormat="1" x14ac:dyDescent="0.2"/>
    <row r="50380" s="689" customFormat="1" x14ac:dyDescent="0.2"/>
    <row r="50381" s="689" customFormat="1" x14ac:dyDescent="0.2"/>
    <row r="50382" s="689" customFormat="1" x14ac:dyDescent="0.2"/>
    <row r="50383" s="689" customFormat="1" x14ac:dyDescent="0.2"/>
    <row r="50384" s="689" customFormat="1" x14ac:dyDescent="0.2"/>
    <row r="50385" s="689" customFormat="1" x14ac:dyDescent="0.2"/>
    <row r="50386" s="689" customFormat="1" x14ac:dyDescent="0.2"/>
    <row r="50387" s="689" customFormat="1" x14ac:dyDescent="0.2"/>
    <row r="50388" s="689" customFormat="1" x14ac:dyDescent="0.2"/>
    <row r="50389" s="689" customFormat="1" x14ac:dyDescent="0.2"/>
    <row r="50390" s="689" customFormat="1" x14ac:dyDescent="0.2"/>
    <row r="50391" s="689" customFormat="1" x14ac:dyDescent="0.2"/>
    <row r="50392" s="689" customFormat="1" x14ac:dyDescent="0.2"/>
    <row r="50393" s="689" customFormat="1" x14ac:dyDescent="0.2"/>
    <row r="50394" s="689" customFormat="1" x14ac:dyDescent="0.2"/>
    <row r="50395" s="689" customFormat="1" x14ac:dyDescent="0.2"/>
    <row r="50396" s="689" customFormat="1" x14ac:dyDescent="0.2"/>
    <row r="50397" s="689" customFormat="1" x14ac:dyDescent="0.2"/>
    <row r="50398" s="689" customFormat="1" x14ac:dyDescent="0.2"/>
    <row r="50399" s="689" customFormat="1" x14ac:dyDescent="0.2"/>
    <row r="50400" s="689" customFormat="1" x14ac:dyDescent="0.2"/>
    <row r="50401" s="689" customFormat="1" x14ac:dyDescent="0.2"/>
    <row r="50402" s="689" customFormat="1" x14ac:dyDescent="0.2"/>
    <row r="50403" s="689" customFormat="1" x14ac:dyDescent="0.2"/>
    <row r="50404" s="689" customFormat="1" x14ac:dyDescent="0.2"/>
    <row r="50405" s="689" customFormat="1" x14ac:dyDescent="0.2"/>
    <row r="50406" s="689" customFormat="1" x14ac:dyDescent="0.2"/>
    <row r="50407" s="689" customFormat="1" x14ac:dyDescent="0.2"/>
    <row r="50408" s="689" customFormat="1" x14ac:dyDescent="0.2"/>
    <row r="50409" s="689" customFormat="1" x14ac:dyDescent="0.2"/>
    <row r="50410" s="689" customFormat="1" x14ac:dyDescent="0.2"/>
    <row r="50411" s="689" customFormat="1" x14ac:dyDescent="0.2"/>
    <row r="50412" s="689" customFormat="1" x14ac:dyDescent="0.2"/>
    <row r="50413" s="689" customFormat="1" x14ac:dyDescent="0.2"/>
    <row r="50414" s="689" customFormat="1" x14ac:dyDescent="0.2"/>
    <row r="50415" s="689" customFormat="1" x14ac:dyDescent="0.2"/>
    <row r="50416" s="689" customFormat="1" x14ac:dyDescent="0.2"/>
    <row r="50417" s="689" customFormat="1" x14ac:dyDescent="0.2"/>
    <row r="50418" s="689" customFormat="1" x14ac:dyDescent="0.2"/>
    <row r="50419" s="689" customFormat="1" x14ac:dyDescent="0.2"/>
    <row r="50420" s="689" customFormat="1" x14ac:dyDescent="0.2"/>
    <row r="50421" s="689" customFormat="1" x14ac:dyDescent="0.2"/>
    <row r="50422" s="689" customFormat="1" x14ac:dyDescent="0.2"/>
    <row r="50423" s="689" customFormat="1" x14ac:dyDescent="0.2"/>
    <row r="50424" s="689" customFormat="1" x14ac:dyDescent="0.2"/>
    <row r="50425" s="689" customFormat="1" x14ac:dyDescent="0.2"/>
    <row r="50426" s="689" customFormat="1" x14ac:dyDescent="0.2"/>
    <row r="50427" s="689" customFormat="1" x14ac:dyDescent="0.2"/>
    <row r="50428" s="689" customFormat="1" x14ac:dyDescent="0.2"/>
    <row r="50429" s="689" customFormat="1" x14ac:dyDescent="0.2"/>
    <row r="50430" s="689" customFormat="1" x14ac:dyDescent="0.2"/>
    <row r="50431" s="689" customFormat="1" x14ac:dyDescent="0.2"/>
    <row r="50432" s="689" customFormat="1" x14ac:dyDescent="0.2"/>
    <row r="50433" s="689" customFormat="1" x14ac:dyDescent="0.2"/>
    <row r="50434" s="689" customFormat="1" x14ac:dyDescent="0.2"/>
    <row r="50435" s="689" customFormat="1" x14ac:dyDescent="0.2"/>
    <row r="50436" s="689" customFormat="1" x14ac:dyDescent="0.2"/>
    <row r="50437" s="689" customFormat="1" x14ac:dyDescent="0.2"/>
    <row r="50438" s="689" customFormat="1" x14ac:dyDescent="0.2"/>
    <row r="50439" s="689" customFormat="1" x14ac:dyDescent="0.2"/>
    <row r="50440" s="689" customFormat="1" x14ac:dyDescent="0.2"/>
    <row r="50441" s="689" customFormat="1" x14ac:dyDescent="0.2"/>
    <row r="50442" s="689" customFormat="1" x14ac:dyDescent="0.2"/>
    <row r="50443" s="689" customFormat="1" x14ac:dyDescent="0.2"/>
    <row r="50444" s="689" customFormat="1" x14ac:dyDescent="0.2"/>
    <row r="50445" s="689" customFormat="1" x14ac:dyDescent="0.2"/>
    <row r="50446" s="689" customFormat="1" x14ac:dyDescent="0.2"/>
    <row r="50447" s="689" customFormat="1" x14ac:dyDescent="0.2"/>
    <row r="50448" s="689" customFormat="1" x14ac:dyDescent="0.2"/>
    <row r="50449" s="689" customFormat="1" x14ac:dyDescent="0.2"/>
    <row r="50450" s="689" customFormat="1" x14ac:dyDescent="0.2"/>
    <row r="50451" s="689" customFormat="1" x14ac:dyDescent="0.2"/>
    <row r="50452" s="689" customFormat="1" x14ac:dyDescent="0.2"/>
    <row r="50453" s="689" customFormat="1" x14ac:dyDescent="0.2"/>
    <row r="50454" s="689" customFormat="1" x14ac:dyDescent="0.2"/>
    <row r="50455" s="689" customFormat="1" x14ac:dyDescent="0.2"/>
    <row r="50456" s="689" customFormat="1" x14ac:dyDescent="0.2"/>
    <row r="50457" s="689" customFormat="1" x14ac:dyDescent="0.2"/>
    <row r="50458" s="689" customFormat="1" x14ac:dyDescent="0.2"/>
    <row r="50459" s="689" customFormat="1" x14ac:dyDescent="0.2"/>
    <row r="50460" s="689" customFormat="1" x14ac:dyDescent="0.2"/>
    <row r="50461" s="689" customFormat="1" x14ac:dyDescent="0.2"/>
    <row r="50462" s="689" customFormat="1" x14ac:dyDescent="0.2"/>
    <row r="50463" s="689" customFormat="1" x14ac:dyDescent="0.2"/>
    <row r="50464" s="689" customFormat="1" x14ac:dyDescent="0.2"/>
    <row r="50465" s="689" customFormat="1" x14ac:dyDescent="0.2"/>
    <row r="50466" s="689" customFormat="1" x14ac:dyDescent="0.2"/>
    <row r="50467" s="689" customFormat="1" x14ac:dyDescent="0.2"/>
    <row r="50468" s="689" customFormat="1" x14ac:dyDescent="0.2"/>
    <row r="50469" s="689" customFormat="1" x14ac:dyDescent="0.2"/>
    <row r="50470" s="689" customFormat="1" x14ac:dyDescent="0.2"/>
    <row r="50471" s="689" customFormat="1" x14ac:dyDescent="0.2"/>
    <row r="50472" s="689" customFormat="1" x14ac:dyDescent="0.2"/>
    <row r="50473" s="689" customFormat="1" x14ac:dyDescent="0.2"/>
    <row r="50474" s="689" customFormat="1" x14ac:dyDescent="0.2"/>
    <row r="50475" s="689" customFormat="1" x14ac:dyDescent="0.2"/>
    <row r="50476" s="689" customFormat="1" x14ac:dyDescent="0.2"/>
    <row r="50477" s="689" customFormat="1" x14ac:dyDescent="0.2"/>
    <row r="50478" s="689" customFormat="1" x14ac:dyDescent="0.2"/>
    <row r="50479" s="689" customFormat="1" x14ac:dyDescent="0.2"/>
    <row r="50480" s="689" customFormat="1" x14ac:dyDescent="0.2"/>
    <row r="50481" s="689" customFormat="1" x14ac:dyDescent="0.2"/>
    <row r="50482" s="689" customFormat="1" x14ac:dyDescent="0.2"/>
    <row r="50483" s="689" customFormat="1" x14ac:dyDescent="0.2"/>
    <row r="50484" s="689" customFormat="1" x14ac:dyDescent="0.2"/>
    <row r="50485" s="689" customFormat="1" x14ac:dyDescent="0.2"/>
    <row r="50486" s="689" customFormat="1" x14ac:dyDescent="0.2"/>
    <row r="50487" s="689" customFormat="1" x14ac:dyDescent="0.2"/>
    <row r="50488" s="689" customFormat="1" x14ac:dyDescent="0.2"/>
    <row r="50489" s="689" customFormat="1" x14ac:dyDescent="0.2"/>
    <row r="50490" s="689" customFormat="1" x14ac:dyDescent="0.2"/>
    <row r="50491" s="689" customFormat="1" x14ac:dyDescent="0.2"/>
    <row r="50492" s="689" customFormat="1" x14ac:dyDescent="0.2"/>
    <row r="50493" s="689" customFormat="1" x14ac:dyDescent="0.2"/>
    <row r="50494" s="689" customFormat="1" x14ac:dyDescent="0.2"/>
    <row r="50495" s="689" customFormat="1" x14ac:dyDescent="0.2"/>
    <row r="50496" s="689" customFormat="1" x14ac:dyDescent="0.2"/>
    <row r="50497" s="689" customFormat="1" x14ac:dyDescent="0.2"/>
    <row r="50498" s="689" customFormat="1" x14ac:dyDescent="0.2"/>
    <row r="50499" s="689" customFormat="1" x14ac:dyDescent="0.2"/>
    <row r="50500" s="689" customFormat="1" x14ac:dyDescent="0.2"/>
    <row r="50501" s="689" customFormat="1" x14ac:dyDescent="0.2"/>
    <row r="50502" s="689" customFormat="1" x14ac:dyDescent="0.2"/>
    <row r="50503" s="689" customFormat="1" x14ac:dyDescent="0.2"/>
    <row r="50504" s="689" customFormat="1" x14ac:dyDescent="0.2"/>
    <row r="50505" s="689" customFormat="1" x14ac:dyDescent="0.2"/>
    <row r="50506" s="689" customFormat="1" x14ac:dyDescent="0.2"/>
    <row r="50507" s="689" customFormat="1" x14ac:dyDescent="0.2"/>
    <row r="50508" s="689" customFormat="1" x14ac:dyDescent="0.2"/>
    <row r="50509" s="689" customFormat="1" x14ac:dyDescent="0.2"/>
    <row r="50510" s="689" customFormat="1" x14ac:dyDescent="0.2"/>
    <row r="50511" s="689" customFormat="1" x14ac:dyDescent="0.2"/>
    <row r="50512" s="689" customFormat="1" x14ac:dyDescent="0.2"/>
    <row r="50513" s="689" customFormat="1" x14ac:dyDescent="0.2"/>
    <row r="50514" s="689" customFormat="1" x14ac:dyDescent="0.2"/>
    <row r="50515" s="689" customFormat="1" x14ac:dyDescent="0.2"/>
    <row r="50516" s="689" customFormat="1" x14ac:dyDescent="0.2"/>
    <row r="50517" s="689" customFormat="1" x14ac:dyDescent="0.2"/>
    <row r="50518" s="689" customFormat="1" x14ac:dyDescent="0.2"/>
    <row r="50519" s="689" customFormat="1" x14ac:dyDescent="0.2"/>
    <row r="50520" s="689" customFormat="1" x14ac:dyDescent="0.2"/>
    <row r="50521" s="689" customFormat="1" x14ac:dyDescent="0.2"/>
    <row r="50522" s="689" customFormat="1" x14ac:dyDescent="0.2"/>
    <row r="50523" s="689" customFormat="1" x14ac:dyDescent="0.2"/>
    <row r="50524" s="689" customFormat="1" x14ac:dyDescent="0.2"/>
    <row r="50525" s="689" customFormat="1" x14ac:dyDescent="0.2"/>
    <row r="50526" s="689" customFormat="1" x14ac:dyDescent="0.2"/>
    <row r="50527" s="689" customFormat="1" x14ac:dyDescent="0.2"/>
    <row r="50528" s="689" customFormat="1" x14ac:dyDescent="0.2"/>
    <row r="50529" s="689" customFormat="1" x14ac:dyDescent="0.2"/>
    <row r="50530" s="689" customFormat="1" x14ac:dyDescent="0.2"/>
    <row r="50531" s="689" customFormat="1" x14ac:dyDescent="0.2"/>
    <row r="50532" s="689" customFormat="1" x14ac:dyDescent="0.2"/>
    <row r="50533" s="689" customFormat="1" x14ac:dyDescent="0.2"/>
    <row r="50534" s="689" customFormat="1" x14ac:dyDescent="0.2"/>
    <row r="50535" s="689" customFormat="1" x14ac:dyDescent="0.2"/>
    <row r="50536" s="689" customFormat="1" x14ac:dyDescent="0.2"/>
    <row r="50537" s="689" customFormat="1" x14ac:dyDescent="0.2"/>
    <row r="50538" s="689" customFormat="1" x14ac:dyDescent="0.2"/>
    <row r="50539" s="689" customFormat="1" x14ac:dyDescent="0.2"/>
    <row r="50540" s="689" customFormat="1" x14ac:dyDescent="0.2"/>
    <row r="50541" s="689" customFormat="1" x14ac:dyDescent="0.2"/>
    <row r="50542" s="689" customFormat="1" x14ac:dyDescent="0.2"/>
    <row r="50543" s="689" customFormat="1" x14ac:dyDescent="0.2"/>
    <row r="50544" s="689" customFormat="1" x14ac:dyDescent="0.2"/>
    <row r="50545" s="689" customFormat="1" x14ac:dyDescent="0.2"/>
    <row r="50546" s="689" customFormat="1" x14ac:dyDescent="0.2"/>
    <row r="50547" s="689" customFormat="1" x14ac:dyDescent="0.2"/>
    <row r="50548" s="689" customFormat="1" x14ac:dyDescent="0.2"/>
    <row r="50549" s="689" customFormat="1" x14ac:dyDescent="0.2"/>
    <row r="50550" s="689" customFormat="1" x14ac:dyDescent="0.2"/>
    <row r="50551" s="689" customFormat="1" x14ac:dyDescent="0.2"/>
    <row r="50552" s="689" customFormat="1" x14ac:dyDescent="0.2"/>
    <row r="50553" s="689" customFormat="1" x14ac:dyDescent="0.2"/>
    <row r="50554" s="689" customFormat="1" x14ac:dyDescent="0.2"/>
    <row r="50555" s="689" customFormat="1" x14ac:dyDescent="0.2"/>
    <row r="50556" s="689" customFormat="1" x14ac:dyDescent="0.2"/>
    <row r="50557" s="689" customFormat="1" x14ac:dyDescent="0.2"/>
    <row r="50558" s="689" customFormat="1" x14ac:dyDescent="0.2"/>
    <row r="50559" s="689" customFormat="1" x14ac:dyDescent="0.2"/>
    <row r="50560" s="689" customFormat="1" x14ac:dyDescent="0.2"/>
    <row r="50561" s="689" customFormat="1" x14ac:dyDescent="0.2"/>
    <row r="50562" s="689" customFormat="1" x14ac:dyDescent="0.2"/>
    <row r="50563" s="689" customFormat="1" x14ac:dyDescent="0.2"/>
    <row r="50564" s="689" customFormat="1" x14ac:dyDescent="0.2"/>
    <row r="50565" s="689" customFormat="1" x14ac:dyDescent="0.2"/>
    <row r="50566" s="689" customFormat="1" x14ac:dyDescent="0.2"/>
    <row r="50567" s="689" customFormat="1" x14ac:dyDescent="0.2"/>
    <row r="50568" s="689" customFormat="1" x14ac:dyDescent="0.2"/>
    <row r="50569" s="689" customFormat="1" x14ac:dyDescent="0.2"/>
    <row r="50570" s="689" customFormat="1" x14ac:dyDescent="0.2"/>
    <row r="50571" s="689" customFormat="1" x14ac:dyDescent="0.2"/>
    <row r="50572" s="689" customFormat="1" x14ac:dyDescent="0.2"/>
    <row r="50573" s="689" customFormat="1" x14ac:dyDescent="0.2"/>
    <row r="50574" s="689" customFormat="1" x14ac:dyDescent="0.2"/>
    <row r="50575" s="689" customFormat="1" x14ac:dyDescent="0.2"/>
    <row r="50576" s="689" customFormat="1" x14ac:dyDescent="0.2"/>
    <row r="50577" s="689" customFormat="1" x14ac:dyDescent="0.2"/>
    <row r="50578" s="689" customFormat="1" x14ac:dyDescent="0.2"/>
    <row r="50579" s="689" customFormat="1" x14ac:dyDescent="0.2"/>
    <row r="50580" s="689" customFormat="1" x14ac:dyDescent="0.2"/>
    <row r="50581" s="689" customFormat="1" x14ac:dyDescent="0.2"/>
    <row r="50582" s="689" customFormat="1" x14ac:dyDescent="0.2"/>
    <row r="50583" s="689" customFormat="1" x14ac:dyDescent="0.2"/>
    <row r="50584" s="689" customFormat="1" x14ac:dyDescent="0.2"/>
    <row r="50585" s="689" customFormat="1" x14ac:dyDescent="0.2"/>
    <row r="50586" s="689" customFormat="1" x14ac:dyDescent="0.2"/>
    <row r="50587" s="689" customFormat="1" x14ac:dyDescent="0.2"/>
    <row r="50588" s="689" customFormat="1" x14ac:dyDescent="0.2"/>
    <row r="50589" s="689" customFormat="1" x14ac:dyDescent="0.2"/>
    <row r="50590" s="689" customFormat="1" x14ac:dyDescent="0.2"/>
    <row r="50591" s="689" customFormat="1" x14ac:dyDescent="0.2"/>
    <row r="50592" s="689" customFormat="1" x14ac:dyDescent="0.2"/>
    <row r="50593" s="689" customFormat="1" x14ac:dyDescent="0.2"/>
    <row r="50594" s="689" customFormat="1" x14ac:dyDescent="0.2"/>
    <row r="50595" s="689" customFormat="1" x14ac:dyDescent="0.2"/>
    <row r="50596" s="689" customFormat="1" x14ac:dyDescent="0.2"/>
    <row r="50597" s="689" customFormat="1" x14ac:dyDescent="0.2"/>
    <row r="50598" s="689" customFormat="1" x14ac:dyDescent="0.2"/>
    <row r="50599" s="689" customFormat="1" x14ac:dyDescent="0.2"/>
    <row r="50600" s="689" customFormat="1" x14ac:dyDescent="0.2"/>
    <row r="50601" s="689" customFormat="1" x14ac:dyDescent="0.2"/>
    <row r="50602" s="689" customFormat="1" x14ac:dyDescent="0.2"/>
    <row r="50603" s="689" customFormat="1" x14ac:dyDescent="0.2"/>
    <row r="50604" s="689" customFormat="1" x14ac:dyDescent="0.2"/>
    <row r="50605" s="689" customFormat="1" x14ac:dyDescent="0.2"/>
    <row r="50606" s="689" customFormat="1" x14ac:dyDescent="0.2"/>
    <row r="50607" s="689" customFormat="1" x14ac:dyDescent="0.2"/>
    <row r="50608" s="689" customFormat="1" x14ac:dyDescent="0.2"/>
    <row r="50609" s="689" customFormat="1" x14ac:dyDescent="0.2"/>
    <row r="50610" s="689" customFormat="1" x14ac:dyDescent="0.2"/>
    <row r="50611" s="689" customFormat="1" x14ac:dyDescent="0.2"/>
    <row r="50612" s="689" customFormat="1" x14ac:dyDescent="0.2"/>
    <row r="50613" s="689" customFormat="1" x14ac:dyDescent="0.2"/>
    <row r="50614" s="689" customFormat="1" x14ac:dyDescent="0.2"/>
    <row r="50615" s="689" customFormat="1" x14ac:dyDescent="0.2"/>
    <row r="50616" s="689" customFormat="1" x14ac:dyDescent="0.2"/>
    <row r="50617" s="689" customFormat="1" x14ac:dyDescent="0.2"/>
    <row r="50618" s="689" customFormat="1" x14ac:dyDescent="0.2"/>
    <row r="50619" s="689" customFormat="1" x14ac:dyDescent="0.2"/>
    <row r="50620" s="689" customFormat="1" x14ac:dyDescent="0.2"/>
    <row r="50621" s="689" customFormat="1" x14ac:dyDescent="0.2"/>
    <row r="50622" s="689" customFormat="1" x14ac:dyDescent="0.2"/>
    <row r="50623" s="689" customFormat="1" x14ac:dyDescent="0.2"/>
    <row r="50624" s="689" customFormat="1" x14ac:dyDescent="0.2"/>
    <row r="50625" s="689" customFormat="1" x14ac:dyDescent="0.2"/>
    <row r="50626" s="689" customFormat="1" x14ac:dyDescent="0.2"/>
    <row r="50627" s="689" customFormat="1" x14ac:dyDescent="0.2"/>
    <row r="50628" s="689" customFormat="1" x14ac:dyDescent="0.2"/>
    <row r="50629" s="689" customFormat="1" x14ac:dyDescent="0.2"/>
    <row r="50630" s="689" customFormat="1" x14ac:dyDescent="0.2"/>
    <row r="50631" s="689" customFormat="1" x14ac:dyDescent="0.2"/>
    <row r="50632" s="689" customFormat="1" x14ac:dyDescent="0.2"/>
    <row r="50633" s="689" customFormat="1" x14ac:dyDescent="0.2"/>
    <row r="50634" s="689" customFormat="1" x14ac:dyDescent="0.2"/>
    <row r="50635" s="689" customFormat="1" x14ac:dyDescent="0.2"/>
    <row r="50636" s="689" customFormat="1" x14ac:dyDescent="0.2"/>
    <row r="50637" s="689" customFormat="1" x14ac:dyDescent="0.2"/>
    <row r="50638" s="689" customFormat="1" x14ac:dyDescent="0.2"/>
    <row r="50639" s="689" customFormat="1" x14ac:dyDescent="0.2"/>
    <row r="50640" s="689" customFormat="1" x14ac:dyDescent="0.2"/>
    <row r="50641" s="689" customFormat="1" x14ac:dyDescent="0.2"/>
    <row r="50642" s="689" customFormat="1" x14ac:dyDescent="0.2"/>
    <row r="50643" s="689" customFormat="1" x14ac:dyDescent="0.2"/>
    <row r="50644" s="689" customFormat="1" x14ac:dyDescent="0.2"/>
    <row r="50645" s="689" customFormat="1" x14ac:dyDescent="0.2"/>
    <row r="50646" s="689" customFormat="1" x14ac:dyDescent="0.2"/>
    <row r="50647" s="689" customFormat="1" x14ac:dyDescent="0.2"/>
    <row r="50648" s="689" customFormat="1" x14ac:dyDescent="0.2"/>
    <row r="50649" s="689" customFormat="1" x14ac:dyDescent="0.2"/>
    <row r="50650" s="689" customFormat="1" x14ac:dyDescent="0.2"/>
    <row r="50651" s="689" customFormat="1" x14ac:dyDescent="0.2"/>
    <row r="50652" s="689" customFormat="1" x14ac:dyDescent="0.2"/>
    <row r="50653" s="689" customFormat="1" x14ac:dyDescent="0.2"/>
    <row r="50654" s="689" customFormat="1" x14ac:dyDescent="0.2"/>
    <row r="50655" s="689" customFormat="1" x14ac:dyDescent="0.2"/>
    <row r="50656" s="689" customFormat="1" x14ac:dyDescent="0.2"/>
    <row r="50657" s="689" customFormat="1" x14ac:dyDescent="0.2"/>
    <row r="50658" s="689" customFormat="1" x14ac:dyDescent="0.2"/>
    <row r="50659" s="689" customFormat="1" x14ac:dyDescent="0.2"/>
    <row r="50660" s="689" customFormat="1" x14ac:dyDescent="0.2"/>
    <row r="50661" s="689" customFormat="1" x14ac:dyDescent="0.2"/>
    <row r="50662" s="689" customFormat="1" x14ac:dyDescent="0.2"/>
    <row r="50663" s="689" customFormat="1" x14ac:dyDescent="0.2"/>
    <row r="50664" s="689" customFormat="1" x14ac:dyDescent="0.2"/>
    <row r="50665" s="689" customFormat="1" x14ac:dyDescent="0.2"/>
    <row r="50666" s="689" customFormat="1" x14ac:dyDescent="0.2"/>
    <row r="50667" s="689" customFormat="1" x14ac:dyDescent="0.2"/>
    <row r="50668" s="689" customFormat="1" x14ac:dyDescent="0.2"/>
    <row r="50669" s="689" customFormat="1" x14ac:dyDescent="0.2"/>
    <row r="50670" s="689" customFormat="1" x14ac:dyDescent="0.2"/>
    <row r="50671" s="689" customFormat="1" x14ac:dyDescent="0.2"/>
    <row r="50672" s="689" customFormat="1" x14ac:dyDescent="0.2"/>
    <row r="50673" s="689" customFormat="1" x14ac:dyDescent="0.2"/>
    <row r="50674" s="689" customFormat="1" x14ac:dyDescent="0.2"/>
    <row r="50675" s="689" customFormat="1" x14ac:dyDescent="0.2"/>
    <row r="50676" s="689" customFormat="1" x14ac:dyDescent="0.2"/>
    <row r="50677" s="689" customFormat="1" x14ac:dyDescent="0.2"/>
    <row r="50678" s="689" customFormat="1" x14ac:dyDescent="0.2"/>
    <row r="50679" s="689" customFormat="1" x14ac:dyDescent="0.2"/>
    <row r="50680" s="689" customFormat="1" x14ac:dyDescent="0.2"/>
    <row r="50681" s="689" customFormat="1" x14ac:dyDescent="0.2"/>
    <row r="50682" s="689" customFormat="1" x14ac:dyDescent="0.2"/>
    <row r="50683" s="689" customFormat="1" x14ac:dyDescent="0.2"/>
    <row r="50684" s="689" customFormat="1" x14ac:dyDescent="0.2"/>
    <row r="50685" s="689" customFormat="1" x14ac:dyDescent="0.2"/>
    <row r="50686" s="689" customFormat="1" x14ac:dyDescent="0.2"/>
    <row r="50687" s="689" customFormat="1" x14ac:dyDescent="0.2"/>
    <row r="50688" s="689" customFormat="1" x14ac:dyDescent="0.2"/>
    <row r="50689" s="689" customFormat="1" x14ac:dyDescent="0.2"/>
    <row r="50690" s="689" customFormat="1" x14ac:dyDescent="0.2"/>
    <row r="50691" s="689" customFormat="1" x14ac:dyDescent="0.2"/>
    <row r="50692" s="689" customFormat="1" x14ac:dyDescent="0.2"/>
    <row r="50693" s="689" customFormat="1" x14ac:dyDescent="0.2"/>
    <row r="50694" s="689" customFormat="1" x14ac:dyDescent="0.2"/>
    <row r="50695" s="689" customFormat="1" x14ac:dyDescent="0.2"/>
    <row r="50696" s="689" customFormat="1" x14ac:dyDescent="0.2"/>
    <row r="50697" s="689" customFormat="1" x14ac:dyDescent="0.2"/>
    <row r="50698" s="689" customFormat="1" x14ac:dyDescent="0.2"/>
    <row r="50699" s="689" customFormat="1" x14ac:dyDescent="0.2"/>
    <row r="50700" s="689" customFormat="1" x14ac:dyDescent="0.2"/>
    <row r="50701" s="689" customFormat="1" x14ac:dyDescent="0.2"/>
    <row r="50702" s="689" customFormat="1" x14ac:dyDescent="0.2"/>
    <row r="50703" s="689" customFormat="1" x14ac:dyDescent="0.2"/>
    <row r="50704" s="689" customFormat="1" x14ac:dyDescent="0.2"/>
    <row r="50705" s="689" customFormat="1" x14ac:dyDescent="0.2"/>
    <row r="50706" s="689" customFormat="1" x14ac:dyDescent="0.2"/>
    <row r="50707" s="689" customFormat="1" x14ac:dyDescent="0.2"/>
    <row r="50708" s="689" customFormat="1" x14ac:dyDescent="0.2"/>
    <row r="50709" s="689" customFormat="1" x14ac:dyDescent="0.2"/>
    <row r="50710" s="689" customFormat="1" x14ac:dyDescent="0.2"/>
    <row r="50711" s="689" customFormat="1" x14ac:dyDescent="0.2"/>
    <row r="50712" s="689" customFormat="1" x14ac:dyDescent="0.2"/>
    <row r="50713" s="689" customFormat="1" x14ac:dyDescent="0.2"/>
    <row r="50714" s="689" customFormat="1" x14ac:dyDescent="0.2"/>
    <row r="50715" s="689" customFormat="1" x14ac:dyDescent="0.2"/>
    <row r="50716" s="689" customFormat="1" x14ac:dyDescent="0.2"/>
    <row r="50717" s="689" customFormat="1" x14ac:dyDescent="0.2"/>
    <row r="50718" s="689" customFormat="1" x14ac:dyDescent="0.2"/>
    <row r="50719" s="689" customFormat="1" x14ac:dyDescent="0.2"/>
    <row r="50720" s="689" customFormat="1" x14ac:dyDescent="0.2"/>
    <row r="50721" s="689" customFormat="1" x14ac:dyDescent="0.2"/>
    <row r="50722" s="689" customFormat="1" x14ac:dyDescent="0.2"/>
    <row r="50723" s="689" customFormat="1" x14ac:dyDescent="0.2"/>
    <row r="50724" s="689" customFormat="1" x14ac:dyDescent="0.2"/>
    <row r="50725" s="689" customFormat="1" x14ac:dyDescent="0.2"/>
    <row r="50726" s="689" customFormat="1" x14ac:dyDescent="0.2"/>
    <row r="50727" s="689" customFormat="1" x14ac:dyDescent="0.2"/>
    <row r="50728" s="689" customFormat="1" x14ac:dyDescent="0.2"/>
    <row r="50729" s="689" customFormat="1" x14ac:dyDescent="0.2"/>
    <row r="50730" s="689" customFormat="1" x14ac:dyDescent="0.2"/>
    <row r="50731" s="689" customFormat="1" x14ac:dyDescent="0.2"/>
    <row r="50732" s="689" customFormat="1" x14ac:dyDescent="0.2"/>
    <row r="50733" s="689" customFormat="1" x14ac:dyDescent="0.2"/>
    <row r="50734" s="689" customFormat="1" x14ac:dyDescent="0.2"/>
    <row r="50735" s="689" customFormat="1" x14ac:dyDescent="0.2"/>
    <row r="50736" s="689" customFormat="1" x14ac:dyDescent="0.2"/>
    <row r="50737" s="689" customFormat="1" x14ac:dyDescent="0.2"/>
    <row r="50738" s="689" customFormat="1" x14ac:dyDescent="0.2"/>
    <row r="50739" s="689" customFormat="1" x14ac:dyDescent="0.2"/>
    <row r="50740" s="689" customFormat="1" x14ac:dyDescent="0.2"/>
    <row r="50741" s="689" customFormat="1" x14ac:dyDescent="0.2"/>
    <row r="50742" s="689" customFormat="1" x14ac:dyDescent="0.2"/>
    <row r="50743" s="689" customFormat="1" x14ac:dyDescent="0.2"/>
    <row r="50744" s="689" customFormat="1" x14ac:dyDescent="0.2"/>
    <row r="50745" s="689" customFormat="1" x14ac:dyDescent="0.2"/>
    <row r="50746" s="689" customFormat="1" x14ac:dyDescent="0.2"/>
    <row r="50747" s="689" customFormat="1" x14ac:dyDescent="0.2"/>
    <row r="50748" s="689" customFormat="1" x14ac:dyDescent="0.2"/>
    <row r="50749" s="689" customFormat="1" x14ac:dyDescent="0.2"/>
    <row r="50750" s="689" customFormat="1" x14ac:dyDescent="0.2"/>
    <row r="50751" s="689" customFormat="1" x14ac:dyDescent="0.2"/>
    <row r="50752" s="689" customFormat="1" x14ac:dyDescent="0.2"/>
    <row r="50753" s="689" customFormat="1" x14ac:dyDescent="0.2"/>
    <row r="50754" s="689" customFormat="1" x14ac:dyDescent="0.2"/>
    <row r="50755" s="689" customFormat="1" x14ac:dyDescent="0.2"/>
    <row r="50756" s="689" customFormat="1" x14ac:dyDescent="0.2"/>
    <row r="50757" s="689" customFormat="1" x14ac:dyDescent="0.2"/>
    <row r="50758" s="689" customFormat="1" x14ac:dyDescent="0.2"/>
    <row r="50759" s="689" customFormat="1" x14ac:dyDescent="0.2"/>
    <row r="50760" s="689" customFormat="1" x14ac:dyDescent="0.2"/>
    <row r="50761" s="689" customFormat="1" x14ac:dyDescent="0.2"/>
    <row r="50762" s="689" customFormat="1" x14ac:dyDescent="0.2"/>
    <row r="50763" s="689" customFormat="1" x14ac:dyDescent="0.2"/>
    <row r="50764" s="689" customFormat="1" x14ac:dyDescent="0.2"/>
    <row r="50765" s="689" customFormat="1" x14ac:dyDescent="0.2"/>
    <row r="50766" s="689" customFormat="1" x14ac:dyDescent="0.2"/>
    <row r="50767" s="689" customFormat="1" x14ac:dyDescent="0.2"/>
    <row r="50768" s="689" customFormat="1" x14ac:dyDescent="0.2"/>
    <row r="50769" s="689" customFormat="1" x14ac:dyDescent="0.2"/>
    <row r="50770" s="689" customFormat="1" x14ac:dyDescent="0.2"/>
    <row r="50771" s="689" customFormat="1" x14ac:dyDescent="0.2"/>
    <row r="50772" s="689" customFormat="1" x14ac:dyDescent="0.2"/>
    <row r="50773" s="689" customFormat="1" x14ac:dyDescent="0.2"/>
    <row r="50774" s="689" customFormat="1" x14ac:dyDescent="0.2"/>
    <row r="50775" s="689" customFormat="1" x14ac:dyDescent="0.2"/>
    <row r="50776" s="689" customFormat="1" x14ac:dyDescent="0.2"/>
    <row r="50777" s="689" customFormat="1" x14ac:dyDescent="0.2"/>
    <row r="50778" s="689" customFormat="1" x14ac:dyDescent="0.2"/>
    <row r="50779" s="689" customFormat="1" x14ac:dyDescent="0.2"/>
    <row r="50780" s="689" customFormat="1" x14ac:dyDescent="0.2"/>
    <row r="50781" s="689" customFormat="1" x14ac:dyDescent="0.2"/>
    <row r="50782" s="689" customFormat="1" x14ac:dyDescent="0.2"/>
    <row r="50783" s="689" customFormat="1" x14ac:dyDescent="0.2"/>
    <row r="50784" s="689" customFormat="1" x14ac:dyDescent="0.2"/>
    <row r="50785" s="689" customFormat="1" x14ac:dyDescent="0.2"/>
    <row r="50786" s="689" customFormat="1" x14ac:dyDescent="0.2"/>
    <row r="50787" s="689" customFormat="1" x14ac:dyDescent="0.2"/>
    <row r="50788" s="689" customFormat="1" x14ac:dyDescent="0.2"/>
    <row r="50789" s="689" customFormat="1" x14ac:dyDescent="0.2"/>
    <row r="50790" s="689" customFormat="1" x14ac:dyDescent="0.2"/>
    <row r="50791" s="689" customFormat="1" x14ac:dyDescent="0.2"/>
    <row r="50792" s="689" customFormat="1" x14ac:dyDescent="0.2"/>
    <row r="50793" s="689" customFormat="1" x14ac:dyDescent="0.2"/>
    <row r="50794" s="689" customFormat="1" x14ac:dyDescent="0.2"/>
    <row r="50795" s="689" customFormat="1" x14ac:dyDescent="0.2"/>
    <row r="50796" s="689" customFormat="1" x14ac:dyDescent="0.2"/>
    <row r="50797" s="689" customFormat="1" x14ac:dyDescent="0.2"/>
    <row r="50798" s="689" customFormat="1" x14ac:dyDescent="0.2"/>
    <row r="50799" s="689" customFormat="1" x14ac:dyDescent="0.2"/>
    <row r="50800" s="689" customFormat="1" x14ac:dyDescent="0.2"/>
    <row r="50801" s="689" customFormat="1" x14ac:dyDescent="0.2"/>
    <row r="50802" s="689" customFormat="1" x14ac:dyDescent="0.2"/>
    <row r="50803" s="689" customFormat="1" x14ac:dyDescent="0.2"/>
    <row r="50804" s="689" customFormat="1" x14ac:dyDescent="0.2"/>
    <row r="50805" s="689" customFormat="1" x14ac:dyDescent="0.2"/>
    <row r="50806" s="689" customFormat="1" x14ac:dyDescent="0.2"/>
    <row r="50807" s="689" customFormat="1" x14ac:dyDescent="0.2"/>
    <row r="50808" s="689" customFormat="1" x14ac:dyDescent="0.2"/>
    <row r="50809" s="689" customFormat="1" x14ac:dyDescent="0.2"/>
    <row r="50810" s="689" customFormat="1" x14ac:dyDescent="0.2"/>
    <row r="50811" s="689" customFormat="1" x14ac:dyDescent="0.2"/>
    <row r="50812" s="689" customFormat="1" x14ac:dyDescent="0.2"/>
    <row r="50813" s="689" customFormat="1" x14ac:dyDescent="0.2"/>
    <row r="50814" s="689" customFormat="1" x14ac:dyDescent="0.2"/>
    <row r="50815" s="689" customFormat="1" x14ac:dyDescent="0.2"/>
    <row r="50816" s="689" customFormat="1" x14ac:dyDescent="0.2"/>
    <row r="50817" s="689" customFormat="1" x14ac:dyDescent="0.2"/>
    <row r="50818" s="689" customFormat="1" x14ac:dyDescent="0.2"/>
    <row r="50819" s="689" customFormat="1" x14ac:dyDescent="0.2"/>
    <row r="50820" s="689" customFormat="1" x14ac:dyDescent="0.2"/>
    <row r="50821" s="689" customFormat="1" x14ac:dyDescent="0.2"/>
    <row r="50822" s="689" customFormat="1" x14ac:dyDescent="0.2"/>
    <row r="50823" s="689" customFormat="1" x14ac:dyDescent="0.2"/>
    <row r="50824" s="689" customFormat="1" x14ac:dyDescent="0.2"/>
    <row r="50825" s="689" customFormat="1" x14ac:dyDescent="0.2"/>
    <row r="50826" s="689" customFormat="1" x14ac:dyDescent="0.2"/>
    <row r="50827" s="689" customFormat="1" x14ac:dyDescent="0.2"/>
    <row r="50828" s="689" customFormat="1" x14ac:dyDescent="0.2"/>
    <row r="50829" s="689" customFormat="1" x14ac:dyDescent="0.2"/>
    <row r="50830" s="689" customFormat="1" x14ac:dyDescent="0.2"/>
    <row r="50831" s="689" customFormat="1" x14ac:dyDescent="0.2"/>
    <row r="50832" s="689" customFormat="1" x14ac:dyDescent="0.2"/>
    <row r="50833" s="689" customFormat="1" x14ac:dyDescent="0.2"/>
    <row r="50834" s="689" customFormat="1" x14ac:dyDescent="0.2"/>
    <row r="50835" s="689" customFormat="1" x14ac:dyDescent="0.2"/>
    <row r="50836" s="689" customFormat="1" x14ac:dyDescent="0.2"/>
    <row r="50837" s="689" customFormat="1" x14ac:dyDescent="0.2"/>
    <row r="50838" s="689" customFormat="1" x14ac:dyDescent="0.2"/>
    <row r="50839" s="689" customFormat="1" x14ac:dyDescent="0.2"/>
    <row r="50840" s="689" customFormat="1" x14ac:dyDescent="0.2"/>
    <row r="50841" s="689" customFormat="1" x14ac:dyDescent="0.2"/>
    <row r="50842" s="689" customFormat="1" x14ac:dyDescent="0.2"/>
    <row r="50843" s="689" customFormat="1" x14ac:dyDescent="0.2"/>
    <row r="50844" s="689" customFormat="1" x14ac:dyDescent="0.2"/>
    <row r="50845" s="689" customFormat="1" x14ac:dyDescent="0.2"/>
    <row r="50846" s="689" customFormat="1" x14ac:dyDescent="0.2"/>
    <row r="50847" s="689" customFormat="1" x14ac:dyDescent="0.2"/>
    <row r="50848" s="689" customFormat="1" x14ac:dyDescent="0.2"/>
    <row r="50849" s="689" customFormat="1" x14ac:dyDescent="0.2"/>
    <row r="50850" s="689" customFormat="1" x14ac:dyDescent="0.2"/>
    <row r="50851" s="689" customFormat="1" x14ac:dyDescent="0.2"/>
    <row r="50852" s="689" customFormat="1" x14ac:dyDescent="0.2"/>
    <row r="50853" s="689" customFormat="1" x14ac:dyDescent="0.2"/>
    <row r="50854" s="689" customFormat="1" x14ac:dyDescent="0.2"/>
    <row r="50855" s="689" customFormat="1" x14ac:dyDescent="0.2"/>
    <row r="50856" s="689" customFormat="1" x14ac:dyDescent="0.2"/>
    <row r="50857" s="689" customFormat="1" x14ac:dyDescent="0.2"/>
    <row r="50858" s="689" customFormat="1" x14ac:dyDescent="0.2"/>
    <row r="50859" s="689" customFormat="1" x14ac:dyDescent="0.2"/>
    <row r="50860" s="689" customFormat="1" x14ac:dyDescent="0.2"/>
    <row r="50861" s="689" customFormat="1" x14ac:dyDescent="0.2"/>
    <row r="50862" s="689" customFormat="1" x14ac:dyDescent="0.2"/>
    <row r="50863" s="689" customFormat="1" x14ac:dyDescent="0.2"/>
    <row r="50864" s="689" customFormat="1" x14ac:dyDescent="0.2"/>
    <row r="50865" s="689" customFormat="1" x14ac:dyDescent="0.2"/>
    <row r="50866" s="689" customFormat="1" x14ac:dyDescent="0.2"/>
    <row r="50867" s="689" customFormat="1" x14ac:dyDescent="0.2"/>
    <row r="50868" s="689" customFormat="1" x14ac:dyDescent="0.2"/>
    <row r="50869" s="689" customFormat="1" x14ac:dyDescent="0.2"/>
    <row r="50870" s="689" customFormat="1" x14ac:dyDescent="0.2"/>
    <row r="50871" s="689" customFormat="1" x14ac:dyDescent="0.2"/>
    <row r="50872" s="689" customFormat="1" x14ac:dyDescent="0.2"/>
    <row r="50873" s="689" customFormat="1" x14ac:dyDescent="0.2"/>
    <row r="50874" s="689" customFormat="1" x14ac:dyDescent="0.2"/>
    <row r="50875" s="689" customFormat="1" x14ac:dyDescent="0.2"/>
    <row r="50876" s="689" customFormat="1" x14ac:dyDescent="0.2"/>
    <row r="50877" s="689" customFormat="1" x14ac:dyDescent="0.2"/>
    <row r="50878" s="689" customFormat="1" x14ac:dyDescent="0.2"/>
    <row r="50879" s="689" customFormat="1" x14ac:dyDescent="0.2"/>
    <row r="50880" s="689" customFormat="1" x14ac:dyDescent="0.2"/>
    <row r="50881" s="689" customFormat="1" x14ac:dyDescent="0.2"/>
    <row r="50882" s="689" customFormat="1" x14ac:dyDescent="0.2"/>
    <row r="50883" s="689" customFormat="1" x14ac:dyDescent="0.2"/>
    <row r="50884" s="689" customFormat="1" x14ac:dyDescent="0.2"/>
    <row r="50885" s="689" customFormat="1" x14ac:dyDescent="0.2"/>
    <row r="50886" s="689" customFormat="1" x14ac:dyDescent="0.2"/>
    <row r="50887" s="689" customFormat="1" x14ac:dyDescent="0.2"/>
    <row r="50888" s="689" customFormat="1" x14ac:dyDescent="0.2"/>
    <row r="50889" s="689" customFormat="1" x14ac:dyDescent="0.2"/>
    <row r="50890" s="689" customFormat="1" x14ac:dyDescent="0.2"/>
    <row r="50891" s="689" customFormat="1" x14ac:dyDescent="0.2"/>
    <row r="50892" s="689" customFormat="1" x14ac:dyDescent="0.2"/>
    <row r="50893" s="689" customFormat="1" x14ac:dyDescent="0.2"/>
    <row r="50894" s="689" customFormat="1" x14ac:dyDescent="0.2"/>
    <row r="50895" s="689" customFormat="1" x14ac:dyDescent="0.2"/>
    <row r="50896" s="689" customFormat="1" x14ac:dyDescent="0.2"/>
    <row r="50897" s="689" customFormat="1" x14ac:dyDescent="0.2"/>
    <row r="50898" s="689" customFormat="1" x14ac:dyDescent="0.2"/>
    <row r="50899" s="689" customFormat="1" x14ac:dyDescent="0.2"/>
    <row r="50900" s="689" customFormat="1" x14ac:dyDescent="0.2"/>
    <row r="50901" s="689" customFormat="1" x14ac:dyDescent="0.2"/>
    <row r="50902" s="689" customFormat="1" x14ac:dyDescent="0.2"/>
    <row r="50903" s="689" customFormat="1" x14ac:dyDescent="0.2"/>
    <row r="50904" s="689" customFormat="1" x14ac:dyDescent="0.2"/>
    <row r="50905" s="689" customFormat="1" x14ac:dyDescent="0.2"/>
    <row r="50906" s="689" customFormat="1" x14ac:dyDescent="0.2"/>
    <row r="50907" s="689" customFormat="1" x14ac:dyDescent="0.2"/>
    <row r="50908" s="689" customFormat="1" x14ac:dyDescent="0.2"/>
    <row r="50909" s="689" customFormat="1" x14ac:dyDescent="0.2"/>
    <row r="50910" s="689" customFormat="1" x14ac:dyDescent="0.2"/>
    <row r="50911" s="689" customFormat="1" x14ac:dyDescent="0.2"/>
    <row r="50912" s="689" customFormat="1" x14ac:dyDescent="0.2"/>
    <row r="50913" s="689" customFormat="1" x14ac:dyDescent="0.2"/>
    <row r="50914" s="689" customFormat="1" x14ac:dyDescent="0.2"/>
    <row r="50915" s="689" customFormat="1" x14ac:dyDescent="0.2"/>
    <row r="50916" s="689" customFormat="1" x14ac:dyDescent="0.2"/>
    <row r="50917" s="689" customFormat="1" x14ac:dyDescent="0.2"/>
    <row r="50918" s="689" customFormat="1" x14ac:dyDescent="0.2"/>
    <row r="50919" s="689" customFormat="1" x14ac:dyDescent="0.2"/>
    <row r="50920" s="689" customFormat="1" x14ac:dyDescent="0.2"/>
    <row r="50921" s="689" customFormat="1" x14ac:dyDescent="0.2"/>
    <row r="50922" s="689" customFormat="1" x14ac:dyDescent="0.2"/>
    <row r="50923" s="689" customFormat="1" x14ac:dyDescent="0.2"/>
    <row r="50924" s="689" customFormat="1" x14ac:dyDescent="0.2"/>
    <row r="50925" s="689" customFormat="1" x14ac:dyDescent="0.2"/>
    <row r="50926" s="689" customFormat="1" x14ac:dyDescent="0.2"/>
    <row r="50927" s="689" customFormat="1" x14ac:dyDescent="0.2"/>
    <row r="50928" s="689" customFormat="1" x14ac:dyDescent="0.2"/>
    <row r="50929" s="689" customFormat="1" x14ac:dyDescent="0.2"/>
    <row r="50930" s="689" customFormat="1" x14ac:dyDescent="0.2"/>
    <row r="50931" s="689" customFormat="1" x14ac:dyDescent="0.2"/>
    <row r="50932" s="689" customFormat="1" x14ac:dyDescent="0.2"/>
    <row r="50933" s="689" customFormat="1" x14ac:dyDescent="0.2"/>
    <row r="50934" s="689" customFormat="1" x14ac:dyDescent="0.2"/>
    <row r="50935" s="689" customFormat="1" x14ac:dyDescent="0.2"/>
    <row r="50936" s="689" customFormat="1" x14ac:dyDescent="0.2"/>
    <row r="50937" s="689" customFormat="1" x14ac:dyDescent="0.2"/>
    <row r="50938" s="689" customFormat="1" x14ac:dyDescent="0.2"/>
    <row r="50939" s="689" customFormat="1" x14ac:dyDescent="0.2"/>
    <row r="50940" s="689" customFormat="1" x14ac:dyDescent="0.2"/>
    <row r="50941" s="689" customFormat="1" x14ac:dyDescent="0.2"/>
    <row r="50942" s="689" customFormat="1" x14ac:dyDescent="0.2"/>
    <row r="50943" s="689" customFormat="1" x14ac:dyDescent="0.2"/>
    <row r="50944" s="689" customFormat="1" x14ac:dyDescent="0.2"/>
    <row r="50945" s="689" customFormat="1" x14ac:dyDescent="0.2"/>
    <row r="50946" s="689" customFormat="1" x14ac:dyDescent="0.2"/>
    <row r="50947" s="689" customFormat="1" x14ac:dyDescent="0.2"/>
    <row r="50948" s="689" customFormat="1" x14ac:dyDescent="0.2"/>
    <row r="50949" s="689" customFormat="1" x14ac:dyDescent="0.2"/>
    <row r="50950" s="689" customFormat="1" x14ac:dyDescent="0.2"/>
    <row r="50951" s="689" customFormat="1" x14ac:dyDescent="0.2"/>
    <row r="50952" s="689" customFormat="1" x14ac:dyDescent="0.2"/>
    <row r="50953" s="689" customFormat="1" x14ac:dyDescent="0.2"/>
    <row r="50954" s="689" customFormat="1" x14ac:dyDescent="0.2"/>
    <row r="50955" s="689" customFormat="1" x14ac:dyDescent="0.2"/>
    <row r="50956" s="689" customFormat="1" x14ac:dyDescent="0.2"/>
    <row r="50957" s="689" customFormat="1" x14ac:dyDescent="0.2"/>
    <row r="50958" s="689" customFormat="1" x14ac:dyDescent="0.2"/>
    <row r="50959" s="689" customFormat="1" x14ac:dyDescent="0.2"/>
    <row r="50960" s="689" customFormat="1" x14ac:dyDescent="0.2"/>
    <row r="50961" s="689" customFormat="1" x14ac:dyDescent="0.2"/>
    <row r="50962" s="689" customFormat="1" x14ac:dyDescent="0.2"/>
    <row r="50963" s="689" customFormat="1" x14ac:dyDescent="0.2"/>
    <row r="50964" s="689" customFormat="1" x14ac:dyDescent="0.2"/>
    <row r="50965" s="689" customFormat="1" x14ac:dyDescent="0.2"/>
    <row r="50966" s="689" customFormat="1" x14ac:dyDescent="0.2"/>
    <row r="50967" s="689" customFormat="1" x14ac:dyDescent="0.2"/>
    <row r="50968" s="689" customFormat="1" x14ac:dyDescent="0.2"/>
    <row r="50969" s="689" customFormat="1" x14ac:dyDescent="0.2"/>
    <row r="50970" s="689" customFormat="1" x14ac:dyDescent="0.2"/>
    <row r="50971" s="689" customFormat="1" x14ac:dyDescent="0.2"/>
    <row r="50972" s="689" customFormat="1" x14ac:dyDescent="0.2"/>
    <row r="50973" s="689" customFormat="1" x14ac:dyDescent="0.2"/>
    <row r="50974" s="689" customFormat="1" x14ac:dyDescent="0.2"/>
    <row r="50975" s="689" customFormat="1" x14ac:dyDescent="0.2"/>
    <row r="50976" s="689" customFormat="1" x14ac:dyDescent="0.2"/>
    <row r="50977" s="689" customFormat="1" x14ac:dyDescent="0.2"/>
    <row r="50978" s="689" customFormat="1" x14ac:dyDescent="0.2"/>
    <row r="50979" s="689" customFormat="1" x14ac:dyDescent="0.2"/>
    <row r="50980" s="689" customFormat="1" x14ac:dyDescent="0.2"/>
    <row r="50981" s="689" customFormat="1" x14ac:dyDescent="0.2"/>
    <row r="50982" s="689" customFormat="1" x14ac:dyDescent="0.2"/>
    <row r="50983" s="689" customFormat="1" x14ac:dyDescent="0.2"/>
    <row r="50984" s="689" customFormat="1" x14ac:dyDescent="0.2"/>
    <row r="50985" s="689" customFormat="1" x14ac:dyDescent="0.2"/>
    <row r="50986" s="689" customFormat="1" x14ac:dyDescent="0.2"/>
    <row r="50987" s="689" customFormat="1" x14ac:dyDescent="0.2"/>
    <row r="50988" s="689" customFormat="1" x14ac:dyDescent="0.2"/>
    <row r="50989" s="689" customFormat="1" x14ac:dyDescent="0.2"/>
    <row r="50990" s="689" customFormat="1" x14ac:dyDescent="0.2"/>
    <row r="50991" s="689" customFormat="1" x14ac:dyDescent="0.2"/>
    <row r="50992" s="689" customFormat="1" x14ac:dyDescent="0.2"/>
    <row r="50993" s="689" customFormat="1" x14ac:dyDescent="0.2"/>
    <row r="50994" s="689" customFormat="1" x14ac:dyDescent="0.2"/>
    <row r="50995" s="689" customFormat="1" x14ac:dyDescent="0.2"/>
    <row r="50996" s="689" customFormat="1" x14ac:dyDescent="0.2"/>
    <row r="50997" s="689" customFormat="1" x14ac:dyDescent="0.2"/>
    <row r="50998" s="689" customFormat="1" x14ac:dyDescent="0.2"/>
    <row r="50999" s="689" customFormat="1" x14ac:dyDescent="0.2"/>
    <row r="51000" s="689" customFormat="1" x14ac:dyDescent="0.2"/>
    <row r="51001" s="689" customFormat="1" x14ac:dyDescent="0.2"/>
    <row r="51002" s="689" customFormat="1" x14ac:dyDescent="0.2"/>
    <row r="51003" s="689" customFormat="1" x14ac:dyDescent="0.2"/>
    <row r="51004" s="689" customFormat="1" x14ac:dyDescent="0.2"/>
    <row r="51005" s="689" customFormat="1" x14ac:dyDescent="0.2"/>
    <row r="51006" s="689" customFormat="1" x14ac:dyDescent="0.2"/>
    <row r="51007" s="689" customFormat="1" x14ac:dyDescent="0.2"/>
    <row r="51008" s="689" customFormat="1" x14ac:dyDescent="0.2"/>
    <row r="51009" s="689" customFormat="1" x14ac:dyDescent="0.2"/>
    <row r="51010" s="689" customFormat="1" x14ac:dyDescent="0.2"/>
    <row r="51011" s="689" customFormat="1" x14ac:dyDescent="0.2"/>
    <row r="51012" s="689" customFormat="1" x14ac:dyDescent="0.2"/>
    <row r="51013" s="689" customFormat="1" x14ac:dyDescent="0.2"/>
    <row r="51014" s="689" customFormat="1" x14ac:dyDescent="0.2"/>
    <row r="51015" s="689" customFormat="1" x14ac:dyDescent="0.2"/>
    <row r="51016" s="689" customFormat="1" x14ac:dyDescent="0.2"/>
    <row r="51017" s="689" customFormat="1" x14ac:dyDescent="0.2"/>
    <row r="51018" s="689" customFormat="1" x14ac:dyDescent="0.2"/>
    <row r="51019" s="689" customFormat="1" x14ac:dyDescent="0.2"/>
    <row r="51020" s="689" customFormat="1" x14ac:dyDescent="0.2"/>
    <row r="51021" s="689" customFormat="1" x14ac:dyDescent="0.2"/>
    <row r="51022" s="689" customFormat="1" x14ac:dyDescent="0.2"/>
    <row r="51023" s="689" customFormat="1" x14ac:dyDescent="0.2"/>
    <row r="51024" s="689" customFormat="1" x14ac:dyDescent="0.2"/>
    <row r="51025" s="689" customFormat="1" x14ac:dyDescent="0.2"/>
    <row r="51026" s="689" customFormat="1" x14ac:dyDescent="0.2"/>
    <row r="51027" s="689" customFormat="1" x14ac:dyDescent="0.2"/>
    <row r="51028" s="689" customFormat="1" x14ac:dyDescent="0.2"/>
    <row r="51029" s="689" customFormat="1" x14ac:dyDescent="0.2"/>
    <row r="51030" s="689" customFormat="1" x14ac:dyDescent="0.2"/>
    <row r="51031" s="689" customFormat="1" x14ac:dyDescent="0.2"/>
    <row r="51032" s="689" customFormat="1" x14ac:dyDescent="0.2"/>
    <row r="51033" s="689" customFormat="1" x14ac:dyDescent="0.2"/>
    <row r="51034" s="689" customFormat="1" x14ac:dyDescent="0.2"/>
    <row r="51035" s="689" customFormat="1" x14ac:dyDescent="0.2"/>
    <row r="51036" s="689" customFormat="1" x14ac:dyDescent="0.2"/>
    <row r="51037" s="689" customFormat="1" x14ac:dyDescent="0.2"/>
    <row r="51038" s="689" customFormat="1" x14ac:dyDescent="0.2"/>
    <row r="51039" s="689" customFormat="1" x14ac:dyDescent="0.2"/>
    <row r="51040" s="689" customFormat="1" x14ac:dyDescent="0.2"/>
    <row r="51041" s="689" customFormat="1" x14ac:dyDescent="0.2"/>
    <row r="51042" s="689" customFormat="1" x14ac:dyDescent="0.2"/>
    <row r="51043" s="689" customFormat="1" x14ac:dyDescent="0.2"/>
    <row r="51044" s="689" customFormat="1" x14ac:dyDescent="0.2"/>
    <row r="51045" s="689" customFormat="1" x14ac:dyDescent="0.2"/>
    <row r="51046" s="689" customFormat="1" x14ac:dyDescent="0.2"/>
    <row r="51047" s="689" customFormat="1" x14ac:dyDescent="0.2"/>
    <row r="51048" s="689" customFormat="1" x14ac:dyDescent="0.2"/>
    <row r="51049" s="689" customFormat="1" x14ac:dyDescent="0.2"/>
    <row r="51050" s="689" customFormat="1" x14ac:dyDescent="0.2"/>
    <row r="51051" s="689" customFormat="1" x14ac:dyDescent="0.2"/>
    <row r="51052" s="689" customFormat="1" x14ac:dyDescent="0.2"/>
    <row r="51053" s="689" customFormat="1" x14ac:dyDescent="0.2"/>
    <row r="51054" s="689" customFormat="1" x14ac:dyDescent="0.2"/>
    <row r="51055" s="689" customFormat="1" x14ac:dyDescent="0.2"/>
    <row r="51056" s="689" customFormat="1" x14ac:dyDescent="0.2"/>
    <row r="51057" s="689" customFormat="1" x14ac:dyDescent="0.2"/>
    <row r="51058" s="689" customFormat="1" x14ac:dyDescent="0.2"/>
    <row r="51059" s="689" customFormat="1" x14ac:dyDescent="0.2"/>
    <row r="51060" s="689" customFormat="1" x14ac:dyDescent="0.2"/>
    <row r="51061" s="689" customFormat="1" x14ac:dyDescent="0.2"/>
    <row r="51062" s="689" customFormat="1" x14ac:dyDescent="0.2"/>
    <row r="51063" s="689" customFormat="1" x14ac:dyDescent="0.2"/>
    <row r="51064" s="689" customFormat="1" x14ac:dyDescent="0.2"/>
    <row r="51065" s="689" customFormat="1" x14ac:dyDescent="0.2"/>
    <row r="51066" s="689" customFormat="1" x14ac:dyDescent="0.2"/>
    <row r="51067" s="689" customFormat="1" x14ac:dyDescent="0.2"/>
    <row r="51068" s="689" customFormat="1" x14ac:dyDescent="0.2"/>
    <row r="51069" s="689" customFormat="1" x14ac:dyDescent="0.2"/>
    <row r="51070" s="689" customFormat="1" x14ac:dyDescent="0.2"/>
    <row r="51071" s="689" customFormat="1" x14ac:dyDescent="0.2"/>
    <row r="51072" s="689" customFormat="1" x14ac:dyDescent="0.2"/>
    <row r="51073" s="689" customFormat="1" x14ac:dyDescent="0.2"/>
    <row r="51074" s="689" customFormat="1" x14ac:dyDescent="0.2"/>
    <row r="51075" s="689" customFormat="1" x14ac:dyDescent="0.2"/>
    <row r="51076" s="689" customFormat="1" x14ac:dyDescent="0.2"/>
    <row r="51077" s="689" customFormat="1" x14ac:dyDescent="0.2"/>
    <row r="51078" s="689" customFormat="1" x14ac:dyDescent="0.2"/>
    <row r="51079" s="689" customFormat="1" x14ac:dyDescent="0.2"/>
    <row r="51080" s="689" customFormat="1" x14ac:dyDescent="0.2"/>
    <row r="51081" s="689" customFormat="1" x14ac:dyDescent="0.2"/>
    <row r="51082" s="689" customFormat="1" x14ac:dyDescent="0.2"/>
    <row r="51083" s="689" customFormat="1" x14ac:dyDescent="0.2"/>
    <row r="51084" s="689" customFormat="1" x14ac:dyDescent="0.2"/>
    <row r="51085" s="689" customFormat="1" x14ac:dyDescent="0.2"/>
    <row r="51086" s="689" customFormat="1" x14ac:dyDescent="0.2"/>
    <row r="51087" s="689" customFormat="1" x14ac:dyDescent="0.2"/>
    <row r="51088" s="689" customFormat="1" x14ac:dyDescent="0.2"/>
    <row r="51089" s="689" customFormat="1" x14ac:dyDescent="0.2"/>
    <row r="51090" s="689" customFormat="1" x14ac:dyDescent="0.2"/>
    <row r="51091" s="689" customFormat="1" x14ac:dyDescent="0.2"/>
    <row r="51092" s="689" customFormat="1" x14ac:dyDescent="0.2"/>
    <row r="51093" s="689" customFormat="1" x14ac:dyDescent="0.2"/>
    <row r="51094" s="689" customFormat="1" x14ac:dyDescent="0.2"/>
    <row r="51095" s="689" customFormat="1" x14ac:dyDescent="0.2"/>
    <row r="51096" s="689" customFormat="1" x14ac:dyDescent="0.2"/>
    <row r="51097" s="689" customFormat="1" x14ac:dyDescent="0.2"/>
    <row r="51098" s="689" customFormat="1" x14ac:dyDescent="0.2"/>
    <row r="51099" s="689" customFormat="1" x14ac:dyDescent="0.2"/>
    <row r="51100" s="689" customFormat="1" x14ac:dyDescent="0.2"/>
    <row r="51101" s="689" customFormat="1" x14ac:dyDescent="0.2"/>
    <row r="51102" s="689" customFormat="1" x14ac:dyDescent="0.2"/>
    <row r="51103" s="689" customFormat="1" x14ac:dyDescent="0.2"/>
    <row r="51104" s="689" customFormat="1" x14ac:dyDescent="0.2"/>
    <row r="51105" s="689" customFormat="1" x14ac:dyDescent="0.2"/>
    <row r="51106" s="689" customFormat="1" x14ac:dyDescent="0.2"/>
    <row r="51107" s="689" customFormat="1" x14ac:dyDescent="0.2"/>
    <row r="51108" s="689" customFormat="1" x14ac:dyDescent="0.2"/>
    <row r="51109" s="689" customFormat="1" x14ac:dyDescent="0.2"/>
    <row r="51110" s="689" customFormat="1" x14ac:dyDescent="0.2"/>
    <row r="51111" s="689" customFormat="1" x14ac:dyDescent="0.2"/>
    <row r="51112" s="689" customFormat="1" x14ac:dyDescent="0.2"/>
    <row r="51113" s="689" customFormat="1" x14ac:dyDescent="0.2"/>
    <row r="51114" s="689" customFormat="1" x14ac:dyDescent="0.2"/>
    <row r="51115" s="689" customFormat="1" x14ac:dyDescent="0.2"/>
    <row r="51116" s="689" customFormat="1" x14ac:dyDescent="0.2"/>
    <row r="51117" s="689" customFormat="1" x14ac:dyDescent="0.2"/>
    <row r="51118" s="689" customFormat="1" x14ac:dyDescent="0.2"/>
    <row r="51119" s="689" customFormat="1" x14ac:dyDescent="0.2"/>
    <row r="51120" s="689" customFormat="1" x14ac:dyDescent="0.2"/>
    <row r="51121" s="689" customFormat="1" x14ac:dyDescent="0.2"/>
    <row r="51122" s="689" customFormat="1" x14ac:dyDescent="0.2"/>
    <row r="51123" s="689" customFormat="1" x14ac:dyDescent="0.2"/>
    <row r="51124" s="689" customFormat="1" x14ac:dyDescent="0.2"/>
    <row r="51125" s="689" customFormat="1" x14ac:dyDescent="0.2"/>
    <row r="51126" s="689" customFormat="1" x14ac:dyDescent="0.2"/>
    <row r="51127" s="689" customFormat="1" x14ac:dyDescent="0.2"/>
    <row r="51128" s="689" customFormat="1" x14ac:dyDescent="0.2"/>
    <row r="51129" s="689" customFormat="1" x14ac:dyDescent="0.2"/>
    <row r="51130" s="689" customFormat="1" x14ac:dyDescent="0.2"/>
    <row r="51131" s="689" customFormat="1" x14ac:dyDescent="0.2"/>
    <row r="51132" s="689" customFormat="1" x14ac:dyDescent="0.2"/>
    <row r="51133" s="689" customFormat="1" x14ac:dyDescent="0.2"/>
    <row r="51134" s="689" customFormat="1" x14ac:dyDescent="0.2"/>
    <row r="51135" s="689" customFormat="1" x14ac:dyDescent="0.2"/>
    <row r="51136" s="689" customFormat="1" x14ac:dyDescent="0.2"/>
    <row r="51137" s="689" customFormat="1" x14ac:dyDescent="0.2"/>
    <row r="51138" s="689" customFormat="1" x14ac:dyDescent="0.2"/>
    <row r="51139" s="689" customFormat="1" x14ac:dyDescent="0.2"/>
    <row r="51140" s="689" customFormat="1" x14ac:dyDescent="0.2"/>
    <row r="51141" s="689" customFormat="1" x14ac:dyDescent="0.2"/>
    <row r="51142" s="689" customFormat="1" x14ac:dyDescent="0.2"/>
    <row r="51143" s="689" customFormat="1" x14ac:dyDescent="0.2"/>
    <row r="51144" s="689" customFormat="1" x14ac:dyDescent="0.2"/>
    <row r="51145" s="689" customFormat="1" x14ac:dyDescent="0.2"/>
    <row r="51146" s="689" customFormat="1" x14ac:dyDescent="0.2"/>
    <row r="51147" s="689" customFormat="1" x14ac:dyDescent="0.2"/>
    <row r="51148" s="689" customFormat="1" x14ac:dyDescent="0.2"/>
    <row r="51149" s="689" customFormat="1" x14ac:dyDescent="0.2"/>
    <row r="51150" s="689" customFormat="1" x14ac:dyDescent="0.2"/>
    <row r="51151" s="689" customFormat="1" x14ac:dyDescent="0.2"/>
    <row r="51152" s="689" customFormat="1" x14ac:dyDescent="0.2"/>
    <row r="51153" s="689" customFormat="1" x14ac:dyDescent="0.2"/>
    <row r="51154" s="689" customFormat="1" x14ac:dyDescent="0.2"/>
    <row r="51155" s="689" customFormat="1" x14ac:dyDescent="0.2"/>
    <row r="51156" s="689" customFormat="1" x14ac:dyDescent="0.2"/>
    <row r="51157" s="689" customFormat="1" x14ac:dyDescent="0.2"/>
    <row r="51158" s="689" customFormat="1" x14ac:dyDescent="0.2"/>
    <row r="51159" s="689" customFormat="1" x14ac:dyDescent="0.2"/>
    <row r="51160" s="689" customFormat="1" x14ac:dyDescent="0.2"/>
    <row r="51161" s="689" customFormat="1" x14ac:dyDescent="0.2"/>
    <row r="51162" s="689" customFormat="1" x14ac:dyDescent="0.2"/>
    <row r="51163" s="689" customFormat="1" x14ac:dyDescent="0.2"/>
    <row r="51164" s="689" customFormat="1" x14ac:dyDescent="0.2"/>
    <row r="51165" s="689" customFormat="1" x14ac:dyDescent="0.2"/>
    <row r="51166" s="689" customFormat="1" x14ac:dyDescent="0.2"/>
    <row r="51167" s="689" customFormat="1" x14ac:dyDescent="0.2"/>
    <row r="51168" s="689" customFormat="1" x14ac:dyDescent="0.2"/>
    <row r="51169" s="689" customFormat="1" x14ac:dyDescent="0.2"/>
    <row r="51170" s="689" customFormat="1" x14ac:dyDescent="0.2"/>
    <row r="51171" s="689" customFormat="1" x14ac:dyDescent="0.2"/>
    <row r="51172" s="689" customFormat="1" x14ac:dyDescent="0.2"/>
    <row r="51173" s="689" customFormat="1" x14ac:dyDescent="0.2"/>
    <row r="51174" s="689" customFormat="1" x14ac:dyDescent="0.2"/>
    <row r="51175" s="689" customFormat="1" x14ac:dyDescent="0.2"/>
    <row r="51176" s="689" customFormat="1" x14ac:dyDescent="0.2"/>
    <row r="51177" s="689" customFormat="1" x14ac:dyDescent="0.2"/>
    <row r="51178" s="689" customFormat="1" x14ac:dyDescent="0.2"/>
    <row r="51179" s="689" customFormat="1" x14ac:dyDescent="0.2"/>
    <row r="51180" s="689" customFormat="1" x14ac:dyDescent="0.2"/>
    <row r="51181" s="689" customFormat="1" x14ac:dyDescent="0.2"/>
    <row r="51182" s="689" customFormat="1" x14ac:dyDescent="0.2"/>
    <row r="51183" s="689" customFormat="1" x14ac:dyDescent="0.2"/>
    <row r="51184" s="689" customFormat="1" x14ac:dyDescent="0.2"/>
    <row r="51185" s="689" customFormat="1" x14ac:dyDescent="0.2"/>
    <row r="51186" s="689" customFormat="1" x14ac:dyDescent="0.2"/>
    <row r="51187" s="689" customFormat="1" x14ac:dyDescent="0.2"/>
    <row r="51188" s="689" customFormat="1" x14ac:dyDescent="0.2"/>
    <row r="51189" s="689" customFormat="1" x14ac:dyDescent="0.2"/>
    <row r="51190" s="689" customFormat="1" x14ac:dyDescent="0.2"/>
    <row r="51191" s="689" customFormat="1" x14ac:dyDescent="0.2"/>
    <row r="51192" s="689" customFormat="1" x14ac:dyDescent="0.2"/>
    <row r="51193" s="689" customFormat="1" x14ac:dyDescent="0.2"/>
    <row r="51194" s="689" customFormat="1" x14ac:dyDescent="0.2"/>
    <row r="51195" s="689" customFormat="1" x14ac:dyDescent="0.2"/>
    <row r="51196" s="689" customFormat="1" x14ac:dyDescent="0.2"/>
    <row r="51197" s="689" customFormat="1" x14ac:dyDescent="0.2"/>
    <row r="51198" s="689" customFormat="1" x14ac:dyDescent="0.2"/>
    <row r="51199" s="689" customFormat="1" x14ac:dyDescent="0.2"/>
    <row r="51200" s="689" customFormat="1" x14ac:dyDescent="0.2"/>
    <row r="51201" s="689" customFormat="1" x14ac:dyDescent="0.2"/>
    <row r="51202" s="689" customFormat="1" x14ac:dyDescent="0.2"/>
    <row r="51203" s="689" customFormat="1" x14ac:dyDescent="0.2"/>
    <row r="51204" s="689" customFormat="1" x14ac:dyDescent="0.2"/>
    <row r="51205" s="689" customFormat="1" x14ac:dyDescent="0.2"/>
    <row r="51206" s="689" customFormat="1" x14ac:dyDescent="0.2"/>
    <row r="51207" s="689" customFormat="1" x14ac:dyDescent="0.2"/>
    <row r="51208" s="689" customFormat="1" x14ac:dyDescent="0.2"/>
    <row r="51209" s="689" customFormat="1" x14ac:dyDescent="0.2"/>
    <row r="51210" s="689" customFormat="1" x14ac:dyDescent="0.2"/>
    <row r="51211" s="689" customFormat="1" x14ac:dyDescent="0.2"/>
    <row r="51212" s="689" customFormat="1" x14ac:dyDescent="0.2"/>
    <row r="51213" s="689" customFormat="1" x14ac:dyDescent="0.2"/>
    <row r="51214" s="689" customFormat="1" x14ac:dyDescent="0.2"/>
    <row r="51215" s="689" customFormat="1" x14ac:dyDescent="0.2"/>
    <row r="51216" s="689" customFormat="1" x14ac:dyDescent="0.2"/>
    <row r="51217" s="689" customFormat="1" x14ac:dyDescent="0.2"/>
    <row r="51218" s="689" customFormat="1" x14ac:dyDescent="0.2"/>
    <row r="51219" s="689" customFormat="1" x14ac:dyDescent="0.2"/>
    <row r="51220" s="689" customFormat="1" x14ac:dyDescent="0.2"/>
    <row r="51221" s="689" customFormat="1" x14ac:dyDescent="0.2"/>
    <row r="51222" s="689" customFormat="1" x14ac:dyDescent="0.2"/>
    <row r="51223" s="689" customFormat="1" x14ac:dyDescent="0.2"/>
    <row r="51224" s="689" customFormat="1" x14ac:dyDescent="0.2"/>
    <row r="51225" s="689" customFormat="1" x14ac:dyDescent="0.2"/>
    <row r="51226" s="689" customFormat="1" x14ac:dyDescent="0.2"/>
    <row r="51227" s="689" customFormat="1" x14ac:dyDescent="0.2"/>
    <row r="51228" s="689" customFormat="1" x14ac:dyDescent="0.2"/>
    <row r="51229" s="689" customFormat="1" x14ac:dyDescent="0.2"/>
    <row r="51230" s="689" customFormat="1" x14ac:dyDescent="0.2"/>
    <row r="51231" s="689" customFormat="1" x14ac:dyDescent="0.2"/>
    <row r="51232" s="689" customFormat="1" x14ac:dyDescent="0.2"/>
    <row r="51233" s="689" customFormat="1" x14ac:dyDescent="0.2"/>
    <row r="51234" s="689" customFormat="1" x14ac:dyDescent="0.2"/>
    <row r="51235" s="689" customFormat="1" x14ac:dyDescent="0.2"/>
    <row r="51236" s="689" customFormat="1" x14ac:dyDescent="0.2"/>
    <row r="51237" s="689" customFormat="1" x14ac:dyDescent="0.2"/>
    <row r="51238" s="689" customFormat="1" x14ac:dyDescent="0.2"/>
    <row r="51239" s="689" customFormat="1" x14ac:dyDescent="0.2"/>
    <row r="51240" s="689" customFormat="1" x14ac:dyDescent="0.2"/>
    <row r="51241" s="689" customFormat="1" x14ac:dyDescent="0.2"/>
    <row r="51242" s="689" customFormat="1" x14ac:dyDescent="0.2"/>
    <row r="51243" s="689" customFormat="1" x14ac:dyDescent="0.2"/>
    <row r="51244" s="689" customFormat="1" x14ac:dyDescent="0.2"/>
    <row r="51245" s="689" customFormat="1" x14ac:dyDescent="0.2"/>
    <row r="51246" s="689" customFormat="1" x14ac:dyDescent="0.2"/>
    <row r="51247" s="689" customFormat="1" x14ac:dyDescent="0.2"/>
    <row r="51248" s="689" customFormat="1" x14ac:dyDescent="0.2"/>
    <row r="51249" s="689" customFormat="1" x14ac:dyDescent="0.2"/>
    <row r="51250" s="689" customFormat="1" x14ac:dyDescent="0.2"/>
    <row r="51251" s="689" customFormat="1" x14ac:dyDescent="0.2"/>
    <row r="51252" s="689" customFormat="1" x14ac:dyDescent="0.2"/>
    <row r="51253" s="689" customFormat="1" x14ac:dyDescent="0.2"/>
    <row r="51254" s="689" customFormat="1" x14ac:dyDescent="0.2"/>
    <row r="51255" s="689" customFormat="1" x14ac:dyDescent="0.2"/>
    <row r="51256" s="689" customFormat="1" x14ac:dyDescent="0.2"/>
    <row r="51257" s="689" customFormat="1" x14ac:dyDescent="0.2"/>
    <row r="51258" s="689" customFormat="1" x14ac:dyDescent="0.2"/>
    <row r="51259" s="689" customFormat="1" x14ac:dyDescent="0.2"/>
    <row r="51260" s="689" customFormat="1" x14ac:dyDescent="0.2"/>
    <row r="51261" s="689" customFormat="1" x14ac:dyDescent="0.2"/>
    <row r="51262" s="689" customFormat="1" x14ac:dyDescent="0.2"/>
    <row r="51263" s="689" customFormat="1" x14ac:dyDescent="0.2"/>
    <row r="51264" s="689" customFormat="1" x14ac:dyDescent="0.2"/>
    <row r="51265" s="689" customFormat="1" x14ac:dyDescent="0.2"/>
    <row r="51266" s="689" customFormat="1" x14ac:dyDescent="0.2"/>
    <row r="51267" s="689" customFormat="1" x14ac:dyDescent="0.2"/>
    <row r="51268" s="689" customFormat="1" x14ac:dyDescent="0.2"/>
    <row r="51269" s="689" customFormat="1" x14ac:dyDescent="0.2"/>
    <row r="51270" s="689" customFormat="1" x14ac:dyDescent="0.2"/>
    <row r="51271" s="689" customFormat="1" x14ac:dyDescent="0.2"/>
    <row r="51272" s="689" customFormat="1" x14ac:dyDescent="0.2"/>
    <row r="51273" s="689" customFormat="1" x14ac:dyDescent="0.2"/>
    <row r="51274" s="689" customFormat="1" x14ac:dyDescent="0.2"/>
    <row r="51275" s="689" customFormat="1" x14ac:dyDescent="0.2"/>
    <row r="51276" s="689" customFormat="1" x14ac:dyDescent="0.2"/>
    <row r="51277" s="689" customFormat="1" x14ac:dyDescent="0.2"/>
    <row r="51278" s="689" customFormat="1" x14ac:dyDescent="0.2"/>
    <row r="51279" s="689" customFormat="1" x14ac:dyDescent="0.2"/>
    <row r="51280" s="689" customFormat="1" x14ac:dyDescent="0.2"/>
    <row r="51281" s="689" customFormat="1" x14ac:dyDescent="0.2"/>
    <row r="51282" s="689" customFormat="1" x14ac:dyDescent="0.2"/>
    <row r="51283" s="689" customFormat="1" x14ac:dyDescent="0.2"/>
    <row r="51284" s="689" customFormat="1" x14ac:dyDescent="0.2"/>
    <row r="51285" s="689" customFormat="1" x14ac:dyDescent="0.2"/>
    <row r="51286" s="689" customFormat="1" x14ac:dyDescent="0.2"/>
    <row r="51287" s="689" customFormat="1" x14ac:dyDescent="0.2"/>
    <row r="51288" s="689" customFormat="1" x14ac:dyDescent="0.2"/>
    <row r="51289" s="689" customFormat="1" x14ac:dyDescent="0.2"/>
    <row r="51290" s="689" customFormat="1" x14ac:dyDescent="0.2"/>
    <row r="51291" s="689" customFormat="1" x14ac:dyDescent="0.2"/>
    <row r="51292" s="689" customFormat="1" x14ac:dyDescent="0.2"/>
    <row r="51293" s="689" customFormat="1" x14ac:dyDescent="0.2"/>
    <row r="51294" s="689" customFormat="1" x14ac:dyDescent="0.2"/>
    <row r="51295" s="689" customFormat="1" x14ac:dyDescent="0.2"/>
    <row r="51296" s="689" customFormat="1" x14ac:dyDescent="0.2"/>
    <row r="51297" s="689" customFormat="1" x14ac:dyDescent="0.2"/>
    <row r="51298" s="689" customFormat="1" x14ac:dyDescent="0.2"/>
    <row r="51299" s="689" customFormat="1" x14ac:dyDescent="0.2"/>
    <row r="51300" s="689" customFormat="1" x14ac:dyDescent="0.2"/>
    <row r="51301" s="689" customFormat="1" x14ac:dyDescent="0.2"/>
    <row r="51302" s="689" customFormat="1" x14ac:dyDescent="0.2"/>
    <row r="51303" s="689" customFormat="1" x14ac:dyDescent="0.2"/>
    <row r="51304" s="689" customFormat="1" x14ac:dyDescent="0.2"/>
    <row r="51305" s="689" customFormat="1" x14ac:dyDescent="0.2"/>
    <row r="51306" s="689" customFormat="1" x14ac:dyDescent="0.2"/>
    <row r="51307" s="689" customFormat="1" x14ac:dyDescent="0.2"/>
    <row r="51308" s="689" customFormat="1" x14ac:dyDescent="0.2"/>
    <row r="51309" s="689" customFormat="1" x14ac:dyDescent="0.2"/>
    <row r="51310" s="689" customFormat="1" x14ac:dyDescent="0.2"/>
    <row r="51311" s="689" customFormat="1" x14ac:dyDescent="0.2"/>
    <row r="51312" s="689" customFormat="1" x14ac:dyDescent="0.2"/>
    <row r="51313" s="689" customFormat="1" x14ac:dyDescent="0.2"/>
    <row r="51314" s="689" customFormat="1" x14ac:dyDescent="0.2"/>
    <row r="51315" s="689" customFormat="1" x14ac:dyDescent="0.2"/>
    <row r="51316" s="689" customFormat="1" x14ac:dyDescent="0.2"/>
    <row r="51317" s="689" customFormat="1" x14ac:dyDescent="0.2"/>
    <row r="51318" s="689" customFormat="1" x14ac:dyDescent="0.2"/>
    <row r="51319" s="689" customFormat="1" x14ac:dyDescent="0.2"/>
    <row r="51320" s="689" customFormat="1" x14ac:dyDescent="0.2"/>
    <row r="51321" s="689" customFormat="1" x14ac:dyDescent="0.2"/>
    <row r="51322" s="689" customFormat="1" x14ac:dyDescent="0.2"/>
    <row r="51323" s="689" customFormat="1" x14ac:dyDescent="0.2"/>
    <row r="51324" s="689" customFormat="1" x14ac:dyDescent="0.2"/>
    <row r="51325" s="689" customFormat="1" x14ac:dyDescent="0.2"/>
    <row r="51326" s="689" customFormat="1" x14ac:dyDescent="0.2"/>
    <row r="51327" s="689" customFormat="1" x14ac:dyDescent="0.2"/>
    <row r="51328" s="689" customFormat="1" x14ac:dyDescent="0.2"/>
    <row r="51329" s="689" customFormat="1" x14ac:dyDescent="0.2"/>
    <row r="51330" s="689" customFormat="1" x14ac:dyDescent="0.2"/>
    <row r="51331" s="689" customFormat="1" x14ac:dyDescent="0.2"/>
    <row r="51332" s="689" customFormat="1" x14ac:dyDescent="0.2"/>
    <row r="51333" s="689" customFormat="1" x14ac:dyDescent="0.2"/>
    <row r="51334" s="689" customFormat="1" x14ac:dyDescent="0.2"/>
    <row r="51335" s="689" customFormat="1" x14ac:dyDescent="0.2"/>
    <row r="51336" s="689" customFormat="1" x14ac:dyDescent="0.2"/>
    <row r="51337" s="689" customFormat="1" x14ac:dyDescent="0.2"/>
    <row r="51338" s="689" customFormat="1" x14ac:dyDescent="0.2"/>
    <row r="51339" s="689" customFormat="1" x14ac:dyDescent="0.2"/>
    <row r="51340" s="689" customFormat="1" x14ac:dyDescent="0.2"/>
    <row r="51341" s="689" customFormat="1" x14ac:dyDescent="0.2"/>
    <row r="51342" s="689" customFormat="1" x14ac:dyDescent="0.2"/>
    <row r="51343" s="689" customFormat="1" x14ac:dyDescent="0.2"/>
    <row r="51344" s="689" customFormat="1" x14ac:dyDescent="0.2"/>
    <row r="51345" s="689" customFormat="1" x14ac:dyDescent="0.2"/>
    <row r="51346" s="689" customFormat="1" x14ac:dyDescent="0.2"/>
    <row r="51347" s="689" customFormat="1" x14ac:dyDescent="0.2"/>
    <row r="51348" s="689" customFormat="1" x14ac:dyDescent="0.2"/>
    <row r="51349" s="689" customFormat="1" x14ac:dyDescent="0.2"/>
    <row r="51350" s="689" customFormat="1" x14ac:dyDescent="0.2"/>
    <row r="51351" s="689" customFormat="1" x14ac:dyDescent="0.2"/>
    <row r="51352" s="689" customFormat="1" x14ac:dyDescent="0.2"/>
    <row r="51353" s="689" customFormat="1" x14ac:dyDescent="0.2"/>
    <row r="51354" s="689" customFormat="1" x14ac:dyDescent="0.2"/>
    <row r="51355" s="689" customFormat="1" x14ac:dyDescent="0.2"/>
    <row r="51356" s="689" customFormat="1" x14ac:dyDescent="0.2"/>
    <row r="51357" s="689" customFormat="1" x14ac:dyDescent="0.2"/>
    <row r="51358" s="689" customFormat="1" x14ac:dyDescent="0.2"/>
    <row r="51359" s="689" customFormat="1" x14ac:dyDescent="0.2"/>
    <row r="51360" s="689" customFormat="1" x14ac:dyDescent="0.2"/>
    <row r="51361" s="689" customFormat="1" x14ac:dyDescent="0.2"/>
    <row r="51362" s="689" customFormat="1" x14ac:dyDescent="0.2"/>
    <row r="51363" s="689" customFormat="1" x14ac:dyDescent="0.2"/>
    <row r="51364" s="689" customFormat="1" x14ac:dyDescent="0.2"/>
    <row r="51365" s="689" customFormat="1" x14ac:dyDescent="0.2"/>
    <row r="51366" s="689" customFormat="1" x14ac:dyDescent="0.2"/>
    <row r="51367" s="689" customFormat="1" x14ac:dyDescent="0.2"/>
    <row r="51368" s="689" customFormat="1" x14ac:dyDescent="0.2"/>
    <row r="51369" s="689" customFormat="1" x14ac:dyDescent="0.2"/>
    <row r="51370" s="689" customFormat="1" x14ac:dyDescent="0.2"/>
    <row r="51371" s="689" customFormat="1" x14ac:dyDescent="0.2"/>
    <row r="51372" s="689" customFormat="1" x14ac:dyDescent="0.2"/>
    <row r="51373" s="689" customFormat="1" x14ac:dyDescent="0.2"/>
    <row r="51374" s="689" customFormat="1" x14ac:dyDescent="0.2"/>
    <row r="51375" s="689" customFormat="1" x14ac:dyDescent="0.2"/>
    <row r="51376" s="689" customFormat="1" x14ac:dyDescent="0.2"/>
    <row r="51377" s="689" customFormat="1" x14ac:dyDescent="0.2"/>
    <row r="51378" s="689" customFormat="1" x14ac:dyDescent="0.2"/>
    <row r="51379" s="689" customFormat="1" x14ac:dyDescent="0.2"/>
    <row r="51380" s="689" customFormat="1" x14ac:dyDescent="0.2"/>
    <row r="51381" s="689" customFormat="1" x14ac:dyDescent="0.2"/>
    <row r="51382" s="689" customFormat="1" x14ac:dyDescent="0.2"/>
    <row r="51383" s="689" customFormat="1" x14ac:dyDescent="0.2"/>
    <row r="51384" s="689" customFormat="1" x14ac:dyDescent="0.2"/>
    <row r="51385" s="689" customFormat="1" x14ac:dyDescent="0.2"/>
    <row r="51386" s="689" customFormat="1" x14ac:dyDescent="0.2"/>
    <row r="51387" s="689" customFormat="1" x14ac:dyDescent="0.2"/>
    <row r="51388" s="689" customFormat="1" x14ac:dyDescent="0.2"/>
    <row r="51389" s="689" customFormat="1" x14ac:dyDescent="0.2"/>
    <row r="51390" s="689" customFormat="1" x14ac:dyDescent="0.2"/>
    <row r="51391" s="689" customFormat="1" x14ac:dyDescent="0.2"/>
    <row r="51392" s="689" customFormat="1" x14ac:dyDescent="0.2"/>
    <row r="51393" s="689" customFormat="1" x14ac:dyDescent="0.2"/>
    <row r="51394" s="689" customFormat="1" x14ac:dyDescent="0.2"/>
    <row r="51395" s="689" customFormat="1" x14ac:dyDescent="0.2"/>
    <row r="51396" s="689" customFormat="1" x14ac:dyDescent="0.2"/>
    <row r="51397" s="689" customFormat="1" x14ac:dyDescent="0.2"/>
    <row r="51398" s="689" customFormat="1" x14ac:dyDescent="0.2"/>
    <row r="51399" s="689" customFormat="1" x14ac:dyDescent="0.2"/>
    <row r="51400" s="689" customFormat="1" x14ac:dyDescent="0.2"/>
    <row r="51401" s="689" customFormat="1" x14ac:dyDescent="0.2"/>
    <row r="51402" s="689" customFormat="1" x14ac:dyDescent="0.2"/>
    <row r="51403" s="689" customFormat="1" x14ac:dyDescent="0.2"/>
    <row r="51404" s="689" customFormat="1" x14ac:dyDescent="0.2"/>
    <row r="51405" s="689" customFormat="1" x14ac:dyDescent="0.2"/>
    <row r="51406" s="689" customFormat="1" x14ac:dyDescent="0.2"/>
    <row r="51407" s="689" customFormat="1" x14ac:dyDescent="0.2"/>
    <row r="51408" s="689" customFormat="1" x14ac:dyDescent="0.2"/>
    <row r="51409" s="689" customFormat="1" x14ac:dyDescent="0.2"/>
    <row r="51410" s="689" customFormat="1" x14ac:dyDescent="0.2"/>
    <row r="51411" s="689" customFormat="1" x14ac:dyDescent="0.2"/>
    <row r="51412" s="689" customFormat="1" x14ac:dyDescent="0.2"/>
    <row r="51413" s="689" customFormat="1" x14ac:dyDescent="0.2"/>
    <row r="51414" s="689" customFormat="1" x14ac:dyDescent="0.2"/>
    <row r="51415" s="689" customFormat="1" x14ac:dyDescent="0.2"/>
    <row r="51416" s="689" customFormat="1" x14ac:dyDescent="0.2"/>
    <row r="51417" s="689" customFormat="1" x14ac:dyDescent="0.2"/>
    <row r="51418" s="689" customFormat="1" x14ac:dyDescent="0.2"/>
    <row r="51419" s="689" customFormat="1" x14ac:dyDescent="0.2"/>
    <row r="51420" s="689" customFormat="1" x14ac:dyDescent="0.2"/>
    <row r="51421" s="689" customFormat="1" x14ac:dyDescent="0.2"/>
    <row r="51422" s="689" customFormat="1" x14ac:dyDescent="0.2"/>
    <row r="51423" s="689" customFormat="1" x14ac:dyDescent="0.2"/>
    <row r="51424" s="689" customFormat="1" x14ac:dyDescent="0.2"/>
    <row r="51425" s="689" customFormat="1" x14ac:dyDescent="0.2"/>
    <row r="51426" s="689" customFormat="1" x14ac:dyDescent="0.2"/>
    <row r="51427" s="689" customFormat="1" x14ac:dyDescent="0.2"/>
    <row r="51428" s="689" customFormat="1" x14ac:dyDescent="0.2"/>
    <row r="51429" s="689" customFormat="1" x14ac:dyDescent="0.2"/>
    <row r="51430" s="689" customFormat="1" x14ac:dyDescent="0.2"/>
    <row r="51431" s="689" customFormat="1" x14ac:dyDescent="0.2"/>
    <row r="51432" s="689" customFormat="1" x14ac:dyDescent="0.2"/>
    <row r="51433" s="689" customFormat="1" x14ac:dyDescent="0.2"/>
    <row r="51434" s="689" customFormat="1" x14ac:dyDescent="0.2"/>
    <row r="51435" s="689" customFormat="1" x14ac:dyDescent="0.2"/>
    <row r="51436" s="689" customFormat="1" x14ac:dyDescent="0.2"/>
    <row r="51437" s="689" customFormat="1" x14ac:dyDescent="0.2"/>
    <row r="51438" s="689" customFormat="1" x14ac:dyDescent="0.2"/>
    <row r="51439" s="689" customFormat="1" x14ac:dyDescent="0.2"/>
    <row r="51440" s="689" customFormat="1" x14ac:dyDescent="0.2"/>
    <row r="51441" s="689" customFormat="1" x14ac:dyDescent="0.2"/>
    <row r="51442" s="689" customFormat="1" x14ac:dyDescent="0.2"/>
    <row r="51443" s="689" customFormat="1" x14ac:dyDescent="0.2"/>
    <row r="51444" s="689" customFormat="1" x14ac:dyDescent="0.2"/>
    <row r="51445" s="689" customFormat="1" x14ac:dyDescent="0.2"/>
    <row r="51446" s="689" customFormat="1" x14ac:dyDescent="0.2"/>
    <row r="51447" s="689" customFormat="1" x14ac:dyDescent="0.2"/>
    <row r="51448" s="689" customFormat="1" x14ac:dyDescent="0.2"/>
    <row r="51449" s="689" customFormat="1" x14ac:dyDescent="0.2"/>
    <row r="51450" s="689" customFormat="1" x14ac:dyDescent="0.2"/>
    <row r="51451" s="689" customFormat="1" x14ac:dyDescent="0.2"/>
    <row r="51452" s="689" customFormat="1" x14ac:dyDescent="0.2"/>
    <row r="51453" s="689" customFormat="1" x14ac:dyDescent="0.2"/>
    <row r="51454" s="689" customFormat="1" x14ac:dyDescent="0.2"/>
    <row r="51455" s="689" customFormat="1" x14ac:dyDescent="0.2"/>
    <row r="51456" s="689" customFormat="1" x14ac:dyDescent="0.2"/>
    <row r="51457" s="689" customFormat="1" x14ac:dyDescent="0.2"/>
    <row r="51458" s="689" customFormat="1" x14ac:dyDescent="0.2"/>
    <row r="51459" s="689" customFormat="1" x14ac:dyDescent="0.2"/>
    <row r="51460" s="689" customFormat="1" x14ac:dyDescent="0.2"/>
    <row r="51461" s="689" customFormat="1" x14ac:dyDescent="0.2"/>
    <row r="51462" s="689" customFormat="1" x14ac:dyDescent="0.2"/>
    <row r="51463" s="689" customFormat="1" x14ac:dyDescent="0.2"/>
    <row r="51464" s="689" customFormat="1" x14ac:dyDescent="0.2"/>
    <row r="51465" s="689" customFormat="1" x14ac:dyDescent="0.2"/>
    <row r="51466" s="689" customFormat="1" x14ac:dyDescent="0.2"/>
    <row r="51467" s="689" customFormat="1" x14ac:dyDescent="0.2"/>
    <row r="51468" s="689" customFormat="1" x14ac:dyDescent="0.2"/>
    <row r="51469" s="689" customFormat="1" x14ac:dyDescent="0.2"/>
    <row r="51470" s="689" customFormat="1" x14ac:dyDescent="0.2"/>
    <row r="51471" s="689" customFormat="1" x14ac:dyDescent="0.2"/>
    <row r="51472" s="689" customFormat="1" x14ac:dyDescent="0.2"/>
    <row r="51473" s="689" customFormat="1" x14ac:dyDescent="0.2"/>
    <row r="51474" s="689" customFormat="1" x14ac:dyDescent="0.2"/>
    <row r="51475" s="689" customFormat="1" x14ac:dyDescent="0.2"/>
    <row r="51476" s="689" customFormat="1" x14ac:dyDescent="0.2"/>
    <row r="51477" s="689" customFormat="1" x14ac:dyDescent="0.2"/>
    <row r="51478" s="689" customFormat="1" x14ac:dyDescent="0.2"/>
    <row r="51479" s="689" customFormat="1" x14ac:dyDescent="0.2"/>
    <row r="51480" s="689" customFormat="1" x14ac:dyDescent="0.2"/>
    <row r="51481" s="689" customFormat="1" x14ac:dyDescent="0.2"/>
    <row r="51482" s="689" customFormat="1" x14ac:dyDescent="0.2"/>
    <row r="51483" s="689" customFormat="1" x14ac:dyDescent="0.2"/>
    <row r="51484" s="689" customFormat="1" x14ac:dyDescent="0.2"/>
    <row r="51485" s="689" customFormat="1" x14ac:dyDescent="0.2"/>
    <row r="51486" s="689" customFormat="1" x14ac:dyDescent="0.2"/>
    <row r="51487" s="689" customFormat="1" x14ac:dyDescent="0.2"/>
    <row r="51488" s="689" customFormat="1" x14ac:dyDescent="0.2"/>
    <row r="51489" s="689" customFormat="1" x14ac:dyDescent="0.2"/>
    <row r="51490" s="689" customFormat="1" x14ac:dyDescent="0.2"/>
    <row r="51491" s="689" customFormat="1" x14ac:dyDescent="0.2"/>
    <row r="51492" s="689" customFormat="1" x14ac:dyDescent="0.2"/>
    <row r="51493" s="689" customFormat="1" x14ac:dyDescent="0.2"/>
    <row r="51494" s="689" customFormat="1" x14ac:dyDescent="0.2"/>
    <row r="51495" s="689" customFormat="1" x14ac:dyDescent="0.2"/>
    <row r="51496" s="689" customFormat="1" x14ac:dyDescent="0.2"/>
    <row r="51497" s="689" customFormat="1" x14ac:dyDescent="0.2"/>
    <row r="51498" s="689" customFormat="1" x14ac:dyDescent="0.2"/>
    <row r="51499" s="689" customFormat="1" x14ac:dyDescent="0.2"/>
    <row r="51500" s="689" customFormat="1" x14ac:dyDescent="0.2"/>
    <row r="51501" s="689" customFormat="1" x14ac:dyDescent="0.2"/>
    <row r="51502" s="689" customFormat="1" x14ac:dyDescent="0.2"/>
    <row r="51503" s="689" customFormat="1" x14ac:dyDescent="0.2"/>
    <row r="51504" s="689" customFormat="1" x14ac:dyDescent="0.2"/>
    <row r="51505" s="689" customFormat="1" x14ac:dyDescent="0.2"/>
    <row r="51506" s="689" customFormat="1" x14ac:dyDescent="0.2"/>
    <row r="51507" s="689" customFormat="1" x14ac:dyDescent="0.2"/>
    <row r="51508" s="689" customFormat="1" x14ac:dyDescent="0.2"/>
    <row r="51509" s="689" customFormat="1" x14ac:dyDescent="0.2"/>
    <row r="51510" s="689" customFormat="1" x14ac:dyDescent="0.2"/>
    <row r="51511" s="689" customFormat="1" x14ac:dyDescent="0.2"/>
    <row r="51512" s="689" customFormat="1" x14ac:dyDescent="0.2"/>
    <row r="51513" s="689" customFormat="1" x14ac:dyDescent="0.2"/>
    <row r="51514" s="689" customFormat="1" x14ac:dyDescent="0.2"/>
    <row r="51515" s="689" customFormat="1" x14ac:dyDescent="0.2"/>
    <row r="51516" s="689" customFormat="1" x14ac:dyDescent="0.2"/>
    <row r="51517" s="689" customFormat="1" x14ac:dyDescent="0.2"/>
    <row r="51518" s="689" customFormat="1" x14ac:dyDescent="0.2"/>
    <row r="51519" s="689" customFormat="1" x14ac:dyDescent="0.2"/>
    <row r="51520" s="689" customFormat="1" x14ac:dyDescent="0.2"/>
    <row r="51521" s="689" customFormat="1" x14ac:dyDescent="0.2"/>
    <row r="51522" s="689" customFormat="1" x14ac:dyDescent="0.2"/>
    <row r="51523" s="689" customFormat="1" x14ac:dyDescent="0.2"/>
    <row r="51524" s="689" customFormat="1" x14ac:dyDescent="0.2"/>
    <row r="51525" s="689" customFormat="1" x14ac:dyDescent="0.2"/>
    <row r="51526" s="689" customFormat="1" x14ac:dyDescent="0.2"/>
    <row r="51527" s="689" customFormat="1" x14ac:dyDescent="0.2"/>
    <row r="51528" s="689" customFormat="1" x14ac:dyDescent="0.2"/>
    <row r="51529" s="689" customFormat="1" x14ac:dyDescent="0.2"/>
    <row r="51530" s="689" customFormat="1" x14ac:dyDescent="0.2"/>
    <row r="51531" s="689" customFormat="1" x14ac:dyDescent="0.2"/>
    <row r="51532" s="689" customFormat="1" x14ac:dyDescent="0.2"/>
    <row r="51533" s="689" customFormat="1" x14ac:dyDescent="0.2"/>
    <row r="51534" s="689" customFormat="1" x14ac:dyDescent="0.2"/>
    <row r="51535" s="689" customFormat="1" x14ac:dyDescent="0.2"/>
    <row r="51536" s="689" customFormat="1" x14ac:dyDescent="0.2"/>
    <row r="51537" s="689" customFormat="1" x14ac:dyDescent="0.2"/>
    <row r="51538" s="689" customFormat="1" x14ac:dyDescent="0.2"/>
    <row r="51539" s="689" customFormat="1" x14ac:dyDescent="0.2"/>
    <row r="51540" s="689" customFormat="1" x14ac:dyDescent="0.2"/>
    <row r="51541" s="689" customFormat="1" x14ac:dyDescent="0.2"/>
    <row r="51542" s="689" customFormat="1" x14ac:dyDescent="0.2"/>
    <row r="51543" s="689" customFormat="1" x14ac:dyDescent="0.2"/>
    <row r="51544" s="689" customFormat="1" x14ac:dyDescent="0.2"/>
    <row r="51545" s="689" customFormat="1" x14ac:dyDescent="0.2"/>
    <row r="51546" s="689" customFormat="1" x14ac:dyDescent="0.2"/>
    <row r="51547" s="689" customFormat="1" x14ac:dyDescent="0.2"/>
    <row r="51548" s="689" customFormat="1" x14ac:dyDescent="0.2"/>
    <row r="51549" s="689" customFormat="1" x14ac:dyDescent="0.2"/>
    <row r="51550" s="689" customFormat="1" x14ac:dyDescent="0.2"/>
    <row r="51551" s="689" customFormat="1" x14ac:dyDescent="0.2"/>
    <row r="51552" s="689" customFormat="1" x14ac:dyDescent="0.2"/>
    <row r="51553" s="689" customFormat="1" x14ac:dyDescent="0.2"/>
    <row r="51554" s="689" customFormat="1" x14ac:dyDescent="0.2"/>
    <row r="51555" s="689" customFormat="1" x14ac:dyDescent="0.2"/>
    <row r="51556" s="689" customFormat="1" x14ac:dyDescent="0.2"/>
    <row r="51557" s="689" customFormat="1" x14ac:dyDescent="0.2"/>
    <row r="51558" s="689" customFormat="1" x14ac:dyDescent="0.2"/>
    <row r="51559" s="689" customFormat="1" x14ac:dyDescent="0.2"/>
    <row r="51560" s="689" customFormat="1" x14ac:dyDescent="0.2"/>
    <row r="51561" s="689" customFormat="1" x14ac:dyDescent="0.2"/>
    <row r="51562" s="689" customFormat="1" x14ac:dyDescent="0.2"/>
    <row r="51563" s="689" customFormat="1" x14ac:dyDescent="0.2"/>
    <row r="51564" s="689" customFormat="1" x14ac:dyDescent="0.2"/>
    <row r="51565" s="689" customFormat="1" x14ac:dyDescent="0.2"/>
    <row r="51566" s="689" customFormat="1" x14ac:dyDescent="0.2"/>
    <row r="51567" s="689" customFormat="1" x14ac:dyDescent="0.2"/>
    <row r="51568" s="689" customFormat="1" x14ac:dyDescent="0.2"/>
    <row r="51569" s="689" customFormat="1" x14ac:dyDescent="0.2"/>
    <row r="51570" s="689" customFormat="1" x14ac:dyDescent="0.2"/>
    <row r="51571" s="689" customFormat="1" x14ac:dyDescent="0.2"/>
    <row r="51572" s="689" customFormat="1" x14ac:dyDescent="0.2"/>
    <row r="51573" s="689" customFormat="1" x14ac:dyDescent="0.2"/>
    <row r="51574" s="689" customFormat="1" x14ac:dyDescent="0.2"/>
    <row r="51575" s="689" customFormat="1" x14ac:dyDescent="0.2"/>
    <row r="51576" s="689" customFormat="1" x14ac:dyDescent="0.2"/>
    <row r="51577" s="689" customFormat="1" x14ac:dyDescent="0.2"/>
    <row r="51578" s="689" customFormat="1" x14ac:dyDescent="0.2"/>
    <row r="51579" s="689" customFormat="1" x14ac:dyDescent="0.2"/>
    <row r="51580" s="689" customFormat="1" x14ac:dyDescent="0.2"/>
    <row r="51581" s="689" customFormat="1" x14ac:dyDescent="0.2"/>
    <row r="51582" s="689" customFormat="1" x14ac:dyDescent="0.2"/>
    <row r="51583" s="689" customFormat="1" x14ac:dyDescent="0.2"/>
    <row r="51584" s="689" customFormat="1" x14ac:dyDescent="0.2"/>
    <row r="51585" s="689" customFormat="1" x14ac:dyDescent="0.2"/>
    <row r="51586" s="689" customFormat="1" x14ac:dyDescent="0.2"/>
    <row r="51587" s="689" customFormat="1" x14ac:dyDescent="0.2"/>
    <row r="51588" s="689" customFormat="1" x14ac:dyDescent="0.2"/>
    <row r="51589" s="689" customFormat="1" x14ac:dyDescent="0.2"/>
    <row r="51590" s="689" customFormat="1" x14ac:dyDescent="0.2"/>
    <row r="51591" s="689" customFormat="1" x14ac:dyDescent="0.2"/>
    <row r="51592" s="689" customFormat="1" x14ac:dyDescent="0.2"/>
    <row r="51593" s="689" customFormat="1" x14ac:dyDescent="0.2"/>
    <row r="51594" s="689" customFormat="1" x14ac:dyDescent="0.2"/>
    <row r="51595" s="689" customFormat="1" x14ac:dyDescent="0.2"/>
    <row r="51596" s="689" customFormat="1" x14ac:dyDescent="0.2"/>
    <row r="51597" s="689" customFormat="1" x14ac:dyDescent="0.2"/>
    <row r="51598" s="689" customFormat="1" x14ac:dyDescent="0.2"/>
    <row r="51599" s="689" customFormat="1" x14ac:dyDescent="0.2"/>
    <row r="51600" s="689" customFormat="1" x14ac:dyDescent="0.2"/>
    <row r="51601" s="689" customFormat="1" x14ac:dyDescent="0.2"/>
    <row r="51602" s="689" customFormat="1" x14ac:dyDescent="0.2"/>
    <row r="51603" s="689" customFormat="1" x14ac:dyDescent="0.2"/>
    <row r="51604" s="689" customFormat="1" x14ac:dyDescent="0.2"/>
    <row r="51605" s="689" customFormat="1" x14ac:dyDescent="0.2"/>
    <row r="51606" s="689" customFormat="1" x14ac:dyDescent="0.2"/>
    <row r="51607" s="689" customFormat="1" x14ac:dyDescent="0.2"/>
    <row r="51608" s="689" customFormat="1" x14ac:dyDescent="0.2"/>
    <row r="51609" s="689" customFormat="1" x14ac:dyDescent="0.2"/>
    <row r="51610" s="689" customFormat="1" x14ac:dyDescent="0.2"/>
    <row r="51611" s="689" customFormat="1" x14ac:dyDescent="0.2"/>
    <row r="51612" s="689" customFormat="1" x14ac:dyDescent="0.2"/>
    <row r="51613" s="689" customFormat="1" x14ac:dyDescent="0.2"/>
    <row r="51614" s="689" customFormat="1" x14ac:dyDescent="0.2"/>
    <row r="51615" s="689" customFormat="1" x14ac:dyDescent="0.2"/>
    <row r="51616" s="689" customFormat="1" x14ac:dyDescent="0.2"/>
    <row r="51617" s="689" customFormat="1" x14ac:dyDescent="0.2"/>
    <row r="51618" s="689" customFormat="1" x14ac:dyDescent="0.2"/>
    <row r="51619" s="689" customFormat="1" x14ac:dyDescent="0.2"/>
    <row r="51620" s="689" customFormat="1" x14ac:dyDescent="0.2"/>
    <row r="51621" s="689" customFormat="1" x14ac:dyDescent="0.2"/>
    <row r="51622" s="689" customFormat="1" x14ac:dyDescent="0.2"/>
    <row r="51623" s="689" customFormat="1" x14ac:dyDescent="0.2"/>
    <row r="51624" s="689" customFormat="1" x14ac:dyDescent="0.2"/>
    <row r="51625" s="689" customFormat="1" x14ac:dyDescent="0.2"/>
    <row r="51626" s="689" customFormat="1" x14ac:dyDescent="0.2"/>
    <row r="51627" s="689" customFormat="1" x14ac:dyDescent="0.2"/>
    <row r="51628" s="689" customFormat="1" x14ac:dyDescent="0.2"/>
    <row r="51629" s="689" customFormat="1" x14ac:dyDescent="0.2"/>
    <row r="51630" s="689" customFormat="1" x14ac:dyDescent="0.2"/>
    <row r="51631" s="689" customFormat="1" x14ac:dyDescent="0.2"/>
    <row r="51632" s="689" customFormat="1" x14ac:dyDescent="0.2"/>
    <row r="51633" s="689" customFormat="1" x14ac:dyDescent="0.2"/>
    <row r="51634" s="689" customFormat="1" x14ac:dyDescent="0.2"/>
    <row r="51635" s="689" customFormat="1" x14ac:dyDescent="0.2"/>
    <row r="51636" s="689" customFormat="1" x14ac:dyDescent="0.2"/>
    <row r="51637" s="689" customFormat="1" x14ac:dyDescent="0.2"/>
    <row r="51638" s="689" customFormat="1" x14ac:dyDescent="0.2"/>
    <row r="51639" s="689" customFormat="1" x14ac:dyDescent="0.2"/>
    <row r="51640" s="689" customFormat="1" x14ac:dyDescent="0.2"/>
    <row r="51641" s="689" customFormat="1" x14ac:dyDescent="0.2"/>
    <row r="51642" s="689" customFormat="1" x14ac:dyDescent="0.2"/>
    <row r="51643" s="689" customFormat="1" x14ac:dyDescent="0.2"/>
    <row r="51644" s="689" customFormat="1" x14ac:dyDescent="0.2"/>
    <row r="51645" s="689" customFormat="1" x14ac:dyDescent="0.2"/>
    <row r="51646" s="689" customFormat="1" x14ac:dyDescent="0.2"/>
    <row r="51647" s="689" customFormat="1" x14ac:dyDescent="0.2"/>
    <row r="51648" s="689" customFormat="1" x14ac:dyDescent="0.2"/>
    <row r="51649" s="689" customFormat="1" x14ac:dyDescent="0.2"/>
    <row r="51650" s="689" customFormat="1" x14ac:dyDescent="0.2"/>
    <row r="51651" s="689" customFormat="1" x14ac:dyDescent="0.2"/>
    <row r="51652" s="689" customFormat="1" x14ac:dyDescent="0.2"/>
    <row r="51653" s="689" customFormat="1" x14ac:dyDescent="0.2"/>
    <row r="51654" s="689" customFormat="1" x14ac:dyDescent="0.2"/>
    <row r="51655" s="689" customFormat="1" x14ac:dyDescent="0.2"/>
    <row r="51656" s="689" customFormat="1" x14ac:dyDescent="0.2"/>
    <row r="51657" s="689" customFormat="1" x14ac:dyDescent="0.2"/>
    <row r="51658" s="689" customFormat="1" x14ac:dyDescent="0.2"/>
    <row r="51659" s="689" customFormat="1" x14ac:dyDescent="0.2"/>
    <row r="51660" s="689" customFormat="1" x14ac:dyDescent="0.2"/>
    <row r="51661" s="689" customFormat="1" x14ac:dyDescent="0.2"/>
    <row r="51662" s="689" customFormat="1" x14ac:dyDescent="0.2"/>
    <row r="51663" s="689" customFormat="1" x14ac:dyDescent="0.2"/>
    <row r="51664" s="689" customFormat="1" x14ac:dyDescent="0.2"/>
    <row r="51665" s="689" customFormat="1" x14ac:dyDescent="0.2"/>
    <row r="51666" s="689" customFormat="1" x14ac:dyDescent="0.2"/>
    <row r="51667" s="689" customFormat="1" x14ac:dyDescent="0.2"/>
    <row r="51668" s="689" customFormat="1" x14ac:dyDescent="0.2"/>
    <row r="51669" s="689" customFormat="1" x14ac:dyDescent="0.2"/>
    <row r="51670" s="689" customFormat="1" x14ac:dyDescent="0.2"/>
    <row r="51671" s="689" customFormat="1" x14ac:dyDescent="0.2"/>
    <row r="51672" s="689" customFormat="1" x14ac:dyDescent="0.2"/>
    <row r="51673" s="689" customFormat="1" x14ac:dyDescent="0.2"/>
    <row r="51674" s="689" customFormat="1" x14ac:dyDescent="0.2"/>
    <row r="51675" s="689" customFormat="1" x14ac:dyDescent="0.2"/>
    <row r="51676" s="689" customFormat="1" x14ac:dyDescent="0.2"/>
    <row r="51677" s="689" customFormat="1" x14ac:dyDescent="0.2"/>
    <row r="51678" s="689" customFormat="1" x14ac:dyDescent="0.2"/>
    <row r="51679" s="689" customFormat="1" x14ac:dyDescent="0.2"/>
    <row r="51680" s="689" customFormat="1" x14ac:dyDescent="0.2"/>
    <row r="51681" s="689" customFormat="1" x14ac:dyDescent="0.2"/>
    <row r="51682" s="689" customFormat="1" x14ac:dyDescent="0.2"/>
    <row r="51683" s="689" customFormat="1" x14ac:dyDescent="0.2"/>
    <row r="51684" s="689" customFormat="1" x14ac:dyDescent="0.2"/>
    <row r="51685" s="689" customFormat="1" x14ac:dyDescent="0.2"/>
    <row r="51686" s="689" customFormat="1" x14ac:dyDescent="0.2"/>
    <row r="51687" s="689" customFormat="1" x14ac:dyDescent="0.2"/>
    <row r="51688" s="689" customFormat="1" x14ac:dyDescent="0.2"/>
    <row r="51689" s="689" customFormat="1" x14ac:dyDescent="0.2"/>
    <row r="51690" s="689" customFormat="1" x14ac:dyDescent="0.2"/>
    <row r="51691" s="689" customFormat="1" x14ac:dyDescent="0.2"/>
    <row r="51692" s="689" customFormat="1" x14ac:dyDescent="0.2"/>
    <row r="51693" s="689" customFormat="1" x14ac:dyDescent="0.2"/>
    <row r="51694" s="689" customFormat="1" x14ac:dyDescent="0.2"/>
    <row r="51695" s="689" customFormat="1" x14ac:dyDescent="0.2"/>
    <row r="51696" s="689" customFormat="1" x14ac:dyDescent="0.2"/>
    <row r="51697" s="689" customFormat="1" x14ac:dyDescent="0.2"/>
    <row r="51698" s="689" customFormat="1" x14ac:dyDescent="0.2"/>
    <row r="51699" s="689" customFormat="1" x14ac:dyDescent="0.2"/>
    <row r="51700" s="689" customFormat="1" x14ac:dyDescent="0.2"/>
    <row r="51701" s="689" customFormat="1" x14ac:dyDescent="0.2"/>
    <row r="51702" s="689" customFormat="1" x14ac:dyDescent="0.2"/>
    <row r="51703" s="689" customFormat="1" x14ac:dyDescent="0.2"/>
    <row r="51704" s="689" customFormat="1" x14ac:dyDescent="0.2"/>
    <row r="51705" s="689" customFormat="1" x14ac:dyDescent="0.2"/>
    <row r="51706" s="689" customFormat="1" x14ac:dyDescent="0.2"/>
    <row r="51707" s="689" customFormat="1" x14ac:dyDescent="0.2"/>
    <row r="51708" s="689" customFormat="1" x14ac:dyDescent="0.2"/>
    <row r="51709" s="689" customFormat="1" x14ac:dyDescent="0.2"/>
    <row r="51710" s="689" customFormat="1" x14ac:dyDescent="0.2"/>
    <row r="51711" s="689" customFormat="1" x14ac:dyDescent="0.2"/>
    <row r="51712" s="689" customFormat="1" x14ac:dyDescent="0.2"/>
    <row r="51713" s="689" customFormat="1" x14ac:dyDescent="0.2"/>
    <row r="51714" s="689" customFormat="1" x14ac:dyDescent="0.2"/>
    <row r="51715" s="689" customFormat="1" x14ac:dyDescent="0.2"/>
    <row r="51716" s="689" customFormat="1" x14ac:dyDescent="0.2"/>
    <row r="51717" s="689" customFormat="1" x14ac:dyDescent="0.2"/>
    <row r="51718" s="689" customFormat="1" x14ac:dyDescent="0.2"/>
    <row r="51719" s="689" customFormat="1" x14ac:dyDescent="0.2"/>
    <row r="51720" s="689" customFormat="1" x14ac:dyDescent="0.2"/>
    <row r="51721" s="689" customFormat="1" x14ac:dyDescent="0.2"/>
    <row r="51722" s="689" customFormat="1" x14ac:dyDescent="0.2"/>
    <row r="51723" s="689" customFormat="1" x14ac:dyDescent="0.2"/>
    <row r="51724" s="689" customFormat="1" x14ac:dyDescent="0.2"/>
    <row r="51725" s="689" customFormat="1" x14ac:dyDescent="0.2"/>
    <row r="51726" s="689" customFormat="1" x14ac:dyDescent="0.2"/>
    <row r="51727" s="689" customFormat="1" x14ac:dyDescent="0.2"/>
    <row r="51728" s="689" customFormat="1" x14ac:dyDescent="0.2"/>
    <row r="51729" s="689" customFormat="1" x14ac:dyDescent="0.2"/>
    <row r="51730" s="689" customFormat="1" x14ac:dyDescent="0.2"/>
    <row r="51731" s="689" customFormat="1" x14ac:dyDescent="0.2"/>
    <row r="51732" s="689" customFormat="1" x14ac:dyDescent="0.2"/>
    <row r="51733" s="689" customFormat="1" x14ac:dyDescent="0.2"/>
    <row r="51734" s="689" customFormat="1" x14ac:dyDescent="0.2"/>
    <row r="51735" s="689" customFormat="1" x14ac:dyDescent="0.2"/>
    <row r="51736" s="689" customFormat="1" x14ac:dyDescent="0.2"/>
    <row r="51737" s="689" customFormat="1" x14ac:dyDescent="0.2"/>
    <row r="51738" s="689" customFormat="1" x14ac:dyDescent="0.2"/>
    <row r="51739" s="689" customFormat="1" x14ac:dyDescent="0.2"/>
    <row r="51740" s="689" customFormat="1" x14ac:dyDescent="0.2"/>
    <row r="51741" s="689" customFormat="1" x14ac:dyDescent="0.2"/>
    <row r="51742" s="689" customFormat="1" x14ac:dyDescent="0.2"/>
    <row r="51743" s="689" customFormat="1" x14ac:dyDescent="0.2"/>
    <row r="51744" s="689" customFormat="1" x14ac:dyDescent="0.2"/>
    <row r="51745" s="689" customFormat="1" x14ac:dyDescent="0.2"/>
    <row r="51746" s="689" customFormat="1" x14ac:dyDescent="0.2"/>
    <row r="51747" s="689" customFormat="1" x14ac:dyDescent="0.2"/>
    <row r="51748" s="689" customFormat="1" x14ac:dyDescent="0.2"/>
    <row r="51749" s="689" customFormat="1" x14ac:dyDescent="0.2"/>
    <row r="51750" s="689" customFormat="1" x14ac:dyDescent="0.2"/>
    <row r="51751" s="689" customFormat="1" x14ac:dyDescent="0.2"/>
    <row r="51752" s="689" customFormat="1" x14ac:dyDescent="0.2"/>
    <row r="51753" s="689" customFormat="1" x14ac:dyDescent="0.2"/>
    <row r="51754" s="689" customFormat="1" x14ac:dyDescent="0.2"/>
    <row r="51755" s="689" customFormat="1" x14ac:dyDescent="0.2"/>
    <row r="51756" s="689" customFormat="1" x14ac:dyDescent="0.2"/>
    <row r="51757" s="689" customFormat="1" x14ac:dyDescent="0.2"/>
    <row r="51758" s="689" customFormat="1" x14ac:dyDescent="0.2"/>
    <row r="51759" s="689" customFormat="1" x14ac:dyDescent="0.2"/>
    <row r="51760" s="689" customFormat="1" x14ac:dyDescent="0.2"/>
    <row r="51761" s="689" customFormat="1" x14ac:dyDescent="0.2"/>
    <row r="51762" s="689" customFormat="1" x14ac:dyDescent="0.2"/>
    <row r="51763" s="689" customFormat="1" x14ac:dyDescent="0.2"/>
    <row r="51764" s="689" customFormat="1" x14ac:dyDescent="0.2"/>
    <row r="51765" s="689" customFormat="1" x14ac:dyDescent="0.2"/>
    <row r="51766" s="689" customFormat="1" x14ac:dyDescent="0.2"/>
    <row r="51767" s="689" customFormat="1" x14ac:dyDescent="0.2"/>
    <row r="51768" s="689" customFormat="1" x14ac:dyDescent="0.2"/>
    <row r="51769" s="689" customFormat="1" x14ac:dyDescent="0.2"/>
    <row r="51770" s="689" customFormat="1" x14ac:dyDescent="0.2"/>
    <row r="51771" s="689" customFormat="1" x14ac:dyDescent="0.2"/>
    <row r="51772" s="689" customFormat="1" x14ac:dyDescent="0.2"/>
    <row r="51773" s="689" customFormat="1" x14ac:dyDescent="0.2"/>
    <row r="51774" s="689" customFormat="1" x14ac:dyDescent="0.2"/>
    <row r="51775" s="689" customFormat="1" x14ac:dyDescent="0.2"/>
    <row r="51776" s="689" customFormat="1" x14ac:dyDescent="0.2"/>
    <row r="51777" s="689" customFormat="1" x14ac:dyDescent="0.2"/>
    <row r="51778" s="689" customFormat="1" x14ac:dyDescent="0.2"/>
    <row r="51779" s="689" customFormat="1" x14ac:dyDescent="0.2"/>
    <row r="51780" s="689" customFormat="1" x14ac:dyDescent="0.2"/>
    <row r="51781" s="689" customFormat="1" x14ac:dyDescent="0.2"/>
    <row r="51782" s="689" customFormat="1" x14ac:dyDescent="0.2"/>
    <row r="51783" s="689" customFormat="1" x14ac:dyDescent="0.2"/>
    <row r="51784" s="689" customFormat="1" x14ac:dyDescent="0.2"/>
    <row r="51785" s="689" customFormat="1" x14ac:dyDescent="0.2"/>
    <row r="51786" s="689" customFormat="1" x14ac:dyDescent="0.2"/>
    <row r="51787" s="689" customFormat="1" x14ac:dyDescent="0.2"/>
    <row r="51788" s="689" customFormat="1" x14ac:dyDescent="0.2"/>
    <row r="51789" s="689" customFormat="1" x14ac:dyDescent="0.2"/>
    <row r="51790" s="689" customFormat="1" x14ac:dyDescent="0.2"/>
    <row r="51791" s="689" customFormat="1" x14ac:dyDescent="0.2"/>
    <row r="51792" s="689" customFormat="1" x14ac:dyDescent="0.2"/>
    <row r="51793" s="689" customFormat="1" x14ac:dyDescent="0.2"/>
    <row r="51794" s="689" customFormat="1" x14ac:dyDescent="0.2"/>
    <row r="51795" s="689" customFormat="1" x14ac:dyDescent="0.2"/>
    <row r="51796" s="689" customFormat="1" x14ac:dyDescent="0.2"/>
    <row r="51797" s="689" customFormat="1" x14ac:dyDescent="0.2"/>
    <row r="51798" s="689" customFormat="1" x14ac:dyDescent="0.2"/>
    <row r="51799" s="689" customFormat="1" x14ac:dyDescent="0.2"/>
    <row r="51800" s="689" customFormat="1" x14ac:dyDescent="0.2"/>
    <row r="51801" s="689" customFormat="1" x14ac:dyDescent="0.2"/>
    <row r="51802" s="689" customFormat="1" x14ac:dyDescent="0.2"/>
    <row r="51803" s="689" customFormat="1" x14ac:dyDescent="0.2"/>
    <row r="51804" s="689" customFormat="1" x14ac:dyDescent="0.2"/>
    <row r="51805" s="689" customFormat="1" x14ac:dyDescent="0.2"/>
    <row r="51806" s="689" customFormat="1" x14ac:dyDescent="0.2"/>
    <row r="51807" s="689" customFormat="1" x14ac:dyDescent="0.2"/>
    <row r="51808" s="689" customFormat="1" x14ac:dyDescent="0.2"/>
    <row r="51809" s="689" customFormat="1" x14ac:dyDescent="0.2"/>
    <row r="51810" s="689" customFormat="1" x14ac:dyDescent="0.2"/>
    <row r="51811" s="689" customFormat="1" x14ac:dyDescent="0.2"/>
    <row r="51812" s="689" customFormat="1" x14ac:dyDescent="0.2"/>
    <row r="51813" s="689" customFormat="1" x14ac:dyDescent="0.2"/>
    <row r="51814" s="689" customFormat="1" x14ac:dyDescent="0.2"/>
    <row r="51815" s="689" customFormat="1" x14ac:dyDescent="0.2"/>
    <row r="51816" s="689" customFormat="1" x14ac:dyDescent="0.2"/>
    <row r="51817" s="689" customFormat="1" x14ac:dyDescent="0.2"/>
    <row r="51818" s="689" customFormat="1" x14ac:dyDescent="0.2"/>
    <row r="51819" s="689" customFormat="1" x14ac:dyDescent="0.2"/>
    <row r="51820" s="689" customFormat="1" x14ac:dyDescent="0.2"/>
    <row r="51821" s="689" customFormat="1" x14ac:dyDescent="0.2"/>
    <row r="51822" s="689" customFormat="1" x14ac:dyDescent="0.2"/>
    <row r="51823" s="689" customFormat="1" x14ac:dyDescent="0.2"/>
    <row r="51824" s="689" customFormat="1" x14ac:dyDescent="0.2"/>
    <row r="51825" s="689" customFormat="1" x14ac:dyDescent="0.2"/>
    <row r="51826" s="689" customFormat="1" x14ac:dyDescent="0.2"/>
    <row r="51827" s="689" customFormat="1" x14ac:dyDescent="0.2"/>
    <row r="51828" s="689" customFormat="1" x14ac:dyDescent="0.2"/>
    <row r="51829" s="689" customFormat="1" x14ac:dyDescent="0.2"/>
    <row r="51830" s="689" customFormat="1" x14ac:dyDescent="0.2"/>
    <row r="51831" s="689" customFormat="1" x14ac:dyDescent="0.2"/>
    <row r="51832" s="689" customFormat="1" x14ac:dyDescent="0.2"/>
    <row r="51833" s="689" customFormat="1" x14ac:dyDescent="0.2"/>
    <row r="51834" s="689" customFormat="1" x14ac:dyDescent="0.2"/>
    <row r="51835" s="689" customFormat="1" x14ac:dyDescent="0.2"/>
    <row r="51836" s="689" customFormat="1" x14ac:dyDescent="0.2"/>
    <row r="51837" s="689" customFormat="1" x14ac:dyDescent="0.2"/>
    <row r="51838" s="689" customFormat="1" x14ac:dyDescent="0.2"/>
    <row r="51839" s="689" customFormat="1" x14ac:dyDescent="0.2"/>
    <row r="51840" s="689" customFormat="1" x14ac:dyDescent="0.2"/>
    <row r="51841" s="689" customFormat="1" x14ac:dyDescent="0.2"/>
    <row r="51842" s="689" customFormat="1" x14ac:dyDescent="0.2"/>
    <row r="51843" s="689" customFormat="1" x14ac:dyDescent="0.2"/>
    <row r="51844" s="689" customFormat="1" x14ac:dyDescent="0.2"/>
    <row r="51845" s="689" customFormat="1" x14ac:dyDescent="0.2"/>
    <row r="51846" s="689" customFormat="1" x14ac:dyDescent="0.2"/>
    <row r="51847" s="689" customFormat="1" x14ac:dyDescent="0.2"/>
    <row r="51848" s="689" customFormat="1" x14ac:dyDescent="0.2"/>
    <row r="51849" s="689" customFormat="1" x14ac:dyDescent="0.2"/>
    <row r="51850" s="689" customFormat="1" x14ac:dyDescent="0.2"/>
    <row r="51851" s="689" customFormat="1" x14ac:dyDescent="0.2"/>
    <row r="51852" s="689" customFormat="1" x14ac:dyDescent="0.2"/>
    <row r="51853" s="689" customFormat="1" x14ac:dyDescent="0.2"/>
    <row r="51854" s="689" customFormat="1" x14ac:dyDescent="0.2"/>
    <row r="51855" s="689" customFormat="1" x14ac:dyDescent="0.2"/>
    <row r="51856" s="689" customFormat="1" x14ac:dyDescent="0.2"/>
    <row r="51857" s="689" customFormat="1" x14ac:dyDescent="0.2"/>
    <row r="51858" s="689" customFormat="1" x14ac:dyDescent="0.2"/>
    <row r="51859" s="689" customFormat="1" x14ac:dyDescent="0.2"/>
    <row r="51860" s="689" customFormat="1" x14ac:dyDescent="0.2"/>
    <row r="51861" s="689" customFormat="1" x14ac:dyDescent="0.2"/>
    <row r="51862" s="689" customFormat="1" x14ac:dyDescent="0.2"/>
    <row r="51863" s="689" customFormat="1" x14ac:dyDescent="0.2"/>
    <row r="51864" s="689" customFormat="1" x14ac:dyDescent="0.2"/>
    <row r="51865" s="689" customFormat="1" x14ac:dyDescent="0.2"/>
    <row r="51866" s="689" customFormat="1" x14ac:dyDescent="0.2"/>
    <row r="51867" s="689" customFormat="1" x14ac:dyDescent="0.2"/>
    <row r="51868" s="689" customFormat="1" x14ac:dyDescent="0.2"/>
    <row r="51869" s="689" customFormat="1" x14ac:dyDescent="0.2"/>
    <row r="51870" s="689" customFormat="1" x14ac:dyDescent="0.2"/>
    <row r="51871" s="689" customFormat="1" x14ac:dyDescent="0.2"/>
    <row r="51872" s="689" customFormat="1" x14ac:dyDescent="0.2"/>
    <row r="51873" s="689" customFormat="1" x14ac:dyDescent="0.2"/>
    <row r="51874" s="689" customFormat="1" x14ac:dyDescent="0.2"/>
    <row r="51875" s="689" customFormat="1" x14ac:dyDescent="0.2"/>
    <row r="51876" s="689" customFormat="1" x14ac:dyDescent="0.2"/>
    <row r="51877" s="689" customFormat="1" x14ac:dyDescent="0.2"/>
    <row r="51878" s="689" customFormat="1" x14ac:dyDescent="0.2"/>
    <row r="51879" s="689" customFormat="1" x14ac:dyDescent="0.2"/>
    <row r="51880" s="689" customFormat="1" x14ac:dyDescent="0.2"/>
    <row r="51881" s="689" customFormat="1" x14ac:dyDescent="0.2"/>
    <row r="51882" s="689" customFormat="1" x14ac:dyDescent="0.2"/>
    <row r="51883" s="689" customFormat="1" x14ac:dyDescent="0.2"/>
    <row r="51884" s="689" customFormat="1" x14ac:dyDescent="0.2"/>
    <row r="51885" s="689" customFormat="1" x14ac:dyDescent="0.2"/>
    <row r="51886" s="689" customFormat="1" x14ac:dyDescent="0.2"/>
    <row r="51887" s="689" customFormat="1" x14ac:dyDescent="0.2"/>
    <row r="51888" s="689" customFormat="1" x14ac:dyDescent="0.2"/>
    <row r="51889" s="689" customFormat="1" x14ac:dyDescent="0.2"/>
    <row r="51890" s="689" customFormat="1" x14ac:dyDescent="0.2"/>
    <row r="51891" s="689" customFormat="1" x14ac:dyDescent="0.2"/>
    <row r="51892" s="689" customFormat="1" x14ac:dyDescent="0.2"/>
    <row r="51893" s="689" customFormat="1" x14ac:dyDescent="0.2"/>
    <row r="51894" s="689" customFormat="1" x14ac:dyDescent="0.2"/>
    <row r="51895" s="689" customFormat="1" x14ac:dyDescent="0.2"/>
    <row r="51896" s="689" customFormat="1" x14ac:dyDescent="0.2"/>
    <row r="51897" s="689" customFormat="1" x14ac:dyDescent="0.2"/>
    <row r="51898" s="689" customFormat="1" x14ac:dyDescent="0.2"/>
    <row r="51899" s="689" customFormat="1" x14ac:dyDescent="0.2"/>
    <row r="51900" s="689" customFormat="1" x14ac:dyDescent="0.2"/>
    <row r="51901" s="689" customFormat="1" x14ac:dyDescent="0.2"/>
    <row r="51902" s="689" customFormat="1" x14ac:dyDescent="0.2"/>
    <row r="51903" s="689" customFormat="1" x14ac:dyDescent="0.2"/>
    <row r="51904" s="689" customFormat="1" x14ac:dyDescent="0.2"/>
    <row r="51905" s="689" customFormat="1" x14ac:dyDescent="0.2"/>
    <row r="51906" s="689" customFormat="1" x14ac:dyDescent="0.2"/>
    <row r="51907" s="689" customFormat="1" x14ac:dyDescent="0.2"/>
    <row r="51908" s="689" customFormat="1" x14ac:dyDescent="0.2"/>
    <row r="51909" s="689" customFormat="1" x14ac:dyDescent="0.2"/>
    <row r="51910" s="689" customFormat="1" x14ac:dyDescent="0.2"/>
    <row r="51911" s="689" customFormat="1" x14ac:dyDescent="0.2"/>
    <row r="51912" s="689" customFormat="1" x14ac:dyDescent="0.2"/>
    <row r="51913" s="689" customFormat="1" x14ac:dyDescent="0.2"/>
    <row r="51914" s="689" customFormat="1" x14ac:dyDescent="0.2"/>
    <row r="51915" s="689" customFormat="1" x14ac:dyDescent="0.2"/>
    <row r="51916" s="689" customFormat="1" x14ac:dyDescent="0.2"/>
    <row r="51917" s="689" customFormat="1" x14ac:dyDescent="0.2"/>
    <row r="51918" s="689" customFormat="1" x14ac:dyDescent="0.2"/>
    <row r="51919" s="689" customFormat="1" x14ac:dyDescent="0.2"/>
    <row r="51920" s="689" customFormat="1" x14ac:dyDescent="0.2"/>
    <row r="51921" s="689" customFormat="1" x14ac:dyDescent="0.2"/>
    <row r="51922" s="689" customFormat="1" x14ac:dyDescent="0.2"/>
    <row r="51923" s="689" customFormat="1" x14ac:dyDescent="0.2"/>
    <row r="51924" s="689" customFormat="1" x14ac:dyDescent="0.2"/>
    <row r="51925" s="689" customFormat="1" x14ac:dyDescent="0.2"/>
    <row r="51926" s="689" customFormat="1" x14ac:dyDescent="0.2"/>
    <row r="51927" s="689" customFormat="1" x14ac:dyDescent="0.2"/>
    <row r="51928" s="689" customFormat="1" x14ac:dyDescent="0.2"/>
    <row r="51929" s="689" customFormat="1" x14ac:dyDescent="0.2"/>
    <row r="51930" s="689" customFormat="1" x14ac:dyDescent="0.2"/>
    <row r="51931" s="689" customFormat="1" x14ac:dyDescent="0.2"/>
    <row r="51932" s="689" customFormat="1" x14ac:dyDescent="0.2"/>
    <row r="51933" s="689" customFormat="1" x14ac:dyDescent="0.2"/>
    <row r="51934" s="689" customFormat="1" x14ac:dyDescent="0.2"/>
    <row r="51935" s="689" customFormat="1" x14ac:dyDescent="0.2"/>
    <row r="51936" s="689" customFormat="1" x14ac:dyDescent="0.2"/>
    <row r="51937" s="689" customFormat="1" x14ac:dyDescent="0.2"/>
    <row r="51938" s="689" customFormat="1" x14ac:dyDescent="0.2"/>
    <row r="51939" s="689" customFormat="1" x14ac:dyDescent="0.2"/>
    <row r="51940" s="689" customFormat="1" x14ac:dyDescent="0.2"/>
    <row r="51941" s="689" customFormat="1" x14ac:dyDescent="0.2"/>
    <row r="51942" s="689" customFormat="1" x14ac:dyDescent="0.2"/>
    <row r="51943" s="689" customFormat="1" x14ac:dyDescent="0.2"/>
    <row r="51944" s="689" customFormat="1" x14ac:dyDescent="0.2"/>
    <row r="51945" s="689" customFormat="1" x14ac:dyDescent="0.2"/>
    <row r="51946" s="689" customFormat="1" x14ac:dyDescent="0.2"/>
    <row r="51947" s="689" customFormat="1" x14ac:dyDescent="0.2"/>
    <row r="51948" s="689" customFormat="1" x14ac:dyDescent="0.2"/>
    <row r="51949" s="689" customFormat="1" x14ac:dyDescent="0.2"/>
    <row r="51950" s="689" customFormat="1" x14ac:dyDescent="0.2"/>
    <row r="51951" s="689" customFormat="1" x14ac:dyDescent="0.2"/>
    <row r="51952" s="689" customFormat="1" x14ac:dyDescent="0.2"/>
    <row r="51953" s="689" customFormat="1" x14ac:dyDescent="0.2"/>
    <row r="51954" s="689" customFormat="1" x14ac:dyDescent="0.2"/>
    <row r="51955" s="689" customFormat="1" x14ac:dyDescent="0.2"/>
    <row r="51956" s="689" customFormat="1" x14ac:dyDescent="0.2"/>
    <row r="51957" s="689" customFormat="1" x14ac:dyDescent="0.2"/>
    <row r="51958" s="689" customFormat="1" x14ac:dyDescent="0.2"/>
    <row r="51959" s="689" customFormat="1" x14ac:dyDescent="0.2"/>
    <row r="51960" s="689" customFormat="1" x14ac:dyDescent="0.2"/>
    <row r="51961" s="689" customFormat="1" x14ac:dyDescent="0.2"/>
    <row r="51962" s="689" customFormat="1" x14ac:dyDescent="0.2"/>
    <row r="51963" s="689" customFormat="1" x14ac:dyDescent="0.2"/>
    <row r="51964" s="689" customFormat="1" x14ac:dyDescent="0.2"/>
    <row r="51965" s="689" customFormat="1" x14ac:dyDescent="0.2"/>
    <row r="51966" s="689" customFormat="1" x14ac:dyDescent="0.2"/>
    <row r="51967" s="689" customFormat="1" x14ac:dyDescent="0.2"/>
    <row r="51968" s="689" customFormat="1" x14ac:dyDescent="0.2"/>
    <row r="51969" s="689" customFormat="1" x14ac:dyDescent="0.2"/>
    <row r="51970" s="689" customFormat="1" x14ac:dyDescent="0.2"/>
    <row r="51971" s="689" customFormat="1" x14ac:dyDescent="0.2"/>
    <row r="51972" s="689" customFormat="1" x14ac:dyDescent="0.2"/>
    <row r="51973" s="689" customFormat="1" x14ac:dyDescent="0.2"/>
    <row r="51974" s="689" customFormat="1" x14ac:dyDescent="0.2"/>
    <row r="51975" s="689" customFormat="1" x14ac:dyDescent="0.2"/>
    <row r="51976" s="689" customFormat="1" x14ac:dyDescent="0.2"/>
    <row r="51977" s="689" customFormat="1" x14ac:dyDescent="0.2"/>
    <row r="51978" s="689" customFormat="1" x14ac:dyDescent="0.2"/>
    <row r="51979" s="689" customFormat="1" x14ac:dyDescent="0.2"/>
    <row r="51980" s="689" customFormat="1" x14ac:dyDescent="0.2"/>
    <row r="51981" s="689" customFormat="1" x14ac:dyDescent="0.2"/>
    <row r="51982" s="689" customFormat="1" x14ac:dyDescent="0.2"/>
    <row r="51983" s="689" customFormat="1" x14ac:dyDescent="0.2"/>
    <row r="51984" s="689" customFormat="1" x14ac:dyDescent="0.2"/>
    <row r="51985" s="689" customFormat="1" x14ac:dyDescent="0.2"/>
    <row r="51986" s="689" customFormat="1" x14ac:dyDescent="0.2"/>
    <row r="51987" s="689" customFormat="1" x14ac:dyDescent="0.2"/>
    <row r="51988" s="689" customFormat="1" x14ac:dyDescent="0.2"/>
    <row r="51989" s="689" customFormat="1" x14ac:dyDescent="0.2"/>
    <row r="51990" s="689" customFormat="1" x14ac:dyDescent="0.2"/>
    <row r="51991" s="689" customFormat="1" x14ac:dyDescent="0.2"/>
    <row r="51992" s="689" customFormat="1" x14ac:dyDescent="0.2"/>
    <row r="51993" s="689" customFormat="1" x14ac:dyDescent="0.2"/>
    <row r="51994" s="689" customFormat="1" x14ac:dyDescent="0.2"/>
    <row r="51995" s="689" customFormat="1" x14ac:dyDescent="0.2"/>
    <row r="51996" s="689" customFormat="1" x14ac:dyDescent="0.2"/>
    <row r="51997" s="689" customFormat="1" x14ac:dyDescent="0.2"/>
    <row r="51998" s="689" customFormat="1" x14ac:dyDescent="0.2"/>
    <row r="51999" s="689" customFormat="1" x14ac:dyDescent="0.2"/>
    <row r="52000" s="689" customFormat="1" x14ac:dyDescent="0.2"/>
    <row r="52001" s="689" customFormat="1" x14ac:dyDescent="0.2"/>
    <row r="52002" s="689" customFormat="1" x14ac:dyDescent="0.2"/>
    <row r="52003" s="689" customFormat="1" x14ac:dyDescent="0.2"/>
    <row r="52004" s="689" customFormat="1" x14ac:dyDescent="0.2"/>
    <row r="52005" s="689" customFormat="1" x14ac:dyDescent="0.2"/>
    <row r="52006" s="689" customFormat="1" x14ac:dyDescent="0.2"/>
    <row r="52007" s="689" customFormat="1" x14ac:dyDescent="0.2"/>
    <row r="52008" s="689" customFormat="1" x14ac:dyDescent="0.2"/>
    <row r="52009" s="689" customFormat="1" x14ac:dyDescent="0.2"/>
    <row r="52010" s="689" customFormat="1" x14ac:dyDescent="0.2"/>
    <row r="52011" s="689" customFormat="1" x14ac:dyDescent="0.2"/>
    <row r="52012" s="689" customFormat="1" x14ac:dyDescent="0.2"/>
    <row r="52013" s="689" customFormat="1" x14ac:dyDescent="0.2"/>
    <row r="52014" s="689" customFormat="1" x14ac:dyDescent="0.2"/>
    <row r="52015" s="689" customFormat="1" x14ac:dyDescent="0.2"/>
    <row r="52016" s="689" customFormat="1" x14ac:dyDescent="0.2"/>
    <row r="52017" s="689" customFormat="1" x14ac:dyDescent="0.2"/>
    <row r="52018" s="689" customFormat="1" x14ac:dyDescent="0.2"/>
    <row r="52019" s="689" customFormat="1" x14ac:dyDescent="0.2"/>
    <row r="52020" s="689" customFormat="1" x14ac:dyDescent="0.2"/>
    <row r="52021" s="689" customFormat="1" x14ac:dyDescent="0.2"/>
    <row r="52022" s="689" customFormat="1" x14ac:dyDescent="0.2"/>
    <row r="52023" s="689" customFormat="1" x14ac:dyDescent="0.2"/>
    <row r="52024" s="689" customFormat="1" x14ac:dyDescent="0.2"/>
    <row r="52025" s="689" customFormat="1" x14ac:dyDescent="0.2"/>
    <row r="52026" s="689" customFormat="1" x14ac:dyDescent="0.2"/>
    <row r="52027" s="689" customFormat="1" x14ac:dyDescent="0.2"/>
    <row r="52028" s="689" customFormat="1" x14ac:dyDescent="0.2"/>
    <row r="52029" s="689" customFormat="1" x14ac:dyDescent="0.2"/>
    <row r="52030" s="689" customFormat="1" x14ac:dyDescent="0.2"/>
    <row r="52031" s="689" customFormat="1" x14ac:dyDescent="0.2"/>
    <row r="52032" s="689" customFormat="1" x14ac:dyDescent="0.2"/>
    <row r="52033" s="689" customFormat="1" x14ac:dyDescent="0.2"/>
    <row r="52034" s="689" customFormat="1" x14ac:dyDescent="0.2"/>
    <row r="52035" s="689" customFormat="1" x14ac:dyDescent="0.2"/>
    <row r="52036" s="689" customFormat="1" x14ac:dyDescent="0.2"/>
    <row r="52037" s="689" customFormat="1" x14ac:dyDescent="0.2"/>
    <row r="52038" s="689" customFormat="1" x14ac:dyDescent="0.2"/>
    <row r="52039" s="689" customFormat="1" x14ac:dyDescent="0.2"/>
    <row r="52040" s="689" customFormat="1" x14ac:dyDescent="0.2"/>
    <row r="52041" s="689" customFormat="1" x14ac:dyDescent="0.2"/>
    <row r="52042" s="689" customFormat="1" x14ac:dyDescent="0.2"/>
    <row r="52043" s="689" customFormat="1" x14ac:dyDescent="0.2"/>
    <row r="52044" s="689" customFormat="1" x14ac:dyDescent="0.2"/>
    <row r="52045" s="689" customFormat="1" x14ac:dyDescent="0.2"/>
    <row r="52046" s="689" customFormat="1" x14ac:dyDescent="0.2"/>
    <row r="52047" s="689" customFormat="1" x14ac:dyDescent="0.2"/>
    <row r="52048" s="689" customFormat="1" x14ac:dyDescent="0.2"/>
    <row r="52049" s="689" customFormat="1" x14ac:dyDescent="0.2"/>
    <row r="52050" s="689" customFormat="1" x14ac:dyDescent="0.2"/>
    <row r="52051" s="689" customFormat="1" x14ac:dyDescent="0.2"/>
    <row r="52052" s="689" customFormat="1" x14ac:dyDescent="0.2"/>
    <row r="52053" s="689" customFormat="1" x14ac:dyDescent="0.2"/>
    <row r="52054" s="689" customFormat="1" x14ac:dyDescent="0.2"/>
    <row r="52055" s="689" customFormat="1" x14ac:dyDescent="0.2"/>
    <row r="52056" s="689" customFormat="1" x14ac:dyDescent="0.2"/>
    <row r="52057" s="689" customFormat="1" x14ac:dyDescent="0.2"/>
    <row r="52058" s="689" customFormat="1" x14ac:dyDescent="0.2"/>
    <row r="52059" s="689" customFormat="1" x14ac:dyDescent="0.2"/>
    <row r="52060" s="689" customFormat="1" x14ac:dyDescent="0.2"/>
    <row r="52061" s="689" customFormat="1" x14ac:dyDescent="0.2"/>
    <row r="52062" s="689" customFormat="1" x14ac:dyDescent="0.2"/>
    <row r="52063" s="689" customFormat="1" x14ac:dyDescent="0.2"/>
    <row r="52064" s="689" customFormat="1" x14ac:dyDescent="0.2"/>
    <row r="52065" s="689" customFormat="1" x14ac:dyDescent="0.2"/>
    <row r="52066" s="689" customFormat="1" x14ac:dyDescent="0.2"/>
    <row r="52067" s="689" customFormat="1" x14ac:dyDescent="0.2"/>
    <row r="52068" s="689" customFormat="1" x14ac:dyDescent="0.2"/>
    <row r="52069" s="689" customFormat="1" x14ac:dyDescent="0.2"/>
    <row r="52070" s="689" customFormat="1" x14ac:dyDescent="0.2"/>
    <row r="52071" s="689" customFormat="1" x14ac:dyDescent="0.2"/>
    <row r="52072" s="689" customFormat="1" x14ac:dyDescent="0.2"/>
    <row r="52073" s="689" customFormat="1" x14ac:dyDescent="0.2"/>
    <row r="52074" s="689" customFormat="1" x14ac:dyDescent="0.2"/>
    <row r="52075" s="689" customFormat="1" x14ac:dyDescent="0.2"/>
    <row r="52076" s="689" customFormat="1" x14ac:dyDescent="0.2"/>
    <row r="52077" s="689" customFormat="1" x14ac:dyDescent="0.2"/>
    <row r="52078" s="689" customFormat="1" x14ac:dyDescent="0.2"/>
    <row r="52079" s="689" customFormat="1" x14ac:dyDescent="0.2"/>
    <row r="52080" s="689" customFormat="1" x14ac:dyDescent="0.2"/>
    <row r="52081" s="689" customFormat="1" x14ac:dyDescent="0.2"/>
    <row r="52082" s="689" customFormat="1" x14ac:dyDescent="0.2"/>
    <row r="52083" s="689" customFormat="1" x14ac:dyDescent="0.2"/>
    <row r="52084" s="689" customFormat="1" x14ac:dyDescent="0.2"/>
    <row r="52085" s="689" customFormat="1" x14ac:dyDescent="0.2"/>
    <row r="52086" s="689" customFormat="1" x14ac:dyDescent="0.2"/>
    <row r="52087" s="689" customFormat="1" x14ac:dyDescent="0.2"/>
    <row r="52088" s="689" customFormat="1" x14ac:dyDescent="0.2"/>
    <row r="52089" s="689" customFormat="1" x14ac:dyDescent="0.2"/>
    <row r="52090" s="689" customFormat="1" x14ac:dyDescent="0.2"/>
    <row r="52091" s="689" customFormat="1" x14ac:dyDescent="0.2"/>
    <row r="52092" s="689" customFormat="1" x14ac:dyDescent="0.2"/>
    <row r="52093" s="689" customFormat="1" x14ac:dyDescent="0.2"/>
    <row r="52094" s="689" customFormat="1" x14ac:dyDescent="0.2"/>
    <row r="52095" s="689" customFormat="1" x14ac:dyDescent="0.2"/>
    <row r="52096" s="689" customFormat="1" x14ac:dyDescent="0.2"/>
    <row r="52097" s="689" customFormat="1" x14ac:dyDescent="0.2"/>
    <row r="52098" s="689" customFormat="1" x14ac:dyDescent="0.2"/>
    <row r="52099" s="689" customFormat="1" x14ac:dyDescent="0.2"/>
    <row r="52100" s="689" customFormat="1" x14ac:dyDescent="0.2"/>
    <row r="52101" s="689" customFormat="1" x14ac:dyDescent="0.2"/>
    <row r="52102" s="689" customFormat="1" x14ac:dyDescent="0.2"/>
    <row r="52103" s="689" customFormat="1" x14ac:dyDescent="0.2"/>
    <row r="52104" s="689" customFormat="1" x14ac:dyDescent="0.2"/>
    <row r="52105" s="689" customFormat="1" x14ac:dyDescent="0.2"/>
    <row r="52106" s="689" customFormat="1" x14ac:dyDescent="0.2"/>
    <row r="52107" s="689" customFormat="1" x14ac:dyDescent="0.2"/>
    <row r="52108" s="689" customFormat="1" x14ac:dyDescent="0.2"/>
    <row r="52109" s="689" customFormat="1" x14ac:dyDescent="0.2"/>
    <row r="52110" s="689" customFormat="1" x14ac:dyDescent="0.2"/>
    <row r="52111" s="689" customFormat="1" x14ac:dyDescent="0.2"/>
    <row r="52112" s="689" customFormat="1" x14ac:dyDescent="0.2"/>
    <row r="52113" s="689" customFormat="1" x14ac:dyDescent="0.2"/>
    <row r="52114" s="689" customFormat="1" x14ac:dyDescent="0.2"/>
    <row r="52115" s="689" customFormat="1" x14ac:dyDescent="0.2"/>
    <row r="52116" s="689" customFormat="1" x14ac:dyDescent="0.2"/>
    <row r="52117" s="689" customFormat="1" x14ac:dyDescent="0.2"/>
    <row r="52118" s="689" customFormat="1" x14ac:dyDescent="0.2"/>
    <row r="52119" s="689" customFormat="1" x14ac:dyDescent="0.2"/>
    <row r="52120" s="689" customFormat="1" x14ac:dyDescent="0.2"/>
    <row r="52121" s="689" customFormat="1" x14ac:dyDescent="0.2"/>
    <row r="52122" s="689" customFormat="1" x14ac:dyDescent="0.2"/>
    <row r="52123" s="689" customFormat="1" x14ac:dyDescent="0.2"/>
    <row r="52124" s="689" customFormat="1" x14ac:dyDescent="0.2"/>
    <row r="52125" s="689" customFormat="1" x14ac:dyDescent="0.2"/>
    <row r="52126" s="689" customFormat="1" x14ac:dyDescent="0.2"/>
    <row r="52127" s="689" customFormat="1" x14ac:dyDescent="0.2"/>
    <row r="52128" s="689" customFormat="1" x14ac:dyDescent="0.2"/>
    <row r="52129" s="689" customFormat="1" x14ac:dyDescent="0.2"/>
    <row r="52130" s="689" customFormat="1" x14ac:dyDescent="0.2"/>
    <row r="52131" s="689" customFormat="1" x14ac:dyDescent="0.2"/>
    <row r="52132" s="689" customFormat="1" x14ac:dyDescent="0.2"/>
    <row r="52133" s="689" customFormat="1" x14ac:dyDescent="0.2"/>
    <row r="52134" s="689" customFormat="1" x14ac:dyDescent="0.2"/>
    <row r="52135" s="689" customFormat="1" x14ac:dyDescent="0.2"/>
    <row r="52136" s="689" customFormat="1" x14ac:dyDescent="0.2"/>
    <row r="52137" s="689" customFormat="1" x14ac:dyDescent="0.2"/>
    <row r="52138" s="689" customFormat="1" x14ac:dyDescent="0.2"/>
    <row r="52139" s="689" customFormat="1" x14ac:dyDescent="0.2"/>
    <row r="52140" s="689" customFormat="1" x14ac:dyDescent="0.2"/>
    <row r="52141" s="689" customFormat="1" x14ac:dyDescent="0.2"/>
    <row r="52142" s="689" customFormat="1" x14ac:dyDescent="0.2"/>
    <row r="52143" s="689" customFormat="1" x14ac:dyDescent="0.2"/>
    <row r="52144" s="689" customFormat="1" x14ac:dyDescent="0.2"/>
    <row r="52145" s="689" customFormat="1" x14ac:dyDescent="0.2"/>
    <row r="52146" s="689" customFormat="1" x14ac:dyDescent="0.2"/>
    <row r="52147" s="689" customFormat="1" x14ac:dyDescent="0.2"/>
    <row r="52148" s="689" customFormat="1" x14ac:dyDescent="0.2"/>
    <row r="52149" s="689" customFormat="1" x14ac:dyDescent="0.2"/>
    <row r="52150" s="689" customFormat="1" x14ac:dyDescent="0.2"/>
    <row r="52151" s="689" customFormat="1" x14ac:dyDescent="0.2"/>
    <row r="52152" s="689" customFormat="1" x14ac:dyDescent="0.2"/>
    <row r="52153" s="689" customFormat="1" x14ac:dyDescent="0.2"/>
    <row r="52154" s="689" customFormat="1" x14ac:dyDescent="0.2"/>
    <row r="52155" s="689" customFormat="1" x14ac:dyDescent="0.2"/>
    <row r="52156" s="689" customFormat="1" x14ac:dyDescent="0.2"/>
    <row r="52157" s="689" customFormat="1" x14ac:dyDescent="0.2"/>
    <row r="52158" s="689" customFormat="1" x14ac:dyDescent="0.2"/>
    <row r="52159" s="689" customFormat="1" x14ac:dyDescent="0.2"/>
    <row r="52160" s="689" customFormat="1" x14ac:dyDescent="0.2"/>
    <row r="52161" s="689" customFormat="1" x14ac:dyDescent="0.2"/>
    <row r="52162" s="689" customFormat="1" x14ac:dyDescent="0.2"/>
    <row r="52163" s="689" customFormat="1" x14ac:dyDescent="0.2"/>
    <row r="52164" s="689" customFormat="1" x14ac:dyDescent="0.2"/>
    <row r="52165" s="689" customFormat="1" x14ac:dyDescent="0.2"/>
    <row r="52166" s="689" customFormat="1" x14ac:dyDescent="0.2"/>
    <row r="52167" s="689" customFormat="1" x14ac:dyDescent="0.2"/>
    <row r="52168" s="689" customFormat="1" x14ac:dyDescent="0.2"/>
    <row r="52169" s="689" customFormat="1" x14ac:dyDescent="0.2"/>
    <row r="52170" s="689" customFormat="1" x14ac:dyDescent="0.2"/>
    <row r="52171" s="689" customFormat="1" x14ac:dyDescent="0.2"/>
    <row r="52172" s="689" customFormat="1" x14ac:dyDescent="0.2"/>
    <row r="52173" s="689" customFormat="1" x14ac:dyDescent="0.2"/>
    <row r="52174" s="689" customFormat="1" x14ac:dyDescent="0.2"/>
    <row r="52175" s="689" customFormat="1" x14ac:dyDescent="0.2"/>
    <row r="52176" s="689" customFormat="1" x14ac:dyDescent="0.2"/>
    <row r="52177" s="689" customFormat="1" x14ac:dyDescent="0.2"/>
    <row r="52178" s="689" customFormat="1" x14ac:dyDescent="0.2"/>
    <row r="52179" s="689" customFormat="1" x14ac:dyDescent="0.2"/>
    <row r="52180" s="689" customFormat="1" x14ac:dyDescent="0.2"/>
    <row r="52181" s="689" customFormat="1" x14ac:dyDescent="0.2"/>
    <row r="52182" s="689" customFormat="1" x14ac:dyDescent="0.2"/>
    <row r="52183" s="689" customFormat="1" x14ac:dyDescent="0.2"/>
    <row r="52184" s="689" customFormat="1" x14ac:dyDescent="0.2"/>
    <row r="52185" s="689" customFormat="1" x14ac:dyDescent="0.2"/>
    <row r="52186" s="689" customFormat="1" x14ac:dyDescent="0.2"/>
    <row r="52187" s="689" customFormat="1" x14ac:dyDescent="0.2"/>
    <row r="52188" s="689" customFormat="1" x14ac:dyDescent="0.2"/>
    <row r="52189" s="689" customFormat="1" x14ac:dyDescent="0.2"/>
    <row r="52190" s="689" customFormat="1" x14ac:dyDescent="0.2"/>
    <row r="52191" s="689" customFormat="1" x14ac:dyDescent="0.2"/>
    <row r="52192" s="689" customFormat="1" x14ac:dyDescent="0.2"/>
    <row r="52193" s="689" customFormat="1" x14ac:dyDescent="0.2"/>
    <row r="52194" s="689" customFormat="1" x14ac:dyDescent="0.2"/>
    <row r="52195" s="689" customFormat="1" x14ac:dyDescent="0.2"/>
    <row r="52196" s="689" customFormat="1" x14ac:dyDescent="0.2"/>
    <row r="52197" s="689" customFormat="1" x14ac:dyDescent="0.2"/>
    <row r="52198" s="689" customFormat="1" x14ac:dyDescent="0.2"/>
    <row r="52199" s="689" customFormat="1" x14ac:dyDescent="0.2"/>
    <row r="52200" s="689" customFormat="1" x14ac:dyDescent="0.2"/>
    <row r="52201" s="689" customFormat="1" x14ac:dyDescent="0.2"/>
    <row r="52202" s="689" customFormat="1" x14ac:dyDescent="0.2"/>
    <row r="52203" s="689" customFormat="1" x14ac:dyDescent="0.2"/>
    <row r="52204" s="689" customFormat="1" x14ac:dyDescent="0.2"/>
    <row r="52205" s="689" customFormat="1" x14ac:dyDescent="0.2"/>
    <row r="52206" s="689" customFormat="1" x14ac:dyDescent="0.2"/>
    <row r="52207" s="689" customFormat="1" x14ac:dyDescent="0.2"/>
    <row r="52208" s="689" customFormat="1" x14ac:dyDescent="0.2"/>
    <row r="52209" s="689" customFormat="1" x14ac:dyDescent="0.2"/>
    <row r="52210" s="689" customFormat="1" x14ac:dyDescent="0.2"/>
    <row r="52211" s="689" customFormat="1" x14ac:dyDescent="0.2"/>
    <row r="52212" s="689" customFormat="1" x14ac:dyDescent="0.2"/>
    <row r="52213" s="689" customFormat="1" x14ac:dyDescent="0.2"/>
    <row r="52214" s="689" customFormat="1" x14ac:dyDescent="0.2"/>
    <row r="52215" s="689" customFormat="1" x14ac:dyDescent="0.2"/>
    <row r="52216" s="689" customFormat="1" x14ac:dyDescent="0.2"/>
    <row r="52217" s="689" customFormat="1" x14ac:dyDescent="0.2"/>
    <row r="52218" s="689" customFormat="1" x14ac:dyDescent="0.2"/>
    <row r="52219" s="689" customFormat="1" x14ac:dyDescent="0.2"/>
    <row r="52220" s="689" customFormat="1" x14ac:dyDescent="0.2"/>
    <row r="52221" s="689" customFormat="1" x14ac:dyDescent="0.2"/>
    <row r="52222" s="689" customFormat="1" x14ac:dyDescent="0.2"/>
    <row r="52223" s="689" customFormat="1" x14ac:dyDescent="0.2"/>
    <row r="52224" s="689" customFormat="1" x14ac:dyDescent="0.2"/>
    <row r="52225" s="689" customFormat="1" x14ac:dyDescent="0.2"/>
    <row r="52226" s="689" customFormat="1" x14ac:dyDescent="0.2"/>
    <row r="52227" s="689" customFormat="1" x14ac:dyDescent="0.2"/>
    <row r="52228" s="689" customFormat="1" x14ac:dyDescent="0.2"/>
    <row r="52229" s="689" customFormat="1" x14ac:dyDescent="0.2"/>
    <row r="52230" s="689" customFormat="1" x14ac:dyDescent="0.2"/>
    <row r="52231" s="689" customFormat="1" x14ac:dyDescent="0.2"/>
    <row r="52232" s="689" customFormat="1" x14ac:dyDescent="0.2"/>
    <row r="52233" s="689" customFormat="1" x14ac:dyDescent="0.2"/>
    <row r="52234" s="689" customFormat="1" x14ac:dyDescent="0.2"/>
    <row r="52235" s="689" customFormat="1" x14ac:dyDescent="0.2"/>
    <row r="52236" s="689" customFormat="1" x14ac:dyDescent="0.2"/>
    <row r="52237" s="689" customFormat="1" x14ac:dyDescent="0.2"/>
    <row r="52238" s="689" customFormat="1" x14ac:dyDescent="0.2"/>
    <row r="52239" s="689" customFormat="1" x14ac:dyDescent="0.2"/>
    <row r="52240" s="689" customFormat="1" x14ac:dyDescent="0.2"/>
    <row r="52241" s="689" customFormat="1" x14ac:dyDescent="0.2"/>
    <row r="52242" s="689" customFormat="1" x14ac:dyDescent="0.2"/>
    <row r="52243" s="689" customFormat="1" x14ac:dyDescent="0.2"/>
    <row r="52244" s="689" customFormat="1" x14ac:dyDescent="0.2"/>
    <row r="52245" s="689" customFormat="1" x14ac:dyDescent="0.2"/>
    <row r="52246" s="689" customFormat="1" x14ac:dyDescent="0.2"/>
    <row r="52247" s="689" customFormat="1" x14ac:dyDescent="0.2"/>
    <row r="52248" s="689" customFormat="1" x14ac:dyDescent="0.2"/>
    <row r="52249" s="689" customFormat="1" x14ac:dyDescent="0.2"/>
    <row r="52250" s="689" customFormat="1" x14ac:dyDescent="0.2"/>
    <row r="52251" s="689" customFormat="1" x14ac:dyDescent="0.2"/>
    <row r="52252" s="689" customFormat="1" x14ac:dyDescent="0.2"/>
    <row r="52253" s="689" customFormat="1" x14ac:dyDescent="0.2"/>
    <row r="52254" s="689" customFormat="1" x14ac:dyDescent="0.2"/>
    <row r="52255" s="689" customFormat="1" x14ac:dyDescent="0.2"/>
    <row r="52256" s="689" customFormat="1" x14ac:dyDescent="0.2"/>
    <row r="52257" s="689" customFormat="1" x14ac:dyDescent="0.2"/>
    <row r="52258" s="689" customFormat="1" x14ac:dyDescent="0.2"/>
    <row r="52259" s="689" customFormat="1" x14ac:dyDescent="0.2"/>
    <row r="52260" s="689" customFormat="1" x14ac:dyDescent="0.2"/>
    <row r="52261" s="689" customFormat="1" x14ac:dyDescent="0.2"/>
    <row r="52262" s="689" customFormat="1" x14ac:dyDescent="0.2"/>
    <row r="52263" s="689" customFormat="1" x14ac:dyDescent="0.2"/>
    <row r="52264" s="689" customFormat="1" x14ac:dyDescent="0.2"/>
    <row r="52265" s="689" customFormat="1" x14ac:dyDescent="0.2"/>
    <row r="52266" s="689" customFormat="1" x14ac:dyDescent="0.2"/>
    <row r="52267" s="689" customFormat="1" x14ac:dyDescent="0.2"/>
    <row r="52268" s="689" customFormat="1" x14ac:dyDescent="0.2"/>
    <row r="52269" s="689" customFormat="1" x14ac:dyDescent="0.2"/>
    <row r="52270" s="689" customFormat="1" x14ac:dyDescent="0.2"/>
    <row r="52271" s="689" customFormat="1" x14ac:dyDescent="0.2"/>
    <row r="52272" s="689" customFormat="1" x14ac:dyDescent="0.2"/>
    <row r="52273" s="689" customFormat="1" x14ac:dyDescent="0.2"/>
    <row r="52274" s="689" customFormat="1" x14ac:dyDescent="0.2"/>
    <row r="52275" s="689" customFormat="1" x14ac:dyDescent="0.2"/>
    <row r="52276" s="689" customFormat="1" x14ac:dyDescent="0.2"/>
    <row r="52277" s="689" customFormat="1" x14ac:dyDescent="0.2"/>
    <row r="52278" s="689" customFormat="1" x14ac:dyDescent="0.2"/>
    <row r="52279" s="689" customFormat="1" x14ac:dyDescent="0.2"/>
    <row r="52280" s="689" customFormat="1" x14ac:dyDescent="0.2"/>
    <row r="52281" s="689" customFormat="1" x14ac:dyDescent="0.2"/>
    <row r="52282" s="689" customFormat="1" x14ac:dyDescent="0.2"/>
    <row r="52283" s="689" customFormat="1" x14ac:dyDescent="0.2"/>
    <row r="52284" s="689" customFormat="1" x14ac:dyDescent="0.2"/>
    <row r="52285" s="689" customFormat="1" x14ac:dyDescent="0.2"/>
    <row r="52286" s="689" customFormat="1" x14ac:dyDescent="0.2"/>
    <row r="52287" s="689" customFormat="1" x14ac:dyDescent="0.2"/>
    <row r="52288" s="689" customFormat="1" x14ac:dyDescent="0.2"/>
    <row r="52289" s="689" customFormat="1" x14ac:dyDescent="0.2"/>
    <row r="52290" s="689" customFormat="1" x14ac:dyDescent="0.2"/>
    <row r="52291" s="689" customFormat="1" x14ac:dyDescent="0.2"/>
    <row r="52292" s="689" customFormat="1" x14ac:dyDescent="0.2"/>
    <row r="52293" s="689" customFormat="1" x14ac:dyDescent="0.2"/>
    <row r="52294" s="689" customFormat="1" x14ac:dyDescent="0.2"/>
    <row r="52295" s="689" customFormat="1" x14ac:dyDescent="0.2"/>
    <row r="52296" s="689" customFormat="1" x14ac:dyDescent="0.2"/>
    <row r="52297" s="689" customFormat="1" x14ac:dyDescent="0.2"/>
    <row r="52298" s="689" customFormat="1" x14ac:dyDescent="0.2"/>
    <row r="52299" s="689" customFormat="1" x14ac:dyDescent="0.2"/>
    <row r="52300" s="689" customFormat="1" x14ac:dyDescent="0.2"/>
    <row r="52301" s="689" customFormat="1" x14ac:dyDescent="0.2"/>
    <row r="52302" s="689" customFormat="1" x14ac:dyDescent="0.2"/>
    <row r="52303" s="689" customFormat="1" x14ac:dyDescent="0.2"/>
    <row r="52304" s="689" customFormat="1" x14ac:dyDescent="0.2"/>
    <row r="52305" s="689" customFormat="1" x14ac:dyDescent="0.2"/>
    <row r="52306" s="689" customFormat="1" x14ac:dyDescent="0.2"/>
    <row r="52307" s="689" customFormat="1" x14ac:dyDescent="0.2"/>
    <row r="52308" s="689" customFormat="1" x14ac:dyDescent="0.2"/>
    <row r="52309" s="689" customFormat="1" x14ac:dyDescent="0.2"/>
    <row r="52310" s="689" customFormat="1" x14ac:dyDescent="0.2"/>
    <row r="52311" s="689" customFormat="1" x14ac:dyDescent="0.2"/>
    <row r="52312" s="689" customFormat="1" x14ac:dyDescent="0.2"/>
    <row r="52313" s="689" customFormat="1" x14ac:dyDescent="0.2"/>
    <row r="52314" s="689" customFormat="1" x14ac:dyDescent="0.2"/>
    <row r="52315" s="689" customFormat="1" x14ac:dyDescent="0.2"/>
    <row r="52316" s="689" customFormat="1" x14ac:dyDescent="0.2"/>
    <row r="52317" s="689" customFormat="1" x14ac:dyDescent="0.2"/>
    <row r="52318" s="689" customFormat="1" x14ac:dyDescent="0.2"/>
    <row r="52319" s="689" customFormat="1" x14ac:dyDescent="0.2"/>
    <row r="52320" s="689" customFormat="1" x14ac:dyDescent="0.2"/>
    <row r="52321" s="689" customFormat="1" x14ac:dyDescent="0.2"/>
    <row r="52322" s="689" customFormat="1" x14ac:dyDescent="0.2"/>
    <row r="52323" s="689" customFormat="1" x14ac:dyDescent="0.2"/>
    <row r="52324" s="689" customFormat="1" x14ac:dyDescent="0.2"/>
    <row r="52325" s="689" customFormat="1" x14ac:dyDescent="0.2"/>
    <row r="52326" s="689" customFormat="1" x14ac:dyDescent="0.2"/>
    <row r="52327" s="689" customFormat="1" x14ac:dyDescent="0.2"/>
    <row r="52328" s="689" customFormat="1" x14ac:dyDescent="0.2"/>
    <row r="52329" s="689" customFormat="1" x14ac:dyDescent="0.2"/>
    <row r="52330" s="689" customFormat="1" x14ac:dyDescent="0.2"/>
    <row r="52331" s="689" customFormat="1" x14ac:dyDescent="0.2"/>
    <row r="52332" s="689" customFormat="1" x14ac:dyDescent="0.2"/>
    <row r="52333" s="689" customFormat="1" x14ac:dyDescent="0.2"/>
    <row r="52334" s="689" customFormat="1" x14ac:dyDescent="0.2"/>
    <row r="52335" s="689" customFormat="1" x14ac:dyDescent="0.2"/>
    <row r="52336" s="689" customFormat="1" x14ac:dyDescent="0.2"/>
    <row r="52337" s="689" customFormat="1" x14ac:dyDescent="0.2"/>
    <row r="52338" s="689" customFormat="1" x14ac:dyDescent="0.2"/>
    <row r="52339" s="689" customFormat="1" x14ac:dyDescent="0.2"/>
    <row r="52340" s="689" customFormat="1" x14ac:dyDescent="0.2"/>
    <row r="52341" s="689" customFormat="1" x14ac:dyDescent="0.2"/>
    <row r="52342" s="689" customFormat="1" x14ac:dyDescent="0.2"/>
    <row r="52343" s="689" customFormat="1" x14ac:dyDescent="0.2"/>
    <row r="52344" s="689" customFormat="1" x14ac:dyDescent="0.2"/>
    <row r="52345" s="689" customFormat="1" x14ac:dyDescent="0.2"/>
    <row r="52346" s="689" customFormat="1" x14ac:dyDescent="0.2"/>
    <row r="52347" s="689" customFormat="1" x14ac:dyDescent="0.2"/>
    <row r="52348" s="689" customFormat="1" x14ac:dyDescent="0.2"/>
    <row r="52349" s="689" customFormat="1" x14ac:dyDescent="0.2"/>
    <row r="52350" s="689" customFormat="1" x14ac:dyDescent="0.2"/>
    <row r="52351" s="689" customFormat="1" x14ac:dyDescent="0.2"/>
    <row r="52352" s="689" customFormat="1" x14ac:dyDescent="0.2"/>
    <row r="52353" s="689" customFormat="1" x14ac:dyDescent="0.2"/>
    <row r="52354" s="689" customFormat="1" x14ac:dyDescent="0.2"/>
    <row r="52355" s="689" customFormat="1" x14ac:dyDescent="0.2"/>
    <row r="52356" s="689" customFormat="1" x14ac:dyDescent="0.2"/>
    <row r="52357" s="689" customFormat="1" x14ac:dyDescent="0.2"/>
    <row r="52358" s="689" customFormat="1" x14ac:dyDescent="0.2"/>
    <row r="52359" s="689" customFormat="1" x14ac:dyDescent="0.2"/>
    <row r="52360" s="689" customFormat="1" x14ac:dyDescent="0.2"/>
    <row r="52361" s="689" customFormat="1" x14ac:dyDescent="0.2"/>
    <row r="52362" s="689" customFormat="1" x14ac:dyDescent="0.2"/>
    <row r="52363" s="689" customFormat="1" x14ac:dyDescent="0.2"/>
    <row r="52364" s="689" customFormat="1" x14ac:dyDescent="0.2"/>
    <row r="52365" s="689" customFormat="1" x14ac:dyDescent="0.2"/>
    <row r="52366" s="689" customFormat="1" x14ac:dyDescent="0.2"/>
    <row r="52367" s="689" customFormat="1" x14ac:dyDescent="0.2"/>
    <row r="52368" s="689" customFormat="1" x14ac:dyDescent="0.2"/>
    <row r="52369" s="689" customFormat="1" x14ac:dyDescent="0.2"/>
    <row r="52370" s="689" customFormat="1" x14ac:dyDescent="0.2"/>
    <row r="52371" s="689" customFormat="1" x14ac:dyDescent="0.2"/>
    <row r="52372" s="689" customFormat="1" x14ac:dyDescent="0.2"/>
    <row r="52373" s="689" customFormat="1" x14ac:dyDescent="0.2"/>
    <row r="52374" s="689" customFormat="1" x14ac:dyDescent="0.2"/>
    <row r="52375" s="689" customFormat="1" x14ac:dyDescent="0.2"/>
    <row r="52376" s="689" customFormat="1" x14ac:dyDescent="0.2"/>
    <row r="52377" s="689" customFormat="1" x14ac:dyDescent="0.2"/>
    <row r="52378" s="689" customFormat="1" x14ac:dyDescent="0.2"/>
    <row r="52379" s="689" customFormat="1" x14ac:dyDescent="0.2"/>
    <row r="52380" s="689" customFormat="1" x14ac:dyDescent="0.2"/>
    <row r="52381" s="689" customFormat="1" x14ac:dyDescent="0.2"/>
    <row r="52382" s="689" customFormat="1" x14ac:dyDescent="0.2"/>
    <row r="52383" s="689" customFormat="1" x14ac:dyDescent="0.2"/>
    <row r="52384" s="689" customFormat="1" x14ac:dyDescent="0.2"/>
    <row r="52385" s="689" customFormat="1" x14ac:dyDescent="0.2"/>
    <row r="52386" s="689" customFormat="1" x14ac:dyDescent="0.2"/>
    <row r="52387" s="689" customFormat="1" x14ac:dyDescent="0.2"/>
    <row r="52388" s="689" customFormat="1" x14ac:dyDescent="0.2"/>
    <row r="52389" s="689" customFormat="1" x14ac:dyDescent="0.2"/>
    <row r="52390" s="689" customFormat="1" x14ac:dyDescent="0.2"/>
    <row r="52391" s="689" customFormat="1" x14ac:dyDescent="0.2"/>
    <row r="52392" s="689" customFormat="1" x14ac:dyDescent="0.2"/>
    <row r="52393" s="689" customFormat="1" x14ac:dyDescent="0.2"/>
    <row r="52394" s="689" customFormat="1" x14ac:dyDescent="0.2"/>
    <row r="52395" s="689" customFormat="1" x14ac:dyDescent="0.2"/>
    <row r="52396" s="689" customFormat="1" x14ac:dyDescent="0.2"/>
    <row r="52397" s="689" customFormat="1" x14ac:dyDescent="0.2"/>
    <row r="52398" s="689" customFormat="1" x14ac:dyDescent="0.2"/>
    <row r="52399" s="689" customFormat="1" x14ac:dyDescent="0.2"/>
    <row r="52400" s="689" customFormat="1" x14ac:dyDescent="0.2"/>
    <row r="52401" s="689" customFormat="1" x14ac:dyDescent="0.2"/>
    <row r="52402" s="689" customFormat="1" x14ac:dyDescent="0.2"/>
    <row r="52403" s="689" customFormat="1" x14ac:dyDescent="0.2"/>
    <row r="52404" s="689" customFormat="1" x14ac:dyDescent="0.2"/>
    <row r="52405" s="689" customFormat="1" x14ac:dyDescent="0.2"/>
    <row r="52406" s="689" customFormat="1" x14ac:dyDescent="0.2"/>
    <row r="52407" s="689" customFormat="1" x14ac:dyDescent="0.2"/>
    <row r="52408" s="689" customFormat="1" x14ac:dyDescent="0.2"/>
    <row r="52409" s="689" customFormat="1" x14ac:dyDescent="0.2"/>
    <row r="52410" s="689" customFormat="1" x14ac:dyDescent="0.2"/>
    <row r="52411" s="689" customFormat="1" x14ac:dyDescent="0.2"/>
    <row r="52412" s="689" customFormat="1" x14ac:dyDescent="0.2"/>
    <row r="52413" s="689" customFormat="1" x14ac:dyDescent="0.2"/>
    <row r="52414" s="689" customFormat="1" x14ac:dyDescent="0.2"/>
    <row r="52415" s="689" customFormat="1" x14ac:dyDescent="0.2"/>
    <row r="52416" s="689" customFormat="1" x14ac:dyDescent="0.2"/>
    <row r="52417" s="689" customFormat="1" x14ac:dyDescent="0.2"/>
    <row r="52418" s="689" customFormat="1" x14ac:dyDescent="0.2"/>
    <row r="52419" s="689" customFormat="1" x14ac:dyDescent="0.2"/>
    <row r="52420" s="689" customFormat="1" x14ac:dyDescent="0.2"/>
    <row r="52421" s="689" customFormat="1" x14ac:dyDescent="0.2"/>
    <row r="52422" s="689" customFormat="1" x14ac:dyDescent="0.2"/>
    <row r="52423" s="689" customFormat="1" x14ac:dyDescent="0.2"/>
    <row r="52424" s="689" customFormat="1" x14ac:dyDescent="0.2"/>
    <row r="52425" s="689" customFormat="1" x14ac:dyDescent="0.2"/>
    <row r="52426" s="689" customFormat="1" x14ac:dyDescent="0.2"/>
    <row r="52427" s="689" customFormat="1" x14ac:dyDescent="0.2"/>
    <row r="52428" s="689" customFormat="1" x14ac:dyDescent="0.2"/>
    <row r="52429" s="689" customFormat="1" x14ac:dyDescent="0.2"/>
    <row r="52430" s="689" customFormat="1" x14ac:dyDescent="0.2"/>
    <row r="52431" s="689" customFormat="1" x14ac:dyDescent="0.2"/>
    <row r="52432" s="689" customFormat="1" x14ac:dyDescent="0.2"/>
    <row r="52433" s="689" customFormat="1" x14ac:dyDescent="0.2"/>
    <row r="52434" s="689" customFormat="1" x14ac:dyDescent="0.2"/>
    <row r="52435" s="689" customFormat="1" x14ac:dyDescent="0.2"/>
    <row r="52436" s="689" customFormat="1" x14ac:dyDescent="0.2"/>
    <row r="52437" s="689" customFormat="1" x14ac:dyDescent="0.2"/>
    <row r="52438" s="689" customFormat="1" x14ac:dyDescent="0.2"/>
    <row r="52439" s="689" customFormat="1" x14ac:dyDescent="0.2"/>
    <row r="52440" s="689" customFormat="1" x14ac:dyDescent="0.2"/>
    <row r="52441" s="689" customFormat="1" x14ac:dyDescent="0.2"/>
    <row r="52442" s="689" customFormat="1" x14ac:dyDescent="0.2"/>
    <row r="52443" s="689" customFormat="1" x14ac:dyDescent="0.2"/>
    <row r="52444" s="689" customFormat="1" x14ac:dyDescent="0.2"/>
    <row r="52445" s="689" customFormat="1" x14ac:dyDescent="0.2"/>
    <row r="52446" s="689" customFormat="1" x14ac:dyDescent="0.2"/>
    <row r="52447" s="689" customFormat="1" x14ac:dyDescent="0.2"/>
    <row r="52448" s="689" customFormat="1" x14ac:dyDescent="0.2"/>
    <row r="52449" s="689" customFormat="1" x14ac:dyDescent="0.2"/>
    <row r="52450" s="689" customFormat="1" x14ac:dyDescent="0.2"/>
    <row r="52451" s="689" customFormat="1" x14ac:dyDescent="0.2"/>
    <row r="52452" s="689" customFormat="1" x14ac:dyDescent="0.2"/>
    <row r="52453" s="689" customFormat="1" x14ac:dyDescent="0.2"/>
    <row r="52454" s="689" customFormat="1" x14ac:dyDescent="0.2"/>
    <row r="52455" s="689" customFormat="1" x14ac:dyDescent="0.2"/>
    <row r="52456" s="689" customFormat="1" x14ac:dyDescent="0.2"/>
    <row r="52457" s="689" customFormat="1" x14ac:dyDescent="0.2"/>
    <row r="52458" s="689" customFormat="1" x14ac:dyDescent="0.2"/>
    <row r="52459" s="689" customFormat="1" x14ac:dyDescent="0.2"/>
    <row r="52460" s="689" customFormat="1" x14ac:dyDescent="0.2"/>
    <row r="52461" s="689" customFormat="1" x14ac:dyDescent="0.2"/>
    <row r="52462" s="689" customFormat="1" x14ac:dyDescent="0.2"/>
    <row r="52463" s="689" customFormat="1" x14ac:dyDescent="0.2"/>
    <row r="52464" s="689" customFormat="1" x14ac:dyDescent="0.2"/>
    <row r="52465" s="689" customFormat="1" x14ac:dyDescent="0.2"/>
    <row r="52466" s="689" customFormat="1" x14ac:dyDescent="0.2"/>
    <row r="52467" s="689" customFormat="1" x14ac:dyDescent="0.2"/>
    <row r="52468" s="689" customFormat="1" x14ac:dyDescent="0.2"/>
    <row r="52469" s="689" customFormat="1" x14ac:dyDescent="0.2"/>
    <row r="52470" s="689" customFormat="1" x14ac:dyDescent="0.2"/>
    <row r="52471" s="689" customFormat="1" x14ac:dyDescent="0.2"/>
    <row r="52472" s="689" customFormat="1" x14ac:dyDescent="0.2"/>
    <row r="52473" s="689" customFormat="1" x14ac:dyDescent="0.2"/>
    <row r="52474" s="689" customFormat="1" x14ac:dyDescent="0.2"/>
    <row r="52475" s="689" customFormat="1" x14ac:dyDescent="0.2"/>
    <row r="52476" s="689" customFormat="1" x14ac:dyDescent="0.2"/>
    <row r="52477" s="689" customFormat="1" x14ac:dyDescent="0.2"/>
    <row r="52478" s="689" customFormat="1" x14ac:dyDescent="0.2"/>
    <row r="52479" s="689" customFormat="1" x14ac:dyDescent="0.2"/>
    <row r="52480" s="689" customFormat="1" x14ac:dyDescent="0.2"/>
    <row r="52481" s="689" customFormat="1" x14ac:dyDescent="0.2"/>
    <row r="52482" s="689" customFormat="1" x14ac:dyDescent="0.2"/>
    <row r="52483" s="689" customFormat="1" x14ac:dyDescent="0.2"/>
    <row r="52484" s="689" customFormat="1" x14ac:dyDescent="0.2"/>
    <row r="52485" s="689" customFormat="1" x14ac:dyDescent="0.2"/>
    <row r="52486" s="689" customFormat="1" x14ac:dyDescent="0.2"/>
    <row r="52487" s="689" customFormat="1" x14ac:dyDescent="0.2"/>
    <row r="52488" s="689" customFormat="1" x14ac:dyDescent="0.2"/>
    <row r="52489" s="689" customFormat="1" x14ac:dyDescent="0.2"/>
    <row r="52490" s="689" customFormat="1" x14ac:dyDescent="0.2"/>
    <row r="52491" s="689" customFormat="1" x14ac:dyDescent="0.2"/>
    <row r="52492" s="689" customFormat="1" x14ac:dyDescent="0.2"/>
    <row r="52493" s="689" customFormat="1" x14ac:dyDescent="0.2"/>
    <row r="52494" s="689" customFormat="1" x14ac:dyDescent="0.2"/>
    <row r="52495" s="689" customFormat="1" x14ac:dyDescent="0.2"/>
    <row r="52496" s="689" customFormat="1" x14ac:dyDescent="0.2"/>
    <row r="52497" s="689" customFormat="1" x14ac:dyDescent="0.2"/>
    <row r="52498" s="689" customFormat="1" x14ac:dyDescent="0.2"/>
    <row r="52499" s="689" customFormat="1" x14ac:dyDescent="0.2"/>
    <row r="52500" s="689" customFormat="1" x14ac:dyDescent="0.2"/>
    <row r="52501" s="689" customFormat="1" x14ac:dyDescent="0.2"/>
    <row r="52502" s="689" customFormat="1" x14ac:dyDescent="0.2"/>
    <row r="52503" s="689" customFormat="1" x14ac:dyDescent="0.2"/>
    <row r="52504" s="689" customFormat="1" x14ac:dyDescent="0.2"/>
    <row r="52505" s="689" customFormat="1" x14ac:dyDescent="0.2"/>
    <row r="52506" s="689" customFormat="1" x14ac:dyDescent="0.2"/>
    <row r="52507" s="689" customFormat="1" x14ac:dyDescent="0.2"/>
    <row r="52508" s="689" customFormat="1" x14ac:dyDescent="0.2"/>
    <row r="52509" s="689" customFormat="1" x14ac:dyDescent="0.2"/>
    <row r="52510" s="689" customFormat="1" x14ac:dyDescent="0.2"/>
    <row r="52511" s="689" customFormat="1" x14ac:dyDescent="0.2"/>
    <row r="52512" s="689" customFormat="1" x14ac:dyDescent="0.2"/>
    <row r="52513" s="689" customFormat="1" x14ac:dyDescent="0.2"/>
    <row r="52514" s="689" customFormat="1" x14ac:dyDescent="0.2"/>
    <row r="52515" s="689" customFormat="1" x14ac:dyDescent="0.2"/>
    <row r="52516" s="689" customFormat="1" x14ac:dyDescent="0.2"/>
    <row r="52517" s="689" customFormat="1" x14ac:dyDescent="0.2"/>
    <row r="52518" s="689" customFormat="1" x14ac:dyDescent="0.2"/>
    <row r="52519" s="689" customFormat="1" x14ac:dyDescent="0.2"/>
    <row r="52520" s="689" customFormat="1" x14ac:dyDescent="0.2"/>
    <row r="52521" s="689" customFormat="1" x14ac:dyDescent="0.2"/>
    <row r="52522" s="689" customFormat="1" x14ac:dyDescent="0.2"/>
    <row r="52523" s="689" customFormat="1" x14ac:dyDescent="0.2"/>
    <row r="52524" s="689" customFormat="1" x14ac:dyDescent="0.2"/>
    <row r="52525" s="689" customFormat="1" x14ac:dyDescent="0.2"/>
    <row r="52526" s="689" customFormat="1" x14ac:dyDescent="0.2"/>
    <row r="52527" s="689" customFormat="1" x14ac:dyDescent="0.2"/>
    <row r="52528" s="689" customFormat="1" x14ac:dyDescent="0.2"/>
    <row r="52529" s="689" customFormat="1" x14ac:dyDescent="0.2"/>
    <row r="52530" s="689" customFormat="1" x14ac:dyDescent="0.2"/>
    <row r="52531" s="689" customFormat="1" x14ac:dyDescent="0.2"/>
    <row r="52532" s="689" customFormat="1" x14ac:dyDescent="0.2"/>
    <row r="52533" s="689" customFormat="1" x14ac:dyDescent="0.2"/>
    <row r="52534" s="689" customFormat="1" x14ac:dyDescent="0.2"/>
    <row r="52535" s="689" customFormat="1" x14ac:dyDescent="0.2"/>
    <row r="52536" s="689" customFormat="1" x14ac:dyDescent="0.2"/>
    <row r="52537" s="689" customFormat="1" x14ac:dyDescent="0.2"/>
    <row r="52538" s="689" customFormat="1" x14ac:dyDescent="0.2"/>
    <row r="52539" s="689" customFormat="1" x14ac:dyDescent="0.2"/>
    <row r="52540" s="689" customFormat="1" x14ac:dyDescent="0.2"/>
    <row r="52541" s="689" customFormat="1" x14ac:dyDescent="0.2"/>
    <row r="52542" s="689" customFormat="1" x14ac:dyDescent="0.2"/>
    <row r="52543" s="689" customFormat="1" x14ac:dyDescent="0.2"/>
    <row r="52544" s="689" customFormat="1" x14ac:dyDescent="0.2"/>
    <row r="52545" s="689" customFormat="1" x14ac:dyDescent="0.2"/>
    <row r="52546" s="689" customFormat="1" x14ac:dyDescent="0.2"/>
    <row r="52547" s="689" customFormat="1" x14ac:dyDescent="0.2"/>
    <row r="52548" s="689" customFormat="1" x14ac:dyDescent="0.2"/>
    <row r="52549" s="689" customFormat="1" x14ac:dyDescent="0.2"/>
    <row r="52550" s="689" customFormat="1" x14ac:dyDescent="0.2"/>
    <row r="52551" s="689" customFormat="1" x14ac:dyDescent="0.2"/>
    <row r="52552" s="689" customFormat="1" x14ac:dyDescent="0.2"/>
    <row r="52553" s="689" customFormat="1" x14ac:dyDescent="0.2"/>
    <row r="52554" s="689" customFormat="1" x14ac:dyDescent="0.2"/>
    <row r="52555" s="689" customFormat="1" x14ac:dyDescent="0.2"/>
    <row r="52556" s="689" customFormat="1" x14ac:dyDescent="0.2"/>
    <row r="52557" s="689" customFormat="1" x14ac:dyDescent="0.2"/>
    <row r="52558" s="689" customFormat="1" x14ac:dyDescent="0.2"/>
    <row r="52559" s="689" customFormat="1" x14ac:dyDescent="0.2"/>
    <row r="52560" s="689" customFormat="1" x14ac:dyDescent="0.2"/>
    <row r="52561" s="689" customFormat="1" x14ac:dyDescent="0.2"/>
    <row r="52562" s="689" customFormat="1" x14ac:dyDescent="0.2"/>
    <row r="52563" s="689" customFormat="1" x14ac:dyDescent="0.2"/>
    <row r="52564" s="689" customFormat="1" x14ac:dyDescent="0.2"/>
    <row r="52565" s="689" customFormat="1" x14ac:dyDescent="0.2"/>
    <row r="52566" s="689" customFormat="1" x14ac:dyDescent="0.2"/>
    <row r="52567" s="689" customFormat="1" x14ac:dyDescent="0.2"/>
    <row r="52568" s="689" customFormat="1" x14ac:dyDescent="0.2"/>
    <row r="52569" s="689" customFormat="1" x14ac:dyDescent="0.2"/>
    <row r="52570" s="689" customFormat="1" x14ac:dyDescent="0.2"/>
    <row r="52571" s="689" customFormat="1" x14ac:dyDescent="0.2"/>
    <row r="52572" s="689" customFormat="1" x14ac:dyDescent="0.2"/>
    <row r="52573" s="689" customFormat="1" x14ac:dyDescent="0.2"/>
    <row r="52574" s="689" customFormat="1" x14ac:dyDescent="0.2"/>
    <row r="52575" s="689" customFormat="1" x14ac:dyDescent="0.2"/>
    <row r="52576" s="689" customFormat="1" x14ac:dyDescent="0.2"/>
    <row r="52577" s="689" customFormat="1" x14ac:dyDescent="0.2"/>
    <row r="52578" s="689" customFormat="1" x14ac:dyDescent="0.2"/>
    <row r="52579" s="689" customFormat="1" x14ac:dyDescent="0.2"/>
    <row r="52580" s="689" customFormat="1" x14ac:dyDescent="0.2"/>
    <row r="52581" s="689" customFormat="1" x14ac:dyDescent="0.2"/>
    <row r="52582" s="689" customFormat="1" x14ac:dyDescent="0.2"/>
    <row r="52583" s="689" customFormat="1" x14ac:dyDescent="0.2"/>
    <row r="52584" s="689" customFormat="1" x14ac:dyDescent="0.2"/>
    <row r="52585" s="689" customFormat="1" x14ac:dyDescent="0.2"/>
    <row r="52586" s="689" customFormat="1" x14ac:dyDescent="0.2"/>
    <row r="52587" s="689" customFormat="1" x14ac:dyDescent="0.2"/>
    <row r="52588" s="689" customFormat="1" x14ac:dyDescent="0.2"/>
    <row r="52589" s="689" customFormat="1" x14ac:dyDescent="0.2"/>
    <row r="52590" s="689" customFormat="1" x14ac:dyDescent="0.2"/>
    <row r="52591" s="689" customFormat="1" x14ac:dyDescent="0.2"/>
    <row r="52592" s="689" customFormat="1" x14ac:dyDescent="0.2"/>
    <row r="52593" s="689" customFormat="1" x14ac:dyDescent="0.2"/>
    <row r="52594" s="689" customFormat="1" x14ac:dyDescent="0.2"/>
    <row r="52595" s="689" customFormat="1" x14ac:dyDescent="0.2"/>
    <row r="52596" s="689" customFormat="1" x14ac:dyDescent="0.2"/>
    <row r="52597" s="689" customFormat="1" x14ac:dyDescent="0.2"/>
    <row r="52598" s="689" customFormat="1" x14ac:dyDescent="0.2"/>
    <row r="52599" s="689" customFormat="1" x14ac:dyDescent="0.2"/>
    <row r="52600" s="689" customFormat="1" x14ac:dyDescent="0.2"/>
    <row r="52601" s="689" customFormat="1" x14ac:dyDescent="0.2"/>
    <row r="52602" s="689" customFormat="1" x14ac:dyDescent="0.2"/>
    <row r="52603" s="689" customFormat="1" x14ac:dyDescent="0.2"/>
    <row r="52604" s="689" customFormat="1" x14ac:dyDescent="0.2"/>
    <row r="52605" s="689" customFormat="1" x14ac:dyDescent="0.2"/>
    <row r="52606" s="689" customFormat="1" x14ac:dyDescent="0.2"/>
    <row r="52607" s="689" customFormat="1" x14ac:dyDescent="0.2"/>
    <row r="52608" s="689" customFormat="1" x14ac:dyDescent="0.2"/>
    <row r="52609" s="689" customFormat="1" x14ac:dyDescent="0.2"/>
    <row r="52610" s="689" customFormat="1" x14ac:dyDescent="0.2"/>
    <row r="52611" s="689" customFormat="1" x14ac:dyDescent="0.2"/>
    <row r="52612" s="689" customFormat="1" x14ac:dyDescent="0.2"/>
    <row r="52613" s="689" customFormat="1" x14ac:dyDescent="0.2"/>
    <row r="52614" s="689" customFormat="1" x14ac:dyDescent="0.2"/>
    <row r="52615" s="689" customFormat="1" x14ac:dyDescent="0.2"/>
    <row r="52616" s="689" customFormat="1" x14ac:dyDescent="0.2"/>
    <row r="52617" s="689" customFormat="1" x14ac:dyDescent="0.2"/>
    <row r="52618" s="689" customFormat="1" x14ac:dyDescent="0.2"/>
    <row r="52619" s="689" customFormat="1" x14ac:dyDescent="0.2"/>
    <row r="52620" s="689" customFormat="1" x14ac:dyDescent="0.2"/>
    <row r="52621" s="689" customFormat="1" x14ac:dyDescent="0.2"/>
    <row r="52622" s="689" customFormat="1" x14ac:dyDescent="0.2"/>
    <row r="52623" s="689" customFormat="1" x14ac:dyDescent="0.2"/>
    <row r="52624" s="689" customFormat="1" x14ac:dyDescent="0.2"/>
    <row r="52625" s="689" customFormat="1" x14ac:dyDescent="0.2"/>
    <row r="52626" s="689" customFormat="1" x14ac:dyDescent="0.2"/>
    <row r="52627" s="689" customFormat="1" x14ac:dyDescent="0.2"/>
    <row r="52628" s="689" customFormat="1" x14ac:dyDescent="0.2"/>
    <row r="52629" s="689" customFormat="1" x14ac:dyDescent="0.2"/>
    <row r="52630" s="689" customFormat="1" x14ac:dyDescent="0.2"/>
    <row r="52631" s="689" customFormat="1" x14ac:dyDescent="0.2"/>
    <row r="52632" s="689" customFormat="1" x14ac:dyDescent="0.2"/>
    <row r="52633" s="689" customFormat="1" x14ac:dyDescent="0.2"/>
    <row r="52634" s="689" customFormat="1" x14ac:dyDescent="0.2"/>
    <row r="52635" s="689" customFormat="1" x14ac:dyDescent="0.2"/>
    <row r="52636" s="689" customFormat="1" x14ac:dyDescent="0.2"/>
    <row r="52637" s="689" customFormat="1" x14ac:dyDescent="0.2"/>
    <row r="52638" s="689" customFormat="1" x14ac:dyDescent="0.2"/>
    <row r="52639" s="689" customFormat="1" x14ac:dyDescent="0.2"/>
    <row r="52640" s="689" customFormat="1" x14ac:dyDescent="0.2"/>
    <row r="52641" s="689" customFormat="1" x14ac:dyDescent="0.2"/>
    <row r="52642" s="689" customFormat="1" x14ac:dyDescent="0.2"/>
    <row r="52643" s="689" customFormat="1" x14ac:dyDescent="0.2"/>
    <row r="52644" s="689" customFormat="1" x14ac:dyDescent="0.2"/>
    <row r="52645" s="689" customFormat="1" x14ac:dyDescent="0.2"/>
    <row r="52646" s="689" customFormat="1" x14ac:dyDescent="0.2"/>
    <row r="52647" s="689" customFormat="1" x14ac:dyDescent="0.2"/>
    <row r="52648" s="689" customFormat="1" x14ac:dyDescent="0.2"/>
    <row r="52649" s="689" customFormat="1" x14ac:dyDescent="0.2"/>
    <row r="52650" s="689" customFormat="1" x14ac:dyDescent="0.2"/>
    <row r="52651" s="689" customFormat="1" x14ac:dyDescent="0.2"/>
    <row r="52652" s="689" customFormat="1" x14ac:dyDescent="0.2"/>
    <row r="52653" s="689" customFormat="1" x14ac:dyDescent="0.2"/>
    <row r="52654" s="689" customFormat="1" x14ac:dyDescent="0.2"/>
    <row r="52655" s="689" customFormat="1" x14ac:dyDescent="0.2"/>
    <row r="52656" s="689" customFormat="1" x14ac:dyDescent="0.2"/>
    <row r="52657" s="689" customFormat="1" x14ac:dyDescent="0.2"/>
    <row r="52658" s="689" customFormat="1" x14ac:dyDescent="0.2"/>
    <row r="52659" s="689" customFormat="1" x14ac:dyDescent="0.2"/>
    <row r="52660" s="689" customFormat="1" x14ac:dyDescent="0.2"/>
    <row r="52661" s="689" customFormat="1" x14ac:dyDescent="0.2"/>
    <row r="52662" s="689" customFormat="1" x14ac:dyDescent="0.2"/>
    <row r="52663" s="689" customFormat="1" x14ac:dyDescent="0.2"/>
    <row r="52664" s="689" customFormat="1" x14ac:dyDescent="0.2"/>
    <row r="52665" s="689" customFormat="1" x14ac:dyDescent="0.2"/>
    <row r="52666" s="689" customFormat="1" x14ac:dyDescent="0.2"/>
    <row r="52667" s="689" customFormat="1" x14ac:dyDescent="0.2"/>
    <row r="52668" s="689" customFormat="1" x14ac:dyDescent="0.2"/>
    <row r="52669" s="689" customFormat="1" x14ac:dyDescent="0.2"/>
    <row r="52670" s="689" customFormat="1" x14ac:dyDescent="0.2"/>
    <row r="52671" s="689" customFormat="1" x14ac:dyDescent="0.2"/>
    <row r="52672" s="689" customFormat="1" x14ac:dyDescent="0.2"/>
    <row r="52673" s="689" customFormat="1" x14ac:dyDescent="0.2"/>
    <row r="52674" s="689" customFormat="1" x14ac:dyDescent="0.2"/>
    <row r="52675" s="689" customFormat="1" x14ac:dyDescent="0.2"/>
    <row r="52676" s="689" customFormat="1" x14ac:dyDescent="0.2"/>
    <row r="52677" s="689" customFormat="1" x14ac:dyDescent="0.2"/>
    <row r="52678" s="689" customFormat="1" x14ac:dyDescent="0.2"/>
    <row r="52679" s="689" customFormat="1" x14ac:dyDescent="0.2"/>
    <row r="52680" s="689" customFormat="1" x14ac:dyDescent="0.2"/>
    <row r="52681" s="689" customFormat="1" x14ac:dyDescent="0.2"/>
    <row r="52682" s="689" customFormat="1" x14ac:dyDescent="0.2"/>
    <row r="52683" s="689" customFormat="1" x14ac:dyDescent="0.2"/>
    <row r="52684" s="689" customFormat="1" x14ac:dyDescent="0.2"/>
    <row r="52685" s="689" customFormat="1" x14ac:dyDescent="0.2"/>
    <row r="52686" s="689" customFormat="1" x14ac:dyDescent="0.2"/>
    <row r="52687" s="689" customFormat="1" x14ac:dyDescent="0.2"/>
    <row r="52688" s="689" customFormat="1" x14ac:dyDescent="0.2"/>
    <row r="52689" s="689" customFormat="1" x14ac:dyDescent="0.2"/>
    <row r="52690" s="689" customFormat="1" x14ac:dyDescent="0.2"/>
    <row r="52691" s="689" customFormat="1" x14ac:dyDescent="0.2"/>
    <row r="52692" s="689" customFormat="1" x14ac:dyDescent="0.2"/>
    <row r="52693" s="689" customFormat="1" x14ac:dyDescent="0.2"/>
    <row r="52694" s="689" customFormat="1" x14ac:dyDescent="0.2"/>
    <row r="52695" s="689" customFormat="1" x14ac:dyDescent="0.2"/>
    <row r="52696" s="689" customFormat="1" x14ac:dyDescent="0.2"/>
    <row r="52697" s="689" customFormat="1" x14ac:dyDescent="0.2"/>
    <row r="52698" s="689" customFormat="1" x14ac:dyDescent="0.2"/>
    <row r="52699" s="689" customFormat="1" x14ac:dyDescent="0.2"/>
    <row r="52700" s="689" customFormat="1" x14ac:dyDescent="0.2"/>
    <row r="52701" s="689" customFormat="1" x14ac:dyDescent="0.2"/>
    <row r="52702" s="689" customFormat="1" x14ac:dyDescent="0.2"/>
    <row r="52703" s="689" customFormat="1" x14ac:dyDescent="0.2"/>
    <row r="52704" s="689" customFormat="1" x14ac:dyDescent="0.2"/>
    <row r="52705" s="689" customFormat="1" x14ac:dyDescent="0.2"/>
    <row r="52706" s="689" customFormat="1" x14ac:dyDescent="0.2"/>
    <row r="52707" s="689" customFormat="1" x14ac:dyDescent="0.2"/>
    <row r="52708" s="689" customFormat="1" x14ac:dyDescent="0.2"/>
    <row r="52709" s="689" customFormat="1" x14ac:dyDescent="0.2"/>
    <row r="52710" s="689" customFormat="1" x14ac:dyDescent="0.2"/>
    <row r="52711" s="689" customFormat="1" x14ac:dyDescent="0.2"/>
    <row r="52712" s="689" customFormat="1" x14ac:dyDescent="0.2"/>
    <row r="52713" s="689" customFormat="1" x14ac:dyDescent="0.2"/>
    <row r="52714" s="689" customFormat="1" x14ac:dyDescent="0.2"/>
    <row r="52715" s="689" customFormat="1" x14ac:dyDescent="0.2"/>
    <row r="52716" s="689" customFormat="1" x14ac:dyDescent="0.2"/>
    <row r="52717" s="689" customFormat="1" x14ac:dyDescent="0.2"/>
    <row r="52718" s="689" customFormat="1" x14ac:dyDescent="0.2"/>
    <row r="52719" s="689" customFormat="1" x14ac:dyDescent="0.2"/>
    <row r="52720" s="689" customFormat="1" x14ac:dyDescent="0.2"/>
    <row r="52721" s="689" customFormat="1" x14ac:dyDescent="0.2"/>
    <row r="52722" s="689" customFormat="1" x14ac:dyDescent="0.2"/>
    <row r="52723" s="689" customFormat="1" x14ac:dyDescent="0.2"/>
    <row r="52724" s="689" customFormat="1" x14ac:dyDescent="0.2"/>
    <row r="52725" s="689" customFormat="1" x14ac:dyDescent="0.2"/>
    <row r="52726" s="689" customFormat="1" x14ac:dyDescent="0.2"/>
    <row r="52727" s="689" customFormat="1" x14ac:dyDescent="0.2"/>
    <row r="52728" s="689" customFormat="1" x14ac:dyDescent="0.2"/>
    <row r="52729" s="689" customFormat="1" x14ac:dyDescent="0.2"/>
    <row r="52730" s="689" customFormat="1" x14ac:dyDescent="0.2"/>
    <row r="52731" s="689" customFormat="1" x14ac:dyDescent="0.2"/>
    <row r="52732" s="689" customFormat="1" x14ac:dyDescent="0.2"/>
    <row r="52733" s="689" customFormat="1" x14ac:dyDescent="0.2"/>
    <row r="52734" s="689" customFormat="1" x14ac:dyDescent="0.2"/>
    <row r="52735" s="689" customFormat="1" x14ac:dyDescent="0.2"/>
    <row r="52736" s="689" customFormat="1" x14ac:dyDescent="0.2"/>
    <row r="52737" s="689" customFormat="1" x14ac:dyDescent="0.2"/>
    <row r="52738" s="689" customFormat="1" x14ac:dyDescent="0.2"/>
    <row r="52739" s="689" customFormat="1" x14ac:dyDescent="0.2"/>
    <row r="52740" s="689" customFormat="1" x14ac:dyDescent="0.2"/>
    <row r="52741" s="689" customFormat="1" x14ac:dyDescent="0.2"/>
    <row r="52742" s="689" customFormat="1" x14ac:dyDescent="0.2"/>
    <row r="52743" s="689" customFormat="1" x14ac:dyDescent="0.2"/>
    <row r="52744" s="689" customFormat="1" x14ac:dyDescent="0.2"/>
    <row r="52745" s="689" customFormat="1" x14ac:dyDescent="0.2"/>
    <row r="52746" s="689" customFormat="1" x14ac:dyDescent="0.2"/>
    <row r="52747" s="689" customFormat="1" x14ac:dyDescent="0.2"/>
    <row r="52748" s="689" customFormat="1" x14ac:dyDescent="0.2"/>
    <row r="52749" s="689" customFormat="1" x14ac:dyDescent="0.2"/>
    <row r="52750" s="689" customFormat="1" x14ac:dyDescent="0.2"/>
    <row r="52751" s="689" customFormat="1" x14ac:dyDescent="0.2"/>
    <row r="52752" s="689" customFormat="1" x14ac:dyDescent="0.2"/>
    <row r="52753" s="689" customFormat="1" x14ac:dyDescent="0.2"/>
    <row r="52754" s="689" customFormat="1" x14ac:dyDescent="0.2"/>
    <row r="52755" s="689" customFormat="1" x14ac:dyDescent="0.2"/>
    <row r="52756" s="689" customFormat="1" x14ac:dyDescent="0.2"/>
    <row r="52757" s="689" customFormat="1" x14ac:dyDescent="0.2"/>
    <row r="52758" s="689" customFormat="1" x14ac:dyDescent="0.2"/>
    <row r="52759" s="689" customFormat="1" x14ac:dyDescent="0.2"/>
    <row r="52760" s="689" customFormat="1" x14ac:dyDescent="0.2"/>
    <row r="52761" s="689" customFormat="1" x14ac:dyDescent="0.2"/>
    <row r="52762" s="689" customFormat="1" x14ac:dyDescent="0.2"/>
    <row r="52763" s="689" customFormat="1" x14ac:dyDescent="0.2"/>
    <row r="52764" s="689" customFormat="1" x14ac:dyDescent="0.2"/>
    <row r="52765" s="689" customFormat="1" x14ac:dyDescent="0.2"/>
    <row r="52766" s="689" customFormat="1" x14ac:dyDescent="0.2"/>
    <row r="52767" s="689" customFormat="1" x14ac:dyDescent="0.2"/>
    <row r="52768" s="689" customFormat="1" x14ac:dyDescent="0.2"/>
    <row r="52769" s="689" customFormat="1" x14ac:dyDescent="0.2"/>
    <row r="52770" s="689" customFormat="1" x14ac:dyDescent="0.2"/>
    <row r="52771" s="689" customFormat="1" x14ac:dyDescent="0.2"/>
    <row r="52772" s="689" customFormat="1" x14ac:dyDescent="0.2"/>
    <row r="52773" s="689" customFormat="1" x14ac:dyDescent="0.2"/>
    <row r="52774" s="689" customFormat="1" x14ac:dyDescent="0.2"/>
    <row r="52775" s="689" customFormat="1" x14ac:dyDescent="0.2"/>
    <row r="52776" s="689" customFormat="1" x14ac:dyDescent="0.2"/>
    <row r="52777" s="689" customFormat="1" x14ac:dyDescent="0.2"/>
    <row r="52778" s="689" customFormat="1" x14ac:dyDescent="0.2"/>
    <row r="52779" s="689" customFormat="1" x14ac:dyDescent="0.2"/>
    <row r="52780" s="689" customFormat="1" x14ac:dyDescent="0.2"/>
    <row r="52781" s="689" customFormat="1" x14ac:dyDescent="0.2"/>
    <row r="52782" s="689" customFormat="1" x14ac:dyDescent="0.2"/>
    <row r="52783" s="689" customFormat="1" x14ac:dyDescent="0.2"/>
    <row r="52784" s="689" customFormat="1" x14ac:dyDescent="0.2"/>
    <row r="52785" s="689" customFormat="1" x14ac:dyDescent="0.2"/>
    <row r="52786" s="689" customFormat="1" x14ac:dyDescent="0.2"/>
    <row r="52787" s="689" customFormat="1" x14ac:dyDescent="0.2"/>
    <row r="52788" s="689" customFormat="1" x14ac:dyDescent="0.2"/>
    <row r="52789" s="689" customFormat="1" x14ac:dyDescent="0.2"/>
    <row r="52790" s="689" customFormat="1" x14ac:dyDescent="0.2"/>
    <row r="52791" s="689" customFormat="1" x14ac:dyDescent="0.2"/>
    <row r="52792" s="689" customFormat="1" x14ac:dyDescent="0.2"/>
    <row r="52793" s="689" customFormat="1" x14ac:dyDescent="0.2"/>
    <row r="52794" s="689" customFormat="1" x14ac:dyDescent="0.2"/>
    <row r="52795" s="689" customFormat="1" x14ac:dyDescent="0.2"/>
    <row r="52796" s="689" customFormat="1" x14ac:dyDescent="0.2"/>
    <row r="52797" s="689" customFormat="1" x14ac:dyDescent="0.2"/>
    <row r="52798" s="689" customFormat="1" x14ac:dyDescent="0.2"/>
    <row r="52799" s="689" customFormat="1" x14ac:dyDescent="0.2"/>
    <row r="52800" s="689" customFormat="1" x14ac:dyDescent="0.2"/>
    <row r="52801" s="689" customFormat="1" x14ac:dyDescent="0.2"/>
    <row r="52802" s="689" customFormat="1" x14ac:dyDescent="0.2"/>
    <row r="52803" s="689" customFormat="1" x14ac:dyDescent="0.2"/>
    <row r="52804" s="689" customFormat="1" x14ac:dyDescent="0.2"/>
    <row r="52805" s="689" customFormat="1" x14ac:dyDescent="0.2"/>
    <row r="52806" s="689" customFormat="1" x14ac:dyDescent="0.2"/>
    <row r="52807" s="689" customFormat="1" x14ac:dyDescent="0.2"/>
    <row r="52808" s="689" customFormat="1" x14ac:dyDescent="0.2"/>
    <row r="52809" s="689" customFormat="1" x14ac:dyDescent="0.2"/>
    <row r="52810" s="689" customFormat="1" x14ac:dyDescent="0.2"/>
    <row r="52811" s="689" customFormat="1" x14ac:dyDescent="0.2"/>
    <row r="52812" s="689" customFormat="1" x14ac:dyDescent="0.2"/>
    <row r="52813" s="689" customFormat="1" x14ac:dyDescent="0.2"/>
    <row r="52814" s="689" customFormat="1" x14ac:dyDescent="0.2"/>
    <row r="52815" s="689" customFormat="1" x14ac:dyDescent="0.2"/>
    <row r="52816" s="689" customFormat="1" x14ac:dyDescent="0.2"/>
    <row r="52817" s="689" customFormat="1" x14ac:dyDescent="0.2"/>
    <row r="52818" s="689" customFormat="1" x14ac:dyDescent="0.2"/>
    <row r="52819" s="689" customFormat="1" x14ac:dyDescent="0.2"/>
    <row r="52820" s="689" customFormat="1" x14ac:dyDescent="0.2"/>
    <row r="52821" s="689" customFormat="1" x14ac:dyDescent="0.2"/>
    <row r="52822" s="689" customFormat="1" x14ac:dyDescent="0.2"/>
    <row r="52823" s="689" customFormat="1" x14ac:dyDescent="0.2"/>
    <row r="52824" s="689" customFormat="1" x14ac:dyDescent="0.2"/>
    <row r="52825" s="689" customFormat="1" x14ac:dyDescent="0.2"/>
    <row r="52826" s="689" customFormat="1" x14ac:dyDescent="0.2"/>
    <row r="52827" s="689" customFormat="1" x14ac:dyDescent="0.2"/>
    <row r="52828" s="689" customFormat="1" x14ac:dyDescent="0.2"/>
    <row r="52829" s="689" customFormat="1" x14ac:dyDescent="0.2"/>
    <row r="52830" s="689" customFormat="1" x14ac:dyDescent="0.2"/>
    <row r="52831" s="689" customFormat="1" x14ac:dyDescent="0.2"/>
    <row r="52832" s="689" customFormat="1" x14ac:dyDescent="0.2"/>
    <row r="52833" s="689" customFormat="1" x14ac:dyDescent="0.2"/>
    <row r="52834" s="689" customFormat="1" x14ac:dyDescent="0.2"/>
    <row r="52835" s="689" customFormat="1" x14ac:dyDescent="0.2"/>
    <row r="52836" s="689" customFormat="1" x14ac:dyDescent="0.2"/>
    <row r="52837" s="689" customFormat="1" x14ac:dyDescent="0.2"/>
    <row r="52838" s="689" customFormat="1" x14ac:dyDescent="0.2"/>
    <row r="52839" s="689" customFormat="1" x14ac:dyDescent="0.2"/>
    <row r="52840" s="689" customFormat="1" x14ac:dyDescent="0.2"/>
    <row r="52841" s="689" customFormat="1" x14ac:dyDescent="0.2"/>
    <row r="52842" s="689" customFormat="1" x14ac:dyDescent="0.2"/>
    <row r="52843" s="689" customFormat="1" x14ac:dyDescent="0.2"/>
    <row r="52844" s="689" customFormat="1" x14ac:dyDescent="0.2"/>
    <row r="52845" s="689" customFormat="1" x14ac:dyDescent="0.2"/>
    <row r="52846" s="689" customFormat="1" x14ac:dyDescent="0.2"/>
    <row r="52847" s="689" customFormat="1" x14ac:dyDescent="0.2"/>
    <row r="52848" s="689" customFormat="1" x14ac:dyDescent="0.2"/>
    <row r="52849" s="689" customFormat="1" x14ac:dyDescent="0.2"/>
    <row r="52850" s="689" customFormat="1" x14ac:dyDescent="0.2"/>
    <row r="52851" s="689" customFormat="1" x14ac:dyDescent="0.2"/>
    <row r="52852" s="689" customFormat="1" x14ac:dyDescent="0.2"/>
    <row r="52853" s="689" customFormat="1" x14ac:dyDescent="0.2"/>
    <row r="52854" s="689" customFormat="1" x14ac:dyDescent="0.2"/>
    <row r="52855" s="689" customFormat="1" x14ac:dyDescent="0.2"/>
    <row r="52856" s="689" customFormat="1" x14ac:dyDescent="0.2"/>
    <row r="52857" s="689" customFormat="1" x14ac:dyDescent="0.2"/>
    <row r="52858" s="689" customFormat="1" x14ac:dyDescent="0.2"/>
    <row r="52859" s="689" customFormat="1" x14ac:dyDescent="0.2"/>
    <row r="52860" s="689" customFormat="1" x14ac:dyDescent="0.2"/>
    <row r="52861" s="689" customFormat="1" x14ac:dyDescent="0.2"/>
    <row r="52862" s="689" customFormat="1" x14ac:dyDescent="0.2"/>
    <row r="52863" s="689" customFormat="1" x14ac:dyDescent="0.2"/>
    <row r="52864" s="689" customFormat="1" x14ac:dyDescent="0.2"/>
    <row r="52865" s="689" customFormat="1" x14ac:dyDescent="0.2"/>
    <row r="52866" s="689" customFormat="1" x14ac:dyDescent="0.2"/>
    <row r="52867" s="689" customFormat="1" x14ac:dyDescent="0.2"/>
    <row r="52868" s="689" customFormat="1" x14ac:dyDescent="0.2"/>
    <row r="52869" s="689" customFormat="1" x14ac:dyDescent="0.2"/>
    <row r="52870" s="689" customFormat="1" x14ac:dyDescent="0.2"/>
    <row r="52871" s="689" customFormat="1" x14ac:dyDescent="0.2"/>
    <row r="52872" s="689" customFormat="1" x14ac:dyDescent="0.2"/>
    <row r="52873" s="689" customFormat="1" x14ac:dyDescent="0.2"/>
    <row r="52874" s="689" customFormat="1" x14ac:dyDescent="0.2"/>
    <row r="52875" s="689" customFormat="1" x14ac:dyDescent="0.2"/>
    <row r="52876" s="689" customFormat="1" x14ac:dyDescent="0.2"/>
    <row r="52877" s="689" customFormat="1" x14ac:dyDescent="0.2"/>
    <row r="52878" s="689" customFormat="1" x14ac:dyDescent="0.2"/>
    <row r="52879" s="689" customFormat="1" x14ac:dyDescent="0.2"/>
    <row r="52880" s="689" customFormat="1" x14ac:dyDescent="0.2"/>
    <row r="52881" s="689" customFormat="1" x14ac:dyDescent="0.2"/>
    <row r="52882" s="689" customFormat="1" x14ac:dyDescent="0.2"/>
    <row r="52883" s="689" customFormat="1" x14ac:dyDescent="0.2"/>
    <row r="52884" s="689" customFormat="1" x14ac:dyDescent="0.2"/>
    <row r="52885" s="689" customFormat="1" x14ac:dyDescent="0.2"/>
    <row r="52886" s="689" customFormat="1" x14ac:dyDescent="0.2"/>
    <row r="52887" s="689" customFormat="1" x14ac:dyDescent="0.2"/>
    <row r="52888" s="689" customFormat="1" x14ac:dyDescent="0.2"/>
    <row r="52889" s="689" customFormat="1" x14ac:dyDescent="0.2"/>
    <row r="52890" s="689" customFormat="1" x14ac:dyDescent="0.2"/>
    <row r="52891" s="689" customFormat="1" x14ac:dyDescent="0.2"/>
    <row r="52892" s="689" customFormat="1" x14ac:dyDescent="0.2"/>
    <row r="52893" s="689" customFormat="1" x14ac:dyDescent="0.2"/>
    <row r="52894" s="689" customFormat="1" x14ac:dyDescent="0.2"/>
    <row r="52895" s="689" customFormat="1" x14ac:dyDescent="0.2"/>
    <row r="52896" s="689" customFormat="1" x14ac:dyDescent="0.2"/>
    <row r="52897" s="689" customFormat="1" x14ac:dyDescent="0.2"/>
    <row r="52898" s="689" customFormat="1" x14ac:dyDescent="0.2"/>
    <row r="52899" s="689" customFormat="1" x14ac:dyDescent="0.2"/>
    <row r="52900" s="689" customFormat="1" x14ac:dyDescent="0.2"/>
    <row r="52901" s="689" customFormat="1" x14ac:dyDescent="0.2"/>
    <row r="52902" s="689" customFormat="1" x14ac:dyDescent="0.2"/>
    <row r="52903" s="689" customFormat="1" x14ac:dyDescent="0.2"/>
    <row r="52904" s="689" customFormat="1" x14ac:dyDescent="0.2"/>
    <row r="52905" s="689" customFormat="1" x14ac:dyDescent="0.2"/>
    <row r="52906" s="689" customFormat="1" x14ac:dyDescent="0.2"/>
    <row r="52907" s="689" customFormat="1" x14ac:dyDescent="0.2"/>
    <row r="52908" s="689" customFormat="1" x14ac:dyDescent="0.2"/>
    <row r="52909" s="689" customFormat="1" x14ac:dyDescent="0.2"/>
    <row r="52910" s="689" customFormat="1" x14ac:dyDescent="0.2"/>
    <row r="52911" s="689" customFormat="1" x14ac:dyDescent="0.2"/>
    <row r="52912" s="689" customFormat="1" x14ac:dyDescent="0.2"/>
    <row r="52913" s="689" customFormat="1" x14ac:dyDescent="0.2"/>
    <row r="52914" s="689" customFormat="1" x14ac:dyDescent="0.2"/>
    <row r="52915" s="689" customFormat="1" x14ac:dyDescent="0.2"/>
    <row r="52916" s="689" customFormat="1" x14ac:dyDescent="0.2"/>
    <row r="52917" s="689" customFormat="1" x14ac:dyDescent="0.2"/>
    <row r="52918" s="689" customFormat="1" x14ac:dyDescent="0.2"/>
    <row r="52919" s="689" customFormat="1" x14ac:dyDescent="0.2"/>
    <row r="52920" s="689" customFormat="1" x14ac:dyDescent="0.2"/>
    <row r="52921" s="689" customFormat="1" x14ac:dyDescent="0.2"/>
    <row r="52922" s="689" customFormat="1" x14ac:dyDescent="0.2"/>
    <row r="52923" s="689" customFormat="1" x14ac:dyDescent="0.2"/>
    <row r="52924" s="689" customFormat="1" x14ac:dyDescent="0.2"/>
    <row r="52925" s="689" customFormat="1" x14ac:dyDescent="0.2"/>
    <row r="52926" s="689" customFormat="1" x14ac:dyDescent="0.2"/>
    <row r="52927" s="689" customFormat="1" x14ac:dyDescent="0.2"/>
    <row r="52928" s="689" customFormat="1" x14ac:dyDescent="0.2"/>
    <row r="52929" s="689" customFormat="1" x14ac:dyDescent="0.2"/>
    <row r="52930" s="689" customFormat="1" x14ac:dyDescent="0.2"/>
    <row r="52931" s="689" customFormat="1" x14ac:dyDescent="0.2"/>
    <row r="52932" s="689" customFormat="1" x14ac:dyDescent="0.2"/>
    <row r="52933" s="689" customFormat="1" x14ac:dyDescent="0.2"/>
    <row r="52934" s="689" customFormat="1" x14ac:dyDescent="0.2"/>
    <row r="52935" s="689" customFormat="1" x14ac:dyDescent="0.2"/>
    <row r="52936" s="689" customFormat="1" x14ac:dyDescent="0.2"/>
    <row r="52937" s="689" customFormat="1" x14ac:dyDescent="0.2"/>
    <row r="52938" s="689" customFormat="1" x14ac:dyDescent="0.2"/>
    <row r="52939" s="689" customFormat="1" x14ac:dyDescent="0.2"/>
    <row r="52940" s="689" customFormat="1" x14ac:dyDescent="0.2"/>
    <row r="52941" s="689" customFormat="1" x14ac:dyDescent="0.2"/>
    <row r="52942" s="689" customFormat="1" x14ac:dyDescent="0.2"/>
    <row r="52943" s="689" customFormat="1" x14ac:dyDescent="0.2"/>
    <row r="52944" s="689" customFormat="1" x14ac:dyDescent="0.2"/>
    <row r="52945" s="689" customFormat="1" x14ac:dyDescent="0.2"/>
    <row r="52946" s="689" customFormat="1" x14ac:dyDescent="0.2"/>
    <row r="52947" s="689" customFormat="1" x14ac:dyDescent="0.2"/>
    <row r="52948" s="689" customFormat="1" x14ac:dyDescent="0.2"/>
    <row r="52949" s="689" customFormat="1" x14ac:dyDescent="0.2"/>
    <row r="52950" s="689" customFormat="1" x14ac:dyDescent="0.2"/>
    <row r="52951" s="689" customFormat="1" x14ac:dyDescent="0.2"/>
    <row r="52952" s="689" customFormat="1" x14ac:dyDescent="0.2"/>
    <row r="52953" s="689" customFormat="1" x14ac:dyDescent="0.2"/>
    <row r="52954" s="689" customFormat="1" x14ac:dyDescent="0.2"/>
    <row r="52955" s="689" customFormat="1" x14ac:dyDescent="0.2"/>
    <row r="52956" s="689" customFormat="1" x14ac:dyDescent="0.2"/>
    <row r="52957" s="689" customFormat="1" x14ac:dyDescent="0.2"/>
    <row r="52958" s="689" customFormat="1" x14ac:dyDescent="0.2"/>
    <row r="52959" s="689" customFormat="1" x14ac:dyDescent="0.2"/>
    <row r="52960" s="689" customFormat="1" x14ac:dyDescent="0.2"/>
    <row r="52961" s="689" customFormat="1" x14ac:dyDescent="0.2"/>
    <row r="52962" s="689" customFormat="1" x14ac:dyDescent="0.2"/>
    <row r="52963" s="689" customFormat="1" x14ac:dyDescent="0.2"/>
    <row r="52964" s="689" customFormat="1" x14ac:dyDescent="0.2"/>
    <row r="52965" s="689" customFormat="1" x14ac:dyDescent="0.2"/>
    <row r="52966" s="689" customFormat="1" x14ac:dyDescent="0.2"/>
    <row r="52967" s="689" customFormat="1" x14ac:dyDescent="0.2"/>
    <row r="52968" s="689" customFormat="1" x14ac:dyDescent="0.2"/>
    <row r="52969" s="689" customFormat="1" x14ac:dyDescent="0.2"/>
    <row r="52970" s="689" customFormat="1" x14ac:dyDescent="0.2"/>
    <row r="52971" s="689" customFormat="1" x14ac:dyDescent="0.2"/>
    <row r="52972" s="689" customFormat="1" x14ac:dyDescent="0.2"/>
    <row r="52973" s="689" customFormat="1" x14ac:dyDescent="0.2"/>
    <row r="52974" s="689" customFormat="1" x14ac:dyDescent="0.2"/>
    <row r="52975" s="689" customFormat="1" x14ac:dyDescent="0.2"/>
    <row r="52976" s="689" customFormat="1" x14ac:dyDescent="0.2"/>
    <row r="52977" s="689" customFormat="1" x14ac:dyDescent="0.2"/>
    <row r="52978" s="689" customFormat="1" x14ac:dyDescent="0.2"/>
    <row r="52979" s="689" customFormat="1" x14ac:dyDescent="0.2"/>
    <row r="52980" s="689" customFormat="1" x14ac:dyDescent="0.2"/>
    <row r="52981" s="689" customFormat="1" x14ac:dyDescent="0.2"/>
    <row r="52982" s="689" customFormat="1" x14ac:dyDescent="0.2"/>
    <row r="52983" s="689" customFormat="1" x14ac:dyDescent="0.2"/>
    <row r="52984" s="689" customFormat="1" x14ac:dyDescent="0.2"/>
    <row r="52985" s="689" customFormat="1" x14ac:dyDescent="0.2"/>
    <row r="52986" s="689" customFormat="1" x14ac:dyDescent="0.2"/>
    <row r="52987" s="689" customFormat="1" x14ac:dyDescent="0.2"/>
    <row r="52988" s="689" customFormat="1" x14ac:dyDescent="0.2"/>
    <row r="52989" s="689" customFormat="1" x14ac:dyDescent="0.2"/>
    <row r="52990" s="689" customFormat="1" x14ac:dyDescent="0.2"/>
    <row r="52991" s="689" customFormat="1" x14ac:dyDescent="0.2"/>
    <row r="52992" s="689" customFormat="1" x14ac:dyDescent="0.2"/>
    <row r="52993" s="689" customFormat="1" x14ac:dyDescent="0.2"/>
    <row r="52994" s="689" customFormat="1" x14ac:dyDescent="0.2"/>
    <row r="52995" s="689" customFormat="1" x14ac:dyDescent="0.2"/>
    <row r="52996" s="689" customFormat="1" x14ac:dyDescent="0.2"/>
    <row r="52997" s="689" customFormat="1" x14ac:dyDescent="0.2"/>
    <row r="52998" s="689" customFormat="1" x14ac:dyDescent="0.2"/>
    <row r="52999" s="689" customFormat="1" x14ac:dyDescent="0.2"/>
    <row r="53000" s="689" customFormat="1" x14ac:dyDescent="0.2"/>
    <row r="53001" s="689" customFormat="1" x14ac:dyDescent="0.2"/>
    <row r="53002" s="689" customFormat="1" x14ac:dyDescent="0.2"/>
    <row r="53003" s="689" customFormat="1" x14ac:dyDescent="0.2"/>
    <row r="53004" s="689" customFormat="1" x14ac:dyDescent="0.2"/>
    <row r="53005" s="689" customFormat="1" x14ac:dyDescent="0.2"/>
    <row r="53006" s="689" customFormat="1" x14ac:dyDescent="0.2"/>
    <row r="53007" s="689" customFormat="1" x14ac:dyDescent="0.2"/>
    <row r="53008" s="689" customFormat="1" x14ac:dyDescent="0.2"/>
    <row r="53009" s="689" customFormat="1" x14ac:dyDescent="0.2"/>
    <row r="53010" s="689" customFormat="1" x14ac:dyDescent="0.2"/>
    <row r="53011" s="689" customFormat="1" x14ac:dyDescent="0.2"/>
    <row r="53012" s="689" customFormat="1" x14ac:dyDescent="0.2"/>
    <row r="53013" s="689" customFormat="1" x14ac:dyDescent="0.2"/>
    <row r="53014" s="689" customFormat="1" x14ac:dyDescent="0.2"/>
    <row r="53015" s="689" customFormat="1" x14ac:dyDescent="0.2"/>
    <row r="53016" s="689" customFormat="1" x14ac:dyDescent="0.2"/>
    <row r="53017" s="689" customFormat="1" x14ac:dyDescent="0.2"/>
    <row r="53018" s="689" customFormat="1" x14ac:dyDescent="0.2"/>
    <row r="53019" s="689" customFormat="1" x14ac:dyDescent="0.2"/>
    <row r="53020" s="689" customFormat="1" x14ac:dyDescent="0.2"/>
    <row r="53021" s="689" customFormat="1" x14ac:dyDescent="0.2"/>
    <row r="53022" s="689" customFormat="1" x14ac:dyDescent="0.2"/>
    <row r="53023" s="689" customFormat="1" x14ac:dyDescent="0.2"/>
    <row r="53024" s="689" customFormat="1" x14ac:dyDescent="0.2"/>
    <row r="53025" s="689" customFormat="1" x14ac:dyDescent="0.2"/>
    <row r="53026" s="689" customFormat="1" x14ac:dyDescent="0.2"/>
    <row r="53027" s="689" customFormat="1" x14ac:dyDescent="0.2"/>
    <row r="53028" s="689" customFormat="1" x14ac:dyDescent="0.2"/>
    <row r="53029" s="689" customFormat="1" x14ac:dyDescent="0.2"/>
    <row r="53030" s="689" customFormat="1" x14ac:dyDescent="0.2"/>
    <row r="53031" s="689" customFormat="1" x14ac:dyDescent="0.2"/>
    <row r="53032" s="689" customFormat="1" x14ac:dyDescent="0.2"/>
    <row r="53033" s="689" customFormat="1" x14ac:dyDescent="0.2"/>
    <row r="53034" s="689" customFormat="1" x14ac:dyDescent="0.2"/>
    <row r="53035" s="689" customFormat="1" x14ac:dyDescent="0.2"/>
    <row r="53036" s="689" customFormat="1" x14ac:dyDescent="0.2"/>
    <row r="53037" s="689" customFormat="1" x14ac:dyDescent="0.2"/>
    <row r="53038" s="689" customFormat="1" x14ac:dyDescent="0.2"/>
    <row r="53039" s="689" customFormat="1" x14ac:dyDescent="0.2"/>
    <row r="53040" s="689" customFormat="1" x14ac:dyDescent="0.2"/>
    <row r="53041" s="689" customFormat="1" x14ac:dyDescent="0.2"/>
    <row r="53042" s="689" customFormat="1" x14ac:dyDescent="0.2"/>
    <row r="53043" s="689" customFormat="1" x14ac:dyDescent="0.2"/>
    <row r="53044" s="689" customFormat="1" x14ac:dyDescent="0.2"/>
    <row r="53045" s="689" customFormat="1" x14ac:dyDescent="0.2"/>
    <row r="53046" s="689" customFormat="1" x14ac:dyDescent="0.2"/>
    <row r="53047" s="689" customFormat="1" x14ac:dyDescent="0.2"/>
    <row r="53048" s="689" customFormat="1" x14ac:dyDescent="0.2"/>
    <row r="53049" s="689" customFormat="1" x14ac:dyDescent="0.2"/>
    <row r="53050" s="689" customFormat="1" x14ac:dyDescent="0.2"/>
    <row r="53051" s="689" customFormat="1" x14ac:dyDescent="0.2"/>
    <row r="53052" s="689" customFormat="1" x14ac:dyDescent="0.2"/>
    <row r="53053" s="689" customFormat="1" x14ac:dyDescent="0.2"/>
    <row r="53054" s="689" customFormat="1" x14ac:dyDescent="0.2"/>
    <row r="53055" s="689" customFormat="1" x14ac:dyDescent="0.2"/>
    <row r="53056" s="689" customFormat="1" x14ac:dyDescent="0.2"/>
    <row r="53057" s="689" customFormat="1" x14ac:dyDescent="0.2"/>
    <row r="53058" s="689" customFormat="1" x14ac:dyDescent="0.2"/>
    <row r="53059" s="689" customFormat="1" x14ac:dyDescent="0.2"/>
    <row r="53060" s="689" customFormat="1" x14ac:dyDescent="0.2"/>
    <row r="53061" s="689" customFormat="1" x14ac:dyDescent="0.2"/>
    <row r="53062" s="689" customFormat="1" x14ac:dyDescent="0.2"/>
    <row r="53063" s="689" customFormat="1" x14ac:dyDescent="0.2"/>
    <row r="53064" s="689" customFormat="1" x14ac:dyDescent="0.2"/>
    <row r="53065" s="689" customFormat="1" x14ac:dyDescent="0.2"/>
    <row r="53066" s="689" customFormat="1" x14ac:dyDescent="0.2"/>
    <row r="53067" s="689" customFormat="1" x14ac:dyDescent="0.2"/>
    <row r="53068" s="689" customFormat="1" x14ac:dyDescent="0.2"/>
    <row r="53069" s="689" customFormat="1" x14ac:dyDescent="0.2"/>
    <row r="53070" s="689" customFormat="1" x14ac:dyDescent="0.2"/>
    <row r="53071" s="689" customFormat="1" x14ac:dyDescent="0.2"/>
    <row r="53072" s="689" customFormat="1" x14ac:dyDescent="0.2"/>
    <row r="53073" s="689" customFormat="1" x14ac:dyDescent="0.2"/>
    <row r="53074" s="689" customFormat="1" x14ac:dyDescent="0.2"/>
    <row r="53075" s="689" customFormat="1" x14ac:dyDescent="0.2"/>
    <row r="53076" s="689" customFormat="1" x14ac:dyDescent="0.2"/>
    <row r="53077" s="689" customFormat="1" x14ac:dyDescent="0.2"/>
    <row r="53078" s="689" customFormat="1" x14ac:dyDescent="0.2"/>
    <row r="53079" s="689" customFormat="1" x14ac:dyDescent="0.2"/>
    <row r="53080" s="689" customFormat="1" x14ac:dyDescent="0.2"/>
    <row r="53081" s="689" customFormat="1" x14ac:dyDescent="0.2"/>
    <row r="53082" s="689" customFormat="1" x14ac:dyDescent="0.2"/>
    <row r="53083" s="689" customFormat="1" x14ac:dyDescent="0.2"/>
    <row r="53084" s="689" customFormat="1" x14ac:dyDescent="0.2"/>
    <row r="53085" s="689" customFormat="1" x14ac:dyDescent="0.2"/>
    <row r="53086" s="689" customFormat="1" x14ac:dyDescent="0.2"/>
    <row r="53087" s="689" customFormat="1" x14ac:dyDescent="0.2"/>
    <row r="53088" s="689" customFormat="1" x14ac:dyDescent="0.2"/>
    <row r="53089" s="689" customFormat="1" x14ac:dyDescent="0.2"/>
    <row r="53090" s="689" customFormat="1" x14ac:dyDescent="0.2"/>
    <row r="53091" s="689" customFormat="1" x14ac:dyDescent="0.2"/>
    <row r="53092" s="689" customFormat="1" x14ac:dyDescent="0.2"/>
    <row r="53093" s="689" customFormat="1" x14ac:dyDescent="0.2"/>
    <row r="53094" s="689" customFormat="1" x14ac:dyDescent="0.2"/>
    <row r="53095" s="689" customFormat="1" x14ac:dyDescent="0.2"/>
    <row r="53096" s="689" customFormat="1" x14ac:dyDescent="0.2"/>
    <row r="53097" s="689" customFormat="1" x14ac:dyDescent="0.2"/>
    <row r="53098" s="689" customFormat="1" x14ac:dyDescent="0.2"/>
    <row r="53099" s="689" customFormat="1" x14ac:dyDescent="0.2"/>
    <row r="53100" s="689" customFormat="1" x14ac:dyDescent="0.2"/>
    <row r="53101" s="689" customFormat="1" x14ac:dyDescent="0.2"/>
    <row r="53102" s="689" customFormat="1" x14ac:dyDescent="0.2"/>
    <row r="53103" s="689" customFormat="1" x14ac:dyDescent="0.2"/>
    <row r="53104" s="689" customFormat="1" x14ac:dyDescent="0.2"/>
    <row r="53105" s="689" customFormat="1" x14ac:dyDescent="0.2"/>
    <row r="53106" s="689" customFormat="1" x14ac:dyDescent="0.2"/>
    <row r="53107" s="689" customFormat="1" x14ac:dyDescent="0.2"/>
    <row r="53108" s="689" customFormat="1" x14ac:dyDescent="0.2"/>
    <row r="53109" s="689" customFormat="1" x14ac:dyDescent="0.2"/>
    <row r="53110" s="689" customFormat="1" x14ac:dyDescent="0.2"/>
    <row r="53111" s="689" customFormat="1" x14ac:dyDescent="0.2"/>
    <row r="53112" s="689" customFormat="1" x14ac:dyDescent="0.2"/>
    <row r="53113" s="689" customFormat="1" x14ac:dyDescent="0.2"/>
    <row r="53114" s="689" customFormat="1" x14ac:dyDescent="0.2"/>
    <row r="53115" s="689" customFormat="1" x14ac:dyDescent="0.2"/>
    <row r="53116" s="689" customFormat="1" x14ac:dyDescent="0.2"/>
    <row r="53117" s="689" customFormat="1" x14ac:dyDescent="0.2"/>
    <row r="53118" s="689" customFormat="1" x14ac:dyDescent="0.2"/>
    <row r="53119" s="689" customFormat="1" x14ac:dyDescent="0.2"/>
    <row r="53120" s="689" customFormat="1" x14ac:dyDescent="0.2"/>
    <row r="53121" s="689" customFormat="1" x14ac:dyDescent="0.2"/>
    <row r="53122" s="689" customFormat="1" x14ac:dyDescent="0.2"/>
    <row r="53123" s="689" customFormat="1" x14ac:dyDescent="0.2"/>
    <row r="53124" s="689" customFormat="1" x14ac:dyDescent="0.2"/>
    <row r="53125" s="689" customFormat="1" x14ac:dyDescent="0.2"/>
    <row r="53126" s="689" customFormat="1" x14ac:dyDescent="0.2"/>
    <row r="53127" s="689" customFormat="1" x14ac:dyDescent="0.2"/>
    <row r="53128" s="689" customFormat="1" x14ac:dyDescent="0.2"/>
    <row r="53129" s="689" customFormat="1" x14ac:dyDescent="0.2"/>
    <row r="53130" s="689" customFormat="1" x14ac:dyDescent="0.2"/>
    <row r="53131" s="689" customFormat="1" x14ac:dyDescent="0.2"/>
    <row r="53132" s="689" customFormat="1" x14ac:dyDescent="0.2"/>
    <row r="53133" s="689" customFormat="1" x14ac:dyDescent="0.2"/>
    <row r="53134" s="689" customFormat="1" x14ac:dyDescent="0.2"/>
    <row r="53135" s="689" customFormat="1" x14ac:dyDescent="0.2"/>
    <row r="53136" s="689" customFormat="1" x14ac:dyDescent="0.2"/>
    <row r="53137" s="689" customFormat="1" x14ac:dyDescent="0.2"/>
    <row r="53138" s="689" customFormat="1" x14ac:dyDescent="0.2"/>
    <row r="53139" s="689" customFormat="1" x14ac:dyDescent="0.2"/>
    <row r="53140" s="689" customFormat="1" x14ac:dyDescent="0.2"/>
    <row r="53141" s="689" customFormat="1" x14ac:dyDescent="0.2"/>
    <row r="53142" s="689" customFormat="1" x14ac:dyDescent="0.2"/>
    <row r="53143" s="689" customFormat="1" x14ac:dyDescent="0.2"/>
    <row r="53144" s="689" customFormat="1" x14ac:dyDescent="0.2"/>
    <row r="53145" s="689" customFormat="1" x14ac:dyDescent="0.2"/>
    <row r="53146" s="689" customFormat="1" x14ac:dyDescent="0.2"/>
    <row r="53147" s="689" customFormat="1" x14ac:dyDescent="0.2"/>
    <row r="53148" s="689" customFormat="1" x14ac:dyDescent="0.2"/>
    <row r="53149" s="689" customFormat="1" x14ac:dyDescent="0.2"/>
    <row r="53150" s="689" customFormat="1" x14ac:dyDescent="0.2"/>
    <row r="53151" s="689" customFormat="1" x14ac:dyDescent="0.2"/>
    <row r="53152" s="689" customFormat="1" x14ac:dyDescent="0.2"/>
    <row r="53153" s="689" customFormat="1" x14ac:dyDescent="0.2"/>
    <row r="53154" s="689" customFormat="1" x14ac:dyDescent="0.2"/>
    <row r="53155" s="689" customFormat="1" x14ac:dyDescent="0.2"/>
    <row r="53156" s="689" customFormat="1" x14ac:dyDescent="0.2"/>
    <row r="53157" s="689" customFormat="1" x14ac:dyDescent="0.2"/>
    <row r="53158" s="689" customFormat="1" x14ac:dyDescent="0.2"/>
    <row r="53159" s="689" customFormat="1" x14ac:dyDescent="0.2"/>
    <row r="53160" s="689" customFormat="1" x14ac:dyDescent="0.2"/>
    <row r="53161" s="689" customFormat="1" x14ac:dyDescent="0.2"/>
    <row r="53162" s="689" customFormat="1" x14ac:dyDescent="0.2"/>
    <row r="53163" s="689" customFormat="1" x14ac:dyDescent="0.2"/>
    <row r="53164" s="689" customFormat="1" x14ac:dyDescent="0.2"/>
    <row r="53165" s="689" customFormat="1" x14ac:dyDescent="0.2"/>
    <row r="53166" s="689" customFormat="1" x14ac:dyDescent="0.2"/>
    <row r="53167" s="689" customFormat="1" x14ac:dyDescent="0.2"/>
    <row r="53168" s="689" customFormat="1" x14ac:dyDescent="0.2"/>
    <row r="53169" s="689" customFormat="1" x14ac:dyDescent="0.2"/>
    <row r="53170" s="689" customFormat="1" x14ac:dyDescent="0.2"/>
    <row r="53171" s="689" customFormat="1" x14ac:dyDescent="0.2"/>
    <row r="53172" s="689" customFormat="1" x14ac:dyDescent="0.2"/>
    <row r="53173" s="689" customFormat="1" x14ac:dyDescent="0.2"/>
    <row r="53174" s="689" customFormat="1" x14ac:dyDescent="0.2"/>
    <row r="53175" s="689" customFormat="1" x14ac:dyDescent="0.2"/>
    <row r="53176" s="689" customFormat="1" x14ac:dyDescent="0.2"/>
    <row r="53177" s="689" customFormat="1" x14ac:dyDescent="0.2"/>
    <row r="53178" s="689" customFormat="1" x14ac:dyDescent="0.2"/>
    <row r="53179" s="689" customFormat="1" x14ac:dyDescent="0.2"/>
    <row r="53180" s="689" customFormat="1" x14ac:dyDescent="0.2"/>
    <row r="53181" s="689" customFormat="1" x14ac:dyDescent="0.2"/>
    <row r="53182" s="689" customFormat="1" x14ac:dyDescent="0.2"/>
    <row r="53183" s="689" customFormat="1" x14ac:dyDescent="0.2"/>
    <row r="53184" s="689" customFormat="1" x14ac:dyDescent="0.2"/>
    <row r="53185" s="689" customFormat="1" x14ac:dyDescent="0.2"/>
    <row r="53186" s="689" customFormat="1" x14ac:dyDescent="0.2"/>
    <row r="53187" s="689" customFormat="1" x14ac:dyDescent="0.2"/>
    <row r="53188" s="689" customFormat="1" x14ac:dyDescent="0.2"/>
    <row r="53189" s="689" customFormat="1" x14ac:dyDescent="0.2"/>
    <row r="53190" s="689" customFormat="1" x14ac:dyDescent="0.2"/>
    <row r="53191" s="689" customFormat="1" x14ac:dyDescent="0.2"/>
    <row r="53192" s="689" customFormat="1" x14ac:dyDescent="0.2"/>
    <row r="53193" s="689" customFormat="1" x14ac:dyDescent="0.2"/>
    <row r="53194" s="689" customFormat="1" x14ac:dyDescent="0.2"/>
    <row r="53195" s="689" customFormat="1" x14ac:dyDescent="0.2"/>
    <row r="53196" s="689" customFormat="1" x14ac:dyDescent="0.2"/>
    <row r="53197" s="689" customFormat="1" x14ac:dyDescent="0.2"/>
    <row r="53198" s="689" customFormat="1" x14ac:dyDescent="0.2"/>
    <row r="53199" s="689" customFormat="1" x14ac:dyDescent="0.2"/>
    <row r="53200" s="689" customFormat="1" x14ac:dyDescent="0.2"/>
    <row r="53201" s="689" customFormat="1" x14ac:dyDescent="0.2"/>
    <row r="53202" s="689" customFormat="1" x14ac:dyDescent="0.2"/>
    <row r="53203" s="689" customFormat="1" x14ac:dyDescent="0.2"/>
    <row r="53204" s="689" customFormat="1" x14ac:dyDescent="0.2"/>
    <row r="53205" s="689" customFormat="1" x14ac:dyDescent="0.2"/>
    <row r="53206" s="689" customFormat="1" x14ac:dyDescent="0.2"/>
    <row r="53207" s="689" customFormat="1" x14ac:dyDescent="0.2"/>
    <row r="53208" s="689" customFormat="1" x14ac:dyDescent="0.2"/>
    <row r="53209" s="689" customFormat="1" x14ac:dyDescent="0.2"/>
    <row r="53210" s="689" customFormat="1" x14ac:dyDescent="0.2"/>
    <row r="53211" s="689" customFormat="1" x14ac:dyDescent="0.2"/>
    <row r="53212" s="689" customFormat="1" x14ac:dyDescent="0.2"/>
    <row r="53213" s="689" customFormat="1" x14ac:dyDescent="0.2"/>
    <row r="53214" s="689" customFormat="1" x14ac:dyDescent="0.2"/>
    <row r="53215" s="689" customFormat="1" x14ac:dyDescent="0.2"/>
    <row r="53216" s="689" customFormat="1" x14ac:dyDescent="0.2"/>
    <row r="53217" s="689" customFormat="1" x14ac:dyDescent="0.2"/>
    <row r="53218" s="689" customFormat="1" x14ac:dyDescent="0.2"/>
    <row r="53219" s="689" customFormat="1" x14ac:dyDescent="0.2"/>
    <row r="53220" s="689" customFormat="1" x14ac:dyDescent="0.2"/>
    <row r="53221" s="689" customFormat="1" x14ac:dyDescent="0.2"/>
    <row r="53222" s="689" customFormat="1" x14ac:dyDescent="0.2"/>
    <row r="53223" s="689" customFormat="1" x14ac:dyDescent="0.2"/>
    <row r="53224" s="689" customFormat="1" x14ac:dyDescent="0.2"/>
    <row r="53225" s="689" customFormat="1" x14ac:dyDescent="0.2"/>
    <row r="53226" s="689" customFormat="1" x14ac:dyDescent="0.2"/>
    <row r="53227" s="689" customFormat="1" x14ac:dyDescent="0.2"/>
    <row r="53228" s="689" customFormat="1" x14ac:dyDescent="0.2"/>
    <row r="53229" s="689" customFormat="1" x14ac:dyDescent="0.2"/>
    <row r="53230" s="689" customFormat="1" x14ac:dyDescent="0.2"/>
    <row r="53231" s="689" customFormat="1" x14ac:dyDescent="0.2"/>
    <row r="53232" s="689" customFormat="1" x14ac:dyDescent="0.2"/>
    <row r="53233" s="689" customFormat="1" x14ac:dyDescent="0.2"/>
    <row r="53234" s="689" customFormat="1" x14ac:dyDescent="0.2"/>
    <row r="53235" s="689" customFormat="1" x14ac:dyDescent="0.2"/>
    <row r="53236" s="689" customFormat="1" x14ac:dyDescent="0.2"/>
    <row r="53237" s="689" customFormat="1" x14ac:dyDescent="0.2"/>
    <row r="53238" s="689" customFormat="1" x14ac:dyDescent="0.2"/>
    <row r="53239" s="689" customFormat="1" x14ac:dyDescent="0.2"/>
    <row r="53240" s="689" customFormat="1" x14ac:dyDescent="0.2"/>
    <row r="53241" s="689" customFormat="1" x14ac:dyDescent="0.2"/>
    <row r="53242" s="689" customFormat="1" x14ac:dyDescent="0.2"/>
    <row r="53243" s="689" customFormat="1" x14ac:dyDescent="0.2"/>
    <row r="53244" s="689" customFormat="1" x14ac:dyDescent="0.2"/>
    <row r="53245" s="689" customFormat="1" x14ac:dyDescent="0.2"/>
    <row r="53246" s="689" customFormat="1" x14ac:dyDescent="0.2"/>
    <row r="53247" s="689" customFormat="1" x14ac:dyDescent="0.2"/>
    <row r="53248" s="689" customFormat="1" x14ac:dyDescent="0.2"/>
    <row r="53249" s="689" customFormat="1" x14ac:dyDescent="0.2"/>
    <row r="53250" s="689" customFormat="1" x14ac:dyDescent="0.2"/>
    <row r="53251" s="689" customFormat="1" x14ac:dyDescent="0.2"/>
    <row r="53252" s="689" customFormat="1" x14ac:dyDescent="0.2"/>
    <row r="53253" s="689" customFormat="1" x14ac:dyDescent="0.2"/>
    <row r="53254" s="689" customFormat="1" x14ac:dyDescent="0.2"/>
    <row r="53255" s="689" customFormat="1" x14ac:dyDescent="0.2"/>
    <row r="53256" s="689" customFormat="1" x14ac:dyDescent="0.2"/>
    <row r="53257" s="689" customFormat="1" x14ac:dyDescent="0.2"/>
    <row r="53258" s="689" customFormat="1" x14ac:dyDescent="0.2"/>
    <row r="53259" s="689" customFormat="1" x14ac:dyDescent="0.2"/>
    <row r="53260" s="689" customFormat="1" x14ac:dyDescent="0.2"/>
    <row r="53261" s="689" customFormat="1" x14ac:dyDescent="0.2"/>
    <row r="53262" s="689" customFormat="1" x14ac:dyDescent="0.2"/>
    <row r="53263" s="689" customFormat="1" x14ac:dyDescent="0.2"/>
    <row r="53264" s="689" customFormat="1" x14ac:dyDescent="0.2"/>
    <row r="53265" s="689" customFormat="1" x14ac:dyDescent="0.2"/>
    <row r="53266" s="689" customFormat="1" x14ac:dyDescent="0.2"/>
    <row r="53267" s="689" customFormat="1" x14ac:dyDescent="0.2"/>
    <row r="53268" s="689" customFormat="1" x14ac:dyDescent="0.2"/>
    <row r="53269" s="689" customFormat="1" x14ac:dyDescent="0.2"/>
    <row r="53270" s="689" customFormat="1" x14ac:dyDescent="0.2"/>
    <row r="53271" s="689" customFormat="1" x14ac:dyDescent="0.2"/>
    <row r="53272" s="689" customFormat="1" x14ac:dyDescent="0.2"/>
    <row r="53273" s="689" customFormat="1" x14ac:dyDescent="0.2"/>
    <row r="53274" s="689" customFormat="1" x14ac:dyDescent="0.2"/>
    <row r="53275" s="689" customFormat="1" x14ac:dyDescent="0.2"/>
    <row r="53276" s="689" customFormat="1" x14ac:dyDescent="0.2"/>
    <row r="53277" s="689" customFormat="1" x14ac:dyDescent="0.2"/>
    <row r="53278" s="689" customFormat="1" x14ac:dyDescent="0.2"/>
    <row r="53279" s="689" customFormat="1" x14ac:dyDescent="0.2"/>
    <row r="53280" s="689" customFormat="1" x14ac:dyDescent="0.2"/>
    <row r="53281" s="689" customFormat="1" x14ac:dyDescent="0.2"/>
    <row r="53282" s="689" customFormat="1" x14ac:dyDescent="0.2"/>
    <row r="53283" s="689" customFormat="1" x14ac:dyDescent="0.2"/>
    <row r="53284" s="689" customFormat="1" x14ac:dyDescent="0.2"/>
    <row r="53285" s="689" customFormat="1" x14ac:dyDescent="0.2"/>
    <row r="53286" s="689" customFormat="1" x14ac:dyDescent="0.2"/>
    <row r="53287" s="689" customFormat="1" x14ac:dyDescent="0.2"/>
    <row r="53288" s="689" customFormat="1" x14ac:dyDescent="0.2"/>
    <row r="53289" s="689" customFormat="1" x14ac:dyDescent="0.2"/>
    <row r="53290" s="689" customFormat="1" x14ac:dyDescent="0.2"/>
    <row r="53291" s="689" customFormat="1" x14ac:dyDescent="0.2"/>
    <row r="53292" s="689" customFormat="1" x14ac:dyDescent="0.2"/>
    <row r="53293" s="689" customFormat="1" x14ac:dyDescent="0.2"/>
    <row r="53294" s="689" customFormat="1" x14ac:dyDescent="0.2"/>
    <row r="53295" s="689" customFormat="1" x14ac:dyDescent="0.2"/>
    <row r="53296" s="689" customFormat="1" x14ac:dyDescent="0.2"/>
    <row r="53297" s="689" customFormat="1" x14ac:dyDescent="0.2"/>
    <row r="53298" s="689" customFormat="1" x14ac:dyDescent="0.2"/>
    <row r="53299" s="689" customFormat="1" x14ac:dyDescent="0.2"/>
    <row r="53300" s="689" customFormat="1" x14ac:dyDescent="0.2"/>
    <row r="53301" s="689" customFormat="1" x14ac:dyDescent="0.2"/>
    <row r="53302" s="689" customFormat="1" x14ac:dyDescent="0.2"/>
    <row r="53303" s="689" customFormat="1" x14ac:dyDescent="0.2"/>
    <row r="53304" s="689" customFormat="1" x14ac:dyDescent="0.2"/>
    <row r="53305" s="689" customFormat="1" x14ac:dyDescent="0.2"/>
    <row r="53306" s="689" customFormat="1" x14ac:dyDescent="0.2"/>
    <row r="53307" s="689" customFormat="1" x14ac:dyDescent="0.2"/>
    <row r="53308" s="689" customFormat="1" x14ac:dyDescent="0.2"/>
    <row r="53309" s="689" customFormat="1" x14ac:dyDescent="0.2"/>
    <row r="53310" s="689" customFormat="1" x14ac:dyDescent="0.2"/>
    <row r="53311" s="689" customFormat="1" x14ac:dyDescent="0.2"/>
    <row r="53312" s="689" customFormat="1" x14ac:dyDescent="0.2"/>
    <row r="53313" s="689" customFormat="1" x14ac:dyDescent="0.2"/>
    <row r="53314" s="689" customFormat="1" x14ac:dyDescent="0.2"/>
    <row r="53315" s="689" customFormat="1" x14ac:dyDescent="0.2"/>
    <row r="53316" s="689" customFormat="1" x14ac:dyDescent="0.2"/>
    <row r="53317" s="689" customFormat="1" x14ac:dyDescent="0.2"/>
    <row r="53318" s="689" customFormat="1" x14ac:dyDescent="0.2"/>
    <row r="53319" s="689" customFormat="1" x14ac:dyDescent="0.2"/>
    <row r="53320" s="689" customFormat="1" x14ac:dyDescent="0.2"/>
    <row r="53321" s="689" customFormat="1" x14ac:dyDescent="0.2"/>
    <row r="53322" s="689" customFormat="1" x14ac:dyDescent="0.2"/>
    <row r="53323" s="689" customFormat="1" x14ac:dyDescent="0.2"/>
    <row r="53324" s="689" customFormat="1" x14ac:dyDescent="0.2"/>
    <row r="53325" s="689" customFormat="1" x14ac:dyDescent="0.2"/>
    <row r="53326" s="689" customFormat="1" x14ac:dyDescent="0.2"/>
    <row r="53327" s="689" customFormat="1" x14ac:dyDescent="0.2"/>
    <row r="53328" s="689" customFormat="1" x14ac:dyDescent="0.2"/>
    <row r="53329" s="689" customFormat="1" x14ac:dyDescent="0.2"/>
    <row r="53330" s="689" customFormat="1" x14ac:dyDescent="0.2"/>
    <row r="53331" s="689" customFormat="1" x14ac:dyDescent="0.2"/>
    <row r="53332" s="689" customFormat="1" x14ac:dyDescent="0.2"/>
    <row r="53333" s="689" customFormat="1" x14ac:dyDescent="0.2"/>
    <row r="53334" s="689" customFormat="1" x14ac:dyDescent="0.2"/>
    <row r="53335" s="689" customFormat="1" x14ac:dyDescent="0.2"/>
    <row r="53336" s="689" customFormat="1" x14ac:dyDescent="0.2"/>
    <row r="53337" s="689" customFormat="1" x14ac:dyDescent="0.2"/>
    <row r="53338" s="689" customFormat="1" x14ac:dyDescent="0.2"/>
    <row r="53339" s="689" customFormat="1" x14ac:dyDescent="0.2"/>
    <row r="53340" s="689" customFormat="1" x14ac:dyDescent="0.2"/>
    <row r="53341" s="689" customFormat="1" x14ac:dyDescent="0.2"/>
    <row r="53342" s="689" customFormat="1" x14ac:dyDescent="0.2"/>
    <row r="53343" s="689" customFormat="1" x14ac:dyDescent="0.2"/>
    <row r="53344" s="689" customFormat="1" x14ac:dyDescent="0.2"/>
    <row r="53345" s="689" customFormat="1" x14ac:dyDescent="0.2"/>
    <row r="53346" s="689" customFormat="1" x14ac:dyDescent="0.2"/>
    <row r="53347" s="689" customFormat="1" x14ac:dyDescent="0.2"/>
    <row r="53348" s="689" customFormat="1" x14ac:dyDescent="0.2"/>
    <row r="53349" s="689" customFormat="1" x14ac:dyDescent="0.2"/>
    <row r="53350" s="689" customFormat="1" x14ac:dyDescent="0.2"/>
    <row r="53351" s="689" customFormat="1" x14ac:dyDescent="0.2"/>
    <row r="53352" s="689" customFormat="1" x14ac:dyDescent="0.2"/>
    <row r="53353" s="689" customFormat="1" x14ac:dyDescent="0.2"/>
    <row r="53354" s="689" customFormat="1" x14ac:dyDescent="0.2"/>
    <row r="53355" s="689" customFormat="1" x14ac:dyDescent="0.2"/>
    <row r="53356" s="689" customFormat="1" x14ac:dyDescent="0.2"/>
    <row r="53357" s="689" customFormat="1" x14ac:dyDescent="0.2"/>
    <row r="53358" s="689" customFormat="1" x14ac:dyDescent="0.2"/>
    <row r="53359" s="689" customFormat="1" x14ac:dyDescent="0.2"/>
    <row r="53360" s="689" customFormat="1" x14ac:dyDescent="0.2"/>
    <row r="53361" s="689" customFormat="1" x14ac:dyDescent="0.2"/>
    <row r="53362" s="689" customFormat="1" x14ac:dyDescent="0.2"/>
    <row r="53363" s="689" customFormat="1" x14ac:dyDescent="0.2"/>
    <row r="53364" s="689" customFormat="1" x14ac:dyDescent="0.2"/>
    <row r="53365" s="689" customFormat="1" x14ac:dyDescent="0.2"/>
    <row r="53366" s="689" customFormat="1" x14ac:dyDescent="0.2"/>
    <row r="53367" s="689" customFormat="1" x14ac:dyDescent="0.2"/>
    <row r="53368" s="689" customFormat="1" x14ac:dyDescent="0.2"/>
    <row r="53369" s="689" customFormat="1" x14ac:dyDescent="0.2"/>
    <row r="53370" s="689" customFormat="1" x14ac:dyDescent="0.2"/>
    <row r="53371" s="689" customFormat="1" x14ac:dyDescent="0.2"/>
    <row r="53372" s="689" customFormat="1" x14ac:dyDescent="0.2"/>
    <row r="53373" s="689" customFormat="1" x14ac:dyDescent="0.2"/>
    <row r="53374" s="689" customFormat="1" x14ac:dyDescent="0.2"/>
    <row r="53375" s="689" customFormat="1" x14ac:dyDescent="0.2"/>
    <row r="53376" s="689" customFormat="1" x14ac:dyDescent="0.2"/>
    <row r="53377" s="689" customFormat="1" x14ac:dyDescent="0.2"/>
    <row r="53378" s="689" customFormat="1" x14ac:dyDescent="0.2"/>
    <row r="53379" s="689" customFormat="1" x14ac:dyDescent="0.2"/>
    <row r="53380" s="689" customFormat="1" x14ac:dyDescent="0.2"/>
    <row r="53381" s="689" customFormat="1" x14ac:dyDescent="0.2"/>
    <row r="53382" s="689" customFormat="1" x14ac:dyDescent="0.2"/>
    <row r="53383" s="689" customFormat="1" x14ac:dyDescent="0.2"/>
    <row r="53384" s="689" customFormat="1" x14ac:dyDescent="0.2"/>
    <row r="53385" s="689" customFormat="1" x14ac:dyDescent="0.2"/>
    <row r="53386" s="689" customFormat="1" x14ac:dyDescent="0.2"/>
    <row r="53387" s="689" customFormat="1" x14ac:dyDescent="0.2"/>
    <row r="53388" s="689" customFormat="1" x14ac:dyDescent="0.2"/>
    <row r="53389" s="689" customFormat="1" x14ac:dyDescent="0.2"/>
    <row r="53390" s="689" customFormat="1" x14ac:dyDescent="0.2"/>
    <row r="53391" s="689" customFormat="1" x14ac:dyDescent="0.2"/>
    <row r="53392" s="689" customFormat="1" x14ac:dyDescent="0.2"/>
    <row r="53393" s="689" customFormat="1" x14ac:dyDescent="0.2"/>
    <row r="53394" s="689" customFormat="1" x14ac:dyDescent="0.2"/>
    <row r="53395" s="689" customFormat="1" x14ac:dyDescent="0.2"/>
    <row r="53396" s="689" customFormat="1" x14ac:dyDescent="0.2"/>
    <row r="53397" s="689" customFormat="1" x14ac:dyDescent="0.2"/>
    <row r="53398" s="689" customFormat="1" x14ac:dyDescent="0.2"/>
    <row r="53399" s="689" customFormat="1" x14ac:dyDescent="0.2"/>
    <row r="53400" s="689" customFormat="1" x14ac:dyDescent="0.2"/>
    <row r="53401" s="689" customFormat="1" x14ac:dyDescent="0.2"/>
    <row r="53402" s="689" customFormat="1" x14ac:dyDescent="0.2"/>
    <row r="53403" s="689" customFormat="1" x14ac:dyDescent="0.2"/>
    <row r="53404" s="689" customFormat="1" x14ac:dyDescent="0.2"/>
    <row r="53405" s="689" customFormat="1" x14ac:dyDescent="0.2"/>
    <row r="53406" s="689" customFormat="1" x14ac:dyDescent="0.2"/>
    <row r="53407" s="689" customFormat="1" x14ac:dyDescent="0.2"/>
    <row r="53408" s="689" customFormat="1" x14ac:dyDescent="0.2"/>
    <row r="53409" s="689" customFormat="1" x14ac:dyDescent="0.2"/>
    <row r="53410" s="689" customFormat="1" x14ac:dyDescent="0.2"/>
    <row r="53411" s="689" customFormat="1" x14ac:dyDescent="0.2"/>
    <row r="53412" s="689" customFormat="1" x14ac:dyDescent="0.2"/>
    <row r="53413" s="689" customFormat="1" x14ac:dyDescent="0.2"/>
    <row r="53414" s="689" customFormat="1" x14ac:dyDescent="0.2"/>
    <row r="53415" s="689" customFormat="1" x14ac:dyDescent="0.2"/>
    <row r="53416" s="689" customFormat="1" x14ac:dyDescent="0.2"/>
    <row r="53417" s="689" customFormat="1" x14ac:dyDescent="0.2"/>
    <row r="53418" s="689" customFormat="1" x14ac:dyDescent="0.2"/>
    <row r="53419" s="689" customFormat="1" x14ac:dyDescent="0.2"/>
    <row r="53420" s="689" customFormat="1" x14ac:dyDescent="0.2"/>
    <row r="53421" s="689" customFormat="1" x14ac:dyDescent="0.2"/>
    <row r="53422" s="689" customFormat="1" x14ac:dyDescent="0.2"/>
    <row r="53423" s="689" customFormat="1" x14ac:dyDescent="0.2"/>
    <row r="53424" s="689" customFormat="1" x14ac:dyDescent="0.2"/>
    <row r="53425" s="689" customFormat="1" x14ac:dyDescent="0.2"/>
    <row r="53426" s="689" customFormat="1" x14ac:dyDescent="0.2"/>
    <row r="53427" s="689" customFormat="1" x14ac:dyDescent="0.2"/>
    <row r="53428" s="689" customFormat="1" x14ac:dyDescent="0.2"/>
    <row r="53429" s="689" customFormat="1" x14ac:dyDescent="0.2"/>
    <row r="53430" s="689" customFormat="1" x14ac:dyDescent="0.2"/>
    <row r="53431" s="689" customFormat="1" x14ac:dyDescent="0.2"/>
    <row r="53432" s="689" customFormat="1" x14ac:dyDescent="0.2"/>
    <row r="53433" s="689" customFormat="1" x14ac:dyDescent="0.2"/>
    <row r="53434" s="689" customFormat="1" x14ac:dyDescent="0.2"/>
    <row r="53435" s="689" customFormat="1" x14ac:dyDescent="0.2"/>
    <row r="53436" s="689" customFormat="1" x14ac:dyDescent="0.2"/>
    <row r="53437" s="689" customFormat="1" x14ac:dyDescent="0.2"/>
    <row r="53438" s="689" customFormat="1" x14ac:dyDescent="0.2"/>
    <row r="53439" s="689" customFormat="1" x14ac:dyDescent="0.2"/>
    <row r="53440" s="689" customFormat="1" x14ac:dyDescent="0.2"/>
    <row r="53441" s="689" customFormat="1" x14ac:dyDescent="0.2"/>
    <row r="53442" s="689" customFormat="1" x14ac:dyDescent="0.2"/>
    <row r="53443" s="689" customFormat="1" x14ac:dyDescent="0.2"/>
    <row r="53444" s="689" customFormat="1" x14ac:dyDescent="0.2"/>
    <row r="53445" s="689" customFormat="1" x14ac:dyDescent="0.2"/>
    <row r="53446" s="689" customFormat="1" x14ac:dyDescent="0.2"/>
    <row r="53447" s="689" customFormat="1" x14ac:dyDescent="0.2"/>
    <row r="53448" s="689" customFormat="1" x14ac:dyDescent="0.2"/>
    <row r="53449" s="689" customFormat="1" x14ac:dyDescent="0.2"/>
    <row r="53450" s="689" customFormat="1" x14ac:dyDescent="0.2"/>
    <row r="53451" s="689" customFormat="1" x14ac:dyDescent="0.2"/>
    <row r="53452" s="689" customFormat="1" x14ac:dyDescent="0.2"/>
    <row r="53453" s="689" customFormat="1" x14ac:dyDescent="0.2"/>
    <row r="53454" s="689" customFormat="1" x14ac:dyDescent="0.2"/>
    <row r="53455" s="689" customFormat="1" x14ac:dyDescent="0.2"/>
    <row r="53456" s="689" customFormat="1" x14ac:dyDescent="0.2"/>
    <row r="53457" s="689" customFormat="1" x14ac:dyDescent="0.2"/>
    <row r="53458" s="689" customFormat="1" x14ac:dyDescent="0.2"/>
    <row r="53459" s="689" customFormat="1" x14ac:dyDescent="0.2"/>
    <row r="53460" s="689" customFormat="1" x14ac:dyDescent="0.2"/>
    <row r="53461" s="689" customFormat="1" x14ac:dyDescent="0.2"/>
    <row r="53462" s="689" customFormat="1" x14ac:dyDescent="0.2"/>
    <row r="53463" s="689" customFormat="1" x14ac:dyDescent="0.2"/>
    <row r="53464" s="689" customFormat="1" x14ac:dyDescent="0.2"/>
    <row r="53465" s="689" customFormat="1" x14ac:dyDescent="0.2"/>
    <row r="53466" s="689" customFormat="1" x14ac:dyDescent="0.2"/>
    <row r="53467" s="689" customFormat="1" x14ac:dyDescent="0.2"/>
    <row r="53468" s="689" customFormat="1" x14ac:dyDescent="0.2"/>
    <row r="53469" s="689" customFormat="1" x14ac:dyDescent="0.2"/>
    <row r="53470" s="689" customFormat="1" x14ac:dyDescent="0.2"/>
    <row r="53471" s="689" customFormat="1" x14ac:dyDescent="0.2"/>
    <row r="53472" s="689" customFormat="1" x14ac:dyDescent="0.2"/>
    <row r="53473" s="689" customFormat="1" x14ac:dyDescent="0.2"/>
    <row r="53474" s="689" customFormat="1" x14ac:dyDescent="0.2"/>
    <row r="53475" s="689" customFormat="1" x14ac:dyDescent="0.2"/>
    <row r="53476" s="689" customFormat="1" x14ac:dyDescent="0.2"/>
    <row r="53477" s="689" customFormat="1" x14ac:dyDescent="0.2"/>
    <row r="53478" s="689" customFormat="1" x14ac:dyDescent="0.2"/>
    <row r="53479" s="689" customFormat="1" x14ac:dyDescent="0.2"/>
    <row r="53480" s="689" customFormat="1" x14ac:dyDescent="0.2"/>
    <row r="53481" s="689" customFormat="1" x14ac:dyDescent="0.2"/>
    <row r="53482" s="689" customFormat="1" x14ac:dyDescent="0.2"/>
    <row r="53483" s="689" customFormat="1" x14ac:dyDescent="0.2"/>
    <row r="53484" s="689" customFormat="1" x14ac:dyDescent="0.2"/>
    <row r="53485" s="689" customFormat="1" x14ac:dyDescent="0.2"/>
    <row r="53486" s="689" customFormat="1" x14ac:dyDescent="0.2"/>
    <row r="53487" s="689" customFormat="1" x14ac:dyDescent="0.2"/>
    <row r="53488" s="689" customFormat="1" x14ac:dyDescent="0.2"/>
    <row r="53489" s="689" customFormat="1" x14ac:dyDescent="0.2"/>
    <row r="53490" s="689" customFormat="1" x14ac:dyDescent="0.2"/>
    <row r="53491" s="689" customFormat="1" x14ac:dyDescent="0.2"/>
    <row r="53492" s="689" customFormat="1" x14ac:dyDescent="0.2"/>
    <row r="53493" s="689" customFormat="1" x14ac:dyDescent="0.2"/>
    <row r="53494" s="689" customFormat="1" x14ac:dyDescent="0.2"/>
    <row r="53495" s="689" customFormat="1" x14ac:dyDescent="0.2"/>
    <row r="53496" s="689" customFormat="1" x14ac:dyDescent="0.2"/>
    <row r="53497" s="689" customFormat="1" x14ac:dyDescent="0.2"/>
    <row r="53498" s="689" customFormat="1" x14ac:dyDescent="0.2"/>
    <row r="53499" s="689" customFormat="1" x14ac:dyDescent="0.2"/>
    <row r="53500" s="689" customFormat="1" x14ac:dyDescent="0.2"/>
    <row r="53501" s="689" customFormat="1" x14ac:dyDescent="0.2"/>
    <row r="53502" s="689" customFormat="1" x14ac:dyDescent="0.2"/>
    <row r="53503" s="689" customFormat="1" x14ac:dyDescent="0.2"/>
    <row r="53504" s="689" customFormat="1" x14ac:dyDescent="0.2"/>
    <row r="53505" s="689" customFormat="1" x14ac:dyDescent="0.2"/>
    <row r="53506" s="689" customFormat="1" x14ac:dyDescent="0.2"/>
    <row r="53507" s="689" customFormat="1" x14ac:dyDescent="0.2"/>
    <row r="53508" s="689" customFormat="1" x14ac:dyDescent="0.2"/>
    <row r="53509" s="689" customFormat="1" x14ac:dyDescent="0.2"/>
    <row r="53510" s="689" customFormat="1" x14ac:dyDescent="0.2"/>
    <row r="53511" s="689" customFormat="1" x14ac:dyDescent="0.2"/>
    <row r="53512" s="689" customFormat="1" x14ac:dyDescent="0.2"/>
    <row r="53513" s="689" customFormat="1" x14ac:dyDescent="0.2"/>
    <row r="53514" s="689" customFormat="1" x14ac:dyDescent="0.2"/>
    <row r="53515" s="689" customFormat="1" x14ac:dyDescent="0.2"/>
    <row r="53516" s="689" customFormat="1" x14ac:dyDescent="0.2"/>
    <row r="53517" s="689" customFormat="1" x14ac:dyDescent="0.2"/>
    <row r="53518" s="689" customFormat="1" x14ac:dyDescent="0.2"/>
    <row r="53519" s="689" customFormat="1" x14ac:dyDescent="0.2"/>
    <row r="53520" s="689" customFormat="1" x14ac:dyDescent="0.2"/>
    <row r="53521" s="689" customFormat="1" x14ac:dyDescent="0.2"/>
    <row r="53522" s="689" customFormat="1" x14ac:dyDescent="0.2"/>
    <row r="53523" s="689" customFormat="1" x14ac:dyDescent="0.2"/>
    <row r="53524" s="689" customFormat="1" x14ac:dyDescent="0.2"/>
    <row r="53525" s="689" customFormat="1" x14ac:dyDescent="0.2"/>
    <row r="53526" s="689" customFormat="1" x14ac:dyDescent="0.2"/>
    <row r="53527" s="689" customFormat="1" x14ac:dyDescent="0.2"/>
    <row r="53528" s="689" customFormat="1" x14ac:dyDescent="0.2"/>
    <row r="53529" s="689" customFormat="1" x14ac:dyDescent="0.2"/>
    <row r="53530" s="689" customFormat="1" x14ac:dyDescent="0.2"/>
    <row r="53531" s="689" customFormat="1" x14ac:dyDescent="0.2"/>
    <row r="53532" s="689" customFormat="1" x14ac:dyDescent="0.2"/>
    <row r="53533" s="689" customFormat="1" x14ac:dyDescent="0.2"/>
    <row r="53534" s="689" customFormat="1" x14ac:dyDescent="0.2"/>
    <row r="53535" s="689" customFormat="1" x14ac:dyDescent="0.2"/>
    <row r="53536" s="689" customFormat="1" x14ac:dyDescent="0.2"/>
    <row r="53537" s="689" customFormat="1" x14ac:dyDescent="0.2"/>
    <row r="53538" s="689" customFormat="1" x14ac:dyDescent="0.2"/>
    <row r="53539" s="689" customFormat="1" x14ac:dyDescent="0.2"/>
    <row r="53540" s="689" customFormat="1" x14ac:dyDescent="0.2"/>
    <row r="53541" s="689" customFormat="1" x14ac:dyDescent="0.2"/>
    <row r="53542" s="689" customFormat="1" x14ac:dyDescent="0.2"/>
    <row r="53543" s="689" customFormat="1" x14ac:dyDescent="0.2"/>
    <row r="53544" s="689" customFormat="1" x14ac:dyDescent="0.2"/>
    <row r="53545" s="689" customFormat="1" x14ac:dyDescent="0.2"/>
    <row r="53546" s="689" customFormat="1" x14ac:dyDescent="0.2"/>
    <row r="53547" s="689" customFormat="1" x14ac:dyDescent="0.2"/>
    <row r="53548" s="689" customFormat="1" x14ac:dyDescent="0.2"/>
    <row r="53549" s="689" customFormat="1" x14ac:dyDescent="0.2"/>
    <row r="53550" s="689" customFormat="1" x14ac:dyDescent="0.2"/>
    <row r="53551" s="689" customFormat="1" x14ac:dyDescent="0.2"/>
    <row r="53552" s="689" customFormat="1" x14ac:dyDescent="0.2"/>
    <row r="53553" s="689" customFormat="1" x14ac:dyDescent="0.2"/>
    <row r="53554" s="689" customFormat="1" x14ac:dyDescent="0.2"/>
    <row r="53555" s="689" customFormat="1" x14ac:dyDescent="0.2"/>
    <row r="53556" s="689" customFormat="1" x14ac:dyDescent="0.2"/>
    <row r="53557" s="689" customFormat="1" x14ac:dyDescent="0.2"/>
    <row r="53558" s="689" customFormat="1" x14ac:dyDescent="0.2"/>
    <row r="53559" s="689" customFormat="1" x14ac:dyDescent="0.2"/>
    <row r="53560" s="689" customFormat="1" x14ac:dyDescent="0.2"/>
    <row r="53561" s="689" customFormat="1" x14ac:dyDescent="0.2"/>
    <row r="53562" s="689" customFormat="1" x14ac:dyDescent="0.2"/>
    <row r="53563" s="689" customFormat="1" x14ac:dyDescent="0.2"/>
    <row r="53564" s="689" customFormat="1" x14ac:dyDescent="0.2"/>
    <row r="53565" s="689" customFormat="1" x14ac:dyDescent="0.2"/>
    <row r="53566" s="689" customFormat="1" x14ac:dyDescent="0.2"/>
    <row r="53567" s="689" customFormat="1" x14ac:dyDescent="0.2"/>
    <row r="53568" s="689" customFormat="1" x14ac:dyDescent="0.2"/>
    <row r="53569" s="689" customFormat="1" x14ac:dyDescent="0.2"/>
    <row r="53570" s="689" customFormat="1" x14ac:dyDescent="0.2"/>
    <row r="53571" s="689" customFormat="1" x14ac:dyDescent="0.2"/>
    <row r="53572" s="689" customFormat="1" x14ac:dyDescent="0.2"/>
    <row r="53573" s="689" customFormat="1" x14ac:dyDescent="0.2"/>
    <row r="53574" s="689" customFormat="1" x14ac:dyDescent="0.2"/>
    <row r="53575" s="689" customFormat="1" x14ac:dyDescent="0.2"/>
    <row r="53576" s="689" customFormat="1" x14ac:dyDescent="0.2"/>
    <row r="53577" s="689" customFormat="1" x14ac:dyDescent="0.2"/>
    <row r="53578" s="689" customFormat="1" x14ac:dyDescent="0.2"/>
    <row r="53579" s="689" customFormat="1" x14ac:dyDescent="0.2"/>
    <row r="53580" s="689" customFormat="1" x14ac:dyDescent="0.2"/>
    <row r="53581" s="689" customFormat="1" x14ac:dyDescent="0.2"/>
    <row r="53582" s="689" customFormat="1" x14ac:dyDescent="0.2"/>
    <row r="53583" s="689" customFormat="1" x14ac:dyDescent="0.2"/>
    <row r="53584" s="689" customFormat="1" x14ac:dyDescent="0.2"/>
    <row r="53585" s="689" customFormat="1" x14ac:dyDescent="0.2"/>
    <row r="53586" s="689" customFormat="1" x14ac:dyDescent="0.2"/>
    <row r="53587" s="689" customFormat="1" x14ac:dyDescent="0.2"/>
    <row r="53588" s="689" customFormat="1" x14ac:dyDescent="0.2"/>
    <row r="53589" s="689" customFormat="1" x14ac:dyDescent="0.2"/>
    <row r="53590" s="689" customFormat="1" x14ac:dyDescent="0.2"/>
    <row r="53591" s="689" customFormat="1" x14ac:dyDescent="0.2"/>
    <row r="53592" s="689" customFormat="1" x14ac:dyDescent="0.2"/>
    <row r="53593" s="689" customFormat="1" x14ac:dyDescent="0.2"/>
    <row r="53594" s="689" customFormat="1" x14ac:dyDescent="0.2"/>
    <row r="53595" s="689" customFormat="1" x14ac:dyDescent="0.2"/>
    <row r="53596" s="689" customFormat="1" x14ac:dyDescent="0.2"/>
    <row r="53597" s="689" customFormat="1" x14ac:dyDescent="0.2"/>
    <row r="53598" s="689" customFormat="1" x14ac:dyDescent="0.2"/>
    <row r="53599" s="689" customFormat="1" x14ac:dyDescent="0.2"/>
    <row r="53600" s="689" customFormat="1" x14ac:dyDescent="0.2"/>
    <row r="53601" s="689" customFormat="1" x14ac:dyDescent="0.2"/>
    <row r="53602" s="689" customFormat="1" x14ac:dyDescent="0.2"/>
    <row r="53603" s="689" customFormat="1" x14ac:dyDescent="0.2"/>
    <row r="53604" s="689" customFormat="1" x14ac:dyDescent="0.2"/>
    <row r="53605" s="689" customFormat="1" x14ac:dyDescent="0.2"/>
    <row r="53606" s="689" customFormat="1" x14ac:dyDescent="0.2"/>
    <row r="53607" s="689" customFormat="1" x14ac:dyDescent="0.2"/>
    <row r="53608" s="689" customFormat="1" x14ac:dyDescent="0.2"/>
    <row r="53609" s="689" customFormat="1" x14ac:dyDescent="0.2"/>
    <row r="53610" s="689" customFormat="1" x14ac:dyDescent="0.2"/>
    <row r="53611" s="689" customFormat="1" x14ac:dyDescent="0.2"/>
    <row r="53612" s="689" customFormat="1" x14ac:dyDescent="0.2"/>
    <row r="53613" s="689" customFormat="1" x14ac:dyDescent="0.2"/>
    <row r="53614" s="689" customFormat="1" x14ac:dyDescent="0.2"/>
    <row r="53615" s="689" customFormat="1" x14ac:dyDescent="0.2"/>
    <row r="53616" s="689" customFormat="1" x14ac:dyDescent="0.2"/>
    <row r="53617" s="689" customFormat="1" x14ac:dyDescent="0.2"/>
    <row r="53618" s="689" customFormat="1" x14ac:dyDescent="0.2"/>
    <row r="53619" s="689" customFormat="1" x14ac:dyDescent="0.2"/>
    <row r="53620" s="689" customFormat="1" x14ac:dyDescent="0.2"/>
    <row r="53621" s="689" customFormat="1" x14ac:dyDescent="0.2"/>
    <row r="53622" s="689" customFormat="1" x14ac:dyDescent="0.2"/>
    <row r="53623" s="689" customFormat="1" x14ac:dyDescent="0.2"/>
    <row r="53624" s="689" customFormat="1" x14ac:dyDescent="0.2"/>
    <row r="53625" s="689" customFormat="1" x14ac:dyDescent="0.2"/>
    <row r="53626" s="689" customFormat="1" x14ac:dyDescent="0.2"/>
    <row r="53627" s="689" customFormat="1" x14ac:dyDescent="0.2"/>
    <row r="53628" s="689" customFormat="1" x14ac:dyDescent="0.2"/>
    <row r="53629" s="689" customFormat="1" x14ac:dyDescent="0.2"/>
    <row r="53630" s="689" customFormat="1" x14ac:dyDescent="0.2"/>
    <row r="53631" s="689" customFormat="1" x14ac:dyDescent="0.2"/>
    <row r="53632" s="689" customFormat="1" x14ac:dyDescent="0.2"/>
    <row r="53633" s="689" customFormat="1" x14ac:dyDescent="0.2"/>
    <row r="53634" s="689" customFormat="1" x14ac:dyDescent="0.2"/>
    <row r="53635" s="689" customFormat="1" x14ac:dyDescent="0.2"/>
    <row r="53636" s="689" customFormat="1" x14ac:dyDescent="0.2"/>
    <row r="53637" s="689" customFormat="1" x14ac:dyDescent="0.2"/>
    <row r="53638" s="689" customFormat="1" x14ac:dyDescent="0.2"/>
    <row r="53639" s="689" customFormat="1" x14ac:dyDescent="0.2"/>
    <row r="53640" s="689" customFormat="1" x14ac:dyDescent="0.2"/>
    <row r="53641" s="689" customFormat="1" x14ac:dyDescent="0.2"/>
    <row r="53642" s="689" customFormat="1" x14ac:dyDescent="0.2"/>
    <row r="53643" s="689" customFormat="1" x14ac:dyDescent="0.2"/>
    <row r="53644" s="689" customFormat="1" x14ac:dyDescent="0.2"/>
    <row r="53645" s="689" customFormat="1" x14ac:dyDescent="0.2"/>
    <row r="53646" s="689" customFormat="1" x14ac:dyDescent="0.2"/>
    <row r="53647" s="689" customFormat="1" x14ac:dyDescent="0.2"/>
    <row r="53648" s="689" customFormat="1" x14ac:dyDescent="0.2"/>
    <row r="53649" s="689" customFormat="1" x14ac:dyDescent="0.2"/>
    <row r="53650" s="689" customFormat="1" x14ac:dyDescent="0.2"/>
    <row r="53651" s="689" customFormat="1" x14ac:dyDescent="0.2"/>
    <row r="53652" s="689" customFormat="1" x14ac:dyDescent="0.2"/>
    <row r="53653" s="689" customFormat="1" x14ac:dyDescent="0.2"/>
    <row r="53654" s="689" customFormat="1" x14ac:dyDescent="0.2"/>
    <row r="53655" s="689" customFormat="1" x14ac:dyDescent="0.2"/>
    <row r="53656" s="689" customFormat="1" x14ac:dyDescent="0.2"/>
    <row r="53657" s="689" customFormat="1" x14ac:dyDescent="0.2"/>
    <row r="53658" s="689" customFormat="1" x14ac:dyDescent="0.2"/>
    <row r="53659" s="689" customFormat="1" x14ac:dyDescent="0.2"/>
    <row r="53660" s="689" customFormat="1" x14ac:dyDescent="0.2"/>
    <row r="53661" s="689" customFormat="1" x14ac:dyDescent="0.2"/>
    <row r="53662" s="689" customFormat="1" x14ac:dyDescent="0.2"/>
    <row r="53663" s="689" customFormat="1" x14ac:dyDescent="0.2"/>
    <row r="53664" s="689" customFormat="1" x14ac:dyDescent="0.2"/>
    <row r="53665" s="689" customFormat="1" x14ac:dyDescent="0.2"/>
    <row r="53666" s="689" customFormat="1" x14ac:dyDescent="0.2"/>
    <row r="53667" s="689" customFormat="1" x14ac:dyDescent="0.2"/>
    <row r="53668" s="689" customFormat="1" x14ac:dyDescent="0.2"/>
    <row r="53669" s="689" customFormat="1" x14ac:dyDescent="0.2"/>
    <row r="53670" s="689" customFormat="1" x14ac:dyDescent="0.2"/>
    <row r="53671" s="689" customFormat="1" x14ac:dyDescent="0.2"/>
    <row r="53672" s="689" customFormat="1" x14ac:dyDescent="0.2"/>
    <row r="53673" s="689" customFormat="1" x14ac:dyDescent="0.2"/>
    <row r="53674" s="689" customFormat="1" x14ac:dyDescent="0.2"/>
    <row r="53675" s="689" customFormat="1" x14ac:dyDescent="0.2"/>
    <row r="53676" s="689" customFormat="1" x14ac:dyDescent="0.2"/>
    <row r="53677" s="689" customFormat="1" x14ac:dyDescent="0.2"/>
    <row r="53678" s="689" customFormat="1" x14ac:dyDescent="0.2"/>
    <row r="53679" s="689" customFormat="1" x14ac:dyDescent="0.2"/>
    <row r="53680" s="689" customFormat="1" x14ac:dyDescent="0.2"/>
    <row r="53681" s="689" customFormat="1" x14ac:dyDescent="0.2"/>
    <row r="53682" s="689" customFormat="1" x14ac:dyDescent="0.2"/>
    <row r="53683" s="689" customFormat="1" x14ac:dyDescent="0.2"/>
    <row r="53684" s="689" customFormat="1" x14ac:dyDescent="0.2"/>
    <row r="53685" s="689" customFormat="1" x14ac:dyDescent="0.2"/>
    <row r="53686" s="689" customFormat="1" x14ac:dyDescent="0.2"/>
    <row r="53687" s="689" customFormat="1" x14ac:dyDescent="0.2"/>
    <row r="53688" s="689" customFormat="1" x14ac:dyDescent="0.2"/>
    <row r="53689" s="689" customFormat="1" x14ac:dyDescent="0.2"/>
    <row r="53690" s="689" customFormat="1" x14ac:dyDescent="0.2"/>
    <row r="53691" s="689" customFormat="1" x14ac:dyDescent="0.2"/>
    <row r="53692" s="689" customFormat="1" x14ac:dyDescent="0.2"/>
    <row r="53693" s="689" customFormat="1" x14ac:dyDescent="0.2"/>
    <row r="53694" s="689" customFormat="1" x14ac:dyDescent="0.2"/>
    <row r="53695" s="689" customFormat="1" x14ac:dyDescent="0.2"/>
    <row r="53696" s="689" customFormat="1" x14ac:dyDescent="0.2"/>
    <row r="53697" s="689" customFormat="1" x14ac:dyDescent="0.2"/>
    <row r="53698" s="689" customFormat="1" x14ac:dyDescent="0.2"/>
    <row r="53699" s="689" customFormat="1" x14ac:dyDescent="0.2"/>
    <row r="53700" s="689" customFormat="1" x14ac:dyDescent="0.2"/>
    <row r="53701" s="689" customFormat="1" x14ac:dyDescent="0.2"/>
    <row r="53702" s="689" customFormat="1" x14ac:dyDescent="0.2"/>
    <row r="53703" s="689" customFormat="1" x14ac:dyDescent="0.2"/>
    <row r="53704" s="689" customFormat="1" x14ac:dyDescent="0.2"/>
    <row r="53705" s="689" customFormat="1" x14ac:dyDescent="0.2"/>
    <row r="53706" s="689" customFormat="1" x14ac:dyDescent="0.2"/>
    <row r="53707" s="689" customFormat="1" x14ac:dyDescent="0.2"/>
    <row r="53708" s="689" customFormat="1" x14ac:dyDescent="0.2"/>
    <row r="53709" s="689" customFormat="1" x14ac:dyDescent="0.2"/>
    <row r="53710" s="689" customFormat="1" x14ac:dyDescent="0.2"/>
    <row r="53711" s="689" customFormat="1" x14ac:dyDescent="0.2"/>
    <row r="53712" s="689" customFormat="1" x14ac:dyDescent="0.2"/>
    <row r="53713" s="689" customFormat="1" x14ac:dyDescent="0.2"/>
    <row r="53714" s="689" customFormat="1" x14ac:dyDescent="0.2"/>
    <row r="53715" s="689" customFormat="1" x14ac:dyDescent="0.2"/>
    <row r="53716" s="689" customFormat="1" x14ac:dyDescent="0.2"/>
    <row r="53717" s="689" customFormat="1" x14ac:dyDescent="0.2"/>
    <row r="53718" s="689" customFormat="1" x14ac:dyDescent="0.2"/>
    <row r="53719" s="689" customFormat="1" x14ac:dyDescent="0.2"/>
    <row r="53720" s="689" customFormat="1" x14ac:dyDescent="0.2"/>
    <row r="53721" s="689" customFormat="1" x14ac:dyDescent="0.2"/>
    <row r="53722" s="689" customFormat="1" x14ac:dyDescent="0.2"/>
    <row r="53723" s="689" customFormat="1" x14ac:dyDescent="0.2"/>
    <row r="53724" s="689" customFormat="1" x14ac:dyDescent="0.2"/>
    <row r="53725" s="689" customFormat="1" x14ac:dyDescent="0.2"/>
    <row r="53726" s="689" customFormat="1" x14ac:dyDescent="0.2"/>
    <row r="53727" s="689" customFormat="1" x14ac:dyDescent="0.2"/>
    <row r="53728" s="689" customFormat="1" x14ac:dyDescent="0.2"/>
    <row r="53729" s="689" customFormat="1" x14ac:dyDescent="0.2"/>
    <row r="53730" s="689" customFormat="1" x14ac:dyDescent="0.2"/>
    <row r="53731" s="689" customFormat="1" x14ac:dyDescent="0.2"/>
    <row r="53732" s="689" customFormat="1" x14ac:dyDescent="0.2"/>
    <row r="53733" s="689" customFormat="1" x14ac:dyDescent="0.2"/>
    <row r="53734" s="689" customFormat="1" x14ac:dyDescent="0.2"/>
    <row r="53735" s="689" customFormat="1" x14ac:dyDescent="0.2"/>
    <row r="53736" s="689" customFormat="1" x14ac:dyDescent="0.2"/>
    <row r="53737" s="689" customFormat="1" x14ac:dyDescent="0.2"/>
    <row r="53738" s="689" customFormat="1" x14ac:dyDescent="0.2"/>
    <row r="53739" s="689" customFormat="1" x14ac:dyDescent="0.2"/>
    <row r="53740" s="689" customFormat="1" x14ac:dyDescent="0.2"/>
    <row r="53741" s="689" customFormat="1" x14ac:dyDescent="0.2"/>
    <row r="53742" s="689" customFormat="1" x14ac:dyDescent="0.2"/>
    <row r="53743" s="689" customFormat="1" x14ac:dyDescent="0.2"/>
    <row r="53744" s="689" customFormat="1" x14ac:dyDescent="0.2"/>
    <row r="53745" s="689" customFormat="1" x14ac:dyDescent="0.2"/>
    <row r="53746" s="689" customFormat="1" x14ac:dyDescent="0.2"/>
    <row r="53747" s="689" customFormat="1" x14ac:dyDescent="0.2"/>
    <row r="53748" s="689" customFormat="1" x14ac:dyDescent="0.2"/>
    <row r="53749" s="689" customFormat="1" x14ac:dyDescent="0.2"/>
    <row r="53750" s="689" customFormat="1" x14ac:dyDescent="0.2"/>
    <row r="53751" s="689" customFormat="1" x14ac:dyDescent="0.2"/>
    <row r="53752" s="689" customFormat="1" x14ac:dyDescent="0.2"/>
    <row r="53753" s="689" customFormat="1" x14ac:dyDescent="0.2"/>
    <row r="53754" s="689" customFormat="1" x14ac:dyDescent="0.2"/>
    <row r="53755" s="689" customFormat="1" x14ac:dyDescent="0.2"/>
    <row r="53756" s="689" customFormat="1" x14ac:dyDescent="0.2"/>
    <row r="53757" s="689" customFormat="1" x14ac:dyDescent="0.2"/>
    <row r="53758" s="689" customFormat="1" x14ac:dyDescent="0.2"/>
    <row r="53759" s="689" customFormat="1" x14ac:dyDescent="0.2"/>
    <row r="53760" s="689" customFormat="1" x14ac:dyDescent="0.2"/>
    <row r="53761" s="689" customFormat="1" x14ac:dyDescent="0.2"/>
    <row r="53762" s="689" customFormat="1" x14ac:dyDescent="0.2"/>
    <row r="53763" s="689" customFormat="1" x14ac:dyDescent="0.2"/>
    <row r="53764" s="689" customFormat="1" x14ac:dyDescent="0.2"/>
    <row r="53765" s="689" customFormat="1" x14ac:dyDescent="0.2"/>
    <row r="53766" s="689" customFormat="1" x14ac:dyDescent="0.2"/>
    <row r="53767" s="689" customFormat="1" x14ac:dyDescent="0.2"/>
    <row r="53768" s="689" customFormat="1" x14ac:dyDescent="0.2"/>
    <row r="53769" s="689" customFormat="1" x14ac:dyDescent="0.2"/>
    <row r="53770" s="689" customFormat="1" x14ac:dyDescent="0.2"/>
    <row r="53771" s="689" customFormat="1" x14ac:dyDescent="0.2"/>
    <row r="53772" s="689" customFormat="1" x14ac:dyDescent="0.2"/>
    <row r="53773" s="689" customFormat="1" x14ac:dyDescent="0.2"/>
    <row r="53774" s="689" customFormat="1" x14ac:dyDescent="0.2"/>
    <row r="53775" s="689" customFormat="1" x14ac:dyDescent="0.2"/>
    <row r="53776" s="689" customFormat="1" x14ac:dyDescent="0.2"/>
    <row r="53777" s="689" customFormat="1" x14ac:dyDescent="0.2"/>
    <row r="53778" s="689" customFormat="1" x14ac:dyDescent="0.2"/>
    <row r="53779" s="689" customFormat="1" x14ac:dyDescent="0.2"/>
    <row r="53780" s="689" customFormat="1" x14ac:dyDescent="0.2"/>
    <row r="53781" s="689" customFormat="1" x14ac:dyDescent="0.2"/>
    <row r="53782" s="689" customFormat="1" x14ac:dyDescent="0.2"/>
    <row r="53783" s="689" customFormat="1" x14ac:dyDescent="0.2"/>
    <row r="53784" s="689" customFormat="1" x14ac:dyDescent="0.2"/>
    <row r="53785" s="689" customFormat="1" x14ac:dyDescent="0.2"/>
    <row r="53786" s="689" customFormat="1" x14ac:dyDescent="0.2"/>
    <row r="53787" s="689" customFormat="1" x14ac:dyDescent="0.2"/>
    <row r="53788" s="689" customFormat="1" x14ac:dyDescent="0.2"/>
    <row r="53789" s="689" customFormat="1" x14ac:dyDescent="0.2"/>
    <row r="53790" s="689" customFormat="1" x14ac:dyDescent="0.2"/>
    <row r="53791" s="689" customFormat="1" x14ac:dyDescent="0.2"/>
    <row r="53792" s="689" customFormat="1" x14ac:dyDescent="0.2"/>
    <row r="53793" s="689" customFormat="1" x14ac:dyDescent="0.2"/>
    <row r="53794" s="689" customFormat="1" x14ac:dyDescent="0.2"/>
    <row r="53795" s="689" customFormat="1" x14ac:dyDescent="0.2"/>
    <row r="53796" s="689" customFormat="1" x14ac:dyDescent="0.2"/>
    <row r="53797" s="689" customFormat="1" x14ac:dyDescent="0.2"/>
    <row r="53798" s="689" customFormat="1" x14ac:dyDescent="0.2"/>
    <row r="53799" s="689" customFormat="1" x14ac:dyDescent="0.2"/>
    <row r="53800" s="689" customFormat="1" x14ac:dyDescent="0.2"/>
    <row r="53801" s="689" customFormat="1" x14ac:dyDescent="0.2"/>
    <row r="53802" s="689" customFormat="1" x14ac:dyDescent="0.2"/>
    <row r="53803" s="689" customFormat="1" x14ac:dyDescent="0.2"/>
    <row r="53804" s="689" customFormat="1" x14ac:dyDescent="0.2"/>
    <row r="53805" s="689" customFormat="1" x14ac:dyDescent="0.2"/>
    <row r="53806" s="689" customFormat="1" x14ac:dyDescent="0.2"/>
    <row r="53807" s="689" customFormat="1" x14ac:dyDescent="0.2"/>
    <row r="53808" s="689" customFormat="1" x14ac:dyDescent="0.2"/>
    <row r="53809" s="689" customFormat="1" x14ac:dyDescent="0.2"/>
    <row r="53810" s="689" customFormat="1" x14ac:dyDescent="0.2"/>
    <row r="53811" s="689" customFormat="1" x14ac:dyDescent="0.2"/>
    <row r="53812" s="689" customFormat="1" x14ac:dyDescent="0.2"/>
    <row r="53813" s="689" customFormat="1" x14ac:dyDescent="0.2"/>
    <row r="53814" s="689" customFormat="1" x14ac:dyDescent="0.2"/>
    <row r="53815" s="689" customFormat="1" x14ac:dyDescent="0.2"/>
    <row r="53816" s="689" customFormat="1" x14ac:dyDescent="0.2"/>
    <row r="53817" s="689" customFormat="1" x14ac:dyDescent="0.2"/>
    <row r="53818" s="689" customFormat="1" x14ac:dyDescent="0.2"/>
    <row r="53819" s="689" customFormat="1" x14ac:dyDescent="0.2"/>
    <row r="53820" s="689" customFormat="1" x14ac:dyDescent="0.2"/>
    <row r="53821" s="689" customFormat="1" x14ac:dyDescent="0.2"/>
    <row r="53822" s="689" customFormat="1" x14ac:dyDescent="0.2"/>
    <row r="53823" s="689" customFormat="1" x14ac:dyDescent="0.2"/>
    <row r="53824" s="689" customFormat="1" x14ac:dyDescent="0.2"/>
    <row r="53825" s="689" customFormat="1" x14ac:dyDescent="0.2"/>
    <row r="53826" s="689" customFormat="1" x14ac:dyDescent="0.2"/>
    <row r="53827" s="689" customFormat="1" x14ac:dyDescent="0.2"/>
    <row r="53828" s="689" customFormat="1" x14ac:dyDescent="0.2"/>
    <row r="53829" s="689" customFormat="1" x14ac:dyDescent="0.2"/>
    <row r="53830" s="689" customFormat="1" x14ac:dyDescent="0.2"/>
    <row r="53831" s="689" customFormat="1" x14ac:dyDescent="0.2"/>
    <row r="53832" s="689" customFormat="1" x14ac:dyDescent="0.2"/>
    <row r="53833" s="689" customFormat="1" x14ac:dyDescent="0.2"/>
    <row r="53834" s="689" customFormat="1" x14ac:dyDescent="0.2"/>
    <row r="53835" s="689" customFormat="1" x14ac:dyDescent="0.2"/>
    <row r="53836" s="689" customFormat="1" x14ac:dyDescent="0.2"/>
    <row r="53837" s="689" customFormat="1" x14ac:dyDescent="0.2"/>
    <row r="53838" s="689" customFormat="1" x14ac:dyDescent="0.2"/>
    <row r="53839" s="689" customFormat="1" x14ac:dyDescent="0.2"/>
    <row r="53840" s="689" customFormat="1" x14ac:dyDescent="0.2"/>
    <row r="53841" s="689" customFormat="1" x14ac:dyDescent="0.2"/>
    <row r="53842" s="689" customFormat="1" x14ac:dyDescent="0.2"/>
    <row r="53843" s="689" customFormat="1" x14ac:dyDescent="0.2"/>
    <row r="53844" s="689" customFormat="1" x14ac:dyDescent="0.2"/>
    <row r="53845" s="689" customFormat="1" x14ac:dyDescent="0.2"/>
    <row r="53846" s="689" customFormat="1" x14ac:dyDescent="0.2"/>
    <row r="53847" s="689" customFormat="1" x14ac:dyDescent="0.2"/>
    <row r="53848" s="689" customFormat="1" x14ac:dyDescent="0.2"/>
    <row r="53849" s="689" customFormat="1" x14ac:dyDescent="0.2"/>
    <row r="53850" s="689" customFormat="1" x14ac:dyDescent="0.2"/>
    <row r="53851" s="689" customFormat="1" x14ac:dyDescent="0.2"/>
    <row r="53852" s="689" customFormat="1" x14ac:dyDescent="0.2"/>
    <row r="53853" s="689" customFormat="1" x14ac:dyDescent="0.2"/>
    <row r="53854" s="689" customFormat="1" x14ac:dyDescent="0.2"/>
    <row r="53855" s="689" customFormat="1" x14ac:dyDescent="0.2"/>
    <row r="53856" s="689" customFormat="1" x14ac:dyDescent="0.2"/>
    <row r="53857" s="689" customFormat="1" x14ac:dyDescent="0.2"/>
    <row r="53858" s="689" customFormat="1" x14ac:dyDescent="0.2"/>
    <row r="53859" s="689" customFormat="1" x14ac:dyDescent="0.2"/>
    <row r="53860" s="689" customFormat="1" x14ac:dyDescent="0.2"/>
    <row r="53861" s="689" customFormat="1" x14ac:dyDescent="0.2"/>
    <row r="53862" s="689" customFormat="1" x14ac:dyDescent="0.2"/>
    <row r="53863" s="689" customFormat="1" x14ac:dyDescent="0.2"/>
    <row r="53864" s="689" customFormat="1" x14ac:dyDescent="0.2"/>
    <row r="53865" s="689" customFormat="1" x14ac:dyDescent="0.2"/>
    <row r="53866" s="689" customFormat="1" x14ac:dyDescent="0.2"/>
    <row r="53867" s="689" customFormat="1" x14ac:dyDescent="0.2"/>
    <row r="53868" s="689" customFormat="1" x14ac:dyDescent="0.2"/>
    <row r="53869" s="689" customFormat="1" x14ac:dyDescent="0.2"/>
    <row r="53870" s="689" customFormat="1" x14ac:dyDescent="0.2"/>
    <row r="53871" s="689" customFormat="1" x14ac:dyDescent="0.2"/>
    <row r="53872" s="689" customFormat="1" x14ac:dyDescent="0.2"/>
    <row r="53873" s="689" customFormat="1" x14ac:dyDescent="0.2"/>
    <row r="53874" s="689" customFormat="1" x14ac:dyDescent="0.2"/>
    <row r="53875" s="689" customFormat="1" x14ac:dyDescent="0.2"/>
    <row r="53876" s="689" customFormat="1" x14ac:dyDescent="0.2"/>
    <row r="53877" s="689" customFormat="1" x14ac:dyDescent="0.2"/>
    <row r="53878" s="689" customFormat="1" x14ac:dyDescent="0.2"/>
    <row r="53879" s="689" customFormat="1" x14ac:dyDescent="0.2"/>
    <row r="53880" s="689" customFormat="1" x14ac:dyDescent="0.2"/>
    <row r="53881" s="689" customFormat="1" x14ac:dyDescent="0.2"/>
    <row r="53882" s="689" customFormat="1" x14ac:dyDescent="0.2"/>
    <row r="53883" s="689" customFormat="1" x14ac:dyDescent="0.2"/>
    <row r="53884" s="689" customFormat="1" x14ac:dyDescent="0.2"/>
    <row r="53885" s="689" customFormat="1" x14ac:dyDescent="0.2"/>
    <row r="53886" s="689" customFormat="1" x14ac:dyDescent="0.2"/>
    <row r="53887" s="689" customFormat="1" x14ac:dyDescent="0.2"/>
    <row r="53888" s="689" customFormat="1" x14ac:dyDescent="0.2"/>
    <row r="53889" s="689" customFormat="1" x14ac:dyDescent="0.2"/>
    <row r="53890" s="689" customFormat="1" x14ac:dyDescent="0.2"/>
    <row r="53891" s="689" customFormat="1" x14ac:dyDescent="0.2"/>
    <row r="53892" s="689" customFormat="1" x14ac:dyDescent="0.2"/>
    <row r="53893" s="689" customFormat="1" x14ac:dyDescent="0.2"/>
    <row r="53894" s="689" customFormat="1" x14ac:dyDescent="0.2"/>
    <row r="53895" s="689" customFormat="1" x14ac:dyDescent="0.2"/>
    <row r="53896" s="689" customFormat="1" x14ac:dyDescent="0.2"/>
    <row r="53897" s="689" customFormat="1" x14ac:dyDescent="0.2"/>
    <row r="53898" s="689" customFormat="1" x14ac:dyDescent="0.2"/>
    <row r="53899" s="689" customFormat="1" x14ac:dyDescent="0.2"/>
    <row r="53900" s="689" customFormat="1" x14ac:dyDescent="0.2"/>
    <row r="53901" s="689" customFormat="1" x14ac:dyDescent="0.2"/>
    <row r="53902" s="689" customFormat="1" x14ac:dyDescent="0.2"/>
    <row r="53903" s="689" customFormat="1" x14ac:dyDescent="0.2"/>
    <row r="53904" s="689" customFormat="1" x14ac:dyDescent="0.2"/>
    <row r="53905" s="689" customFormat="1" x14ac:dyDescent="0.2"/>
    <row r="53906" s="689" customFormat="1" x14ac:dyDescent="0.2"/>
    <row r="53907" s="689" customFormat="1" x14ac:dyDescent="0.2"/>
    <row r="53908" s="689" customFormat="1" x14ac:dyDescent="0.2"/>
    <row r="53909" s="689" customFormat="1" x14ac:dyDescent="0.2"/>
    <row r="53910" s="689" customFormat="1" x14ac:dyDescent="0.2"/>
    <row r="53911" s="689" customFormat="1" x14ac:dyDescent="0.2"/>
    <row r="53912" s="689" customFormat="1" x14ac:dyDescent="0.2"/>
    <row r="53913" s="689" customFormat="1" x14ac:dyDescent="0.2"/>
    <row r="53914" s="689" customFormat="1" x14ac:dyDescent="0.2"/>
    <row r="53915" s="689" customFormat="1" x14ac:dyDescent="0.2"/>
    <row r="53916" s="689" customFormat="1" x14ac:dyDescent="0.2"/>
    <row r="53917" s="689" customFormat="1" x14ac:dyDescent="0.2"/>
    <row r="53918" s="689" customFormat="1" x14ac:dyDescent="0.2"/>
    <row r="53919" s="689" customFormat="1" x14ac:dyDescent="0.2"/>
    <row r="53920" s="689" customFormat="1" x14ac:dyDescent="0.2"/>
    <row r="53921" s="689" customFormat="1" x14ac:dyDescent="0.2"/>
    <row r="53922" s="689" customFormat="1" x14ac:dyDescent="0.2"/>
    <row r="53923" s="689" customFormat="1" x14ac:dyDescent="0.2"/>
    <row r="53924" s="689" customFormat="1" x14ac:dyDescent="0.2"/>
    <row r="53925" s="689" customFormat="1" x14ac:dyDescent="0.2"/>
    <row r="53926" s="689" customFormat="1" x14ac:dyDescent="0.2"/>
    <row r="53927" s="689" customFormat="1" x14ac:dyDescent="0.2"/>
    <row r="53928" s="689" customFormat="1" x14ac:dyDescent="0.2"/>
    <row r="53929" s="689" customFormat="1" x14ac:dyDescent="0.2"/>
    <row r="53930" s="689" customFormat="1" x14ac:dyDescent="0.2"/>
    <row r="53931" s="689" customFormat="1" x14ac:dyDescent="0.2"/>
    <row r="53932" s="689" customFormat="1" x14ac:dyDescent="0.2"/>
    <row r="53933" s="689" customFormat="1" x14ac:dyDescent="0.2"/>
    <row r="53934" s="689" customFormat="1" x14ac:dyDescent="0.2"/>
    <row r="53935" s="689" customFormat="1" x14ac:dyDescent="0.2"/>
    <row r="53936" s="689" customFormat="1" x14ac:dyDescent="0.2"/>
    <row r="53937" s="689" customFormat="1" x14ac:dyDescent="0.2"/>
    <row r="53938" s="689" customFormat="1" x14ac:dyDescent="0.2"/>
    <row r="53939" s="689" customFormat="1" x14ac:dyDescent="0.2"/>
    <row r="53940" s="689" customFormat="1" x14ac:dyDescent="0.2"/>
    <row r="53941" s="689" customFormat="1" x14ac:dyDescent="0.2"/>
    <row r="53942" s="689" customFormat="1" x14ac:dyDescent="0.2"/>
    <row r="53943" s="689" customFormat="1" x14ac:dyDescent="0.2"/>
    <row r="53944" s="689" customFormat="1" x14ac:dyDescent="0.2"/>
    <row r="53945" s="689" customFormat="1" x14ac:dyDescent="0.2"/>
    <row r="53946" s="689" customFormat="1" x14ac:dyDescent="0.2"/>
    <row r="53947" s="689" customFormat="1" x14ac:dyDescent="0.2"/>
    <row r="53948" s="689" customFormat="1" x14ac:dyDescent="0.2"/>
    <row r="53949" s="689" customFormat="1" x14ac:dyDescent="0.2"/>
    <row r="53950" s="689" customFormat="1" x14ac:dyDescent="0.2"/>
    <row r="53951" s="689" customFormat="1" x14ac:dyDescent="0.2"/>
    <row r="53952" s="689" customFormat="1" x14ac:dyDescent="0.2"/>
    <row r="53953" s="689" customFormat="1" x14ac:dyDescent="0.2"/>
    <row r="53954" s="689" customFormat="1" x14ac:dyDescent="0.2"/>
    <row r="53955" s="689" customFormat="1" x14ac:dyDescent="0.2"/>
    <row r="53956" s="689" customFormat="1" x14ac:dyDescent="0.2"/>
    <row r="53957" s="689" customFormat="1" x14ac:dyDescent="0.2"/>
    <row r="53958" s="689" customFormat="1" x14ac:dyDescent="0.2"/>
    <row r="53959" s="689" customFormat="1" x14ac:dyDescent="0.2"/>
    <row r="53960" s="689" customFormat="1" x14ac:dyDescent="0.2"/>
    <row r="53961" s="689" customFormat="1" x14ac:dyDescent="0.2"/>
    <row r="53962" s="689" customFormat="1" x14ac:dyDescent="0.2"/>
    <row r="53963" s="689" customFormat="1" x14ac:dyDescent="0.2"/>
    <row r="53964" s="689" customFormat="1" x14ac:dyDescent="0.2"/>
    <row r="53965" s="689" customFormat="1" x14ac:dyDescent="0.2"/>
    <row r="53966" s="689" customFormat="1" x14ac:dyDescent="0.2"/>
    <row r="53967" s="689" customFormat="1" x14ac:dyDescent="0.2"/>
    <row r="53968" s="689" customFormat="1" x14ac:dyDescent="0.2"/>
    <row r="53969" s="689" customFormat="1" x14ac:dyDescent="0.2"/>
    <row r="53970" s="689" customFormat="1" x14ac:dyDescent="0.2"/>
    <row r="53971" s="689" customFormat="1" x14ac:dyDescent="0.2"/>
    <row r="53972" s="689" customFormat="1" x14ac:dyDescent="0.2"/>
    <row r="53973" s="689" customFormat="1" x14ac:dyDescent="0.2"/>
    <row r="53974" s="689" customFormat="1" x14ac:dyDescent="0.2"/>
    <row r="53975" s="689" customFormat="1" x14ac:dyDescent="0.2"/>
    <row r="53976" s="689" customFormat="1" x14ac:dyDescent="0.2"/>
    <row r="53977" s="689" customFormat="1" x14ac:dyDescent="0.2"/>
    <row r="53978" s="689" customFormat="1" x14ac:dyDescent="0.2"/>
    <row r="53979" s="689" customFormat="1" x14ac:dyDescent="0.2"/>
    <row r="53980" s="689" customFormat="1" x14ac:dyDescent="0.2"/>
    <row r="53981" s="689" customFormat="1" x14ac:dyDescent="0.2"/>
    <row r="53982" s="689" customFormat="1" x14ac:dyDescent="0.2"/>
    <row r="53983" s="689" customFormat="1" x14ac:dyDescent="0.2"/>
    <row r="53984" s="689" customFormat="1" x14ac:dyDescent="0.2"/>
    <row r="53985" s="689" customFormat="1" x14ac:dyDescent="0.2"/>
    <row r="53986" s="689" customFormat="1" x14ac:dyDescent="0.2"/>
    <row r="53987" s="689" customFormat="1" x14ac:dyDescent="0.2"/>
    <row r="53988" s="689" customFormat="1" x14ac:dyDescent="0.2"/>
    <row r="53989" s="689" customFormat="1" x14ac:dyDescent="0.2"/>
    <row r="53990" s="689" customFormat="1" x14ac:dyDescent="0.2"/>
    <row r="53991" s="689" customFormat="1" x14ac:dyDescent="0.2"/>
    <row r="53992" s="689" customFormat="1" x14ac:dyDescent="0.2"/>
    <row r="53993" s="689" customFormat="1" x14ac:dyDescent="0.2"/>
    <row r="53994" s="689" customFormat="1" x14ac:dyDescent="0.2"/>
    <row r="53995" s="689" customFormat="1" x14ac:dyDescent="0.2"/>
    <row r="53996" s="689" customFormat="1" x14ac:dyDescent="0.2"/>
    <row r="53997" s="689" customFormat="1" x14ac:dyDescent="0.2"/>
    <row r="53998" s="689" customFormat="1" x14ac:dyDescent="0.2"/>
    <row r="53999" s="689" customFormat="1" x14ac:dyDescent="0.2"/>
    <row r="54000" s="689" customFormat="1" x14ac:dyDescent="0.2"/>
    <row r="54001" s="689" customFormat="1" x14ac:dyDescent="0.2"/>
    <row r="54002" s="689" customFormat="1" x14ac:dyDescent="0.2"/>
    <row r="54003" s="689" customFormat="1" x14ac:dyDescent="0.2"/>
    <row r="54004" s="689" customFormat="1" x14ac:dyDescent="0.2"/>
    <row r="54005" s="689" customFormat="1" x14ac:dyDescent="0.2"/>
    <row r="54006" s="689" customFormat="1" x14ac:dyDescent="0.2"/>
    <row r="54007" s="689" customFormat="1" x14ac:dyDescent="0.2"/>
    <row r="54008" s="689" customFormat="1" x14ac:dyDescent="0.2"/>
    <row r="54009" s="689" customFormat="1" x14ac:dyDescent="0.2"/>
    <row r="54010" s="689" customFormat="1" x14ac:dyDescent="0.2"/>
    <row r="54011" s="689" customFormat="1" x14ac:dyDescent="0.2"/>
    <row r="54012" s="689" customFormat="1" x14ac:dyDescent="0.2"/>
    <row r="54013" s="689" customFormat="1" x14ac:dyDescent="0.2"/>
    <row r="54014" s="689" customFormat="1" x14ac:dyDescent="0.2"/>
    <row r="54015" s="689" customFormat="1" x14ac:dyDescent="0.2"/>
    <row r="54016" s="689" customFormat="1" x14ac:dyDescent="0.2"/>
    <row r="54017" s="689" customFormat="1" x14ac:dyDescent="0.2"/>
    <row r="54018" s="689" customFormat="1" x14ac:dyDescent="0.2"/>
    <row r="54019" s="689" customFormat="1" x14ac:dyDescent="0.2"/>
    <row r="54020" s="689" customFormat="1" x14ac:dyDescent="0.2"/>
    <row r="54021" s="689" customFormat="1" x14ac:dyDescent="0.2"/>
    <row r="54022" s="689" customFormat="1" x14ac:dyDescent="0.2"/>
    <row r="54023" s="689" customFormat="1" x14ac:dyDescent="0.2"/>
    <row r="54024" s="689" customFormat="1" x14ac:dyDescent="0.2"/>
    <row r="54025" s="689" customFormat="1" x14ac:dyDescent="0.2"/>
    <row r="54026" s="689" customFormat="1" x14ac:dyDescent="0.2"/>
    <row r="54027" s="689" customFormat="1" x14ac:dyDescent="0.2"/>
    <row r="54028" s="689" customFormat="1" x14ac:dyDescent="0.2"/>
    <row r="54029" s="689" customFormat="1" x14ac:dyDescent="0.2"/>
    <row r="54030" s="689" customFormat="1" x14ac:dyDescent="0.2"/>
    <row r="54031" s="689" customFormat="1" x14ac:dyDescent="0.2"/>
    <row r="54032" s="689" customFormat="1" x14ac:dyDescent="0.2"/>
    <row r="54033" s="689" customFormat="1" x14ac:dyDescent="0.2"/>
    <row r="54034" s="689" customFormat="1" x14ac:dyDescent="0.2"/>
    <row r="54035" s="689" customFormat="1" x14ac:dyDescent="0.2"/>
    <row r="54036" s="689" customFormat="1" x14ac:dyDescent="0.2"/>
    <row r="54037" s="689" customFormat="1" x14ac:dyDescent="0.2"/>
    <row r="54038" s="689" customFormat="1" x14ac:dyDescent="0.2"/>
    <row r="54039" s="689" customFormat="1" x14ac:dyDescent="0.2"/>
    <row r="54040" s="689" customFormat="1" x14ac:dyDescent="0.2"/>
    <row r="54041" s="689" customFormat="1" x14ac:dyDescent="0.2"/>
    <row r="54042" s="689" customFormat="1" x14ac:dyDescent="0.2"/>
    <row r="54043" s="689" customFormat="1" x14ac:dyDescent="0.2"/>
    <row r="54044" s="689" customFormat="1" x14ac:dyDescent="0.2"/>
    <row r="54045" s="689" customFormat="1" x14ac:dyDescent="0.2"/>
    <row r="54046" s="689" customFormat="1" x14ac:dyDescent="0.2"/>
    <row r="54047" s="689" customFormat="1" x14ac:dyDescent="0.2"/>
    <row r="54048" s="689" customFormat="1" x14ac:dyDescent="0.2"/>
    <row r="54049" s="689" customFormat="1" x14ac:dyDescent="0.2"/>
    <row r="54050" s="689" customFormat="1" x14ac:dyDescent="0.2"/>
    <row r="54051" s="689" customFormat="1" x14ac:dyDescent="0.2"/>
    <row r="54052" s="689" customFormat="1" x14ac:dyDescent="0.2"/>
    <row r="54053" s="689" customFormat="1" x14ac:dyDescent="0.2"/>
    <row r="54054" s="689" customFormat="1" x14ac:dyDescent="0.2"/>
    <row r="54055" s="689" customFormat="1" x14ac:dyDescent="0.2"/>
    <row r="54056" s="689" customFormat="1" x14ac:dyDescent="0.2"/>
    <row r="54057" s="689" customFormat="1" x14ac:dyDescent="0.2"/>
    <row r="54058" s="689" customFormat="1" x14ac:dyDescent="0.2"/>
    <row r="54059" s="689" customFormat="1" x14ac:dyDescent="0.2"/>
    <row r="54060" s="689" customFormat="1" x14ac:dyDescent="0.2"/>
    <row r="54061" s="689" customFormat="1" x14ac:dyDescent="0.2"/>
    <row r="54062" s="689" customFormat="1" x14ac:dyDescent="0.2"/>
    <row r="54063" s="689" customFormat="1" x14ac:dyDescent="0.2"/>
    <row r="54064" s="689" customFormat="1" x14ac:dyDescent="0.2"/>
    <row r="54065" s="689" customFormat="1" x14ac:dyDescent="0.2"/>
    <row r="54066" s="689" customFormat="1" x14ac:dyDescent="0.2"/>
    <row r="54067" s="689" customFormat="1" x14ac:dyDescent="0.2"/>
    <row r="54068" s="689" customFormat="1" x14ac:dyDescent="0.2"/>
    <row r="54069" s="689" customFormat="1" x14ac:dyDescent="0.2"/>
    <row r="54070" s="689" customFormat="1" x14ac:dyDescent="0.2"/>
    <row r="54071" s="689" customFormat="1" x14ac:dyDescent="0.2"/>
    <row r="54072" s="689" customFormat="1" x14ac:dyDescent="0.2"/>
    <row r="54073" s="689" customFormat="1" x14ac:dyDescent="0.2"/>
    <row r="54074" s="689" customFormat="1" x14ac:dyDescent="0.2"/>
    <row r="54075" s="689" customFormat="1" x14ac:dyDescent="0.2"/>
    <row r="54076" s="689" customFormat="1" x14ac:dyDescent="0.2"/>
    <row r="54077" s="689" customFormat="1" x14ac:dyDescent="0.2"/>
    <row r="54078" s="689" customFormat="1" x14ac:dyDescent="0.2"/>
    <row r="54079" s="689" customFormat="1" x14ac:dyDescent="0.2"/>
    <row r="54080" s="689" customFormat="1" x14ac:dyDescent="0.2"/>
    <row r="54081" s="689" customFormat="1" x14ac:dyDescent="0.2"/>
    <row r="54082" s="689" customFormat="1" x14ac:dyDescent="0.2"/>
    <row r="54083" s="689" customFormat="1" x14ac:dyDescent="0.2"/>
    <row r="54084" s="689" customFormat="1" x14ac:dyDescent="0.2"/>
    <row r="54085" s="689" customFormat="1" x14ac:dyDescent="0.2"/>
    <row r="54086" s="689" customFormat="1" x14ac:dyDescent="0.2"/>
    <row r="54087" s="689" customFormat="1" x14ac:dyDescent="0.2"/>
    <row r="54088" s="689" customFormat="1" x14ac:dyDescent="0.2"/>
    <row r="54089" s="689" customFormat="1" x14ac:dyDescent="0.2"/>
    <row r="54090" s="689" customFormat="1" x14ac:dyDescent="0.2"/>
    <row r="54091" s="689" customFormat="1" x14ac:dyDescent="0.2"/>
    <row r="54092" s="689" customFormat="1" x14ac:dyDescent="0.2"/>
    <row r="54093" s="689" customFormat="1" x14ac:dyDescent="0.2"/>
    <row r="54094" s="689" customFormat="1" x14ac:dyDescent="0.2"/>
    <row r="54095" s="689" customFormat="1" x14ac:dyDescent="0.2"/>
    <row r="54096" s="689" customFormat="1" x14ac:dyDescent="0.2"/>
    <row r="54097" s="689" customFormat="1" x14ac:dyDescent="0.2"/>
    <row r="54098" s="689" customFormat="1" x14ac:dyDescent="0.2"/>
    <row r="54099" s="689" customFormat="1" x14ac:dyDescent="0.2"/>
    <row r="54100" s="689" customFormat="1" x14ac:dyDescent="0.2"/>
    <row r="54101" s="689" customFormat="1" x14ac:dyDescent="0.2"/>
    <row r="54102" s="689" customFormat="1" x14ac:dyDescent="0.2"/>
    <row r="54103" s="689" customFormat="1" x14ac:dyDescent="0.2"/>
    <row r="54104" s="689" customFormat="1" x14ac:dyDescent="0.2"/>
    <row r="54105" s="689" customFormat="1" x14ac:dyDescent="0.2"/>
    <row r="54106" s="689" customFormat="1" x14ac:dyDescent="0.2"/>
    <row r="54107" s="689" customFormat="1" x14ac:dyDescent="0.2"/>
    <row r="54108" s="689" customFormat="1" x14ac:dyDescent="0.2"/>
    <row r="54109" s="689" customFormat="1" x14ac:dyDescent="0.2"/>
    <row r="54110" s="689" customFormat="1" x14ac:dyDescent="0.2"/>
    <row r="54111" s="689" customFormat="1" x14ac:dyDescent="0.2"/>
    <row r="54112" s="689" customFormat="1" x14ac:dyDescent="0.2"/>
    <row r="54113" s="689" customFormat="1" x14ac:dyDescent="0.2"/>
    <row r="54114" s="689" customFormat="1" x14ac:dyDescent="0.2"/>
    <row r="54115" s="689" customFormat="1" x14ac:dyDescent="0.2"/>
    <row r="54116" s="689" customFormat="1" x14ac:dyDescent="0.2"/>
    <row r="54117" s="689" customFormat="1" x14ac:dyDescent="0.2"/>
    <row r="54118" s="689" customFormat="1" x14ac:dyDescent="0.2"/>
    <row r="54119" s="689" customFormat="1" x14ac:dyDescent="0.2"/>
    <row r="54120" s="689" customFormat="1" x14ac:dyDescent="0.2"/>
    <row r="54121" s="689" customFormat="1" x14ac:dyDescent="0.2"/>
    <row r="54122" s="689" customFormat="1" x14ac:dyDescent="0.2"/>
    <row r="54123" s="689" customFormat="1" x14ac:dyDescent="0.2"/>
    <row r="54124" s="689" customFormat="1" x14ac:dyDescent="0.2"/>
    <row r="54125" s="689" customFormat="1" x14ac:dyDescent="0.2"/>
    <row r="54126" s="689" customFormat="1" x14ac:dyDescent="0.2"/>
    <row r="54127" s="689" customFormat="1" x14ac:dyDescent="0.2"/>
    <row r="54128" s="689" customFormat="1" x14ac:dyDescent="0.2"/>
    <row r="54129" s="689" customFormat="1" x14ac:dyDescent="0.2"/>
    <row r="54130" s="689" customFormat="1" x14ac:dyDescent="0.2"/>
    <row r="54131" s="689" customFormat="1" x14ac:dyDescent="0.2"/>
    <row r="54132" s="689" customFormat="1" x14ac:dyDescent="0.2"/>
    <row r="54133" s="689" customFormat="1" x14ac:dyDescent="0.2"/>
    <row r="54134" s="689" customFormat="1" x14ac:dyDescent="0.2"/>
    <row r="54135" s="689" customFormat="1" x14ac:dyDescent="0.2"/>
    <row r="54136" s="689" customFormat="1" x14ac:dyDescent="0.2"/>
    <row r="54137" s="689" customFormat="1" x14ac:dyDescent="0.2"/>
    <row r="54138" s="689" customFormat="1" x14ac:dyDescent="0.2"/>
    <row r="54139" s="689" customFormat="1" x14ac:dyDescent="0.2"/>
    <row r="54140" s="689" customFormat="1" x14ac:dyDescent="0.2"/>
    <row r="54141" s="689" customFormat="1" x14ac:dyDescent="0.2"/>
    <row r="54142" s="689" customFormat="1" x14ac:dyDescent="0.2"/>
    <row r="54143" s="689" customFormat="1" x14ac:dyDescent="0.2"/>
    <row r="54144" s="689" customFormat="1" x14ac:dyDescent="0.2"/>
    <row r="54145" s="689" customFormat="1" x14ac:dyDescent="0.2"/>
    <row r="54146" s="689" customFormat="1" x14ac:dyDescent="0.2"/>
    <row r="54147" s="689" customFormat="1" x14ac:dyDescent="0.2"/>
    <row r="54148" s="689" customFormat="1" x14ac:dyDescent="0.2"/>
    <row r="54149" s="689" customFormat="1" x14ac:dyDescent="0.2"/>
    <row r="54150" s="689" customFormat="1" x14ac:dyDescent="0.2"/>
    <row r="54151" s="689" customFormat="1" x14ac:dyDescent="0.2"/>
    <row r="54152" s="689" customFormat="1" x14ac:dyDescent="0.2"/>
    <row r="54153" s="689" customFormat="1" x14ac:dyDescent="0.2"/>
    <row r="54154" s="689" customFormat="1" x14ac:dyDescent="0.2"/>
    <row r="54155" s="689" customFormat="1" x14ac:dyDescent="0.2"/>
    <row r="54156" s="689" customFormat="1" x14ac:dyDescent="0.2"/>
    <row r="54157" s="689" customFormat="1" x14ac:dyDescent="0.2"/>
    <row r="54158" s="689" customFormat="1" x14ac:dyDescent="0.2"/>
    <row r="54159" s="689" customFormat="1" x14ac:dyDescent="0.2"/>
    <row r="54160" s="689" customFormat="1" x14ac:dyDescent="0.2"/>
    <row r="54161" s="689" customFormat="1" x14ac:dyDescent="0.2"/>
    <row r="54162" s="689" customFormat="1" x14ac:dyDescent="0.2"/>
    <row r="54163" s="689" customFormat="1" x14ac:dyDescent="0.2"/>
    <row r="54164" s="689" customFormat="1" x14ac:dyDescent="0.2"/>
    <row r="54165" s="689" customFormat="1" x14ac:dyDescent="0.2"/>
    <row r="54166" s="689" customFormat="1" x14ac:dyDescent="0.2"/>
    <row r="54167" s="689" customFormat="1" x14ac:dyDescent="0.2"/>
    <row r="54168" s="689" customFormat="1" x14ac:dyDescent="0.2"/>
    <row r="54169" s="689" customFormat="1" x14ac:dyDescent="0.2"/>
    <row r="54170" s="689" customFormat="1" x14ac:dyDescent="0.2"/>
    <row r="54171" s="689" customFormat="1" x14ac:dyDescent="0.2"/>
    <row r="54172" s="689" customFormat="1" x14ac:dyDescent="0.2"/>
    <row r="54173" s="689" customFormat="1" x14ac:dyDescent="0.2"/>
    <row r="54174" s="689" customFormat="1" x14ac:dyDescent="0.2"/>
    <row r="54175" s="689" customFormat="1" x14ac:dyDescent="0.2"/>
    <row r="54176" s="689" customFormat="1" x14ac:dyDescent="0.2"/>
    <row r="54177" s="689" customFormat="1" x14ac:dyDescent="0.2"/>
    <row r="54178" s="689" customFormat="1" x14ac:dyDescent="0.2"/>
    <row r="54179" s="689" customFormat="1" x14ac:dyDescent="0.2"/>
    <row r="54180" s="689" customFormat="1" x14ac:dyDescent="0.2"/>
    <row r="54181" s="689" customFormat="1" x14ac:dyDescent="0.2"/>
    <row r="54182" s="689" customFormat="1" x14ac:dyDescent="0.2"/>
    <row r="54183" s="689" customFormat="1" x14ac:dyDescent="0.2"/>
    <row r="54184" s="689" customFormat="1" x14ac:dyDescent="0.2"/>
    <row r="54185" s="689" customFormat="1" x14ac:dyDescent="0.2"/>
    <row r="54186" s="689" customFormat="1" x14ac:dyDescent="0.2"/>
    <row r="54187" s="689" customFormat="1" x14ac:dyDescent="0.2"/>
    <row r="54188" s="689" customFormat="1" x14ac:dyDescent="0.2"/>
    <row r="54189" s="689" customFormat="1" x14ac:dyDescent="0.2"/>
    <row r="54190" s="689" customFormat="1" x14ac:dyDescent="0.2"/>
    <row r="54191" s="689" customFormat="1" x14ac:dyDescent="0.2"/>
    <row r="54192" s="689" customFormat="1" x14ac:dyDescent="0.2"/>
    <row r="54193" s="689" customFormat="1" x14ac:dyDescent="0.2"/>
    <row r="54194" s="689" customFormat="1" x14ac:dyDescent="0.2"/>
    <row r="54195" s="689" customFormat="1" x14ac:dyDescent="0.2"/>
    <row r="54196" s="689" customFormat="1" x14ac:dyDescent="0.2"/>
    <row r="54197" s="689" customFormat="1" x14ac:dyDescent="0.2"/>
    <row r="54198" s="689" customFormat="1" x14ac:dyDescent="0.2"/>
    <row r="54199" s="689" customFormat="1" x14ac:dyDescent="0.2"/>
    <row r="54200" s="689" customFormat="1" x14ac:dyDescent="0.2"/>
    <row r="54201" s="689" customFormat="1" x14ac:dyDescent="0.2"/>
    <row r="54202" s="689" customFormat="1" x14ac:dyDescent="0.2"/>
    <row r="54203" s="689" customFormat="1" x14ac:dyDescent="0.2"/>
    <row r="54204" s="689" customFormat="1" x14ac:dyDescent="0.2"/>
    <row r="54205" s="689" customFormat="1" x14ac:dyDescent="0.2"/>
    <row r="54206" s="689" customFormat="1" x14ac:dyDescent="0.2"/>
    <row r="54207" s="689" customFormat="1" x14ac:dyDescent="0.2"/>
    <row r="54208" s="689" customFormat="1" x14ac:dyDescent="0.2"/>
    <row r="54209" s="689" customFormat="1" x14ac:dyDescent="0.2"/>
    <row r="54210" s="689" customFormat="1" x14ac:dyDescent="0.2"/>
    <row r="54211" s="689" customFormat="1" x14ac:dyDescent="0.2"/>
    <row r="54212" s="689" customFormat="1" x14ac:dyDescent="0.2"/>
    <row r="54213" s="689" customFormat="1" x14ac:dyDescent="0.2"/>
    <row r="54214" s="689" customFormat="1" x14ac:dyDescent="0.2"/>
    <row r="54215" s="689" customFormat="1" x14ac:dyDescent="0.2"/>
    <row r="54216" s="689" customFormat="1" x14ac:dyDescent="0.2"/>
    <row r="54217" s="689" customFormat="1" x14ac:dyDescent="0.2"/>
    <row r="54218" s="689" customFormat="1" x14ac:dyDescent="0.2"/>
    <row r="54219" s="689" customFormat="1" x14ac:dyDescent="0.2"/>
    <row r="54220" s="689" customFormat="1" x14ac:dyDescent="0.2"/>
    <row r="54221" s="689" customFormat="1" x14ac:dyDescent="0.2"/>
    <row r="54222" s="689" customFormat="1" x14ac:dyDescent="0.2"/>
    <row r="54223" s="689" customFormat="1" x14ac:dyDescent="0.2"/>
    <row r="54224" s="689" customFormat="1" x14ac:dyDescent="0.2"/>
    <row r="54225" s="689" customFormat="1" x14ac:dyDescent="0.2"/>
    <row r="54226" s="689" customFormat="1" x14ac:dyDescent="0.2"/>
    <row r="54227" s="689" customFormat="1" x14ac:dyDescent="0.2"/>
    <row r="54228" s="689" customFormat="1" x14ac:dyDescent="0.2"/>
    <row r="54229" s="689" customFormat="1" x14ac:dyDescent="0.2"/>
    <row r="54230" s="689" customFormat="1" x14ac:dyDescent="0.2"/>
    <row r="54231" s="689" customFormat="1" x14ac:dyDescent="0.2"/>
    <row r="54232" s="689" customFormat="1" x14ac:dyDescent="0.2"/>
    <row r="54233" s="689" customFormat="1" x14ac:dyDescent="0.2"/>
    <row r="54234" s="689" customFormat="1" x14ac:dyDescent="0.2"/>
    <row r="54235" s="689" customFormat="1" x14ac:dyDescent="0.2"/>
    <row r="54236" s="689" customFormat="1" x14ac:dyDescent="0.2"/>
    <row r="54237" s="689" customFormat="1" x14ac:dyDescent="0.2"/>
    <row r="54238" s="689" customFormat="1" x14ac:dyDescent="0.2"/>
    <row r="54239" s="689" customFormat="1" x14ac:dyDescent="0.2"/>
    <row r="54240" s="689" customFormat="1" x14ac:dyDescent="0.2"/>
    <row r="54241" s="689" customFormat="1" x14ac:dyDescent="0.2"/>
    <row r="54242" s="689" customFormat="1" x14ac:dyDescent="0.2"/>
    <row r="54243" s="689" customFormat="1" x14ac:dyDescent="0.2"/>
    <row r="54244" s="689" customFormat="1" x14ac:dyDescent="0.2"/>
    <row r="54245" s="689" customFormat="1" x14ac:dyDescent="0.2"/>
    <row r="54246" s="689" customFormat="1" x14ac:dyDescent="0.2"/>
    <row r="54247" s="689" customFormat="1" x14ac:dyDescent="0.2"/>
    <row r="54248" s="689" customFormat="1" x14ac:dyDescent="0.2"/>
    <row r="54249" s="689" customFormat="1" x14ac:dyDescent="0.2"/>
    <row r="54250" s="689" customFormat="1" x14ac:dyDescent="0.2"/>
    <row r="54251" s="689" customFormat="1" x14ac:dyDescent="0.2"/>
    <row r="54252" s="689" customFormat="1" x14ac:dyDescent="0.2"/>
    <row r="54253" s="689" customFormat="1" x14ac:dyDescent="0.2"/>
    <row r="54254" s="689" customFormat="1" x14ac:dyDescent="0.2"/>
    <row r="54255" s="689" customFormat="1" x14ac:dyDescent="0.2"/>
    <row r="54256" s="689" customFormat="1" x14ac:dyDescent="0.2"/>
    <row r="54257" s="689" customFormat="1" x14ac:dyDescent="0.2"/>
    <row r="54258" s="689" customFormat="1" x14ac:dyDescent="0.2"/>
    <row r="54259" s="689" customFormat="1" x14ac:dyDescent="0.2"/>
    <row r="54260" s="689" customFormat="1" x14ac:dyDescent="0.2"/>
    <row r="54261" s="689" customFormat="1" x14ac:dyDescent="0.2"/>
    <row r="54262" s="689" customFormat="1" x14ac:dyDescent="0.2"/>
    <row r="54263" s="689" customFormat="1" x14ac:dyDescent="0.2"/>
    <row r="54264" s="689" customFormat="1" x14ac:dyDescent="0.2"/>
    <row r="54265" s="689" customFormat="1" x14ac:dyDescent="0.2"/>
    <row r="54266" s="689" customFormat="1" x14ac:dyDescent="0.2"/>
    <row r="54267" s="689" customFormat="1" x14ac:dyDescent="0.2"/>
    <row r="54268" s="689" customFormat="1" x14ac:dyDescent="0.2"/>
    <row r="54269" s="689" customFormat="1" x14ac:dyDescent="0.2"/>
    <row r="54270" s="689" customFormat="1" x14ac:dyDescent="0.2"/>
    <row r="54271" s="689" customFormat="1" x14ac:dyDescent="0.2"/>
    <row r="54272" s="689" customFormat="1" x14ac:dyDescent="0.2"/>
    <row r="54273" s="689" customFormat="1" x14ac:dyDescent="0.2"/>
    <row r="54274" s="689" customFormat="1" x14ac:dyDescent="0.2"/>
    <row r="54275" s="689" customFormat="1" x14ac:dyDescent="0.2"/>
    <row r="54276" s="689" customFormat="1" x14ac:dyDescent="0.2"/>
    <row r="54277" s="689" customFormat="1" x14ac:dyDescent="0.2"/>
    <row r="54278" s="689" customFormat="1" x14ac:dyDescent="0.2"/>
    <row r="54279" s="689" customFormat="1" x14ac:dyDescent="0.2"/>
    <row r="54280" s="689" customFormat="1" x14ac:dyDescent="0.2"/>
    <row r="54281" s="689" customFormat="1" x14ac:dyDescent="0.2"/>
    <row r="54282" s="689" customFormat="1" x14ac:dyDescent="0.2"/>
    <row r="54283" s="689" customFormat="1" x14ac:dyDescent="0.2"/>
    <row r="54284" s="689" customFormat="1" x14ac:dyDescent="0.2"/>
    <row r="54285" s="689" customFormat="1" x14ac:dyDescent="0.2"/>
    <row r="54286" s="689" customFormat="1" x14ac:dyDescent="0.2"/>
    <row r="54287" s="689" customFormat="1" x14ac:dyDescent="0.2"/>
    <row r="54288" s="689" customFormat="1" x14ac:dyDescent="0.2"/>
    <row r="54289" s="689" customFormat="1" x14ac:dyDescent="0.2"/>
    <row r="54290" s="689" customFormat="1" x14ac:dyDescent="0.2"/>
    <row r="54291" s="689" customFormat="1" x14ac:dyDescent="0.2"/>
    <row r="54292" s="689" customFormat="1" x14ac:dyDescent="0.2"/>
    <row r="54293" s="689" customFormat="1" x14ac:dyDescent="0.2"/>
    <row r="54294" s="689" customFormat="1" x14ac:dyDescent="0.2"/>
    <row r="54295" s="689" customFormat="1" x14ac:dyDescent="0.2"/>
    <row r="54296" s="689" customFormat="1" x14ac:dyDescent="0.2"/>
    <row r="54297" s="689" customFormat="1" x14ac:dyDescent="0.2"/>
    <row r="54298" s="689" customFormat="1" x14ac:dyDescent="0.2"/>
    <row r="54299" s="689" customFormat="1" x14ac:dyDescent="0.2"/>
    <row r="54300" s="689" customFormat="1" x14ac:dyDescent="0.2"/>
    <row r="54301" s="689" customFormat="1" x14ac:dyDescent="0.2"/>
    <row r="54302" s="689" customFormat="1" x14ac:dyDescent="0.2"/>
    <row r="54303" s="689" customFormat="1" x14ac:dyDescent="0.2"/>
    <row r="54304" s="689" customFormat="1" x14ac:dyDescent="0.2"/>
    <row r="54305" s="689" customFormat="1" x14ac:dyDescent="0.2"/>
    <row r="54306" s="689" customFormat="1" x14ac:dyDescent="0.2"/>
    <row r="54307" s="689" customFormat="1" x14ac:dyDescent="0.2"/>
    <row r="54308" s="689" customFormat="1" x14ac:dyDescent="0.2"/>
    <row r="54309" s="689" customFormat="1" x14ac:dyDescent="0.2"/>
    <row r="54310" s="689" customFormat="1" x14ac:dyDescent="0.2"/>
    <row r="54311" s="689" customFormat="1" x14ac:dyDescent="0.2"/>
    <row r="54312" s="689" customFormat="1" x14ac:dyDescent="0.2"/>
    <row r="54313" s="689" customFormat="1" x14ac:dyDescent="0.2"/>
    <row r="54314" s="689" customFormat="1" x14ac:dyDescent="0.2"/>
    <row r="54315" s="689" customFormat="1" x14ac:dyDescent="0.2"/>
    <row r="54316" s="689" customFormat="1" x14ac:dyDescent="0.2"/>
    <row r="54317" s="689" customFormat="1" x14ac:dyDescent="0.2"/>
    <row r="54318" s="689" customFormat="1" x14ac:dyDescent="0.2"/>
    <row r="54319" s="689" customFormat="1" x14ac:dyDescent="0.2"/>
    <row r="54320" s="689" customFormat="1" x14ac:dyDescent="0.2"/>
    <row r="54321" s="689" customFormat="1" x14ac:dyDescent="0.2"/>
    <row r="54322" s="689" customFormat="1" x14ac:dyDescent="0.2"/>
    <row r="54323" s="689" customFormat="1" x14ac:dyDescent="0.2"/>
    <row r="54324" s="689" customFormat="1" x14ac:dyDescent="0.2"/>
    <row r="54325" s="689" customFormat="1" x14ac:dyDescent="0.2"/>
    <row r="54326" s="689" customFormat="1" x14ac:dyDescent="0.2"/>
    <row r="54327" s="689" customFormat="1" x14ac:dyDescent="0.2"/>
    <row r="54328" s="689" customFormat="1" x14ac:dyDescent="0.2"/>
    <row r="54329" s="689" customFormat="1" x14ac:dyDescent="0.2"/>
    <row r="54330" s="689" customFormat="1" x14ac:dyDescent="0.2"/>
    <row r="54331" s="689" customFormat="1" x14ac:dyDescent="0.2"/>
    <row r="54332" s="689" customFormat="1" x14ac:dyDescent="0.2"/>
    <row r="54333" s="689" customFormat="1" x14ac:dyDescent="0.2"/>
    <row r="54334" s="689" customFormat="1" x14ac:dyDescent="0.2"/>
    <row r="54335" s="689" customFormat="1" x14ac:dyDescent="0.2"/>
    <row r="54336" s="689" customFormat="1" x14ac:dyDescent="0.2"/>
    <row r="54337" s="689" customFormat="1" x14ac:dyDescent="0.2"/>
    <row r="54338" s="689" customFormat="1" x14ac:dyDescent="0.2"/>
    <row r="54339" s="689" customFormat="1" x14ac:dyDescent="0.2"/>
    <row r="54340" s="689" customFormat="1" x14ac:dyDescent="0.2"/>
    <row r="54341" s="689" customFormat="1" x14ac:dyDescent="0.2"/>
    <row r="54342" s="689" customFormat="1" x14ac:dyDescent="0.2"/>
    <row r="54343" s="689" customFormat="1" x14ac:dyDescent="0.2"/>
    <row r="54344" s="689" customFormat="1" x14ac:dyDescent="0.2"/>
    <row r="54345" s="689" customFormat="1" x14ac:dyDescent="0.2"/>
    <row r="54346" s="689" customFormat="1" x14ac:dyDescent="0.2"/>
    <row r="54347" s="689" customFormat="1" x14ac:dyDescent="0.2"/>
    <row r="54348" s="689" customFormat="1" x14ac:dyDescent="0.2"/>
    <row r="54349" s="689" customFormat="1" x14ac:dyDescent="0.2"/>
    <row r="54350" s="689" customFormat="1" x14ac:dyDescent="0.2"/>
    <row r="54351" s="689" customFormat="1" x14ac:dyDescent="0.2"/>
    <row r="54352" s="689" customFormat="1" x14ac:dyDescent="0.2"/>
    <row r="54353" s="689" customFormat="1" x14ac:dyDescent="0.2"/>
    <row r="54354" s="689" customFormat="1" x14ac:dyDescent="0.2"/>
    <row r="54355" s="689" customFormat="1" x14ac:dyDescent="0.2"/>
    <row r="54356" s="689" customFormat="1" x14ac:dyDescent="0.2"/>
    <row r="54357" s="689" customFormat="1" x14ac:dyDescent="0.2"/>
    <row r="54358" s="689" customFormat="1" x14ac:dyDescent="0.2"/>
    <row r="54359" s="689" customFormat="1" x14ac:dyDescent="0.2"/>
    <row r="54360" s="689" customFormat="1" x14ac:dyDescent="0.2"/>
    <row r="54361" s="689" customFormat="1" x14ac:dyDescent="0.2"/>
    <row r="54362" s="689" customFormat="1" x14ac:dyDescent="0.2"/>
    <row r="54363" s="689" customFormat="1" x14ac:dyDescent="0.2"/>
    <row r="54364" s="689" customFormat="1" x14ac:dyDescent="0.2"/>
    <row r="54365" s="689" customFormat="1" x14ac:dyDescent="0.2"/>
    <row r="54366" s="689" customFormat="1" x14ac:dyDescent="0.2"/>
    <row r="54367" s="689" customFormat="1" x14ac:dyDescent="0.2"/>
    <row r="54368" s="689" customFormat="1" x14ac:dyDescent="0.2"/>
    <row r="54369" s="689" customFormat="1" x14ac:dyDescent="0.2"/>
    <row r="54370" s="689" customFormat="1" x14ac:dyDescent="0.2"/>
    <row r="54371" s="689" customFormat="1" x14ac:dyDescent="0.2"/>
    <row r="54372" s="689" customFormat="1" x14ac:dyDescent="0.2"/>
    <row r="54373" s="689" customFormat="1" x14ac:dyDescent="0.2"/>
    <row r="54374" s="689" customFormat="1" x14ac:dyDescent="0.2"/>
    <row r="54375" s="689" customFormat="1" x14ac:dyDescent="0.2"/>
    <row r="54376" s="689" customFormat="1" x14ac:dyDescent="0.2"/>
    <row r="54377" s="689" customFormat="1" x14ac:dyDescent="0.2"/>
    <row r="54378" s="689" customFormat="1" x14ac:dyDescent="0.2"/>
    <row r="54379" s="689" customFormat="1" x14ac:dyDescent="0.2"/>
    <row r="54380" s="689" customFormat="1" x14ac:dyDescent="0.2"/>
    <row r="54381" s="689" customFormat="1" x14ac:dyDescent="0.2"/>
    <row r="54382" s="689" customFormat="1" x14ac:dyDescent="0.2"/>
    <row r="54383" s="689" customFormat="1" x14ac:dyDescent="0.2"/>
    <row r="54384" s="689" customFormat="1" x14ac:dyDescent="0.2"/>
    <row r="54385" s="689" customFormat="1" x14ac:dyDescent="0.2"/>
    <row r="54386" s="689" customFormat="1" x14ac:dyDescent="0.2"/>
    <row r="54387" s="689" customFormat="1" x14ac:dyDescent="0.2"/>
    <row r="54388" s="689" customFormat="1" x14ac:dyDescent="0.2"/>
    <row r="54389" s="689" customFormat="1" x14ac:dyDescent="0.2"/>
    <row r="54390" s="689" customFormat="1" x14ac:dyDescent="0.2"/>
    <row r="54391" s="689" customFormat="1" x14ac:dyDescent="0.2"/>
    <row r="54392" s="689" customFormat="1" x14ac:dyDescent="0.2"/>
    <row r="54393" s="689" customFormat="1" x14ac:dyDescent="0.2"/>
    <row r="54394" s="689" customFormat="1" x14ac:dyDescent="0.2"/>
    <row r="54395" s="689" customFormat="1" x14ac:dyDescent="0.2"/>
    <row r="54396" s="689" customFormat="1" x14ac:dyDescent="0.2"/>
    <row r="54397" s="689" customFormat="1" x14ac:dyDescent="0.2"/>
    <row r="54398" s="689" customFormat="1" x14ac:dyDescent="0.2"/>
    <row r="54399" s="689" customFormat="1" x14ac:dyDescent="0.2"/>
    <row r="54400" s="689" customFormat="1" x14ac:dyDescent="0.2"/>
    <row r="54401" s="689" customFormat="1" x14ac:dyDescent="0.2"/>
    <row r="54402" s="689" customFormat="1" x14ac:dyDescent="0.2"/>
    <row r="54403" s="689" customFormat="1" x14ac:dyDescent="0.2"/>
    <row r="54404" s="689" customFormat="1" x14ac:dyDescent="0.2"/>
    <row r="54405" s="689" customFormat="1" x14ac:dyDescent="0.2"/>
    <row r="54406" s="689" customFormat="1" x14ac:dyDescent="0.2"/>
    <row r="54407" s="689" customFormat="1" x14ac:dyDescent="0.2"/>
    <row r="54408" s="689" customFormat="1" x14ac:dyDescent="0.2"/>
    <row r="54409" s="689" customFormat="1" x14ac:dyDescent="0.2"/>
    <row r="54410" s="689" customFormat="1" x14ac:dyDescent="0.2"/>
    <row r="54411" s="689" customFormat="1" x14ac:dyDescent="0.2"/>
    <row r="54412" s="689" customFormat="1" x14ac:dyDescent="0.2"/>
    <row r="54413" s="689" customFormat="1" x14ac:dyDescent="0.2"/>
    <row r="54414" s="689" customFormat="1" x14ac:dyDescent="0.2"/>
    <row r="54415" s="689" customFormat="1" x14ac:dyDescent="0.2"/>
    <row r="54416" s="689" customFormat="1" x14ac:dyDescent="0.2"/>
    <row r="54417" s="689" customFormat="1" x14ac:dyDescent="0.2"/>
    <row r="54418" s="689" customFormat="1" x14ac:dyDescent="0.2"/>
    <row r="54419" s="689" customFormat="1" x14ac:dyDescent="0.2"/>
    <row r="54420" s="689" customFormat="1" x14ac:dyDescent="0.2"/>
    <row r="54421" s="689" customFormat="1" x14ac:dyDescent="0.2"/>
    <row r="54422" s="689" customFormat="1" x14ac:dyDescent="0.2"/>
    <row r="54423" s="689" customFormat="1" x14ac:dyDescent="0.2"/>
    <row r="54424" s="689" customFormat="1" x14ac:dyDescent="0.2"/>
    <row r="54425" s="689" customFormat="1" x14ac:dyDescent="0.2"/>
    <row r="54426" s="689" customFormat="1" x14ac:dyDescent="0.2"/>
    <row r="54427" s="689" customFormat="1" x14ac:dyDescent="0.2"/>
    <row r="54428" s="689" customFormat="1" x14ac:dyDescent="0.2"/>
    <row r="54429" s="689" customFormat="1" x14ac:dyDescent="0.2"/>
    <row r="54430" s="689" customFormat="1" x14ac:dyDescent="0.2"/>
    <row r="54431" s="689" customFormat="1" x14ac:dyDescent="0.2"/>
    <row r="54432" s="689" customFormat="1" x14ac:dyDescent="0.2"/>
    <row r="54433" s="689" customFormat="1" x14ac:dyDescent="0.2"/>
    <row r="54434" s="689" customFormat="1" x14ac:dyDescent="0.2"/>
    <row r="54435" s="689" customFormat="1" x14ac:dyDescent="0.2"/>
    <row r="54436" s="689" customFormat="1" x14ac:dyDescent="0.2"/>
    <row r="54437" s="689" customFormat="1" x14ac:dyDescent="0.2"/>
    <row r="54438" s="689" customFormat="1" x14ac:dyDescent="0.2"/>
    <row r="54439" s="689" customFormat="1" x14ac:dyDescent="0.2"/>
    <row r="54440" s="689" customFormat="1" x14ac:dyDescent="0.2"/>
    <row r="54441" s="689" customFormat="1" x14ac:dyDescent="0.2"/>
    <row r="54442" s="689" customFormat="1" x14ac:dyDescent="0.2"/>
    <row r="54443" s="689" customFormat="1" x14ac:dyDescent="0.2"/>
    <row r="54444" s="689" customFormat="1" x14ac:dyDescent="0.2"/>
    <row r="54445" s="689" customFormat="1" x14ac:dyDescent="0.2"/>
    <row r="54446" s="689" customFormat="1" x14ac:dyDescent="0.2"/>
    <row r="54447" s="689" customFormat="1" x14ac:dyDescent="0.2"/>
    <row r="54448" s="689" customFormat="1" x14ac:dyDescent="0.2"/>
    <row r="54449" s="689" customFormat="1" x14ac:dyDescent="0.2"/>
    <row r="54450" s="689" customFormat="1" x14ac:dyDescent="0.2"/>
    <row r="54451" s="689" customFormat="1" x14ac:dyDescent="0.2"/>
    <row r="54452" s="689" customFormat="1" x14ac:dyDescent="0.2"/>
    <row r="54453" s="689" customFormat="1" x14ac:dyDescent="0.2"/>
    <row r="54454" s="689" customFormat="1" x14ac:dyDescent="0.2"/>
    <row r="54455" s="689" customFormat="1" x14ac:dyDescent="0.2"/>
    <row r="54456" s="689" customFormat="1" x14ac:dyDescent="0.2"/>
    <row r="54457" s="689" customFormat="1" x14ac:dyDescent="0.2"/>
    <row r="54458" s="689" customFormat="1" x14ac:dyDescent="0.2"/>
    <row r="54459" s="689" customFormat="1" x14ac:dyDescent="0.2"/>
    <row r="54460" s="689" customFormat="1" x14ac:dyDescent="0.2"/>
    <row r="54461" s="689" customFormat="1" x14ac:dyDescent="0.2"/>
    <row r="54462" s="689" customFormat="1" x14ac:dyDescent="0.2"/>
    <row r="54463" s="689" customFormat="1" x14ac:dyDescent="0.2"/>
    <row r="54464" s="689" customFormat="1" x14ac:dyDescent="0.2"/>
    <row r="54465" s="689" customFormat="1" x14ac:dyDescent="0.2"/>
    <row r="54466" s="689" customFormat="1" x14ac:dyDescent="0.2"/>
    <row r="54467" s="689" customFormat="1" x14ac:dyDescent="0.2"/>
    <row r="54468" s="689" customFormat="1" x14ac:dyDescent="0.2"/>
    <row r="54469" s="689" customFormat="1" x14ac:dyDescent="0.2"/>
    <row r="54470" s="689" customFormat="1" x14ac:dyDescent="0.2"/>
    <row r="54471" s="689" customFormat="1" x14ac:dyDescent="0.2"/>
    <row r="54472" s="689" customFormat="1" x14ac:dyDescent="0.2"/>
    <row r="54473" s="689" customFormat="1" x14ac:dyDescent="0.2"/>
    <row r="54474" s="689" customFormat="1" x14ac:dyDescent="0.2"/>
    <row r="54475" s="689" customFormat="1" x14ac:dyDescent="0.2"/>
    <row r="54476" s="689" customFormat="1" x14ac:dyDescent="0.2"/>
    <row r="54477" s="689" customFormat="1" x14ac:dyDescent="0.2"/>
    <row r="54478" s="689" customFormat="1" x14ac:dyDescent="0.2"/>
    <row r="54479" s="689" customFormat="1" x14ac:dyDescent="0.2"/>
    <row r="54480" s="689" customFormat="1" x14ac:dyDescent="0.2"/>
    <row r="54481" s="689" customFormat="1" x14ac:dyDescent="0.2"/>
    <row r="54482" s="689" customFormat="1" x14ac:dyDescent="0.2"/>
    <row r="54483" s="689" customFormat="1" x14ac:dyDescent="0.2"/>
    <row r="54484" s="689" customFormat="1" x14ac:dyDescent="0.2"/>
    <row r="54485" s="689" customFormat="1" x14ac:dyDescent="0.2"/>
    <row r="54486" s="689" customFormat="1" x14ac:dyDescent="0.2"/>
    <row r="54487" s="689" customFormat="1" x14ac:dyDescent="0.2"/>
    <row r="54488" s="689" customFormat="1" x14ac:dyDescent="0.2"/>
    <row r="54489" s="689" customFormat="1" x14ac:dyDescent="0.2"/>
    <row r="54490" s="689" customFormat="1" x14ac:dyDescent="0.2"/>
    <row r="54491" s="689" customFormat="1" x14ac:dyDescent="0.2"/>
    <row r="54492" s="689" customFormat="1" x14ac:dyDescent="0.2"/>
    <row r="54493" s="689" customFormat="1" x14ac:dyDescent="0.2"/>
    <row r="54494" s="689" customFormat="1" x14ac:dyDescent="0.2"/>
    <row r="54495" s="689" customFormat="1" x14ac:dyDescent="0.2"/>
    <row r="54496" s="689" customFormat="1" x14ac:dyDescent="0.2"/>
    <row r="54497" s="689" customFormat="1" x14ac:dyDescent="0.2"/>
    <row r="54498" s="689" customFormat="1" x14ac:dyDescent="0.2"/>
    <row r="54499" s="689" customFormat="1" x14ac:dyDescent="0.2"/>
    <row r="54500" s="689" customFormat="1" x14ac:dyDescent="0.2"/>
    <row r="54501" s="689" customFormat="1" x14ac:dyDescent="0.2"/>
    <row r="54502" s="689" customFormat="1" x14ac:dyDescent="0.2"/>
    <row r="54503" s="689" customFormat="1" x14ac:dyDescent="0.2"/>
    <row r="54504" s="689" customFormat="1" x14ac:dyDescent="0.2"/>
    <row r="54505" s="689" customFormat="1" x14ac:dyDescent="0.2"/>
    <row r="54506" s="689" customFormat="1" x14ac:dyDescent="0.2"/>
    <row r="54507" s="689" customFormat="1" x14ac:dyDescent="0.2"/>
    <row r="54508" s="689" customFormat="1" x14ac:dyDescent="0.2"/>
    <row r="54509" s="689" customFormat="1" x14ac:dyDescent="0.2"/>
    <row r="54510" s="689" customFormat="1" x14ac:dyDescent="0.2"/>
    <row r="54511" s="689" customFormat="1" x14ac:dyDescent="0.2"/>
    <row r="54512" s="689" customFormat="1" x14ac:dyDescent="0.2"/>
    <row r="54513" s="689" customFormat="1" x14ac:dyDescent="0.2"/>
    <row r="54514" s="689" customFormat="1" x14ac:dyDescent="0.2"/>
    <row r="54515" s="689" customFormat="1" x14ac:dyDescent="0.2"/>
    <row r="54516" s="689" customFormat="1" x14ac:dyDescent="0.2"/>
    <row r="54517" s="689" customFormat="1" x14ac:dyDescent="0.2"/>
    <row r="54518" s="689" customFormat="1" x14ac:dyDescent="0.2"/>
    <row r="54519" s="689" customFormat="1" x14ac:dyDescent="0.2"/>
    <row r="54520" s="689" customFormat="1" x14ac:dyDescent="0.2"/>
    <row r="54521" s="689" customFormat="1" x14ac:dyDescent="0.2"/>
    <row r="54522" s="689" customFormat="1" x14ac:dyDescent="0.2"/>
    <row r="54523" s="689" customFormat="1" x14ac:dyDescent="0.2"/>
    <row r="54524" s="689" customFormat="1" x14ac:dyDescent="0.2"/>
    <row r="54525" s="689" customFormat="1" x14ac:dyDescent="0.2"/>
    <row r="54526" s="689" customFormat="1" x14ac:dyDescent="0.2"/>
    <row r="54527" s="689" customFormat="1" x14ac:dyDescent="0.2"/>
    <row r="54528" s="689" customFormat="1" x14ac:dyDescent="0.2"/>
    <row r="54529" s="689" customFormat="1" x14ac:dyDescent="0.2"/>
    <row r="54530" s="689" customFormat="1" x14ac:dyDescent="0.2"/>
    <row r="54531" s="689" customFormat="1" x14ac:dyDescent="0.2"/>
    <row r="54532" s="689" customFormat="1" x14ac:dyDescent="0.2"/>
    <row r="54533" s="689" customFormat="1" x14ac:dyDescent="0.2"/>
    <row r="54534" s="689" customFormat="1" x14ac:dyDescent="0.2"/>
    <row r="54535" s="689" customFormat="1" x14ac:dyDescent="0.2"/>
    <row r="54536" s="689" customFormat="1" x14ac:dyDescent="0.2"/>
    <row r="54537" s="689" customFormat="1" x14ac:dyDescent="0.2"/>
    <row r="54538" s="689" customFormat="1" x14ac:dyDescent="0.2"/>
    <row r="54539" s="689" customFormat="1" x14ac:dyDescent="0.2"/>
    <row r="54540" s="689" customFormat="1" x14ac:dyDescent="0.2"/>
    <row r="54541" s="689" customFormat="1" x14ac:dyDescent="0.2"/>
    <row r="54542" s="689" customFormat="1" x14ac:dyDescent="0.2"/>
    <row r="54543" s="689" customFormat="1" x14ac:dyDescent="0.2"/>
    <row r="54544" s="689" customFormat="1" x14ac:dyDescent="0.2"/>
    <row r="54545" s="689" customFormat="1" x14ac:dyDescent="0.2"/>
    <row r="54546" s="689" customFormat="1" x14ac:dyDescent="0.2"/>
    <row r="54547" s="689" customFormat="1" x14ac:dyDescent="0.2"/>
    <row r="54548" s="689" customFormat="1" x14ac:dyDescent="0.2"/>
    <row r="54549" s="689" customFormat="1" x14ac:dyDescent="0.2"/>
    <row r="54550" s="689" customFormat="1" x14ac:dyDescent="0.2"/>
    <row r="54551" s="689" customFormat="1" x14ac:dyDescent="0.2"/>
    <row r="54552" s="689" customFormat="1" x14ac:dyDescent="0.2"/>
    <row r="54553" s="689" customFormat="1" x14ac:dyDescent="0.2"/>
    <row r="54554" s="689" customFormat="1" x14ac:dyDescent="0.2"/>
    <row r="54555" s="689" customFormat="1" x14ac:dyDescent="0.2"/>
    <row r="54556" s="689" customFormat="1" x14ac:dyDescent="0.2"/>
    <row r="54557" s="689" customFormat="1" x14ac:dyDescent="0.2"/>
    <row r="54558" s="689" customFormat="1" x14ac:dyDescent="0.2"/>
    <row r="54559" s="689" customFormat="1" x14ac:dyDescent="0.2"/>
    <row r="54560" s="689" customFormat="1" x14ac:dyDescent="0.2"/>
    <row r="54561" s="689" customFormat="1" x14ac:dyDescent="0.2"/>
    <row r="54562" s="689" customFormat="1" x14ac:dyDescent="0.2"/>
    <row r="54563" s="689" customFormat="1" x14ac:dyDescent="0.2"/>
    <row r="54564" s="689" customFormat="1" x14ac:dyDescent="0.2"/>
    <row r="54565" s="689" customFormat="1" x14ac:dyDescent="0.2"/>
    <row r="54566" s="689" customFormat="1" x14ac:dyDescent="0.2"/>
    <row r="54567" s="689" customFormat="1" x14ac:dyDescent="0.2"/>
    <row r="54568" s="689" customFormat="1" x14ac:dyDescent="0.2"/>
    <row r="54569" s="689" customFormat="1" x14ac:dyDescent="0.2"/>
    <row r="54570" s="689" customFormat="1" x14ac:dyDescent="0.2"/>
    <row r="54571" s="689" customFormat="1" x14ac:dyDescent="0.2"/>
    <row r="54572" s="689" customFormat="1" x14ac:dyDescent="0.2"/>
    <row r="54573" s="689" customFormat="1" x14ac:dyDescent="0.2"/>
    <row r="54574" s="689" customFormat="1" x14ac:dyDescent="0.2"/>
    <row r="54575" s="689" customFormat="1" x14ac:dyDescent="0.2"/>
    <row r="54576" s="689" customFormat="1" x14ac:dyDescent="0.2"/>
    <row r="54577" s="689" customFormat="1" x14ac:dyDescent="0.2"/>
    <row r="54578" s="689" customFormat="1" x14ac:dyDescent="0.2"/>
    <row r="54579" s="689" customFormat="1" x14ac:dyDescent="0.2"/>
    <row r="54580" s="689" customFormat="1" x14ac:dyDescent="0.2"/>
    <row r="54581" s="689" customFormat="1" x14ac:dyDescent="0.2"/>
    <row r="54582" s="689" customFormat="1" x14ac:dyDescent="0.2"/>
    <row r="54583" s="689" customFormat="1" x14ac:dyDescent="0.2"/>
    <row r="54584" s="689" customFormat="1" x14ac:dyDescent="0.2"/>
    <row r="54585" s="689" customFormat="1" x14ac:dyDescent="0.2"/>
    <row r="54586" s="689" customFormat="1" x14ac:dyDescent="0.2"/>
    <row r="54587" s="689" customFormat="1" x14ac:dyDescent="0.2"/>
    <row r="54588" s="689" customFormat="1" x14ac:dyDescent="0.2"/>
    <row r="54589" s="689" customFormat="1" x14ac:dyDescent="0.2"/>
    <row r="54590" s="689" customFormat="1" x14ac:dyDescent="0.2"/>
    <row r="54591" s="689" customFormat="1" x14ac:dyDescent="0.2"/>
    <row r="54592" s="689" customFormat="1" x14ac:dyDescent="0.2"/>
    <row r="54593" s="689" customFormat="1" x14ac:dyDescent="0.2"/>
    <row r="54594" s="689" customFormat="1" x14ac:dyDescent="0.2"/>
    <row r="54595" s="689" customFormat="1" x14ac:dyDescent="0.2"/>
    <row r="54596" s="689" customFormat="1" x14ac:dyDescent="0.2"/>
    <row r="54597" s="689" customFormat="1" x14ac:dyDescent="0.2"/>
    <row r="54598" s="689" customFormat="1" x14ac:dyDescent="0.2"/>
    <row r="54599" s="689" customFormat="1" x14ac:dyDescent="0.2"/>
    <row r="54600" s="689" customFormat="1" x14ac:dyDescent="0.2"/>
    <row r="54601" s="689" customFormat="1" x14ac:dyDescent="0.2"/>
    <row r="54602" s="689" customFormat="1" x14ac:dyDescent="0.2"/>
    <row r="54603" s="689" customFormat="1" x14ac:dyDescent="0.2"/>
    <row r="54604" s="689" customFormat="1" x14ac:dyDescent="0.2"/>
    <row r="54605" s="689" customFormat="1" x14ac:dyDescent="0.2"/>
    <row r="54606" s="689" customFormat="1" x14ac:dyDescent="0.2"/>
    <row r="54607" s="689" customFormat="1" x14ac:dyDescent="0.2"/>
    <row r="54608" s="689" customFormat="1" x14ac:dyDescent="0.2"/>
    <row r="54609" s="689" customFormat="1" x14ac:dyDescent="0.2"/>
    <row r="54610" s="689" customFormat="1" x14ac:dyDescent="0.2"/>
    <row r="54611" s="689" customFormat="1" x14ac:dyDescent="0.2"/>
    <row r="54612" s="689" customFormat="1" x14ac:dyDescent="0.2"/>
    <row r="54613" s="689" customFormat="1" x14ac:dyDescent="0.2"/>
    <row r="54614" s="689" customFormat="1" x14ac:dyDescent="0.2"/>
    <row r="54615" s="689" customFormat="1" x14ac:dyDescent="0.2"/>
    <row r="54616" s="689" customFormat="1" x14ac:dyDescent="0.2"/>
    <row r="54617" s="689" customFormat="1" x14ac:dyDescent="0.2"/>
    <row r="54618" s="689" customFormat="1" x14ac:dyDescent="0.2"/>
    <row r="54619" s="689" customFormat="1" x14ac:dyDescent="0.2"/>
    <row r="54620" s="689" customFormat="1" x14ac:dyDescent="0.2"/>
    <row r="54621" s="689" customFormat="1" x14ac:dyDescent="0.2"/>
    <row r="54622" s="689" customFormat="1" x14ac:dyDescent="0.2"/>
    <row r="54623" s="689" customFormat="1" x14ac:dyDescent="0.2"/>
    <row r="54624" s="689" customFormat="1" x14ac:dyDescent="0.2"/>
    <row r="54625" s="689" customFormat="1" x14ac:dyDescent="0.2"/>
    <row r="54626" s="689" customFormat="1" x14ac:dyDescent="0.2"/>
    <row r="54627" s="689" customFormat="1" x14ac:dyDescent="0.2"/>
    <row r="54628" s="689" customFormat="1" x14ac:dyDescent="0.2"/>
    <row r="54629" s="689" customFormat="1" x14ac:dyDescent="0.2"/>
    <row r="54630" s="689" customFormat="1" x14ac:dyDescent="0.2"/>
    <row r="54631" s="689" customFormat="1" x14ac:dyDescent="0.2"/>
    <row r="54632" s="689" customFormat="1" x14ac:dyDescent="0.2"/>
    <row r="54633" s="689" customFormat="1" x14ac:dyDescent="0.2"/>
    <row r="54634" s="689" customFormat="1" x14ac:dyDescent="0.2"/>
    <row r="54635" s="689" customFormat="1" x14ac:dyDescent="0.2"/>
    <row r="54636" s="689" customFormat="1" x14ac:dyDescent="0.2"/>
    <row r="54637" s="689" customFormat="1" x14ac:dyDescent="0.2"/>
    <row r="54638" s="689" customFormat="1" x14ac:dyDescent="0.2"/>
    <row r="54639" s="689" customFormat="1" x14ac:dyDescent="0.2"/>
    <row r="54640" s="689" customFormat="1" x14ac:dyDescent="0.2"/>
    <row r="54641" s="689" customFormat="1" x14ac:dyDescent="0.2"/>
    <row r="54642" s="689" customFormat="1" x14ac:dyDescent="0.2"/>
    <row r="54643" s="689" customFormat="1" x14ac:dyDescent="0.2"/>
    <row r="54644" s="689" customFormat="1" x14ac:dyDescent="0.2"/>
    <row r="54645" s="689" customFormat="1" x14ac:dyDescent="0.2"/>
    <row r="54646" s="689" customFormat="1" x14ac:dyDescent="0.2"/>
    <row r="54647" s="689" customFormat="1" x14ac:dyDescent="0.2"/>
    <row r="54648" s="689" customFormat="1" x14ac:dyDescent="0.2"/>
    <row r="54649" s="689" customFormat="1" x14ac:dyDescent="0.2"/>
    <row r="54650" s="689" customFormat="1" x14ac:dyDescent="0.2"/>
    <row r="54651" s="689" customFormat="1" x14ac:dyDescent="0.2"/>
    <row r="54652" s="689" customFormat="1" x14ac:dyDescent="0.2"/>
    <row r="54653" s="689" customFormat="1" x14ac:dyDescent="0.2"/>
    <row r="54654" s="689" customFormat="1" x14ac:dyDescent="0.2"/>
    <row r="54655" s="689" customFormat="1" x14ac:dyDescent="0.2"/>
    <row r="54656" s="689" customFormat="1" x14ac:dyDescent="0.2"/>
    <row r="54657" s="689" customFormat="1" x14ac:dyDescent="0.2"/>
    <row r="54658" s="689" customFormat="1" x14ac:dyDescent="0.2"/>
    <row r="54659" s="689" customFormat="1" x14ac:dyDescent="0.2"/>
    <row r="54660" s="689" customFormat="1" x14ac:dyDescent="0.2"/>
    <row r="54661" s="689" customFormat="1" x14ac:dyDescent="0.2"/>
    <row r="54662" s="689" customFormat="1" x14ac:dyDescent="0.2"/>
    <row r="54663" s="689" customFormat="1" x14ac:dyDescent="0.2"/>
    <row r="54664" s="689" customFormat="1" x14ac:dyDescent="0.2"/>
    <row r="54665" s="689" customFormat="1" x14ac:dyDescent="0.2"/>
    <row r="54666" s="689" customFormat="1" x14ac:dyDescent="0.2"/>
    <row r="54667" s="689" customFormat="1" x14ac:dyDescent="0.2"/>
    <row r="54668" s="689" customFormat="1" x14ac:dyDescent="0.2"/>
    <row r="54669" s="689" customFormat="1" x14ac:dyDescent="0.2"/>
    <row r="54670" s="689" customFormat="1" x14ac:dyDescent="0.2"/>
    <row r="54671" s="689" customFormat="1" x14ac:dyDescent="0.2"/>
    <row r="54672" s="689" customFormat="1" x14ac:dyDescent="0.2"/>
    <row r="54673" s="689" customFormat="1" x14ac:dyDescent="0.2"/>
    <row r="54674" s="689" customFormat="1" x14ac:dyDescent="0.2"/>
    <row r="54675" s="689" customFormat="1" x14ac:dyDescent="0.2"/>
    <row r="54676" s="689" customFormat="1" x14ac:dyDescent="0.2"/>
    <row r="54677" s="689" customFormat="1" x14ac:dyDescent="0.2"/>
    <row r="54678" s="689" customFormat="1" x14ac:dyDescent="0.2"/>
    <row r="54679" s="689" customFormat="1" x14ac:dyDescent="0.2"/>
    <row r="54680" s="689" customFormat="1" x14ac:dyDescent="0.2"/>
    <row r="54681" s="689" customFormat="1" x14ac:dyDescent="0.2"/>
    <row r="54682" s="689" customFormat="1" x14ac:dyDescent="0.2"/>
    <row r="54683" s="689" customFormat="1" x14ac:dyDescent="0.2"/>
    <row r="54684" s="689" customFormat="1" x14ac:dyDescent="0.2"/>
    <row r="54685" s="689" customFormat="1" x14ac:dyDescent="0.2"/>
    <row r="54686" s="689" customFormat="1" x14ac:dyDescent="0.2"/>
    <row r="54687" s="689" customFormat="1" x14ac:dyDescent="0.2"/>
    <row r="54688" s="689" customFormat="1" x14ac:dyDescent="0.2"/>
    <row r="54689" s="689" customFormat="1" x14ac:dyDescent="0.2"/>
    <row r="54690" s="689" customFormat="1" x14ac:dyDescent="0.2"/>
    <row r="54691" s="689" customFormat="1" x14ac:dyDescent="0.2"/>
    <row r="54692" s="689" customFormat="1" x14ac:dyDescent="0.2"/>
    <row r="54693" s="689" customFormat="1" x14ac:dyDescent="0.2"/>
    <row r="54694" s="689" customFormat="1" x14ac:dyDescent="0.2"/>
    <row r="54695" s="689" customFormat="1" x14ac:dyDescent="0.2"/>
    <row r="54696" s="689" customFormat="1" x14ac:dyDescent="0.2"/>
    <row r="54697" s="689" customFormat="1" x14ac:dyDescent="0.2"/>
    <row r="54698" s="689" customFormat="1" x14ac:dyDescent="0.2"/>
    <row r="54699" s="689" customFormat="1" x14ac:dyDescent="0.2"/>
    <row r="54700" s="689" customFormat="1" x14ac:dyDescent="0.2"/>
    <row r="54701" s="689" customFormat="1" x14ac:dyDescent="0.2"/>
    <row r="54702" s="689" customFormat="1" x14ac:dyDescent="0.2"/>
    <row r="54703" s="689" customFormat="1" x14ac:dyDescent="0.2"/>
    <row r="54704" s="689" customFormat="1" x14ac:dyDescent="0.2"/>
    <row r="54705" s="689" customFormat="1" x14ac:dyDescent="0.2"/>
    <row r="54706" s="689" customFormat="1" x14ac:dyDescent="0.2"/>
    <row r="54707" s="689" customFormat="1" x14ac:dyDescent="0.2"/>
    <row r="54708" s="689" customFormat="1" x14ac:dyDescent="0.2"/>
    <row r="54709" s="689" customFormat="1" x14ac:dyDescent="0.2"/>
    <row r="54710" s="689" customFormat="1" x14ac:dyDescent="0.2"/>
    <row r="54711" s="689" customFormat="1" x14ac:dyDescent="0.2"/>
    <row r="54712" s="689" customFormat="1" x14ac:dyDescent="0.2"/>
    <row r="54713" s="689" customFormat="1" x14ac:dyDescent="0.2"/>
    <row r="54714" s="689" customFormat="1" x14ac:dyDescent="0.2"/>
    <row r="54715" s="689" customFormat="1" x14ac:dyDescent="0.2"/>
    <row r="54716" s="689" customFormat="1" x14ac:dyDescent="0.2"/>
    <row r="54717" s="689" customFormat="1" x14ac:dyDescent="0.2"/>
    <row r="54718" s="689" customFormat="1" x14ac:dyDescent="0.2"/>
    <row r="54719" s="689" customFormat="1" x14ac:dyDescent="0.2"/>
    <row r="54720" s="689" customFormat="1" x14ac:dyDescent="0.2"/>
    <row r="54721" s="689" customFormat="1" x14ac:dyDescent="0.2"/>
    <row r="54722" s="689" customFormat="1" x14ac:dyDescent="0.2"/>
    <row r="54723" s="689" customFormat="1" x14ac:dyDescent="0.2"/>
    <row r="54724" s="689" customFormat="1" x14ac:dyDescent="0.2"/>
    <row r="54725" s="689" customFormat="1" x14ac:dyDescent="0.2"/>
    <row r="54726" s="689" customFormat="1" x14ac:dyDescent="0.2"/>
    <row r="54727" s="689" customFormat="1" x14ac:dyDescent="0.2"/>
    <row r="54728" s="689" customFormat="1" x14ac:dyDescent="0.2"/>
    <row r="54729" s="689" customFormat="1" x14ac:dyDescent="0.2"/>
    <row r="54730" s="689" customFormat="1" x14ac:dyDescent="0.2"/>
    <row r="54731" s="689" customFormat="1" x14ac:dyDescent="0.2"/>
    <row r="54732" s="689" customFormat="1" x14ac:dyDescent="0.2"/>
    <row r="54733" s="689" customFormat="1" x14ac:dyDescent="0.2"/>
    <row r="54734" s="689" customFormat="1" x14ac:dyDescent="0.2"/>
    <row r="54735" s="689" customFormat="1" x14ac:dyDescent="0.2"/>
    <row r="54736" s="689" customFormat="1" x14ac:dyDescent="0.2"/>
    <row r="54737" s="689" customFormat="1" x14ac:dyDescent="0.2"/>
    <row r="54738" s="689" customFormat="1" x14ac:dyDescent="0.2"/>
    <row r="54739" s="689" customFormat="1" x14ac:dyDescent="0.2"/>
    <row r="54740" s="689" customFormat="1" x14ac:dyDescent="0.2"/>
    <row r="54741" s="689" customFormat="1" x14ac:dyDescent="0.2"/>
    <row r="54742" s="689" customFormat="1" x14ac:dyDescent="0.2"/>
    <row r="54743" s="689" customFormat="1" x14ac:dyDescent="0.2"/>
    <row r="54744" s="689" customFormat="1" x14ac:dyDescent="0.2"/>
    <row r="54745" s="689" customFormat="1" x14ac:dyDescent="0.2"/>
    <row r="54746" s="689" customFormat="1" x14ac:dyDescent="0.2"/>
    <row r="54747" s="689" customFormat="1" x14ac:dyDescent="0.2"/>
    <row r="54748" s="689" customFormat="1" x14ac:dyDescent="0.2"/>
    <row r="54749" s="689" customFormat="1" x14ac:dyDescent="0.2"/>
    <row r="54750" s="689" customFormat="1" x14ac:dyDescent="0.2"/>
    <row r="54751" s="689" customFormat="1" x14ac:dyDescent="0.2"/>
    <row r="54752" s="689" customFormat="1" x14ac:dyDescent="0.2"/>
    <row r="54753" s="689" customFormat="1" x14ac:dyDescent="0.2"/>
    <row r="54754" s="689" customFormat="1" x14ac:dyDescent="0.2"/>
    <row r="54755" s="689" customFormat="1" x14ac:dyDescent="0.2"/>
    <row r="54756" s="689" customFormat="1" x14ac:dyDescent="0.2"/>
    <row r="54757" s="689" customFormat="1" x14ac:dyDescent="0.2"/>
    <row r="54758" s="689" customFormat="1" x14ac:dyDescent="0.2"/>
    <row r="54759" s="689" customFormat="1" x14ac:dyDescent="0.2"/>
    <row r="54760" s="689" customFormat="1" x14ac:dyDescent="0.2"/>
    <row r="54761" s="689" customFormat="1" x14ac:dyDescent="0.2"/>
    <row r="54762" s="689" customFormat="1" x14ac:dyDescent="0.2"/>
    <row r="54763" s="689" customFormat="1" x14ac:dyDescent="0.2"/>
    <row r="54764" s="689" customFormat="1" x14ac:dyDescent="0.2"/>
    <row r="54765" s="689" customFormat="1" x14ac:dyDescent="0.2"/>
    <row r="54766" s="689" customFormat="1" x14ac:dyDescent="0.2"/>
    <row r="54767" s="689" customFormat="1" x14ac:dyDescent="0.2"/>
    <row r="54768" s="689" customFormat="1" x14ac:dyDescent="0.2"/>
    <row r="54769" s="689" customFormat="1" x14ac:dyDescent="0.2"/>
    <row r="54770" s="689" customFormat="1" x14ac:dyDescent="0.2"/>
    <row r="54771" s="689" customFormat="1" x14ac:dyDescent="0.2"/>
    <row r="54772" s="689" customFormat="1" x14ac:dyDescent="0.2"/>
    <row r="54773" s="689" customFormat="1" x14ac:dyDescent="0.2"/>
    <row r="54774" s="689" customFormat="1" x14ac:dyDescent="0.2"/>
    <row r="54775" s="689" customFormat="1" x14ac:dyDescent="0.2"/>
    <row r="54776" s="689" customFormat="1" x14ac:dyDescent="0.2"/>
    <row r="54777" s="689" customFormat="1" x14ac:dyDescent="0.2"/>
    <row r="54778" s="689" customFormat="1" x14ac:dyDescent="0.2"/>
    <row r="54779" s="689" customFormat="1" x14ac:dyDescent="0.2"/>
    <row r="54780" s="689" customFormat="1" x14ac:dyDescent="0.2"/>
    <row r="54781" s="689" customFormat="1" x14ac:dyDescent="0.2"/>
    <row r="54782" s="689" customFormat="1" x14ac:dyDescent="0.2"/>
    <row r="54783" s="689" customFormat="1" x14ac:dyDescent="0.2"/>
    <row r="54784" s="689" customFormat="1" x14ac:dyDescent="0.2"/>
    <row r="54785" s="689" customFormat="1" x14ac:dyDescent="0.2"/>
    <row r="54786" s="689" customFormat="1" x14ac:dyDescent="0.2"/>
    <row r="54787" s="689" customFormat="1" x14ac:dyDescent="0.2"/>
    <row r="54788" s="689" customFormat="1" x14ac:dyDescent="0.2"/>
    <row r="54789" s="689" customFormat="1" x14ac:dyDescent="0.2"/>
    <row r="54790" s="689" customFormat="1" x14ac:dyDescent="0.2"/>
    <row r="54791" s="689" customFormat="1" x14ac:dyDescent="0.2"/>
    <row r="54792" s="689" customFormat="1" x14ac:dyDescent="0.2"/>
    <row r="54793" s="689" customFormat="1" x14ac:dyDescent="0.2"/>
    <row r="54794" s="689" customFormat="1" x14ac:dyDescent="0.2"/>
    <row r="54795" s="689" customFormat="1" x14ac:dyDescent="0.2"/>
    <row r="54796" s="689" customFormat="1" x14ac:dyDescent="0.2"/>
    <row r="54797" s="689" customFormat="1" x14ac:dyDescent="0.2"/>
    <row r="54798" s="689" customFormat="1" x14ac:dyDescent="0.2"/>
    <row r="54799" s="689" customFormat="1" x14ac:dyDescent="0.2"/>
    <row r="54800" s="689" customFormat="1" x14ac:dyDescent="0.2"/>
    <row r="54801" s="689" customFormat="1" x14ac:dyDescent="0.2"/>
    <row r="54802" s="689" customFormat="1" x14ac:dyDescent="0.2"/>
    <row r="54803" s="689" customFormat="1" x14ac:dyDescent="0.2"/>
    <row r="54804" s="689" customFormat="1" x14ac:dyDescent="0.2"/>
    <row r="54805" s="689" customFormat="1" x14ac:dyDescent="0.2"/>
    <row r="54806" s="689" customFormat="1" x14ac:dyDescent="0.2"/>
    <row r="54807" s="689" customFormat="1" x14ac:dyDescent="0.2"/>
    <row r="54808" s="689" customFormat="1" x14ac:dyDescent="0.2"/>
    <row r="54809" s="689" customFormat="1" x14ac:dyDescent="0.2"/>
    <row r="54810" s="689" customFormat="1" x14ac:dyDescent="0.2"/>
    <row r="54811" s="689" customFormat="1" x14ac:dyDescent="0.2"/>
    <row r="54812" s="689" customFormat="1" x14ac:dyDescent="0.2"/>
    <row r="54813" s="689" customFormat="1" x14ac:dyDescent="0.2"/>
    <row r="54814" s="689" customFormat="1" x14ac:dyDescent="0.2"/>
    <row r="54815" s="689" customFormat="1" x14ac:dyDescent="0.2"/>
    <row r="54816" s="689" customFormat="1" x14ac:dyDescent="0.2"/>
    <row r="54817" s="689" customFormat="1" x14ac:dyDescent="0.2"/>
    <row r="54818" s="689" customFormat="1" x14ac:dyDescent="0.2"/>
    <row r="54819" s="689" customFormat="1" x14ac:dyDescent="0.2"/>
    <row r="54820" s="689" customFormat="1" x14ac:dyDescent="0.2"/>
    <row r="54821" s="689" customFormat="1" x14ac:dyDescent="0.2"/>
    <row r="54822" s="689" customFormat="1" x14ac:dyDescent="0.2"/>
    <row r="54823" s="689" customFormat="1" x14ac:dyDescent="0.2"/>
    <row r="54824" s="689" customFormat="1" x14ac:dyDescent="0.2"/>
    <row r="54825" s="689" customFormat="1" x14ac:dyDescent="0.2"/>
    <row r="54826" s="689" customFormat="1" x14ac:dyDescent="0.2"/>
    <row r="54827" s="689" customFormat="1" x14ac:dyDescent="0.2"/>
    <row r="54828" s="689" customFormat="1" x14ac:dyDescent="0.2"/>
    <row r="54829" s="689" customFormat="1" x14ac:dyDescent="0.2"/>
    <row r="54830" s="689" customFormat="1" x14ac:dyDescent="0.2"/>
    <row r="54831" s="689" customFormat="1" x14ac:dyDescent="0.2"/>
    <row r="54832" s="689" customFormat="1" x14ac:dyDescent="0.2"/>
    <row r="54833" s="689" customFormat="1" x14ac:dyDescent="0.2"/>
    <row r="54834" s="689" customFormat="1" x14ac:dyDescent="0.2"/>
    <row r="54835" s="689" customFormat="1" x14ac:dyDescent="0.2"/>
    <row r="54836" s="689" customFormat="1" x14ac:dyDescent="0.2"/>
    <row r="54837" s="689" customFormat="1" x14ac:dyDescent="0.2"/>
    <row r="54838" s="689" customFormat="1" x14ac:dyDescent="0.2"/>
    <row r="54839" s="689" customFormat="1" x14ac:dyDescent="0.2"/>
    <row r="54840" s="689" customFormat="1" x14ac:dyDescent="0.2"/>
    <row r="54841" s="689" customFormat="1" x14ac:dyDescent="0.2"/>
    <row r="54842" s="689" customFormat="1" x14ac:dyDescent="0.2"/>
    <row r="54843" s="689" customFormat="1" x14ac:dyDescent="0.2"/>
    <row r="54844" s="689" customFormat="1" x14ac:dyDescent="0.2"/>
    <row r="54845" s="689" customFormat="1" x14ac:dyDescent="0.2"/>
    <row r="54846" s="689" customFormat="1" x14ac:dyDescent="0.2"/>
    <row r="54847" s="689" customFormat="1" x14ac:dyDescent="0.2"/>
    <row r="54848" s="689" customFormat="1" x14ac:dyDescent="0.2"/>
    <row r="54849" s="689" customFormat="1" x14ac:dyDescent="0.2"/>
    <row r="54850" s="689" customFormat="1" x14ac:dyDescent="0.2"/>
    <row r="54851" s="689" customFormat="1" x14ac:dyDescent="0.2"/>
    <row r="54852" s="689" customFormat="1" x14ac:dyDescent="0.2"/>
    <row r="54853" s="689" customFormat="1" x14ac:dyDescent="0.2"/>
    <row r="54854" s="689" customFormat="1" x14ac:dyDescent="0.2"/>
    <row r="54855" s="689" customFormat="1" x14ac:dyDescent="0.2"/>
    <row r="54856" s="689" customFormat="1" x14ac:dyDescent="0.2"/>
    <row r="54857" s="689" customFormat="1" x14ac:dyDescent="0.2"/>
    <row r="54858" s="689" customFormat="1" x14ac:dyDescent="0.2"/>
    <row r="54859" s="689" customFormat="1" x14ac:dyDescent="0.2"/>
    <row r="54860" s="689" customFormat="1" x14ac:dyDescent="0.2"/>
    <row r="54861" s="689" customFormat="1" x14ac:dyDescent="0.2"/>
    <row r="54862" s="689" customFormat="1" x14ac:dyDescent="0.2"/>
    <row r="54863" s="689" customFormat="1" x14ac:dyDescent="0.2"/>
    <row r="54864" s="689" customFormat="1" x14ac:dyDescent="0.2"/>
    <row r="54865" s="689" customFormat="1" x14ac:dyDescent="0.2"/>
    <row r="54866" s="689" customFormat="1" x14ac:dyDescent="0.2"/>
    <row r="54867" s="689" customFormat="1" x14ac:dyDescent="0.2"/>
    <row r="54868" s="689" customFormat="1" x14ac:dyDescent="0.2"/>
    <row r="54869" s="689" customFormat="1" x14ac:dyDescent="0.2"/>
    <row r="54870" s="689" customFormat="1" x14ac:dyDescent="0.2"/>
    <row r="54871" s="689" customFormat="1" x14ac:dyDescent="0.2"/>
    <row r="54872" s="689" customFormat="1" x14ac:dyDescent="0.2"/>
    <row r="54873" s="689" customFormat="1" x14ac:dyDescent="0.2"/>
    <row r="54874" s="689" customFormat="1" x14ac:dyDescent="0.2"/>
    <row r="54875" s="689" customFormat="1" x14ac:dyDescent="0.2"/>
    <row r="54876" s="689" customFormat="1" x14ac:dyDescent="0.2"/>
    <row r="54877" s="689" customFormat="1" x14ac:dyDescent="0.2"/>
    <row r="54878" s="689" customFormat="1" x14ac:dyDescent="0.2"/>
    <row r="54879" s="689" customFormat="1" x14ac:dyDescent="0.2"/>
    <row r="54880" s="689" customFormat="1" x14ac:dyDescent="0.2"/>
    <row r="54881" s="689" customFormat="1" x14ac:dyDescent="0.2"/>
    <row r="54882" s="689" customFormat="1" x14ac:dyDescent="0.2"/>
    <row r="54883" s="689" customFormat="1" x14ac:dyDescent="0.2"/>
    <row r="54884" s="689" customFormat="1" x14ac:dyDescent="0.2"/>
    <row r="54885" s="689" customFormat="1" x14ac:dyDescent="0.2"/>
    <row r="54886" s="689" customFormat="1" x14ac:dyDescent="0.2"/>
    <row r="54887" s="689" customFormat="1" x14ac:dyDescent="0.2"/>
    <row r="54888" s="689" customFormat="1" x14ac:dyDescent="0.2"/>
    <row r="54889" s="689" customFormat="1" x14ac:dyDescent="0.2"/>
    <row r="54890" s="689" customFormat="1" x14ac:dyDescent="0.2"/>
    <row r="54891" s="689" customFormat="1" x14ac:dyDescent="0.2"/>
    <row r="54892" s="689" customFormat="1" x14ac:dyDescent="0.2"/>
    <row r="54893" s="689" customFormat="1" x14ac:dyDescent="0.2"/>
    <row r="54894" s="689" customFormat="1" x14ac:dyDescent="0.2"/>
    <row r="54895" s="689" customFormat="1" x14ac:dyDescent="0.2"/>
    <row r="54896" s="689" customFormat="1" x14ac:dyDescent="0.2"/>
    <row r="54897" s="689" customFormat="1" x14ac:dyDescent="0.2"/>
    <row r="54898" s="689" customFormat="1" x14ac:dyDescent="0.2"/>
    <row r="54899" s="689" customFormat="1" x14ac:dyDescent="0.2"/>
    <row r="54900" s="689" customFormat="1" x14ac:dyDescent="0.2"/>
    <row r="54901" s="689" customFormat="1" x14ac:dyDescent="0.2"/>
    <row r="54902" s="689" customFormat="1" x14ac:dyDescent="0.2"/>
    <row r="54903" s="689" customFormat="1" x14ac:dyDescent="0.2"/>
    <row r="54904" s="689" customFormat="1" x14ac:dyDescent="0.2"/>
    <row r="54905" s="689" customFormat="1" x14ac:dyDescent="0.2"/>
    <row r="54906" s="689" customFormat="1" x14ac:dyDescent="0.2"/>
    <row r="54907" s="689" customFormat="1" x14ac:dyDescent="0.2"/>
    <row r="54908" s="689" customFormat="1" x14ac:dyDescent="0.2"/>
    <row r="54909" s="689" customFormat="1" x14ac:dyDescent="0.2"/>
    <row r="54910" s="689" customFormat="1" x14ac:dyDescent="0.2"/>
    <row r="54911" s="689" customFormat="1" x14ac:dyDescent="0.2"/>
    <row r="54912" s="689" customFormat="1" x14ac:dyDescent="0.2"/>
    <row r="54913" s="689" customFormat="1" x14ac:dyDescent="0.2"/>
    <row r="54914" s="689" customFormat="1" x14ac:dyDescent="0.2"/>
    <row r="54915" s="689" customFormat="1" x14ac:dyDescent="0.2"/>
    <row r="54916" s="689" customFormat="1" x14ac:dyDescent="0.2"/>
    <row r="54917" s="689" customFormat="1" x14ac:dyDescent="0.2"/>
    <row r="54918" s="689" customFormat="1" x14ac:dyDescent="0.2"/>
    <row r="54919" s="689" customFormat="1" x14ac:dyDescent="0.2"/>
    <row r="54920" s="689" customFormat="1" x14ac:dyDescent="0.2"/>
    <row r="54921" s="689" customFormat="1" x14ac:dyDescent="0.2"/>
    <row r="54922" s="689" customFormat="1" x14ac:dyDescent="0.2"/>
    <row r="54923" s="689" customFormat="1" x14ac:dyDescent="0.2"/>
    <row r="54924" s="689" customFormat="1" x14ac:dyDescent="0.2"/>
    <row r="54925" s="689" customFormat="1" x14ac:dyDescent="0.2"/>
    <row r="54926" s="689" customFormat="1" x14ac:dyDescent="0.2"/>
    <row r="54927" s="689" customFormat="1" x14ac:dyDescent="0.2"/>
    <row r="54928" s="689" customFormat="1" x14ac:dyDescent="0.2"/>
    <row r="54929" s="689" customFormat="1" x14ac:dyDescent="0.2"/>
    <row r="54930" s="689" customFormat="1" x14ac:dyDescent="0.2"/>
    <row r="54931" s="689" customFormat="1" x14ac:dyDescent="0.2"/>
    <row r="54932" s="689" customFormat="1" x14ac:dyDescent="0.2"/>
    <row r="54933" s="689" customFormat="1" x14ac:dyDescent="0.2"/>
    <row r="54934" s="689" customFormat="1" x14ac:dyDescent="0.2"/>
    <row r="54935" s="689" customFormat="1" x14ac:dyDescent="0.2"/>
    <row r="54936" s="689" customFormat="1" x14ac:dyDescent="0.2"/>
    <row r="54937" s="689" customFormat="1" x14ac:dyDescent="0.2"/>
    <row r="54938" s="689" customFormat="1" x14ac:dyDescent="0.2"/>
    <row r="54939" s="689" customFormat="1" x14ac:dyDescent="0.2"/>
    <row r="54940" s="689" customFormat="1" x14ac:dyDescent="0.2"/>
    <row r="54941" s="689" customFormat="1" x14ac:dyDescent="0.2"/>
    <row r="54942" s="689" customFormat="1" x14ac:dyDescent="0.2"/>
    <row r="54943" s="689" customFormat="1" x14ac:dyDescent="0.2"/>
    <row r="54944" s="689" customFormat="1" x14ac:dyDescent="0.2"/>
    <row r="54945" s="689" customFormat="1" x14ac:dyDescent="0.2"/>
    <row r="54946" s="689" customFormat="1" x14ac:dyDescent="0.2"/>
    <row r="54947" s="689" customFormat="1" x14ac:dyDescent="0.2"/>
    <row r="54948" s="689" customFormat="1" x14ac:dyDescent="0.2"/>
    <row r="54949" s="689" customFormat="1" x14ac:dyDescent="0.2"/>
    <row r="54950" s="689" customFormat="1" x14ac:dyDescent="0.2"/>
    <row r="54951" s="689" customFormat="1" x14ac:dyDescent="0.2"/>
    <row r="54952" s="689" customFormat="1" x14ac:dyDescent="0.2"/>
    <row r="54953" s="689" customFormat="1" x14ac:dyDescent="0.2"/>
    <row r="54954" s="689" customFormat="1" x14ac:dyDescent="0.2"/>
    <row r="54955" s="689" customFormat="1" x14ac:dyDescent="0.2"/>
    <row r="54956" s="689" customFormat="1" x14ac:dyDescent="0.2"/>
    <row r="54957" s="689" customFormat="1" x14ac:dyDescent="0.2"/>
    <row r="54958" s="689" customFormat="1" x14ac:dyDescent="0.2"/>
    <row r="54959" s="689" customFormat="1" x14ac:dyDescent="0.2"/>
    <row r="54960" s="689" customFormat="1" x14ac:dyDescent="0.2"/>
    <row r="54961" s="689" customFormat="1" x14ac:dyDescent="0.2"/>
    <row r="54962" s="689" customFormat="1" x14ac:dyDescent="0.2"/>
    <row r="54963" s="689" customFormat="1" x14ac:dyDescent="0.2"/>
    <row r="54964" s="689" customFormat="1" x14ac:dyDescent="0.2"/>
    <row r="54965" s="689" customFormat="1" x14ac:dyDescent="0.2"/>
    <row r="54966" s="689" customFormat="1" x14ac:dyDescent="0.2"/>
    <row r="54967" s="689" customFormat="1" x14ac:dyDescent="0.2"/>
    <row r="54968" s="689" customFormat="1" x14ac:dyDescent="0.2"/>
    <row r="54969" s="689" customFormat="1" x14ac:dyDescent="0.2"/>
    <row r="54970" s="689" customFormat="1" x14ac:dyDescent="0.2"/>
    <row r="54971" s="689" customFormat="1" x14ac:dyDescent="0.2"/>
    <row r="54972" s="689" customFormat="1" x14ac:dyDescent="0.2"/>
    <row r="54973" s="689" customFormat="1" x14ac:dyDescent="0.2"/>
    <row r="54974" s="689" customFormat="1" x14ac:dyDescent="0.2"/>
    <row r="54975" s="689" customFormat="1" x14ac:dyDescent="0.2"/>
    <row r="54976" s="689" customFormat="1" x14ac:dyDescent="0.2"/>
    <row r="54977" s="689" customFormat="1" x14ac:dyDescent="0.2"/>
    <row r="54978" s="689" customFormat="1" x14ac:dyDescent="0.2"/>
    <row r="54979" s="689" customFormat="1" x14ac:dyDescent="0.2"/>
    <row r="54980" s="689" customFormat="1" x14ac:dyDescent="0.2"/>
    <row r="54981" s="689" customFormat="1" x14ac:dyDescent="0.2"/>
    <row r="54982" s="689" customFormat="1" x14ac:dyDescent="0.2"/>
    <row r="54983" s="689" customFormat="1" x14ac:dyDescent="0.2"/>
    <row r="54984" s="689" customFormat="1" x14ac:dyDescent="0.2"/>
    <row r="54985" s="689" customFormat="1" x14ac:dyDescent="0.2"/>
    <row r="54986" s="689" customFormat="1" x14ac:dyDescent="0.2"/>
    <row r="54987" s="689" customFormat="1" x14ac:dyDescent="0.2"/>
    <row r="54988" s="689" customFormat="1" x14ac:dyDescent="0.2"/>
    <row r="54989" s="689" customFormat="1" x14ac:dyDescent="0.2"/>
    <row r="54990" s="689" customFormat="1" x14ac:dyDescent="0.2"/>
    <row r="54991" s="689" customFormat="1" x14ac:dyDescent="0.2"/>
    <row r="54992" s="689" customFormat="1" x14ac:dyDescent="0.2"/>
    <row r="54993" s="689" customFormat="1" x14ac:dyDescent="0.2"/>
    <row r="54994" s="689" customFormat="1" x14ac:dyDescent="0.2"/>
    <row r="54995" s="689" customFormat="1" x14ac:dyDescent="0.2"/>
    <row r="54996" s="689" customFormat="1" x14ac:dyDescent="0.2"/>
    <row r="54997" s="689" customFormat="1" x14ac:dyDescent="0.2"/>
    <row r="54998" s="689" customFormat="1" x14ac:dyDescent="0.2"/>
    <row r="54999" s="689" customFormat="1" x14ac:dyDescent="0.2"/>
    <row r="55000" s="689" customFormat="1" x14ac:dyDescent="0.2"/>
    <row r="55001" s="689" customFormat="1" x14ac:dyDescent="0.2"/>
    <row r="55002" s="689" customFormat="1" x14ac:dyDescent="0.2"/>
    <row r="55003" s="689" customFormat="1" x14ac:dyDescent="0.2"/>
    <row r="55004" s="689" customFormat="1" x14ac:dyDescent="0.2"/>
    <row r="55005" s="689" customFormat="1" x14ac:dyDescent="0.2"/>
    <row r="55006" s="689" customFormat="1" x14ac:dyDescent="0.2"/>
    <row r="55007" s="689" customFormat="1" x14ac:dyDescent="0.2"/>
    <row r="55008" s="689" customFormat="1" x14ac:dyDescent="0.2"/>
    <row r="55009" s="689" customFormat="1" x14ac:dyDescent="0.2"/>
    <row r="55010" s="689" customFormat="1" x14ac:dyDescent="0.2"/>
    <row r="55011" s="689" customFormat="1" x14ac:dyDescent="0.2"/>
    <row r="55012" s="689" customFormat="1" x14ac:dyDescent="0.2"/>
    <row r="55013" s="689" customFormat="1" x14ac:dyDescent="0.2"/>
    <row r="55014" s="689" customFormat="1" x14ac:dyDescent="0.2"/>
    <row r="55015" s="689" customFormat="1" x14ac:dyDescent="0.2"/>
    <row r="55016" s="689" customFormat="1" x14ac:dyDescent="0.2"/>
    <row r="55017" s="689" customFormat="1" x14ac:dyDescent="0.2"/>
    <row r="55018" s="689" customFormat="1" x14ac:dyDescent="0.2"/>
    <row r="55019" s="689" customFormat="1" x14ac:dyDescent="0.2"/>
    <row r="55020" s="689" customFormat="1" x14ac:dyDescent="0.2"/>
    <row r="55021" s="689" customFormat="1" x14ac:dyDescent="0.2"/>
    <row r="55022" s="689" customFormat="1" x14ac:dyDescent="0.2"/>
    <row r="55023" s="689" customFormat="1" x14ac:dyDescent="0.2"/>
    <row r="55024" s="689" customFormat="1" x14ac:dyDescent="0.2"/>
    <row r="55025" s="689" customFormat="1" x14ac:dyDescent="0.2"/>
    <row r="55026" s="689" customFormat="1" x14ac:dyDescent="0.2"/>
    <row r="55027" s="689" customFormat="1" x14ac:dyDescent="0.2"/>
    <row r="55028" s="689" customFormat="1" x14ac:dyDescent="0.2"/>
    <row r="55029" s="689" customFormat="1" x14ac:dyDescent="0.2"/>
    <row r="55030" s="689" customFormat="1" x14ac:dyDescent="0.2"/>
    <row r="55031" s="689" customFormat="1" x14ac:dyDescent="0.2"/>
    <row r="55032" s="689" customFormat="1" x14ac:dyDescent="0.2"/>
    <row r="55033" s="689" customFormat="1" x14ac:dyDescent="0.2"/>
    <row r="55034" s="689" customFormat="1" x14ac:dyDescent="0.2"/>
    <row r="55035" s="689" customFormat="1" x14ac:dyDescent="0.2"/>
    <row r="55036" s="689" customFormat="1" x14ac:dyDescent="0.2"/>
    <row r="55037" s="689" customFormat="1" x14ac:dyDescent="0.2"/>
    <row r="55038" s="689" customFormat="1" x14ac:dyDescent="0.2"/>
    <row r="55039" s="689" customFormat="1" x14ac:dyDescent="0.2"/>
    <row r="55040" s="689" customFormat="1" x14ac:dyDescent="0.2"/>
    <row r="55041" s="689" customFormat="1" x14ac:dyDescent="0.2"/>
    <row r="55042" s="689" customFormat="1" x14ac:dyDescent="0.2"/>
    <row r="55043" s="689" customFormat="1" x14ac:dyDescent="0.2"/>
    <row r="55044" s="689" customFormat="1" x14ac:dyDescent="0.2"/>
    <row r="55045" s="689" customFormat="1" x14ac:dyDescent="0.2"/>
    <row r="55046" s="689" customFormat="1" x14ac:dyDescent="0.2"/>
    <row r="55047" s="689" customFormat="1" x14ac:dyDescent="0.2"/>
    <row r="55048" s="689" customFormat="1" x14ac:dyDescent="0.2"/>
    <row r="55049" s="689" customFormat="1" x14ac:dyDescent="0.2"/>
    <row r="55050" s="689" customFormat="1" x14ac:dyDescent="0.2"/>
    <row r="55051" s="689" customFormat="1" x14ac:dyDescent="0.2"/>
    <row r="55052" s="689" customFormat="1" x14ac:dyDescent="0.2"/>
    <row r="55053" s="689" customFormat="1" x14ac:dyDescent="0.2"/>
    <row r="55054" s="689" customFormat="1" x14ac:dyDescent="0.2"/>
    <row r="55055" s="689" customFormat="1" x14ac:dyDescent="0.2"/>
    <row r="55056" s="689" customFormat="1" x14ac:dyDescent="0.2"/>
    <row r="55057" s="689" customFormat="1" x14ac:dyDescent="0.2"/>
    <row r="55058" s="689" customFormat="1" x14ac:dyDescent="0.2"/>
    <row r="55059" s="689" customFormat="1" x14ac:dyDescent="0.2"/>
    <row r="55060" s="689" customFormat="1" x14ac:dyDescent="0.2"/>
    <row r="55061" s="689" customFormat="1" x14ac:dyDescent="0.2"/>
    <row r="55062" s="689" customFormat="1" x14ac:dyDescent="0.2"/>
    <row r="55063" s="689" customFormat="1" x14ac:dyDescent="0.2"/>
    <row r="55064" s="689" customFormat="1" x14ac:dyDescent="0.2"/>
    <row r="55065" s="689" customFormat="1" x14ac:dyDescent="0.2"/>
    <row r="55066" s="689" customFormat="1" x14ac:dyDescent="0.2"/>
    <row r="55067" s="689" customFormat="1" x14ac:dyDescent="0.2"/>
    <row r="55068" s="689" customFormat="1" x14ac:dyDescent="0.2"/>
    <row r="55069" s="689" customFormat="1" x14ac:dyDescent="0.2"/>
    <row r="55070" s="689" customFormat="1" x14ac:dyDescent="0.2"/>
    <row r="55071" s="689" customFormat="1" x14ac:dyDescent="0.2"/>
    <row r="55072" s="689" customFormat="1" x14ac:dyDescent="0.2"/>
    <row r="55073" s="689" customFormat="1" x14ac:dyDescent="0.2"/>
    <row r="55074" s="689" customFormat="1" x14ac:dyDescent="0.2"/>
    <row r="55075" s="689" customFormat="1" x14ac:dyDescent="0.2"/>
    <row r="55076" s="689" customFormat="1" x14ac:dyDescent="0.2"/>
    <row r="55077" s="689" customFormat="1" x14ac:dyDescent="0.2"/>
    <row r="55078" s="689" customFormat="1" x14ac:dyDescent="0.2"/>
    <row r="55079" s="689" customFormat="1" x14ac:dyDescent="0.2"/>
    <row r="55080" s="689" customFormat="1" x14ac:dyDescent="0.2"/>
    <row r="55081" s="689" customFormat="1" x14ac:dyDescent="0.2"/>
    <row r="55082" s="689" customFormat="1" x14ac:dyDescent="0.2"/>
    <row r="55083" s="689" customFormat="1" x14ac:dyDescent="0.2"/>
    <row r="55084" s="689" customFormat="1" x14ac:dyDescent="0.2"/>
    <row r="55085" s="689" customFormat="1" x14ac:dyDescent="0.2"/>
    <row r="55086" s="689" customFormat="1" x14ac:dyDescent="0.2"/>
    <row r="55087" s="689" customFormat="1" x14ac:dyDescent="0.2"/>
    <row r="55088" s="689" customFormat="1" x14ac:dyDescent="0.2"/>
    <row r="55089" s="689" customFormat="1" x14ac:dyDescent="0.2"/>
    <row r="55090" s="689" customFormat="1" x14ac:dyDescent="0.2"/>
    <row r="55091" s="689" customFormat="1" x14ac:dyDescent="0.2"/>
    <row r="55092" s="689" customFormat="1" x14ac:dyDescent="0.2"/>
    <row r="55093" s="689" customFormat="1" x14ac:dyDescent="0.2"/>
    <row r="55094" s="689" customFormat="1" x14ac:dyDescent="0.2"/>
    <row r="55095" s="689" customFormat="1" x14ac:dyDescent="0.2"/>
    <row r="55096" s="689" customFormat="1" x14ac:dyDescent="0.2"/>
    <row r="55097" s="689" customFormat="1" x14ac:dyDescent="0.2"/>
    <row r="55098" s="689" customFormat="1" x14ac:dyDescent="0.2"/>
    <row r="55099" s="689" customFormat="1" x14ac:dyDescent="0.2"/>
    <row r="55100" s="689" customFormat="1" x14ac:dyDescent="0.2"/>
    <row r="55101" s="689" customFormat="1" x14ac:dyDescent="0.2"/>
    <row r="55102" s="689" customFormat="1" x14ac:dyDescent="0.2"/>
    <row r="55103" s="689" customFormat="1" x14ac:dyDescent="0.2"/>
    <row r="55104" s="689" customFormat="1" x14ac:dyDescent="0.2"/>
    <row r="55105" s="689" customFormat="1" x14ac:dyDescent="0.2"/>
    <row r="55106" s="689" customFormat="1" x14ac:dyDescent="0.2"/>
    <row r="55107" s="689" customFormat="1" x14ac:dyDescent="0.2"/>
    <row r="55108" s="689" customFormat="1" x14ac:dyDescent="0.2"/>
    <row r="55109" s="689" customFormat="1" x14ac:dyDescent="0.2"/>
    <row r="55110" s="689" customFormat="1" x14ac:dyDescent="0.2"/>
    <row r="55111" s="689" customFormat="1" x14ac:dyDescent="0.2"/>
    <row r="55112" s="689" customFormat="1" x14ac:dyDescent="0.2"/>
    <row r="55113" s="689" customFormat="1" x14ac:dyDescent="0.2"/>
    <row r="55114" s="689" customFormat="1" x14ac:dyDescent="0.2"/>
    <row r="55115" s="689" customFormat="1" x14ac:dyDescent="0.2"/>
    <row r="55116" s="689" customFormat="1" x14ac:dyDescent="0.2"/>
    <row r="55117" s="689" customFormat="1" x14ac:dyDescent="0.2"/>
    <row r="55118" s="689" customFormat="1" x14ac:dyDescent="0.2"/>
    <row r="55119" s="689" customFormat="1" x14ac:dyDescent="0.2"/>
    <row r="55120" s="689" customFormat="1" x14ac:dyDescent="0.2"/>
    <row r="55121" s="689" customFormat="1" x14ac:dyDescent="0.2"/>
    <row r="55122" s="689" customFormat="1" x14ac:dyDescent="0.2"/>
    <row r="55123" s="689" customFormat="1" x14ac:dyDescent="0.2"/>
    <row r="55124" s="689" customFormat="1" x14ac:dyDescent="0.2"/>
    <row r="55125" s="689" customFormat="1" x14ac:dyDescent="0.2"/>
    <row r="55126" s="689" customFormat="1" x14ac:dyDescent="0.2"/>
    <row r="55127" s="689" customFormat="1" x14ac:dyDescent="0.2"/>
    <row r="55128" s="689" customFormat="1" x14ac:dyDescent="0.2"/>
    <row r="55129" s="689" customFormat="1" x14ac:dyDescent="0.2"/>
    <row r="55130" s="689" customFormat="1" x14ac:dyDescent="0.2"/>
    <row r="55131" s="689" customFormat="1" x14ac:dyDescent="0.2"/>
    <row r="55132" s="689" customFormat="1" x14ac:dyDescent="0.2"/>
    <row r="55133" s="689" customFormat="1" x14ac:dyDescent="0.2"/>
    <row r="55134" s="689" customFormat="1" x14ac:dyDescent="0.2"/>
    <row r="55135" s="689" customFormat="1" x14ac:dyDescent="0.2"/>
    <row r="55136" s="689" customFormat="1" x14ac:dyDescent="0.2"/>
    <row r="55137" s="689" customFormat="1" x14ac:dyDescent="0.2"/>
    <row r="55138" s="689" customFormat="1" x14ac:dyDescent="0.2"/>
    <row r="55139" s="689" customFormat="1" x14ac:dyDescent="0.2"/>
    <row r="55140" s="689" customFormat="1" x14ac:dyDescent="0.2"/>
    <row r="55141" s="689" customFormat="1" x14ac:dyDescent="0.2"/>
    <row r="55142" s="689" customFormat="1" x14ac:dyDescent="0.2"/>
    <row r="55143" s="689" customFormat="1" x14ac:dyDescent="0.2"/>
    <row r="55144" s="689" customFormat="1" x14ac:dyDescent="0.2"/>
    <row r="55145" s="689" customFormat="1" x14ac:dyDescent="0.2"/>
    <row r="55146" s="689" customFormat="1" x14ac:dyDescent="0.2"/>
    <row r="55147" s="689" customFormat="1" x14ac:dyDescent="0.2"/>
    <row r="55148" s="689" customFormat="1" x14ac:dyDescent="0.2"/>
    <row r="55149" s="689" customFormat="1" x14ac:dyDescent="0.2"/>
    <row r="55150" s="689" customFormat="1" x14ac:dyDescent="0.2"/>
    <row r="55151" s="689" customFormat="1" x14ac:dyDescent="0.2"/>
    <row r="55152" s="689" customFormat="1" x14ac:dyDescent="0.2"/>
    <row r="55153" s="689" customFormat="1" x14ac:dyDescent="0.2"/>
    <row r="55154" s="689" customFormat="1" x14ac:dyDescent="0.2"/>
    <row r="55155" s="689" customFormat="1" x14ac:dyDescent="0.2"/>
    <row r="55156" s="689" customFormat="1" x14ac:dyDescent="0.2"/>
    <row r="55157" s="689" customFormat="1" x14ac:dyDescent="0.2"/>
    <row r="55158" s="689" customFormat="1" x14ac:dyDescent="0.2"/>
    <row r="55159" s="689" customFormat="1" x14ac:dyDescent="0.2"/>
    <row r="55160" s="689" customFormat="1" x14ac:dyDescent="0.2"/>
    <row r="55161" s="689" customFormat="1" x14ac:dyDescent="0.2"/>
    <row r="55162" s="689" customFormat="1" x14ac:dyDescent="0.2"/>
    <row r="55163" s="689" customFormat="1" x14ac:dyDescent="0.2"/>
    <row r="55164" s="689" customFormat="1" x14ac:dyDescent="0.2"/>
    <row r="55165" s="689" customFormat="1" x14ac:dyDescent="0.2"/>
    <row r="55166" s="689" customFormat="1" x14ac:dyDescent="0.2"/>
    <row r="55167" s="689" customFormat="1" x14ac:dyDescent="0.2"/>
    <row r="55168" s="689" customFormat="1" x14ac:dyDescent="0.2"/>
    <row r="55169" s="689" customFormat="1" x14ac:dyDescent="0.2"/>
    <row r="55170" s="689" customFormat="1" x14ac:dyDescent="0.2"/>
    <row r="55171" s="689" customFormat="1" x14ac:dyDescent="0.2"/>
    <row r="55172" s="689" customFormat="1" x14ac:dyDescent="0.2"/>
    <row r="55173" s="689" customFormat="1" x14ac:dyDescent="0.2"/>
    <row r="55174" s="689" customFormat="1" x14ac:dyDescent="0.2"/>
    <row r="55175" s="689" customFormat="1" x14ac:dyDescent="0.2"/>
    <row r="55176" s="689" customFormat="1" x14ac:dyDescent="0.2"/>
    <row r="55177" s="689" customFormat="1" x14ac:dyDescent="0.2"/>
    <row r="55178" s="689" customFormat="1" x14ac:dyDescent="0.2"/>
    <row r="55179" s="689" customFormat="1" x14ac:dyDescent="0.2"/>
    <row r="55180" s="689" customFormat="1" x14ac:dyDescent="0.2"/>
    <row r="55181" s="689" customFormat="1" x14ac:dyDescent="0.2"/>
    <row r="55182" s="689" customFormat="1" x14ac:dyDescent="0.2"/>
    <row r="55183" s="689" customFormat="1" x14ac:dyDescent="0.2"/>
    <row r="55184" s="689" customFormat="1" x14ac:dyDescent="0.2"/>
    <row r="55185" s="689" customFormat="1" x14ac:dyDescent="0.2"/>
    <row r="55186" s="689" customFormat="1" x14ac:dyDescent="0.2"/>
    <row r="55187" s="689" customFormat="1" x14ac:dyDescent="0.2"/>
    <row r="55188" s="689" customFormat="1" x14ac:dyDescent="0.2"/>
    <row r="55189" s="689" customFormat="1" x14ac:dyDescent="0.2"/>
    <row r="55190" s="689" customFormat="1" x14ac:dyDescent="0.2"/>
    <row r="55191" s="689" customFormat="1" x14ac:dyDescent="0.2"/>
    <row r="55192" s="689" customFormat="1" x14ac:dyDescent="0.2"/>
    <row r="55193" s="689" customFormat="1" x14ac:dyDescent="0.2"/>
    <row r="55194" s="689" customFormat="1" x14ac:dyDescent="0.2"/>
    <row r="55195" s="689" customFormat="1" x14ac:dyDescent="0.2"/>
    <row r="55196" s="689" customFormat="1" x14ac:dyDescent="0.2"/>
    <row r="55197" s="689" customFormat="1" x14ac:dyDescent="0.2"/>
    <row r="55198" s="689" customFormat="1" x14ac:dyDescent="0.2"/>
    <row r="55199" s="689" customFormat="1" x14ac:dyDescent="0.2"/>
    <row r="55200" s="689" customFormat="1" x14ac:dyDescent="0.2"/>
    <row r="55201" s="689" customFormat="1" x14ac:dyDescent="0.2"/>
    <row r="55202" s="689" customFormat="1" x14ac:dyDescent="0.2"/>
    <row r="55203" s="689" customFormat="1" x14ac:dyDescent="0.2"/>
    <row r="55204" s="689" customFormat="1" x14ac:dyDescent="0.2"/>
    <row r="55205" s="689" customFormat="1" x14ac:dyDescent="0.2"/>
    <row r="55206" s="689" customFormat="1" x14ac:dyDescent="0.2"/>
    <row r="55207" s="689" customFormat="1" x14ac:dyDescent="0.2"/>
    <row r="55208" s="689" customFormat="1" x14ac:dyDescent="0.2"/>
    <row r="55209" s="689" customFormat="1" x14ac:dyDescent="0.2"/>
    <row r="55210" s="689" customFormat="1" x14ac:dyDescent="0.2"/>
    <row r="55211" s="689" customFormat="1" x14ac:dyDescent="0.2"/>
    <row r="55212" s="689" customFormat="1" x14ac:dyDescent="0.2"/>
    <row r="55213" s="689" customFormat="1" x14ac:dyDescent="0.2"/>
    <row r="55214" s="689" customFormat="1" x14ac:dyDescent="0.2"/>
    <row r="55215" s="689" customFormat="1" x14ac:dyDescent="0.2"/>
    <row r="55216" s="689" customFormat="1" x14ac:dyDescent="0.2"/>
    <row r="55217" s="689" customFormat="1" x14ac:dyDescent="0.2"/>
    <row r="55218" s="689" customFormat="1" x14ac:dyDescent="0.2"/>
    <row r="55219" s="689" customFormat="1" x14ac:dyDescent="0.2"/>
    <row r="55220" s="689" customFormat="1" x14ac:dyDescent="0.2"/>
    <row r="55221" s="689" customFormat="1" x14ac:dyDescent="0.2"/>
    <row r="55222" s="689" customFormat="1" x14ac:dyDescent="0.2"/>
    <row r="55223" s="689" customFormat="1" x14ac:dyDescent="0.2"/>
    <row r="55224" s="689" customFormat="1" x14ac:dyDescent="0.2"/>
    <row r="55225" s="689" customFormat="1" x14ac:dyDescent="0.2"/>
    <row r="55226" s="689" customFormat="1" x14ac:dyDescent="0.2"/>
    <row r="55227" s="689" customFormat="1" x14ac:dyDescent="0.2"/>
    <row r="55228" s="689" customFormat="1" x14ac:dyDescent="0.2"/>
    <row r="55229" s="689" customFormat="1" x14ac:dyDescent="0.2"/>
    <row r="55230" s="689" customFormat="1" x14ac:dyDescent="0.2"/>
    <row r="55231" s="689" customFormat="1" x14ac:dyDescent="0.2"/>
    <row r="55232" s="689" customFormat="1" x14ac:dyDescent="0.2"/>
    <row r="55233" s="689" customFormat="1" x14ac:dyDescent="0.2"/>
    <row r="55234" s="689" customFormat="1" x14ac:dyDescent="0.2"/>
    <row r="55235" s="689" customFormat="1" x14ac:dyDescent="0.2"/>
    <row r="55236" s="689" customFormat="1" x14ac:dyDescent="0.2"/>
    <row r="55237" s="689" customFormat="1" x14ac:dyDescent="0.2"/>
    <row r="55238" s="689" customFormat="1" x14ac:dyDescent="0.2"/>
    <row r="55239" s="689" customFormat="1" x14ac:dyDescent="0.2"/>
    <row r="55240" s="689" customFormat="1" x14ac:dyDescent="0.2"/>
    <row r="55241" s="689" customFormat="1" x14ac:dyDescent="0.2"/>
    <row r="55242" s="689" customFormat="1" x14ac:dyDescent="0.2"/>
    <row r="55243" s="689" customFormat="1" x14ac:dyDescent="0.2"/>
    <row r="55244" s="689" customFormat="1" x14ac:dyDescent="0.2"/>
    <row r="55245" s="689" customFormat="1" x14ac:dyDescent="0.2"/>
    <row r="55246" s="689" customFormat="1" x14ac:dyDescent="0.2"/>
    <row r="55247" s="689" customFormat="1" x14ac:dyDescent="0.2"/>
    <row r="55248" s="689" customFormat="1" x14ac:dyDescent="0.2"/>
    <row r="55249" s="689" customFormat="1" x14ac:dyDescent="0.2"/>
    <row r="55250" s="689" customFormat="1" x14ac:dyDescent="0.2"/>
    <row r="55251" s="689" customFormat="1" x14ac:dyDescent="0.2"/>
    <row r="55252" s="689" customFormat="1" x14ac:dyDescent="0.2"/>
    <row r="55253" s="689" customFormat="1" x14ac:dyDescent="0.2"/>
    <row r="55254" s="689" customFormat="1" x14ac:dyDescent="0.2"/>
    <row r="55255" s="689" customFormat="1" x14ac:dyDescent="0.2"/>
    <row r="55256" s="689" customFormat="1" x14ac:dyDescent="0.2"/>
    <row r="55257" s="689" customFormat="1" x14ac:dyDescent="0.2"/>
    <row r="55258" s="689" customFormat="1" x14ac:dyDescent="0.2"/>
    <row r="55259" s="689" customFormat="1" x14ac:dyDescent="0.2"/>
    <row r="55260" s="689" customFormat="1" x14ac:dyDescent="0.2"/>
    <row r="55261" s="689" customFormat="1" x14ac:dyDescent="0.2"/>
    <row r="55262" s="689" customFormat="1" x14ac:dyDescent="0.2"/>
    <row r="55263" s="689" customFormat="1" x14ac:dyDescent="0.2"/>
    <row r="55264" s="689" customFormat="1" x14ac:dyDescent="0.2"/>
    <row r="55265" s="689" customFormat="1" x14ac:dyDescent="0.2"/>
    <row r="55266" s="689" customFormat="1" x14ac:dyDescent="0.2"/>
    <row r="55267" s="689" customFormat="1" x14ac:dyDescent="0.2"/>
    <row r="55268" s="689" customFormat="1" x14ac:dyDescent="0.2"/>
    <row r="55269" s="689" customFormat="1" x14ac:dyDescent="0.2"/>
    <row r="55270" s="689" customFormat="1" x14ac:dyDescent="0.2"/>
    <row r="55271" s="689" customFormat="1" x14ac:dyDescent="0.2"/>
    <row r="55272" s="689" customFormat="1" x14ac:dyDescent="0.2"/>
    <row r="55273" s="689" customFormat="1" x14ac:dyDescent="0.2"/>
    <row r="55274" s="689" customFormat="1" x14ac:dyDescent="0.2"/>
    <row r="55275" s="689" customFormat="1" x14ac:dyDescent="0.2"/>
    <row r="55276" s="689" customFormat="1" x14ac:dyDescent="0.2"/>
    <row r="55277" s="689" customFormat="1" x14ac:dyDescent="0.2"/>
    <row r="55278" s="689" customFormat="1" x14ac:dyDescent="0.2"/>
    <row r="55279" s="689" customFormat="1" x14ac:dyDescent="0.2"/>
    <row r="55280" s="689" customFormat="1" x14ac:dyDescent="0.2"/>
    <row r="55281" s="689" customFormat="1" x14ac:dyDescent="0.2"/>
    <row r="55282" s="689" customFormat="1" x14ac:dyDescent="0.2"/>
    <row r="55283" s="689" customFormat="1" x14ac:dyDescent="0.2"/>
    <row r="55284" s="689" customFormat="1" x14ac:dyDescent="0.2"/>
    <row r="55285" s="689" customFormat="1" x14ac:dyDescent="0.2"/>
    <row r="55286" s="689" customFormat="1" x14ac:dyDescent="0.2"/>
    <row r="55287" s="689" customFormat="1" x14ac:dyDescent="0.2"/>
    <row r="55288" s="689" customFormat="1" x14ac:dyDescent="0.2"/>
    <row r="55289" s="689" customFormat="1" x14ac:dyDescent="0.2"/>
    <row r="55290" s="689" customFormat="1" x14ac:dyDescent="0.2"/>
    <row r="55291" s="689" customFormat="1" x14ac:dyDescent="0.2"/>
    <row r="55292" s="689" customFormat="1" x14ac:dyDescent="0.2"/>
    <row r="55293" s="689" customFormat="1" x14ac:dyDescent="0.2"/>
    <row r="55294" s="689" customFormat="1" x14ac:dyDescent="0.2"/>
    <row r="55295" s="689" customFormat="1" x14ac:dyDescent="0.2"/>
    <row r="55296" s="689" customFormat="1" x14ac:dyDescent="0.2"/>
    <row r="55297" s="689" customFormat="1" x14ac:dyDescent="0.2"/>
    <row r="55298" s="689" customFormat="1" x14ac:dyDescent="0.2"/>
    <row r="55299" s="689" customFormat="1" x14ac:dyDescent="0.2"/>
    <row r="55300" s="689" customFormat="1" x14ac:dyDescent="0.2"/>
    <row r="55301" s="689" customFormat="1" x14ac:dyDescent="0.2"/>
    <row r="55302" s="689" customFormat="1" x14ac:dyDescent="0.2"/>
    <row r="55303" s="689" customFormat="1" x14ac:dyDescent="0.2"/>
    <row r="55304" s="689" customFormat="1" x14ac:dyDescent="0.2"/>
    <row r="55305" s="689" customFormat="1" x14ac:dyDescent="0.2"/>
    <row r="55306" s="689" customFormat="1" x14ac:dyDescent="0.2"/>
    <row r="55307" s="689" customFormat="1" x14ac:dyDescent="0.2"/>
    <row r="55308" s="689" customFormat="1" x14ac:dyDescent="0.2"/>
    <row r="55309" s="689" customFormat="1" x14ac:dyDescent="0.2"/>
    <row r="55310" s="689" customFormat="1" x14ac:dyDescent="0.2"/>
    <row r="55311" s="689" customFormat="1" x14ac:dyDescent="0.2"/>
    <row r="55312" s="689" customFormat="1" x14ac:dyDescent="0.2"/>
    <row r="55313" s="689" customFormat="1" x14ac:dyDescent="0.2"/>
    <row r="55314" s="689" customFormat="1" x14ac:dyDescent="0.2"/>
    <row r="55315" s="689" customFormat="1" x14ac:dyDescent="0.2"/>
    <row r="55316" s="689" customFormat="1" x14ac:dyDescent="0.2"/>
    <row r="55317" s="689" customFormat="1" x14ac:dyDescent="0.2"/>
    <row r="55318" s="689" customFormat="1" x14ac:dyDescent="0.2"/>
    <row r="55319" s="689" customFormat="1" x14ac:dyDescent="0.2"/>
    <row r="55320" s="689" customFormat="1" x14ac:dyDescent="0.2"/>
    <row r="55321" s="689" customFormat="1" x14ac:dyDescent="0.2"/>
    <row r="55322" s="689" customFormat="1" x14ac:dyDescent="0.2"/>
    <row r="55323" s="689" customFormat="1" x14ac:dyDescent="0.2"/>
    <row r="55324" s="689" customFormat="1" x14ac:dyDescent="0.2"/>
    <row r="55325" s="689" customFormat="1" x14ac:dyDescent="0.2"/>
    <row r="55326" s="689" customFormat="1" x14ac:dyDescent="0.2"/>
    <row r="55327" s="689" customFormat="1" x14ac:dyDescent="0.2"/>
    <row r="55328" s="689" customFormat="1" x14ac:dyDescent="0.2"/>
    <row r="55329" s="689" customFormat="1" x14ac:dyDescent="0.2"/>
    <row r="55330" s="689" customFormat="1" x14ac:dyDescent="0.2"/>
    <row r="55331" s="689" customFormat="1" x14ac:dyDescent="0.2"/>
    <row r="55332" s="689" customFormat="1" x14ac:dyDescent="0.2"/>
    <row r="55333" s="689" customFormat="1" x14ac:dyDescent="0.2"/>
    <row r="55334" s="689" customFormat="1" x14ac:dyDescent="0.2"/>
    <row r="55335" s="689" customFormat="1" x14ac:dyDescent="0.2"/>
    <row r="55336" s="689" customFormat="1" x14ac:dyDescent="0.2"/>
    <row r="55337" s="689" customFormat="1" x14ac:dyDescent="0.2"/>
    <row r="55338" s="689" customFormat="1" x14ac:dyDescent="0.2"/>
    <row r="55339" s="689" customFormat="1" x14ac:dyDescent="0.2"/>
    <row r="55340" s="689" customFormat="1" x14ac:dyDescent="0.2"/>
    <row r="55341" s="689" customFormat="1" x14ac:dyDescent="0.2"/>
    <row r="55342" s="689" customFormat="1" x14ac:dyDescent="0.2"/>
    <row r="55343" s="689" customFormat="1" x14ac:dyDescent="0.2"/>
    <row r="55344" s="689" customFormat="1" x14ac:dyDescent="0.2"/>
    <row r="55345" s="689" customFormat="1" x14ac:dyDescent="0.2"/>
    <row r="55346" s="689" customFormat="1" x14ac:dyDescent="0.2"/>
    <row r="55347" s="689" customFormat="1" x14ac:dyDescent="0.2"/>
    <row r="55348" s="689" customFormat="1" x14ac:dyDescent="0.2"/>
    <row r="55349" s="689" customFormat="1" x14ac:dyDescent="0.2"/>
    <row r="55350" s="689" customFormat="1" x14ac:dyDescent="0.2"/>
    <row r="55351" s="689" customFormat="1" x14ac:dyDescent="0.2"/>
    <row r="55352" s="689" customFormat="1" x14ac:dyDescent="0.2"/>
    <row r="55353" s="689" customFormat="1" x14ac:dyDescent="0.2"/>
    <row r="55354" s="689" customFormat="1" x14ac:dyDescent="0.2"/>
    <row r="55355" s="689" customFormat="1" x14ac:dyDescent="0.2"/>
    <row r="55356" s="689" customFormat="1" x14ac:dyDescent="0.2"/>
    <row r="55357" s="689" customFormat="1" x14ac:dyDescent="0.2"/>
    <row r="55358" s="689" customFormat="1" x14ac:dyDescent="0.2"/>
    <row r="55359" s="689" customFormat="1" x14ac:dyDescent="0.2"/>
    <row r="55360" s="689" customFormat="1" x14ac:dyDescent="0.2"/>
    <row r="55361" s="689" customFormat="1" x14ac:dyDescent="0.2"/>
    <row r="55362" s="689" customFormat="1" x14ac:dyDescent="0.2"/>
    <row r="55363" s="689" customFormat="1" x14ac:dyDescent="0.2"/>
    <row r="55364" s="689" customFormat="1" x14ac:dyDescent="0.2"/>
    <row r="55365" s="689" customFormat="1" x14ac:dyDescent="0.2"/>
    <row r="55366" s="689" customFormat="1" x14ac:dyDescent="0.2"/>
    <row r="55367" s="689" customFormat="1" x14ac:dyDescent="0.2"/>
    <row r="55368" s="689" customFormat="1" x14ac:dyDescent="0.2"/>
    <row r="55369" s="689" customFormat="1" x14ac:dyDescent="0.2"/>
    <row r="55370" s="689" customFormat="1" x14ac:dyDescent="0.2"/>
    <row r="55371" s="689" customFormat="1" x14ac:dyDescent="0.2"/>
    <row r="55372" s="689" customFormat="1" x14ac:dyDescent="0.2"/>
    <row r="55373" s="689" customFormat="1" x14ac:dyDescent="0.2"/>
    <row r="55374" s="689" customFormat="1" x14ac:dyDescent="0.2"/>
    <row r="55375" s="689" customFormat="1" x14ac:dyDescent="0.2"/>
    <row r="55376" s="689" customFormat="1" x14ac:dyDescent="0.2"/>
    <row r="55377" s="689" customFormat="1" x14ac:dyDescent="0.2"/>
    <row r="55378" s="689" customFormat="1" x14ac:dyDescent="0.2"/>
    <row r="55379" s="689" customFormat="1" x14ac:dyDescent="0.2"/>
    <row r="55380" s="689" customFormat="1" x14ac:dyDescent="0.2"/>
    <row r="55381" s="689" customFormat="1" x14ac:dyDescent="0.2"/>
    <row r="55382" s="689" customFormat="1" x14ac:dyDescent="0.2"/>
    <row r="55383" s="689" customFormat="1" x14ac:dyDescent="0.2"/>
    <row r="55384" s="689" customFormat="1" x14ac:dyDescent="0.2"/>
    <row r="55385" s="689" customFormat="1" x14ac:dyDescent="0.2"/>
    <row r="55386" s="689" customFormat="1" x14ac:dyDescent="0.2"/>
    <row r="55387" s="689" customFormat="1" x14ac:dyDescent="0.2"/>
    <row r="55388" s="689" customFormat="1" x14ac:dyDescent="0.2"/>
    <row r="55389" s="689" customFormat="1" x14ac:dyDescent="0.2"/>
    <row r="55390" s="689" customFormat="1" x14ac:dyDescent="0.2"/>
    <row r="55391" s="689" customFormat="1" x14ac:dyDescent="0.2"/>
    <row r="55392" s="689" customFormat="1" x14ac:dyDescent="0.2"/>
    <row r="55393" s="689" customFormat="1" x14ac:dyDescent="0.2"/>
    <row r="55394" s="689" customFormat="1" x14ac:dyDescent="0.2"/>
    <row r="55395" s="689" customFormat="1" x14ac:dyDescent="0.2"/>
    <row r="55396" s="689" customFormat="1" x14ac:dyDescent="0.2"/>
    <row r="55397" s="689" customFormat="1" x14ac:dyDescent="0.2"/>
    <row r="55398" s="689" customFormat="1" x14ac:dyDescent="0.2"/>
    <row r="55399" s="689" customFormat="1" x14ac:dyDescent="0.2"/>
    <row r="55400" s="689" customFormat="1" x14ac:dyDescent="0.2"/>
    <row r="55401" s="689" customFormat="1" x14ac:dyDescent="0.2"/>
    <row r="55402" s="689" customFormat="1" x14ac:dyDescent="0.2"/>
    <row r="55403" s="689" customFormat="1" x14ac:dyDescent="0.2"/>
    <row r="55404" s="689" customFormat="1" x14ac:dyDescent="0.2"/>
    <row r="55405" s="689" customFormat="1" x14ac:dyDescent="0.2"/>
    <row r="55406" s="689" customFormat="1" x14ac:dyDescent="0.2"/>
    <row r="55407" s="689" customFormat="1" x14ac:dyDescent="0.2"/>
    <row r="55408" s="689" customFormat="1" x14ac:dyDescent="0.2"/>
    <row r="55409" s="689" customFormat="1" x14ac:dyDescent="0.2"/>
    <row r="55410" s="689" customFormat="1" x14ac:dyDescent="0.2"/>
    <row r="55411" s="689" customFormat="1" x14ac:dyDescent="0.2"/>
    <row r="55412" s="689" customFormat="1" x14ac:dyDescent="0.2"/>
    <row r="55413" s="689" customFormat="1" x14ac:dyDescent="0.2"/>
    <row r="55414" s="689" customFormat="1" x14ac:dyDescent="0.2"/>
    <row r="55415" s="689" customFormat="1" x14ac:dyDescent="0.2"/>
    <row r="55416" s="689" customFormat="1" x14ac:dyDescent="0.2"/>
    <row r="55417" s="689" customFormat="1" x14ac:dyDescent="0.2"/>
    <row r="55418" s="689" customFormat="1" x14ac:dyDescent="0.2"/>
    <row r="55419" s="689" customFormat="1" x14ac:dyDescent="0.2"/>
    <row r="55420" s="689" customFormat="1" x14ac:dyDescent="0.2"/>
    <row r="55421" s="689" customFormat="1" x14ac:dyDescent="0.2"/>
    <row r="55422" s="689" customFormat="1" x14ac:dyDescent="0.2"/>
    <row r="55423" s="689" customFormat="1" x14ac:dyDescent="0.2"/>
    <row r="55424" s="689" customFormat="1" x14ac:dyDescent="0.2"/>
    <row r="55425" s="689" customFormat="1" x14ac:dyDescent="0.2"/>
    <row r="55426" s="689" customFormat="1" x14ac:dyDescent="0.2"/>
    <row r="55427" s="689" customFormat="1" x14ac:dyDescent="0.2"/>
    <row r="55428" s="689" customFormat="1" x14ac:dyDescent="0.2"/>
    <row r="55429" s="689" customFormat="1" x14ac:dyDescent="0.2"/>
    <row r="55430" s="689" customFormat="1" x14ac:dyDescent="0.2"/>
    <row r="55431" s="689" customFormat="1" x14ac:dyDescent="0.2"/>
    <row r="55432" s="689" customFormat="1" x14ac:dyDescent="0.2"/>
    <row r="55433" s="689" customFormat="1" x14ac:dyDescent="0.2"/>
    <row r="55434" s="689" customFormat="1" x14ac:dyDescent="0.2"/>
    <row r="55435" s="689" customFormat="1" x14ac:dyDescent="0.2"/>
    <row r="55436" s="689" customFormat="1" x14ac:dyDescent="0.2"/>
    <row r="55437" s="689" customFormat="1" x14ac:dyDescent="0.2"/>
    <row r="55438" s="689" customFormat="1" x14ac:dyDescent="0.2"/>
    <row r="55439" s="689" customFormat="1" x14ac:dyDescent="0.2"/>
    <row r="55440" s="689" customFormat="1" x14ac:dyDescent="0.2"/>
    <row r="55441" s="689" customFormat="1" x14ac:dyDescent="0.2"/>
    <row r="55442" s="689" customFormat="1" x14ac:dyDescent="0.2"/>
    <row r="55443" s="689" customFormat="1" x14ac:dyDescent="0.2"/>
    <row r="55444" s="689" customFormat="1" x14ac:dyDescent="0.2"/>
    <row r="55445" s="689" customFormat="1" x14ac:dyDescent="0.2"/>
    <row r="55446" s="689" customFormat="1" x14ac:dyDescent="0.2"/>
    <row r="55447" s="689" customFormat="1" x14ac:dyDescent="0.2"/>
    <row r="55448" s="689" customFormat="1" x14ac:dyDescent="0.2"/>
    <row r="55449" s="689" customFormat="1" x14ac:dyDescent="0.2"/>
    <row r="55450" s="689" customFormat="1" x14ac:dyDescent="0.2"/>
    <row r="55451" s="689" customFormat="1" x14ac:dyDescent="0.2"/>
    <row r="55452" s="689" customFormat="1" x14ac:dyDescent="0.2"/>
    <row r="55453" s="689" customFormat="1" x14ac:dyDescent="0.2"/>
    <row r="55454" s="689" customFormat="1" x14ac:dyDescent="0.2"/>
    <row r="55455" s="689" customFormat="1" x14ac:dyDescent="0.2"/>
    <row r="55456" s="689" customFormat="1" x14ac:dyDescent="0.2"/>
    <row r="55457" s="689" customFormat="1" x14ac:dyDescent="0.2"/>
    <row r="55458" s="689" customFormat="1" x14ac:dyDescent="0.2"/>
    <row r="55459" s="689" customFormat="1" x14ac:dyDescent="0.2"/>
    <row r="55460" s="689" customFormat="1" x14ac:dyDescent="0.2"/>
    <row r="55461" s="689" customFormat="1" x14ac:dyDescent="0.2"/>
    <row r="55462" s="689" customFormat="1" x14ac:dyDescent="0.2"/>
    <row r="55463" s="689" customFormat="1" x14ac:dyDescent="0.2"/>
    <row r="55464" s="689" customFormat="1" x14ac:dyDescent="0.2"/>
    <row r="55465" s="689" customFormat="1" x14ac:dyDescent="0.2"/>
    <row r="55466" s="689" customFormat="1" x14ac:dyDescent="0.2"/>
    <row r="55467" s="689" customFormat="1" x14ac:dyDescent="0.2"/>
    <row r="55468" s="689" customFormat="1" x14ac:dyDescent="0.2"/>
    <row r="55469" s="689" customFormat="1" x14ac:dyDescent="0.2"/>
    <row r="55470" s="689" customFormat="1" x14ac:dyDescent="0.2"/>
    <row r="55471" s="689" customFormat="1" x14ac:dyDescent="0.2"/>
    <row r="55472" s="689" customFormat="1" x14ac:dyDescent="0.2"/>
    <row r="55473" s="689" customFormat="1" x14ac:dyDescent="0.2"/>
    <row r="55474" s="689" customFormat="1" x14ac:dyDescent="0.2"/>
    <row r="55475" s="689" customFormat="1" x14ac:dyDescent="0.2"/>
    <row r="55476" s="689" customFormat="1" x14ac:dyDescent="0.2"/>
    <row r="55477" s="689" customFormat="1" x14ac:dyDescent="0.2"/>
    <row r="55478" s="689" customFormat="1" x14ac:dyDescent="0.2"/>
    <row r="55479" s="689" customFormat="1" x14ac:dyDescent="0.2"/>
    <row r="55480" s="689" customFormat="1" x14ac:dyDescent="0.2"/>
    <row r="55481" s="689" customFormat="1" x14ac:dyDescent="0.2"/>
    <row r="55482" s="689" customFormat="1" x14ac:dyDescent="0.2"/>
    <row r="55483" s="689" customFormat="1" x14ac:dyDescent="0.2"/>
    <row r="55484" s="689" customFormat="1" x14ac:dyDescent="0.2"/>
    <row r="55485" s="689" customFormat="1" x14ac:dyDescent="0.2"/>
    <row r="55486" s="689" customFormat="1" x14ac:dyDescent="0.2"/>
    <row r="55487" s="689" customFormat="1" x14ac:dyDescent="0.2"/>
    <row r="55488" s="689" customFormat="1" x14ac:dyDescent="0.2"/>
    <row r="55489" s="689" customFormat="1" x14ac:dyDescent="0.2"/>
    <row r="55490" s="689" customFormat="1" x14ac:dyDescent="0.2"/>
    <row r="55491" s="689" customFormat="1" x14ac:dyDescent="0.2"/>
    <row r="55492" s="689" customFormat="1" x14ac:dyDescent="0.2"/>
    <row r="55493" s="689" customFormat="1" x14ac:dyDescent="0.2"/>
    <row r="55494" s="689" customFormat="1" x14ac:dyDescent="0.2"/>
    <row r="55495" s="689" customFormat="1" x14ac:dyDescent="0.2"/>
    <row r="55496" s="689" customFormat="1" x14ac:dyDescent="0.2"/>
    <row r="55497" s="689" customFormat="1" x14ac:dyDescent="0.2"/>
    <row r="55498" s="689" customFormat="1" x14ac:dyDescent="0.2"/>
    <row r="55499" s="689" customFormat="1" x14ac:dyDescent="0.2"/>
    <row r="55500" s="689" customFormat="1" x14ac:dyDescent="0.2"/>
    <row r="55501" s="689" customFormat="1" x14ac:dyDescent="0.2"/>
    <row r="55502" s="689" customFormat="1" x14ac:dyDescent="0.2"/>
    <row r="55503" s="689" customFormat="1" x14ac:dyDescent="0.2"/>
    <row r="55504" s="689" customFormat="1" x14ac:dyDescent="0.2"/>
    <row r="55505" s="689" customFormat="1" x14ac:dyDescent="0.2"/>
    <row r="55506" s="689" customFormat="1" x14ac:dyDescent="0.2"/>
    <row r="55507" s="689" customFormat="1" x14ac:dyDescent="0.2"/>
    <row r="55508" s="689" customFormat="1" x14ac:dyDescent="0.2"/>
    <row r="55509" s="689" customFormat="1" x14ac:dyDescent="0.2"/>
    <row r="55510" s="689" customFormat="1" x14ac:dyDescent="0.2"/>
    <row r="55511" s="689" customFormat="1" x14ac:dyDescent="0.2"/>
    <row r="55512" s="689" customFormat="1" x14ac:dyDescent="0.2"/>
    <row r="55513" s="689" customFormat="1" x14ac:dyDescent="0.2"/>
    <row r="55514" s="689" customFormat="1" x14ac:dyDescent="0.2"/>
    <row r="55515" s="689" customFormat="1" x14ac:dyDescent="0.2"/>
    <row r="55516" s="689" customFormat="1" x14ac:dyDescent="0.2"/>
    <row r="55517" s="689" customFormat="1" x14ac:dyDescent="0.2"/>
    <row r="55518" s="689" customFormat="1" x14ac:dyDescent="0.2"/>
    <row r="55519" s="689" customFormat="1" x14ac:dyDescent="0.2"/>
    <row r="55520" s="689" customFormat="1" x14ac:dyDescent="0.2"/>
    <row r="55521" s="689" customFormat="1" x14ac:dyDescent="0.2"/>
    <row r="55522" s="689" customFormat="1" x14ac:dyDescent="0.2"/>
    <row r="55523" s="689" customFormat="1" x14ac:dyDescent="0.2"/>
    <row r="55524" s="689" customFormat="1" x14ac:dyDescent="0.2"/>
    <row r="55525" s="689" customFormat="1" x14ac:dyDescent="0.2"/>
    <row r="55526" s="689" customFormat="1" x14ac:dyDescent="0.2"/>
    <row r="55527" s="689" customFormat="1" x14ac:dyDescent="0.2"/>
    <row r="55528" s="689" customFormat="1" x14ac:dyDescent="0.2"/>
    <row r="55529" s="689" customFormat="1" x14ac:dyDescent="0.2"/>
    <row r="55530" s="689" customFormat="1" x14ac:dyDescent="0.2"/>
    <row r="55531" s="689" customFormat="1" x14ac:dyDescent="0.2"/>
    <row r="55532" s="689" customFormat="1" x14ac:dyDescent="0.2"/>
    <row r="55533" s="689" customFormat="1" x14ac:dyDescent="0.2"/>
    <row r="55534" s="689" customFormat="1" x14ac:dyDescent="0.2"/>
    <row r="55535" s="689" customFormat="1" x14ac:dyDescent="0.2"/>
    <row r="55536" s="689" customFormat="1" x14ac:dyDescent="0.2"/>
    <row r="55537" s="689" customFormat="1" x14ac:dyDescent="0.2"/>
    <row r="55538" s="689" customFormat="1" x14ac:dyDescent="0.2"/>
    <row r="55539" s="689" customFormat="1" x14ac:dyDescent="0.2"/>
    <row r="55540" s="689" customFormat="1" x14ac:dyDescent="0.2"/>
    <row r="55541" s="689" customFormat="1" x14ac:dyDescent="0.2"/>
    <row r="55542" s="689" customFormat="1" x14ac:dyDescent="0.2"/>
    <row r="55543" s="689" customFormat="1" x14ac:dyDescent="0.2"/>
    <row r="55544" s="689" customFormat="1" x14ac:dyDescent="0.2"/>
    <row r="55545" s="689" customFormat="1" x14ac:dyDescent="0.2"/>
    <row r="55546" s="689" customFormat="1" x14ac:dyDescent="0.2"/>
    <row r="55547" s="689" customFormat="1" x14ac:dyDescent="0.2"/>
    <row r="55548" s="689" customFormat="1" x14ac:dyDescent="0.2"/>
    <row r="55549" s="689" customFormat="1" x14ac:dyDescent="0.2"/>
    <row r="55550" s="689" customFormat="1" x14ac:dyDescent="0.2"/>
    <row r="55551" s="689" customFormat="1" x14ac:dyDescent="0.2"/>
    <row r="55552" s="689" customFormat="1" x14ac:dyDescent="0.2"/>
    <row r="55553" s="689" customFormat="1" x14ac:dyDescent="0.2"/>
    <row r="55554" s="689" customFormat="1" x14ac:dyDescent="0.2"/>
    <row r="55555" s="689" customFormat="1" x14ac:dyDescent="0.2"/>
    <row r="55556" s="689" customFormat="1" x14ac:dyDescent="0.2"/>
    <row r="55557" s="689" customFormat="1" x14ac:dyDescent="0.2"/>
    <row r="55558" s="689" customFormat="1" x14ac:dyDescent="0.2"/>
    <row r="55559" s="689" customFormat="1" x14ac:dyDescent="0.2"/>
    <row r="55560" s="689" customFormat="1" x14ac:dyDescent="0.2"/>
    <row r="55561" s="689" customFormat="1" x14ac:dyDescent="0.2"/>
    <row r="55562" s="689" customFormat="1" x14ac:dyDescent="0.2"/>
    <row r="55563" s="689" customFormat="1" x14ac:dyDescent="0.2"/>
    <row r="55564" s="689" customFormat="1" x14ac:dyDescent="0.2"/>
    <row r="55565" s="689" customFormat="1" x14ac:dyDescent="0.2"/>
    <row r="55566" s="689" customFormat="1" x14ac:dyDescent="0.2"/>
    <row r="55567" s="689" customFormat="1" x14ac:dyDescent="0.2"/>
    <row r="55568" s="689" customFormat="1" x14ac:dyDescent="0.2"/>
    <row r="55569" s="689" customFormat="1" x14ac:dyDescent="0.2"/>
    <row r="55570" s="689" customFormat="1" x14ac:dyDescent="0.2"/>
    <row r="55571" s="689" customFormat="1" x14ac:dyDescent="0.2"/>
    <row r="55572" s="689" customFormat="1" x14ac:dyDescent="0.2"/>
    <row r="55573" s="689" customFormat="1" x14ac:dyDescent="0.2"/>
    <row r="55574" s="689" customFormat="1" x14ac:dyDescent="0.2"/>
    <row r="55575" s="689" customFormat="1" x14ac:dyDescent="0.2"/>
    <row r="55576" s="689" customFormat="1" x14ac:dyDescent="0.2"/>
    <row r="55577" s="689" customFormat="1" x14ac:dyDescent="0.2"/>
    <row r="55578" s="689" customFormat="1" x14ac:dyDescent="0.2"/>
    <row r="55579" s="689" customFormat="1" x14ac:dyDescent="0.2"/>
    <row r="55580" s="689" customFormat="1" x14ac:dyDescent="0.2"/>
    <row r="55581" s="689" customFormat="1" x14ac:dyDescent="0.2"/>
    <row r="55582" s="689" customFormat="1" x14ac:dyDescent="0.2"/>
    <row r="55583" s="689" customFormat="1" x14ac:dyDescent="0.2"/>
    <row r="55584" s="689" customFormat="1" x14ac:dyDescent="0.2"/>
    <row r="55585" s="689" customFormat="1" x14ac:dyDescent="0.2"/>
    <row r="55586" s="689" customFormat="1" x14ac:dyDescent="0.2"/>
    <row r="55587" s="689" customFormat="1" x14ac:dyDescent="0.2"/>
    <row r="55588" s="689" customFormat="1" x14ac:dyDescent="0.2"/>
    <row r="55589" s="689" customFormat="1" x14ac:dyDescent="0.2"/>
    <row r="55590" s="689" customFormat="1" x14ac:dyDescent="0.2"/>
    <row r="55591" s="689" customFormat="1" x14ac:dyDescent="0.2"/>
    <row r="55592" s="689" customFormat="1" x14ac:dyDescent="0.2"/>
    <row r="55593" s="689" customFormat="1" x14ac:dyDescent="0.2"/>
    <row r="55594" s="689" customFormat="1" x14ac:dyDescent="0.2"/>
    <row r="55595" s="689" customFormat="1" x14ac:dyDescent="0.2"/>
    <row r="55596" s="689" customFormat="1" x14ac:dyDescent="0.2"/>
    <row r="55597" s="689" customFormat="1" x14ac:dyDescent="0.2"/>
    <row r="55598" s="689" customFormat="1" x14ac:dyDescent="0.2"/>
    <row r="55599" s="689" customFormat="1" x14ac:dyDescent="0.2"/>
    <row r="55600" s="689" customFormat="1" x14ac:dyDescent="0.2"/>
    <row r="55601" s="689" customFormat="1" x14ac:dyDescent="0.2"/>
    <row r="55602" s="689" customFormat="1" x14ac:dyDescent="0.2"/>
    <row r="55603" s="689" customFormat="1" x14ac:dyDescent="0.2"/>
    <row r="55604" s="689" customFormat="1" x14ac:dyDescent="0.2"/>
    <row r="55605" s="689" customFormat="1" x14ac:dyDescent="0.2"/>
    <row r="55606" s="689" customFormat="1" x14ac:dyDescent="0.2"/>
    <row r="55607" s="689" customFormat="1" x14ac:dyDescent="0.2"/>
    <row r="55608" s="689" customFormat="1" x14ac:dyDescent="0.2"/>
    <row r="55609" s="689" customFormat="1" x14ac:dyDescent="0.2"/>
    <row r="55610" s="689" customFormat="1" x14ac:dyDescent="0.2"/>
    <row r="55611" s="689" customFormat="1" x14ac:dyDescent="0.2"/>
    <row r="55612" s="689" customFormat="1" x14ac:dyDescent="0.2"/>
    <row r="55613" s="689" customFormat="1" x14ac:dyDescent="0.2"/>
    <row r="55614" s="689" customFormat="1" x14ac:dyDescent="0.2"/>
    <row r="55615" s="689" customFormat="1" x14ac:dyDescent="0.2"/>
    <row r="55616" s="689" customFormat="1" x14ac:dyDescent="0.2"/>
    <row r="55617" s="689" customFormat="1" x14ac:dyDescent="0.2"/>
    <row r="55618" s="689" customFormat="1" x14ac:dyDescent="0.2"/>
    <row r="55619" s="689" customFormat="1" x14ac:dyDescent="0.2"/>
    <row r="55620" s="689" customFormat="1" x14ac:dyDescent="0.2"/>
    <row r="55621" s="689" customFormat="1" x14ac:dyDescent="0.2"/>
    <row r="55622" s="689" customFormat="1" x14ac:dyDescent="0.2"/>
    <row r="55623" s="689" customFormat="1" x14ac:dyDescent="0.2"/>
    <row r="55624" s="689" customFormat="1" x14ac:dyDescent="0.2"/>
    <row r="55625" s="689" customFormat="1" x14ac:dyDescent="0.2"/>
    <row r="55626" s="689" customFormat="1" x14ac:dyDescent="0.2"/>
    <row r="55627" s="689" customFormat="1" x14ac:dyDescent="0.2"/>
    <row r="55628" s="689" customFormat="1" x14ac:dyDescent="0.2"/>
    <row r="55629" s="689" customFormat="1" x14ac:dyDescent="0.2"/>
    <row r="55630" s="689" customFormat="1" x14ac:dyDescent="0.2"/>
    <row r="55631" s="689" customFormat="1" x14ac:dyDescent="0.2"/>
    <row r="55632" s="689" customFormat="1" x14ac:dyDescent="0.2"/>
    <row r="55633" s="689" customFormat="1" x14ac:dyDescent="0.2"/>
    <row r="55634" s="689" customFormat="1" x14ac:dyDescent="0.2"/>
    <row r="55635" s="689" customFormat="1" x14ac:dyDescent="0.2"/>
    <row r="55636" s="689" customFormat="1" x14ac:dyDescent="0.2"/>
    <row r="55637" s="689" customFormat="1" x14ac:dyDescent="0.2"/>
    <row r="55638" s="689" customFormat="1" x14ac:dyDescent="0.2"/>
    <row r="55639" s="689" customFormat="1" x14ac:dyDescent="0.2"/>
    <row r="55640" s="689" customFormat="1" x14ac:dyDescent="0.2"/>
    <row r="55641" s="689" customFormat="1" x14ac:dyDescent="0.2"/>
    <row r="55642" s="689" customFormat="1" x14ac:dyDescent="0.2"/>
    <row r="55643" s="689" customFormat="1" x14ac:dyDescent="0.2"/>
    <row r="55644" s="689" customFormat="1" x14ac:dyDescent="0.2"/>
    <row r="55645" s="689" customFormat="1" x14ac:dyDescent="0.2"/>
    <row r="55646" s="689" customFormat="1" x14ac:dyDescent="0.2"/>
    <row r="55647" s="689" customFormat="1" x14ac:dyDescent="0.2"/>
    <row r="55648" s="689" customFormat="1" x14ac:dyDescent="0.2"/>
    <row r="55649" s="689" customFormat="1" x14ac:dyDescent="0.2"/>
    <row r="55650" s="689" customFormat="1" x14ac:dyDescent="0.2"/>
    <row r="55651" s="689" customFormat="1" x14ac:dyDescent="0.2"/>
    <row r="55652" s="689" customFormat="1" x14ac:dyDescent="0.2"/>
    <row r="55653" s="689" customFormat="1" x14ac:dyDescent="0.2"/>
    <row r="55654" s="689" customFormat="1" x14ac:dyDescent="0.2"/>
    <row r="55655" s="689" customFormat="1" x14ac:dyDescent="0.2"/>
    <row r="55656" s="689" customFormat="1" x14ac:dyDescent="0.2"/>
    <row r="55657" s="689" customFormat="1" x14ac:dyDescent="0.2"/>
    <row r="55658" s="689" customFormat="1" x14ac:dyDescent="0.2"/>
    <row r="55659" s="689" customFormat="1" x14ac:dyDescent="0.2"/>
    <row r="55660" s="689" customFormat="1" x14ac:dyDescent="0.2"/>
    <row r="55661" s="689" customFormat="1" x14ac:dyDescent="0.2"/>
    <row r="55662" s="689" customFormat="1" x14ac:dyDescent="0.2"/>
    <row r="55663" s="689" customFormat="1" x14ac:dyDescent="0.2"/>
    <row r="55664" s="689" customFormat="1" x14ac:dyDescent="0.2"/>
    <row r="55665" s="689" customFormat="1" x14ac:dyDescent="0.2"/>
    <row r="55666" s="689" customFormat="1" x14ac:dyDescent="0.2"/>
    <row r="55667" s="689" customFormat="1" x14ac:dyDescent="0.2"/>
    <row r="55668" s="689" customFormat="1" x14ac:dyDescent="0.2"/>
    <row r="55669" s="689" customFormat="1" x14ac:dyDescent="0.2"/>
    <row r="55670" s="689" customFormat="1" x14ac:dyDescent="0.2"/>
    <row r="55671" s="689" customFormat="1" x14ac:dyDescent="0.2"/>
    <row r="55672" s="689" customFormat="1" x14ac:dyDescent="0.2"/>
    <row r="55673" s="689" customFormat="1" x14ac:dyDescent="0.2"/>
    <row r="55674" s="689" customFormat="1" x14ac:dyDescent="0.2"/>
    <row r="55675" s="689" customFormat="1" x14ac:dyDescent="0.2"/>
    <row r="55676" s="689" customFormat="1" x14ac:dyDescent="0.2"/>
    <row r="55677" s="689" customFormat="1" x14ac:dyDescent="0.2"/>
    <row r="55678" s="689" customFormat="1" x14ac:dyDescent="0.2"/>
    <row r="55679" s="689" customFormat="1" x14ac:dyDescent="0.2"/>
    <row r="55680" s="689" customFormat="1" x14ac:dyDescent="0.2"/>
    <row r="55681" s="689" customFormat="1" x14ac:dyDescent="0.2"/>
    <row r="55682" s="689" customFormat="1" x14ac:dyDescent="0.2"/>
    <row r="55683" s="689" customFormat="1" x14ac:dyDescent="0.2"/>
    <row r="55684" s="689" customFormat="1" x14ac:dyDescent="0.2"/>
    <row r="55685" s="689" customFormat="1" x14ac:dyDescent="0.2"/>
    <row r="55686" s="689" customFormat="1" x14ac:dyDescent="0.2"/>
    <row r="55687" s="689" customFormat="1" x14ac:dyDescent="0.2"/>
    <row r="55688" s="689" customFormat="1" x14ac:dyDescent="0.2"/>
    <row r="55689" s="689" customFormat="1" x14ac:dyDescent="0.2"/>
    <row r="55690" s="689" customFormat="1" x14ac:dyDescent="0.2"/>
    <row r="55691" s="689" customFormat="1" x14ac:dyDescent="0.2"/>
    <row r="55692" s="689" customFormat="1" x14ac:dyDescent="0.2"/>
    <row r="55693" s="689" customFormat="1" x14ac:dyDescent="0.2"/>
    <row r="55694" s="689" customFormat="1" x14ac:dyDescent="0.2"/>
    <row r="55695" s="689" customFormat="1" x14ac:dyDescent="0.2"/>
    <row r="55696" s="689" customFormat="1" x14ac:dyDescent="0.2"/>
    <row r="55697" s="689" customFormat="1" x14ac:dyDescent="0.2"/>
    <row r="55698" s="689" customFormat="1" x14ac:dyDescent="0.2"/>
    <row r="55699" s="689" customFormat="1" x14ac:dyDescent="0.2"/>
    <row r="55700" s="689" customFormat="1" x14ac:dyDescent="0.2"/>
    <row r="55701" s="689" customFormat="1" x14ac:dyDescent="0.2"/>
    <row r="55702" s="689" customFormat="1" x14ac:dyDescent="0.2"/>
    <row r="55703" s="689" customFormat="1" x14ac:dyDescent="0.2"/>
    <row r="55704" s="689" customFormat="1" x14ac:dyDescent="0.2"/>
    <row r="55705" s="689" customFormat="1" x14ac:dyDescent="0.2"/>
    <row r="55706" s="689" customFormat="1" x14ac:dyDescent="0.2"/>
    <row r="55707" s="689" customFormat="1" x14ac:dyDescent="0.2"/>
    <row r="55708" s="689" customFormat="1" x14ac:dyDescent="0.2"/>
    <row r="55709" s="689" customFormat="1" x14ac:dyDescent="0.2"/>
    <row r="55710" s="689" customFormat="1" x14ac:dyDescent="0.2"/>
    <row r="55711" s="689" customFormat="1" x14ac:dyDescent="0.2"/>
    <row r="55712" s="689" customFormat="1" x14ac:dyDescent="0.2"/>
    <row r="55713" s="689" customFormat="1" x14ac:dyDescent="0.2"/>
    <row r="55714" s="689" customFormat="1" x14ac:dyDescent="0.2"/>
    <row r="55715" s="689" customFormat="1" x14ac:dyDescent="0.2"/>
    <row r="55716" s="689" customFormat="1" x14ac:dyDescent="0.2"/>
    <row r="55717" s="689" customFormat="1" x14ac:dyDescent="0.2"/>
    <row r="55718" s="689" customFormat="1" x14ac:dyDescent="0.2"/>
    <row r="55719" s="689" customFormat="1" x14ac:dyDescent="0.2"/>
    <row r="55720" s="689" customFormat="1" x14ac:dyDescent="0.2"/>
    <row r="55721" s="689" customFormat="1" x14ac:dyDescent="0.2"/>
    <row r="55722" s="689" customFormat="1" x14ac:dyDescent="0.2"/>
    <row r="55723" s="689" customFormat="1" x14ac:dyDescent="0.2"/>
    <row r="55724" s="689" customFormat="1" x14ac:dyDescent="0.2"/>
    <row r="55725" s="689" customFormat="1" x14ac:dyDescent="0.2"/>
    <row r="55726" s="689" customFormat="1" x14ac:dyDescent="0.2"/>
    <row r="55727" s="689" customFormat="1" x14ac:dyDescent="0.2"/>
    <row r="55728" s="689" customFormat="1" x14ac:dyDescent="0.2"/>
    <row r="55729" s="689" customFormat="1" x14ac:dyDescent="0.2"/>
    <row r="55730" s="689" customFormat="1" x14ac:dyDescent="0.2"/>
    <row r="55731" s="689" customFormat="1" x14ac:dyDescent="0.2"/>
    <row r="55732" s="689" customFormat="1" x14ac:dyDescent="0.2"/>
    <row r="55733" s="689" customFormat="1" x14ac:dyDescent="0.2"/>
    <row r="55734" s="689" customFormat="1" x14ac:dyDescent="0.2"/>
    <row r="55735" s="689" customFormat="1" x14ac:dyDescent="0.2"/>
    <row r="55736" s="689" customFormat="1" x14ac:dyDescent="0.2"/>
    <row r="55737" s="689" customFormat="1" x14ac:dyDescent="0.2"/>
    <row r="55738" s="689" customFormat="1" x14ac:dyDescent="0.2"/>
    <row r="55739" s="689" customFormat="1" x14ac:dyDescent="0.2"/>
    <row r="55740" s="689" customFormat="1" x14ac:dyDescent="0.2"/>
    <row r="55741" s="689" customFormat="1" x14ac:dyDescent="0.2"/>
    <row r="55742" s="689" customFormat="1" x14ac:dyDescent="0.2"/>
    <row r="55743" s="689" customFormat="1" x14ac:dyDescent="0.2"/>
    <row r="55744" s="689" customFormat="1" x14ac:dyDescent="0.2"/>
    <row r="55745" s="689" customFormat="1" x14ac:dyDescent="0.2"/>
    <row r="55746" s="689" customFormat="1" x14ac:dyDescent="0.2"/>
    <row r="55747" s="689" customFormat="1" x14ac:dyDescent="0.2"/>
    <row r="55748" s="689" customFormat="1" x14ac:dyDescent="0.2"/>
    <row r="55749" s="689" customFormat="1" x14ac:dyDescent="0.2"/>
    <row r="55750" s="689" customFormat="1" x14ac:dyDescent="0.2"/>
    <row r="55751" s="689" customFormat="1" x14ac:dyDescent="0.2"/>
    <row r="55752" s="689" customFormat="1" x14ac:dyDescent="0.2"/>
    <row r="55753" s="689" customFormat="1" x14ac:dyDescent="0.2"/>
    <row r="55754" s="689" customFormat="1" x14ac:dyDescent="0.2"/>
    <row r="55755" s="689" customFormat="1" x14ac:dyDescent="0.2"/>
    <row r="55756" s="689" customFormat="1" x14ac:dyDescent="0.2"/>
    <row r="55757" s="689" customFormat="1" x14ac:dyDescent="0.2"/>
    <row r="55758" s="689" customFormat="1" x14ac:dyDescent="0.2"/>
    <row r="55759" s="689" customFormat="1" x14ac:dyDescent="0.2"/>
    <row r="55760" s="689" customFormat="1" x14ac:dyDescent="0.2"/>
    <row r="55761" s="689" customFormat="1" x14ac:dyDescent="0.2"/>
    <row r="55762" s="689" customFormat="1" x14ac:dyDescent="0.2"/>
    <row r="55763" s="689" customFormat="1" x14ac:dyDescent="0.2"/>
    <row r="55764" s="689" customFormat="1" x14ac:dyDescent="0.2"/>
    <row r="55765" s="689" customFormat="1" x14ac:dyDescent="0.2"/>
    <row r="55766" s="689" customFormat="1" x14ac:dyDescent="0.2"/>
    <row r="55767" s="689" customFormat="1" x14ac:dyDescent="0.2"/>
    <row r="55768" s="689" customFormat="1" x14ac:dyDescent="0.2"/>
    <row r="55769" s="689" customFormat="1" x14ac:dyDescent="0.2"/>
    <row r="55770" s="689" customFormat="1" x14ac:dyDescent="0.2"/>
    <row r="55771" s="689" customFormat="1" x14ac:dyDescent="0.2"/>
    <row r="55772" s="689" customFormat="1" x14ac:dyDescent="0.2"/>
    <row r="55773" s="689" customFormat="1" x14ac:dyDescent="0.2"/>
    <row r="55774" s="689" customFormat="1" x14ac:dyDescent="0.2"/>
    <row r="55775" s="689" customFormat="1" x14ac:dyDescent="0.2"/>
    <row r="55776" s="689" customFormat="1" x14ac:dyDescent="0.2"/>
    <row r="55777" s="689" customFormat="1" x14ac:dyDescent="0.2"/>
    <row r="55778" s="689" customFormat="1" x14ac:dyDescent="0.2"/>
    <row r="55779" s="689" customFormat="1" x14ac:dyDescent="0.2"/>
    <row r="55780" s="689" customFormat="1" x14ac:dyDescent="0.2"/>
    <row r="55781" s="689" customFormat="1" x14ac:dyDescent="0.2"/>
    <row r="55782" s="689" customFormat="1" x14ac:dyDescent="0.2"/>
    <row r="55783" s="689" customFormat="1" x14ac:dyDescent="0.2"/>
    <row r="55784" s="689" customFormat="1" x14ac:dyDescent="0.2"/>
    <row r="55785" s="689" customFormat="1" x14ac:dyDescent="0.2"/>
    <row r="55786" s="689" customFormat="1" x14ac:dyDescent="0.2"/>
    <row r="55787" s="689" customFormat="1" x14ac:dyDescent="0.2"/>
    <row r="55788" s="689" customFormat="1" x14ac:dyDescent="0.2"/>
    <row r="55789" s="689" customFormat="1" x14ac:dyDescent="0.2"/>
    <row r="55790" s="689" customFormat="1" x14ac:dyDescent="0.2"/>
    <row r="55791" s="689" customFormat="1" x14ac:dyDescent="0.2"/>
    <row r="55792" s="689" customFormat="1" x14ac:dyDescent="0.2"/>
    <row r="55793" s="689" customFormat="1" x14ac:dyDescent="0.2"/>
    <row r="55794" s="689" customFormat="1" x14ac:dyDescent="0.2"/>
    <row r="55795" s="689" customFormat="1" x14ac:dyDescent="0.2"/>
    <row r="55796" s="689" customFormat="1" x14ac:dyDescent="0.2"/>
    <row r="55797" s="689" customFormat="1" x14ac:dyDescent="0.2"/>
    <row r="55798" s="689" customFormat="1" x14ac:dyDescent="0.2"/>
    <row r="55799" s="689" customFormat="1" x14ac:dyDescent="0.2"/>
    <row r="55800" s="689" customFormat="1" x14ac:dyDescent="0.2"/>
    <row r="55801" s="689" customFormat="1" x14ac:dyDescent="0.2"/>
    <row r="55802" s="689" customFormat="1" x14ac:dyDescent="0.2"/>
    <row r="55803" s="689" customFormat="1" x14ac:dyDescent="0.2"/>
    <row r="55804" s="689" customFormat="1" x14ac:dyDescent="0.2"/>
    <row r="55805" s="689" customFormat="1" x14ac:dyDescent="0.2"/>
    <row r="55806" s="689" customFormat="1" x14ac:dyDescent="0.2"/>
    <row r="55807" s="689" customFormat="1" x14ac:dyDescent="0.2"/>
    <row r="55808" s="689" customFormat="1" x14ac:dyDescent="0.2"/>
    <row r="55809" s="689" customFormat="1" x14ac:dyDescent="0.2"/>
    <row r="55810" s="689" customFormat="1" x14ac:dyDescent="0.2"/>
    <row r="55811" s="689" customFormat="1" x14ac:dyDescent="0.2"/>
    <row r="55812" s="689" customFormat="1" x14ac:dyDescent="0.2"/>
    <row r="55813" s="689" customFormat="1" x14ac:dyDescent="0.2"/>
    <row r="55814" s="689" customFormat="1" x14ac:dyDescent="0.2"/>
    <row r="55815" s="689" customFormat="1" x14ac:dyDescent="0.2"/>
    <row r="55816" s="689" customFormat="1" x14ac:dyDescent="0.2"/>
    <row r="55817" s="689" customFormat="1" x14ac:dyDescent="0.2"/>
    <row r="55818" s="689" customFormat="1" x14ac:dyDescent="0.2"/>
    <row r="55819" s="689" customFormat="1" x14ac:dyDescent="0.2"/>
    <row r="55820" s="689" customFormat="1" x14ac:dyDescent="0.2"/>
    <row r="55821" s="689" customFormat="1" x14ac:dyDescent="0.2"/>
    <row r="55822" s="689" customFormat="1" x14ac:dyDescent="0.2"/>
    <row r="55823" s="689" customFormat="1" x14ac:dyDescent="0.2"/>
    <row r="55824" s="689" customFormat="1" x14ac:dyDescent="0.2"/>
    <row r="55825" s="689" customFormat="1" x14ac:dyDescent="0.2"/>
    <row r="55826" s="689" customFormat="1" x14ac:dyDescent="0.2"/>
    <row r="55827" s="689" customFormat="1" x14ac:dyDescent="0.2"/>
    <row r="55828" s="689" customFormat="1" x14ac:dyDescent="0.2"/>
    <row r="55829" s="689" customFormat="1" x14ac:dyDescent="0.2"/>
    <row r="55830" s="689" customFormat="1" x14ac:dyDescent="0.2"/>
    <row r="55831" s="689" customFormat="1" x14ac:dyDescent="0.2"/>
    <row r="55832" s="689" customFormat="1" x14ac:dyDescent="0.2"/>
    <row r="55833" s="689" customFormat="1" x14ac:dyDescent="0.2"/>
    <row r="55834" s="689" customFormat="1" x14ac:dyDescent="0.2"/>
    <row r="55835" s="689" customFormat="1" x14ac:dyDescent="0.2"/>
    <row r="55836" s="689" customFormat="1" x14ac:dyDescent="0.2"/>
    <row r="55837" s="689" customFormat="1" x14ac:dyDescent="0.2"/>
    <row r="55838" s="689" customFormat="1" x14ac:dyDescent="0.2"/>
    <row r="55839" s="689" customFormat="1" x14ac:dyDescent="0.2"/>
    <row r="55840" s="689" customFormat="1" x14ac:dyDescent="0.2"/>
    <row r="55841" s="689" customFormat="1" x14ac:dyDescent="0.2"/>
    <row r="55842" s="689" customFormat="1" x14ac:dyDescent="0.2"/>
    <row r="55843" s="689" customFormat="1" x14ac:dyDescent="0.2"/>
    <row r="55844" s="689" customFormat="1" x14ac:dyDescent="0.2"/>
    <row r="55845" s="689" customFormat="1" x14ac:dyDescent="0.2"/>
    <row r="55846" s="689" customFormat="1" x14ac:dyDescent="0.2"/>
    <row r="55847" s="689" customFormat="1" x14ac:dyDescent="0.2"/>
    <row r="55848" s="689" customFormat="1" x14ac:dyDescent="0.2"/>
    <row r="55849" s="689" customFormat="1" x14ac:dyDescent="0.2"/>
    <row r="55850" s="689" customFormat="1" x14ac:dyDescent="0.2"/>
    <row r="55851" s="689" customFormat="1" x14ac:dyDescent="0.2"/>
    <row r="55852" s="689" customFormat="1" x14ac:dyDescent="0.2"/>
    <row r="55853" s="689" customFormat="1" x14ac:dyDescent="0.2"/>
    <row r="55854" s="689" customFormat="1" x14ac:dyDescent="0.2"/>
    <row r="55855" s="689" customFormat="1" x14ac:dyDescent="0.2"/>
    <row r="55856" s="689" customFormat="1" x14ac:dyDescent="0.2"/>
    <row r="55857" s="689" customFormat="1" x14ac:dyDescent="0.2"/>
    <row r="55858" s="689" customFormat="1" x14ac:dyDescent="0.2"/>
    <row r="55859" s="689" customFormat="1" x14ac:dyDescent="0.2"/>
    <row r="55860" s="689" customFormat="1" x14ac:dyDescent="0.2"/>
    <row r="55861" s="689" customFormat="1" x14ac:dyDescent="0.2"/>
    <row r="55862" s="689" customFormat="1" x14ac:dyDescent="0.2"/>
    <row r="55863" s="689" customFormat="1" x14ac:dyDescent="0.2"/>
    <row r="55864" s="689" customFormat="1" x14ac:dyDescent="0.2"/>
    <row r="55865" s="689" customFormat="1" x14ac:dyDescent="0.2"/>
    <row r="55866" s="689" customFormat="1" x14ac:dyDescent="0.2"/>
    <row r="55867" s="689" customFormat="1" x14ac:dyDescent="0.2"/>
    <row r="55868" s="689" customFormat="1" x14ac:dyDescent="0.2"/>
    <row r="55869" s="689" customFormat="1" x14ac:dyDescent="0.2"/>
    <row r="55870" s="689" customFormat="1" x14ac:dyDescent="0.2"/>
    <row r="55871" s="689" customFormat="1" x14ac:dyDescent="0.2"/>
    <row r="55872" s="689" customFormat="1" x14ac:dyDescent="0.2"/>
    <row r="55873" s="689" customFormat="1" x14ac:dyDescent="0.2"/>
    <row r="55874" s="689" customFormat="1" x14ac:dyDescent="0.2"/>
    <row r="55875" s="689" customFormat="1" x14ac:dyDescent="0.2"/>
    <row r="55876" s="689" customFormat="1" x14ac:dyDescent="0.2"/>
    <row r="55877" s="689" customFormat="1" x14ac:dyDescent="0.2"/>
    <row r="55878" s="689" customFormat="1" x14ac:dyDescent="0.2"/>
    <row r="55879" s="689" customFormat="1" x14ac:dyDescent="0.2"/>
    <row r="55880" s="689" customFormat="1" x14ac:dyDescent="0.2"/>
    <row r="55881" s="689" customFormat="1" x14ac:dyDescent="0.2"/>
    <row r="55882" s="689" customFormat="1" x14ac:dyDescent="0.2"/>
    <row r="55883" s="689" customFormat="1" x14ac:dyDescent="0.2"/>
    <row r="55884" s="689" customFormat="1" x14ac:dyDescent="0.2"/>
    <row r="55885" s="689" customFormat="1" x14ac:dyDescent="0.2"/>
    <row r="55886" s="689" customFormat="1" x14ac:dyDescent="0.2"/>
    <row r="55887" s="689" customFormat="1" x14ac:dyDescent="0.2"/>
    <row r="55888" s="689" customFormat="1" x14ac:dyDescent="0.2"/>
    <row r="55889" s="689" customFormat="1" x14ac:dyDescent="0.2"/>
    <row r="55890" s="689" customFormat="1" x14ac:dyDescent="0.2"/>
    <row r="55891" s="689" customFormat="1" x14ac:dyDescent="0.2"/>
    <row r="55892" s="689" customFormat="1" x14ac:dyDescent="0.2"/>
    <row r="55893" s="689" customFormat="1" x14ac:dyDescent="0.2"/>
    <row r="55894" s="689" customFormat="1" x14ac:dyDescent="0.2"/>
    <row r="55895" s="689" customFormat="1" x14ac:dyDescent="0.2"/>
    <row r="55896" s="689" customFormat="1" x14ac:dyDescent="0.2"/>
    <row r="55897" s="689" customFormat="1" x14ac:dyDescent="0.2"/>
    <row r="55898" s="689" customFormat="1" x14ac:dyDescent="0.2"/>
    <row r="55899" s="689" customFormat="1" x14ac:dyDescent="0.2"/>
    <row r="55900" s="689" customFormat="1" x14ac:dyDescent="0.2"/>
    <row r="55901" s="689" customFormat="1" x14ac:dyDescent="0.2"/>
    <row r="55902" s="689" customFormat="1" x14ac:dyDescent="0.2"/>
    <row r="55903" s="689" customFormat="1" x14ac:dyDescent="0.2"/>
    <row r="55904" s="689" customFormat="1" x14ac:dyDescent="0.2"/>
    <row r="55905" s="689" customFormat="1" x14ac:dyDescent="0.2"/>
    <row r="55906" s="689" customFormat="1" x14ac:dyDescent="0.2"/>
    <row r="55907" s="689" customFormat="1" x14ac:dyDescent="0.2"/>
    <row r="55908" s="689" customFormat="1" x14ac:dyDescent="0.2"/>
    <row r="55909" s="689" customFormat="1" x14ac:dyDescent="0.2"/>
    <row r="55910" s="689" customFormat="1" x14ac:dyDescent="0.2"/>
    <row r="55911" s="689" customFormat="1" x14ac:dyDescent="0.2"/>
    <row r="55912" s="689" customFormat="1" x14ac:dyDescent="0.2"/>
    <row r="55913" s="689" customFormat="1" x14ac:dyDescent="0.2"/>
    <row r="55914" s="689" customFormat="1" x14ac:dyDescent="0.2"/>
    <row r="55915" s="689" customFormat="1" x14ac:dyDescent="0.2"/>
    <row r="55916" s="689" customFormat="1" x14ac:dyDescent="0.2"/>
    <row r="55917" s="689" customFormat="1" x14ac:dyDescent="0.2"/>
    <row r="55918" s="689" customFormat="1" x14ac:dyDescent="0.2"/>
    <row r="55919" s="689" customFormat="1" x14ac:dyDescent="0.2"/>
    <row r="55920" s="689" customFormat="1" x14ac:dyDescent="0.2"/>
    <row r="55921" s="689" customFormat="1" x14ac:dyDescent="0.2"/>
    <row r="55922" s="689" customFormat="1" x14ac:dyDescent="0.2"/>
    <row r="55923" s="689" customFormat="1" x14ac:dyDescent="0.2"/>
    <row r="55924" s="689" customFormat="1" x14ac:dyDescent="0.2"/>
    <row r="55925" s="689" customFormat="1" x14ac:dyDescent="0.2"/>
    <row r="55926" s="689" customFormat="1" x14ac:dyDescent="0.2"/>
    <row r="55927" s="689" customFormat="1" x14ac:dyDescent="0.2"/>
    <row r="55928" s="689" customFormat="1" x14ac:dyDescent="0.2"/>
    <row r="55929" s="689" customFormat="1" x14ac:dyDescent="0.2"/>
    <row r="55930" s="689" customFormat="1" x14ac:dyDescent="0.2"/>
    <row r="55931" s="689" customFormat="1" x14ac:dyDescent="0.2"/>
    <row r="55932" s="689" customFormat="1" x14ac:dyDescent="0.2"/>
    <row r="55933" s="689" customFormat="1" x14ac:dyDescent="0.2"/>
    <row r="55934" s="689" customFormat="1" x14ac:dyDescent="0.2"/>
    <row r="55935" s="689" customFormat="1" x14ac:dyDescent="0.2"/>
    <row r="55936" s="689" customFormat="1" x14ac:dyDescent="0.2"/>
    <row r="55937" s="689" customFormat="1" x14ac:dyDescent="0.2"/>
    <row r="55938" s="689" customFormat="1" x14ac:dyDescent="0.2"/>
    <row r="55939" s="689" customFormat="1" x14ac:dyDescent="0.2"/>
    <row r="55940" s="689" customFormat="1" x14ac:dyDescent="0.2"/>
    <row r="55941" s="689" customFormat="1" x14ac:dyDescent="0.2"/>
    <row r="55942" s="689" customFormat="1" x14ac:dyDescent="0.2"/>
    <row r="55943" s="689" customFormat="1" x14ac:dyDescent="0.2"/>
    <row r="55944" s="689" customFormat="1" x14ac:dyDescent="0.2"/>
    <row r="55945" s="689" customFormat="1" x14ac:dyDescent="0.2"/>
    <row r="55946" s="689" customFormat="1" x14ac:dyDescent="0.2"/>
    <row r="55947" s="689" customFormat="1" x14ac:dyDescent="0.2"/>
    <row r="55948" s="689" customFormat="1" x14ac:dyDescent="0.2"/>
    <row r="55949" s="689" customFormat="1" x14ac:dyDescent="0.2"/>
    <row r="55950" s="689" customFormat="1" x14ac:dyDescent="0.2"/>
    <row r="55951" s="689" customFormat="1" x14ac:dyDescent="0.2"/>
    <row r="55952" s="689" customFormat="1" x14ac:dyDescent="0.2"/>
    <row r="55953" s="689" customFormat="1" x14ac:dyDescent="0.2"/>
    <row r="55954" s="689" customFormat="1" x14ac:dyDescent="0.2"/>
    <row r="55955" s="689" customFormat="1" x14ac:dyDescent="0.2"/>
    <row r="55956" s="689" customFormat="1" x14ac:dyDescent="0.2"/>
    <row r="55957" s="689" customFormat="1" x14ac:dyDescent="0.2"/>
    <row r="55958" s="689" customFormat="1" x14ac:dyDescent="0.2"/>
    <row r="55959" s="689" customFormat="1" x14ac:dyDescent="0.2"/>
    <row r="55960" s="689" customFormat="1" x14ac:dyDescent="0.2"/>
    <row r="55961" s="689" customFormat="1" x14ac:dyDescent="0.2"/>
    <row r="55962" s="689" customFormat="1" x14ac:dyDescent="0.2"/>
    <row r="55963" s="689" customFormat="1" x14ac:dyDescent="0.2"/>
    <row r="55964" s="689" customFormat="1" x14ac:dyDescent="0.2"/>
    <row r="55965" s="689" customFormat="1" x14ac:dyDescent="0.2"/>
    <row r="55966" s="689" customFormat="1" x14ac:dyDescent="0.2"/>
    <row r="55967" s="689" customFormat="1" x14ac:dyDescent="0.2"/>
    <row r="55968" s="689" customFormat="1" x14ac:dyDescent="0.2"/>
    <row r="55969" s="689" customFormat="1" x14ac:dyDescent="0.2"/>
    <row r="55970" s="689" customFormat="1" x14ac:dyDescent="0.2"/>
    <row r="55971" s="689" customFormat="1" x14ac:dyDescent="0.2"/>
    <row r="55972" s="689" customFormat="1" x14ac:dyDescent="0.2"/>
    <row r="55973" s="689" customFormat="1" x14ac:dyDescent="0.2"/>
    <row r="55974" s="689" customFormat="1" x14ac:dyDescent="0.2"/>
    <row r="55975" s="689" customFormat="1" x14ac:dyDescent="0.2"/>
    <row r="55976" s="689" customFormat="1" x14ac:dyDescent="0.2"/>
    <row r="55977" s="689" customFormat="1" x14ac:dyDescent="0.2"/>
    <row r="55978" s="689" customFormat="1" x14ac:dyDescent="0.2"/>
    <row r="55979" s="689" customFormat="1" x14ac:dyDescent="0.2"/>
    <row r="55980" s="689" customFormat="1" x14ac:dyDescent="0.2"/>
    <row r="55981" s="689" customFormat="1" x14ac:dyDescent="0.2"/>
    <row r="55982" s="689" customFormat="1" x14ac:dyDescent="0.2"/>
    <row r="55983" s="689" customFormat="1" x14ac:dyDescent="0.2"/>
    <row r="55984" s="689" customFormat="1" x14ac:dyDescent="0.2"/>
    <row r="55985" s="689" customFormat="1" x14ac:dyDescent="0.2"/>
    <row r="55986" s="689" customFormat="1" x14ac:dyDescent="0.2"/>
    <row r="55987" s="689" customFormat="1" x14ac:dyDescent="0.2"/>
    <row r="55988" s="689" customFormat="1" x14ac:dyDescent="0.2"/>
    <row r="55989" s="689" customFormat="1" x14ac:dyDescent="0.2"/>
    <row r="55990" s="689" customFormat="1" x14ac:dyDescent="0.2"/>
    <row r="55991" s="689" customFormat="1" x14ac:dyDescent="0.2"/>
    <row r="55992" s="689" customFormat="1" x14ac:dyDescent="0.2"/>
    <row r="55993" s="689" customFormat="1" x14ac:dyDescent="0.2"/>
    <row r="55994" s="689" customFormat="1" x14ac:dyDescent="0.2"/>
    <row r="55995" s="689" customFormat="1" x14ac:dyDescent="0.2"/>
    <row r="55996" s="689" customFormat="1" x14ac:dyDescent="0.2"/>
    <row r="55997" s="689" customFormat="1" x14ac:dyDescent="0.2"/>
    <row r="55998" s="689" customFormat="1" x14ac:dyDescent="0.2"/>
    <row r="55999" s="689" customFormat="1" x14ac:dyDescent="0.2"/>
    <row r="56000" s="689" customFormat="1" x14ac:dyDescent="0.2"/>
    <row r="56001" s="689" customFormat="1" x14ac:dyDescent="0.2"/>
    <row r="56002" s="689" customFormat="1" x14ac:dyDescent="0.2"/>
    <row r="56003" s="689" customFormat="1" x14ac:dyDescent="0.2"/>
    <row r="56004" s="689" customFormat="1" x14ac:dyDescent="0.2"/>
    <row r="56005" s="689" customFormat="1" x14ac:dyDescent="0.2"/>
    <row r="56006" s="689" customFormat="1" x14ac:dyDescent="0.2"/>
    <row r="56007" s="689" customFormat="1" x14ac:dyDescent="0.2"/>
    <row r="56008" s="689" customFormat="1" x14ac:dyDescent="0.2"/>
    <row r="56009" s="689" customFormat="1" x14ac:dyDescent="0.2"/>
    <row r="56010" s="689" customFormat="1" x14ac:dyDescent="0.2"/>
    <row r="56011" s="689" customFormat="1" x14ac:dyDescent="0.2"/>
    <row r="56012" s="689" customFormat="1" x14ac:dyDescent="0.2"/>
    <row r="56013" s="689" customFormat="1" x14ac:dyDescent="0.2"/>
    <row r="56014" s="689" customFormat="1" x14ac:dyDescent="0.2"/>
    <row r="56015" s="689" customFormat="1" x14ac:dyDescent="0.2"/>
    <row r="56016" s="689" customFormat="1" x14ac:dyDescent="0.2"/>
    <row r="56017" s="689" customFormat="1" x14ac:dyDescent="0.2"/>
    <row r="56018" s="689" customFormat="1" x14ac:dyDescent="0.2"/>
    <row r="56019" s="689" customFormat="1" x14ac:dyDescent="0.2"/>
    <row r="56020" s="689" customFormat="1" x14ac:dyDescent="0.2"/>
    <row r="56021" s="689" customFormat="1" x14ac:dyDescent="0.2"/>
    <row r="56022" s="689" customFormat="1" x14ac:dyDescent="0.2"/>
    <row r="56023" s="689" customFormat="1" x14ac:dyDescent="0.2"/>
    <row r="56024" s="689" customFormat="1" x14ac:dyDescent="0.2"/>
    <row r="56025" s="689" customFormat="1" x14ac:dyDescent="0.2"/>
    <row r="56026" s="689" customFormat="1" x14ac:dyDescent="0.2"/>
    <row r="56027" s="689" customFormat="1" x14ac:dyDescent="0.2"/>
    <row r="56028" s="689" customFormat="1" x14ac:dyDescent="0.2"/>
    <row r="56029" s="689" customFormat="1" x14ac:dyDescent="0.2"/>
    <row r="56030" s="689" customFormat="1" x14ac:dyDescent="0.2"/>
    <row r="56031" s="689" customFormat="1" x14ac:dyDescent="0.2"/>
    <row r="56032" s="689" customFormat="1" x14ac:dyDescent="0.2"/>
    <row r="56033" s="689" customFormat="1" x14ac:dyDescent="0.2"/>
    <row r="56034" s="689" customFormat="1" x14ac:dyDescent="0.2"/>
    <row r="56035" s="689" customFormat="1" x14ac:dyDescent="0.2"/>
    <row r="56036" s="689" customFormat="1" x14ac:dyDescent="0.2"/>
    <row r="56037" s="689" customFormat="1" x14ac:dyDescent="0.2"/>
    <row r="56038" s="689" customFormat="1" x14ac:dyDescent="0.2"/>
    <row r="56039" s="689" customFormat="1" x14ac:dyDescent="0.2"/>
    <row r="56040" s="689" customFormat="1" x14ac:dyDescent="0.2"/>
    <row r="56041" s="689" customFormat="1" x14ac:dyDescent="0.2"/>
    <row r="56042" s="689" customFormat="1" x14ac:dyDescent="0.2"/>
    <row r="56043" s="689" customFormat="1" x14ac:dyDescent="0.2"/>
    <row r="56044" s="689" customFormat="1" x14ac:dyDescent="0.2"/>
    <row r="56045" s="689" customFormat="1" x14ac:dyDescent="0.2"/>
    <row r="56046" s="689" customFormat="1" x14ac:dyDescent="0.2"/>
    <row r="56047" s="689" customFormat="1" x14ac:dyDescent="0.2"/>
    <row r="56048" s="689" customFormat="1" x14ac:dyDescent="0.2"/>
    <row r="56049" s="689" customFormat="1" x14ac:dyDescent="0.2"/>
    <row r="56050" s="689" customFormat="1" x14ac:dyDescent="0.2"/>
    <row r="56051" s="689" customFormat="1" x14ac:dyDescent="0.2"/>
    <row r="56052" s="689" customFormat="1" x14ac:dyDescent="0.2"/>
    <row r="56053" s="689" customFormat="1" x14ac:dyDescent="0.2"/>
    <row r="56054" s="689" customFormat="1" x14ac:dyDescent="0.2"/>
    <row r="56055" s="689" customFormat="1" x14ac:dyDescent="0.2"/>
    <row r="56056" s="689" customFormat="1" x14ac:dyDescent="0.2"/>
    <row r="56057" s="689" customFormat="1" x14ac:dyDescent="0.2"/>
    <row r="56058" s="689" customFormat="1" x14ac:dyDescent="0.2"/>
    <row r="56059" s="689" customFormat="1" x14ac:dyDescent="0.2"/>
    <row r="56060" s="689" customFormat="1" x14ac:dyDescent="0.2"/>
    <row r="56061" s="689" customFormat="1" x14ac:dyDescent="0.2"/>
    <row r="56062" s="689" customFormat="1" x14ac:dyDescent="0.2"/>
    <row r="56063" s="689" customFormat="1" x14ac:dyDescent="0.2"/>
    <row r="56064" s="689" customFormat="1" x14ac:dyDescent="0.2"/>
    <row r="56065" s="689" customFormat="1" x14ac:dyDescent="0.2"/>
    <row r="56066" s="689" customFormat="1" x14ac:dyDescent="0.2"/>
    <row r="56067" s="689" customFormat="1" x14ac:dyDescent="0.2"/>
    <row r="56068" s="689" customFormat="1" x14ac:dyDescent="0.2"/>
    <row r="56069" s="689" customFormat="1" x14ac:dyDescent="0.2"/>
    <row r="56070" s="689" customFormat="1" x14ac:dyDescent="0.2"/>
    <row r="56071" s="689" customFormat="1" x14ac:dyDescent="0.2"/>
    <row r="56072" s="689" customFormat="1" x14ac:dyDescent="0.2"/>
    <row r="56073" s="689" customFormat="1" x14ac:dyDescent="0.2"/>
    <row r="56074" s="689" customFormat="1" x14ac:dyDescent="0.2"/>
    <row r="56075" s="689" customFormat="1" x14ac:dyDescent="0.2"/>
    <row r="56076" s="689" customFormat="1" x14ac:dyDescent="0.2"/>
    <row r="56077" s="689" customFormat="1" x14ac:dyDescent="0.2"/>
    <row r="56078" s="689" customFormat="1" x14ac:dyDescent="0.2"/>
    <row r="56079" s="689" customFormat="1" x14ac:dyDescent="0.2"/>
    <row r="56080" s="689" customFormat="1" x14ac:dyDescent="0.2"/>
    <row r="56081" s="689" customFormat="1" x14ac:dyDescent="0.2"/>
    <row r="56082" s="689" customFormat="1" x14ac:dyDescent="0.2"/>
    <row r="56083" s="689" customFormat="1" x14ac:dyDescent="0.2"/>
    <row r="56084" s="689" customFormat="1" x14ac:dyDescent="0.2"/>
    <row r="56085" s="689" customFormat="1" x14ac:dyDescent="0.2"/>
    <row r="56086" s="689" customFormat="1" x14ac:dyDescent="0.2"/>
    <row r="56087" s="689" customFormat="1" x14ac:dyDescent="0.2"/>
    <row r="56088" s="689" customFormat="1" x14ac:dyDescent="0.2"/>
    <row r="56089" s="689" customFormat="1" x14ac:dyDescent="0.2"/>
    <row r="56090" s="689" customFormat="1" x14ac:dyDescent="0.2"/>
    <row r="56091" s="689" customFormat="1" x14ac:dyDescent="0.2"/>
    <row r="56092" s="689" customFormat="1" x14ac:dyDescent="0.2"/>
    <row r="56093" s="689" customFormat="1" x14ac:dyDescent="0.2"/>
    <row r="56094" s="689" customFormat="1" x14ac:dyDescent="0.2"/>
    <row r="56095" s="689" customFormat="1" x14ac:dyDescent="0.2"/>
    <row r="56096" s="689" customFormat="1" x14ac:dyDescent="0.2"/>
    <row r="56097" s="689" customFormat="1" x14ac:dyDescent="0.2"/>
    <row r="56098" s="689" customFormat="1" x14ac:dyDescent="0.2"/>
    <row r="56099" s="689" customFormat="1" x14ac:dyDescent="0.2"/>
    <row r="56100" s="689" customFormat="1" x14ac:dyDescent="0.2"/>
    <row r="56101" s="689" customFormat="1" x14ac:dyDescent="0.2"/>
    <row r="56102" s="689" customFormat="1" x14ac:dyDescent="0.2"/>
    <row r="56103" s="689" customFormat="1" x14ac:dyDescent="0.2"/>
    <row r="56104" s="689" customFormat="1" x14ac:dyDescent="0.2"/>
    <row r="56105" s="689" customFormat="1" x14ac:dyDescent="0.2"/>
    <row r="56106" s="689" customFormat="1" x14ac:dyDescent="0.2"/>
    <row r="56107" s="689" customFormat="1" x14ac:dyDescent="0.2"/>
    <row r="56108" s="689" customFormat="1" x14ac:dyDescent="0.2"/>
    <row r="56109" s="689" customFormat="1" x14ac:dyDescent="0.2"/>
    <row r="56110" s="689" customFormat="1" x14ac:dyDescent="0.2"/>
    <row r="56111" s="689" customFormat="1" x14ac:dyDescent="0.2"/>
    <row r="56112" s="689" customFormat="1" x14ac:dyDescent="0.2"/>
    <row r="56113" s="689" customFormat="1" x14ac:dyDescent="0.2"/>
    <row r="56114" s="689" customFormat="1" x14ac:dyDescent="0.2"/>
    <row r="56115" s="689" customFormat="1" x14ac:dyDescent="0.2"/>
    <row r="56116" s="689" customFormat="1" x14ac:dyDescent="0.2"/>
    <row r="56117" s="689" customFormat="1" x14ac:dyDescent="0.2"/>
    <row r="56118" s="689" customFormat="1" x14ac:dyDescent="0.2"/>
    <row r="56119" s="689" customFormat="1" x14ac:dyDescent="0.2"/>
    <row r="56120" s="689" customFormat="1" x14ac:dyDescent="0.2"/>
    <row r="56121" s="689" customFormat="1" x14ac:dyDescent="0.2"/>
    <row r="56122" s="689" customFormat="1" x14ac:dyDescent="0.2"/>
    <row r="56123" s="689" customFormat="1" x14ac:dyDescent="0.2"/>
    <row r="56124" s="689" customFormat="1" x14ac:dyDescent="0.2"/>
    <row r="56125" s="689" customFormat="1" x14ac:dyDescent="0.2"/>
    <row r="56126" s="689" customFormat="1" x14ac:dyDescent="0.2"/>
    <row r="56127" s="689" customFormat="1" x14ac:dyDescent="0.2"/>
    <row r="56128" s="689" customFormat="1" x14ac:dyDescent="0.2"/>
    <row r="56129" s="689" customFormat="1" x14ac:dyDescent="0.2"/>
    <row r="56130" s="689" customFormat="1" x14ac:dyDescent="0.2"/>
    <row r="56131" s="689" customFormat="1" x14ac:dyDescent="0.2"/>
    <row r="56132" s="689" customFormat="1" x14ac:dyDescent="0.2"/>
    <row r="56133" s="689" customFormat="1" x14ac:dyDescent="0.2"/>
    <row r="56134" s="689" customFormat="1" x14ac:dyDescent="0.2"/>
    <row r="56135" s="689" customFormat="1" x14ac:dyDescent="0.2"/>
    <row r="56136" s="689" customFormat="1" x14ac:dyDescent="0.2"/>
    <row r="56137" s="689" customFormat="1" x14ac:dyDescent="0.2"/>
    <row r="56138" s="689" customFormat="1" x14ac:dyDescent="0.2"/>
    <row r="56139" s="689" customFormat="1" x14ac:dyDescent="0.2"/>
    <row r="56140" s="689" customFormat="1" x14ac:dyDescent="0.2"/>
    <row r="56141" s="689" customFormat="1" x14ac:dyDescent="0.2"/>
    <row r="56142" s="689" customFormat="1" x14ac:dyDescent="0.2"/>
    <row r="56143" s="689" customFormat="1" x14ac:dyDescent="0.2"/>
    <row r="56144" s="689" customFormat="1" x14ac:dyDescent="0.2"/>
    <row r="56145" s="689" customFormat="1" x14ac:dyDescent="0.2"/>
    <row r="56146" s="689" customFormat="1" x14ac:dyDescent="0.2"/>
    <row r="56147" s="689" customFormat="1" x14ac:dyDescent="0.2"/>
    <row r="56148" s="689" customFormat="1" x14ac:dyDescent="0.2"/>
    <row r="56149" s="689" customFormat="1" x14ac:dyDescent="0.2"/>
    <row r="56150" s="689" customFormat="1" x14ac:dyDescent="0.2"/>
    <row r="56151" s="689" customFormat="1" x14ac:dyDescent="0.2"/>
    <row r="56152" s="689" customFormat="1" x14ac:dyDescent="0.2"/>
    <row r="56153" s="689" customFormat="1" x14ac:dyDescent="0.2"/>
    <row r="56154" s="689" customFormat="1" x14ac:dyDescent="0.2"/>
    <row r="56155" s="689" customFormat="1" x14ac:dyDescent="0.2"/>
    <row r="56156" s="689" customFormat="1" x14ac:dyDescent="0.2"/>
    <row r="56157" s="689" customFormat="1" x14ac:dyDescent="0.2"/>
    <row r="56158" s="689" customFormat="1" x14ac:dyDescent="0.2"/>
    <row r="56159" s="689" customFormat="1" x14ac:dyDescent="0.2"/>
    <row r="56160" s="689" customFormat="1" x14ac:dyDescent="0.2"/>
    <row r="56161" s="689" customFormat="1" x14ac:dyDescent="0.2"/>
    <row r="56162" s="689" customFormat="1" x14ac:dyDescent="0.2"/>
    <row r="56163" s="689" customFormat="1" x14ac:dyDescent="0.2"/>
    <row r="56164" s="689" customFormat="1" x14ac:dyDescent="0.2"/>
    <row r="56165" s="689" customFormat="1" x14ac:dyDescent="0.2"/>
    <row r="56166" s="689" customFormat="1" x14ac:dyDescent="0.2"/>
    <row r="56167" s="689" customFormat="1" x14ac:dyDescent="0.2"/>
    <row r="56168" s="689" customFormat="1" x14ac:dyDescent="0.2"/>
    <row r="56169" s="689" customFormat="1" x14ac:dyDescent="0.2"/>
    <row r="56170" s="689" customFormat="1" x14ac:dyDescent="0.2"/>
    <row r="56171" s="689" customFormat="1" x14ac:dyDescent="0.2"/>
    <row r="56172" s="689" customFormat="1" x14ac:dyDescent="0.2"/>
    <row r="56173" s="689" customFormat="1" x14ac:dyDescent="0.2"/>
    <row r="56174" s="689" customFormat="1" x14ac:dyDescent="0.2"/>
    <row r="56175" s="689" customFormat="1" x14ac:dyDescent="0.2"/>
    <row r="56176" s="689" customFormat="1" x14ac:dyDescent="0.2"/>
    <row r="56177" s="689" customFormat="1" x14ac:dyDescent="0.2"/>
    <row r="56178" s="689" customFormat="1" x14ac:dyDescent="0.2"/>
    <row r="56179" s="689" customFormat="1" x14ac:dyDescent="0.2"/>
    <row r="56180" s="689" customFormat="1" x14ac:dyDescent="0.2"/>
    <row r="56181" s="689" customFormat="1" x14ac:dyDescent="0.2"/>
    <row r="56182" s="689" customFormat="1" x14ac:dyDescent="0.2"/>
    <row r="56183" s="689" customFormat="1" x14ac:dyDescent="0.2"/>
    <row r="56184" s="689" customFormat="1" x14ac:dyDescent="0.2"/>
    <row r="56185" s="689" customFormat="1" x14ac:dyDescent="0.2"/>
    <row r="56186" s="689" customFormat="1" x14ac:dyDescent="0.2"/>
    <row r="56187" s="689" customFormat="1" x14ac:dyDescent="0.2"/>
    <row r="56188" s="689" customFormat="1" x14ac:dyDescent="0.2"/>
    <row r="56189" s="689" customFormat="1" x14ac:dyDescent="0.2"/>
    <row r="56190" s="689" customFormat="1" x14ac:dyDescent="0.2"/>
    <row r="56191" s="689" customFormat="1" x14ac:dyDescent="0.2"/>
    <row r="56192" s="689" customFormat="1" x14ac:dyDescent="0.2"/>
    <row r="56193" s="689" customFormat="1" x14ac:dyDescent="0.2"/>
    <row r="56194" s="689" customFormat="1" x14ac:dyDescent="0.2"/>
    <row r="56195" s="689" customFormat="1" x14ac:dyDescent="0.2"/>
    <row r="56196" s="689" customFormat="1" x14ac:dyDescent="0.2"/>
    <row r="56197" s="689" customFormat="1" x14ac:dyDescent="0.2"/>
    <row r="56198" s="689" customFormat="1" x14ac:dyDescent="0.2"/>
    <row r="56199" s="689" customFormat="1" x14ac:dyDescent="0.2"/>
    <row r="56200" s="689" customFormat="1" x14ac:dyDescent="0.2"/>
    <row r="56201" s="689" customFormat="1" x14ac:dyDescent="0.2"/>
    <row r="56202" s="689" customFormat="1" x14ac:dyDescent="0.2"/>
    <row r="56203" s="689" customFormat="1" x14ac:dyDescent="0.2"/>
    <row r="56204" s="689" customFormat="1" x14ac:dyDescent="0.2"/>
    <row r="56205" s="689" customFormat="1" x14ac:dyDescent="0.2"/>
    <row r="56206" s="689" customFormat="1" x14ac:dyDescent="0.2"/>
    <row r="56207" s="689" customFormat="1" x14ac:dyDescent="0.2"/>
    <row r="56208" s="689" customFormat="1" x14ac:dyDescent="0.2"/>
    <row r="56209" s="689" customFormat="1" x14ac:dyDescent="0.2"/>
    <row r="56210" s="689" customFormat="1" x14ac:dyDescent="0.2"/>
    <row r="56211" s="689" customFormat="1" x14ac:dyDescent="0.2"/>
    <row r="56212" s="689" customFormat="1" x14ac:dyDescent="0.2"/>
    <row r="56213" s="689" customFormat="1" x14ac:dyDescent="0.2"/>
    <row r="56214" s="689" customFormat="1" x14ac:dyDescent="0.2"/>
    <row r="56215" s="689" customFormat="1" x14ac:dyDescent="0.2"/>
    <row r="56216" s="689" customFormat="1" x14ac:dyDescent="0.2"/>
    <row r="56217" s="689" customFormat="1" x14ac:dyDescent="0.2"/>
    <row r="56218" s="689" customFormat="1" x14ac:dyDescent="0.2"/>
    <row r="56219" s="689" customFormat="1" x14ac:dyDescent="0.2"/>
    <row r="56220" s="689" customFormat="1" x14ac:dyDescent="0.2"/>
    <row r="56221" s="689" customFormat="1" x14ac:dyDescent="0.2"/>
    <row r="56222" s="689" customFormat="1" x14ac:dyDescent="0.2"/>
    <row r="56223" s="689" customFormat="1" x14ac:dyDescent="0.2"/>
    <row r="56224" s="689" customFormat="1" x14ac:dyDescent="0.2"/>
    <row r="56225" s="689" customFormat="1" x14ac:dyDescent="0.2"/>
    <row r="56226" s="689" customFormat="1" x14ac:dyDescent="0.2"/>
    <row r="56227" s="689" customFormat="1" x14ac:dyDescent="0.2"/>
    <row r="56228" s="689" customFormat="1" x14ac:dyDescent="0.2"/>
    <row r="56229" s="689" customFormat="1" x14ac:dyDescent="0.2"/>
    <row r="56230" s="689" customFormat="1" x14ac:dyDescent="0.2"/>
    <row r="56231" s="689" customFormat="1" x14ac:dyDescent="0.2"/>
    <row r="56232" s="689" customFormat="1" x14ac:dyDescent="0.2"/>
    <row r="56233" s="689" customFormat="1" x14ac:dyDescent="0.2"/>
    <row r="56234" s="689" customFormat="1" x14ac:dyDescent="0.2"/>
    <row r="56235" s="689" customFormat="1" x14ac:dyDescent="0.2"/>
    <row r="56236" s="689" customFormat="1" x14ac:dyDescent="0.2"/>
    <row r="56237" s="689" customFormat="1" x14ac:dyDescent="0.2"/>
    <row r="56238" s="689" customFormat="1" x14ac:dyDescent="0.2"/>
    <row r="56239" s="689" customFormat="1" x14ac:dyDescent="0.2"/>
    <row r="56240" s="689" customFormat="1" x14ac:dyDescent="0.2"/>
    <row r="56241" s="689" customFormat="1" x14ac:dyDescent="0.2"/>
    <row r="56242" s="689" customFormat="1" x14ac:dyDescent="0.2"/>
    <row r="56243" s="689" customFormat="1" x14ac:dyDescent="0.2"/>
    <row r="56244" s="689" customFormat="1" x14ac:dyDescent="0.2"/>
    <row r="56245" s="689" customFormat="1" x14ac:dyDescent="0.2"/>
    <row r="56246" s="689" customFormat="1" x14ac:dyDescent="0.2"/>
    <row r="56247" s="689" customFormat="1" x14ac:dyDescent="0.2"/>
    <row r="56248" s="689" customFormat="1" x14ac:dyDescent="0.2"/>
    <row r="56249" s="689" customFormat="1" x14ac:dyDescent="0.2"/>
    <row r="56250" s="689" customFormat="1" x14ac:dyDescent="0.2"/>
    <row r="56251" s="689" customFormat="1" x14ac:dyDescent="0.2"/>
    <row r="56252" s="689" customFormat="1" x14ac:dyDescent="0.2"/>
    <row r="56253" s="689" customFormat="1" x14ac:dyDescent="0.2"/>
    <row r="56254" s="689" customFormat="1" x14ac:dyDescent="0.2"/>
    <row r="56255" s="689" customFormat="1" x14ac:dyDescent="0.2"/>
    <row r="56256" s="689" customFormat="1" x14ac:dyDescent="0.2"/>
    <row r="56257" s="689" customFormat="1" x14ac:dyDescent="0.2"/>
    <row r="56258" s="689" customFormat="1" x14ac:dyDescent="0.2"/>
    <row r="56259" s="689" customFormat="1" x14ac:dyDescent="0.2"/>
    <row r="56260" s="689" customFormat="1" x14ac:dyDescent="0.2"/>
    <row r="56261" s="689" customFormat="1" x14ac:dyDescent="0.2"/>
    <row r="56262" s="689" customFormat="1" x14ac:dyDescent="0.2"/>
    <row r="56263" s="689" customFormat="1" x14ac:dyDescent="0.2"/>
    <row r="56264" s="689" customFormat="1" x14ac:dyDescent="0.2"/>
    <row r="56265" s="689" customFormat="1" x14ac:dyDescent="0.2"/>
    <row r="56266" s="689" customFormat="1" x14ac:dyDescent="0.2"/>
    <row r="56267" s="689" customFormat="1" x14ac:dyDescent="0.2"/>
    <row r="56268" s="689" customFormat="1" x14ac:dyDescent="0.2"/>
    <row r="56269" s="689" customFormat="1" x14ac:dyDescent="0.2"/>
    <row r="56270" s="689" customFormat="1" x14ac:dyDescent="0.2"/>
    <row r="56271" s="689" customFormat="1" x14ac:dyDescent="0.2"/>
    <row r="56272" s="689" customFormat="1" x14ac:dyDescent="0.2"/>
    <row r="56273" s="689" customFormat="1" x14ac:dyDescent="0.2"/>
    <row r="56274" s="689" customFormat="1" x14ac:dyDescent="0.2"/>
    <row r="56275" s="689" customFormat="1" x14ac:dyDescent="0.2"/>
    <row r="56276" s="689" customFormat="1" x14ac:dyDescent="0.2"/>
    <row r="56277" s="689" customFormat="1" x14ac:dyDescent="0.2"/>
    <row r="56278" s="689" customFormat="1" x14ac:dyDescent="0.2"/>
    <row r="56279" s="689" customFormat="1" x14ac:dyDescent="0.2"/>
    <row r="56280" s="689" customFormat="1" x14ac:dyDescent="0.2"/>
    <row r="56281" s="689" customFormat="1" x14ac:dyDescent="0.2"/>
    <row r="56282" s="689" customFormat="1" x14ac:dyDescent="0.2"/>
    <row r="56283" s="689" customFormat="1" x14ac:dyDescent="0.2"/>
    <row r="56284" s="689" customFormat="1" x14ac:dyDescent="0.2"/>
    <row r="56285" s="689" customFormat="1" x14ac:dyDescent="0.2"/>
    <row r="56286" s="689" customFormat="1" x14ac:dyDescent="0.2"/>
    <row r="56287" s="689" customFormat="1" x14ac:dyDescent="0.2"/>
    <row r="56288" s="689" customFormat="1" x14ac:dyDescent="0.2"/>
    <row r="56289" s="689" customFormat="1" x14ac:dyDescent="0.2"/>
    <row r="56290" s="689" customFormat="1" x14ac:dyDescent="0.2"/>
    <row r="56291" s="689" customFormat="1" x14ac:dyDescent="0.2"/>
    <row r="56292" s="689" customFormat="1" x14ac:dyDescent="0.2"/>
    <row r="56293" s="689" customFormat="1" x14ac:dyDescent="0.2"/>
    <row r="56294" s="689" customFormat="1" x14ac:dyDescent="0.2"/>
    <row r="56295" s="689" customFormat="1" x14ac:dyDescent="0.2"/>
    <row r="56296" s="689" customFormat="1" x14ac:dyDescent="0.2"/>
    <row r="56297" s="689" customFormat="1" x14ac:dyDescent="0.2"/>
    <row r="56298" s="689" customFormat="1" x14ac:dyDescent="0.2"/>
    <row r="56299" s="689" customFormat="1" x14ac:dyDescent="0.2"/>
    <row r="56300" s="689" customFormat="1" x14ac:dyDescent="0.2"/>
    <row r="56301" s="689" customFormat="1" x14ac:dyDescent="0.2"/>
    <row r="56302" s="689" customFormat="1" x14ac:dyDescent="0.2"/>
    <row r="56303" s="689" customFormat="1" x14ac:dyDescent="0.2"/>
    <row r="56304" s="689" customFormat="1" x14ac:dyDescent="0.2"/>
    <row r="56305" s="689" customFormat="1" x14ac:dyDescent="0.2"/>
    <row r="56306" s="689" customFormat="1" x14ac:dyDescent="0.2"/>
    <row r="56307" s="689" customFormat="1" x14ac:dyDescent="0.2"/>
    <row r="56308" s="689" customFormat="1" x14ac:dyDescent="0.2"/>
    <row r="56309" s="689" customFormat="1" x14ac:dyDescent="0.2"/>
    <row r="56310" s="689" customFormat="1" x14ac:dyDescent="0.2"/>
    <row r="56311" s="689" customFormat="1" x14ac:dyDescent="0.2"/>
    <row r="56312" s="689" customFormat="1" x14ac:dyDescent="0.2"/>
    <row r="56313" s="689" customFormat="1" x14ac:dyDescent="0.2"/>
    <row r="56314" s="689" customFormat="1" x14ac:dyDescent="0.2"/>
    <row r="56315" s="689" customFormat="1" x14ac:dyDescent="0.2"/>
    <row r="56316" s="689" customFormat="1" x14ac:dyDescent="0.2"/>
    <row r="56317" s="689" customFormat="1" x14ac:dyDescent="0.2"/>
    <row r="56318" s="689" customFormat="1" x14ac:dyDescent="0.2"/>
    <row r="56319" s="689" customFormat="1" x14ac:dyDescent="0.2"/>
    <row r="56320" s="689" customFormat="1" x14ac:dyDescent="0.2"/>
    <row r="56321" s="689" customFormat="1" x14ac:dyDescent="0.2"/>
    <row r="56322" s="689" customFormat="1" x14ac:dyDescent="0.2"/>
    <row r="56323" s="689" customFormat="1" x14ac:dyDescent="0.2"/>
    <row r="56324" s="689" customFormat="1" x14ac:dyDescent="0.2"/>
    <row r="56325" s="689" customFormat="1" x14ac:dyDescent="0.2"/>
    <row r="56326" s="689" customFormat="1" x14ac:dyDescent="0.2"/>
    <row r="56327" s="689" customFormat="1" x14ac:dyDescent="0.2"/>
    <row r="56328" s="689" customFormat="1" x14ac:dyDescent="0.2"/>
    <row r="56329" s="689" customFormat="1" x14ac:dyDescent="0.2"/>
    <row r="56330" s="689" customFormat="1" x14ac:dyDescent="0.2"/>
    <row r="56331" s="689" customFormat="1" x14ac:dyDescent="0.2"/>
    <row r="56332" s="689" customFormat="1" x14ac:dyDescent="0.2"/>
    <row r="56333" s="689" customFormat="1" x14ac:dyDescent="0.2"/>
    <row r="56334" s="689" customFormat="1" x14ac:dyDescent="0.2"/>
    <row r="56335" s="689" customFormat="1" x14ac:dyDescent="0.2"/>
    <row r="56336" s="689" customFormat="1" x14ac:dyDescent="0.2"/>
    <row r="56337" s="689" customFormat="1" x14ac:dyDescent="0.2"/>
    <row r="56338" s="689" customFormat="1" x14ac:dyDescent="0.2"/>
    <row r="56339" s="689" customFormat="1" x14ac:dyDescent="0.2"/>
    <row r="56340" s="689" customFormat="1" x14ac:dyDescent="0.2"/>
    <row r="56341" s="689" customFormat="1" x14ac:dyDescent="0.2"/>
    <row r="56342" s="689" customFormat="1" x14ac:dyDescent="0.2"/>
    <row r="56343" s="689" customFormat="1" x14ac:dyDescent="0.2"/>
    <row r="56344" s="689" customFormat="1" x14ac:dyDescent="0.2"/>
    <row r="56345" s="689" customFormat="1" x14ac:dyDescent="0.2"/>
    <row r="56346" s="689" customFormat="1" x14ac:dyDescent="0.2"/>
    <row r="56347" s="689" customFormat="1" x14ac:dyDescent="0.2"/>
    <row r="56348" s="689" customFormat="1" x14ac:dyDescent="0.2"/>
    <row r="56349" s="689" customFormat="1" x14ac:dyDescent="0.2"/>
    <row r="56350" s="689" customFormat="1" x14ac:dyDescent="0.2"/>
    <row r="56351" s="689" customFormat="1" x14ac:dyDescent="0.2"/>
    <row r="56352" s="689" customFormat="1" x14ac:dyDescent="0.2"/>
    <row r="56353" s="689" customFormat="1" x14ac:dyDescent="0.2"/>
    <row r="56354" s="689" customFormat="1" x14ac:dyDescent="0.2"/>
    <row r="56355" s="689" customFormat="1" x14ac:dyDescent="0.2"/>
    <row r="56356" s="689" customFormat="1" x14ac:dyDescent="0.2"/>
    <row r="56357" s="689" customFormat="1" x14ac:dyDescent="0.2"/>
    <row r="56358" s="689" customFormat="1" x14ac:dyDescent="0.2"/>
    <row r="56359" s="689" customFormat="1" x14ac:dyDescent="0.2"/>
    <row r="56360" s="689" customFormat="1" x14ac:dyDescent="0.2"/>
    <row r="56361" s="689" customFormat="1" x14ac:dyDescent="0.2"/>
    <row r="56362" s="689" customFormat="1" x14ac:dyDescent="0.2"/>
    <row r="56363" s="689" customFormat="1" x14ac:dyDescent="0.2"/>
    <row r="56364" s="689" customFormat="1" x14ac:dyDescent="0.2"/>
    <row r="56365" s="689" customFormat="1" x14ac:dyDescent="0.2"/>
    <row r="56366" s="689" customFormat="1" x14ac:dyDescent="0.2"/>
    <row r="56367" s="689" customFormat="1" x14ac:dyDescent="0.2"/>
    <row r="56368" s="689" customFormat="1" x14ac:dyDescent="0.2"/>
    <row r="56369" s="689" customFormat="1" x14ac:dyDescent="0.2"/>
    <row r="56370" s="689" customFormat="1" x14ac:dyDescent="0.2"/>
    <row r="56371" s="689" customFormat="1" x14ac:dyDescent="0.2"/>
    <row r="56372" s="689" customFormat="1" x14ac:dyDescent="0.2"/>
    <row r="56373" s="689" customFormat="1" x14ac:dyDescent="0.2"/>
    <row r="56374" s="689" customFormat="1" x14ac:dyDescent="0.2"/>
    <row r="56375" s="689" customFormat="1" x14ac:dyDescent="0.2"/>
    <row r="56376" s="689" customFormat="1" x14ac:dyDescent="0.2"/>
    <row r="56377" s="689" customFormat="1" x14ac:dyDescent="0.2"/>
    <row r="56378" s="689" customFormat="1" x14ac:dyDescent="0.2"/>
    <row r="56379" s="689" customFormat="1" x14ac:dyDescent="0.2"/>
    <row r="56380" s="689" customFormat="1" x14ac:dyDescent="0.2"/>
    <row r="56381" s="689" customFormat="1" x14ac:dyDescent="0.2"/>
    <row r="56382" s="689" customFormat="1" x14ac:dyDescent="0.2"/>
    <row r="56383" s="689" customFormat="1" x14ac:dyDescent="0.2"/>
    <row r="56384" s="689" customFormat="1" x14ac:dyDescent="0.2"/>
    <row r="56385" s="689" customFormat="1" x14ac:dyDescent="0.2"/>
    <row r="56386" s="689" customFormat="1" x14ac:dyDescent="0.2"/>
    <row r="56387" s="689" customFormat="1" x14ac:dyDescent="0.2"/>
    <row r="56388" s="689" customFormat="1" x14ac:dyDescent="0.2"/>
    <row r="56389" s="689" customFormat="1" x14ac:dyDescent="0.2"/>
    <row r="56390" s="689" customFormat="1" x14ac:dyDescent="0.2"/>
    <row r="56391" s="689" customFormat="1" x14ac:dyDescent="0.2"/>
    <row r="56392" s="689" customFormat="1" x14ac:dyDescent="0.2"/>
    <row r="56393" s="689" customFormat="1" x14ac:dyDescent="0.2"/>
    <row r="56394" s="689" customFormat="1" x14ac:dyDescent="0.2"/>
    <row r="56395" s="689" customFormat="1" x14ac:dyDescent="0.2"/>
    <row r="56396" s="689" customFormat="1" x14ac:dyDescent="0.2"/>
    <row r="56397" s="689" customFormat="1" x14ac:dyDescent="0.2"/>
    <row r="56398" s="689" customFormat="1" x14ac:dyDescent="0.2"/>
    <row r="56399" s="689" customFormat="1" x14ac:dyDescent="0.2"/>
    <row r="56400" s="689" customFormat="1" x14ac:dyDescent="0.2"/>
    <row r="56401" s="689" customFormat="1" x14ac:dyDescent="0.2"/>
    <row r="56402" s="689" customFormat="1" x14ac:dyDescent="0.2"/>
    <row r="56403" s="689" customFormat="1" x14ac:dyDescent="0.2"/>
    <row r="56404" s="689" customFormat="1" x14ac:dyDescent="0.2"/>
    <row r="56405" s="689" customFormat="1" x14ac:dyDescent="0.2"/>
    <row r="56406" s="689" customFormat="1" x14ac:dyDescent="0.2"/>
    <row r="56407" s="689" customFormat="1" x14ac:dyDescent="0.2"/>
    <row r="56408" s="689" customFormat="1" x14ac:dyDescent="0.2"/>
    <row r="56409" s="689" customFormat="1" x14ac:dyDescent="0.2"/>
    <row r="56410" s="689" customFormat="1" x14ac:dyDescent="0.2"/>
    <row r="56411" s="689" customFormat="1" x14ac:dyDescent="0.2"/>
    <row r="56412" s="689" customFormat="1" x14ac:dyDescent="0.2"/>
    <row r="56413" s="689" customFormat="1" x14ac:dyDescent="0.2"/>
    <row r="56414" s="689" customFormat="1" x14ac:dyDescent="0.2"/>
    <row r="56415" s="689" customFormat="1" x14ac:dyDescent="0.2"/>
    <row r="56416" s="689" customFormat="1" x14ac:dyDescent="0.2"/>
    <row r="56417" s="689" customFormat="1" x14ac:dyDescent="0.2"/>
    <row r="56418" s="689" customFormat="1" x14ac:dyDescent="0.2"/>
    <row r="56419" s="689" customFormat="1" x14ac:dyDescent="0.2"/>
    <row r="56420" s="689" customFormat="1" x14ac:dyDescent="0.2"/>
    <row r="56421" s="689" customFormat="1" x14ac:dyDescent="0.2"/>
    <row r="56422" s="689" customFormat="1" x14ac:dyDescent="0.2"/>
    <row r="56423" s="689" customFormat="1" x14ac:dyDescent="0.2"/>
    <row r="56424" s="689" customFormat="1" x14ac:dyDescent="0.2"/>
    <row r="56425" s="689" customFormat="1" x14ac:dyDescent="0.2"/>
    <row r="56426" s="689" customFormat="1" x14ac:dyDescent="0.2"/>
    <row r="56427" s="689" customFormat="1" x14ac:dyDescent="0.2"/>
    <row r="56428" s="689" customFormat="1" x14ac:dyDescent="0.2"/>
    <row r="56429" s="689" customFormat="1" x14ac:dyDescent="0.2"/>
    <row r="56430" s="689" customFormat="1" x14ac:dyDescent="0.2"/>
    <row r="56431" s="689" customFormat="1" x14ac:dyDescent="0.2"/>
    <row r="56432" s="689" customFormat="1" x14ac:dyDescent="0.2"/>
    <row r="56433" s="689" customFormat="1" x14ac:dyDescent="0.2"/>
    <row r="56434" s="689" customFormat="1" x14ac:dyDescent="0.2"/>
    <row r="56435" s="689" customFormat="1" x14ac:dyDescent="0.2"/>
    <row r="56436" s="689" customFormat="1" x14ac:dyDescent="0.2"/>
    <row r="56437" s="689" customFormat="1" x14ac:dyDescent="0.2"/>
    <row r="56438" s="689" customFormat="1" x14ac:dyDescent="0.2"/>
    <row r="56439" s="689" customFormat="1" x14ac:dyDescent="0.2"/>
    <row r="56440" s="689" customFormat="1" x14ac:dyDescent="0.2"/>
    <row r="56441" s="689" customFormat="1" x14ac:dyDescent="0.2"/>
    <row r="56442" s="689" customFormat="1" x14ac:dyDescent="0.2"/>
    <row r="56443" s="689" customFormat="1" x14ac:dyDescent="0.2"/>
    <row r="56444" s="689" customFormat="1" x14ac:dyDescent="0.2"/>
    <row r="56445" s="689" customFormat="1" x14ac:dyDescent="0.2"/>
    <row r="56446" s="689" customFormat="1" x14ac:dyDescent="0.2"/>
    <row r="56447" s="689" customFormat="1" x14ac:dyDescent="0.2"/>
    <row r="56448" s="689" customFormat="1" x14ac:dyDescent="0.2"/>
    <row r="56449" s="689" customFormat="1" x14ac:dyDescent="0.2"/>
    <row r="56450" s="689" customFormat="1" x14ac:dyDescent="0.2"/>
    <row r="56451" s="689" customFormat="1" x14ac:dyDescent="0.2"/>
    <row r="56452" s="689" customFormat="1" x14ac:dyDescent="0.2"/>
    <row r="56453" s="689" customFormat="1" x14ac:dyDescent="0.2"/>
    <row r="56454" s="689" customFormat="1" x14ac:dyDescent="0.2"/>
    <row r="56455" s="689" customFormat="1" x14ac:dyDescent="0.2"/>
    <row r="56456" s="689" customFormat="1" x14ac:dyDescent="0.2"/>
    <row r="56457" s="689" customFormat="1" x14ac:dyDescent="0.2"/>
    <row r="56458" s="689" customFormat="1" x14ac:dyDescent="0.2"/>
    <row r="56459" s="689" customFormat="1" x14ac:dyDescent="0.2"/>
    <row r="56460" s="689" customFormat="1" x14ac:dyDescent="0.2"/>
    <row r="56461" s="689" customFormat="1" x14ac:dyDescent="0.2"/>
    <row r="56462" s="689" customFormat="1" x14ac:dyDescent="0.2"/>
    <row r="56463" s="689" customFormat="1" x14ac:dyDescent="0.2"/>
    <row r="56464" s="689" customFormat="1" x14ac:dyDescent="0.2"/>
    <row r="56465" s="689" customFormat="1" x14ac:dyDescent="0.2"/>
    <row r="56466" s="689" customFormat="1" x14ac:dyDescent="0.2"/>
    <row r="56467" s="689" customFormat="1" x14ac:dyDescent="0.2"/>
    <row r="56468" s="689" customFormat="1" x14ac:dyDescent="0.2"/>
    <row r="56469" s="689" customFormat="1" x14ac:dyDescent="0.2"/>
    <row r="56470" s="689" customFormat="1" x14ac:dyDescent="0.2"/>
    <row r="56471" s="689" customFormat="1" x14ac:dyDescent="0.2"/>
    <row r="56472" s="689" customFormat="1" x14ac:dyDescent="0.2"/>
    <row r="56473" s="689" customFormat="1" x14ac:dyDescent="0.2"/>
    <row r="56474" s="689" customFormat="1" x14ac:dyDescent="0.2"/>
    <row r="56475" s="689" customFormat="1" x14ac:dyDescent="0.2"/>
    <row r="56476" s="689" customFormat="1" x14ac:dyDescent="0.2"/>
    <row r="56477" s="689" customFormat="1" x14ac:dyDescent="0.2"/>
    <row r="56478" s="689" customFormat="1" x14ac:dyDescent="0.2"/>
    <row r="56479" s="689" customFormat="1" x14ac:dyDescent="0.2"/>
    <row r="56480" s="689" customFormat="1" x14ac:dyDescent="0.2"/>
    <row r="56481" s="689" customFormat="1" x14ac:dyDescent="0.2"/>
    <row r="56482" s="689" customFormat="1" x14ac:dyDescent="0.2"/>
    <row r="56483" s="689" customFormat="1" x14ac:dyDescent="0.2"/>
    <row r="56484" s="689" customFormat="1" x14ac:dyDescent="0.2"/>
    <row r="56485" s="689" customFormat="1" x14ac:dyDescent="0.2"/>
    <row r="56486" s="689" customFormat="1" x14ac:dyDescent="0.2"/>
    <row r="56487" s="689" customFormat="1" x14ac:dyDescent="0.2"/>
    <row r="56488" s="689" customFormat="1" x14ac:dyDescent="0.2"/>
    <row r="56489" s="689" customFormat="1" x14ac:dyDescent="0.2"/>
    <row r="56490" s="689" customFormat="1" x14ac:dyDescent="0.2"/>
    <row r="56491" s="689" customFormat="1" x14ac:dyDescent="0.2"/>
    <row r="56492" s="689" customFormat="1" x14ac:dyDescent="0.2"/>
    <row r="56493" s="689" customFormat="1" x14ac:dyDescent="0.2"/>
    <row r="56494" s="689" customFormat="1" x14ac:dyDescent="0.2"/>
    <row r="56495" s="689" customFormat="1" x14ac:dyDescent="0.2"/>
    <row r="56496" s="689" customFormat="1" x14ac:dyDescent="0.2"/>
    <row r="56497" s="689" customFormat="1" x14ac:dyDescent="0.2"/>
    <row r="56498" s="689" customFormat="1" x14ac:dyDescent="0.2"/>
    <row r="56499" s="689" customFormat="1" x14ac:dyDescent="0.2"/>
    <row r="56500" s="689" customFormat="1" x14ac:dyDescent="0.2"/>
    <row r="56501" s="689" customFormat="1" x14ac:dyDescent="0.2"/>
    <row r="56502" s="689" customFormat="1" x14ac:dyDescent="0.2"/>
    <row r="56503" s="689" customFormat="1" x14ac:dyDescent="0.2"/>
    <row r="56504" s="689" customFormat="1" x14ac:dyDescent="0.2"/>
    <row r="56505" s="689" customFormat="1" x14ac:dyDescent="0.2"/>
    <row r="56506" s="689" customFormat="1" x14ac:dyDescent="0.2"/>
    <row r="56507" s="689" customFormat="1" x14ac:dyDescent="0.2"/>
    <row r="56508" s="689" customFormat="1" x14ac:dyDescent="0.2"/>
    <row r="56509" s="689" customFormat="1" x14ac:dyDescent="0.2"/>
    <row r="56510" s="689" customFormat="1" x14ac:dyDescent="0.2"/>
    <row r="56511" s="689" customFormat="1" x14ac:dyDescent="0.2"/>
    <row r="56512" s="689" customFormat="1" x14ac:dyDescent="0.2"/>
    <row r="56513" s="689" customFormat="1" x14ac:dyDescent="0.2"/>
    <row r="56514" s="689" customFormat="1" x14ac:dyDescent="0.2"/>
    <row r="56515" s="689" customFormat="1" x14ac:dyDescent="0.2"/>
    <row r="56516" s="689" customFormat="1" x14ac:dyDescent="0.2"/>
    <row r="56517" s="689" customFormat="1" x14ac:dyDescent="0.2"/>
    <row r="56518" s="689" customFormat="1" x14ac:dyDescent="0.2"/>
    <row r="56519" s="689" customFormat="1" x14ac:dyDescent="0.2"/>
    <row r="56520" s="689" customFormat="1" x14ac:dyDescent="0.2"/>
    <row r="56521" s="689" customFormat="1" x14ac:dyDescent="0.2"/>
    <row r="56522" s="689" customFormat="1" x14ac:dyDescent="0.2"/>
    <row r="56523" s="689" customFormat="1" x14ac:dyDescent="0.2"/>
    <row r="56524" s="689" customFormat="1" x14ac:dyDescent="0.2"/>
    <row r="56525" s="689" customFormat="1" x14ac:dyDescent="0.2"/>
    <row r="56526" s="689" customFormat="1" x14ac:dyDescent="0.2"/>
    <row r="56527" s="689" customFormat="1" x14ac:dyDescent="0.2"/>
    <row r="56528" s="689" customFormat="1" x14ac:dyDescent="0.2"/>
    <row r="56529" s="689" customFormat="1" x14ac:dyDescent="0.2"/>
    <row r="56530" s="689" customFormat="1" x14ac:dyDescent="0.2"/>
    <row r="56531" s="689" customFormat="1" x14ac:dyDescent="0.2"/>
    <row r="56532" s="689" customFormat="1" x14ac:dyDescent="0.2"/>
    <row r="56533" s="689" customFormat="1" x14ac:dyDescent="0.2"/>
    <row r="56534" s="689" customFormat="1" x14ac:dyDescent="0.2"/>
    <row r="56535" s="689" customFormat="1" x14ac:dyDescent="0.2"/>
    <row r="56536" s="689" customFormat="1" x14ac:dyDescent="0.2"/>
    <row r="56537" s="689" customFormat="1" x14ac:dyDescent="0.2"/>
    <row r="56538" s="689" customFormat="1" x14ac:dyDescent="0.2"/>
    <row r="56539" s="689" customFormat="1" x14ac:dyDescent="0.2"/>
    <row r="56540" s="689" customFormat="1" x14ac:dyDescent="0.2"/>
    <row r="56541" s="689" customFormat="1" x14ac:dyDescent="0.2"/>
    <row r="56542" s="689" customFormat="1" x14ac:dyDescent="0.2"/>
    <row r="56543" s="689" customFormat="1" x14ac:dyDescent="0.2"/>
    <row r="56544" s="689" customFormat="1" x14ac:dyDescent="0.2"/>
    <row r="56545" s="689" customFormat="1" x14ac:dyDescent="0.2"/>
    <row r="56546" s="689" customFormat="1" x14ac:dyDescent="0.2"/>
    <row r="56547" s="689" customFormat="1" x14ac:dyDescent="0.2"/>
    <row r="56548" s="689" customFormat="1" x14ac:dyDescent="0.2"/>
    <row r="56549" s="689" customFormat="1" x14ac:dyDescent="0.2"/>
    <row r="56550" s="689" customFormat="1" x14ac:dyDescent="0.2"/>
    <row r="56551" s="689" customFormat="1" x14ac:dyDescent="0.2"/>
    <row r="56552" s="689" customFormat="1" x14ac:dyDescent="0.2"/>
    <row r="56553" s="689" customFormat="1" x14ac:dyDescent="0.2"/>
    <row r="56554" s="689" customFormat="1" x14ac:dyDescent="0.2"/>
    <row r="56555" s="689" customFormat="1" x14ac:dyDescent="0.2"/>
    <row r="56556" s="689" customFormat="1" x14ac:dyDescent="0.2"/>
    <row r="56557" s="689" customFormat="1" x14ac:dyDescent="0.2"/>
    <row r="56558" s="689" customFormat="1" x14ac:dyDescent="0.2"/>
    <row r="56559" s="689" customFormat="1" x14ac:dyDescent="0.2"/>
    <row r="56560" s="689" customFormat="1" x14ac:dyDescent="0.2"/>
    <row r="56561" s="689" customFormat="1" x14ac:dyDescent="0.2"/>
    <row r="56562" s="689" customFormat="1" x14ac:dyDescent="0.2"/>
    <row r="56563" s="689" customFormat="1" x14ac:dyDescent="0.2"/>
    <row r="56564" s="689" customFormat="1" x14ac:dyDescent="0.2"/>
    <row r="56565" s="689" customFormat="1" x14ac:dyDescent="0.2"/>
    <row r="56566" s="689" customFormat="1" x14ac:dyDescent="0.2"/>
    <row r="56567" s="689" customFormat="1" x14ac:dyDescent="0.2"/>
    <row r="56568" s="689" customFormat="1" x14ac:dyDescent="0.2"/>
    <row r="56569" s="689" customFormat="1" x14ac:dyDescent="0.2"/>
    <row r="56570" s="689" customFormat="1" x14ac:dyDescent="0.2"/>
    <row r="56571" s="689" customFormat="1" x14ac:dyDescent="0.2"/>
    <row r="56572" s="689" customFormat="1" x14ac:dyDescent="0.2"/>
    <row r="56573" s="689" customFormat="1" x14ac:dyDescent="0.2"/>
    <row r="56574" s="689" customFormat="1" x14ac:dyDescent="0.2"/>
    <row r="56575" s="689" customFormat="1" x14ac:dyDescent="0.2"/>
    <row r="56576" s="689" customFormat="1" x14ac:dyDescent="0.2"/>
    <row r="56577" s="689" customFormat="1" x14ac:dyDescent="0.2"/>
    <row r="56578" s="689" customFormat="1" x14ac:dyDescent="0.2"/>
    <row r="56579" s="689" customFormat="1" x14ac:dyDescent="0.2"/>
    <row r="56580" s="689" customFormat="1" x14ac:dyDescent="0.2"/>
    <row r="56581" s="689" customFormat="1" x14ac:dyDescent="0.2"/>
    <row r="56582" s="689" customFormat="1" x14ac:dyDescent="0.2"/>
    <row r="56583" s="689" customFormat="1" x14ac:dyDescent="0.2"/>
    <row r="56584" s="689" customFormat="1" x14ac:dyDescent="0.2"/>
    <row r="56585" s="689" customFormat="1" x14ac:dyDescent="0.2"/>
    <row r="56586" s="689" customFormat="1" x14ac:dyDescent="0.2"/>
    <row r="56587" s="689" customFormat="1" x14ac:dyDescent="0.2"/>
    <row r="56588" s="689" customFormat="1" x14ac:dyDescent="0.2"/>
    <row r="56589" s="689" customFormat="1" x14ac:dyDescent="0.2"/>
    <row r="56590" s="689" customFormat="1" x14ac:dyDescent="0.2"/>
    <row r="56591" s="689" customFormat="1" x14ac:dyDescent="0.2"/>
    <row r="56592" s="689" customFormat="1" x14ac:dyDescent="0.2"/>
    <row r="56593" s="689" customFormat="1" x14ac:dyDescent="0.2"/>
    <row r="56594" s="689" customFormat="1" x14ac:dyDescent="0.2"/>
    <row r="56595" s="689" customFormat="1" x14ac:dyDescent="0.2"/>
    <row r="56596" s="689" customFormat="1" x14ac:dyDescent="0.2"/>
    <row r="56597" s="689" customFormat="1" x14ac:dyDescent="0.2"/>
    <row r="56598" s="689" customFormat="1" x14ac:dyDescent="0.2"/>
    <row r="56599" s="689" customFormat="1" x14ac:dyDescent="0.2"/>
    <row r="56600" s="689" customFormat="1" x14ac:dyDescent="0.2"/>
    <row r="56601" s="689" customFormat="1" x14ac:dyDescent="0.2"/>
    <row r="56602" s="689" customFormat="1" x14ac:dyDescent="0.2"/>
    <row r="56603" s="689" customFormat="1" x14ac:dyDescent="0.2"/>
    <row r="56604" s="689" customFormat="1" x14ac:dyDescent="0.2"/>
    <row r="56605" s="689" customFormat="1" x14ac:dyDescent="0.2"/>
    <row r="56606" s="689" customFormat="1" x14ac:dyDescent="0.2"/>
    <row r="56607" s="689" customFormat="1" x14ac:dyDescent="0.2"/>
    <row r="56608" s="689" customFormat="1" x14ac:dyDescent="0.2"/>
    <row r="56609" s="689" customFormat="1" x14ac:dyDescent="0.2"/>
    <row r="56610" s="689" customFormat="1" x14ac:dyDescent="0.2"/>
    <row r="56611" s="689" customFormat="1" x14ac:dyDescent="0.2"/>
    <row r="56612" s="689" customFormat="1" x14ac:dyDescent="0.2"/>
    <row r="56613" s="689" customFormat="1" x14ac:dyDescent="0.2"/>
    <row r="56614" s="689" customFormat="1" x14ac:dyDescent="0.2"/>
    <row r="56615" s="689" customFormat="1" x14ac:dyDescent="0.2"/>
    <row r="56616" s="689" customFormat="1" x14ac:dyDescent="0.2"/>
    <row r="56617" s="689" customFormat="1" x14ac:dyDescent="0.2"/>
    <row r="56618" s="689" customFormat="1" x14ac:dyDescent="0.2"/>
    <row r="56619" s="689" customFormat="1" x14ac:dyDescent="0.2"/>
    <row r="56620" s="689" customFormat="1" x14ac:dyDescent="0.2"/>
    <row r="56621" s="689" customFormat="1" x14ac:dyDescent="0.2"/>
    <row r="56622" s="689" customFormat="1" x14ac:dyDescent="0.2"/>
    <row r="56623" s="689" customFormat="1" x14ac:dyDescent="0.2"/>
    <row r="56624" s="689" customFormat="1" x14ac:dyDescent="0.2"/>
    <row r="56625" s="689" customFormat="1" x14ac:dyDescent="0.2"/>
    <row r="56626" s="689" customFormat="1" x14ac:dyDescent="0.2"/>
    <row r="56627" s="689" customFormat="1" x14ac:dyDescent="0.2"/>
    <row r="56628" s="689" customFormat="1" x14ac:dyDescent="0.2"/>
    <row r="56629" s="689" customFormat="1" x14ac:dyDescent="0.2"/>
    <row r="56630" s="689" customFormat="1" x14ac:dyDescent="0.2"/>
    <row r="56631" s="689" customFormat="1" x14ac:dyDescent="0.2"/>
    <row r="56632" s="689" customFormat="1" x14ac:dyDescent="0.2"/>
    <row r="56633" s="689" customFormat="1" x14ac:dyDescent="0.2"/>
    <row r="56634" s="689" customFormat="1" x14ac:dyDescent="0.2"/>
    <row r="56635" s="689" customFormat="1" x14ac:dyDescent="0.2"/>
    <row r="56636" s="689" customFormat="1" x14ac:dyDescent="0.2"/>
    <row r="56637" s="689" customFormat="1" x14ac:dyDescent="0.2"/>
    <row r="56638" s="689" customFormat="1" x14ac:dyDescent="0.2"/>
    <row r="56639" s="689" customFormat="1" x14ac:dyDescent="0.2"/>
    <row r="56640" s="689" customFormat="1" x14ac:dyDescent="0.2"/>
    <row r="56641" s="689" customFormat="1" x14ac:dyDescent="0.2"/>
    <row r="56642" s="689" customFormat="1" x14ac:dyDescent="0.2"/>
    <row r="56643" s="689" customFormat="1" x14ac:dyDescent="0.2"/>
    <row r="56644" s="689" customFormat="1" x14ac:dyDescent="0.2"/>
    <row r="56645" s="689" customFormat="1" x14ac:dyDescent="0.2"/>
    <row r="56646" s="689" customFormat="1" x14ac:dyDescent="0.2"/>
    <row r="56647" s="689" customFormat="1" x14ac:dyDescent="0.2"/>
    <row r="56648" s="689" customFormat="1" x14ac:dyDescent="0.2"/>
    <row r="56649" s="689" customFormat="1" x14ac:dyDescent="0.2"/>
    <row r="56650" s="689" customFormat="1" x14ac:dyDescent="0.2"/>
    <row r="56651" s="689" customFormat="1" x14ac:dyDescent="0.2"/>
    <row r="56652" s="689" customFormat="1" x14ac:dyDescent="0.2"/>
    <row r="56653" s="689" customFormat="1" x14ac:dyDescent="0.2"/>
    <row r="56654" s="689" customFormat="1" x14ac:dyDescent="0.2"/>
    <row r="56655" s="689" customFormat="1" x14ac:dyDescent="0.2"/>
    <row r="56656" s="689" customFormat="1" x14ac:dyDescent="0.2"/>
    <row r="56657" s="689" customFormat="1" x14ac:dyDescent="0.2"/>
    <row r="56658" s="689" customFormat="1" x14ac:dyDescent="0.2"/>
    <row r="56659" s="689" customFormat="1" x14ac:dyDescent="0.2"/>
    <row r="56660" s="689" customFormat="1" x14ac:dyDescent="0.2"/>
    <row r="56661" s="689" customFormat="1" x14ac:dyDescent="0.2"/>
    <row r="56662" s="689" customFormat="1" x14ac:dyDescent="0.2"/>
    <row r="56663" s="689" customFormat="1" x14ac:dyDescent="0.2"/>
    <row r="56664" s="689" customFormat="1" x14ac:dyDescent="0.2"/>
    <row r="56665" s="689" customFormat="1" x14ac:dyDescent="0.2"/>
    <row r="56666" s="689" customFormat="1" x14ac:dyDescent="0.2"/>
    <row r="56667" s="689" customFormat="1" x14ac:dyDescent="0.2"/>
    <row r="56668" s="689" customFormat="1" x14ac:dyDescent="0.2"/>
    <row r="56669" s="689" customFormat="1" x14ac:dyDescent="0.2"/>
    <row r="56670" s="689" customFormat="1" x14ac:dyDescent="0.2"/>
    <row r="56671" s="689" customFormat="1" x14ac:dyDescent="0.2"/>
    <row r="56672" s="689" customFormat="1" x14ac:dyDescent="0.2"/>
    <row r="56673" s="689" customFormat="1" x14ac:dyDescent="0.2"/>
    <row r="56674" s="689" customFormat="1" x14ac:dyDescent="0.2"/>
    <row r="56675" s="689" customFormat="1" x14ac:dyDescent="0.2"/>
    <row r="56676" s="689" customFormat="1" x14ac:dyDescent="0.2"/>
    <row r="56677" s="689" customFormat="1" x14ac:dyDescent="0.2"/>
    <row r="56678" s="689" customFormat="1" x14ac:dyDescent="0.2"/>
    <row r="56679" s="689" customFormat="1" x14ac:dyDescent="0.2"/>
    <row r="56680" s="689" customFormat="1" x14ac:dyDescent="0.2"/>
    <row r="56681" s="689" customFormat="1" x14ac:dyDescent="0.2"/>
    <row r="56682" s="689" customFormat="1" x14ac:dyDescent="0.2"/>
    <row r="56683" s="689" customFormat="1" x14ac:dyDescent="0.2"/>
    <row r="56684" s="689" customFormat="1" x14ac:dyDescent="0.2"/>
    <row r="56685" s="689" customFormat="1" x14ac:dyDescent="0.2"/>
    <row r="56686" s="689" customFormat="1" x14ac:dyDescent="0.2"/>
    <row r="56687" s="689" customFormat="1" x14ac:dyDescent="0.2"/>
    <row r="56688" s="689" customFormat="1" x14ac:dyDescent="0.2"/>
    <row r="56689" s="689" customFormat="1" x14ac:dyDescent="0.2"/>
    <row r="56690" s="689" customFormat="1" x14ac:dyDescent="0.2"/>
    <row r="56691" s="689" customFormat="1" x14ac:dyDescent="0.2"/>
    <row r="56692" s="689" customFormat="1" x14ac:dyDescent="0.2"/>
    <row r="56693" s="689" customFormat="1" x14ac:dyDescent="0.2"/>
    <row r="56694" s="689" customFormat="1" x14ac:dyDescent="0.2"/>
    <row r="56695" s="689" customFormat="1" x14ac:dyDescent="0.2"/>
    <row r="56696" s="689" customFormat="1" x14ac:dyDescent="0.2"/>
    <row r="56697" s="689" customFormat="1" x14ac:dyDescent="0.2"/>
    <row r="56698" s="689" customFormat="1" x14ac:dyDescent="0.2"/>
    <row r="56699" s="689" customFormat="1" x14ac:dyDescent="0.2"/>
    <row r="56700" s="689" customFormat="1" x14ac:dyDescent="0.2"/>
    <row r="56701" s="689" customFormat="1" x14ac:dyDescent="0.2"/>
    <row r="56702" s="689" customFormat="1" x14ac:dyDescent="0.2"/>
    <row r="56703" s="689" customFormat="1" x14ac:dyDescent="0.2"/>
    <row r="56704" s="689" customFormat="1" x14ac:dyDescent="0.2"/>
    <row r="56705" s="689" customFormat="1" x14ac:dyDescent="0.2"/>
    <row r="56706" s="689" customFormat="1" x14ac:dyDescent="0.2"/>
    <row r="56707" s="689" customFormat="1" x14ac:dyDescent="0.2"/>
    <row r="56708" s="689" customFormat="1" x14ac:dyDescent="0.2"/>
    <row r="56709" s="689" customFormat="1" x14ac:dyDescent="0.2"/>
    <row r="56710" s="689" customFormat="1" x14ac:dyDescent="0.2"/>
    <row r="56711" s="689" customFormat="1" x14ac:dyDescent="0.2"/>
    <row r="56712" s="689" customFormat="1" x14ac:dyDescent="0.2"/>
    <row r="56713" s="689" customFormat="1" x14ac:dyDescent="0.2"/>
    <row r="56714" s="689" customFormat="1" x14ac:dyDescent="0.2"/>
    <row r="56715" s="689" customFormat="1" x14ac:dyDescent="0.2"/>
    <row r="56716" s="689" customFormat="1" x14ac:dyDescent="0.2"/>
    <row r="56717" s="689" customFormat="1" x14ac:dyDescent="0.2"/>
    <row r="56718" s="689" customFormat="1" x14ac:dyDescent="0.2"/>
    <row r="56719" s="689" customFormat="1" x14ac:dyDescent="0.2"/>
    <row r="56720" s="689" customFormat="1" x14ac:dyDescent="0.2"/>
    <row r="56721" s="689" customFormat="1" x14ac:dyDescent="0.2"/>
    <row r="56722" s="689" customFormat="1" x14ac:dyDescent="0.2"/>
    <row r="56723" s="689" customFormat="1" x14ac:dyDescent="0.2"/>
    <row r="56724" s="689" customFormat="1" x14ac:dyDescent="0.2"/>
    <row r="56725" s="689" customFormat="1" x14ac:dyDescent="0.2"/>
    <row r="56726" s="689" customFormat="1" x14ac:dyDescent="0.2"/>
    <row r="56727" s="689" customFormat="1" x14ac:dyDescent="0.2"/>
    <row r="56728" s="689" customFormat="1" x14ac:dyDescent="0.2"/>
    <row r="56729" s="689" customFormat="1" x14ac:dyDescent="0.2"/>
    <row r="56730" s="689" customFormat="1" x14ac:dyDescent="0.2"/>
    <row r="56731" s="689" customFormat="1" x14ac:dyDescent="0.2"/>
    <row r="56732" s="689" customFormat="1" x14ac:dyDescent="0.2"/>
    <row r="56733" s="689" customFormat="1" x14ac:dyDescent="0.2"/>
    <row r="56734" s="689" customFormat="1" x14ac:dyDescent="0.2"/>
    <row r="56735" s="689" customFormat="1" x14ac:dyDescent="0.2"/>
    <row r="56736" s="689" customFormat="1" x14ac:dyDescent="0.2"/>
    <row r="56737" s="689" customFormat="1" x14ac:dyDescent="0.2"/>
    <row r="56738" s="689" customFormat="1" x14ac:dyDescent="0.2"/>
    <row r="56739" s="689" customFormat="1" x14ac:dyDescent="0.2"/>
    <row r="56740" s="689" customFormat="1" x14ac:dyDescent="0.2"/>
    <row r="56741" s="689" customFormat="1" x14ac:dyDescent="0.2"/>
    <row r="56742" s="689" customFormat="1" x14ac:dyDescent="0.2"/>
    <row r="56743" s="689" customFormat="1" x14ac:dyDescent="0.2"/>
    <row r="56744" s="689" customFormat="1" x14ac:dyDescent="0.2"/>
    <row r="56745" s="689" customFormat="1" x14ac:dyDescent="0.2"/>
    <row r="56746" s="689" customFormat="1" x14ac:dyDescent="0.2"/>
    <row r="56747" s="689" customFormat="1" x14ac:dyDescent="0.2"/>
    <row r="56748" s="689" customFormat="1" x14ac:dyDescent="0.2"/>
    <row r="56749" s="689" customFormat="1" x14ac:dyDescent="0.2"/>
    <row r="56750" s="689" customFormat="1" x14ac:dyDescent="0.2"/>
    <row r="56751" s="689" customFormat="1" x14ac:dyDescent="0.2"/>
    <row r="56752" s="689" customFormat="1" x14ac:dyDescent="0.2"/>
    <row r="56753" s="689" customFormat="1" x14ac:dyDescent="0.2"/>
    <row r="56754" s="689" customFormat="1" x14ac:dyDescent="0.2"/>
    <row r="56755" s="689" customFormat="1" x14ac:dyDescent="0.2"/>
    <row r="56756" s="689" customFormat="1" x14ac:dyDescent="0.2"/>
    <row r="56757" s="689" customFormat="1" x14ac:dyDescent="0.2"/>
    <row r="56758" s="689" customFormat="1" x14ac:dyDescent="0.2"/>
    <row r="56759" s="689" customFormat="1" x14ac:dyDescent="0.2"/>
    <row r="56760" s="689" customFormat="1" x14ac:dyDescent="0.2"/>
    <row r="56761" s="689" customFormat="1" x14ac:dyDescent="0.2"/>
    <row r="56762" s="689" customFormat="1" x14ac:dyDescent="0.2"/>
    <row r="56763" s="689" customFormat="1" x14ac:dyDescent="0.2"/>
    <row r="56764" s="689" customFormat="1" x14ac:dyDescent="0.2"/>
    <row r="56765" s="689" customFormat="1" x14ac:dyDescent="0.2"/>
    <row r="56766" s="689" customFormat="1" x14ac:dyDescent="0.2"/>
    <row r="56767" s="689" customFormat="1" x14ac:dyDescent="0.2"/>
    <row r="56768" s="689" customFormat="1" x14ac:dyDescent="0.2"/>
    <row r="56769" s="689" customFormat="1" x14ac:dyDescent="0.2"/>
    <row r="56770" s="689" customFormat="1" x14ac:dyDescent="0.2"/>
    <row r="56771" s="689" customFormat="1" x14ac:dyDescent="0.2"/>
    <row r="56772" s="689" customFormat="1" x14ac:dyDescent="0.2"/>
    <row r="56773" s="689" customFormat="1" x14ac:dyDescent="0.2"/>
    <row r="56774" s="689" customFormat="1" x14ac:dyDescent="0.2"/>
    <row r="56775" s="689" customFormat="1" x14ac:dyDescent="0.2"/>
    <row r="56776" s="689" customFormat="1" x14ac:dyDescent="0.2"/>
    <row r="56777" s="689" customFormat="1" x14ac:dyDescent="0.2"/>
    <row r="56778" s="689" customFormat="1" x14ac:dyDescent="0.2"/>
    <row r="56779" s="689" customFormat="1" x14ac:dyDescent="0.2"/>
    <row r="56780" s="689" customFormat="1" x14ac:dyDescent="0.2"/>
    <row r="56781" s="689" customFormat="1" x14ac:dyDescent="0.2"/>
    <row r="56782" s="689" customFormat="1" x14ac:dyDescent="0.2"/>
    <row r="56783" s="689" customFormat="1" x14ac:dyDescent="0.2"/>
    <row r="56784" s="689" customFormat="1" x14ac:dyDescent="0.2"/>
    <row r="56785" s="689" customFormat="1" x14ac:dyDescent="0.2"/>
    <row r="56786" s="689" customFormat="1" x14ac:dyDescent="0.2"/>
    <row r="56787" s="689" customFormat="1" x14ac:dyDescent="0.2"/>
    <row r="56788" s="689" customFormat="1" x14ac:dyDescent="0.2"/>
    <row r="56789" s="689" customFormat="1" x14ac:dyDescent="0.2"/>
    <row r="56790" s="689" customFormat="1" x14ac:dyDescent="0.2"/>
    <row r="56791" s="689" customFormat="1" x14ac:dyDescent="0.2"/>
    <row r="56792" s="689" customFormat="1" x14ac:dyDescent="0.2"/>
    <row r="56793" s="689" customFormat="1" x14ac:dyDescent="0.2"/>
    <row r="56794" s="689" customFormat="1" x14ac:dyDescent="0.2"/>
    <row r="56795" s="689" customFormat="1" x14ac:dyDescent="0.2"/>
    <row r="56796" s="689" customFormat="1" x14ac:dyDescent="0.2"/>
    <row r="56797" s="689" customFormat="1" x14ac:dyDescent="0.2"/>
    <row r="56798" s="689" customFormat="1" x14ac:dyDescent="0.2"/>
    <row r="56799" s="689" customFormat="1" x14ac:dyDescent="0.2"/>
    <row r="56800" s="689" customFormat="1" x14ac:dyDescent="0.2"/>
    <row r="56801" s="689" customFormat="1" x14ac:dyDescent="0.2"/>
    <row r="56802" s="689" customFormat="1" x14ac:dyDescent="0.2"/>
    <row r="56803" s="689" customFormat="1" x14ac:dyDescent="0.2"/>
    <row r="56804" s="689" customFormat="1" x14ac:dyDescent="0.2"/>
    <row r="56805" s="689" customFormat="1" x14ac:dyDescent="0.2"/>
    <row r="56806" s="689" customFormat="1" x14ac:dyDescent="0.2"/>
    <row r="56807" s="689" customFormat="1" x14ac:dyDescent="0.2"/>
    <row r="56808" s="689" customFormat="1" x14ac:dyDescent="0.2"/>
    <row r="56809" s="689" customFormat="1" x14ac:dyDescent="0.2"/>
    <row r="56810" s="689" customFormat="1" x14ac:dyDescent="0.2"/>
    <row r="56811" s="689" customFormat="1" x14ac:dyDescent="0.2"/>
    <row r="56812" s="689" customFormat="1" x14ac:dyDescent="0.2"/>
    <row r="56813" s="689" customFormat="1" x14ac:dyDescent="0.2"/>
    <row r="56814" s="689" customFormat="1" x14ac:dyDescent="0.2"/>
    <row r="56815" s="689" customFormat="1" x14ac:dyDescent="0.2"/>
    <row r="56816" s="689" customFormat="1" x14ac:dyDescent="0.2"/>
    <row r="56817" s="689" customFormat="1" x14ac:dyDescent="0.2"/>
    <row r="56818" s="689" customFormat="1" x14ac:dyDescent="0.2"/>
    <row r="56819" s="689" customFormat="1" x14ac:dyDescent="0.2"/>
    <row r="56820" s="689" customFormat="1" x14ac:dyDescent="0.2"/>
    <row r="56821" s="689" customFormat="1" x14ac:dyDescent="0.2"/>
    <row r="56822" s="689" customFormat="1" x14ac:dyDescent="0.2"/>
    <row r="56823" s="689" customFormat="1" x14ac:dyDescent="0.2"/>
    <row r="56824" s="689" customFormat="1" x14ac:dyDescent="0.2"/>
    <row r="56825" s="689" customFormat="1" x14ac:dyDescent="0.2"/>
    <row r="56826" s="689" customFormat="1" x14ac:dyDescent="0.2"/>
    <row r="56827" s="689" customFormat="1" x14ac:dyDescent="0.2"/>
    <row r="56828" s="689" customFormat="1" x14ac:dyDescent="0.2"/>
    <row r="56829" s="689" customFormat="1" x14ac:dyDescent="0.2"/>
    <row r="56830" s="689" customFormat="1" x14ac:dyDescent="0.2"/>
    <row r="56831" s="689" customFormat="1" x14ac:dyDescent="0.2"/>
    <row r="56832" s="689" customFormat="1" x14ac:dyDescent="0.2"/>
    <row r="56833" s="689" customFormat="1" x14ac:dyDescent="0.2"/>
    <row r="56834" s="689" customFormat="1" x14ac:dyDescent="0.2"/>
    <row r="56835" s="689" customFormat="1" x14ac:dyDescent="0.2"/>
    <row r="56836" s="689" customFormat="1" x14ac:dyDescent="0.2"/>
    <row r="56837" s="689" customFormat="1" x14ac:dyDescent="0.2"/>
    <row r="56838" s="689" customFormat="1" x14ac:dyDescent="0.2"/>
    <row r="56839" s="689" customFormat="1" x14ac:dyDescent="0.2"/>
    <row r="56840" s="689" customFormat="1" x14ac:dyDescent="0.2"/>
    <row r="56841" s="689" customFormat="1" x14ac:dyDescent="0.2"/>
    <row r="56842" s="689" customFormat="1" x14ac:dyDescent="0.2"/>
    <row r="56843" s="689" customFormat="1" x14ac:dyDescent="0.2"/>
    <row r="56844" s="689" customFormat="1" x14ac:dyDescent="0.2"/>
    <row r="56845" s="689" customFormat="1" x14ac:dyDescent="0.2"/>
    <row r="56846" s="689" customFormat="1" x14ac:dyDescent="0.2"/>
    <row r="56847" s="689" customFormat="1" x14ac:dyDescent="0.2"/>
    <row r="56848" s="689" customFormat="1" x14ac:dyDescent="0.2"/>
    <row r="56849" s="689" customFormat="1" x14ac:dyDescent="0.2"/>
    <row r="56850" s="689" customFormat="1" x14ac:dyDescent="0.2"/>
    <row r="56851" s="689" customFormat="1" x14ac:dyDescent="0.2"/>
    <row r="56852" s="689" customFormat="1" x14ac:dyDescent="0.2"/>
    <row r="56853" s="689" customFormat="1" x14ac:dyDescent="0.2"/>
    <row r="56854" s="689" customFormat="1" x14ac:dyDescent="0.2"/>
    <row r="56855" s="689" customFormat="1" x14ac:dyDescent="0.2"/>
    <row r="56856" s="689" customFormat="1" x14ac:dyDescent="0.2"/>
    <row r="56857" s="689" customFormat="1" x14ac:dyDescent="0.2"/>
    <row r="56858" s="689" customFormat="1" x14ac:dyDescent="0.2"/>
    <row r="56859" s="689" customFormat="1" x14ac:dyDescent="0.2"/>
    <row r="56860" s="689" customFormat="1" x14ac:dyDescent="0.2"/>
    <row r="56861" s="689" customFormat="1" x14ac:dyDescent="0.2"/>
    <row r="56862" s="689" customFormat="1" x14ac:dyDescent="0.2"/>
    <row r="56863" s="689" customFormat="1" x14ac:dyDescent="0.2"/>
    <row r="56864" s="689" customFormat="1" x14ac:dyDescent="0.2"/>
    <row r="56865" s="689" customFormat="1" x14ac:dyDescent="0.2"/>
    <row r="56866" s="689" customFormat="1" x14ac:dyDescent="0.2"/>
    <row r="56867" s="689" customFormat="1" x14ac:dyDescent="0.2"/>
    <row r="56868" s="689" customFormat="1" x14ac:dyDescent="0.2"/>
    <row r="56869" s="689" customFormat="1" x14ac:dyDescent="0.2"/>
    <row r="56870" s="689" customFormat="1" x14ac:dyDescent="0.2"/>
    <row r="56871" s="689" customFormat="1" x14ac:dyDescent="0.2"/>
    <row r="56872" s="689" customFormat="1" x14ac:dyDescent="0.2"/>
    <row r="56873" s="689" customFormat="1" x14ac:dyDescent="0.2"/>
    <row r="56874" s="689" customFormat="1" x14ac:dyDescent="0.2"/>
    <row r="56875" s="689" customFormat="1" x14ac:dyDescent="0.2"/>
    <row r="56876" s="689" customFormat="1" x14ac:dyDescent="0.2"/>
    <row r="56877" s="689" customFormat="1" x14ac:dyDescent="0.2"/>
    <row r="56878" s="689" customFormat="1" x14ac:dyDescent="0.2"/>
    <row r="56879" s="689" customFormat="1" x14ac:dyDescent="0.2"/>
    <row r="56880" s="689" customFormat="1" x14ac:dyDescent="0.2"/>
    <row r="56881" s="689" customFormat="1" x14ac:dyDescent="0.2"/>
    <row r="56882" s="689" customFormat="1" x14ac:dyDescent="0.2"/>
    <row r="56883" s="689" customFormat="1" x14ac:dyDescent="0.2"/>
    <row r="56884" s="689" customFormat="1" x14ac:dyDescent="0.2"/>
    <row r="56885" s="689" customFormat="1" x14ac:dyDescent="0.2"/>
    <row r="56886" s="689" customFormat="1" x14ac:dyDescent="0.2"/>
    <row r="56887" s="689" customFormat="1" x14ac:dyDescent="0.2"/>
    <row r="56888" s="689" customFormat="1" x14ac:dyDescent="0.2"/>
    <row r="56889" s="689" customFormat="1" x14ac:dyDescent="0.2"/>
    <row r="56890" s="689" customFormat="1" x14ac:dyDescent="0.2"/>
    <row r="56891" s="689" customFormat="1" x14ac:dyDescent="0.2"/>
    <row r="56892" s="689" customFormat="1" x14ac:dyDescent="0.2"/>
    <row r="56893" s="689" customFormat="1" x14ac:dyDescent="0.2"/>
    <row r="56894" s="689" customFormat="1" x14ac:dyDescent="0.2"/>
    <row r="56895" s="689" customFormat="1" x14ac:dyDescent="0.2"/>
    <row r="56896" s="689" customFormat="1" x14ac:dyDescent="0.2"/>
    <row r="56897" s="689" customFormat="1" x14ac:dyDescent="0.2"/>
    <row r="56898" s="689" customFormat="1" x14ac:dyDescent="0.2"/>
    <row r="56899" s="689" customFormat="1" x14ac:dyDescent="0.2"/>
    <row r="56900" s="689" customFormat="1" x14ac:dyDescent="0.2"/>
    <row r="56901" s="689" customFormat="1" x14ac:dyDescent="0.2"/>
    <row r="56902" s="689" customFormat="1" x14ac:dyDescent="0.2"/>
    <row r="56903" s="689" customFormat="1" x14ac:dyDescent="0.2"/>
    <row r="56904" s="689" customFormat="1" x14ac:dyDescent="0.2"/>
    <row r="56905" s="689" customFormat="1" x14ac:dyDescent="0.2"/>
    <row r="56906" s="689" customFormat="1" x14ac:dyDescent="0.2"/>
    <row r="56907" s="689" customFormat="1" x14ac:dyDescent="0.2"/>
    <row r="56908" s="689" customFormat="1" x14ac:dyDescent="0.2"/>
    <row r="56909" s="689" customFormat="1" x14ac:dyDescent="0.2"/>
    <row r="56910" s="689" customFormat="1" x14ac:dyDescent="0.2"/>
    <row r="56911" s="689" customFormat="1" x14ac:dyDescent="0.2"/>
    <row r="56912" s="689" customFormat="1" x14ac:dyDescent="0.2"/>
    <row r="56913" s="689" customFormat="1" x14ac:dyDescent="0.2"/>
    <row r="56914" s="689" customFormat="1" x14ac:dyDescent="0.2"/>
    <row r="56915" s="689" customFormat="1" x14ac:dyDescent="0.2"/>
    <row r="56916" s="689" customFormat="1" x14ac:dyDescent="0.2"/>
    <row r="56917" s="689" customFormat="1" x14ac:dyDescent="0.2"/>
    <row r="56918" s="689" customFormat="1" x14ac:dyDescent="0.2"/>
    <row r="56919" s="689" customFormat="1" x14ac:dyDescent="0.2"/>
    <row r="56920" s="689" customFormat="1" x14ac:dyDescent="0.2"/>
    <row r="56921" s="689" customFormat="1" x14ac:dyDescent="0.2"/>
    <row r="56922" s="689" customFormat="1" x14ac:dyDescent="0.2"/>
    <row r="56923" s="689" customFormat="1" x14ac:dyDescent="0.2"/>
    <row r="56924" s="689" customFormat="1" x14ac:dyDescent="0.2"/>
    <row r="56925" s="689" customFormat="1" x14ac:dyDescent="0.2"/>
    <row r="56926" s="689" customFormat="1" x14ac:dyDescent="0.2"/>
    <row r="56927" s="689" customFormat="1" x14ac:dyDescent="0.2"/>
    <row r="56928" s="689" customFormat="1" x14ac:dyDescent="0.2"/>
    <row r="56929" s="689" customFormat="1" x14ac:dyDescent="0.2"/>
    <row r="56930" s="689" customFormat="1" x14ac:dyDescent="0.2"/>
    <row r="56931" s="689" customFormat="1" x14ac:dyDescent="0.2"/>
    <row r="56932" s="689" customFormat="1" x14ac:dyDescent="0.2"/>
    <row r="56933" s="689" customFormat="1" x14ac:dyDescent="0.2"/>
    <row r="56934" s="689" customFormat="1" x14ac:dyDescent="0.2"/>
    <row r="56935" s="689" customFormat="1" x14ac:dyDescent="0.2"/>
    <row r="56936" s="689" customFormat="1" x14ac:dyDescent="0.2"/>
    <row r="56937" s="689" customFormat="1" x14ac:dyDescent="0.2"/>
    <row r="56938" s="689" customFormat="1" x14ac:dyDescent="0.2"/>
    <row r="56939" s="689" customFormat="1" x14ac:dyDescent="0.2"/>
    <row r="56940" s="689" customFormat="1" x14ac:dyDescent="0.2"/>
    <row r="56941" s="689" customFormat="1" x14ac:dyDescent="0.2"/>
    <row r="56942" s="689" customFormat="1" x14ac:dyDescent="0.2"/>
    <row r="56943" s="689" customFormat="1" x14ac:dyDescent="0.2"/>
    <row r="56944" s="689" customFormat="1" x14ac:dyDescent="0.2"/>
    <row r="56945" s="689" customFormat="1" x14ac:dyDescent="0.2"/>
    <row r="56946" s="689" customFormat="1" x14ac:dyDescent="0.2"/>
    <row r="56947" s="689" customFormat="1" x14ac:dyDescent="0.2"/>
    <row r="56948" s="689" customFormat="1" x14ac:dyDescent="0.2"/>
    <row r="56949" s="689" customFormat="1" x14ac:dyDescent="0.2"/>
    <row r="56950" s="689" customFormat="1" x14ac:dyDescent="0.2"/>
    <row r="56951" s="689" customFormat="1" x14ac:dyDescent="0.2"/>
    <row r="56952" s="689" customFormat="1" x14ac:dyDescent="0.2"/>
    <row r="56953" s="689" customFormat="1" x14ac:dyDescent="0.2"/>
    <row r="56954" s="689" customFormat="1" x14ac:dyDescent="0.2"/>
    <row r="56955" s="689" customFormat="1" x14ac:dyDescent="0.2"/>
    <row r="56956" s="689" customFormat="1" x14ac:dyDescent="0.2"/>
    <row r="56957" s="689" customFormat="1" x14ac:dyDescent="0.2"/>
    <row r="56958" s="689" customFormat="1" x14ac:dyDescent="0.2"/>
    <row r="56959" s="689" customFormat="1" x14ac:dyDescent="0.2"/>
    <row r="56960" s="689" customFormat="1" x14ac:dyDescent="0.2"/>
    <row r="56961" s="689" customFormat="1" x14ac:dyDescent="0.2"/>
    <row r="56962" s="689" customFormat="1" x14ac:dyDescent="0.2"/>
    <row r="56963" s="689" customFormat="1" x14ac:dyDescent="0.2"/>
    <row r="56964" s="689" customFormat="1" x14ac:dyDescent="0.2"/>
    <row r="56965" s="689" customFormat="1" x14ac:dyDescent="0.2"/>
    <row r="56966" s="689" customFormat="1" x14ac:dyDescent="0.2"/>
    <row r="56967" s="689" customFormat="1" x14ac:dyDescent="0.2"/>
    <row r="56968" s="689" customFormat="1" x14ac:dyDescent="0.2"/>
    <row r="56969" s="689" customFormat="1" x14ac:dyDescent="0.2"/>
    <row r="56970" s="689" customFormat="1" x14ac:dyDescent="0.2"/>
    <row r="56971" s="689" customFormat="1" x14ac:dyDescent="0.2"/>
    <row r="56972" s="689" customFormat="1" x14ac:dyDescent="0.2"/>
    <row r="56973" s="689" customFormat="1" x14ac:dyDescent="0.2"/>
    <row r="56974" s="689" customFormat="1" x14ac:dyDescent="0.2"/>
    <row r="56975" s="689" customFormat="1" x14ac:dyDescent="0.2"/>
    <row r="56976" s="689" customFormat="1" x14ac:dyDescent="0.2"/>
    <row r="56977" s="689" customFormat="1" x14ac:dyDescent="0.2"/>
    <row r="56978" s="689" customFormat="1" x14ac:dyDescent="0.2"/>
    <row r="56979" s="689" customFormat="1" x14ac:dyDescent="0.2"/>
    <row r="56980" s="689" customFormat="1" x14ac:dyDescent="0.2"/>
    <row r="56981" s="689" customFormat="1" x14ac:dyDescent="0.2"/>
    <row r="56982" s="689" customFormat="1" x14ac:dyDescent="0.2"/>
    <row r="56983" s="689" customFormat="1" x14ac:dyDescent="0.2"/>
    <row r="56984" s="689" customFormat="1" x14ac:dyDescent="0.2"/>
    <row r="56985" s="689" customFormat="1" x14ac:dyDescent="0.2"/>
    <row r="56986" s="689" customFormat="1" x14ac:dyDescent="0.2"/>
    <row r="56987" s="689" customFormat="1" x14ac:dyDescent="0.2"/>
    <row r="56988" s="689" customFormat="1" x14ac:dyDescent="0.2"/>
    <row r="56989" s="689" customFormat="1" x14ac:dyDescent="0.2"/>
    <row r="56990" s="689" customFormat="1" x14ac:dyDescent="0.2"/>
    <row r="56991" s="689" customFormat="1" x14ac:dyDescent="0.2"/>
    <row r="56992" s="689" customFormat="1" x14ac:dyDescent="0.2"/>
    <row r="56993" s="689" customFormat="1" x14ac:dyDescent="0.2"/>
    <row r="56994" s="689" customFormat="1" x14ac:dyDescent="0.2"/>
    <row r="56995" s="689" customFormat="1" x14ac:dyDescent="0.2"/>
    <row r="56996" s="689" customFormat="1" x14ac:dyDescent="0.2"/>
    <row r="56997" s="689" customFormat="1" x14ac:dyDescent="0.2"/>
    <row r="56998" s="689" customFormat="1" x14ac:dyDescent="0.2"/>
    <row r="56999" s="689" customFormat="1" x14ac:dyDescent="0.2"/>
    <row r="57000" s="689" customFormat="1" x14ac:dyDescent="0.2"/>
    <row r="57001" s="689" customFormat="1" x14ac:dyDescent="0.2"/>
    <row r="57002" s="689" customFormat="1" x14ac:dyDescent="0.2"/>
    <row r="57003" s="689" customFormat="1" x14ac:dyDescent="0.2"/>
    <row r="57004" s="689" customFormat="1" x14ac:dyDescent="0.2"/>
    <row r="57005" s="689" customFormat="1" x14ac:dyDescent="0.2"/>
    <row r="57006" s="689" customFormat="1" x14ac:dyDescent="0.2"/>
    <row r="57007" s="689" customFormat="1" x14ac:dyDescent="0.2"/>
    <row r="57008" s="689" customFormat="1" x14ac:dyDescent="0.2"/>
    <row r="57009" s="689" customFormat="1" x14ac:dyDescent="0.2"/>
    <row r="57010" s="689" customFormat="1" x14ac:dyDescent="0.2"/>
    <row r="57011" s="689" customFormat="1" x14ac:dyDescent="0.2"/>
    <row r="57012" s="689" customFormat="1" x14ac:dyDescent="0.2"/>
    <row r="57013" s="689" customFormat="1" x14ac:dyDescent="0.2"/>
    <row r="57014" s="689" customFormat="1" x14ac:dyDescent="0.2"/>
    <row r="57015" s="689" customFormat="1" x14ac:dyDescent="0.2"/>
    <row r="57016" s="689" customFormat="1" x14ac:dyDescent="0.2"/>
    <row r="57017" s="689" customFormat="1" x14ac:dyDescent="0.2"/>
    <row r="57018" s="689" customFormat="1" x14ac:dyDescent="0.2"/>
    <row r="57019" s="689" customFormat="1" x14ac:dyDescent="0.2"/>
    <row r="57020" s="689" customFormat="1" x14ac:dyDescent="0.2"/>
    <row r="57021" s="689" customFormat="1" x14ac:dyDescent="0.2"/>
    <row r="57022" s="689" customFormat="1" x14ac:dyDescent="0.2"/>
    <row r="57023" s="689" customFormat="1" x14ac:dyDescent="0.2"/>
    <row r="57024" s="689" customFormat="1" x14ac:dyDescent="0.2"/>
    <row r="57025" s="689" customFormat="1" x14ac:dyDescent="0.2"/>
    <row r="57026" s="689" customFormat="1" x14ac:dyDescent="0.2"/>
    <row r="57027" s="689" customFormat="1" x14ac:dyDescent="0.2"/>
    <row r="57028" s="689" customFormat="1" x14ac:dyDescent="0.2"/>
    <row r="57029" s="689" customFormat="1" x14ac:dyDescent="0.2"/>
    <row r="57030" s="689" customFormat="1" x14ac:dyDescent="0.2"/>
    <row r="57031" s="689" customFormat="1" x14ac:dyDescent="0.2"/>
    <row r="57032" s="689" customFormat="1" x14ac:dyDescent="0.2"/>
    <row r="57033" s="689" customFormat="1" x14ac:dyDescent="0.2"/>
    <row r="57034" s="689" customFormat="1" x14ac:dyDescent="0.2"/>
    <row r="57035" s="689" customFormat="1" x14ac:dyDescent="0.2"/>
    <row r="57036" s="689" customFormat="1" x14ac:dyDescent="0.2"/>
    <row r="57037" s="689" customFormat="1" x14ac:dyDescent="0.2"/>
    <row r="57038" s="689" customFormat="1" x14ac:dyDescent="0.2"/>
    <row r="57039" s="689" customFormat="1" x14ac:dyDescent="0.2"/>
    <row r="57040" s="689" customFormat="1" x14ac:dyDescent="0.2"/>
    <row r="57041" s="689" customFormat="1" x14ac:dyDescent="0.2"/>
    <row r="57042" s="689" customFormat="1" x14ac:dyDescent="0.2"/>
    <row r="57043" s="689" customFormat="1" x14ac:dyDescent="0.2"/>
    <row r="57044" s="689" customFormat="1" x14ac:dyDescent="0.2"/>
    <row r="57045" s="689" customFormat="1" x14ac:dyDescent="0.2"/>
    <row r="57046" s="689" customFormat="1" x14ac:dyDescent="0.2"/>
    <row r="57047" s="689" customFormat="1" x14ac:dyDescent="0.2"/>
    <row r="57048" s="689" customFormat="1" x14ac:dyDescent="0.2"/>
    <row r="57049" s="689" customFormat="1" x14ac:dyDescent="0.2"/>
    <row r="57050" s="689" customFormat="1" x14ac:dyDescent="0.2"/>
    <row r="57051" s="689" customFormat="1" x14ac:dyDescent="0.2"/>
    <row r="57052" s="689" customFormat="1" x14ac:dyDescent="0.2"/>
    <row r="57053" s="689" customFormat="1" x14ac:dyDescent="0.2"/>
    <row r="57054" s="689" customFormat="1" x14ac:dyDescent="0.2"/>
    <row r="57055" s="689" customFormat="1" x14ac:dyDescent="0.2"/>
    <row r="57056" s="689" customFormat="1" x14ac:dyDescent="0.2"/>
    <row r="57057" s="689" customFormat="1" x14ac:dyDescent="0.2"/>
    <row r="57058" s="689" customFormat="1" x14ac:dyDescent="0.2"/>
    <row r="57059" s="689" customFormat="1" x14ac:dyDescent="0.2"/>
    <row r="57060" s="689" customFormat="1" x14ac:dyDescent="0.2"/>
    <row r="57061" s="689" customFormat="1" x14ac:dyDescent="0.2"/>
    <row r="57062" s="689" customFormat="1" x14ac:dyDescent="0.2"/>
    <row r="57063" s="689" customFormat="1" x14ac:dyDescent="0.2"/>
    <row r="57064" s="689" customFormat="1" x14ac:dyDescent="0.2"/>
    <row r="57065" s="689" customFormat="1" x14ac:dyDescent="0.2"/>
    <row r="57066" s="689" customFormat="1" x14ac:dyDescent="0.2"/>
    <row r="57067" s="689" customFormat="1" x14ac:dyDescent="0.2"/>
    <row r="57068" s="689" customFormat="1" x14ac:dyDescent="0.2"/>
    <row r="57069" s="689" customFormat="1" x14ac:dyDescent="0.2"/>
    <row r="57070" s="689" customFormat="1" x14ac:dyDescent="0.2"/>
    <row r="57071" s="689" customFormat="1" x14ac:dyDescent="0.2"/>
    <row r="57072" s="689" customFormat="1" x14ac:dyDescent="0.2"/>
    <row r="57073" s="689" customFormat="1" x14ac:dyDescent="0.2"/>
    <row r="57074" s="689" customFormat="1" x14ac:dyDescent="0.2"/>
    <row r="57075" s="689" customFormat="1" x14ac:dyDescent="0.2"/>
    <row r="57076" s="689" customFormat="1" x14ac:dyDescent="0.2"/>
    <row r="57077" s="689" customFormat="1" x14ac:dyDescent="0.2"/>
    <row r="57078" s="689" customFormat="1" x14ac:dyDescent="0.2"/>
    <row r="57079" s="689" customFormat="1" x14ac:dyDescent="0.2"/>
    <row r="57080" s="689" customFormat="1" x14ac:dyDescent="0.2"/>
    <row r="57081" s="689" customFormat="1" x14ac:dyDescent="0.2"/>
    <row r="57082" s="689" customFormat="1" x14ac:dyDescent="0.2"/>
    <row r="57083" s="689" customFormat="1" x14ac:dyDescent="0.2"/>
    <row r="57084" s="689" customFormat="1" x14ac:dyDescent="0.2"/>
    <row r="57085" s="689" customFormat="1" x14ac:dyDescent="0.2"/>
    <row r="57086" s="689" customFormat="1" x14ac:dyDescent="0.2"/>
    <row r="57087" s="689" customFormat="1" x14ac:dyDescent="0.2"/>
    <row r="57088" s="689" customFormat="1" x14ac:dyDescent="0.2"/>
    <row r="57089" s="689" customFormat="1" x14ac:dyDescent="0.2"/>
    <row r="57090" s="689" customFormat="1" x14ac:dyDescent="0.2"/>
    <row r="57091" s="689" customFormat="1" x14ac:dyDescent="0.2"/>
    <row r="57092" s="689" customFormat="1" x14ac:dyDescent="0.2"/>
    <row r="57093" s="689" customFormat="1" x14ac:dyDescent="0.2"/>
    <row r="57094" s="689" customFormat="1" x14ac:dyDescent="0.2"/>
    <row r="57095" s="689" customFormat="1" x14ac:dyDescent="0.2"/>
    <row r="57096" s="689" customFormat="1" x14ac:dyDescent="0.2"/>
    <row r="57097" s="689" customFormat="1" x14ac:dyDescent="0.2"/>
    <row r="57098" s="689" customFormat="1" x14ac:dyDescent="0.2"/>
    <row r="57099" s="689" customFormat="1" x14ac:dyDescent="0.2"/>
    <row r="57100" s="689" customFormat="1" x14ac:dyDescent="0.2"/>
    <row r="57101" s="689" customFormat="1" x14ac:dyDescent="0.2"/>
    <row r="57102" s="689" customFormat="1" x14ac:dyDescent="0.2"/>
    <row r="57103" s="689" customFormat="1" x14ac:dyDescent="0.2"/>
    <row r="57104" s="689" customFormat="1" x14ac:dyDescent="0.2"/>
    <row r="57105" s="689" customFormat="1" x14ac:dyDescent="0.2"/>
    <row r="57106" s="689" customFormat="1" x14ac:dyDescent="0.2"/>
    <row r="57107" s="689" customFormat="1" x14ac:dyDescent="0.2"/>
    <row r="57108" s="689" customFormat="1" x14ac:dyDescent="0.2"/>
    <row r="57109" s="689" customFormat="1" x14ac:dyDescent="0.2"/>
    <row r="57110" s="689" customFormat="1" x14ac:dyDescent="0.2"/>
    <row r="57111" s="689" customFormat="1" x14ac:dyDescent="0.2"/>
    <row r="57112" s="689" customFormat="1" x14ac:dyDescent="0.2"/>
    <row r="57113" s="689" customFormat="1" x14ac:dyDescent="0.2"/>
    <row r="57114" s="689" customFormat="1" x14ac:dyDescent="0.2"/>
    <row r="57115" s="689" customFormat="1" x14ac:dyDescent="0.2"/>
    <row r="57116" s="689" customFormat="1" x14ac:dyDescent="0.2"/>
    <row r="57117" s="689" customFormat="1" x14ac:dyDescent="0.2"/>
    <row r="57118" s="689" customFormat="1" x14ac:dyDescent="0.2"/>
    <row r="57119" s="689" customFormat="1" x14ac:dyDescent="0.2"/>
    <row r="57120" s="689" customFormat="1" x14ac:dyDescent="0.2"/>
    <row r="57121" s="689" customFormat="1" x14ac:dyDescent="0.2"/>
    <row r="57122" s="689" customFormat="1" x14ac:dyDescent="0.2"/>
    <row r="57123" s="689" customFormat="1" x14ac:dyDescent="0.2"/>
    <row r="57124" s="689" customFormat="1" x14ac:dyDescent="0.2"/>
    <row r="57125" s="689" customFormat="1" x14ac:dyDescent="0.2"/>
    <row r="57126" s="689" customFormat="1" x14ac:dyDescent="0.2"/>
    <row r="57127" s="689" customFormat="1" x14ac:dyDescent="0.2"/>
    <row r="57128" s="689" customFormat="1" x14ac:dyDescent="0.2"/>
    <row r="57129" s="689" customFormat="1" x14ac:dyDescent="0.2"/>
    <row r="57130" s="689" customFormat="1" x14ac:dyDescent="0.2"/>
    <row r="57131" s="689" customFormat="1" x14ac:dyDescent="0.2"/>
    <row r="57132" s="689" customFormat="1" x14ac:dyDescent="0.2"/>
    <row r="57133" s="689" customFormat="1" x14ac:dyDescent="0.2"/>
    <row r="57134" s="689" customFormat="1" x14ac:dyDescent="0.2"/>
    <row r="57135" s="689" customFormat="1" x14ac:dyDescent="0.2"/>
    <row r="57136" s="689" customFormat="1" x14ac:dyDescent="0.2"/>
    <row r="57137" s="689" customFormat="1" x14ac:dyDescent="0.2"/>
    <row r="57138" s="689" customFormat="1" x14ac:dyDescent="0.2"/>
    <row r="57139" s="689" customFormat="1" x14ac:dyDescent="0.2"/>
    <row r="57140" s="689" customFormat="1" x14ac:dyDescent="0.2"/>
    <row r="57141" s="689" customFormat="1" x14ac:dyDescent="0.2"/>
    <row r="57142" s="689" customFormat="1" x14ac:dyDescent="0.2"/>
    <row r="57143" s="689" customFormat="1" x14ac:dyDescent="0.2"/>
    <row r="57144" s="689" customFormat="1" x14ac:dyDescent="0.2"/>
    <row r="57145" s="689" customFormat="1" x14ac:dyDescent="0.2"/>
    <row r="57146" s="689" customFormat="1" x14ac:dyDescent="0.2"/>
    <row r="57147" s="689" customFormat="1" x14ac:dyDescent="0.2"/>
    <row r="57148" s="689" customFormat="1" x14ac:dyDescent="0.2"/>
    <row r="57149" s="689" customFormat="1" x14ac:dyDescent="0.2"/>
    <row r="57150" s="689" customFormat="1" x14ac:dyDescent="0.2"/>
    <row r="57151" s="689" customFormat="1" x14ac:dyDescent="0.2"/>
    <row r="57152" s="689" customFormat="1" x14ac:dyDescent="0.2"/>
    <row r="57153" s="689" customFormat="1" x14ac:dyDescent="0.2"/>
    <row r="57154" s="689" customFormat="1" x14ac:dyDescent="0.2"/>
    <row r="57155" s="689" customFormat="1" x14ac:dyDescent="0.2"/>
    <row r="57156" s="689" customFormat="1" x14ac:dyDescent="0.2"/>
    <row r="57157" s="689" customFormat="1" x14ac:dyDescent="0.2"/>
    <row r="57158" s="689" customFormat="1" x14ac:dyDescent="0.2"/>
    <row r="57159" s="689" customFormat="1" x14ac:dyDescent="0.2"/>
    <row r="57160" s="689" customFormat="1" x14ac:dyDescent="0.2"/>
    <row r="57161" s="689" customFormat="1" x14ac:dyDescent="0.2"/>
    <row r="57162" s="689" customFormat="1" x14ac:dyDescent="0.2"/>
    <row r="57163" s="689" customFormat="1" x14ac:dyDescent="0.2"/>
    <row r="57164" s="689" customFormat="1" x14ac:dyDescent="0.2"/>
    <row r="57165" s="689" customFormat="1" x14ac:dyDescent="0.2"/>
    <row r="57166" s="689" customFormat="1" x14ac:dyDescent="0.2"/>
    <row r="57167" s="689" customFormat="1" x14ac:dyDescent="0.2"/>
    <row r="57168" s="689" customFormat="1" x14ac:dyDescent="0.2"/>
    <row r="57169" s="689" customFormat="1" x14ac:dyDescent="0.2"/>
    <row r="57170" s="689" customFormat="1" x14ac:dyDescent="0.2"/>
    <row r="57171" s="689" customFormat="1" x14ac:dyDescent="0.2"/>
    <row r="57172" s="689" customFormat="1" x14ac:dyDescent="0.2"/>
    <row r="57173" s="689" customFormat="1" x14ac:dyDescent="0.2"/>
    <row r="57174" s="689" customFormat="1" x14ac:dyDescent="0.2"/>
    <row r="57175" s="689" customFormat="1" x14ac:dyDescent="0.2"/>
    <row r="57176" s="689" customFormat="1" x14ac:dyDescent="0.2"/>
    <row r="57177" s="689" customFormat="1" x14ac:dyDescent="0.2"/>
    <row r="57178" s="689" customFormat="1" x14ac:dyDescent="0.2"/>
    <row r="57179" s="689" customFormat="1" x14ac:dyDescent="0.2"/>
    <row r="57180" s="689" customFormat="1" x14ac:dyDescent="0.2"/>
    <row r="57181" s="689" customFormat="1" x14ac:dyDescent="0.2"/>
    <row r="57182" s="689" customFormat="1" x14ac:dyDescent="0.2"/>
    <row r="57183" s="689" customFormat="1" x14ac:dyDescent="0.2"/>
    <row r="57184" s="689" customFormat="1" x14ac:dyDescent="0.2"/>
    <row r="57185" s="689" customFormat="1" x14ac:dyDescent="0.2"/>
    <row r="57186" s="689" customFormat="1" x14ac:dyDescent="0.2"/>
    <row r="57187" s="689" customFormat="1" x14ac:dyDescent="0.2"/>
    <row r="57188" s="689" customFormat="1" x14ac:dyDescent="0.2"/>
    <row r="57189" s="689" customFormat="1" x14ac:dyDescent="0.2"/>
    <row r="57190" s="689" customFormat="1" x14ac:dyDescent="0.2"/>
    <row r="57191" s="689" customFormat="1" x14ac:dyDescent="0.2"/>
    <row r="57192" s="689" customFormat="1" x14ac:dyDescent="0.2"/>
    <row r="57193" s="689" customFormat="1" x14ac:dyDescent="0.2"/>
    <row r="57194" s="689" customFormat="1" x14ac:dyDescent="0.2"/>
    <row r="57195" s="689" customFormat="1" x14ac:dyDescent="0.2"/>
    <row r="57196" s="689" customFormat="1" x14ac:dyDescent="0.2"/>
    <row r="57197" s="689" customFormat="1" x14ac:dyDescent="0.2"/>
    <row r="57198" s="689" customFormat="1" x14ac:dyDescent="0.2"/>
    <row r="57199" s="689" customFormat="1" x14ac:dyDescent="0.2"/>
    <row r="57200" s="689" customFormat="1" x14ac:dyDescent="0.2"/>
    <row r="57201" s="689" customFormat="1" x14ac:dyDescent="0.2"/>
    <row r="57202" s="689" customFormat="1" x14ac:dyDescent="0.2"/>
    <row r="57203" s="689" customFormat="1" x14ac:dyDescent="0.2"/>
    <row r="57204" s="689" customFormat="1" x14ac:dyDescent="0.2"/>
    <row r="57205" s="689" customFormat="1" x14ac:dyDescent="0.2"/>
    <row r="57206" s="689" customFormat="1" x14ac:dyDescent="0.2"/>
    <row r="57207" s="689" customFormat="1" x14ac:dyDescent="0.2"/>
    <row r="57208" s="689" customFormat="1" x14ac:dyDescent="0.2"/>
    <row r="57209" s="689" customFormat="1" x14ac:dyDescent="0.2"/>
    <row r="57210" s="689" customFormat="1" x14ac:dyDescent="0.2"/>
    <row r="57211" s="689" customFormat="1" x14ac:dyDescent="0.2"/>
    <row r="57212" s="689" customFormat="1" x14ac:dyDescent="0.2"/>
    <row r="57213" s="689" customFormat="1" x14ac:dyDescent="0.2"/>
    <row r="57214" s="689" customFormat="1" x14ac:dyDescent="0.2"/>
    <row r="57215" s="689" customFormat="1" x14ac:dyDescent="0.2"/>
    <row r="57216" s="689" customFormat="1" x14ac:dyDescent="0.2"/>
    <row r="57217" s="689" customFormat="1" x14ac:dyDescent="0.2"/>
    <row r="57218" s="689" customFormat="1" x14ac:dyDescent="0.2"/>
    <row r="57219" s="689" customFormat="1" x14ac:dyDescent="0.2"/>
    <row r="57220" s="689" customFormat="1" x14ac:dyDescent="0.2"/>
    <row r="57221" s="689" customFormat="1" x14ac:dyDescent="0.2"/>
    <row r="57222" s="689" customFormat="1" x14ac:dyDescent="0.2"/>
    <row r="57223" s="689" customFormat="1" x14ac:dyDescent="0.2"/>
    <row r="57224" s="689" customFormat="1" x14ac:dyDescent="0.2"/>
    <row r="57225" s="689" customFormat="1" x14ac:dyDescent="0.2"/>
    <row r="57226" s="689" customFormat="1" x14ac:dyDescent="0.2"/>
    <row r="57227" s="689" customFormat="1" x14ac:dyDescent="0.2"/>
    <row r="57228" s="689" customFormat="1" x14ac:dyDescent="0.2"/>
    <row r="57229" s="689" customFormat="1" x14ac:dyDescent="0.2"/>
    <row r="57230" s="689" customFormat="1" x14ac:dyDescent="0.2"/>
    <row r="57231" s="689" customFormat="1" x14ac:dyDescent="0.2"/>
    <row r="57232" s="689" customFormat="1" x14ac:dyDescent="0.2"/>
    <row r="57233" s="689" customFormat="1" x14ac:dyDescent="0.2"/>
    <row r="57234" s="689" customFormat="1" x14ac:dyDescent="0.2"/>
    <row r="57235" s="689" customFormat="1" x14ac:dyDescent="0.2"/>
    <row r="57236" s="689" customFormat="1" x14ac:dyDescent="0.2"/>
    <row r="57237" s="689" customFormat="1" x14ac:dyDescent="0.2"/>
    <row r="57238" s="689" customFormat="1" x14ac:dyDescent="0.2"/>
    <row r="57239" s="689" customFormat="1" x14ac:dyDescent="0.2"/>
    <row r="57240" s="689" customFormat="1" x14ac:dyDescent="0.2"/>
    <row r="57241" s="689" customFormat="1" x14ac:dyDescent="0.2"/>
    <row r="57242" s="689" customFormat="1" x14ac:dyDescent="0.2"/>
    <row r="57243" s="689" customFormat="1" x14ac:dyDescent="0.2"/>
    <row r="57244" s="689" customFormat="1" x14ac:dyDescent="0.2"/>
    <row r="57245" s="689" customFormat="1" x14ac:dyDescent="0.2"/>
    <row r="57246" s="689" customFormat="1" x14ac:dyDescent="0.2"/>
    <row r="57247" s="689" customFormat="1" x14ac:dyDescent="0.2"/>
    <row r="57248" s="689" customFormat="1" x14ac:dyDescent="0.2"/>
    <row r="57249" s="689" customFormat="1" x14ac:dyDescent="0.2"/>
    <row r="57250" s="689" customFormat="1" x14ac:dyDescent="0.2"/>
    <row r="57251" s="689" customFormat="1" x14ac:dyDescent="0.2"/>
    <row r="57252" s="689" customFormat="1" x14ac:dyDescent="0.2"/>
    <row r="57253" s="689" customFormat="1" x14ac:dyDescent="0.2"/>
    <row r="57254" s="689" customFormat="1" x14ac:dyDescent="0.2"/>
    <row r="57255" s="689" customFormat="1" x14ac:dyDescent="0.2"/>
    <row r="57256" s="689" customFormat="1" x14ac:dyDescent="0.2"/>
    <row r="57257" s="689" customFormat="1" x14ac:dyDescent="0.2"/>
    <row r="57258" s="689" customFormat="1" x14ac:dyDescent="0.2"/>
    <row r="57259" s="689" customFormat="1" x14ac:dyDescent="0.2"/>
    <row r="57260" s="689" customFormat="1" x14ac:dyDescent="0.2"/>
    <row r="57261" s="689" customFormat="1" x14ac:dyDescent="0.2"/>
    <row r="57262" s="689" customFormat="1" x14ac:dyDescent="0.2"/>
    <row r="57263" s="689" customFormat="1" x14ac:dyDescent="0.2"/>
    <row r="57264" s="689" customFormat="1" x14ac:dyDescent="0.2"/>
    <row r="57265" s="689" customFormat="1" x14ac:dyDescent="0.2"/>
    <row r="57266" s="689" customFormat="1" x14ac:dyDescent="0.2"/>
    <row r="57267" s="689" customFormat="1" x14ac:dyDescent="0.2"/>
    <row r="57268" s="689" customFormat="1" x14ac:dyDescent="0.2"/>
    <row r="57269" s="689" customFormat="1" x14ac:dyDescent="0.2"/>
    <row r="57270" s="689" customFormat="1" x14ac:dyDescent="0.2"/>
    <row r="57271" s="689" customFormat="1" x14ac:dyDescent="0.2"/>
    <row r="57272" s="689" customFormat="1" x14ac:dyDescent="0.2"/>
    <row r="57273" s="689" customFormat="1" x14ac:dyDescent="0.2"/>
    <row r="57274" s="689" customFormat="1" x14ac:dyDescent="0.2"/>
    <row r="57275" s="689" customFormat="1" x14ac:dyDescent="0.2"/>
    <row r="57276" s="689" customFormat="1" x14ac:dyDescent="0.2"/>
    <row r="57277" s="689" customFormat="1" x14ac:dyDescent="0.2"/>
    <row r="57278" s="689" customFormat="1" x14ac:dyDescent="0.2"/>
    <row r="57279" s="689" customFormat="1" x14ac:dyDescent="0.2"/>
    <row r="57280" s="689" customFormat="1" x14ac:dyDescent="0.2"/>
    <row r="57281" s="689" customFormat="1" x14ac:dyDescent="0.2"/>
    <row r="57282" s="689" customFormat="1" x14ac:dyDescent="0.2"/>
    <row r="57283" s="689" customFormat="1" x14ac:dyDescent="0.2"/>
    <row r="57284" s="689" customFormat="1" x14ac:dyDescent="0.2"/>
    <row r="57285" s="689" customFormat="1" x14ac:dyDescent="0.2"/>
    <row r="57286" s="689" customFormat="1" x14ac:dyDescent="0.2"/>
    <row r="57287" s="689" customFormat="1" x14ac:dyDescent="0.2"/>
    <row r="57288" s="689" customFormat="1" x14ac:dyDescent="0.2"/>
    <row r="57289" s="689" customFormat="1" x14ac:dyDescent="0.2"/>
    <row r="57290" s="689" customFormat="1" x14ac:dyDescent="0.2"/>
    <row r="57291" s="689" customFormat="1" x14ac:dyDescent="0.2"/>
    <row r="57292" s="689" customFormat="1" x14ac:dyDescent="0.2"/>
    <row r="57293" s="689" customFormat="1" x14ac:dyDescent="0.2"/>
    <row r="57294" s="689" customFormat="1" x14ac:dyDescent="0.2"/>
    <row r="57295" s="689" customFormat="1" x14ac:dyDescent="0.2"/>
    <row r="57296" s="689" customFormat="1" x14ac:dyDescent="0.2"/>
    <row r="57297" s="689" customFormat="1" x14ac:dyDescent="0.2"/>
    <row r="57298" s="689" customFormat="1" x14ac:dyDescent="0.2"/>
    <row r="57299" s="689" customFormat="1" x14ac:dyDescent="0.2"/>
    <row r="57300" s="689" customFormat="1" x14ac:dyDescent="0.2"/>
    <row r="57301" s="689" customFormat="1" x14ac:dyDescent="0.2"/>
    <row r="57302" s="689" customFormat="1" x14ac:dyDescent="0.2"/>
    <row r="57303" s="689" customFormat="1" x14ac:dyDescent="0.2"/>
    <row r="57304" s="689" customFormat="1" x14ac:dyDescent="0.2"/>
    <row r="57305" s="689" customFormat="1" x14ac:dyDescent="0.2"/>
    <row r="57306" s="689" customFormat="1" x14ac:dyDescent="0.2"/>
    <row r="57307" s="689" customFormat="1" x14ac:dyDescent="0.2"/>
    <row r="57308" s="689" customFormat="1" x14ac:dyDescent="0.2"/>
    <row r="57309" s="689" customFormat="1" x14ac:dyDescent="0.2"/>
    <row r="57310" s="689" customFormat="1" x14ac:dyDescent="0.2"/>
    <row r="57311" s="689" customFormat="1" x14ac:dyDescent="0.2"/>
    <row r="57312" s="689" customFormat="1" x14ac:dyDescent="0.2"/>
    <row r="57313" s="689" customFormat="1" x14ac:dyDescent="0.2"/>
    <row r="57314" s="689" customFormat="1" x14ac:dyDescent="0.2"/>
    <row r="57315" s="689" customFormat="1" x14ac:dyDescent="0.2"/>
    <row r="57316" s="689" customFormat="1" x14ac:dyDescent="0.2"/>
    <row r="57317" s="689" customFormat="1" x14ac:dyDescent="0.2"/>
    <row r="57318" s="689" customFormat="1" x14ac:dyDescent="0.2"/>
    <row r="57319" s="689" customFormat="1" x14ac:dyDescent="0.2"/>
    <row r="57320" s="689" customFormat="1" x14ac:dyDescent="0.2"/>
    <row r="57321" s="689" customFormat="1" x14ac:dyDescent="0.2"/>
    <row r="57322" s="689" customFormat="1" x14ac:dyDescent="0.2"/>
    <row r="57323" s="689" customFormat="1" x14ac:dyDescent="0.2"/>
    <row r="57324" s="689" customFormat="1" x14ac:dyDescent="0.2"/>
    <row r="57325" s="689" customFormat="1" x14ac:dyDescent="0.2"/>
    <row r="57326" s="689" customFormat="1" x14ac:dyDescent="0.2"/>
    <row r="57327" s="689" customFormat="1" x14ac:dyDescent="0.2"/>
    <row r="57328" s="689" customFormat="1" x14ac:dyDescent="0.2"/>
    <row r="57329" s="689" customFormat="1" x14ac:dyDescent="0.2"/>
    <row r="57330" s="689" customFormat="1" x14ac:dyDescent="0.2"/>
    <row r="57331" s="689" customFormat="1" x14ac:dyDescent="0.2"/>
    <row r="57332" s="689" customFormat="1" x14ac:dyDescent="0.2"/>
    <row r="57333" s="689" customFormat="1" x14ac:dyDescent="0.2"/>
    <row r="57334" s="689" customFormat="1" x14ac:dyDescent="0.2"/>
    <row r="57335" s="689" customFormat="1" x14ac:dyDescent="0.2"/>
    <row r="57336" s="689" customFormat="1" x14ac:dyDescent="0.2"/>
    <row r="57337" s="689" customFormat="1" x14ac:dyDescent="0.2"/>
    <row r="57338" s="689" customFormat="1" x14ac:dyDescent="0.2"/>
    <row r="57339" s="689" customFormat="1" x14ac:dyDescent="0.2"/>
    <row r="57340" s="689" customFormat="1" x14ac:dyDescent="0.2"/>
    <row r="57341" s="689" customFormat="1" x14ac:dyDescent="0.2"/>
    <row r="57342" s="689" customFormat="1" x14ac:dyDescent="0.2"/>
    <row r="57343" s="689" customFormat="1" x14ac:dyDescent="0.2"/>
    <row r="57344" s="689" customFormat="1" x14ac:dyDescent="0.2"/>
    <row r="57345" s="689" customFormat="1" x14ac:dyDescent="0.2"/>
    <row r="57346" s="689" customFormat="1" x14ac:dyDescent="0.2"/>
    <row r="57347" s="689" customFormat="1" x14ac:dyDescent="0.2"/>
    <row r="57348" s="689" customFormat="1" x14ac:dyDescent="0.2"/>
    <row r="57349" s="689" customFormat="1" x14ac:dyDescent="0.2"/>
    <row r="57350" s="689" customFormat="1" x14ac:dyDescent="0.2"/>
    <row r="57351" s="689" customFormat="1" x14ac:dyDescent="0.2"/>
    <row r="57352" s="689" customFormat="1" x14ac:dyDescent="0.2"/>
    <row r="57353" s="689" customFormat="1" x14ac:dyDescent="0.2"/>
    <row r="57354" s="689" customFormat="1" x14ac:dyDescent="0.2"/>
    <row r="57355" s="689" customFormat="1" x14ac:dyDescent="0.2"/>
    <row r="57356" s="689" customFormat="1" x14ac:dyDescent="0.2"/>
    <row r="57357" s="689" customFormat="1" x14ac:dyDescent="0.2"/>
    <row r="57358" s="689" customFormat="1" x14ac:dyDescent="0.2"/>
    <row r="57359" s="689" customFormat="1" x14ac:dyDescent="0.2"/>
    <row r="57360" s="689" customFormat="1" x14ac:dyDescent="0.2"/>
    <row r="57361" s="689" customFormat="1" x14ac:dyDescent="0.2"/>
    <row r="57362" s="689" customFormat="1" x14ac:dyDescent="0.2"/>
    <row r="57363" s="689" customFormat="1" x14ac:dyDescent="0.2"/>
    <row r="57364" s="689" customFormat="1" x14ac:dyDescent="0.2"/>
    <row r="57365" s="689" customFormat="1" x14ac:dyDescent="0.2"/>
    <row r="57366" s="689" customFormat="1" x14ac:dyDescent="0.2"/>
    <row r="57367" s="689" customFormat="1" x14ac:dyDescent="0.2"/>
    <row r="57368" s="689" customFormat="1" x14ac:dyDescent="0.2"/>
    <row r="57369" s="689" customFormat="1" x14ac:dyDescent="0.2"/>
    <row r="57370" s="689" customFormat="1" x14ac:dyDescent="0.2"/>
    <row r="57371" s="689" customFormat="1" x14ac:dyDescent="0.2"/>
    <row r="57372" s="689" customFormat="1" x14ac:dyDescent="0.2"/>
    <row r="57373" s="689" customFormat="1" x14ac:dyDescent="0.2"/>
    <row r="57374" s="689" customFormat="1" x14ac:dyDescent="0.2"/>
    <row r="57375" s="689" customFormat="1" x14ac:dyDescent="0.2"/>
    <row r="57376" s="689" customFormat="1" x14ac:dyDescent="0.2"/>
    <row r="57377" s="689" customFormat="1" x14ac:dyDescent="0.2"/>
    <row r="57378" s="689" customFormat="1" x14ac:dyDescent="0.2"/>
    <row r="57379" s="689" customFormat="1" x14ac:dyDescent="0.2"/>
    <row r="57380" s="689" customFormat="1" x14ac:dyDescent="0.2"/>
    <row r="57381" s="689" customFormat="1" x14ac:dyDescent="0.2"/>
    <row r="57382" s="689" customFormat="1" x14ac:dyDescent="0.2"/>
    <row r="57383" s="689" customFormat="1" x14ac:dyDescent="0.2"/>
    <row r="57384" s="689" customFormat="1" x14ac:dyDescent="0.2"/>
    <row r="57385" s="689" customFormat="1" x14ac:dyDescent="0.2"/>
    <row r="57386" s="689" customFormat="1" x14ac:dyDescent="0.2"/>
    <row r="57387" s="689" customFormat="1" x14ac:dyDescent="0.2"/>
    <row r="57388" s="689" customFormat="1" x14ac:dyDescent="0.2"/>
    <row r="57389" s="689" customFormat="1" x14ac:dyDescent="0.2"/>
    <row r="57390" s="689" customFormat="1" x14ac:dyDescent="0.2"/>
    <row r="57391" s="689" customFormat="1" x14ac:dyDescent="0.2"/>
    <row r="57392" s="689" customFormat="1" x14ac:dyDescent="0.2"/>
    <row r="57393" s="689" customFormat="1" x14ac:dyDescent="0.2"/>
    <row r="57394" s="689" customFormat="1" x14ac:dyDescent="0.2"/>
    <row r="57395" s="689" customFormat="1" x14ac:dyDescent="0.2"/>
    <row r="57396" s="689" customFormat="1" x14ac:dyDescent="0.2"/>
    <row r="57397" s="689" customFormat="1" x14ac:dyDescent="0.2"/>
    <row r="57398" s="689" customFormat="1" x14ac:dyDescent="0.2"/>
    <row r="57399" s="689" customFormat="1" x14ac:dyDescent="0.2"/>
    <row r="57400" s="689" customFormat="1" x14ac:dyDescent="0.2"/>
    <row r="57401" s="689" customFormat="1" x14ac:dyDescent="0.2"/>
    <row r="57402" s="689" customFormat="1" x14ac:dyDescent="0.2"/>
    <row r="57403" s="689" customFormat="1" x14ac:dyDescent="0.2"/>
    <row r="57404" s="689" customFormat="1" x14ac:dyDescent="0.2"/>
    <row r="57405" s="689" customFormat="1" x14ac:dyDescent="0.2"/>
    <row r="57406" s="689" customFormat="1" x14ac:dyDescent="0.2"/>
    <row r="57407" s="689" customFormat="1" x14ac:dyDescent="0.2"/>
    <row r="57408" s="689" customFormat="1" x14ac:dyDescent="0.2"/>
    <row r="57409" s="689" customFormat="1" x14ac:dyDescent="0.2"/>
    <row r="57410" s="689" customFormat="1" x14ac:dyDescent="0.2"/>
    <row r="57411" s="689" customFormat="1" x14ac:dyDescent="0.2"/>
    <row r="57412" s="689" customFormat="1" x14ac:dyDescent="0.2"/>
    <row r="57413" s="689" customFormat="1" x14ac:dyDescent="0.2"/>
    <row r="57414" s="689" customFormat="1" x14ac:dyDescent="0.2"/>
    <row r="57415" s="689" customFormat="1" x14ac:dyDescent="0.2"/>
    <row r="57416" s="689" customFormat="1" x14ac:dyDescent="0.2"/>
    <row r="57417" s="689" customFormat="1" x14ac:dyDescent="0.2"/>
    <row r="57418" s="689" customFormat="1" x14ac:dyDescent="0.2"/>
    <row r="57419" s="689" customFormat="1" x14ac:dyDescent="0.2"/>
    <row r="57420" s="689" customFormat="1" x14ac:dyDescent="0.2"/>
    <row r="57421" s="689" customFormat="1" x14ac:dyDescent="0.2"/>
    <row r="57422" s="689" customFormat="1" x14ac:dyDescent="0.2"/>
    <row r="57423" s="689" customFormat="1" x14ac:dyDescent="0.2"/>
    <row r="57424" s="689" customFormat="1" x14ac:dyDescent="0.2"/>
    <row r="57425" s="689" customFormat="1" x14ac:dyDescent="0.2"/>
    <row r="57426" s="689" customFormat="1" x14ac:dyDescent="0.2"/>
    <row r="57427" s="689" customFormat="1" x14ac:dyDescent="0.2"/>
    <row r="57428" s="689" customFormat="1" x14ac:dyDescent="0.2"/>
    <row r="57429" s="689" customFormat="1" x14ac:dyDescent="0.2"/>
    <row r="57430" s="689" customFormat="1" x14ac:dyDescent="0.2"/>
    <row r="57431" s="689" customFormat="1" x14ac:dyDescent="0.2"/>
    <row r="57432" s="689" customFormat="1" x14ac:dyDescent="0.2"/>
    <row r="57433" s="689" customFormat="1" x14ac:dyDescent="0.2"/>
    <row r="57434" s="689" customFormat="1" x14ac:dyDescent="0.2"/>
    <row r="57435" s="689" customFormat="1" x14ac:dyDescent="0.2"/>
    <row r="57436" s="689" customFormat="1" x14ac:dyDescent="0.2"/>
    <row r="57437" s="689" customFormat="1" x14ac:dyDescent="0.2"/>
    <row r="57438" s="689" customFormat="1" x14ac:dyDescent="0.2"/>
    <row r="57439" s="689" customFormat="1" x14ac:dyDescent="0.2"/>
    <row r="57440" s="689" customFormat="1" x14ac:dyDescent="0.2"/>
    <row r="57441" s="689" customFormat="1" x14ac:dyDescent="0.2"/>
    <row r="57442" s="689" customFormat="1" x14ac:dyDescent="0.2"/>
    <row r="57443" s="689" customFormat="1" x14ac:dyDescent="0.2"/>
    <row r="57444" s="689" customFormat="1" x14ac:dyDescent="0.2"/>
    <row r="57445" s="689" customFormat="1" x14ac:dyDescent="0.2"/>
    <row r="57446" s="689" customFormat="1" x14ac:dyDescent="0.2"/>
    <row r="57447" s="689" customFormat="1" x14ac:dyDescent="0.2"/>
    <row r="57448" s="689" customFormat="1" x14ac:dyDescent="0.2"/>
    <row r="57449" s="689" customFormat="1" x14ac:dyDescent="0.2"/>
    <row r="57450" s="689" customFormat="1" x14ac:dyDescent="0.2"/>
    <row r="57451" s="689" customFormat="1" x14ac:dyDescent="0.2"/>
    <row r="57452" s="689" customFormat="1" x14ac:dyDescent="0.2"/>
    <row r="57453" s="689" customFormat="1" x14ac:dyDescent="0.2"/>
    <row r="57454" s="689" customFormat="1" x14ac:dyDescent="0.2"/>
    <row r="57455" s="689" customFormat="1" x14ac:dyDescent="0.2"/>
    <row r="57456" s="689" customFormat="1" x14ac:dyDescent="0.2"/>
    <row r="57457" s="689" customFormat="1" x14ac:dyDescent="0.2"/>
    <row r="57458" s="689" customFormat="1" x14ac:dyDescent="0.2"/>
    <row r="57459" s="689" customFormat="1" x14ac:dyDescent="0.2"/>
    <row r="57460" s="689" customFormat="1" x14ac:dyDescent="0.2"/>
    <row r="57461" s="689" customFormat="1" x14ac:dyDescent="0.2"/>
    <row r="57462" s="689" customFormat="1" x14ac:dyDescent="0.2"/>
    <row r="57463" s="689" customFormat="1" x14ac:dyDescent="0.2"/>
    <row r="57464" s="689" customFormat="1" x14ac:dyDescent="0.2"/>
    <row r="57465" s="689" customFormat="1" x14ac:dyDescent="0.2"/>
    <row r="57466" s="689" customFormat="1" x14ac:dyDescent="0.2"/>
    <row r="57467" s="689" customFormat="1" x14ac:dyDescent="0.2"/>
    <row r="57468" s="689" customFormat="1" x14ac:dyDescent="0.2"/>
    <row r="57469" s="689" customFormat="1" x14ac:dyDescent="0.2"/>
    <row r="57470" s="689" customFormat="1" x14ac:dyDescent="0.2"/>
    <row r="57471" s="689" customFormat="1" x14ac:dyDescent="0.2"/>
    <row r="57472" s="689" customFormat="1" x14ac:dyDescent="0.2"/>
    <row r="57473" s="689" customFormat="1" x14ac:dyDescent="0.2"/>
    <row r="57474" s="689" customFormat="1" x14ac:dyDescent="0.2"/>
    <row r="57475" s="689" customFormat="1" x14ac:dyDescent="0.2"/>
    <row r="57476" s="689" customFormat="1" x14ac:dyDescent="0.2"/>
    <row r="57477" s="689" customFormat="1" x14ac:dyDescent="0.2"/>
    <row r="57478" s="689" customFormat="1" x14ac:dyDescent="0.2"/>
    <row r="57479" s="689" customFormat="1" x14ac:dyDescent="0.2"/>
    <row r="57480" s="689" customFormat="1" x14ac:dyDescent="0.2"/>
    <row r="57481" s="689" customFormat="1" x14ac:dyDescent="0.2"/>
    <row r="57482" s="689" customFormat="1" x14ac:dyDescent="0.2"/>
    <row r="57483" s="689" customFormat="1" x14ac:dyDescent="0.2"/>
    <row r="57484" s="689" customFormat="1" x14ac:dyDescent="0.2"/>
    <row r="57485" s="689" customFormat="1" x14ac:dyDescent="0.2"/>
    <row r="57486" s="689" customFormat="1" x14ac:dyDescent="0.2"/>
    <row r="57487" s="689" customFormat="1" x14ac:dyDescent="0.2"/>
    <row r="57488" s="689" customFormat="1" x14ac:dyDescent="0.2"/>
    <row r="57489" s="689" customFormat="1" x14ac:dyDescent="0.2"/>
    <row r="57490" s="689" customFormat="1" x14ac:dyDescent="0.2"/>
    <row r="57491" s="689" customFormat="1" x14ac:dyDescent="0.2"/>
    <row r="57492" s="689" customFormat="1" x14ac:dyDescent="0.2"/>
    <row r="57493" s="689" customFormat="1" x14ac:dyDescent="0.2"/>
    <row r="57494" s="689" customFormat="1" x14ac:dyDescent="0.2"/>
    <row r="57495" s="689" customFormat="1" x14ac:dyDescent="0.2"/>
    <row r="57496" s="689" customFormat="1" x14ac:dyDescent="0.2"/>
    <row r="57497" s="689" customFormat="1" x14ac:dyDescent="0.2"/>
    <row r="57498" s="689" customFormat="1" x14ac:dyDescent="0.2"/>
    <row r="57499" s="689" customFormat="1" x14ac:dyDescent="0.2"/>
    <row r="57500" s="689" customFormat="1" x14ac:dyDescent="0.2"/>
    <row r="57501" s="689" customFormat="1" x14ac:dyDescent="0.2"/>
    <row r="57502" s="689" customFormat="1" x14ac:dyDescent="0.2"/>
    <row r="57503" s="689" customFormat="1" x14ac:dyDescent="0.2"/>
    <row r="57504" s="689" customFormat="1" x14ac:dyDescent="0.2"/>
    <row r="57505" s="689" customFormat="1" x14ac:dyDescent="0.2"/>
    <row r="57506" s="689" customFormat="1" x14ac:dyDescent="0.2"/>
    <row r="57507" s="689" customFormat="1" x14ac:dyDescent="0.2"/>
    <row r="57508" s="689" customFormat="1" x14ac:dyDescent="0.2"/>
    <row r="57509" s="689" customFormat="1" x14ac:dyDescent="0.2"/>
    <row r="57510" s="689" customFormat="1" x14ac:dyDescent="0.2"/>
    <row r="57511" s="689" customFormat="1" x14ac:dyDescent="0.2"/>
    <row r="57512" s="689" customFormat="1" x14ac:dyDescent="0.2"/>
    <row r="57513" s="689" customFormat="1" x14ac:dyDescent="0.2"/>
    <row r="57514" s="689" customFormat="1" x14ac:dyDescent="0.2"/>
    <row r="57515" s="689" customFormat="1" x14ac:dyDescent="0.2"/>
    <row r="57516" s="689" customFormat="1" x14ac:dyDescent="0.2"/>
    <row r="57517" s="689" customFormat="1" x14ac:dyDescent="0.2"/>
    <row r="57518" s="689" customFormat="1" x14ac:dyDescent="0.2"/>
    <row r="57519" s="689" customFormat="1" x14ac:dyDescent="0.2"/>
    <row r="57520" s="689" customFormat="1" x14ac:dyDescent="0.2"/>
    <row r="57521" s="689" customFormat="1" x14ac:dyDescent="0.2"/>
    <row r="57522" s="689" customFormat="1" x14ac:dyDescent="0.2"/>
    <row r="57523" s="689" customFormat="1" x14ac:dyDescent="0.2"/>
    <row r="57524" s="689" customFormat="1" x14ac:dyDescent="0.2"/>
    <row r="57525" s="689" customFormat="1" x14ac:dyDescent="0.2"/>
    <row r="57526" s="689" customFormat="1" x14ac:dyDescent="0.2"/>
    <row r="57527" s="689" customFormat="1" x14ac:dyDescent="0.2"/>
    <row r="57528" s="689" customFormat="1" x14ac:dyDescent="0.2"/>
    <row r="57529" s="689" customFormat="1" x14ac:dyDescent="0.2"/>
    <row r="57530" s="689" customFormat="1" x14ac:dyDescent="0.2"/>
    <row r="57531" s="689" customFormat="1" x14ac:dyDescent="0.2"/>
    <row r="57532" s="689" customFormat="1" x14ac:dyDescent="0.2"/>
    <row r="57533" s="689" customFormat="1" x14ac:dyDescent="0.2"/>
    <row r="57534" s="689" customFormat="1" x14ac:dyDescent="0.2"/>
    <row r="57535" s="689" customFormat="1" x14ac:dyDescent="0.2"/>
    <row r="57536" s="689" customFormat="1" x14ac:dyDescent="0.2"/>
    <row r="57537" s="689" customFormat="1" x14ac:dyDescent="0.2"/>
    <row r="57538" s="689" customFormat="1" x14ac:dyDescent="0.2"/>
    <row r="57539" s="689" customFormat="1" x14ac:dyDescent="0.2"/>
    <row r="57540" s="689" customFormat="1" x14ac:dyDescent="0.2"/>
    <row r="57541" s="689" customFormat="1" x14ac:dyDescent="0.2"/>
    <row r="57542" s="689" customFormat="1" x14ac:dyDescent="0.2"/>
    <row r="57543" s="689" customFormat="1" x14ac:dyDescent="0.2"/>
    <row r="57544" s="689" customFormat="1" x14ac:dyDescent="0.2"/>
    <row r="57545" s="689" customFormat="1" x14ac:dyDescent="0.2"/>
    <row r="57546" s="689" customFormat="1" x14ac:dyDescent="0.2"/>
    <row r="57547" s="689" customFormat="1" x14ac:dyDescent="0.2"/>
    <row r="57548" s="689" customFormat="1" x14ac:dyDescent="0.2"/>
    <row r="57549" s="689" customFormat="1" x14ac:dyDescent="0.2"/>
    <row r="57550" s="689" customFormat="1" x14ac:dyDescent="0.2"/>
    <row r="57551" s="689" customFormat="1" x14ac:dyDescent="0.2"/>
    <row r="57552" s="689" customFormat="1" x14ac:dyDescent="0.2"/>
    <row r="57553" s="689" customFormat="1" x14ac:dyDescent="0.2"/>
    <row r="57554" s="689" customFormat="1" x14ac:dyDescent="0.2"/>
    <row r="57555" s="689" customFormat="1" x14ac:dyDescent="0.2"/>
    <row r="57556" s="689" customFormat="1" x14ac:dyDescent="0.2"/>
    <row r="57557" s="689" customFormat="1" x14ac:dyDescent="0.2"/>
    <row r="57558" s="689" customFormat="1" x14ac:dyDescent="0.2"/>
    <row r="57559" s="689" customFormat="1" x14ac:dyDescent="0.2"/>
    <row r="57560" s="689" customFormat="1" x14ac:dyDescent="0.2"/>
    <row r="57561" s="689" customFormat="1" x14ac:dyDescent="0.2"/>
    <row r="57562" s="689" customFormat="1" x14ac:dyDescent="0.2"/>
    <row r="57563" s="689" customFormat="1" x14ac:dyDescent="0.2"/>
    <row r="57564" s="689" customFormat="1" x14ac:dyDescent="0.2"/>
    <row r="57565" s="689" customFormat="1" x14ac:dyDescent="0.2"/>
    <row r="57566" s="689" customFormat="1" x14ac:dyDescent="0.2"/>
    <row r="57567" s="689" customFormat="1" x14ac:dyDescent="0.2"/>
    <row r="57568" s="689" customFormat="1" x14ac:dyDescent="0.2"/>
    <row r="57569" s="689" customFormat="1" x14ac:dyDescent="0.2"/>
    <row r="57570" s="689" customFormat="1" x14ac:dyDescent="0.2"/>
    <row r="57571" s="689" customFormat="1" x14ac:dyDescent="0.2"/>
    <row r="57572" s="689" customFormat="1" x14ac:dyDescent="0.2"/>
    <row r="57573" s="689" customFormat="1" x14ac:dyDescent="0.2"/>
    <row r="57574" s="689" customFormat="1" x14ac:dyDescent="0.2"/>
    <row r="57575" s="689" customFormat="1" x14ac:dyDescent="0.2"/>
    <row r="57576" s="689" customFormat="1" x14ac:dyDescent="0.2"/>
    <row r="57577" s="689" customFormat="1" x14ac:dyDescent="0.2"/>
    <row r="57578" s="689" customFormat="1" x14ac:dyDescent="0.2"/>
    <row r="57579" s="689" customFormat="1" x14ac:dyDescent="0.2"/>
    <row r="57580" s="689" customFormat="1" x14ac:dyDescent="0.2"/>
    <row r="57581" s="689" customFormat="1" x14ac:dyDescent="0.2"/>
    <row r="57582" s="689" customFormat="1" x14ac:dyDescent="0.2"/>
    <row r="57583" s="689" customFormat="1" x14ac:dyDescent="0.2"/>
    <row r="57584" s="689" customFormat="1" x14ac:dyDescent="0.2"/>
    <row r="57585" s="689" customFormat="1" x14ac:dyDescent="0.2"/>
    <row r="57586" s="689" customFormat="1" x14ac:dyDescent="0.2"/>
    <row r="57587" s="689" customFormat="1" x14ac:dyDescent="0.2"/>
    <row r="57588" s="689" customFormat="1" x14ac:dyDescent="0.2"/>
    <row r="57589" s="689" customFormat="1" x14ac:dyDescent="0.2"/>
    <row r="57590" s="689" customFormat="1" x14ac:dyDescent="0.2"/>
    <row r="57591" s="689" customFormat="1" x14ac:dyDescent="0.2"/>
    <row r="57592" s="689" customFormat="1" x14ac:dyDescent="0.2"/>
    <row r="57593" s="689" customFormat="1" x14ac:dyDescent="0.2"/>
    <row r="57594" s="689" customFormat="1" x14ac:dyDescent="0.2"/>
    <row r="57595" s="689" customFormat="1" x14ac:dyDescent="0.2"/>
    <row r="57596" s="689" customFormat="1" x14ac:dyDescent="0.2"/>
    <row r="57597" s="689" customFormat="1" x14ac:dyDescent="0.2"/>
    <row r="57598" s="689" customFormat="1" x14ac:dyDescent="0.2"/>
    <row r="57599" s="689" customFormat="1" x14ac:dyDescent="0.2"/>
    <row r="57600" s="689" customFormat="1" x14ac:dyDescent="0.2"/>
    <row r="57601" s="689" customFormat="1" x14ac:dyDescent="0.2"/>
    <row r="57602" s="689" customFormat="1" x14ac:dyDescent="0.2"/>
    <row r="57603" s="689" customFormat="1" x14ac:dyDescent="0.2"/>
    <row r="57604" s="689" customFormat="1" x14ac:dyDescent="0.2"/>
    <row r="57605" s="689" customFormat="1" x14ac:dyDescent="0.2"/>
    <row r="57606" s="689" customFormat="1" x14ac:dyDescent="0.2"/>
    <row r="57607" s="689" customFormat="1" x14ac:dyDescent="0.2"/>
    <row r="57608" s="689" customFormat="1" x14ac:dyDescent="0.2"/>
    <row r="57609" s="689" customFormat="1" x14ac:dyDescent="0.2"/>
    <row r="57610" s="689" customFormat="1" x14ac:dyDescent="0.2"/>
    <row r="57611" s="689" customFormat="1" x14ac:dyDescent="0.2"/>
    <row r="57612" s="689" customFormat="1" x14ac:dyDescent="0.2"/>
    <row r="57613" s="689" customFormat="1" x14ac:dyDescent="0.2"/>
    <row r="57614" s="689" customFormat="1" x14ac:dyDescent="0.2"/>
    <row r="57615" s="689" customFormat="1" x14ac:dyDescent="0.2"/>
    <row r="57616" s="689" customFormat="1" x14ac:dyDescent="0.2"/>
    <row r="57617" s="689" customFormat="1" x14ac:dyDescent="0.2"/>
    <row r="57618" s="689" customFormat="1" x14ac:dyDescent="0.2"/>
    <row r="57619" s="689" customFormat="1" x14ac:dyDescent="0.2"/>
    <row r="57620" s="689" customFormat="1" x14ac:dyDescent="0.2"/>
    <row r="57621" s="689" customFormat="1" x14ac:dyDescent="0.2"/>
    <row r="57622" s="689" customFormat="1" x14ac:dyDescent="0.2"/>
    <row r="57623" s="689" customFormat="1" x14ac:dyDescent="0.2"/>
    <row r="57624" s="689" customFormat="1" x14ac:dyDescent="0.2"/>
    <row r="57625" s="689" customFormat="1" x14ac:dyDescent="0.2"/>
    <row r="57626" s="689" customFormat="1" x14ac:dyDescent="0.2"/>
    <row r="57627" s="689" customFormat="1" x14ac:dyDescent="0.2"/>
    <row r="57628" s="689" customFormat="1" x14ac:dyDescent="0.2"/>
    <row r="57629" s="689" customFormat="1" x14ac:dyDescent="0.2"/>
    <row r="57630" s="689" customFormat="1" x14ac:dyDescent="0.2"/>
    <row r="57631" s="689" customFormat="1" x14ac:dyDescent="0.2"/>
    <row r="57632" s="689" customFormat="1" x14ac:dyDescent="0.2"/>
    <row r="57633" s="689" customFormat="1" x14ac:dyDescent="0.2"/>
    <row r="57634" s="689" customFormat="1" x14ac:dyDescent="0.2"/>
    <row r="57635" s="689" customFormat="1" x14ac:dyDescent="0.2"/>
    <row r="57636" s="689" customFormat="1" x14ac:dyDescent="0.2"/>
    <row r="57637" s="689" customFormat="1" x14ac:dyDescent="0.2"/>
    <row r="57638" s="689" customFormat="1" x14ac:dyDescent="0.2"/>
    <row r="57639" s="689" customFormat="1" x14ac:dyDescent="0.2"/>
    <row r="57640" s="689" customFormat="1" x14ac:dyDescent="0.2"/>
    <row r="57641" s="689" customFormat="1" x14ac:dyDescent="0.2"/>
    <row r="57642" s="689" customFormat="1" x14ac:dyDescent="0.2"/>
    <row r="57643" s="689" customFormat="1" x14ac:dyDescent="0.2"/>
    <row r="57644" s="689" customFormat="1" x14ac:dyDescent="0.2"/>
    <row r="57645" s="689" customFormat="1" x14ac:dyDescent="0.2"/>
    <row r="57646" s="689" customFormat="1" x14ac:dyDescent="0.2"/>
    <row r="57647" s="689" customFormat="1" x14ac:dyDescent="0.2"/>
    <row r="57648" s="689" customFormat="1" x14ac:dyDescent="0.2"/>
    <row r="57649" s="689" customFormat="1" x14ac:dyDescent="0.2"/>
    <row r="57650" s="689" customFormat="1" x14ac:dyDescent="0.2"/>
    <row r="57651" s="689" customFormat="1" x14ac:dyDescent="0.2"/>
    <row r="57652" s="689" customFormat="1" x14ac:dyDescent="0.2"/>
    <row r="57653" s="689" customFormat="1" x14ac:dyDescent="0.2"/>
    <row r="57654" s="689" customFormat="1" x14ac:dyDescent="0.2"/>
    <row r="57655" s="689" customFormat="1" x14ac:dyDescent="0.2"/>
    <row r="57656" s="689" customFormat="1" x14ac:dyDescent="0.2"/>
    <row r="57657" s="689" customFormat="1" x14ac:dyDescent="0.2"/>
    <row r="57658" s="689" customFormat="1" x14ac:dyDescent="0.2"/>
    <row r="57659" s="689" customFormat="1" x14ac:dyDescent="0.2"/>
    <row r="57660" s="689" customFormat="1" x14ac:dyDescent="0.2"/>
    <row r="57661" s="689" customFormat="1" x14ac:dyDescent="0.2"/>
    <row r="57662" s="689" customFormat="1" x14ac:dyDescent="0.2"/>
    <row r="57663" s="689" customFormat="1" x14ac:dyDescent="0.2"/>
    <row r="57664" s="689" customFormat="1" x14ac:dyDescent="0.2"/>
    <row r="57665" s="689" customFormat="1" x14ac:dyDescent="0.2"/>
    <row r="57666" s="689" customFormat="1" x14ac:dyDescent="0.2"/>
    <row r="57667" s="689" customFormat="1" x14ac:dyDescent="0.2"/>
    <row r="57668" s="689" customFormat="1" x14ac:dyDescent="0.2"/>
    <row r="57669" s="689" customFormat="1" x14ac:dyDescent="0.2"/>
    <row r="57670" s="689" customFormat="1" x14ac:dyDescent="0.2"/>
    <row r="57671" s="689" customFormat="1" x14ac:dyDescent="0.2"/>
    <row r="57672" s="689" customFormat="1" x14ac:dyDescent="0.2"/>
    <row r="57673" s="689" customFormat="1" x14ac:dyDescent="0.2"/>
    <row r="57674" s="689" customFormat="1" x14ac:dyDescent="0.2"/>
    <row r="57675" s="689" customFormat="1" x14ac:dyDescent="0.2"/>
    <row r="57676" s="689" customFormat="1" x14ac:dyDescent="0.2"/>
    <row r="57677" s="689" customFormat="1" x14ac:dyDescent="0.2"/>
    <row r="57678" s="689" customFormat="1" x14ac:dyDescent="0.2"/>
    <row r="57679" s="689" customFormat="1" x14ac:dyDescent="0.2"/>
    <row r="57680" s="689" customFormat="1" x14ac:dyDescent="0.2"/>
    <row r="57681" s="689" customFormat="1" x14ac:dyDescent="0.2"/>
    <row r="57682" s="689" customFormat="1" x14ac:dyDescent="0.2"/>
    <row r="57683" s="689" customFormat="1" x14ac:dyDescent="0.2"/>
    <row r="57684" s="689" customFormat="1" x14ac:dyDescent="0.2"/>
    <row r="57685" s="689" customFormat="1" x14ac:dyDescent="0.2"/>
    <row r="57686" s="689" customFormat="1" x14ac:dyDescent="0.2"/>
    <row r="57687" s="689" customFormat="1" x14ac:dyDescent="0.2"/>
    <row r="57688" s="689" customFormat="1" x14ac:dyDescent="0.2"/>
    <row r="57689" s="689" customFormat="1" x14ac:dyDescent="0.2"/>
    <row r="57690" s="689" customFormat="1" x14ac:dyDescent="0.2"/>
    <row r="57691" s="689" customFormat="1" x14ac:dyDescent="0.2"/>
    <row r="57692" s="689" customFormat="1" x14ac:dyDescent="0.2"/>
    <row r="57693" s="689" customFormat="1" x14ac:dyDescent="0.2"/>
    <row r="57694" s="689" customFormat="1" x14ac:dyDescent="0.2"/>
    <row r="57695" s="689" customFormat="1" x14ac:dyDescent="0.2"/>
    <row r="57696" s="689" customFormat="1" x14ac:dyDescent="0.2"/>
    <row r="57697" s="689" customFormat="1" x14ac:dyDescent="0.2"/>
    <row r="57698" s="689" customFormat="1" x14ac:dyDescent="0.2"/>
    <row r="57699" s="689" customFormat="1" x14ac:dyDescent="0.2"/>
    <row r="57700" s="689" customFormat="1" x14ac:dyDescent="0.2"/>
    <row r="57701" s="689" customFormat="1" x14ac:dyDescent="0.2"/>
    <row r="57702" s="689" customFormat="1" x14ac:dyDescent="0.2"/>
    <row r="57703" s="689" customFormat="1" x14ac:dyDescent="0.2"/>
    <row r="57704" s="689" customFormat="1" x14ac:dyDescent="0.2"/>
    <row r="57705" s="689" customFormat="1" x14ac:dyDescent="0.2"/>
    <row r="57706" s="689" customFormat="1" x14ac:dyDescent="0.2"/>
    <row r="57707" s="689" customFormat="1" x14ac:dyDescent="0.2"/>
    <row r="57708" s="689" customFormat="1" x14ac:dyDescent="0.2"/>
    <row r="57709" s="689" customFormat="1" x14ac:dyDescent="0.2"/>
    <row r="57710" s="689" customFormat="1" x14ac:dyDescent="0.2"/>
    <row r="57711" s="689" customFormat="1" x14ac:dyDescent="0.2"/>
    <row r="57712" s="689" customFormat="1" x14ac:dyDescent="0.2"/>
    <row r="57713" s="689" customFormat="1" x14ac:dyDescent="0.2"/>
    <row r="57714" s="689" customFormat="1" x14ac:dyDescent="0.2"/>
    <row r="57715" s="689" customFormat="1" x14ac:dyDescent="0.2"/>
    <row r="57716" s="689" customFormat="1" x14ac:dyDescent="0.2"/>
    <row r="57717" s="689" customFormat="1" x14ac:dyDescent="0.2"/>
    <row r="57718" s="689" customFormat="1" x14ac:dyDescent="0.2"/>
    <row r="57719" s="689" customFormat="1" x14ac:dyDescent="0.2"/>
    <row r="57720" s="689" customFormat="1" x14ac:dyDescent="0.2"/>
    <row r="57721" s="689" customFormat="1" x14ac:dyDescent="0.2"/>
    <row r="57722" s="689" customFormat="1" x14ac:dyDescent="0.2"/>
    <row r="57723" s="689" customFormat="1" x14ac:dyDescent="0.2"/>
    <row r="57724" s="689" customFormat="1" x14ac:dyDescent="0.2"/>
    <row r="57725" s="689" customFormat="1" x14ac:dyDescent="0.2"/>
    <row r="57726" s="689" customFormat="1" x14ac:dyDescent="0.2"/>
    <row r="57727" s="689" customFormat="1" x14ac:dyDescent="0.2"/>
    <row r="57728" s="689" customFormat="1" x14ac:dyDescent="0.2"/>
    <row r="57729" s="689" customFormat="1" x14ac:dyDescent="0.2"/>
    <row r="57730" s="689" customFormat="1" x14ac:dyDescent="0.2"/>
    <row r="57731" s="689" customFormat="1" x14ac:dyDescent="0.2"/>
    <row r="57732" s="689" customFormat="1" x14ac:dyDescent="0.2"/>
    <row r="57733" s="689" customFormat="1" x14ac:dyDescent="0.2"/>
    <row r="57734" s="689" customFormat="1" x14ac:dyDescent="0.2"/>
    <row r="57735" s="689" customFormat="1" x14ac:dyDescent="0.2"/>
    <row r="57736" s="689" customFormat="1" x14ac:dyDescent="0.2"/>
    <row r="57737" s="689" customFormat="1" x14ac:dyDescent="0.2"/>
    <row r="57738" s="689" customFormat="1" x14ac:dyDescent="0.2"/>
    <row r="57739" s="689" customFormat="1" x14ac:dyDescent="0.2"/>
    <row r="57740" s="689" customFormat="1" x14ac:dyDescent="0.2"/>
    <row r="57741" s="689" customFormat="1" x14ac:dyDescent="0.2"/>
    <row r="57742" s="689" customFormat="1" x14ac:dyDescent="0.2"/>
    <row r="57743" s="689" customFormat="1" x14ac:dyDescent="0.2"/>
    <row r="57744" s="689" customFormat="1" x14ac:dyDescent="0.2"/>
    <row r="57745" s="689" customFormat="1" x14ac:dyDescent="0.2"/>
    <row r="57746" s="689" customFormat="1" x14ac:dyDescent="0.2"/>
    <row r="57747" s="689" customFormat="1" x14ac:dyDescent="0.2"/>
    <row r="57748" s="689" customFormat="1" x14ac:dyDescent="0.2"/>
    <row r="57749" s="689" customFormat="1" x14ac:dyDescent="0.2"/>
    <row r="57750" s="689" customFormat="1" x14ac:dyDescent="0.2"/>
    <row r="57751" s="689" customFormat="1" x14ac:dyDescent="0.2"/>
    <row r="57752" s="689" customFormat="1" x14ac:dyDescent="0.2"/>
    <row r="57753" s="689" customFormat="1" x14ac:dyDescent="0.2"/>
    <row r="57754" s="689" customFormat="1" x14ac:dyDescent="0.2"/>
    <row r="57755" s="689" customFormat="1" x14ac:dyDescent="0.2"/>
    <row r="57756" s="689" customFormat="1" x14ac:dyDescent="0.2"/>
    <row r="57757" s="689" customFormat="1" x14ac:dyDescent="0.2"/>
    <row r="57758" s="689" customFormat="1" x14ac:dyDescent="0.2"/>
    <row r="57759" s="689" customFormat="1" x14ac:dyDescent="0.2"/>
    <row r="57760" s="689" customFormat="1" x14ac:dyDescent="0.2"/>
    <row r="57761" s="689" customFormat="1" x14ac:dyDescent="0.2"/>
    <row r="57762" s="689" customFormat="1" x14ac:dyDescent="0.2"/>
    <row r="57763" s="689" customFormat="1" x14ac:dyDescent="0.2"/>
    <row r="57764" s="689" customFormat="1" x14ac:dyDescent="0.2"/>
    <row r="57765" s="689" customFormat="1" x14ac:dyDescent="0.2"/>
    <row r="57766" s="689" customFormat="1" x14ac:dyDescent="0.2"/>
    <row r="57767" s="689" customFormat="1" x14ac:dyDescent="0.2"/>
    <row r="57768" s="689" customFormat="1" x14ac:dyDescent="0.2"/>
    <row r="57769" s="689" customFormat="1" x14ac:dyDescent="0.2"/>
    <row r="57770" s="689" customFormat="1" x14ac:dyDescent="0.2"/>
    <row r="57771" s="689" customFormat="1" x14ac:dyDescent="0.2"/>
    <row r="57772" s="689" customFormat="1" x14ac:dyDescent="0.2"/>
    <row r="57773" s="689" customFormat="1" x14ac:dyDescent="0.2"/>
    <row r="57774" s="689" customFormat="1" x14ac:dyDescent="0.2"/>
    <row r="57775" s="689" customFormat="1" x14ac:dyDescent="0.2"/>
    <row r="57776" s="689" customFormat="1" x14ac:dyDescent="0.2"/>
    <row r="57777" s="689" customFormat="1" x14ac:dyDescent="0.2"/>
    <row r="57778" s="689" customFormat="1" x14ac:dyDescent="0.2"/>
    <row r="57779" s="689" customFormat="1" x14ac:dyDescent="0.2"/>
    <row r="57780" s="689" customFormat="1" x14ac:dyDescent="0.2"/>
    <row r="57781" s="689" customFormat="1" x14ac:dyDescent="0.2"/>
    <row r="57782" s="689" customFormat="1" x14ac:dyDescent="0.2"/>
    <row r="57783" s="689" customFormat="1" x14ac:dyDescent="0.2"/>
    <row r="57784" s="689" customFormat="1" x14ac:dyDescent="0.2"/>
    <row r="57785" s="689" customFormat="1" x14ac:dyDescent="0.2"/>
    <row r="57786" s="689" customFormat="1" x14ac:dyDescent="0.2"/>
    <row r="57787" s="689" customFormat="1" x14ac:dyDescent="0.2"/>
    <row r="57788" s="689" customFormat="1" x14ac:dyDescent="0.2"/>
    <row r="57789" s="689" customFormat="1" x14ac:dyDescent="0.2"/>
    <row r="57790" s="689" customFormat="1" x14ac:dyDescent="0.2"/>
    <row r="57791" s="689" customFormat="1" x14ac:dyDescent="0.2"/>
    <row r="57792" s="689" customFormat="1" x14ac:dyDescent="0.2"/>
    <row r="57793" s="689" customFormat="1" x14ac:dyDescent="0.2"/>
    <row r="57794" s="689" customFormat="1" x14ac:dyDescent="0.2"/>
    <row r="57795" s="689" customFormat="1" x14ac:dyDescent="0.2"/>
    <row r="57796" s="689" customFormat="1" x14ac:dyDescent="0.2"/>
    <row r="57797" s="689" customFormat="1" x14ac:dyDescent="0.2"/>
    <row r="57798" s="689" customFormat="1" x14ac:dyDescent="0.2"/>
    <row r="57799" s="689" customFormat="1" x14ac:dyDescent="0.2"/>
    <row r="57800" s="689" customFormat="1" x14ac:dyDescent="0.2"/>
    <row r="57801" s="689" customFormat="1" x14ac:dyDescent="0.2"/>
    <row r="57802" s="689" customFormat="1" x14ac:dyDescent="0.2"/>
    <row r="57803" s="689" customFormat="1" x14ac:dyDescent="0.2"/>
    <row r="57804" s="689" customFormat="1" x14ac:dyDescent="0.2"/>
    <row r="57805" s="689" customFormat="1" x14ac:dyDescent="0.2"/>
    <row r="57806" s="689" customFormat="1" x14ac:dyDescent="0.2"/>
    <row r="57807" s="689" customFormat="1" x14ac:dyDescent="0.2"/>
    <row r="57808" s="689" customFormat="1" x14ac:dyDescent="0.2"/>
    <row r="57809" s="689" customFormat="1" x14ac:dyDescent="0.2"/>
    <row r="57810" s="689" customFormat="1" x14ac:dyDescent="0.2"/>
    <row r="57811" s="689" customFormat="1" x14ac:dyDescent="0.2"/>
    <row r="57812" s="689" customFormat="1" x14ac:dyDescent="0.2"/>
    <row r="57813" s="689" customFormat="1" x14ac:dyDescent="0.2"/>
    <row r="57814" s="689" customFormat="1" x14ac:dyDescent="0.2"/>
    <row r="57815" s="689" customFormat="1" x14ac:dyDescent="0.2"/>
    <row r="57816" s="689" customFormat="1" x14ac:dyDescent="0.2"/>
    <row r="57817" s="689" customFormat="1" x14ac:dyDescent="0.2"/>
    <row r="57818" s="689" customFormat="1" x14ac:dyDescent="0.2"/>
    <row r="57819" s="689" customFormat="1" x14ac:dyDescent="0.2"/>
    <row r="57820" s="689" customFormat="1" x14ac:dyDescent="0.2"/>
    <row r="57821" s="689" customFormat="1" x14ac:dyDescent="0.2"/>
    <row r="57822" s="689" customFormat="1" x14ac:dyDescent="0.2"/>
    <row r="57823" s="689" customFormat="1" x14ac:dyDescent="0.2"/>
    <row r="57824" s="689" customFormat="1" x14ac:dyDescent="0.2"/>
    <row r="57825" s="689" customFormat="1" x14ac:dyDescent="0.2"/>
    <row r="57826" s="689" customFormat="1" x14ac:dyDescent="0.2"/>
    <row r="57827" s="689" customFormat="1" x14ac:dyDescent="0.2"/>
    <row r="57828" s="689" customFormat="1" x14ac:dyDescent="0.2"/>
    <row r="57829" s="689" customFormat="1" x14ac:dyDescent="0.2"/>
    <row r="57830" s="689" customFormat="1" x14ac:dyDescent="0.2"/>
    <row r="57831" s="689" customFormat="1" x14ac:dyDescent="0.2"/>
    <row r="57832" s="689" customFormat="1" x14ac:dyDescent="0.2"/>
    <row r="57833" s="689" customFormat="1" x14ac:dyDescent="0.2"/>
    <row r="57834" s="689" customFormat="1" x14ac:dyDescent="0.2"/>
    <row r="57835" s="689" customFormat="1" x14ac:dyDescent="0.2"/>
    <row r="57836" s="689" customFormat="1" x14ac:dyDescent="0.2"/>
    <row r="57837" s="689" customFormat="1" x14ac:dyDescent="0.2"/>
    <row r="57838" s="689" customFormat="1" x14ac:dyDescent="0.2"/>
    <row r="57839" s="689" customFormat="1" x14ac:dyDescent="0.2"/>
    <row r="57840" s="689" customFormat="1" x14ac:dyDescent="0.2"/>
    <row r="57841" s="689" customFormat="1" x14ac:dyDescent="0.2"/>
    <row r="57842" s="689" customFormat="1" x14ac:dyDescent="0.2"/>
    <row r="57843" s="689" customFormat="1" x14ac:dyDescent="0.2"/>
    <row r="57844" s="689" customFormat="1" x14ac:dyDescent="0.2"/>
    <row r="57845" s="689" customFormat="1" x14ac:dyDescent="0.2"/>
    <row r="57846" s="689" customFormat="1" x14ac:dyDescent="0.2"/>
    <row r="57847" s="689" customFormat="1" x14ac:dyDescent="0.2"/>
    <row r="57848" s="689" customFormat="1" x14ac:dyDescent="0.2"/>
    <row r="57849" s="689" customFormat="1" x14ac:dyDescent="0.2"/>
    <row r="57850" s="689" customFormat="1" x14ac:dyDescent="0.2"/>
    <row r="57851" s="689" customFormat="1" x14ac:dyDescent="0.2"/>
    <row r="57852" s="689" customFormat="1" x14ac:dyDescent="0.2"/>
    <row r="57853" s="689" customFormat="1" x14ac:dyDescent="0.2"/>
    <row r="57854" s="689" customFormat="1" x14ac:dyDescent="0.2"/>
    <row r="57855" s="689" customFormat="1" x14ac:dyDescent="0.2"/>
    <row r="57856" s="689" customFormat="1" x14ac:dyDescent="0.2"/>
    <row r="57857" s="689" customFormat="1" x14ac:dyDescent="0.2"/>
    <row r="57858" s="689" customFormat="1" x14ac:dyDescent="0.2"/>
    <row r="57859" s="689" customFormat="1" x14ac:dyDescent="0.2"/>
    <row r="57860" s="689" customFormat="1" x14ac:dyDescent="0.2"/>
    <row r="57861" s="689" customFormat="1" x14ac:dyDescent="0.2"/>
    <row r="57862" s="689" customFormat="1" x14ac:dyDescent="0.2"/>
    <row r="57863" s="689" customFormat="1" x14ac:dyDescent="0.2"/>
    <row r="57864" s="689" customFormat="1" x14ac:dyDescent="0.2"/>
    <row r="57865" s="689" customFormat="1" x14ac:dyDescent="0.2"/>
    <row r="57866" s="689" customFormat="1" x14ac:dyDescent="0.2"/>
    <row r="57867" s="689" customFormat="1" x14ac:dyDescent="0.2"/>
    <row r="57868" s="689" customFormat="1" x14ac:dyDescent="0.2"/>
    <row r="57869" s="689" customFormat="1" x14ac:dyDescent="0.2"/>
    <row r="57870" s="689" customFormat="1" x14ac:dyDescent="0.2"/>
    <row r="57871" s="689" customFormat="1" x14ac:dyDescent="0.2"/>
    <row r="57872" s="689" customFormat="1" x14ac:dyDescent="0.2"/>
    <row r="57873" s="689" customFormat="1" x14ac:dyDescent="0.2"/>
    <row r="57874" s="689" customFormat="1" x14ac:dyDescent="0.2"/>
    <row r="57875" s="689" customFormat="1" x14ac:dyDescent="0.2"/>
    <row r="57876" s="689" customFormat="1" x14ac:dyDescent="0.2"/>
    <row r="57877" s="689" customFormat="1" x14ac:dyDescent="0.2"/>
    <row r="57878" s="689" customFormat="1" x14ac:dyDescent="0.2"/>
    <row r="57879" s="689" customFormat="1" x14ac:dyDescent="0.2"/>
    <row r="57880" s="689" customFormat="1" x14ac:dyDescent="0.2"/>
    <row r="57881" s="689" customFormat="1" x14ac:dyDescent="0.2"/>
    <row r="57882" s="689" customFormat="1" x14ac:dyDescent="0.2"/>
    <row r="57883" s="689" customFormat="1" x14ac:dyDescent="0.2"/>
    <row r="57884" s="689" customFormat="1" x14ac:dyDescent="0.2"/>
    <row r="57885" s="689" customFormat="1" x14ac:dyDescent="0.2"/>
    <row r="57886" s="689" customFormat="1" x14ac:dyDescent="0.2"/>
    <row r="57887" s="689" customFormat="1" x14ac:dyDescent="0.2"/>
    <row r="57888" s="689" customFormat="1" x14ac:dyDescent="0.2"/>
    <row r="57889" s="689" customFormat="1" x14ac:dyDescent="0.2"/>
    <row r="57890" s="689" customFormat="1" x14ac:dyDescent="0.2"/>
    <row r="57891" s="689" customFormat="1" x14ac:dyDescent="0.2"/>
    <row r="57892" s="689" customFormat="1" x14ac:dyDescent="0.2"/>
    <row r="57893" s="689" customFormat="1" x14ac:dyDescent="0.2"/>
    <row r="57894" s="689" customFormat="1" x14ac:dyDescent="0.2"/>
    <row r="57895" s="689" customFormat="1" x14ac:dyDescent="0.2"/>
    <row r="57896" s="689" customFormat="1" x14ac:dyDescent="0.2"/>
    <row r="57897" s="689" customFormat="1" x14ac:dyDescent="0.2"/>
    <row r="57898" s="689" customFormat="1" x14ac:dyDescent="0.2"/>
    <row r="57899" s="689" customFormat="1" x14ac:dyDescent="0.2"/>
    <row r="57900" s="689" customFormat="1" x14ac:dyDescent="0.2"/>
    <row r="57901" s="689" customFormat="1" x14ac:dyDescent="0.2"/>
    <row r="57902" s="689" customFormat="1" x14ac:dyDescent="0.2"/>
    <row r="57903" s="689" customFormat="1" x14ac:dyDescent="0.2"/>
    <row r="57904" s="689" customFormat="1" x14ac:dyDescent="0.2"/>
    <row r="57905" s="689" customFormat="1" x14ac:dyDescent="0.2"/>
    <row r="57906" s="689" customFormat="1" x14ac:dyDescent="0.2"/>
    <row r="57907" s="689" customFormat="1" x14ac:dyDescent="0.2"/>
    <row r="57908" s="689" customFormat="1" x14ac:dyDescent="0.2"/>
    <row r="57909" s="689" customFormat="1" x14ac:dyDescent="0.2"/>
    <row r="57910" s="689" customFormat="1" x14ac:dyDescent="0.2"/>
    <row r="57911" s="689" customFormat="1" x14ac:dyDescent="0.2"/>
    <row r="57912" s="689" customFormat="1" x14ac:dyDescent="0.2"/>
    <row r="57913" s="689" customFormat="1" x14ac:dyDescent="0.2"/>
    <row r="57914" s="689" customFormat="1" x14ac:dyDescent="0.2"/>
    <row r="57915" s="689" customFormat="1" x14ac:dyDescent="0.2"/>
    <row r="57916" s="689" customFormat="1" x14ac:dyDescent="0.2"/>
    <row r="57917" s="689" customFormat="1" x14ac:dyDescent="0.2"/>
    <row r="57918" s="689" customFormat="1" x14ac:dyDescent="0.2"/>
    <row r="57919" s="689" customFormat="1" x14ac:dyDescent="0.2"/>
    <row r="57920" s="689" customFormat="1" x14ac:dyDescent="0.2"/>
    <row r="57921" s="689" customFormat="1" x14ac:dyDescent="0.2"/>
    <row r="57922" s="689" customFormat="1" x14ac:dyDescent="0.2"/>
    <row r="57923" s="689" customFormat="1" x14ac:dyDescent="0.2"/>
    <row r="57924" s="689" customFormat="1" x14ac:dyDescent="0.2"/>
    <row r="57925" s="689" customFormat="1" x14ac:dyDescent="0.2"/>
    <row r="57926" s="689" customFormat="1" x14ac:dyDescent="0.2"/>
    <row r="57927" s="689" customFormat="1" x14ac:dyDescent="0.2"/>
    <row r="57928" s="689" customFormat="1" x14ac:dyDescent="0.2"/>
    <row r="57929" s="689" customFormat="1" x14ac:dyDescent="0.2"/>
    <row r="57930" s="689" customFormat="1" x14ac:dyDescent="0.2"/>
    <row r="57931" s="689" customFormat="1" x14ac:dyDescent="0.2"/>
    <row r="57932" s="689" customFormat="1" x14ac:dyDescent="0.2"/>
    <row r="57933" s="689" customFormat="1" x14ac:dyDescent="0.2"/>
    <row r="57934" s="689" customFormat="1" x14ac:dyDescent="0.2"/>
    <row r="57935" s="689" customFormat="1" x14ac:dyDescent="0.2"/>
    <row r="57936" s="689" customFormat="1" x14ac:dyDescent="0.2"/>
    <row r="57937" s="689" customFormat="1" x14ac:dyDescent="0.2"/>
    <row r="57938" s="689" customFormat="1" x14ac:dyDescent="0.2"/>
    <row r="57939" s="689" customFormat="1" x14ac:dyDescent="0.2"/>
    <row r="57940" s="689" customFormat="1" x14ac:dyDescent="0.2"/>
    <row r="57941" s="689" customFormat="1" x14ac:dyDescent="0.2"/>
    <row r="57942" s="689" customFormat="1" x14ac:dyDescent="0.2"/>
    <row r="57943" s="689" customFormat="1" x14ac:dyDescent="0.2"/>
    <row r="57944" s="689" customFormat="1" x14ac:dyDescent="0.2"/>
    <row r="57945" s="689" customFormat="1" x14ac:dyDescent="0.2"/>
    <row r="57946" s="689" customFormat="1" x14ac:dyDescent="0.2"/>
    <row r="57947" s="689" customFormat="1" x14ac:dyDescent="0.2"/>
    <row r="57948" s="689" customFormat="1" x14ac:dyDescent="0.2"/>
    <row r="57949" s="689" customFormat="1" x14ac:dyDescent="0.2"/>
    <row r="57950" s="689" customFormat="1" x14ac:dyDescent="0.2"/>
    <row r="57951" s="689" customFormat="1" x14ac:dyDescent="0.2"/>
    <row r="57952" s="689" customFormat="1" x14ac:dyDescent="0.2"/>
    <row r="57953" s="689" customFormat="1" x14ac:dyDescent="0.2"/>
    <row r="57954" s="689" customFormat="1" x14ac:dyDescent="0.2"/>
    <row r="57955" s="689" customFormat="1" x14ac:dyDescent="0.2"/>
    <row r="57956" s="689" customFormat="1" x14ac:dyDescent="0.2"/>
    <row r="57957" s="689" customFormat="1" x14ac:dyDescent="0.2"/>
    <row r="57958" s="689" customFormat="1" x14ac:dyDescent="0.2"/>
    <row r="57959" s="689" customFormat="1" x14ac:dyDescent="0.2"/>
    <row r="57960" s="689" customFormat="1" x14ac:dyDescent="0.2"/>
    <row r="57961" s="689" customFormat="1" x14ac:dyDescent="0.2"/>
    <row r="57962" s="689" customFormat="1" x14ac:dyDescent="0.2"/>
    <row r="57963" s="689" customFormat="1" x14ac:dyDescent="0.2"/>
    <row r="57964" s="689" customFormat="1" x14ac:dyDescent="0.2"/>
    <row r="57965" s="689" customFormat="1" x14ac:dyDescent="0.2"/>
    <row r="57966" s="689" customFormat="1" x14ac:dyDescent="0.2"/>
    <row r="57967" s="689" customFormat="1" x14ac:dyDescent="0.2"/>
    <row r="57968" s="689" customFormat="1" x14ac:dyDescent="0.2"/>
    <row r="57969" s="689" customFormat="1" x14ac:dyDescent="0.2"/>
    <row r="57970" s="689" customFormat="1" x14ac:dyDescent="0.2"/>
    <row r="57971" s="689" customFormat="1" x14ac:dyDescent="0.2"/>
    <row r="57972" s="689" customFormat="1" x14ac:dyDescent="0.2"/>
    <row r="57973" s="689" customFormat="1" x14ac:dyDescent="0.2"/>
    <row r="57974" s="689" customFormat="1" x14ac:dyDescent="0.2"/>
    <row r="57975" s="689" customFormat="1" x14ac:dyDescent="0.2"/>
    <row r="57976" s="689" customFormat="1" x14ac:dyDescent="0.2"/>
    <row r="57977" s="689" customFormat="1" x14ac:dyDescent="0.2"/>
    <row r="57978" s="689" customFormat="1" x14ac:dyDescent="0.2"/>
    <row r="57979" s="689" customFormat="1" x14ac:dyDescent="0.2"/>
    <row r="57980" s="689" customFormat="1" x14ac:dyDescent="0.2"/>
    <row r="57981" s="689" customFormat="1" x14ac:dyDescent="0.2"/>
    <row r="57982" s="689" customFormat="1" x14ac:dyDescent="0.2"/>
    <row r="57983" s="689" customFormat="1" x14ac:dyDescent="0.2"/>
    <row r="57984" s="689" customFormat="1" x14ac:dyDescent="0.2"/>
    <row r="57985" s="689" customFormat="1" x14ac:dyDescent="0.2"/>
    <row r="57986" s="689" customFormat="1" x14ac:dyDescent="0.2"/>
    <row r="57987" s="689" customFormat="1" x14ac:dyDescent="0.2"/>
    <row r="57988" s="689" customFormat="1" x14ac:dyDescent="0.2"/>
    <row r="57989" s="689" customFormat="1" x14ac:dyDescent="0.2"/>
    <row r="57990" s="689" customFormat="1" x14ac:dyDescent="0.2"/>
    <row r="57991" s="689" customFormat="1" x14ac:dyDescent="0.2"/>
    <row r="57992" s="689" customFormat="1" x14ac:dyDescent="0.2"/>
    <row r="57993" s="689" customFormat="1" x14ac:dyDescent="0.2"/>
    <row r="57994" s="689" customFormat="1" x14ac:dyDescent="0.2"/>
    <row r="57995" s="689" customFormat="1" x14ac:dyDescent="0.2"/>
    <row r="57996" s="689" customFormat="1" x14ac:dyDescent="0.2"/>
    <row r="57997" s="689" customFormat="1" x14ac:dyDescent="0.2"/>
    <row r="57998" s="689" customFormat="1" x14ac:dyDescent="0.2"/>
    <row r="57999" s="689" customFormat="1" x14ac:dyDescent="0.2"/>
    <row r="58000" s="689" customFormat="1" x14ac:dyDescent="0.2"/>
    <row r="58001" s="689" customFormat="1" x14ac:dyDescent="0.2"/>
    <row r="58002" s="689" customFormat="1" x14ac:dyDescent="0.2"/>
    <row r="58003" s="689" customFormat="1" x14ac:dyDescent="0.2"/>
    <row r="58004" s="689" customFormat="1" x14ac:dyDescent="0.2"/>
    <row r="58005" s="689" customFormat="1" x14ac:dyDescent="0.2"/>
    <row r="58006" s="689" customFormat="1" x14ac:dyDescent="0.2"/>
    <row r="58007" s="689" customFormat="1" x14ac:dyDescent="0.2"/>
    <row r="58008" s="689" customFormat="1" x14ac:dyDescent="0.2"/>
    <row r="58009" s="689" customFormat="1" x14ac:dyDescent="0.2"/>
    <row r="58010" s="689" customFormat="1" x14ac:dyDescent="0.2"/>
    <row r="58011" s="689" customFormat="1" x14ac:dyDescent="0.2"/>
    <row r="58012" s="689" customFormat="1" x14ac:dyDescent="0.2"/>
    <row r="58013" s="689" customFormat="1" x14ac:dyDescent="0.2"/>
    <row r="58014" s="689" customFormat="1" x14ac:dyDescent="0.2"/>
    <row r="58015" s="689" customFormat="1" x14ac:dyDescent="0.2"/>
    <row r="58016" s="689" customFormat="1" x14ac:dyDescent="0.2"/>
    <row r="58017" s="689" customFormat="1" x14ac:dyDescent="0.2"/>
    <row r="58018" s="689" customFormat="1" x14ac:dyDescent="0.2"/>
    <row r="58019" s="689" customFormat="1" x14ac:dyDescent="0.2"/>
    <row r="58020" s="689" customFormat="1" x14ac:dyDescent="0.2"/>
    <row r="58021" s="689" customFormat="1" x14ac:dyDescent="0.2"/>
    <row r="58022" s="689" customFormat="1" x14ac:dyDescent="0.2"/>
    <row r="58023" s="689" customFormat="1" x14ac:dyDescent="0.2"/>
    <row r="58024" s="689" customFormat="1" x14ac:dyDescent="0.2"/>
    <row r="58025" s="689" customFormat="1" x14ac:dyDescent="0.2"/>
    <row r="58026" s="689" customFormat="1" x14ac:dyDescent="0.2"/>
    <row r="58027" s="689" customFormat="1" x14ac:dyDescent="0.2"/>
    <row r="58028" s="689" customFormat="1" x14ac:dyDescent="0.2"/>
    <row r="58029" s="689" customFormat="1" x14ac:dyDescent="0.2"/>
    <row r="58030" s="689" customFormat="1" x14ac:dyDescent="0.2"/>
    <row r="58031" s="689" customFormat="1" x14ac:dyDescent="0.2"/>
    <row r="58032" s="689" customFormat="1" x14ac:dyDescent="0.2"/>
    <row r="58033" s="689" customFormat="1" x14ac:dyDescent="0.2"/>
    <row r="58034" s="689" customFormat="1" x14ac:dyDescent="0.2"/>
    <row r="58035" s="689" customFormat="1" x14ac:dyDescent="0.2"/>
    <row r="58036" s="689" customFormat="1" x14ac:dyDescent="0.2"/>
    <row r="58037" s="689" customFormat="1" x14ac:dyDescent="0.2"/>
    <row r="58038" s="689" customFormat="1" x14ac:dyDescent="0.2"/>
    <row r="58039" s="689" customFormat="1" x14ac:dyDescent="0.2"/>
    <row r="58040" s="689" customFormat="1" x14ac:dyDescent="0.2"/>
    <row r="58041" s="689" customFormat="1" x14ac:dyDescent="0.2"/>
    <row r="58042" s="689" customFormat="1" x14ac:dyDescent="0.2"/>
    <row r="58043" s="689" customFormat="1" x14ac:dyDescent="0.2"/>
    <row r="58044" s="689" customFormat="1" x14ac:dyDescent="0.2"/>
    <row r="58045" s="689" customFormat="1" x14ac:dyDescent="0.2"/>
    <row r="58046" s="689" customFormat="1" x14ac:dyDescent="0.2"/>
    <row r="58047" s="689" customFormat="1" x14ac:dyDescent="0.2"/>
    <row r="58048" s="689" customFormat="1" x14ac:dyDescent="0.2"/>
    <row r="58049" s="689" customFormat="1" x14ac:dyDescent="0.2"/>
    <row r="58050" s="689" customFormat="1" x14ac:dyDescent="0.2"/>
    <row r="58051" s="689" customFormat="1" x14ac:dyDescent="0.2"/>
    <row r="58052" s="689" customFormat="1" x14ac:dyDescent="0.2"/>
    <row r="58053" s="689" customFormat="1" x14ac:dyDescent="0.2"/>
    <row r="58054" s="689" customFormat="1" x14ac:dyDescent="0.2"/>
    <row r="58055" s="689" customFormat="1" x14ac:dyDescent="0.2"/>
    <row r="58056" s="689" customFormat="1" x14ac:dyDescent="0.2"/>
    <row r="58057" s="689" customFormat="1" x14ac:dyDescent="0.2"/>
    <row r="58058" s="689" customFormat="1" x14ac:dyDescent="0.2"/>
    <row r="58059" s="689" customFormat="1" x14ac:dyDescent="0.2"/>
    <row r="58060" s="689" customFormat="1" x14ac:dyDescent="0.2"/>
    <row r="58061" s="689" customFormat="1" x14ac:dyDescent="0.2"/>
    <row r="58062" s="689" customFormat="1" x14ac:dyDescent="0.2"/>
    <row r="58063" s="689" customFormat="1" x14ac:dyDescent="0.2"/>
    <row r="58064" s="689" customFormat="1" x14ac:dyDescent="0.2"/>
    <row r="58065" s="689" customFormat="1" x14ac:dyDescent="0.2"/>
    <row r="58066" s="689" customFormat="1" x14ac:dyDescent="0.2"/>
    <row r="58067" s="689" customFormat="1" x14ac:dyDescent="0.2"/>
    <row r="58068" s="689" customFormat="1" x14ac:dyDescent="0.2"/>
    <row r="58069" s="689" customFormat="1" x14ac:dyDescent="0.2"/>
    <row r="58070" s="689" customFormat="1" x14ac:dyDescent="0.2"/>
    <row r="58071" s="689" customFormat="1" x14ac:dyDescent="0.2"/>
    <row r="58072" s="689" customFormat="1" x14ac:dyDescent="0.2"/>
    <row r="58073" s="689" customFormat="1" x14ac:dyDescent="0.2"/>
    <row r="58074" s="689" customFormat="1" x14ac:dyDescent="0.2"/>
    <row r="58075" s="689" customFormat="1" x14ac:dyDescent="0.2"/>
    <row r="58076" s="689" customFormat="1" x14ac:dyDescent="0.2"/>
    <row r="58077" s="689" customFormat="1" x14ac:dyDescent="0.2"/>
    <row r="58078" s="689" customFormat="1" x14ac:dyDescent="0.2"/>
    <row r="58079" s="689" customFormat="1" x14ac:dyDescent="0.2"/>
    <row r="58080" s="689" customFormat="1" x14ac:dyDescent="0.2"/>
    <row r="58081" s="689" customFormat="1" x14ac:dyDescent="0.2"/>
    <row r="58082" s="689" customFormat="1" x14ac:dyDescent="0.2"/>
    <row r="58083" s="689" customFormat="1" x14ac:dyDescent="0.2"/>
    <row r="58084" s="689" customFormat="1" x14ac:dyDescent="0.2"/>
    <row r="58085" s="689" customFormat="1" x14ac:dyDescent="0.2"/>
    <row r="58086" s="689" customFormat="1" x14ac:dyDescent="0.2"/>
    <row r="58087" s="689" customFormat="1" x14ac:dyDescent="0.2"/>
    <row r="58088" s="689" customFormat="1" x14ac:dyDescent="0.2"/>
    <row r="58089" s="689" customFormat="1" x14ac:dyDescent="0.2"/>
    <row r="58090" s="689" customFormat="1" x14ac:dyDescent="0.2"/>
    <row r="58091" s="689" customFormat="1" x14ac:dyDescent="0.2"/>
    <row r="58092" s="689" customFormat="1" x14ac:dyDescent="0.2"/>
    <row r="58093" s="689" customFormat="1" x14ac:dyDescent="0.2"/>
    <row r="58094" s="689" customFormat="1" x14ac:dyDescent="0.2"/>
    <row r="58095" s="689" customFormat="1" x14ac:dyDescent="0.2"/>
    <row r="58096" s="689" customFormat="1" x14ac:dyDescent="0.2"/>
    <row r="58097" s="689" customFormat="1" x14ac:dyDescent="0.2"/>
    <row r="58098" s="689" customFormat="1" x14ac:dyDescent="0.2"/>
    <row r="58099" s="689" customFormat="1" x14ac:dyDescent="0.2"/>
    <row r="58100" s="689" customFormat="1" x14ac:dyDescent="0.2"/>
    <row r="58101" s="689" customFormat="1" x14ac:dyDescent="0.2"/>
    <row r="58102" s="689" customFormat="1" x14ac:dyDescent="0.2"/>
    <row r="58103" s="689" customFormat="1" x14ac:dyDescent="0.2"/>
    <row r="58104" s="689" customFormat="1" x14ac:dyDescent="0.2"/>
    <row r="58105" s="689" customFormat="1" x14ac:dyDescent="0.2"/>
    <row r="58106" s="689" customFormat="1" x14ac:dyDescent="0.2"/>
    <row r="58107" s="689" customFormat="1" x14ac:dyDescent="0.2"/>
    <row r="58108" s="689" customFormat="1" x14ac:dyDescent="0.2"/>
    <row r="58109" s="689" customFormat="1" x14ac:dyDescent="0.2"/>
    <row r="58110" s="689" customFormat="1" x14ac:dyDescent="0.2"/>
    <row r="58111" s="689" customFormat="1" x14ac:dyDescent="0.2"/>
    <row r="58112" s="689" customFormat="1" x14ac:dyDescent="0.2"/>
    <row r="58113" s="689" customFormat="1" x14ac:dyDescent="0.2"/>
    <row r="58114" s="689" customFormat="1" x14ac:dyDescent="0.2"/>
    <row r="58115" s="689" customFormat="1" x14ac:dyDescent="0.2"/>
    <row r="58116" s="689" customFormat="1" x14ac:dyDescent="0.2"/>
    <row r="58117" s="689" customFormat="1" x14ac:dyDescent="0.2"/>
    <row r="58118" s="689" customFormat="1" x14ac:dyDescent="0.2"/>
    <row r="58119" s="689" customFormat="1" x14ac:dyDescent="0.2"/>
    <row r="58120" s="689" customFormat="1" x14ac:dyDescent="0.2"/>
    <row r="58121" s="689" customFormat="1" x14ac:dyDescent="0.2"/>
    <row r="58122" s="689" customFormat="1" x14ac:dyDescent="0.2"/>
    <row r="58123" s="689" customFormat="1" x14ac:dyDescent="0.2"/>
    <row r="58124" s="689" customFormat="1" x14ac:dyDescent="0.2"/>
    <row r="58125" s="689" customFormat="1" x14ac:dyDescent="0.2"/>
    <row r="58126" s="689" customFormat="1" x14ac:dyDescent="0.2"/>
    <row r="58127" s="689" customFormat="1" x14ac:dyDescent="0.2"/>
    <row r="58128" s="689" customFormat="1" x14ac:dyDescent="0.2"/>
    <row r="58129" s="689" customFormat="1" x14ac:dyDescent="0.2"/>
    <row r="58130" s="689" customFormat="1" x14ac:dyDescent="0.2"/>
    <row r="58131" s="689" customFormat="1" x14ac:dyDescent="0.2"/>
    <row r="58132" s="689" customFormat="1" x14ac:dyDescent="0.2"/>
    <row r="58133" s="689" customFormat="1" x14ac:dyDescent="0.2"/>
    <row r="58134" s="689" customFormat="1" x14ac:dyDescent="0.2"/>
    <row r="58135" s="689" customFormat="1" x14ac:dyDescent="0.2"/>
    <row r="58136" s="689" customFormat="1" x14ac:dyDescent="0.2"/>
    <row r="58137" s="689" customFormat="1" x14ac:dyDescent="0.2"/>
    <row r="58138" s="689" customFormat="1" x14ac:dyDescent="0.2"/>
    <row r="58139" s="689" customFormat="1" x14ac:dyDescent="0.2"/>
    <row r="58140" s="689" customFormat="1" x14ac:dyDescent="0.2"/>
    <row r="58141" s="689" customFormat="1" x14ac:dyDescent="0.2"/>
    <row r="58142" s="689" customFormat="1" x14ac:dyDescent="0.2"/>
    <row r="58143" s="689" customFormat="1" x14ac:dyDescent="0.2"/>
    <row r="58144" s="689" customFormat="1" x14ac:dyDescent="0.2"/>
    <row r="58145" s="689" customFormat="1" x14ac:dyDescent="0.2"/>
    <row r="58146" s="689" customFormat="1" x14ac:dyDescent="0.2"/>
    <row r="58147" s="689" customFormat="1" x14ac:dyDescent="0.2"/>
    <row r="58148" s="689" customFormat="1" x14ac:dyDescent="0.2"/>
    <row r="58149" s="689" customFormat="1" x14ac:dyDescent="0.2"/>
    <row r="58150" s="689" customFormat="1" x14ac:dyDescent="0.2"/>
    <row r="58151" s="689" customFormat="1" x14ac:dyDescent="0.2"/>
    <row r="58152" s="689" customFormat="1" x14ac:dyDescent="0.2"/>
    <row r="58153" s="689" customFormat="1" x14ac:dyDescent="0.2"/>
    <row r="58154" s="689" customFormat="1" x14ac:dyDescent="0.2"/>
    <row r="58155" s="689" customFormat="1" x14ac:dyDescent="0.2"/>
    <row r="58156" s="689" customFormat="1" x14ac:dyDescent="0.2"/>
    <row r="58157" s="689" customFormat="1" x14ac:dyDescent="0.2"/>
    <row r="58158" s="689" customFormat="1" x14ac:dyDescent="0.2"/>
    <row r="58159" s="689" customFormat="1" x14ac:dyDescent="0.2"/>
    <row r="58160" s="689" customFormat="1" x14ac:dyDescent="0.2"/>
    <row r="58161" s="689" customFormat="1" x14ac:dyDescent="0.2"/>
    <row r="58162" s="689" customFormat="1" x14ac:dyDescent="0.2"/>
    <row r="58163" s="689" customFormat="1" x14ac:dyDescent="0.2"/>
    <row r="58164" s="689" customFormat="1" x14ac:dyDescent="0.2"/>
    <row r="58165" s="689" customFormat="1" x14ac:dyDescent="0.2"/>
    <row r="58166" s="689" customFormat="1" x14ac:dyDescent="0.2"/>
    <row r="58167" s="689" customFormat="1" x14ac:dyDescent="0.2"/>
    <row r="58168" s="689" customFormat="1" x14ac:dyDescent="0.2"/>
    <row r="58169" s="689" customFormat="1" x14ac:dyDescent="0.2"/>
    <row r="58170" s="689" customFormat="1" x14ac:dyDescent="0.2"/>
    <row r="58171" s="689" customFormat="1" x14ac:dyDescent="0.2"/>
    <row r="58172" s="689" customFormat="1" x14ac:dyDescent="0.2"/>
    <row r="58173" s="689" customFormat="1" x14ac:dyDescent="0.2"/>
    <row r="58174" s="689" customFormat="1" x14ac:dyDescent="0.2"/>
    <row r="58175" s="689" customFormat="1" x14ac:dyDescent="0.2"/>
    <row r="58176" s="689" customFormat="1" x14ac:dyDescent="0.2"/>
    <row r="58177" s="689" customFormat="1" x14ac:dyDescent="0.2"/>
    <row r="58178" s="689" customFormat="1" x14ac:dyDescent="0.2"/>
    <row r="58179" s="689" customFormat="1" x14ac:dyDescent="0.2"/>
    <row r="58180" s="689" customFormat="1" x14ac:dyDescent="0.2"/>
    <row r="58181" s="689" customFormat="1" x14ac:dyDescent="0.2"/>
    <row r="58182" s="689" customFormat="1" x14ac:dyDescent="0.2"/>
    <row r="58183" s="689" customFormat="1" x14ac:dyDescent="0.2"/>
    <row r="58184" s="689" customFormat="1" x14ac:dyDescent="0.2"/>
    <row r="58185" s="689" customFormat="1" x14ac:dyDescent="0.2"/>
    <row r="58186" s="689" customFormat="1" x14ac:dyDescent="0.2"/>
    <row r="58187" s="689" customFormat="1" x14ac:dyDescent="0.2"/>
    <row r="58188" s="689" customFormat="1" x14ac:dyDescent="0.2"/>
    <row r="58189" s="689" customFormat="1" x14ac:dyDescent="0.2"/>
    <row r="58190" s="689" customFormat="1" x14ac:dyDescent="0.2"/>
    <row r="58191" s="689" customFormat="1" x14ac:dyDescent="0.2"/>
    <row r="58192" s="689" customFormat="1" x14ac:dyDescent="0.2"/>
    <row r="58193" s="689" customFormat="1" x14ac:dyDescent="0.2"/>
    <row r="58194" s="689" customFormat="1" x14ac:dyDescent="0.2"/>
    <row r="58195" s="689" customFormat="1" x14ac:dyDescent="0.2"/>
    <row r="58196" s="689" customFormat="1" x14ac:dyDescent="0.2"/>
    <row r="58197" s="689" customFormat="1" x14ac:dyDescent="0.2"/>
    <row r="58198" s="689" customFormat="1" x14ac:dyDescent="0.2"/>
    <row r="58199" s="689" customFormat="1" x14ac:dyDescent="0.2"/>
    <row r="58200" s="689" customFormat="1" x14ac:dyDescent="0.2"/>
    <row r="58201" s="689" customFormat="1" x14ac:dyDescent="0.2"/>
    <row r="58202" s="689" customFormat="1" x14ac:dyDescent="0.2"/>
    <row r="58203" s="689" customFormat="1" x14ac:dyDescent="0.2"/>
    <row r="58204" s="689" customFormat="1" x14ac:dyDescent="0.2"/>
    <row r="58205" s="689" customFormat="1" x14ac:dyDescent="0.2"/>
    <row r="58206" s="689" customFormat="1" x14ac:dyDescent="0.2"/>
    <row r="58207" s="689" customFormat="1" x14ac:dyDescent="0.2"/>
    <row r="58208" s="689" customFormat="1" x14ac:dyDescent="0.2"/>
    <row r="58209" s="689" customFormat="1" x14ac:dyDescent="0.2"/>
    <row r="58210" s="689" customFormat="1" x14ac:dyDescent="0.2"/>
    <row r="58211" s="689" customFormat="1" x14ac:dyDescent="0.2"/>
    <row r="58212" s="689" customFormat="1" x14ac:dyDescent="0.2"/>
    <row r="58213" s="689" customFormat="1" x14ac:dyDescent="0.2"/>
    <row r="58214" s="689" customFormat="1" x14ac:dyDescent="0.2"/>
    <row r="58215" s="689" customFormat="1" x14ac:dyDescent="0.2"/>
    <row r="58216" s="689" customFormat="1" x14ac:dyDescent="0.2"/>
    <row r="58217" s="689" customFormat="1" x14ac:dyDescent="0.2"/>
    <row r="58218" s="689" customFormat="1" x14ac:dyDescent="0.2"/>
    <row r="58219" s="689" customFormat="1" x14ac:dyDescent="0.2"/>
    <row r="58220" s="689" customFormat="1" x14ac:dyDescent="0.2"/>
    <row r="58221" s="689" customFormat="1" x14ac:dyDescent="0.2"/>
    <row r="58222" s="689" customFormat="1" x14ac:dyDescent="0.2"/>
    <row r="58223" s="689" customFormat="1" x14ac:dyDescent="0.2"/>
    <row r="58224" s="689" customFormat="1" x14ac:dyDescent="0.2"/>
    <row r="58225" s="689" customFormat="1" x14ac:dyDescent="0.2"/>
    <row r="58226" s="689" customFormat="1" x14ac:dyDescent="0.2"/>
    <row r="58227" s="689" customFormat="1" x14ac:dyDescent="0.2"/>
    <row r="58228" s="689" customFormat="1" x14ac:dyDescent="0.2"/>
    <row r="58229" s="689" customFormat="1" x14ac:dyDescent="0.2"/>
    <row r="58230" s="689" customFormat="1" x14ac:dyDescent="0.2"/>
    <row r="58231" s="689" customFormat="1" x14ac:dyDescent="0.2"/>
    <row r="58232" s="689" customFormat="1" x14ac:dyDescent="0.2"/>
    <row r="58233" s="689" customFormat="1" x14ac:dyDescent="0.2"/>
    <row r="58234" s="689" customFormat="1" x14ac:dyDescent="0.2"/>
    <row r="58235" s="689" customFormat="1" x14ac:dyDescent="0.2"/>
    <row r="58236" s="689" customFormat="1" x14ac:dyDescent="0.2"/>
    <row r="58237" s="689" customFormat="1" x14ac:dyDescent="0.2"/>
    <row r="58238" s="689" customFormat="1" x14ac:dyDescent="0.2"/>
    <row r="58239" s="689" customFormat="1" x14ac:dyDescent="0.2"/>
    <row r="58240" s="689" customFormat="1" x14ac:dyDescent="0.2"/>
    <row r="58241" s="689" customFormat="1" x14ac:dyDescent="0.2"/>
    <row r="58242" s="689" customFormat="1" x14ac:dyDescent="0.2"/>
    <row r="58243" s="689" customFormat="1" x14ac:dyDescent="0.2"/>
    <row r="58244" s="689" customFormat="1" x14ac:dyDescent="0.2"/>
    <row r="58245" s="689" customFormat="1" x14ac:dyDescent="0.2"/>
    <row r="58246" s="689" customFormat="1" x14ac:dyDescent="0.2"/>
    <row r="58247" s="689" customFormat="1" x14ac:dyDescent="0.2"/>
    <row r="58248" s="689" customFormat="1" x14ac:dyDescent="0.2"/>
    <row r="58249" s="689" customFormat="1" x14ac:dyDescent="0.2"/>
    <row r="58250" s="689" customFormat="1" x14ac:dyDescent="0.2"/>
    <row r="58251" s="689" customFormat="1" x14ac:dyDescent="0.2"/>
    <row r="58252" s="689" customFormat="1" x14ac:dyDescent="0.2"/>
    <row r="58253" s="689" customFormat="1" x14ac:dyDescent="0.2"/>
    <row r="58254" s="689" customFormat="1" x14ac:dyDescent="0.2"/>
    <row r="58255" s="689" customFormat="1" x14ac:dyDescent="0.2"/>
    <row r="58256" s="689" customFormat="1" x14ac:dyDescent="0.2"/>
    <row r="58257" s="689" customFormat="1" x14ac:dyDescent="0.2"/>
    <row r="58258" s="689" customFormat="1" x14ac:dyDescent="0.2"/>
    <row r="58259" s="689" customFormat="1" x14ac:dyDescent="0.2"/>
    <row r="58260" s="689" customFormat="1" x14ac:dyDescent="0.2"/>
    <row r="58261" s="689" customFormat="1" x14ac:dyDescent="0.2"/>
    <row r="58262" s="689" customFormat="1" x14ac:dyDescent="0.2"/>
    <row r="58263" s="689" customFormat="1" x14ac:dyDescent="0.2"/>
    <row r="58264" s="689" customFormat="1" x14ac:dyDescent="0.2"/>
    <row r="58265" s="689" customFormat="1" x14ac:dyDescent="0.2"/>
    <row r="58266" s="689" customFormat="1" x14ac:dyDescent="0.2"/>
    <row r="58267" s="689" customFormat="1" x14ac:dyDescent="0.2"/>
    <row r="58268" s="689" customFormat="1" x14ac:dyDescent="0.2"/>
    <row r="58269" s="689" customFormat="1" x14ac:dyDescent="0.2"/>
    <row r="58270" s="689" customFormat="1" x14ac:dyDescent="0.2"/>
    <row r="58271" s="689" customFormat="1" x14ac:dyDescent="0.2"/>
    <row r="58272" s="689" customFormat="1" x14ac:dyDescent="0.2"/>
    <row r="58273" s="689" customFormat="1" x14ac:dyDescent="0.2"/>
    <row r="58274" s="689" customFormat="1" x14ac:dyDescent="0.2"/>
    <row r="58275" s="689" customFormat="1" x14ac:dyDescent="0.2"/>
    <row r="58276" s="689" customFormat="1" x14ac:dyDescent="0.2"/>
    <row r="58277" s="689" customFormat="1" x14ac:dyDescent="0.2"/>
    <row r="58278" s="689" customFormat="1" x14ac:dyDescent="0.2"/>
    <row r="58279" s="689" customFormat="1" x14ac:dyDescent="0.2"/>
    <row r="58280" s="689" customFormat="1" x14ac:dyDescent="0.2"/>
    <row r="58281" s="689" customFormat="1" x14ac:dyDescent="0.2"/>
    <row r="58282" s="689" customFormat="1" x14ac:dyDescent="0.2"/>
    <row r="58283" s="689" customFormat="1" x14ac:dyDescent="0.2"/>
    <row r="58284" s="689" customFormat="1" x14ac:dyDescent="0.2"/>
    <row r="58285" s="689" customFormat="1" x14ac:dyDescent="0.2"/>
    <row r="58286" s="689" customFormat="1" x14ac:dyDescent="0.2"/>
    <row r="58287" s="689" customFormat="1" x14ac:dyDescent="0.2"/>
    <row r="58288" s="689" customFormat="1" x14ac:dyDescent="0.2"/>
    <row r="58289" s="689" customFormat="1" x14ac:dyDescent="0.2"/>
    <row r="58290" s="689" customFormat="1" x14ac:dyDescent="0.2"/>
    <row r="58291" s="689" customFormat="1" x14ac:dyDescent="0.2"/>
    <row r="58292" s="689" customFormat="1" x14ac:dyDescent="0.2"/>
    <row r="58293" s="689" customFormat="1" x14ac:dyDescent="0.2"/>
    <row r="58294" s="689" customFormat="1" x14ac:dyDescent="0.2"/>
    <row r="58295" s="689" customFormat="1" x14ac:dyDescent="0.2"/>
    <row r="58296" s="689" customFormat="1" x14ac:dyDescent="0.2"/>
    <row r="58297" s="689" customFormat="1" x14ac:dyDescent="0.2"/>
    <row r="58298" s="689" customFormat="1" x14ac:dyDescent="0.2"/>
    <row r="58299" s="689" customFormat="1" x14ac:dyDescent="0.2"/>
    <row r="58300" s="689" customFormat="1" x14ac:dyDescent="0.2"/>
    <row r="58301" s="689" customFormat="1" x14ac:dyDescent="0.2"/>
    <row r="58302" s="689" customFormat="1" x14ac:dyDescent="0.2"/>
    <row r="58303" s="689" customFormat="1" x14ac:dyDescent="0.2"/>
    <row r="58304" s="689" customFormat="1" x14ac:dyDescent="0.2"/>
    <row r="58305" s="689" customFormat="1" x14ac:dyDescent="0.2"/>
    <row r="58306" s="689" customFormat="1" x14ac:dyDescent="0.2"/>
    <row r="58307" s="689" customFormat="1" x14ac:dyDescent="0.2"/>
    <row r="58308" s="689" customFormat="1" x14ac:dyDescent="0.2"/>
    <row r="58309" s="689" customFormat="1" x14ac:dyDescent="0.2"/>
    <row r="58310" s="689" customFormat="1" x14ac:dyDescent="0.2"/>
    <row r="58311" s="689" customFormat="1" x14ac:dyDescent="0.2"/>
    <row r="58312" s="689" customFormat="1" x14ac:dyDescent="0.2"/>
    <row r="58313" s="689" customFormat="1" x14ac:dyDescent="0.2"/>
    <row r="58314" s="689" customFormat="1" x14ac:dyDescent="0.2"/>
    <row r="58315" s="689" customFormat="1" x14ac:dyDescent="0.2"/>
    <row r="58316" s="689" customFormat="1" x14ac:dyDescent="0.2"/>
    <row r="58317" s="689" customFormat="1" x14ac:dyDescent="0.2"/>
    <row r="58318" s="689" customFormat="1" x14ac:dyDescent="0.2"/>
    <row r="58319" s="689" customFormat="1" x14ac:dyDescent="0.2"/>
    <row r="58320" s="689" customFormat="1" x14ac:dyDescent="0.2"/>
    <row r="58321" s="689" customFormat="1" x14ac:dyDescent="0.2"/>
    <row r="58322" s="689" customFormat="1" x14ac:dyDescent="0.2"/>
    <row r="58323" s="689" customFormat="1" x14ac:dyDescent="0.2"/>
    <row r="58324" s="689" customFormat="1" x14ac:dyDescent="0.2"/>
    <row r="58325" s="689" customFormat="1" x14ac:dyDescent="0.2"/>
    <row r="58326" s="689" customFormat="1" x14ac:dyDescent="0.2"/>
    <row r="58327" s="689" customFormat="1" x14ac:dyDescent="0.2"/>
    <row r="58328" s="689" customFormat="1" x14ac:dyDescent="0.2"/>
    <row r="58329" s="689" customFormat="1" x14ac:dyDescent="0.2"/>
    <row r="58330" s="689" customFormat="1" x14ac:dyDescent="0.2"/>
    <row r="58331" s="689" customFormat="1" x14ac:dyDescent="0.2"/>
    <row r="58332" s="689" customFormat="1" x14ac:dyDescent="0.2"/>
    <row r="58333" s="689" customFormat="1" x14ac:dyDescent="0.2"/>
    <row r="58334" s="689" customFormat="1" x14ac:dyDescent="0.2"/>
    <row r="58335" s="689" customFormat="1" x14ac:dyDescent="0.2"/>
    <row r="58336" s="689" customFormat="1" x14ac:dyDescent="0.2"/>
    <row r="58337" s="689" customFormat="1" x14ac:dyDescent="0.2"/>
    <row r="58338" s="689" customFormat="1" x14ac:dyDescent="0.2"/>
    <row r="58339" s="689" customFormat="1" x14ac:dyDescent="0.2"/>
    <row r="58340" s="689" customFormat="1" x14ac:dyDescent="0.2"/>
    <row r="58341" s="689" customFormat="1" x14ac:dyDescent="0.2"/>
    <row r="58342" s="689" customFormat="1" x14ac:dyDescent="0.2"/>
    <row r="58343" s="689" customFormat="1" x14ac:dyDescent="0.2"/>
    <row r="58344" s="689" customFormat="1" x14ac:dyDescent="0.2"/>
    <row r="58345" s="689" customFormat="1" x14ac:dyDescent="0.2"/>
    <row r="58346" s="689" customFormat="1" x14ac:dyDescent="0.2"/>
    <row r="58347" s="689" customFormat="1" x14ac:dyDescent="0.2"/>
    <row r="58348" s="689" customFormat="1" x14ac:dyDescent="0.2"/>
    <row r="58349" s="689" customFormat="1" x14ac:dyDescent="0.2"/>
    <row r="58350" s="689" customFormat="1" x14ac:dyDescent="0.2"/>
    <row r="58351" s="689" customFormat="1" x14ac:dyDescent="0.2"/>
    <row r="58352" s="689" customFormat="1" x14ac:dyDescent="0.2"/>
    <row r="58353" s="689" customFormat="1" x14ac:dyDescent="0.2"/>
    <row r="58354" s="689" customFormat="1" x14ac:dyDescent="0.2"/>
    <row r="58355" s="689" customFormat="1" x14ac:dyDescent="0.2"/>
    <row r="58356" s="689" customFormat="1" x14ac:dyDescent="0.2"/>
    <row r="58357" s="689" customFormat="1" x14ac:dyDescent="0.2"/>
    <row r="58358" s="689" customFormat="1" x14ac:dyDescent="0.2"/>
    <row r="58359" s="689" customFormat="1" x14ac:dyDescent="0.2"/>
    <row r="58360" s="689" customFormat="1" x14ac:dyDescent="0.2"/>
    <row r="58361" s="689" customFormat="1" x14ac:dyDescent="0.2"/>
    <row r="58362" s="689" customFormat="1" x14ac:dyDescent="0.2"/>
    <row r="58363" s="689" customFormat="1" x14ac:dyDescent="0.2"/>
    <row r="58364" s="689" customFormat="1" x14ac:dyDescent="0.2"/>
    <row r="58365" s="689" customFormat="1" x14ac:dyDescent="0.2"/>
    <row r="58366" s="689" customFormat="1" x14ac:dyDescent="0.2"/>
    <row r="58367" s="689" customFormat="1" x14ac:dyDescent="0.2"/>
    <row r="58368" s="689" customFormat="1" x14ac:dyDescent="0.2"/>
    <row r="58369" s="689" customFormat="1" x14ac:dyDescent="0.2"/>
    <row r="58370" s="689" customFormat="1" x14ac:dyDescent="0.2"/>
    <row r="58371" s="689" customFormat="1" x14ac:dyDescent="0.2"/>
    <row r="58372" s="689" customFormat="1" x14ac:dyDescent="0.2"/>
    <row r="58373" s="689" customFormat="1" x14ac:dyDescent="0.2"/>
    <row r="58374" s="689" customFormat="1" x14ac:dyDescent="0.2"/>
    <row r="58375" s="689" customFormat="1" x14ac:dyDescent="0.2"/>
    <row r="58376" s="689" customFormat="1" x14ac:dyDescent="0.2"/>
    <row r="58377" s="689" customFormat="1" x14ac:dyDescent="0.2"/>
    <row r="58378" s="689" customFormat="1" x14ac:dyDescent="0.2"/>
    <row r="58379" s="689" customFormat="1" x14ac:dyDescent="0.2"/>
    <row r="58380" s="689" customFormat="1" x14ac:dyDescent="0.2"/>
    <row r="58381" s="689" customFormat="1" x14ac:dyDescent="0.2"/>
    <row r="58382" s="689" customFormat="1" x14ac:dyDescent="0.2"/>
    <row r="58383" s="689" customFormat="1" x14ac:dyDescent="0.2"/>
    <row r="58384" s="689" customFormat="1" x14ac:dyDescent="0.2"/>
    <row r="58385" s="689" customFormat="1" x14ac:dyDescent="0.2"/>
    <row r="58386" s="689" customFormat="1" x14ac:dyDescent="0.2"/>
    <row r="58387" s="689" customFormat="1" x14ac:dyDescent="0.2"/>
    <row r="58388" s="689" customFormat="1" x14ac:dyDescent="0.2"/>
    <row r="58389" s="689" customFormat="1" x14ac:dyDescent="0.2"/>
    <row r="58390" s="689" customFormat="1" x14ac:dyDescent="0.2"/>
    <row r="58391" s="689" customFormat="1" x14ac:dyDescent="0.2"/>
    <row r="58392" s="689" customFormat="1" x14ac:dyDescent="0.2"/>
    <row r="58393" s="689" customFormat="1" x14ac:dyDescent="0.2"/>
    <row r="58394" s="689" customFormat="1" x14ac:dyDescent="0.2"/>
    <row r="58395" s="689" customFormat="1" x14ac:dyDescent="0.2"/>
    <row r="58396" s="689" customFormat="1" x14ac:dyDescent="0.2"/>
    <row r="58397" s="689" customFormat="1" x14ac:dyDescent="0.2"/>
    <row r="58398" s="689" customFormat="1" x14ac:dyDescent="0.2"/>
    <row r="58399" s="689" customFormat="1" x14ac:dyDescent="0.2"/>
    <row r="58400" s="689" customFormat="1" x14ac:dyDescent="0.2"/>
    <row r="58401" s="689" customFormat="1" x14ac:dyDescent="0.2"/>
    <row r="58402" s="689" customFormat="1" x14ac:dyDescent="0.2"/>
    <row r="58403" s="689" customFormat="1" x14ac:dyDescent="0.2"/>
    <row r="58404" s="689" customFormat="1" x14ac:dyDescent="0.2"/>
    <row r="58405" s="689" customFormat="1" x14ac:dyDescent="0.2"/>
    <row r="58406" s="689" customFormat="1" x14ac:dyDescent="0.2"/>
    <row r="58407" s="689" customFormat="1" x14ac:dyDescent="0.2"/>
    <row r="58408" s="689" customFormat="1" x14ac:dyDescent="0.2"/>
    <row r="58409" s="689" customFormat="1" x14ac:dyDescent="0.2"/>
    <row r="58410" s="689" customFormat="1" x14ac:dyDescent="0.2"/>
    <row r="58411" s="689" customFormat="1" x14ac:dyDescent="0.2"/>
    <row r="58412" s="689" customFormat="1" x14ac:dyDescent="0.2"/>
    <row r="58413" s="689" customFormat="1" x14ac:dyDescent="0.2"/>
    <row r="58414" s="689" customFormat="1" x14ac:dyDescent="0.2"/>
    <row r="58415" s="689" customFormat="1" x14ac:dyDescent="0.2"/>
    <row r="58416" s="689" customFormat="1" x14ac:dyDescent="0.2"/>
    <row r="58417" s="689" customFormat="1" x14ac:dyDescent="0.2"/>
    <row r="58418" s="689" customFormat="1" x14ac:dyDescent="0.2"/>
    <row r="58419" s="689" customFormat="1" x14ac:dyDescent="0.2"/>
    <row r="58420" s="689" customFormat="1" x14ac:dyDescent="0.2"/>
    <row r="58421" s="689" customFormat="1" x14ac:dyDescent="0.2"/>
    <row r="58422" s="689" customFormat="1" x14ac:dyDescent="0.2"/>
    <row r="58423" s="689" customFormat="1" x14ac:dyDescent="0.2"/>
    <row r="58424" s="689" customFormat="1" x14ac:dyDescent="0.2"/>
    <row r="58425" s="689" customFormat="1" x14ac:dyDescent="0.2"/>
    <row r="58426" s="689" customFormat="1" x14ac:dyDescent="0.2"/>
    <row r="58427" s="689" customFormat="1" x14ac:dyDescent="0.2"/>
    <row r="58428" s="689" customFormat="1" x14ac:dyDescent="0.2"/>
    <row r="58429" s="689" customFormat="1" x14ac:dyDescent="0.2"/>
    <row r="58430" s="689" customFormat="1" x14ac:dyDescent="0.2"/>
    <row r="58431" s="689" customFormat="1" x14ac:dyDescent="0.2"/>
    <row r="58432" s="689" customFormat="1" x14ac:dyDescent="0.2"/>
    <row r="58433" s="689" customFormat="1" x14ac:dyDescent="0.2"/>
    <row r="58434" s="689" customFormat="1" x14ac:dyDescent="0.2"/>
    <row r="58435" s="689" customFormat="1" x14ac:dyDescent="0.2"/>
    <row r="58436" s="689" customFormat="1" x14ac:dyDescent="0.2"/>
    <row r="58437" s="689" customFormat="1" x14ac:dyDescent="0.2"/>
    <row r="58438" s="689" customFormat="1" x14ac:dyDescent="0.2"/>
    <row r="58439" s="689" customFormat="1" x14ac:dyDescent="0.2"/>
    <row r="58440" s="689" customFormat="1" x14ac:dyDescent="0.2"/>
    <row r="58441" s="689" customFormat="1" x14ac:dyDescent="0.2"/>
    <row r="58442" s="689" customFormat="1" x14ac:dyDescent="0.2"/>
    <row r="58443" s="689" customFormat="1" x14ac:dyDescent="0.2"/>
    <row r="58444" s="689" customFormat="1" x14ac:dyDescent="0.2"/>
    <row r="58445" s="689" customFormat="1" x14ac:dyDescent="0.2"/>
    <row r="58446" s="689" customFormat="1" x14ac:dyDescent="0.2"/>
    <row r="58447" s="689" customFormat="1" x14ac:dyDescent="0.2"/>
    <row r="58448" s="689" customFormat="1" x14ac:dyDescent="0.2"/>
    <row r="58449" s="689" customFormat="1" x14ac:dyDescent="0.2"/>
    <row r="58450" s="689" customFormat="1" x14ac:dyDescent="0.2"/>
    <row r="58451" s="689" customFormat="1" x14ac:dyDescent="0.2"/>
    <row r="58452" s="689" customFormat="1" x14ac:dyDescent="0.2"/>
    <row r="58453" s="689" customFormat="1" x14ac:dyDescent="0.2"/>
    <row r="58454" s="689" customFormat="1" x14ac:dyDescent="0.2"/>
    <row r="58455" s="689" customFormat="1" x14ac:dyDescent="0.2"/>
    <row r="58456" s="689" customFormat="1" x14ac:dyDescent="0.2"/>
    <row r="58457" s="689" customFormat="1" x14ac:dyDescent="0.2"/>
    <row r="58458" s="689" customFormat="1" x14ac:dyDescent="0.2"/>
    <row r="58459" s="689" customFormat="1" x14ac:dyDescent="0.2"/>
    <row r="58460" s="689" customFormat="1" x14ac:dyDescent="0.2"/>
    <row r="58461" s="689" customFormat="1" x14ac:dyDescent="0.2"/>
    <row r="58462" s="689" customFormat="1" x14ac:dyDescent="0.2"/>
    <row r="58463" s="689" customFormat="1" x14ac:dyDescent="0.2"/>
    <row r="58464" s="689" customFormat="1" x14ac:dyDescent="0.2"/>
    <row r="58465" s="689" customFormat="1" x14ac:dyDescent="0.2"/>
    <row r="58466" s="689" customFormat="1" x14ac:dyDescent="0.2"/>
    <row r="58467" s="689" customFormat="1" x14ac:dyDescent="0.2"/>
    <row r="58468" s="689" customFormat="1" x14ac:dyDescent="0.2"/>
    <row r="58469" s="689" customFormat="1" x14ac:dyDescent="0.2"/>
    <row r="58470" s="689" customFormat="1" x14ac:dyDescent="0.2"/>
    <row r="58471" s="689" customFormat="1" x14ac:dyDescent="0.2"/>
    <row r="58472" s="689" customFormat="1" x14ac:dyDescent="0.2"/>
    <row r="58473" s="689" customFormat="1" x14ac:dyDescent="0.2"/>
    <row r="58474" s="689" customFormat="1" x14ac:dyDescent="0.2"/>
    <row r="58475" s="689" customFormat="1" x14ac:dyDescent="0.2"/>
    <row r="58476" s="689" customFormat="1" x14ac:dyDescent="0.2"/>
    <row r="58477" s="689" customFormat="1" x14ac:dyDescent="0.2"/>
    <row r="58478" s="689" customFormat="1" x14ac:dyDescent="0.2"/>
    <row r="58479" s="689" customFormat="1" x14ac:dyDescent="0.2"/>
    <row r="58480" s="689" customFormat="1" x14ac:dyDescent="0.2"/>
    <row r="58481" s="689" customFormat="1" x14ac:dyDescent="0.2"/>
    <row r="58482" s="689" customFormat="1" x14ac:dyDescent="0.2"/>
    <row r="58483" s="689" customFormat="1" x14ac:dyDescent="0.2"/>
    <row r="58484" s="689" customFormat="1" x14ac:dyDescent="0.2"/>
    <row r="58485" s="689" customFormat="1" x14ac:dyDescent="0.2"/>
    <row r="58486" s="689" customFormat="1" x14ac:dyDescent="0.2"/>
    <row r="58487" s="689" customFormat="1" x14ac:dyDescent="0.2"/>
    <row r="58488" s="689" customFormat="1" x14ac:dyDescent="0.2"/>
    <row r="58489" s="689" customFormat="1" x14ac:dyDescent="0.2"/>
    <row r="58490" s="689" customFormat="1" x14ac:dyDescent="0.2"/>
    <row r="58491" s="689" customFormat="1" x14ac:dyDescent="0.2"/>
    <row r="58492" s="689" customFormat="1" x14ac:dyDescent="0.2"/>
    <row r="58493" s="689" customFormat="1" x14ac:dyDescent="0.2"/>
    <row r="58494" s="689" customFormat="1" x14ac:dyDescent="0.2"/>
    <row r="58495" s="689" customFormat="1" x14ac:dyDescent="0.2"/>
    <row r="58496" s="689" customFormat="1" x14ac:dyDescent="0.2"/>
    <row r="58497" s="689" customFormat="1" x14ac:dyDescent="0.2"/>
    <row r="58498" s="689" customFormat="1" x14ac:dyDescent="0.2"/>
    <row r="58499" s="689" customFormat="1" x14ac:dyDescent="0.2"/>
    <row r="58500" s="689" customFormat="1" x14ac:dyDescent="0.2"/>
    <row r="58501" s="689" customFormat="1" x14ac:dyDescent="0.2"/>
    <row r="58502" s="689" customFormat="1" x14ac:dyDescent="0.2"/>
    <row r="58503" s="689" customFormat="1" x14ac:dyDescent="0.2"/>
    <row r="58504" s="689" customFormat="1" x14ac:dyDescent="0.2"/>
    <row r="58505" s="689" customFormat="1" x14ac:dyDescent="0.2"/>
    <row r="58506" s="689" customFormat="1" x14ac:dyDescent="0.2"/>
    <row r="58507" s="689" customFormat="1" x14ac:dyDescent="0.2"/>
    <row r="58508" s="689" customFormat="1" x14ac:dyDescent="0.2"/>
    <row r="58509" s="689" customFormat="1" x14ac:dyDescent="0.2"/>
    <row r="58510" s="689" customFormat="1" x14ac:dyDescent="0.2"/>
    <row r="58511" s="689" customFormat="1" x14ac:dyDescent="0.2"/>
    <row r="58512" s="689" customFormat="1" x14ac:dyDescent="0.2"/>
    <row r="58513" s="689" customFormat="1" x14ac:dyDescent="0.2"/>
    <row r="58514" s="689" customFormat="1" x14ac:dyDescent="0.2"/>
    <row r="58515" s="689" customFormat="1" x14ac:dyDescent="0.2"/>
    <row r="58516" s="689" customFormat="1" x14ac:dyDescent="0.2"/>
    <row r="58517" s="689" customFormat="1" x14ac:dyDescent="0.2"/>
    <row r="58518" s="689" customFormat="1" x14ac:dyDescent="0.2"/>
    <row r="58519" s="689" customFormat="1" x14ac:dyDescent="0.2"/>
    <row r="58520" s="689" customFormat="1" x14ac:dyDescent="0.2"/>
    <row r="58521" s="689" customFormat="1" x14ac:dyDescent="0.2"/>
    <row r="58522" s="689" customFormat="1" x14ac:dyDescent="0.2"/>
    <row r="58523" s="689" customFormat="1" x14ac:dyDescent="0.2"/>
    <row r="58524" s="689" customFormat="1" x14ac:dyDescent="0.2"/>
    <row r="58525" s="689" customFormat="1" x14ac:dyDescent="0.2"/>
    <row r="58526" s="689" customFormat="1" x14ac:dyDescent="0.2"/>
    <row r="58527" s="689" customFormat="1" x14ac:dyDescent="0.2"/>
    <row r="58528" s="689" customFormat="1" x14ac:dyDescent="0.2"/>
    <row r="58529" s="689" customFormat="1" x14ac:dyDescent="0.2"/>
    <row r="58530" s="689" customFormat="1" x14ac:dyDescent="0.2"/>
    <row r="58531" s="689" customFormat="1" x14ac:dyDescent="0.2"/>
    <row r="58532" s="689" customFormat="1" x14ac:dyDescent="0.2"/>
    <row r="58533" s="689" customFormat="1" x14ac:dyDescent="0.2"/>
    <row r="58534" s="689" customFormat="1" x14ac:dyDescent="0.2"/>
    <row r="58535" s="689" customFormat="1" x14ac:dyDescent="0.2"/>
    <row r="58536" s="689" customFormat="1" x14ac:dyDescent="0.2"/>
    <row r="58537" s="689" customFormat="1" x14ac:dyDescent="0.2"/>
    <row r="58538" s="689" customFormat="1" x14ac:dyDescent="0.2"/>
    <row r="58539" s="689" customFormat="1" x14ac:dyDescent="0.2"/>
    <row r="58540" s="689" customFormat="1" x14ac:dyDescent="0.2"/>
    <row r="58541" s="689" customFormat="1" x14ac:dyDescent="0.2"/>
    <row r="58542" s="689" customFormat="1" x14ac:dyDescent="0.2"/>
    <row r="58543" s="689" customFormat="1" x14ac:dyDescent="0.2"/>
    <row r="58544" s="689" customFormat="1" x14ac:dyDescent="0.2"/>
    <row r="58545" s="689" customFormat="1" x14ac:dyDescent="0.2"/>
    <row r="58546" s="689" customFormat="1" x14ac:dyDescent="0.2"/>
    <row r="58547" s="689" customFormat="1" x14ac:dyDescent="0.2"/>
    <row r="58548" s="689" customFormat="1" x14ac:dyDescent="0.2"/>
    <row r="58549" s="689" customFormat="1" x14ac:dyDescent="0.2"/>
    <row r="58550" s="689" customFormat="1" x14ac:dyDescent="0.2"/>
    <row r="58551" s="689" customFormat="1" x14ac:dyDescent="0.2"/>
    <row r="58552" s="689" customFormat="1" x14ac:dyDescent="0.2"/>
    <row r="58553" s="689" customFormat="1" x14ac:dyDescent="0.2"/>
    <row r="58554" s="689" customFormat="1" x14ac:dyDescent="0.2"/>
    <row r="58555" s="689" customFormat="1" x14ac:dyDescent="0.2"/>
    <row r="58556" s="689" customFormat="1" x14ac:dyDescent="0.2"/>
    <row r="58557" s="689" customFormat="1" x14ac:dyDescent="0.2"/>
    <row r="58558" s="689" customFormat="1" x14ac:dyDescent="0.2"/>
    <row r="58559" s="689" customFormat="1" x14ac:dyDescent="0.2"/>
    <row r="58560" s="689" customFormat="1" x14ac:dyDescent="0.2"/>
    <row r="58561" s="689" customFormat="1" x14ac:dyDescent="0.2"/>
    <row r="58562" s="689" customFormat="1" x14ac:dyDescent="0.2"/>
    <row r="58563" s="689" customFormat="1" x14ac:dyDescent="0.2"/>
    <row r="58564" s="689" customFormat="1" x14ac:dyDescent="0.2"/>
    <row r="58565" s="689" customFormat="1" x14ac:dyDescent="0.2"/>
    <row r="58566" s="689" customFormat="1" x14ac:dyDescent="0.2"/>
    <row r="58567" s="689" customFormat="1" x14ac:dyDescent="0.2"/>
    <row r="58568" s="689" customFormat="1" x14ac:dyDescent="0.2"/>
    <row r="58569" s="689" customFormat="1" x14ac:dyDescent="0.2"/>
    <row r="58570" s="689" customFormat="1" x14ac:dyDescent="0.2"/>
    <row r="58571" s="689" customFormat="1" x14ac:dyDescent="0.2"/>
    <row r="58572" s="689" customFormat="1" x14ac:dyDescent="0.2"/>
    <row r="58573" s="689" customFormat="1" x14ac:dyDescent="0.2"/>
    <row r="58574" s="689" customFormat="1" x14ac:dyDescent="0.2"/>
    <row r="58575" s="689" customFormat="1" x14ac:dyDescent="0.2"/>
    <row r="58576" s="689" customFormat="1" x14ac:dyDescent="0.2"/>
    <row r="58577" s="689" customFormat="1" x14ac:dyDescent="0.2"/>
    <row r="58578" s="689" customFormat="1" x14ac:dyDescent="0.2"/>
    <row r="58579" s="689" customFormat="1" x14ac:dyDescent="0.2"/>
    <row r="58580" s="689" customFormat="1" x14ac:dyDescent="0.2"/>
    <row r="58581" s="689" customFormat="1" x14ac:dyDescent="0.2"/>
    <row r="58582" s="689" customFormat="1" x14ac:dyDescent="0.2"/>
    <row r="58583" s="689" customFormat="1" x14ac:dyDescent="0.2"/>
    <row r="58584" s="689" customFormat="1" x14ac:dyDescent="0.2"/>
    <row r="58585" s="689" customFormat="1" x14ac:dyDescent="0.2"/>
    <row r="58586" s="689" customFormat="1" x14ac:dyDescent="0.2"/>
    <row r="58587" s="689" customFormat="1" x14ac:dyDescent="0.2"/>
    <row r="58588" s="689" customFormat="1" x14ac:dyDescent="0.2"/>
    <row r="58589" s="689" customFormat="1" x14ac:dyDescent="0.2"/>
    <row r="58590" s="689" customFormat="1" x14ac:dyDescent="0.2"/>
    <row r="58591" s="689" customFormat="1" x14ac:dyDescent="0.2"/>
    <row r="58592" s="689" customFormat="1" x14ac:dyDescent="0.2"/>
    <row r="58593" s="689" customFormat="1" x14ac:dyDescent="0.2"/>
    <row r="58594" s="689" customFormat="1" x14ac:dyDescent="0.2"/>
    <row r="58595" s="689" customFormat="1" x14ac:dyDescent="0.2"/>
    <row r="58596" s="689" customFormat="1" x14ac:dyDescent="0.2"/>
    <row r="58597" s="689" customFormat="1" x14ac:dyDescent="0.2"/>
    <row r="58598" s="689" customFormat="1" x14ac:dyDescent="0.2"/>
    <row r="58599" s="689" customFormat="1" x14ac:dyDescent="0.2"/>
    <row r="58600" s="689" customFormat="1" x14ac:dyDescent="0.2"/>
    <row r="58601" s="689" customFormat="1" x14ac:dyDescent="0.2"/>
    <row r="58602" s="689" customFormat="1" x14ac:dyDescent="0.2"/>
    <row r="58603" s="689" customFormat="1" x14ac:dyDescent="0.2"/>
    <row r="58604" s="689" customFormat="1" x14ac:dyDescent="0.2"/>
    <row r="58605" s="689" customFormat="1" x14ac:dyDescent="0.2"/>
    <row r="58606" s="689" customFormat="1" x14ac:dyDescent="0.2"/>
    <row r="58607" s="689" customFormat="1" x14ac:dyDescent="0.2"/>
    <row r="58608" s="689" customFormat="1" x14ac:dyDescent="0.2"/>
    <row r="58609" s="689" customFormat="1" x14ac:dyDescent="0.2"/>
    <row r="58610" s="689" customFormat="1" x14ac:dyDescent="0.2"/>
    <row r="58611" s="689" customFormat="1" x14ac:dyDescent="0.2"/>
    <row r="58612" s="689" customFormat="1" x14ac:dyDescent="0.2"/>
    <row r="58613" s="689" customFormat="1" x14ac:dyDescent="0.2"/>
    <row r="58614" s="689" customFormat="1" x14ac:dyDescent="0.2"/>
    <row r="58615" s="689" customFormat="1" x14ac:dyDescent="0.2"/>
    <row r="58616" s="689" customFormat="1" x14ac:dyDescent="0.2"/>
    <row r="58617" s="689" customFormat="1" x14ac:dyDescent="0.2"/>
    <row r="58618" s="689" customFormat="1" x14ac:dyDescent="0.2"/>
    <row r="58619" s="689" customFormat="1" x14ac:dyDescent="0.2"/>
    <row r="58620" s="689" customFormat="1" x14ac:dyDescent="0.2"/>
    <row r="58621" s="689" customFormat="1" x14ac:dyDescent="0.2"/>
    <row r="58622" s="689" customFormat="1" x14ac:dyDescent="0.2"/>
    <row r="58623" s="689" customFormat="1" x14ac:dyDescent="0.2"/>
    <row r="58624" s="689" customFormat="1" x14ac:dyDescent="0.2"/>
    <row r="58625" s="689" customFormat="1" x14ac:dyDescent="0.2"/>
    <row r="58626" s="689" customFormat="1" x14ac:dyDescent="0.2"/>
    <row r="58627" s="689" customFormat="1" x14ac:dyDescent="0.2"/>
    <row r="58628" s="689" customFormat="1" x14ac:dyDescent="0.2"/>
    <row r="58629" s="689" customFormat="1" x14ac:dyDescent="0.2"/>
    <row r="58630" s="689" customFormat="1" x14ac:dyDescent="0.2"/>
    <row r="58631" s="689" customFormat="1" x14ac:dyDescent="0.2"/>
    <row r="58632" s="689" customFormat="1" x14ac:dyDescent="0.2"/>
    <row r="58633" s="689" customFormat="1" x14ac:dyDescent="0.2"/>
    <row r="58634" s="689" customFormat="1" x14ac:dyDescent="0.2"/>
    <row r="58635" s="689" customFormat="1" x14ac:dyDescent="0.2"/>
    <row r="58636" s="689" customFormat="1" x14ac:dyDescent="0.2"/>
    <row r="58637" s="689" customFormat="1" x14ac:dyDescent="0.2"/>
    <row r="58638" s="689" customFormat="1" x14ac:dyDescent="0.2"/>
    <row r="58639" s="689" customFormat="1" x14ac:dyDescent="0.2"/>
    <row r="58640" s="689" customFormat="1" x14ac:dyDescent="0.2"/>
    <row r="58641" s="689" customFormat="1" x14ac:dyDescent="0.2"/>
    <row r="58642" s="689" customFormat="1" x14ac:dyDescent="0.2"/>
    <row r="58643" s="689" customFormat="1" x14ac:dyDescent="0.2"/>
    <row r="58644" s="689" customFormat="1" x14ac:dyDescent="0.2"/>
    <row r="58645" s="689" customFormat="1" x14ac:dyDescent="0.2"/>
    <row r="58646" s="689" customFormat="1" x14ac:dyDescent="0.2"/>
    <row r="58647" s="689" customFormat="1" x14ac:dyDescent="0.2"/>
    <row r="58648" s="689" customFormat="1" x14ac:dyDescent="0.2"/>
    <row r="58649" s="689" customFormat="1" x14ac:dyDescent="0.2"/>
    <row r="58650" s="689" customFormat="1" x14ac:dyDescent="0.2"/>
    <row r="58651" s="689" customFormat="1" x14ac:dyDescent="0.2"/>
    <row r="58652" s="689" customFormat="1" x14ac:dyDescent="0.2"/>
    <row r="58653" s="689" customFormat="1" x14ac:dyDescent="0.2"/>
    <row r="58654" s="689" customFormat="1" x14ac:dyDescent="0.2"/>
    <row r="58655" s="689" customFormat="1" x14ac:dyDescent="0.2"/>
    <row r="58656" s="689" customFormat="1" x14ac:dyDescent="0.2"/>
    <row r="58657" s="689" customFormat="1" x14ac:dyDescent="0.2"/>
    <row r="58658" s="689" customFormat="1" x14ac:dyDescent="0.2"/>
    <row r="58659" s="689" customFormat="1" x14ac:dyDescent="0.2"/>
    <row r="58660" s="689" customFormat="1" x14ac:dyDescent="0.2"/>
    <row r="58661" s="689" customFormat="1" x14ac:dyDescent="0.2"/>
    <row r="58662" s="689" customFormat="1" x14ac:dyDescent="0.2"/>
    <row r="58663" s="689" customFormat="1" x14ac:dyDescent="0.2"/>
    <row r="58664" s="689" customFormat="1" x14ac:dyDescent="0.2"/>
    <row r="58665" s="689" customFormat="1" x14ac:dyDescent="0.2"/>
    <row r="58666" s="689" customFormat="1" x14ac:dyDescent="0.2"/>
    <row r="58667" s="689" customFormat="1" x14ac:dyDescent="0.2"/>
    <row r="58668" s="689" customFormat="1" x14ac:dyDescent="0.2"/>
    <row r="58669" s="689" customFormat="1" x14ac:dyDescent="0.2"/>
    <row r="58670" s="689" customFormat="1" x14ac:dyDescent="0.2"/>
    <row r="58671" s="689" customFormat="1" x14ac:dyDescent="0.2"/>
    <row r="58672" s="689" customFormat="1" x14ac:dyDescent="0.2"/>
    <row r="58673" s="689" customFormat="1" x14ac:dyDescent="0.2"/>
    <row r="58674" s="689" customFormat="1" x14ac:dyDescent="0.2"/>
    <row r="58675" s="689" customFormat="1" x14ac:dyDescent="0.2"/>
    <row r="58676" s="689" customFormat="1" x14ac:dyDescent="0.2"/>
    <row r="58677" s="689" customFormat="1" x14ac:dyDescent="0.2"/>
    <row r="58678" s="689" customFormat="1" x14ac:dyDescent="0.2"/>
    <row r="58679" s="689" customFormat="1" x14ac:dyDescent="0.2"/>
    <row r="58680" s="689" customFormat="1" x14ac:dyDescent="0.2"/>
    <row r="58681" s="689" customFormat="1" x14ac:dyDescent="0.2"/>
    <row r="58682" s="689" customFormat="1" x14ac:dyDescent="0.2"/>
    <row r="58683" s="689" customFormat="1" x14ac:dyDescent="0.2"/>
    <row r="58684" s="689" customFormat="1" x14ac:dyDescent="0.2"/>
    <row r="58685" s="689" customFormat="1" x14ac:dyDescent="0.2"/>
    <row r="58686" s="689" customFormat="1" x14ac:dyDescent="0.2"/>
    <row r="58687" s="689" customFormat="1" x14ac:dyDescent="0.2"/>
    <row r="58688" s="689" customFormat="1" x14ac:dyDescent="0.2"/>
    <row r="58689" s="689" customFormat="1" x14ac:dyDescent="0.2"/>
    <row r="58690" s="689" customFormat="1" x14ac:dyDescent="0.2"/>
    <row r="58691" s="689" customFormat="1" x14ac:dyDescent="0.2"/>
    <row r="58692" s="689" customFormat="1" x14ac:dyDescent="0.2"/>
    <row r="58693" s="689" customFormat="1" x14ac:dyDescent="0.2"/>
    <row r="58694" s="689" customFormat="1" x14ac:dyDescent="0.2"/>
    <row r="58695" s="689" customFormat="1" x14ac:dyDescent="0.2"/>
    <row r="58696" s="689" customFormat="1" x14ac:dyDescent="0.2"/>
    <row r="58697" s="689" customFormat="1" x14ac:dyDescent="0.2"/>
    <row r="58698" s="689" customFormat="1" x14ac:dyDescent="0.2"/>
    <row r="58699" s="689" customFormat="1" x14ac:dyDescent="0.2"/>
    <row r="58700" s="689" customFormat="1" x14ac:dyDescent="0.2"/>
    <row r="58701" s="689" customFormat="1" x14ac:dyDescent="0.2"/>
    <row r="58702" s="689" customFormat="1" x14ac:dyDescent="0.2"/>
    <row r="58703" s="689" customFormat="1" x14ac:dyDescent="0.2"/>
    <row r="58704" s="689" customFormat="1" x14ac:dyDescent="0.2"/>
    <row r="58705" s="689" customFormat="1" x14ac:dyDescent="0.2"/>
    <row r="58706" s="689" customFormat="1" x14ac:dyDescent="0.2"/>
    <row r="58707" s="689" customFormat="1" x14ac:dyDescent="0.2"/>
    <row r="58708" s="689" customFormat="1" x14ac:dyDescent="0.2"/>
    <row r="58709" s="689" customFormat="1" x14ac:dyDescent="0.2"/>
    <row r="58710" s="689" customFormat="1" x14ac:dyDescent="0.2"/>
    <row r="58711" s="689" customFormat="1" x14ac:dyDescent="0.2"/>
    <row r="58712" s="689" customFormat="1" x14ac:dyDescent="0.2"/>
    <row r="58713" s="689" customFormat="1" x14ac:dyDescent="0.2"/>
    <row r="58714" s="689" customFormat="1" x14ac:dyDescent="0.2"/>
    <row r="58715" s="689" customFormat="1" x14ac:dyDescent="0.2"/>
    <row r="58716" s="689" customFormat="1" x14ac:dyDescent="0.2"/>
    <row r="58717" s="689" customFormat="1" x14ac:dyDescent="0.2"/>
    <row r="58718" s="689" customFormat="1" x14ac:dyDescent="0.2"/>
    <row r="58719" s="689" customFormat="1" x14ac:dyDescent="0.2"/>
    <row r="58720" s="689" customFormat="1" x14ac:dyDescent="0.2"/>
    <row r="58721" s="689" customFormat="1" x14ac:dyDescent="0.2"/>
    <row r="58722" s="689" customFormat="1" x14ac:dyDescent="0.2"/>
    <row r="58723" s="689" customFormat="1" x14ac:dyDescent="0.2"/>
    <row r="58724" s="689" customFormat="1" x14ac:dyDescent="0.2"/>
    <row r="58725" s="689" customFormat="1" x14ac:dyDescent="0.2"/>
    <row r="58726" s="689" customFormat="1" x14ac:dyDescent="0.2"/>
    <row r="58727" s="689" customFormat="1" x14ac:dyDescent="0.2"/>
    <row r="58728" s="689" customFormat="1" x14ac:dyDescent="0.2"/>
    <row r="58729" s="689" customFormat="1" x14ac:dyDescent="0.2"/>
    <row r="58730" s="689" customFormat="1" x14ac:dyDescent="0.2"/>
    <row r="58731" s="689" customFormat="1" x14ac:dyDescent="0.2"/>
    <row r="58732" s="689" customFormat="1" x14ac:dyDescent="0.2"/>
    <row r="58733" s="689" customFormat="1" x14ac:dyDescent="0.2"/>
    <row r="58734" s="689" customFormat="1" x14ac:dyDescent="0.2"/>
    <row r="58735" s="689" customFormat="1" x14ac:dyDescent="0.2"/>
    <row r="58736" s="689" customFormat="1" x14ac:dyDescent="0.2"/>
    <row r="58737" s="689" customFormat="1" x14ac:dyDescent="0.2"/>
    <row r="58738" s="689" customFormat="1" x14ac:dyDescent="0.2"/>
    <row r="58739" s="689" customFormat="1" x14ac:dyDescent="0.2"/>
    <row r="58740" s="689" customFormat="1" x14ac:dyDescent="0.2"/>
    <row r="58741" s="689" customFormat="1" x14ac:dyDescent="0.2"/>
    <row r="58742" s="689" customFormat="1" x14ac:dyDescent="0.2"/>
    <row r="58743" s="689" customFormat="1" x14ac:dyDescent="0.2"/>
    <row r="58744" s="689" customFormat="1" x14ac:dyDescent="0.2"/>
    <row r="58745" s="689" customFormat="1" x14ac:dyDescent="0.2"/>
    <row r="58746" s="689" customFormat="1" x14ac:dyDescent="0.2"/>
    <row r="58747" s="689" customFormat="1" x14ac:dyDescent="0.2"/>
    <row r="58748" s="689" customFormat="1" x14ac:dyDescent="0.2"/>
    <row r="58749" s="689" customFormat="1" x14ac:dyDescent="0.2"/>
    <row r="58750" s="689" customFormat="1" x14ac:dyDescent="0.2"/>
    <row r="58751" s="689" customFormat="1" x14ac:dyDescent="0.2"/>
    <row r="58752" s="689" customFormat="1" x14ac:dyDescent="0.2"/>
    <row r="58753" s="689" customFormat="1" x14ac:dyDescent="0.2"/>
    <row r="58754" s="689" customFormat="1" x14ac:dyDescent="0.2"/>
    <row r="58755" s="689" customFormat="1" x14ac:dyDescent="0.2"/>
    <row r="58756" s="689" customFormat="1" x14ac:dyDescent="0.2"/>
    <row r="58757" s="689" customFormat="1" x14ac:dyDescent="0.2"/>
    <row r="58758" s="689" customFormat="1" x14ac:dyDescent="0.2"/>
    <row r="58759" s="689" customFormat="1" x14ac:dyDescent="0.2"/>
    <row r="58760" s="689" customFormat="1" x14ac:dyDescent="0.2"/>
    <row r="58761" s="689" customFormat="1" x14ac:dyDescent="0.2"/>
    <row r="58762" s="689" customFormat="1" x14ac:dyDescent="0.2"/>
    <row r="58763" s="689" customFormat="1" x14ac:dyDescent="0.2"/>
    <row r="58764" s="689" customFormat="1" x14ac:dyDescent="0.2"/>
    <row r="58765" s="689" customFormat="1" x14ac:dyDescent="0.2"/>
    <row r="58766" s="689" customFormat="1" x14ac:dyDescent="0.2"/>
    <row r="58767" s="689" customFormat="1" x14ac:dyDescent="0.2"/>
    <row r="58768" s="689" customFormat="1" x14ac:dyDescent="0.2"/>
    <row r="58769" s="689" customFormat="1" x14ac:dyDescent="0.2"/>
    <row r="58770" s="689" customFormat="1" x14ac:dyDescent="0.2"/>
    <row r="58771" s="689" customFormat="1" x14ac:dyDescent="0.2"/>
    <row r="58772" s="689" customFormat="1" x14ac:dyDescent="0.2"/>
    <row r="58773" s="689" customFormat="1" x14ac:dyDescent="0.2"/>
    <row r="58774" s="689" customFormat="1" x14ac:dyDescent="0.2"/>
    <row r="58775" s="689" customFormat="1" x14ac:dyDescent="0.2"/>
    <row r="58776" s="689" customFormat="1" x14ac:dyDescent="0.2"/>
    <row r="58777" s="689" customFormat="1" x14ac:dyDescent="0.2"/>
    <row r="58778" s="689" customFormat="1" x14ac:dyDescent="0.2"/>
    <row r="58779" s="689" customFormat="1" x14ac:dyDescent="0.2"/>
    <row r="58780" s="689" customFormat="1" x14ac:dyDescent="0.2"/>
    <row r="58781" s="689" customFormat="1" x14ac:dyDescent="0.2"/>
    <row r="58782" s="689" customFormat="1" x14ac:dyDescent="0.2"/>
    <row r="58783" s="689" customFormat="1" x14ac:dyDescent="0.2"/>
    <row r="58784" s="689" customFormat="1" x14ac:dyDescent="0.2"/>
    <row r="58785" s="689" customFormat="1" x14ac:dyDescent="0.2"/>
    <row r="58786" s="689" customFormat="1" x14ac:dyDescent="0.2"/>
    <row r="58787" s="689" customFormat="1" x14ac:dyDescent="0.2"/>
    <row r="58788" s="689" customFormat="1" x14ac:dyDescent="0.2"/>
    <row r="58789" s="689" customFormat="1" x14ac:dyDescent="0.2"/>
    <row r="58790" s="689" customFormat="1" x14ac:dyDescent="0.2"/>
    <row r="58791" s="689" customFormat="1" x14ac:dyDescent="0.2"/>
    <row r="58792" s="689" customFormat="1" x14ac:dyDescent="0.2"/>
    <row r="58793" s="689" customFormat="1" x14ac:dyDescent="0.2"/>
    <row r="58794" s="689" customFormat="1" x14ac:dyDescent="0.2"/>
    <row r="58795" s="689" customFormat="1" x14ac:dyDescent="0.2"/>
    <row r="58796" s="689" customFormat="1" x14ac:dyDescent="0.2"/>
    <row r="58797" s="689" customFormat="1" x14ac:dyDescent="0.2"/>
    <row r="58798" s="689" customFormat="1" x14ac:dyDescent="0.2"/>
    <row r="58799" s="689" customFormat="1" x14ac:dyDescent="0.2"/>
    <row r="58800" s="689" customFormat="1" x14ac:dyDescent="0.2"/>
    <row r="58801" s="689" customFormat="1" x14ac:dyDescent="0.2"/>
    <row r="58802" s="689" customFormat="1" x14ac:dyDescent="0.2"/>
    <row r="58803" s="689" customFormat="1" x14ac:dyDescent="0.2"/>
    <row r="58804" s="689" customFormat="1" x14ac:dyDescent="0.2"/>
    <row r="58805" s="689" customFormat="1" x14ac:dyDescent="0.2"/>
    <row r="58806" s="689" customFormat="1" x14ac:dyDescent="0.2"/>
    <row r="58807" s="689" customFormat="1" x14ac:dyDescent="0.2"/>
    <row r="58808" s="689" customFormat="1" x14ac:dyDescent="0.2"/>
    <row r="58809" s="689" customFormat="1" x14ac:dyDescent="0.2"/>
    <row r="58810" s="689" customFormat="1" x14ac:dyDescent="0.2"/>
    <row r="58811" s="689" customFormat="1" x14ac:dyDescent="0.2"/>
    <row r="58812" s="689" customFormat="1" x14ac:dyDescent="0.2"/>
    <row r="58813" s="689" customFormat="1" x14ac:dyDescent="0.2"/>
    <row r="58814" s="689" customFormat="1" x14ac:dyDescent="0.2"/>
    <row r="58815" s="689" customFormat="1" x14ac:dyDescent="0.2"/>
    <row r="58816" s="689" customFormat="1" x14ac:dyDescent="0.2"/>
    <row r="58817" s="689" customFormat="1" x14ac:dyDescent="0.2"/>
    <row r="58818" s="689" customFormat="1" x14ac:dyDescent="0.2"/>
    <row r="58819" s="689" customFormat="1" x14ac:dyDescent="0.2"/>
    <row r="58820" s="689" customFormat="1" x14ac:dyDescent="0.2"/>
    <row r="58821" s="689" customFormat="1" x14ac:dyDescent="0.2"/>
    <row r="58822" s="689" customFormat="1" x14ac:dyDescent="0.2"/>
    <row r="58823" s="689" customFormat="1" x14ac:dyDescent="0.2"/>
    <row r="58824" s="689" customFormat="1" x14ac:dyDescent="0.2"/>
    <row r="58825" s="689" customFormat="1" x14ac:dyDescent="0.2"/>
    <row r="58826" s="689" customFormat="1" x14ac:dyDescent="0.2"/>
    <row r="58827" s="689" customFormat="1" x14ac:dyDescent="0.2"/>
    <row r="58828" s="689" customFormat="1" x14ac:dyDescent="0.2"/>
    <row r="58829" s="689" customFormat="1" x14ac:dyDescent="0.2"/>
    <row r="58830" s="689" customFormat="1" x14ac:dyDescent="0.2"/>
    <row r="58831" s="689" customFormat="1" x14ac:dyDescent="0.2"/>
    <row r="58832" s="689" customFormat="1" x14ac:dyDescent="0.2"/>
    <row r="58833" s="689" customFormat="1" x14ac:dyDescent="0.2"/>
    <row r="58834" s="689" customFormat="1" x14ac:dyDescent="0.2"/>
    <row r="58835" s="689" customFormat="1" x14ac:dyDescent="0.2"/>
    <row r="58836" s="689" customFormat="1" x14ac:dyDescent="0.2"/>
    <row r="58837" s="689" customFormat="1" x14ac:dyDescent="0.2"/>
    <row r="58838" s="689" customFormat="1" x14ac:dyDescent="0.2"/>
    <row r="58839" s="689" customFormat="1" x14ac:dyDescent="0.2"/>
    <row r="58840" s="689" customFormat="1" x14ac:dyDescent="0.2"/>
    <row r="58841" s="689" customFormat="1" x14ac:dyDescent="0.2"/>
    <row r="58842" s="689" customFormat="1" x14ac:dyDescent="0.2"/>
    <row r="58843" s="689" customFormat="1" x14ac:dyDescent="0.2"/>
    <row r="58844" s="689" customFormat="1" x14ac:dyDescent="0.2"/>
    <row r="58845" s="689" customFormat="1" x14ac:dyDescent="0.2"/>
    <row r="58846" s="689" customFormat="1" x14ac:dyDescent="0.2"/>
    <row r="58847" s="689" customFormat="1" x14ac:dyDescent="0.2"/>
    <row r="58848" s="689" customFormat="1" x14ac:dyDescent="0.2"/>
    <row r="58849" s="689" customFormat="1" x14ac:dyDescent="0.2"/>
    <row r="58850" s="689" customFormat="1" x14ac:dyDescent="0.2"/>
    <row r="58851" s="689" customFormat="1" x14ac:dyDescent="0.2"/>
    <row r="58852" s="689" customFormat="1" x14ac:dyDescent="0.2"/>
    <row r="58853" s="689" customFormat="1" x14ac:dyDescent="0.2"/>
    <row r="58854" s="689" customFormat="1" x14ac:dyDescent="0.2"/>
    <row r="58855" s="689" customFormat="1" x14ac:dyDescent="0.2"/>
    <row r="58856" s="689" customFormat="1" x14ac:dyDescent="0.2"/>
    <row r="58857" s="689" customFormat="1" x14ac:dyDescent="0.2"/>
    <row r="58858" s="689" customFormat="1" x14ac:dyDescent="0.2"/>
    <row r="58859" s="689" customFormat="1" x14ac:dyDescent="0.2"/>
    <row r="58860" s="689" customFormat="1" x14ac:dyDescent="0.2"/>
    <row r="58861" s="689" customFormat="1" x14ac:dyDescent="0.2"/>
    <row r="58862" s="689" customFormat="1" x14ac:dyDescent="0.2"/>
    <row r="58863" s="689" customFormat="1" x14ac:dyDescent="0.2"/>
    <row r="58864" s="689" customFormat="1" x14ac:dyDescent="0.2"/>
    <row r="58865" s="689" customFormat="1" x14ac:dyDescent="0.2"/>
    <row r="58866" s="689" customFormat="1" x14ac:dyDescent="0.2"/>
    <row r="58867" s="689" customFormat="1" x14ac:dyDescent="0.2"/>
    <row r="58868" s="689" customFormat="1" x14ac:dyDescent="0.2"/>
    <row r="58869" s="689" customFormat="1" x14ac:dyDescent="0.2"/>
    <row r="58870" s="689" customFormat="1" x14ac:dyDescent="0.2"/>
    <row r="58871" s="689" customFormat="1" x14ac:dyDescent="0.2"/>
    <row r="58872" s="689" customFormat="1" x14ac:dyDescent="0.2"/>
    <row r="58873" s="689" customFormat="1" x14ac:dyDescent="0.2"/>
    <row r="58874" s="689" customFormat="1" x14ac:dyDescent="0.2"/>
    <row r="58875" s="689" customFormat="1" x14ac:dyDescent="0.2"/>
    <row r="58876" s="689" customFormat="1" x14ac:dyDescent="0.2"/>
    <row r="58877" s="689" customFormat="1" x14ac:dyDescent="0.2"/>
    <row r="58878" s="689" customFormat="1" x14ac:dyDescent="0.2"/>
    <row r="58879" s="689" customFormat="1" x14ac:dyDescent="0.2"/>
    <row r="58880" s="689" customFormat="1" x14ac:dyDescent="0.2"/>
    <row r="58881" s="689" customFormat="1" x14ac:dyDescent="0.2"/>
    <row r="58882" s="689" customFormat="1" x14ac:dyDescent="0.2"/>
    <row r="58883" s="689" customFormat="1" x14ac:dyDescent="0.2"/>
    <row r="58884" s="689" customFormat="1" x14ac:dyDescent="0.2"/>
    <row r="58885" s="689" customFormat="1" x14ac:dyDescent="0.2"/>
    <row r="58886" s="689" customFormat="1" x14ac:dyDescent="0.2"/>
    <row r="58887" s="689" customFormat="1" x14ac:dyDescent="0.2"/>
    <row r="58888" s="689" customFormat="1" x14ac:dyDescent="0.2"/>
    <row r="58889" s="689" customFormat="1" x14ac:dyDescent="0.2"/>
    <row r="58890" s="689" customFormat="1" x14ac:dyDescent="0.2"/>
    <row r="58891" s="689" customFormat="1" x14ac:dyDescent="0.2"/>
    <row r="58892" s="689" customFormat="1" x14ac:dyDescent="0.2"/>
    <row r="58893" s="689" customFormat="1" x14ac:dyDescent="0.2"/>
    <row r="58894" s="689" customFormat="1" x14ac:dyDescent="0.2"/>
    <row r="58895" s="689" customFormat="1" x14ac:dyDescent="0.2"/>
    <row r="58896" s="689" customFormat="1" x14ac:dyDescent="0.2"/>
    <row r="58897" s="689" customFormat="1" x14ac:dyDescent="0.2"/>
    <row r="58898" s="689" customFormat="1" x14ac:dyDescent="0.2"/>
    <row r="58899" s="689" customFormat="1" x14ac:dyDescent="0.2"/>
    <row r="58900" s="689" customFormat="1" x14ac:dyDescent="0.2"/>
    <row r="58901" s="689" customFormat="1" x14ac:dyDescent="0.2"/>
    <row r="58902" s="689" customFormat="1" x14ac:dyDescent="0.2"/>
    <row r="58903" s="689" customFormat="1" x14ac:dyDescent="0.2"/>
    <row r="58904" s="689" customFormat="1" x14ac:dyDescent="0.2"/>
    <row r="58905" s="689" customFormat="1" x14ac:dyDescent="0.2"/>
    <row r="58906" s="689" customFormat="1" x14ac:dyDescent="0.2"/>
    <row r="58907" s="689" customFormat="1" x14ac:dyDescent="0.2"/>
    <row r="58908" s="689" customFormat="1" x14ac:dyDescent="0.2"/>
    <row r="58909" s="689" customFormat="1" x14ac:dyDescent="0.2"/>
    <row r="58910" s="689" customFormat="1" x14ac:dyDescent="0.2"/>
    <row r="58911" s="689" customFormat="1" x14ac:dyDescent="0.2"/>
    <row r="58912" s="689" customFormat="1" x14ac:dyDescent="0.2"/>
    <row r="58913" s="689" customFormat="1" x14ac:dyDescent="0.2"/>
    <row r="58914" s="689" customFormat="1" x14ac:dyDescent="0.2"/>
    <row r="58915" s="689" customFormat="1" x14ac:dyDescent="0.2"/>
    <row r="58916" s="689" customFormat="1" x14ac:dyDescent="0.2"/>
    <row r="58917" s="689" customFormat="1" x14ac:dyDescent="0.2"/>
    <row r="58918" s="689" customFormat="1" x14ac:dyDescent="0.2"/>
    <row r="58919" s="689" customFormat="1" x14ac:dyDescent="0.2"/>
    <row r="58920" s="689" customFormat="1" x14ac:dyDescent="0.2"/>
    <row r="58921" s="689" customFormat="1" x14ac:dyDescent="0.2"/>
    <row r="58922" s="689" customFormat="1" x14ac:dyDescent="0.2"/>
    <row r="58923" s="689" customFormat="1" x14ac:dyDescent="0.2"/>
    <row r="58924" s="689" customFormat="1" x14ac:dyDescent="0.2"/>
    <row r="58925" s="689" customFormat="1" x14ac:dyDescent="0.2"/>
    <row r="58926" s="689" customFormat="1" x14ac:dyDescent="0.2"/>
    <row r="58927" s="689" customFormat="1" x14ac:dyDescent="0.2"/>
    <row r="58928" s="689" customFormat="1" x14ac:dyDescent="0.2"/>
    <row r="58929" s="689" customFormat="1" x14ac:dyDescent="0.2"/>
    <row r="58930" s="689" customFormat="1" x14ac:dyDescent="0.2"/>
    <row r="58931" s="689" customFormat="1" x14ac:dyDescent="0.2"/>
    <row r="58932" s="689" customFormat="1" x14ac:dyDescent="0.2"/>
    <row r="58933" s="689" customFormat="1" x14ac:dyDescent="0.2"/>
    <row r="58934" s="689" customFormat="1" x14ac:dyDescent="0.2"/>
    <row r="58935" s="689" customFormat="1" x14ac:dyDescent="0.2"/>
    <row r="58936" s="689" customFormat="1" x14ac:dyDescent="0.2"/>
    <row r="58937" s="689" customFormat="1" x14ac:dyDescent="0.2"/>
    <row r="58938" s="689" customFormat="1" x14ac:dyDescent="0.2"/>
    <row r="58939" s="689" customFormat="1" x14ac:dyDescent="0.2"/>
    <row r="58940" s="689" customFormat="1" x14ac:dyDescent="0.2"/>
    <row r="58941" s="689" customFormat="1" x14ac:dyDescent="0.2"/>
    <row r="58942" s="689" customFormat="1" x14ac:dyDescent="0.2"/>
    <row r="58943" s="689" customFormat="1" x14ac:dyDescent="0.2"/>
    <row r="58944" s="689" customFormat="1" x14ac:dyDescent="0.2"/>
    <row r="58945" s="689" customFormat="1" x14ac:dyDescent="0.2"/>
    <row r="58946" s="689" customFormat="1" x14ac:dyDescent="0.2"/>
    <row r="58947" s="689" customFormat="1" x14ac:dyDescent="0.2"/>
    <row r="58948" s="689" customFormat="1" x14ac:dyDescent="0.2"/>
    <row r="58949" s="689" customFormat="1" x14ac:dyDescent="0.2"/>
    <row r="58950" s="689" customFormat="1" x14ac:dyDescent="0.2"/>
    <row r="58951" s="689" customFormat="1" x14ac:dyDescent="0.2"/>
    <row r="58952" s="689" customFormat="1" x14ac:dyDescent="0.2"/>
    <row r="58953" s="689" customFormat="1" x14ac:dyDescent="0.2"/>
    <row r="58954" s="689" customFormat="1" x14ac:dyDescent="0.2"/>
    <row r="58955" s="689" customFormat="1" x14ac:dyDescent="0.2"/>
    <row r="58956" s="689" customFormat="1" x14ac:dyDescent="0.2"/>
    <row r="58957" s="689" customFormat="1" x14ac:dyDescent="0.2"/>
    <row r="58958" s="689" customFormat="1" x14ac:dyDescent="0.2"/>
    <row r="58959" s="689" customFormat="1" x14ac:dyDescent="0.2"/>
    <row r="58960" s="689" customFormat="1" x14ac:dyDescent="0.2"/>
    <row r="58961" s="689" customFormat="1" x14ac:dyDescent="0.2"/>
    <row r="58962" s="689" customFormat="1" x14ac:dyDescent="0.2"/>
    <row r="58963" s="689" customFormat="1" x14ac:dyDescent="0.2"/>
    <row r="58964" s="689" customFormat="1" x14ac:dyDescent="0.2"/>
    <row r="58965" s="689" customFormat="1" x14ac:dyDescent="0.2"/>
    <row r="58966" s="689" customFormat="1" x14ac:dyDescent="0.2"/>
    <row r="58967" s="689" customFormat="1" x14ac:dyDescent="0.2"/>
    <row r="58968" s="689" customFormat="1" x14ac:dyDescent="0.2"/>
    <row r="58969" s="689" customFormat="1" x14ac:dyDescent="0.2"/>
    <row r="58970" s="689" customFormat="1" x14ac:dyDescent="0.2"/>
    <row r="58971" s="689" customFormat="1" x14ac:dyDescent="0.2"/>
    <row r="58972" s="689" customFormat="1" x14ac:dyDescent="0.2"/>
    <row r="58973" s="689" customFormat="1" x14ac:dyDescent="0.2"/>
    <row r="58974" s="689" customFormat="1" x14ac:dyDescent="0.2"/>
    <row r="58975" s="689" customFormat="1" x14ac:dyDescent="0.2"/>
    <row r="58976" s="689" customFormat="1" x14ac:dyDescent="0.2"/>
    <row r="58977" s="689" customFormat="1" x14ac:dyDescent="0.2"/>
    <row r="58978" s="689" customFormat="1" x14ac:dyDescent="0.2"/>
    <row r="58979" s="689" customFormat="1" x14ac:dyDescent="0.2"/>
    <row r="58980" s="689" customFormat="1" x14ac:dyDescent="0.2"/>
    <row r="58981" s="689" customFormat="1" x14ac:dyDescent="0.2"/>
    <row r="58982" s="689" customFormat="1" x14ac:dyDescent="0.2"/>
    <row r="58983" s="689" customFormat="1" x14ac:dyDescent="0.2"/>
    <row r="58984" s="689" customFormat="1" x14ac:dyDescent="0.2"/>
    <row r="58985" s="689" customFormat="1" x14ac:dyDescent="0.2"/>
    <row r="58986" s="689" customFormat="1" x14ac:dyDescent="0.2"/>
    <row r="58987" s="689" customFormat="1" x14ac:dyDescent="0.2"/>
    <row r="58988" s="689" customFormat="1" x14ac:dyDescent="0.2"/>
    <row r="58989" s="689" customFormat="1" x14ac:dyDescent="0.2"/>
    <row r="58990" s="689" customFormat="1" x14ac:dyDescent="0.2"/>
    <row r="58991" s="689" customFormat="1" x14ac:dyDescent="0.2"/>
    <row r="58992" s="689" customFormat="1" x14ac:dyDescent="0.2"/>
    <row r="58993" s="689" customFormat="1" x14ac:dyDescent="0.2"/>
    <row r="58994" s="689" customFormat="1" x14ac:dyDescent="0.2"/>
    <row r="58995" s="689" customFormat="1" x14ac:dyDescent="0.2"/>
    <row r="58996" s="689" customFormat="1" x14ac:dyDescent="0.2"/>
    <row r="58997" s="689" customFormat="1" x14ac:dyDescent="0.2"/>
    <row r="58998" s="689" customFormat="1" x14ac:dyDescent="0.2"/>
    <row r="58999" s="689" customFormat="1" x14ac:dyDescent="0.2"/>
    <row r="59000" s="689" customFormat="1" x14ac:dyDescent="0.2"/>
    <row r="59001" s="689" customFormat="1" x14ac:dyDescent="0.2"/>
    <row r="59002" s="689" customFormat="1" x14ac:dyDescent="0.2"/>
    <row r="59003" s="689" customFormat="1" x14ac:dyDescent="0.2"/>
    <row r="59004" s="689" customFormat="1" x14ac:dyDescent="0.2"/>
    <row r="59005" s="689" customFormat="1" x14ac:dyDescent="0.2"/>
    <row r="59006" s="689" customFormat="1" x14ac:dyDescent="0.2"/>
    <row r="59007" s="689" customFormat="1" x14ac:dyDescent="0.2"/>
    <row r="59008" s="689" customFormat="1" x14ac:dyDescent="0.2"/>
    <row r="59009" s="689" customFormat="1" x14ac:dyDescent="0.2"/>
    <row r="59010" s="689" customFormat="1" x14ac:dyDescent="0.2"/>
    <row r="59011" s="689" customFormat="1" x14ac:dyDescent="0.2"/>
    <row r="59012" s="689" customFormat="1" x14ac:dyDescent="0.2"/>
    <row r="59013" s="689" customFormat="1" x14ac:dyDescent="0.2"/>
    <row r="59014" s="689" customFormat="1" x14ac:dyDescent="0.2"/>
    <row r="59015" s="689" customFormat="1" x14ac:dyDescent="0.2"/>
    <row r="59016" s="689" customFormat="1" x14ac:dyDescent="0.2"/>
    <row r="59017" s="689" customFormat="1" x14ac:dyDescent="0.2"/>
    <row r="59018" s="689" customFormat="1" x14ac:dyDescent="0.2"/>
    <row r="59019" s="689" customFormat="1" x14ac:dyDescent="0.2"/>
    <row r="59020" s="689" customFormat="1" x14ac:dyDescent="0.2"/>
    <row r="59021" s="689" customFormat="1" x14ac:dyDescent="0.2"/>
    <row r="59022" s="689" customFormat="1" x14ac:dyDescent="0.2"/>
    <row r="59023" s="689" customFormat="1" x14ac:dyDescent="0.2"/>
    <row r="59024" s="689" customFormat="1" x14ac:dyDescent="0.2"/>
    <row r="59025" s="689" customFormat="1" x14ac:dyDescent="0.2"/>
    <row r="59026" s="689" customFormat="1" x14ac:dyDescent="0.2"/>
    <row r="59027" s="689" customFormat="1" x14ac:dyDescent="0.2"/>
    <row r="59028" s="689" customFormat="1" x14ac:dyDescent="0.2"/>
    <row r="59029" s="689" customFormat="1" x14ac:dyDescent="0.2"/>
    <row r="59030" s="689" customFormat="1" x14ac:dyDescent="0.2"/>
    <row r="59031" s="689" customFormat="1" x14ac:dyDescent="0.2"/>
    <row r="59032" s="689" customFormat="1" x14ac:dyDescent="0.2"/>
    <row r="59033" s="689" customFormat="1" x14ac:dyDescent="0.2"/>
    <row r="59034" s="689" customFormat="1" x14ac:dyDescent="0.2"/>
    <row r="59035" s="689" customFormat="1" x14ac:dyDescent="0.2"/>
    <row r="59036" s="689" customFormat="1" x14ac:dyDescent="0.2"/>
    <row r="59037" s="689" customFormat="1" x14ac:dyDescent="0.2"/>
    <row r="59038" s="689" customFormat="1" x14ac:dyDescent="0.2"/>
    <row r="59039" s="689" customFormat="1" x14ac:dyDescent="0.2"/>
    <row r="59040" s="689" customFormat="1" x14ac:dyDescent="0.2"/>
    <row r="59041" s="689" customFormat="1" x14ac:dyDescent="0.2"/>
    <row r="59042" s="689" customFormat="1" x14ac:dyDescent="0.2"/>
    <row r="59043" s="689" customFormat="1" x14ac:dyDescent="0.2"/>
    <row r="59044" s="689" customFormat="1" x14ac:dyDescent="0.2"/>
    <row r="59045" s="689" customFormat="1" x14ac:dyDescent="0.2"/>
    <row r="59046" s="689" customFormat="1" x14ac:dyDescent="0.2"/>
    <row r="59047" s="689" customFormat="1" x14ac:dyDescent="0.2"/>
    <row r="59048" s="689" customFormat="1" x14ac:dyDescent="0.2"/>
    <row r="59049" s="689" customFormat="1" x14ac:dyDescent="0.2"/>
    <row r="59050" s="689" customFormat="1" x14ac:dyDescent="0.2"/>
    <row r="59051" s="689" customFormat="1" x14ac:dyDescent="0.2"/>
    <row r="59052" s="689" customFormat="1" x14ac:dyDescent="0.2"/>
    <row r="59053" s="689" customFormat="1" x14ac:dyDescent="0.2"/>
    <row r="59054" s="689" customFormat="1" x14ac:dyDescent="0.2"/>
    <row r="59055" s="689" customFormat="1" x14ac:dyDescent="0.2"/>
    <row r="59056" s="689" customFormat="1" x14ac:dyDescent="0.2"/>
    <row r="59057" s="689" customFormat="1" x14ac:dyDescent="0.2"/>
    <row r="59058" s="689" customFormat="1" x14ac:dyDescent="0.2"/>
    <row r="59059" s="689" customFormat="1" x14ac:dyDescent="0.2"/>
    <row r="59060" s="689" customFormat="1" x14ac:dyDescent="0.2"/>
    <row r="59061" s="689" customFormat="1" x14ac:dyDescent="0.2"/>
    <row r="59062" s="689" customFormat="1" x14ac:dyDescent="0.2"/>
    <row r="59063" s="689" customFormat="1" x14ac:dyDescent="0.2"/>
    <row r="59064" s="689" customFormat="1" x14ac:dyDescent="0.2"/>
    <row r="59065" s="689" customFormat="1" x14ac:dyDescent="0.2"/>
    <row r="59066" s="689" customFormat="1" x14ac:dyDescent="0.2"/>
    <row r="59067" s="689" customFormat="1" x14ac:dyDescent="0.2"/>
    <row r="59068" s="689" customFormat="1" x14ac:dyDescent="0.2"/>
    <row r="59069" s="689" customFormat="1" x14ac:dyDescent="0.2"/>
    <row r="59070" s="689" customFormat="1" x14ac:dyDescent="0.2"/>
    <row r="59071" s="689" customFormat="1" x14ac:dyDescent="0.2"/>
    <row r="59072" s="689" customFormat="1" x14ac:dyDescent="0.2"/>
    <row r="59073" s="689" customFormat="1" x14ac:dyDescent="0.2"/>
    <row r="59074" s="689" customFormat="1" x14ac:dyDescent="0.2"/>
    <row r="59075" s="689" customFormat="1" x14ac:dyDescent="0.2"/>
    <row r="59076" s="689" customFormat="1" x14ac:dyDescent="0.2"/>
    <row r="59077" s="689" customFormat="1" x14ac:dyDescent="0.2"/>
    <row r="59078" s="689" customFormat="1" x14ac:dyDescent="0.2"/>
    <row r="59079" s="689" customFormat="1" x14ac:dyDescent="0.2"/>
    <row r="59080" s="689" customFormat="1" x14ac:dyDescent="0.2"/>
    <row r="59081" s="689" customFormat="1" x14ac:dyDescent="0.2"/>
    <row r="59082" s="689" customFormat="1" x14ac:dyDescent="0.2"/>
    <row r="59083" s="689" customFormat="1" x14ac:dyDescent="0.2"/>
    <row r="59084" s="689" customFormat="1" x14ac:dyDescent="0.2"/>
    <row r="59085" s="689" customFormat="1" x14ac:dyDescent="0.2"/>
    <row r="59086" s="689" customFormat="1" x14ac:dyDescent="0.2"/>
    <row r="59087" s="689" customFormat="1" x14ac:dyDescent="0.2"/>
    <row r="59088" s="689" customFormat="1" x14ac:dyDescent="0.2"/>
    <row r="59089" s="689" customFormat="1" x14ac:dyDescent="0.2"/>
    <row r="59090" s="689" customFormat="1" x14ac:dyDescent="0.2"/>
    <row r="59091" s="689" customFormat="1" x14ac:dyDescent="0.2"/>
    <row r="59092" s="689" customFormat="1" x14ac:dyDescent="0.2"/>
    <row r="59093" s="689" customFormat="1" x14ac:dyDescent="0.2"/>
    <row r="59094" s="689" customFormat="1" x14ac:dyDescent="0.2"/>
    <row r="59095" s="689" customFormat="1" x14ac:dyDescent="0.2"/>
    <row r="59096" s="689" customFormat="1" x14ac:dyDescent="0.2"/>
    <row r="59097" s="689" customFormat="1" x14ac:dyDescent="0.2"/>
    <row r="59098" s="689" customFormat="1" x14ac:dyDescent="0.2"/>
    <row r="59099" s="689" customFormat="1" x14ac:dyDescent="0.2"/>
    <row r="59100" s="689" customFormat="1" x14ac:dyDescent="0.2"/>
    <row r="59101" s="689" customFormat="1" x14ac:dyDescent="0.2"/>
    <row r="59102" s="689" customFormat="1" x14ac:dyDescent="0.2"/>
    <row r="59103" s="689" customFormat="1" x14ac:dyDescent="0.2"/>
    <row r="59104" s="689" customFormat="1" x14ac:dyDescent="0.2"/>
    <row r="59105" s="689" customFormat="1" x14ac:dyDescent="0.2"/>
    <row r="59106" s="689" customFormat="1" x14ac:dyDescent="0.2"/>
    <row r="59107" s="689" customFormat="1" x14ac:dyDescent="0.2"/>
    <row r="59108" s="689" customFormat="1" x14ac:dyDescent="0.2"/>
    <row r="59109" s="689" customFormat="1" x14ac:dyDescent="0.2"/>
    <row r="59110" s="689" customFormat="1" x14ac:dyDescent="0.2"/>
    <row r="59111" s="689" customFormat="1" x14ac:dyDescent="0.2"/>
    <row r="59112" s="689" customFormat="1" x14ac:dyDescent="0.2"/>
    <row r="59113" s="689" customFormat="1" x14ac:dyDescent="0.2"/>
    <row r="59114" s="689" customFormat="1" x14ac:dyDescent="0.2"/>
    <row r="59115" s="689" customFormat="1" x14ac:dyDescent="0.2"/>
    <row r="59116" s="689" customFormat="1" x14ac:dyDescent="0.2"/>
    <row r="59117" s="689" customFormat="1" x14ac:dyDescent="0.2"/>
    <row r="59118" s="689" customFormat="1" x14ac:dyDescent="0.2"/>
    <row r="59119" s="689" customFormat="1" x14ac:dyDescent="0.2"/>
    <row r="59120" s="689" customFormat="1" x14ac:dyDescent="0.2"/>
    <row r="59121" s="689" customFormat="1" x14ac:dyDescent="0.2"/>
    <row r="59122" s="689" customFormat="1" x14ac:dyDescent="0.2"/>
    <row r="59123" s="689" customFormat="1" x14ac:dyDescent="0.2"/>
    <row r="59124" s="689" customFormat="1" x14ac:dyDescent="0.2"/>
    <row r="59125" s="689" customFormat="1" x14ac:dyDescent="0.2"/>
    <row r="59126" s="689" customFormat="1" x14ac:dyDescent="0.2"/>
    <row r="59127" s="689" customFormat="1" x14ac:dyDescent="0.2"/>
    <row r="59128" s="689" customFormat="1" x14ac:dyDescent="0.2"/>
    <row r="59129" s="689" customFormat="1" x14ac:dyDescent="0.2"/>
    <row r="59130" s="689" customFormat="1" x14ac:dyDescent="0.2"/>
    <row r="59131" s="689" customFormat="1" x14ac:dyDescent="0.2"/>
    <row r="59132" s="689" customFormat="1" x14ac:dyDescent="0.2"/>
    <row r="59133" s="689" customFormat="1" x14ac:dyDescent="0.2"/>
    <row r="59134" s="689" customFormat="1" x14ac:dyDescent="0.2"/>
    <row r="59135" s="689" customFormat="1" x14ac:dyDescent="0.2"/>
    <row r="59136" s="689" customFormat="1" x14ac:dyDescent="0.2"/>
    <row r="59137" s="689" customFormat="1" x14ac:dyDescent="0.2"/>
    <row r="59138" s="689" customFormat="1" x14ac:dyDescent="0.2"/>
    <row r="59139" s="689" customFormat="1" x14ac:dyDescent="0.2"/>
    <row r="59140" s="689" customFormat="1" x14ac:dyDescent="0.2"/>
    <row r="59141" s="689" customFormat="1" x14ac:dyDescent="0.2"/>
    <row r="59142" s="689" customFormat="1" x14ac:dyDescent="0.2"/>
    <row r="59143" s="689" customFormat="1" x14ac:dyDescent="0.2"/>
    <row r="59144" s="689" customFormat="1" x14ac:dyDescent="0.2"/>
    <row r="59145" s="689" customFormat="1" x14ac:dyDescent="0.2"/>
    <row r="59146" s="689" customFormat="1" x14ac:dyDescent="0.2"/>
    <row r="59147" s="689" customFormat="1" x14ac:dyDescent="0.2"/>
    <row r="59148" s="689" customFormat="1" x14ac:dyDescent="0.2"/>
    <row r="59149" s="689" customFormat="1" x14ac:dyDescent="0.2"/>
    <row r="59150" s="689" customFormat="1" x14ac:dyDescent="0.2"/>
    <row r="59151" s="689" customFormat="1" x14ac:dyDescent="0.2"/>
    <row r="59152" s="689" customFormat="1" x14ac:dyDescent="0.2"/>
    <row r="59153" s="689" customFormat="1" x14ac:dyDescent="0.2"/>
    <row r="59154" s="689" customFormat="1" x14ac:dyDescent="0.2"/>
    <row r="59155" s="689" customFormat="1" x14ac:dyDescent="0.2"/>
    <row r="59156" s="689" customFormat="1" x14ac:dyDescent="0.2"/>
    <row r="59157" s="689" customFormat="1" x14ac:dyDescent="0.2"/>
    <row r="59158" s="689" customFormat="1" x14ac:dyDescent="0.2"/>
    <row r="59159" s="689" customFormat="1" x14ac:dyDescent="0.2"/>
    <row r="59160" s="689" customFormat="1" x14ac:dyDescent="0.2"/>
    <row r="59161" s="689" customFormat="1" x14ac:dyDescent="0.2"/>
    <row r="59162" s="689" customFormat="1" x14ac:dyDescent="0.2"/>
    <row r="59163" s="689" customFormat="1" x14ac:dyDescent="0.2"/>
    <row r="59164" s="689" customFormat="1" x14ac:dyDescent="0.2"/>
    <row r="59165" s="689" customFormat="1" x14ac:dyDescent="0.2"/>
    <row r="59166" s="689" customFormat="1" x14ac:dyDescent="0.2"/>
    <row r="59167" s="689" customFormat="1" x14ac:dyDescent="0.2"/>
    <row r="59168" s="689" customFormat="1" x14ac:dyDescent="0.2"/>
    <row r="59169" s="689" customFormat="1" x14ac:dyDescent="0.2"/>
    <row r="59170" s="689" customFormat="1" x14ac:dyDescent="0.2"/>
    <row r="59171" s="689" customFormat="1" x14ac:dyDescent="0.2"/>
    <row r="59172" s="689" customFormat="1" x14ac:dyDescent="0.2"/>
    <row r="59173" s="689" customFormat="1" x14ac:dyDescent="0.2"/>
    <row r="59174" s="689" customFormat="1" x14ac:dyDescent="0.2"/>
    <row r="59175" s="689" customFormat="1" x14ac:dyDescent="0.2"/>
    <row r="59176" s="689" customFormat="1" x14ac:dyDescent="0.2"/>
    <row r="59177" s="689" customFormat="1" x14ac:dyDescent="0.2"/>
    <row r="59178" s="689" customFormat="1" x14ac:dyDescent="0.2"/>
    <row r="59179" s="689" customFormat="1" x14ac:dyDescent="0.2"/>
    <row r="59180" s="689" customFormat="1" x14ac:dyDescent="0.2"/>
    <row r="59181" s="689" customFormat="1" x14ac:dyDescent="0.2"/>
    <row r="59182" s="689" customFormat="1" x14ac:dyDescent="0.2"/>
    <row r="59183" s="689" customFormat="1" x14ac:dyDescent="0.2"/>
    <row r="59184" s="689" customFormat="1" x14ac:dyDescent="0.2"/>
    <row r="59185" s="689" customFormat="1" x14ac:dyDescent="0.2"/>
    <row r="59186" s="689" customFormat="1" x14ac:dyDescent="0.2"/>
    <row r="59187" s="689" customFormat="1" x14ac:dyDescent="0.2"/>
    <row r="59188" s="689" customFormat="1" x14ac:dyDescent="0.2"/>
    <row r="59189" s="689" customFormat="1" x14ac:dyDescent="0.2"/>
    <row r="59190" s="689" customFormat="1" x14ac:dyDescent="0.2"/>
    <row r="59191" s="689" customFormat="1" x14ac:dyDescent="0.2"/>
    <row r="59192" s="689" customFormat="1" x14ac:dyDescent="0.2"/>
    <row r="59193" s="689" customFormat="1" x14ac:dyDescent="0.2"/>
    <row r="59194" s="689" customFormat="1" x14ac:dyDescent="0.2"/>
    <row r="59195" s="689" customFormat="1" x14ac:dyDescent="0.2"/>
    <row r="59196" s="689" customFormat="1" x14ac:dyDescent="0.2"/>
    <row r="59197" s="689" customFormat="1" x14ac:dyDescent="0.2"/>
    <row r="59198" s="689" customFormat="1" x14ac:dyDescent="0.2"/>
    <row r="59199" s="689" customFormat="1" x14ac:dyDescent="0.2"/>
    <row r="59200" s="689" customFormat="1" x14ac:dyDescent="0.2"/>
    <row r="59201" s="689" customFormat="1" x14ac:dyDescent="0.2"/>
    <row r="59202" s="689" customFormat="1" x14ac:dyDescent="0.2"/>
    <row r="59203" s="689" customFormat="1" x14ac:dyDescent="0.2"/>
    <row r="59204" s="689" customFormat="1" x14ac:dyDescent="0.2"/>
    <row r="59205" s="689" customFormat="1" x14ac:dyDescent="0.2"/>
    <row r="59206" s="689" customFormat="1" x14ac:dyDescent="0.2"/>
    <row r="59207" s="689" customFormat="1" x14ac:dyDescent="0.2"/>
    <row r="59208" s="689" customFormat="1" x14ac:dyDescent="0.2"/>
    <row r="59209" s="689" customFormat="1" x14ac:dyDescent="0.2"/>
    <row r="59210" s="689" customFormat="1" x14ac:dyDescent="0.2"/>
    <row r="59211" s="689" customFormat="1" x14ac:dyDescent="0.2"/>
    <row r="59212" s="689" customFormat="1" x14ac:dyDescent="0.2"/>
    <row r="59213" s="689" customFormat="1" x14ac:dyDescent="0.2"/>
    <row r="59214" s="689" customFormat="1" x14ac:dyDescent="0.2"/>
    <row r="59215" s="689" customFormat="1" x14ac:dyDescent="0.2"/>
    <row r="59216" s="689" customFormat="1" x14ac:dyDescent="0.2"/>
    <row r="59217" s="689" customFormat="1" x14ac:dyDescent="0.2"/>
    <row r="59218" s="689" customFormat="1" x14ac:dyDescent="0.2"/>
    <row r="59219" s="689" customFormat="1" x14ac:dyDescent="0.2"/>
    <row r="59220" s="689" customFormat="1" x14ac:dyDescent="0.2"/>
    <row r="59221" s="689" customFormat="1" x14ac:dyDescent="0.2"/>
    <row r="59222" s="689" customFormat="1" x14ac:dyDescent="0.2"/>
    <row r="59223" s="689" customFormat="1" x14ac:dyDescent="0.2"/>
    <row r="59224" s="689" customFormat="1" x14ac:dyDescent="0.2"/>
    <row r="59225" s="689" customFormat="1" x14ac:dyDescent="0.2"/>
    <row r="59226" s="689" customFormat="1" x14ac:dyDescent="0.2"/>
    <row r="59227" s="689" customFormat="1" x14ac:dyDescent="0.2"/>
    <row r="59228" s="689" customFormat="1" x14ac:dyDescent="0.2"/>
    <row r="59229" s="689" customFormat="1" x14ac:dyDescent="0.2"/>
    <row r="59230" s="689" customFormat="1" x14ac:dyDescent="0.2"/>
    <row r="59231" s="689" customFormat="1" x14ac:dyDescent="0.2"/>
    <row r="59232" s="689" customFormat="1" x14ac:dyDescent="0.2"/>
    <row r="59233" s="689" customFormat="1" x14ac:dyDescent="0.2"/>
    <row r="59234" s="689" customFormat="1" x14ac:dyDescent="0.2"/>
    <row r="59235" s="689" customFormat="1" x14ac:dyDescent="0.2"/>
    <row r="59236" s="689" customFormat="1" x14ac:dyDescent="0.2"/>
    <row r="59237" s="689" customFormat="1" x14ac:dyDescent="0.2"/>
    <row r="59238" s="689" customFormat="1" x14ac:dyDescent="0.2"/>
    <row r="59239" s="689" customFormat="1" x14ac:dyDescent="0.2"/>
    <row r="59240" s="689" customFormat="1" x14ac:dyDescent="0.2"/>
    <row r="59241" s="689" customFormat="1" x14ac:dyDescent="0.2"/>
    <row r="59242" s="689" customFormat="1" x14ac:dyDescent="0.2"/>
    <row r="59243" s="689" customFormat="1" x14ac:dyDescent="0.2"/>
    <row r="59244" s="689" customFormat="1" x14ac:dyDescent="0.2"/>
    <row r="59245" s="689" customFormat="1" x14ac:dyDescent="0.2"/>
    <row r="59246" s="689" customFormat="1" x14ac:dyDescent="0.2"/>
    <row r="59247" s="689" customFormat="1" x14ac:dyDescent="0.2"/>
    <row r="59248" s="689" customFormat="1" x14ac:dyDescent="0.2"/>
    <row r="59249" s="689" customFormat="1" x14ac:dyDescent="0.2"/>
    <row r="59250" s="689" customFormat="1" x14ac:dyDescent="0.2"/>
    <row r="59251" s="689" customFormat="1" x14ac:dyDescent="0.2"/>
    <row r="59252" s="689" customFormat="1" x14ac:dyDescent="0.2"/>
    <row r="59253" s="689" customFormat="1" x14ac:dyDescent="0.2"/>
    <row r="59254" s="689" customFormat="1" x14ac:dyDescent="0.2"/>
    <row r="59255" s="689" customFormat="1" x14ac:dyDescent="0.2"/>
    <row r="59256" s="689" customFormat="1" x14ac:dyDescent="0.2"/>
    <row r="59257" s="689" customFormat="1" x14ac:dyDescent="0.2"/>
    <row r="59258" s="689" customFormat="1" x14ac:dyDescent="0.2"/>
    <row r="59259" s="689" customFormat="1" x14ac:dyDescent="0.2"/>
    <row r="59260" s="689" customFormat="1" x14ac:dyDescent="0.2"/>
    <row r="59261" s="689" customFormat="1" x14ac:dyDescent="0.2"/>
    <row r="59262" s="689" customFormat="1" x14ac:dyDescent="0.2"/>
    <row r="59263" s="689" customFormat="1" x14ac:dyDescent="0.2"/>
    <row r="59264" s="689" customFormat="1" x14ac:dyDescent="0.2"/>
    <row r="59265" s="689" customFormat="1" x14ac:dyDescent="0.2"/>
    <row r="59266" s="689" customFormat="1" x14ac:dyDescent="0.2"/>
    <row r="59267" s="689" customFormat="1" x14ac:dyDescent="0.2"/>
    <row r="59268" s="689" customFormat="1" x14ac:dyDescent="0.2"/>
    <row r="59269" s="689" customFormat="1" x14ac:dyDescent="0.2"/>
    <row r="59270" s="689" customFormat="1" x14ac:dyDescent="0.2"/>
    <row r="59271" s="689" customFormat="1" x14ac:dyDescent="0.2"/>
    <row r="59272" s="689" customFormat="1" x14ac:dyDescent="0.2"/>
    <row r="59273" s="689" customFormat="1" x14ac:dyDescent="0.2"/>
    <row r="59274" s="689" customFormat="1" x14ac:dyDescent="0.2"/>
    <row r="59275" s="689" customFormat="1" x14ac:dyDescent="0.2"/>
    <row r="59276" s="689" customFormat="1" x14ac:dyDescent="0.2"/>
    <row r="59277" s="689" customFormat="1" x14ac:dyDescent="0.2"/>
    <row r="59278" s="689" customFormat="1" x14ac:dyDescent="0.2"/>
    <row r="59279" s="689" customFormat="1" x14ac:dyDescent="0.2"/>
    <row r="59280" s="689" customFormat="1" x14ac:dyDescent="0.2"/>
    <row r="59281" s="689" customFormat="1" x14ac:dyDescent="0.2"/>
    <row r="59282" s="689" customFormat="1" x14ac:dyDescent="0.2"/>
    <row r="59283" s="689" customFormat="1" x14ac:dyDescent="0.2"/>
    <row r="59284" s="689" customFormat="1" x14ac:dyDescent="0.2"/>
    <row r="59285" s="689" customFormat="1" x14ac:dyDescent="0.2"/>
    <row r="59286" s="689" customFormat="1" x14ac:dyDescent="0.2"/>
    <row r="59287" s="689" customFormat="1" x14ac:dyDescent="0.2"/>
    <row r="59288" s="689" customFormat="1" x14ac:dyDescent="0.2"/>
    <row r="59289" s="689" customFormat="1" x14ac:dyDescent="0.2"/>
    <row r="59290" s="689" customFormat="1" x14ac:dyDescent="0.2"/>
    <row r="59291" s="689" customFormat="1" x14ac:dyDescent="0.2"/>
    <row r="59292" s="689" customFormat="1" x14ac:dyDescent="0.2"/>
    <row r="59293" s="689" customFormat="1" x14ac:dyDescent="0.2"/>
    <row r="59294" s="689" customFormat="1" x14ac:dyDescent="0.2"/>
    <row r="59295" s="689" customFormat="1" x14ac:dyDescent="0.2"/>
    <row r="59296" s="689" customFormat="1" x14ac:dyDescent="0.2"/>
    <row r="59297" s="689" customFormat="1" x14ac:dyDescent="0.2"/>
    <row r="59298" s="689" customFormat="1" x14ac:dyDescent="0.2"/>
    <row r="59299" s="689" customFormat="1" x14ac:dyDescent="0.2"/>
    <row r="59300" s="689" customFormat="1" x14ac:dyDescent="0.2"/>
    <row r="59301" s="689" customFormat="1" x14ac:dyDescent="0.2"/>
    <row r="59302" s="689" customFormat="1" x14ac:dyDescent="0.2"/>
    <row r="59303" s="689" customFormat="1" x14ac:dyDescent="0.2"/>
    <row r="59304" s="689" customFormat="1" x14ac:dyDescent="0.2"/>
    <row r="59305" s="689" customFormat="1" x14ac:dyDescent="0.2"/>
    <row r="59306" s="689" customFormat="1" x14ac:dyDescent="0.2"/>
    <row r="59307" s="689" customFormat="1" x14ac:dyDescent="0.2"/>
    <row r="59308" s="689" customFormat="1" x14ac:dyDescent="0.2"/>
    <row r="59309" s="689" customFormat="1" x14ac:dyDescent="0.2"/>
    <row r="59310" s="689" customFormat="1" x14ac:dyDescent="0.2"/>
    <row r="59311" s="689" customFormat="1" x14ac:dyDescent="0.2"/>
    <row r="59312" s="689" customFormat="1" x14ac:dyDescent="0.2"/>
    <row r="59313" s="689" customFormat="1" x14ac:dyDescent="0.2"/>
    <row r="59314" s="689" customFormat="1" x14ac:dyDescent="0.2"/>
    <row r="59315" s="689" customFormat="1" x14ac:dyDescent="0.2"/>
    <row r="59316" s="689" customFormat="1" x14ac:dyDescent="0.2"/>
    <row r="59317" s="689" customFormat="1" x14ac:dyDescent="0.2"/>
    <row r="59318" s="689" customFormat="1" x14ac:dyDescent="0.2"/>
    <row r="59319" s="689" customFormat="1" x14ac:dyDescent="0.2"/>
    <row r="59320" s="689" customFormat="1" x14ac:dyDescent="0.2"/>
    <row r="59321" s="689" customFormat="1" x14ac:dyDescent="0.2"/>
    <row r="59322" s="689" customFormat="1" x14ac:dyDescent="0.2"/>
    <row r="59323" s="689" customFormat="1" x14ac:dyDescent="0.2"/>
    <row r="59324" s="689" customFormat="1" x14ac:dyDescent="0.2"/>
    <row r="59325" s="689" customFormat="1" x14ac:dyDescent="0.2"/>
    <row r="59326" s="689" customFormat="1" x14ac:dyDescent="0.2"/>
    <row r="59327" s="689" customFormat="1" x14ac:dyDescent="0.2"/>
    <row r="59328" s="689" customFormat="1" x14ac:dyDescent="0.2"/>
    <row r="59329" s="689" customFormat="1" x14ac:dyDescent="0.2"/>
    <row r="59330" s="689" customFormat="1" x14ac:dyDescent="0.2"/>
    <row r="59331" s="689" customFormat="1" x14ac:dyDescent="0.2"/>
    <row r="59332" s="689" customFormat="1" x14ac:dyDescent="0.2"/>
    <row r="59333" s="689" customFormat="1" x14ac:dyDescent="0.2"/>
    <row r="59334" s="689" customFormat="1" x14ac:dyDescent="0.2"/>
    <row r="59335" s="689" customFormat="1" x14ac:dyDescent="0.2"/>
    <row r="59336" s="689" customFormat="1" x14ac:dyDescent="0.2"/>
    <row r="59337" s="689" customFormat="1" x14ac:dyDescent="0.2"/>
    <row r="59338" s="689" customFormat="1" x14ac:dyDescent="0.2"/>
    <row r="59339" s="689" customFormat="1" x14ac:dyDescent="0.2"/>
    <row r="59340" s="689" customFormat="1" x14ac:dyDescent="0.2"/>
    <row r="59341" s="689" customFormat="1" x14ac:dyDescent="0.2"/>
    <row r="59342" s="689" customFormat="1" x14ac:dyDescent="0.2"/>
    <row r="59343" s="689" customFormat="1" x14ac:dyDescent="0.2"/>
    <row r="59344" s="689" customFormat="1" x14ac:dyDescent="0.2"/>
    <row r="59345" s="689" customFormat="1" x14ac:dyDescent="0.2"/>
    <row r="59346" s="689" customFormat="1" x14ac:dyDescent="0.2"/>
    <row r="59347" s="689" customFormat="1" x14ac:dyDescent="0.2"/>
    <row r="59348" s="689" customFormat="1" x14ac:dyDescent="0.2"/>
    <row r="59349" s="689" customFormat="1" x14ac:dyDescent="0.2"/>
    <row r="59350" s="689" customFormat="1" x14ac:dyDescent="0.2"/>
    <row r="59351" s="689" customFormat="1" x14ac:dyDescent="0.2"/>
    <row r="59352" s="689" customFormat="1" x14ac:dyDescent="0.2"/>
    <row r="59353" s="689" customFormat="1" x14ac:dyDescent="0.2"/>
    <row r="59354" s="689" customFormat="1" x14ac:dyDescent="0.2"/>
    <row r="59355" s="689" customFormat="1" x14ac:dyDescent="0.2"/>
    <row r="59356" s="689" customFormat="1" x14ac:dyDescent="0.2"/>
    <row r="59357" s="689" customFormat="1" x14ac:dyDescent="0.2"/>
    <row r="59358" s="689" customFormat="1" x14ac:dyDescent="0.2"/>
    <row r="59359" s="689" customFormat="1" x14ac:dyDescent="0.2"/>
    <row r="59360" s="689" customFormat="1" x14ac:dyDescent="0.2"/>
    <row r="59361" s="689" customFormat="1" x14ac:dyDescent="0.2"/>
    <row r="59362" s="689" customFormat="1" x14ac:dyDescent="0.2"/>
    <row r="59363" s="689" customFormat="1" x14ac:dyDescent="0.2"/>
    <row r="59364" s="689" customFormat="1" x14ac:dyDescent="0.2"/>
    <row r="59365" s="689" customFormat="1" x14ac:dyDescent="0.2"/>
    <row r="59366" s="689" customFormat="1" x14ac:dyDescent="0.2"/>
    <row r="59367" s="689" customFormat="1" x14ac:dyDescent="0.2"/>
    <row r="59368" s="689" customFormat="1" x14ac:dyDescent="0.2"/>
    <row r="59369" s="689" customFormat="1" x14ac:dyDescent="0.2"/>
    <row r="59370" s="689" customFormat="1" x14ac:dyDescent="0.2"/>
    <row r="59371" s="689" customFormat="1" x14ac:dyDescent="0.2"/>
    <row r="59372" s="689" customFormat="1" x14ac:dyDescent="0.2"/>
    <row r="59373" s="689" customFormat="1" x14ac:dyDescent="0.2"/>
    <row r="59374" s="689" customFormat="1" x14ac:dyDescent="0.2"/>
    <row r="59375" s="689" customFormat="1" x14ac:dyDescent="0.2"/>
    <row r="59376" s="689" customFormat="1" x14ac:dyDescent="0.2"/>
    <row r="59377" s="689" customFormat="1" x14ac:dyDescent="0.2"/>
    <row r="59378" s="689" customFormat="1" x14ac:dyDescent="0.2"/>
    <row r="59379" s="689" customFormat="1" x14ac:dyDescent="0.2"/>
    <row r="59380" s="689" customFormat="1" x14ac:dyDescent="0.2"/>
    <row r="59381" s="689" customFormat="1" x14ac:dyDescent="0.2"/>
    <row r="59382" s="689" customFormat="1" x14ac:dyDescent="0.2"/>
    <row r="59383" s="689" customFormat="1" x14ac:dyDescent="0.2"/>
    <row r="59384" s="689" customFormat="1" x14ac:dyDescent="0.2"/>
    <row r="59385" s="689" customFormat="1" x14ac:dyDescent="0.2"/>
    <row r="59386" s="689" customFormat="1" x14ac:dyDescent="0.2"/>
    <row r="59387" s="689" customFormat="1" x14ac:dyDescent="0.2"/>
    <row r="59388" s="689" customFormat="1" x14ac:dyDescent="0.2"/>
    <row r="59389" s="689" customFormat="1" x14ac:dyDescent="0.2"/>
    <row r="59390" s="689" customFormat="1" x14ac:dyDescent="0.2"/>
    <row r="59391" s="689" customFormat="1" x14ac:dyDescent="0.2"/>
    <row r="59392" s="689" customFormat="1" x14ac:dyDescent="0.2"/>
    <row r="59393" s="689" customFormat="1" x14ac:dyDescent="0.2"/>
    <row r="59394" s="689" customFormat="1" x14ac:dyDescent="0.2"/>
    <row r="59395" s="689" customFormat="1" x14ac:dyDescent="0.2"/>
    <row r="59396" s="689" customFormat="1" x14ac:dyDescent="0.2"/>
    <row r="59397" s="689" customFormat="1" x14ac:dyDescent="0.2"/>
    <row r="59398" s="689" customFormat="1" x14ac:dyDescent="0.2"/>
    <row r="59399" s="689" customFormat="1" x14ac:dyDescent="0.2"/>
    <row r="59400" s="689" customFormat="1" x14ac:dyDescent="0.2"/>
    <row r="59401" s="689" customFormat="1" x14ac:dyDescent="0.2"/>
    <row r="59402" s="689" customFormat="1" x14ac:dyDescent="0.2"/>
    <row r="59403" s="689" customFormat="1" x14ac:dyDescent="0.2"/>
    <row r="59404" s="689" customFormat="1" x14ac:dyDescent="0.2"/>
    <row r="59405" s="689" customFormat="1" x14ac:dyDescent="0.2"/>
    <row r="59406" s="689" customFormat="1" x14ac:dyDescent="0.2"/>
    <row r="59407" s="689" customFormat="1" x14ac:dyDescent="0.2"/>
    <row r="59408" s="689" customFormat="1" x14ac:dyDescent="0.2"/>
    <row r="59409" s="689" customFormat="1" x14ac:dyDescent="0.2"/>
    <row r="59410" s="689" customFormat="1" x14ac:dyDescent="0.2"/>
    <row r="59411" s="689" customFormat="1" x14ac:dyDescent="0.2"/>
    <row r="59412" s="689" customFormat="1" x14ac:dyDescent="0.2"/>
    <row r="59413" s="689" customFormat="1" x14ac:dyDescent="0.2"/>
    <row r="59414" s="689" customFormat="1" x14ac:dyDescent="0.2"/>
    <row r="59415" s="689" customFormat="1" x14ac:dyDescent="0.2"/>
    <row r="59416" s="689" customFormat="1" x14ac:dyDescent="0.2"/>
    <row r="59417" s="689" customFormat="1" x14ac:dyDescent="0.2"/>
    <row r="59418" s="689" customFormat="1" x14ac:dyDescent="0.2"/>
    <row r="59419" s="689" customFormat="1" x14ac:dyDescent="0.2"/>
    <row r="59420" s="689" customFormat="1" x14ac:dyDescent="0.2"/>
    <row r="59421" s="689" customFormat="1" x14ac:dyDescent="0.2"/>
    <row r="59422" s="689" customFormat="1" x14ac:dyDescent="0.2"/>
    <row r="59423" s="689" customFormat="1" x14ac:dyDescent="0.2"/>
    <row r="59424" s="689" customFormat="1" x14ac:dyDescent="0.2"/>
    <row r="59425" s="689" customFormat="1" x14ac:dyDescent="0.2"/>
    <row r="59426" s="689" customFormat="1" x14ac:dyDescent="0.2"/>
    <row r="59427" s="689" customFormat="1" x14ac:dyDescent="0.2"/>
    <row r="59428" s="689" customFormat="1" x14ac:dyDescent="0.2"/>
    <row r="59429" s="689" customFormat="1" x14ac:dyDescent="0.2"/>
    <row r="59430" s="689" customFormat="1" x14ac:dyDescent="0.2"/>
    <row r="59431" s="689" customFormat="1" x14ac:dyDescent="0.2"/>
    <row r="59432" s="689" customFormat="1" x14ac:dyDescent="0.2"/>
    <row r="59433" s="689" customFormat="1" x14ac:dyDescent="0.2"/>
    <row r="59434" s="689" customFormat="1" x14ac:dyDescent="0.2"/>
    <row r="59435" s="689" customFormat="1" x14ac:dyDescent="0.2"/>
    <row r="59436" s="689" customFormat="1" x14ac:dyDescent="0.2"/>
    <row r="59437" s="689" customFormat="1" x14ac:dyDescent="0.2"/>
    <row r="59438" s="689" customFormat="1" x14ac:dyDescent="0.2"/>
    <row r="59439" s="689" customFormat="1" x14ac:dyDescent="0.2"/>
    <row r="59440" s="689" customFormat="1" x14ac:dyDescent="0.2"/>
    <row r="59441" s="689" customFormat="1" x14ac:dyDescent="0.2"/>
    <row r="59442" s="689" customFormat="1" x14ac:dyDescent="0.2"/>
    <row r="59443" s="689" customFormat="1" x14ac:dyDescent="0.2"/>
    <row r="59444" s="689" customFormat="1" x14ac:dyDescent="0.2"/>
    <row r="59445" s="689" customFormat="1" x14ac:dyDescent="0.2"/>
    <row r="59446" s="689" customFormat="1" x14ac:dyDescent="0.2"/>
    <row r="59447" s="689" customFormat="1" x14ac:dyDescent="0.2"/>
    <row r="59448" s="689" customFormat="1" x14ac:dyDescent="0.2"/>
    <row r="59449" s="689" customFormat="1" x14ac:dyDescent="0.2"/>
    <row r="59450" s="689" customFormat="1" x14ac:dyDescent="0.2"/>
    <row r="59451" s="689" customFormat="1" x14ac:dyDescent="0.2"/>
    <row r="59452" s="689" customFormat="1" x14ac:dyDescent="0.2"/>
    <row r="59453" s="689" customFormat="1" x14ac:dyDescent="0.2"/>
    <row r="59454" s="689" customFormat="1" x14ac:dyDescent="0.2"/>
    <row r="59455" s="689" customFormat="1" x14ac:dyDescent="0.2"/>
    <row r="59456" s="689" customFormat="1" x14ac:dyDescent="0.2"/>
    <row r="59457" s="689" customFormat="1" x14ac:dyDescent="0.2"/>
    <row r="59458" s="689" customFormat="1" x14ac:dyDescent="0.2"/>
    <row r="59459" s="689" customFormat="1" x14ac:dyDescent="0.2"/>
    <row r="59460" s="689" customFormat="1" x14ac:dyDescent="0.2"/>
    <row r="59461" s="689" customFormat="1" x14ac:dyDescent="0.2"/>
    <row r="59462" s="689" customFormat="1" x14ac:dyDescent="0.2"/>
    <row r="59463" s="689" customFormat="1" x14ac:dyDescent="0.2"/>
    <row r="59464" s="689" customFormat="1" x14ac:dyDescent="0.2"/>
    <row r="59465" s="689" customFormat="1" x14ac:dyDescent="0.2"/>
    <row r="59466" s="689" customFormat="1" x14ac:dyDescent="0.2"/>
    <row r="59467" s="689" customFormat="1" x14ac:dyDescent="0.2"/>
    <row r="59468" s="689" customFormat="1" x14ac:dyDescent="0.2"/>
    <row r="59469" s="689" customFormat="1" x14ac:dyDescent="0.2"/>
    <row r="59470" s="689" customFormat="1" x14ac:dyDescent="0.2"/>
    <row r="59471" s="689" customFormat="1" x14ac:dyDescent="0.2"/>
    <row r="59472" s="689" customFormat="1" x14ac:dyDescent="0.2"/>
    <row r="59473" s="689" customFormat="1" x14ac:dyDescent="0.2"/>
    <row r="59474" s="689" customFormat="1" x14ac:dyDescent="0.2"/>
    <row r="59475" s="689" customFormat="1" x14ac:dyDescent="0.2"/>
    <row r="59476" s="689" customFormat="1" x14ac:dyDescent="0.2"/>
    <row r="59477" s="689" customFormat="1" x14ac:dyDescent="0.2"/>
    <row r="59478" s="689" customFormat="1" x14ac:dyDescent="0.2"/>
    <row r="59479" s="689" customFormat="1" x14ac:dyDescent="0.2"/>
    <row r="59480" s="689" customFormat="1" x14ac:dyDescent="0.2"/>
    <row r="59481" s="689" customFormat="1" x14ac:dyDescent="0.2"/>
    <row r="59482" s="689" customFormat="1" x14ac:dyDescent="0.2"/>
    <row r="59483" s="689" customFormat="1" x14ac:dyDescent="0.2"/>
    <row r="59484" s="689" customFormat="1" x14ac:dyDescent="0.2"/>
    <row r="59485" s="689" customFormat="1" x14ac:dyDescent="0.2"/>
    <row r="59486" s="689" customFormat="1" x14ac:dyDescent="0.2"/>
    <row r="59487" s="689" customFormat="1" x14ac:dyDescent="0.2"/>
    <row r="59488" s="689" customFormat="1" x14ac:dyDescent="0.2"/>
    <row r="59489" s="689" customFormat="1" x14ac:dyDescent="0.2"/>
    <row r="59490" s="689" customFormat="1" x14ac:dyDescent="0.2"/>
    <row r="59491" s="689" customFormat="1" x14ac:dyDescent="0.2"/>
    <row r="59492" s="689" customFormat="1" x14ac:dyDescent="0.2"/>
    <row r="59493" s="689" customFormat="1" x14ac:dyDescent="0.2"/>
    <row r="59494" s="689" customFormat="1" x14ac:dyDescent="0.2"/>
    <row r="59495" s="689" customFormat="1" x14ac:dyDescent="0.2"/>
    <row r="59496" s="689" customFormat="1" x14ac:dyDescent="0.2"/>
    <row r="59497" s="689" customFormat="1" x14ac:dyDescent="0.2"/>
    <row r="59498" s="689" customFormat="1" x14ac:dyDescent="0.2"/>
    <row r="59499" s="689" customFormat="1" x14ac:dyDescent="0.2"/>
    <row r="59500" s="689" customFormat="1" x14ac:dyDescent="0.2"/>
    <row r="59501" s="689" customFormat="1" x14ac:dyDescent="0.2"/>
    <row r="59502" s="689" customFormat="1" x14ac:dyDescent="0.2"/>
    <row r="59503" s="689" customFormat="1" x14ac:dyDescent="0.2"/>
    <row r="59504" s="689" customFormat="1" x14ac:dyDescent="0.2"/>
    <row r="59505" s="689" customFormat="1" x14ac:dyDescent="0.2"/>
    <row r="59506" s="689" customFormat="1" x14ac:dyDescent="0.2"/>
    <row r="59507" s="689" customFormat="1" x14ac:dyDescent="0.2"/>
    <row r="59508" s="689" customFormat="1" x14ac:dyDescent="0.2"/>
    <row r="59509" s="689" customFormat="1" x14ac:dyDescent="0.2"/>
    <row r="59510" s="689" customFormat="1" x14ac:dyDescent="0.2"/>
    <row r="59511" s="689" customFormat="1" x14ac:dyDescent="0.2"/>
    <row r="59512" s="689" customFormat="1" x14ac:dyDescent="0.2"/>
    <row r="59513" s="689" customFormat="1" x14ac:dyDescent="0.2"/>
    <row r="59514" s="689" customFormat="1" x14ac:dyDescent="0.2"/>
    <row r="59515" s="689" customFormat="1" x14ac:dyDescent="0.2"/>
    <row r="59516" s="689" customFormat="1" x14ac:dyDescent="0.2"/>
    <row r="59517" s="689" customFormat="1" x14ac:dyDescent="0.2"/>
    <row r="59518" s="689" customFormat="1" x14ac:dyDescent="0.2"/>
    <row r="59519" s="689" customFormat="1" x14ac:dyDescent="0.2"/>
    <row r="59520" s="689" customFormat="1" x14ac:dyDescent="0.2"/>
    <row r="59521" s="689" customFormat="1" x14ac:dyDescent="0.2"/>
    <row r="59522" s="689" customFormat="1" x14ac:dyDescent="0.2"/>
    <row r="59523" s="689" customFormat="1" x14ac:dyDescent="0.2"/>
    <row r="59524" s="689" customFormat="1" x14ac:dyDescent="0.2"/>
    <row r="59525" s="689" customFormat="1" x14ac:dyDescent="0.2"/>
    <row r="59526" s="689" customFormat="1" x14ac:dyDescent="0.2"/>
    <row r="59527" s="689" customFormat="1" x14ac:dyDescent="0.2"/>
    <row r="59528" s="689" customFormat="1" x14ac:dyDescent="0.2"/>
    <row r="59529" s="689" customFormat="1" x14ac:dyDescent="0.2"/>
    <row r="59530" s="689" customFormat="1" x14ac:dyDescent="0.2"/>
    <row r="59531" s="689" customFormat="1" x14ac:dyDescent="0.2"/>
    <row r="59532" s="689" customFormat="1" x14ac:dyDescent="0.2"/>
    <row r="59533" s="689" customFormat="1" x14ac:dyDescent="0.2"/>
    <row r="59534" s="689" customFormat="1" x14ac:dyDescent="0.2"/>
    <row r="59535" s="689" customFormat="1" x14ac:dyDescent="0.2"/>
    <row r="59536" s="689" customFormat="1" x14ac:dyDescent="0.2"/>
    <row r="59537" s="689" customFormat="1" x14ac:dyDescent="0.2"/>
    <row r="59538" s="689" customFormat="1" x14ac:dyDescent="0.2"/>
    <row r="59539" s="689" customFormat="1" x14ac:dyDescent="0.2"/>
    <row r="59540" s="689" customFormat="1" x14ac:dyDescent="0.2"/>
    <row r="59541" s="689" customFormat="1" x14ac:dyDescent="0.2"/>
    <row r="59542" s="689" customFormat="1" x14ac:dyDescent="0.2"/>
    <row r="59543" s="689" customFormat="1" x14ac:dyDescent="0.2"/>
    <row r="59544" s="689" customFormat="1" x14ac:dyDescent="0.2"/>
    <row r="59545" s="689" customFormat="1" x14ac:dyDescent="0.2"/>
    <row r="59546" s="689" customFormat="1" x14ac:dyDescent="0.2"/>
    <row r="59547" s="689" customFormat="1" x14ac:dyDescent="0.2"/>
    <row r="59548" s="689" customFormat="1" x14ac:dyDescent="0.2"/>
    <row r="59549" s="689" customFormat="1" x14ac:dyDescent="0.2"/>
    <row r="59550" s="689" customFormat="1" x14ac:dyDescent="0.2"/>
    <row r="59551" s="689" customFormat="1" x14ac:dyDescent="0.2"/>
    <row r="59552" s="689" customFormat="1" x14ac:dyDescent="0.2"/>
    <row r="59553" s="689" customFormat="1" x14ac:dyDescent="0.2"/>
    <row r="59554" s="689" customFormat="1" x14ac:dyDescent="0.2"/>
    <row r="59555" s="689" customFormat="1" x14ac:dyDescent="0.2"/>
    <row r="59556" s="689" customFormat="1" x14ac:dyDescent="0.2"/>
    <row r="59557" s="689" customFormat="1" x14ac:dyDescent="0.2"/>
    <row r="59558" s="689" customFormat="1" x14ac:dyDescent="0.2"/>
    <row r="59559" s="689" customFormat="1" x14ac:dyDescent="0.2"/>
    <row r="59560" s="689" customFormat="1" x14ac:dyDescent="0.2"/>
    <row r="59561" s="689" customFormat="1" x14ac:dyDescent="0.2"/>
    <row r="59562" s="689" customFormat="1" x14ac:dyDescent="0.2"/>
    <row r="59563" s="689" customFormat="1" x14ac:dyDescent="0.2"/>
    <row r="59564" s="689" customFormat="1" x14ac:dyDescent="0.2"/>
    <row r="59565" s="689" customFormat="1" x14ac:dyDescent="0.2"/>
    <row r="59566" s="689" customFormat="1" x14ac:dyDescent="0.2"/>
    <row r="59567" s="689" customFormat="1" x14ac:dyDescent="0.2"/>
    <row r="59568" s="689" customFormat="1" x14ac:dyDescent="0.2"/>
    <row r="59569" s="689" customFormat="1" x14ac:dyDescent="0.2"/>
    <row r="59570" s="689" customFormat="1" x14ac:dyDescent="0.2"/>
    <row r="59571" s="689" customFormat="1" x14ac:dyDescent="0.2"/>
    <row r="59572" s="689" customFormat="1" x14ac:dyDescent="0.2"/>
    <row r="59573" s="689" customFormat="1" x14ac:dyDescent="0.2"/>
    <row r="59574" s="689" customFormat="1" x14ac:dyDescent="0.2"/>
    <row r="59575" s="689" customFormat="1" x14ac:dyDescent="0.2"/>
    <row r="59576" s="689" customFormat="1" x14ac:dyDescent="0.2"/>
    <row r="59577" s="689" customFormat="1" x14ac:dyDescent="0.2"/>
    <row r="59578" s="689" customFormat="1" x14ac:dyDescent="0.2"/>
    <row r="59579" s="689" customFormat="1" x14ac:dyDescent="0.2"/>
    <row r="59580" s="689" customFormat="1" x14ac:dyDescent="0.2"/>
    <row r="59581" s="689" customFormat="1" x14ac:dyDescent="0.2"/>
    <row r="59582" s="689" customFormat="1" x14ac:dyDescent="0.2"/>
    <row r="59583" s="689" customFormat="1" x14ac:dyDescent="0.2"/>
    <row r="59584" s="689" customFormat="1" x14ac:dyDescent="0.2"/>
    <row r="59585" s="689" customFormat="1" x14ac:dyDescent="0.2"/>
    <row r="59586" s="689" customFormat="1" x14ac:dyDescent="0.2"/>
    <row r="59587" s="689" customFormat="1" x14ac:dyDescent="0.2"/>
    <row r="59588" s="689" customFormat="1" x14ac:dyDescent="0.2"/>
    <row r="59589" s="689" customFormat="1" x14ac:dyDescent="0.2"/>
    <row r="59590" s="689" customFormat="1" x14ac:dyDescent="0.2"/>
    <row r="59591" s="689" customFormat="1" x14ac:dyDescent="0.2"/>
    <row r="59592" s="689" customFormat="1" x14ac:dyDescent="0.2"/>
    <row r="59593" s="689" customFormat="1" x14ac:dyDescent="0.2"/>
    <row r="59594" s="689" customFormat="1" x14ac:dyDescent="0.2"/>
    <row r="59595" s="689" customFormat="1" x14ac:dyDescent="0.2"/>
    <row r="59596" s="689" customFormat="1" x14ac:dyDescent="0.2"/>
    <row r="59597" s="689" customFormat="1" x14ac:dyDescent="0.2"/>
    <row r="59598" s="689" customFormat="1" x14ac:dyDescent="0.2"/>
    <row r="59599" s="689" customFormat="1" x14ac:dyDescent="0.2"/>
    <row r="59600" s="689" customFormat="1" x14ac:dyDescent="0.2"/>
    <row r="59601" s="689" customFormat="1" x14ac:dyDescent="0.2"/>
    <row r="59602" s="689" customFormat="1" x14ac:dyDescent="0.2"/>
    <row r="59603" s="689" customFormat="1" x14ac:dyDescent="0.2"/>
    <row r="59604" s="689" customFormat="1" x14ac:dyDescent="0.2"/>
    <row r="59605" s="689" customFormat="1" x14ac:dyDescent="0.2"/>
    <row r="59606" s="689" customFormat="1" x14ac:dyDescent="0.2"/>
    <row r="59607" s="689" customFormat="1" x14ac:dyDescent="0.2"/>
    <row r="59608" s="689" customFormat="1" x14ac:dyDescent="0.2"/>
    <row r="59609" s="689" customFormat="1" x14ac:dyDescent="0.2"/>
    <row r="59610" s="689" customFormat="1" x14ac:dyDescent="0.2"/>
    <row r="59611" s="689" customFormat="1" x14ac:dyDescent="0.2"/>
    <row r="59612" s="689" customFormat="1" x14ac:dyDescent="0.2"/>
    <row r="59613" s="689" customFormat="1" x14ac:dyDescent="0.2"/>
    <row r="59614" s="689" customFormat="1" x14ac:dyDescent="0.2"/>
    <row r="59615" s="689" customFormat="1" x14ac:dyDescent="0.2"/>
    <row r="59616" s="689" customFormat="1" x14ac:dyDescent="0.2"/>
    <row r="59617" s="689" customFormat="1" x14ac:dyDescent="0.2"/>
    <row r="59618" s="689" customFormat="1" x14ac:dyDescent="0.2"/>
    <row r="59619" s="689" customFormat="1" x14ac:dyDescent="0.2"/>
    <row r="59620" s="689" customFormat="1" x14ac:dyDescent="0.2"/>
    <row r="59621" s="689" customFormat="1" x14ac:dyDescent="0.2"/>
    <row r="59622" s="689" customFormat="1" x14ac:dyDescent="0.2"/>
    <row r="59623" s="689" customFormat="1" x14ac:dyDescent="0.2"/>
    <row r="59624" s="689" customFormat="1" x14ac:dyDescent="0.2"/>
    <row r="59625" s="689" customFormat="1" x14ac:dyDescent="0.2"/>
    <row r="59626" s="689" customFormat="1" x14ac:dyDescent="0.2"/>
    <row r="59627" s="689" customFormat="1" x14ac:dyDescent="0.2"/>
    <row r="59628" s="689" customFormat="1" x14ac:dyDescent="0.2"/>
    <row r="59629" s="689" customFormat="1" x14ac:dyDescent="0.2"/>
    <row r="59630" s="689" customFormat="1" x14ac:dyDescent="0.2"/>
    <row r="59631" s="689" customFormat="1" x14ac:dyDescent="0.2"/>
    <row r="59632" s="689" customFormat="1" x14ac:dyDescent="0.2"/>
    <row r="59633" s="689" customFormat="1" x14ac:dyDescent="0.2"/>
    <row r="59634" s="689" customFormat="1" x14ac:dyDescent="0.2"/>
    <row r="59635" s="689" customFormat="1" x14ac:dyDescent="0.2"/>
    <row r="59636" s="689" customFormat="1" x14ac:dyDescent="0.2"/>
    <row r="59637" s="689" customFormat="1" x14ac:dyDescent="0.2"/>
    <row r="59638" s="689" customFormat="1" x14ac:dyDescent="0.2"/>
    <row r="59639" s="689" customFormat="1" x14ac:dyDescent="0.2"/>
    <row r="59640" s="689" customFormat="1" x14ac:dyDescent="0.2"/>
    <row r="59641" s="689" customFormat="1" x14ac:dyDescent="0.2"/>
    <row r="59642" s="689" customFormat="1" x14ac:dyDescent="0.2"/>
    <row r="59643" s="689" customFormat="1" x14ac:dyDescent="0.2"/>
    <row r="59644" s="689" customFormat="1" x14ac:dyDescent="0.2"/>
    <row r="59645" s="689" customFormat="1" x14ac:dyDescent="0.2"/>
    <row r="59646" s="689" customFormat="1" x14ac:dyDescent="0.2"/>
    <row r="59647" s="689" customFormat="1" x14ac:dyDescent="0.2"/>
    <row r="59648" s="689" customFormat="1" x14ac:dyDescent="0.2"/>
    <row r="59649" s="689" customFormat="1" x14ac:dyDescent="0.2"/>
    <row r="59650" s="689" customFormat="1" x14ac:dyDescent="0.2"/>
    <row r="59651" s="689" customFormat="1" x14ac:dyDescent="0.2"/>
    <row r="59652" s="689" customFormat="1" x14ac:dyDescent="0.2"/>
    <row r="59653" s="689" customFormat="1" x14ac:dyDescent="0.2"/>
    <row r="59654" s="689" customFormat="1" x14ac:dyDescent="0.2"/>
    <row r="59655" s="689" customFormat="1" x14ac:dyDescent="0.2"/>
    <row r="59656" s="689" customFormat="1" x14ac:dyDescent="0.2"/>
    <row r="59657" s="689" customFormat="1" x14ac:dyDescent="0.2"/>
    <row r="59658" s="689" customFormat="1" x14ac:dyDescent="0.2"/>
    <row r="59659" s="689" customFormat="1" x14ac:dyDescent="0.2"/>
    <row r="59660" s="689" customFormat="1" x14ac:dyDescent="0.2"/>
    <row r="59661" s="689" customFormat="1" x14ac:dyDescent="0.2"/>
    <row r="59662" s="689" customFormat="1" x14ac:dyDescent="0.2"/>
    <row r="59663" s="689" customFormat="1" x14ac:dyDescent="0.2"/>
    <row r="59664" s="689" customFormat="1" x14ac:dyDescent="0.2"/>
    <row r="59665" s="689" customFormat="1" x14ac:dyDescent="0.2"/>
    <row r="59666" s="689" customFormat="1" x14ac:dyDescent="0.2"/>
    <row r="59667" s="689" customFormat="1" x14ac:dyDescent="0.2"/>
    <row r="59668" s="689" customFormat="1" x14ac:dyDescent="0.2"/>
    <row r="59669" s="689" customFormat="1" x14ac:dyDescent="0.2"/>
    <row r="59670" s="689" customFormat="1" x14ac:dyDescent="0.2"/>
    <row r="59671" s="689" customFormat="1" x14ac:dyDescent="0.2"/>
    <row r="59672" s="689" customFormat="1" x14ac:dyDescent="0.2"/>
    <row r="59673" s="689" customFormat="1" x14ac:dyDescent="0.2"/>
    <row r="59674" s="689" customFormat="1" x14ac:dyDescent="0.2"/>
    <row r="59675" s="689" customFormat="1" x14ac:dyDescent="0.2"/>
    <row r="59676" s="689" customFormat="1" x14ac:dyDescent="0.2"/>
    <row r="59677" s="689" customFormat="1" x14ac:dyDescent="0.2"/>
    <row r="59678" s="689" customFormat="1" x14ac:dyDescent="0.2"/>
    <row r="59679" s="689" customFormat="1" x14ac:dyDescent="0.2"/>
    <row r="59680" s="689" customFormat="1" x14ac:dyDescent="0.2"/>
    <row r="59681" s="689" customFormat="1" x14ac:dyDescent="0.2"/>
    <row r="59682" s="689" customFormat="1" x14ac:dyDescent="0.2"/>
    <row r="59683" s="689" customFormat="1" x14ac:dyDescent="0.2"/>
    <row r="59684" s="689" customFormat="1" x14ac:dyDescent="0.2"/>
    <row r="59685" s="689" customFormat="1" x14ac:dyDescent="0.2"/>
    <row r="59686" s="689" customFormat="1" x14ac:dyDescent="0.2"/>
    <row r="59687" s="689" customFormat="1" x14ac:dyDescent="0.2"/>
    <row r="59688" s="689" customFormat="1" x14ac:dyDescent="0.2"/>
    <row r="59689" s="689" customFormat="1" x14ac:dyDescent="0.2"/>
    <row r="59690" s="689" customFormat="1" x14ac:dyDescent="0.2"/>
    <row r="59691" s="689" customFormat="1" x14ac:dyDescent="0.2"/>
    <row r="59692" s="689" customFormat="1" x14ac:dyDescent="0.2"/>
    <row r="59693" s="689" customFormat="1" x14ac:dyDescent="0.2"/>
    <row r="59694" s="689" customFormat="1" x14ac:dyDescent="0.2"/>
    <row r="59695" s="689" customFormat="1" x14ac:dyDescent="0.2"/>
    <row r="59696" s="689" customFormat="1" x14ac:dyDescent="0.2"/>
    <row r="59697" s="689" customFormat="1" x14ac:dyDescent="0.2"/>
    <row r="59698" s="689" customFormat="1" x14ac:dyDescent="0.2"/>
    <row r="59699" s="689" customFormat="1" x14ac:dyDescent="0.2"/>
    <row r="59700" s="689" customFormat="1" x14ac:dyDescent="0.2"/>
    <row r="59701" s="689" customFormat="1" x14ac:dyDescent="0.2"/>
    <row r="59702" s="689" customFormat="1" x14ac:dyDescent="0.2"/>
    <row r="59703" s="689" customFormat="1" x14ac:dyDescent="0.2"/>
    <row r="59704" s="689" customFormat="1" x14ac:dyDescent="0.2"/>
    <row r="59705" s="689" customFormat="1" x14ac:dyDescent="0.2"/>
    <row r="59706" s="689" customFormat="1" x14ac:dyDescent="0.2"/>
    <row r="59707" s="689" customFormat="1" x14ac:dyDescent="0.2"/>
    <row r="59708" s="689" customFormat="1" x14ac:dyDescent="0.2"/>
    <row r="59709" s="689" customFormat="1" x14ac:dyDescent="0.2"/>
    <row r="59710" s="689" customFormat="1" x14ac:dyDescent="0.2"/>
    <row r="59711" s="689" customFormat="1" x14ac:dyDescent="0.2"/>
    <row r="59712" s="689" customFormat="1" x14ac:dyDescent="0.2"/>
    <row r="59713" s="689" customFormat="1" x14ac:dyDescent="0.2"/>
    <row r="59714" s="689" customFormat="1" x14ac:dyDescent="0.2"/>
    <row r="59715" s="689" customFormat="1" x14ac:dyDescent="0.2"/>
    <row r="59716" s="689" customFormat="1" x14ac:dyDescent="0.2"/>
    <row r="59717" s="689" customFormat="1" x14ac:dyDescent="0.2"/>
    <row r="59718" s="689" customFormat="1" x14ac:dyDescent="0.2"/>
    <row r="59719" s="689" customFormat="1" x14ac:dyDescent="0.2"/>
    <row r="59720" s="689" customFormat="1" x14ac:dyDescent="0.2"/>
    <row r="59721" s="689" customFormat="1" x14ac:dyDescent="0.2"/>
    <row r="59722" s="689" customFormat="1" x14ac:dyDescent="0.2"/>
    <row r="59723" s="689" customFormat="1" x14ac:dyDescent="0.2"/>
    <row r="59724" s="689" customFormat="1" x14ac:dyDescent="0.2"/>
    <row r="59725" s="689" customFormat="1" x14ac:dyDescent="0.2"/>
    <row r="59726" s="689" customFormat="1" x14ac:dyDescent="0.2"/>
    <row r="59727" s="689" customFormat="1" x14ac:dyDescent="0.2"/>
    <row r="59728" s="689" customFormat="1" x14ac:dyDescent="0.2"/>
    <row r="59729" s="689" customFormat="1" x14ac:dyDescent="0.2"/>
    <row r="59730" s="689" customFormat="1" x14ac:dyDescent="0.2"/>
    <row r="59731" s="689" customFormat="1" x14ac:dyDescent="0.2"/>
    <row r="59732" s="689" customFormat="1" x14ac:dyDescent="0.2"/>
    <row r="59733" s="689" customFormat="1" x14ac:dyDescent="0.2"/>
    <row r="59734" s="689" customFormat="1" x14ac:dyDescent="0.2"/>
    <row r="59735" s="689" customFormat="1" x14ac:dyDescent="0.2"/>
    <row r="59736" s="689" customFormat="1" x14ac:dyDescent="0.2"/>
    <row r="59737" s="689" customFormat="1" x14ac:dyDescent="0.2"/>
    <row r="59738" s="689" customFormat="1" x14ac:dyDescent="0.2"/>
    <row r="59739" s="689" customFormat="1" x14ac:dyDescent="0.2"/>
    <row r="59740" s="689" customFormat="1" x14ac:dyDescent="0.2"/>
    <row r="59741" s="689" customFormat="1" x14ac:dyDescent="0.2"/>
    <row r="59742" s="689" customFormat="1" x14ac:dyDescent="0.2"/>
    <row r="59743" s="689" customFormat="1" x14ac:dyDescent="0.2"/>
    <row r="59744" s="689" customFormat="1" x14ac:dyDescent="0.2"/>
    <row r="59745" s="689" customFormat="1" x14ac:dyDescent="0.2"/>
    <row r="59746" s="689" customFormat="1" x14ac:dyDescent="0.2"/>
    <row r="59747" s="689" customFormat="1" x14ac:dyDescent="0.2"/>
    <row r="59748" s="689" customFormat="1" x14ac:dyDescent="0.2"/>
    <row r="59749" s="689" customFormat="1" x14ac:dyDescent="0.2"/>
    <row r="59750" s="689" customFormat="1" x14ac:dyDescent="0.2"/>
    <row r="59751" s="689" customFormat="1" x14ac:dyDescent="0.2"/>
    <row r="59752" s="689" customFormat="1" x14ac:dyDescent="0.2"/>
    <row r="59753" s="689" customFormat="1" x14ac:dyDescent="0.2"/>
    <row r="59754" s="689" customFormat="1" x14ac:dyDescent="0.2"/>
    <row r="59755" s="689" customFormat="1" x14ac:dyDescent="0.2"/>
    <row r="59756" s="689" customFormat="1" x14ac:dyDescent="0.2"/>
    <row r="59757" s="689" customFormat="1" x14ac:dyDescent="0.2"/>
    <row r="59758" s="689" customFormat="1" x14ac:dyDescent="0.2"/>
    <row r="59759" s="689" customFormat="1" x14ac:dyDescent="0.2"/>
    <row r="59760" s="689" customFormat="1" x14ac:dyDescent="0.2"/>
    <row r="59761" s="689" customFormat="1" x14ac:dyDescent="0.2"/>
    <row r="59762" s="689" customFormat="1" x14ac:dyDescent="0.2"/>
    <row r="59763" s="689" customFormat="1" x14ac:dyDescent="0.2"/>
    <row r="59764" s="689" customFormat="1" x14ac:dyDescent="0.2"/>
    <row r="59765" s="689" customFormat="1" x14ac:dyDescent="0.2"/>
    <row r="59766" s="689" customFormat="1" x14ac:dyDescent="0.2"/>
    <row r="59767" s="689" customFormat="1" x14ac:dyDescent="0.2"/>
    <row r="59768" s="689" customFormat="1" x14ac:dyDescent="0.2"/>
    <row r="59769" s="689" customFormat="1" x14ac:dyDescent="0.2"/>
    <row r="59770" s="689" customFormat="1" x14ac:dyDescent="0.2"/>
    <row r="59771" s="689" customFormat="1" x14ac:dyDescent="0.2"/>
    <row r="59772" s="689" customFormat="1" x14ac:dyDescent="0.2"/>
    <row r="59773" s="689" customFormat="1" x14ac:dyDescent="0.2"/>
    <row r="59774" s="689" customFormat="1" x14ac:dyDescent="0.2"/>
    <row r="59775" s="689" customFormat="1" x14ac:dyDescent="0.2"/>
    <row r="59776" s="689" customFormat="1" x14ac:dyDescent="0.2"/>
    <row r="59777" s="689" customFormat="1" x14ac:dyDescent="0.2"/>
    <row r="59778" s="689" customFormat="1" x14ac:dyDescent="0.2"/>
    <row r="59779" s="689" customFormat="1" x14ac:dyDescent="0.2"/>
    <row r="59780" s="689" customFormat="1" x14ac:dyDescent="0.2"/>
    <row r="59781" s="689" customFormat="1" x14ac:dyDescent="0.2"/>
    <row r="59782" s="689" customFormat="1" x14ac:dyDescent="0.2"/>
    <row r="59783" s="689" customFormat="1" x14ac:dyDescent="0.2"/>
    <row r="59784" s="689" customFormat="1" x14ac:dyDescent="0.2"/>
    <row r="59785" s="689" customFormat="1" x14ac:dyDescent="0.2"/>
    <row r="59786" s="689" customFormat="1" x14ac:dyDescent="0.2"/>
    <row r="59787" s="689" customFormat="1" x14ac:dyDescent="0.2"/>
    <row r="59788" s="689" customFormat="1" x14ac:dyDescent="0.2"/>
    <row r="59789" s="689" customFormat="1" x14ac:dyDescent="0.2"/>
    <row r="59790" s="689" customFormat="1" x14ac:dyDescent="0.2"/>
    <row r="59791" s="689" customFormat="1" x14ac:dyDescent="0.2"/>
    <row r="59792" s="689" customFormat="1" x14ac:dyDescent="0.2"/>
    <row r="59793" s="689" customFormat="1" x14ac:dyDescent="0.2"/>
    <row r="59794" s="689" customFormat="1" x14ac:dyDescent="0.2"/>
    <row r="59795" s="689" customFormat="1" x14ac:dyDescent="0.2"/>
    <row r="59796" s="689" customFormat="1" x14ac:dyDescent="0.2"/>
    <row r="59797" s="689" customFormat="1" x14ac:dyDescent="0.2"/>
    <row r="59798" s="689" customFormat="1" x14ac:dyDescent="0.2"/>
    <row r="59799" s="689" customFormat="1" x14ac:dyDescent="0.2"/>
    <row r="59800" s="689" customFormat="1" x14ac:dyDescent="0.2"/>
    <row r="59801" s="689" customFormat="1" x14ac:dyDescent="0.2"/>
    <row r="59802" s="689" customFormat="1" x14ac:dyDescent="0.2"/>
    <row r="59803" s="689" customFormat="1" x14ac:dyDescent="0.2"/>
    <row r="59804" s="689" customFormat="1" x14ac:dyDescent="0.2"/>
    <row r="59805" s="689" customFormat="1" x14ac:dyDescent="0.2"/>
    <row r="59806" s="689" customFormat="1" x14ac:dyDescent="0.2"/>
    <row r="59807" s="689" customFormat="1" x14ac:dyDescent="0.2"/>
    <row r="59808" s="689" customFormat="1" x14ac:dyDescent="0.2"/>
    <row r="59809" s="689" customFormat="1" x14ac:dyDescent="0.2"/>
    <row r="59810" s="689" customFormat="1" x14ac:dyDescent="0.2"/>
    <row r="59811" s="689" customFormat="1" x14ac:dyDescent="0.2"/>
    <row r="59812" s="689" customFormat="1" x14ac:dyDescent="0.2"/>
    <row r="59813" s="689" customFormat="1" x14ac:dyDescent="0.2"/>
    <row r="59814" s="689" customFormat="1" x14ac:dyDescent="0.2"/>
    <row r="59815" s="689" customFormat="1" x14ac:dyDescent="0.2"/>
    <row r="59816" s="689" customFormat="1" x14ac:dyDescent="0.2"/>
    <row r="59817" s="689" customFormat="1" x14ac:dyDescent="0.2"/>
    <row r="59818" s="689" customFormat="1" x14ac:dyDescent="0.2"/>
    <row r="59819" s="689" customFormat="1" x14ac:dyDescent="0.2"/>
    <row r="59820" s="689" customFormat="1" x14ac:dyDescent="0.2"/>
    <row r="59821" s="689" customFormat="1" x14ac:dyDescent="0.2"/>
    <row r="59822" s="689" customFormat="1" x14ac:dyDescent="0.2"/>
    <row r="59823" s="689" customFormat="1" x14ac:dyDescent="0.2"/>
    <row r="59824" s="689" customFormat="1" x14ac:dyDescent="0.2"/>
    <row r="59825" s="689" customFormat="1" x14ac:dyDescent="0.2"/>
    <row r="59826" s="689" customFormat="1" x14ac:dyDescent="0.2"/>
    <row r="59827" s="689" customFormat="1" x14ac:dyDescent="0.2"/>
    <row r="59828" s="689" customFormat="1" x14ac:dyDescent="0.2"/>
    <row r="59829" s="689" customFormat="1" x14ac:dyDescent="0.2"/>
    <row r="59830" s="689" customFormat="1" x14ac:dyDescent="0.2"/>
    <row r="59831" s="689" customFormat="1" x14ac:dyDescent="0.2"/>
    <row r="59832" s="689" customFormat="1" x14ac:dyDescent="0.2"/>
    <row r="59833" s="689" customFormat="1" x14ac:dyDescent="0.2"/>
    <row r="59834" s="689" customFormat="1" x14ac:dyDescent="0.2"/>
    <row r="59835" s="689" customFormat="1" x14ac:dyDescent="0.2"/>
    <row r="59836" s="689" customFormat="1" x14ac:dyDescent="0.2"/>
    <row r="59837" s="689" customFormat="1" x14ac:dyDescent="0.2"/>
    <row r="59838" s="689" customFormat="1" x14ac:dyDescent="0.2"/>
    <row r="59839" s="689" customFormat="1" x14ac:dyDescent="0.2"/>
    <row r="59840" s="689" customFormat="1" x14ac:dyDescent="0.2"/>
    <row r="59841" s="689" customFormat="1" x14ac:dyDescent="0.2"/>
    <row r="59842" s="689" customFormat="1" x14ac:dyDescent="0.2"/>
    <row r="59843" s="689" customFormat="1" x14ac:dyDescent="0.2"/>
    <row r="59844" s="689" customFormat="1" x14ac:dyDescent="0.2"/>
    <row r="59845" s="689" customFormat="1" x14ac:dyDescent="0.2"/>
    <row r="59846" s="689" customFormat="1" x14ac:dyDescent="0.2"/>
    <row r="59847" s="689" customFormat="1" x14ac:dyDescent="0.2"/>
    <row r="59848" s="689" customFormat="1" x14ac:dyDescent="0.2"/>
    <row r="59849" s="689" customFormat="1" x14ac:dyDescent="0.2"/>
    <row r="59850" s="689" customFormat="1" x14ac:dyDescent="0.2"/>
    <row r="59851" s="689" customFormat="1" x14ac:dyDescent="0.2"/>
    <row r="59852" s="689" customFormat="1" x14ac:dyDescent="0.2"/>
    <row r="59853" s="689" customFormat="1" x14ac:dyDescent="0.2"/>
    <row r="59854" s="689" customFormat="1" x14ac:dyDescent="0.2"/>
    <row r="59855" s="689" customFormat="1" x14ac:dyDescent="0.2"/>
    <row r="59856" s="689" customFormat="1" x14ac:dyDescent="0.2"/>
    <row r="59857" s="689" customFormat="1" x14ac:dyDescent="0.2"/>
    <row r="59858" s="689" customFormat="1" x14ac:dyDescent="0.2"/>
    <row r="59859" s="689" customFormat="1" x14ac:dyDescent="0.2"/>
    <row r="59860" s="689" customFormat="1" x14ac:dyDescent="0.2"/>
    <row r="59861" s="689" customFormat="1" x14ac:dyDescent="0.2"/>
    <row r="59862" s="689" customFormat="1" x14ac:dyDescent="0.2"/>
    <row r="59863" s="689" customFormat="1" x14ac:dyDescent="0.2"/>
    <row r="59864" s="689" customFormat="1" x14ac:dyDescent="0.2"/>
    <row r="59865" s="689" customFormat="1" x14ac:dyDescent="0.2"/>
    <row r="59866" s="689" customFormat="1" x14ac:dyDescent="0.2"/>
    <row r="59867" s="689" customFormat="1" x14ac:dyDescent="0.2"/>
    <row r="59868" s="689" customFormat="1" x14ac:dyDescent="0.2"/>
    <row r="59869" s="689" customFormat="1" x14ac:dyDescent="0.2"/>
    <row r="59870" s="689" customFormat="1" x14ac:dyDescent="0.2"/>
    <row r="59871" s="689" customFormat="1" x14ac:dyDescent="0.2"/>
    <row r="59872" s="689" customFormat="1" x14ac:dyDescent="0.2"/>
    <row r="59873" s="689" customFormat="1" x14ac:dyDescent="0.2"/>
    <row r="59874" s="689" customFormat="1" x14ac:dyDescent="0.2"/>
    <row r="59875" s="689" customFormat="1" x14ac:dyDescent="0.2"/>
    <row r="59876" s="689" customFormat="1" x14ac:dyDescent="0.2"/>
    <row r="59877" s="689" customFormat="1" x14ac:dyDescent="0.2"/>
    <row r="59878" s="689" customFormat="1" x14ac:dyDescent="0.2"/>
    <row r="59879" s="689" customFormat="1" x14ac:dyDescent="0.2"/>
    <row r="59880" s="689" customFormat="1" x14ac:dyDescent="0.2"/>
    <row r="59881" s="689" customFormat="1" x14ac:dyDescent="0.2"/>
    <row r="59882" s="689" customFormat="1" x14ac:dyDescent="0.2"/>
    <row r="59883" s="689" customFormat="1" x14ac:dyDescent="0.2"/>
    <row r="59884" s="689" customFormat="1" x14ac:dyDescent="0.2"/>
    <row r="59885" s="689" customFormat="1" x14ac:dyDescent="0.2"/>
    <row r="59886" s="689" customFormat="1" x14ac:dyDescent="0.2"/>
    <row r="59887" s="689" customFormat="1" x14ac:dyDescent="0.2"/>
    <row r="59888" s="689" customFormat="1" x14ac:dyDescent="0.2"/>
    <row r="59889" s="689" customFormat="1" x14ac:dyDescent="0.2"/>
    <row r="59890" s="689" customFormat="1" x14ac:dyDescent="0.2"/>
    <row r="59891" s="689" customFormat="1" x14ac:dyDescent="0.2"/>
    <row r="59892" s="689" customFormat="1" x14ac:dyDescent="0.2"/>
    <row r="59893" s="689" customFormat="1" x14ac:dyDescent="0.2"/>
    <row r="59894" s="689" customFormat="1" x14ac:dyDescent="0.2"/>
    <row r="59895" s="689" customFormat="1" x14ac:dyDescent="0.2"/>
    <row r="59896" s="689" customFormat="1" x14ac:dyDescent="0.2"/>
    <row r="59897" s="689" customFormat="1" x14ac:dyDescent="0.2"/>
    <row r="59898" s="689" customFormat="1" x14ac:dyDescent="0.2"/>
    <row r="59899" s="689" customFormat="1" x14ac:dyDescent="0.2"/>
    <row r="59900" s="689" customFormat="1" x14ac:dyDescent="0.2"/>
    <row r="59901" s="689" customFormat="1" x14ac:dyDescent="0.2"/>
    <row r="59902" s="689" customFormat="1" x14ac:dyDescent="0.2"/>
    <row r="59903" s="689" customFormat="1" x14ac:dyDescent="0.2"/>
    <row r="59904" s="689" customFormat="1" x14ac:dyDescent="0.2"/>
    <row r="59905" s="689" customFormat="1" x14ac:dyDescent="0.2"/>
    <row r="59906" s="689" customFormat="1" x14ac:dyDescent="0.2"/>
    <row r="59907" s="689" customFormat="1" x14ac:dyDescent="0.2"/>
    <row r="59908" s="689" customFormat="1" x14ac:dyDescent="0.2"/>
    <row r="59909" s="689" customFormat="1" x14ac:dyDescent="0.2"/>
    <row r="59910" s="689" customFormat="1" x14ac:dyDescent="0.2"/>
    <row r="59911" s="689" customFormat="1" x14ac:dyDescent="0.2"/>
    <row r="59912" s="689" customFormat="1" x14ac:dyDescent="0.2"/>
    <row r="59913" s="689" customFormat="1" x14ac:dyDescent="0.2"/>
    <row r="59914" s="689" customFormat="1" x14ac:dyDescent="0.2"/>
    <row r="59915" s="689" customFormat="1" x14ac:dyDescent="0.2"/>
    <row r="59916" s="689" customFormat="1" x14ac:dyDescent="0.2"/>
    <row r="59917" s="689" customFormat="1" x14ac:dyDescent="0.2"/>
    <row r="59918" s="689" customFormat="1" x14ac:dyDescent="0.2"/>
    <row r="59919" s="689" customFormat="1" x14ac:dyDescent="0.2"/>
    <row r="59920" s="689" customFormat="1" x14ac:dyDescent="0.2"/>
    <row r="59921" s="689" customFormat="1" x14ac:dyDescent="0.2"/>
    <row r="59922" s="689" customFormat="1" x14ac:dyDescent="0.2"/>
    <row r="59923" s="689" customFormat="1" x14ac:dyDescent="0.2"/>
    <row r="59924" s="689" customFormat="1" x14ac:dyDescent="0.2"/>
    <row r="59925" s="689" customFormat="1" x14ac:dyDescent="0.2"/>
    <row r="59926" s="689" customFormat="1" x14ac:dyDescent="0.2"/>
    <row r="59927" s="689" customFormat="1" x14ac:dyDescent="0.2"/>
    <row r="59928" s="689" customFormat="1" x14ac:dyDescent="0.2"/>
    <row r="59929" s="689" customFormat="1" x14ac:dyDescent="0.2"/>
    <row r="59930" s="689" customFormat="1" x14ac:dyDescent="0.2"/>
    <row r="59931" s="689" customFormat="1" x14ac:dyDescent="0.2"/>
    <row r="59932" s="689" customFormat="1" x14ac:dyDescent="0.2"/>
    <row r="59933" s="689" customFormat="1" x14ac:dyDescent="0.2"/>
    <row r="59934" s="689" customFormat="1" x14ac:dyDescent="0.2"/>
    <row r="59935" s="689" customFormat="1" x14ac:dyDescent="0.2"/>
    <row r="59936" s="689" customFormat="1" x14ac:dyDescent="0.2"/>
    <row r="59937" s="689" customFormat="1" x14ac:dyDescent="0.2"/>
    <row r="59938" s="689" customFormat="1" x14ac:dyDescent="0.2"/>
    <row r="59939" s="689" customFormat="1" x14ac:dyDescent="0.2"/>
    <row r="59940" s="689" customFormat="1" x14ac:dyDescent="0.2"/>
    <row r="59941" s="689" customFormat="1" x14ac:dyDescent="0.2"/>
    <row r="59942" s="689" customFormat="1" x14ac:dyDescent="0.2"/>
    <row r="59943" s="689" customFormat="1" x14ac:dyDescent="0.2"/>
    <row r="59944" s="689" customFormat="1" x14ac:dyDescent="0.2"/>
    <row r="59945" s="689" customFormat="1" x14ac:dyDescent="0.2"/>
    <row r="59946" s="689" customFormat="1" x14ac:dyDescent="0.2"/>
    <row r="59947" s="689" customFormat="1" x14ac:dyDescent="0.2"/>
    <row r="59948" s="689" customFormat="1" x14ac:dyDescent="0.2"/>
    <row r="59949" s="689" customFormat="1" x14ac:dyDescent="0.2"/>
    <row r="59950" s="689" customFormat="1" x14ac:dyDescent="0.2"/>
    <row r="59951" s="689" customFormat="1" x14ac:dyDescent="0.2"/>
    <row r="59952" s="689" customFormat="1" x14ac:dyDescent="0.2"/>
    <row r="59953" s="689" customFormat="1" x14ac:dyDescent="0.2"/>
    <row r="59954" s="689" customFormat="1" x14ac:dyDescent="0.2"/>
    <row r="59955" s="689" customFormat="1" x14ac:dyDescent="0.2"/>
    <row r="59956" s="689" customFormat="1" x14ac:dyDescent="0.2"/>
    <row r="59957" s="689" customFormat="1" x14ac:dyDescent="0.2"/>
    <row r="59958" s="689" customFormat="1" x14ac:dyDescent="0.2"/>
    <row r="59959" s="689" customFormat="1" x14ac:dyDescent="0.2"/>
    <row r="59960" s="689" customFormat="1" x14ac:dyDescent="0.2"/>
    <row r="59961" s="689" customFormat="1" x14ac:dyDescent="0.2"/>
    <row r="59962" s="689" customFormat="1" x14ac:dyDescent="0.2"/>
    <row r="59963" s="689" customFormat="1" x14ac:dyDescent="0.2"/>
    <row r="59964" s="689" customFormat="1" x14ac:dyDescent="0.2"/>
    <row r="59965" s="689" customFormat="1" x14ac:dyDescent="0.2"/>
    <row r="59966" s="689" customFormat="1" x14ac:dyDescent="0.2"/>
    <row r="59967" s="689" customFormat="1" x14ac:dyDescent="0.2"/>
    <row r="59968" s="689" customFormat="1" x14ac:dyDescent="0.2"/>
    <row r="59969" s="689" customFormat="1" x14ac:dyDescent="0.2"/>
    <row r="59970" s="689" customFormat="1" x14ac:dyDescent="0.2"/>
    <row r="59971" s="689" customFormat="1" x14ac:dyDescent="0.2"/>
    <row r="59972" s="689" customFormat="1" x14ac:dyDescent="0.2"/>
    <row r="59973" s="689" customFormat="1" x14ac:dyDescent="0.2"/>
    <row r="59974" s="689" customFormat="1" x14ac:dyDescent="0.2"/>
    <row r="59975" s="689" customFormat="1" x14ac:dyDescent="0.2"/>
    <row r="59976" s="689" customFormat="1" x14ac:dyDescent="0.2"/>
    <row r="59977" s="689" customFormat="1" x14ac:dyDescent="0.2"/>
    <row r="59978" s="689" customFormat="1" x14ac:dyDescent="0.2"/>
    <row r="59979" s="689" customFormat="1" x14ac:dyDescent="0.2"/>
    <row r="59980" s="689" customFormat="1" x14ac:dyDescent="0.2"/>
    <row r="59981" s="689" customFormat="1" x14ac:dyDescent="0.2"/>
    <row r="59982" s="689" customFormat="1" x14ac:dyDescent="0.2"/>
    <row r="59983" s="689" customFormat="1" x14ac:dyDescent="0.2"/>
    <row r="59984" s="689" customFormat="1" x14ac:dyDescent="0.2"/>
    <row r="59985" s="689" customFormat="1" x14ac:dyDescent="0.2"/>
    <row r="59986" s="689" customFormat="1" x14ac:dyDescent="0.2"/>
    <row r="59987" s="689" customFormat="1" x14ac:dyDescent="0.2"/>
    <row r="59988" s="689" customFormat="1" x14ac:dyDescent="0.2"/>
    <row r="59989" s="689" customFormat="1" x14ac:dyDescent="0.2"/>
    <row r="59990" s="689" customFormat="1" x14ac:dyDescent="0.2"/>
    <row r="59991" s="689" customFormat="1" x14ac:dyDescent="0.2"/>
    <row r="59992" s="689" customFormat="1" x14ac:dyDescent="0.2"/>
    <row r="59993" s="689" customFormat="1" x14ac:dyDescent="0.2"/>
    <row r="59994" s="689" customFormat="1" x14ac:dyDescent="0.2"/>
    <row r="59995" s="689" customFormat="1" x14ac:dyDescent="0.2"/>
    <row r="59996" s="689" customFormat="1" x14ac:dyDescent="0.2"/>
    <row r="59997" s="689" customFormat="1" x14ac:dyDescent="0.2"/>
    <row r="59998" s="689" customFormat="1" x14ac:dyDescent="0.2"/>
    <row r="59999" s="689" customFormat="1" x14ac:dyDescent="0.2"/>
    <row r="60000" s="689" customFormat="1" x14ac:dyDescent="0.2"/>
    <row r="60001" s="689" customFormat="1" x14ac:dyDescent="0.2"/>
    <row r="60002" s="689" customFormat="1" x14ac:dyDescent="0.2"/>
    <row r="60003" s="689" customFormat="1" x14ac:dyDescent="0.2"/>
    <row r="60004" s="689" customFormat="1" x14ac:dyDescent="0.2"/>
    <row r="60005" s="689" customFormat="1" x14ac:dyDescent="0.2"/>
    <row r="60006" s="689" customFormat="1" x14ac:dyDescent="0.2"/>
    <row r="60007" s="689" customFormat="1" x14ac:dyDescent="0.2"/>
    <row r="60008" s="689" customFormat="1" x14ac:dyDescent="0.2"/>
    <row r="60009" s="689" customFormat="1" x14ac:dyDescent="0.2"/>
    <row r="60010" s="689" customFormat="1" x14ac:dyDescent="0.2"/>
    <row r="60011" s="689" customFormat="1" x14ac:dyDescent="0.2"/>
    <row r="60012" s="689" customFormat="1" x14ac:dyDescent="0.2"/>
    <row r="60013" s="689" customFormat="1" x14ac:dyDescent="0.2"/>
    <row r="60014" s="689" customFormat="1" x14ac:dyDescent="0.2"/>
    <row r="60015" s="689" customFormat="1" x14ac:dyDescent="0.2"/>
    <row r="60016" s="689" customFormat="1" x14ac:dyDescent="0.2"/>
    <row r="60017" s="689" customFormat="1" x14ac:dyDescent="0.2"/>
    <row r="60018" s="689" customFormat="1" x14ac:dyDescent="0.2"/>
    <row r="60019" s="689" customFormat="1" x14ac:dyDescent="0.2"/>
    <row r="60020" s="689" customFormat="1" x14ac:dyDescent="0.2"/>
    <row r="60021" s="689" customFormat="1" x14ac:dyDescent="0.2"/>
    <row r="60022" s="689" customFormat="1" x14ac:dyDescent="0.2"/>
    <row r="60023" s="689" customFormat="1" x14ac:dyDescent="0.2"/>
    <row r="60024" s="689" customFormat="1" x14ac:dyDescent="0.2"/>
    <row r="60025" s="689" customFormat="1" x14ac:dyDescent="0.2"/>
    <row r="60026" s="689" customFormat="1" x14ac:dyDescent="0.2"/>
    <row r="60027" s="689" customFormat="1" x14ac:dyDescent="0.2"/>
    <row r="60028" s="689" customFormat="1" x14ac:dyDescent="0.2"/>
    <row r="60029" s="689" customFormat="1" x14ac:dyDescent="0.2"/>
    <row r="60030" s="689" customFormat="1" x14ac:dyDescent="0.2"/>
    <row r="60031" s="689" customFormat="1" x14ac:dyDescent="0.2"/>
    <row r="60032" s="689" customFormat="1" x14ac:dyDescent="0.2"/>
    <row r="60033" s="689" customFormat="1" x14ac:dyDescent="0.2"/>
    <row r="60034" s="689" customFormat="1" x14ac:dyDescent="0.2"/>
    <row r="60035" s="689" customFormat="1" x14ac:dyDescent="0.2"/>
    <row r="60036" s="689" customFormat="1" x14ac:dyDescent="0.2"/>
    <row r="60037" s="689" customFormat="1" x14ac:dyDescent="0.2"/>
    <row r="60038" s="689" customFormat="1" x14ac:dyDescent="0.2"/>
    <row r="60039" s="689" customFormat="1" x14ac:dyDescent="0.2"/>
    <row r="60040" s="689" customFormat="1" x14ac:dyDescent="0.2"/>
    <row r="60041" s="689" customFormat="1" x14ac:dyDescent="0.2"/>
    <row r="60042" s="689" customFormat="1" x14ac:dyDescent="0.2"/>
    <row r="60043" s="689" customFormat="1" x14ac:dyDescent="0.2"/>
    <row r="60044" s="689" customFormat="1" x14ac:dyDescent="0.2"/>
    <row r="60045" s="689" customFormat="1" x14ac:dyDescent="0.2"/>
    <row r="60046" s="689" customFormat="1" x14ac:dyDescent="0.2"/>
    <row r="60047" s="689" customFormat="1" x14ac:dyDescent="0.2"/>
    <row r="60048" s="689" customFormat="1" x14ac:dyDescent="0.2"/>
    <row r="60049" s="689" customFormat="1" x14ac:dyDescent="0.2"/>
    <row r="60050" s="689" customFormat="1" x14ac:dyDescent="0.2"/>
    <row r="60051" s="689" customFormat="1" x14ac:dyDescent="0.2"/>
    <row r="60052" s="689" customFormat="1" x14ac:dyDescent="0.2"/>
    <row r="60053" s="689" customFormat="1" x14ac:dyDescent="0.2"/>
    <row r="60054" s="689" customFormat="1" x14ac:dyDescent="0.2"/>
    <row r="60055" s="689" customFormat="1" x14ac:dyDescent="0.2"/>
    <row r="60056" s="689" customFormat="1" x14ac:dyDescent="0.2"/>
    <row r="60057" s="689" customFormat="1" x14ac:dyDescent="0.2"/>
    <row r="60058" s="689" customFormat="1" x14ac:dyDescent="0.2"/>
    <row r="60059" s="689" customFormat="1" x14ac:dyDescent="0.2"/>
    <row r="60060" s="689" customFormat="1" x14ac:dyDescent="0.2"/>
    <row r="60061" s="689" customFormat="1" x14ac:dyDescent="0.2"/>
    <row r="60062" s="689" customFormat="1" x14ac:dyDescent="0.2"/>
    <row r="60063" s="689" customFormat="1" x14ac:dyDescent="0.2"/>
    <row r="60064" s="689" customFormat="1" x14ac:dyDescent="0.2"/>
    <row r="60065" s="689" customFormat="1" x14ac:dyDescent="0.2"/>
    <row r="60066" s="689" customFormat="1" x14ac:dyDescent="0.2"/>
    <row r="60067" s="689" customFormat="1" x14ac:dyDescent="0.2"/>
    <row r="60068" s="689" customFormat="1" x14ac:dyDescent="0.2"/>
    <row r="60069" s="689" customFormat="1" x14ac:dyDescent="0.2"/>
    <row r="60070" s="689" customFormat="1" x14ac:dyDescent="0.2"/>
    <row r="60071" s="689" customFormat="1" x14ac:dyDescent="0.2"/>
    <row r="60072" s="689" customFormat="1" x14ac:dyDescent="0.2"/>
    <row r="60073" s="689" customFormat="1" x14ac:dyDescent="0.2"/>
    <row r="60074" s="689" customFormat="1" x14ac:dyDescent="0.2"/>
    <row r="60075" s="689" customFormat="1" x14ac:dyDescent="0.2"/>
    <row r="60076" s="689" customFormat="1" x14ac:dyDescent="0.2"/>
    <row r="60077" s="689" customFormat="1" x14ac:dyDescent="0.2"/>
    <row r="60078" s="689" customFormat="1" x14ac:dyDescent="0.2"/>
    <row r="60079" s="689" customFormat="1" x14ac:dyDescent="0.2"/>
    <row r="60080" s="689" customFormat="1" x14ac:dyDescent="0.2"/>
    <row r="60081" s="689" customFormat="1" x14ac:dyDescent="0.2"/>
    <row r="60082" s="689" customFormat="1" x14ac:dyDescent="0.2"/>
    <row r="60083" s="689" customFormat="1" x14ac:dyDescent="0.2"/>
    <row r="60084" s="689" customFormat="1" x14ac:dyDescent="0.2"/>
    <row r="60085" s="689" customFormat="1" x14ac:dyDescent="0.2"/>
    <row r="60086" s="689" customFormat="1" x14ac:dyDescent="0.2"/>
    <row r="60087" s="689" customFormat="1" x14ac:dyDescent="0.2"/>
    <row r="60088" s="689" customFormat="1" x14ac:dyDescent="0.2"/>
    <row r="60089" s="689" customFormat="1" x14ac:dyDescent="0.2"/>
    <row r="60090" s="689" customFormat="1" x14ac:dyDescent="0.2"/>
    <row r="60091" s="689" customFormat="1" x14ac:dyDescent="0.2"/>
    <row r="60092" s="689" customFormat="1" x14ac:dyDescent="0.2"/>
    <row r="60093" s="689" customFormat="1" x14ac:dyDescent="0.2"/>
    <row r="60094" s="689" customFormat="1" x14ac:dyDescent="0.2"/>
    <row r="60095" s="689" customFormat="1" x14ac:dyDescent="0.2"/>
    <row r="60096" s="689" customFormat="1" x14ac:dyDescent="0.2"/>
    <row r="60097" s="689" customFormat="1" x14ac:dyDescent="0.2"/>
    <row r="60098" s="689" customFormat="1" x14ac:dyDescent="0.2"/>
    <row r="60099" s="689" customFormat="1" x14ac:dyDescent="0.2"/>
    <row r="60100" s="689" customFormat="1" x14ac:dyDescent="0.2"/>
    <row r="60101" s="689" customFormat="1" x14ac:dyDescent="0.2"/>
    <row r="60102" s="689" customFormat="1" x14ac:dyDescent="0.2"/>
    <row r="60103" s="689" customFormat="1" x14ac:dyDescent="0.2"/>
    <row r="60104" s="689" customFormat="1" x14ac:dyDescent="0.2"/>
    <row r="60105" s="689" customFormat="1" x14ac:dyDescent="0.2"/>
    <row r="60106" s="689" customFormat="1" x14ac:dyDescent="0.2"/>
    <row r="60107" s="689" customFormat="1" x14ac:dyDescent="0.2"/>
    <row r="60108" s="689" customFormat="1" x14ac:dyDescent="0.2"/>
    <row r="60109" s="689" customFormat="1" x14ac:dyDescent="0.2"/>
    <row r="60110" s="689" customFormat="1" x14ac:dyDescent="0.2"/>
    <row r="60111" s="689" customFormat="1" x14ac:dyDescent="0.2"/>
    <row r="60112" s="689" customFormat="1" x14ac:dyDescent="0.2"/>
    <row r="60113" s="689" customFormat="1" x14ac:dyDescent="0.2"/>
    <row r="60114" s="689" customFormat="1" x14ac:dyDescent="0.2"/>
    <row r="60115" s="689" customFormat="1" x14ac:dyDescent="0.2"/>
    <row r="60116" s="689" customFormat="1" x14ac:dyDescent="0.2"/>
    <row r="60117" s="689" customFormat="1" x14ac:dyDescent="0.2"/>
    <row r="60118" s="689" customFormat="1" x14ac:dyDescent="0.2"/>
    <row r="60119" s="689" customFormat="1" x14ac:dyDescent="0.2"/>
    <row r="60120" s="689" customFormat="1" x14ac:dyDescent="0.2"/>
    <row r="60121" s="689" customFormat="1" x14ac:dyDescent="0.2"/>
    <row r="60122" s="689" customFormat="1" x14ac:dyDescent="0.2"/>
    <row r="60123" s="689" customFormat="1" x14ac:dyDescent="0.2"/>
    <row r="60124" s="689" customFormat="1" x14ac:dyDescent="0.2"/>
    <row r="60125" s="689" customFormat="1" x14ac:dyDescent="0.2"/>
    <row r="60126" s="689" customFormat="1" x14ac:dyDescent="0.2"/>
    <row r="60127" s="689" customFormat="1" x14ac:dyDescent="0.2"/>
    <row r="60128" s="689" customFormat="1" x14ac:dyDescent="0.2"/>
    <row r="60129" s="689" customFormat="1" x14ac:dyDescent="0.2"/>
    <row r="60130" s="689" customFormat="1" x14ac:dyDescent="0.2"/>
    <row r="60131" s="689" customFormat="1" x14ac:dyDescent="0.2"/>
    <row r="60132" s="689" customFormat="1" x14ac:dyDescent="0.2"/>
    <row r="60133" s="689" customFormat="1" x14ac:dyDescent="0.2"/>
    <row r="60134" s="689" customFormat="1" x14ac:dyDescent="0.2"/>
    <row r="60135" s="689" customFormat="1" x14ac:dyDescent="0.2"/>
    <row r="60136" s="689" customFormat="1" x14ac:dyDescent="0.2"/>
    <row r="60137" s="689" customFormat="1" x14ac:dyDescent="0.2"/>
    <row r="60138" s="689" customFormat="1" x14ac:dyDescent="0.2"/>
    <row r="60139" s="689" customFormat="1" x14ac:dyDescent="0.2"/>
    <row r="60140" s="689" customFormat="1" x14ac:dyDescent="0.2"/>
    <row r="60141" s="689" customFormat="1" x14ac:dyDescent="0.2"/>
    <row r="60142" s="689" customFormat="1" x14ac:dyDescent="0.2"/>
    <row r="60143" s="689" customFormat="1" x14ac:dyDescent="0.2"/>
    <row r="60144" s="689" customFormat="1" x14ac:dyDescent="0.2"/>
    <row r="60145" s="689" customFormat="1" x14ac:dyDescent="0.2"/>
    <row r="60146" s="689" customFormat="1" x14ac:dyDescent="0.2"/>
    <row r="60147" s="689" customFormat="1" x14ac:dyDescent="0.2"/>
    <row r="60148" s="689" customFormat="1" x14ac:dyDescent="0.2"/>
    <row r="60149" s="689" customFormat="1" x14ac:dyDescent="0.2"/>
    <row r="60150" s="689" customFormat="1" x14ac:dyDescent="0.2"/>
    <row r="60151" s="689" customFormat="1" x14ac:dyDescent="0.2"/>
    <row r="60152" s="689" customFormat="1" x14ac:dyDescent="0.2"/>
    <row r="60153" s="689" customFormat="1" x14ac:dyDescent="0.2"/>
    <row r="60154" s="689" customFormat="1" x14ac:dyDescent="0.2"/>
    <row r="60155" s="689" customFormat="1" x14ac:dyDescent="0.2"/>
    <row r="60156" s="689" customFormat="1" x14ac:dyDescent="0.2"/>
    <row r="60157" s="689" customFormat="1" x14ac:dyDescent="0.2"/>
    <row r="60158" s="689" customFormat="1" x14ac:dyDescent="0.2"/>
    <row r="60159" s="689" customFormat="1" x14ac:dyDescent="0.2"/>
    <row r="60160" s="689" customFormat="1" x14ac:dyDescent="0.2"/>
    <row r="60161" s="689" customFormat="1" x14ac:dyDescent="0.2"/>
    <row r="60162" s="689" customFormat="1" x14ac:dyDescent="0.2"/>
    <row r="60163" s="689" customFormat="1" x14ac:dyDescent="0.2"/>
    <row r="60164" s="689" customFormat="1" x14ac:dyDescent="0.2"/>
    <row r="60165" s="689" customFormat="1" x14ac:dyDescent="0.2"/>
    <row r="60166" s="689" customFormat="1" x14ac:dyDescent="0.2"/>
    <row r="60167" s="689" customFormat="1" x14ac:dyDescent="0.2"/>
    <row r="60168" s="689" customFormat="1" x14ac:dyDescent="0.2"/>
    <row r="60169" s="689" customFormat="1" x14ac:dyDescent="0.2"/>
    <row r="60170" s="689" customFormat="1" x14ac:dyDescent="0.2"/>
    <row r="60171" s="689" customFormat="1" x14ac:dyDescent="0.2"/>
    <row r="60172" s="689" customFormat="1" x14ac:dyDescent="0.2"/>
    <row r="60173" s="689" customFormat="1" x14ac:dyDescent="0.2"/>
    <row r="60174" s="689" customFormat="1" x14ac:dyDescent="0.2"/>
    <row r="60175" s="689" customFormat="1" x14ac:dyDescent="0.2"/>
    <row r="60176" s="689" customFormat="1" x14ac:dyDescent="0.2"/>
    <row r="60177" s="689" customFormat="1" x14ac:dyDescent="0.2"/>
    <row r="60178" s="689" customFormat="1" x14ac:dyDescent="0.2"/>
    <row r="60179" s="689" customFormat="1" x14ac:dyDescent="0.2"/>
    <row r="60180" s="689" customFormat="1" x14ac:dyDescent="0.2"/>
    <row r="60181" s="689" customFormat="1" x14ac:dyDescent="0.2"/>
    <row r="60182" s="689" customFormat="1" x14ac:dyDescent="0.2"/>
    <row r="60183" s="689" customFormat="1" x14ac:dyDescent="0.2"/>
    <row r="60184" s="689" customFormat="1" x14ac:dyDescent="0.2"/>
    <row r="60185" s="689" customFormat="1" x14ac:dyDescent="0.2"/>
    <row r="60186" s="689" customFormat="1" x14ac:dyDescent="0.2"/>
    <row r="60187" s="689" customFormat="1" x14ac:dyDescent="0.2"/>
    <row r="60188" s="689" customFormat="1" x14ac:dyDescent="0.2"/>
    <row r="60189" s="689" customFormat="1" x14ac:dyDescent="0.2"/>
    <row r="60190" s="689" customFormat="1" x14ac:dyDescent="0.2"/>
    <row r="60191" s="689" customFormat="1" x14ac:dyDescent="0.2"/>
    <row r="60192" s="689" customFormat="1" x14ac:dyDescent="0.2"/>
    <row r="60193" s="689" customFormat="1" x14ac:dyDescent="0.2"/>
    <row r="60194" s="689" customFormat="1" x14ac:dyDescent="0.2"/>
    <row r="60195" s="689" customFormat="1" x14ac:dyDescent="0.2"/>
    <row r="60196" s="689" customFormat="1" x14ac:dyDescent="0.2"/>
    <row r="60197" s="689" customFormat="1" x14ac:dyDescent="0.2"/>
    <row r="60198" s="689" customFormat="1" x14ac:dyDescent="0.2"/>
    <row r="60199" s="689" customFormat="1" x14ac:dyDescent="0.2"/>
    <row r="60200" s="689" customFormat="1" x14ac:dyDescent="0.2"/>
    <row r="60201" s="689" customFormat="1" x14ac:dyDescent="0.2"/>
    <row r="60202" s="689" customFormat="1" x14ac:dyDescent="0.2"/>
    <row r="60203" s="689" customFormat="1" x14ac:dyDescent="0.2"/>
    <row r="60204" s="689" customFormat="1" x14ac:dyDescent="0.2"/>
    <row r="60205" s="689" customFormat="1" x14ac:dyDescent="0.2"/>
    <row r="60206" s="689" customFormat="1" x14ac:dyDescent="0.2"/>
    <row r="60207" s="689" customFormat="1" x14ac:dyDescent="0.2"/>
    <row r="60208" s="689" customFormat="1" x14ac:dyDescent="0.2"/>
    <row r="60209" s="689" customFormat="1" x14ac:dyDescent="0.2"/>
    <row r="60210" s="689" customFormat="1" x14ac:dyDescent="0.2"/>
    <row r="60211" s="689" customFormat="1" x14ac:dyDescent="0.2"/>
    <row r="60212" s="689" customFormat="1" x14ac:dyDescent="0.2"/>
    <row r="60213" s="689" customFormat="1" x14ac:dyDescent="0.2"/>
    <row r="60214" s="689" customFormat="1" x14ac:dyDescent="0.2"/>
    <row r="60215" s="689" customFormat="1" x14ac:dyDescent="0.2"/>
    <row r="60216" s="689" customFormat="1" x14ac:dyDescent="0.2"/>
    <row r="60217" s="689" customFormat="1" x14ac:dyDescent="0.2"/>
    <row r="60218" s="689" customFormat="1" x14ac:dyDescent="0.2"/>
    <row r="60219" s="689" customFormat="1" x14ac:dyDescent="0.2"/>
    <row r="60220" s="689" customFormat="1" x14ac:dyDescent="0.2"/>
    <row r="60221" s="689" customFormat="1" x14ac:dyDescent="0.2"/>
    <row r="60222" s="689" customFormat="1" x14ac:dyDescent="0.2"/>
    <row r="60223" s="689" customFormat="1" x14ac:dyDescent="0.2"/>
    <row r="60224" s="689" customFormat="1" x14ac:dyDescent="0.2"/>
    <row r="60225" s="689" customFormat="1" x14ac:dyDescent="0.2"/>
    <row r="60226" s="689" customFormat="1" x14ac:dyDescent="0.2"/>
    <row r="60227" s="689" customFormat="1" x14ac:dyDescent="0.2"/>
    <row r="60228" s="689" customFormat="1" x14ac:dyDescent="0.2"/>
    <row r="60229" s="689" customFormat="1" x14ac:dyDescent="0.2"/>
    <row r="60230" s="689" customFormat="1" x14ac:dyDescent="0.2"/>
    <row r="60231" s="689" customFormat="1" x14ac:dyDescent="0.2"/>
    <row r="60232" s="689" customFormat="1" x14ac:dyDescent="0.2"/>
    <row r="60233" s="689" customFormat="1" x14ac:dyDescent="0.2"/>
    <row r="60234" s="689" customFormat="1" x14ac:dyDescent="0.2"/>
    <row r="60235" s="689" customFormat="1" x14ac:dyDescent="0.2"/>
    <row r="60236" s="689" customFormat="1" x14ac:dyDescent="0.2"/>
    <row r="60237" s="689" customFormat="1" x14ac:dyDescent="0.2"/>
    <row r="60238" s="689" customFormat="1" x14ac:dyDescent="0.2"/>
    <row r="60239" s="689" customFormat="1" x14ac:dyDescent="0.2"/>
    <row r="60240" s="689" customFormat="1" x14ac:dyDescent="0.2"/>
    <row r="60241" s="689" customFormat="1" x14ac:dyDescent="0.2"/>
    <row r="60242" s="689" customFormat="1" x14ac:dyDescent="0.2"/>
    <row r="60243" s="689" customFormat="1" x14ac:dyDescent="0.2"/>
    <row r="60244" s="689" customFormat="1" x14ac:dyDescent="0.2"/>
    <row r="60245" s="689" customFormat="1" x14ac:dyDescent="0.2"/>
    <row r="60246" s="689" customFormat="1" x14ac:dyDescent="0.2"/>
    <row r="60247" s="689" customFormat="1" x14ac:dyDescent="0.2"/>
    <row r="60248" s="689" customFormat="1" x14ac:dyDescent="0.2"/>
    <row r="60249" s="689" customFormat="1" x14ac:dyDescent="0.2"/>
    <row r="60250" s="689" customFormat="1" x14ac:dyDescent="0.2"/>
    <row r="60251" s="689" customFormat="1" x14ac:dyDescent="0.2"/>
    <row r="60252" s="689" customFormat="1" x14ac:dyDescent="0.2"/>
    <row r="60253" s="689" customFormat="1" x14ac:dyDescent="0.2"/>
    <row r="60254" s="689" customFormat="1" x14ac:dyDescent="0.2"/>
    <row r="60255" s="689" customFormat="1" x14ac:dyDescent="0.2"/>
    <row r="60256" s="689" customFormat="1" x14ac:dyDescent="0.2"/>
    <row r="60257" s="689" customFormat="1" x14ac:dyDescent="0.2"/>
    <row r="60258" s="689" customFormat="1" x14ac:dyDescent="0.2"/>
    <row r="60259" s="689" customFormat="1" x14ac:dyDescent="0.2"/>
    <row r="60260" s="689" customFormat="1" x14ac:dyDescent="0.2"/>
    <row r="60261" s="689" customFormat="1" x14ac:dyDescent="0.2"/>
    <row r="60262" s="689" customFormat="1" x14ac:dyDescent="0.2"/>
    <row r="60263" s="689" customFormat="1" x14ac:dyDescent="0.2"/>
    <row r="60264" s="689" customFormat="1" x14ac:dyDescent="0.2"/>
    <row r="60265" s="689" customFormat="1" x14ac:dyDescent="0.2"/>
    <row r="60266" s="689" customFormat="1" x14ac:dyDescent="0.2"/>
    <row r="60267" s="689" customFormat="1" x14ac:dyDescent="0.2"/>
    <row r="60268" s="689" customFormat="1" x14ac:dyDescent="0.2"/>
    <row r="60269" s="689" customFormat="1" x14ac:dyDescent="0.2"/>
    <row r="60270" s="689" customFormat="1" x14ac:dyDescent="0.2"/>
    <row r="60271" s="689" customFormat="1" x14ac:dyDescent="0.2"/>
    <row r="60272" s="689" customFormat="1" x14ac:dyDescent="0.2"/>
    <row r="60273" s="689" customFormat="1" x14ac:dyDescent="0.2"/>
    <row r="60274" s="689" customFormat="1" x14ac:dyDescent="0.2"/>
    <row r="60275" s="689" customFormat="1" x14ac:dyDescent="0.2"/>
    <row r="60276" s="689" customFormat="1" x14ac:dyDescent="0.2"/>
    <row r="60277" s="689" customFormat="1" x14ac:dyDescent="0.2"/>
    <row r="60278" s="689" customFormat="1" x14ac:dyDescent="0.2"/>
    <row r="60279" s="689" customFormat="1" x14ac:dyDescent="0.2"/>
    <row r="60280" s="689" customFormat="1" x14ac:dyDescent="0.2"/>
    <row r="60281" s="689" customFormat="1" x14ac:dyDescent="0.2"/>
    <row r="60282" s="689" customFormat="1" x14ac:dyDescent="0.2"/>
    <row r="60283" s="689" customFormat="1" x14ac:dyDescent="0.2"/>
    <row r="60284" s="689" customFormat="1" x14ac:dyDescent="0.2"/>
    <row r="60285" s="689" customFormat="1" x14ac:dyDescent="0.2"/>
    <row r="60286" s="689" customFormat="1" x14ac:dyDescent="0.2"/>
    <row r="60287" s="689" customFormat="1" x14ac:dyDescent="0.2"/>
    <row r="60288" s="689" customFormat="1" x14ac:dyDescent="0.2"/>
    <row r="60289" s="689" customFormat="1" x14ac:dyDescent="0.2"/>
    <row r="60290" s="689" customFormat="1" x14ac:dyDescent="0.2"/>
    <row r="60291" s="689" customFormat="1" x14ac:dyDescent="0.2"/>
    <row r="60292" s="689" customFormat="1" x14ac:dyDescent="0.2"/>
    <row r="60293" s="689" customFormat="1" x14ac:dyDescent="0.2"/>
    <row r="60294" s="689" customFormat="1" x14ac:dyDescent="0.2"/>
    <row r="60295" s="689" customFormat="1" x14ac:dyDescent="0.2"/>
    <row r="60296" s="689" customFormat="1" x14ac:dyDescent="0.2"/>
    <row r="60297" s="689" customFormat="1" x14ac:dyDescent="0.2"/>
    <row r="60298" s="689" customFormat="1" x14ac:dyDescent="0.2"/>
    <row r="60299" s="689" customFormat="1" x14ac:dyDescent="0.2"/>
    <row r="60300" s="689" customFormat="1" x14ac:dyDescent="0.2"/>
    <row r="60301" s="689" customFormat="1" x14ac:dyDescent="0.2"/>
    <row r="60302" s="689" customFormat="1" x14ac:dyDescent="0.2"/>
    <row r="60303" s="689" customFormat="1" x14ac:dyDescent="0.2"/>
    <row r="60304" s="689" customFormat="1" x14ac:dyDescent="0.2"/>
    <row r="60305" s="689" customFormat="1" x14ac:dyDescent="0.2"/>
    <row r="60306" s="689" customFormat="1" x14ac:dyDescent="0.2"/>
    <row r="60307" s="689" customFormat="1" x14ac:dyDescent="0.2"/>
    <row r="60308" s="689" customFormat="1" x14ac:dyDescent="0.2"/>
    <row r="60309" s="689" customFormat="1" x14ac:dyDescent="0.2"/>
    <row r="60310" s="689" customFormat="1" x14ac:dyDescent="0.2"/>
    <row r="60311" s="689" customFormat="1" x14ac:dyDescent="0.2"/>
    <row r="60312" s="689" customFormat="1" x14ac:dyDescent="0.2"/>
    <row r="60313" s="689" customFormat="1" x14ac:dyDescent="0.2"/>
    <row r="60314" s="689" customFormat="1" x14ac:dyDescent="0.2"/>
    <row r="60315" s="689" customFormat="1" x14ac:dyDescent="0.2"/>
    <row r="60316" s="689" customFormat="1" x14ac:dyDescent="0.2"/>
    <row r="60317" s="689" customFormat="1" x14ac:dyDescent="0.2"/>
    <row r="60318" s="689" customFormat="1" x14ac:dyDescent="0.2"/>
    <row r="60319" s="689" customFormat="1" x14ac:dyDescent="0.2"/>
    <row r="60320" s="689" customFormat="1" x14ac:dyDescent="0.2"/>
    <row r="60321" s="689" customFormat="1" x14ac:dyDescent="0.2"/>
    <row r="60322" s="689" customFormat="1" x14ac:dyDescent="0.2"/>
    <row r="60323" s="689" customFormat="1" x14ac:dyDescent="0.2"/>
    <row r="60324" s="689" customFormat="1" x14ac:dyDescent="0.2"/>
    <row r="60325" s="689" customFormat="1" x14ac:dyDescent="0.2"/>
    <row r="60326" s="689" customFormat="1" x14ac:dyDescent="0.2"/>
    <row r="60327" s="689" customFormat="1" x14ac:dyDescent="0.2"/>
    <row r="60328" s="689" customFormat="1" x14ac:dyDescent="0.2"/>
    <row r="60329" s="689" customFormat="1" x14ac:dyDescent="0.2"/>
    <row r="60330" s="689" customFormat="1" x14ac:dyDescent="0.2"/>
    <row r="60331" s="689" customFormat="1" x14ac:dyDescent="0.2"/>
    <row r="60332" s="689" customFormat="1" x14ac:dyDescent="0.2"/>
    <row r="60333" s="689" customFormat="1" x14ac:dyDescent="0.2"/>
    <row r="60334" s="689" customFormat="1" x14ac:dyDescent="0.2"/>
    <row r="60335" s="689" customFormat="1" x14ac:dyDescent="0.2"/>
    <row r="60336" s="689" customFormat="1" x14ac:dyDescent="0.2"/>
    <row r="60337" s="689" customFormat="1" x14ac:dyDescent="0.2"/>
    <row r="60338" s="689" customFormat="1" x14ac:dyDescent="0.2"/>
    <row r="60339" s="689" customFormat="1" x14ac:dyDescent="0.2"/>
    <row r="60340" s="689" customFormat="1" x14ac:dyDescent="0.2"/>
    <row r="60341" s="689" customFormat="1" x14ac:dyDescent="0.2"/>
    <row r="60342" s="689" customFormat="1" x14ac:dyDescent="0.2"/>
    <row r="60343" s="689" customFormat="1" x14ac:dyDescent="0.2"/>
    <row r="60344" s="689" customFormat="1" x14ac:dyDescent="0.2"/>
    <row r="60345" s="689" customFormat="1" x14ac:dyDescent="0.2"/>
    <row r="60346" s="689" customFormat="1" x14ac:dyDescent="0.2"/>
    <row r="60347" s="689" customFormat="1" x14ac:dyDescent="0.2"/>
    <row r="60348" s="689" customFormat="1" x14ac:dyDescent="0.2"/>
    <row r="60349" s="689" customFormat="1" x14ac:dyDescent="0.2"/>
    <row r="60350" s="689" customFormat="1" x14ac:dyDescent="0.2"/>
    <row r="60351" s="689" customFormat="1" x14ac:dyDescent="0.2"/>
    <row r="60352" s="689" customFormat="1" x14ac:dyDescent="0.2"/>
    <row r="60353" s="689" customFormat="1" x14ac:dyDescent="0.2"/>
    <row r="60354" s="689" customFormat="1" x14ac:dyDescent="0.2"/>
    <row r="60355" s="689" customFormat="1" x14ac:dyDescent="0.2"/>
    <row r="60356" s="689" customFormat="1" x14ac:dyDescent="0.2"/>
    <row r="60357" s="689" customFormat="1" x14ac:dyDescent="0.2"/>
    <row r="60358" s="689" customFormat="1" x14ac:dyDescent="0.2"/>
    <row r="60359" s="689" customFormat="1" x14ac:dyDescent="0.2"/>
    <row r="60360" s="689" customFormat="1" x14ac:dyDescent="0.2"/>
    <row r="60361" s="689" customFormat="1" x14ac:dyDescent="0.2"/>
    <row r="60362" s="689" customFormat="1" x14ac:dyDescent="0.2"/>
    <row r="60363" s="689" customFormat="1" x14ac:dyDescent="0.2"/>
    <row r="60364" s="689" customFormat="1" x14ac:dyDescent="0.2"/>
    <row r="60365" s="689" customFormat="1" x14ac:dyDescent="0.2"/>
    <row r="60366" s="689" customFormat="1" x14ac:dyDescent="0.2"/>
    <row r="60367" s="689" customFormat="1" x14ac:dyDescent="0.2"/>
    <row r="60368" s="689" customFormat="1" x14ac:dyDescent="0.2"/>
    <row r="60369" s="689" customFormat="1" x14ac:dyDescent="0.2"/>
    <row r="60370" s="689" customFormat="1" x14ac:dyDescent="0.2"/>
    <row r="60371" s="689" customFormat="1" x14ac:dyDescent="0.2"/>
    <row r="60372" s="689" customFormat="1" x14ac:dyDescent="0.2"/>
    <row r="60373" s="689" customFormat="1" x14ac:dyDescent="0.2"/>
    <row r="60374" s="689" customFormat="1" x14ac:dyDescent="0.2"/>
    <row r="60375" s="689" customFormat="1" x14ac:dyDescent="0.2"/>
    <row r="60376" s="689" customFormat="1" x14ac:dyDescent="0.2"/>
    <row r="60377" s="689" customFormat="1" x14ac:dyDescent="0.2"/>
    <row r="60378" s="689" customFormat="1" x14ac:dyDescent="0.2"/>
    <row r="60379" s="689" customFormat="1" x14ac:dyDescent="0.2"/>
    <row r="60380" s="689" customFormat="1" x14ac:dyDescent="0.2"/>
    <row r="60381" s="689" customFormat="1" x14ac:dyDescent="0.2"/>
    <row r="60382" s="689" customFormat="1" x14ac:dyDescent="0.2"/>
    <row r="60383" s="689" customFormat="1" x14ac:dyDescent="0.2"/>
    <row r="60384" s="689" customFormat="1" x14ac:dyDescent="0.2"/>
    <row r="60385" s="689" customFormat="1" x14ac:dyDescent="0.2"/>
    <row r="60386" s="689" customFormat="1" x14ac:dyDescent="0.2"/>
    <row r="60387" s="689" customFormat="1" x14ac:dyDescent="0.2"/>
    <row r="60388" s="689" customFormat="1" x14ac:dyDescent="0.2"/>
    <row r="60389" s="689" customFormat="1" x14ac:dyDescent="0.2"/>
    <row r="60390" s="689" customFormat="1" x14ac:dyDescent="0.2"/>
    <row r="60391" s="689" customFormat="1" x14ac:dyDescent="0.2"/>
    <row r="60392" s="689" customFormat="1" x14ac:dyDescent="0.2"/>
    <row r="60393" s="689" customFormat="1" x14ac:dyDescent="0.2"/>
    <row r="60394" s="689" customFormat="1" x14ac:dyDescent="0.2"/>
    <row r="60395" s="689" customFormat="1" x14ac:dyDescent="0.2"/>
    <row r="60396" s="689" customFormat="1" x14ac:dyDescent="0.2"/>
    <row r="60397" s="689" customFormat="1" x14ac:dyDescent="0.2"/>
    <row r="60398" s="689" customFormat="1" x14ac:dyDescent="0.2"/>
    <row r="60399" s="689" customFormat="1" x14ac:dyDescent="0.2"/>
    <row r="60400" s="689" customFormat="1" x14ac:dyDescent="0.2"/>
    <row r="60401" s="689" customFormat="1" x14ac:dyDescent="0.2"/>
    <row r="60402" s="689" customFormat="1" x14ac:dyDescent="0.2"/>
    <row r="60403" s="689" customFormat="1" x14ac:dyDescent="0.2"/>
    <row r="60404" s="689" customFormat="1" x14ac:dyDescent="0.2"/>
    <row r="60405" s="689" customFormat="1" x14ac:dyDescent="0.2"/>
    <row r="60406" s="689" customFormat="1" x14ac:dyDescent="0.2"/>
    <row r="60407" s="689" customFormat="1" x14ac:dyDescent="0.2"/>
    <row r="60408" s="689" customFormat="1" x14ac:dyDescent="0.2"/>
    <row r="60409" s="689" customFormat="1" x14ac:dyDescent="0.2"/>
    <row r="60410" s="689" customFormat="1" x14ac:dyDescent="0.2"/>
    <row r="60411" s="689" customFormat="1" x14ac:dyDescent="0.2"/>
    <row r="60412" s="689" customFormat="1" x14ac:dyDescent="0.2"/>
    <row r="60413" s="689" customFormat="1" x14ac:dyDescent="0.2"/>
    <row r="60414" s="689" customFormat="1" x14ac:dyDescent="0.2"/>
    <row r="60415" s="689" customFormat="1" x14ac:dyDescent="0.2"/>
    <row r="60416" s="689" customFormat="1" x14ac:dyDescent="0.2"/>
    <row r="60417" s="689" customFormat="1" x14ac:dyDescent="0.2"/>
    <row r="60418" s="689" customFormat="1" x14ac:dyDescent="0.2"/>
    <row r="60419" s="689" customFormat="1" x14ac:dyDescent="0.2"/>
    <row r="60420" s="689" customFormat="1" x14ac:dyDescent="0.2"/>
    <row r="60421" s="689" customFormat="1" x14ac:dyDescent="0.2"/>
    <row r="60422" s="689" customFormat="1" x14ac:dyDescent="0.2"/>
    <row r="60423" s="689" customFormat="1" x14ac:dyDescent="0.2"/>
    <row r="60424" s="689" customFormat="1" x14ac:dyDescent="0.2"/>
    <row r="60425" s="689" customFormat="1" x14ac:dyDescent="0.2"/>
    <row r="60426" s="689" customFormat="1" x14ac:dyDescent="0.2"/>
    <row r="60427" s="689" customFormat="1" x14ac:dyDescent="0.2"/>
    <row r="60428" s="689" customFormat="1" x14ac:dyDescent="0.2"/>
    <row r="60429" s="689" customFormat="1" x14ac:dyDescent="0.2"/>
    <row r="60430" s="689" customFormat="1" x14ac:dyDescent="0.2"/>
    <row r="60431" s="689" customFormat="1" x14ac:dyDescent="0.2"/>
    <row r="60432" s="689" customFormat="1" x14ac:dyDescent="0.2"/>
    <row r="60433" s="689" customFormat="1" x14ac:dyDescent="0.2"/>
    <row r="60434" s="689" customFormat="1" x14ac:dyDescent="0.2"/>
    <row r="60435" s="689" customFormat="1" x14ac:dyDescent="0.2"/>
    <row r="60436" s="689" customFormat="1" x14ac:dyDescent="0.2"/>
    <row r="60437" s="689" customFormat="1" x14ac:dyDescent="0.2"/>
    <row r="60438" s="689" customFormat="1" x14ac:dyDescent="0.2"/>
    <row r="60439" s="689" customFormat="1" x14ac:dyDescent="0.2"/>
    <row r="60440" s="689" customFormat="1" x14ac:dyDescent="0.2"/>
    <row r="60441" s="689" customFormat="1" x14ac:dyDescent="0.2"/>
    <row r="60442" s="689" customFormat="1" x14ac:dyDescent="0.2"/>
    <row r="60443" s="689" customFormat="1" x14ac:dyDescent="0.2"/>
    <row r="60444" s="689" customFormat="1" x14ac:dyDescent="0.2"/>
    <row r="60445" s="689" customFormat="1" x14ac:dyDescent="0.2"/>
    <row r="60446" s="689" customFormat="1" x14ac:dyDescent="0.2"/>
    <row r="60447" s="689" customFormat="1" x14ac:dyDescent="0.2"/>
    <row r="60448" s="689" customFormat="1" x14ac:dyDescent="0.2"/>
    <row r="60449" s="689" customFormat="1" x14ac:dyDescent="0.2"/>
    <row r="60450" s="689" customFormat="1" x14ac:dyDescent="0.2"/>
    <row r="60451" s="689" customFormat="1" x14ac:dyDescent="0.2"/>
    <row r="60452" s="689" customFormat="1" x14ac:dyDescent="0.2"/>
    <row r="60453" s="689" customFormat="1" x14ac:dyDescent="0.2"/>
    <row r="60454" s="689" customFormat="1" x14ac:dyDescent="0.2"/>
    <row r="60455" s="689" customFormat="1" x14ac:dyDescent="0.2"/>
    <row r="60456" s="689" customFormat="1" x14ac:dyDescent="0.2"/>
    <row r="60457" s="689" customFormat="1" x14ac:dyDescent="0.2"/>
    <row r="60458" s="689" customFormat="1" x14ac:dyDescent="0.2"/>
    <row r="60459" s="689" customFormat="1" x14ac:dyDescent="0.2"/>
    <row r="60460" s="689" customFormat="1" x14ac:dyDescent="0.2"/>
    <row r="60461" s="689" customFormat="1" x14ac:dyDescent="0.2"/>
    <row r="60462" s="689" customFormat="1" x14ac:dyDescent="0.2"/>
    <row r="60463" s="689" customFormat="1" x14ac:dyDescent="0.2"/>
    <row r="60464" s="689" customFormat="1" x14ac:dyDescent="0.2"/>
    <row r="60465" s="689" customFormat="1" x14ac:dyDescent="0.2"/>
    <row r="60466" s="689" customFormat="1" x14ac:dyDescent="0.2"/>
    <row r="60467" s="689" customFormat="1" x14ac:dyDescent="0.2"/>
    <row r="60468" s="689" customFormat="1" x14ac:dyDescent="0.2"/>
    <row r="60469" s="689" customFormat="1" x14ac:dyDescent="0.2"/>
    <row r="60470" s="689" customFormat="1" x14ac:dyDescent="0.2"/>
    <row r="60471" s="689" customFormat="1" x14ac:dyDescent="0.2"/>
    <row r="60472" s="689" customFormat="1" x14ac:dyDescent="0.2"/>
    <row r="60473" s="689" customFormat="1" x14ac:dyDescent="0.2"/>
    <row r="60474" s="689" customFormat="1" x14ac:dyDescent="0.2"/>
    <row r="60475" s="689" customFormat="1" x14ac:dyDescent="0.2"/>
    <row r="60476" s="689" customFormat="1" x14ac:dyDescent="0.2"/>
    <row r="60477" s="689" customFormat="1" x14ac:dyDescent="0.2"/>
    <row r="60478" s="689" customFormat="1" x14ac:dyDescent="0.2"/>
    <row r="60479" s="689" customFormat="1" x14ac:dyDescent="0.2"/>
    <row r="60480" s="689" customFormat="1" x14ac:dyDescent="0.2"/>
    <row r="60481" s="689" customFormat="1" x14ac:dyDescent="0.2"/>
    <row r="60482" s="689" customFormat="1" x14ac:dyDescent="0.2"/>
    <row r="60483" s="689" customFormat="1" x14ac:dyDescent="0.2"/>
    <row r="60484" s="689" customFormat="1" x14ac:dyDescent="0.2"/>
    <row r="60485" s="689" customFormat="1" x14ac:dyDescent="0.2"/>
    <row r="60486" s="689" customFormat="1" x14ac:dyDescent="0.2"/>
    <row r="60487" s="689" customFormat="1" x14ac:dyDescent="0.2"/>
    <row r="60488" s="689" customFormat="1" x14ac:dyDescent="0.2"/>
    <row r="60489" s="689" customFormat="1" x14ac:dyDescent="0.2"/>
    <row r="60490" s="689" customFormat="1" x14ac:dyDescent="0.2"/>
    <row r="60491" s="689" customFormat="1" x14ac:dyDescent="0.2"/>
    <row r="60492" s="689" customFormat="1" x14ac:dyDescent="0.2"/>
    <row r="60493" s="689" customFormat="1" x14ac:dyDescent="0.2"/>
    <row r="60494" s="689" customFormat="1" x14ac:dyDescent="0.2"/>
    <row r="60495" s="689" customFormat="1" x14ac:dyDescent="0.2"/>
    <row r="60496" s="689" customFormat="1" x14ac:dyDescent="0.2"/>
    <row r="60497" s="689" customFormat="1" x14ac:dyDescent="0.2"/>
    <row r="60498" s="689" customFormat="1" x14ac:dyDescent="0.2"/>
    <row r="60499" s="689" customFormat="1" x14ac:dyDescent="0.2"/>
    <row r="60500" s="689" customFormat="1" x14ac:dyDescent="0.2"/>
    <row r="60501" s="689" customFormat="1" x14ac:dyDescent="0.2"/>
    <row r="60502" s="689" customFormat="1" x14ac:dyDescent="0.2"/>
    <row r="60503" s="689" customFormat="1" x14ac:dyDescent="0.2"/>
    <row r="60504" s="689" customFormat="1" x14ac:dyDescent="0.2"/>
    <row r="60505" s="689" customFormat="1" x14ac:dyDescent="0.2"/>
    <row r="60506" s="689" customFormat="1" x14ac:dyDescent="0.2"/>
    <row r="60507" s="689" customFormat="1" x14ac:dyDescent="0.2"/>
    <row r="60508" s="689" customFormat="1" x14ac:dyDescent="0.2"/>
    <row r="60509" s="689" customFormat="1" x14ac:dyDescent="0.2"/>
    <row r="60510" s="689" customFormat="1" x14ac:dyDescent="0.2"/>
    <row r="60511" s="689" customFormat="1" x14ac:dyDescent="0.2"/>
    <row r="60512" s="689" customFormat="1" x14ac:dyDescent="0.2"/>
    <row r="60513" s="689" customFormat="1" x14ac:dyDescent="0.2"/>
    <row r="60514" s="689" customFormat="1" x14ac:dyDescent="0.2"/>
    <row r="60515" s="689" customFormat="1" x14ac:dyDescent="0.2"/>
    <row r="60516" s="689" customFormat="1" x14ac:dyDescent="0.2"/>
    <row r="60517" s="689" customFormat="1" x14ac:dyDescent="0.2"/>
    <row r="60518" s="689" customFormat="1" x14ac:dyDescent="0.2"/>
    <row r="60519" s="689" customFormat="1" x14ac:dyDescent="0.2"/>
    <row r="60520" s="689" customFormat="1" x14ac:dyDescent="0.2"/>
    <row r="60521" s="689" customFormat="1" x14ac:dyDescent="0.2"/>
    <row r="60522" s="689" customFormat="1" x14ac:dyDescent="0.2"/>
    <row r="60523" s="689" customFormat="1" x14ac:dyDescent="0.2"/>
    <row r="60524" s="689" customFormat="1" x14ac:dyDescent="0.2"/>
    <row r="60525" s="689" customFormat="1" x14ac:dyDescent="0.2"/>
    <row r="60526" s="689" customFormat="1" x14ac:dyDescent="0.2"/>
    <row r="60527" s="689" customFormat="1" x14ac:dyDescent="0.2"/>
    <row r="60528" s="689" customFormat="1" x14ac:dyDescent="0.2"/>
    <row r="60529" s="689" customFormat="1" x14ac:dyDescent="0.2"/>
    <row r="60530" s="689" customFormat="1" x14ac:dyDescent="0.2"/>
    <row r="60531" s="689" customFormat="1" x14ac:dyDescent="0.2"/>
    <row r="60532" s="689" customFormat="1" x14ac:dyDescent="0.2"/>
    <row r="60533" s="689" customFormat="1" x14ac:dyDescent="0.2"/>
    <row r="60534" s="689" customFormat="1" x14ac:dyDescent="0.2"/>
    <row r="60535" s="689" customFormat="1" x14ac:dyDescent="0.2"/>
    <row r="60536" s="689" customFormat="1" x14ac:dyDescent="0.2"/>
    <row r="60537" s="689" customFormat="1" x14ac:dyDescent="0.2"/>
    <row r="60538" s="689" customFormat="1" x14ac:dyDescent="0.2"/>
    <row r="60539" s="689" customFormat="1" x14ac:dyDescent="0.2"/>
    <row r="60540" s="689" customFormat="1" x14ac:dyDescent="0.2"/>
    <row r="60541" s="689" customFormat="1" x14ac:dyDescent="0.2"/>
    <row r="60542" s="689" customFormat="1" x14ac:dyDescent="0.2"/>
    <row r="60543" s="689" customFormat="1" x14ac:dyDescent="0.2"/>
    <row r="60544" s="689" customFormat="1" x14ac:dyDescent="0.2"/>
    <row r="60545" s="689" customFormat="1" x14ac:dyDescent="0.2"/>
    <row r="60546" s="689" customFormat="1" x14ac:dyDescent="0.2"/>
    <row r="60547" s="689" customFormat="1" x14ac:dyDescent="0.2"/>
    <row r="60548" s="689" customFormat="1" x14ac:dyDescent="0.2"/>
    <row r="60549" s="689" customFormat="1" x14ac:dyDescent="0.2"/>
    <row r="60550" s="689" customFormat="1" x14ac:dyDescent="0.2"/>
    <row r="60551" s="689" customFormat="1" x14ac:dyDescent="0.2"/>
    <row r="60552" s="689" customFormat="1" x14ac:dyDescent="0.2"/>
    <row r="60553" s="689" customFormat="1" x14ac:dyDescent="0.2"/>
    <row r="60554" s="689" customFormat="1" x14ac:dyDescent="0.2"/>
    <row r="60555" s="689" customFormat="1" x14ac:dyDescent="0.2"/>
    <row r="60556" s="689" customFormat="1" x14ac:dyDescent="0.2"/>
    <row r="60557" s="689" customFormat="1" x14ac:dyDescent="0.2"/>
    <row r="60558" s="689" customFormat="1" x14ac:dyDescent="0.2"/>
    <row r="60559" s="689" customFormat="1" x14ac:dyDescent="0.2"/>
    <row r="60560" s="689" customFormat="1" x14ac:dyDescent="0.2"/>
    <row r="60561" s="689" customFormat="1" x14ac:dyDescent="0.2"/>
    <row r="60562" s="689" customFormat="1" x14ac:dyDescent="0.2"/>
    <row r="60563" s="689" customFormat="1" x14ac:dyDescent="0.2"/>
    <row r="60564" s="689" customFormat="1" x14ac:dyDescent="0.2"/>
    <row r="60565" s="689" customFormat="1" x14ac:dyDescent="0.2"/>
    <row r="60566" s="689" customFormat="1" x14ac:dyDescent="0.2"/>
    <row r="60567" s="689" customFormat="1" x14ac:dyDescent="0.2"/>
    <row r="60568" s="689" customFormat="1" x14ac:dyDescent="0.2"/>
    <row r="60569" s="689" customFormat="1" x14ac:dyDescent="0.2"/>
    <row r="60570" s="689" customFormat="1" x14ac:dyDescent="0.2"/>
    <row r="60571" s="689" customFormat="1" x14ac:dyDescent="0.2"/>
    <row r="60572" s="689" customFormat="1" x14ac:dyDescent="0.2"/>
    <row r="60573" s="689" customFormat="1" x14ac:dyDescent="0.2"/>
    <row r="60574" s="689" customFormat="1" x14ac:dyDescent="0.2"/>
    <row r="60575" s="689" customFormat="1" x14ac:dyDescent="0.2"/>
    <row r="60576" s="689" customFormat="1" x14ac:dyDescent="0.2"/>
    <row r="60577" s="689" customFormat="1" x14ac:dyDescent="0.2"/>
    <row r="60578" s="689" customFormat="1" x14ac:dyDescent="0.2"/>
    <row r="60579" s="689" customFormat="1" x14ac:dyDescent="0.2"/>
    <row r="60580" s="689" customFormat="1" x14ac:dyDescent="0.2"/>
    <row r="60581" s="689" customFormat="1" x14ac:dyDescent="0.2"/>
    <row r="60582" s="689" customFormat="1" x14ac:dyDescent="0.2"/>
    <row r="60583" s="689" customFormat="1" x14ac:dyDescent="0.2"/>
    <row r="60584" s="689" customFormat="1" x14ac:dyDescent="0.2"/>
    <row r="60585" s="689" customFormat="1" x14ac:dyDescent="0.2"/>
    <row r="60586" s="689" customFormat="1" x14ac:dyDescent="0.2"/>
    <row r="60587" s="689" customFormat="1" x14ac:dyDescent="0.2"/>
    <row r="60588" s="689" customFormat="1" x14ac:dyDescent="0.2"/>
    <row r="60589" s="689" customFormat="1" x14ac:dyDescent="0.2"/>
    <row r="60590" s="689" customFormat="1" x14ac:dyDescent="0.2"/>
    <row r="60591" s="689" customFormat="1" x14ac:dyDescent="0.2"/>
    <row r="60592" s="689" customFormat="1" x14ac:dyDescent="0.2"/>
    <row r="60593" s="689" customFormat="1" x14ac:dyDescent="0.2"/>
    <row r="60594" s="689" customFormat="1" x14ac:dyDescent="0.2"/>
    <row r="60595" s="689" customFormat="1" x14ac:dyDescent="0.2"/>
    <row r="60596" s="689" customFormat="1" x14ac:dyDescent="0.2"/>
    <row r="60597" s="689" customFormat="1" x14ac:dyDescent="0.2"/>
    <row r="60598" s="689" customFormat="1" x14ac:dyDescent="0.2"/>
    <row r="60599" s="689" customFormat="1" x14ac:dyDescent="0.2"/>
    <row r="60600" s="689" customFormat="1" x14ac:dyDescent="0.2"/>
    <row r="60601" s="689" customFormat="1" x14ac:dyDescent="0.2"/>
    <row r="60602" s="689" customFormat="1" x14ac:dyDescent="0.2"/>
    <row r="60603" s="689" customFormat="1" x14ac:dyDescent="0.2"/>
    <row r="60604" s="689" customFormat="1" x14ac:dyDescent="0.2"/>
    <row r="60605" s="689" customFormat="1" x14ac:dyDescent="0.2"/>
    <row r="60606" s="689" customFormat="1" x14ac:dyDescent="0.2"/>
    <row r="60607" s="689" customFormat="1" x14ac:dyDescent="0.2"/>
    <row r="60608" s="689" customFormat="1" x14ac:dyDescent="0.2"/>
    <row r="60609" s="689" customFormat="1" x14ac:dyDescent="0.2"/>
    <row r="60610" s="689" customFormat="1" x14ac:dyDescent="0.2"/>
    <row r="60611" s="689" customFormat="1" x14ac:dyDescent="0.2"/>
    <row r="60612" s="689" customFormat="1" x14ac:dyDescent="0.2"/>
    <row r="60613" s="689" customFormat="1" x14ac:dyDescent="0.2"/>
    <row r="60614" s="689" customFormat="1" x14ac:dyDescent="0.2"/>
    <row r="60615" s="689" customFormat="1" x14ac:dyDescent="0.2"/>
    <row r="60616" s="689" customFormat="1" x14ac:dyDescent="0.2"/>
    <row r="60617" s="689" customFormat="1" x14ac:dyDescent="0.2"/>
    <row r="60618" s="689" customFormat="1" x14ac:dyDescent="0.2"/>
    <row r="60619" s="689" customFormat="1" x14ac:dyDescent="0.2"/>
    <row r="60620" s="689" customFormat="1" x14ac:dyDescent="0.2"/>
    <row r="60621" s="689" customFormat="1" x14ac:dyDescent="0.2"/>
    <row r="60622" s="689" customFormat="1" x14ac:dyDescent="0.2"/>
    <row r="60623" s="689" customFormat="1" x14ac:dyDescent="0.2"/>
    <row r="60624" s="689" customFormat="1" x14ac:dyDescent="0.2"/>
    <row r="60625" s="689" customFormat="1" x14ac:dyDescent="0.2"/>
    <row r="60626" s="689" customFormat="1" x14ac:dyDescent="0.2"/>
    <row r="60627" s="689" customFormat="1" x14ac:dyDescent="0.2"/>
    <row r="60628" s="689" customFormat="1" x14ac:dyDescent="0.2"/>
    <row r="60629" s="689" customFormat="1" x14ac:dyDescent="0.2"/>
    <row r="60630" s="689" customFormat="1" x14ac:dyDescent="0.2"/>
    <row r="60631" s="689" customFormat="1" x14ac:dyDescent="0.2"/>
    <row r="60632" s="689" customFormat="1" x14ac:dyDescent="0.2"/>
    <row r="60633" s="689" customFormat="1" x14ac:dyDescent="0.2"/>
    <row r="60634" s="689" customFormat="1" x14ac:dyDescent="0.2"/>
    <row r="60635" s="689" customFormat="1" x14ac:dyDescent="0.2"/>
    <row r="60636" s="689" customFormat="1" x14ac:dyDescent="0.2"/>
    <row r="60637" s="689" customFormat="1" x14ac:dyDescent="0.2"/>
    <row r="60638" s="689" customFormat="1" x14ac:dyDescent="0.2"/>
    <row r="60639" s="689" customFormat="1" x14ac:dyDescent="0.2"/>
    <row r="60640" s="689" customFormat="1" x14ac:dyDescent="0.2"/>
    <row r="60641" s="689" customFormat="1" x14ac:dyDescent="0.2"/>
    <row r="60642" s="689" customFormat="1" x14ac:dyDescent="0.2"/>
    <row r="60643" s="689" customFormat="1" x14ac:dyDescent="0.2"/>
    <row r="60644" s="689" customFormat="1" x14ac:dyDescent="0.2"/>
    <row r="60645" s="689" customFormat="1" x14ac:dyDescent="0.2"/>
    <row r="60646" s="689" customFormat="1" x14ac:dyDescent="0.2"/>
    <row r="60647" s="689" customFormat="1" x14ac:dyDescent="0.2"/>
    <row r="60648" s="689" customFormat="1" x14ac:dyDescent="0.2"/>
    <row r="60649" s="689" customFormat="1" x14ac:dyDescent="0.2"/>
    <row r="60650" s="689" customFormat="1" x14ac:dyDescent="0.2"/>
    <row r="60651" s="689" customFormat="1" x14ac:dyDescent="0.2"/>
    <row r="60652" s="689" customFormat="1" x14ac:dyDescent="0.2"/>
    <row r="60653" s="689" customFormat="1" x14ac:dyDescent="0.2"/>
    <row r="60654" s="689" customFormat="1" x14ac:dyDescent="0.2"/>
    <row r="60655" s="689" customFormat="1" x14ac:dyDescent="0.2"/>
    <row r="60656" s="689" customFormat="1" x14ac:dyDescent="0.2"/>
    <row r="60657" s="689" customFormat="1" x14ac:dyDescent="0.2"/>
    <row r="60658" s="689" customFormat="1" x14ac:dyDescent="0.2"/>
    <row r="60659" s="689" customFormat="1" x14ac:dyDescent="0.2"/>
    <row r="60660" s="689" customFormat="1" x14ac:dyDescent="0.2"/>
    <row r="60661" s="689" customFormat="1" x14ac:dyDescent="0.2"/>
    <row r="60662" s="689" customFormat="1" x14ac:dyDescent="0.2"/>
    <row r="60663" s="689" customFormat="1" x14ac:dyDescent="0.2"/>
    <row r="60664" s="689" customFormat="1" x14ac:dyDescent="0.2"/>
    <row r="60665" s="689" customFormat="1" x14ac:dyDescent="0.2"/>
    <row r="60666" s="689" customFormat="1" x14ac:dyDescent="0.2"/>
    <row r="60667" s="689" customFormat="1" x14ac:dyDescent="0.2"/>
    <row r="60668" s="689" customFormat="1" x14ac:dyDescent="0.2"/>
    <row r="60669" s="689" customFormat="1" x14ac:dyDescent="0.2"/>
    <row r="60670" s="689" customFormat="1" x14ac:dyDescent="0.2"/>
    <row r="60671" s="689" customFormat="1" x14ac:dyDescent="0.2"/>
    <row r="60672" s="689" customFormat="1" x14ac:dyDescent="0.2"/>
    <row r="60673" s="689" customFormat="1" x14ac:dyDescent="0.2"/>
    <row r="60674" s="689" customFormat="1" x14ac:dyDescent="0.2"/>
    <row r="60675" s="689" customFormat="1" x14ac:dyDescent="0.2"/>
    <row r="60676" s="689" customFormat="1" x14ac:dyDescent="0.2"/>
    <row r="60677" s="689" customFormat="1" x14ac:dyDescent="0.2"/>
    <row r="60678" s="689" customFormat="1" x14ac:dyDescent="0.2"/>
    <row r="60679" s="689" customFormat="1" x14ac:dyDescent="0.2"/>
    <row r="60680" s="689" customFormat="1" x14ac:dyDescent="0.2"/>
    <row r="60681" s="689" customFormat="1" x14ac:dyDescent="0.2"/>
    <row r="60682" s="689" customFormat="1" x14ac:dyDescent="0.2"/>
    <row r="60683" s="689" customFormat="1" x14ac:dyDescent="0.2"/>
    <row r="60684" s="689" customFormat="1" x14ac:dyDescent="0.2"/>
    <row r="60685" s="689" customFormat="1" x14ac:dyDescent="0.2"/>
    <row r="60686" s="689" customFormat="1" x14ac:dyDescent="0.2"/>
    <row r="60687" s="689" customFormat="1" x14ac:dyDescent="0.2"/>
    <row r="60688" s="689" customFormat="1" x14ac:dyDescent="0.2"/>
    <row r="60689" s="689" customFormat="1" x14ac:dyDescent="0.2"/>
    <row r="60690" s="689" customFormat="1" x14ac:dyDescent="0.2"/>
    <row r="60691" s="689" customFormat="1" x14ac:dyDescent="0.2"/>
    <row r="60692" s="689" customFormat="1" x14ac:dyDescent="0.2"/>
    <row r="60693" s="689" customFormat="1" x14ac:dyDescent="0.2"/>
    <row r="60694" s="689" customFormat="1" x14ac:dyDescent="0.2"/>
    <row r="60695" s="689" customFormat="1" x14ac:dyDescent="0.2"/>
    <row r="60696" s="689" customFormat="1" x14ac:dyDescent="0.2"/>
    <row r="60697" s="689" customFormat="1" x14ac:dyDescent="0.2"/>
    <row r="60698" s="689" customFormat="1" x14ac:dyDescent="0.2"/>
    <row r="60699" s="689" customFormat="1" x14ac:dyDescent="0.2"/>
    <row r="60700" s="689" customFormat="1" x14ac:dyDescent="0.2"/>
    <row r="60701" s="689" customFormat="1" x14ac:dyDescent="0.2"/>
    <row r="60702" s="689" customFormat="1" x14ac:dyDescent="0.2"/>
    <row r="60703" s="689" customFormat="1" x14ac:dyDescent="0.2"/>
    <row r="60704" s="689" customFormat="1" x14ac:dyDescent="0.2"/>
    <row r="60705" s="689" customFormat="1" x14ac:dyDescent="0.2"/>
    <row r="60706" s="689" customFormat="1" x14ac:dyDescent="0.2"/>
    <row r="60707" s="689" customFormat="1" x14ac:dyDescent="0.2"/>
    <row r="60708" s="689" customFormat="1" x14ac:dyDescent="0.2"/>
    <row r="60709" s="689" customFormat="1" x14ac:dyDescent="0.2"/>
    <row r="60710" s="689" customFormat="1" x14ac:dyDescent="0.2"/>
    <row r="60711" s="689" customFormat="1" x14ac:dyDescent="0.2"/>
    <row r="60712" s="689" customFormat="1" x14ac:dyDescent="0.2"/>
    <row r="60713" s="689" customFormat="1" x14ac:dyDescent="0.2"/>
    <row r="60714" s="689" customFormat="1" x14ac:dyDescent="0.2"/>
    <row r="60715" s="689" customFormat="1" x14ac:dyDescent="0.2"/>
    <row r="60716" s="689" customFormat="1" x14ac:dyDescent="0.2"/>
    <row r="60717" s="689" customFormat="1" x14ac:dyDescent="0.2"/>
    <row r="60718" s="689" customFormat="1" x14ac:dyDescent="0.2"/>
    <row r="60719" s="689" customFormat="1" x14ac:dyDescent="0.2"/>
    <row r="60720" s="689" customFormat="1" x14ac:dyDescent="0.2"/>
    <row r="60721" s="689" customFormat="1" x14ac:dyDescent="0.2"/>
    <row r="60722" s="689" customFormat="1" x14ac:dyDescent="0.2"/>
    <row r="60723" s="689" customFormat="1" x14ac:dyDescent="0.2"/>
    <row r="60724" s="689" customFormat="1" x14ac:dyDescent="0.2"/>
    <row r="60725" s="689" customFormat="1" x14ac:dyDescent="0.2"/>
    <row r="60726" s="689" customFormat="1" x14ac:dyDescent="0.2"/>
    <row r="60727" s="689" customFormat="1" x14ac:dyDescent="0.2"/>
    <row r="60728" s="689" customFormat="1" x14ac:dyDescent="0.2"/>
    <row r="60729" s="689" customFormat="1" x14ac:dyDescent="0.2"/>
    <row r="60730" s="689" customFormat="1" x14ac:dyDescent="0.2"/>
    <row r="60731" s="689" customFormat="1" x14ac:dyDescent="0.2"/>
    <row r="60732" s="689" customFormat="1" x14ac:dyDescent="0.2"/>
    <row r="60733" s="689" customFormat="1" x14ac:dyDescent="0.2"/>
    <row r="60734" s="689" customFormat="1" x14ac:dyDescent="0.2"/>
    <row r="60735" s="689" customFormat="1" x14ac:dyDescent="0.2"/>
    <row r="60736" s="689" customFormat="1" x14ac:dyDescent="0.2"/>
    <row r="60737" s="689" customFormat="1" x14ac:dyDescent="0.2"/>
    <row r="60738" s="689" customFormat="1" x14ac:dyDescent="0.2"/>
    <row r="60739" s="689" customFormat="1" x14ac:dyDescent="0.2"/>
    <row r="60740" s="689" customFormat="1" x14ac:dyDescent="0.2"/>
    <row r="60741" s="689" customFormat="1" x14ac:dyDescent="0.2"/>
    <row r="60742" s="689" customFormat="1" x14ac:dyDescent="0.2"/>
    <row r="60743" s="689" customFormat="1" x14ac:dyDescent="0.2"/>
    <row r="60744" s="689" customFormat="1" x14ac:dyDescent="0.2"/>
    <row r="60745" s="689" customFormat="1" x14ac:dyDescent="0.2"/>
    <row r="60746" s="689" customFormat="1" x14ac:dyDescent="0.2"/>
    <row r="60747" s="689" customFormat="1" x14ac:dyDescent="0.2"/>
    <row r="60748" s="689" customFormat="1" x14ac:dyDescent="0.2"/>
    <row r="60749" s="689" customFormat="1" x14ac:dyDescent="0.2"/>
    <row r="60750" s="689" customFormat="1" x14ac:dyDescent="0.2"/>
    <row r="60751" s="689" customFormat="1" x14ac:dyDescent="0.2"/>
    <row r="60752" s="689" customFormat="1" x14ac:dyDescent="0.2"/>
    <row r="60753" s="689" customFormat="1" x14ac:dyDescent="0.2"/>
    <row r="60754" s="689" customFormat="1" x14ac:dyDescent="0.2"/>
    <row r="60755" s="689" customFormat="1" x14ac:dyDescent="0.2"/>
    <row r="60756" s="689" customFormat="1" x14ac:dyDescent="0.2"/>
    <row r="60757" s="689" customFormat="1" x14ac:dyDescent="0.2"/>
    <row r="60758" s="689" customFormat="1" x14ac:dyDescent="0.2"/>
    <row r="60759" s="689" customFormat="1" x14ac:dyDescent="0.2"/>
    <row r="60760" s="689" customFormat="1" x14ac:dyDescent="0.2"/>
    <row r="60761" s="689" customFormat="1" x14ac:dyDescent="0.2"/>
    <row r="60762" s="689" customFormat="1" x14ac:dyDescent="0.2"/>
    <row r="60763" s="689" customFormat="1" x14ac:dyDescent="0.2"/>
    <row r="60764" s="689" customFormat="1" x14ac:dyDescent="0.2"/>
    <row r="60765" s="689" customFormat="1" x14ac:dyDescent="0.2"/>
    <row r="60766" s="689" customFormat="1" x14ac:dyDescent="0.2"/>
    <row r="60767" s="689" customFormat="1" x14ac:dyDescent="0.2"/>
    <row r="60768" s="689" customFormat="1" x14ac:dyDescent="0.2"/>
    <row r="60769" s="689" customFormat="1" x14ac:dyDescent="0.2"/>
    <row r="60770" s="689" customFormat="1" x14ac:dyDescent="0.2"/>
    <row r="60771" s="689" customFormat="1" x14ac:dyDescent="0.2"/>
    <row r="60772" s="689" customFormat="1" x14ac:dyDescent="0.2"/>
    <row r="60773" s="689" customFormat="1" x14ac:dyDescent="0.2"/>
    <row r="60774" s="689" customFormat="1" x14ac:dyDescent="0.2"/>
    <row r="60775" s="689" customFormat="1" x14ac:dyDescent="0.2"/>
    <row r="60776" s="689" customFormat="1" x14ac:dyDescent="0.2"/>
    <row r="60777" s="689" customFormat="1" x14ac:dyDescent="0.2"/>
    <row r="60778" s="689" customFormat="1" x14ac:dyDescent="0.2"/>
    <row r="60779" s="689" customFormat="1" x14ac:dyDescent="0.2"/>
    <row r="60780" s="689" customFormat="1" x14ac:dyDescent="0.2"/>
    <row r="60781" s="689" customFormat="1" x14ac:dyDescent="0.2"/>
    <row r="60782" s="689" customFormat="1" x14ac:dyDescent="0.2"/>
    <row r="60783" s="689" customFormat="1" x14ac:dyDescent="0.2"/>
    <row r="60784" s="689" customFormat="1" x14ac:dyDescent="0.2"/>
    <row r="60785" s="689" customFormat="1" x14ac:dyDescent="0.2"/>
    <row r="60786" s="689" customFormat="1" x14ac:dyDescent="0.2"/>
    <row r="60787" s="689" customFormat="1" x14ac:dyDescent="0.2"/>
    <row r="60788" s="689" customFormat="1" x14ac:dyDescent="0.2"/>
    <row r="60789" s="689" customFormat="1" x14ac:dyDescent="0.2"/>
    <row r="60790" s="689" customFormat="1" x14ac:dyDescent="0.2"/>
    <row r="60791" s="689" customFormat="1" x14ac:dyDescent="0.2"/>
    <row r="60792" s="689" customFormat="1" x14ac:dyDescent="0.2"/>
    <row r="60793" s="689" customFormat="1" x14ac:dyDescent="0.2"/>
    <row r="60794" s="689" customFormat="1" x14ac:dyDescent="0.2"/>
    <row r="60795" s="689" customFormat="1" x14ac:dyDescent="0.2"/>
    <row r="60796" s="689" customFormat="1" x14ac:dyDescent="0.2"/>
    <row r="60797" s="689" customFormat="1" x14ac:dyDescent="0.2"/>
    <row r="60798" s="689" customFormat="1" x14ac:dyDescent="0.2"/>
    <row r="60799" s="689" customFormat="1" x14ac:dyDescent="0.2"/>
    <row r="60800" s="689" customFormat="1" x14ac:dyDescent="0.2"/>
    <row r="60801" s="689" customFormat="1" x14ac:dyDescent="0.2"/>
    <row r="60802" s="689" customFormat="1" x14ac:dyDescent="0.2"/>
    <row r="60803" s="689" customFormat="1" x14ac:dyDescent="0.2"/>
    <row r="60804" s="689" customFormat="1" x14ac:dyDescent="0.2"/>
    <row r="60805" s="689" customFormat="1" x14ac:dyDescent="0.2"/>
    <row r="60806" s="689" customFormat="1" x14ac:dyDescent="0.2"/>
    <row r="60807" s="689" customFormat="1" x14ac:dyDescent="0.2"/>
    <row r="60808" s="689" customFormat="1" x14ac:dyDescent="0.2"/>
    <row r="60809" s="689" customFormat="1" x14ac:dyDescent="0.2"/>
    <row r="60810" s="689" customFormat="1" x14ac:dyDescent="0.2"/>
    <row r="60811" s="689" customFormat="1" x14ac:dyDescent="0.2"/>
    <row r="60812" s="689" customFormat="1" x14ac:dyDescent="0.2"/>
    <row r="60813" s="689" customFormat="1" x14ac:dyDescent="0.2"/>
    <row r="60814" s="689" customFormat="1" x14ac:dyDescent="0.2"/>
    <row r="60815" s="689" customFormat="1" x14ac:dyDescent="0.2"/>
    <row r="60816" s="689" customFormat="1" x14ac:dyDescent="0.2"/>
    <row r="60817" s="689" customFormat="1" x14ac:dyDescent="0.2"/>
    <row r="60818" s="689" customFormat="1" x14ac:dyDescent="0.2"/>
    <row r="60819" s="689" customFormat="1" x14ac:dyDescent="0.2"/>
    <row r="60820" s="689" customFormat="1" x14ac:dyDescent="0.2"/>
    <row r="60821" s="689" customFormat="1" x14ac:dyDescent="0.2"/>
    <row r="60822" s="689" customFormat="1" x14ac:dyDescent="0.2"/>
    <row r="60823" s="689" customFormat="1" x14ac:dyDescent="0.2"/>
    <row r="60824" s="689" customFormat="1" x14ac:dyDescent="0.2"/>
    <row r="60825" s="689" customFormat="1" x14ac:dyDescent="0.2"/>
    <row r="60826" s="689" customFormat="1" x14ac:dyDescent="0.2"/>
    <row r="60827" s="689" customFormat="1" x14ac:dyDescent="0.2"/>
    <row r="60828" s="689" customFormat="1" x14ac:dyDescent="0.2"/>
    <row r="60829" s="689" customFormat="1" x14ac:dyDescent="0.2"/>
    <row r="60830" s="689" customFormat="1" x14ac:dyDescent="0.2"/>
    <row r="60831" s="689" customFormat="1" x14ac:dyDescent="0.2"/>
    <row r="60832" s="689" customFormat="1" x14ac:dyDescent="0.2"/>
    <row r="60833" s="689" customFormat="1" x14ac:dyDescent="0.2"/>
    <row r="60834" s="689" customFormat="1" x14ac:dyDescent="0.2"/>
    <row r="60835" s="689" customFormat="1" x14ac:dyDescent="0.2"/>
    <row r="60836" s="689" customFormat="1" x14ac:dyDescent="0.2"/>
    <row r="60837" s="689" customFormat="1" x14ac:dyDescent="0.2"/>
    <row r="60838" s="689" customFormat="1" x14ac:dyDescent="0.2"/>
    <row r="60839" s="689" customFormat="1" x14ac:dyDescent="0.2"/>
    <row r="60840" s="689" customFormat="1" x14ac:dyDescent="0.2"/>
    <row r="60841" s="689" customFormat="1" x14ac:dyDescent="0.2"/>
    <row r="60842" s="689" customFormat="1" x14ac:dyDescent="0.2"/>
    <row r="60843" s="689" customFormat="1" x14ac:dyDescent="0.2"/>
    <row r="60844" s="689" customFormat="1" x14ac:dyDescent="0.2"/>
    <row r="60845" s="689" customFormat="1" x14ac:dyDescent="0.2"/>
    <row r="60846" s="689" customFormat="1" x14ac:dyDescent="0.2"/>
    <row r="60847" s="689" customFormat="1" x14ac:dyDescent="0.2"/>
    <row r="60848" s="689" customFormat="1" x14ac:dyDescent="0.2"/>
    <row r="60849" s="689" customFormat="1" x14ac:dyDescent="0.2"/>
    <row r="60850" s="689" customFormat="1" x14ac:dyDescent="0.2"/>
    <row r="60851" s="689" customFormat="1" x14ac:dyDescent="0.2"/>
    <row r="60852" s="689" customFormat="1" x14ac:dyDescent="0.2"/>
    <row r="60853" s="689" customFormat="1" x14ac:dyDescent="0.2"/>
    <row r="60854" s="689" customFormat="1" x14ac:dyDescent="0.2"/>
    <row r="60855" s="689" customFormat="1" x14ac:dyDescent="0.2"/>
    <row r="60856" s="689" customFormat="1" x14ac:dyDescent="0.2"/>
    <row r="60857" s="689" customFormat="1" x14ac:dyDescent="0.2"/>
    <row r="60858" s="689" customFormat="1" x14ac:dyDescent="0.2"/>
    <row r="60859" s="689" customFormat="1" x14ac:dyDescent="0.2"/>
    <row r="60860" s="689" customFormat="1" x14ac:dyDescent="0.2"/>
    <row r="60861" s="689" customFormat="1" x14ac:dyDescent="0.2"/>
    <row r="60862" s="689" customFormat="1" x14ac:dyDescent="0.2"/>
    <row r="60863" s="689" customFormat="1" x14ac:dyDescent="0.2"/>
    <row r="60864" s="689" customFormat="1" x14ac:dyDescent="0.2"/>
    <row r="60865" s="689" customFormat="1" x14ac:dyDescent="0.2"/>
    <row r="60866" s="689" customFormat="1" x14ac:dyDescent="0.2"/>
    <row r="60867" s="689" customFormat="1" x14ac:dyDescent="0.2"/>
    <row r="60868" s="689" customFormat="1" x14ac:dyDescent="0.2"/>
    <row r="60869" s="689" customFormat="1" x14ac:dyDescent="0.2"/>
    <row r="60870" s="689" customFormat="1" x14ac:dyDescent="0.2"/>
    <row r="60871" s="689" customFormat="1" x14ac:dyDescent="0.2"/>
    <row r="60872" s="689" customFormat="1" x14ac:dyDescent="0.2"/>
    <row r="60873" s="689" customFormat="1" x14ac:dyDescent="0.2"/>
    <row r="60874" s="689" customFormat="1" x14ac:dyDescent="0.2"/>
    <row r="60875" s="689" customFormat="1" x14ac:dyDescent="0.2"/>
    <row r="60876" s="689" customFormat="1" x14ac:dyDescent="0.2"/>
    <row r="60877" s="689" customFormat="1" x14ac:dyDescent="0.2"/>
    <row r="60878" s="689" customFormat="1" x14ac:dyDescent="0.2"/>
    <row r="60879" s="689" customFormat="1" x14ac:dyDescent="0.2"/>
    <row r="60880" s="689" customFormat="1" x14ac:dyDescent="0.2"/>
    <row r="60881" s="689" customFormat="1" x14ac:dyDescent="0.2"/>
    <row r="60882" s="689" customFormat="1" x14ac:dyDescent="0.2"/>
    <row r="60883" s="689" customFormat="1" x14ac:dyDescent="0.2"/>
    <row r="60884" s="689" customFormat="1" x14ac:dyDescent="0.2"/>
    <row r="60885" s="689" customFormat="1" x14ac:dyDescent="0.2"/>
    <row r="60886" s="689" customFormat="1" x14ac:dyDescent="0.2"/>
    <row r="60887" s="689" customFormat="1" x14ac:dyDescent="0.2"/>
    <row r="60888" s="689" customFormat="1" x14ac:dyDescent="0.2"/>
    <row r="60889" s="689" customFormat="1" x14ac:dyDescent="0.2"/>
    <row r="60890" s="689" customFormat="1" x14ac:dyDescent="0.2"/>
    <row r="60891" s="689" customFormat="1" x14ac:dyDescent="0.2"/>
    <row r="60892" s="689" customFormat="1" x14ac:dyDescent="0.2"/>
    <row r="60893" s="689" customFormat="1" x14ac:dyDescent="0.2"/>
    <row r="60894" s="689" customFormat="1" x14ac:dyDescent="0.2"/>
    <row r="60895" s="689" customFormat="1" x14ac:dyDescent="0.2"/>
    <row r="60896" s="689" customFormat="1" x14ac:dyDescent="0.2"/>
    <row r="60897" s="689" customFormat="1" x14ac:dyDescent="0.2"/>
    <row r="60898" s="689" customFormat="1" x14ac:dyDescent="0.2"/>
    <row r="60899" s="689" customFormat="1" x14ac:dyDescent="0.2"/>
    <row r="60900" s="689" customFormat="1" x14ac:dyDescent="0.2"/>
    <row r="60901" s="689" customFormat="1" x14ac:dyDescent="0.2"/>
    <row r="60902" s="689" customFormat="1" x14ac:dyDescent="0.2"/>
    <row r="60903" s="689" customFormat="1" x14ac:dyDescent="0.2"/>
    <row r="60904" s="689" customFormat="1" x14ac:dyDescent="0.2"/>
    <row r="60905" s="689" customFormat="1" x14ac:dyDescent="0.2"/>
    <row r="60906" s="689" customFormat="1" x14ac:dyDescent="0.2"/>
    <row r="60907" s="689" customFormat="1" x14ac:dyDescent="0.2"/>
    <row r="60908" s="689" customFormat="1" x14ac:dyDescent="0.2"/>
    <row r="60909" s="689" customFormat="1" x14ac:dyDescent="0.2"/>
    <row r="60910" s="689" customFormat="1" x14ac:dyDescent="0.2"/>
    <row r="60911" s="689" customFormat="1" x14ac:dyDescent="0.2"/>
    <row r="60912" s="689" customFormat="1" x14ac:dyDescent="0.2"/>
    <row r="60913" s="689" customFormat="1" x14ac:dyDescent="0.2"/>
    <row r="60914" s="689" customFormat="1" x14ac:dyDescent="0.2"/>
    <row r="60915" s="689" customFormat="1" x14ac:dyDescent="0.2"/>
    <row r="60916" s="689" customFormat="1" x14ac:dyDescent="0.2"/>
    <row r="60917" s="689" customFormat="1" x14ac:dyDescent="0.2"/>
    <row r="60918" s="689" customFormat="1" x14ac:dyDescent="0.2"/>
    <row r="60919" s="689" customFormat="1" x14ac:dyDescent="0.2"/>
    <row r="60920" s="689" customFormat="1" x14ac:dyDescent="0.2"/>
    <row r="60921" s="689" customFormat="1" x14ac:dyDescent="0.2"/>
    <row r="60922" s="689" customFormat="1" x14ac:dyDescent="0.2"/>
    <row r="60923" s="689" customFormat="1" x14ac:dyDescent="0.2"/>
    <row r="60924" s="689" customFormat="1" x14ac:dyDescent="0.2"/>
    <row r="60925" s="689" customFormat="1" x14ac:dyDescent="0.2"/>
    <row r="60926" s="689" customFormat="1" x14ac:dyDescent="0.2"/>
    <row r="60927" s="689" customFormat="1" x14ac:dyDescent="0.2"/>
    <row r="60928" s="689" customFormat="1" x14ac:dyDescent="0.2"/>
    <row r="60929" s="689" customFormat="1" x14ac:dyDescent="0.2"/>
    <row r="60930" s="689" customFormat="1" x14ac:dyDescent="0.2"/>
    <row r="60931" s="689" customFormat="1" x14ac:dyDescent="0.2"/>
    <row r="60932" s="689" customFormat="1" x14ac:dyDescent="0.2"/>
    <row r="60933" s="689" customFormat="1" x14ac:dyDescent="0.2"/>
    <row r="60934" s="689" customFormat="1" x14ac:dyDescent="0.2"/>
    <row r="60935" s="689" customFormat="1" x14ac:dyDescent="0.2"/>
    <row r="60936" s="689" customFormat="1" x14ac:dyDescent="0.2"/>
    <row r="60937" s="689" customFormat="1" x14ac:dyDescent="0.2"/>
    <row r="60938" s="689" customFormat="1" x14ac:dyDescent="0.2"/>
    <row r="60939" s="689" customFormat="1" x14ac:dyDescent="0.2"/>
    <row r="60940" s="689" customFormat="1" x14ac:dyDescent="0.2"/>
    <row r="60941" s="689" customFormat="1" x14ac:dyDescent="0.2"/>
    <row r="60942" s="689" customFormat="1" x14ac:dyDescent="0.2"/>
    <row r="60943" s="689" customFormat="1" x14ac:dyDescent="0.2"/>
    <row r="60944" s="689" customFormat="1" x14ac:dyDescent="0.2"/>
    <row r="60945" s="689" customFormat="1" x14ac:dyDescent="0.2"/>
    <row r="60946" s="689" customFormat="1" x14ac:dyDescent="0.2"/>
    <row r="60947" s="689" customFormat="1" x14ac:dyDescent="0.2"/>
    <row r="60948" s="689" customFormat="1" x14ac:dyDescent="0.2"/>
    <row r="60949" s="689" customFormat="1" x14ac:dyDescent="0.2"/>
    <row r="60950" s="689" customFormat="1" x14ac:dyDescent="0.2"/>
    <row r="60951" s="689" customFormat="1" x14ac:dyDescent="0.2"/>
    <row r="60952" s="689" customFormat="1" x14ac:dyDescent="0.2"/>
    <row r="60953" s="689" customFormat="1" x14ac:dyDescent="0.2"/>
    <row r="60954" s="689" customFormat="1" x14ac:dyDescent="0.2"/>
    <row r="60955" s="689" customFormat="1" x14ac:dyDescent="0.2"/>
    <row r="60956" s="689" customFormat="1" x14ac:dyDescent="0.2"/>
    <row r="60957" s="689" customFormat="1" x14ac:dyDescent="0.2"/>
    <row r="60958" s="689" customFormat="1" x14ac:dyDescent="0.2"/>
    <row r="60959" s="689" customFormat="1" x14ac:dyDescent="0.2"/>
    <row r="60960" s="689" customFormat="1" x14ac:dyDescent="0.2"/>
    <row r="60961" s="689" customFormat="1" x14ac:dyDescent="0.2"/>
    <row r="60962" s="689" customFormat="1" x14ac:dyDescent="0.2"/>
    <row r="60963" s="689" customFormat="1" x14ac:dyDescent="0.2"/>
    <row r="60964" s="689" customFormat="1" x14ac:dyDescent="0.2"/>
    <row r="60965" s="689" customFormat="1" x14ac:dyDescent="0.2"/>
    <row r="60966" s="689" customFormat="1" x14ac:dyDescent="0.2"/>
    <row r="60967" s="689" customFormat="1" x14ac:dyDescent="0.2"/>
    <row r="60968" s="689" customFormat="1" x14ac:dyDescent="0.2"/>
    <row r="60969" s="689" customFormat="1" x14ac:dyDescent="0.2"/>
    <row r="60970" s="689" customFormat="1" x14ac:dyDescent="0.2"/>
    <row r="60971" s="689" customFormat="1" x14ac:dyDescent="0.2"/>
    <row r="60972" s="689" customFormat="1" x14ac:dyDescent="0.2"/>
    <row r="60973" s="689" customFormat="1" x14ac:dyDescent="0.2"/>
    <row r="60974" s="689" customFormat="1" x14ac:dyDescent="0.2"/>
    <row r="60975" s="689" customFormat="1" x14ac:dyDescent="0.2"/>
    <row r="60976" s="689" customFormat="1" x14ac:dyDescent="0.2"/>
    <row r="60977" s="689" customFormat="1" x14ac:dyDescent="0.2"/>
    <row r="60978" s="689" customFormat="1" x14ac:dyDescent="0.2"/>
    <row r="60979" s="689" customFormat="1" x14ac:dyDescent="0.2"/>
    <row r="60980" s="689" customFormat="1" x14ac:dyDescent="0.2"/>
    <row r="60981" s="689" customFormat="1" x14ac:dyDescent="0.2"/>
    <row r="60982" s="689" customFormat="1" x14ac:dyDescent="0.2"/>
    <row r="60983" s="689" customFormat="1" x14ac:dyDescent="0.2"/>
    <row r="60984" s="689" customFormat="1" x14ac:dyDescent="0.2"/>
    <row r="60985" s="689" customFormat="1" x14ac:dyDescent="0.2"/>
    <row r="60986" s="689" customFormat="1" x14ac:dyDescent="0.2"/>
    <row r="60987" s="689" customFormat="1" x14ac:dyDescent="0.2"/>
    <row r="60988" s="689" customFormat="1" x14ac:dyDescent="0.2"/>
    <row r="60989" s="689" customFormat="1" x14ac:dyDescent="0.2"/>
    <row r="60990" s="689" customFormat="1" x14ac:dyDescent="0.2"/>
    <row r="60991" s="689" customFormat="1" x14ac:dyDescent="0.2"/>
    <row r="60992" s="689" customFormat="1" x14ac:dyDescent="0.2"/>
    <row r="60993" s="689" customFormat="1" x14ac:dyDescent="0.2"/>
    <row r="60994" s="689" customFormat="1" x14ac:dyDescent="0.2"/>
    <row r="60995" s="689" customFormat="1" x14ac:dyDescent="0.2"/>
    <row r="60996" s="689" customFormat="1" x14ac:dyDescent="0.2"/>
    <row r="60997" s="689" customFormat="1" x14ac:dyDescent="0.2"/>
    <row r="60998" s="689" customFormat="1" x14ac:dyDescent="0.2"/>
    <row r="60999" s="689" customFormat="1" x14ac:dyDescent="0.2"/>
    <row r="61000" s="689" customFormat="1" x14ac:dyDescent="0.2"/>
    <row r="61001" s="689" customFormat="1" x14ac:dyDescent="0.2"/>
    <row r="61002" s="689" customFormat="1" x14ac:dyDescent="0.2"/>
    <row r="61003" s="689" customFormat="1" x14ac:dyDescent="0.2"/>
    <row r="61004" s="689" customFormat="1" x14ac:dyDescent="0.2"/>
    <row r="61005" s="689" customFormat="1" x14ac:dyDescent="0.2"/>
    <row r="61006" s="689" customFormat="1" x14ac:dyDescent="0.2"/>
    <row r="61007" s="689" customFormat="1" x14ac:dyDescent="0.2"/>
    <row r="61008" s="689" customFormat="1" x14ac:dyDescent="0.2"/>
    <row r="61009" s="689" customFormat="1" x14ac:dyDescent="0.2"/>
    <row r="61010" s="689" customFormat="1" x14ac:dyDescent="0.2"/>
    <row r="61011" s="689" customFormat="1" x14ac:dyDescent="0.2"/>
    <row r="61012" s="689" customFormat="1" x14ac:dyDescent="0.2"/>
    <row r="61013" s="689" customFormat="1" x14ac:dyDescent="0.2"/>
    <row r="61014" s="689" customFormat="1" x14ac:dyDescent="0.2"/>
    <row r="61015" s="689" customFormat="1" x14ac:dyDescent="0.2"/>
    <row r="61016" s="689" customFormat="1" x14ac:dyDescent="0.2"/>
    <row r="61017" s="689" customFormat="1" x14ac:dyDescent="0.2"/>
    <row r="61018" s="689" customFormat="1" x14ac:dyDescent="0.2"/>
    <row r="61019" s="689" customFormat="1" x14ac:dyDescent="0.2"/>
    <row r="61020" s="689" customFormat="1" x14ac:dyDescent="0.2"/>
    <row r="61021" s="689" customFormat="1" x14ac:dyDescent="0.2"/>
    <row r="61022" s="689" customFormat="1" x14ac:dyDescent="0.2"/>
    <row r="61023" s="689" customFormat="1" x14ac:dyDescent="0.2"/>
    <row r="61024" s="689" customFormat="1" x14ac:dyDescent="0.2"/>
    <row r="61025" s="689" customFormat="1" x14ac:dyDescent="0.2"/>
    <row r="61026" s="689" customFormat="1" x14ac:dyDescent="0.2"/>
    <row r="61027" s="689" customFormat="1" x14ac:dyDescent="0.2"/>
    <row r="61028" s="689" customFormat="1" x14ac:dyDescent="0.2"/>
    <row r="61029" s="689" customFormat="1" x14ac:dyDescent="0.2"/>
    <row r="61030" s="689" customFormat="1" x14ac:dyDescent="0.2"/>
    <row r="61031" s="689" customFormat="1" x14ac:dyDescent="0.2"/>
    <row r="61032" s="689" customFormat="1" x14ac:dyDescent="0.2"/>
    <row r="61033" s="689" customFormat="1" x14ac:dyDescent="0.2"/>
    <row r="61034" s="689" customFormat="1" x14ac:dyDescent="0.2"/>
    <row r="61035" s="689" customFormat="1" x14ac:dyDescent="0.2"/>
    <row r="61036" s="689" customFormat="1" x14ac:dyDescent="0.2"/>
    <row r="61037" s="689" customFormat="1" x14ac:dyDescent="0.2"/>
    <row r="61038" s="689" customFormat="1" x14ac:dyDescent="0.2"/>
    <row r="61039" s="689" customFormat="1" x14ac:dyDescent="0.2"/>
    <row r="61040" s="689" customFormat="1" x14ac:dyDescent="0.2"/>
    <row r="61041" s="689" customFormat="1" x14ac:dyDescent="0.2"/>
    <row r="61042" s="689" customFormat="1" x14ac:dyDescent="0.2"/>
    <row r="61043" s="689" customFormat="1" x14ac:dyDescent="0.2"/>
    <row r="61044" s="689" customFormat="1" x14ac:dyDescent="0.2"/>
    <row r="61045" s="689" customFormat="1" x14ac:dyDescent="0.2"/>
    <row r="61046" s="689" customFormat="1" x14ac:dyDescent="0.2"/>
    <row r="61047" s="689" customFormat="1" x14ac:dyDescent="0.2"/>
    <row r="61048" s="689" customFormat="1" x14ac:dyDescent="0.2"/>
    <row r="61049" s="689" customFormat="1" x14ac:dyDescent="0.2"/>
    <row r="61050" s="689" customFormat="1" x14ac:dyDescent="0.2"/>
    <row r="61051" s="689" customFormat="1" x14ac:dyDescent="0.2"/>
    <row r="61052" s="689" customFormat="1" x14ac:dyDescent="0.2"/>
    <row r="61053" s="689" customFormat="1" x14ac:dyDescent="0.2"/>
    <row r="61054" s="689" customFormat="1" x14ac:dyDescent="0.2"/>
    <row r="61055" s="689" customFormat="1" x14ac:dyDescent="0.2"/>
    <row r="61056" s="689" customFormat="1" x14ac:dyDescent="0.2"/>
    <row r="61057" s="689" customFormat="1" x14ac:dyDescent="0.2"/>
    <row r="61058" s="689" customFormat="1" x14ac:dyDescent="0.2"/>
    <row r="61059" s="689" customFormat="1" x14ac:dyDescent="0.2"/>
    <row r="61060" s="689" customFormat="1" x14ac:dyDescent="0.2"/>
    <row r="61061" s="689" customFormat="1" x14ac:dyDescent="0.2"/>
    <row r="61062" s="689" customFormat="1" x14ac:dyDescent="0.2"/>
    <row r="61063" s="689" customFormat="1" x14ac:dyDescent="0.2"/>
    <row r="61064" s="689" customFormat="1" x14ac:dyDescent="0.2"/>
    <row r="61065" s="689" customFormat="1" x14ac:dyDescent="0.2"/>
    <row r="61066" s="689" customFormat="1" x14ac:dyDescent="0.2"/>
    <row r="61067" s="689" customFormat="1" x14ac:dyDescent="0.2"/>
    <row r="61068" s="689" customFormat="1" x14ac:dyDescent="0.2"/>
    <row r="61069" s="689" customFormat="1" x14ac:dyDescent="0.2"/>
    <row r="61070" s="689" customFormat="1" x14ac:dyDescent="0.2"/>
    <row r="61071" s="689" customFormat="1" x14ac:dyDescent="0.2"/>
    <row r="61072" s="689" customFormat="1" x14ac:dyDescent="0.2"/>
    <row r="61073" s="689" customFormat="1" x14ac:dyDescent="0.2"/>
    <row r="61074" s="689" customFormat="1" x14ac:dyDescent="0.2"/>
    <row r="61075" s="689" customFormat="1" x14ac:dyDescent="0.2"/>
    <row r="61076" s="689" customFormat="1" x14ac:dyDescent="0.2"/>
    <row r="61077" s="689" customFormat="1" x14ac:dyDescent="0.2"/>
    <row r="61078" s="689" customFormat="1" x14ac:dyDescent="0.2"/>
    <row r="61079" s="689" customFormat="1" x14ac:dyDescent="0.2"/>
    <row r="61080" s="689" customFormat="1" x14ac:dyDescent="0.2"/>
    <row r="61081" s="689" customFormat="1" x14ac:dyDescent="0.2"/>
    <row r="61082" s="689" customFormat="1" x14ac:dyDescent="0.2"/>
    <row r="61083" s="689" customFormat="1" x14ac:dyDescent="0.2"/>
    <row r="61084" s="689" customFormat="1" x14ac:dyDescent="0.2"/>
    <row r="61085" s="689" customFormat="1" x14ac:dyDescent="0.2"/>
    <row r="61086" s="689" customFormat="1" x14ac:dyDescent="0.2"/>
    <row r="61087" s="689" customFormat="1" x14ac:dyDescent="0.2"/>
    <row r="61088" s="689" customFormat="1" x14ac:dyDescent="0.2"/>
    <row r="61089" s="689" customFormat="1" x14ac:dyDescent="0.2"/>
    <row r="61090" s="689" customFormat="1" x14ac:dyDescent="0.2"/>
    <row r="61091" s="689" customFormat="1" x14ac:dyDescent="0.2"/>
    <row r="61092" s="689" customFormat="1" x14ac:dyDescent="0.2"/>
    <row r="61093" s="689" customFormat="1" x14ac:dyDescent="0.2"/>
    <row r="61094" s="689" customFormat="1" x14ac:dyDescent="0.2"/>
    <row r="61095" s="689" customFormat="1" x14ac:dyDescent="0.2"/>
    <row r="61096" s="689" customFormat="1" x14ac:dyDescent="0.2"/>
    <row r="61097" s="689" customFormat="1" x14ac:dyDescent="0.2"/>
    <row r="61098" s="689" customFormat="1" x14ac:dyDescent="0.2"/>
    <row r="61099" s="689" customFormat="1" x14ac:dyDescent="0.2"/>
    <row r="61100" s="689" customFormat="1" x14ac:dyDescent="0.2"/>
    <row r="61101" s="689" customFormat="1" x14ac:dyDescent="0.2"/>
    <row r="61102" s="689" customFormat="1" x14ac:dyDescent="0.2"/>
    <row r="61103" s="689" customFormat="1" x14ac:dyDescent="0.2"/>
    <row r="61104" s="689" customFormat="1" x14ac:dyDescent="0.2"/>
    <row r="61105" s="689" customFormat="1" x14ac:dyDescent="0.2"/>
    <row r="61106" s="689" customFormat="1" x14ac:dyDescent="0.2"/>
    <row r="61107" s="689" customFormat="1" x14ac:dyDescent="0.2"/>
    <row r="61108" s="689" customFormat="1" x14ac:dyDescent="0.2"/>
    <row r="61109" s="689" customFormat="1" x14ac:dyDescent="0.2"/>
    <row r="61110" s="689" customFormat="1" x14ac:dyDescent="0.2"/>
    <row r="61111" s="689" customFormat="1" x14ac:dyDescent="0.2"/>
    <row r="61112" s="689" customFormat="1" x14ac:dyDescent="0.2"/>
    <row r="61113" s="689" customFormat="1" x14ac:dyDescent="0.2"/>
    <row r="61114" s="689" customFormat="1" x14ac:dyDescent="0.2"/>
    <row r="61115" s="689" customFormat="1" x14ac:dyDescent="0.2"/>
    <row r="61116" s="689" customFormat="1" x14ac:dyDescent="0.2"/>
    <row r="61117" s="689" customFormat="1" x14ac:dyDescent="0.2"/>
    <row r="61118" s="689" customFormat="1" x14ac:dyDescent="0.2"/>
    <row r="61119" s="689" customFormat="1" x14ac:dyDescent="0.2"/>
    <row r="61120" s="689" customFormat="1" x14ac:dyDescent="0.2"/>
    <row r="61121" s="689" customFormat="1" x14ac:dyDescent="0.2"/>
    <row r="61122" s="689" customFormat="1" x14ac:dyDescent="0.2"/>
    <row r="61123" s="689" customFormat="1" x14ac:dyDescent="0.2"/>
    <row r="61124" s="689" customFormat="1" x14ac:dyDescent="0.2"/>
    <row r="61125" s="689" customFormat="1" x14ac:dyDescent="0.2"/>
    <row r="61126" s="689" customFormat="1" x14ac:dyDescent="0.2"/>
    <row r="61127" s="689" customFormat="1" x14ac:dyDescent="0.2"/>
    <row r="61128" s="689" customFormat="1" x14ac:dyDescent="0.2"/>
    <row r="61129" s="689" customFormat="1" x14ac:dyDescent="0.2"/>
    <row r="61130" s="689" customFormat="1" x14ac:dyDescent="0.2"/>
    <row r="61131" s="689" customFormat="1" x14ac:dyDescent="0.2"/>
    <row r="61132" s="689" customFormat="1" x14ac:dyDescent="0.2"/>
    <row r="61133" s="689" customFormat="1" x14ac:dyDescent="0.2"/>
    <row r="61134" s="689" customFormat="1" x14ac:dyDescent="0.2"/>
    <row r="61135" s="689" customFormat="1" x14ac:dyDescent="0.2"/>
    <row r="61136" s="689" customFormat="1" x14ac:dyDescent="0.2"/>
    <row r="61137" s="689" customFormat="1" x14ac:dyDescent="0.2"/>
    <row r="61138" s="689" customFormat="1" x14ac:dyDescent="0.2"/>
    <row r="61139" s="689" customFormat="1" x14ac:dyDescent="0.2"/>
    <row r="61140" s="689" customFormat="1" x14ac:dyDescent="0.2"/>
    <row r="61141" s="689" customFormat="1" x14ac:dyDescent="0.2"/>
    <row r="61142" s="689" customFormat="1" x14ac:dyDescent="0.2"/>
    <row r="61143" s="689" customFormat="1" x14ac:dyDescent="0.2"/>
    <row r="61144" s="689" customFormat="1" x14ac:dyDescent="0.2"/>
    <row r="61145" s="689" customFormat="1" x14ac:dyDescent="0.2"/>
    <row r="61146" s="689" customFormat="1" x14ac:dyDescent="0.2"/>
    <row r="61147" s="689" customFormat="1" x14ac:dyDescent="0.2"/>
    <row r="61148" s="689" customFormat="1" x14ac:dyDescent="0.2"/>
    <row r="61149" s="689" customFormat="1" x14ac:dyDescent="0.2"/>
    <row r="61150" s="689" customFormat="1" x14ac:dyDescent="0.2"/>
    <row r="61151" s="689" customFormat="1" x14ac:dyDescent="0.2"/>
    <row r="61152" s="689" customFormat="1" x14ac:dyDescent="0.2"/>
    <row r="61153" s="689" customFormat="1" x14ac:dyDescent="0.2"/>
    <row r="61154" s="689" customFormat="1" x14ac:dyDescent="0.2"/>
    <row r="61155" s="689" customFormat="1" x14ac:dyDescent="0.2"/>
    <row r="61156" s="689" customFormat="1" x14ac:dyDescent="0.2"/>
    <row r="61157" s="689" customFormat="1" x14ac:dyDescent="0.2"/>
    <row r="61158" s="689" customFormat="1" x14ac:dyDescent="0.2"/>
    <row r="61159" s="689" customFormat="1" x14ac:dyDescent="0.2"/>
    <row r="61160" s="689" customFormat="1" x14ac:dyDescent="0.2"/>
    <row r="61161" s="689" customFormat="1" x14ac:dyDescent="0.2"/>
    <row r="61162" s="689" customFormat="1" x14ac:dyDescent="0.2"/>
    <row r="61163" s="689" customFormat="1" x14ac:dyDescent="0.2"/>
    <row r="61164" s="689" customFormat="1" x14ac:dyDescent="0.2"/>
    <row r="61165" s="689" customFormat="1" x14ac:dyDescent="0.2"/>
    <row r="61166" s="689" customFormat="1" x14ac:dyDescent="0.2"/>
    <row r="61167" s="689" customFormat="1" x14ac:dyDescent="0.2"/>
    <row r="61168" s="689" customFormat="1" x14ac:dyDescent="0.2"/>
    <row r="61169" s="689" customFormat="1" x14ac:dyDescent="0.2"/>
    <row r="61170" s="689" customFormat="1" x14ac:dyDescent="0.2"/>
    <row r="61171" s="689" customFormat="1" x14ac:dyDescent="0.2"/>
    <row r="61172" s="689" customFormat="1" x14ac:dyDescent="0.2"/>
    <row r="61173" s="689" customFormat="1" x14ac:dyDescent="0.2"/>
    <row r="61174" s="689" customFormat="1" x14ac:dyDescent="0.2"/>
    <row r="61175" s="689" customFormat="1" x14ac:dyDescent="0.2"/>
    <row r="61176" s="689" customFormat="1" x14ac:dyDescent="0.2"/>
    <row r="61177" s="689" customFormat="1" x14ac:dyDescent="0.2"/>
    <row r="61178" s="689" customFormat="1" x14ac:dyDescent="0.2"/>
    <row r="61179" s="689" customFormat="1" x14ac:dyDescent="0.2"/>
    <row r="61180" s="689" customFormat="1" x14ac:dyDescent="0.2"/>
    <row r="61181" s="689" customFormat="1" x14ac:dyDescent="0.2"/>
    <row r="61182" s="689" customFormat="1" x14ac:dyDescent="0.2"/>
    <row r="61183" s="689" customFormat="1" x14ac:dyDescent="0.2"/>
    <row r="61184" s="689" customFormat="1" x14ac:dyDescent="0.2"/>
    <row r="61185" s="689" customFormat="1" x14ac:dyDescent="0.2"/>
    <row r="61186" s="689" customFormat="1" x14ac:dyDescent="0.2"/>
    <row r="61187" s="689" customFormat="1" x14ac:dyDescent="0.2"/>
    <row r="61188" s="689" customFormat="1" x14ac:dyDescent="0.2"/>
    <row r="61189" s="689" customFormat="1" x14ac:dyDescent="0.2"/>
    <row r="61190" s="689" customFormat="1" x14ac:dyDescent="0.2"/>
    <row r="61191" s="689" customFormat="1" x14ac:dyDescent="0.2"/>
    <row r="61192" s="689" customFormat="1" x14ac:dyDescent="0.2"/>
    <row r="61193" s="689" customFormat="1" x14ac:dyDescent="0.2"/>
    <row r="61194" s="689" customFormat="1" x14ac:dyDescent="0.2"/>
    <row r="61195" s="689" customFormat="1" x14ac:dyDescent="0.2"/>
    <row r="61196" s="689" customFormat="1" x14ac:dyDescent="0.2"/>
    <row r="61197" s="689" customFormat="1" x14ac:dyDescent="0.2"/>
    <row r="61198" s="689" customFormat="1" x14ac:dyDescent="0.2"/>
    <row r="61199" s="689" customFormat="1" x14ac:dyDescent="0.2"/>
    <row r="61200" s="689" customFormat="1" x14ac:dyDescent="0.2"/>
    <row r="61201" s="689" customFormat="1" x14ac:dyDescent="0.2"/>
    <row r="61202" s="689" customFormat="1" x14ac:dyDescent="0.2"/>
    <row r="61203" s="689" customFormat="1" x14ac:dyDescent="0.2"/>
    <row r="61204" s="689" customFormat="1" x14ac:dyDescent="0.2"/>
    <row r="61205" s="689" customFormat="1" x14ac:dyDescent="0.2"/>
    <row r="61206" s="689" customFormat="1" x14ac:dyDescent="0.2"/>
    <row r="61207" s="689" customFormat="1" x14ac:dyDescent="0.2"/>
    <row r="61208" s="689" customFormat="1" x14ac:dyDescent="0.2"/>
    <row r="61209" s="689" customFormat="1" x14ac:dyDescent="0.2"/>
    <row r="61210" s="689" customFormat="1" x14ac:dyDescent="0.2"/>
    <row r="61211" s="689" customFormat="1" x14ac:dyDescent="0.2"/>
    <row r="61212" s="689" customFormat="1" x14ac:dyDescent="0.2"/>
    <row r="61213" s="689" customFormat="1" x14ac:dyDescent="0.2"/>
    <row r="61214" s="689" customFormat="1" x14ac:dyDescent="0.2"/>
    <row r="61215" s="689" customFormat="1" x14ac:dyDescent="0.2"/>
    <row r="61216" s="689" customFormat="1" x14ac:dyDescent="0.2"/>
    <row r="61217" s="689" customFormat="1" x14ac:dyDescent="0.2"/>
    <row r="61218" s="689" customFormat="1" x14ac:dyDescent="0.2"/>
    <row r="61219" s="689" customFormat="1" x14ac:dyDescent="0.2"/>
    <row r="61220" s="689" customFormat="1" x14ac:dyDescent="0.2"/>
    <row r="61221" s="689" customFormat="1" x14ac:dyDescent="0.2"/>
    <row r="61222" s="689" customFormat="1" x14ac:dyDescent="0.2"/>
    <row r="61223" s="689" customFormat="1" x14ac:dyDescent="0.2"/>
    <row r="61224" s="689" customFormat="1" x14ac:dyDescent="0.2"/>
    <row r="61225" s="689" customFormat="1" x14ac:dyDescent="0.2"/>
    <row r="61226" s="689" customFormat="1" x14ac:dyDescent="0.2"/>
    <row r="61227" s="689" customFormat="1" x14ac:dyDescent="0.2"/>
    <row r="61228" s="689" customFormat="1" x14ac:dyDescent="0.2"/>
    <row r="61229" s="689" customFormat="1" x14ac:dyDescent="0.2"/>
    <row r="61230" s="689" customFormat="1" x14ac:dyDescent="0.2"/>
    <row r="61231" s="689" customFormat="1" x14ac:dyDescent="0.2"/>
    <row r="61232" s="689" customFormat="1" x14ac:dyDescent="0.2"/>
    <row r="61233" s="689" customFormat="1" x14ac:dyDescent="0.2"/>
    <row r="61234" s="689" customFormat="1" x14ac:dyDescent="0.2"/>
    <row r="61235" s="689" customFormat="1" x14ac:dyDescent="0.2"/>
    <row r="61236" s="689" customFormat="1" x14ac:dyDescent="0.2"/>
    <row r="61237" s="689" customFormat="1" x14ac:dyDescent="0.2"/>
    <row r="61238" s="689" customFormat="1" x14ac:dyDescent="0.2"/>
    <row r="61239" s="689" customFormat="1" x14ac:dyDescent="0.2"/>
    <row r="61240" s="689" customFormat="1" x14ac:dyDescent="0.2"/>
    <row r="61241" s="689" customFormat="1" x14ac:dyDescent="0.2"/>
    <row r="61242" s="689" customFormat="1" x14ac:dyDescent="0.2"/>
    <row r="61243" s="689" customFormat="1" x14ac:dyDescent="0.2"/>
    <row r="61244" s="689" customFormat="1" x14ac:dyDescent="0.2"/>
    <row r="61245" s="689" customFormat="1" x14ac:dyDescent="0.2"/>
    <row r="61246" s="689" customFormat="1" x14ac:dyDescent="0.2"/>
    <row r="61247" s="689" customFormat="1" x14ac:dyDescent="0.2"/>
    <row r="61248" s="689" customFormat="1" x14ac:dyDescent="0.2"/>
    <row r="61249" s="689" customFormat="1" x14ac:dyDescent="0.2"/>
    <row r="61250" s="689" customFormat="1" x14ac:dyDescent="0.2"/>
    <row r="61251" s="689" customFormat="1" x14ac:dyDescent="0.2"/>
    <row r="61252" s="689" customFormat="1" x14ac:dyDescent="0.2"/>
    <row r="61253" s="689" customFormat="1" x14ac:dyDescent="0.2"/>
    <row r="61254" s="689" customFormat="1" x14ac:dyDescent="0.2"/>
    <row r="61255" s="689" customFormat="1" x14ac:dyDescent="0.2"/>
    <row r="61256" s="689" customFormat="1" x14ac:dyDescent="0.2"/>
    <row r="61257" s="689" customFormat="1" x14ac:dyDescent="0.2"/>
    <row r="61258" s="689" customFormat="1" x14ac:dyDescent="0.2"/>
    <row r="61259" s="689" customFormat="1" x14ac:dyDescent="0.2"/>
    <row r="61260" s="689" customFormat="1" x14ac:dyDescent="0.2"/>
    <row r="61261" s="689" customFormat="1" x14ac:dyDescent="0.2"/>
    <row r="61262" s="689" customFormat="1" x14ac:dyDescent="0.2"/>
    <row r="61263" s="689" customFormat="1" x14ac:dyDescent="0.2"/>
    <row r="61264" s="689" customFormat="1" x14ac:dyDescent="0.2"/>
    <row r="61265" s="689" customFormat="1" x14ac:dyDescent="0.2"/>
    <row r="61266" s="689" customFormat="1" x14ac:dyDescent="0.2"/>
    <row r="61267" s="689" customFormat="1" x14ac:dyDescent="0.2"/>
    <row r="61268" s="689" customFormat="1" x14ac:dyDescent="0.2"/>
    <row r="61269" s="689" customFormat="1" x14ac:dyDescent="0.2"/>
    <row r="61270" s="689" customFormat="1" x14ac:dyDescent="0.2"/>
    <row r="61271" s="689" customFormat="1" x14ac:dyDescent="0.2"/>
    <row r="61272" s="689" customFormat="1" x14ac:dyDescent="0.2"/>
    <row r="61273" s="689" customFormat="1" x14ac:dyDescent="0.2"/>
    <row r="61274" s="689" customFormat="1" x14ac:dyDescent="0.2"/>
    <row r="61275" s="689" customFormat="1" x14ac:dyDescent="0.2"/>
    <row r="61276" s="689" customFormat="1" x14ac:dyDescent="0.2"/>
    <row r="61277" s="689" customFormat="1" x14ac:dyDescent="0.2"/>
    <row r="61278" s="689" customFormat="1" x14ac:dyDescent="0.2"/>
    <row r="61279" s="689" customFormat="1" x14ac:dyDescent="0.2"/>
    <row r="61280" s="689" customFormat="1" x14ac:dyDescent="0.2"/>
    <row r="61281" s="689" customFormat="1" x14ac:dyDescent="0.2"/>
    <row r="61282" s="689" customFormat="1" x14ac:dyDescent="0.2"/>
    <row r="61283" s="689" customFormat="1" x14ac:dyDescent="0.2"/>
    <row r="61284" s="689" customFormat="1" x14ac:dyDescent="0.2"/>
    <row r="61285" s="689" customFormat="1" x14ac:dyDescent="0.2"/>
    <row r="61286" s="689" customFormat="1" x14ac:dyDescent="0.2"/>
    <row r="61287" s="689" customFormat="1" x14ac:dyDescent="0.2"/>
    <row r="61288" s="689" customFormat="1" x14ac:dyDescent="0.2"/>
    <row r="61289" s="689" customFormat="1" x14ac:dyDescent="0.2"/>
    <row r="61290" s="689" customFormat="1" x14ac:dyDescent="0.2"/>
    <row r="61291" s="689" customFormat="1" x14ac:dyDescent="0.2"/>
    <row r="61292" s="689" customFormat="1" x14ac:dyDescent="0.2"/>
    <row r="61293" s="689" customFormat="1" x14ac:dyDescent="0.2"/>
    <row r="61294" s="689" customFormat="1" x14ac:dyDescent="0.2"/>
    <row r="61295" s="689" customFormat="1" x14ac:dyDescent="0.2"/>
    <row r="61296" s="689" customFormat="1" x14ac:dyDescent="0.2"/>
    <row r="61297" s="689" customFormat="1" x14ac:dyDescent="0.2"/>
    <row r="61298" s="689" customFormat="1" x14ac:dyDescent="0.2"/>
    <row r="61299" s="689" customFormat="1" x14ac:dyDescent="0.2"/>
    <row r="61300" s="689" customFormat="1" x14ac:dyDescent="0.2"/>
    <row r="61301" s="689" customFormat="1" x14ac:dyDescent="0.2"/>
    <row r="61302" s="689" customFormat="1" x14ac:dyDescent="0.2"/>
    <row r="61303" s="689" customFormat="1" x14ac:dyDescent="0.2"/>
    <row r="61304" s="689" customFormat="1" x14ac:dyDescent="0.2"/>
    <row r="61305" s="689" customFormat="1" x14ac:dyDescent="0.2"/>
    <row r="61306" s="689" customFormat="1" x14ac:dyDescent="0.2"/>
    <row r="61307" s="689" customFormat="1" x14ac:dyDescent="0.2"/>
    <row r="61308" s="689" customFormat="1" x14ac:dyDescent="0.2"/>
    <row r="61309" s="689" customFormat="1" x14ac:dyDescent="0.2"/>
    <row r="61310" s="689" customFormat="1" x14ac:dyDescent="0.2"/>
    <row r="61311" s="689" customFormat="1" x14ac:dyDescent="0.2"/>
    <row r="61312" s="689" customFormat="1" x14ac:dyDescent="0.2"/>
    <row r="61313" s="689" customFormat="1" x14ac:dyDescent="0.2"/>
    <row r="61314" s="689" customFormat="1" x14ac:dyDescent="0.2"/>
    <row r="61315" s="689" customFormat="1" x14ac:dyDescent="0.2"/>
    <row r="61316" s="689" customFormat="1" x14ac:dyDescent="0.2"/>
    <row r="61317" s="689" customFormat="1" x14ac:dyDescent="0.2"/>
    <row r="61318" s="689" customFormat="1" x14ac:dyDescent="0.2"/>
    <row r="61319" s="689" customFormat="1" x14ac:dyDescent="0.2"/>
    <row r="61320" s="689" customFormat="1" x14ac:dyDescent="0.2"/>
    <row r="61321" s="689" customFormat="1" x14ac:dyDescent="0.2"/>
    <row r="61322" s="689" customFormat="1" x14ac:dyDescent="0.2"/>
    <row r="61323" s="689" customFormat="1" x14ac:dyDescent="0.2"/>
    <row r="61324" s="689" customFormat="1" x14ac:dyDescent="0.2"/>
    <row r="61325" s="689" customFormat="1" x14ac:dyDescent="0.2"/>
    <row r="61326" s="689" customFormat="1" x14ac:dyDescent="0.2"/>
    <row r="61327" s="689" customFormat="1" x14ac:dyDescent="0.2"/>
    <row r="61328" s="689" customFormat="1" x14ac:dyDescent="0.2"/>
    <row r="61329" s="689" customFormat="1" x14ac:dyDescent="0.2"/>
    <row r="61330" s="689" customFormat="1" x14ac:dyDescent="0.2"/>
    <row r="61331" s="689" customFormat="1" x14ac:dyDescent="0.2"/>
    <row r="61332" s="689" customFormat="1" x14ac:dyDescent="0.2"/>
    <row r="61333" s="689" customFormat="1" x14ac:dyDescent="0.2"/>
    <row r="61334" s="689" customFormat="1" x14ac:dyDescent="0.2"/>
    <row r="61335" s="689" customFormat="1" x14ac:dyDescent="0.2"/>
    <row r="61336" s="689" customFormat="1" x14ac:dyDescent="0.2"/>
    <row r="61337" s="689" customFormat="1" x14ac:dyDescent="0.2"/>
    <row r="61338" s="689" customFormat="1" x14ac:dyDescent="0.2"/>
    <row r="61339" s="689" customFormat="1" x14ac:dyDescent="0.2"/>
    <row r="61340" s="689" customFormat="1" x14ac:dyDescent="0.2"/>
    <row r="61341" s="689" customFormat="1" x14ac:dyDescent="0.2"/>
    <row r="61342" s="689" customFormat="1" x14ac:dyDescent="0.2"/>
    <row r="61343" s="689" customFormat="1" x14ac:dyDescent="0.2"/>
    <row r="61344" s="689" customFormat="1" x14ac:dyDescent="0.2"/>
    <row r="61345" s="689" customFormat="1" x14ac:dyDescent="0.2"/>
    <row r="61346" s="689" customFormat="1" x14ac:dyDescent="0.2"/>
    <row r="61347" s="689" customFormat="1" x14ac:dyDescent="0.2"/>
    <row r="61348" s="689" customFormat="1" x14ac:dyDescent="0.2"/>
    <row r="61349" s="689" customFormat="1" x14ac:dyDescent="0.2"/>
    <row r="61350" s="689" customFormat="1" x14ac:dyDescent="0.2"/>
    <row r="61351" s="689" customFormat="1" x14ac:dyDescent="0.2"/>
    <row r="61352" s="689" customFormat="1" x14ac:dyDescent="0.2"/>
    <row r="61353" s="689" customFormat="1" x14ac:dyDescent="0.2"/>
    <row r="61354" s="689" customFormat="1" x14ac:dyDescent="0.2"/>
    <row r="61355" s="689" customFormat="1" x14ac:dyDescent="0.2"/>
    <row r="61356" s="689" customFormat="1" x14ac:dyDescent="0.2"/>
    <row r="61357" s="689" customFormat="1" x14ac:dyDescent="0.2"/>
    <row r="61358" s="689" customFormat="1" x14ac:dyDescent="0.2"/>
    <row r="61359" s="689" customFormat="1" x14ac:dyDescent="0.2"/>
    <row r="61360" s="689" customFormat="1" x14ac:dyDescent="0.2"/>
    <row r="61361" s="689" customFormat="1" x14ac:dyDescent="0.2"/>
    <row r="61362" s="689" customFormat="1" x14ac:dyDescent="0.2"/>
    <row r="61363" s="689" customFormat="1" x14ac:dyDescent="0.2"/>
    <row r="61364" s="689" customFormat="1" x14ac:dyDescent="0.2"/>
    <row r="61365" s="689" customFormat="1" x14ac:dyDescent="0.2"/>
    <row r="61366" s="689" customFormat="1" x14ac:dyDescent="0.2"/>
    <row r="61367" s="689" customFormat="1" x14ac:dyDescent="0.2"/>
    <row r="61368" s="689" customFormat="1" x14ac:dyDescent="0.2"/>
    <row r="61369" s="689" customFormat="1" x14ac:dyDescent="0.2"/>
    <row r="61370" s="689" customFormat="1" x14ac:dyDescent="0.2"/>
    <row r="61371" s="689" customFormat="1" x14ac:dyDescent="0.2"/>
    <row r="61372" s="689" customFormat="1" x14ac:dyDescent="0.2"/>
    <row r="61373" s="689" customFormat="1" x14ac:dyDescent="0.2"/>
    <row r="61374" s="689" customFormat="1" x14ac:dyDescent="0.2"/>
    <row r="61375" s="689" customFormat="1" x14ac:dyDescent="0.2"/>
    <row r="61376" s="689" customFormat="1" x14ac:dyDescent="0.2"/>
    <row r="61377" s="689" customFormat="1" x14ac:dyDescent="0.2"/>
    <row r="61378" s="689" customFormat="1" x14ac:dyDescent="0.2"/>
    <row r="61379" s="689" customFormat="1" x14ac:dyDescent="0.2"/>
    <row r="61380" s="689" customFormat="1" x14ac:dyDescent="0.2"/>
    <row r="61381" s="689" customFormat="1" x14ac:dyDescent="0.2"/>
    <row r="61382" s="689" customFormat="1" x14ac:dyDescent="0.2"/>
    <row r="61383" s="689" customFormat="1" x14ac:dyDescent="0.2"/>
    <row r="61384" s="689" customFormat="1" x14ac:dyDescent="0.2"/>
    <row r="61385" s="689" customFormat="1" x14ac:dyDescent="0.2"/>
    <row r="61386" s="689" customFormat="1" x14ac:dyDescent="0.2"/>
    <row r="61387" s="689" customFormat="1" x14ac:dyDescent="0.2"/>
    <row r="61388" s="689" customFormat="1" x14ac:dyDescent="0.2"/>
    <row r="61389" s="689" customFormat="1" x14ac:dyDescent="0.2"/>
    <row r="61390" s="689" customFormat="1" x14ac:dyDescent="0.2"/>
    <row r="61391" s="689" customFormat="1" x14ac:dyDescent="0.2"/>
    <row r="61392" s="689" customFormat="1" x14ac:dyDescent="0.2"/>
    <row r="61393" s="689" customFormat="1" x14ac:dyDescent="0.2"/>
    <row r="61394" s="689" customFormat="1" x14ac:dyDescent="0.2"/>
    <row r="61395" s="689" customFormat="1" x14ac:dyDescent="0.2"/>
    <row r="61396" s="689" customFormat="1" x14ac:dyDescent="0.2"/>
    <row r="61397" s="689" customFormat="1" x14ac:dyDescent="0.2"/>
    <row r="61398" s="689" customFormat="1" x14ac:dyDescent="0.2"/>
    <row r="61399" s="689" customFormat="1" x14ac:dyDescent="0.2"/>
    <row r="61400" s="689" customFormat="1" x14ac:dyDescent="0.2"/>
    <row r="61401" s="689" customFormat="1" x14ac:dyDescent="0.2"/>
    <row r="61402" s="689" customFormat="1" x14ac:dyDescent="0.2"/>
    <row r="61403" s="689" customFormat="1" x14ac:dyDescent="0.2"/>
    <row r="61404" s="689" customFormat="1" x14ac:dyDescent="0.2"/>
    <row r="61405" s="689" customFormat="1" x14ac:dyDescent="0.2"/>
    <row r="61406" s="689" customFormat="1" x14ac:dyDescent="0.2"/>
    <row r="61407" s="689" customFormat="1" x14ac:dyDescent="0.2"/>
    <row r="61408" s="689" customFormat="1" x14ac:dyDescent="0.2"/>
    <row r="61409" s="689" customFormat="1" x14ac:dyDescent="0.2"/>
    <row r="61410" s="689" customFormat="1" x14ac:dyDescent="0.2"/>
    <row r="61411" s="689" customFormat="1" x14ac:dyDescent="0.2"/>
    <row r="61412" s="689" customFormat="1" x14ac:dyDescent="0.2"/>
    <row r="61413" s="689" customFormat="1" x14ac:dyDescent="0.2"/>
    <row r="61414" s="689" customFormat="1" x14ac:dyDescent="0.2"/>
    <row r="61415" s="689" customFormat="1" x14ac:dyDescent="0.2"/>
    <row r="61416" s="689" customFormat="1" x14ac:dyDescent="0.2"/>
    <row r="61417" s="689" customFormat="1" x14ac:dyDescent="0.2"/>
    <row r="61418" s="689" customFormat="1" x14ac:dyDescent="0.2"/>
    <row r="61419" s="689" customFormat="1" x14ac:dyDescent="0.2"/>
    <row r="61420" s="689" customFormat="1" x14ac:dyDescent="0.2"/>
    <row r="61421" s="689" customFormat="1" x14ac:dyDescent="0.2"/>
    <row r="61422" s="689" customFormat="1" x14ac:dyDescent="0.2"/>
    <row r="61423" s="689" customFormat="1" x14ac:dyDescent="0.2"/>
    <row r="61424" s="689" customFormat="1" x14ac:dyDescent="0.2"/>
    <row r="61425" s="689" customFormat="1" x14ac:dyDescent="0.2"/>
    <row r="61426" s="689" customFormat="1" x14ac:dyDescent="0.2"/>
    <row r="61427" s="689" customFormat="1" x14ac:dyDescent="0.2"/>
    <row r="61428" s="689" customFormat="1" x14ac:dyDescent="0.2"/>
    <row r="61429" s="689" customFormat="1" x14ac:dyDescent="0.2"/>
    <row r="61430" s="689" customFormat="1" x14ac:dyDescent="0.2"/>
    <row r="61431" s="689" customFormat="1" x14ac:dyDescent="0.2"/>
    <row r="61432" s="689" customFormat="1" x14ac:dyDescent="0.2"/>
    <row r="61433" s="689" customFormat="1" x14ac:dyDescent="0.2"/>
    <row r="61434" s="689" customFormat="1" x14ac:dyDescent="0.2"/>
    <row r="61435" s="689" customFormat="1" x14ac:dyDescent="0.2"/>
    <row r="61436" s="689" customFormat="1" x14ac:dyDescent="0.2"/>
    <row r="61437" s="689" customFormat="1" x14ac:dyDescent="0.2"/>
    <row r="61438" s="689" customFormat="1" x14ac:dyDescent="0.2"/>
    <row r="61439" s="689" customFormat="1" x14ac:dyDescent="0.2"/>
    <row r="61440" s="689" customFormat="1" x14ac:dyDescent="0.2"/>
    <row r="61441" s="689" customFormat="1" x14ac:dyDescent="0.2"/>
    <row r="61442" s="689" customFormat="1" x14ac:dyDescent="0.2"/>
    <row r="61443" s="689" customFormat="1" x14ac:dyDescent="0.2"/>
    <row r="61444" s="689" customFormat="1" x14ac:dyDescent="0.2"/>
    <row r="61445" s="689" customFormat="1" x14ac:dyDescent="0.2"/>
    <row r="61446" s="689" customFormat="1" x14ac:dyDescent="0.2"/>
    <row r="61447" s="689" customFormat="1" x14ac:dyDescent="0.2"/>
    <row r="61448" s="689" customFormat="1" x14ac:dyDescent="0.2"/>
    <row r="61449" s="689" customFormat="1" x14ac:dyDescent="0.2"/>
    <row r="61450" s="689" customFormat="1" x14ac:dyDescent="0.2"/>
    <row r="61451" s="689" customFormat="1" x14ac:dyDescent="0.2"/>
    <row r="61452" s="689" customFormat="1" x14ac:dyDescent="0.2"/>
    <row r="61453" s="689" customFormat="1" x14ac:dyDescent="0.2"/>
    <row r="61454" s="689" customFormat="1" x14ac:dyDescent="0.2"/>
    <row r="61455" s="689" customFormat="1" x14ac:dyDescent="0.2"/>
    <row r="61456" s="689" customFormat="1" x14ac:dyDescent="0.2"/>
    <row r="61457" s="689" customFormat="1" x14ac:dyDescent="0.2"/>
    <row r="61458" s="689" customFormat="1" x14ac:dyDescent="0.2"/>
    <row r="61459" s="689" customFormat="1" x14ac:dyDescent="0.2"/>
    <row r="61460" s="689" customFormat="1" x14ac:dyDescent="0.2"/>
    <row r="61461" s="689" customFormat="1" x14ac:dyDescent="0.2"/>
    <row r="61462" s="689" customFormat="1" x14ac:dyDescent="0.2"/>
    <row r="61463" s="689" customFormat="1" x14ac:dyDescent="0.2"/>
    <row r="61464" s="689" customFormat="1" x14ac:dyDescent="0.2"/>
    <row r="61465" s="689" customFormat="1" x14ac:dyDescent="0.2"/>
    <row r="61466" s="689" customFormat="1" x14ac:dyDescent="0.2"/>
    <row r="61467" s="689" customFormat="1" x14ac:dyDescent="0.2"/>
    <row r="61468" s="689" customFormat="1" x14ac:dyDescent="0.2"/>
    <row r="61469" s="689" customFormat="1" x14ac:dyDescent="0.2"/>
    <row r="61470" s="689" customFormat="1" x14ac:dyDescent="0.2"/>
    <row r="61471" s="689" customFormat="1" x14ac:dyDescent="0.2"/>
    <row r="61472" s="689" customFormat="1" x14ac:dyDescent="0.2"/>
    <row r="61473" s="689" customFormat="1" x14ac:dyDescent="0.2"/>
    <row r="61474" s="689" customFormat="1" x14ac:dyDescent="0.2"/>
    <row r="61475" s="689" customFormat="1" x14ac:dyDescent="0.2"/>
    <row r="61476" s="689" customFormat="1" x14ac:dyDescent="0.2"/>
    <row r="61477" s="689" customFormat="1" x14ac:dyDescent="0.2"/>
    <row r="61478" s="689" customFormat="1" x14ac:dyDescent="0.2"/>
    <row r="61479" s="689" customFormat="1" x14ac:dyDescent="0.2"/>
    <row r="61480" s="689" customFormat="1" x14ac:dyDescent="0.2"/>
    <row r="61481" s="689" customFormat="1" x14ac:dyDescent="0.2"/>
    <row r="61482" s="689" customFormat="1" x14ac:dyDescent="0.2"/>
    <row r="61483" s="689" customFormat="1" x14ac:dyDescent="0.2"/>
    <row r="61484" s="689" customFormat="1" x14ac:dyDescent="0.2"/>
    <row r="61485" s="689" customFormat="1" x14ac:dyDescent="0.2"/>
    <row r="61486" s="689" customFormat="1" x14ac:dyDescent="0.2"/>
    <row r="61487" s="689" customFormat="1" x14ac:dyDescent="0.2"/>
    <row r="61488" s="689" customFormat="1" x14ac:dyDescent="0.2"/>
    <row r="61489" s="689" customFormat="1" x14ac:dyDescent="0.2"/>
    <row r="61490" s="689" customFormat="1" x14ac:dyDescent="0.2"/>
    <row r="61491" s="689" customFormat="1" x14ac:dyDescent="0.2"/>
    <row r="61492" s="689" customFormat="1" x14ac:dyDescent="0.2"/>
    <row r="61493" s="689" customFormat="1" x14ac:dyDescent="0.2"/>
    <row r="61494" s="689" customFormat="1" x14ac:dyDescent="0.2"/>
    <row r="61495" s="689" customFormat="1" x14ac:dyDescent="0.2"/>
    <row r="61496" s="689" customFormat="1" x14ac:dyDescent="0.2"/>
    <row r="61497" s="689" customFormat="1" x14ac:dyDescent="0.2"/>
    <row r="61498" s="689" customFormat="1" x14ac:dyDescent="0.2"/>
    <row r="61499" s="689" customFormat="1" x14ac:dyDescent="0.2"/>
    <row r="61500" s="689" customFormat="1" x14ac:dyDescent="0.2"/>
    <row r="61501" s="689" customFormat="1" x14ac:dyDescent="0.2"/>
    <row r="61502" s="689" customFormat="1" x14ac:dyDescent="0.2"/>
    <row r="61503" s="689" customFormat="1" x14ac:dyDescent="0.2"/>
    <row r="61504" s="689" customFormat="1" x14ac:dyDescent="0.2"/>
    <row r="61505" s="689" customFormat="1" x14ac:dyDescent="0.2"/>
    <row r="61506" s="689" customFormat="1" x14ac:dyDescent="0.2"/>
    <row r="61507" s="689" customFormat="1" x14ac:dyDescent="0.2"/>
    <row r="61508" s="689" customFormat="1" x14ac:dyDescent="0.2"/>
    <row r="61509" s="689" customFormat="1" x14ac:dyDescent="0.2"/>
    <row r="61510" s="689" customFormat="1" x14ac:dyDescent="0.2"/>
    <row r="61511" s="689" customFormat="1" x14ac:dyDescent="0.2"/>
    <row r="61512" s="689" customFormat="1" x14ac:dyDescent="0.2"/>
    <row r="61513" s="689" customFormat="1" x14ac:dyDescent="0.2"/>
    <row r="61514" s="689" customFormat="1" x14ac:dyDescent="0.2"/>
    <row r="61515" s="689" customFormat="1" x14ac:dyDescent="0.2"/>
    <row r="61516" s="689" customFormat="1" x14ac:dyDescent="0.2"/>
    <row r="61517" s="689" customFormat="1" x14ac:dyDescent="0.2"/>
    <row r="61518" s="689" customFormat="1" x14ac:dyDescent="0.2"/>
    <row r="61519" s="689" customFormat="1" x14ac:dyDescent="0.2"/>
    <row r="61520" s="689" customFormat="1" x14ac:dyDescent="0.2"/>
    <row r="61521" s="689" customFormat="1" x14ac:dyDescent="0.2"/>
    <row r="61522" s="689" customFormat="1" x14ac:dyDescent="0.2"/>
    <row r="61523" s="689" customFormat="1" x14ac:dyDescent="0.2"/>
    <row r="61524" s="689" customFormat="1" x14ac:dyDescent="0.2"/>
    <row r="61525" s="689" customFormat="1" x14ac:dyDescent="0.2"/>
    <row r="61526" s="689" customFormat="1" x14ac:dyDescent="0.2"/>
    <row r="61527" s="689" customFormat="1" x14ac:dyDescent="0.2"/>
    <row r="61528" s="689" customFormat="1" x14ac:dyDescent="0.2"/>
    <row r="61529" s="689" customFormat="1" x14ac:dyDescent="0.2"/>
    <row r="61530" s="689" customFormat="1" x14ac:dyDescent="0.2"/>
    <row r="61531" s="689" customFormat="1" x14ac:dyDescent="0.2"/>
    <row r="61532" s="689" customFormat="1" x14ac:dyDescent="0.2"/>
    <row r="61533" s="689" customFormat="1" x14ac:dyDescent="0.2"/>
    <row r="61534" s="689" customFormat="1" x14ac:dyDescent="0.2"/>
    <row r="61535" s="689" customFormat="1" x14ac:dyDescent="0.2"/>
    <row r="61536" s="689" customFormat="1" x14ac:dyDescent="0.2"/>
    <row r="61537" s="689" customFormat="1" x14ac:dyDescent="0.2"/>
    <row r="61538" s="689" customFormat="1" x14ac:dyDescent="0.2"/>
    <row r="61539" s="689" customFormat="1" x14ac:dyDescent="0.2"/>
    <row r="61540" s="689" customFormat="1" x14ac:dyDescent="0.2"/>
    <row r="61541" s="689" customFormat="1" x14ac:dyDescent="0.2"/>
    <row r="61542" s="689" customFormat="1" x14ac:dyDescent="0.2"/>
    <row r="61543" s="689" customFormat="1" x14ac:dyDescent="0.2"/>
    <row r="61544" s="689" customFormat="1" x14ac:dyDescent="0.2"/>
    <row r="61545" s="689" customFormat="1" x14ac:dyDescent="0.2"/>
    <row r="61546" s="689" customFormat="1" x14ac:dyDescent="0.2"/>
    <row r="61547" s="689" customFormat="1" x14ac:dyDescent="0.2"/>
    <row r="61548" s="689" customFormat="1" x14ac:dyDescent="0.2"/>
    <row r="61549" s="689" customFormat="1" x14ac:dyDescent="0.2"/>
    <row r="61550" s="689" customFormat="1" x14ac:dyDescent="0.2"/>
    <row r="61551" s="689" customFormat="1" x14ac:dyDescent="0.2"/>
    <row r="61552" s="689" customFormat="1" x14ac:dyDescent="0.2"/>
    <row r="61553" s="689" customFormat="1" x14ac:dyDescent="0.2"/>
    <row r="61554" s="689" customFormat="1" x14ac:dyDescent="0.2"/>
    <row r="61555" s="689" customFormat="1" x14ac:dyDescent="0.2"/>
    <row r="61556" s="689" customFormat="1" x14ac:dyDescent="0.2"/>
    <row r="61557" s="689" customFormat="1" x14ac:dyDescent="0.2"/>
    <row r="61558" s="689" customFormat="1" x14ac:dyDescent="0.2"/>
    <row r="61559" s="689" customFormat="1" x14ac:dyDescent="0.2"/>
    <row r="61560" s="689" customFormat="1" x14ac:dyDescent="0.2"/>
    <row r="61561" s="689" customFormat="1" x14ac:dyDescent="0.2"/>
    <row r="61562" s="689" customFormat="1" x14ac:dyDescent="0.2"/>
    <row r="61563" s="689" customFormat="1" x14ac:dyDescent="0.2"/>
    <row r="61564" s="689" customFormat="1" x14ac:dyDescent="0.2"/>
    <row r="61565" s="689" customFormat="1" x14ac:dyDescent="0.2"/>
    <row r="61566" s="689" customFormat="1" x14ac:dyDescent="0.2"/>
    <row r="61567" s="689" customFormat="1" x14ac:dyDescent="0.2"/>
    <row r="61568" s="689" customFormat="1" x14ac:dyDescent="0.2"/>
    <row r="61569" s="689" customFormat="1" x14ac:dyDescent="0.2"/>
    <row r="61570" s="689" customFormat="1" x14ac:dyDescent="0.2"/>
    <row r="61571" s="689" customFormat="1" x14ac:dyDescent="0.2"/>
    <row r="61572" s="689" customFormat="1" x14ac:dyDescent="0.2"/>
    <row r="61573" s="689" customFormat="1" x14ac:dyDescent="0.2"/>
    <row r="61574" s="689" customFormat="1" x14ac:dyDescent="0.2"/>
    <row r="61575" s="689" customFormat="1" x14ac:dyDescent="0.2"/>
    <row r="61576" s="689" customFormat="1" x14ac:dyDescent="0.2"/>
    <row r="61577" s="689" customFormat="1" x14ac:dyDescent="0.2"/>
    <row r="61578" s="689" customFormat="1" x14ac:dyDescent="0.2"/>
    <row r="61579" s="689" customFormat="1" x14ac:dyDescent="0.2"/>
    <row r="61580" s="689" customFormat="1" x14ac:dyDescent="0.2"/>
    <row r="61581" s="689" customFormat="1" x14ac:dyDescent="0.2"/>
    <row r="61582" s="689" customFormat="1" x14ac:dyDescent="0.2"/>
    <row r="61583" s="689" customFormat="1" x14ac:dyDescent="0.2"/>
    <row r="61584" s="689" customFormat="1" x14ac:dyDescent="0.2"/>
    <row r="61585" s="689" customFormat="1" x14ac:dyDescent="0.2"/>
    <row r="61586" s="689" customFormat="1" x14ac:dyDescent="0.2"/>
    <row r="61587" s="689" customFormat="1" x14ac:dyDescent="0.2"/>
    <row r="61588" s="689" customFormat="1" x14ac:dyDescent="0.2"/>
    <row r="61589" s="689" customFormat="1" x14ac:dyDescent="0.2"/>
    <row r="61590" s="689" customFormat="1" x14ac:dyDescent="0.2"/>
    <row r="61591" s="689" customFormat="1" x14ac:dyDescent="0.2"/>
    <row r="61592" s="689" customFormat="1" x14ac:dyDescent="0.2"/>
    <row r="61593" s="689" customFormat="1" x14ac:dyDescent="0.2"/>
    <row r="61594" s="689" customFormat="1" x14ac:dyDescent="0.2"/>
    <row r="61595" s="689" customFormat="1" x14ac:dyDescent="0.2"/>
    <row r="61596" s="689" customFormat="1" x14ac:dyDescent="0.2"/>
    <row r="61597" s="689" customFormat="1" x14ac:dyDescent="0.2"/>
    <row r="61598" s="689" customFormat="1" x14ac:dyDescent="0.2"/>
    <row r="61599" s="689" customFormat="1" x14ac:dyDescent="0.2"/>
    <row r="61600" s="689" customFormat="1" x14ac:dyDescent="0.2"/>
    <row r="61601" s="689" customFormat="1" x14ac:dyDescent="0.2"/>
    <row r="61602" s="689" customFormat="1" x14ac:dyDescent="0.2"/>
    <row r="61603" s="689" customFormat="1" x14ac:dyDescent="0.2"/>
    <row r="61604" s="689" customFormat="1" x14ac:dyDescent="0.2"/>
    <row r="61605" s="689" customFormat="1" x14ac:dyDescent="0.2"/>
    <row r="61606" s="689" customFormat="1" x14ac:dyDescent="0.2"/>
    <row r="61607" s="689" customFormat="1" x14ac:dyDescent="0.2"/>
    <row r="61608" s="689" customFormat="1" x14ac:dyDescent="0.2"/>
    <row r="61609" s="689" customFormat="1" x14ac:dyDescent="0.2"/>
    <row r="61610" s="689" customFormat="1" x14ac:dyDescent="0.2"/>
    <row r="61611" s="689" customFormat="1" x14ac:dyDescent="0.2"/>
    <row r="61612" s="689" customFormat="1" x14ac:dyDescent="0.2"/>
    <row r="61613" s="689" customFormat="1" x14ac:dyDescent="0.2"/>
    <row r="61614" s="689" customFormat="1" x14ac:dyDescent="0.2"/>
    <row r="61615" s="689" customFormat="1" x14ac:dyDescent="0.2"/>
    <row r="61616" s="689" customFormat="1" x14ac:dyDescent="0.2"/>
    <row r="61617" s="689" customFormat="1" x14ac:dyDescent="0.2"/>
    <row r="61618" s="689" customFormat="1" x14ac:dyDescent="0.2"/>
    <row r="61619" s="689" customFormat="1" x14ac:dyDescent="0.2"/>
    <row r="61620" s="689" customFormat="1" x14ac:dyDescent="0.2"/>
    <row r="61621" s="689" customFormat="1" x14ac:dyDescent="0.2"/>
    <row r="61622" s="689" customFormat="1" x14ac:dyDescent="0.2"/>
    <row r="61623" s="689" customFormat="1" x14ac:dyDescent="0.2"/>
    <row r="61624" s="689" customFormat="1" x14ac:dyDescent="0.2"/>
    <row r="61625" s="689" customFormat="1" x14ac:dyDescent="0.2"/>
    <row r="61626" s="689" customFormat="1" x14ac:dyDescent="0.2"/>
    <row r="61627" s="689" customFormat="1" x14ac:dyDescent="0.2"/>
    <row r="61628" s="689" customFormat="1" x14ac:dyDescent="0.2"/>
    <row r="61629" s="689" customFormat="1" x14ac:dyDescent="0.2"/>
    <row r="61630" s="689" customFormat="1" x14ac:dyDescent="0.2"/>
    <row r="61631" s="689" customFormat="1" x14ac:dyDescent="0.2"/>
    <row r="61632" s="689" customFormat="1" x14ac:dyDescent="0.2"/>
    <row r="61633" s="689" customFormat="1" x14ac:dyDescent="0.2"/>
    <row r="61634" s="689" customFormat="1" x14ac:dyDescent="0.2"/>
    <row r="61635" s="689" customFormat="1" x14ac:dyDescent="0.2"/>
    <row r="61636" s="689" customFormat="1" x14ac:dyDescent="0.2"/>
    <row r="61637" s="689" customFormat="1" x14ac:dyDescent="0.2"/>
    <row r="61638" s="689" customFormat="1" x14ac:dyDescent="0.2"/>
    <row r="61639" s="689" customFormat="1" x14ac:dyDescent="0.2"/>
    <row r="61640" s="689" customFormat="1" x14ac:dyDescent="0.2"/>
    <row r="61641" s="689" customFormat="1" x14ac:dyDescent="0.2"/>
    <row r="61642" s="689" customFormat="1" x14ac:dyDescent="0.2"/>
    <row r="61643" s="689" customFormat="1" x14ac:dyDescent="0.2"/>
    <row r="61644" s="689" customFormat="1" x14ac:dyDescent="0.2"/>
    <row r="61645" s="689" customFormat="1" x14ac:dyDescent="0.2"/>
    <row r="61646" s="689" customFormat="1" x14ac:dyDescent="0.2"/>
    <row r="61647" s="689" customFormat="1" x14ac:dyDescent="0.2"/>
    <row r="61648" s="689" customFormat="1" x14ac:dyDescent="0.2"/>
    <row r="61649" s="689" customFormat="1" x14ac:dyDescent="0.2"/>
    <row r="61650" s="689" customFormat="1" x14ac:dyDescent="0.2"/>
    <row r="61651" s="689" customFormat="1" x14ac:dyDescent="0.2"/>
    <row r="61652" s="689" customFormat="1" x14ac:dyDescent="0.2"/>
    <row r="61653" s="689" customFormat="1" x14ac:dyDescent="0.2"/>
    <row r="61654" s="689" customFormat="1" x14ac:dyDescent="0.2"/>
    <row r="61655" s="689" customFormat="1" x14ac:dyDescent="0.2"/>
    <row r="61656" s="689" customFormat="1" x14ac:dyDescent="0.2"/>
    <row r="61657" s="689" customFormat="1" x14ac:dyDescent="0.2"/>
    <row r="61658" s="689" customFormat="1" x14ac:dyDescent="0.2"/>
    <row r="61659" s="689" customFormat="1" x14ac:dyDescent="0.2"/>
    <row r="61660" s="689" customFormat="1" x14ac:dyDescent="0.2"/>
    <row r="61661" s="689" customFormat="1" x14ac:dyDescent="0.2"/>
    <row r="61662" s="689" customFormat="1" x14ac:dyDescent="0.2"/>
    <row r="61663" s="689" customFormat="1" x14ac:dyDescent="0.2"/>
    <row r="61664" s="689" customFormat="1" x14ac:dyDescent="0.2"/>
    <row r="61665" s="689" customFormat="1" x14ac:dyDescent="0.2"/>
    <row r="61666" s="689" customFormat="1" x14ac:dyDescent="0.2"/>
    <row r="61667" s="689" customFormat="1" x14ac:dyDescent="0.2"/>
    <row r="61668" s="689" customFormat="1" x14ac:dyDescent="0.2"/>
    <row r="61669" s="689" customFormat="1" x14ac:dyDescent="0.2"/>
    <row r="61670" s="689" customFormat="1" x14ac:dyDescent="0.2"/>
    <row r="61671" s="689" customFormat="1" x14ac:dyDescent="0.2"/>
    <row r="61672" s="689" customFormat="1" x14ac:dyDescent="0.2"/>
    <row r="61673" s="689" customFormat="1" x14ac:dyDescent="0.2"/>
    <row r="61674" s="689" customFormat="1" x14ac:dyDescent="0.2"/>
    <row r="61675" s="689" customFormat="1" x14ac:dyDescent="0.2"/>
    <row r="61676" s="689" customFormat="1" x14ac:dyDescent="0.2"/>
    <row r="61677" s="689" customFormat="1" x14ac:dyDescent="0.2"/>
    <row r="61678" s="689" customFormat="1" x14ac:dyDescent="0.2"/>
    <row r="61679" s="689" customFormat="1" x14ac:dyDescent="0.2"/>
    <row r="61680" s="689" customFormat="1" x14ac:dyDescent="0.2"/>
    <row r="61681" s="689" customFormat="1" x14ac:dyDescent="0.2"/>
    <row r="61682" s="689" customFormat="1" x14ac:dyDescent="0.2"/>
    <row r="61683" s="689" customFormat="1" x14ac:dyDescent="0.2"/>
    <row r="61684" s="689" customFormat="1" x14ac:dyDescent="0.2"/>
    <row r="61685" s="689" customFormat="1" x14ac:dyDescent="0.2"/>
    <row r="61686" s="689" customFormat="1" x14ac:dyDescent="0.2"/>
    <row r="61687" s="689" customFormat="1" x14ac:dyDescent="0.2"/>
    <row r="61688" s="689" customFormat="1" x14ac:dyDescent="0.2"/>
    <row r="61689" s="689" customFormat="1" x14ac:dyDescent="0.2"/>
    <row r="61690" s="689" customFormat="1" x14ac:dyDescent="0.2"/>
    <row r="61691" s="689" customFormat="1" x14ac:dyDescent="0.2"/>
    <row r="61692" s="689" customFormat="1" x14ac:dyDescent="0.2"/>
    <row r="61693" s="689" customFormat="1" x14ac:dyDescent="0.2"/>
    <row r="61694" s="689" customFormat="1" x14ac:dyDescent="0.2"/>
    <row r="61695" s="689" customFormat="1" x14ac:dyDescent="0.2"/>
    <row r="61696" s="689" customFormat="1" x14ac:dyDescent="0.2"/>
    <row r="61697" s="689" customFormat="1" x14ac:dyDescent="0.2"/>
    <row r="61698" s="689" customFormat="1" x14ac:dyDescent="0.2"/>
    <row r="61699" s="689" customFormat="1" x14ac:dyDescent="0.2"/>
    <row r="61700" s="689" customFormat="1" x14ac:dyDescent="0.2"/>
    <row r="61701" s="689" customFormat="1" x14ac:dyDescent="0.2"/>
    <row r="61702" s="689" customFormat="1" x14ac:dyDescent="0.2"/>
    <row r="61703" s="689" customFormat="1" x14ac:dyDescent="0.2"/>
    <row r="61704" s="689" customFormat="1" x14ac:dyDescent="0.2"/>
    <row r="61705" s="689" customFormat="1" x14ac:dyDescent="0.2"/>
    <row r="61706" s="689" customFormat="1" x14ac:dyDescent="0.2"/>
    <row r="61707" s="689" customFormat="1" x14ac:dyDescent="0.2"/>
    <row r="61708" s="689" customFormat="1" x14ac:dyDescent="0.2"/>
    <row r="61709" s="689" customFormat="1" x14ac:dyDescent="0.2"/>
    <row r="61710" s="689" customFormat="1" x14ac:dyDescent="0.2"/>
    <row r="61711" s="689" customFormat="1" x14ac:dyDescent="0.2"/>
    <row r="61712" s="689" customFormat="1" x14ac:dyDescent="0.2"/>
    <row r="61713" s="689" customFormat="1" x14ac:dyDescent="0.2"/>
    <row r="61714" s="689" customFormat="1" x14ac:dyDescent="0.2"/>
    <row r="61715" s="689" customFormat="1" x14ac:dyDescent="0.2"/>
    <row r="61716" s="689" customFormat="1" x14ac:dyDescent="0.2"/>
    <row r="61717" s="689" customFormat="1" x14ac:dyDescent="0.2"/>
    <row r="61718" s="689" customFormat="1" x14ac:dyDescent="0.2"/>
    <row r="61719" s="689" customFormat="1" x14ac:dyDescent="0.2"/>
    <row r="61720" s="689" customFormat="1" x14ac:dyDescent="0.2"/>
    <row r="61721" s="689" customFormat="1" x14ac:dyDescent="0.2"/>
    <row r="61722" s="689" customFormat="1" x14ac:dyDescent="0.2"/>
    <row r="61723" s="689" customFormat="1" x14ac:dyDescent="0.2"/>
    <row r="61724" s="689" customFormat="1" x14ac:dyDescent="0.2"/>
    <row r="61725" s="689" customFormat="1" x14ac:dyDescent="0.2"/>
    <row r="61726" s="689" customFormat="1" x14ac:dyDescent="0.2"/>
    <row r="61727" s="689" customFormat="1" x14ac:dyDescent="0.2"/>
    <row r="61728" s="689" customFormat="1" x14ac:dyDescent="0.2"/>
    <row r="61729" s="689" customFormat="1" x14ac:dyDescent="0.2"/>
    <row r="61730" s="689" customFormat="1" x14ac:dyDescent="0.2"/>
    <row r="61731" s="689" customFormat="1" x14ac:dyDescent="0.2"/>
    <row r="61732" s="689" customFormat="1" x14ac:dyDescent="0.2"/>
    <row r="61733" s="689" customFormat="1" x14ac:dyDescent="0.2"/>
    <row r="61734" s="689" customFormat="1" x14ac:dyDescent="0.2"/>
    <row r="61735" s="689" customFormat="1" x14ac:dyDescent="0.2"/>
    <row r="61736" s="689" customFormat="1" x14ac:dyDescent="0.2"/>
    <row r="61737" s="689" customFormat="1" x14ac:dyDescent="0.2"/>
    <row r="61738" s="689" customFormat="1" x14ac:dyDescent="0.2"/>
    <row r="61739" s="689" customFormat="1" x14ac:dyDescent="0.2"/>
    <row r="61740" s="689" customFormat="1" x14ac:dyDescent="0.2"/>
    <row r="61741" s="689" customFormat="1" x14ac:dyDescent="0.2"/>
    <row r="61742" s="689" customFormat="1" x14ac:dyDescent="0.2"/>
    <row r="61743" s="689" customFormat="1" x14ac:dyDescent="0.2"/>
    <row r="61744" s="689" customFormat="1" x14ac:dyDescent="0.2"/>
    <row r="61745" s="689" customFormat="1" x14ac:dyDescent="0.2"/>
    <row r="61746" s="689" customFormat="1" x14ac:dyDescent="0.2"/>
    <row r="61747" s="689" customFormat="1" x14ac:dyDescent="0.2"/>
    <row r="61748" s="689" customFormat="1" x14ac:dyDescent="0.2"/>
    <row r="61749" s="689" customFormat="1" x14ac:dyDescent="0.2"/>
    <row r="61750" s="689" customFormat="1" x14ac:dyDescent="0.2"/>
    <row r="61751" s="689" customFormat="1" x14ac:dyDescent="0.2"/>
    <row r="61752" s="689" customFormat="1" x14ac:dyDescent="0.2"/>
    <row r="61753" s="689" customFormat="1" x14ac:dyDescent="0.2"/>
    <row r="61754" s="689" customFormat="1" x14ac:dyDescent="0.2"/>
    <row r="61755" s="689" customFormat="1" x14ac:dyDescent="0.2"/>
    <row r="61756" s="689" customFormat="1" x14ac:dyDescent="0.2"/>
    <row r="61757" s="689" customFormat="1" x14ac:dyDescent="0.2"/>
    <row r="61758" s="689" customFormat="1" x14ac:dyDescent="0.2"/>
    <row r="61759" s="689" customFormat="1" x14ac:dyDescent="0.2"/>
    <row r="61760" s="689" customFormat="1" x14ac:dyDescent="0.2"/>
    <row r="61761" s="689" customFormat="1" x14ac:dyDescent="0.2"/>
    <row r="61762" s="689" customFormat="1" x14ac:dyDescent="0.2"/>
    <row r="61763" s="689" customFormat="1" x14ac:dyDescent="0.2"/>
    <row r="61764" s="689" customFormat="1" x14ac:dyDescent="0.2"/>
    <row r="61765" s="689" customFormat="1" x14ac:dyDescent="0.2"/>
    <row r="61766" s="689" customFormat="1" x14ac:dyDescent="0.2"/>
    <row r="61767" s="689" customFormat="1" x14ac:dyDescent="0.2"/>
    <row r="61768" s="689" customFormat="1" x14ac:dyDescent="0.2"/>
    <row r="61769" s="689" customFormat="1" x14ac:dyDescent="0.2"/>
    <row r="61770" s="689" customFormat="1" x14ac:dyDescent="0.2"/>
    <row r="61771" s="689" customFormat="1" x14ac:dyDescent="0.2"/>
    <row r="61772" s="689" customFormat="1" x14ac:dyDescent="0.2"/>
    <row r="61773" s="689" customFormat="1" x14ac:dyDescent="0.2"/>
    <row r="61774" s="689" customFormat="1" x14ac:dyDescent="0.2"/>
    <row r="61775" s="689" customFormat="1" x14ac:dyDescent="0.2"/>
    <row r="61776" s="689" customFormat="1" x14ac:dyDescent="0.2"/>
    <row r="61777" s="689" customFormat="1" x14ac:dyDescent="0.2"/>
    <row r="61778" s="689" customFormat="1" x14ac:dyDescent="0.2"/>
    <row r="61779" s="689" customFormat="1" x14ac:dyDescent="0.2"/>
    <row r="61780" s="689" customFormat="1" x14ac:dyDescent="0.2"/>
    <row r="61781" s="689" customFormat="1" x14ac:dyDescent="0.2"/>
    <row r="61782" s="689" customFormat="1" x14ac:dyDescent="0.2"/>
    <row r="61783" s="689" customFormat="1" x14ac:dyDescent="0.2"/>
    <row r="61784" s="689" customFormat="1" x14ac:dyDescent="0.2"/>
    <row r="61785" s="689" customFormat="1" x14ac:dyDescent="0.2"/>
    <row r="61786" s="689" customFormat="1" x14ac:dyDescent="0.2"/>
    <row r="61787" s="689" customFormat="1" x14ac:dyDescent="0.2"/>
    <row r="61788" s="689" customFormat="1" x14ac:dyDescent="0.2"/>
    <row r="61789" s="689" customFormat="1" x14ac:dyDescent="0.2"/>
    <row r="61790" s="689" customFormat="1" x14ac:dyDescent="0.2"/>
    <row r="61791" s="689" customFormat="1" x14ac:dyDescent="0.2"/>
    <row r="61792" s="689" customFormat="1" x14ac:dyDescent="0.2"/>
    <row r="61793" s="689" customFormat="1" x14ac:dyDescent="0.2"/>
    <row r="61794" s="689" customFormat="1" x14ac:dyDescent="0.2"/>
    <row r="61795" s="689" customFormat="1" x14ac:dyDescent="0.2"/>
    <row r="61796" s="689" customFormat="1" x14ac:dyDescent="0.2"/>
    <row r="61797" s="689" customFormat="1" x14ac:dyDescent="0.2"/>
    <row r="61798" s="689" customFormat="1" x14ac:dyDescent="0.2"/>
    <row r="61799" s="689" customFormat="1" x14ac:dyDescent="0.2"/>
    <row r="61800" s="689" customFormat="1" x14ac:dyDescent="0.2"/>
    <row r="61801" s="689" customFormat="1" x14ac:dyDescent="0.2"/>
    <row r="61802" s="689" customFormat="1" x14ac:dyDescent="0.2"/>
    <row r="61803" s="689" customFormat="1" x14ac:dyDescent="0.2"/>
    <row r="61804" s="689" customFormat="1" x14ac:dyDescent="0.2"/>
    <row r="61805" s="689" customFormat="1" x14ac:dyDescent="0.2"/>
    <row r="61806" s="689" customFormat="1" x14ac:dyDescent="0.2"/>
    <row r="61807" s="689" customFormat="1" x14ac:dyDescent="0.2"/>
    <row r="61808" s="689" customFormat="1" x14ac:dyDescent="0.2"/>
    <row r="61809" s="689" customFormat="1" x14ac:dyDescent="0.2"/>
    <row r="61810" s="689" customFormat="1" x14ac:dyDescent="0.2"/>
    <row r="61811" s="689" customFormat="1" x14ac:dyDescent="0.2"/>
    <row r="61812" s="689" customFormat="1" x14ac:dyDescent="0.2"/>
    <row r="61813" s="689" customFormat="1" x14ac:dyDescent="0.2"/>
    <row r="61814" s="689" customFormat="1" x14ac:dyDescent="0.2"/>
    <row r="61815" s="689" customFormat="1" x14ac:dyDescent="0.2"/>
    <row r="61816" s="689" customFormat="1" x14ac:dyDescent="0.2"/>
    <row r="61817" s="689" customFormat="1" x14ac:dyDescent="0.2"/>
    <row r="61818" s="689" customFormat="1" x14ac:dyDescent="0.2"/>
    <row r="61819" s="689" customFormat="1" x14ac:dyDescent="0.2"/>
    <row r="61820" s="689" customFormat="1" x14ac:dyDescent="0.2"/>
    <row r="61821" s="689" customFormat="1" x14ac:dyDescent="0.2"/>
    <row r="61822" s="689" customFormat="1" x14ac:dyDescent="0.2"/>
    <row r="61823" s="689" customFormat="1" x14ac:dyDescent="0.2"/>
    <row r="61824" s="689" customFormat="1" x14ac:dyDescent="0.2"/>
    <row r="61825" s="689" customFormat="1" x14ac:dyDescent="0.2"/>
    <row r="61826" s="689" customFormat="1" x14ac:dyDescent="0.2"/>
    <row r="61827" s="689" customFormat="1" x14ac:dyDescent="0.2"/>
    <row r="61828" s="689" customFormat="1" x14ac:dyDescent="0.2"/>
    <row r="61829" s="689" customFormat="1" x14ac:dyDescent="0.2"/>
    <row r="61830" s="689" customFormat="1" x14ac:dyDescent="0.2"/>
    <row r="61831" s="689" customFormat="1" x14ac:dyDescent="0.2"/>
    <row r="61832" s="689" customFormat="1" x14ac:dyDescent="0.2"/>
    <row r="61833" s="689" customFormat="1" x14ac:dyDescent="0.2"/>
    <row r="61834" s="689" customFormat="1" x14ac:dyDescent="0.2"/>
    <row r="61835" s="689" customFormat="1" x14ac:dyDescent="0.2"/>
    <row r="61836" s="689" customFormat="1" x14ac:dyDescent="0.2"/>
    <row r="61837" s="689" customFormat="1" x14ac:dyDescent="0.2"/>
    <row r="61838" s="689" customFormat="1" x14ac:dyDescent="0.2"/>
    <row r="61839" s="689" customFormat="1" x14ac:dyDescent="0.2"/>
    <row r="61840" s="689" customFormat="1" x14ac:dyDescent="0.2"/>
    <row r="61841" s="689" customFormat="1" x14ac:dyDescent="0.2"/>
    <row r="61842" s="689" customFormat="1" x14ac:dyDescent="0.2"/>
    <row r="61843" s="689" customFormat="1" x14ac:dyDescent="0.2"/>
    <row r="61844" s="689" customFormat="1" x14ac:dyDescent="0.2"/>
    <row r="61845" s="689" customFormat="1" x14ac:dyDescent="0.2"/>
    <row r="61846" s="689" customFormat="1" x14ac:dyDescent="0.2"/>
    <row r="61847" s="689" customFormat="1" x14ac:dyDescent="0.2"/>
    <row r="61848" s="689" customFormat="1" x14ac:dyDescent="0.2"/>
    <row r="61849" s="689" customFormat="1" x14ac:dyDescent="0.2"/>
    <row r="61850" s="689" customFormat="1" x14ac:dyDescent="0.2"/>
    <row r="61851" s="689" customFormat="1" x14ac:dyDescent="0.2"/>
    <row r="61852" s="689" customFormat="1" x14ac:dyDescent="0.2"/>
    <row r="61853" s="689" customFormat="1" x14ac:dyDescent="0.2"/>
    <row r="61854" s="689" customFormat="1" x14ac:dyDescent="0.2"/>
    <row r="61855" s="689" customFormat="1" x14ac:dyDescent="0.2"/>
    <row r="61856" s="689" customFormat="1" x14ac:dyDescent="0.2"/>
    <row r="61857" s="689" customFormat="1" x14ac:dyDescent="0.2"/>
    <row r="61858" s="689" customFormat="1" x14ac:dyDescent="0.2"/>
    <row r="61859" s="689" customFormat="1" x14ac:dyDescent="0.2"/>
    <row r="61860" s="689" customFormat="1" x14ac:dyDescent="0.2"/>
    <row r="61861" s="689" customFormat="1" x14ac:dyDescent="0.2"/>
    <row r="61862" s="689" customFormat="1" x14ac:dyDescent="0.2"/>
    <row r="61863" s="689" customFormat="1" x14ac:dyDescent="0.2"/>
    <row r="61864" s="689" customFormat="1" x14ac:dyDescent="0.2"/>
    <row r="61865" s="689" customFormat="1" x14ac:dyDescent="0.2"/>
    <row r="61866" s="689" customFormat="1" x14ac:dyDescent="0.2"/>
    <row r="61867" s="689" customFormat="1" x14ac:dyDescent="0.2"/>
    <row r="61868" s="689" customFormat="1" x14ac:dyDescent="0.2"/>
    <row r="61869" s="689" customFormat="1" x14ac:dyDescent="0.2"/>
    <row r="61870" s="689" customFormat="1" x14ac:dyDescent="0.2"/>
    <row r="61871" s="689" customFormat="1" x14ac:dyDescent="0.2"/>
    <row r="61872" s="689" customFormat="1" x14ac:dyDescent="0.2"/>
    <row r="61873" s="689" customFormat="1" x14ac:dyDescent="0.2"/>
    <row r="61874" s="689" customFormat="1" x14ac:dyDescent="0.2"/>
    <row r="61875" s="689" customFormat="1" x14ac:dyDescent="0.2"/>
    <row r="61876" s="689" customFormat="1" x14ac:dyDescent="0.2"/>
    <row r="61877" s="689" customFormat="1" x14ac:dyDescent="0.2"/>
    <row r="61878" s="689" customFormat="1" x14ac:dyDescent="0.2"/>
    <row r="61879" s="689" customFormat="1" x14ac:dyDescent="0.2"/>
    <row r="61880" s="689" customFormat="1" x14ac:dyDescent="0.2"/>
    <row r="61881" s="689" customFormat="1" x14ac:dyDescent="0.2"/>
    <row r="61882" s="689" customFormat="1" x14ac:dyDescent="0.2"/>
    <row r="61883" s="689" customFormat="1" x14ac:dyDescent="0.2"/>
    <row r="61884" s="689" customFormat="1" x14ac:dyDescent="0.2"/>
    <row r="61885" s="689" customFormat="1" x14ac:dyDescent="0.2"/>
    <row r="61886" s="689" customFormat="1" x14ac:dyDescent="0.2"/>
    <row r="61887" s="689" customFormat="1" x14ac:dyDescent="0.2"/>
    <row r="61888" s="689" customFormat="1" x14ac:dyDescent="0.2"/>
    <row r="61889" s="689" customFormat="1" x14ac:dyDescent="0.2"/>
    <row r="61890" s="689" customFormat="1" x14ac:dyDescent="0.2"/>
    <row r="61891" s="689" customFormat="1" x14ac:dyDescent="0.2"/>
    <row r="61892" s="689" customFormat="1" x14ac:dyDescent="0.2"/>
    <row r="61893" s="689" customFormat="1" x14ac:dyDescent="0.2"/>
    <row r="61894" s="689" customFormat="1" x14ac:dyDescent="0.2"/>
    <row r="61895" s="689" customFormat="1" x14ac:dyDescent="0.2"/>
    <row r="61896" s="689" customFormat="1" x14ac:dyDescent="0.2"/>
    <row r="61897" s="689" customFormat="1" x14ac:dyDescent="0.2"/>
    <row r="61898" s="689" customFormat="1" x14ac:dyDescent="0.2"/>
    <row r="61899" s="689" customFormat="1" x14ac:dyDescent="0.2"/>
    <row r="61900" s="689" customFormat="1" x14ac:dyDescent="0.2"/>
    <row r="61901" s="689" customFormat="1" x14ac:dyDescent="0.2"/>
    <row r="61902" s="689" customFormat="1" x14ac:dyDescent="0.2"/>
    <row r="61903" s="689" customFormat="1" x14ac:dyDescent="0.2"/>
    <row r="61904" s="689" customFormat="1" x14ac:dyDescent="0.2"/>
    <row r="61905" s="689" customFormat="1" x14ac:dyDescent="0.2"/>
    <row r="61906" s="689" customFormat="1" x14ac:dyDescent="0.2"/>
    <row r="61907" s="689" customFormat="1" x14ac:dyDescent="0.2"/>
    <row r="61908" s="689" customFormat="1" x14ac:dyDescent="0.2"/>
    <row r="61909" s="689" customFormat="1" x14ac:dyDescent="0.2"/>
    <row r="61910" s="689" customFormat="1" x14ac:dyDescent="0.2"/>
    <row r="61911" s="689" customFormat="1" x14ac:dyDescent="0.2"/>
    <row r="61912" s="689" customFormat="1" x14ac:dyDescent="0.2"/>
    <row r="61913" s="689" customFormat="1" x14ac:dyDescent="0.2"/>
    <row r="61914" s="689" customFormat="1" x14ac:dyDescent="0.2"/>
    <row r="61915" s="689" customFormat="1" x14ac:dyDescent="0.2"/>
    <row r="61916" s="689" customFormat="1" x14ac:dyDescent="0.2"/>
    <row r="61917" s="689" customFormat="1" x14ac:dyDescent="0.2"/>
    <row r="61918" s="689" customFormat="1" x14ac:dyDescent="0.2"/>
    <row r="61919" s="689" customFormat="1" x14ac:dyDescent="0.2"/>
    <row r="61920" s="689" customFormat="1" x14ac:dyDescent="0.2"/>
    <row r="61921" s="689" customFormat="1" x14ac:dyDescent="0.2"/>
    <row r="61922" s="689" customFormat="1" x14ac:dyDescent="0.2"/>
    <row r="61923" s="689" customFormat="1" x14ac:dyDescent="0.2"/>
    <row r="61924" s="689" customFormat="1" x14ac:dyDescent="0.2"/>
    <row r="61925" s="689" customFormat="1" x14ac:dyDescent="0.2"/>
    <row r="61926" s="689" customFormat="1" x14ac:dyDescent="0.2"/>
    <row r="61927" s="689" customFormat="1" x14ac:dyDescent="0.2"/>
    <row r="61928" s="689" customFormat="1" x14ac:dyDescent="0.2"/>
    <row r="61929" s="689" customFormat="1" x14ac:dyDescent="0.2"/>
    <row r="61930" s="689" customFormat="1" x14ac:dyDescent="0.2"/>
    <row r="61931" s="689" customFormat="1" x14ac:dyDescent="0.2"/>
    <row r="61932" s="689" customFormat="1" x14ac:dyDescent="0.2"/>
    <row r="61933" s="689" customFormat="1" x14ac:dyDescent="0.2"/>
    <row r="61934" s="689" customFormat="1" x14ac:dyDescent="0.2"/>
    <row r="61935" s="689" customFormat="1" x14ac:dyDescent="0.2"/>
    <row r="61936" s="689" customFormat="1" x14ac:dyDescent="0.2"/>
    <row r="61937" s="689" customFormat="1" x14ac:dyDescent="0.2"/>
    <row r="61938" s="689" customFormat="1" x14ac:dyDescent="0.2"/>
    <row r="61939" s="689" customFormat="1" x14ac:dyDescent="0.2"/>
    <row r="61940" s="689" customFormat="1" x14ac:dyDescent="0.2"/>
    <row r="61941" s="689" customFormat="1" x14ac:dyDescent="0.2"/>
    <row r="61942" s="689" customFormat="1" x14ac:dyDescent="0.2"/>
    <row r="61943" s="689" customFormat="1" x14ac:dyDescent="0.2"/>
    <row r="61944" s="689" customFormat="1" x14ac:dyDescent="0.2"/>
    <row r="61945" s="689" customFormat="1" x14ac:dyDescent="0.2"/>
    <row r="61946" s="689" customFormat="1" x14ac:dyDescent="0.2"/>
    <row r="61947" s="689" customFormat="1" x14ac:dyDescent="0.2"/>
    <row r="61948" s="689" customFormat="1" x14ac:dyDescent="0.2"/>
    <row r="61949" s="689" customFormat="1" x14ac:dyDescent="0.2"/>
    <row r="61950" s="689" customFormat="1" x14ac:dyDescent="0.2"/>
    <row r="61951" s="689" customFormat="1" x14ac:dyDescent="0.2"/>
    <row r="61952" s="689" customFormat="1" x14ac:dyDescent="0.2"/>
    <row r="61953" s="689" customFormat="1" x14ac:dyDescent="0.2"/>
    <row r="61954" s="689" customFormat="1" x14ac:dyDescent="0.2"/>
    <row r="61955" s="689" customFormat="1" x14ac:dyDescent="0.2"/>
    <row r="61956" s="689" customFormat="1" x14ac:dyDescent="0.2"/>
    <row r="61957" s="689" customFormat="1" x14ac:dyDescent="0.2"/>
    <row r="61958" s="689" customFormat="1" x14ac:dyDescent="0.2"/>
    <row r="61959" s="689" customFormat="1" x14ac:dyDescent="0.2"/>
    <row r="61960" s="689" customFormat="1" x14ac:dyDescent="0.2"/>
    <row r="61961" s="689" customFormat="1" x14ac:dyDescent="0.2"/>
    <row r="61962" s="689" customFormat="1" x14ac:dyDescent="0.2"/>
    <row r="61963" s="689" customFormat="1" x14ac:dyDescent="0.2"/>
    <row r="61964" s="689" customFormat="1" x14ac:dyDescent="0.2"/>
    <row r="61965" s="689" customFormat="1" x14ac:dyDescent="0.2"/>
    <row r="61966" s="689" customFormat="1" x14ac:dyDescent="0.2"/>
    <row r="61967" s="689" customFormat="1" x14ac:dyDescent="0.2"/>
    <row r="61968" s="689" customFormat="1" x14ac:dyDescent="0.2"/>
    <row r="61969" s="689" customFormat="1" x14ac:dyDescent="0.2"/>
    <row r="61970" s="689" customFormat="1" x14ac:dyDescent="0.2"/>
    <row r="61971" s="689" customFormat="1" x14ac:dyDescent="0.2"/>
    <row r="61972" s="689" customFormat="1" x14ac:dyDescent="0.2"/>
    <row r="61973" s="689" customFormat="1" x14ac:dyDescent="0.2"/>
    <row r="61974" s="689" customFormat="1" x14ac:dyDescent="0.2"/>
    <row r="61975" s="689" customFormat="1" x14ac:dyDescent="0.2"/>
    <row r="61976" s="689" customFormat="1" x14ac:dyDescent="0.2"/>
    <row r="61977" s="689" customFormat="1" x14ac:dyDescent="0.2"/>
    <row r="61978" s="689" customFormat="1" x14ac:dyDescent="0.2"/>
    <row r="61979" s="689" customFormat="1" x14ac:dyDescent="0.2"/>
    <row r="61980" s="689" customFormat="1" x14ac:dyDescent="0.2"/>
    <row r="61981" s="689" customFormat="1" x14ac:dyDescent="0.2"/>
    <row r="61982" s="689" customFormat="1" x14ac:dyDescent="0.2"/>
    <row r="61983" s="689" customFormat="1" x14ac:dyDescent="0.2"/>
    <row r="61984" s="689" customFormat="1" x14ac:dyDescent="0.2"/>
    <row r="61985" s="689" customFormat="1" x14ac:dyDescent="0.2"/>
    <row r="61986" s="689" customFormat="1" x14ac:dyDescent="0.2"/>
    <row r="61987" s="689" customFormat="1" x14ac:dyDescent="0.2"/>
    <row r="61988" s="689" customFormat="1" x14ac:dyDescent="0.2"/>
    <row r="61989" s="689" customFormat="1" x14ac:dyDescent="0.2"/>
    <row r="61990" s="689" customFormat="1" x14ac:dyDescent="0.2"/>
    <row r="61991" s="689" customFormat="1" x14ac:dyDescent="0.2"/>
    <row r="61992" s="689" customFormat="1" x14ac:dyDescent="0.2"/>
    <row r="61993" s="689" customFormat="1" x14ac:dyDescent="0.2"/>
    <row r="61994" s="689" customFormat="1" x14ac:dyDescent="0.2"/>
    <row r="61995" s="689" customFormat="1" x14ac:dyDescent="0.2"/>
    <row r="61996" s="689" customFormat="1" x14ac:dyDescent="0.2"/>
    <row r="61997" s="689" customFormat="1" x14ac:dyDescent="0.2"/>
    <row r="61998" s="689" customFormat="1" x14ac:dyDescent="0.2"/>
    <row r="61999" s="689" customFormat="1" x14ac:dyDescent="0.2"/>
    <row r="62000" s="689" customFormat="1" x14ac:dyDescent="0.2"/>
    <row r="62001" s="689" customFormat="1" x14ac:dyDescent="0.2"/>
    <row r="62002" s="689" customFormat="1" x14ac:dyDescent="0.2"/>
    <row r="62003" s="689" customFormat="1" x14ac:dyDescent="0.2"/>
    <row r="62004" s="689" customFormat="1" x14ac:dyDescent="0.2"/>
    <row r="62005" s="689" customFormat="1" x14ac:dyDescent="0.2"/>
    <row r="62006" s="689" customFormat="1" x14ac:dyDescent="0.2"/>
    <row r="62007" s="689" customFormat="1" x14ac:dyDescent="0.2"/>
    <row r="62008" s="689" customFormat="1" x14ac:dyDescent="0.2"/>
    <row r="62009" s="689" customFormat="1" x14ac:dyDescent="0.2"/>
    <row r="62010" s="689" customFormat="1" x14ac:dyDescent="0.2"/>
    <row r="62011" s="689" customFormat="1" x14ac:dyDescent="0.2"/>
    <row r="62012" s="689" customFormat="1" x14ac:dyDescent="0.2"/>
    <row r="62013" s="689" customFormat="1" x14ac:dyDescent="0.2"/>
    <row r="62014" s="689" customFormat="1" x14ac:dyDescent="0.2"/>
    <row r="62015" s="689" customFormat="1" x14ac:dyDescent="0.2"/>
    <row r="62016" s="689" customFormat="1" x14ac:dyDescent="0.2"/>
    <row r="62017" s="689" customFormat="1" x14ac:dyDescent="0.2"/>
    <row r="62018" s="689" customFormat="1" x14ac:dyDescent="0.2"/>
    <row r="62019" s="689" customFormat="1" x14ac:dyDescent="0.2"/>
    <row r="62020" s="689" customFormat="1" x14ac:dyDescent="0.2"/>
    <row r="62021" s="689" customFormat="1" x14ac:dyDescent="0.2"/>
    <row r="62022" s="689" customFormat="1" x14ac:dyDescent="0.2"/>
    <row r="62023" s="689" customFormat="1" x14ac:dyDescent="0.2"/>
    <row r="62024" s="689" customFormat="1" x14ac:dyDescent="0.2"/>
    <row r="62025" s="689" customFormat="1" x14ac:dyDescent="0.2"/>
    <row r="62026" s="689" customFormat="1" x14ac:dyDescent="0.2"/>
    <row r="62027" s="689" customFormat="1" x14ac:dyDescent="0.2"/>
    <row r="62028" s="689" customFormat="1" x14ac:dyDescent="0.2"/>
    <row r="62029" s="689" customFormat="1" x14ac:dyDescent="0.2"/>
    <row r="62030" s="689" customFormat="1" x14ac:dyDescent="0.2"/>
    <row r="62031" s="689" customFormat="1" x14ac:dyDescent="0.2"/>
    <row r="62032" s="689" customFormat="1" x14ac:dyDescent="0.2"/>
    <row r="62033" s="689" customFormat="1" x14ac:dyDescent="0.2"/>
    <row r="62034" s="689" customFormat="1" x14ac:dyDescent="0.2"/>
    <row r="62035" s="689" customFormat="1" x14ac:dyDescent="0.2"/>
    <row r="62036" s="689" customFormat="1" x14ac:dyDescent="0.2"/>
    <row r="62037" s="689" customFormat="1" x14ac:dyDescent="0.2"/>
    <row r="62038" s="689" customFormat="1" x14ac:dyDescent="0.2"/>
    <row r="62039" s="689" customFormat="1" x14ac:dyDescent="0.2"/>
    <row r="62040" s="689" customFormat="1" x14ac:dyDescent="0.2"/>
    <row r="62041" s="689" customFormat="1" x14ac:dyDescent="0.2"/>
    <row r="62042" s="689" customFormat="1" x14ac:dyDescent="0.2"/>
    <row r="62043" s="689" customFormat="1" x14ac:dyDescent="0.2"/>
    <row r="62044" s="689" customFormat="1" x14ac:dyDescent="0.2"/>
    <row r="62045" s="689" customFormat="1" x14ac:dyDescent="0.2"/>
    <row r="62046" s="689" customFormat="1" x14ac:dyDescent="0.2"/>
    <row r="62047" s="689" customFormat="1" x14ac:dyDescent="0.2"/>
    <row r="62048" s="689" customFormat="1" x14ac:dyDescent="0.2"/>
    <row r="62049" s="689" customFormat="1" x14ac:dyDescent="0.2"/>
    <row r="62050" s="689" customFormat="1" x14ac:dyDescent="0.2"/>
    <row r="62051" s="689" customFormat="1" x14ac:dyDescent="0.2"/>
    <row r="62052" s="689" customFormat="1" x14ac:dyDescent="0.2"/>
    <row r="62053" s="689" customFormat="1" x14ac:dyDescent="0.2"/>
    <row r="62054" s="689" customFormat="1" x14ac:dyDescent="0.2"/>
    <row r="62055" s="689" customFormat="1" x14ac:dyDescent="0.2"/>
    <row r="62056" s="689" customFormat="1" x14ac:dyDescent="0.2"/>
    <row r="62057" s="689" customFormat="1" x14ac:dyDescent="0.2"/>
    <row r="62058" s="689" customFormat="1" x14ac:dyDescent="0.2"/>
    <row r="62059" s="689" customFormat="1" x14ac:dyDescent="0.2"/>
    <row r="62060" s="689" customFormat="1" x14ac:dyDescent="0.2"/>
    <row r="62061" s="689" customFormat="1" x14ac:dyDescent="0.2"/>
    <row r="62062" s="689" customFormat="1" x14ac:dyDescent="0.2"/>
    <row r="62063" s="689" customFormat="1" x14ac:dyDescent="0.2"/>
    <row r="62064" s="689" customFormat="1" x14ac:dyDescent="0.2"/>
    <row r="62065" s="689" customFormat="1" x14ac:dyDescent="0.2"/>
    <row r="62066" s="689" customFormat="1" x14ac:dyDescent="0.2"/>
    <row r="62067" s="689" customFormat="1" x14ac:dyDescent="0.2"/>
    <row r="62068" s="689" customFormat="1" x14ac:dyDescent="0.2"/>
    <row r="62069" s="689" customFormat="1" x14ac:dyDescent="0.2"/>
    <row r="62070" s="689" customFormat="1" x14ac:dyDescent="0.2"/>
    <row r="62071" s="689" customFormat="1" x14ac:dyDescent="0.2"/>
    <row r="62072" s="689" customFormat="1" x14ac:dyDescent="0.2"/>
    <row r="62073" s="689" customFormat="1" x14ac:dyDescent="0.2"/>
    <row r="62074" s="689" customFormat="1" x14ac:dyDescent="0.2"/>
    <row r="62075" s="689" customFormat="1" x14ac:dyDescent="0.2"/>
    <row r="62076" s="689" customFormat="1" x14ac:dyDescent="0.2"/>
    <row r="62077" s="689" customFormat="1" x14ac:dyDescent="0.2"/>
    <row r="62078" s="689" customFormat="1" x14ac:dyDescent="0.2"/>
    <row r="62079" s="689" customFormat="1" x14ac:dyDescent="0.2"/>
    <row r="62080" s="689" customFormat="1" x14ac:dyDescent="0.2"/>
    <row r="62081" s="689" customFormat="1" x14ac:dyDescent="0.2"/>
    <row r="62082" s="689" customFormat="1" x14ac:dyDescent="0.2"/>
    <row r="62083" s="689" customFormat="1" x14ac:dyDescent="0.2"/>
    <row r="62084" s="689" customFormat="1" x14ac:dyDescent="0.2"/>
    <row r="62085" s="689" customFormat="1" x14ac:dyDescent="0.2"/>
    <row r="62086" s="689" customFormat="1" x14ac:dyDescent="0.2"/>
    <row r="62087" s="689" customFormat="1" x14ac:dyDescent="0.2"/>
    <row r="62088" s="689" customFormat="1" x14ac:dyDescent="0.2"/>
    <row r="62089" s="689" customFormat="1" x14ac:dyDescent="0.2"/>
    <row r="62090" s="689" customFormat="1" x14ac:dyDescent="0.2"/>
    <row r="62091" s="689" customFormat="1" x14ac:dyDescent="0.2"/>
    <row r="62092" s="689" customFormat="1" x14ac:dyDescent="0.2"/>
    <row r="62093" s="689" customFormat="1" x14ac:dyDescent="0.2"/>
    <row r="62094" s="689" customFormat="1" x14ac:dyDescent="0.2"/>
    <row r="62095" s="689" customFormat="1" x14ac:dyDescent="0.2"/>
    <row r="62096" s="689" customFormat="1" x14ac:dyDescent="0.2"/>
    <row r="62097" s="689" customFormat="1" x14ac:dyDescent="0.2"/>
    <row r="62098" s="689" customFormat="1" x14ac:dyDescent="0.2"/>
    <row r="62099" s="689" customFormat="1" x14ac:dyDescent="0.2"/>
    <row r="62100" s="689" customFormat="1" x14ac:dyDescent="0.2"/>
    <row r="62101" s="689" customFormat="1" x14ac:dyDescent="0.2"/>
    <row r="62102" s="689" customFormat="1" x14ac:dyDescent="0.2"/>
    <row r="62103" s="689" customFormat="1" x14ac:dyDescent="0.2"/>
    <row r="62104" s="689" customFormat="1" x14ac:dyDescent="0.2"/>
    <row r="62105" s="689" customFormat="1" x14ac:dyDescent="0.2"/>
    <row r="62106" s="689" customFormat="1" x14ac:dyDescent="0.2"/>
    <row r="62107" s="689" customFormat="1" x14ac:dyDescent="0.2"/>
    <row r="62108" s="689" customFormat="1" x14ac:dyDescent="0.2"/>
    <row r="62109" s="689" customFormat="1" x14ac:dyDescent="0.2"/>
    <row r="62110" s="689" customFormat="1" x14ac:dyDescent="0.2"/>
    <row r="62111" s="689" customFormat="1" x14ac:dyDescent="0.2"/>
    <row r="62112" s="689" customFormat="1" x14ac:dyDescent="0.2"/>
    <row r="62113" s="689" customFormat="1" x14ac:dyDescent="0.2"/>
    <row r="62114" s="689" customFormat="1" x14ac:dyDescent="0.2"/>
    <row r="62115" s="689" customFormat="1" x14ac:dyDescent="0.2"/>
    <row r="62116" s="689" customFormat="1" x14ac:dyDescent="0.2"/>
    <row r="62117" s="689" customFormat="1" x14ac:dyDescent="0.2"/>
    <row r="62118" s="689" customFormat="1" x14ac:dyDescent="0.2"/>
    <row r="62119" s="689" customFormat="1" x14ac:dyDescent="0.2"/>
    <row r="62120" s="689" customFormat="1" x14ac:dyDescent="0.2"/>
    <row r="62121" s="689" customFormat="1" x14ac:dyDescent="0.2"/>
    <row r="62122" s="689" customFormat="1" x14ac:dyDescent="0.2"/>
    <row r="62123" s="689" customFormat="1" x14ac:dyDescent="0.2"/>
    <row r="62124" s="689" customFormat="1" x14ac:dyDescent="0.2"/>
    <row r="62125" s="689" customFormat="1" x14ac:dyDescent="0.2"/>
    <row r="62126" s="689" customFormat="1" x14ac:dyDescent="0.2"/>
    <row r="62127" s="689" customFormat="1" x14ac:dyDescent="0.2"/>
    <row r="62128" s="689" customFormat="1" x14ac:dyDescent="0.2"/>
    <row r="62129" s="689" customFormat="1" x14ac:dyDescent="0.2"/>
    <row r="62130" s="689" customFormat="1" x14ac:dyDescent="0.2"/>
    <row r="62131" s="689" customFormat="1" x14ac:dyDescent="0.2"/>
    <row r="62132" s="689" customFormat="1" x14ac:dyDescent="0.2"/>
    <row r="62133" s="689" customFormat="1" x14ac:dyDescent="0.2"/>
    <row r="62134" s="689" customFormat="1" x14ac:dyDescent="0.2"/>
    <row r="62135" s="689" customFormat="1" x14ac:dyDescent="0.2"/>
    <row r="62136" s="689" customFormat="1" x14ac:dyDescent="0.2"/>
    <row r="62137" s="689" customFormat="1" x14ac:dyDescent="0.2"/>
    <row r="62138" s="689" customFormat="1" x14ac:dyDescent="0.2"/>
    <row r="62139" s="689" customFormat="1" x14ac:dyDescent="0.2"/>
    <row r="62140" s="689" customFormat="1" x14ac:dyDescent="0.2"/>
    <row r="62141" s="689" customFormat="1" x14ac:dyDescent="0.2"/>
    <row r="62142" s="689" customFormat="1" x14ac:dyDescent="0.2"/>
    <row r="62143" s="689" customFormat="1" x14ac:dyDescent="0.2"/>
    <row r="62144" s="689" customFormat="1" x14ac:dyDescent="0.2"/>
    <row r="62145" s="689" customFormat="1" x14ac:dyDescent="0.2"/>
    <row r="62146" s="689" customFormat="1" x14ac:dyDescent="0.2"/>
    <row r="62147" s="689" customFormat="1" x14ac:dyDescent="0.2"/>
    <row r="62148" s="689" customFormat="1" x14ac:dyDescent="0.2"/>
    <row r="62149" s="689" customFormat="1" x14ac:dyDescent="0.2"/>
    <row r="62150" s="689" customFormat="1" x14ac:dyDescent="0.2"/>
    <row r="62151" s="689" customFormat="1" x14ac:dyDescent="0.2"/>
    <row r="62152" s="689" customFormat="1" x14ac:dyDescent="0.2"/>
    <row r="62153" s="689" customFormat="1" x14ac:dyDescent="0.2"/>
    <row r="62154" s="689" customFormat="1" x14ac:dyDescent="0.2"/>
    <row r="62155" s="689" customFormat="1" x14ac:dyDescent="0.2"/>
    <row r="62156" s="689" customFormat="1" x14ac:dyDescent="0.2"/>
    <row r="62157" s="689" customFormat="1" x14ac:dyDescent="0.2"/>
    <row r="62158" s="689" customFormat="1" x14ac:dyDescent="0.2"/>
    <row r="62159" s="689" customFormat="1" x14ac:dyDescent="0.2"/>
    <row r="62160" s="689" customFormat="1" x14ac:dyDescent="0.2"/>
    <row r="62161" s="689" customFormat="1" x14ac:dyDescent="0.2"/>
    <row r="62162" s="689" customFormat="1" x14ac:dyDescent="0.2"/>
    <row r="62163" s="689" customFormat="1" x14ac:dyDescent="0.2"/>
    <row r="62164" s="689" customFormat="1" x14ac:dyDescent="0.2"/>
    <row r="62165" s="689" customFormat="1" x14ac:dyDescent="0.2"/>
    <row r="62166" s="689" customFormat="1" x14ac:dyDescent="0.2"/>
    <row r="62167" s="689" customFormat="1" x14ac:dyDescent="0.2"/>
    <row r="62168" s="689" customFormat="1" x14ac:dyDescent="0.2"/>
    <row r="62169" s="689" customFormat="1" x14ac:dyDescent="0.2"/>
    <row r="62170" s="689" customFormat="1" x14ac:dyDescent="0.2"/>
    <row r="62171" s="689" customFormat="1" x14ac:dyDescent="0.2"/>
    <row r="62172" s="689" customFormat="1" x14ac:dyDescent="0.2"/>
    <row r="62173" s="689" customFormat="1" x14ac:dyDescent="0.2"/>
    <row r="62174" s="689" customFormat="1" x14ac:dyDescent="0.2"/>
    <row r="62175" s="689" customFormat="1" x14ac:dyDescent="0.2"/>
    <row r="62176" s="689" customFormat="1" x14ac:dyDescent="0.2"/>
    <row r="62177" s="689" customFormat="1" x14ac:dyDescent="0.2"/>
    <row r="62178" s="689" customFormat="1" x14ac:dyDescent="0.2"/>
    <row r="62179" s="689" customFormat="1" x14ac:dyDescent="0.2"/>
    <row r="62180" s="689" customFormat="1" x14ac:dyDescent="0.2"/>
    <row r="62181" s="689" customFormat="1" x14ac:dyDescent="0.2"/>
    <row r="62182" s="689" customFormat="1" x14ac:dyDescent="0.2"/>
    <row r="62183" s="689" customFormat="1" x14ac:dyDescent="0.2"/>
    <row r="62184" s="689" customFormat="1" x14ac:dyDescent="0.2"/>
    <row r="62185" s="689" customFormat="1" x14ac:dyDescent="0.2"/>
    <row r="62186" s="689" customFormat="1" x14ac:dyDescent="0.2"/>
    <row r="62187" s="689" customFormat="1" x14ac:dyDescent="0.2"/>
    <row r="62188" s="689" customFormat="1" x14ac:dyDescent="0.2"/>
    <row r="62189" s="689" customFormat="1" x14ac:dyDescent="0.2"/>
    <row r="62190" s="689" customFormat="1" x14ac:dyDescent="0.2"/>
    <row r="62191" s="689" customFormat="1" x14ac:dyDescent="0.2"/>
    <row r="62192" s="689" customFormat="1" x14ac:dyDescent="0.2"/>
    <row r="62193" s="689" customFormat="1" x14ac:dyDescent="0.2"/>
    <row r="62194" s="689" customFormat="1" x14ac:dyDescent="0.2"/>
    <row r="62195" s="689" customFormat="1" x14ac:dyDescent="0.2"/>
    <row r="62196" s="689" customFormat="1" x14ac:dyDescent="0.2"/>
    <row r="62197" s="689" customFormat="1" x14ac:dyDescent="0.2"/>
    <row r="62198" s="689" customFormat="1" x14ac:dyDescent="0.2"/>
    <row r="62199" s="689" customFormat="1" x14ac:dyDescent="0.2"/>
    <row r="62200" s="689" customFormat="1" x14ac:dyDescent="0.2"/>
    <row r="62201" s="689" customFormat="1" x14ac:dyDescent="0.2"/>
    <row r="62202" s="689" customFormat="1" x14ac:dyDescent="0.2"/>
    <row r="62203" s="689" customFormat="1" x14ac:dyDescent="0.2"/>
    <row r="62204" s="689" customFormat="1" x14ac:dyDescent="0.2"/>
    <row r="62205" s="689" customFormat="1" x14ac:dyDescent="0.2"/>
    <row r="62206" s="689" customFormat="1" x14ac:dyDescent="0.2"/>
    <row r="62207" s="689" customFormat="1" x14ac:dyDescent="0.2"/>
    <row r="62208" s="689" customFormat="1" x14ac:dyDescent="0.2"/>
    <row r="62209" s="689" customFormat="1" x14ac:dyDescent="0.2"/>
    <row r="62210" s="689" customFormat="1" x14ac:dyDescent="0.2"/>
    <row r="62211" s="689" customFormat="1" x14ac:dyDescent="0.2"/>
    <row r="62212" s="689" customFormat="1" x14ac:dyDescent="0.2"/>
    <row r="62213" s="689" customFormat="1" x14ac:dyDescent="0.2"/>
    <row r="62214" s="689" customFormat="1" x14ac:dyDescent="0.2"/>
    <row r="62215" s="689" customFormat="1" x14ac:dyDescent="0.2"/>
    <row r="62216" s="689" customFormat="1" x14ac:dyDescent="0.2"/>
    <row r="62217" s="689" customFormat="1" x14ac:dyDescent="0.2"/>
    <row r="62218" s="689" customFormat="1" x14ac:dyDescent="0.2"/>
    <row r="62219" s="689" customFormat="1" x14ac:dyDescent="0.2"/>
    <row r="62220" s="689" customFormat="1" x14ac:dyDescent="0.2"/>
    <row r="62221" s="689" customFormat="1" x14ac:dyDescent="0.2"/>
    <row r="62222" s="689" customFormat="1" x14ac:dyDescent="0.2"/>
    <row r="62223" s="689" customFormat="1" x14ac:dyDescent="0.2"/>
    <row r="62224" s="689" customFormat="1" x14ac:dyDescent="0.2"/>
    <row r="62225" s="689" customFormat="1" x14ac:dyDescent="0.2"/>
    <row r="62226" s="689" customFormat="1" x14ac:dyDescent="0.2"/>
    <row r="62227" s="689" customFormat="1" x14ac:dyDescent="0.2"/>
    <row r="62228" s="689" customFormat="1" x14ac:dyDescent="0.2"/>
    <row r="62229" s="689" customFormat="1" x14ac:dyDescent="0.2"/>
    <row r="62230" s="689" customFormat="1" x14ac:dyDescent="0.2"/>
    <row r="62231" s="689" customFormat="1" x14ac:dyDescent="0.2"/>
    <row r="62232" s="689" customFormat="1" x14ac:dyDescent="0.2"/>
    <row r="62233" s="689" customFormat="1" x14ac:dyDescent="0.2"/>
    <row r="62234" s="689" customFormat="1" x14ac:dyDescent="0.2"/>
    <row r="62235" s="689" customFormat="1" x14ac:dyDescent="0.2"/>
    <row r="62236" s="689" customFormat="1" x14ac:dyDescent="0.2"/>
    <row r="62237" s="689" customFormat="1" x14ac:dyDescent="0.2"/>
    <row r="62238" s="689" customFormat="1" x14ac:dyDescent="0.2"/>
    <row r="62239" s="689" customFormat="1" x14ac:dyDescent="0.2"/>
    <row r="62240" s="689" customFormat="1" x14ac:dyDescent="0.2"/>
    <row r="62241" s="689" customFormat="1" x14ac:dyDescent="0.2"/>
    <row r="62242" s="689" customFormat="1" x14ac:dyDescent="0.2"/>
    <row r="62243" s="689" customFormat="1" x14ac:dyDescent="0.2"/>
    <row r="62244" s="689" customFormat="1" x14ac:dyDescent="0.2"/>
    <row r="62245" s="689" customFormat="1" x14ac:dyDescent="0.2"/>
    <row r="62246" s="689" customFormat="1" x14ac:dyDescent="0.2"/>
    <row r="62247" s="689" customFormat="1" x14ac:dyDescent="0.2"/>
    <row r="62248" s="689" customFormat="1" x14ac:dyDescent="0.2"/>
    <row r="62249" s="689" customFormat="1" x14ac:dyDescent="0.2"/>
    <row r="62250" s="689" customFormat="1" x14ac:dyDescent="0.2"/>
    <row r="62251" s="689" customFormat="1" x14ac:dyDescent="0.2"/>
    <row r="62252" s="689" customFormat="1" x14ac:dyDescent="0.2"/>
    <row r="62253" s="689" customFormat="1" x14ac:dyDescent="0.2"/>
    <row r="62254" s="689" customFormat="1" x14ac:dyDescent="0.2"/>
    <row r="62255" s="689" customFormat="1" x14ac:dyDescent="0.2"/>
    <row r="62256" s="689" customFormat="1" x14ac:dyDescent="0.2"/>
    <row r="62257" s="689" customFormat="1" x14ac:dyDescent="0.2"/>
    <row r="62258" s="689" customFormat="1" x14ac:dyDescent="0.2"/>
    <row r="62259" s="689" customFormat="1" x14ac:dyDescent="0.2"/>
    <row r="62260" s="689" customFormat="1" x14ac:dyDescent="0.2"/>
    <row r="62261" s="689" customFormat="1" x14ac:dyDescent="0.2"/>
    <row r="62262" s="689" customFormat="1" x14ac:dyDescent="0.2"/>
    <row r="62263" s="689" customFormat="1" x14ac:dyDescent="0.2"/>
    <row r="62264" s="689" customFormat="1" x14ac:dyDescent="0.2"/>
    <row r="62265" s="689" customFormat="1" x14ac:dyDescent="0.2"/>
    <row r="62266" s="689" customFormat="1" x14ac:dyDescent="0.2"/>
    <row r="62267" s="689" customFormat="1" x14ac:dyDescent="0.2"/>
    <row r="62268" s="689" customFormat="1" x14ac:dyDescent="0.2"/>
    <row r="62269" s="689" customFormat="1" x14ac:dyDescent="0.2"/>
    <row r="62270" s="689" customFormat="1" x14ac:dyDescent="0.2"/>
    <row r="62271" s="689" customFormat="1" x14ac:dyDescent="0.2"/>
    <row r="62272" s="689" customFormat="1" x14ac:dyDescent="0.2"/>
    <row r="62273" s="689" customFormat="1" x14ac:dyDescent="0.2"/>
    <row r="62274" s="689" customFormat="1" x14ac:dyDescent="0.2"/>
    <row r="62275" s="689" customFormat="1" x14ac:dyDescent="0.2"/>
    <row r="62276" s="689" customFormat="1" x14ac:dyDescent="0.2"/>
    <row r="62277" s="689" customFormat="1" x14ac:dyDescent="0.2"/>
    <row r="62278" s="689" customFormat="1" x14ac:dyDescent="0.2"/>
    <row r="62279" s="689" customFormat="1" x14ac:dyDescent="0.2"/>
    <row r="62280" s="689" customFormat="1" x14ac:dyDescent="0.2"/>
    <row r="62281" s="689" customFormat="1" x14ac:dyDescent="0.2"/>
    <row r="62282" s="689" customFormat="1" x14ac:dyDescent="0.2"/>
    <row r="62283" s="689" customFormat="1" x14ac:dyDescent="0.2"/>
    <row r="62284" s="689" customFormat="1" x14ac:dyDescent="0.2"/>
    <row r="62285" s="689" customFormat="1" x14ac:dyDescent="0.2"/>
    <row r="62286" s="689" customFormat="1" x14ac:dyDescent="0.2"/>
    <row r="62287" s="689" customFormat="1" x14ac:dyDescent="0.2"/>
    <row r="62288" s="689" customFormat="1" x14ac:dyDescent="0.2"/>
    <row r="62289" s="689" customFormat="1" x14ac:dyDescent="0.2"/>
    <row r="62290" s="689" customFormat="1" x14ac:dyDescent="0.2"/>
    <row r="62291" s="689" customFormat="1" x14ac:dyDescent="0.2"/>
    <row r="62292" s="689" customFormat="1" x14ac:dyDescent="0.2"/>
    <row r="62293" s="689" customFormat="1" x14ac:dyDescent="0.2"/>
    <row r="62294" s="689" customFormat="1" x14ac:dyDescent="0.2"/>
    <row r="62295" s="689" customFormat="1" x14ac:dyDescent="0.2"/>
    <row r="62296" s="689" customFormat="1" x14ac:dyDescent="0.2"/>
    <row r="62297" s="689" customFormat="1" x14ac:dyDescent="0.2"/>
    <row r="62298" s="689" customFormat="1" x14ac:dyDescent="0.2"/>
    <row r="62299" s="689" customFormat="1" x14ac:dyDescent="0.2"/>
    <row r="62300" s="689" customFormat="1" x14ac:dyDescent="0.2"/>
    <row r="62301" s="689" customFormat="1" x14ac:dyDescent="0.2"/>
    <row r="62302" s="689" customFormat="1" x14ac:dyDescent="0.2"/>
    <row r="62303" s="689" customFormat="1" x14ac:dyDescent="0.2"/>
    <row r="62304" s="689" customFormat="1" x14ac:dyDescent="0.2"/>
    <row r="62305" s="689" customFormat="1" x14ac:dyDescent="0.2"/>
    <row r="62306" s="689" customFormat="1" x14ac:dyDescent="0.2"/>
    <row r="62307" s="689" customFormat="1" x14ac:dyDescent="0.2"/>
    <row r="62308" s="689" customFormat="1" x14ac:dyDescent="0.2"/>
    <row r="62309" s="689" customFormat="1" x14ac:dyDescent="0.2"/>
    <row r="62310" s="689" customFormat="1" x14ac:dyDescent="0.2"/>
    <row r="62311" s="689" customFormat="1" x14ac:dyDescent="0.2"/>
    <row r="62312" s="689" customFormat="1" x14ac:dyDescent="0.2"/>
    <row r="62313" s="689" customFormat="1" x14ac:dyDescent="0.2"/>
    <row r="62314" s="689" customFormat="1" x14ac:dyDescent="0.2"/>
    <row r="62315" s="689" customFormat="1" x14ac:dyDescent="0.2"/>
    <row r="62316" s="689" customFormat="1" x14ac:dyDescent="0.2"/>
    <row r="62317" s="689" customFormat="1" x14ac:dyDescent="0.2"/>
    <row r="62318" s="689" customFormat="1" x14ac:dyDescent="0.2"/>
    <row r="62319" s="689" customFormat="1" x14ac:dyDescent="0.2"/>
    <row r="62320" s="689" customFormat="1" x14ac:dyDescent="0.2"/>
    <row r="62321" s="689" customFormat="1" x14ac:dyDescent="0.2"/>
    <row r="62322" s="689" customFormat="1" x14ac:dyDescent="0.2"/>
    <row r="62323" s="689" customFormat="1" x14ac:dyDescent="0.2"/>
    <row r="62324" s="689" customFormat="1" x14ac:dyDescent="0.2"/>
    <row r="62325" s="689" customFormat="1" x14ac:dyDescent="0.2"/>
    <row r="62326" s="689" customFormat="1" x14ac:dyDescent="0.2"/>
    <row r="62327" s="689" customFormat="1" x14ac:dyDescent="0.2"/>
    <row r="62328" s="689" customFormat="1" x14ac:dyDescent="0.2"/>
    <row r="62329" s="689" customFormat="1" x14ac:dyDescent="0.2"/>
    <row r="62330" s="689" customFormat="1" x14ac:dyDescent="0.2"/>
    <row r="62331" s="689" customFormat="1" x14ac:dyDescent="0.2"/>
    <row r="62332" s="689" customFormat="1" x14ac:dyDescent="0.2"/>
    <row r="62333" s="689" customFormat="1" x14ac:dyDescent="0.2"/>
    <row r="62334" s="689" customFormat="1" x14ac:dyDescent="0.2"/>
    <row r="62335" s="689" customFormat="1" x14ac:dyDescent="0.2"/>
    <row r="62336" s="689" customFormat="1" x14ac:dyDescent="0.2"/>
    <row r="62337" s="689" customFormat="1" x14ac:dyDescent="0.2"/>
    <row r="62338" s="689" customFormat="1" x14ac:dyDescent="0.2"/>
    <row r="62339" s="689" customFormat="1" x14ac:dyDescent="0.2"/>
    <row r="62340" s="689" customFormat="1" x14ac:dyDescent="0.2"/>
    <row r="62341" s="689" customFormat="1" x14ac:dyDescent="0.2"/>
    <row r="62342" s="689" customFormat="1" x14ac:dyDescent="0.2"/>
    <row r="62343" s="689" customFormat="1" x14ac:dyDescent="0.2"/>
    <row r="62344" s="689" customFormat="1" x14ac:dyDescent="0.2"/>
    <row r="62345" s="689" customFormat="1" x14ac:dyDescent="0.2"/>
    <row r="62346" s="689" customFormat="1" x14ac:dyDescent="0.2"/>
    <row r="62347" s="689" customFormat="1" x14ac:dyDescent="0.2"/>
    <row r="62348" s="689" customFormat="1" x14ac:dyDescent="0.2"/>
    <row r="62349" s="689" customFormat="1" x14ac:dyDescent="0.2"/>
    <row r="62350" s="689" customFormat="1" x14ac:dyDescent="0.2"/>
    <row r="62351" s="689" customFormat="1" x14ac:dyDescent="0.2"/>
    <row r="62352" s="689" customFormat="1" x14ac:dyDescent="0.2"/>
    <row r="62353" s="689" customFormat="1" x14ac:dyDescent="0.2"/>
    <row r="62354" s="689" customFormat="1" x14ac:dyDescent="0.2"/>
    <row r="62355" s="689" customFormat="1" x14ac:dyDescent="0.2"/>
    <row r="62356" s="689" customFormat="1" x14ac:dyDescent="0.2"/>
    <row r="62357" s="689" customFormat="1" x14ac:dyDescent="0.2"/>
    <row r="62358" s="689" customFormat="1" x14ac:dyDescent="0.2"/>
    <row r="62359" s="689" customFormat="1" x14ac:dyDescent="0.2"/>
    <row r="62360" s="689" customFormat="1" x14ac:dyDescent="0.2"/>
    <row r="62361" s="689" customFormat="1" x14ac:dyDescent="0.2"/>
    <row r="62362" s="689" customFormat="1" x14ac:dyDescent="0.2"/>
    <row r="62363" s="689" customFormat="1" x14ac:dyDescent="0.2"/>
    <row r="62364" s="689" customFormat="1" x14ac:dyDescent="0.2"/>
    <row r="62365" s="689" customFormat="1" x14ac:dyDescent="0.2"/>
    <row r="62366" s="689" customFormat="1" x14ac:dyDescent="0.2"/>
    <row r="62367" s="689" customFormat="1" x14ac:dyDescent="0.2"/>
    <row r="62368" s="689" customFormat="1" x14ac:dyDescent="0.2"/>
    <row r="62369" s="689" customFormat="1" x14ac:dyDescent="0.2"/>
    <row r="62370" s="689" customFormat="1" x14ac:dyDescent="0.2"/>
    <row r="62371" s="689" customFormat="1" x14ac:dyDescent="0.2"/>
    <row r="62372" s="689" customFormat="1" x14ac:dyDescent="0.2"/>
    <row r="62373" s="689" customFormat="1" x14ac:dyDescent="0.2"/>
    <row r="62374" s="689" customFormat="1" x14ac:dyDescent="0.2"/>
    <row r="62375" s="689" customFormat="1" x14ac:dyDescent="0.2"/>
    <row r="62376" s="689" customFormat="1" x14ac:dyDescent="0.2"/>
    <row r="62377" s="689" customFormat="1" x14ac:dyDescent="0.2"/>
    <row r="62378" s="689" customFormat="1" x14ac:dyDescent="0.2"/>
    <row r="62379" s="689" customFormat="1" x14ac:dyDescent="0.2"/>
    <row r="62380" s="689" customFormat="1" x14ac:dyDescent="0.2"/>
    <row r="62381" s="689" customFormat="1" x14ac:dyDescent="0.2"/>
    <row r="62382" s="689" customFormat="1" x14ac:dyDescent="0.2"/>
    <row r="62383" s="689" customFormat="1" x14ac:dyDescent="0.2"/>
    <row r="62384" s="689" customFormat="1" x14ac:dyDescent="0.2"/>
    <row r="62385" s="689" customFormat="1" x14ac:dyDescent="0.2"/>
    <row r="62386" s="689" customFormat="1" x14ac:dyDescent="0.2"/>
    <row r="62387" s="689" customFormat="1" x14ac:dyDescent="0.2"/>
    <row r="62388" s="689" customFormat="1" x14ac:dyDescent="0.2"/>
    <row r="62389" s="689" customFormat="1" x14ac:dyDescent="0.2"/>
    <row r="62390" s="689" customFormat="1" x14ac:dyDescent="0.2"/>
    <row r="62391" s="689" customFormat="1" x14ac:dyDescent="0.2"/>
    <row r="62392" s="689" customFormat="1" x14ac:dyDescent="0.2"/>
    <row r="62393" s="689" customFormat="1" x14ac:dyDescent="0.2"/>
    <row r="62394" s="689" customFormat="1" x14ac:dyDescent="0.2"/>
    <row r="62395" s="689" customFormat="1" x14ac:dyDescent="0.2"/>
    <row r="62396" s="689" customFormat="1" x14ac:dyDescent="0.2"/>
    <row r="62397" s="689" customFormat="1" x14ac:dyDescent="0.2"/>
    <row r="62398" s="689" customFormat="1" x14ac:dyDescent="0.2"/>
    <row r="62399" s="689" customFormat="1" x14ac:dyDescent="0.2"/>
    <row r="62400" s="689" customFormat="1" x14ac:dyDescent="0.2"/>
    <row r="62401" s="689" customFormat="1" x14ac:dyDescent="0.2"/>
    <row r="62402" s="689" customFormat="1" x14ac:dyDescent="0.2"/>
    <row r="62403" s="689" customFormat="1" x14ac:dyDescent="0.2"/>
    <row r="62404" s="689" customFormat="1" x14ac:dyDescent="0.2"/>
    <row r="62405" s="689" customFormat="1" x14ac:dyDescent="0.2"/>
    <row r="62406" s="689" customFormat="1" x14ac:dyDescent="0.2"/>
    <row r="62407" s="689" customFormat="1" x14ac:dyDescent="0.2"/>
    <row r="62408" s="689" customFormat="1" x14ac:dyDescent="0.2"/>
    <row r="62409" s="689" customFormat="1" x14ac:dyDescent="0.2"/>
    <row r="62410" s="689" customFormat="1" x14ac:dyDescent="0.2"/>
    <row r="62411" s="689" customFormat="1" x14ac:dyDescent="0.2"/>
    <row r="62412" s="689" customFormat="1" x14ac:dyDescent="0.2"/>
    <row r="62413" s="689" customFormat="1" x14ac:dyDescent="0.2"/>
    <row r="62414" s="689" customFormat="1" x14ac:dyDescent="0.2"/>
    <row r="62415" s="689" customFormat="1" x14ac:dyDescent="0.2"/>
    <row r="62416" s="689" customFormat="1" x14ac:dyDescent="0.2"/>
    <row r="62417" s="689" customFormat="1" x14ac:dyDescent="0.2"/>
    <row r="62418" s="689" customFormat="1" x14ac:dyDescent="0.2"/>
    <row r="62419" s="689" customFormat="1" x14ac:dyDescent="0.2"/>
    <row r="62420" s="689" customFormat="1" x14ac:dyDescent="0.2"/>
    <row r="62421" s="689" customFormat="1" x14ac:dyDescent="0.2"/>
    <row r="62422" s="689" customFormat="1" x14ac:dyDescent="0.2"/>
    <row r="62423" s="689" customFormat="1" x14ac:dyDescent="0.2"/>
    <row r="62424" s="689" customFormat="1" x14ac:dyDescent="0.2"/>
    <row r="62425" s="689" customFormat="1" x14ac:dyDescent="0.2"/>
    <row r="62426" s="689" customFormat="1" x14ac:dyDescent="0.2"/>
    <row r="62427" s="689" customFormat="1" x14ac:dyDescent="0.2"/>
    <row r="62428" s="689" customFormat="1" x14ac:dyDescent="0.2"/>
    <row r="62429" s="689" customFormat="1" x14ac:dyDescent="0.2"/>
    <row r="62430" s="689" customFormat="1" x14ac:dyDescent="0.2"/>
    <row r="62431" s="689" customFormat="1" x14ac:dyDescent="0.2"/>
    <row r="62432" s="689" customFormat="1" x14ac:dyDescent="0.2"/>
    <row r="62433" s="689" customFormat="1" x14ac:dyDescent="0.2"/>
    <row r="62434" s="689" customFormat="1" x14ac:dyDescent="0.2"/>
    <row r="62435" s="689" customFormat="1" x14ac:dyDescent="0.2"/>
    <row r="62436" s="689" customFormat="1" x14ac:dyDescent="0.2"/>
    <row r="62437" s="689" customFormat="1" x14ac:dyDescent="0.2"/>
    <row r="62438" s="689" customFormat="1" x14ac:dyDescent="0.2"/>
    <row r="62439" s="689" customFormat="1" x14ac:dyDescent="0.2"/>
    <row r="62440" s="689" customFormat="1" x14ac:dyDescent="0.2"/>
    <row r="62441" s="689" customFormat="1" x14ac:dyDescent="0.2"/>
    <row r="62442" s="689" customFormat="1" x14ac:dyDescent="0.2"/>
    <row r="62443" s="689" customFormat="1" x14ac:dyDescent="0.2"/>
    <row r="62444" s="689" customFormat="1" x14ac:dyDescent="0.2"/>
    <row r="62445" s="689" customFormat="1" x14ac:dyDescent="0.2"/>
    <row r="62446" s="689" customFormat="1" x14ac:dyDescent="0.2"/>
    <row r="62447" s="689" customFormat="1" x14ac:dyDescent="0.2"/>
    <row r="62448" s="689" customFormat="1" x14ac:dyDescent="0.2"/>
    <row r="62449" s="689" customFormat="1" x14ac:dyDescent="0.2"/>
    <row r="62450" s="689" customFormat="1" x14ac:dyDescent="0.2"/>
    <row r="62451" s="689" customFormat="1" x14ac:dyDescent="0.2"/>
    <row r="62452" s="689" customFormat="1" x14ac:dyDescent="0.2"/>
    <row r="62453" s="689" customFormat="1" x14ac:dyDescent="0.2"/>
    <row r="62454" s="689" customFormat="1" x14ac:dyDescent="0.2"/>
    <row r="62455" s="689" customFormat="1" x14ac:dyDescent="0.2"/>
    <row r="62456" s="689" customFormat="1" x14ac:dyDescent="0.2"/>
    <row r="62457" s="689" customFormat="1" x14ac:dyDescent="0.2"/>
    <row r="62458" s="689" customFormat="1" x14ac:dyDescent="0.2"/>
    <row r="62459" s="689" customFormat="1" x14ac:dyDescent="0.2"/>
    <row r="62460" s="689" customFormat="1" x14ac:dyDescent="0.2"/>
    <row r="62461" s="689" customFormat="1" x14ac:dyDescent="0.2"/>
    <row r="62462" s="689" customFormat="1" x14ac:dyDescent="0.2"/>
    <row r="62463" s="689" customFormat="1" x14ac:dyDescent="0.2"/>
    <row r="62464" s="689" customFormat="1" x14ac:dyDescent="0.2"/>
    <row r="62465" s="689" customFormat="1" x14ac:dyDescent="0.2"/>
    <row r="62466" s="689" customFormat="1" x14ac:dyDescent="0.2"/>
    <row r="62467" s="689" customFormat="1" x14ac:dyDescent="0.2"/>
    <row r="62468" s="689" customFormat="1" x14ac:dyDescent="0.2"/>
    <row r="62469" s="689" customFormat="1" x14ac:dyDescent="0.2"/>
    <row r="62470" s="689" customFormat="1" x14ac:dyDescent="0.2"/>
    <row r="62471" s="689" customFormat="1" x14ac:dyDescent="0.2"/>
    <row r="62472" s="689" customFormat="1" x14ac:dyDescent="0.2"/>
    <row r="62473" s="689" customFormat="1" x14ac:dyDescent="0.2"/>
    <row r="62474" s="689" customFormat="1" x14ac:dyDescent="0.2"/>
    <row r="62475" s="689" customFormat="1" x14ac:dyDescent="0.2"/>
    <row r="62476" s="689" customFormat="1" x14ac:dyDescent="0.2"/>
    <row r="62477" s="689" customFormat="1" x14ac:dyDescent="0.2"/>
    <row r="62478" s="689" customFormat="1" x14ac:dyDescent="0.2"/>
    <row r="62479" s="689" customFormat="1" x14ac:dyDescent="0.2"/>
    <row r="62480" s="689" customFormat="1" x14ac:dyDescent="0.2"/>
    <row r="62481" s="689" customFormat="1" x14ac:dyDescent="0.2"/>
    <row r="62482" s="689" customFormat="1" x14ac:dyDescent="0.2"/>
    <row r="62483" s="689" customFormat="1" x14ac:dyDescent="0.2"/>
    <row r="62484" s="689" customFormat="1" x14ac:dyDescent="0.2"/>
    <row r="62485" s="689" customFormat="1" x14ac:dyDescent="0.2"/>
    <row r="62486" s="689" customFormat="1" x14ac:dyDescent="0.2"/>
    <row r="62487" s="689" customFormat="1" x14ac:dyDescent="0.2"/>
    <row r="62488" s="689" customFormat="1" x14ac:dyDescent="0.2"/>
    <row r="62489" s="689" customFormat="1" x14ac:dyDescent="0.2"/>
    <row r="62490" s="689" customFormat="1" x14ac:dyDescent="0.2"/>
    <row r="62491" s="689" customFormat="1" x14ac:dyDescent="0.2"/>
    <row r="62492" s="689" customFormat="1" x14ac:dyDescent="0.2"/>
    <row r="62493" s="689" customFormat="1" x14ac:dyDescent="0.2"/>
    <row r="62494" s="689" customFormat="1" x14ac:dyDescent="0.2"/>
    <row r="62495" s="689" customFormat="1" x14ac:dyDescent="0.2"/>
    <row r="62496" s="689" customFormat="1" x14ac:dyDescent="0.2"/>
    <row r="62497" s="689" customFormat="1" x14ac:dyDescent="0.2"/>
    <row r="62498" s="689" customFormat="1" x14ac:dyDescent="0.2"/>
    <row r="62499" s="689" customFormat="1" x14ac:dyDescent="0.2"/>
    <row r="62500" s="689" customFormat="1" x14ac:dyDescent="0.2"/>
    <row r="62501" s="689" customFormat="1" x14ac:dyDescent="0.2"/>
    <row r="62502" s="689" customFormat="1" x14ac:dyDescent="0.2"/>
    <row r="62503" s="689" customFormat="1" x14ac:dyDescent="0.2"/>
    <row r="62504" s="689" customFormat="1" x14ac:dyDescent="0.2"/>
    <row r="62505" s="689" customFormat="1" x14ac:dyDescent="0.2"/>
    <row r="62506" s="689" customFormat="1" x14ac:dyDescent="0.2"/>
    <row r="62507" s="689" customFormat="1" x14ac:dyDescent="0.2"/>
    <row r="62508" s="689" customFormat="1" x14ac:dyDescent="0.2"/>
    <row r="62509" s="689" customFormat="1" x14ac:dyDescent="0.2"/>
    <row r="62510" s="689" customFormat="1" x14ac:dyDescent="0.2"/>
    <row r="62511" s="689" customFormat="1" x14ac:dyDescent="0.2"/>
    <row r="62512" s="689" customFormat="1" x14ac:dyDescent="0.2"/>
    <row r="62513" s="689" customFormat="1" x14ac:dyDescent="0.2"/>
    <row r="62514" s="689" customFormat="1" x14ac:dyDescent="0.2"/>
    <row r="62515" s="689" customFormat="1" x14ac:dyDescent="0.2"/>
    <row r="62516" s="689" customFormat="1" x14ac:dyDescent="0.2"/>
    <row r="62517" s="689" customFormat="1" x14ac:dyDescent="0.2"/>
    <row r="62518" s="689" customFormat="1" x14ac:dyDescent="0.2"/>
    <row r="62519" s="689" customFormat="1" x14ac:dyDescent="0.2"/>
    <row r="62520" s="689" customFormat="1" x14ac:dyDescent="0.2"/>
    <row r="62521" s="689" customFormat="1" x14ac:dyDescent="0.2"/>
    <row r="62522" s="689" customFormat="1" x14ac:dyDescent="0.2"/>
    <row r="62523" s="689" customFormat="1" x14ac:dyDescent="0.2"/>
    <row r="62524" s="689" customFormat="1" x14ac:dyDescent="0.2"/>
    <row r="62525" s="689" customFormat="1" x14ac:dyDescent="0.2"/>
    <row r="62526" s="689" customFormat="1" x14ac:dyDescent="0.2"/>
    <row r="62527" s="689" customFormat="1" x14ac:dyDescent="0.2"/>
    <row r="62528" s="689" customFormat="1" x14ac:dyDescent="0.2"/>
    <row r="62529" s="689" customFormat="1" x14ac:dyDescent="0.2"/>
    <row r="62530" s="689" customFormat="1" x14ac:dyDescent="0.2"/>
    <row r="62531" s="689" customFormat="1" x14ac:dyDescent="0.2"/>
    <row r="62532" s="689" customFormat="1" x14ac:dyDescent="0.2"/>
    <row r="62533" s="689" customFormat="1" x14ac:dyDescent="0.2"/>
    <row r="62534" s="689" customFormat="1" x14ac:dyDescent="0.2"/>
    <row r="62535" s="689" customFormat="1" x14ac:dyDescent="0.2"/>
    <row r="62536" s="689" customFormat="1" x14ac:dyDescent="0.2"/>
    <row r="62537" s="689" customFormat="1" x14ac:dyDescent="0.2"/>
    <row r="62538" s="689" customFormat="1" x14ac:dyDescent="0.2"/>
    <row r="62539" s="689" customFormat="1" x14ac:dyDescent="0.2"/>
    <row r="62540" s="689" customFormat="1" x14ac:dyDescent="0.2"/>
    <row r="62541" s="689" customFormat="1" x14ac:dyDescent="0.2"/>
    <row r="62542" s="689" customFormat="1" x14ac:dyDescent="0.2"/>
    <row r="62543" s="689" customFormat="1" x14ac:dyDescent="0.2"/>
    <row r="62544" s="689" customFormat="1" x14ac:dyDescent="0.2"/>
    <row r="62545" s="689" customFormat="1" x14ac:dyDescent="0.2"/>
    <row r="62546" s="689" customFormat="1" x14ac:dyDescent="0.2"/>
    <row r="62547" s="689" customFormat="1" x14ac:dyDescent="0.2"/>
    <row r="62548" s="689" customFormat="1" x14ac:dyDescent="0.2"/>
    <row r="62549" s="689" customFormat="1" x14ac:dyDescent="0.2"/>
    <row r="62550" s="689" customFormat="1" x14ac:dyDescent="0.2"/>
    <row r="62551" s="689" customFormat="1" x14ac:dyDescent="0.2"/>
    <row r="62552" s="689" customFormat="1" x14ac:dyDescent="0.2"/>
    <row r="62553" s="689" customFormat="1" x14ac:dyDescent="0.2"/>
    <row r="62554" s="689" customFormat="1" x14ac:dyDescent="0.2"/>
    <row r="62555" s="689" customFormat="1" x14ac:dyDescent="0.2"/>
    <row r="62556" s="689" customFormat="1" x14ac:dyDescent="0.2"/>
    <row r="62557" s="689" customFormat="1" x14ac:dyDescent="0.2"/>
    <row r="62558" s="689" customFormat="1" x14ac:dyDescent="0.2"/>
    <row r="62559" s="689" customFormat="1" x14ac:dyDescent="0.2"/>
    <row r="62560" s="689" customFormat="1" x14ac:dyDescent="0.2"/>
    <row r="62561" s="689" customFormat="1" x14ac:dyDescent="0.2"/>
    <row r="62562" s="689" customFormat="1" x14ac:dyDescent="0.2"/>
    <row r="62563" s="689" customFormat="1" x14ac:dyDescent="0.2"/>
    <row r="62564" s="689" customFormat="1" x14ac:dyDescent="0.2"/>
    <row r="62565" s="689" customFormat="1" x14ac:dyDescent="0.2"/>
    <row r="62566" s="689" customFormat="1" x14ac:dyDescent="0.2"/>
    <row r="62567" s="689" customFormat="1" x14ac:dyDescent="0.2"/>
    <row r="62568" s="689" customFormat="1" x14ac:dyDescent="0.2"/>
    <row r="62569" s="689" customFormat="1" x14ac:dyDescent="0.2"/>
    <row r="62570" s="689" customFormat="1" x14ac:dyDescent="0.2"/>
    <row r="62571" s="689" customFormat="1" x14ac:dyDescent="0.2"/>
    <row r="62572" s="689" customFormat="1" x14ac:dyDescent="0.2"/>
    <row r="62573" s="689" customFormat="1" x14ac:dyDescent="0.2"/>
    <row r="62574" s="689" customFormat="1" x14ac:dyDescent="0.2"/>
    <row r="62575" s="689" customFormat="1" x14ac:dyDescent="0.2"/>
    <row r="62576" s="689" customFormat="1" x14ac:dyDescent="0.2"/>
    <row r="62577" s="689" customFormat="1" x14ac:dyDescent="0.2"/>
    <row r="62578" s="689" customFormat="1" x14ac:dyDescent="0.2"/>
    <row r="62579" s="689" customFormat="1" x14ac:dyDescent="0.2"/>
    <row r="62580" s="689" customFormat="1" x14ac:dyDescent="0.2"/>
    <row r="62581" s="689" customFormat="1" x14ac:dyDescent="0.2"/>
    <row r="62582" s="689" customFormat="1" x14ac:dyDescent="0.2"/>
    <row r="62583" s="689" customFormat="1" x14ac:dyDescent="0.2"/>
    <row r="62584" s="689" customFormat="1" x14ac:dyDescent="0.2"/>
    <row r="62585" s="689" customFormat="1" x14ac:dyDescent="0.2"/>
    <row r="62586" s="689" customFormat="1" x14ac:dyDescent="0.2"/>
    <row r="62587" s="689" customFormat="1" x14ac:dyDescent="0.2"/>
    <row r="62588" s="689" customFormat="1" x14ac:dyDescent="0.2"/>
    <row r="62589" s="689" customFormat="1" x14ac:dyDescent="0.2"/>
    <row r="62590" s="689" customFormat="1" x14ac:dyDescent="0.2"/>
    <row r="62591" s="689" customFormat="1" x14ac:dyDescent="0.2"/>
    <row r="62592" s="689" customFormat="1" x14ac:dyDescent="0.2"/>
    <row r="62593" s="689" customFormat="1" x14ac:dyDescent="0.2"/>
    <row r="62594" s="689" customFormat="1" x14ac:dyDescent="0.2"/>
    <row r="62595" s="689" customFormat="1" x14ac:dyDescent="0.2"/>
    <row r="62596" s="689" customFormat="1" x14ac:dyDescent="0.2"/>
    <row r="62597" s="689" customFormat="1" x14ac:dyDescent="0.2"/>
    <row r="62598" s="689" customFormat="1" x14ac:dyDescent="0.2"/>
    <row r="62599" s="689" customFormat="1" x14ac:dyDescent="0.2"/>
    <row r="62600" s="689" customFormat="1" x14ac:dyDescent="0.2"/>
    <row r="62601" s="689" customFormat="1" x14ac:dyDescent="0.2"/>
    <row r="62602" s="689" customFormat="1" x14ac:dyDescent="0.2"/>
    <row r="62603" s="689" customFormat="1" x14ac:dyDescent="0.2"/>
    <row r="62604" s="689" customFormat="1" x14ac:dyDescent="0.2"/>
    <row r="62605" s="689" customFormat="1" x14ac:dyDescent="0.2"/>
    <row r="62606" s="689" customFormat="1" x14ac:dyDescent="0.2"/>
    <row r="62607" s="689" customFormat="1" x14ac:dyDescent="0.2"/>
    <row r="62608" s="689" customFormat="1" x14ac:dyDescent="0.2"/>
    <row r="62609" s="689" customFormat="1" x14ac:dyDescent="0.2"/>
    <row r="62610" s="689" customFormat="1" x14ac:dyDescent="0.2"/>
    <row r="62611" s="689" customFormat="1" x14ac:dyDescent="0.2"/>
    <row r="62612" s="689" customFormat="1" x14ac:dyDescent="0.2"/>
    <row r="62613" s="689" customFormat="1" x14ac:dyDescent="0.2"/>
    <row r="62614" s="689" customFormat="1" x14ac:dyDescent="0.2"/>
    <row r="62615" s="689" customFormat="1" x14ac:dyDescent="0.2"/>
    <row r="62616" s="689" customFormat="1" x14ac:dyDescent="0.2"/>
    <row r="62617" s="689" customFormat="1" x14ac:dyDescent="0.2"/>
    <row r="62618" s="689" customFormat="1" x14ac:dyDescent="0.2"/>
    <row r="62619" s="689" customFormat="1" x14ac:dyDescent="0.2"/>
    <row r="62620" s="689" customFormat="1" x14ac:dyDescent="0.2"/>
    <row r="62621" s="689" customFormat="1" x14ac:dyDescent="0.2"/>
    <row r="62622" s="689" customFormat="1" x14ac:dyDescent="0.2"/>
    <row r="62623" s="689" customFormat="1" x14ac:dyDescent="0.2"/>
    <row r="62624" s="689" customFormat="1" x14ac:dyDescent="0.2"/>
    <row r="62625" s="689" customFormat="1" x14ac:dyDescent="0.2"/>
    <row r="62626" s="689" customFormat="1" x14ac:dyDescent="0.2"/>
    <row r="62627" s="689" customFormat="1" x14ac:dyDescent="0.2"/>
    <row r="62628" s="689" customFormat="1" x14ac:dyDescent="0.2"/>
    <row r="62629" s="689" customFormat="1" x14ac:dyDescent="0.2"/>
    <row r="62630" s="689" customFormat="1" x14ac:dyDescent="0.2"/>
    <row r="62631" s="689" customFormat="1" x14ac:dyDescent="0.2"/>
    <row r="62632" s="689" customFormat="1" x14ac:dyDescent="0.2"/>
    <row r="62633" s="689" customFormat="1" x14ac:dyDescent="0.2"/>
    <row r="62634" s="689" customFormat="1" x14ac:dyDescent="0.2"/>
    <row r="62635" s="689" customFormat="1" x14ac:dyDescent="0.2"/>
    <row r="62636" s="689" customFormat="1" x14ac:dyDescent="0.2"/>
    <row r="62637" s="689" customFormat="1" x14ac:dyDescent="0.2"/>
    <row r="62638" s="689" customFormat="1" x14ac:dyDescent="0.2"/>
    <row r="62639" s="689" customFormat="1" x14ac:dyDescent="0.2"/>
    <row r="62640" s="689" customFormat="1" x14ac:dyDescent="0.2"/>
    <row r="62641" s="689" customFormat="1" x14ac:dyDescent="0.2"/>
    <row r="62642" s="689" customFormat="1" x14ac:dyDescent="0.2"/>
    <row r="62643" s="689" customFormat="1" x14ac:dyDescent="0.2"/>
    <row r="62644" s="689" customFormat="1" x14ac:dyDescent="0.2"/>
    <row r="62645" s="689" customFormat="1" x14ac:dyDescent="0.2"/>
    <row r="62646" s="689" customFormat="1" x14ac:dyDescent="0.2"/>
    <row r="62647" s="689" customFormat="1" x14ac:dyDescent="0.2"/>
    <row r="62648" s="689" customFormat="1" x14ac:dyDescent="0.2"/>
    <row r="62649" s="689" customFormat="1" x14ac:dyDescent="0.2"/>
    <row r="62650" s="689" customFormat="1" x14ac:dyDescent="0.2"/>
    <row r="62651" s="689" customFormat="1" x14ac:dyDescent="0.2"/>
    <row r="62652" s="689" customFormat="1" x14ac:dyDescent="0.2"/>
    <row r="62653" s="689" customFormat="1" x14ac:dyDescent="0.2"/>
    <row r="62654" s="689" customFormat="1" x14ac:dyDescent="0.2"/>
    <row r="62655" s="689" customFormat="1" x14ac:dyDescent="0.2"/>
    <row r="62656" s="689" customFormat="1" x14ac:dyDescent="0.2"/>
    <row r="62657" s="689" customFormat="1" x14ac:dyDescent="0.2"/>
    <row r="62658" s="689" customFormat="1" x14ac:dyDescent="0.2"/>
    <row r="62659" s="689" customFormat="1" x14ac:dyDescent="0.2"/>
    <row r="62660" s="689" customFormat="1" x14ac:dyDescent="0.2"/>
    <row r="62661" s="689" customFormat="1" x14ac:dyDescent="0.2"/>
    <row r="62662" s="689" customFormat="1" x14ac:dyDescent="0.2"/>
    <row r="62663" s="689" customFormat="1" x14ac:dyDescent="0.2"/>
    <row r="62664" s="689" customFormat="1" x14ac:dyDescent="0.2"/>
    <row r="62665" s="689" customFormat="1" x14ac:dyDescent="0.2"/>
    <row r="62666" s="689" customFormat="1" x14ac:dyDescent="0.2"/>
    <row r="62667" s="689" customFormat="1" x14ac:dyDescent="0.2"/>
    <row r="62668" s="689" customFormat="1" x14ac:dyDescent="0.2"/>
    <row r="62669" s="689" customFormat="1" x14ac:dyDescent="0.2"/>
    <row r="62670" s="689" customFormat="1" x14ac:dyDescent="0.2"/>
    <row r="62671" s="689" customFormat="1" x14ac:dyDescent="0.2"/>
    <row r="62672" s="689" customFormat="1" x14ac:dyDescent="0.2"/>
    <row r="62673" s="689" customFormat="1" x14ac:dyDescent="0.2"/>
    <row r="62674" s="689" customFormat="1" x14ac:dyDescent="0.2"/>
    <row r="62675" s="689" customFormat="1" x14ac:dyDescent="0.2"/>
    <row r="62676" s="689" customFormat="1" x14ac:dyDescent="0.2"/>
    <row r="62677" s="689" customFormat="1" x14ac:dyDescent="0.2"/>
    <row r="62678" s="689" customFormat="1" x14ac:dyDescent="0.2"/>
    <row r="62679" s="689" customFormat="1" x14ac:dyDescent="0.2"/>
    <row r="62680" s="689" customFormat="1" x14ac:dyDescent="0.2"/>
    <row r="62681" s="689" customFormat="1" x14ac:dyDescent="0.2"/>
    <row r="62682" s="689" customFormat="1" x14ac:dyDescent="0.2"/>
    <row r="62683" s="689" customFormat="1" x14ac:dyDescent="0.2"/>
    <row r="62684" s="689" customFormat="1" x14ac:dyDescent="0.2"/>
    <row r="62685" s="689" customFormat="1" x14ac:dyDescent="0.2"/>
    <row r="62686" s="689" customFormat="1" x14ac:dyDescent="0.2"/>
    <row r="62687" s="689" customFormat="1" x14ac:dyDescent="0.2"/>
    <row r="62688" s="689" customFormat="1" x14ac:dyDescent="0.2"/>
    <row r="62689" s="689" customFormat="1" x14ac:dyDescent="0.2"/>
    <row r="62690" s="689" customFormat="1" x14ac:dyDescent="0.2"/>
    <row r="62691" s="689" customFormat="1" x14ac:dyDescent="0.2"/>
    <row r="62692" s="689" customFormat="1" x14ac:dyDescent="0.2"/>
    <row r="62693" s="689" customFormat="1" x14ac:dyDescent="0.2"/>
    <row r="62694" s="689" customFormat="1" x14ac:dyDescent="0.2"/>
    <row r="62695" s="689" customFormat="1" x14ac:dyDescent="0.2"/>
    <row r="62696" s="689" customFormat="1" x14ac:dyDescent="0.2"/>
    <row r="62697" s="689" customFormat="1" x14ac:dyDescent="0.2"/>
    <row r="62698" s="689" customFormat="1" x14ac:dyDescent="0.2"/>
    <row r="62699" s="689" customFormat="1" x14ac:dyDescent="0.2"/>
    <row r="62700" s="689" customFormat="1" x14ac:dyDescent="0.2"/>
    <row r="62701" s="689" customFormat="1" x14ac:dyDescent="0.2"/>
    <row r="62702" s="689" customFormat="1" x14ac:dyDescent="0.2"/>
    <row r="62703" s="689" customFormat="1" x14ac:dyDescent="0.2"/>
    <row r="62704" s="689" customFormat="1" x14ac:dyDescent="0.2"/>
    <row r="62705" s="689" customFormat="1" x14ac:dyDescent="0.2"/>
    <row r="62706" s="689" customFormat="1" x14ac:dyDescent="0.2"/>
    <row r="62707" s="689" customFormat="1" x14ac:dyDescent="0.2"/>
    <row r="62708" s="689" customFormat="1" x14ac:dyDescent="0.2"/>
    <row r="62709" s="689" customFormat="1" x14ac:dyDescent="0.2"/>
    <row r="62710" s="689" customFormat="1" x14ac:dyDescent="0.2"/>
    <row r="62711" s="689" customFormat="1" x14ac:dyDescent="0.2"/>
    <row r="62712" s="689" customFormat="1" x14ac:dyDescent="0.2"/>
    <row r="62713" s="689" customFormat="1" x14ac:dyDescent="0.2"/>
    <row r="62714" s="689" customFormat="1" x14ac:dyDescent="0.2"/>
    <row r="62715" s="689" customFormat="1" x14ac:dyDescent="0.2"/>
    <row r="62716" s="689" customFormat="1" x14ac:dyDescent="0.2"/>
    <row r="62717" s="689" customFormat="1" x14ac:dyDescent="0.2"/>
    <row r="62718" s="689" customFormat="1" x14ac:dyDescent="0.2"/>
    <row r="62719" s="689" customFormat="1" x14ac:dyDescent="0.2"/>
    <row r="62720" s="689" customFormat="1" x14ac:dyDescent="0.2"/>
    <row r="62721" s="689" customFormat="1" x14ac:dyDescent="0.2"/>
    <row r="62722" s="689" customFormat="1" x14ac:dyDescent="0.2"/>
    <row r="62723" s="689" customFormat="1" x14ac:dyDescent="0.2"/>
    <row r="62724" s="689" customFormat="1" x14ac:dyDescent="0.2"/>
    <row r="62725" s="689" customFormat="1" x14ac:dyDescent="0.2"/>
    <row r="62726" s="689" customFormat="1" x14ac:dyDescent="0.2"/>
    <row r="62727" s="689" customFormat="1" x14ac:dyDescent="0.2"/>
    <row r="62728" s="689" customFormat="1" x14ac:dyDescent="0.2"/>
    <row r="62729" s="689" customFormat="1" x14ac:dyDescent="0.2"/>
    <row r="62730" s="689" customFormat="1" x14ac:dyDescent="0.2"/>
    <row r="62731" s="689" customFormat="1" x14ac:dyDescent="0.2"/>
    <row r="62732" s="689" customFormat="1" x14ac:dyDescent="0.2"/>
    <row r="62733" s="689" customFormat="1" x14ac:dyDescent="0.2"/>
    <row r="62734" s="689" customFormat="1" x14ac:dyDescent="0.2"/>
    <row r="62735" s="689" customFormat="1" x14ac:dyDescent="0.2"/>
    <row r="62736" s="689" customFormat="1" x14ac:dyDescent="0.2"/>
    <row r="62737" s="689" customFormat="1" x14ac:dyDescent="0.2"/>
    <row r="62738" s="689" customFormat="1" x14ac:dyDescent="0.2"/>
    <row r="62739" s="689" customFormat="1" x14ac:dyDescent="0.2"/>
    <row r="62740" s="689" customFormat="1" x14ac:dyDescent="0.2"/>
    <row r="62741" s="689" customFormat="1" x14ac:dyDescent="0.2"/>
    <row r="62742" s="689" customFormat="1" x14ac:dyDescent="0.2"/>
    <row r="62743" s="689" customFormat="1" x14ac:dyDescent="0.2"/>
    <row r="62744" s="689" customFormat="1" x14ac:dyDescent="0.2"/>
    <row r="62745" s="689" customFormat="1" x14ac:dyDescent="0.2"/>
    <row r="62746" s="689" customFormat="1" x14ac:dyDescent="0.2"/>
    <row r="62747" s="689" customFormat="1" x14ac:dyDescent="0.2"/>
    <row r="62748" s="689" customFormat="1" x14ac:dyDescent="0.2"/>
    <row r="62749" s="689" customFormat="1" x14ac:dyDescent="0.2"/>
    <row r="62750" s="689" customFormat="1" x14ac:dyDescent="0.2"/>
    <row r="62751" s="689" customFormat="1" x14ac:dyDescent="0.2"/>
    <row r="62752" s="689" customFormat="1" x14ac:dyDescent="0.2"/>
    <row r="62753" s="689" customFormat="1" x14ac:dyDescent="0.2"/>
    <row r="62754" s="689" customFormat="1" x14ac:dyDescent="0.2"/>
    <row r="62755" s="689" customFormat="1" x14ac:dyDescent="0.2"/>
    <row r="62756" s="689" customFormat="1" x14ac:dyDescent="0.2"/>
    <row r="62757" s="689" customFormat="1" x14ac:dyDescent="0.2"/>
    <row r="62758" s="689" customFormat="1" x14ac:dyDescent="0.2"/>
    <row r="62759" s="689" customFormat="1" x14ac:dyDescent="0.2"/>
    <row r="62760" s="689" customFormat="1" x14ac:dyDescent="0.2"/>
    <row r="62761" s="689" customFormat="1" x14ac:dyDescent="0.2"/>
    <row r="62762" s="689" customFormat="1" x14ac:dyDescent="0.2"/>
    <row r="62763" s="689" customFormat="1" x14ac:dyDescent="0.2"/>
    <row r="62764" s="689" customFormat="1" x14ac:dyDescent="0.2"/>
    <row r="62765" s="689" customFormat="1" x14ac:dyDescent="0.2"/>
    <row r="62766" s="689" customFormat="1" x14ac:dyDescent="0.2"/>
    <row r="62767" s="689" customFormat="1" x14ac:dyDescent="0.2"/>
    <row r="62768" s="689" customFormat="1" x14ac:dyDescent="0.2"/>
    <row r="62769" s="689" customFormat="1" x14ac:dyDescent="0.2"/>
    <row r="62770" s="689" customFormat="1" x14ac:dyDescent="0.2"/>
    <row r="62771" s="689" customFormat="1" x14ac:dyDescent="0.2"/>
    <row r="62772" s="689" customFormat="1" x14ac:dyDescent="0.2"/>
    <row r="62773" s="689" customFormat="1" x14ac:dyDescent="0.2"/>
    <row r="62774" s="689" customFormat="1" x14ac:dyDescent="0.2"/>
    <row r="62775" s="689" customFormat="1" x14ac:dyDescent="0.2"/>
    <row r="62776" s="689" customFormat="1" x14ac:dyDescent="0.2"/>
    <row r="62777" s="689" customFormat="1" x14ac:dyDescent="0.2"/>
    <row r="62778" s="689" customFormat="1" x14ac:dyDescent="0.2"/>
    <row r="62779" s="689" customFormat="1" x14ac:dyDescent="0.2"/>
    <row r="62780" s="689" customFormat="1" x14ac:dyDescent="0.2"/>
    <row r="62781" s="689" customFormat="1" x14ac:dyDescent="0.2"/>
    <row r="62782" s="689" customFormat="1" x14ac:dyDescent="0.2"/>
    <row r="62783" s="689" customFormat="1" x14ac:dyDescent="0.2"/>
    <row r="62784" s="689" customFormat="1" x14ac:dyDescent="0.2"/>
    <row r="62785" s="689" customFormat="1" x14ac:dyDescent="0.2"/>
    <row r="62786" s="689" customFormat="1" x14ac:dyDescent="0.2"/>
    <row r="62787" s="689" customFormat="1" x14ac:dyDescent="0.2"/>
    <row r="62788" s="689" customFormat="1" x14ac:dyDescent="0.2"/>
    <row r="62789" s="689" customFormat="1" x14ac:dyDescent="0.2"/>
    <row r="62790" s="689" customFormat="1" x14ac:dyDescent="0.2"/>
    <row r="62791" s="689" customFormat="1" x14ac:dyDescent="0.2"/>
    <row r="62792" s="689" customFormat="1" x14ac:dyDescent="0.2"/>
    <row r="62793" s="689" customFormat="1" x14ac:dyDescent="0.2"/>
    <row r="62794" s="689" customFormat="1" x14ac:dyDescent="0.2"/>
    <row r="62795" s="689" customFormat="1" x14ac:dyDescent="0.2"/>
    <row r="62796" s="689" customFormat="1" x14ac:dyDescent="0.2"/>
    <row r="62797" s="689" customFormat="1" x14ac:dyDescent="0.2"/>
    <row r="62798" s="689" customFormat="1" x14ac:dyDescent="0.2"/>
    <row r="62799" s="689" customFormat="1" x14ac:dyDescent="0.2"/>
    <row r="62800" s="689" customFormat="1" x14ac:dyDescent="0.2"/>
    <row r="62801" s="689" customFormat="1" x14ac:dyDescent="0.2"/>
    <row r="62802" s="689" customFormat="1" x14ac:dyDescent="0.2"/>
    <row r="62803" s="689" customFormat="1" x14ac:dyDescent="0.2"/>
    <row r="62804" s="689" customFormat="1" x14ac:dyDescent="0.2"/>
    <row r="62805" s="689" customFormat="1" x14ac:dyDescent="0.2"/>
    <row r="62806" s="689" customFormat="1" x14ac:dyDescent="0.2"/>
    <row r="62807" s="689" customFormat="1" x14ac:dyDescent="0.2"/>
    <row r="62808" s="689" customFormat="1" x14ac:dyDescent="0.2"/>
    <row r="62809" s="689" customFormat="1" x14ac:dyDescent="0.2"/>
    <row r="62810" s="689" customFormat="1" x14ac:dyDescent="0.2"/>
    <row r="62811" s="689" customFormat="1" x14ac:dyDescent="0.2"/>
    <row r="62812" s="689" customFormat="1" x14ac:dyDescent="0.2"/>
    <row r="62813" s="689" customFormat="1" x14ac:dyDescent="0.2"/>
    <row r="62814" s="689" customFormat="1" x14ac:dyDescent="0.2"/>
    <row r="62815" s="689" customFormat="1" x14ac:dyDescent="0.2"/>
    <row r="62816" s="689" customFormat="1" x14ac:dyDescent="0.2"/>
    <row r="62817" s="689" customFormat="1" x14ac:dyDescent="0.2"/>
    <row r="62818" s="689" customFormat="1" x14ac:dyDescent="0.2"/>
    <row r="62819" s="689" customFormat="1" x14ac:dyDescent="0.2"/>
    <row r="62820" s="689" customFormat="1" x14ac:dyDescent="0.2"/>
    <row r="62821" s="689" customFormat="1" x14ac:dyDescent="0.2"/>
    <row r="62822" s="689" customFormat="1" x14ac:dyDescent="0.2"/>
    <row r="62823" s="689" customFormat="1" x14ac:dyDescent="0.2"/>
    <row r="62824" s="689" customFormat="1" x14ac:dyDescent="0.2"/>
    <row r="62825" s="689" customFormat="1" x14ac:dyDescent="0.2"/>
    <row r="62826" s="689" customFormat="1" x14ac:dyDescent="0.2"/>
    <row r="62827" s="689" customFormat="1" x14ac:dyDescent="0.2"/>
    <row r="62828" s="689" customFormat="1" x14ac:dyDescent="0.2"/>
    <row r="62829" s="689" customFormat="1" x14ac:dyDescent="0.2"/>
    <row r="62830" s="689" customFormat="1" x14ac:dyDescent="0.2"/>
    <row r="62831" s="689" customFormat="1" x14ac:dyDescent="0.2"/>
    <row r="62832" s="689" customFormat="1" x14ac:dyDescent="0.2"/>
    <row r="62833" s="689" customFormat="1" x14ac:dyDescent="0.2"/>
    <row r="62834" s="689" customFormat="1" x14ac:dyDescent="0.2"/>
    <row r="62835" s="689" customFormat="1" x14ac:dyDescent="0.2"/>
    <row r="62836" s="689" customFormat="1" x14ac:dyDescent="0.2"/>
    <row r="62837" s="689" customFormat="1" x14ac:dyDescent="0.2"/>
    <row r="62838" s="689" customFormat="1" x14ac:dyDescent="0.2"/>
    <row r="62839" s="689" customFormat="1" x14ac:dyDescent="0.2"/>
    <row r="62840" s="689" customFormat="1" x14ac:dyDescent="0.2"/>
    <row r="62841" s="689" customFormat="1" x14ac:dyDescent="0.2"/>
    <row r="62842" s="689" customFormat="1" x14ac:dyDescent="0.2"/>
    <row r="62843" s="689" customFormat="1" x14ac:dyDescent="0.2"/>
    <row r="62844" s="689" customFormat="1" x14ac:dyDescent="0.2"/>
    <row r="62845" s="689" customFormat="1" x14ac:dyDescent="0.2"/>
    <row r="62846" s="689" customFormat="1" x14ac:dyDescent="0.2"/>
    <row r="62847" s="689" customFormat="1" x14ac:dyDescent="0.2"/>
    <row r="62848" s="689" customFormat="1" x14ac:dyDescent="0.2"/>
    <row r="62849" s="689" customFormat="1" x14ac:dyDescent="0.2"/>
    <row r="62850" s="689" customFormat="1" x14ac:dyDescent="0.2"/>
    <row r="62851" s="689" customFormat="1" x14ac:dyDescent="0.2"/>
    <row r="62852" s="689" customFormat="1" x14ac:dyDescent="0.2"/>
    <row r="62853" s="689" customFormat="1" x14ac:dyDescent="0.2"/>
    <row r="62854" s="689" customFormat="1" x14ac:dyDescent="0.2"/>
    <row r="62855" s="689" customFormat="1" x14ac:dyDescent="0.2"/>
    <row r="62856" s="689" customFormat="1" x14ac:dyDescent="0.2"/>
    <row r="62857" s="689" customFormat="1" x14ac:dyDescent="0.2"/>
    <row r="62858" s="689" customFormat="1" x14ac:dyDescent="0.2"/>
    <row r="62859" s="689" customFormat="1" x14ac:dyDescent="0.2"/>
    <row r="62860" s="689" customFormat="1" x14ac:dyDescent="0.2"/>
    <row r="62861" s="689" customFormat="1" x14ac:dyDescent="0.2"/>
    <row r="62862" s="689" customFormat="1" x14ac:dyDescent="0.2"/>
    <row r="62863" s="689" customFormat="1" x14ac:dyDescent="0.2"/>
    <row r="62864" s="689" customFormat="1" x14ac:dyDescent="0.2"/>
    <row r="62865" s="689" customFormat="1" x14ac:dyDescent="0.2"/>
    <row r="62866" s="689" customFormat="1" x14ac:dyDescent="0.2"/>
    <row r="62867" s="689" customFormat="1" x14ac:dyDescent="0.2"/>
    <row r="62868" s="689" customFormat="1" x14ac:dyDescent="0.2"/>
    <row r="62869" s="689" customFormat="1" x14ac:dyDescent="0.2"/>
    <row r="62870" s="689" customFormat="1" x14ac:dyDescent="0.2"/>
    <row r="62871" s="689" customFormat="1" x14ac:dyDescent="0.2"/>
    <row r="62872" s="689" customFormat="1" x14ac:dyDescent="0.2"/>
    <row r="62873" s="689" customFormat="1" x14ac:dyDescent="0.2"/>
    <row r="62874" s="689" customFormat="1" x14ac:dyDescent="0.2"/>
    <row r="62875" s="689" customFormat="1" x14ac:dyDescent="0.2"/>
    <row r="62876" s="689" customFormat="1" x14ac:dyDescent="0.2"/>
    <row r="62877" s="689" customFormat="1" x14ac:dyDescent="0.2"/>
    <row r="62878" s="689" customFormat="1" x14ac:dyDescent="0.2"/>
    <row r="62879" s="689" customFormat="1" x14ac:dyDescent="0.2"/>
    <row r="62880" s="689" customFormat="1" x14ac:dyDescent="0.2"/>
    <row r="62881" s="689" customFormat="1" x14ac:dyDescent="0.2"/>
    <row r="62882" s="689" customFormat="1" x14ac:dyDescent="0.2"/>
    <row r="62883" s="689" customFormat="1" x14ac:dyDescent="0.2"/>
    <row r="62884" s="689" customFormat="1" x14ac:dyDescent="0.2"/>
    <row r="62885" s="689" customFormat="1" x14ac:dyDescent="0.2"/>
    <row r="62886" s="689" customFormat="1" x14ac:dyDescent="0.2"/>
    <row r="62887" s="689" customFormat="1" x14ac:dyDescent="0.2"/>
    <row r="62888" s="689" customFormat="1" x14ac:dyDescent="0.2"/>
    <row r="62889" s="689" customFormat="1" x14ac:dyDescent="0.2"/>
    <row r="62890" s="689" customFormat="1" x14ac:dyDescent="0.2"/>
    <row r="62891" s="689" customFormat="1" x14ac:dyDescent="0.2"/>
    <row r="62892" s="689" customFormat="1" x14ac:dyDescent="0.2"/>
    <row r="62893" s="689" customFormat="1" x14ac:dyDescent="0.2"/>
    <row r="62894" s="689" customFormat="1" x14ac:dyDescent="0.2"/>
    <row r="62895" s="689" customFormat="1" x14ac:dyDescent="0.2"/>
    <row r="62896" s="689" customFormat="1" x14ac:dyDescent="0.2"/>
    <row r="62897" s="689" customFormat="1" x14ac:dyDescent="0.2"/>
    <row r="62898" s="689" customFormat="1" x14ac:dyDescent="0.2"/>
    <row r="62899" s="689" customFormat="1" x14ac:dyDescent="0.2"/>
    <row r="62900" s="689" customFormat="1" x14ac:dyDescent="0.2"/>
    <row r="62901" s="689" customFormat="1" x14ac:dyDescent="0.2"/>
    <row r="62902" s="689" customFormat="1" x14ac:dyDescent="0.2"/>
    <row r="62903" s="689" customFormat="1" x14ac:dyDescent="0.2"/>
    <row r="62904" s="689" customFormat="1" x14ac:dyDescent="0.2"/>
    <row r="62905" s="689" customFormat="1" x14ac:dyDescent="0.2"/>
    <row r="62906" s="689" customFormat="1" x14ac:dyDescent="0.2"/>
    <row r="62907" s="689" customFormat="1" x14ac:dyDescent="0.2"/>
    <row r="62908" s="689" customFormat="1" x14ac:dyDescent="0.2"/>
    <row r="62909" s="689" customFormat="1" x14ac:dyDescent="0.2"/>
    <row r="62910" s="689" customFormat="1" x14ac:dyDescent="0.2"/>
    <row r="62911" s="689" customFormat="1" x14ac:dyDescent="0.2"/>
    <row r="62912" s="689" customFormat="1" x14ac:dyDescent="0.2"/>
    <row r="62913" s="689" customFormat="1" x14ac:dyDescent="0.2"/>
    <row r="62914" s="689" customFormat="1" x14ac:dyDescent="0.2"/>
    <row r="62915" s="689" customFormat="1" x14ac:dyDescent="0.2"/>
    <row r="62916" s="689" customFormat="1" x14ac:dyDescent="0.2"/>
    <row r="62917" s="689" customFormat="1" x14ac:dyDescent="0.2"/>
    <row r="62918" s="689" customFormat="1" x14ac:dyDescent="0.2"/>
    <row r="62919" s="689" customFormat="1" x14ac:dyDescent="0.2"/>
    <row r="62920" s="689" customFormat="1" x14ac:dyDescent="0.2"/>
    <row r="62921" s="689" customFormat="1" x14ac:dyDescent="0.2"/>
    <row r="62922" s="689" customFormat="1" x14ac:dyDescent="0.2"/>
    <row r="62923" s="689" customFormat="1" x14ac:dyDescent="0.2"/>
    <row r="62924" s="689" customFormat="1" x14ac:dyDescent="0.2"/>
    <row r="62925" s="689" customFormat="1" x14ac:dyDescent="0.2"/>
    <row r="62926" s="689" customFormat="1" x14ac:dyDescent="0.2"/>
    <row r="62927" s="689" customFormat="1" x14ac:dyDescent="0.2"/>
    <row r="62928" s="689" customFormat="1" x14ac:dyDescent="0.2"/>
    <row r="62929" s="689" customFormat="1" x14ac:dyDescent="0.2"/>
    <row r="62930" s="689" customFormat="1" x14ac:dyDescent="0.2"/>
    <row r="62931" s="689" customFormat="1" x14ac:dyDescent="0.2"/>
    <row r="62932" s="689" customFormat="1" x14ac:dyDescent="0.2"/>
    <row r="62933" s="689" customFormat="1" x14ac:dyDescent="0.2"/>
    <row r="62934" s="689" customFormat="1" x14ac:dyDescent="0.2"/>
    <row r="62935" s="689" customFormat="1" x14ac:dyDescent="0.2"/>
    <row r="62936" s="689" customFormat="1" x14ac:dyDescent="0.2"/>
    <row r="62937" s="689" customFormat="1" x14ac:dyDescent="0.2"/>
    <row r="62938" s="689" customFormat="1" x14ac:dyDescent="0.2"/>
    <row r="62939" s="689" customFormat="1" x14ac:dyDescent="0.2"/>
    <row r="62940" s="689" customFormat="1" x14ac:dyDescent="0.2"/>
    <row r="62941" s="689" customFormat="1" x14ac:dyDescent="0.2"/>
    <row r="62942" s="689" customFormat="1" x14ac:dyDescent="0.2"/>
    <row r="62943" s="689" customFormat="1" x14ac:dyDescent="0.2"/>
    <row r="62944" s="689" customFormat="1" x14ac:dyDescent="0.2"/>
    <row r="62945" s="689" customFormat="1" x14ac:dyDescent="0.2"/>
    <row r="62946" s="689" customFormat="1" x14ac:dyDescent="0.2"/>
    <row r="62947" s="689" customFormat="1" x14ac:dyDescent="0.2"/>
    <row r="62948" s="689" customFormat="1" x14ac:dyDescent="0.2"/>
    <row r="62949" s="689" customFormat="1" x14ac:dyDescent="0.2"/>
    <row r="62950" s="689" customFormat="1" x14ac:dyDescent="0.2"/>
    <row r="62951" s="689" customFormat="1" x14ac:dyDescent="0.2"/>
    <row r="62952" s="689" customFormat="1" x14ac:dyDescent="0.2"/>
    <row r="62953" s="689" customFormat="1" x14ac:dyDescent="0.2"/>
    <row r="62954" s="689" customFormat="1" x14ac:dyDescent="0.2"/>
    <row r="62955" s="689" customFormat="1" x14ac:dyDescent="0.2"/>
    <row r="62956" s="689" customFormat="1" x14ac:dyDescent="0.2"/>
    <row r="62957" s="689" customFormat="1" x14ac:dyDescent="0.2"/>
    <row r="62958" s="689" customFormat="1" x14ac:dyDescent="0.2"/>
    <row r="62959" s="689" customFormat="1" x14ac:dyDescent="0.2"/>
    <row r="62960" s="689" customFormat="1" x14ac:dyDescent="0.2"/>
    <row r="62961" s="689" customFormat="1" x14ac:dyDescent="0.2"/>
    <row r="62962" s="689" customFormat="1" x14ac:dyDescent="0.2"/>
    <row r="62963" s="689" customFormat="1" x14ac:dyDescent="0.2"/>
    <row r="62964" s="689" customFormat="1" x14ac:dyDescent="0.2"/>
    <row r="62965" s="689" customFormat="1" x14ac:dyDescent="0.2"/>
    <row r="62966" s="689" customFormat="1" x14ac:dyDescent="0.2"/>
    <row r="62967" s="689" customFormat="1" x14ac:dyDescent="0.2"/>
    <row r="62968" s="689" customFormat="1" x14ac:dyDescent="0.2"/>
    <row r="62969" s="689" customFormat="1" x14ac:dyDescent="0.2"/>
    <row r="62970" s="689" customFormat="1" x14ac:dyDescent="0.2"/>
    <row r="62971" s="689" customFormat="1" x14ac:dyDescent="0.2"/>
    <row r="62972" s="689" customFormat="1" x14ac:dyDescent="0.2"/>
    <row r="62973" s="689" customFormat="1" x14ac:dyDescent="0.2"/>
    <row r="62974" s="689" customFormat="1" x14ac:dyDescent="0.2"/>
    <row r="62975" s="689" customFormat="1" x14ac:dyDescent="0.2"/>
    <row r="62976" s="689" customFormat="1" x14ac:dyDescent="0.2"/>
    <row r="62977" s="689" customFormat="1" x14ac:dyDescent="0.2"/>
    <row r="62978" s="689" customFormat="1" x14ac:dyDescent="0.2"/>
    <row r="62979" s="689" customFormat="1" x14ac:dyDescent="0.2"/>
    <row r="62980" s="689" customFormat="1" x14ac:dyDescent="0.2"/>
    <row r="62981" s="689" customFormat="1" x14ac:dyDescent="0.2"/>
    <row r="62982" s="689" customFormat="1" x14ac:dyDescent="0.2"/>
    <row r="62983" s="689" customFormat="1" x14ac:dyDescent="0.2"/>
    <row r="62984" s="689" customFormat="1" x14ac:dyDescent="0.2"/>
    <row r="62985" s="689" customFormat="1" x14ac:dyDescent="0.2"/>
    <row r="62986" s="689" customFormat="1" x14ac:dyDescent="0.2"/>
    <row r="62987" s="689" customFormat="1" x14ac:dyDescent="0.2"/>
    <row r="62988" s="689" customFormat="1" x14ac:dyDescent="0.2"/>
    <row r="62989" s="689" customFormat="1" x14ac:dyDescent="0.2"/>
    <row r="62990" s="689" customFormat="1" x14ac:dyDescent="0.2"/>
    <row r="62991" s="689" customFormat="1" x14ac:dyDescent="0.2"/>
    <row r="62992" s="689" customFormat="1" x14ac:dyDescent="0.2"/>
    <row r="62993" s="689" customFormat="1" x14ac:dyDescent="0.2"/>
    <row r="62994" s="689" customFormat="1" x14ac:dyDescent="0.2"/>
    <row r="62995" s="689" customFormat="1" x14ac:dyDescent="0.2"/>
    <row r="62996" s="689" customFormat="1" x14ac:dyDescent="0.2"/>
    <row r="62997" s="689" customFormat="1" x14ac:dyDescent="0.2"/>
    <row r="62998" s="689" customFormat="1" x14ac:dyDescent="0.2"/>
    <row r="62999" s="689" customFormat="1" x14ac:dyDescent="0.2"/>
    <row r="63000" s="689" customFormat="1" x14ac:dyDescent="0.2"/>
    <row r="63001" s="689" customFormat="1" x14ac:dyDescent="0.2"/>
    <row r="63002" s="689" customFormat="1" x14ac:dyDescent="0.2"/>
    <row r="63003" s="689" customFormat="1" x14ac:dyDescent="0.2"/>
    <row r="63004" s="689" customFormat="1" x14ac:dyDescent="0.2"/>
    <row r="63005" s="689" customFormat="1" x14ac:dyDescent="0.2"/>
    <row r="63006" s="689" customFormat="1" x14ac:dyDescent="0.2"/>
    <row r="63007" s="689" customFormat="1" x14ac:dyDescent="0.2"/>
    <row r="63008" s="689" customFormat="1" x14ac:dyDescent="0.2"/>
    <row r="63009" s="689" customFormat="1" x14ac:dyDescent="0.2"/>
    <row r="63010" s="689" customFormat="1" x14ac:dyDescent="0.2"/>
    <row r="63011" s="689" customFormat="1" x14ac:dyDescent="0.2"/>
    <row r="63012" s="689" customFormat="1" x14ac:dyDescent="0.2"/>
    <row r="63013" s="689" customFormat="1" x14ac:dyDescent="0.2"/>
    <row r="63014" s="689" customFormat="1" x14ac:dyDescent="0.2"/>
    <row r="63015" s="689" customFormat="1" x14ac:dyDescent="0.2"/>
    <row r="63016" s="689" customFormat="1" x14ac:dyDescent="0.2"/>
    <row r="63017" s="689" customFormat="1" x14ac:dyDescent="0.2"/>
    <row r="63018" s="689" customFormat="1" x14ac:dyDescent="0.2"/>
    <row r="63019" s="689" customFormat="1" x14ac:dyDescent="0.2"/>
    <row r="63020" s="689" customFormat="1" x14ac:dyDescent="0.2"/>
    <row r="63021" s="689" customFormat="1" x14ac:dyDescent="0.2"/>
    <row r="63022" s="689" customFormat="1" x14ac:dyDescent="0.2"/>
    <row r="63023" s="689" customFormat="1" x14ac:dyDescent="0.2"/>
    <row r="63024" s="689" customFormat="1" x14ac:dyDescent="0.2"/>
    <row r="63025" s="689" customFormat="1" x14ac:dyDescent="0.2"/>
    <row r="63026" s="689" customFormat="1" x14ac:dyDescent="0.2"/>
    <row r="63027" s="689" customFormat="1" x14ac:dyDescent="0.2"/>
    <row r="63028" s="689" customFormat="1" x14ac:dyDescent="0.2"/>
    <row r="63029" s="689" customFormat="1" x14ac:dyDescent="0.2"/>
    <row r="63030" s="689" customFormat="1" x14ac:dyDescent="0.2"/>
    <row r="63031" s="689" customFormat="1" x14ac:dyDescent="0.2"/>
    <row r="63032" s="689" customFormat="1" x14ac:dyDescent="0.2"/>
    <row r="63033" s="689" customFormat="1" x14ac:dyDescent="0.2"/>
    <row r="63034" s="689" customFormat="1" x14ac:dyDescent="0.2"/>
    <row r="63035" s="689" customFormat="1" x14ac:dyDescent="0.2"/>
    <row r="63036" s="689" customFormat="1" x14ac:dyDescent="0.2"/>
    <row r="63037" s="689" customFormat="1" x14ac:dyDescent="0.2"/>
    <row r="63038" s="689" customFormat="1" x14ac:dyDescent="0.2"/>
    <row r="63039" s="689" customFormat="1" x14ac:dyDescent="0.2"/>
    <row r="63040" s="689" customFormat="1" x14ac:dyDescent="0.2"/>
    <row r="63041" s="689" customFormat="1" x14ac:dyDescent="0.2"/>
    <row r="63042" s="689" customFormat="1" x14ac:dyDescent="0.2"/>
    <row r="63043" s="689" customFormat="1" x14ac:dyDescent="0.2"/>
    <row r="63044" s="689" customFormat="1" x14ac:dyDescent="0.2"/>
    <row r="63045" s="689" customFormat="1" x14ac:dyDescent="0.2"/>
    <row r="63046" s="689" customFormat="1" x14ac:dyDescent="0.2"/>
    <row r="63047" s="689" customFormat="1" x14ac:dyDescent="0.2"/>
    <row r="63048" s="689" customFormat="1" x14ac:dyDescent="0.2"/>
    <row r="63049" s="689" customFormat="1" x14ac:dyDescent="0.2"/>
    <row r="63050" s="689" customFormat="1" x14ac:dyDescent="0.2"/>
    <row r="63051" s="689" customFormat="1" x14ac:dyDescent="0.2"/>
    <row r="63052" s="689" customFormat="1" x14ac:dyDescent="0.2"/>
    <row r="63053" s="689" customFormat="1" x14ac:dyDescent="0.2"/>
    <row r="63054" s="689" customFormat="1" x14ac:dyDescent="0.2"/>
    <row r="63055" s="689" customFormat="1" x14ac:dyDescent="0.2"/>
    <row r="63056" s="689" customFormat="1" x14ac:dyDescent="0.2"/>
    <row r="63057" s="689" customFormat="1" x14ac:dyDescent="0.2"/>
    <row r="63058" s="689" customFormat="1" x14ac:dyDescent="0.2"/>
    <row r="63059" s="689" customFormat="1" x14ac:dyDescent="0.2"/>
    <row r="63060" s="689" customFormat="1" x14ac:dyDescent="0.2"/>
    <row r="63061" s="689" customFormat="1" x14ac:dyDescent="0.2"/>
    <row r="63062" s="689" customFormat="1" x14ac:dyDescent="0.2"/>
    <row r="63063" s="689" customFormat="1" x14ac:dyDescent="0.2"/>
    <row r="63064" s="689" customFormat="1" x14ac:dyDescent="0.2"/>
    <row r="63065" s="689" customFormat="1" x14ac:dyDescent="0.2"/>
    <row r="63066" s="689" customFormat="1" x14ac:dyDescent="0.2"/>
    <row r="63067" s="689" customFormat="1" x14ac:dyDescent="0.2"/>
    <row r="63068" s="689" customFormat="1" x14ac:dyDescent="0.2"/>
    <row r="63069" s="689" customFormat="1" x14ac:dyDescent="0.2"/>
    <row r="63070" s="689" customFormat="1" x14ac:dyDescent="0.2"/>
    <row r="63071" s="689" customFormat="1" x14ac:dyDescent="0.2"/>
    <row r="63072" s="689" customFormat="1" x14ac:dyDescent="0.2"/>
    <row r="63073" s="689" customFormat="1" x14ac:dyDescent="0.2"/>
    <row r="63074" s="689" customFormat="1" x14ac:dyDescent="0.2"/>
    <row r="63075" s="689" customFormat="1" x14ac:dyDescent="0.2"/>
    <row r="63076" s="689" customFormat="1" x14ac:dyDescent="0.2"/>
    <row r="63077" s="689" customFormat="1" x14ac:dyDescent="0.2"/>
    <row r="63078" s="689" customFormat="1" x14ac:dyDescent="0.2"/>
    <row r="63079" s="689" customFormat="1" x14ac:dyDescent="0.2"/>
    <row r="63080" s="689" customFormat="1" x14ac:dyDescent="0.2"/>
    <row r="63081" s="689" customFormat="1" x14ac:dyDescent="0.2"/>
    <row r="63082" s="689" customFormat="1" x14ac:dyDescent="0.2"/>
    <row r="63083" s="689" customFormat="1" x14ac:dyDescent="0.2"/>
    <row r="63084" s="689" customFormat="1" x14ac:dyDescent="0.2"/>
    <row r="63085" s="689" customFormat="1" x14ac:dyDescent="0.2"/>
    <row r="63086" s="689" customFormat="1" x14ac:dyDescent="0.2"/>
    <row r="63087" s="689" customFormat="1" x14ac:dyDescent="0.2"/>
    <row r="63088" s="689" customFormat="1" x14ac:dyDescent="0.2"/>
    <row r="63089" s="689" customFormat="1" x14ac:dyDescent="0.2"/>
    <row r="63090" s="689" customFormat="1" x14ac:dyDescent="0.2"/>
    <row r="63091" s="689" customFormat="1" x14ac:dyDescent="0.2"/>
    <row r="63092" s="689" customFormat="1" x14ac:dyDescent="0.2"/>
    <row r="63093" s="689" customFormat="1" x14ac:dyDescent="0.2"/>
    <row r="63094" s="689" customFormat="1" x14ac:dyDescent="0.2"/>
    <row r="63095" s="689" customFormat="1" x14ac:dyDescent="0.2"/>
    <row r="63096" s="689" customFormat="1" x14ac:dyDescent="0.2"/>
    <row r="63097" s="689" customFormat="1" x14ac:dyDescent="0.2"/>
    <row r="63098" s="689" customFormat="1" x14ac:dyDescent="0.2"/>
    <row r="63099" s="689" customFormat="1" x14ac:dyDescent="0.2"/>
    <row r="63100" s="689" customFormat="1" x14ac:dyDescent="0.2"/>
    <row r="63101" s="689" customFormat="1" x14ac:dyDescent="0.2"/>
    <row r="63102" s="689" customFormat="1" x14ac:dyDescent="0.2"/>
    <row r="63103" s="689" customFormat="1" x14ac:dyDescent="0.2"/>
    <row r="63104" s="689" customFormat="1" x14ac:dyDescent="0.2"/>
    <row r="63105" s="689" customFormat="1" x14ac:dyDescent="0.2"/>
    <row r="63106" s="689" customFormat="1" x14ac:dyDescent="0.2"/>
    <row r="63107" s="689" customFormat="1" x14ac:dyDescent="0.2"/>
    <row r="63108" s="689" customFormat="1" x14ac:dyDescent="0.2"/>
    <row r="63109" s="689" customFormat="1" x14ac:dyDescent="0.2"/>
    <row r="63110" s="689" customFormat="1" x14ac:dyDescent="0.2"/>
    <row r="63111" s="689" customFormat="1" x14ac:dyDescent="0.2"/>
    <row r="63112" s="689" customFormat="1" x14ac:dyDescent="0.2"/>
    <row r="63113" s="689" customFormat="1" x14ac:dyDescent="0.2"/>
    <row r="63114" s="689" customFormat="1" x14ac:dyDescent="0.2"/>
    <row r="63115" s="689" customFormat="1" x14ac:dyDescent="0.2"/>
    <row r="63116" s="689" customFormat="1" x14ac:dyDescent="0.2"/>
    <row r="63117" s="689" customFormat="1" x14ac:dyDescent="0.2"/>
    <row r="63118" s="689" customFormat="1" x14ac:dyDescent="0.2"/>
    <row r="63119" s="689" customFormat="1" x14ac:dyDescent="0.2"/>
    <row r="63120" s="689" customFormat="1" x14ac:dyDescent="0.2"/>
    <row r="63121" s="689" customFormat="1" x14ac:dyDescent="0.2"/>
    <row r="63122" s="689" customFormat="1" x14ac:dyDescent="0.2"/>
    <row r="63123" s="689" customFormat="1" x14ac:dyDescent="0.2"/>
    <row r="63124" s="689" customFormat="1" x14ac:dyDescent="0.2"/>
    <row r="63125" s="689" customFormat="1" x14ac:dyDescent="0.2"/>
    <row r="63126" s="689" customFormat="1" x14ac:dyDescent="0.2"/>
    <row r="63127" s="689" customFormat="1" x14ac:dyDescent="0.2"/>
    <row r="63128" s="689" customFormat="1" x14ac:dyDescent="0.2"/>
    <row r="63129" s="689" customFormat="1" x14ac:dyDescent="0.2"/>
    <row r="63130" s="689" customFormat="1" x14ac:dyDescent="0.2"/>
    <row r="63131" s="689" customFormat="1" x14ac:dyDescent="0.2"/>
    <row r="63132" s="689" customFormat="1" x14ac:dyDescent="0.2"/>
    <row r="63133" s="689" customFormat="1" x14ac:dyDescent="0.2"/>
    <row r="63134" s="689" customFormat="1" x14ac:dyDescent="0.2"/>
    <row r="63135" s="689" customFormat="1" x14ac:dyDescent="0.2"/>
    <row r="63136" s="689" customFormat="1" x14ac:dyDescent="0.2"/>
    <row r="63137" s="689" customFormat="1" x14ac:dyDescent="0.2"/>
    <row r="63138" s="689" customFormat="1" x14ac:dyDescent="0.2"/>
    <row r="63139" s="689" customFormat="1" x14ac:dyDescent="0.2"/>
    <row r="63140" s="689" customFormat="1" x14ac:dyDescent="0.2"/>
    <row r="63141" s="689" customFormat="1" x14ac:dyDescent="0.2"/>
    <row r="63142" s="689" customFormat="1" x14ac:dyDescent="0.2"/>
    <row r="63143" s="689" customFormat="1" x14ac:dyDescent="0.2"/>
    <row r="63144" s="689" customFormat="1" x14ac:dyDescent="0.2"/>
    <row r="63145" s="689" customFormat="1" x14ac:dyDescent="0.2"/>
    <row r="63146" s="689" customFormat="1" x14ac:dyDescent="0.2"/>
    <row r="63147" s="689" customFormat="1" x14ac:dyDescent="0.2"/>
    <row r="63148" s="689" customFormat="1" x14ac:dyDescent="0.2"/>
    <row r="63149" s="689" customFormat="1" x14ac:dyDescent="0.2"/>
    <row r="63150" s="689" customFormat="1" x14ac:dyDescent="0.2"/>
    <row r="63151" s="689" customFormat="1" x14ac:dyDescent="0.2"/>
    <row r="63152" s="689" customFormat="1" x14ac:dyDescent="0.2"/>
    <row r="63153" s="689" customFormat="1" x14ac:dyDescent="0.2"/>
    <row r="63154" s="689" customFormat="1" x14ac:dyDescent="0.2"/>
    <row r="63155" s="689" customFormat="1" x14ac:dyDescent="0.2"/>
    <row r="63156" s="689" customFormat="1" x14ac:dyDescent="0.2"/>
    <row r="63157" s="689" customFormat="1" x14ac:dyDescent="0.2"/>
    <row r="63158" s="689" customFormat="1" x14ac:dyDescent="0.2"/>
    <row r="63159" s="689" customFormat="1" x14ac:dyDescent="0.2"/>
    <row r="63160" s="689" customFormat="1" x14ac:dyDescent="0.2"/>
    <row r="63161" s="689" customFormat="1" x14ac:dyDescent="0.2"/>
    <row r="63162" s="689" customFormat="1" x14ac:dyDescent="0.2"/>
    <row r="63163" s="689" customFormat="1" x14ac:dyDescent="0.2"/>
    <row r="63164" s="689" customFormat="1" x14ac:dyDescent="0.2"/>
    <row r="63165" s="689" customFormat="1" x14ac:dyDescent="0.2"/>
    <row r="63166" s="689" customFormat="1" x14ac:dyDescent="0.2"/>
    <row r="63167" s="689" customFormat="1" x14ac:dyDescent="0.2"/>
    <row r="63168" s="689" customFormat="1" x14ac:dyDescent="0.2"/>
    <row r="63169" s="689" customFormat="1" x14ac:dyDescent="0.2"/>
    <row r="63170" s="689" customFormat="1" x14ac:dyDescent="0.2"/>
    <row r="63171" s="689" customFormat="1" x14ac:dyDescent="0.2"/>
    <row r="63172" s="689" customFormat="1" x14ac:dyDescent="0.2"/>
    <row r="63173" s="689" customFormat="1" x14ac:dyDescent="0.2"/>
    <row r="63174" s="689" customFormat="1" x14ac:dyDescent="0.2"/>
    <row r="63175" s="689" customFormat="1" x14ac:dyDescent="0.2"/>
    <row r="63176" s="689" customFormat="1" x14ac:dyDescent="0.2"/>
    <row r="63177" s="689" customFormat="1" x14ac:dyDescent="0.2"/>
    <row r="63178" s="689" customFormat="1" x14ac:dyDescent="0.2"/>
    <row r="63179" s="689" customFormat="1" x14ac:dyDescent="0.2"/>
    <row r="63180" s="689" customFormat="1" x14ac:dyDescent="0.2"/>
    <row r="63181" s="689" customFormat="1" x14ac:dyDescent="0.2"/>
    <row r="63182" s="689" customFormat="1" x14ac:dyDescent="0.2"/>
    <row r="63183" s="689" customFormat="1" x14ac:dyDescent="0.2"/>
    <row r="63184" s="689" customFormat="1" x14ac:dyDescent="0.2"/>
    <row r="63185" s="689" customFormat="1" x14ac:dyDescent="0.2"/>
    <row r="63186" s="689" customFormat="1" x14ac:dyDescent="0.2"/>
    <row r="63187" s="689" customFormat="1" x14ac:dyDescent="0.2"/>
    <row r="63188" s="689" customFormat="1" x14ac:dyDescent="0.2"/>
    <row r="63189" s="689" customFormat="1" x14ac:dyDescent="0.2"/>
    <row r="63190" s="689" customFormat="1" x14ac:dyDescent="0.2"/>
    <row r="63191" s="689" customFormat="1" x14ac:dyDescent="0.2"/>
    <row r="63192" s="689" customFormat="1" x14ac:dyDescent="0.2"/>
    <row r="63193" s="689" customFormat="1" x14ac:dyDescent="0.2"/>
    <row r="63194" s="689" customFormat="1" x14ac:dyDescent="0.2"/>
    <row r="63195" s="689" customFormat="1" x14ac:dyDescent="0.2"/>
    <row r="63196" s="689" customFormat="1" x14ac:dyDescent="0.2"/>
    <row r="63197" s="689" customFormat="1" x14ac:dyDescent="0.2"/>
    <row r="63198" s="689" customFormat="1" x14ac:dyDescent="0.2"/>
    <row r="63199" s="689" customFormat="1" x14ac:dyDescent="0.2"/>
    <row r="63200" s="689" customFormat="1" x14ac:dyDescent="0.2"/>
    <row r="63201" s="689" customFormat="1" x14ac:dyDescent="0.2"/>
    <row r="63202" s="689" customFormat="1" x14ac:dyDescent="0.2"/>
    <row r="63203" s="689" customFormat="1" x14ac:dyDescent="0.2"/>
    <row r="63204" s="689" customFormat="1" x14ac:dyDescent="0.2"/>
    <row r="63205" s="689" customFormat="1" x14ac:dyDescent="0.2"/>
    <row r="63206" s="689" customFormat="1" x14ac:dyDescent="0.2"/>
    <row r="63207" s="689" customFormat="1" x14ac:dyDescent="0.2"/>
    <row r="63208" s="689" customFormat="1" x14ac:dyDescent="0.2"/>
    <row r="63209" s="689" customFormat="1" x14ac:dyDescent="0.2"/>
    <row r="63210" s="689" customFormat="1" x14ac:dyDescent="0.2"/>
    <row r="63211" s="689" customFormat="1" x14ac:dyDescent="0.2"/>
    <row r="63212" s="689" customFormat="1" x14ac:dyDescent="0.2"/>
    <row r="63213" s="689" customFormat="1" x14ac:dyDescent="0.2"/>
    <row r="63214" s="689" customFormat="1" x14ac:dyDescent="0.2"/>
    <row r="63215" s="689" customFormat="1" x14ac:dyDescent="0.2"/>
    <row r="63216" s="689" customFormat="1" x14ac:dyDescent="0.2"/>
    <row r="63217" s="689" customFormat="1" x14ac:dyDescent="0.2"/>
    <row r="63218" s="689" customFormat="1" x14ac:dyDescent="0.2"/>
    <row r="63219" s="689" customFormat="1" x14ac:dyDescent="0.2"/>
    <row r="63220" s="689" customFormat="1" x14ac:dyDescent="0.2"/>
    <row r="63221" s="689" customFormat="1" x14ac:dyDescent="0.2"/>
    <row r="63222" s="689" customFormat="1" x14ac:dyDescent="0.2"/>
    <row r="63223" s="689" customFormat="1" x14ac:dyDescent="0.2"/>
    <row r="63224" s="689" customFormat="1" x14ac:dyDescent="0.2"/>
    <row r="63225" s="689" customFormat="1" x14ac:dyDescent="0.2"/>
    <row r="63226" s="689" customFormat="1" x14ac:dyDescent="0.2"/>
    <row r="63227" s="689" customFormat="1" x14ac:dyDescent="0.2"/>
    <row r="63228" s="689" customFormat="1" x14ac:dyDescent="0.2"/>
    <row r="63229" s="689" customFormat="1" x14ac:dyDescent="0.2"/>
    <row r="63230" s="689" customFormat="1" x14ac:dyDescent="0.2"/>
    <row r="63231" s="689" customFormat="1" x14ac:dyDescent="0.2"/>
    <row r="63232" s="689" customFormat="1" x14ac:dyDescent="0.2"/>
    <row r="63233" s="689" customFormat="1" x14ac:dyDescent="0.2"/>
    <row r="63234" s="689" customFormat="1" x14ac:dyDescent="0.2"/>
    <row r="63235" s="689" customFormat="1" x14ac:dyDescent="0.2"/>
    <row r="63236" s="689" customFormat="1" x14ac:dyDescent="0.2"/>
    <row r="63237" s="689" customFormat="1" x14ac:dyDescent="0.2"/>
    <row r="63238" s="689" customFormat="1" x14ac:dyDescent="0.2"/>
    <row r="63239" s="689" customFormat="1" x14ac:dyDescent="0.2"/>
    <row r="63240" s="689" customFormat="1" x14ac:dyDescent="0.2"/>
    <row r="63241" s="689" customFormat="1" x14ac:dyDescent="0.2"/>
    <row r="63242" s="689" customFormat="1" x14ac:dyDescent="0.2"/>
    <row r="63243" s="689" customFormat="1" x14ac:dyDescent="0.2"/>
    <row r="63244" s="689" customFormat="1" x14ac:dyDescent="0.2"/>
    <row r="63245" s="689" customFormat="1" x14ac:dyDescent="0.2"/>
    <row r="63246" s="689" customFormat="1" x14ac:dyDescent="0.2"/>
    <row r="63247" s="689" customFormat="1" x14ac:dyDescent="0.2"/>
    <row r="63248" s="689" customFormat="1" x14ac:dyDescent="0.2"/>
    <row r="63249" s="689" customFormat="1" x14ac:dyDescent="0.2"/>
    <row r="63250" s="689" customFormat="1" x14ac:dyDescent="0.2"/>
    <row r="63251" s="689" customFormat="1" x14ac:dyDescent="0.2"/>
    <row r="63252" s="689" customFormat="1" x14ac:dyDescent="0.2"/>
    <row r="63253" s="689" customFormat="1" x14ac:dyDescent="0.2"/>
    <row r="63254" s="689" customFormat="1" x14ac:dyDescent="0.2"/>
    <row r="63255" s="689" customFormat="1" x14ac:dyDescent="0.2"/>
    <row r="63256" s="689" customFormat="1" x14ac:dyDescent="0.2"/>
    <row r="63257" s="689" customFormat="1" x14ac:dyDescent="0.2"/>
    <row r="63258" s="689" customFormat="1" x14ac:dyDescent="0.2"/>
    <row r="63259" s="689" customFormat="1" x14ac:dyDescent="0.2"/>
    <row r="63260" s="689" customFormat="1" x14ac:dyDescent="0.2"/>
    <row r="63261" s="689" customFormat="1" x14ac:dyDescent="0.2"/>
    <row r="63262" s="689" customFormat="1" x14ac:dyDescent="0.2"/>
    <row r="63263" s="689" customFormat="1" x14ac:dyDescent="0.2"/>
    <row r="63264" s="689" customFormat="1" x14ac:dyDescent="0.2"/>
    <row r="63265" s="689" customFormat="1" x14ac:dyDescent="0.2"/>
    <row r="63266" s="689" customFormat="1" x14ac:dyDescent="0.2"/>
    <row r="63267" s="689" customFormat="1" x14ac:dyDescent="0.2"/>
    <row r="63268" s="689" customFormat="1" x14ac:dyDescent="0.2"/>
    <row r="63269" s="689" customFormat="1" x14ac:dyDescent="0.2"/>
    <row r="63270" s="689" customFormat="1" x14ac:dyDescent="0.2"/>
    <row r="63271" s="689" customFormat="1" x14ac:dyDescent="0.2"/>
    <row r="63272" s="689" customFormat="1" x14ac:dyDescent="0.2"/>
    <row r="63273" s="689" customFormat="1" x14ac:dyDescent="0.2"/>
    <row r="63274" s="689" customFormat="1" x14ac:dyDescent="0.2"/>
    <row r="63275" s="689" customFormat="1" x14ac:dyDescent="0.2"/>
    <row r="63276" s="689" customFormat="1" x14ac:dyDescent="0.2"/>
    <row r="63277" s="689" customFormat="1" x14ac:dyDescent="0.2"/>
    <row r="63278" s="689" customFormat="1" x14ac:dyDescent="0.2"/>
    <row r="63279" s="689" customFormat="1" x14ac:dyDescent="0.2"/>
    <row r="63280" s="689" customFormat="1" x14ac:dyDescent="0.2"/>
    <row r="63281" s="689" customFormat="1" x14ac:dyDescent="0.2"/>
    <row r="63282" s="689" customFormat="1" x14ac:dyDescent="0.2"/>
    <row r="63283" s="689" customFormat="1" x14ac:dyDescent="0.2"/>
    <row r="63284" s="689" customFormat="1" x14ac:dyDescent="0.2"/>
    <row r="63285" s="689" customFormat="1" x14ac:dyDescent="0.2"/>
    <row r="63286" s="689" customFormat="1" x14ac:dyDescent="0.2"/>
    <row r="63287" s="689" customFormat="1" x14ac:dyDescent="0.2"/>
    <row r="63288" s="689" customFormat="1" x14ac:dyDescent="0.2"/>
    <row r="63289" s="689" customFormat="1" x14ac:dyDescent="0.2"/>
    <row r="63290" s="689" customFormat="1" x14ac:dyDescent="0.2"/>
    <row r="63291" s="689" customFormat="1" x14ac:dyDescent="0.2"/>
    <row r="63292" s="689" customFormat="1" x14ac:dyDescent="0.2"/>
    <row r="63293" s="689" customFormat="1" x14ac:dyDescent="0.2"/>
    <row r="63294" s="689" customFormat="1" x14ac:dyDescent="0.2"/>
    <row r="63295" s="689" customFormat="1" x14ac:dyDescent="0.2"/>
    <row r="63296" s="689" customFormat="1" x14ac:dyDescent="0.2"/>
    <row r="63297" s="689" customFormat="1" x14ac:dyDescent="0.2"/>
    <row r="63298" s="689" customFormat="1" x14ac:dyDescent="0.2"/>
    <row r="63299" s="689" customFormat="1" x14ac:dyDescent="0.2"/>
    <row r="63300" s="689" customFormat="1" x14ac:dyDescent="0.2"/>
    <row r="63301" s="689" customFormat="1" x14ac:dyDescent="0.2"/>
    <row r="63302" s="689" customFormat="1" x14ac:dyDescent="0.2"/>
    <row r="63303" s="689" customFormat="1" x14ac:dyDescent="0.2"/>
    <row r="63304" s="689" customFormat="1" x14ac:dyDescent="0.2"/>
    <row r="63305" s="689" customFormat="1" x14ac:dyDescent="0.2"/>
    <row r="63306" s="689" customFormat="1" x14ac:dyDescent="0.2"/>
    <row r="63307" s="689" customFormat="1" x14ac:dyDescent="0.2"/>
    <row r="63308" s="689" customFormat="1" x14ac:dyDescent="0.2"/>
    <row r="63309" s="689" customFormat="1" x14ac:dyDescent="0.2"/>
    <row r="63310" s="689" customFormat="1" x14ac:dyDescent="0.2"/>
    <row r="63311" s="689" customFormat="1" x14ac:dyDescent="0.2"/>
    <row r="63312" s="689" customFormat="1" x14ac:dyDescent="0.2"/>
    <row r="63313" s="689" customFormat="1" x14ac:dyDescent="0.2"/>
    <row r="63314" s="689" customFormat="1" x14ac:dyDescent="0.2"/>
    <row r="63315" s="689" customFormat="1" x14ac:dyDescent="0.2"/>
    <row r="63316" s="689" customFormat="1" x14ac:dyDescent="0.2"/>
    <row r="63317" s="689" customFormat="1" x14ac:dyDescent="0.2"/>
    <row r="63318" s="689" customFormat="1" x14ac:dyDescent="0.2"/>
    <row r="63319" s="689" customFormat="1" x14ac:dyDescent="0.2"/>
    <row r="63320" s="689" customFormat="1" x14ac:dyDescent="0.2"/>
    <row r="63321" s="689" customFormat="1" x14ac:dyDescent="0.2"/>
    <row r="63322" s="689" customFormat="1" x14ac:dyDescent="0.2"/>
    <row r="63323" s="689" customFormat="1" x14ac:dyDescent="0.2"/>
    <row r="63324" s="689" customFormat="1" x14ac:dyDescent="0.2"/>
    <row r="63325" s="689" customFormat="1" x14ac:dyDescent="0.2"/>
    <row r="63326" s="689" customFormat="1" x14ac:dyDescent="0.2"/>
    <row r="63327" s="689" customFormat="1" x14ac:dyDescent="0.2"/>
    <row r="63328" s="689" customFormat="1" x14ac:dyDescent="0.2"/>
    <row r="63329" s="689" customFormat="1" x14ac:dyDescent="0.2"/>
    <row r="63330" s="689" customFormat="1" x14ac:dyDescent="0.2"/>
    <row r="63331" s="689" customFormat="1" x14ac:dyDescent="0.2"/>
    <row r="63332" s="689" customFormat="1" x14ac:dyDescent="0.2"/>
    <row r="63333" s="689" customFormat="1" x14ac:dyDescent="0.2"/>
    <row r="63334" s="689" customFormat="1" x14ac:dyDescent="0.2"/>
    <row r="63335" s="689" customFormat="1" x14ac:dyDescent="0.2"/>
    <row r="63336" s="689" customFormat="1" x14ac:dyDescent="0.2"/>
    <row r="63337" s="689" customFormat="1" x14ac:dyDescent="0.2"/>
    <row r="63338" s="689" customFormat="1" x14ac:dyDescent="0.2"/>
    <row r="63339" s="689" customFormat="1" x14ac:dyDescent="0.2"/>
    <row r="63340" s="689" customFormat="1" x14ac:dyDescent="0.2"/>
    <row r="63341" s="689" customFormat="1" x14ac:dyDescent="0.2"/>
    <row r="63342" s="689" customFormat="1" x14ac:dyDescent="0.2"/>
    <row r="63343" s="689" customFormat="1" x14ac:dyDescent="0.2"/>
    <row r="63344" s="689" customFormat="1" x14ac:dyDescent="0.2"/>
    <row r="63345" s="689" customFormat="1" x14ac:dyDescent="0.2"/>
    <row r="63346" s="689" customFormat="1" x14ac:dyDescent="0.2"/>
    <row r="63347" s="689" customFormat="1" x14ac:dyDescent="0.2"/>
    <row r="63348" s="689" customFormat="1" x14ac:dyDescent="0.2"/>
    <row r="63349" s="689" customFormat="1" x14ac:dyDescent="0.2"/>
    <row r="63350" s="689" customFormat="1" x14ac:dyDescent="0.2"/>
    <row r="63351" s="689" customFormat="1" x14ac:dyDescent="0.2"/>
    <row r="63352" s="689" customFormat="1" x14ac:dyDescent="0.2"/>
    <row r="63353" s="689" customFormat="1" x14ac:dyDescent="0.2"/>
    <row r="63354" s="689" customFormat="1" x14ac:dyDescent="0.2"/>
    <row r="63355" s="689" customFormat="1" x14ac:dyDescent="0.2"/>
    <row r="63356" s="689" customFormat="1" x14ac:dyDescent="0.2"/>
    <row r="63357" s="689" customFormat="1" x14ac:dyDescent="0.2"/>
    <row r="63358" s="689" customFormat="1" x14ac:dyDescent="0.2"/>
    <row r="63359" s="689" customFormat="1" x14ac:dyDescent="0.2"/>
    <row r="63360" s="689" customFormat="1" x14ac:dyDescent="0.2"/>
    <row r="63361" s="689" customFormat="1" x14ac:dyDescent="0.2"/>
    <row r="63362" s="689" customFormat="1" x14ac:dyDescent="0.2"/>
    <row r="63363" s="689" customFormat="1" x14ac:dyDescent="0.2"/>
    <row r="63364" s="689" customFormat="1" x14ac:dyDescent="0.2"/>
    <row r="63365" s="689" customFormat="1" x14ac:dyDescent="0.2"/>
    <row r="63366" s="689" customFormat="1" x14ac:dyDescent="0.2"/>
    <row r="63367" s="689" customFormat="1" x14ac:dyDescent="0.2"/>
    <row r="63368" s="689" customFormat="1" x14ac:dyDescent="0.2"/>
    <row r="63369" s="689" customFormat="1" x14ac:dyDescent="0.2"/>
    <row r="63370" s="689" customFormat="1" x14ac:dyDescent="0.2"/>
    <row r="63371" s="689" customFormat="1" x14ac:dyDescent="0.2"/>
    <row r="63372" s="689" customFormat="1" x14ac:dyDescent="0.2"/>
    <row r="63373" s="689" customFormat="1" x14ac:dyDescent="0.2"/>
    <row r="63374" s="689" customFormat="1" x14ac:dyDescent="0.2"/>
    <row r="63375" s="689" customFormat="1" x14ac:dyDescent="0.2"/>
    <row r="63376" s="689" customFormat="1" x14ac:dyDescent="0.2"/>
    <row r="63377" s="689" customFormat="1" x14ac:dyDescent="0.2"/>
    <row r="63378" s="689" customFormat="1" x14ac:dyDescent="0.2"/>
    <row r="63379" s="689" customFormat="1" x14ac:dyDescent="0.2"/>
    <row r="63380" s="689" customFormat="1" x14ac:dyDescent="0.2"/>
    <row r="63381" s="689" customFormat="1" x14ac:dyDescent="0.2"/>
    <row r="63382" s="689" customFormat="1" x14ac:dyDescent="0.2"/>
    <row r="63383" s="689" customFormat="1" x14ac:dyDescent="0.2"/>
    <row r="63384" s="689" customFormat="1" x14ac:dyDescent="0.2"/>
    <row r="63385" s="689" customFormat="1" x14ac:dyDescent="0.2"/>
    <row r="63386" s="689" customFormat="1" x14ac:dyDescent="0.2"/>
    <row r="63387" s="689" customFormat="1" x14ac:dyDescent="0.2"/>
    <row r="63388" s="689" customFormat="1" x14ac:dyDescent="0.2"/>
    <row r="63389" s="689" customFormat="1" x14ac:dyDescent="0.2"/>
    <row r="63390" s="689" customFormat="1" x14ac:dyDescent="0.2"/>
    <row r="63391" s="689" customFormat="1" x14ac:dyDescent="0.2"/>
    <row r="63392" s="689" customFormat="1" x14ac:dyDescent="0.2"/>
    <row r="63393" s="689" customFormat="1" x14ac:dyDescent="0.2"/>
    <row r="63394" s="689" customFormat="1" x14ac:dyDescent="0.2"/>
    <row r="63395" s="689" customFormat="1" x14ac:dyDescent="0.2"/>
    <row r="63396" s="689" customFormat="1" x14ac:dyDescent="0.2"/>
    <row r="63397" s="689" customFormat="1" x14ac:dyDescent="0.2"/>
    <row r="63398" s="689" customFormat="1" x14ac:dyDescent="0.2"/>
    <row r="63399" s="689" customFormat="1" x14ac:dyDescent="0.2"/>
    <row r="63400" s="689" customFormat="1" x14ac:dyDescent="0.2"/>
    <row r="63401" s="689" customFormat="1" x14ac:dyDescent="0.2"/>
    <row r="63402" s="689" customFormat="1" x14ac:dyDescent="0.2"/>
    <row r="63403" s="689" customFormat="1" x14ac:dyDescent="0.2"/>
    <row r="63404" s="689" customFormat="1" x14ac:dyDescent="0.2"/>
    <row r="63405" s="689" customFormat="1" x14ac:dyDescent="0.2"/>
    <row r="63406" s="689" customFormat="1" x14ac:dyDescent="0.2"/>
    <row r="63407" s="689" customFormat="1" x14ac:dyDescent="0.2"/>
    <row r="63408" s="689" customFormat="1" x14ac:dyDescent="0.2"/>
    <row r="63409" s="689" customFormat="1" x14ac:dyDescent="0.2"/>
    <row r="63410" s="689" customFormat="1" x14ac:dyDescent="0.2"/>
    <row r="63411" s="689" customFormat="1" x14ac:dyDescent="0.2"/>
    <row r="63412" s="689" customFormat="1" x14ac:dyDescent="0.2"/>
    <row r="63413" s="689" customFormat="1" x14ac:dyDescent="0.2"/>
    <row r="63414" s="689" customFormat="1" x14ac:dyDescent="0.2"/>
    <row r="63415" s="689" customFormat="1" x14ac:dyDescent="0.2"/>
    <row r="63416" s="689" customFormat="1" x14ac:dyDescent="0.2"/>
    <row r="63417" s="689" customFormat="1" x14ac:dyDescent="0.2"/>
    <row r="63418" s="689" customFormat="1" x14ac:dyDescent="0.2"/>
    <row r="63419" s="689" customFormat="1" x14ac:dyDescent="0.2"/>
    <row r="63420" s="689" customFormat="1" x14ac:dyDescent="0.2"/>
    <row r="63421" s="689" customFormat="1" x14ac:dyDescent="0.2"/>
    <row r="63422" s="689" customFormat="1" x14ac:dyDescent="0.2"/>
    <row r="63423" s="689" customFormat="1" x14ac:dyDescent="0.2"/>
    <row r="63424" s="689" customFormat="1" x14ac:dyDescent="0.2"/>
    <row r="63425" s="689" customFormat="1" x14ac:dyDescent="0.2"/>
    <row r="63426" s="689" customFormat="1" x14ac:dyDescent="0.2"/>
    <row r="63427" s="689" customFormat="1" x14ac:dyDescent="0.2"/>
    <row r="63428" s="689" customFormat="1" x14ac:dyDescent="0.2"/>
    <row r="63429" s="689" customFormat="1" x14ac:dyDescent="0.2"/>
    <row r="63430" s="689" customFormat="1" x14ac:dyDescent="0.2"/>
    <row r="63431" s="689" customFormat="1" x14ac:dyDescent="0.2"/>
    <row r="63432" s="689" customFormat="1" x14ac:dyDescent="0.2"/>
    <row r="63433" s="689" customFormat="1" x14ac:dyDescent="0.2"/>
    <row r="63434" s="689" customFormat="1" x14ac:dyDescent="0.2"/>
    <row r="63435" s="689" customFormat="1" x14ac:dyDescent="0.2"/>
    <row r="63436" s="689" customFormat="1" x14ac:dyDescent="0.2"/>
    <row r="63437" s="689" customFormat="1" x14ac:dyDescent="0.2"/>
    <row r="63438" s="689" customFormat="1" x14ac:dyDescent="0.2"/>
    <row r="63439" s="689" customFormat="1" x14ac:dyDescent="0.2"/>
    <row r="63440" s="689" customFormat="1" x14ac:dyDescent="0.2"/>
    <row r="63441" s="689" customFormat="1" x14ac:dyDescent="0.2"/>
    <row r="63442" s="689" customFormat="1" x14ac:dyDescent="0.2"/>
    <row r="63443" s="689" customFormat="1" x14ac:dyDescent="0.2"/>
    <row r="63444" s="689" customFormat="1" x14ac:dyDescent="0.2"/>
    <row r="63445" s="689" customFormat="1" x14ac:dyDescent="0.2"/>
    <row r="63446" s="689" customFormat="1" x14ac:dyDescent="0.2"/>
    <row r="63447" s="689" customFormat="1" x14ac:dyDescent="0.2"/>
    <row r="63448" s="689" customFormat="1" x14ac:dyDescent="0.2"/>
    <row r="63449" s="689" customFormat="1" x14ac:dyDescent="0.2"/>
    <row r="63450" s="689" customFormat="1" x14ac:dyDescent="0.2"/>
    <row r="63451" s="689" customFormat="1" x14ac:dyDescent="0.2"/>
    <row r="63452" s="689" customFormat="1" x14ac:dyDescent="0.2"/>
    <row r="63453" s="689" customFormat="1" x14ac:dyDescent="0.2"/>
    <row r="63454" s="689" customFormat="1" x14ac:dyDescent="0.2"/>
    <row r="63455" s="689" customFormat="1" x14ac:dyDescent="0.2"/>
    <row r="63456" s="689" customFormat="1" x14ac:dyDescent="0.2"/>
    <row r="63457" s="689" customFormat="1" x14ac:dyDescent="0.2"/>
    <row r="63458" s="689" customFormat="1" x14ac:dyDescent="0.2"/>
    <row r="63459" s="689" customFormat="1" x14ac:dyDescent="0.2"/>
    <row r="63460" s="689" customFormat="1" x14ac:dyDescent="0.2"/>
    <row r="63461" s="689" customFormat="1" x14ac:dyDescent="0.2"/>
    <row r="63462" s="689" customFormat="1" x14ac:dyDescent="0.2"/>
    <row r="63463" s="689" customFormat="1" x14ac:dyDescent="0.2"/>
    <row r="63464" s="689" customFormat="1" x14ac:dyDescent="0.2"/>
    <row r="63465" s="689" customFormat="1" x14ac:dyDescent="0.2"/>
    <row r="63466" s="689" customFormat="1" x14ac:dyDescent="0.2"/>
    <row r="63467" s="689" customFormat="1" x14ac:dyDescent="0.2"/>
    <row r="63468" s="689" customFormat="1" x14ac:dyDescent="0.2"/>
    <row r="63469" s="689" customFormat="1" x14ac:dyDescent="0.2"/>
    <row r="63470" s="689" customFormat="1" x14ac:dyDescent="0.2"/>
    <row r="63471" s="689" customFormat="1" x14ac:dyDescent="0.2"/>
    <row r="63472" s="689" customFormat="1" x14ac:dyDescent="0.2"/>
    <row r="63473" s="689" customFormat="1" x14ac:dyDescent="0.2"/>
    <row r="63474" s="689" customFormat="1" x14ac:dyDescent="0.2"/>
    <row r="63475" s="689" customFormat="1" x14ac:dyDescent="0.2"/>
    <row r="63476" s="689" customFormat="1" x14ac:dyDescent="0.2"/>
    <row r="63477" s="689" customFormat="1" x14ac:dyDescent="0.2"/>
    <row r="63478" s="689" customFormat="1" x14ac:dyDescent="0.2"/>
    <row r="63479" s="689" customFormat="1" x14ac:dyDescent="0.2"/>
    <row r="63480" s="689" customFormat="1" x14ac:dyDescent="0.2"/>
    <row r="63481" s="689" customFormat="1" x14ac:dyDescent="0.2"/>
    <row r="63482" s="689" customFormat="1" x14ac:dyDescent="0.2"/>
    <row r="63483" s="689" customFormat="1" x14ac:dyDescent="0.2"/>
    <row r="63484" s="689" customFormat="1" x14ac:dyDescent="0.2"/>
    <row r="63485" s="689" customFormat="1" x14ac:dyDescent="0.2"/>
    <row r="63486" s="689" customFormat="1" x14ac:dyDescent="0.2"/>
    <row r="63487" s="689" customFormat="1" x14ac:dyDescent="0.2"/>
    <row r="63488" s="689" customFormat="1" x14ac:dyDescent="0.2"/>
    <row r="63489" s="689" customFormat="1" x14ac:dyDescent="0.2"/>
    <row r="63490" s="689" customFormat="1" x14ac:dyDescent="0.2"/>
    <row r="63491" s="689" customFormat="1" x14ac:dyDescent="0.2"/>
    <row r="63492" s="689" customFormat="1" x14ac:dyDescent="0.2"/>
    <row r="63493" s="689" customFormat="1" x14ac:dyDescent="0.2"/>
    <row r="63494" s="689" customFormat="1" x14ac:dyDescent="0.2"/>
    <row r="63495" s="689" customFormat="1" x14ac:dyDescent="0.2"/>
    <row r="63496" s="689" customFormat="1" x14ac:dyDescent="0.2"/>
    <row r="63497" s="689" customFormat="1" x14ac:dyDescent="0.2"/>
    <row r="63498" s="689" customFormat="1" x14ac:dyDescent="0.2"/>
    <row r="63499" s="689" customFormat="1" x14ac:dyDescent="0.2"/>
    <row r="63500" s="689" customFormat="1" x14ac:dyDescent="0.2"/>
    <row r="63501" s="689" customFormat="1" x14ac:dyDescent="0.2"/>
    <row r="63502" s="689" customFormat="1" x14ac:dyDescent="0.2"/>
    <row r="63503" s="689" customFormat="1" x14ac:dyDescent="0.2"/>
    <row r="63504" s="689" customFormat="1" x14ac:dyDescent="0.2"/>
    <row r="63505" s="689" customFormat="1" x14ac:dyDescent="0.2"/>
    <row r="63506" s="689" customFormat="1" x14ac:dyDescent="0.2"/>
    <row r="63507" s="689" customFormat="1" x14ac:dyDescent="0.2"/>
    <row r="63508" s="689" customFormat="1" x14ac:dyDescent="0.2"/>
    <row r="63509" s="689" customFormat="1" x14ac:dyDescent="0.2"/>
    <row r="63510" s="689" customFormat="1" x14ac:dyDescent="0.2"/>
    <row r="63511" s="689" customFormat="1" x14ac:dyDescent="0.2"/>
    <row r="63512" s="689" customFormat="1" x14ac:dyDescent="0.2"/>
    <row r="63513" s="689" customFormat="1" x14ac:dyDescent="0.2"/>
    <row r="63514" s="689" customFormat="1" x14ac:dyDescent="0.2"/>
    <row r="63515" s="689" customFormat="1" x14ac:dyDescent="0.2"/>
    <row r="63516" s="689" customFormat="1" x14ac:dyDescent="0.2"/>
    <row r="63517" s="689" customFormat="1" x14ac:dyDescent="0.2"/>
    <row r="63518" s="689" customFormat="1" x14ac:dyDescent="0.2"/>
    <row r="63519" s="689" customFormat="1" x14ac:dyDescent="0.2"/>
    <row r="63520" s="689" customFormat="1" x14ac:dyDescent="0.2"/>
    <row r="63521" s="689" customFormat="1" x14ac:dyDescent="0.2"/>
    <row r="63522" s="689" customFormat="1" x14ac:dyDescent="0.2"/>
    <row r="63523" s="689" customFormat="1" x14ac:dyDescent="0.2"/>
    <row r="63524" s="689" customFormat="1" x14ac:dyDescent="0.2"/>
    <row r="63525" s="689" customFormat="1" x14ac:dyDescent="0.2"/>
    <row r="63526" s="689" customFormat="1" x14ac:dyDescent="0.2"/>
    <row r="63527" s="689" customFormat="1" x14ac:dyDescent="0.2"/>
    <row r="63528" s="689" customFormat="1" x14ac:dyDescent="0.2"/>
    <row r="63529" s="689" customFormat="1" x14ac:dyDescent="0.2"/>
    <row r="63530" s="689" customFormat="1" x14ac:dyDescent="0.2"/>
    <row r="63531" s="689" customFormat="1" x14ac:dyDescent="0.2"/>
    <row r="63532" s="689" customFormat="1" x14ac:dyDescent="0.2"/>
    <row r="63533" s="689" customFormat="1" x14ac:dyDescent="0.2"/>
    <row r="63534" s="689" customFormat="1" x14ac:dyDescent="0.2"/>
    <row r="63535" s="689" customFormat="1" x14ac:dyDescent="0.2"/>
    <row r="63536" s="689" customFormat="1" x14ac:dyDescent="0.2"/>
    <row r="63537" s="689" customFormat="1" x14ac:dyDescent="0.2"/>
    <row r="63538" s="689" customFormat="1" x14ac:dyDescent="0.2"/>
    <row r="63539" s="689" customFormat="1" x14ac:dyDescent="0.2"/>
    <row r="63540" s="689" customFormat="1" x14ac:dyDescent="0.2"/>
    <row r="63541" s="689" customFormat="1" x14ac:dyDescent="0.2"/>
    <row r="63542" s="689" customFormat="1" x14ac:dyDescent="0.2"/>
    <row r="63543" s="689" customFormat="1" x14ac:dyDescent="0.2"/>
    <row r="63544" s="689" customFormat="1" x14ac:dyDescent="0.2"/>
    <row r="63545" s="689" customFormat="1" x14ac:dyDescent="0.2"/>
    <row r="63546" s="689" customFormat="1" x14ac:dyDescent="0.2"/>
    <row r="63547" s="689" customFormat="1" x14ac:dyDescent="0.2"/>
    <row r="63548" s="689" customFormat="1" x14ac:dyDescent="0.2"/>
    <row r="63549" s="689" customFormat="1" x14ac:dyDescent="0.2"/>
    <row r="63550" s="689" customFormat="1" x14ac:dyDescent="0.2"/>
    <row r="63551" s="689" customFormat="1" x14ac:dyDescent="0.2"/>
    <row r="63552" s="689" customFormat="1" x14ac:dyDescent="0.2"/>
    <row r="63553" s="689" customFormat="1" x14ac:dyDescent="0.2"/>
    <row r="63554" s="689" customFormat="1" x14ac:dyDescent="0.2"/>
    <row r="63555" s="689" customFormat="1" x14ac:dyDescent="0.2"/>
    <row r="63556" s="689" customFormat="1" x14ac:dyDescent="0.2"/>
    <row r="63557" s="689" customFormat="1" x14ac:dyDescent="0.2"/>
    <row r="63558" s="689" customFormat="1" x14ac:dyDescent="0.2"/>
    <row r="63559" s="689" customFormat="1" x14ac:dyDescent="0.2"/>
    <row r="63560" s="689" customFormat="1" x14ac:dyDescent="0.2"/>
    <row r="63561" s="689" customFormat="1" x14ac:dyDescent="0.2"/>
    <row r="63562" s="689" customFormat="1" x14ac:dyDescent="0.2"/>
    <row r="63563" s="689" customFormat="1" x14ac:dyDescent="0.2"/>
    <row r="63564" s="689" customFormat="1" x14ac:dyDescent="0.2"/>
    <row r="63565" s="689" customFormat="1" x14ac:dyDescent="0.2"/>
    <row r="63566" s="689" customFormat="1" x14ac:dyDescent="0.2"/>
    <row r="63567" s="689" customFormat="1" x14ac:dyDescent="0.2"/>
    <row r="63568" s="689" customFormat="1" x14ac:dyDescent="0.2"/>
    <row r="63569" s="689" customFormat="1" x14ac:dyDescent="0.2"/>
    <row r="63570" s="689" customFormat="1" x14ac:dyDescent="0.2"/>
    <row r="63571" s="689" customFormat="1" x14ac:dyDescent="0.2"/>
    <row r="63572" s="689" customFormat="1" x14ac:dyDescent="0.2"/>
    <row r="63573" s="689" customFormat="1" x14ac:dyDescent="0.2"/>
    <row r="63574" s="689" customFormat="1" x14ac:dyDescent="0.2"/>
    <row r="63575" s="689" customFormat="1" x14ac:dyDescent="0.2"/>
    <row r="63576" s="689" customFormat="1" x14ac:dyDescent="0.2"/>
    <row r="63577" s="689" customFormat="1" x14ac:dyDescent="0.2"/>
    <row r="63578" s="689" customFormat="1" x14ac:dyDescent="0.2"/>
    <row r="63579" s="689" customFormat="1" x14ac:dyDescent="0.2"/>
    <row r="63580" s="689" customFormat="1" x14ac:dyDescent="0.2"/>
    <row r="63581" s="689" customFormat="1" x14ac:dyDescent="0.2"/>
    <row r="63582" s="689" customFormat="1" x14ac:dyDescent="0.2"/>
    <row r="63583" s="689" customFormat="1" x14ac:dyDescent="0.2"/>
    <row r="63584" s="689" customFormat="1" x14ac:dyDescent="0.2"/>
    <row r="63585" s="689" customFormat="1" x14ac:dyDescent="0.2"/>
    <row r="63586" s="689" customFormat="1" x14ac:dyDescent="0.2"/>
    <row r="63587" s="689" customFormat="1" x14ac:dyDescent="0.2"/>
    <row r="63588" s="689" customFormat="1" x14ac:dyDescent="0.2"/>
    <row r="63589" s="689" customFormat="1" x14ac:dyDescent="0.2"/>
    <row r="63590" s="689" customFormat="1" x14ac:dyDescent="0.2"/>
    <row r="63591" s="689" customFormat="1" x14ac:dyDescent="0.2"/>
    <row r="63592" s="689" customFormat="1" x14ac:dyDescent="0.2"/>
    <row r="63593" s="689" customFormat="1" x14ac:dyDescent="0.2"/>
    <row r="63594" s="689" customFormat="1" x14ac:dyDescent="0.2"/>
    <row r="63595" s="689" customFormat="1" x14ac:dyDescent="0.2"/>
    <row r="63596" s="689" customFormat="1" x14ac:dyDescent="0.2"/>
    <row r="63597" s="689" customFormat="1" x14ac:dyDescent="0.2"/>
    <row r="63598" s="689" customFormat="1" x14ac:dyDescent="0.2"/>
    <row r="63599" s="689" customFormat="1" x14ac:dyDescent="0.2"/>
    <row r="63600" s="689" customFormat="1" x14ac:dyDescent="0.2"/>
    <row r="63601" s="689" customFormat="1" x14ac:dyDescent="0.2"/>
    <row r="63602" s="689" customFormat="1" x14ac:dyDescent="0.2"/>
    <row r="63603" s="689" customFormat="1" x14ac:dyDescent="0.2"/>
    <row r="63604" s="689" customFormat="1" x14ac:dyDescent="0.2"/>
    <row r="63605" s="689" customFormat="1" x14ac:dyDescent="0.2"/>
    <row r="63606" s="689" customFormat="1" x14ac:dyDescent="0.2"/>
    <row r="63607" s="689" customFormat="1" x14ac:dyDescent="0.2"/>
    <row r="63608" s="689" customFormat="1" x14ac:dyDescent="0.2"/>
    <row r="63609" s="689" customFormat="1" x14ac:dyDescent="0.2"/>
    <row r="63610" s="689" customFormat="1" x14ac:dyDescent="0.2"/>
    <row r="63611" s="689" customFormat="1" x14ac:dyDescent="0.2"/>
    <row r="63612" s="689" customFormat="1" x14ac:dyDescent="0.2"/>
    <row r="63613" s="689" customFormat="1" x14ac:dyDescent="0.2"/>
    <row r="63614" s="689" customFormat="1" x14ac:dyDescent="0.2"/>
    <row r="63615" s="689" customFormat="1" x14ac:dyDescent="0.2"/>
    <row r="63616" s="689" customFormat="1" x14ac:dyDescent="0.2"/>
    <row r="63617" s="689" customFormat="1" x14ac:dyDescent="0.2"/>
    <row r="63618" s="689" customFormat="1" x14ac:dyDescent="0.2"/>
    <row r="63619" s="689" customFormat="1" x14ac:dyDescent="0.2"/>
    <row r="63620" s="689" customFormat="1" x14ac:dyDescent="0.2"/>
    <row r="63621" s="689" customFormat="1" x14ac:dyDescent="0.2"/>
    <row r="63622" s="689" customFormat="1" x14ac:dyDescent="0.2"/>
    <row r="63623" s="689" customFormat="1" x14ac:dyDescent="0.2"/>
    <row r="63624" s="689" customFormat="1" x14ac:dyDescent="0.2"/>
    <row r="63625" s="689" customFormat="1" x14ac:dyDescent="0.2"/>
    <row r="63626" s="689" customFormat="1" x14ac:dyDescent="0.2"/>
    <row r="63627" s="689" customFormat="1" x14ac:dyDescent="0.2"/>
    <row r="63628" s="689" customFormat="1" x14ac:dyDescent="0.2"/>
    <row r="63629" s="689" customFormat="1" x14ac:dyDescent="0.2"/>
    <row r="63630" s="689" customFormat="1" x14ac:dyDescent="0.2"/>
    <row r="63631" s="689" customFormat="1" x14ac:dyDescent="0.2"/>
    <row r="63632" s="689" customFormat="1" x14ac:dyDescent="0.2"/>
    <row r="63633" s="689" customFormat="1" x14ac:dyDescent="0.2"/>
    <row r="63634" s="689" customFormat="1" x14ac:dyDescent="0.2"/>
    <row r="63635" s="689" customFormat="1" x14ac:dyDescent="0.2"/>
    <row r="63636" s="689" customFormat="1" x14ac:dyDescent="0.2"/>
    <row r="63637" s="689" customFormat="1" x14ac:dyDescent="0.2"/>
    <row r="63638" s="689" customFormat="1" x14ac:dyDescent="0.2"/>
    <row r="63639" s="689" customFormat="1" x14ac:dyDescent="0.2"/>
    <row r="63640" s="689" customFormat="1" x14ac:dyDescent="0.2"/>
    <row r="63641" s="689" customFormat="1" x14ac:dyDescent="0.2"/>
    <row r="63642" s="689" customFormat="1" x14ac:dyDescent="0.2"/>
    <row r="63643" s="689" customFormat="1" x14ac:dyDescent="0.2"/>
    <row r="63644" s="689" customFormat="1" x14ac:dyDescent="0.2"/>
    <row r="63645" s="689" customFormat="1" x14ac:dyDescent="0.2"/>
    <row r="63646" s="689" customFormat="1" x14ac:dyDescent="0.2"/>
    <row r="63647" s="689" customFormat="1" x14ac:dyDescent="0.2"/>
    <row r="63648" s="689" customFormat="1" x14ac:dyDescent="0.2"/>
    <row r="63649" s="689" customFormat="1" x14ac:dyDescent="0.2"/>
    <row r="63650" s="689" customFormat="1" x14ac:dyDescent="0.2"/>
    <row r="63651" s="689" customFormat="1" x14ac:dyDescent="0.2"/>
    <row r="63652" s="689" customFormat="1" x14ac:dyDescent="0.2"/>
    <row r="63653" s="689" customFormat="1" x14ac:dyDescent="0.2"/>
    <row r="63654" s="689" customFormat="1" x14ac:dyDescent="0.2"/>
    <row r="63655" s="689" customFormat="1" x14ac:dyDescent="0.2"/>
    <row r="63656" s="689" customFormat="1" x14ac:dyDescent="0.2"/>
    <row r="63657" s="689" customFormat="1" x14ac:dyDescent="0.2"/>
    <row r="63658" s="689" customFormat="1" x14ac:dyDescent="0.2"/>
    <row r="63659" s="689" customFormat="1" x14ac:dyDescent="0.2"/>
    <row r="63660" s="689" customFormat="1" x14ac:dyDescent="0.2"/>
    <row r="63661" s="689" customFormat="1" x14ac:dyDescent="0.2"/>
    <row r="63662" s="689" customFormat="1" x14ac:dyDescent="0.2"/>
    <row r="63663" s="689" customFormat="1" x14ac:dyDescent="0.2"/>
    <row r="63664" s="689" customFormat="1" x14ac:dyDescent="0.2"/>
    <row r="63665" s="689" customFormat="1" x14ac:dyDescent="0.2"/>
    <row r="63666" s="689" customFormat="1" x14ac:dyDescent="0.2"/>
    <row r="63667" s="689" customFormat="1" x14ac:dyDescent="0.2"/>
    <row r="63668" s="689" customFormat="1" x14ac:dyDescent="0.2"/>
    <row r="63669" s="689" customFormat="1" x14ac:dyDescent="0.2"/>
    <row r="63670" s="689" customFormat="1" x14ac:dyDescent="0.2"/>
    <row r="63671" s="689" customFormat="1" x14ac:dyDescent="0.2"/>
    <row r="63672" s="689" customFormat="1" x14ac:dyDescent="0.2"/>
    <row r="63673" s="689" customFormat="1" x14ac:dyDescent="0.2"/>
    <row r="63674" s="689" customFormat="1" x14ac:dyDescent="0.2"/>
    <row r="63675" s="689" customFormat="1" x14ac:dyDescent="0.2"/>
    <row r="63676" s="689" customFormat="1" x14ac:dyDescent="0.2"/>
    <row r="63677" s="689" customFormat="1" x14ac:dyDescent="0.2"/>
    <row r="63678" s="689" customFormat="1" x14ac:dyDescent="0.2"/>
    <row r="63679" s="689" customFormat="1" x14ac:dyDescent="0.2"/>
    <row r="63680" s="689" customFormat="1" x14ac:dyDescent="0.2"/>
    <row r="63681" s="689" customFormat="1" x14ac:dyDescent="0.2"/>
    <row r="63682" s="689" customFormat="1" x14ac:dyDescent="0.2"/>
    <row r="63683" s="689" customFormat="1" x14ac:dyDescent="0.2"/>
    <row r="63684" s="689" customFormat="1" x14ac:dyDescent="0.2"/>
    <row r="63685" s="689" customFormat="1" x14ac:dyDescent="0.2"/>
    <row r="63686" s="689" customFormat="1" x14ac:dyDescent="0.2"/>
    <row r="63687" s="689" customFormat="1" x14ac:dyDescent="0.2"/>
    <row r="63688" s="689" customFormat="1" x14ac:dyDescent="0.2"/>
    <row r="63689" s="689" customFormat="1" x14ac:dyDescent="0.2"/>
    <row r="63690" s="689" customFormat="1" x14ac:dyDescent="0.2"/>
    <row r="63691" s="689" customFormat="1" x14ac:dyDescent="0.2"/>
    <row r="63692" s="689" customFormat="1" x14ac:dyDescent="0.2"/>
    <row r="63693" s="689" customFormat="1" x14ac:dyDescent="0.2"/>
    <row r="63694" s="689" customFormat="1" x14ac:dyDescent="0.2"/>
    <row r="63695" s="689" customFormat="1" x14ac:dyDescent="0.2"/>
    <row r="63696" s="689" customFormat="1" x14ac:dyDescent="0.2"/>
    <row r="63697" s="689" customFormat="1" x14ac:dyDescent="0.2"/>
    <row r="63698" s="689" customFormat="1" x14ac:dyDescent="0.2"/>
    <row r="63699" s="689" customFormat="1" x14ac:dyDescent="0.2"/>
    <row r="63700" s="689" customFormat="1" x14ac:dyDescent="0.2"/>
    <row r="63701" s="689" customFormat="1" x14ac:dyDescent="0.2"/>
    <row r="63702" s="689" customFormat="1" x14ac:dyDescent="0.2"/>
    <row r="63703" s="689" customFormat="1" x14ac:dyDescent="0.2"/>
    <row r="63704" s="689" customFormat="1" x14ac:dyDescent="0.2"/>
    <row r="63705" s="689" customFormat="1" x14ac:dyDescent="0.2"/>
    <row r="63706" s="689" customFormat="1" x14ac:dyDescent="0.2"/>
    <row r="63707" s="689" customFormat="1" x14ac:dyDescent="0.2"/>
    <row r="63708" s="689" customFormat="1" x14ac:dyDescent="0.2"/>
    <row r="63709" s="689" customFormat="1" x14ac:dyDescent="0.2"/>
    <row r="63710" s="689" customFormat="1" x14ac:dyDescent="0.2"/>
    <row r="63711" s="689" customFormat="1" x14ac:dyDescent="0.2"/>
    <row r="63712" s="689" customFormat="1" x14ac:dyDescent="0.2"/>
    <row r="63713" s="689" customFormat="1" x14ac:dyDescent="0.2"/>
    <row r="63714" s="689" customFormat="1" x14ac:dyDescent="0.2"/>
    <row r="63715" s="689" customFormat="1" x14ac:dyDescent="0.2"/>
    <row r="63716" s="689" customFormat="1" x14ac:dyDescent="0.2"/>
    <row r="63717" s="689" customFormat="1" x14ac:dyDescent="0.2"/>
    <row r="63718" s="689" customFormat="1" x14ac:dyDescent="0.2"/>
    <row r="63719" s="689" customFormat="1" x14ac:dyDescent="0.2"/>
    <row r="63720" s="689" customFormat="1" x14ac:dyDescent="0.2"/>
    <row r="63721" s="689" customFormat="1" x14ac:dyDescent="0.2"/>
    <row r="63722" s="689" customFormat="1" x14ac:dyDescent="0.2"/>
    <row r="63723" s="689" customFormat="1" x14ac:dyDescent="0.2"/>
    <row r="63724" s="689" customFormat="1" x14ac:dyDescent="0.2"/>
    <row r="63725" s="689" customFormat="1" x14ac:dyDescent="0.2"/>
    <row r="63726" s="689" customFormat="1" x14ac:dyDescent="0.2"/>
    <row r="63727" s="689" customFormat="1" x14ac:dyDescent="0.2"/>
    <row r="63728" s="689" customFormat="1" x14ac:dyDescent="0.2"/>
    <row r="63729" s="689" customFormat="1" x14ac:dyDescent="0.2"/>
    <row r="63730" s="689" customFormat="1" x14ac:dyDescent="0.2"/>
    <row r="63731" s="689" customFormat="1" x14ac:dyDescent="0.2"/>
    <row r="63732" s="689" customFormat="1" x14ac:dyDescent="0.2"/>
    <row r="63733" s="689" customFormat="1" x14ac:dyDescent="0.2"/>
    <row r="63734" s="689" customFormat="1" x14ac:dyDescent="0.2"/>
    <row r="63735" s="689" customFormat="1" x14ac:dyDescent="0.2"/>
    <row r="63736" s="689" customFormat="1" x14ac:dyDescent="0.2"/>
    <row r="63737" s="689" customFormat="1" x14ac:dyDescent="0.2"/>
    <row r="63738" s="689" customFormat="1" x14ac:dyDescent="0.2"/>
    <row r="63739" s="689" customFormat="1" x14ac:dyDescent="0.2"/>
    <row r="63740" s="689" customFormat="1" x14ac:dyDescent="0.2"/>
    <row r="63741" s="689" customFormat="1" x14ac:dyDescent="0.2"/>
    <row r="63742" s="689" customFormat="1" x14ac:dyDescent="0.2"/>
    <row r="63743" s="689" customFormat="1" x14ac:dyDescent="0.2"/>
    <row r="63744" s="689" customFormat="1" x14ac:dyDescent="0.2"/>
    <row r="63745" s="689" customFormat="1" x14ac:dyDescent="0.2"/>
    <row r="63746" s="689" customFormat="1" x14ac:dyDescent="0.2"/>
    <row r="63747" s="689" customFormat="1" x14ac:dyDescent="0.2"/>
    <row r="63748" s="689" customFormat="1" x14ac:dyDescent="0.2"/>
    <row r="63749" s="689" customFormat="1" x14ac:dyDescent="0.2"/>
    <row r="63750" s="689" customFormat="1" x14ac:dyDescent="0.2"/>
    <row r="63751" s="689" customFormat="1" x14ac:dyDescent="0.2"/>
    <row r="63752" s="689" customFormat="1" x14ac:dyDescent="0.2"/>
    <row r="63753" s="689" customFormat="1" x14ac:dyDescent="0.2"/>
    <row r="63754" s="689" customFormat="1" x14ac:dyDescent="0.2"/>
    <row r="63755" s="689" customFormat="1" x14ac:dyDescent="0.2"/>
    <row r="63756" s="689" customFormat="1" x14ac:dyDescent="0.2"/>
    <row r="63757" s="689" customFormat="1" x14ac:dyDescent="0.2"/>
    <row r="63758" s="689" customFormat="1" x14ac:dyDescent="0.2"/>
    <row r="63759" s="689" customFormat="1" x14ac:dyDescent="0.2"/>
    <row r="63760" s="689" customFormat="1" x14ac:dyDescent="0.2"/>
    <row r="63761" s="689" customFormat="1" x14ac:dyDescent="0.2"/>
    <row r="63762" s="689" customFormat="1" x14ac:dyDescent="0.2"/>
    <row r="63763" s="689" customFormat="1" x14ac:dyDescent="0.2"/>
    <row r="63764" s="689" customFormat="1" x14ac:dyDescent="0.2"/>
    <row r="63765" s="689" customFormat="1" x14ac:dyDescent="0.2"/>
    <row r="63766" s="689" customFormat="1" x14ac:dyDescent="0.2"/>
    <row r="63767" s="689" customFormat="1" x14ac:dyDescent="0.2"/>
    <row r="63768" s="689" customFormat="1" x14ac:dyDescent="0.2"/>
    <row r="63769" s="689" customFormat="1" x14ac:dyDescent="0.2"/>
    <row r="63770" s="689" customFormat="1" x14ac:dyDescent="0.2"/>
    <row r="63771" s="689" customFormat="1" x14ac:dyDescent="0.2"/>
    <row r="63772" s="689" customFormat="1" x14ac:dyDescent="0.2"/>
    <row r="63773" s="689" customFormat="1" x14ac:dyDescent="0.2"/>
    <row r="63774" s="689" customFormat="1" x14ac:dyDescent="0.2"/>
    <row r="63775" s="689" customFormat="1" x14ac:dyDescent="0.2"/>
    <row r="63776" s="689" customFormat="1" x14ac:dyDescent="0.2"/>
    <row r="63777" s="689" customFormat="1" x14ac:dyDescent="0.2"/>
    <row r="63778" s="689" customFormat="1" x14ac:dyDescent="0.2"/>
    <row r="63779" s="689" customFormat="1" x14ac:dyDescent="0.2"/>
    <row r="63780" s="689" customFormat="1" x14ac:dyDescent="0.2"/>
    <row r="63781" s="689" customFormat="1" x14ac:dyDescent="0.2"/>
    <row r="63782" s="689" customFormat="1" x14ac:dyDescent="0.2"/>
    <row r="63783" s="689" customFormat="1" x14ac:dyDescent="0.2"/>
    <row r="63784" s="689" customFormat="1" x14ac:dyDescent="0.2"/>
    <row r="63785" s="689" customFormat="1" x14ac:dyDescent="0.2"/>
    <row r="63786" s="689" customFormat="1" x14ac:dyDescent="0.2"/>
    <row r="63787" s="689" customFormat="1" x14ac:dyDescent="0.2"/>
    <row r="63788" s="689" customFormat="1" x14ac:dyDescent="0.2"/>
    <row r="63789" s="689" customFormat="1" x14ac:dyDescent="0.2"/>
    <row r="63790" s="689" customFormat="1" x14ac:dyDescent="0.2"/>
    <row r="63791" s="689" customFormat="1" x14ac:dyDescent="0.2"/>
    <row r="63792" s="689" customFormat="1" x14ac:dyDescent="0.2"/>
    <row r="63793" s="689" customFormat="1" x14ac:dyDescent="0.2"/>
    <row r="63794" s="689" customFormat="1" x14ac:dyDescent="0.2"/>
    <row r="63795" s="689" customFormat="1" x14ac:dyDescent="0.2"/>
    <row r="63796" s="689" customFormat="1" x14ac:dyDescent="0.2"/>
    <row r="63797" s="689" customFormat="1" x14ac:dyDescent="0.2"/>
    <row r="63798" s="689" customFormat="1" x14ac:dyDescent="0.2"/>
    <row r="63799" s="689" customFormat="1" x14ac:dyDescent="0.2"/>
    <row r="63800" s="689" customFormat="1" x14ac:dyDescent="0.2"/>
    <row r="63801" s="689" customFormat="1" x14ac:dyDescent="0.2"/>
    <row r="63802" s="689" customFormat="1" x14ac:dyDescent="0.2"/>
    <row r="63803" s="689" customFormat="1" x14ac:dyDescent="0.2"/>
    <row r="63804" s="689" customFormat="1" x14ac:dyDescent="0.2"/>
    <row r="63805" s="689" customFormat="1" x14ac:dyDescent="0.2"/>
    <row r="63806" s="689" customFormat="1" x14ac:dyDescent="0.2"/>
    <row r="63807" s="689" customFormat="1" x14ac:dyDescent="0.2"/>
    <row r="63808" s="689" customFormat="1" x14ac:dyDescent="0.2"/>
    <row r="63809" s="689" customFormat="1" x14ac:dyDescent="0.2"/>
    <row r="63810" s="689" customFormat="1" x14ac:dyDescent="0.2"/>
    <row r="63811" s="689" customFormat="1" x14ac:dyDescent="0.2"/>
    <row r="63812" s="689" customFormat="1" x14ac:dyDescent="0.2"/>
    <row r="63813" s="689" customFormat="1" x14ac:dyDescent="0.2"/>
    <row r="63814" s="689" customFormat="1" x14ac:dyDescent="0.2"/>
    <row r="63815" s="689" customFormat="1" x14ac:dyDescent="0.2"/>
    <row r="63816" s="689" customFormat="1" x14ac:dyDescent="0.2"/>
    <row r="63817" s="689" customFormat="1" x14ac:dyDescent="0.2"/>
    <row r="63818" s="689" customFormat="1" x14ac:dyDescent="0.2"/>
    <row r="63819" s="689" customFormat="1" x14ac:dyDescent="0.2"/>
    <row r="63820" s="689" customFormat="1" x14ac:dyDescent="0.2"/>
    <row r="63821" s="689" customFormat="1" x14ac:dyDescent="0.2"/>
    <row r="63822" s="689" customFormat="1" x14ac:dyDescent="0.2"/>
    <row r="63823" s="689" customFormat="1" x14ac:dyDescent="0.2"/>
    <row r="63824" s="689" customFormat="1" x14ac:dyDescent="0.2"/>
    <row r="63825" s="689" customFormat="1" x14ac:dyDescent="0.2"/>
    <row r="63826" s="689" customFormat="1" x14ac:dyDescent="0.2"/>
    <row r="63827" s="689" customFormat="1" x14ac:dyDescent="0.2"/>
    <row r="63828" s="689" customFormat="1" x14ac:dyDescent="0.2"/>
    <row r="63829" s="689" customFormat="1" x14ac:dyDescent="0.2"/>
    <row r="63830" s="689" customFormat="1" x14ac:dyDescent="0.2"/>
    <row r="63831" s="689" customFormat="1" x14ac:dyDescent="0.2"/>
    <row r="63832" s="689" customFormat="1" x14ac:dyDescent="0.2"/>
    <row r="63833" s="689" customFormat="1" x14ac:dyDescent="0.2"/>
    <row r="63834" s="689" customFormat="1" x14ac:dyDescent="0.2"/>
    <row r="63835" s="689" customFormat="1" x14ac:dyDescent="0.2"/>
    <row r="63836" s="689" customFormat="1" x14ac:dyDescent="0.2"/>
    <row r="63837" s="689" customFormat="1" x14ac:dyDescent="0.2"/>
    <row r="63838" s="689" customFormat="1" x14ac:dyDescent="0.2"/>
    <row r="63839" s="689" customFormat="1" x14ac:dyDescent="0.2"/>
    <row r="63840" s="689" customFormat="1" x14ac:dyDescent="0.2"/>
    <row r="63841" s="689" customFormat="1" x14ac:dyDescent="0.2"/>
    <row r="63842" s="689" customFormat="1" x14ac:dyDescent="0.2"/>
    <row r="63843" s="689" customFormat="1" x14ac:dyDescent="0.2"/>
    <row r="63844" s="689" customFormat="1" x14ac:dyDescent="0.2"/>
    <row r="63845" s="689" customFormat="1" x14ac:dyDescent="0.2"/>
    <row r="63846" s="689" customFormat="1" x14ac:dyDescent="0.2"/>
    <row r="63847" s="689" customFormat="1" x14ac:dyDescent="0.2"/>
    <row r="63848" s="689" customFormat="1" x14ac:dyDescent="0.2"/>
    <row r="63849" s="689" customFormat="1" x14ac:dyDescent="0.2"/>
    <row r="63850" s="689" customFormat="1" x14ac:dyDescent="0.2"/>
    <row r="63851" s="689" customFormat="1" x14ac:dyDescent="0.2"/>
    <row r="63852" s="689" customFormat="1" x14ac:dyDescent="0.2"/>
    <row r="63853" s="689" customFormat="1" x14ac:dyDescent="0.2"/>
    <row r="63854" s="689" customFormat="1" x14ac:dyDescent="0.2"/>
    <row r="63855" s="689" customFormat="1" x14ac:dyDescent="0.2"/>
    <row r="63856" s="689" customFormat="1" x14ac:dyDescent="0.2"/>
    <row r="63857" s="689" customFormat="1" x14ac:dyDescent="0.2"/>
    <row r="63858" s="689" customFormat="1" x14ac:dyDescent="0.2"/>
    <row r="63859" s="689" customFormat="1" x14ac:dyDescent="0.2"/>
    <row r="63860" s="689" customFormat="1" x14ac:dyDescent="0.2"/>
    <row r="63861" s="689" customFormat="1" x14ac:dyDescent="0.2"/>
    <row r="63862" s="689" customFormat="1" x14ac:dyDescent="0.2"/>
    <row r="63863" s="689" customFormat="1" x14ac:dyDescent="0.2"/>
    <row r="63864" s="689" customFormat="1" x14ac:dyDescent="0.2"/>
    <row r="63865" s="689" customFormat="1" x14ac:dyDescent="0.2"/>
    <row r="63866" s="689" customFormat="1" x14ac:dyDescent="0.2"/>
    <row r="63867" s="689" customFormat="1" x14ac:dyDescent="0.2"/>
    <row r="63868" s="689" customFormat="1" x14ac:dyDescent="0.2"/>
    <row r="63869" s="689" customFormat="1" x14ac:dyDescent="0.2"/>
    <row r="63870" s="689" customFormat="1" x14ac:dyDescent="0.2"/>
    <row r="63871" s="689" customFormat="1" x14ac:dyDescent="0.2"/>
    <row r="63872" s="689" customFormat="1" x14ac:dyDescent="0.2"/>
    <row r="63873" s="689" customFormat="1" x14ac:dyDescent="0.2"/>
    <row r="63874" s="689" customFormat="1" x14ac:dyDescent="0.2"/>
    <row r="63875" s="689" customFormat="1" x14ac:dyDescent="0.2"/>
    <row r="63876" s="689" customFormat="1" x14ac:dyDescent="0.2"/>
    <row r="63877" s="689" customFormat="1" x14ac:dyDescent="0.2"/>
    <row r="63878" s="689" customFormat="1" x14ac:dyDescent="0.2"/>
    <row r="63879" s="689" customFormat="1" x14ac:dyDescent="0.2"/>
    <row r="63880" s="689" customFormat="1" x14ac:dyDescent="0.2"/>
    <row r="63881" s="689" customFormat="1" x14ac:dyDescent="0.2"/>
    <row r="63882" s="689" customFormat="1" x14ac:dyDescent="0.2"/>
    <row r="63883" s="689" customFormat="1" x14ac:dyDescent="0.2"/>
    <row r="63884" s="689" customFormat="1" x14ac:dyDescent="0.2"/>
    <row r="63885" s="689" customFormat="1" x14ac:dyDescent="0.2"/>
    <row r="63886" s="689" customFormat="1" x14ac:dyDescent="0.2"/>
    <row r="63887" s="689" customFormat="1" x14ac:dyDescent="0.2"/>
    <row r="63888" s="689" customFormat="1" x14ac:dyDescent="0.2"/>
    <row r="63889" s="689" customFormat="1" x14ac:dyDescent="0.2"/>
    <row r="63890" s="689" customFormat="1" x14ac:dyDescent="0.2"/>
    <row r="63891" s="689" customFormat="1" x14ac:dyDescent="0.2"/>
    <row r="63892" s="689" customFormat="1" x14ac:dyDescent="0.2"/>
    <row r="63893" s="689" customFormat="1" x14ac:dyDescent="0.2"/>
    <row r="63894" s="689" customFormat="1" x14ac:dyDescent="0.2"/>
    <row r="63895" s="689" customFormat="1" x14ac:dyDescent="0.2"/>
    <row r="63896" s="689" customFormat="1" x14ac:dyDescent="0.2"/>
    <row r="63897" s="689" customFormat="1" x14ac:dyDescent="0.2"/>
    <row r="63898" s="689" customFormat="1" x14ac:dyDescent="0.2"/>
    <row r="63899" s="689" customFormat="1" x14ac:dyDescent="0.2"/>
    <row r="63900" s="689" customFormat="1" x14ac:dyDescent="0.2"/>
    <row r="63901" s="689" customFormat="1" x14ac:dyDescent="0.2"/>
    <row r="63902" s="689" customFormat="1" x14ac:dyDescent="0.2"/>
    <row r="63903" s="689" customFormat="1" x14ac:dyDescent="0.2"/>
    <row r="63904" s="689" customFormat="1" x14ac:dyDescent="0.2"/>
    <row r="63905" s="689" customFormat="1" x14ac:dyDescent="0.2"/>
    <row r="63906" s="689" customFormat="1" x14ac:dyDescent="0.2"/>
    <row r="63907" s="689" customFormat="1" x14ac:dyDescent="0.2"/>
    <row r="63908" s="689" customFormat="1" x14ac:dyDescent="0.2"/>
    <row r="63909" s="689" customFormat="1" x14ac:dyDescent="0.2"/>
    <row r="63910" s="689" customFormat="1" x14ac:dyDescent="0.2"/>
    <row r="63911" s="689" customFormat="1" x14ac:dyDescent="0.2"/>
    <row r="63912" s="689" customFormat="1" x14ac:dyDescent="0.2"/>
    <row r="63913" s="689" customFormat="1" x14ac:dyDescent="0.2"/>
    <row r="63914" s="689" customFormat="1" x14ac:dyDescent="0.2"/>
    <row r="63915" s="689" customFormat="1" x14ac:dyDescent="0.2"/>
    <row r="63916" s="689" customFormat="1" x14ac:dyDescent="0.2"/>
    <row r="63917" s="689" customFormat="1" x14ac:dyDescent="0.2"/>
    <row r="63918" s="689" customFormat="1" x14ac:dyDescent="0.2"/>
    <row r="63919" s="689" customFormat="1" x14ac:dyDescent="0.2"/>
    <row r="63920" s="689" customFormat="1" x14ac:dyDescent="0.2"/>
    <row r="63921" s="689" customFormat="1" x14ac:dyDescent="0.2"/>
    <row r="63922" s="689" customFormat="1" x14ac:dyDescent="0.2"/>
    <row r="63923" s="689" customFormat="1" x14ac:dyDescent="0.2"/>
    <row r="63924" s="689" customFormat="1" x14ac:dyDescent="0.2"/>
    <row r="63925" s="689" customFormat="1" x14ac:dyDescent="0.2"/>
    <row r="63926" s="689" customFormat="1" x14ac:dyDescent="0.2"/>
    <row r="63927" s="689" customFormat="1" x14ac:dyDescent="0.2"/>
    <row r="63928" s="689" customFormat="1" x14ac:dyDescent="0.2"/>
    <row r="63929" s="689" customFormat="1" x14ac:dyDescent="0.2"/>
    <row r="63930" s="689" customFormat="1" x14ac:dyDescent="0.2"/>
    <row r="63931" s="689" customFormat="1" x14ac:dyDescent="0.2"/>
    <row r="63932" s="689" customFormat="1" x14ac:dyDescent="0.2"/>
    <row r="63933" s="689" customFormat="1" x14ac:dyDescent="0.2"/>
    <row r="63934" s="689" customFormat="1" x14ac:dyDescent="0.2"/>
    <row r="63935" s="689" customFormat="1" x14ac:dyDescent="0.2"/>
    <row r="63936" s="689" customFormat="1" x14ac:dyDescent="0.2"/>
    <row r="63937" s="689" customFormat="1" x14ac:dyDescent="0.2"/>
    <row r="63938" s="689" customFormat="1" x14ac:dyDescent="0.2"/>
    <row r="63939" s="689" customFormat="1" x14ac:dyDescent="0.2"/>
    <row r="63940" s="689" customFormat="1" x14ac:dyDescent="0.2"/>
    <row r="63941" s="689" customFormat="1" x14ac:dyDescent="0.2"/>
    <row r="63942" s="689" customFormat="1" x14ac:dyDescent="0.2"/>
    <row r="63943" s="689" customFormat="1" x14ac:dyDescent="0.2"/>
    <row r="63944" s="689" customFormat="1" x14ac:dyDescent="0.2"/>
    <row r="63945" s="689" customFormat="1" x14ac:dyDescent="0.2"/>
    <row r="63946" s="689" customFormat="1" x14ac:dyDescent="0.2"/>
    <row r="63947" s="689" customFormat="1" x14ac:dyDescent="0.2"/>
    <row r="63948" s="689" customFormat="1" x14ac:dyDescent="0.2"/>
    <row r="63949" s="689" customFormat="1" x14ac:dyDescent="0.2"/>
    <row r="63950" s="689" customFormat="1" x14ac:dyDescent="0.2"/>
    <row r="63951" s="689" customFormat="1" x14ac:dyDescent="0.2"/>
    <row r="63952" s="689" customFormat="1" x14ac:dyDescent="0.2"/>
    <row r="63953" s="689" customFormat="1" x14ac:dyDescent="0.2"/>
    <row r="63954" s="689" customFormat="1" x14ac:dyDescent="0.2"/>
    <row r="63955" s="689" customFormat="1" x14ac:dyDescent="0.2"/>
    <row r="63956" s="689" customFormat="1" x14ac:dyDescent="0.2"/>
    <row r="63957" s="689" customFormat="1" x14ac:dyDescent="0.2"/>
    <row r="63958" s="689" customFormat="1" x14ac:dyDescent="0.2"/>
    <row r="63959" s="689" customFormat="1" x14ac:dyDescent="0.2"/>
    <row r="63960" s="689" customFormat="1" x14ac:dyDescent="0.2"/>
    <row r="63961" s="689" customFormat="1" x14ac:dyDescent="0.2"/>
    <row r="63962" s="689" customFormat="1" x14ac:dyDescent="0.2"/>
    <row r="63963" s="689" customFormat="1" x14ac:dyDescent="0.2"/>
    <row r="63964" s="689" customFormat="1" x14ac:dyDescent="0.2"/>
    <row r="63965" s="689" customFormat="1" x14ac:dyDescent="0.2"/>
    <row r="63966" s="689" customFormat="1" x14ac:dyDescent="0.2"/>
    <row r="63967" s="689" customFormat="1" x14ac:dyDescent="0.2"/>
    <row r="63968" s="689" customFormat="1" x14ac:dyDescent="0.2"/>
    <row r="63969" s="689" customFormat="1" x14ac:dyDescent="0.2"/>
    <row r="63970" s="689" customFormat="1" x14ac:dyDescent="0.2"/>
    <row r="63971" s="689" customFormat="1" x14ac:dyDescent="0.2"/>
    <row r="63972" s="689" customFormat="1" x14ac:dyDescent="0.2"/>
    <row r="63973" s="689" customFormat="1" x14ac:dyDescent="0.2"/>
    <row r="63974" s="689" customFormat="1" x14ac:dyDescent="0.2"/>
    <row r="63975" s="689" customFormat="1" x14ac:dyDescent="0.2"/>
    <row r="63976" s="689" customFormat="1" x14ac:dyDescent="0.2"/>
    <row r="63977" s="689" customFormat="1" x14ac:dyDescent="0.2"/>
    <row r="63978" s="689" customFormat="1" x14ac:dyDescent="0.2"/>
    <row r="63979" s="689" customFormat="1" x14ac:dyDescent="0.2"/>
    <row r="63980" s="689" customFormat="1" x14ac:dyDescent="0.2"/>
    <row r="63981" s="689" customFormat="1" x14ac:dyDescent="0.2"/>
    <row r="63982" s="689" customFormat="1" x14ac:dyDescent="0.2"/>
    <row r="63983" s="689" customFormat="1" x14ac:dyDescent="0.2"/>
    <row r="63984" s="689" customFormat="1" x14ac:dyDescent="0.2"/>
    <row r="63985" s="689" customFormat="1" x14ac:dyDescent="0.2"/>
    <row r="63986" s="689" customFormat="1" x14ac:dyDescent="0.2"/>
    <row r="63987" s="689" customFormat="1" x14ac:dyDescent="0.2"/>
    <row r="63988" s="689" customFormat="1" x14ac:dyDescent="0.2"/>
    <row r="63989" s="689" customFormat="1" x14ac:dyDescent="0.2"/>
    <row r="63990" s="689" customFormat="1" x14ac:dyDescent="0.2"/>
    <row r="63991" s="689" customFormat="1" x14ac:dyDescent="0.2"/>
    <row r="63992" s="689" customFormat="1" x14ac:dyDescent="0.2"/>
    <row r="63993" s="689" customFormat="1" x14ac:dyDescent="0.2"/>
    <row r="63994" s="689" customFormat="1" x14ac:dyDescent="0.2"/>
    <row r="63995" s="689" customFormat="1" x14ac:dyDescent="0.2"/>
    <row r="63996" s="689" customFormat="1" x14ac:dyDescent="0.2"/>
    <row r="63997" s="689" customFormat="1" x14ac:dyDescent="0.2"/>
    <row r="63998" s="689" customFormat="1" x14ac:dyDescent="0.2"/>
    <row r="63999" s="689" customFormat="1" x14ac:dyDescent="0.2"/>
    <row r="64000" s="689" customFormat="1" x14ac:dyDescent="0.2"/>
    <row r="64001" s="689" customFormat="1" x14ac:dyDescent="0.2"/>
    <row r="64002" s="689" customFormat="1" x14ac:dyDescent="0.2"/>
    <row r="64003" s="689" customFormat="1" x14ac:dyDescent="0.2"/>
    <row r="64004" s="689" customFormat="1" x14ac:dyDescent="0.2"/>
    <row r="64005" s="689" customFormat="1" x14ac:dyDescent="0.2"/>
    <row r="64006" s="689" customFormat="1" x14ac:dyDescent="0.2"/>
    <row r="64007" s="689" customFormat="1" x14ac:dyDescent="0.2"/>
    <row r="64008" s="689" customFormat="1" x14ac:dyDescent="0.2"/>
    <row r="64009" s="689" customFormat="1" x14ac:dyDescent="0.2"/>
    <row r="64010" s="689" customFormat="1" x14ac:dyDescent="0.2"/>
    <row r="64011" s="689" customFormat="1" x14ac:dyDescent="0.2"/>
    <row r="64012" s="689" customFormat="1" x14ac:dyDescent="0.2"/>
    <row r="64013" s="689" customFormat="1" x14ac:dyDescent="0.2"/>
    <row r="64014" s="689" customFormat="1" x14ac:dyDescent="0.2"/>
    <row r="64015" s="689" customFormat="1" x14ac:dyDescent="0.2"/>
    <row r="64016" s="689" customFormat="1" x14ac:dyDescent="0.2"/>
    <row r="64017" s="689" customFormat="1" x14ac:dyDescent="0.2"/>
    <row r="64018" s="689" customFormat="1" x14ac:dyDescent="0.2"/>
    <row r="64019" s="689" customFormat="1" x14ac:dyDescent="0.2"/>
    <row r="64020" s="689" customFormat="1" x14ac:dyDescent="0.2"/>
    <row r="64021" s="689" customFormat="1" x14ac:dyDescent="0.2"/>
    <row r="64022" s="689" customFormat="1" x14ac:dyDescent="0.2"/>
    <row r="64023" s="689" customFormat="1" x14ac:dyDescent="0.2"/>
    <row r="64024" s="689" customFormat="1" x14ac:dyDescent="0.2"/>
    <row r="64025" s="689" customFormat="1" x14ac:dyDescent="0.2"/>
    <row r="64026" s="689" customFormat="1" x14ac:dyDescent="0.2"/>
    <row r="64027" s="689" customFormat="1" x14ac:dyDescent="0.2"/>
    <row r="64028" s="689" customFormat="1" x14ac:dyDescent="0.2"/>
    <row r="64029" s="689" customFormat="1" x14ac:dyDescent="0.2"/>
    <row r="64030" s="689" customFormat="1" x14ac:dyDescent="0.2"/>
    <row r="64031" s="689" customFormat="1" x14ac:dyDescent="0.2"/>
    <row r="64032" s="689" customFormat="1" x14ac:dyDescent="0.2"/>
    <row r="64033" s="689" customFormat="1" x14ac:dyDescent="0.2"/>
    <row r="64034" s="689" customFormat="1" x14ac:dyDescent="0.2"/>
    <row r="64035" s="689" customFormat="1" x14ac:dyDescent="0.2"/>
    <row r="64036" s="689" customFormat="1" x14ac:dyDescent="0.2"/>
    <row r="64037" s="689" customFormat="1" x14ac:dyDescent="0.2"/>
    <row r="64038" s="689" customFormat="1" x14ac:dyDescent="0.2"/>
    <row r="64039" s="689" customFormat="1" x14ac:dyDescent="0.2"/>
    <row r="64040" s="689" customFormat="1" x14ac:dyDescent="0.2"/>
    <row r="64041" s="689" customFormat="1" x14ac:dyDescent="0.2"/>
    <row r="64042" s="689" customFormat="1" x14ac:dyDescent="0.2"/>
    <row r="64043" s="689" customFormat="1" x14ac:dyDescent="0.2"/>
    <row r="64044" s="689" customFormat="1" x14ac:dyDescent="0.2"/>
    <row r="64045" s="689" customFormat="1" x14ac:dyDescent="0.2"/>
    <row r="64046" s="689" customFormat="1" x14ac:dyDescent="0.2"/>
    <row r="64047" s="689" customFormat="1" x14ac:dyDescent="0.2"/>
    <row r="64048" s="689" customFormat="1" x14ac:dyDescent="0.2"/>
    <row r="64049" s="689" customFormat="1" x14ac:dyDescent="0.2"/>
    <row r="64050" s="689" customFormat="1" x14ac:dyDescent="0.2"/>
    <row r="64051" s="689" customFormat="1" x14ac:dyDescent="0.2"/>
    <row r="64052" s="689" customFormat="1" x14ac:dyDescent="0.2"/>
    <row r="64053" s="689" customFormat="1" x14ac:dyDescent="0.2"/>
    <row r="64054" s="689" customFormat="1" x14ac:dyDescent="0.2"/>
    <row r="64055" s="689" customFormat="1" x14ac:dyDescent="0.2"/>
    <row r="64056" s="689" customFormat="1" x14ac:dyDescent="0.2"/>
    <row r="64057" s="689" customFormat="1" x14ac:dyDescent="0.2"/>
    <row r="64058" s="689" customFormat="1" x14ac:dyDescent="0.2"/>
    <row r="64059" s="689" customFormat="1" x14ac:dyDescent="0.2"/>
    <row r="64060" s="689" customFormat="1" x14ac:dyDescent="0.2"/>
    <row r="64061" s="689" customFormat="1" x14ac:dyDescent="0.2"/>
    <row r="64062" s="689" customFormat="1" x14ac:dyDescent="0.2"/>
    <row r="64063" s="689" customFormat="1" x14ac:dyDescent="0.2"/>
    <row r="64064" s="689" customFormat="1" x14ac:dyDescent="0.2"/>
    <row r="64065" s="689" customFormat="1" x14ac:dyDescent="0.2"/>
    <row r="64066" s="689" customFormat="1" x14ac:dyDescent="0.2"/>
    <row r="64067" s="689" customFormat="1" x14ac:dyDescent="0.2"/>
    <row r="64068" s="689" customFormat="1" x14ac:dyDescent="0.2"/>
    <row r="64069" s="689" customFormat="1" x14ac:dyDescent="0.2"/>
    <row r="64070" s="689" customFormat="1" x14ac:dyDescent="0.2"/>
    <row r="64071" s="689" customFormat="1" x14ac:dyDescent="0.2"/>
    <row r="64072" s="689" customFormat="1" x14ac:dyDescent="0.2"/>
    <row r="64073" s="689" customFormat="1" x14ac:dyDescent="0.2"/>
    <row r="64074" s="689" customFormat="1" x14ac:dyDescent="0.2"/>
    <row r="64075" s="689" customFormat="1" x14ac:dyDescent="0.2"/>
    <row r="64076" s="689" customFormat="1" x14ac:dyDescent="0.2"/>
    <row r="64077" s="689" customFormat="1" x14ac:dyDescent="0.2"/>
    <row r="64078" s="689" customFormat="1" x14ac:dyDescent="0.2"/>
    <row r="64079" s="689" customFormat="1" x14ac:dyDescent="0.2"/>
    <row r="64080" s="689" customFormat="1" x14ac:dyDescent="0.2"/>
    <row r="64081" s="689" customFormat="1" x14ac:dyDescent="0.2"/>
    <row r="64082" s="689" customFormat="1" x14ac:dyDescent="0.2"/>
    <row r="64083" s="689" customFormat="1" x14ac:dyDescent="0.2"/>
    <row r="64084" s="689" customFormat="1" x14ac:dyDescent="0.2"/>
    <row r="64085" s="689" customFormat="1" x14ac:dyDescent="0.2"/>
    <row r="64086" s="689" customFormat="1" x14ac:dyDescent="0.2"/>
    <row r="64087" s="689" customFormat="1" x14ac:dyDescent="0.2"/>
    <row r="64088" s="689" customFormat="1" x14ac:dyDescent="0.2"/>
    <row r="64089" s="689" customFormat="1" x14ac:dyDescent="0.2"/>
    <row r="64090" s="689" customFormat="1" x14ac:dyDescent="0.2"/>
    <row r="64091" s="689" customFormat="1" x14ac:dyDescent="0.2"/>
    <row r="64092" s="689" customFormat="1" x14ac:dyDescent="0.2"/>
    <row r="64093" s="689" customFormat="1" x14ac:dyDescent="0.2"/>
    <row r="64094" s="689" customFormat="1" x14ac:dyDescent="0.2"/>
    <row r="64095" s="689" customFormat="1" x14ac:dyDescent="0.2"/>
    <row r="64096" s="689" customFormat="1" x14ac:dyDescent="0.2"/>
    <row r="64097" s="689" customFormat="1" x14ac:dyDescent="0.2"/>
    <row r="64098" s="689" customFormat="1" x14ac:dyDescent="0.2"/>
    <row r="64099" s="689" customFormat="1" x14ac:dyDescent="0.2"/>
    <row r="64100" s="689" customFormat="1" x14ac:dyDescent="0.2"/>
    <row r="64101" s="689" customFormat="1" x14ac:dyDescent="0.2"/>
    <row r="64102" s="689" customFormat="1" x14ac:dyDescent="0.2"/>
    <row r="64103" s="689" customFormat="1" x14ac:dyDescent="0.2"/>
    <row r="64104" s="689" customFormat="1" x14ac:dyDescent="0.2"/>
    <row r="64105" s="689" customFormat="1" x14ac:dyDescent="0.2"/>
    <row r="64106" s="689" customFormat="1" x14ac:dyDescent="0.2"/>
    <row r="64107" s="689" customFormat="1" x14ac:dyDescent="0.2"/>
    <row r="64108" s="689" customFormat="1" x14ac:dyDescent="0.2"/>
    <row r="64109" s="689" customFormat="1" x14ac:dyDescent="0.2"/>
    <row r="64110" s="689" customFormat="1" x14ac:dyDescent="0.2"/>
    <row r="64111" s="689" customFormat="1" x14ac:dyDescent="0.2"/>
    <row r="64112" s="689" customFormat="1" x14ac:dyDescent="0.2"/>
    <row r="64113" s="689" customFormat="1" x14ac:dyDescent="0.2"/>
    <row r="64114" s="689" customFormat="1" x14ac:dyDescent="0.2"/>
    <row r="64115" s="689" customFormat="1" x14ac:dyDescent="0.2"/>
    <row r="64116" s="689" customFormat="1" x14ac:dyDescent="0.2"/>
    <row r="64117" s="689" customFormat="1" x14ac:dyDescent="0.2"/>
    <row r="64118" s="689" customFormat="1" x14ac:dyDescent="0.2"/>
    <row r="64119" s="689" customFormat="1" x14ac:dyDescent="0.2"/>
    <row r="64120" s="689" customFormat="1" x14ac:dyDescent="0.2"/>
    <row r="64121" s="689" customFormat="1" x14ac:dyDescent="0.2"/>
    <row r="64122" s="689" customFormat="1" x14ac:dyDescent="0.2"/>
    <row r="64123" s="689" customFormat="1" x14ac:dyDescent="0.2"/>
    <row r="64124" s="689" customFormat="1" x14ac:dyDescent="0.2"/>
    <row r="64125" s="689" customFormat="1" x14ac:dyDescent="0.2"/>
    <row r="64126" s="689" customFormat="1" x14ac:dyDescent="0.2"/>
    <row r="64127" s="689" customFormat="1" x14ac:dyDescent="0.2"/>
    <row r="64128" s="689" customFormat="1" x14ac:dyDescent="0.2"/>
    <row r="64129" s="689" customFormat="1" x14ac:dyDescent="0.2"/>
    <row r="64130" s="689" customFormat="1" x14ac:dyDescent="0.2"/>
    <row r="64131" s="689" customFormat="1" x14ac:dyDescent="0.2"/>
    <row r="64132" s="689" customFormat="1" x14ac:dyDescent="0.2"/>
    <row r="64133" s="689" customFormat="1" x14ac:dyDescent="0.2"/>
    <row r="64134" s="689" customFormat="1" x14ac:dyDescent="0.2"/>
    <row r="64135" s="689" customFormat="1" x14ac:dyDescent="0.2"/>
    <row r="64136" s="689" customFormat="1" x14ac:dyDescent="0.2"/>
    <row r="64137" s="689" customFormat="1" x14ac:dyDescent="0.2"/>
    <row r="64138" s="689" customFormat="1" x14ac:dyDescent="0.2"/>
    <row r="64139" s="689" customFormat="1" x14ac:dyDescent="0.2"/>
    <row r="64140" s="689" customFormat="1" x14ac:dyDescent="0.2"/>
    <row r="64141" s="689" customFormat="1" x14ac:dyDescent="0.2"/>
    <row r="64142" s="689" customFormat="1" x14ac:dyDescent="0.2"/>
    <row r="64143" s="689" customFormat="1" x14ac:dyDescent="0.2"/>
    <row r="64144" s="689" customFormat="1" x14ac:dyDescent="0.2"/>
    <row r="64145" s="689" customFormat="1" x14ac:dyDescent="0.2"/>
    <row r="64146" s="689" customFormat="1" x14ac:dyDescent="0.2"/>
    <row r="64147" s="689" customFormat="1" x14ac:dyDescent="0.2"/>
    <row r="64148" s="689" customFormat="1" x14ac:dyDescent="0.2"/>
    <row r="64149" s="689" customFormat="1" x14ac:dyDescent="0.2"/>
    <row r="64150" s="689" customFormat="1" x14ac:dyDescent="0.2"/>
    <row r="64151" s="689" customFormat="1" x14ac:dyDescent="0.2"/>
    <row r="64152" s="689" customFormat="1" x14ac:dyDescent="0.2"/>
    <row r="64153" s="689" customFormat="1" x14ac:dyDescent="0.2"/>
    <row r="64154" s="689" customFormat="1" x14ac:dyDescent="0.2"/>
    <row r="64155" s="689" customFormat="1" x14ac:dyDescent="0.2"/>
    <row r="64156" s="689" customFormat="1" x14ac:dyDescent="0.2"/>
    <row r="64157" s="689" customFormat="1" x14ac:dyDescent="0.2"/>
    <row r="64158" s="689" customFormat="1" x14ac:dyDescent="0.2"/>
    <row r="64159" s="689" customFormat="1" x14ac:dyDescent="0.2"/>
    <row r="64160" s="689" customFormat="1" x14ac:dyDescent="0.2"/>
    <row r="64161" s="689" customFormat="1" x14ac:dyDescent="0.2"/>
    <row r="64162" s="689" customFormat="1" x14ac:dyDescent="0.2"/>
    <row r="64163" s="689" customFormat="1" x14ac:dyDescent="0.2"/>
    <row r="64164" s="689" customFormat="1" x14ac:dyDescent="0.2"/>
    <row r="64165" s="689" customFormat="1" x14ac:dyDescent="0.2"/>
    <row r="64166" s="689" customFormat="1" x14ac:dyDescent="0.2"/>
    <row r="64167" s="689" customFormat="1" x14ac:dyDescent="0.2"/>
    <row r="64168" s="689" customFormat="1" x14ac:dyDescent="0.2"/>
    <row r="64169" s="689" customFormat="1" x14ac:dyDescent="0.2"/>
    <row r="64170" s="689" customFormat="1" x14ac:dyDescent="0.2"/>
    <row r="64171" s="689" customFormat="1" x14ac:dyDescent="0.2"/>
    <row r="64172" s="689" customFormat="1" x14ac:dyDescent="0.2"/>
    <row r="64173" s="689" customFormat="1" x14ac:dyDescent="0.2"/>
    <row r="64174" s="689" customFormat="1" x14ac:dyDescent="0.2"/>
    <row r="64175" s="689" customFormat="1" x14ac:dyDescent="0.2"/>
    <row r="64176" s="689" customFormat="1" x14ac:dyDescent="0.2"/>
    <row r="64177" s="689" customFormat="1" x14ac:dyDescent="0.2"/>
    <row r="64178" s="689" customFormat="1" x14ac:dyDescent="0.2"/>
    <row r="64179" s="689" customFormat="1" x14ac:dyDescent="0.2"/>
    <row r="64180" s="689" customFormat="1" x14ac:dyDescent="0.2"/>
    <row r="64181" s="689" customFormat="1" x14ac:dyDescent="0.2"/>
    <row r="64182" s="689" customFormat="1" x14ac:dyDescent="0.2"/>
    <row r="64183" s="689" customFormat="1" x14ac:dyDescent="0.2"/>
    <row r="64184" s="689" customFormat="1" x14ac:dyDescent="0.2"/>
    <row r="64185" s="689" customFormat="1" x14ac:dyDescent="0.2"/>
    <row r="64186" s="689" customFormat="1" x14ac:dyDescent="0.2"/>
    <row r="64187" s="689" customFormat="1" x14ac:dyDescent="0.2"/>
    <row r="64188" s="689" customFormat="1" x14ac:dyDescent="0.2"/>
    <row r="64189" s="689" customFormat="1" x14ac:dyDescent="0.2"/>
    <row r="64190" s="689" customFormat="1" x14ac:dyDescent="0.2"/>
    <row r="64191" s="689" customFormat="1" x14ac:dyDescent="0.2"/>
    <row r="64192" s="689" customFormat="1" x14ac:dyDescent="0.2"/>
    <row r="64193" s="689" customFormat="1" x14ac:dyDescent="0.2"/>
    <row r="64194" s="689" customFormat="1" x14ac:dyDescent="0.2"/>
    <row r="64195" s="689" customFormat="1" x14ac:dyDescent="0.2"/>
    <row r="64196" s="689" customFormat="1" x14ac:dyDescent="0.2"/>
    <row r="64197" s="689" customFormat="1" x14ac:dyDescent="0.2"/>
    <row r="64198" s="689" customFormat="1" x14ac:dyDescent="0.2"/>
    <row r="64199" s="689" customFormat="1" x14ac:dyDescent="0.2"/>
    <row r="64200" s="689" customFormat="1" x14ac:dyDescent="0.2"/>
    <row r="64201" s="689" customFormat="1" x14ac:dyDescent="0.2"/>
    <row r="64202" s="689" customFormat="1" x14ac:dyDescent="0.2"/>
    <row r="64203" s="689" customFormat="1" x14ac:dyDescent="0.2"/>
    <row r="64204" s="689" customFormat="1" x14ac:dyDescent="0.2"/>
    <row r="64205" s="689" customFormat="1" x14ac:dyDescent="0.2"/>
    <row r="64206" s="689" customFormat="1" x14ac:dyDescent="0.2"/>
    <row r="64207" s="689" customFormat="1" x14ac:dyDescent="0.2"/>
    <row r="64208" s="689" customFormat="1" x14ac:dyDescent="0.2"/>
    <row r="64209" s="689" customFormat="1" x14ac:dyDescent="0.2"/>
    <row r="64210" s="689" customFormat="1" x14ac:dyDescent="0.2"/>
    <row r="64211" s="689" customFormat="1" x14ac:dyDescent="0.2"/>
    <row r="64212" s="689" customFormat="1" x14ac:dyDescent="0.2"/>
    <row r="64213" s="689" customFormat="1" x14ac:dyDescent="0.2"/>
    <row r="64214" s="689" customFormat="1" x14ac:dyDescent="0.2"/>
    <row r="64215" s="689" customFormat="1" x14ac:dyDescent="0.2"/>
    <row r="64216" s="689" customFormat="1" x14ac:dyDescent="0.2"/>
    <row r="64217" s="689" customFormat="1" x14ac:dyDescent="0.2"/>
    <row r="64218" s="689" customFormat="1" x14ac:dyDescent="0.2"/>
    <row r="64219" s="689" customFormat="1" x14ac:dyDescent="0.2"/>
    <row r="64220" s="689" customFormat="1" x14ac:dyDescent="0.2"/>
    <row r="64221" s="689" customFormat="1" x14ac:dyDescent="0.2"/>
    <row r="64222" s="689" customFormat="1" x14ac:dyDescent="0.2"/>
    <row r="64223" s="689" customFormat="1" x14ac:dyDescent="0.2"/>
    <row r="64224" s="689" customFormat="1" x14ac:dyDescent="0.2"/>
    <row r="64225" s="689" customFormat="1" x14ac:dyDescent="0.2"/>
    <row r="64226" s="689" customFormat="1" x14ac:dyDescent="0.2"/>
    <row r="64227" s="689" customFormat="1" x14ac:dyDescent="0.2"/>
    <row r="64228" s="689" customFormat="1" x14ac:dyDescent="0.2"/>
    <row r="64229" s="689" customFormat="1" x14ac:dyDescent="0.2"/>
    <row r="64230" s="689" customFormat="1" x14ac:dyDescent="0.2"/>
    <row r="64231" s="689" customFormat="1" x14ac:dyDescent="0.2"/>
    <row r="64232" s="689" customFormat="1" x14ac:dyDescent="0.2"/>
    <row r="64233" s="689" customFormat="1" x14ac:dyDescent="0.2"/>
    <row r="64234" s="689" customFormat="1" x14ac:dyDescent="0.2"/>
    <row r="64235" s="689" customFormat="1" x14ac:dyDescent="0.2"/>
    <row r="64236" s="689" customFormat="1" x14ac:dyDescent="0.2"/>
    <row r="64237" s="689" customFormat="1" x14ac:dyDescent="0.2"/>
    <row r="64238" s="689" customFormat="1" x14ac:dyDescent="0.2"/>
    <row r="64239" s="689" customFormat="1" x14ac:dyDescent="0.2"/>
    <row r="64240" s="689" customFormat="1" x14ac:dyDescent="0.2"/>
    <row r="64241" s="689" customFormat="1" x14ac:dyDescent="0.2"/>
    <row r="64242" s="689" customFormat="1" x14ac:dyDescent="0.2"/>
    <row r="64243" s="689" customFormat="1" x14ac:dyDescent="0.2"/>
    <row r="64244" s="689" customFormat="1" x14ac:dyDescent="0.2"/>
    <row r="64245" s="689" customFormat="1" x14ac:dyDescent="0.2"/>
    <row r="64246" s="689" customFormat="1" x14ac:dyDescent="0.2"/>
    <row r="64247" s="689" customFormat="1" x14ac:dyDescent="0.2"/>
    <row r="64248" s="689" customFormat="1" x14ac:dyDescent="0.2"/>
    <row r="64249" s="689" customFormat="1" x14ac:dyDescent="0.2"/>
    <row r="64250" s="689" customFormat="1" x14ac:dyDescent="0.2"/>
    <row r="64251" s="689" customFormat="1" x14ac:dyDescent="0.2"/>
    <row r="64252" s="689" customFormat="1" x14ac:dyDescent="0.2"/>
    <row r="64253" s="689" customFormat="1" x14ac:dyDescent="0.2"/>
    <row r="64254" s="689" customFormat="1" x14ac:dyDescent="0.2"/>
    <row r="64255" s="689" customFormat="1" x14ac:dyDescent="0.2"/>
    <row r="64256" s="689" customFormat="1" x14ac:dyDescent="0.2"/>
    <row r="64257" s="689" customFormat="1" x14ac:dyDescent="0.2"/>
    <row r="64258" s="689" customFormat="1" x14ac:dyDescent="0.2"/>
    <row r="64259" s="689" customFormat="1" x14ac:dyDescent="0.2"/>
    <row r="64260" s="689" customFormat="1" x14ac:dyDescent="0.2"/>
    <row r="64261" s="689" customFormat="1" x14ac:dyDescent="0.2"/>
    <row r="64262" s="689" customFormat="1" x14ac:dyDescent="0.2"/>
    <row r="64263" s="689" customFormat="1" x14ac:dyDescent="0.2"/>
    <row r="64264" s="689" customFormat="1" x14ac:dyDescent="0.2"/>
    <row r="64265" s="689" customFormat="1" x14ac:dyDescent="0.2"/>
    <row r="64266" s="689" customFormat="1" x14ac:dyDescent="0.2"/>
    <row r="64267" s="689" customFormat="1" x14ac:dyDescent="0.2"/>
    <row r="64268" s="689" customFormat="1" x14ac:dyDescent="0.2"/>
    <row r="64269" s="689" customFormat="1" x14ac:dyDescent="0.2"/>
    <row r="64270" s="689" customFormat="1" x14ac:dyDescent="0.2"/>
    <row r="64271" s="689" customFormat="1" x14ac:dyDescent="0.2"/>
    <row r="64272" s="689" customFormat="1" x14ac:dyDescent="0.2"/>
    <row r="64273" s="689" customFormat="1" x14ac:dyDescent="0.2"/>
    <row r="64274" s="689" customFormat="1" x14ac:dyDescent="0.2"/>
    <row r="64275" s="689" customFormat="1" x14ac:dyDescent="0.2"/>
    <row r="64276" s="689" customFormat="1" x14ac:dyDescent="0.2"/>
    <row r="64277" s="689" customFormat="1" x14ac:dyDescent="0.2"/>
    <row r="64278" s="689" customFormat="1" x14ac:dyDescent="0.2"/>
    <row r="64279" s="689" customFormat="1" x14ac:dyDescent="0.2"/>
    <row r="64280" s="689" customFormat="1" x14ac:dyDescent="0.2"/>
    <row r="64281" s="689" customFormat="1" x14ac:dyDescent="0.2"/>
    <row r="64282" s="689" customFormat="1" x14ac:dyDescent="0.2"/>
    <row r="64283" s="689" customFormat="1" x14ac:dyDescent="0.2"/>
    <row r="64284" s="689" customFormat="1" x14ac:dyDescent="0.2"/>
    <row r="64285" s="689" customFormat="1" x14ac:dyDescent="0.2"/>
    <row r="64286" s="689" customFormat="1" x14ac:dyDescent="0.2"/>
    <row r="64287" s="689" customFormat="1" x14ac:dyDescent="0.2"/>
    <row r="64288" s="689" customFormat="1" x14ac:dyDescent="0.2"/>
    <row r="64289" s="689" customFormat="1" x14ac:dyDescent="0.2"/>
    <row r="64290" s="689" customFormat="1" x14ac:dyDescent="0.2"/>
    <row r="64291" s="689" customFormat="1" x14ac:dyDescent="0.2"/>
    <row r="64292" s="689" customFormat="1" x14ac:dyDescent="0.2"/>
    <row r="64293" s="689" customFormat="1" x14ac:dyDescent="0.2"/>
    <row r="64294" s="689" customFormat="1" x14ac:dyDescent="0.2"/>
    <row r="64295" s="689" customFormat="1" x14ac:dyDescent="0.2"/>
    <row r="64296" s="689" customFormat="1" x14ac:dyDescent="0.2"/>
    <row r="64297" s="689" customFormat="1" x14ac:dyDescent="0.2"/>
    <row r="64298" s="689" customFormat="1" x14ac:dyDescent="0.2"/>
    <row r="64299" s="689" customFormat="1" x14ac:dyDescent="0.2"/>
    <row r="64300" s="689" customFormat="1" x14ac:dyDescent="0.2"/>
    <row r="64301" s="689" customFormat="1" x14ac:dyDescent="0.2"/>
    <row r="64302" s="689" customFormat="1" x14ac:dyDescent="0.2"/>
    <row r="64303" s="689" customFormat="1" x14ac:dyDescent="0.2"/>
    <row r="64304" s="689" customFormat="1" x14ac:dyDescent="0.2"/>
    <row r="64305" s="689" customFormat="1" x14ac:dyDescent="0.2"/>
    <row r="64306" s="689" customFormat="1" x14ac:dyDescent="0.2"/>
    <row r="64307" s="689" customFormat="1" x14ac:dyDescent="0.2"/>
    <row r="64308" s="689" customFormat="1" x14ac:dyDescent="0.2"/>
    <row r="64309" s="689" customFormat="1" x14ac:dyDescent="0.2"/>
    <row r="64310" s="689" customFormat="1" x14ac:dyDescent="0.2"/>
    <row r="64311" s="689" customFormat="1" x14ac:dyDescent="0.2"/>
    <row r="64312" s="689" customFormat="1" x14ac:dyDescent="0.2"/>
    <row r="64313" s="689" customFormat="1" x14ac:dyDescent="0.2"/>
    <row r="64314" s="689" customFormat="1" x14ac:dyDescent="0.2"/>
    <row r="64315" s="689" customFormat="1" x14ac:dyDescent="0.2"/>
    <row r="64316" s="689" customFormat="1" x14ac:dyDescent="0.2"/>
    <row r="64317" s="689" customFormat="1" x14ac:dyDescent="0.2"/>
    <row r="64318" s="689" customFormat="1" x14ac:dyDescent="0.2"/>
    <row r="64319" s="689" customFormat="1" x14ac:dyDescent="0.2"/>
    <row r="64320" s="689" customFormat="1" x14ac:dyDescent="0.2"/>
    <row r="64321" s="689" customFormat="1" x14ac:dyDescent="0.2"/>
    <row r="64322" s="689" customFormat="1" x14ac:dyDescent="0.2"/>
    <row r="64323" s="689" customFormat="1" x14ac:dyDescent="0.2"/>
    <row r="64324" s="689" customFormat="1" x14ac:dyDescent="0.2"/>
    <row r="64325" s="689" customFormat="1" x14ac:dyDescent="0.2"/>
    <row r="64326" s="689" customFormat="1" x14ac:dyDescent="0.2"/>
    <row r="64327" s="689" customFormat="1" x14ac:dyDescent="0.2"/>
    <row r="64328" s="689" customFormat="1" x14ac:dyDescent="0.2"/>
    <row r="64329" s="689" customFormat="1" x14ac:dyDescent="0.2"/>
    <row r="64330" s="689" customFormat="1" x14ac:dyDescent="0.2"/>
    <row r="64331" s="689" customFormat="1" x14ac:dyDescent="0.2"/>
    <row r="64332" s="689" customFormat="1" x14ac:dyDescent="0.2"/>
    <row r="64333" s="689" customFormat="1" x14ac:dyDescent="0.2"/>
    <row r="64334" s="689" customFormat="1" x14ac:dyDescent="0.2"/>
    <row r="64335" s="689" customFormat="1" x14ac:dyDescent="0.2"/>
    <row r="64336" s="689" customFormat="1" x14ac:dyDescent="0.2"/>
    <row r="64337" s="689" customFormat="1" x14ac:dyDescent="0.2"/>
    <row r="64338" s="689" customFormat="1" x14ac:dyDescent="0.2"/>
    <row r="64339" s="689" customFormat="1" x14ac:dyDescent="0.2"/>
    <row r="64340" s="689" customFormat="1" x14ac:dyDescent="0.2"/>
    <row r="64341" s="689" customFormat="1" x14ac:dyDescent="0.2"/>
    <row r="64342" s="689" customFormat="1" x14ac:dyDescent="0.2"/>
    <row r="64343" s="689" customFormat="1" x14ac:dyDescent="0.2"/>
    <row r="64344" s="689" customFormat="1" x14ac:dyDescent="0.2"/>
    <row r="64345" s="689" customFormat="1" x14ac:dyDescent="0.2"/>
    <row r="64346" s="689" customFormat="1" x14ac:dyDescent="0.2"/>
    <row r="64347" s="689" customFormat="1" x14ac:dyDescent="0.2"/>
    <row r="64348" s="689" customFormat="1" x14ac:dyDescent="0.2"/>
    <row r="64349" s="689" customFormat="1" x14ac:dyDescent="0.2"/>
    <row r="64350" s="689" customFormat="1" x14ac:dyDescent="0.2"/>
    <row r="64351" s="689" customFormat="1" x14ac:dyDescent="0.2"/>
    <row r="64352" s="689" customFormat="1" x14ac:dyDescent="0.2"/>
    <row r="64353" s="689" customFormat="1" x14ac:dyDescent="0.2"/>
    <row r="64354" s="689" customFormat="1" x14ac:dyDescent="0.2"/>
    <row r="64355" s="689" customFormat="1" x14ac:dyDescent="0.2"/>
    <row r="64356" s="689" customFormat="1" x14ac:dyDescent="0.2"/>
    <row r="64357" s="689" customFormat="1" x14ac:dyDescent="0.2"/>
    <row r="64358" s="689" customFormat="1" x14ac:dyDescent="0.2"/>
    <row r="64359" s="689" customFormat="1" x14ac:dyDescent="0.2"/>
    <row r="64360" s="689" customFormat="1" x14ac:dyDescent="0.2"/>
    <row r="64361" s="689" customFormat="1" x14ac:dyDescent="0.2"/>
    <row r="64362" s="689" customFormat="1" x14ac:dyDescent="0.2"/>
    <row r="64363" s="689" customFormat="1" x14ac:dyDescent="0.2"/>
    <row r="64364" s="689" customFormat="1" x14ac:dyDescent="0.2"/>
    <row r="64365" s="689" customFormat="1" x14ac:dyDescent="0.2"/>
    <row r="64366" s="689" customFormat="1" x14ac:dyDescent="0.2"/>
    <row r="64367" s="689" customFormat="1" x14ac:dyDescent="0.2"/>
    <row r="64368" s="689" customFormat="1" x14ac:dyDescent="0.2"/>
    <row r="64369" s="689" customFormat="1" x14ac:dyDescent="0.2"/>
    <row r="64370" s="689" customFormat="1" x14ac:dyDescent="0.2"/>
    <row r="64371" s="689" customFormat="1" x14ac:dyDescent="0.2"/>
    <row r="64372" s="689" customFormat="1" x14ac:dyDescent="0.2"/>
    <row r="64373" s="689" customFormat="1" x14ac:dyDescent="0.2"/>
    <row r="64374" s="689" customFormat="1" x14ac:dyDescent="0.2"/>
    <row r="64375" s="689" customFormat="1" x14ac:dyDescent="0.2"/>
    <row r="64376" s="689" customFormat="1" x14ac:dyDescent="0.2"/>
    <row r="64377" s="689" customFormat="1" x14ac:dyDescent="0.2"/>
    <row r="64378" s="689" customFormat="1" x14ac:dyDescent="0.2"/>
    <row r="64379" s="689" customFormat="1" x14ac:dyDescent="0.2"/>
    <row r="64380" s="689" customFormat="1" x14ac:dyDescent="0.2"/>
    <row r="64381" s="689" customFormat="1" x14ac:dyDescent="0.2"/>
    <row r="64382" s="689" customFormat="1" x14ac:dyDescent="0.2"/>
    <row r="64383" s="689" customFormat="1" x14ac:dyDescent="0.2"/>
    <row r="64384" s="689" customFormat="1" x14ac:dyDescent="0.2"/>
    <row r="64385" s="689" customFormat="1" x14ac:dyDescent="0.2"/>
    <row r="64386" s="689" customFormat="1" x14ac:dyDescent="0.2"/>
    <row r="64387" s="689" customFormat="1" x14ac:dyDescent="0.2"/>
    <row r="64388" s="689" customFormat="1" x14ac:dyDescent="0.2"/>
    <row r="64389" s="689" customFormat="1" x14ac:dyDescent="0.2"/>
    <row r="64390" s="689" customFormat="1" x14ac:dyDescent="0.2"/>
    <row r="64391" s="689" customFormat="1" x14ac:dyDescent="0.2"/>
    <row r="64392" s="689" customFormat="1" x14ac:dyDescent="0.2"/>
    <row r="64393" s="689" customFormat="1" x14ac:dyDescent="0.2"/>
    <row r="64394" s="689" customFormat="1" x14ac:dyDescent="0.2"/>
    <row r="64395" s="689" customFormat="1" x14ac:dyDescent="0.2"/>
    <row r="64396" s="689" customFormat="1" x14ac:dyDescent="0.2"/>
    <row r="64397" s="689" customFormat="1" x14ac:dyDescent="0.2"/>
    <row r="64398" s="689" customFormat="1" x14ac:dyDescent="0.2"/>
    <row r="64399" s="689" customFormat="1" x14ac:dyDescent="0.2"/>
    <row r="64400" s="689" customFormat="1" x14ac:dyDescent="0.2"/>
    <row r="64401" s="689" customFormat="1" x14ac:dyDescent="0.2"/>
    <row r="64402" s="689" customFormat="1" x14ac:dyDescent="0.2"/>
    <row r="64403" s="689" customFormat="1" x14ac:dyDescent="0.2"/>
    <row r="64404" s="689" customFormat="1" x14ac:dyDescent="0.2"/>
    <row r="64405" s="689" customFormat="1" x14ac:dyDescent="0.2"/>
    <row r="64406" s="689" customFormat="1" x14ac:dyDescent="0.2"/>
    <row r="64407" s="689" customFormat="1" x14ac:dyDescent="0.2"/>
    <row r="64408" s="689" customFormat="1" x14ac:dyDescent="0.2"/>
    <row r="64409" s="689" customFormat="1" x14ac:dyDescent="0.2"/>
    <row r="64410" s="689" customFormat="1" x14ac:dyDescent="0.2"/>
    <row r="64411" s="689" customFormat="1" x14ac:dyDescent="0.2"/>
    <row r="64412" s="689" customFormat="1" x14ac:dyDescent="0.2"/>
    <row r="64413" s="689" customFormat="1" x14ac:dyDescent="0.2"/>
    <row r="64414" s="689" customFormat="1" x14ac:dyDescent="0.2"/>
    <row r="64415" s="689" customFormat="1" x14ac:dyDescent="0.2"/>
    <row r="64416" s="689" customFormat="1" x14ac:dyDescent="0.2"/>
    <row r="64417" s="689" customFormat="1" x14ac:dyDescent="0.2"/>
    <row r="64418" s="689" customFormat="1" x14ac:dyDescent="0.2"/>
    <row r="64419" s="689" customFormat="1" x14ac:dyDescent="0.2"/>
    <row r="64420" s="689" customFormat="1" x14ac:dyDescent="0.2"/>
    <row r="64421" s="689" customFormat="1" x14ac:dyDescent="0.2"/>
    <row r="64422" s="689" customFormat="1" x14ac:dyDescent="0.2"/>
    <row r="64423" s="689" customFormat="1" x14ac:dyDescent="0.2"/>
    <row r="64424" s="689" customFormat="1" x14ac:dyDescent="0.2"/>
    <row r="64425" s="689" customFormat="1" x14ac:dyDescent="0.2"/>
    <row r="64426" s="689" customFormat="1" x14ac:dyDescent="0.2"/>
    <row r="64427" s="689" customFormat="1" x14ac:dyDescent="0.2"/>
    <row r="64428" s="689" customFormat="1" x14ac:dyDescent="0.2"/>
    <row r="64429" s="689" customFormat="1" x14ac:dyDescent="0.2"/>
    <row r="64430" s="689" customFormat="1" x14ac:dyDescent="0.2"/>
    <row r="64431" s="689" customFormat="1" x14ac:dyDescent="0.2"/>
    <row r="64432" s="689" customFormat="1" x14ac:dyDescent="0.2"/>
    <row r="64433" s="689" customFormat="1" x14ac:dyDescent="0.2"/>
    <row r="64434" s="689" customFormat="1" x14ac:dyDescent="0.2"/>
    <row r="64435" s="689" customFormat="1" x14ac:dyDescent="0.2"/>
    <row r="64436" s="689" customFormat="1" x14ac:dyDescent="0.2"/>
    <row r="64437" s="689" customFormat="1" x14ac:dyDescent="0.2"/>
    <row r="64438" s="689" customFormat="1" x14ac:dyDescent="0.2"/>
    <row r="64439" s="689" customFormat="1" x14ac:dyDescent="0.2"/>
    <row r="64440" s="689" customFormat="1" x14ac:dyDescent="0.2"/>
    <row r="64441" s="689" customFormat="1" x14ac:dyDescent="0.2"/>
    <row r="64442" s="689" customFormat="1" x14ac:dyDescent="0.2"/>
    <row r="64443" s="689" customFormat="1" x14ac:dyDescent="0.2"/>
    <row r="64444" s="689" customFormat="1" x14ac:dyDescent="0.2"/>
    <row r="64445" s="689" customFormat="1" x14ac:dyDescent="0.2"/>
    <row r="64446" s="689" customFormat="1" x14ac:dyDescent="0.2"/>
    <row r="64447" s="689" customFormat="1" x14ac:dyDescent="0.2"/>
    <row r="64448" s="689" customFormat="1" x14ac:dyDescent="0.2"/>
    <row r="64449" s="689" customFormat="1" x14ac:dyDescent="0.2"/>
    <row r="64450" s="689" customFormat="1" x14ac:dyDescent="0.2"/>
    <row r="64451" s="689" customFormat="1" x14ac:dyDescent="0.2"/>
    <row r="64452" s="689" customFormat="1" x14ac:dyDescent="0.2"/>
    <row r="64453" s="689" customFormat="1" x14ac:dyDescent="0.2"/>
    <row r="64454" s="689" customFormat="1" x14ac:dyDescent="0.2"/>
    <row r="64455" s="689" customFormat="1" x14ac:dyDescent="0.2"/>
    <row r="64456" s="689" customFormat="1" x14ac:dyDescent="0.2"/>
    <row r="64457" s="689" customFormat="1" x14ac:dyDescent="0.2"/>
    <row r="64458" s="689" customFormat="1" x14ac:dyDescent="0.2"/>
    <row r="64459" s="689" customFormat="1" x14ac:dyDescent="0.2"/>
    <row r="64460" s="689" customFormat="1" x14ac:dyDescent="0.2"/>
    <row r="64461" s="689" customFormat="1" x14ac:dyDescent="0.2"/>
    <row r="64462" s="689" customFormat="1" x14ac:dyDescent="0.2"/>
    <row r="64463" s="689" customFormat="1" x14ac:dyDescent="0.2"/>
    <row r="64464" s="689" customFormat="1" x14ac:dyDescent="0.2"/>
    <row r="64465" s="689" customFormat="1" x14ac:dyDescent="0.2"/>
    <row r="64466" s="689" customFormat="1" x14ac:dyDescent="0.2"/>
    <row r="64467" s="689" customFormat="1" x14ac:dyDescent="0.2"/>
    <row r="64468" s="689" customFormat="1" x14ac:dyDescent="0.2"/>
    <row r="64469" s="689" customFormat="1" x14ac:dyDescent="0.2"/>
    <row r="64470" s="689" customFormat="1" x14ac:dyDescent="0.2"/>
    <row r="64471" s="689" customFormat="1" x14ac:dyDescent="0.2"/>
    <row r="64472" s="689" customFormat="1" x14ac:dyDescent="0.2"/>
    <row r="64473" s="689" customFormat="1" x14ac:dyDescent="0.2"/>
    <row r="64474" s="689" customFormat="1" x14ac:dyDescent="0.2"/>
    <row r="64475" s="689" customFormat="1" x14ac:dyDescent="0.2"/>
    <row r="64476" s="689" customFormat="1" x14ac:dyDescent="0.2"/>
    <row r="64477" s="689" customFormat="1" x14ac:dyDescent="0.2"/>
    <row r="64478" s="689" customFormat="1" x14ac:dyDescent="0.2"/>
    <row r="64479" s="689" customFormat="1" x14ac:dyDescent="0.2"/>
    <row r="64480" s="689" customFormat="1" x14ac:dyDescent="0.2"/>
    <row r="64481" s="689" customFormat="1" x14ac:dyDescent="0.2"/>
    <row r="64482" s="689" customFormat="1" x14ac:dyDescent="0.2"/>
    <row r="64483" s="689" customFormat="1" x14ac:dyDescent="0.2"/>
    <row r="64484" s="689" customFormat="1" x14ac:dyDescent="0.2"/>
    <row r="64485" s="689" customFormat="1" x14ac:dyDescent="0.2"/>
    <row r="64486" s="689" customFormat="1" x14ac:dyDescent="0.2"/>
    <row r="64487" s="689" customFormat="1" x14ac:dyDescent="0.2"/>
    <row r="64488" s="689" customFormat="1" x14ac:dyDescent="0.2"/>
    <row r="64489" s="689" customFormat="1" x14ac:dyDescent="0.2"/>
    <row r="64490" s="689" customFormat="1" x14ac:dyDescent="0.2"/>
    <row r="64491" s="689" customFormat="1" x14ac:dyDescent="0.2"/>
    <row r="64492" s="689" customFormat="1" x14ac:dyDescent="0.2"/>
    <row r="64493" s="689" customFormat="1" x14ac:dyDescent="0.2"/>
    <row r="64494" s="689" customFormat="1" x14ac:dyDescent="0.2"/>
    <row r="64495" s="689" customFormat="1" x14ac:dyDescent="0.2"/>
    <row r="64496" s="689" customFormat="1" x14ac:dyDescent="0.2"/>
    <row r="64497" s="689" customFormat="1" x14ac:dyDescent="0.2"/>
    <row r="64498" s="689" customFormat="1" x14ac:dyDescent="0.2"/>
    <row r="64499" s="689" customFormat="1" x14ac:dyDescent="0.2"/>
    <row r="64500" s="689" customFormat="1" x14ac:dyDescent="0.2"/>
    <row r="64501" s="689" customFormat="1" x14ac:dyDescent="0.2"/>
    <row r="64502" s="689" customFormat="1" x14ac:dyDescent="0.2"/>
    <row r="64503" s="689" customFormat="1" x14ac:dyDescent="0.2"/>
    <row r="64504" s="689" customFormat="1" x14ac:dyDescent="0.2"/>
    <row r="64505" s="689" customFormat="1" x14ac:dyDescent="0.2"/>
    <row r="64506" s="689" customFormat="1" x14ac:dyDescent="0.2"/>
    <row r="64507" s="689" customFormat="1" x14ac:dyDescent="0.2"/>
    <row r="64508" s="689" customFormat="1" x14ac:dyDescent="0.2"/>
    <row r="64509" s="689" customFormat="1" x14ac:dyDescent="0.2"/>
    <row r="64510" s="689" customFormat="1" x14ac:dyDescent="0.2"/>
    <row r="64511" s="689" customFormat="1" x14ac:dyDescent="0.2"/>
    <row r="64512" s="689" customFormat="1" x14ac:dyDescent="0.2"/>
    <row r="64513" s="689" customFormat="1" x14ac:dyDescent="0.2"/>
    <row r="64514" s="689" customFormat="1" x14ac:dyDescent="0.2"/>
    <row r="64515" s="689" customFormat="1" x14ac:dyDescent="0.2"/>
    <row r="64516" s="689" customFormat="1" x14ac:dyDescent="0.2"/>
    <row r="64517" s="689" customFormat="1" x14ac:dyDescent="0.2"/>
    <row r="64518" s="689" customFormat="1" x14ac:dyDescent="0.2"/>
    <row r="64519" s="689" customFormat="1" x14ac:dyDescent="0.2"/>
    <row r="64520" s="689" customFormat="1" x14ac:dyDescent="0.2"/>
    <row r="64521" s="689" customFormat="1" x14ac:dyDescent="0.2"/>
    <row r="64522" s="689" customFormat="1" x14ac:dyDescent="0.2"/>
    <row r="64523" s="689" customFormat="1" x14ac:dyDescent="0.2"/>
    <row r="64524" s="689" customFormat="1" x14ac:dyDescent="0.2"/>
    <row r="64525" s="689" customFormat="1" x14ac:dyDescent="0.2"/>
    <row r="64526" s="689" customFormat="1" x14ac:dyDescent="0.2"/>
    <row r="64527" s="689" customFormat="1" x14ac:dyDescent="0.2"/>
    <row r="64528" s="689" customFormat="1" x14ac:dyDescent="0.2"/>
    <row r="64529" s="689" customFormat="1" x14ac:dyDescent="0.2"/>
    <row r="64530" s="689" customFormat="1" x14ac:dyDescent="0.2"/>
    <row r="64531" s="689" customFormat="1" x14ac:dyDescent="0.2"/>
    <row r="64532" s="689" customFormat="1" x14ac:dyDescent="0.2"/>
    <row r="64533" s="689" customFormat="1" x14ac:dyDescent="0.2"/>
    <row r="64534" s="689" customFormat="1" x14ac:dyDescent="0.2"/>
    <row r="64535" s="689" customFormat="1" x14ac:dyDescent="0.2"/>
    <row r="64536" s="689" customFormat="1" x14ac:dyDescent="0.2"/>
    <row r="64537" s="689" customFormat="1" x14ac:dyDescent="0.2"/>
    <row r="64538" s="689" customFormat="1" x14ac:dyDescent="0.2"/>
    <row r="64539" s="689" customFormat="1" x14ac:dyDescent="0.2"/>
    <row r="64540" s="689" customFormat="1" x14ac:dyDescent="0.2"/>
    <row r="64541" s="689" customFormat="1" x14ac:dyDescent="0.2"/>
    <row r="64542" s="689" customFormat="1" x14ac:dyDescent="0.2"/>
    <row r="64543" s="689" customFormat="1" x14ac:dyDescent="0.2"/>
    <row r="64544" s="689" customFormat="1" x14ac:dyDescent="0.2"/>
    <row r="64545" s="689" customFormat="1" x14ac:dyDescent="0.2"/>
    <row r="64546" s="689" customFormat="1" x14ac:dyDescent="0.2"/>
    <row r="64547" s="689" customFormat="1" x14ac:dyDescent="0.2"/>
    <row r="64548" s="689" customFormat="1" x14ac:dyDescent="0.2"/>
    <row r="64549" s="689" customFormat="1" x14ac:dyDescent="0.2"/>
    <row r="64550" s="689" customFormat="1" x14ac:dyDescent="0.2"/>
    <row r="64551" s="689" customFormat="1" x14ac:dyDescent="0.2"/>
    <row r="64552" s="689" customFormat="1" x14ac:dyDescent="0.2"/>
    <row r="64553" s="689" customFormat="1" x14ac:dyDescent="0.2"/>
    <row r="64554" s="689" customFormat="1" x14ac:dyDescent="0.2"/>
    <row r="64555" s="689" customFormat="1" x14ac:dyDescent="0.2"/>
    <row r="64556" s="689" customFormat="1" x14ac:dyDescent="0.2"/>
    <row r="64557" s="689" customFormat="1" x14ac:dyDescent="0.2"/>
    <row r="64558" s="689" customFormat="1" x14ac:dyDescent="0.2"/>
    <row r="64559" s="689" customFormat="1" x14ac:dyDescent="0.2"/>
    <row r="64560" s="689" customFormat="1" x14ac:dyDescent="0.2"/>
    <row r="64561" s="689" customFormat="1" x14ac:dyDescent="0.2"/>
    <row r="64562" s="689" customFormat="1" x14ac:dyDescent="0.2"/>
    <row r="64563" s="689" customFormat="1" x14ac:dyDescent="0.2"/>
    <row r="64564" s="689" customFormat="1" x14ac:dyDescent="0.2"/>
    <row r="64565" s="689" customFormat="1" x14ac:dyDescent="0.2"/>
    <row r="64566" s="689" customFormat="1" x14ac:dyDescent="0.2"/>
    <row r="64567" s="689" customFormat="1" x14ac:dyDescent="0.2"/>
    <row r="64568" s="689" customFormat="1" x14ac:dyDescent="0.2"/>
    <row r="64569" s="689" customFormat="1" x14ac:dyDescent="0.2"/>
    <row r="64570" s="689" customFormat="1" x14ac:dyDescent="0.2"/>
    <row r="64571" s="689" customFormat="1" x14ac:dyDescent="0.2"/>
    <row r="64572" s="689" customFormat="1" x14ac:dyDescent="0.2"/>
    <row r="64573" s="689" customFormat="1" x14ac:dyDescent="0.2"/>
    <row r="64574" s="689" customFormat="1" x14ac:dyDescent="0.2"/>
    <row r="64575" s="689" customFormat="1" x14ac:dyDescent="0.2"/>
    <row r="64576" s="689" customFormat="1" x14ac:dyDescent="0.2"/>
    <row r="64577" s="689" customFormat="1" x14ac:dyDescent="0.2"/>
    <row r="64578" s="689" customFormat="1" x14ac:dyDescent="0.2"/>
    <row r="64579" s="689" customFormat="1" x14ac:dyDescent="0.2"/>
    <row r="64580" s="689" customFormat="1" x14ac:dyDescent="0.2"/>
    <row r="64581" s="689" customFormat="1" x14ac:dyDescent="0.2"/>
    <row r="64582" s="689" customFormat="1" x14ac:dyDescent="0.2"/>
    <row r="64583" s="689" customFormat="1" x14ac:dyDescent="0.2"/>
    <row r="64584" s="689" customFormat="1" x14ac:dyDescent="0.2"/>
    <row r="64585" s="689" customFormat="1" x14ac:dyDescent="0.2"/>
    <row r="64586" s="689" customFormat="1" x14ac:dyDescent="0.2"/>
    <row r="64587" s="689" customFormat="1" x14ac:dyDescent="0.2"/>
    <row r="64588" s="689" customFormat="1" x14ac:dyDescent="0.2"/>
    <row r="64589" s="689" customFormat="1" x14ac:dyDescent="0.2"/>
    <row r="64590" s="689" customFormat="1" x14ac:dyDescent="0.2"/>
    <row r="64591" s="689" customFormat="1" x14ac:dyDescent="0.2"/>
    <row r="64592" s="689" customFormat="1" x14ac:dyDescent="0.2"/>
    <row r="64593" s="689" customFormat="1" x14ac:dyDescent="0.2"/>
    <row r="64594" s="689" customFormat="1" x14ac:dyDescent="0.2"/>
    <row r="64595" s="689" customFormat="1" x14ac:dyDescent="0.2"/>
    <row r="64596" s="689" customFormat="1" x14ac:dyDescent="0.2"/>
    <row r="64597" s="689" customFormat="1" x14ac:dyDescent="0.2"/>
    <row r="64598" s="689" customFormat="1" x14ac:dyDescent="0.2"/>
    <row r="64599" s="689" customFormat="1" x14ac:dyDescent="0.2"/>
    <row r="64600" s="689" customFormat="1" x14ac:dyDescent="0.2"/>
    <row r="64601" s="689" customFormat="1" x14ac:dyDescent="0.2"/>
    <row r="64602" s="689" customFormat="1" x14ac:dyDescent="0.2"/>
    <row r="64603" s="689" customFormat="1" x14ac:dyDescent="0.2"/>
    <row r="64604" s="689" customFormat="1" x14ac:dyDescent="0.2"/>
    <row r="64605" s="689" customFormat="1" x14ac:dyDescent="0.2"/>
    <row r="64606" s="689" customFormat="1" x14ac:dyDescent="0.2"/>
    <row r="64607" s="689" customFormat="1" x14ac:dyDescent="0.2"/>
    <row r="64608" s="689" customFormat="1" x14ac:dyDescent="0.2"/>
    <row r="64609" s="689" customFormat="1" x14ac:dyDescent="0.2"/>
    <row r="64610" s="689" customFormat="1" x14ac:dyDescent="0.2"/>
    <row r="64611" s="689" customFormat="1" x14ac:dyDescent="0.2"/>
    <row r="64612" s="689" customFormat="1" x14ac:dyDescent="0.2"/>
    <row r="64613" s="689" customFormat="1" x14ac:dyDescent="0.2"/>
    <row r="64614" s="689" customFormat="1" x14ac:dyDescent="0.2"/>
    <row r="64615" s="689" customFormat="1" x14ac:dyDescent="0.2"/>
    <row r="64616" s="689" customFormat="1" x14ac:dyDescent="0.2"/>
    <row r="64617" s="689" customFormat="1" x14ac:dyDescent="0.2"/>
    <row r="64618" s="689" customFormat="1" x14ac:dyDescent="0.2"/>
    <row r="64619" s="689" customFormat="1" x14ac:dyDescent="0.2"/>
    <row r="64620" s="689" customFormat="1" x14ac:dyDescent="0.2"/>
    <row r="64621" s="689" customFormat="1" x14ac:dyDescent="0.2"/>
    <row r="64622" s="689" customFormat="1" x14ac:dyDescent="0.2"/>
    <row r="64623" s="689" customFormat="1" x14ac:dyDescent="0.2"/>
    <row r="64624" s="689" customFormat="1" x14ac:dyDescent="0.2"/>
    <row r="64625" s="689" customFormat="1" x14ac:dyDescent="0.2"/>
    <row r="64626" s="689" customFormat="1" x14ac:dyDescent="0.2"/>
    <row r="64627" s="689" customFormat="1" x14ac:dyDescent="0.2"/>
    <row r="64628" s="689" customFormat="1" x14ac:dyDescent="0.2"/>
    <row r="64629" s="689" customFormat="1" x14ac:dyDescent="0.2"/>
    <row r="64630" s="689" customFormat="1" x14ac:dyDescent="0.2"/>
    <row r="64631" s="689" customFormat="1" x14ac:dyDescent="0.2"/>
    <row r="64632" s="689" customFormat="1" x14ac:dyDescent="0.2"/>
    <row r="64633" s="689" customFormat="1" x14ac:dyDescent="0.2"/>
    <row r="64634" s="689" customFormat="1" x14ac:dyDescent="0.2"/>
    <row r="64635" s="689" customFormat="1" x14ac:dyDescent="0.2"/>
    <row r="64636" s="689" customFormat="1" x14ac:dyDescent="0.2"/>
    <row r="64637" s="689" customFormat="1" x14ac:dyDescent="0.2"/>
    <row r="64638" s="689" customFormat="1" x14ac:dyDescent="0.2"/>
    <row r="64639" s="689" customFormat="1" x14ac:dyDescent="0.2"/>
    <row r="64640" s="689" customFormat="1" x14ac:dyDescent="0.2"/>
    <row r="64641" s="689" customFormat="1" x14ac:dyDescent="0.2"/>
    <row r="64642" s="689" customFormat="1" x14ac:dyDescent="0.2"/>
    <row r="64643" s="689" customFormat="1" x14ac:dyDescent="0.2"/>
    <row r="64644" s="689" customFormat="1" x14ac:dyDescent="0.2"/>
    <row r="64645" s="689" customFormat="1" x14ac:dyDescent="0.2"/>
    <row r="64646" s="689" customFormat="1" x14ac:dyDescent="0.2"/>
    <row r="64647" s="689" customFormat="1" x14ac:dyDescent="0.2"/>
    <row r="64648" s="689" customFormat="1" x14ac:dyDescent="0.2"/>
    <row r="64649" s="689" customFormat="1" x14ac:dyDescent="0.2"/>
    <row r="64650" s="689" customFormat="1" x14ac:dyDescent="0.2"/>
    <row r="64651" s="689" customFormat="1" x14ac:dyDescent="0.2"/>
    <row r="64652" s="689" customFormat="1" x14ac:dyDescent="0.2"/>
    <row r="64653" s="689" customFormat="1" x14ac:dyDescent="0.2"/>
    <row r="64654" s="689" customFormat="1" x14ac:dyDescent="0.2"/>
    <row r="64655" s="689" customFormat="1" x14ac:dyDescent="0.2"/>
    <row r="64656" s="689" customFormat="1" x14ac:dyDescent="0.2"/>
    <row r="64657" s="689" customFormat="1" x14ac:dyDescent="0.2"/>
    <row r="64658" s="689" customFormat="1" x14ac:dyDescent="0.2"/>
    <row r="64659" s="689" customFormat="1" x14ac:dyDescent="0.2"/>
    <row r="64660" s="689" customFormat="1" x14ac:dyDescent="0.2"/>
    <row r="64661" s="689" customFormat="1" x14ac:dyDescent="0.2"/>
    <row r="64662" s="689" customFormat="1" x14ac:dyDescent="0.2"/>
    <row r="64663" s="689" customFormat="1" x14ac:dyDescent="0.2"/>
    <row r="64664" s="689" customFormat="1" x14ac:dyDescent="0.2"/>
    <row r="64665" s="689" customFormat="1" x14ac:dyDescent="0.2"/>
    <row r="64666" s="689" customFormat="1" x14ac:dyDescent="0.2"/>
    <row r="64667" s="689" customFormat="1" x14ac:dyDescent="0.2"/>
    <row r="64668" s="689" customFormat="1" x14ac:dyDescent="0.2"/>
    <row r="64669" s="689" customFormat="1" x14ac:dyDescent="0.2"/>
    <row r="64670" s="689" customFormat="1" x14ac:dyDescent="0.2"/>
    <row r="64671" s="689" customFormat="1" x14ac:dyDescent="0.2"/>
    <row r="64672" s="689" customFormat="1" x14ac:dyDescent="0.2"/>
    <row r="64673" s="689" customFormat="1" x14ac:dyDescent="0.2"/>
    <row r="64674" s="689" customFormat="1" x14ac:dyDescent="0.2"/>
    <row r="64675" s="689" customFormat="1" x14ac:dyDescent="0.2"/>
    <row r="64676" s="689" customFormat="1" x14ac:dyDescent="0.2"/>
    <row r="64677" s="689" customFormat="1" x14ac:dyDescent="0.2"/>
    <row r="64678" s="689" customFormat="1" x14ac:dyDescent="0.2"/>
    <row r="64679" s="689" customFormat="1" x14ac:dyDescent="0.2"/>
    <row r="64680" s="689" customFormat="1" x14ac:dyDescent="0.2"/>
    <row r="64681" s="689" customFormat="1" x14ac:dyDescent="0.2"/>
    <row r="64682" s="689" customFormat="1" x14ac:dyDescent="0.2"/>
    <row r="64683" s="689" customFormat="1" x14ac:dyDescent="0.2"/>
    <row r="64684" s="689" customFormat="1" x14ac:dyDescent="0.2"/>
    <row r="64685" s="689" customFormat="1" x14ac:dyDescent="0.2"/>
    <row r="64686" s="689" customFormat="1" x14ac:dyDescent="0.2"/>
    <row r="64687" s="689" customFormat="1" x14ac:dyDescent="0.2"/>
    <row r="64688" s="689" customFormat="1" x14ac:dyDescent="0.2"/>
    <row r="64689" s="689" customFormat="1" x14ac:dyDescent="0.2"/>
    <row r="64690" s="689" customFormat="1" x14ac:dyDescent="0.2"/>
    <row r="64691" s="689" customFormat="1" x14ac:dyDescent="0.2"/>
    <row r="64692" s="689" customFormat="1" x14ac:dyDescent="0.2"/>
    <row r="64693" s="689" customFormat="1" x14ac:dyDescent="0.2"/>
    <row r="64694" s="689" customFormat="1" x14ac:dyDescent="0.2"/>
    <row r="64695" s="689" customFormat="1" x14ac:dyDescent="0.2"/>
    <row r="64696" s="689" customFormat="1" x14ac:dyDescent="0.2"/>
    <row r="64697" s="689" customFormat="1" x14ac:dyDescent="0.2"/>
    <row r="64698" s="689" customFormat="1" x14ac:dyDescent="0.2"/>
    <row r="64699" s="689" customFormat="1" x14ac:dyDescent="0.2"/>
    <row r="64700" s="689" customFormat="1" x14ac:dyDescent="0.2"/>
    <row r="64701" s="689" customFormat="1" x14ac:dyDescent="0.2"/>
    <row r="64702" s="689" customFormat="1" x14ac:dyDescent="0.2"/>
    <row r="64703" s="689" customFormat="1" x14ac:dyDescent="0.2"/>
    <row r="64704" s="689" customFormat="1" x14ac:dyDescent="0.2"/>
    <row r="64705" s="689" customFormat="1" x14ac:dyDescent="0.2"/>
    <row r="64706" s="689" customFormat="1" x14ac:dyDescent="0.2"/>
    <row r="64707" s="689" customFormat="1" x14ac:dyDescent="0.2"/>
    <row r="64708" s="689" customFormat="1" x14ac:dyDescent="0.2"/>
    <row r="64709" s="689" customFormat="1" x14ac:dyDescent="0.2"/>
    <row r="64710" s="689" customFormat="1" x14ac:dyDescent="0.2"/>
    <row r="64711" s="689" customFormat="1" x14ac:dyDescent="0.2"/>
    <row r="64712" s="689" customFormat="1" x14ac:dyDescent="0.2"/>
    <row r="64713" s="689" customFormat="1" x14ac:dyDescent="0.2"/>
    <row r="64714" s="689" customFormat="1" x14ac:dyDescent="0.2"/>
    <row r="64715" s="689" customFormat="1" x14ac:dyDescent="0.2"/>
    <row r="64716" s="689" customFormat="1" x14ac:dyDescent="0.2"/>
    <row r="64717" s="689" customFormat="1" x14ac:dyDescent="0.2"/>
    <row r="64718" s="689" customFormat="1" x14ac:dyDescent="0.2"/>
    <row r="64719" s="689" customFormat="1" x14ac:dyDescent="0.2"/>
    <row r="64720" s="689" customFormat="1" x14ac:dyDescent="0.2"/>
    <row r="64721" s="689" customFormat="1" x14ac:dyDescent="0.2"/>
    <row r="64722" s="689" customFormat="1" x14ac:dyDescent="0.2"/>
    <row r="64723" s="689" customFormat="1" x14ac:dyDescent="0.2"/>
    <row r="64724" s="689" customFormat="1" x14ac:dyDescent="0.2"/>
    <row r="64725" s="689" customFormat="1" x14ac:dyDescent="0.2"/>
    <row r="64726" s="689" customFormat="1" x14ac:dyDescent="0.2"/>
    <row r="64727" s="689" customFormat="1" x14ac:dyDescent="0.2"/>
    <row r="64728" s="689" customFormat="1" x14ac:dyDescent="0.2"/>
    <row r="64729" s="689" customFormat="1" x14ac:dyDescent="0.2"/>
    <row r="64730" s="689" customFormat="1" x14ac:dyDescent="0.2"/>
    <row r="64731" s="689" customFormat="1" x14ac:dyDescent="0.2"/>
    <row r="64732" s="689" customFormat="1" x14ac:dyDescent="0.2"/>
    <row r="64733" s="689" customFormat="1" x14ac:dyDescent="0.2"/>
    <row r="64734" s="689" customFormat="1" x14ac:dyDescent="0.2"/>
    <row r="64735" s="689" customFormat="1" x14ac:dyDescent="0.2"/>
    <row r="64736" s="689" customFormat="1" x14ac:dyDescent="0.2"/>
    <row r="64737" s="689" customFormat="1" x14ac:dyDescent="0.2"/>
    <row r="64738" s="689" customFormat="1" x14ac:dyDescent="0.2"/>
    <row r="64739" s="689" customFormat="1" x14ac:dyDescent="0.2"/>
    <row r="64740" s="689" customFormat="1" x14ac:dyDescent="0.2"/>
    <row r="64741" s="689" customFormat="1" x14ac:dyDescent="0.2"/>
    <row r="64742" s="689" customFormat="1" x14ac:dyDescent="0.2"/>
    <row r="64743" s="689" customFormat="1" x14ac:dyDescent="0.2"/>
    <row r="64744" s="689" customFormat="1" x14ac:dyDescent="0.2"/>
    <row r="64745" s="689" customFormat="1" x14ac:dyDescent="0.2"/>
    <row r="64746" s="689" customFormat="1" x14ac:dyDescent="0.2"/>
    <row r="64747" s="689" customFormat="1" x14ac:dyDescent="0.2"/>
    <row r="64748" s="689" customFormat="1" x14ac:dyDescent="0.2"/>
    <row r="64749" s="689" customFormat="1" x14ac:dyDescent="0.2"/>
    <row r="64750" s="689" customFormat="1" x14ac:dyDescent="0.2"/>
    <row r="64751" s="689" customFormat="1" x14ac:dyDescent="0.2"/>
    <row r="64752" s="689" customFormat="1" x14ac:dyDescent="0.2"/>
    <row r="64753" s="689" customFormat="1" x14ac:dyDescent="0.2"/>
    <row r="64754" s="689" customFormat="1" x14ac:dyDescent="0.2"/>
    <row r="64755" s="689" customFormat="1" x14ac:dyDescent="0.2"/>
    <row r="64756" s="689" customFormat="1" x14ac:dyDescent="0.2"/>
    <row r="64757" s="689" customFormat="1" x14ac:dyDescent="0.2"/>
    <row r="64758" s="689" customFormat="1" x14ac:dyDescent="0.2"/>
    <row r="64759" s="689" customFormat="1" x14ac:dyDescent="0.2"/>
    <row r="64760" s="689" customFormat="1" x14ac:dyDescent="0.2"/>
    <row r="64761" s="689" customFormat="1" x14ac:dyDescent="0.2"/>
    <row r="64762" s="689" customFormat="1" x14ac:dyDescent="0.2"/>
    <row r="64763" s="689" customFormat="1" x14ac:dyDescent="0.2"/>
    <row r="64764" s="689" customFormat="1" x14ac:dyDescent="0.2"/>
    <row r="64765" s="689" customFormat="1" x14ac:dyDescent="0.2"/>
    <row r="64766" s="689" customFormat="1" x14ac:dyDescent="0.2"/>
    <row r="64767" s="689" customFormat="1" x14ac:dyDescent="0.2"/>
    <row r="64768" s="689" customFormat="1" x14ac:dyDescent="0.2"/>
    <row r="64769" s="689" customFormat="1" x14ac:dyDescent="0.2"/>
    <row r="64770" s="689" customFormat="1" x14ac:dyDescent="0.2"/>
    <row r="64771" s="689" customFormat="1" x14ac:dyDescent="0.2"/>
    <row r="64772" s="689" customFormat="1" x14ac:dyDescent="0.2"/>
    <row r="64773" s="689" customFormat="1" x14ac:dyDescent="0.2"/>
    <row r="64774" s="689" customFormat="1" x14ac:dyDescent="0.2"/>
    <row r="64775" s="689" customFormat="1" x14ac:dyDescent="0.2"/>
    <row r="64776" s="689" customFormat="1" x14ac:dyDescent="0.2"/>
    <row r="64777" s="689" customFormat="1" x14ac:dyDescent="0.2"/>
    <row r="64778" s="689" customFormat="1" x14ac:dyDescent="0.2"/>
    <row r="64779" s="689" customFormat="1" x14ac:dyDescent="0.2"/>
    <row r="64780" s="689" customFormat="1" x14ac:dyDescent="0.2"/>
    <row r="64781" s="689" customFormat="1" x14ac:dyDescent="0.2"/>
    <row r="64782" s="689" customFormat="1" x14ac:dyDescent="0.2"/>
    <row r="64783" s="689" customFormat="1" x14ac:dyDescent="0.2"/>
    <row r="64784" s="689" customFormat="1" x14ac:dyDescent="0.2"/>
    <row r="64785" s="689" customFormat="1" x14ac:dyDescent="0.2"/>
    <row r="64786" s="689" customFormat="1" x14ac:dyDescent="0.2"/>
    <row r="64787" s="689" customFormat="1" x14ac:dyDescent="0.2"/>
    <row r="64788" s="689" customFormat="1" x14ac:dyDescent="0.2"/>
    <row r="64789" s="689" customFormat="1" x14ac:dyDescent="0.2"/>
    <row r="64790" s="689" customFormat="1" x14ac:dyDescent="0.2"/>
    <row r="64791" s="689" customFormat="1" x14ac:dyDescent="0.2"/>
    <row r="64792" s="689" customFormat="1" x14ac:dyDescent="0.2"/>
    <row r="64793" s="689" customFormat="1" x14ac:dyDescent="0.2"/>
    <row r="64794" s="689" customFormat="1" x14ac:dyDescent="0.2"/>
    <row r="64795" s="689" customFormat="1" x14ac:dyDescent="0.2"/>
    <row r="64796" s="689" customFormat="1" x14ac:dyDescent="0.2"/>
    <row r="64797" s="689" customFormat="1" x14ac:dyDescent="0.2"/>
    <row r="64798" s="689" customFormat="1" x14ac:dyDescent="0.2"/>
    <row r="64799" s="689" customFormat="1" x14ac:dyDescent="0.2"/>
    <row r="64800" s="689" customFormat="1" x14ac:dyDescent="0.2"/>
    <row r="64801" s="689" customFormat="1" x14ac:dyDescent="0.2"/>
    <row r="64802" s="689" customFormat="1" x14ac:dyDescent="0.2"/>
    <row r="64803" s="689" customFormat="1" x14ac:dyDescent="0.2"/>
    <row r="64804" s="689" customFormat="1" x14ac:dyDescent="0.2"/>
    <row r="64805" s="689" customFormat="1" x14ac:dyDescent="0.2"/>
    <row r="64806" s="689" customFormat="1" x14ac:dyDescent="0.2"/>
    <row r="64807" s="689" customFormat="1" x14ac:dyDescent="0.2"/>
    <row r="64808" s="689" customFormat="1" x14ac:dyDescent="0.2"/>
    <row r="64809" s="689" customFormat="1" x14ac:dyDescent="0.2"/>
    <row r="64810" s="689" customFormat="1" x14ac:dyDescent="0.2"/>
    <row r="64811" s="689" customFormat="1" x14ac:dyDescent="0.2"/>
    <row r="64812" s="689" customFormat="1" x14ac:dyDescent="0.2"/>
    <row r="64813" s="689" customFormat="1" x14ac:dyDescent="0.2"/>
    <row r="64814" s="689" customFormat="1" x14ac:dyDescent="0.2"/>
    <row r="64815" s="689" customFormat="1" x14ac:dyDescent="0.2"/>
    <row r="64816" s="689" customFormat="1" x14ac:dyDescent="0.2"/>
    <row r="64817" s="689" customFormat="1" x14ac:dyDescent="0.2"/>
    <row r="64818" s="689" customFormat="1" x14ac:dyDescent="0.2"/>
    <row r="64819" s="689" customFormat="1" x14ac:dyDescent="0.2"/>
    <row r="64820" s="689" customFormat="1" x14ac:dyDescent="0.2"/>
    <row r="64821" s="689" customFormat="1" x14ac:dyDescent="0.2"/>
    <row r="64822" s="689" customFormat="1" x14ac:dyDescent="0.2"/>
    <row r="64823" s="689" customFormat="1" x14ac:dyDescent="0.2"/>
    <row r="64824" s="689" customFormat="1" x14ac:dyDescent="0.2"/>
    <row r="64825" s="689" customFormat="1" x14ac:dyDescent="0.2"/>
    <row r="64826" s="689" customFormat="1" x14ac:dyDescent="0.2"/>
    <row r="64827" s="689" customFormat="1" x14ac:dyDescent="0.2"/>
    <row r="64828" s="689" customFormat="1" x14ac:dyDescent="0.2"/>
    <row r="64829" s="689" customFormat="1" x14ac:dyDescent="0.2"/>
    <row r="64830" s="689" customFormat="1" x14ac:dyDescent="0.2"/>
    <row r="64831" s="689" customFormat="1" x14ac:dyDescent="0.2"/>
    <row r="64832" s="689" customFormat="1" x14ac:dyDescent="0.2"/>
    <row r="64833" s="689" customFormat="1" x14ac:dyDescent="0.2"/>
    <row r="64834" s="689" customFormat="1" x14ac:dyDescent="0.2"/>
    <row r="64835" s="689" customFormat="1" x14ac:dyDescent="0.2"/>
    <row r="64836" s="689" customFormat="1" x14ac:dyDescent="0.2"/>
    <row r="64837" s="689" customFormat="1" x14ac:dyDescent="0.2"/>
    <row r="64838" s="689" customFormat="1" x14ac:dyDescent="0.2"/>
    <row r="64839" s="689" customFormat="1" x14ac:dyDescent="0.2"/>
    <row r="64840" s="689" customFormat="1" x14ac:dyDescent="0.2"/>
    <row r="64841" s="689" customFormat="1" x14ac:dyDescent="0.2"/>
    <row r="64842" s="689" customFormat="1" x14ac:dyDescent="0.2"/>
    <row r="64843" s="689" customFormat="1" x14ac:dyDescent="0.2"/>
    <row r="64844" s="689" customFormat="1" x14ac:dyDescent="0.2"/>
    <row r="64845" s="689" customFormat="1" x14ac:dyDescent="0.2"/>
    <row r="64846" s="689" customFormat="1" x14ac:dyDescent="0.2"/>
    <row r="64847" s="689" customFormat="1" x14ac:dyDescent="0.2"/>
    <row r="64848" s="689" customFormat="1" x14ac:dyDescent="0.2"/>
    <row r="64849" s="689" customFormat="1" x14ac:dyDescent="0.2"/>
    <row r="64850" s="689" customFormat="1" x14ac:dyDescent="0.2"/>
    <row r="64851" s="689" customFormat="1" x14ac:dyDescent="0.2"/>
    <row r="64852" s="689" customFormat="1" x14ac:dyDescent="0.2"/>
    <row r="64853" s="689" customFormat="1" x14ac:dyDescent="0.2"/>
    <row r="64854" s="689" customFormat="1" x14ac:dyDescent="0.2"/>
    <row r="64855" s="689" customFormat="1" x14ac:dyDescent="0.2"/>
    <row r="64856" s="689" customFormat="1" x14ac:dyDescent="0.2"/>
    <row r="64857" s="689" customFormat="1" x14ac:dyDescent="0.2"/>
    <row r="64858" s="689" customFormat="1" x14ac:dyDescent="0.2"/>
    <row r="64859" s="689" customFormat="1" x14ac:dyDescent="0.2"/>
    <row r="64860" s="689" customFormat="1" x14ac:dyDescent="0.2"/>
    <row r="64861" s="689" customFormat="1" x14ac:dyDescent="0.2"/>
    <row r="64862" s="689" customFormat="1" x14ac:dyDescent="0.2"/>
    <row r="64863" s="689" customFormat="1" x14ac:dyDescent="0.2"/>
    <row r="64864" s="689" customFormat="1" x14ac:dyDescent="0.2"/>
    <row r="64865" s="689" customFormat="1" x14ac:dyDescent="0.2"/>
    <row r="64866" s="689" customFormat="1" x14ac:dyDescent="0.2"/>
    <row r="64867" s="689" customFormat="1" x14ac:dyDescent="0.2"/>
    <row r="64868" s="689" customFormat="1" x14ac:dyDescent="0.2"/>
    <row r="64869" s="689" customFormat="1" x14ac:dyDescent="0.2"/>
    <row r="64870" s="689" customFormat="1" x14ac:dyDescent="0.2"/>
    <row r="64871" s="689" customFormat="1" x14ac:dyDescent="0.2"/>
    <row r="64872" s="689" customFormat="1" x14ac:dyDescent="0.2"/>
    <row r="64873" s="689" customFormat="1" x14ac:dyDescent="0.2"/>
    <row r="64874" s="689" customFormat="1" x14ac:dyDescent="0.2"/>
    <row r="64875" s="689" customFormat="1" x14ac:dyDescent="0.2"/>
    <row r="64876" s="689" customFormat="1" x14ac:dyDescent="0.2"/>
    <row r="64877" s="689" customFormat="1" x14ac:dyDescent="0.2"/>
    <row r="64878" s="689" customFormat="1" x14ac:dyDescent="0.2"/>
    <row r="64879" s="689" customFormat="1" x14ac:dyDescent="0.2"/>
    <row r="64880" s="689" customFormat="1" x14ac:dyDescent="0.2"/>
    <row r="64881" s="689" customFormat="1" x14ac:dyDescent="0.2"/>
    <row r="64882" s="689" customFormat="1" x14ac:dyDescent="0.2"/>
    <row r="64883" s="689" customFormat="1" x14ac:dyDescent="0.2"/>
    <row r="64884" s="689" customFormat="1" x14ac:dyDescent="0.2"/>
    <row r="64885" s="689" customFormat="1" x14ac:dyDescent="0.2"/>
    <row r="64886" s="689" customFormat="1" x14ac:dyDescent="0.2"/>
    <row r="64887" s="689" customFormat="1" x14ac:dyDescent="0.2"/>
    <row r="64888" s="689" customFormat="1" x14ac:dyDescent="0.2"/>
    <row r="64889" s="689" customFormat="1" x14ac:dyDescent="0.2"/>
    <row r="64890" s="689" customFormat="1" x14ac:dyDescent="0.2"/>
    <row r="64891" s="689" customFormat="1" x14ac:dyDescent="0.2"/>
    <row r="64892" s="689" customFormat="1" x14ac:dyDescent="0.2"/>
    <row r="64893" s="689" customFormat="1" x14ac:dyDescent="0.2"/>
    <row r="64894" s="689" customFormat="1" x14ac:dyDescent="0.2"/>
    <row r="64895" s="689" customFormat="1" x14ac:dyDescent="0.2"/>
    <row r="64896" s="689" customFormat="1" x14ac:dyDescent="0.2"/>
    <row r="64897" s="689" customFormat="1" x14ac:dyDescent="0.2"/>
    <row r="64898" s="689" customFormat="1" x14ac:dyDescent="0.2"/>
    <row r="64899" s="689" customFormat="1" x14ac:dyDescent="0.2"/>
    <row r="64900" s="689" customFormat="1" x14ac:dyDescent="0.2"/>
    <row r="64901" s="689" customFormat="1" x14ac:dyDescent="0.2"/>
    <row r="64902" s="689" customFormat="1" x14ac:dyDescent="0.2"/>
    <row r="64903" s="689" customFormat="1" x14ac:dyDescent="0.2"/>
    <row r="64904" s="689" customFormat="1" x14ac:dyDescent="0.2"/>
    <row r="64905" s="689" customFormat="1" x14ac:dyDescent="0.2"/>
    <row r="64906" s="689" customFormat="1" x14ac:dyDescent="0.2"/>
    <row r="64907" s="689" customFormat="1" x14ac:dyDescent="0.2"/>
    <row r="64908" s="689" customFormat="1" x14ac:dyDescent="0.2"/>
    <row r="64909" s="689" customFormat="1" x14ac:dyDescent="0.2"/>
    <row r="64910" s="689" customFormat="1" x14ac:dyDescent="0.2"/>
    <row r="64911" s="689" customFormat="1" x14ac:dyDescent="0.2"/>
    <row r="64912" s="689" customFormat="1" x14ac:dyDescent="0.2"/>
    <row r="64913" s="689" customFormat="1" x14ac:dyDescent="0.2"/>
    <row r="64914" s="689" customFormat="1" x14ac:dyDescent="0.2"/>
    <row r="64915" s="689" customFormat="1" x14ac:dyDescent="0.2"/>
    <row r="64916" s="689" customFormat="1" x14ac:dyDescent="0.2"/>
    <row r="64917" s="689" customFormat="1" x14ac:dyDescent="0.2"/>
    <row r="64918" s="689" customFormat="1" x14ac:dyDescent="0.2"/>
    <row r="64919" s="689" customFormat="1" x14ac:dyDescent="0.2"/>
    <row r="64920" s="689" customFormat="1" x14ac:dyDescent="0.2"/>
    <row r="64921" s="689" customFormat="1" x14ac:dyDescent="0.2"/>
    <row r="64922" s="689" customFormat="1" x14ac:dyDescent="0.2"/>
    <row r="64923" s="689" customFormat="1" x14ac:dyDescent="0.2"/>
    <row r="64924" s="689" customFormat="1" x14ac:dyDescent="0.2"/>
    <row r="64925" s="689" customFormat="1" x14ac:dyDescent="0.2"/>
    <row r="64926" s="689" customFormat="1" x14ac:dyDescent="0.2"/>
    <row r="64927" s="689" customFormat="1" x14ac:dyDescent="0.2"/>
    <row r="64928" s="689" customFormat="1" x14ac:dyDescent="0.2"/>
    <row r="64929" s="689" customFormat="1" x14ac:dyDescent="0.2"/>
    <row r="64930" s="689" customFormat="1" x14ac:dyDescent="0.2"/>
    <row r="64931" s="689" customFormat="1" x14ac:dyDescent="0.2"/>
    <row r="64932" s="689" customFormat="1" x14ac:dyDescent="0.2"/>
    <row r="64933" s="689" customFormat="1" x14ac:dyDescent="0.2"/>
    <row r="64934" s="689" customFormat="1" x14ac:dyDescent="0.2"/>
    <row r="64935" s="689" customFormat="1" x14ac:dyDescent="0.2"/>
    <row r="64936" s="689" customFormat="1" x14ac:dyDescent="0.2"/>
    <row r="64937" s="689" customFormat="1" x14ac:dyDescent="0.2"/>
    <row r="64938" s="689" customFormat="1" x14ac:dyDescent="0.2"/>
    <row r="64939" s="689" customFormat="1" x14ac:dyDescent="0.2"/>
    <row r="64940" s="689" customFormat="1" x14ac:dyDescent="0.2"/>
    <row r="64941" s="689" customFormat="1" x14ac:dyDescent="0.2"/>
    <row r="64942" s="689" customFormat="1" x14ac:dyDescent="0.2"/>
    <row r="64943" s="689" customFormat="1" x14ac:dyDescent="0.2"/>
    <row r="64944" s="689" customFormat="1" x14ac:dyDescent="0.2"/>
    <row r="64945" s="689" customFormat="1" x14ac:dyDescent="0.2"/>
    <row r="64946" s="689" customFormat="1" x14ac:dyDescent="0.2"/>
    <row r="64947" s="689" customFormat="1" x14ac:dyDescent="0.2"/>
    <row r="64948" s="689" customFormat="1" x14ac:dyDescent="0.2"/>
    <row r="64949" s="689" customFormat="1" x14ac:dyDescent="0.2"/>
    <row r="64950" s="689" customFormat="1" x14ac:dyDescent="0.2"/>
    <row r="64951" s="689" customFormat="1" x14ac:dyDescent="0.2"/>
    <row r="64952" s="689" customFormat="1" x14ac:dyDescent="0.2"/>
    <row r="64953" s="689" customFormat="1" x14ac:dyDescent="0.2"/>
    <row r="64954" s="689" customFormat="1" x14ac:dyDescent="0.2"/>
    <row r="64955" s="689" customFormat="1" x14ac:dyDescent="0.2"/>
    <row r="64956" s="689" customFormat="1" x14ac:dyDescent="0.2"/>
    <row r="64957" s="689" customFormat="1" x14ac:dyDescent="0.2"/>
    <row r="64958" s="689" customFormat="1" x14ac:dyDescent="0.2"/>
    <row r="64959" s="689" customFormat="1" x14ac:dyDescent="0.2"/>
    <row r="64960" s="689" customFormat="1" x14ac:dyDescent="0.2"/>
    <row r="64961" s="689" customFormat="1" x14ac:dyDescent="0.2"/>
    <row r="64962" s="689" customFormat="1" x14ac:dyDescent="0.2"/>
    <row r="64963" s="689" customFormat="1" x14ac:dyDescent="0.2"/>
    <row r="64964" s="689" customFormat="1" x14ac:dyDescent="0.2"/>
    <row r="64965" s="689" customFormat="1" x14ac:dyDescent="0.2"/>
    <row r="64966" s="689" customFormat="1" x14ac:dyDescent="0.2"/>
    <row r="64967" s="689" customFormat="1" x14ac:dyDescent="0.2"/>
    <row r="64968" s="689" customFormat="1" x14ac:dyDescent="0.2"/>
    <row r="64969" s="689" customFormat="1" x14ac:dyDescent="0.2"/>
    <row r="64970" s="689" customFormat="1" x14ac:dyDescent="0.2"/>
    <row r="64971" s="689" customFormat="1" x14ac:dyDescent="0.2"/>
    <row r="64972" s="689" customFormat="1" x14ac:dyDescent="0.2"/>
    <row r="64973" s="689" customFormat="1" x14ac:dyDescent="0.2"/>
    <row r="64974" s="689" customFormat="1" x14ac:dyDescent="0.2"/>
    <row r="64975" s="689" customFormat="1" x14ac:dyDescent="0.2"/>
    <row r="64976" s="689" customFormat="1" x14ac:dyDescent="0.2"/>
    <row r="64977" s="689" customFormat="1" x14ac:dyDescent="0.2"/>
    <row r="64978" s="689" customFormat="1" x14ac:dyDescent="0.2"/>
    <row r="64979" s="689" customFormat="1" x14ac:dyDescent="0.2"/>
    <row r="64980" s="689" customFormat="1" x14ac:dyDescent="0.2"/>
    <row r="64981" s="689" customFormat="1" x14ac:dyDescent="0.2"/>
    <row r="64982" s="689" customFormat="1" x14ac:dyDescent="0.2"/>
    <row r="64983" s="689" customFormat="1" x14ac:dyDescent="0.2"/>
    <row r="64984" s="689" customFormat="1" x14ac:dyDescent="0.2"/>
    <row r="64985" s="689" customFormat="1" x14ac:dyDescent="0.2"/>
    <row r="64986" s="689" customFormat="1" x14ac:dyDescent="0.2"/>
    <row r="64987" s="689" customFormat="1" x14ac:dyDescent="0.2"/>
    <row r="64988" s="689" customFormat="1" x14ac:dyDescent="0.2"/>
    <row r="64989" s="689" customFormat="1" x14ac:dyDescent="0.2"/>
    <row r="64990" s="689" customFormat="1" x14ac:dyDescent="0.2"/>
    <row r="64991" s="689" customFormat="1" x14ac:dyDescent="0.2"/>
    <row r="64992" s="689" customFormat="1" x14ac:dyDescent="0.2"/>
    <row r="64993" s="689" customFormat="1" x14ac:dyDescent="0.2"/>
    <row r="64994" s="689" customFormat="1" x14ac:dyDescent="0.2"/>
    <row r="64995" s="689" customFormat="1" x14ac:dyDescent="0.2"/>
    <row r="64996" s="689" customFormat="1" x14ac:dyDescent="0.2"/>
    <row r="64997" s="689" customFormat="1" x14ac:dyDescent="0.2"/>
    <row r="64998" s="689" customFormat="1" x14ac:dyDescent="0.2"/>
    <row r="64999" s="689" customFormat="1" x14ac:dyDescent="0.2"/>
    <row r="65000" s="689" customFormat="1" x14ac:dyDescent="0.2"/>
    <row r="65001" s="689" customFormat="1" x14ac:dyDescent="0.2"/>
    <row r="65002" s="689" customFormat="1" x14ac:dyDescent="0.2"/>
    <row r="65003" s="689" customFormat="1" x14ac:dyDescent="0.2"/>
    <row r="65004" s="689" customFormat="1" x14ac:dyDescent="0.2"/>
    <row r="65005" s="689" customFormat="1" x14ac:dyDescent="0.2"/>
    <row r="65006" s="689" customFormat="1" x14ac:dyDescent="0.2"/>
    <row r="65007" s="689" customFormat="1" x14ac:dyDescent="0.2"/>
    <row r="65008" s="689" customFormat="1" x14ac:dyDescent="0.2"/>
    <row r="65009" s="689" customFormat="1" x14ac:dyDescent="0.2"/>
    <row r="65010" s="689" customFormat="1" x14ac:dyDescent="0.2"/>
    <row r="65011" s="689" customFormat="1" x14ac:dyDescent="0.2"/>
    <row r="65012" s="689" customFormat="1" x14ac:dyDescent="0.2"/>
    <row r="65013" s="689" customFormat="1" x14ac:dyDescent="0.2"/>
    <row r="65014" s="689" customFormat="1" x14ac:dyDescent="0.2"/>
    <row r="65015" s="689" customFormat="1" x14ac:dyDescent="0.2"/>
    <row r="65016" s="689" customFormat="1" x14ac:dyDescent="0.2"/>
    <row r="65017" s="689" customFormat="1" x14ac:dyDescent="0.2"/>
    <row r="65018" s="689" customFormat="1" x14ac:dyDescent="0.2"/>
    <row r="65019" s="689" customFormat="1" x14ac:dyDescent="0.2"/>
    <row r="65020" s="689" customFormat="1" x14ac:dyDescent="0.2"/>
    <row r="65021" s="689" customFormat="1" x14ac:dyDescent="0.2"/>
    <row r="65022" s="689" customFormat="1" x14ac:dyDescent="0.2"/>
    <row r="65023" s="689" customFormat="1" x14ac:dyDescent="0.2"/>
    <row r="65024" s="689" customFormat="1" x14ac:dyDescent="0.2"/>
    <row r="65025" s="689" customFormat="1" x14ac:dyDescent="0.2"/>
    <row r="65026" s="689" customFormat="1" x14ac:dyDescent="0.2"/>
    <row r="65027" s="689" customFormat="1" x14ac:dyDescent="0.2"/>
    <row r="65028" s="689" customFormat="1" x14ac:dyDescent="0.2"/>
    <row r="65029" s="689" customFormat="1" x14ac:dyDescent="0.2"/>
    <row r="65030" s="689" customFormat="1" x14ac:dyDescent="0.2"/>
    <row r="65031" s="689" customFormat="1" x14ac:dyDescent="0.2"/>
    <row r="65032" s="689" customFormat="1" x14ac:dyDescent="0.2"/>
    <row r="65033" s="689" customFormat="1" x14ac:dyDescent="0.2"/>
    <row r="65034" s="689" customFormat="1" x14ac:dyDescent="0.2"/>
    <row r="65035" s="689" customFormat="1" x14ac:dyDescent="0.2"/>
    <row r="65036" s="689" customFormat="1" x14ac:dyDescent="0.2"/>
    <row r="65037" s="689" customFormat="1" x14ac:dyDescent="0.2"/>
    <row r="65038" s="689" customFormat="1" x14ac:dyDescent="0.2"/>
    <row r="65039" s="689" customFormat="1" x14ac:dyDescent="0.2"/>
    <row r="65040" s="689" customFormat="1" x14ac:dyDescent="0.2"/>
    <row r="65041" s="689" customFormat="1" x14ac:dyDescent="0.2"/>
    <row r="65042" s="689" customFormat="1" x14ac:dyDescent="0.2"/>
    <row r="65043" s="689" customFormat="1" x14ac:dyDescent="0.2"/>
    <row r="65044" s="689" customFormat="1" x14ac:dyDescent="0.2"/>
    <row r="65045" s="689" customFormat="1" x14ac:dyDescent="0.2"/>
    <row r="65046" s="689" customFormat="1" x14ac:dyDescent="0.2"/>
    <row r="65047" s="689" customFormat="1" x14ac:dyDescent="0.2"/>
    <row r="65048" s="689" customFormat="1" x14ac:dyDescent="0.2"/>
    <row r="65049" s="689" customFormat="1" x14ac:dyDescent="0.2"/>
    <row r="65050" s="689" customFormat="1" x14ac:dyDescent="0.2"/>
    <row r="65051" s="689" customFormat="1" x14ac:dyDescent="0.2"/>
    <row r="65052" s="689" customFormat="1" x14ac:dyDescent="0.2"/>
    <row r="65053" s="689" customFormat="1" x14ac:dyDescent="0.2"/>
    <row r="65054" s="689" customFormat="1" x14ac:dyDescent="0.2"/>
    <row r="65055" s="689" customFormat="1" x14ac:dyDescent="0.2"/>
    <row r="65056" s="689" customFormat="1" x14ac:dyDescent="0.2"/>
    <row r="65057" s="689" customFormat="1" x14ac:dyDescent="0.2"/>
    <row r="65058" s="689" customFormat="1" x14ac:dyDescent="0.2"/>
    <row r="65059" s="689" customFormat="1" x14ac:dyDescent="0.2"/>
    <row r="65060" s="689" customFormat="1" x14ac:dyDescent="0.2"/>
    <row r="65061" s="689" customFormat="1" x14ac:dyDescent="0.2"/>
    <row r="65062" s="689" customFormat="1" x14ac:dyDescent="0.2"/>
    <row r="65063" s="689" customFormat="1" x14ac:dyDescent="0.2"/>
    <row r="65064" s="689" customFormat="1" x14ac:dyDescent="0.2"/>
    <row r="65065" s="689" customFormat="1" x14ac:dyDescent="0.2"/>
    <row r="65066" s="689" customFormat="1" x14ac:dyDescent="0.2"/>
    <row r="65067" s="689" customFormat="1" x14ac:dyDescent="0.2"/>
    <row r="65068" s="689" customFormat="1" x14ac:dyDescent="0.2"/>
    <row r="65069" s="689" customFormat="1" x14ac:dyDescent="0.2"/>
    <row r="65070" s="689" customFormat="1" x14ac:dyDescent="0.2"/>
    <row r="65071" s="689" customFormat="1" x14ac:dyDescent="0.2"/>
    <row r="65072" s="689" customFormat="1" x14ac:dyDescent="0.2"/>
    <row r="65073" s="689" customFormat="1" x14ac:dyDescent="0.2"/>
    <row r="65074" s="689" customFormat="1" x14ac:dyDescent="0.2"/>
    <row r="65075" s="689" customFormat="1" x14ac:dyDescent="0.2"/>
    <row r="65076" s="689" customFormat="1" x14ac:dyDescent="0.2"/>
    <row r="65077" s="689" customFormat="1" x14ac:dyDescent="0.2"/>
    <row r="65078" s="689" customFormat="1" x14ac:dyDescent="0.2"/>
    <row r="65079" s="689" customFormat="1" x14ac:dyDescent="0.2"/>
    <row r="65080" s="689" customFormat="1" x14ac:dyDescent="0.2"/>
    <row r="65081" s="689" customFormat="1" x14ac:dyDescent="0.2"/>
    <row r="65082" s="689" customFormat="1" x14ac:dyDescent="0.2"/>
    <row r="65083" s="689" customFormat="1" x14ac:dyDescent="0.2"/>
    <row r="65084" s="689" customFormat="1" x14ac:dyDescent="0.2"/>
    <row r="65085" s="689" customFormat="1" x14ac:dyDescent="0.2"/>
    <row r="65086" s="689" customFormat="1" x14ac:dyDescent="0.2"/>
    <row r="65087" s="689" customFormat="1" x14ac:dyDescent="0.2"/>
    <row r="65088" s="689" customFormat="1" x14ac:dyDescent="0.2"/>
    <row r="65089" s="689" customFormat="1" x14ac:dyDescent="0.2"/>
    <row r="65090" s="689" customFormat="1" x14ac:dyDescent="0.2"/>
    <row r="65091" s="689" customFormat="1" x14ac:dyDescent="0.2"/>
    <row r="65092" s="689" customFormat="1" x14ac:dyDescent="0.2"/>
    <row r="65093" s="689" customFormat="1" x14ac:dyDescent="0.2"/>
    <row r="65094" s="689" customFormat="1" x14ac:dyDescent="0.2"/>
    <row r="65095" s="689" customFormat="1" x14ac:dyDescent="0.2"/>
    <row r="65096" s="689" customFormat="1" x14ac:dyDescent="0.2"/>
    <row r="65097" s="689" customFormat="1" x14ac:dyDescent="0.2"/>
    <row r="65098" s="689" customFormat="1" x14ac:dyDescent="0.2"/>
    <row r="65099" s="689" customFormat="1" x14ac:dyDescent="0.2"/>
    <row r="65100" s="689" customFormat="1" x14ac:dyDescent="0.2"/>
    <row r="65101" s="689" customFormat="1" x14ac:dyDescent="0.2"/>
    <row r="65102" s="689" customFormat="1" x14ac:dyDescent="0.2"/>
    <row r="65103" s="689" customFormat="1" x14ac:dyDescent="0.2"/>
    <row r="65104" s="689" customFormat="1" x14ac:dyDescent="0.2"/>
    <row r="65105" s="689" customFormat="1" x14ac:dyDescent="0.2"/>
    <row r="65106" s="689" customFormat="1" x14ac:dyDescent="0.2"/>
    <row r="65107" s="689" customFormat="1" x14ac:dyDescent="0.2"/>
    <row r="65108" s="689" customFormat="1" x14ac:dyDescent="0.2"/>
    <row r="65109" s="689" customFormat="1" x14ac:dyDescent="0.2"/>
    <row r="65110" s="689" customFormat="1" x14ac:dyDescent="0.2"/>
    <row r="65111" s="689" customFormat="1" x14ac:dyDescent="0.2"/>
    <row r="65112" s="689" customFormat="1" x14ac:dyDescent="0.2"/>
    <row r="65113" s="689" customFormat="1" x14ac:dyDescent="0.2"/>
    <row r="65114" s="689" customFormat="1" x14ac:dyDescent="0.2"/>
    <row r="65115" s="689" customFormat="1" x14ac:dyDescent="0.2"/>
    <row r="65116" s="689" customFormat="1" x14ac:dyDescent="0.2"/>
    <row r="65117" s="689" customFormat="1" x14ac:dyDescent="0.2"/>
    <row r="65118" s="689" customFormat="1" x14ac:dyDescent="0.2"/>
    <row r="65119" s="689" customFormat="1" x14ac:dyDescent="0.2"/>
    <row r="65120" s="689" customFormat="1" x14ac:dyDescent="0.2"/>
    <row r="65121" s="689" customFormat="1" x14ac:dyDescent="0.2"/>
    <row r="65122" s="689" customFormat="1" x14ac:dyDescent="0.2"/>
    <row r="65123" s="689" customFormat="1" x14ac:dyDescent="0.2"/>
    <row r="65124" s="689" customFormat="1" x14ac:dyDescent="0.2"/>
    <row r="65125" s="689" customFormat="1" x14ac:dyDescent="0.2"/>
    <row r="65126" s="689" customFormat="1" x14ac:dyDescent="0.2"/>
    <row r="65127" s="689" customFormat="1" x14ac:dyDescent="0.2"/>
    <row r="65128" s="689" customFormat="1" x14ac:dyDescent="0.2"/>
    <row r="65129" s="689" customFormat="1" x14ac:dyDescent="0.2"/>
    <row r="65130" s="689" customFormat="1" x14ac:dyDescent="0.2"/>
    <row r="65131" s="689" customFormat="1" x14ac:dyDescent="0.2"/>
    <row r="65132" s="689" customFormat="1" x14ac:dyDescent="0.2"/>
    <row r="65133" s="689" customFormat="1" x14ac:dyDescent="0.2"/>
    <row r="65134" s="689" customFormat="1" x14ac:dyDescent="0.2"/>
    <row r="65135" s="689" customFormat="1" x14ac:dyDescent="0.2"/>
    <row r="65136" s="689" customFormat="1" x14ac:dyDescent="0.2"/>
    <row r="65137" s="689" customFormat="1" x14ac:dyDescent="0.2"/>
    <row r="65138" s="689" customFormat="1" x14ac:dyDescent="0.2"/>
    <row r="65139" s="689" customFormat="1" x14ac:dyDescent="0.2"/>
    <row r="65140" s="689" customFormat="1" x14ac:dyDescent="0.2"/>
    <row r="65141" s="689" customFormat="1" x14ac:dyDescent="0.2"/>
    <row r="65142" s="689" customFormat="1" x14ac:dyDescent="0.2"/>
    <row r="65143" s="689" customFormat="1" x14ac:dyDescent="0.2"/>
    <row r="65144" s="689" customFormat="1" x14ac:dyDescent="0.2"/>
    <row r="65145" s="689" customFormat="1" x14ac:dyDescent="0.2"/>
    <row r="65146" s="689" customFormat="1" x14ac:dyDescent="0.2"/>
    <row r="65147" s="689" customFormat="1" x14ac:dyDescent="0.2"/>
    <row r="65148" s="689" customFormat="1" x14ac:dyDescent="0.2"/>
    <row r="65149" s="689" customFormat="1" x14ac:dyDescent="0.2"/>
    <row r="65150" s="689" customFormat="1" x14ac:dyDescent="0.2"/>
    <row r="65151" s="689" customFormat="1" x14ac:dyDescent="0.2"/>
    <row r="65152" s="689" customFormat="1" x14ac:dyDescent="0.2"/>
    <row r="65153" s="689" customFormat="1" x14ac:dyDescent="0.2"/>
    <row r="65154" s="689" customFormat="1" x14ac:dyDescent="0.2"/>
    <row r="65155" s="689" customFormat="1" x14ac:dyDescent="0.2"/>
    <row r="65156" s="689" customFormat="1" x14ac:dyDescent="0.2"/>
    <row r="65157" s="689" customFormat="1" x14ac:dyDescent="0.2"/>
    <row r="65158" s="689" customFormat="1" x14ac:dyDescent="0.2"/>
    <row r="65159" s="689" customFormat="1" x14ac:dyDescent="0.2"/>
    <row r="65160" s="689" customFormat="1" x14ac:dyDescent="0.2"/>
    <row r="65161" s="689" customFormat="1" x14ac:dyDescent="0.2"/>
    <row r="65162" s="689" customFormat="1" x14ac:dyDescent="0.2"/>
    <row r="65163" s="689" customFormat="1" x14ac:dyDescent="0.2"/>
    <row r="65164" s="689" customFormat="1" x14ac:dyDescent="0.2"/>
    <row r="65165" s="689" customFormat="1" x14ac:dyDescent="0.2"/>
    <row r="65166" s="689" customFormat="1" x14ac:dyDescent="0.2"/>
    <row r="65167" s="689" customFormat="1" x14ac:dyDescent="0.2"/>
    <row r="65168" s="689" customFormat="1" x14ac:dyDescent="0.2"/>
    <row r="65169" s="689" customFormat="1" x14ac:dyDescent="0.2"/>
    <row r="65170" s="689" customFormat="1" x14ac:dyDescent="0.2"/>
    <row r="65171" s="689" customFormat="1" x14ac:dyDescent="0.2"/>
    <row r="65172" s="689" customFormat="1" x14ac:dyDescent="0.2"/>
    <row r="65173" s="689" customFormat="1" x14ac:dyDescent="0.2"/>
    <row r="65174" s="689" customFormat="1" x14ac:dyDescent="0.2"/>
    <row r="65175" s="689" customFormat="1" x14ac:dyDescent="0.2"/>
    <row r="65176" s="689" customFormat="1" x14ac:dyDescent="0.2"/>
    <row r="65177" s="689" customFormat="1" x14ac:dyDescent="0.2"/>
    <row r="65178" s="689" customFormat="1" x14ac:dyDescent="0.2"/>
    <row r="65179" s="689" customFormat="1" x14ac:dyDescent="0.2"/>
    <row r="65180" s="689" customFormat="1" x14ac:dyDescent="0.2"/>
    <row r="65181" s="689" customFormat="1" x14ac:dyDescent="0.2"/>
    <row r="65182" s="689" customFormat="1" x14ac:dyDescent="0.2"/>
    <row r="65183" s="689" customFormat="1" x14ac:dyDescent="0.2"/>
    <row r="65184" s="689" customFormat="1" x14ac:dyDescent="0.2"/>
    <row r="65185" s="689" customFormat="1" x14ac:dyDescent="0.2"/>
    <row r="65186" s="689" customFormat="1" x14ac:dyDescent="0.2"/>
    <row r="65187" s="689" customFormat="1" x14ac:dyDescent="0.2"/>
    <row r="65188" s="689" customFormat="1" x14ac:dyDescent="0.2"/>
    <row r="65189" s="689" customFormat="1" x14ac:dyDescent="0.2"/>
    <row r="65190" s="689" customFormat="1" x14ac:dyDescent="0.2"/>
    <row r="65191" s="689" customFormat="1" x14ac:dyDescent="0.2"/>
    <row r="65192" s="689" customFormat="1" x14ac:dyDescent="0.2"/>
    <row r="65193" s="689" customFormat="1" x14ac:dyDescent="0.2"/>
    <row r="65194" s="689" customFormat="1" x14ac:dyDescent="0.2"/>
    <row r="65195" s="689" customFormat="1" x14ac:dyDescent="0.2"/>
    <row r="65196" s="689" customFormat="1" x14ac:dyDescent="0.2"/>
    <row r="65197" s="689" customFormat="1" x14ac:dyDescent="0.2"/>
    <row r="65198" s="689" customFormat="1" x14ac:dyDescent="0.2"/>
    <row r="65199" s="689" customFormat="1" x14ac:dyDescent="0.2"/>
    <row r="65200" s="689" customFormat="1" x14ac:dyDescent="0.2"/>
    <row r="65201" s="689" customFormat="1" x14ac:dyDescent="0.2"/>
    <row r="65202" s="689" customFormat="1" x14ac:dyDescent="0.2"/>
    <row r="65203" s="689" customFormat="1" x14ac:dyDescent="0.2"/>
    <row r="65204" s="689" customFormat="1" x14ac:dyDescent="0.2"/>
    <row r="65205" s="689" customFormat="1" x14ac:dyDescent="0.2"/>
    <row r="65206" s="689" customFormat="1" x14ac:dyDescent="0.2"/>
    <row r="65207" s="689" customFormat="1" x14ac:dyDescent="0.2"/>
    <row r="65208" s="689" customFormat="1" x14ac:dyDescent="0.2"/>
    <row r="65209" s="689" customFormat="1" x14ac:dyDescent="0.2"/>
    <row r="65210" s="689" customFormat="1" x14ac:dyDescent="0.2"/>
    <row r="65211" s="689" customFormat="1" x14ac:dyDescent="0.2"/>
    <row r="65212" s="689" customFormat="1" x14ac:dyDescent="0.2"/>
    <row r="65213" s="689" customFormat="1" x14ac:dyDescent="0.2"/>
    <row r="65214" s="689" customFormat="1" x14ac:dyDescent="0.2"/>
    <row r="65215" s="689" customFormat="1" x14ac:dyDescent="0.2"/>
    <row r="65216" s="689" customFormat="1" x14ac:dyDescent="0.2"/>
    <row r="65217" s="689" customFormat="1" x14ac:dyDescent="0.2"/>
    <row r="65218" s="689" customFormat="1" x14ac:dyDescent="0.2"/>
    <row r="65219" s="689" customFormat="1" x14ac:dyDescent="0.2"/>
    <row r="65220" s="689" customFormat="1" x14ac:dyDescent="0.2"/>
    <row r="65221" s="689" customFormat="1" x14ac:dyDescent="0.2"/>
    <row r="65222" s="689" customFormat="1" x14ac:dyDescent="0.2"/>
    <row r="65223" s="689" customFormat="1" x14ac:dyDescent="0.2"/>
    <row r="65224" s="689" customFormat="1" x14ac:dyDescent="0.2"/>
    <row r="65225" s="689" customFormat="1" x14ac:dyDescent="0.2"/>
    <row r="65226" s="689" customFormat="1" x14ac:dyDescent="0.2"/>
    <row r="65227" s="689" customFormat="1" x14ac:dyDescent="0.2"/>
    <row r="65228" s="689" customFormat="1" x14ac:dyDescent="0.2"/>
    <row r="65229" s="689" customFormat="1" x14ac:dyDescent="0.2"/>
    <row r="65230" s="689" customFormat="1" x14ac:dyDescent="0.2"/>
    <row r="65231" s="689" customFormat="1" x14ac:dyDescent="0.2"/>
    <row r="65232" s="689" customFormat="1" x14ac:dyDescent="0.2"/>
    <row r="65233" s="689" customFormat="1" x14ac:dyDescent="0.2"/>
    <row r="65234" s="689" customFormat="1" x14ac:dyDescent="0.2"/>
    <row r="65235" s="689" customFormat="1" x14ac:dyDescent="0.2"/>
    <row r="65236" s="689" customFormat="1" x14ac:dyDescent="0.2"/>
    <row r="65237" s="689" customFormat="1" x14ac:dyDescent="0.2"/>
    <row r="65238" s="689" customFormat="1" x14ac:dyDescent="0.2"/>
    <row r="65239" s="689" customFormat="1" x14ac:dyDescent="0.2"/>
    <row r="65240" s="689" customFormat="1" x14ac:dyDescent="0.2"/>
    <row r="65241" s="689" customFormat="1" x14ac:dyDescent="0.2"/>
    <row r="65242" s="689" customFormat="1" x14ac:dyDescent="0.2"/>
    <row r="65243" s="689" customFormat="1" x14ac:dyDescent="0.2"/>
    <row r="65244" s="689" customFormat="1" x14ac:dyDescent="0.2"/>
    <row r="65245" s="689" customFormat="1" x14ac:dyDescent="0.2"/>
    <row r="65246" s="689" customFormat="1" x14ac:dyDescent="0.2"/>
    <row r="65247" s="689" customFormat="1" x14ac:dyDescent="0.2"/>
    <row r="65248" s="689" customFormat="1" x14ac:dyDescent="0.2"/>
    <row r="65249" s="689" customFormat="1" x14ac:dyDescent="0.2"/>
    <row r="65250" s="689" customFormat="1" x14ac:dyDescent="0.2"/>
    <row r="65251" s="689" customFormat="1" x14ac:dyDescent="0.2"/>
    <row r="65252" s="689" customFormat="1" x14ac:dyDescent="0.2"/>
    <row r="65253" s="689" customFormat="1" x14ac:dyDescent="0.2"/>
    <row r="65254" s="689" customFormat="1" x14ac:dyDescent="0.2"/>
    <row r="65255" s="689" customFormat="1" x14ac:dyDescent="0.2"/>
    <row r="65256" s="689" customFormat="1" x14ac:dyDescent="0.2"/>
    <row r="65257" s="689" customFormat="1" x14ac:dyDescent="0.2"/>
    <row r="65258" s="689" customFormat="1" x14ac:dyDescent="0.2"/>
    <row r="65259" s="689" customFormat="1" x14ac:dyDescent="0.2"/>
    <row r="65260" s="689" customFormat="1" x14ac:dyDescent="0.2"/>
    <row r="65261" s="689" customFormat="1" x14ac:dyDescent="0.2"/>
    <row r="65262" s="689" customFormat="1" x14ac:dyDescent="0.2"/>
    <row r="65263" s="689" customFormat="1" x14ac:dyDescent="0.2"/>
    <row r="65264" s="689" customFormat="1" x14ac:dyDescent="0.2"/>
    <row r="65265" s="689" customFormat="1" x14ac:dyDescent="0.2"/>
    <row r="65266" s="689" customFormat="1" x14ac:dyDescent="0.2"/>
    <row r="65267" s="689" customFormat="1" x14ac:dyDescent="0.2"/>
    <row r="65268" s="689" customFormat="1" x14ac:dyDescent="0.2"/>
    <row r="65269" s="689" customFormat="1" x14ac:dyDescent="0.2"/>
    <row r="65270" s="689" customFormat="1" x14ac:dyDescent="0.2"/>
    <row r="65271" s="689" customFormat="1" x14ac:dyDescent="0.2"/>
    <row r="65272" s="689" customFormat="1" x14ac:dyDescent="0.2"/>
    <row r="65273" s="689" customFormat="1" x14ac:dyDescent="0.2"/>
    <row r="65274" s="689" customFormat="1" x14ac:dyDescent="0.2"/>
    <row r="65275" s="689" customFormat="1" x14ac:dyDescent="0.2"/>
    <row r="65276" s="689" customFormat="1" x14ac:dyDescent="0.2"/>
    <row r="65277" s="689" customFormat="1" x14ac:dyDescent="0.2"/>
    <row r="65278" s="689" customFormat="1" x14ac:dyDescent="0.2"/>
    <row r="65279" s="689" customFormat="1" x14ac:dyDescent="0.2"/>
    <row r="65280" s="689" customFormat="1" x14ac:dyDescent="0.2"/>
    <row r="65281" s="689" customFormat="1" x14ac:dyDescent="0.2"/>
    <row r="65282" s="689" customFormat="1" x14ac:dyDescent="0.2"/>
    <row r="65283" s="689" customFormat="1" x14ac:dyDescent="0.2"/>
    <row r="65284" s="689" customFormat="1" x14ac:dyDescent="0.2"/>
    <row r="65285" s="689" customFormat="1" x14ac:dyDescent="0.2"/>
    <row r="65286" s="689" customFormat="1" x14ac:dyDescent="0.2"/>
    <row r="65287" s="689" customFormat="1" x14ac:dyDescent="0.2"/>
    <row r="65288" s="689" customFormat="1" x14ac:dyDescent="0.2"/>
    <row r="65289" s="689" customFormat="1" x14ac:dyDescent="0.2"/>
    <row r="65290" s="689" customFormat="1" x14ac:dyDescent="0.2"/>
    <row r="65291" s="689" customFormat="1" x14ac:dyDescent="0.2"/>
    <row r="65292" s="689" customFormat="1" x14ac:dyDescent="0.2"/>
    <row r="65293" s="689" customFormat="1" x14ac:dyDescent="0.2"/>
    <row r="65294" s="689" customFormat="1" x14ac:dyDescent="0.2"/>
    <row r="65295" s="689" customFormat="1" x14ac:dyDescent="0.2"/>
    <row r="65296" s="689" customFormat="1" x14ac:dyDescent="0.2"/>
    <row r="65297" s="689" customFormat="1" x14ac:dyDescent="0.2"/>
    <row r="65298" s="689" customFormat="1" x14ac:dyDescent="0.2"/>
    <row r="65299" s="689" customFormat="1" x14ac:dyDescent="0.2"/>
    <row r="65300" s="689" customFormat="1" x14ac:dyDescent="0.2"/>
    <row r="65301" s="689" customFormat="1" x14ac:dyDescent="0.2"/>
    <row r="65302" s="689" customFormat="1" x14ac:dyDescent="0.2"/>
    <row r="65303" s="689" customFormat="1" x14ac:dyDescent="0.2"/>
    <row r="65304" s="689" customFormat="1" x14ac:dyDescent="0.2"/>
    <row r="65305" s="689" customFormat="1" x14ac:dyDescent="0.2"/>
    <row r="65306" s="689" customFormat="1" x14ac:dyDescent="0.2"/>
    <row r="65307" s="689" customFormat="1" x14ac:dyDescent="0.2"/>
    <row r="65308" s="689" customFormat="1" x14ac:dyDescent="0.2"/>
    <row r="65309" s="689" customFormat="1" x14ac:dyDescent="0.2"/>
    <row r="65310" s="689" customFormat="1" x14ac:dyDescent="0.2"/>
    <row r="65311" s="689" customFormat="1" x14ac:dyDescent="0.2"/>
    <row r="65312" s="689" customFormat="1" x14ac:dyDescent="0.2"/>
    <row r="65313" s="689" customFormat="1" x14ac:dyDescent="0.2"/>
    <row r="65314" s="689" customFormat="1" x14ac:dyDescent="0.2"/>
    <row r="65315" s="689" customFormat="1" x14ac:dyDescent="0.2"/>
    <row r="65316" s="689" customFormat="1" x14ac:dyDescent="0.2"/>
    <row r="65317" s="689" customFormat="1" x14ac:dyDescent="0.2"/>
    <row r="65318" s="689" customFormat="1" x14ac:dyDescent="0.2"/>
    <row r="65319" s="689" customFormat="1" x14ac:dyDescent="0.2"/>
    <row r="65320" s="689" customFormat="1" x14ac:dyDescent="0.2"/>
    <row r="65321" s="689" customFormat="1" x14ac:dyDescent="0.2"/>
    <row r="65322" s="689" customFormat="1" x14ac:dyDescent="0.2"/>
    <row r="65323" s="689" customFormat="1" x14ac:dyDescent="0.2"/>
    <row r="65324" s="689" customFormat="1" x14ac:dyDescent="0.2"/>
    <row r="65325" s="689" customFormat="1" x14ac:dyDescent="0.2"/>
    <row r="65326" s="689" customFormat="1" x14ac:dyDescent="0.2"/>
    <row r="65327" s="689" customFormat="1" x14ac:dyDescent="0.2"/>
    <row r="65328" s="689" customFormat="1" x14ac:dyDescent="0.2"/>
    <row r="65329" s="689" customFormat="1" x14ac:dyDescent="0.2"/>
    <row r="65330" s="689" customFormat="1" x14ac:dyDescent="0.2"/>
    <row r="65331" s="689" customFormat="1" x14ac:dyDescent="0.2"/>
    <row r="65332" s="689" customFormat="1" x14ac:dyDescent="0.2"/>
    <row r="65333" s="689" customFormat="1" x14ac:dyDescent="0.2"/>
    <row r="65334" s="689" customFormat="1" x14ac:dyDescent="0.2"/>
    <row r="65335" s="689" customFormat="1" x14ac:dyDescent="0.2"/>
    <row r="65336" s="689" customFormat="1" x14ac:dyDescent="0.2"/>
    <row r="65337" s="689" customFormat="1" x14ac:dyDescent="0.2"/>
    <row r="65338" s="689" customFormat="1" x14ac:dyDescent="0.2"/>
    <row r="65339" s="689" customFormat="1" x14ac:dyDescent="0.2"/>
    <row r="65340" s="689" customFormat="1" x14ac:dyDescent="0.2"/>
    <row r="65341" s="689" customFormat="1" x14ac:dyDescent="0.2"/>
    <row r="65342" s="689" customFormat="1" x14ac:dyDescent="0.2"/>
    <row r="65343" s="689" customFormat="1" x14ac:dyDescent="0.2"/>
    <row r="65344" s="689" customFormat="1" x14ac:dyDescent="0.2"/>
    <row r="65345" s="689" customFormat="1" x14ac:dyDescent="0.2"/>
    <row r="65346" s="689" customFormat="1" x14ac:dyDescent="0.2"/>
    <row r="65347" s="689" customFormat="1" x14ac:dyDescent="0.2"/>
    <row r="65348" s="689" customFormat="1" x14ac:dyDescent="0.2"/>
    <row r="65349" s="689" customFormat="1" x14ac:dyDescent="0.2"/>
    <row r="65350" s="689" customFormat="1" x14ac:dyDescent="0.2"/>
    <row r="65351" s="689" customFormat="1" x14ac:dyDescent="0.2"/>
    <row r="65352" s="689" customFormat="1" x14ac:dyDescent="0.2"/>
    <row r="65353" s="689" customFormat="1" x14ac:dyDescent="0.2"/>
    <row r="65354" s="689" customFormat="1" x14ac:dyDescent="0.2"/>
    <row r="65355" s="689" customFormat="1" x14ac:dyDescent="0.2"/>
    <row r="65356" s="689" customFormat="1" x14ac:dyDescent="0.2"/>
    <row r="65357" s="689" customFormat="1" x14ac:dyDescent="0.2"/>
    <row r="65358" s="689" customFormat="1" x14ac:dyDescent="0.2"/>
    <row r="65359" s="689" customFormat="1" x14ac:dyDescent="0.2"/>
    <row r="65360" s="689" customFormat="1" x14ac:dyDescent="0.2"/>
    <row r="65361" s="689" customFormat="1" x14ac:dyDescent="0.2"/>
    <row r="65362" s="689" customFormat="1" x14ac:dyDescent="0.2"/>
    <row r="65363" s="689" customFormat="1" x14ac:dyDescent="0.2"/>
    <row r="65364" s="689" customFormat="1" x14ac:dyDescent="0.2"/>
    <row r="65365" s="689" customFormat="1" x14ac:dyDescent="0.2"/>
    <row r="65366" s="689" customFormat="1" x14ac:dyDescent="0.2"/>
    <row r="65367" s="689" customFormat="1" x14ac:dyDescent="0.2"/>
    <row r="65368" s="689" customFormat="1" x14ac:dyDescent="0.2"/>
    <row r="65369" s="689" customFormat="1" x14ac:dyDescent="0.2"/>
    <row r="65370" s="689" customFormat="1" x14ac:dyDescent="0.2"/>
    <row r="65371" s="689" customFormat="1" x14ac:dyDescent="0.2"/>
    <row r="65372" s="689" customFormat="1" x14ac:dyDescent="0.2"/>
    <row r="65373" s="689" customFormat="1" x14ac:dyDescent="0.2"/>
    <row r="65374" s="689" customFormat="1" x14ac:dyDescent="0.2"/>
    <row r="65375" s="689" customFormat="1" x14ac:dyDescent="0.2"/>
    <row r="65376" s="689" customFormat="1" x14ac:dyDescent="0.2"/>
    <row r="65377" s="689" customFormat="1" x14ac:dyDescent="0.2"/>
    <row r="65378" s="689" customFormat="1" x14ac:dyDescent="0.2"/>
    <row r="65379" s="689" customFormat="1" x14ac:dyDescent="0.2"/>
    <row r="65380" s="689" customFormat="1" x14ac:dyDescent="0.2"/>
    <row r="65381" s="689" customFormat="1" x14ac:dyDescent="0.2"/>
    <row r="65382" s="689" customFormat="1" x14ac:dyDescent="0.2"/>
    <row r="65383" s="689" customFormat="1" x14ac:dyDescent="0.2"/>
    <row r="65384" s="689" customFormat="1" x14ac:dyDescent="0.2"/>
    <row r="65385" s="689" customFormat="1" x14ac:dyDescent="0.2"/>
    <row r="65386" s="689" customFormat="1" x14ac:dyDescent="0.2"/>
    <row r="65387" s="689" customFormat="1" x14ac:dyDescent="0.2"/>
    <row r="65388" s="689" customFormat="1" x14ac:dyDescent="0.2"/>
    <row r="65389" s="689" customFormat="1" x14ac:dyDescent="0.2"/>
    <row r="65390" s="689" customFormat="1" x14ac:dyDescent="0.2"/>
    <row r="65391" s="689" customFormat="1" x14ac:dyDescent="0.2"/>
    <row r="65392" s="689" customFormat="1" x14ac:dyDescent="0.2"/>
    <row r="65393" s="689" customFormat="1" x14ac:dyDescent="0.2"/>
    <row r="65394" s="689" customFormat="1" x14ac:dyDescent="0.2"/>
    <row r="65395" s="689" customFormat="1" x14ac:dyDescent="0.2"/>
    <row r="65396" s="689" customFormat="1" x14ac:dyDescent="0.2"/>
    <row r="65397" s="689" customFormat="1" x14ac:dyDescent="0.2"/>
    <row r="65398" s="689" customFormat="1" x14ac:dyDescent="0.2"/>
    <row r="65399" s="689" customFormat="1" x14ac:dyDescent="0.2"/>
    <row r="65400" s="689" customFormat="1" x14ac:dyDescent="0.2"/>
    <row r="65401" s="689" customFormat="1" x14ac:dyDescent="0.2"/>
    <row r="65402" s="689" customFormat="1" x14ac:dyDescent="0.2"/>
    <row r="65403" s="689" customFormat="1" x14ac:dyDescent="0.2"/>
    <row r="65404" s="689" customFormat="1" x14ac:dyDescent="0.2"/>
    <row r="65405" s="689" customFormat="1" x14ac:dyDescent="0.2"/>
    <row r="65406" s="689" customFormat="1" x14ac:dyDescent="0.2"/>
    <row r="65407" s="689" customFormat="1" x14ac:dyDescent="0.2"/>
    <row r="65408" s="689" customFormat="1" x14ac:dyDescent="0.2"/>
    <row r="65409" s="689" customFormat="1" x14ac:dyDescent="0.2"/>
    <row r="65410" s="689" customFormat="1" x14ac:dyDescent="0.2"/>
    <row r="65411" s="689" customFormat="1" x14ac:dyDescent="0.2"/>
    <row r="65412" s="689" customFormat="1" x14ac:dyDescent="0.2"/>
    <row r="65413" s="689" customFormat="1" x14ac:dyDescent="0.2"/>
    <row r="65414" s="689" customFormat="1" x14ac:dyDescent="0.2"/>
    <row r="65415" s="689" customFormat="1" x14ac:dyDescent="0.2"/>
    <row r="65416" s="689" customFormat="1" x14ac:dyDescent="0.2"/>
    <row r="65417" s="689" customFormat="1" x14ac:dyDescent="0.2"/>
    <row r="65418" s="689" customFormat="1" x14ac:dyDescent="0.2"/>
    <row r="65419" s="689" customFormat="1" x14ac:dyDescent="0.2"/>
    <row r="65420" s="689" customFormat="1" x14ac:dyDescent="0.2"/>
    <row r="65421" s="689" customFormat="1" x14ac:dyDescent="0.2"/>
    <row r="65422" s="689" customFormat="1" x14ac:dyDescent="0.2"/>
    <row r="65423" s="689" customFormat="1" x14ac:dyDescent="0.2"/>
    <row r="65424" s="689" customFormat="1" x14ac:dyDescent="0.2"/>
    <row r="65425" s="689" customFormat="1" x14ac:dyDescent="0.2"/>
    <row r="65426" s="689" customFormat="1" x14ac:dyDescent="0.2"/>
    <row r="65427" s="689" customFormat="1" x14ac:dyDescent="0.2"/>
    <row r="65428" s="689" customFormat="1" x14ac:dyDescent="0.2"/>
    <row r="65429" s="689" customFormat="1" x14ac:dyDescent="0.2"/>
    <row r="65430" s="689" customFormat="1" x14ac:dyDescent="0.2"/>
    <row r="65431" s="689" customFormat="1" x14ac:dyDescent="0.2"/>
    <row r="65432" s="689" customFormat="1" x14ac:dyDescent="0.2"/>
    <row r="65433" s="689" customFormat="1" x14ac:dyDescent="0.2"/>
    <row r="65434" s="689" customFormat="1" x14ac:dyDescent="0.2"/>
    <row r="65435" s="689" customFormat="1" x14ac:dyDescent="0.2"/>
    <row r="65436" s="689" customFormat="1" x14ac:dyDescent="0.2"/>
    <row r="65437" s="689" customFormat="1" x14ac:dyDescent="0.2"/>
    <row r="65438" s="689" customFormat="1" x14ac:dyDescent="0.2"/>
    <row r="65439" s="689" customFormat="1" x14ac:dyDescent="0.2"/>
    <row r="65440" s="689" customFormat="1" x14ac:dyDescent="0.2"/>
    <row r="65441" s="689" customFormat="1" x14ac:dyDescent="0.2"/>
    <row r="65442" s="689" customFormat="1" x14ac:dyDescent="0.2"/>
    <row r="65443" s="689" customFormat="1" x14ac:dyDescent="0.2"/>
    <row r="65444" s="689" customFormat="1" x14ac:dyDescent="0.2"/>
    <row r="65445" s="689" customFormat="1" x14ac:dyDescent="0.2"/>
    <row r="65446" s="689" customFormat="1" x14ac:dyDescent="0.2"/>
    <row r="65447" s="689" customFormat="1" x14ac:dyDescent="0.2"/>
    <row r="65448" s="689" customFormat="1" x14ac:dyDescent="0.2"/>
    <row r="65449" s="689" customFormat="1" x14ac:dyDescent="0.2"/>
    <row r="65450" s="689" customFormat="1" x14ac:dyDescent="0.2"/>
    <row r="65451" s="689" customFormat="1" x14ac:dyDescent="0.2"/>
    <row r="65452" s="689" customFormat="1" x14ac:dyDescent="0.2"/>
    <row r="65453" s="689" customFormat="1" x14ac:dyDescent="0.2"/>
    <row r="65454" s="689" customFormat="1" x14ac:dyDescent="0.2"/>
    <row r="65455" s="689" customFormat="1" x14ac:dyDescent="0.2"/>
    <row r="65456" s="689" customFormat="1" x14ac:dyDescent="0.2"/>
    <row r="65457" s="689" customFormat="1" x14ac:dyDescent="0.2"/>
    <row r="65458" s="689" customFormat="1" x14ac:dyDescent="0.2"/>
    <row r="65459" s="689" customFormat="1" x14ac:dyDescent="0.2"/>
    <row r="65460" s="689" customFormat="1" x14ac:dyDescent="0.2"/>
    <row r="65461" s="689" customFormat="1" x14ac:dyDescent="0.2"/>
    <row r="65462" s="689" customFormat="1" x14ac:dyDescent="0.2"/>
    <row r="65463" s="689" customFormat="1" x14ac:dyDescent="0.2"/>
    <row r="65464" s="689" customFormat="1" x14ac:dyDescent="0.2"/>
    <row r="65465" s="689" customFormat="1" x14ac:dyDescent="0.2"/>
    <row r="65466" s="689" customFormat="1" x14ac:dyDescent="0.2"/>
    <row r="65467" s="689" customFormat="1" x14ac:dyDescent="0.2"/>
    <row r="65468" s="689" customFormat="1" x14ac:dyDescent="0.2"/>
    <row r="65469" s="689" customFormat="1" x14ac:dyDescent="0.2"/>
    <row r="65470" s="689" customFormat="1" x14ac:dyDescent="0.2"/>
    <row r="65471" s="689" customFormat="1" x14ac:dyDescent="0.2"/>
    <row r="65472" s="689" customFormat="1" x14ac:dyDescent="0.2"/>
    <row r="65473" s="689" customFormat="1" x14ac:dyDescent="0.2"/>
    <row r="65474" s="689" customFormat="1" x14ac:dyDescent="0.2"/>
    <row r="65475" s="689" customFormat="1" x14ac:dyDescent="0.2"/>
    <row r="65476" s="689" customFormat="1" x14ac:dyDescent="0.2"/>
    <row r="65477" s="689" customFormat="1" x14ac:dyDescent="0.2"/>
    <row r="65478" s="689" customFormat="1" x14ac:dyDescent="0.2"/>
    <row r="65479" s="689" customFormat="1" x14ac:dyDescent="0.2"/>
    <row r="65480" s="689" customFormat="1" x14ac:dyDescent="0.2"/>
    <row r="65481" s="689" customFormat="1" x14ac:dyDescent="0.2"/>
    <row r="65482" s="689" customFormat="1" x14ac:dyDescent="0.2"/>
    <row r="65483" s="689" customFormat="1" x14ac:dyDescent="0.2"/>
    <row r="65484" s="689" customFormat="1" x14ac:dyDescent="0.2"/>
    <row r="65485" s="689" customFormat="1" x14ac:dyDescent="0.2"/>
    <row r="65486" s="689" customFormat="1" x14ac:dyDescent="0.2"/>
    <row r="65487" s="689" customFormat="1" x14ac:dyDescent="0.2"/>
    <row r="65488" s="689" customFormat="1" x14ac:dyDescent="0.2"/>
    <row r="65489" s="689" customFormat="1" x14ac:dyDescent="0.2"/>
    <row r="65490" s="689" customFormat="1" x14ac:dyDescent="0.2"/>
    <row r="65491" s="689" customFormat="1" x14ac:dyDescent="0.2"/>
    <row r="65492" s="689" customFormat="1" x14ac:dyDescent="0.2"/>
    <row r="65493" s="689" customFormat="1" x14ac:dyDescent="0.2"/>
    <row r="65494" s="689" customFormat="1" x14ac:dyDescent="0.2"/>
    <row r="65495" s="689" customFormat="1" x14ac:dyDescent="0.2"/>
    <row r="65496" s="689" customFormat="1" x14ac:dyDescent="0.2"/>
    <row r="65497" s="689" customFormat="1" x14ac:dyDescent="0.2"/>
    <row r="65498" s="689" customFormat="1" x14ac:dyDescent="0.2"/>
    <row r="65499" s="689" customFormat="1" x14ac:dyDescent="0.2"/>
    <row r="65500" s="689" customFormat="1" x14ac:dyDescent="0.2"/>
    <row r="65501" s="689" customFormat="1" x14ac:dyDescent="0.2"/>
    <row r="65502" s="689" customFormat="1" x14ac:dyDescent="0.2"/>
    <row r="65503" s="689" customFormat="1" x14ac:dyDescent="0.2"/>
    <row r="65504" s="689" customFormat="1" x14ac:dyDescent="0.2"/>
    <row r="65505" s="689" customFormat="1" x14ac:dyDescent="0.2"/>
    <row r="65506" s="689" customFormat="1" x14ac:dyDescent="0.2"/>
    <row r="65507" s="689" customFormat="1" x14ac:dyDescent="0.2"/>
    <row r="65508" s="689" customFormat="1" x14ac:dyDescent="0.2"/>
    <row r="65509" s="689" customFormat="1" x14ac:dyDescent="0.2"/>
    <row r="65510" s="689" customFormat="1" x14ac:dyDescent="0.2"/>
    <row r="65511" s="689" customFormat="1" x14ac:dyDescent="0.2"/>
    <row r="65512" s="689" customFormat="1" x14ac:dyDescent="0.2"/>
    <row r="65513" s="689" customFormat="1" x14ac:dyDescent="0.2"/>
    <row r="65514" s="689" customFormat="1" x14ac:dyDescent="0.2"/>
    <row r="65515" s="689" customFormat="1" x14ac:dyDescent="0.2"/>
    <row r="65516" s="689" customFormat="1" x14ac:dyDescent="0.2"/>
    <row r="65517" s="689" customFormat="1" x14ac:dyDescent="0.2"/>
    <row r="65518" s="689" customFormat="1" x14ac:dyDescent="0.2"/>
    <row r="65519" s="689" customFormat="1" x14ac:dyDescent="0.2"/>
    <row r="65520" s="689" customFormat="1" x14ac:dyDescent="0.2"/>
    <row r="65521" s="689" customFormat="1" x14ac:dyDescent="0.2"/>
    <row r="65522" s="689" customFormat="1" x14ac:dyDescent="0.2"/>
    <row r="65523" s="689" customFormat="1" x14ac:dyDescent="0.2"/>
    <row r="65524" s="689" customFormat="1" x14ac:dyDescent="0.2"/>
    <row r="65525" s="689" customFormat="1" x14ac:dyDescent="0.2"/>
    <row r="65526" s="689" customFormat="1" x14ac:dyDescent="0.2"/>
    <row r="65527" s="689" customFormat="1" x14ac:dyDescent="0.2"/>
    <row r="65528" s="689" customFormat="1" x14ac:dyDescent="0.2"/>
    <row r="65529" s="689" customFormat="1" x14ac:dyDescent="0.2"/>
    <row r="65530" s="689" customFormat="1" x14ac:dyDescent="0.2"/>
    <row r="65531" s="689" customFormat="1" x14ac:dyDescent="0.2"/>
    <row r="65532" s="689" customFormat="1" x14ac:dyDescent="0.2"/>
    <row r="65533" s="689" customFormat="1" x14ac:dyDescent="0.2"/>
    <row r="65534" s="689" customFormat="1" x14ac:dyDescent="0.2"/>
    <row r="65535" s="689" customFormat="1" x14ac:dyDescent="0.2"/>
    <row r="65536" s="689" customFormat="1" x14ac:dyDescent="0.2"/>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DR65"/>
  <sheetViews>
    <sheetView showGridLines="0" zoomScale="85" zoomScaleNormal="85" workbookViewId="0"/>
  </sheetViews>
  <sheetFormatPr defaultRowHeight="12.75" x14ac:dyDescent="0.2"/>
  <cols>
    <col min="1" max="2" width="2.83203125" customWidth="1"/>
    <col min="3" max="3" width="45.83203125" customWidth="1"/>
    <col min="4" max="4" width="2.83203125" customWidth="1"/>
    <col min="5" max="10" width="9.33203125" customWidth="1"/>
    <col min="11" max="12" width="2.83203125" customWidth="1"/>
    <col min="13" max="13" width="45.83203125" customWidth="1"/>
    <col min="14" max="14" width="2.83203125" customWidth="1"/>
    <col min="15" max="16" width="9.33203125" hidden="1" customWidth="1"/>
    <col min="17" max="22" width="9.33203125" customWidth="1"/>
    <col min="24" max="24" width="9.33203125" customWidth="1"/>
    <col min="25" max="25" width="9.33203125" bestFit="1" customWidth="1"/>
    <col min="28" max="29" width="10.33203125" bestFit="1" customWidth="1"/>
    <col min="30" max="31" width="9.33203125" bestFit="1" customWidth="1"/>
  </cols>
  <sheetData>
    <row r="1" spans="1:122" ht="15" customHeight="1" x14ac:dyDescent="0.25">
      <c r="A1" s="692"/>
      <c r="B1" s="692"/>
      <c r="C1" s="692"/>
      <c r="D1" s="692"/>
      <c r="E1" s="693"/>
      <c r="F1" s="693"/>
      <c r="G1" s="693"/>
      <c r="H1" s="693"/>
      <c r="I1" s="693"/>
      <c r="J1" s="693"/>
      <c r="K1" s="692"/>
      <c r="L1" s="692"/>
      <c r="M1" s="692"/>
      <c r="N1" s="692"/>
      <c r="O1" s="693"/>
      <c r="P1" s="693"/>
      <c r="Q1" s="693"/>
      <c r="R1" s="693"/>
      <c r="S1" s="693"/>
      <c r="T1" s="693"/>
      <c r="U1" s="693"/>
      <c r="V1" s="694"/>
      <c r="W1" s="693"/>
      <c r="X1" s="693"/>
      <c r="Y1" s="693"/>
      <c r="Z1" s="693"/>
      <c r="AA1" s="693"/>
      <c r="AB1" s="693"/>
      <c r="AC1" s="693"/>
      <c r="AD1" s="693"/>
      <c r="AE1" s="693"/>
      <c r="AF1" s="693"/>
      <c r="AG1" s="693"/>
      <c r="AH1" s="693"/>
      <c r="AI1" s="693"/>
      <c r="AJ1" s="693"/>
      <c r="AK1" s="693"/>
      <c r="AL1" s="693"/>
      <c r="AM1" s="693"/>
      <c r="AN1" s="693"/>
      <c r="AO1" s="693"/>
      <c r="AP1" s="693"/>
      <c r="AQ1" s="693"/>
      <c r="AR1" s="693"/>
      <c r="AS1" s="693"/>
      <c r="AT1" s="693"/>
      <c r="AU1" s="693"/>
      <c r="AV1" s="693"/>
      <c r="AW1" s="693"/>
      <c r="AX1" s="693"/>
      <c r="AY1" s="693"/>
      <c r="AZ1" s="693"/>
      <c r="BA1" s="693"/>
      <c r="BB1" s="693"/>
      <c r="BC1" s="693"/>
      <c r="BD1" s="693"/>
      <c r="BE1" s="693"/>
      <c r="BF1" s="693"/>
      <c r="BG1" s="693"/>
      <c r="BH1" s="693"/>
      <c r="BI1" s="693"/>
      <c r="BJ1" s="693"/>
      <c r="BK1" s="693"/>
      <c r="BL1" s="693"/>
      <c r="BM1" s="693"/>
      <c r="BN1" s="693"/>
      <c r="BO1" s="693"/>
      <c r="BP1" s="695"/>
      <c r="BQ1" s="695"/>
      <c r="BR1" s="695"/>
      <c r="BS1" s="695"/>
      <c r="BT1" s="695"/>
      <c r="BU1" s="695"/>
      <c r="BV1" s="695"/>
      <c r="BW1" s="695"/>
      <c r="BX1" s="695"/>
      <c r="BY1" s="695"/>
      <c r="BZ1" s="695"/>
      <c r="CA1" s="695"/>
      <c r="CB1" s="695"/>
      <c r="CC1" s="695"/>
      <c r="CD1" s="695"/>
      <c r="CE1" s="695"/>
      <c r="CF1" s="695"/>
      <c r="CG1" s="695"/>
      <c r="CH1" s="695"/>
      <c r="CI1" s="695"/>
      <c r="CJ1" s="695"/>
      <c r="CK1" s="695"/>
      <c r="CL1" s="695"/>
      <c r="CM1" s="695"/>
      <c r="CN1" s="695"/>
      <c r="CO1" s="695"/>
      <c r="CP1" s="695"/>
      <c r="CQ1" s="695"/>
      <c r="CR1" s="695"/>
      <c r="CS1" s="695"/>
      <c r="CT1" s="695"/>
      <c r="CU1" s="695"/>
      <c r="CV1" s="695"/>
      <c r="CW1" s="695"/>
      <c r="CX1" s="695"/>
      <c r="CY1" s="695"/>
      <c r="CZ1" s="695"/>
      <c r="DA1" s="695"/>
      <c r="DB1" s="695"/>
      <c r="DC1" s="695"/>
      <c r="DD1" s="695"/>
      <c r="DE1" s="695"/>
      <c r="DF1" s="695"/>
      <c r="DG1" s="695"/>
      <c r="DH1" s="695"/>
      <c r="DI1" s="695"/>
      <c r="DJ1" s="695"/>
      <c r="DK1" s="695"/>
      <c r="DL1" s="695"/>
      <c r="DM1" s="696"/>
      <c r="DN1" s="696" t="s">
        <v>388</v>
      </c>
      <c r="DO1" s="696" t="s">
        <v>389</v>
      </c>
      <c r="DP1" s="696" t="s">
        <v>427</v>
      </c>
      <c r="DQ1" s="696" t="s">
        <v>428</v>
      </c>
      <c r="DR1" s="696" t="s">
        <v>429</v>
      </c>
    </row>
    <row r="2" spans="1:122" ht="15" customHeight="1" x14ac:dyDescent="0.25">
      <c r="A2" s="692"/>
      <c r="B2" s="692" t="str">
        <f>+Cover!B2</f>
        <v>Delta Air Lines</v>
      </c>
      <c r="C2" s="692"/>
      <c r="D2" s="692"/>
      <c r="E2" s="693"/>
      <c r="F2" s="693"/>
      <c r="G2" s="693"/>
      <c r="H2" s="693"/>
      <c r="I2" s="693"/>
      <c r="J2" s="693"/>
      <c r="K2" s="692"/>
      <c r="L2" s="692"/>
      <c r="M2" s="692"/>
      <c r="N2" s="692"/>
      <c r="O2" s="693"/>
      <c r="P2" s="693"/>
      <c r="Q2" s="693"/>
      <c r="R2" s="693"/>
      <c r="S2" s="693"/>
      <c r="T2" s="693"/>
      <c r="U2" s="693"/>
      <c r="V2" s="694"/>
      <c r="W2" s="693"/>
      <c r="X2" s="693"/>
      <c r="Y2" s="693"/>
      <c r="Z2" s="693"/>
      <c r="AA2" s="693"/>
      <c r="AB2" s="693"/>
      <c r="AC2" s="693"/>
      <c r="AD2" s="693"/>
      <c r="AE2" s="693"/>
      <c r="AF2" s="693"/>
      <c r="AG2" s="693"/>
      <c r="AH2" s="693"/>
      <c r="AI2" s="693"/>
      <c r="AJ2" s="693"/>
      <c r="AK2" s="693"/>
      <c r="AL2" s="693"/>
      <c r="AM2" s="693"/>
      <c r="AN2" s="693"/>
      <c r="AO2" s="693"/>
      <c r="AP2" s="693"/>
      <c r="AQ2" s="693"/>
      <c r="AR2" s="693"/>
      <c r="AS2" s="693"/>
      <c r="AT2" s="693"/>
      <c r="AU2" s="693"/>
      <c r="AV2" s="693"/>
      <c r="AW2" s="693"/>
      <c r="AX2" s="693"/>
      <c r="AY2" s="693"/>
      <c r="AZ2" s="693"/>
      <c r="BA2" s="693"/>
      <c r="BB2" s="693"/>
      <c r="BC2" s="693"/>
      <c r="BD2" s="693"/>
      <c r="BE2" s="693"/>
      <c r="BF2" s="693"/>
      <c r="BG2" s="693"/>
      <c r="BH2" s="693"/>
      <c r="BI2" s="693"/>
      <c r="BJ2" s="693"/>
      <c r="BK2" s="693"/>
      <c r="BL2" s="693"/>
      <c r="BM2" s="693"/>
      <c r="BN2" s="693"/>
      <c r="BO2" s="693"/>
      <c r="BP2" s="695"/>
      <c r="BQ2" s="695"/>
      <c r="BR2" s="695"/>
      <c r="BS2" s="695"/>
      <c r="BT2" s="695"/>
      <c r="BU2" s="695"/>
      <c r="BV2" s="695"/>
      <c r="BW2" s="695"/>
      <c r="BX2" s="695"/>
      <c r="BY2" s="695"/>
      <c r="BZ2" s="695"/>
      <c r="CA2" s="695"/>
      <c r="CB2" s="695"/>
      <c r="CC2" s="695"/>
      <c r="CD2" s="695"/>
      <c r="CE2" s="695"/>
      <c r="CF2" s="695"/>
      <c r="CG2" s="695"/>
      <c r="CH2" s="695"/>
      <c r="CI2" s="695"/>
      <c r="CJ2" s="695"/>
      <c r="CK2" s="695"/>
      <c r="CL2" s="695"/>
      <c r="CM2" s="695"/>
      <c r="CN2" s="695"/>
      <c r="CO2" s="695"/>
      <c r="CP2" s="695"/>
      <c r="CQ2" s="695"/>
      <c r="CR2" s="695"/>
      <c r="CS2" s="695"/>
      <c r="CT2" s="695"/>
      <c r="CU2" s="695"/>
      <c r="CV2" s="695"/>
      <c r="CW2" s="695"/>
      <c r="CX2" s="695"/>
      <c r="CY2" s="695"/>
      <c r="CZ2" s="695"/>
      <c r="DA2" s="695"/>
      <c r="DB2" s="695"/>
      <c r="DC2" s="695"/>
      <c r="DD2" s="695"/>
      <c r="DE2" s="695"/>
      <c r="DF2" s="695"/>
      <c r="DG2" s="695"/>
      <c r="DH2" s="695"/>
      <c r="DI2" s="695"/>
      <c r="DJ2" s="695"/>
      <c r="DK2" s="695"/>
      <c r="DL2" s="695"/>
      <c r="DM2" s="695"/>
      <c r="DN2" s="695"/>
      <c r="DO2" s="695"/>
      <c r="DP2" s="695"/>
      <c r="DQ2" s="695"/>
      <c r="DR2" s="695"/>
    </row>
    <row r="3" spans="1:122" ht="15" customHeight="1" x14ac:dyDescent="0.25">
      <c r="A3" s="697"/>
      <c r="B3" s="698" t="s">
        <v>230</v>
      </c>
      <c r="C3" s="698"/>
      <c r="D3" s="697"/>
      <c r="E3" s="693"/>
      <c r="F3" s="693"/>
      <c r="G3" s="693"/>
      <c r="H3" s="693"/>
      <c r="I3" s="693"/>
      <c r="J3" s="693"/>
      <c r="K3" s="697"/>
      <c r="L3" s="698"/>
      <c r="M3" s="698"/>
      <c r="N3" s="697"/>
      <c r="O3" s="693"/>
      <c r="P3" s="693"/>
      <c r="Q3" s="693"/>
      <c r="R3" s="693"/>
      <c r="S3" s="693"/>
      <c r="T3" s="693"/>
      <c r="U3" s="693"/>
      <c r="V3" s="694"/>
      <c r="W3" s="693"/>
      <c r="X3" s="693"/>
      <c r="Y3" s="693"/>
      <c r="Z3" s="693"/>
      <c r="AA3" s="693"/>
      <c r="AB3" s="693"/>
      <c r="AC3" s="693"/>
      <c r="AD3" s="693"/>
      <c r="AE3" s="693"/>
      <c r="AF3" s="693"/>
      <c r="AG3" s="693"/>
      <c r="AH3" s="693"/>
      <c r="AI3" s="693"/>
      <c r="AJ3" s="693"/>
      <c r="AK3" s="693"/>
      <c r="AL3" s="693"/>
      <c r="AM3" s="693"/>
      <c r="AN3" s="693"/>
      <c r="AO3" s="693"/>
      <c r="AP3" s="693"/>
      <c r="AQ3" s="693"/>
      <c r="AR3" s="693"/>
      <c r="AS3" s="693"/>
      <c r="AT3" s="693"/>
      <c r="AU3" s="693"/>
      <c r="AV3" s="693"/>
      <c r="AW3" s="693"/>
      <c r="AX3" s="693"/>
      <c r="AY3" s="693"/>
      <c r="AZ3" s="693"/>
      <c r="BA3" s="693"/>
      <c r="BB3" s="693"/>
      <c r="BC3" s="693"/>
      <c r="BD3" s="693"/>
      <c r="BE3" s="693"/>
      <c r="BF3" s="693"/>
      <c r="BG3" s="693"/>
      <c r="BH3" s="693"/>
      <c r="BI3" s="693"/>
      <c r="BJ3" s="693"/>
      <c r="BK3" s="693"/>
      <c r="BL3" s="693"/>
      <c r="BM3" s="693"/>
      <c r="BN3" s="693"/>
      <c r="BO3" s="693"/>
      <c r="BP3" s="695"/>
      <c r="BQ3" s="695"/>
      <c r="BR3" s="695"/>
      <c r="BS3" s="695"/>
      <c r="BT3" s="695"/>
      <c r="BU3" s="695"/>
      <c r="BV3" s="695"/>
      <c r="BW3" s="695"/>
      <c r="BX3" s="695"/>
      <c r="BY3" s="695"/>
      <c r="BZ3" s="695"/>
      <c r="CA3" s="695"/>
      <c r="CB3" s="695"/>
      <c r="CC3" s="695"/>
      <c r="CD3" s="695"/>
      <c r="CE3" s="695"/>
      <c r="CF3" s="695"/>
      <c r="CG3" s="695"/>
      <c r="CH3" s="695"/>
      <c r="CI3" s="695"/>
      <c r="CJ3" s="695"/>
      <c r="CK3" s="695"/>
      <c r="CL3" s="695"/>
      <c r="CM3" s="695"/>
      <c r="CN3" s="695"/>
      <c r="CO3" s="695"/>
      <c r="CP3" s="695"/>
      <c r="CQ3" s="695"/>
      <c r="CR3" s="695"/>
      <c r="CS3" s="695"/>
      <c r="CT3" s="695"/>
      <c r="CU3" s="695"/>
      <c r="CV3" s="695"/>
      <c r="CW3" s="695"/>
      <c r="CX3" s="695"/>
      <c r="CY3" s="695"/>
      <c r="CZ3" s="695"/>
      <c r="DA3" s="695"/>
      <c r="DB3" s="695"/>
      <c r="DC3" s="695"/>
      <c r="DD3" s="695"/>
      <c r="DE3" s="695"/>
      <c r="DF3" s="695"/>
      <c r="DG3" s="695"/>
      <c r="DH3" s="695"/>
      <c r="DI3" s="695"/>
      <c r="DJ3" s="695"/>
      <c r="DK3" s="695"/>
      <c r="DL3" s="695"/>
      <c r="DM3" s="695"/>
      <c r="DN3" s="695"/>
      <c r="DO3" s="695"/>
      <c r="DP3" s="695"/>
      <c r="DQ3" s="695"/>
      <c r="DR3" s="695"/>
    </row>
    <row r="4" spans="1:122" x14ac:dyDescent="0.2">
      <c r="A4" s="699"/>
      <c r="B4" s="700" t="s">
        <v>453</v>
      </c>
      <c r="C4" s="700"/>
      <c r="D4" s="699"/>
      <c r="E4" s="701"/>
      <c r="F4" s="701"/>
      <c r="G4" s="701"/>
      <c r="H4" s="701"/>
      <c r="I4" s="701"/>
      <c r="J4" s="701"/>
      <c r="K4" s="699"/>
      <c r="L4" s="700"/>
      <c r="M4" s="700"/>
      <c r="N4" s="699"/>
      <c r="O4" s="701"/>
      <c r="P4" s="701"/>
      <c r="Q4" s="701"/>
      <c r="R4" s="701"/>
      <c r="S4" s="701"/>
      <c r="T4" s="701"/>
      <c r="U4" s="701"/>
      <c r="V4" s="702"/>
      <c r="W4" s="701"/>
      <c r="X4" s="701"/>
      <c r="Y4" s="701"/>
      <c r="Z4" s="701"/>
      <c r="AA4" s="701"/>
      <c r="AB4" s="701"/>
      <c r="AC4" s="701"/>
      <c r="AD4" s="701"/>
      <c r="AE4" s="701"/>
      <c r="AF4" s="701"/>
      <c r="AG4" s="701"/>
      <c r="AH4" s="701"/>
      <c r="AI4" s="701"/>
      <c r="AJ4" s="701"/>
      <c r="AK4" s="701"/>
      <c r="AL4" s="701"/>
      <c r="AM4" s="701"/>
      <c r="AN4" s="701"/>
      <c r="AO4" s="701"/>
      <c r="AP4" s="701"/>
      <c r="AQ4" s="701"/>
      <c r="AR4" s="701"/>
      <c r="AS4" s="701"/>
      <c r="AT4" s="701"/>
      <c r="AU4" s="701"/>
      <c r="AV4" s="701"/>
      <c r="AW4" s="701"/>
      <c r="AX4" s="701"/>
      <c r="AY4" s="701"/>
      <c r="AZ4" s="701"/>
      <c r="BA4" s="701"/>
      <c r="BB4" s="701"/>
      <c r="BC4" s="701"/>
      <c r="BD4" s="701"/>
      <c r="BE4" s="701"/>
      <c r="BF4" s="701"/>
      <c r="BG4" s="701"/>
      <c r="BH4" s="701"/>
      <c r="BI4" s="701"/>
      <c r="BJ4" s="701"/>
      <c r="BK4" s="701"/>
      <c r="BL4" s="701"/>
      <c r="BM4" s="701"/>
      <c r="BN4" s="701"/>
      <c r="BO4" s="701"/>
      <c r="BP4" s="695"/>
      <c r="BQ4" s="695"/>
      <c r="BR4" s="695"/>
      <c r="BS4" s="695"/>
      <c r="BT4" s="695"/>
      <c r="BU4" s="695"/>
      <c r="BV4" s="695"/>
      <c r="BW4" s="695"/>
      <c r="BX4" s="695"/>
      <c r="BY4" s="695"/>
      <c r="BZ4" s="695"/>
      <c r="CA4" s="695"/>
      <c r="CB4" s="695"/>
      <c r="CC4" s="695"/>
      <c r="CD4" s="695"/>
      <c r="CE4" s="695"/>
      <c r="CF4" s="695"/>
      <c r="CG4" s="695"/>
      <c r="CH4" s="695"/>
      <c r="CI4" s="695"/>
      <c r="CJ4" s="695"/>
      <c r="CK4" s="695"/>
      <c r="CL4" s="695"/>
      <c r="CM4" s="695"/>
      <c r="CN4" s="695"/>
      <c r="CO4" s="695"/>
      <c r="CP4" s="695"/>
      <c r="CQ4" s="695"/>
      <c r="CR4" s="695"/>
      <c r="CS4" s="695"/>
      <c r="CT4" s="695"/>
      <c r="CU4" s="695"/>
      <c r="CV4" s="695"/>
      <c r="CW4" s="695"/>
      <c r="CX4" s="695"/>
      <c r="CY4" s="695"/>
      <c r="CZ4" s="695"/>
      <c r="DA4" s="695"/>
      <c r="DB4" s="695"/>
      <c r="DC4" s="695"/>
      <c r="DD4" s="695"/>
      <c r="DE4" s="695"/>
      <c r="DF4" s="695"/>
      <c r="DG4" s="695"/>
      <c r="DH4" s="695"/>
      <c r="DI4" s="695"/>
      <c r="DJ4" s="695"/>
      <c r="DK4" s="695"/>
      <c r="DL4" s="695"/>
      <c r="DM4" s="695"/>
      <c r="DN4" s="695"/>
      <c r="DO4" s="695"/>
      <c r="DP4" s="695"/>
      <c r="DQ4" s="695"/>
      <c r="DR4" s="695"/>
    </row>
    <row r="5" spans="1:122" x14ac:dyDescent="0.2">
      <c r="A5" s="703"/>
      <c r="B5" s="703"/>
      <c r="C5" s="703"/>
      <c r="D5" s="703"/>
      <c r="E5" s="703"/>
      <c r="F5" s="703"/>
      <c r="G5" s="703"/>
      <c r="H5" s="703"/>
      <c r="I5" s="703"/>
      <c r="J5" s="703"/>
      <c r="K5" s="703"/>
      <c r="L5" s="703"/>
      <c r="M5" s="703"/>
      <c r="N5" s="703"/>
      <c r="O5" s="703"/>
      <c r="P5" s="703"/>
      <c r="Q5" s="703"/>
      <c r="R5" s="703"/>
      <c r="S5" s="703"/>
      <c r="T5" s="703"/>
      <c r="U5" s="703"/>
      <c r="V5" s="709"/>
      <c r="W5" s="703"/>
      <c r="X5" s="703"/>
      <c r="Y5" s="703"/>
      <c r="Z5" s="703"/>
      <c r="AA5" s="703"/>
      <c r="AB5" s="703"/>
      <c r="AC5" s="703"/>
      <c r="AD5" s="703"/>
      <c r="AE5" s="703"/>
      <c r="AF5" s="703"/>
      <c r="AG5" s="703"/>
      <c r="AH5" s="703"/>
      <c r="AI5" s="703"/>
      <c r="AJ5" s="703"/>
      <c r="AK5" s="703"/>
      <c r="AL5" s="703"/>
      <c r="AM5" s="703"/>
      <c r="AN5" s="703"/>
      <c r="AO5" s="703"/>
      <c r="AP5" s="703"/>
      <c r="AQ5" s="703"/>
      <c r="AR5" s="703"/>
      <c r="AS5" s="703"/>
      <c r="AT5" s="703"/>
      <c r="AU5" s="703"/>
      <c r="AV5" s="703"/>
      <c r="AW5" s="703"/>
      <c r="AX5" s="703"/>
      <c r="AY5" s="703"/>
      <c r="AZ5" s="703"/>
      <c r="BA5" s="703"/>
      <c r="BB5" s="703"/>
      <c r="BC5" s="703"/>
      <c r="BD5" s="703"/>
      <c r="BE5" s="703"/>
      <c r="BF5" s="703"/>
      <c r="BG5" s="703"/>
      <c r="BH5" s="703"/>
      <c r="BI5" s="703"/>
      <c r="BJ5" s="703"/>
      <c r="BK5" s="703"/>
      <c r="BL5" s="703"/>
      <c r="BM5" s="703"/>
      <c r="BN5" s="703"/>
      <c r="BO5" s="703"/>
      <c r="BP5" s="703"/>
      <c r="BQ5" s="703"/>
      <c r="BR5" s="703"/>
      <c r="BS5" s="703"/>
      <c r="BT5" s="703"/>
      <c r="BU5" s="703"/>
      <c r="BV5" s="703"/>
      <c r="BW5" s="703"/>
      <c r="BX5" s="703"/>
      <c r="BY5" s="703"/>
      <c r="BZ5" s="703"/>
      <c r="CA5" s="703"/>
      <c r="CB5" s="703"/>
      <c r="CC5" s="703"/>
      <c r="CD5" s="703"/>
      <c r="CE5" s="703"/>
      <c r="CF5" s="703"/>
      <c r="CG5" s="703"/>
      <c r="CH5" s="703"/>
      <c r="CI5" s="703"/>
      <c r="CJ5" s="703"/>
      <c r="CK5" s="703"/>
      <c r="CL5" s="703"/>
      <c r="CM5" s="703"/>
      <c r="CN5" s="703"/>
      <c r="CO5" s="703"/>
      <c r="CP5" s="703"/>
      <c r="CQ5" s="703"/>
      <c r="CR5" s="703"/>
      <c r="CS5" s="703"/>
      <c r="CT5" s="703"/>
      <c r="CU5" s="703"/>
      <c r="CV5" s="703"/>
      <c r="CW5" s="703"/>
      <c r="CX5" s="703"/>
      <c r="CY5" s="703"/>
      <c r="CZ5" s="703"/>
      <c r="DA5" s="703"/>
      <c r="DB5" s="703"/>
      <c r="DC5" s="703"/>
      <c r="DD5" s="703"/>
      <c r="DE5" s="703"/>
      <c r="DF5" s="703"/>
      <c r="DG5" s="703"/>
      <c r="DH5" s="703"/>
      <c r="DI5" s="703"/>
      <c r="DJ5" s="703"/>
      <c r="DK5" s="703"/>
      <c r="DL5" s="703"/>
      <c r="DM5" s="703"/>
      <c r="DN5" s="703"/>
      <c r="DO5" s="703"/>
      <c r="DP5" s="703"/>
      <c r="DQ5" s="703"/>
      <c r="DR5" s="703"/>
    </row>
    <row r="6" spans="1:122" x14ac:dyDescent="0.2">
      <c r="A6" s="703"/>
      <c r="B6" s="704" t="s">
        <v>454</v>
      </c>
      <c r="C6" s="705"/>
      <c r="D6" s="705"/>
      <c r="E6" s="703"/>
      <c r="F6" s="706" t="s">
        <v>455</v>
      </c>
      <c r="G6" s="706" t="s">
        <v>456</v>
      </c>
      <c r="H6" s="706" t="s">
        <v>457</v>
      </c>
      <c r="I6" s="703"/>
      <c r="J6" s="703"/>
      <c r="K6" s="703"/>
      <c r="L6" s="704" t="s">
        <v>458</v>
      </c>
      <c r="M6" s="705"/>
      <c r="N6" s="705"/>
      <c r="O6" s="707">
        <f>+P6-1</f>
        <v>2013</v>
      </c>
      <c r="P6" s="707">
        <f>+Q6-1</f>
        <v>2014</v>
      </c>
      <c r="Q6" s="707">
        <f>+R6-1</f>
        <v>2015</v>
      </c>
      <c r="R6" s="707">
        <f>+S6-1</f>
        <v>2016</v>
      </c>
      <c r="S6" s="707">
        <f>+T6-1</f>
        <v>2017</v>
      </c>
      <c r="T6" s="767">
        <v>2018</v>
      </c>
      <c r="U6" s="767">
        <v>2019</v>
      </c>
      <c r="V6" s="768">
        <v>2020</v>
      </c>
      <c r="W6" s="703"/>
      <c r="X6" s="703"/>
      <c r="Y6" s="703"/>
      <c r="Z6" s="703"/>
      <c r="AA6" s="703"/>
      <c r="AB6" s="703"/>
      <c r="AC6" s="703"/>
      <c r="AD6" s="703"/>
      <c r="AE6" s="703"/>
      <c r="AF6" s="703"/>
      <c r="AG6" s="703"/>
      <c r="AH6" s="703"/>
      <c r="AI6" s="703"/>
      <c r="AJ6" s="703"/>
      <c r="AK6" s="703"/>
      <c r="AL6" s="703"/>
      <c r="AM6" s="703"/>
      <c r="AN6" s="703"/>
      <c r="AO6" s="703"/>
      <c r="AP6" s="703"/>
      <c r="AQ6" s="703"/>
      <c r="AR6" s="703"/>
      <c r="AS6" s="703"/>
      <c r="AT6" s="703"/>
      <c r="AU6" s="703"/>
      <c r="AV6" s="703"/>
      <c r="AW6" s="703"/>
      <c r="AX6" s="703"/>
      <c r="AY6" s="703"/>
      <c r="AZ6" s="703"/>
      <c r="BA6" s="703"/>
      <c r="BB6" s="703"/>
      <c r="BC6" s="703"/>
      <c r="BD6" s="703"/>
      <c r="BE6" s="703"/>
      <c r="BF6" s="703"/>
      <c r="BG6" s="703"/>
      <c r="BH6" s="703"/>
      <c r="BI6" s="703"/>
      <c r="BJ6" s="703"/>
      <c r="BK6" s="703"/>
      <c r="BL6" s="703"/>
      <c r="BM6" s="703"/>
      <c r="BN6" s="703"/>
      <c r="BO6" s="703"/>
      <c r="BP6" s="703"/>
      <c r="BQ6" s="703"/>
      <c r="BR6" s="703"/>
      <c r="BS6" s="703"/>
      <c r="BT6" s="703"/>
      <c r="BU6" s="703"/>
      <c r="BV6" s="703"/>
      <c r="BW6" s="703"/>
      <c r="BX6" s="703"/>
      <c r="BY6" s="703"/>
      <c r="BZ6" s="703"/>
      <c r="CA6" s="703"/>
      <c r="CB6" s="703"/>
      <c r="CC6" s="703"/>
      <c r="CD6" s="703"/>
      <c r="CE6" s="703"/>
      <c r="CF6" s="703"/>
      <c r="CG6" s="703"/>
      <c r="CH6" s="703"/>
      <c r="CI6" s="703"/>
      <c r="CJ6" s="703"/>
      <c r="CK6" s="703"/>
      <c r="CL6" s="703"/>
      <c r="CM6" s="703"/>
      <c r="CN6" s="703"/>
      <c r="CO6" s="703"/>
      <c r="CP6" s="703"/>
      <c r="CQ6" s="703"/>
      <c r="CR6" s="703"/>
      <c r="CS6" s="703"/>
      <c r="CT6" s="703"/>
      <c r="CU6" s="703"/>
      <c r="CV6" s="703"/>
      <c r="CW6" s="703"/>
      <c r="CX6" s="703"/>
      <c r="CY6" s="703"/>
      <c r="CZ6" s="703"/>
      <c r="DA6" s="703"/>
      <c r="DB6" s="703"/>
      <c r="DC6" s="703"/>
      <c r="DD6" s="703"/>
      <c r="DE6" s="703"/>
      <c r="DF6" s="703"/>
      <c r="DG6" s="703"/>
      <c r="DH6" s="703"/>
      <c r="DI6" s="703"/>
      <c r="DJ6" s="703"/>
      <c r="DK6" s="703"/>
      <c r="DL6" s="703"/>
      <c r="DM6" s="703"/>
      <c r="DN6" s="703"/>
      <c r="DO6" s="703"/>
      <c r="DP6" s="703"/>
      <c r="DQ6" s="703"/>
      <c r="DR6" s="703"/>
    </row>
    <row r="7" spans="1:122" x14ac:dyDescent="0.2">
      <c r="A7" s="703"/>
      <c r="B7" s="703"/>
      <c r="C7" s="703" t="s">
        <v>459</v>
      </c>
      <c r="D7" s="703"/>
      <c r="E7" s="703"/>
      <c r="F7" s="708">
        <v>2019</v>
      </c>
      <c r="G7" s="708">
        <v>2019</v>
      </c>
      <c r="H7" s="708">
        <v>2019</v>
      </c>
      <c r="I7" s="703"/>
      <c r="J7" s="703"/>
      <c r="K7" s="703"/>
      <c r="L7" s="703"/>
      <c r="M7" s="703"/>
      <c r="N7" s="703"/>
      <c r="O7" s="703"/>
      <c r="P7" s="703"/>
      <c r="Q7" s="703"/>
      <c r="R7" s="703"/>
      <c r="S7" s="703"/>
      <c r="T7" s="703"/>
      <c r="U7" s="703"/>
      <c r="V7" s="709"/>
      <c r="W7" s="703"/>
      <c r="X7" s="703"/>
      <c r="Y7" s="703"/>
      <c r="Z7" s="703"/>
      <c r="AA7" s="703"/>
      <c r="AB7" s="703"/>
      <c r="AC7" s="703"/>
      <c r="AD7" s="703"/>
      <c r="AE7" s="703"/>
      <c r="AF7" s="703"/>
      <c r="AG7" s="703"/>
      <c r="AH7" s="703"/>
      <c r="AI7" s="703"/>
      <c r="AJ7" s="703"/>
      <c r="AK7" s="703"/>
      <c r="AL7" s="703"/>
      <c r="AM7" s="703"/>
      <c r="AN7" s="703"/>
      <c r="AO7" s="703"/>
      <c r="AP7" s="703"/>
      <c r="AQ7" s="703"/>
      <c r="AR7" s="703"/>
      <c r="AS7" s="703"/>
      <c r="AT7" s="703"/>
      <c r="AU7" s="703"/>
      <c r="AV7" s="703"/>
      <c r="AW7" s="703"/>
      <c r="AX7" s="703"/>
      <c r="AY7" s="703"/>
      <c r="AZ7" s="703"/>
      <c r="BA7" s="703"/>
      <c r="BB7" s="703"/>
      <c r="BC7" s="703"/>
      <c r="BD7" s="703"/>
      <c r="BE7" s="703"/>
      <c r="BF7" s="703"/>
      <c r="BG7" s="703"/>
      <c r="BH7" s="703"/>
      <c r="BI7" s="703"/>
      <c r="BJ7" s="703"/>
      <c r="BK7" s="703"/>
      <c r="BL7" s="703"/>
      <c r="BM7" s="703"/>
      <c r="BN7" s="703"/>
      <c r="BO7" s="703"/>
      <c r="BP7" s="703"/>
      <c r="BQ7" s="703"/>
      <c r="BR7" s="703"/>
      <c r="BS7" s="703"/>
      <c r="BT7" s="703"/>
      <c r="BU7" s="703"/>
      <c r="BV7" s="703"/>
      <c r="BW7" s="703"/>
      <c r="BX7" s="703"/>
      <c r="BY7" s="703"/>
      <c r="BZ7" s="703"/>
      <c r="CA7" s="703"/>
      <c r="CB7" s="703"/>
      <c r="CC7" s="703"/>
      <c r="CD7" s="703"/>
      <c r="CE7" s="703"/>
      <c r="CF7" s="703"/>
      <c r="CG7" s="703"/>
      <c r="CH7" s="703"/>
      <c r="CI7" s="703"/>
      <c r="CJ7" s="703"/>
      <c r="CK7" s="703"/>
      <c r="CL7" s="703"/>
      <c r="CM7" s="703"/>
      <c r="CN7" s="703"/>
      <c r="CO7" s="703"/>
      <c r="CP7" s="703"/>
      <c r="CQ7" s="703"/>
      <c r="CR7" s="703"/>
      <c r="CS7" s="703"/>
      <c r="CT7" s="703"/>
      <c r="CU7" s="703"/>
      <c r="CV7" s="703"/>
      <c r="CW7" s="703"/>
      <c r="CX7" s="703"/>
      <c r="CY7" s="703"/>
      <c r="CZ7" s="703"/>
      <c r="DA7" s="703"/>
      <c r="DB7" s="703"/>
      <c r="DC7" s="703"/>
      <c r="DD7" s="703"/>
      <c r="DE7" s="703"/>
      <c r="DF7" s="703"/>
      <c r="DG7" s="703"/>
      <c r="DH7" s="703"/>
      <c r="DI7" s="703"/>
      <c r="DJ7" s="703"/>
      <c r="DK7" s="703"/>
      <c r="DL7" s="703"/>
      <c r="DM7" s="703"/>
      <c r="DN7" s="703"/>
      <c r="DO7" s="703"/>
      <c r="DP7" s="703"/>
      <c r="DQ7" s="703"/>
      <c r="DR7" s="703"/>
    </row>
    <row r="8" spans="1:122" x14ac:dyDescent="0.2">
      <c r="A8" s="703"/>
      <c r="B8" s="703"/>
      <c r="C8" s="703"/>
      <c r="D8" s="703"/>
      <c r="E8" s="703"/>
      <c r="F8" s="708"/>
      <c r="G8" s="708"/>
      <c r="H8" s="708"/>
      <c r="I8" s="972"/>
      <c r="J8" s="972"/>
      <c r="K8" s="703"/>
      <c r="L8" s="703"/>
      <c r="M8" s="710" t="s">
        <v>381</v>
      </c>
      <c r="N8" s="703"/>
      <c r="O8" s="703"/>
      <c r="P8" s="703"/>
      <c r="Q8" s="703"/>
      <c r="R8" s="703"/>
      <c r="S8" s="703"/>
      <c r="T8" s="703"/>
      <c r="U8" s="703"/>
      <c r="V8" s="703"/>
      <c r="W8" s="703"/>
      <c r="X8" s="703"/>
      <c r="Y8" s="703"/>
      <c r="Z8" s="703"/>
      <c r="AA8" s="703"/>
      <c r="AB8" s="703"/>
      <c r="AC8" s="703"/>
      <c r="AD8" s="703"/>
      <c r="AE8" s="703"/>
      <c r="AF8" s="703"/>
      <c r="AG8" s="703"/>
      <c r="AH8" s="703"/>
      <c r="AI8" s="703"/>
      <c r="AJ8" s="703"/>
      <c r="AK8" s="703"/>
      <c r="AL8" s="703"/>
      <c r="AM8" s="703"/>
      <c r="AN8" s="703"/>
      <c r="AO8" s="703"/>
      <c r="AP8" s="703"/>
      <c r="AQ8" s="703"/>
      <c r="AR8" s="703"/>
      <c r="AS8" s="703"/>
      <c r="AT8" s="703"/>
      <c r="AU8" s="703"/>
      <c r="AV8" s="703"/>
      <c r="AW8" s="703"/>
      <c r="AX8" s="703"/>
      <c r="AY8" s="703"/>
      <c r="AZ8" s="703"/>
      <c r="BA8" s="703"/>
      <c r="BB8" s="703"/>
      <c r="BC8" s="703"/>
      <c r="BD8" s="703"/>
      <c r="BE8" s="703"/>
      <c r="BF8" s="703"/>
      <c r="BG8" s="703"/>
      <c r="BH8" s="703"/>
      <c r="BI8" s="703"/>
      <c r="BJ8" s="703"/>
      <c r="BK8" s="703"/>
      <c r="BL8" s="703"/>
      <c r="BM8" s="703"/>
      <c r="BN8" s="703"/>
      <c r="BO8" s="703"/>
      <c r="BP8" s="703"/>
      <c r="BQ8" s="703"/>
      <c r="BR8" s="703"/>
      <c r="BS8" s="703"/>
      <c r="BT8" s="703"/>
      <c r="BU8" s="703"/>
      <c r="BV8" s="703"/>
      <c r="BW8" s="703"/>
      <c r="BX8" s="703"/>
      <c r="BY8" s="703"/>
      <c r="BZ8" s="703"/>
      <c r="CA8" s="703"/>
      <c r="CB8" s="703"/>
      <c r="CC8" s="703"/>
      <c r="CD8" s="703"/>
      <c r="CE8" s="703"/>
      <c r="CF8" s="703"/>
      <c r="CG8" s="703"/>
      <c r="CH8" s="703"/>
      <c r="CI8" s="703"/>
      <c r="CJ8" s="703"/>
      <c r="CK8" s="703"/>
      <c r="CL8" s="703"/>
      <c r="CM8" s="703"/>
      <c r="CN8" s="703"/>
      <c r="CO8" s="703"/>
      <c r="CP8" s="703"/>
      <c r="CQ8" s="703"/>
      <c r="CR8" s="703"/>
      <c r="CS8" s="703"/>
      <c r="CT8" s="703"/>
      <c r="CU8" s="703"/>
      <c r="CV8" s="703"/>
      <c r="CW8" s="703"/>
      <c r="CX8" s="703"/>
      <c r="CY8" s="703"/>
      <c r="CZ8" s="703"/>
      <c r="DA8" s="703"/>
      <c r="DB8" s="703"/>
      <c r="DC8" s="703"/>
      <c r="DD8" s="703"/>
      <c r="DE8" s="703"/>
      <c r="DF8" s="703"/>
      <c r="DG8" s="703"/>
      <c r="DH8" s="703"/>
      <c r="DI8" s="703"/>
      <c r="DJ8" s="703"/>
      <c r="DK8" s="703"/>
      <c r="DL8" s="703"/>
      <c r="DM8" s="703"/>
      <c r="DN8" s="703"/>
      <c r="DO8" s="703"/>
      <c r="DP8" s="703"/>
      <c r="DQ8" s="703"/>
      <c r="DR8" s="703"/>
    </row>
    <row r="9" spans="1:122" x14ac:dyDescent="0.2">
      <c r="A9" s="703"/>
      <c r="B9" s="703"/>
      <c r="C9" s="711" t="s">
        <v>460</v>
      </c>
      <c r="D9" s="712"/>
      <c r="E9" s="712"/>
      <c r="F9" s="911">
        <f>MROUND(F34,1)</f>
        <v>45</v>
      </c>
      <c r="G9" s="911">
        <f>MROUND(G34,1)</f>
        <v>72</v>
      </c>
      <c r="H9" s="912">
        <f>MROUND(H34,1)</f>
        <v>93</v>
      </c>
      <c r="I9" s="973"/>
      <c r="J9" s="974"/>
      <c r="K9" s="703"/>
      <c r="L9" s="703"/>
      <c r="M9" s="703" t="s">
        <v>461</v>
      </c>
      <c r="N9" s="703"/>
      <c r="O9" s="713">
        <f>+Model!BX29</f>
        <v>32955</v>
      </c>
      <c r="P9" s="713">
        <f>+Model!CC29</f>
        <v>34954</v>
      </c>
      <c r="Q9" s="713">
        <f>+Model!CH29</f>
        <v>34782</v>
      </c>
      <c r="R9" s="713">
        <f>+Model!CM29</f>
        <v>33777</v>
      </c>
      <c r="S9" s="713">
        <f>+Model!CW29</f>
        <v>36947</v>
      </c>
      <c r="T9" s="713">
        <f>+Model!DB29</f>
        <v>39202.29722</v>
      </c>
      <c r="U9" s="713">
        <f>+Model!DG29</f>
        <v>40383.266423752502</v>
      </c>
      <c r="V9" s="713">
        <f>+Model!DL29</f>
        <v>41599.812324768041</v>
      </c>
      <c r="W9" s="703"/>
      <c r="X9" s="703"/>
      <c r="Y9" s="703"/>
      <c r="Z9" s="703"/>
      <c r="AA9" s="703"/>
      <c r="AB9" s="703"/>
      <c r="AC9" s="703"/>
      <c r="AD9" s="703"/>
      <c r="AE9" s="703"/>
      <c r="AF9" s="703"/>
      <c r="AG9" s="703"/>
      <c r="AH9" s="703"/>
      <c r="AI9" s="703"/>
      <c r="AJ9" s="703"/>
      <c r="AK9" s="703"/>
      <c r="AL9" s="703"/>
      <c r="AM9" s="703"/>
      <c r="AN9" s="703"/>
      <c r="AO9" s="703"/>
      <c r="AP9" s="703"/>
      <c r="AQ9" s="703"/>
      <c r="AR9" s="703"/>
      <c r="AS9" s="703"/>
      <c r="AT9" s="703"/>
      <c r="AU9" s="703"/>
      <c r="AV9" s="703"/>
      <c r="AW9" s="703"/>
      <c r="AX9" s="703"/>
      <c r="AY9" s="703"/>
      <c r="AZ9" s="703"/>
      <c r="BA9" s="703"/>
      <c r="BB9" s="703"/>
      <c r="BC9" s="703"/>
      <c r="BD9" s="703"/>
      <c r="BE9" s="703"/>
      <c r="BF9" s="703"/>
      <c r="BG9" s="703"/>
      <c r="BH9" s="703"/>
      <c r="BI9" s="703"/>
      <c r="BJ9" s="703"/>
      <c r="BK9" s="703"/>
      <c r="BL9" s="703"/>
      <c r="BM9" s="703"/>
      <c r="BN9" s="703"/>
      <c r="BO9" s="703"/>
      <c r="BP9" s="703"/>
      <c r="BQ9" s="703"/>
      <c r="BR9" s="703"/>
      <c r="BS9" s="703"/>
      <c r="BT9" s="703"/>
      <c r="BU9" s="703"/>
      <c r="BV9" s="703"/>
      <c r="BW9" s="703"/>
      <c r="BX9" s="703"/>
      <c r="BY9" s="703"/>
      <c r="BZ9" s="703"/>
      <c r="CA9" s="703"/>
      <c r="CB9" s="703"/>
      <c r="CC9" s="703"/>
      <c r="CD9" s="703"/>
      <c r="CE9" s="703"/>
      <c r="CF9" s="703"/>
      <c r="CG9" s="703"/>
      <c r="CH9" s="703"/>
      <c r="CI9" s="703"/>
      <c r="CJ9" s="703"/>
      <c r="CK9" s="703"/>
      <c r="CL9" s="703"/>
      <c r="CM9" s="703"/>
      <c r="CN9" s="703"/>
      <c r="CO9" s="703"/>
      <c r="CP9" s="703"/>
      <c r="CQ9" s="703"/>
      <c r="CR9" s="703"/>
      <c r="CS9" s="703"/>
      <c r="CT9" s="703"/>
      <c r="CU9" s="703"/>
      <c r="CV9" s="703"/>
      <c r="CW9" s="703"/>
      <c r="CX9" s="703"/>
      <c r="CY9" s="703"/>
      <c r="CZ9" s="703"/>
      <c r="DA9" s="703"/>
      <c r="DB9" s="703"/>
      <c r="DC9" s="703"/>
      <c r="DD9" s="703"/>
      <c r="DE9" s="703"/>
      <c r="DF9" s="703"/>
      <c r="DG9" s="703"/>
      <c r="DH9" s="703"/>
      <c r="DI9" s="703"/>
      <c r="DJ9" s="703"/>
      <c r="DK9" s="703"/>
      <c r="DL9" s="703"/>
      <c r="DM9" s="703"/>
      <c r="DN9" s="703"/>
      <c r="DO9" s="703"/>
      <c r="DP9" s="703"/>
      <c r="DQ9" s="703"/>
      <c r="DR9" s="703"/>
    </row>
    <row r="10" spans="1:122" x14ac:dyDescent="0.2">
      <c r="A10" s="703"/>
      <c r="B10" s="703"/>
      <c r="C10" s="703" t="s">
        <v>145</v>
      </c>
      <c r="D10" s="703"/>
      <c r="E10" s="703"/>
      <c r="F10" s="913">
        <f>+G10</f>
        <v>54.76</v>
      </c>
      <c r="G10" s="914">
        <v>54.76</v>
      </c>
      <c r="H10" s="913">
        <f>+G10</f>
        <v>54.76</v>
      </c>
      <c r="I10" s="953"/>
      <c r="J10" s="703"/>
      <c r="K10" s="715"/>
      <c r="L10" s="703"/>
      <c r="M10" s="703" t="s">
        <v>462</v>
      </c>
      <c r="N10" s="703"/>
      <c r="O10" s="713">
        <f t="shared" ref="O10:T10" si="0">+O11-O9</f>
        <v>4818</v>
      </c>
      <c r="P10" s="713">
        <f t="shared" si="0"/>
        <v>5408</v>
      </c>
      <c r="Q10" s="713">
        <f t="shared" si="0"/>
        <v>5922</v>
      </c>
      <c r="R10" s="713">
        <f t="shared" si="0"/>
        <v>5862</v>
      </c>
      <c r="S10" s="713">
        <f t="shared" si="0"/>
        <v>3691.2263999999996</v>
      </c>
      <c r="T10" s="713">
        <f t="shared" si="0"/>
        <v>4145.9763999999996</v>
      </c>
      <c r="U10" s="713">
        <f t="shared" ref="U10:V10" si="1">+U11-U9</f>
        <v>4397.2991499999989</v>
      </c>
      <c r="V10" s="713">
        <f t="shared" si="1"/>
        <v>4599.7805012499957</v>
      </c>
      <c r="W10" s="703"/>
      <c r="X10" s="703"/>
      <c r="Y10" s="703"/>
      <c r="Z10" s="703"/>
      <c r="AA10" s="703"/>
      <c r="AB10" s="703"/>
      <c r="AC10" s="703"/>
      <c r="AD10" s="703"/>
      <c r="AE10" s="703"/>
      <c r="AF10" s="703"/>
      <c r="AG10" s="703"/>
      <c r="AH10" s="703"/>
      <c r="AI10" s="703"/>
      <c r="AJ10" s="703"/>
      <c r="AK10" s="703"/>
      <c r="AL10" s="703"/>
      <c r="AM10" s="703"/>
      <c r="AN10" s="703"/>
      <c r="AO10" s="703"/>
      <c r="AP10" s="703"/>
      <c r="AQ10" s="703"/>
      <c r="AR10" s="703"/>
      <c r="AS10" s="703"/>
      <c r="AT10" s="703"/>
      <c r="AU10" s="703"/>
      <c r="AV10" s="703"/>
      <c r="AW10" s="703"/>
      <c r="AX10" s="703"/>
      <c r="AY10" s="703"/>
      <c r="AZ10" s="703"/>
      <c r="BA10" s="703"/>
      <c r="BB10" s="703"/>
      <c r="BC10" s="703"/>
      <c r="BD10" s="703"/>
      <c r="BE10" s="703"/>
      <c r="BF10" s="703"/>
      <c r="BG10" s="703"/>
      <c r="BH10" s="703"/>
      <c r="BI10" s="703"/>
      <c r="BJ10" s="703"/>
      <c r="BK10" s="703"/>
      <c r="BL10" s="703"/>
      <c r="BM10" s="703"/>
      <c r="BN10" s="703"/>
      <c r="BO10" s="703"/>
      <c r="BP10" s="703"/>
      <c r="BQ10" s="703"/>
      <c r="BR10" s="703"/>
      <c r="BS10" s="703"/>
      <c r="BT10" s="703"/>
      <c r="BU10" s="703"/>
      <c r="BV10" s="703"/>
      <c r="BW10" s="703"/>
      <c r="BX10" s="703"/>
      <c r="BY10" s="703"/>
      <c r="BZ10" s="703"/>
      <c r="CA10" s="703"/>
      <c r="CB10" s="703"/>
      <c r="CC10" s="703"/>
      <c r="CD10" s="703"/>
      <c r="CE10" s="703"/>
      <c r="CF10" s="703"/>
      <c r="CG10" s="703"/>
      <c r="CH10" s="703"/>
      <c r="CI10" s="703"/>
      <c r="CJ10" s="703"/>
      <c r="CK10" s="703"/>
      <c r="CL10" s="703"/>
      <c r="CM10" s="703"/>
      <c r="CN10" s="703"/>
      <c r="CO10" s="703"/>
      <c r="CP10" s="703"/>
      <c r="CQ10" s="703"/>
      <c r="CR10" s="703"/>
      <c r="CS10" s="703"/>
      <c r="CT10" s="703"/>
      <c r="CU10" s="703"/>
      <c r="CV10" s="703"/>
      <c r="CW10" s="703"/>
      <c r="CX10" s="703"/>
      <c r="CY10" s="703"/>
      <c r="CZ10" s="703"/>
      <c r="DA10" s="703"/>
      <c r="DB10" s="703"/>
      <c r="DC10" s="703"/>
      <c r="DD10" s="703"/>
      <c r="DE10" s="703"/>
      <c r="DF10" s="703"/>
      <c r="DG10" s="703"/>
      <c r="DH10" s="703"/>
      <c r="DI10" s="703"/>
      <c r="DJ10" s="703"/>
      <c r="DK10" s="703"/>
      <c r="DL10" s="703"/>
      <c r="DM10" s="703"/>
      <c r="DN10" s="703"/>
      <c r="DO10" s="703"/>
      <c r="DP10" s="703"/>
      <c r="DQ10" s="703"/>
      <c r="DR10" s="703"/>
    </row>
    <row r="11" spans="1:122" x14ac:dyDescent="0.2">
      <c r="A11" s="716"/>
      <c r="B11" s="716"/>
      <c r="C11" s="716" t="s">
        <v>463</v>
      </c>
      <c r="D11" s="716"/>
      <c r="E11" s="716"/>
      <c r="F11" s="717">
        <f>+F9/F10-1</f>
        <v>-0.17823228634039445</v>
      </c>
      <c r="G11" s="717">
        <f>+G9/G10-1</f>
        <v>0.31482834185536901</v>
      </c>
      <c r="H11" s="717">
        <f>+H9/H10-1</f>
        <v>0.69831994156318489</v>
      </c>
      <c r="I11" s="716"/>
      <c r="J11" s="716"/>
      <c r="K11" s="718"/>
      <c r="L11" s="703"/>
      <c r="M11" s="719" t="s">
        <v>464</v>
      </c>
      <c r="N11" s="719"/>
      <c r="O11" s="720">
        <f>+Model!BX72</f>
        <v>37773</v>
      </c>
      <c r="P11" s="720">
        <f>+Model!CC72</f>
        <v>40362</v>
      </c>
      <c r="Q11" s="720">
        <f>+Model!CH72</f>
        <v>40704</v>
      </c>
      <c r="R11" s="720">
        <f>+Model!CM72</f>
        <v>39639</v>
      </c>
      <c r="S11" s="720">
        <f>+Model!CW76</f>
        <v>40638.2264</v>
      </c>
      <c r="T11" s="720">
        <f>+Model!DB76</f>
        <v>43348.27362</v>
      </c>
      <c r="U11" s="720">
        <f>+Model!DG76</f>
        <v>44780.565573752501</v>
      </c>
      <c r="V11" s="720">
        <f>+Model!DL76</f>
        <v>46199.592826018037</v>
      </c>
      <c r="W11" s="716"/>
      <c r="X11" s="716"/>
      <c r="Y11" s="716"/>
      <c r="Z11" s="716"/>
      <c r="AA11" s="716"/>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716"/>
      <c r="BC11" s="716"/>
      <c r="BD11" s="716"/>
      <c r="BE11" s="716"/>
      <c r="BF11" s="716"/>
      <c r="BG11" s="716"/>
      <c r="BH11" s="716"/>
      <c r="BI11" s="716"/>
      <c r="BJ11" s="716"/>
      <c r="BK11" s="716"/>
      <c r="BL11" s="716"/>
      <c r="BM11" s="716"/>
      <c r="BN11" s="716"/>
      <c r="BO11" s="716"/>
      <c r="BP11" s="716"/>
      <c r="BQ11" s="716"/>
      <c r="BR11" s="716"/>
      <c r="BS11" s="716"/>
      <c r="BT11" s="716"/>
      <c r="BU11" s="716"/>
      <c r="BV11" s="716"/>
      <c r="BW11" s="716"/>
      <c r="BX11" s="716"/>
      <c r="BY11" s="716"/>
      <c r="BZ11" s="716"/>
      <c r="CA11" s="716"/>
      <c r="CB11" s="716"/>
      <c r="CC11" s="716"/>
      <c r="CD11" s="716"/>
      <c r="CE11" s="716"/>
      <c r="CF11" s="716"/>
      <c r="CG11" s="716"/>
      <c r="CH11" s="716"/>
      <c r="CI11" s="716"/>
      <c r="CJ11" s="716"/>
      <c r="CK11" s="716"/>
      <c r="CL11" s="716"/>
      <c r="CM11" s="716"/>
      <c r="CN11" s="716"/>
      <c r="CO11" s="716"/>
      <c r="CP11" s="716"/>
      <c r="CQ11" s="716"/>
      <c r="CR11" s="716"/>
      <c r="CS11" s="716"/>
      <c r="CT11" s="716"/>
      <c r="CU11" s="716"/>
      <c r="CV11" s="716"/>
      <c r="CW11" s="716"/>
      <c r="CX11" s="716"/>
      <c r="CY11" s="716"/>
      <c r="CZ11" s="716"/>
      <c r="DA11" s="716"/>
      <c r="DB11" s="716"/>
      <c r="DC11" s="716"/>
      <c r="DD11" s="716"/>
      <c r="DE11" s="716"/>
      <c r="DF11" s="716"/>
      <c r="DG11" s="716"/>
      <c r="DH11" s="716"/>
      <c r="DI11" s="716"/>
      <c r="DJ11" s="716"/>
      <c r="DK11" s="716"/>
      <c r="DL11" s="716"/>
      <c r="DM11" s="716"/>
      <c r="DN11" s="716"/>
      <c r="DO11" s="716"/>
      <c r="DP11" s="716"/>
      <c r="DQ11" s="716"/>
      <c r="DR11" s="716"/>
    </row>
    <row r="12" spans="1:122" x14ac:dyDescent="0.2">
      <c r="A12" s="703"/>
      <c r="B12" s="703"/>
      <c r="C12" s="703"/>
      <c r="D12" s="703"/>
      <c r="E12" s="703"/>
      <c r="F12" s="703"/>
      <c r="G12" s="703"/>
      <c r="H12" s="703"/>
      <c r="I12" s="703"/>
      <c r="J12" s="703"/>
      <c r="K12" s="715"/>
      <c r="L12" s="703"/>
      <c r="M12" s="703"/>
      <c r="N12" s="703"/>
      <c r="O12" s="703"/>
      <c r="P12" s="703"/>
      <c r="Q12" s="721"/>
      <c r="R12" s="721"/>
      <c r="S12" s="721"/>
      <c r="T12" s="721"/>
      <c r="U12" s="721"/>
      <c r="V12" s="721"/>
      <c r="W12" s="703"/>
      <c r="X12" s="703"/>
      <c r="Y12" s="703"/>
      <c r="Z12" s="703"/>
      <c r="AA12" s="703"/>
      <c r="AB12" s="703"/>
      <c r="AC12" s="703"/>
      <c r="AD12" s="703"/>
      <c r="AE12" s="703"/>
      <c r="AF12" s="703"/>
      <c r="AG12" s="703"/>
      <c r="AH12" s="703"/>
      <c r="AI12" s="703"/>
      <c r="AJ12" s="703"/>
      <c r="AK12" s="703"/>
      <c r="AL12" s="703"/>
      <c r="AM12" s="703"/>
      <c r="AN12" s="703"/>
      <c r="AO12" s="703"/>
      <c r="AP12" s="703"/>
      <c r="AQ12" s="703"/>
      <c r="AR12" s="703"/>
      <c r="AS12" s="703"/>
      <c r="AT12" s="703"/>
      <c r="AU12" s="703"/>
      <c r="AV12" s="703"/>
      <c r="AW12" s="703"/>
      <c r="AX12" s="703"/>
      <c r="AY12" s="703"/>
      <c r="AZ12" s="703"/>
      <c r="BA12" s="703"/>
      <c r="BB12" s="703"/>
      <c r="BC12" s="703"/>
      <c r="BD12" s="703"/>
      <c r="BE12" s="703"/>
      <c r="BF12" s="703"/>
      <c r="BG12" s="703"/>
      <c r="BH12" s="703"/>
      <c r="BI12" s="703"/>
      <c r="BJ12" s="703"/>
      <c r="BK12" s="703"/>
      <c r="BL12" s="703"/>
      <c r="BM12" s="703"/>
      <c r="BN12" s="703"/>
      <c r="BO12" s="703"/>
      <c r="BP12" s="703"/>
      <c r="BQ12" s="703"/>
      <c r="BR12" s="703"/>
      <c r="BS12" s="703"/>
      <c r="BT12" s="703"/>
      <c r="BU12" s="703"/>
      <c r="BV12" s="703"/>
      <c r="BW12" s="703"/>
      <c r="BX12" s="703"/>
      <c r="BY12" s="703"/>
      <c r="BZ12" s="703"/>
      <c r="CA12" s="703"/>
      <c r="CB12" s="703"/>
      <c r="CC12" s="703"/>
      <c r="CD12" s="703"/>
      <c r="CE12" s="703"/>
      <c r="CF12" s="703"/>
      <c r="CG12" s="703"/>
      <c r="CH12" s="703"/>
      <c r="CI12" s="703"/>
      <c r="CJ12" s="703"/>
      <c r="CK12" s="703"/>
      <c r="CL12" s="703"/>
      <c r="CM12" s="703"/>
      <c r="CN12" s="703"/>
      <c r="CO12" s="703"/>
      <c r="CP12" s="703"/>
      <c r="CQ12" s="703"/>
      <c r="CR12" s="703"/>
      <c r="CS12" s="703"/>
      <c r="CT12" s="703"/>
      <c r="CU12" s="703"/>
      <c r="CV12" s="703"/>
      <c r="CW12" s="703"/>
      <c r="CX12" s="703"/>
      <c r="CY12" s="703"/>
      <c r="CZ12" s="703"/>
      <c r="DA12" s="703"/>
      <c r="DB12" s="703"/>
      <c r="DC12" s="703"/>
      <c r="DD12" s="703"/>
      <c r="DE12" s="703"/>
      <c r="DF12" s="703"/>
      <c r="DG12" s="703"/>
      <c r="DH12" s="703"/>
      <c r="DI12" s="703"/>
      <c r="DJ12" s="703"/>
      <c r="DK12" s="703"/>
      <c r="DL12" s="703"/>
      <c r="DM12" s="703"/>
      <c r="DN12" s="703"/>
      <c r="DO12" s="703"/>
      <c r="DP12" s="703"/>
      <c r="DQ12" s="703"/>
      <c r="DR12" s="703"/>
    </row>
    <row r="13" spans="1:122" x14ac:dyDescent="0.2">
      <c r="A13" s="716"/>
      <c r="B13" s="716"/>
      <c r="C13" s="745" t="s">
        <v>505</v>
      </c>
      <c r="D13" s="746"/>
      <c r="E13" s="746"/>
      <c r="F13" s="747">
        <f>(F9*F32-F29)/(F17+F18+F19+F20)</f>
        <v>5.2911422511397204</v>
      </c>
      <c r="G13" s="747">
        <f>(G9*G32-G29)/G17</f>
        <v>6.0217454815836264</v>
      </c>
      <c r="H13" s="748">
        <f>(H9*H32-H29)/(H17+H18+H19+H20)</f>
        <v>7.0575216841791892</v>
      </c>
      <c r="I13" s="716"/>
      <c r="J13" s="716"/>
      <c r="K13" s="718"/>
      <c r="L13" s="703"/>
      <c r="M13" s="703" t="s">
        <v>465</v>
      </c>
      <c r="N13" s="703"/>
      <c r="O13" s="713">
        <f>+Model!BX80</f>
        <v>8226</v>
      </c>
      <c r="P13" s="713">
        <f>+Model!CC80</f>
        <v>9205</v>
      </c>
      <c r="Q13" s="713">
        <f>+Model!CH80</f>
        <v>10266</v>
      </c>
      <c r="R13" s="713">
        <f>+Model!CM80</f>
        <v>11149</v>
      </c>
      <c r="S13" s="713">
        <f>+Model!CW80</f>
        <v>11123</v>
      </c>
      <c r="T13" s="713">
        <f>+Model!DB80</f>
        <v>11862.263693561004</v>
      </c>
      <c r="U13" s="713">
        <f>+Model!DG80</f>
        <v>12376.130011549692</v>
      </c>
      <c r="V13" s="713">
        <f>+Model!DL80</f>
        <v>12876.513911896183</v>
      </c>
      <c r="W13" s="716"/>
      <c r="X13" s="716"/>
      <c r="Y13" s="716"/>
      <c r="Z13" s="716"/>
      <c r="AA13" s="716"/>
      <c r="AB13" s="716"/>
      <c r="AC13" s="716"/>
      <c r="AD13" s="716"/>
      <c r="AE13" s="716"/>
      <c r="AF13" s="716"/>
      <c r="AG13" s="716"/>
      <c r="AH13" s="716"/>
      <c r="AI13" s="716"/>
      <c r="AJ13" s="716"/>
      <c r="AK13" s="716"/>
      <c r="AL13" s="716"/>
      <c r="AM13" s="716"/>
      <c r="AN13" s="716"/>
      <c r="AO13" s="716"/>
      <c r="AP13" s="716"/>
      <c r="AQ13" s="716"/>
      <c r="AR13" s="716"/>
      <c r="AS13" s="716"/>
      <c r="AT13" s="716"/>
      <c r="AU13" s="716"/>
      <c r="AV13" s="716"/>
      <c r="AW13" s="716"/>
      <c r="AX13" s="716"/>
      <c r="AY13" s="716"/>
      <c r="AZ13" s="716"/>
      <c r="BA13" s="716"/>
      <c r="BB13" s="716"/>
      <c r="BC13" s="716"/>
      <c r="BD13" s="716"/>
      <c r="BE13" s="716"/>
      <c r="BF13" s="716"/>
      <c r="BG13" s="716"/>
      <c r="BH13" s="716"/>
      <c r="BI13" s="716"/>
      <c r="BJ13" s="716"/>
      <c r="BK13" s="716"/>
      <c r="BL13" s="716"/>
      <c r="BM13" s="716"/>
      <c r="BN13" s="716"/>
      <c r="BO13" s="716"/>
      <c r="BP13" s="716"/>
      <c r="BQ13" s="716"/>
      <c r="BR13" s="716"/>
      <c r="BS13" s="716"/>
      <c r="BT13" s="716"/>
      <c r="BU13" s="716"/>
      <c r="BV13" s="716"/>
      <c r="BW13" s="716"/>
      <c r="BX13" s="716"/>
      <c r="BY13" s="716"/>
      <c r="BZ13" s="716"/>
      <c r="CA13" s="716"/>
      <c r="CB13" s="716"/>
      <c r="CC13" s="716"/>
      <c r="CD13" s="716"/>
      <c r="CE13" s="716"/>
      <c r="CF13" s="716"/>
      <c r="CG13" s="716"/>
      <c r="CH13" s="716"/>
      <c r="CI13" s="716"/>
      <c r="CJ13" s="716"/>
      <c r="CK13" s="716"/>
      <c r="CL13" s="716"/>
      <c r="CM13" s="716"/>
      <c r="CN13" s="716"/>
      <c r="CO13" s="716"/>
      <c r="CP13" s="716"/>
      <c r="CQ13" s="716"/>
      <c r="CR13" s="716"/>
      <c r="CS13" s="716"/>
      <c r="CT13" s="716"/>
      <c r="CU13" s="716"/>
      <c r="CV13" s="716"/>
      <c r="CW13" s="716"/>
      <c r="CX13" s="716"/>
      <c r="CY13" s="716"/>
      <c r="CZ13" s="716"/>
      <c r="DA13" s="716"/>
      <c r="DB13" s="716"/>
      <c r="DC13" s="716"/>
      <c r="DD13" s="716"/>
      <c r="DE13" s="716"/>
      <c r="DF13" s="716"/>
      <c r="DG13" s="716"/>
      <c r="DH13" s="716"/>
      <c r="DI13" s="716"/>
      <c r="DJ13" s="716"/>
      <c r="DK13" s="716"/>
      <c r="DL13" s="716"/>
      <c r="DM13" s="716"/>
      <c r="DN13" s="716"/>
      <c r="DO13" s="716"/>
      <c r="DP13" s="716"/>
      <c r="DQ13" s="716"/>
      <c r="DR13" s="716"/>
    </row>
    <row r="14" spans="1:122" x14ac:dyDescent="0.2">
      <c r="A14" s="716"/>
      <c r="B14" s="716"/>
      <c r="C14" s="749" t="s">
        <v>506</v>
      </c>
      <c r="D14" s="718"/>
      <c r="E14" s="718"/>
      <c r="F14" s="750">
        <f>F9/($U$29+(((F18+F19+F20)*(1-38%))/U28))</f>
        <v>9.436610026043974</v>
      </c>
      <c r="G14" s="750">
        <f>+G$9/($U$29)</f>
        <v>10.642939292998735</v>
      </c>
      <c r="H14" s="751">
        <f>H9/($U$29+(((H18+H19+H20)*(1-38%))/U28))</f>
        <v>12.620266531531911</v>
      </c>
      <c r="I14" s="716"/>
      <c r="J14" s="716"/>
      <c r="K14" s="718"/>
      <c r="L14" s="703"/>
      <c r="M14" s="703" t="s">
        <v>466</v>
      </c>
      <c r="N14" s="703"/>
      <c r="O14" s="713">
        <f>+Model!BX94+Model!BX120</f>
        <v>11740</v>
      </c>
      <c r="P14" s="713">
        <f>+Model!CC94+Model!CC120</f>
        <v>11166</v>
      </c>
      <c r="Q14" s="713">
        <f>+Model!CH94+Model!CH120</f>
        <v>8880</v>
      </c>
      <c r="R14" s="713">
        <f>+Model!CM94+Model!CM120</f>
        <v>6435</v>
      </c>
      <c r="S14" s="713">
        <f>+Model!CW94+Model!CW120</f>
        <v>6756</v>
      </c>
      <c r="T14" s="713">
        <f>+Model!DB94+Model!DB120</f>
        <v>8368.6018632499981</v>
      </c>
      <c r="U14" s="713">
        <f>+Model!DG94+Model!DG120</f>
        <v>8131.7571119606246</v>
      </c>
      <c r="V14" s="713">
        <f>+Model!DL94+Model!DL120</f>
        <v>7866.7243820884923</v>
      </c>
      <c r="W14" s="716"/>
      <c r="X14" s="716"/>
      <c r="Y14" s="716"/>
      <c r="Z14" s="716"/>
      <c r="AA14" s="716"/>
      <c r="AB14" s="716"/>
      <c r="AC14" s="716"/>
      <c r="AD14" s="716"/>
      <c r="AE14" s="716"/>
      <c r="AF14" s="716"/>
      <c r="AG14" s="716"/>
      <c r="AH14" s="716"/>
      <c r="AI14" s="716"/>
      <c r="AJ14" s="716"/>
      <c r="AK14" s="716"/>
      <c r="AL14" s="716"/>
      <c r="AM14" s="716"/>
      <c r="AN14" s="716"/>
      <c r="AO14" s="716"/>
      <c r="AP14" s="716"/>
      <c r="AQ14" s="716"/>
      <c r="AR14" s="716"/>
      <c r="AS14" s="716"/>
      <c r="AT14" s="716"/>
      <c r="AU14" s="716"/>
      <c r="AV14" s="716"/>
      <c r="AW14" s="716"/>
      <c r="AX14" s="716"/>
      <c r="AY14" s="716"/>
      <c r="AZ14" s="716"/>
      <c r="BA14" s="716"/>
      <c r="BB14" s="716"/>
      <c r="BC14" s="716"/>
      <c r="BD14" s="716"/>
      <c r="BE14" s="716"/>
      <c r="BF14" s="716"/>
      <c r="BG14" s="716"/>
      <c r="BH14" s="716"/>
      <c r="BI14" s="716"/>
      <c r="BJ14" s="716"/>
      <c r="BK14" s="716"/>
      <c r="BL14" s="716"/>
      <c r="BM14" s="716"/>
      <c r="BN14" s="716"/>
      <c r="BO14" s="716"/>
      <c r="BP14" s="716"/>
      <c r="BQ14" s="716"/>
      <c r="BR14" s="716"/>
      <c r="BS14" s="716"/>
      <c r="BT14" s="716"/>
      <c r="BU14" s="716"/>
      <c r="BV14" s="716"/>
      <c r="BW14" s="716"/>
      <c r="BX14" s="716"/>
      <c r="BY14" s="716"/>
      <c r="BZ14" s="716"/>
      <c r="CA14" s="716"/>
      <c r="CB14" s="716"/>
      <c r="CC14" s="716"/>
      <c r="CD14" s="716"/>
      <c r="CE14" s="716"/>
      <c r="CF14" s="716"/>
      <c r="CG14" s="716"/>
      <c r="CH14" s="716"/>
      <c r="CI14" s="716"/>
      <c r="CJ14" s="716"/>
      <c r="CK14" s="716"/>
      <c r="CL14" s="716"/>
      <c r="CM14" s="716"/>
      <c r="CN14" s="716"/>
      <c r="CO14" s="716"/>
      <c r="CP14" s="716"/>
      <c r="CQ14" s="716"/>
      <c r="CR14" s="716"/>
      <c r="CS14" s="716"/>
      <c r="CT14" s="716"/>
      <c r="CU14" s="716"/>
      <c r="CV14" s="716"/>
      <c r="CW14" s="716"/>
      <c r="CX14" s="716"/>
      <c r="CY14" s="716"/>
      <c r="CZ14" s="716"/>
      <c r="DA14" s="716"/>
      <c r="DB14" s="716"/>
      <c r="DC14" s="716"/>
      <c r="DD14" s="716"/>
      <c r="DE14" s="716"/>
      <c r="DF14" s="716"/>
      <c r="DG14" s="716"/>
      <c r="DH14" s="716"/>
      <c r="DI14" s="716"/>
      <c r="DJ14" s="716"/>
      <c r="DK14" s="716"/>
      <c r="DL14" s="716"/>
      <c r="DM14" s="716"/>
      <c r="DN14" s="716"/>
      <c r="DO14" s="716"/>
      <c r="DP14" s="716"/>
      <c r="DQ14" s="716"/>
      <c r="DR14" s="716"/>
    </row>
    <row r="15" spans="1:122" x14ac:dyDescent="0.2">
      <c r="A15" s="703"/>
      <c r="B15" s="716"/>
      <c r="C15" s="752" t="s">
        <v>507</v>
      </c>
      <c r="D15" s="753"/>
      <c r="E15" s="753"/>
      <c r="F15" s="760">
        <f>(($U$44+((F18+F19+F20)*(1-38%)))/$U$28)/F9</f>
        <v>9.5204413660102835E-2</v>
      </c>
      <c r="G15" s="754">
        <f>U44/(G9*G32)</f>
        <v>8.7230353520657888E-2</v>
      </c>
      <c r="H15" s="755">
        <f>(($U$44+((H18+H19+H20)*(1-38%)))/$U$28)/H9</f>
        <v>7.4028349648231906E-2</v>
      </c>
      <c r="I15" s="716"/>
      <c r="J15" s="716"/>
      <c r="K15" s="715"/>
      <c r="L15" s="703"/>
      <c r="M15" s="703" t="s">
        <v>467</v>
      </c>
      <c r="N15" s="703"/>
      <c r="O15" s="713">
        <f>+Model!BX115</f>
        <v>5669</v>
      </c>
      <c r="P15" s="713">
        <f>+Model!CC117</f>
        <v>3393</v>
      </c>
      <c r="Q15" s="713">
        <f>+Model!CH117</f>
        <v>3206</v>
      </c>
      <c r="R15" s="713">
        <f>+Model!CM117</f>
        <v>3459</v>
      </c>
      <c r="S15" s="713">
        <f>+Model!CW117</f>
        <v>3466</v>
      </c>
      <c r="T15" s="713">
        <f>+Model!DB117</f>
        <v>3495.0958759058167</v>
      </c>
      <c r="U15" s="713">
        <f>+Model!DG117</f>
        <v>3503.8107281596726</v>
      </c>
      <c r="V15" s="713">
        <f>+Model!DL117</f>
        <v>3503.5882608210163</v>
      </c>
      <c r="W15" s="703"/>
      <c r="X15" s="703"/>
      <c r="Y15" s="703"/>
      <c r="Z15" s="703"/>
      <c r="AA15" s="703"/>
      <c r="AB15" s="703"/>
      <c r="AC15" s="703"/>
      <c r="AD15" s="703"/>
      <c r="AE15" s="703"/>
      <c r="AF15" s="703"/>
      <c r="AG15" s="703"/>
      <c r="AH15" s="703"/>
      <c r="AI15" s="703"/>
      <c r="AJ15" s="703"/>
      <c r="AK15" s="703"/>
      <c r="AL15" s="703"/>
      <c r="AM15" s="703"/>
      <c r="AN15" s="703"/>
      <c r="AO15" s="703"/>
      <c r="AP15" s="703"/>
      <c r="AQ15" s="703"/>
      <c r="AR15" s="703"/>
      <c r="AS15" s="703"/>
      <c r="AT15" s="703"/>
      <c r="AU15" s="703"/>
      <c r="AV15" s="703"/>
      <c r="AW15" s="703"/>
      <c r="AX15" s="703"/>
      <c r="AY15" s="703"/>
      <c r="AZ15" s="703"/>
      <c r="BA15" s="703"/>
      <c r="BB15" s="703"/>
      <c r="BC15" s="703"/>
      <c r="BD15" s="703"/>
      <c r="BE15" s="703"/>
      <c r="BF15" s="703"/>
      <c r="BG15" s="703"/>
      <c r="BH15" s="703"/>
      <c r="BI15" s="703"/>
      <c r="BJ15" s="703"/>
      <c r="BK15" s="703"/>
      <c r="BL15" s="703"/>
      <c r="BM15" s="703"/>
      <c r="BN15" s="703"/>
      <c r="BO15" s="703"/>
      <c r="BP15" s="703"/>
      <c r="BQ15" s="703"/>
      <c r="BR15" s="703"/>
      <c r="BS15" s="703"/>
      <c r="BT15" s="703"/>
      <c r="BU15" s="703"/>
      <c r="BV15" s="703"/>
      <c r="BW15" s="703"/>
      <c r="BX15" s="703"/>
      <c r="BY15" s="703"/>
      <c r="BZ15" s="703"/>
      <c r="CA15" s="703"/>
      <c r="CB15" s="703"/>
      <c r="CC15" s="703"/>
      <c r="CD15" s="703"/>
      <c r="CE15" s="703"/>
      <c r="CF15" s="703"/>
      <c r="CG15" s="703"/>
      <c r="CH15" s="703"/>
      <c r="CI15" s="703"/>
      <c r="CJ15" s="703"/>
      <c r="CK15" s="703"/>
      <c r="CL15" s="703"/>
      <c r="CM15" s="703"/>
      <c r="CN15" s="703"/>
      <c r="CO15" s="703"/>
      <c r="CP15" s="703"/>
      <c r="CQ15" s="703"/>
      <c r="CR15" s="703"/>
      <c r="CS15" s="703"/>
      <c r="CT15" s="703"/>
      <c r="CU15" s="703"/>
      <c r="CV15" s="703"/>
      <c r="CW15" s="703"/>
      <c r="CX15" s="703"/>
      <c r="CY15" s="703"/>
      <c r="CZ15" s="703"/>
      <c r="DA15" s="703"/>
      <c r="DB15" s="703"/>
      <c r="DC15" s="703"/>
      <c r="DD15" s="703"/>
      <c r="DE15" s="703"/>
      <c r="DF15" s="703"/>
      <c r="DG15" s="703"/>
      <c r="DH15" s="703"/>
      <c r="DI15" s="703"/>
      <c r="DJ15" s="703"/>
      <c r="DK15" s="703"/>
      <c r="DL15" s="703"/>
      <c r="DM15" s="703"/>
      <c r="DN15" s="703"/>
      <c r="DO15" s="703"/>
      <c r="DP15" s="703"/>
      <c r="DQ15" s="703"/>
      <c r="DR15" s="703"/>
    </row>
    <row r="16" spans="1:122" x14ac:dyDescent="0.2">
      <c r="A16" s="703"/>
      <c r="B16" s="703"/>
      <c r="C16" s="703"/>
      <c r="D16" s="703"/>
      <c r="E16" s="703"/>
      <c r="F16" s="703"/>
      <c r="G16" s="703"/>
      <c r="H16" s="703"/>
      <c r="I16" s="703"/>
      <c r="J16" s="703"/>
      <c r="K16" s="715"/>
      <c r="L16" s="716"/>
      <c r="M16" s="703" t="s">
        <v>238</v>
      </c>
      <c r="N16" s="703"/>
      <c r="O16" s="721">
        <f t="shared" ref="O16:T16" si="2">+O19-O17-O18-O14-O13-O15</f>
        <v>6745</v>
      </c>
      <c r="P16" s="721">
        <f t="shared" si="2"/>
        <v>9326</v>
      </c>
      <c r="Q16" s="721">
        <f t="shared" si="2"/>
        <v>9731</v>
      </c>
      <c r="R16" s="721">
        <f t="shared" si="2"/>
        <v>9907</v>
      </c>
      <c r="S16" s="721">
        <f t="shared" si="2"/>
        <v>11013.2264</v>
      </c>
      <c r="T16" s="721">
        <f t="shared" si="2"/>
        <v>11156.056499999995</v>
      </c>
      <c r="U16" s="721">
        <f t="shared" ref="U16:V16" si="3">+U19-U17-U18-U14-U13-U15</f>
        <v>11725.461023812501</v>
      </c>
      <c r="V16" s="721">
        <f t="shared" si="3"/>
        <v>12352.058526643004</v>
      </c>
      <c r="W16" s="703"/>
      <c r="X16" s="703"/>
      <c r="Y16" s="703"/>
      <c r="Z16" s="703"/>
      <c r="AA16" s="703"/>
      <c r="AB16" s="703"/>
      <c r="AC16" s="703"/>
      <c r="AD16" s="703"/>
      <c r="AE16" s="703"/>
      <c r="AF16" s="703"/>
      <c r="AG16" s="703"/>
      <c r="AH16" s="703"/>
      <c r="AI16" s="703"/>
      <c r="AJ16" s="703"/>
      <c r="AK16" s="703"/>
      <c r="AL16" s="703"/>
      <c r="AM16" s="703"/>
      <c r="AN16" s="703"/>
      <c r="AO16" s="703"/>
      <c r="AP16" s="703"/>
      <c r="AQ16" s="703"/>
      <c r="AR16" s="703"/>
      <c r="AS16" s="703"/>
      <c r="AT16" s="703"/>
      <c r="AU16" s="703"/>
      <c r="AV16" s="703"/>
      <c r="AW16" s="703"/>
      <c r="AX16" s="703"/>
      <c r="AY16" s="703"/>
      <c r="AZ16" s="703"/>
      <c r="BA16" s="703"/>
      <c r="BB16" s="703"/>
      <c r="BC16" s="703"/>
      <c r="BD16" s="703"/>
      <c r="BE16" s="703"/>
      <c r="BF16" s="703"/>
      <c r="BG16" s="703"/>
      <c r="BH16" s="703"/>
      <c r="BI16" s="703"/>
      <c r="BJ16" s="703"/>
      <c r="BK16" s="703"/>
      <c r="BL16" s="703"/>
      <c r="BM16" s="703"/>
      <c r="BN16" s="703"/>
      <c r="BO16" s="703"/>
      <c r="BP16" s="703"/>
      <c r="BQ16" s="703"/>
      <c r="BR16" s="703"/>
      <c r="BS16" s="703"/>
      <c r="BT16" s="703"/>
      <c r="BU16" s="703"/>
      <c r="BV16" s="703"/>
      <c r="BW16" s="703"/>
      <c r="BX16" s="703"/>
      <c r="BY16" s="703"/>
      <c r="BZ16" s="703"/>
      <c r="CA16" s="703"/>
      <c r="CB16" s="703"/>
      <c r="CC16" s="703"/>
      <c r="CD16" s="703"/>
      <c r="CE16" s="703"/>
      <c r="CF16" s="703"/>
      <c r="CG16" s="703"/>
      <c r="CH16" s="703"/>
      <c r="CI16" s="703"/>
      <c r="CJ16" s="703"/>
      <c r="CK16" s="703"/>
      <c r="CL16" s="703"/>
      <c r="CM16" s="703"/>
      <c r="CN16" s="703"/>
      <c r="CO16" s="703"/>
      <c r="CP16" s="703"/>
      <c r="CQ16" s="703"/>
      <c r="CR16" s="703"/>
      <c r="CS16" s="703"/>
      <c r="CT16" s="703"/>
      <c r="CU16" s="703"/>
      <c r="CV16" s="703"/>
      <c r="CW16" s="703"/>
      <c r="CX16" s="703"/>
      <c r="CY16" s="703"/>
      <c r="CZ16" s="703"/>
      <c r="DA16" s="703"/>
      <c r="DB16" s="703"/>
      <c r="DC16" s="703"/>
      <c r="DD16" s="703"/>
      <c r="DE16" s="703"/>
      <c r="DF16" s="703"/>
      <c r="DG16" s="703"/>
      <c r="DH16" s="703"/>
      <c r="DI16" s="703"/>
      <c r="DJ16" s="703"/>
      <c r="DK16" s="703"/>
      <c r="DL16" s="703"/>
      <c r="DM16" s="703"/>
      <c r="DN16" s="703"/>
      <c r="DO16" s="703"/>
      <c r="DP16" s="703"/>
      <c r="DQ16" s="703"/>
      <c r="DR16" s="703"/>
    </row>
    <row r="17" spans="1:122" x14ac:dyDescent="0.2">
      <c r="A17" s="703"/>
      <c r="B17" s="703"/>
      <c r="C17" s="719" t="s">
        <v>468</v>
      </c>
      <c r="D17" s="719"/>
      <c r="E17" s="719"/>
      <c r="F17" s="724">
        <f>+G17</f>
        <v>9043.4066982700115</v>
      </c>
      <c r="G17" s="720">
        <f>+U22</f>
        <v>9043.4066982700115</v>
      </c>
      <c r="H17" s="724">
        <f>+G17</f>
        <v>9043.4066982700115</v>
      </c>
      <c r="I17" s="703"/>
      <c r="J17" s="703"/>
      <c r="K17" s="715"/>
      <c r="L17" s="703"/>
      <c r="M17" s="703" t="s">
        <v>293</v>
      </c>
      <c r="N17" s="703"/>
      <c r="O17" s="713">
        <f>+Model!BX127</f>
        <v>1658</v>
      </c>
      <c r="P17" s="713">
        <f>+Model!CC127</f>
        <v>1771</v>
      </c>
      <c r="Q17" s="713">
        <f>+Model!CH127</f>
        <v>1835</v>
      </c>
      <c r="R17" s="713">
        <f>+Model!CM127</f>
        <v>1902</v>
      </c>
      <c r="S17" s="713">
        <f>+Model!CW127</f>
        <v>2222</v>
      </c>
      <c r="T17" s="713">
        <f>+Model!DB127</f>
        <v>2415.7799999999997</v>
      </c>
      <c r="U17" s="713">
        <f>+Model!DG127</f>
        <v>2500.3322999999996</v>
      </c>
      <c r="V17" s="713">
        <f>+Model!DL127</f>
        <v>2562.8406074999994</v>
      </c>
      <c r="W17" s="703"/>
      <c r="X17" s="703"/>
      <c r="Y17" s="845"/>
      <c r="Z17" s="703"/>
      <c r="AA17" s="703"/>
      <c r="AB17" s="703"/>
      <c r="AC17" s="703"/>
      <c r="AD17" s="703"/>
      <c r="AE17" s="703"/>
      <c r="AF17" s="703"/>
      <c r="AG17" s="703"/>
      <c r="AH17" s="703"/>
      <c r="AI17" s="703"/>
      <c r="AJ17" s="703"/>
      <c r="AK17" s="703"/>
      <c r="AL17" s="703"/>
      <c r="AM17" s="703"/>
      <c r="AN17" s="703"/>
      <c r="AO17" s="703"/>
      <c r="AP17" s="703"/>
      <c r="AQ17" s="703"/>
      <c r="AR17" s="703"/>
      <c r="AS17" s="703"/>
      <c r="AT17" s="703"/>
      <c r="AU17" s="703"/>
      <c r="AV17" s="703"/>
      <c r="AW17" s="703"/>
      <c r="AX17" s="703"/>
      <c r="AY17" s="703"/>
      <c r="AZ17" s="703"/>
      <c r="BA17" s="703"/>
      <c r="BB17" s="703"/>
      <c r="BC17" s="703"/>
      <c r="BD17" s="703"/>
      <c r="BE17" s="703"/>
      <c r="BF17" s="703"/>
      <c r="BG17" s="703"/>
      <c r="BH17" s="703"/>
      <c r="BI17" s="703"/>
      <c r="BJ17" s="703"/>
      <c r="BK17" s="703"/>
      <c r="BL17" s="703"/>
      <c r="BM17" s="703"/>
      <c r="BN17" s="703"/>
      <c r="BO17" s="703"/>
      <c r="BP17" s="703"/>
      <c r="BQ17" s="703"/>
      <c r="BR17" s="703"/>
      <c r="BS17" s="703"/>
      <c r="BT17" s="703"/>
      <c r="BU17" s="703"/>
      <c r="BV17" s="703"/>
      <c r="BW17" s="703"/>
      <c r="BX17" s="703"/>
      <c r="BY17" s="703"/>
      <c r="BZ17" s="703"/>
      <c r="CA17" s="703"/>
      <c r="CB17" s="703"/>
      <c r="CC17" s="703"/>
      <c r="CD17" s="703"/>
      <c r="CE17" s="703"/>
      <c r="CF17" s="703"/>
      <c r="CG17" s="703"/>
      <c r="CH17" s="703"/>
      <c r="CI17" s="703"/>
      <c r="CJ17" s="703"/>
      <c r="CK17" s="703"/>
      <c r="CL17" s="703"/>
      <c r="CM17" s="703"/>
      <c r="CN17" s="703"/>
      <c r="CO17" s="703"/>
      <c r="CP17" s="703"/>
      <c r="CQ17" s="703"/>
      <c r="CR17" s="703"/>
      <c r="CS17" s="703"/>
      <c r="CT17" s="703"/>
      <c r="CU17" s="703"/>
      <c r="CV17" s="703"/>
      <c r="CW17" s="703"/>
      <c r="CX17" s="703"/>
      <c r="CY17" s="703"/>
      <c r="CZ17" s="703"/>
      <c r="DA17" s="703"/>
      <c r="DB17" s="703"/>
      <c r="DC17" s="703"/>
      <c r="DD17" s="703"/>
      <c r="DE17" s="703"/>
      <c r="DF17" s="703"/>
      <c r="DG17" s="703"/>
      <c r="DH17" s="703"/>
      <c r="DI17" s="703"/>
      <c r="DJ17" s="703"/>
      <c r="DK17" s="703"/>
      <c r="DL17" s="703"/>
      <c r="DM17" s="703"/>
      <c r="DN17" s="703"/>
      <c r="DO17" s="703"/>
      <c r="DP17" s="703"/>
      <c r="DQ17" s="703"/>
      <c r="DR17" s="703"/>
    </row>
    <row r="18" spans="1:122" x14ac:dyDescent="0.2">
      <c r="A18" s="719"/>
      <c r="B18" s="703"/>
      <c r="C18" s="716" t="s">
        <v>509</v>
      </c>
      <c r="D18" s="716"/>
      <c r="E18" s="716"/>
      <c r="F18" s="744">
        <f>-2%*$U$9*80%</f>
        <v>-646.13226278004004</v>
      </c>
      <c r="G18" s="743">
        <v>0</v>
      </c>
      <c r="H18" s="744">
        <f>2%*$U$9*80%</f>
        <v>646.13226278004004</v>
      </c>
      <c r="I18" s="764"/>
      <c r="J18" s="764"/>
      <c r="K18" s="715"/>
      <c r="L18" s="703"/>
      <c r="M18" s="703" t="s">
        <v>259</v>
      </c>
      <c r="N18" s="703"/>
      <c r="O18" s="713">
        <f>+Model!BX131</f>
        <v>209</v>
      </c>
      <c r="P18" s="713">
        <f>+Model!CC131</f>
        <v>233</v>
      </c>
      <c r="Q18" s="713">
        <f>+Model!CH131</f>
        <v>250</v>
      </c>
      <c r="R18" s="713">
        <f>+Model!CM131</f>
        <v>285</v>
      </c>
      <c r="S18" s="713">
        <f>+Model!CW131</f>
        <v>351</v>
      </c>
      <c r="T18" s="713">
        <f>+Model!DB131</f>
        <v>392.07435787566487</v>
      </c>
      <c r="U18" s="713">
        <f>+Model!DG131</f>
        <v>406.41476764544109</v>
      </c>
      <c r="V18" s="713">
        <f>+Model!DL131</f>
        <v>418.60721067480432</v>
      </c>
      <c r="W18" s="703"/>
      <c r="X18" s="703"/>
      <c r="Y18" s="703"/>
      <c r="Z18" s="703"/>
      <c r="AA18" s="703"/>
      <c r="AB18" s="703"/>
      <c r="AC18" s="703"/>
      <c r="AD18" s="735"/>
      <c r="AE18" s="703"/>
      <c r="AF18" s="703"/>
      <c r="AG18" s="703"/>
      <c r="AH18" s="703"/>
      <c r="AI18" s="703"/>
      <c r="AJ18" s="703"/>
      <c r="AK18" s="703"/>
      <c r="AL18" s="703"/>
      <c r="AM18" s="703"/>
      <c r="AN18" s="703"/>
      <c r="AO18" s="703"/>
      <c r="AP18" s="703"/>
      <c r="AQ18" s="703"/>
      <c r="AR18" s="703"/>
      <c r="AS18" s="703"/>
      <c r="AT18" s="703"/>
      <c r="AU18" s="703"/>
      <c r="AV18" s="703"/>
      <c r="AW18" s="703"/>
      <c r="AX18" s="703"/>
      <c r="AY18" s="703"/>
      <c r="AZ18" s="703"/>
      <c r="BA18" s="703"/>
      <c r="BB18" s="703"/>
      <c r="BC18" s="703"/>
      <c r="BD18" s="703"/>
      <c r="BE18" s="703"/>
      <c r="BF18" s="703"/>
      <c r="BG18" s="703"/>
      <c r="BH18" s="703"/>
      <c r="BI18" s="703"/>
      <c r="BJ18" s="703"/>
      <c r="BK18" s="703"/>
      <c r="BL18" s="703"/>
      <c r="BM18" s="703"/>
      <c r="BN18" s="703"/>
      <c r="BO18" s="703"/>
      <c r="BP18" s="703"/>
      <c r="BQ18" s="703"/>
      <c r="BR18" s="703"/>
      <c r="BS18" s="703"/>
      <c r="BT18" s="703"/>
      <c r="BU18" s="703"/>
      <c r="BV18" s="703"/>
      <c r="BW18" s="703"/>
      <c r="BX18" s="703"/>
      <c r="BY18" s="703"/>
      <c r="BZ18" s="703"/>
      <c r="CA18" s="703"/>
      <c r="CB18" s="703"/>
      <c r="CC18" s="703"/>
      <c r="CD18" s="703"/>
      <c r="CE18" s="703"/>
      <c r="CF18" s="703"/>
      <c r="CG18" s="703"/>
      <c r="CH18" s="703"/>
      <c r="CI18" s="703"/>
      <c r="CJ18" s="703"/>
      <c r="CK18" s="703"/>
      <c r="CL18" s="703"/>
      <c r="CM18" s="703"/>
      <c r="CN18" s="703"/>
      <c r="CO18" s="703"/>
      <c r="CP18" s="703"/>
      <c r="CQ18" s="703"/>
      <c r="CR18" s="703"/>
      <c r="CS18" s="703"/>
      <c r="CT18" s="703"/>
      <c r="CU18" s="703"/>
      <c r="CV18" s="703"/>
      <c r="CW18" s="703"/>
      <c r="CX18" s="703"/>
      <c r="CY18" s="703"/>
      <c r="CZ18" s="703"/>
      <c r="DA18" s="703"/>
      <c r="DB18" s="703"/>
      <c r="DC18" s="703"/>
      <c r="DD18" s="703"/>
      <c r="DE18" s="703"/>
      <c r="DF18" s="703"/>
      <c r="DG18" s="703"/>
      <c r="DH18" s="703"/>
      <c r="DI18" s="703"/>
      <c r="DJ18" s="703"/>
      <c r="DK18" s="703"/>
      <c r="DL18" s="703"/>
      <c r="DM18" s="703"/>
      <c r="DN18" s="703"/>
      <c r="DO18" s="703"/>
      <c r="DP18" s="703"/>
      <c r="DQ18" s="703"/>
      <c r="DR18" s="703"/>
    </row>
    <row r="19" spans="1:122" x14ac:dyDescent="0.2">
      <c r="A19" s="703"/>
      <c r="B19" s="703"/>
      <c r="C19" s="716" t="s">
        <v>510</v>
      </c>
      <c r="D19" s="716"/>
      <c r="E19" s="716"/>
      <c r="F19" s="744">
        <f>-1%*$U$9*80%*0</f>
        <v>0</v>
      </c>
      <c r="G19" s="743">
        <v>0</v>
      </c>
      <c r="H19" s="744">
        <f>1%*$U$9*80%*0</f>
        <v>0</v>
      </c>
      <c r="I19" s="703"/>
      <c r="J19" s="703"/>
      <c r="K19" s="722"/>
      <c r="L19" s="703"/>
      <c r="M19" s="719" t="s">
        <v>469</v>
      </c>
      <c r="N19" s="719"/>
      <c r="O19" s="720">
        <f>+Model!BX139</f>
        <v>34247</v>
      </c>
      <c r="P19" s="720">
        <f>+Model!CC139</f>
        <v>35094</v>
      </c>
      <c r="Q19" s="720">
        <f>+Model!CH139</f>
        <v>34168</v>
      </c>
      <c r="R19" s="720">
        <f>+Model!CM139</f>
        <v>33137</v>
      </c>
      <c r="S19" s="720">
        <f>+Model!CW148</f>
        <v>34931.2264</v>
      </c>
      <c r="T19" s="720">
        <f>+Model!DB148</f>
        <v>37689.872290592481</v>
      </c>
      <c r="U19" s="720">
        <f>+Model!DG148</f>
        <v>38643.905943127931</v>
      </c>
      <c r="V19" s="720">
        <f>+Model!DL148</f>
        <v>39580.3328996235</v>
      </c>
      <c r="W19" s="719"/>
      <c r="X19" s="719"/>
      <c r="Y19" s="855"/>
      <c r="Z19" s="719"/>
      <c r="AA19" s="719"/>
      <c r="AB19" s="719"/>
      <c r="AC19" s="719"/>
      <c r="AD19" s="815"/>
      <c r="AE19" s="719"/>
      <c r="AF19" s="719"/>
      <c r="AG19" s="719"/>
      <c r="AH19" s="719"/>
      <c r="AI19" s="719"/>
      <c r="AJ19" s="719"/>
      <c r="AK19" s="719"/>
      <c r="AL19" s="719"/>
      <c r="AM19" s="719"/>
      <c r="AN19" s="719"/>
      <c r="AO19" s="719"/>
      <c r="AP19" s="719"/>
      <c r="AQ19" s="719"/>
      <c r="AR19" s="719"/>
      <c r="AS19" s="719"/>
      <c r="AT19" s="719"/>
      <c r="AU19" s="719"/>
      <c r="AV19" s="719"/>
      <c r="AW19" s="719"/>
      <c r="AX19" s="719"/>
      <c r="AY19" s="719"/>
      <c r="AZ19" s="719"/>
      <c r="BA19" s="719"/>
      <c r="BB19" s="719"/>
      <c r="BC19" s="719"/>
      <c r="BD19" s="719"/>
      <c r="BE19" s="719"/>
      <c r="BF19" s="719"/>
      <c r="BG19" s="719"/>
      <c r="BH19" s="719"/>
      <c r="BI19" s="719"/>
      <c r="BJ19" s="719"/>
      <c r="BK19" s="719"/>
      <c r="BL19" s="719"/>
      <c r="BM19" s="719"/>
      <c r="BN19" s="719"/>
      <c r="BO19" s="719"/>
      <c r="BP19" s="719"/>
      <c r="BQ19" s="719"/>
      <c r="BR19" s="719"/>
      <c r="BS19" s="719"/>
      <c r="BT19" s="719"/>
      <c r="BU19" s="719"/>
      <c r="BV19" s="719"/>
      <c r="BW19" s="719"/>
      <c r="BX19" s="719"/>
      <c r="BY19" s="719"/>
      <c r="BZ19" s="719"/>
      <c r="CA19" s="719"/>
      <c r="CB19" s="719"/>
      <c r="CC19" s="719"/>
      <c r="CD19" s="719"/>
      <c r="CE19" s="719"/>
      <c r="CF19" s="719"/>
      <c r="CG19" s="719"/>
      <c r="CH19" s="719"/>
      <c r="CI19" s="719"/>
      <c r="CJ19" s="719"/>
      <c r="CK19" s="719"/>
      <c r="CL19" s="719"/>
      <c r="CM19" s="719"/>
      <c r="CN19" s="719"/>
      <c r="CO19" s="719"/>
      <c r="CP19" s="719"/>
      <c r="CQ19" s="719"/>
      <c r="CR19" s="719"/>
      <c r="CS19" s="719"/>
      <c r="CT19" s="719"/>
      <c r="CU19" s="719"/>
      <c r="CV19" s="719"/>
      <c r="CW19" s="719"/>
      <c r="CX19" s="719"/>
      <c r="CY19" s="719"/>
      <c r="CZ19" s="719"/>
      <c r="DA19" s="719"/>
      <c r="DB19" s="719"/>
      <c r="DC19" s="719"/>
      <c r="DD19" s="719"/>
      <c r="DE19" s="719"/>
      <c r="DF19" s="719"/>
      <c r="DG19" s="719"/>
      <c r="DH19" s="719"/>
      <c r="DI19" s="719"/>
      <c r="DJ19" s="719"/>
      <c r="DK19" s="719"/>
      <c r="DL19" s="719"/>
      <c r="DM19" s="719"/>
      <c r="DN19" s="719"/>
      <c r="DO19" s="719"/>
      <c r="DP19" s="719"/>
      <c r="DQ19" s="719"/>
      <c r="DR19" s="719"/>
    </row>
    <row r="20" spans="1:122" x14ac:dyDescent="0.2">
      <c r="A20" s="703"/>
      <c r="B20" s="703"/>
      <c r="C20" s="716" t="s">
        <v>501</v>
      </c>
      <c r="D20" s="716"/>
      <c r="E20" s="716"/>
      <c r="F20" s="744">
        <f>-(15/42)*(Model!$DG$122+Model!$DG$109)*100%</f>
        <v>-1489.3328043883928</v>
      </c>
      <c r="G20" s="743">
        <v>0</v>
      </c>
      <c r="H20" s="744">
        <f>-(0)*(Model!$DG$122+Model!$DG$109)*80%</f>
        <v>0</v>
      </c>
      <c r="I20" s="703"/>
      <c r="J20" s="703"/>
      <c r="K20" s="715"/>
      <c r="L20" s="703"/>
      <c r="M20" s="703"/>
      <c r="N20" s="703"/>
      <c r="O20" s="708"/>
      <c r="P20" s="708"/>
      <c r="Q20" s="708"/>
      <c r="R20" s="708"/>
      <c r="S20" s="708"/>
      <c r="T20" s="708"/>
      <c r="U20" s="708"/>
      <c r="V20" s="708"/>
      <c r="W20" s="703"/>
      <c r="X20" s="703"/>
      <c r="Y20" s="735"/>
      <c r="Z20" s="703"/>
      <c r="AA20" s="703"/>
      <c r="AB20" s="703"/>
      <c r="AC20" s="703"/>
      <c r="AD20" s="703"/>
      <c r="AE20" s="703"/>
      <c r="AF20" s="703"/>
      <c r="AG20" s="703"/>
      <c r="AH20" s="703"/>
      <c r="AI20" s="703"/>
      <c r="AJ20" s="703"/>
      <c r="AK20" s="703"/>
      <c r="AL20" s="703"/>
      <c r="AM20" s="703"/>
      <c r="AN20" s="703"/>
      <c r="AO20" s="703"/>
      <c r="AP20" s="703"/>
      <c r="AQ20" s="703"/>
      <c r="AR20" s="703"/>
      <c r="AS20" s="703"/>
      <c r="AT20" s="703"/>
      <c r="AU20" s="703"/>
      <c r="AV20" s="703"/>
      <c r="AW20" s="703"/>
      <c r="AX20" s="703"/>
      <c r="AY20" s="703"/>
      <c r="AZ20" s="703"/>
      <c r="BA20" s="703"/>
      <c r="BB20" s="703"/>
      <c r="BC20" s="703"/>
      <c r="BD20" s="703"/>
      <c r="BE20" s="703"/>
      <c r="BF20" s="703"/>
      <c r="BG20" s="703"/>
      <c r="BH20" s="703"/>
      <c r="BI20" s="703"/>
      <c r="BJ20" s="703"/>
      <c r="BK20" s="703"/>
      <c r="BL20" s="703"/>
      <c r="BM20" s="703"/>
      <c r="BN20" s="703"/>
      <c r="BO20" s="703"/>
      <c r="BP20" s="703"/>
      <c r="BQ20" s="703"/>
      <c r="BR20" s="703"/>
      <c r="BS20" s="703"/>
      <c r="BT20" s="703"/>
      <c r="BU20" s="703"/>
      <c r="BV20" s="703"/>
      <c r="BW20" s="703"/>
      <c r="BX20" s="703"/>
      <c r="BY20" s="703"/>
      <c r="BZ20" s="703"/>
      <c r="CA20" s="703"/>
      <c r="CB20" s="703"/>
      <c r="CC20" s="703"/>
      <c r="CD20" s="703"/>
      <c r="CE20" s="703"/>
      <c r="CF20" s="703"/>
      <c r="CG20" s="703"/>
      <c r="CH20" s="703"/>
      <c r="CI20" s="703"/>
      <c r="CJ20" s="703"/>
      <c r="CK20" s="703"/>
      <c r="CL20" s="703"/>
      <c r="CM20" s="703"/>
      <c r="CN20" s="703"/>
      <c r="CO20" s="703"/>
      <c r="CP20" s="703"/>
      <c r="CQ20" s="703"/>
      <c r="CR20" s="703"/>
      <c r="CS20" s="703"/>
      <c r="CT20" s="703"/>
      <c r="CU20" s="703"/>
      <c r="CV20" s="703"/>
      <c r="CW20" s="703"/>
      <c r="CX20" s="703"/>
      <c r="CY20" s="703"/>
      <c r="CZ20" s="703"/>
      <c r="DA20" s="703"/>
      <c r="DB20" s="703"/>
      <c r="DC20" s="703"/>
      <c r="DD20" s="703"/>
      <c r="DE20" s="703"/>
      <c r="DF20" s="703"/>
      <c r="DG20" s="703"/>
      <c r="DH20" s="703"/>
      <c r="DI20" s="703"/>
      <c r="DJ20" s="703"/>
      <c r="DK20" s="703"/>
      <c r="DL20" s="703"/>
      <c r="DM20" s="703"/>
      <c r="DN20" s="703"/>
      <c r="DO20" s="703"/>
      <c r="DP20" s="703"/>
      <c r="DQ20" s="703"/>
      <c r="DR20" s="703"/>
    </row>
    <row r="21" spans="1:122" x14ac:dyDescent="0.2">
      <c r="A21" s="719"/>
      <c r="B21" s="719"/>
      <c r="C21" s="719" t="s">
        <v>470</v>
      </c>
      <c r="D21" s="719"/>
      <c r="E21" s="719"/>
      <c r="F21" s="720">
        <f>+SUM(F17:F20)</f>
        <v>6907.9416311015784</v>
      </c>
      <c r="G21" s="720">
        <f>+SUM(G17:G20)</f>
        <v>9043.4066982700115</v>
      </c>
      <c r="H21" s="720">
        <f>+SUM(H17:H20)</f>
        <v>9689.5389610500515</v>
      </c>
      <c r="I21" s="719"/>
      <c r="J21" s="719"/>
      <c r="K21" s="715"/>
      <c r="L21" s="703"/>
      <c r="M21" s="719" t="s">
        <v>120</v>
      </c>
      <c r="N21" s="719"/>
      <c r="O21" s="720">
        <f t="shared" ref="O21:T21" si="4">+O11-O19</f>
        <v>3526</v>
      </c>
      <c r="P21" s="720">
        <f t="shared" si="4"/>
        <v>5268</v>
      </c>
      <c r="Q21" s="720">
        <f t="shared" si="4"/>
        <v>6536</v>
      </c>
      <c r="R21" s="720">
        <f t="shared" si="4"/>
        <v>6502</v>
      </c>
      <c r="S21" s="720">
        <f t="shared" si="4"/>
        <v>5707</v>
      </c>
      <c r="T21" s="720">
        <f t="shared" si="4"/>
        <v>5658.4013294075194</v>
      </c>
      <c r="U21" s="720">
        <f t="shared" ref="U21:V21" si="5">+U11-U19</f>
        <v>6136.6596306245701</v>
      </c>
      <c r="V21" s="720">
        <f t="shared" si="5"/>
        <v>6619.2599263945376</v>
      </c>
      <c r="W21" s="703"/>
      <c r="X21" s="703"/>
      <c r="Y21" s="845"/>
      <c r="Z21" s="703"/>
      <c r="AA21" s="703"/>
      <c r="AB21" s="703"/>
      <c r="AC21" s="703"/>
      <c r="AD21" s="703"/>
      <c r="AE21" s="703"/>
      <c r="AF21" s="703"/>
      <c r="AG21" s="703"/>
      <c r="AH21" s="703"/>
      <c r="AI21" s="703"/>
      <c r="AJ21" s="703"/>
      <c r="AK21" s="703"/>
      <c r="AL21" s="703"/>
      <c r="AM21" s="703"/>
      <c r="AN21" s="703"/>
      <c r="AO21" s="703"/>
      <c r="AP21" s="703"/>
      <c r="AQ21" s="703"/>
      <c r="AR21" s="703"/>
      <c r="AS21" s="703"/>
      <c r="AT21" s="703"/>
      <c r="AU21" s="703"/>
      <c r="AV21" s="703"/>
      <c r="AW21" s="703"/>
      <c r="AX21" s="703"/>
      <c r="AY21" s="703"/>
      <c r="AZ21" s="703"/>
      <c r="BA21" s="703"/>
      <c r="BB21" s="703"/>
      <c r="BC21" s="703"/>
      <c r="BD21" s="703"/>
      <c r="BE21" s="703"/>
      <c r="BF21" s="703"/>
      <c r="BG21" s="703"/>
      <c r="BH21" s="703"/>
      <c r="BI21" s="703"/>
      <c r="BJ21" s="703"/>
      <c r="BK21" s="703"/>
      <c r="BL21" s="703"/>
      <c r="BM21" s="703"/>
      <c r="BN21" s="703"/>
      <c r="BO21" s="703"/>
      <c r="BP21" s="703"/>
      <c r="BQ21" s="703"/>
      <c r="BR21" s="703"/>
      <c r="BS21" s="703"/>
      <c r="BT21" s="703"/>
      <c r="BU21" s="703"/>
      <c r="BV21" s="703"/>
      <c r="BW21" s="703"/>
      <c r="BX21" s="703"/>
      <c r="BY21" s="703"/>
      <c r="BZ21" s="703"/>
      <c r="CA21" s="703"/>
      <c r="CB21" s="703"/>
      <c r="CC21" s="703"/>
      <c r="CD21" s="703"/>
      <c r="CE21" s="703"/>
      <c r="CF21" s="703"/>
      <c r="CG21" s="703"/>
      <c r="CH21" s="703"/>
      <c r="CI21" s="703"/>
      <c r="CJ21" s="703"/>
      <c r="CK21" s="703"/>
      <c r="CL21" s="703"/>
      <c r="CM21" s="703"/>
      <c r="CN21" s="703"/>
      <c r="CO21" s="703"/>
      <c r="CP21" s="703"/>
      <c r="CQ21" s="703"/>
      <c r="CR21" s="703"/>
      <c r="CS21" s="703"/>
      <c r="CT21" s="703"/>
      <c r="CU21" s="703"/>
      <c r="CV21" s="703"/>
      <c r="CW21" s="703"/>
      <c r="CX21" s="703"/>
      <c r="CY21" s="703"/>
      <c r="CZ21" s="703"/>
      <c r="DA21" s="703"/>
      <c r="DB21" s="703"/>
      <c r="DC21" s="703"/>
      <c r="DD21" s="703"/>
      <c r="DE21" s="703"/>
      <c r="DF21" s="703"/>
      <c r="DG21" s="703"/>
      <c r="DH21" s="703"/>
      <c r="DI21" s="703"/>
      <c r="DJ21" s="703"/>
      <c r="DK21" s="703"/>
      <c r="DL21" s="703"/>
      <c r="DM21" s="703"/>
      <c r="DN21" s="703"/>
      <c r="DO21" s="703"/>
      <c r="DP21" s="703"/>
      <c r="DQ21" s="703"/>
      <c r="DR21" s="703"/>
    </row>
    <row r="22" spans="1:122" x14ac:dyDescent="0.2">
      <c r="A22" s="703"/>
      <c r="B22" s="703"/>
      <c r="C22" s="703"/>
      <c r="D22" s="703"/>
      <c r="E22" s="703"/>
      <c r="F22" s="703"/>
      <c r="G22" s="713"/>
      <c r="H22" s="703"/>
      <c r="I22" s="703"/>
      <c r="J22" s="703"/>
      <c r="K22" s="722"/>
      <c r="L22" s="703"/>
      <c r="M22" s="719" t="s">
        <v>97</v>
      </c>
      <c r="N22" s="719"/>
      <c r="O22" s="720">
        <f t="shared" ref="O22:T22" si="6">+O21+O17+O18</f>
        <v>5393</v>
      </c>
      <c r="P22" s="720">
        <f t="shared" si="6"/>
        <v>7272</v>
      </c>
      <c r="Q22" s="720">
        <f t="shared" si="6"/>
        <v>8621</v>
      </c>
      <c r="R22" s="720">
        <f t="shared" si="6"/>
        <v>8689</v>
      </c>
      <c r="S22" s="720">
        <f t="shared" si="6"/>
        <v>8280</v>
      </c>
      <c r="T22" s="720">
        <f t="shared" si="6"/>
        <v>8466.2556872831847</v>
      </c>
      <c r="U22" s="960">
        <f t="shared" ref="U22:V22" si="7">+U21+U17+U18</f>
        <v>9043.4066982700115</v>
      </c>
      <c r="V22" s="720">
        <f t="shared" si="7"/>
        <v>9600.7077445693412</v>
      </c>
      <c r="W22" s="719"/>
      <c r="X22" s="719"/>
      <c r="Y22" s="719"/>
      <c r="Z22" s="719"/>
      <c r="AA22" s="719"/>
      <c r="AB22" s="719"/>
      <c r="AC22" s="719"/>
      <c r="AD22" s="719"/>
      <c r="AE22" s="719"/>
      <c r="AF22" s="719"/>
      <c r="AG22" s="719"/>
      <c r="AH22" s="719"/>
      <c r="AI22" s="719"/>
      <c r="AJ22" s="719"/>
      <c r="AK22" s="719"/>
      <c r="AL22" s="719"/>
      <c r="AM22" s="719"/>
      <c r="AN22" s="719"/>
      <c r="AO22" s="719"/>
      <c r="AP22" s="719"/>
      <c r="AQ22" s="719"/>
      <c r="AR22" s="719"/>
      <c r="AS22" s="719"/>
      <c r="AT22" s="719"/>
      <c r="AU22" s="719"/>
      <c r="AV22" s="719"/>
      <c r="AW22" s="719"/>
      <c r="AX22" s="719"/>
      <c r="AY22" s="719"/>
      <c r="AZ22" s="719"/>
      <c r="BA22" s="719"/>
      <c r="BB22" s="719"/>
      <c r="BC22" s="719"/>
      <c r="BD22" s="719"/>
      <c r="BE22" s="719"/>
      <c r="BF22" s="719"/>
      <c r="BG22" s="719"/>
      <c r="BH22" s="719"/>
      <c r="BI22" s="719"/>
      <c r="BJ22" s="719"/>
      <c r="BK22" s="719"/>
      <c r="BL22" s="719"/>
      <c r="BM22" s="719"/>
      <c r="BN22" s="719"/>
      <c r="BO22" s="719"/>
      <c r="BP22" s="719"/>
      <c r="BQ22" s="719"/>
      <c r="BR22" s="719"/>
      <c r="BS22" s="719"/>
      <c r="BT22" s="719"/>
      <c r="BU22" s="719"/>
      <c r="BV22" s="719"/>
      <c r="BW22" s="719"/>
      <c r="BX22" s="719"/>
      <c r="BY22" s="719"/>
      <c r="BZ22" s="719"/>
      <c r="CA22" s="719"/>
      <c r="CB22" s="719"/>
      <c r="CC22" s="719"/>
      <c r="CD22" s="719"/>
      <c r="CE22" s="719"/>
      <c r="CF22" s="719"/>
      <c r="CG22" s="719"/>
      <c r="CH22" s="719"/>
      <c r="CI22" s="719"/>
      <c r="CJ22" s="719"/>
      <c r="CK22" s="719"/>
      <c r="CL22" s="719"/>
      <c r="CM22" s="719"/>
      <c r="CN22" s="719"/>
      <c r="CO22" s="719"/>
      <c r="CP22" s="719"/>
      <c r="CQ22" s="719"/>
      <c r="CR22" s="719"/>
      <c r="CS22" s="719"/>
      <c r="CT22" s="719"/>
      <c r="CU22" s="719"/>
      <c r="CV22" s="719"/>
      <c r="CW22" s="719"/>
      <c r="CX22" s="719"/>
      <c r="CY22" s="719"/>
      <c r="CZ22" s="719"/>
      <c r="DA22" s="719"/>
      <c r="DB22" s="719"/>
      <c r="DC22" s="719"/>
      <c r="DD22" s="719"/>
      <c r="DE22" s="719"/>
      <c r="DF22" s="719"/>
      <c r="DG22" s="719"/>
      <c r="DH22" s="719"/>
      <c r="DI22" s="719"/>
      <c r="DJ22" s="719"/>
      <c r="DK22" s="719"/>
      <c r="DL22" s="719"/>
      <c r="DM22" s="719"/>
      <c r="DN22" s="719"/>
      <c r="DO22" s="719"/>
      <c r="DP22" s="719"/>
      <c r="DQ22" s="719"/>
      <c r="DR22" s="719"/>
    </row>
    <row r="23" spans="1:122" x14ac:dyDescent="0.2">
      <c r="A23" s="703"/>
      <c r="B23" s="703"/>
      <c r="C23" s="703" t="s">
        <v>471</v>
      </c>
      <c r="D23" s="703"/>
      <c r="E23" s="703"/>
      <c r="F23" s="723">
        <f>+G23-0.75</f>
        <v>5.3</v>
      </c>
      <c r="G23" s="723">
        <v>6.05</v>
      </c>
      <c r="H23" s="723">
        <f>+G23+1</f>
        <v>7.05</v>
      </c>
      <c r="I23" s="703"/>
      <c r="J23" s="703"/>
      <c r="K23" s="715"/>
      <c r="L23" s="703"/>
      <c r="M23" s="703"/>
      <c r="N23" s="703"/>
      <c r="O23" s="708"/>
      <c r="P23" s="708"/>
      <c r="Q23" s="708"/>
      <c r="R23" s="708"/>
      <c r="S23" s="708"/>
      <c r="T23" s="708"/>
      <c r="U23" s="708"/>
      <c r="V23" s="708"/>
      <c r="W23" s="703"/>
      <c r="X23" s="703"/>
      <c r="Y23" s="703"/>
      <c r="Z23" s="703"/>
      <c r="AA23" s="703"/>
      <c r="AB23" s="703"/>
      <c r="AC23" s="703"/>
      <c r="AD23" s="703"/>
      <c r="AE23" s="703"/>
      <c r="AF23" s="703"/>
      <c r="AG23" s="703"/>
      <c r="AH23" s="703"/>
      <c r="AI23" s="703"/>
      <c r="AJ23" s="703"/>
      <c r="AK23" s="703"/>
      <c r="AL23" s="703"/>
      <c r="AM23" s="703"/>
      <c r="AN23" s="703"/>
      <c r="AO23" s="703"/>
      <c r="AP23" s="703"/>
      <c r="AQ23" s="703"/>
      <c r="AR23" s="703"/>
      <c r="AS23" s="703"/>
      <c r="AT23" s="703"/>
      <c r="AU23" s="703"/>
      <c r="AV23" s="703"/>
      <c r="AW23" s="703"/>
      <c r="AX23" s="703"/>
      <c r="AY23" s="703"/>
      <c r="AZ23" s="703"/>
      <c r="BA23" s="703"/>
      <c r="BB23" s="703"/>
      <c r="BC23" s="703"/>
      <c r="BD23" s="703"/>
      <c r="BE23" s="703"/>
      <c r="BF23" s="703"/>
      <c r="BG23" s="703"/>
      <c r="BH23" s="703"/>
      <c r="BI23" s="703"/>
      <c r="BJ23" s="703"/>
      <c r="BK23" s="703"/>
      <c r="BL23" s="703"/>
      <c r="BM23" s="703"/>
      <c r="BN23" s="703"/>
      <c r="BO23" s="703"/>
      <c r="BP23" s="703"/>
      <c r="BQ23" s="703"/>
      <c r="BR23" s="703"/>
      <c r="BS23" s="703"/>
      <c r="BT23" s="703"/>
      <c r="BU23" s="703"/>
      <c r="BV23" s="703"/>
      <c r="BW23" s="703"/>
      <c r="BX23" s="703"/>
      <c r="BY23" s="703"/>
      <c r="BZ23" s="703"/>
      <c r="CA23" s="703"/>
      <c r="CB23" s="703"/>
      <c r="CC23" s="703"/>
      <c r="CD23" s="703"/>
      <c r="CE23" s="703"/>
      <c r="CF23" s="703"/>
      <c r="CG23" s="703"/>
      <c r="CH23" s="703"/>
      <c r="CI23" s="703"/>
      <c r="CJ23" s="703"/>
      <c r="CK23" s="703"/>
      <c r="CL23" s="703"/>
      <c r="CM23" s="703"/>
      <c r="CN23" s="703"/>
      <c r="CO23" s="703"/>
      <c r="CP23" s="703"/>
      <c r="CQ23" s="703"/>
      <c r="CR23" s="703"/>
      <c r="CS23" s="703"/>
      <c r="CT23" s="703"/>
      <c r="CU23" s="703"/>
      <c r="CV23" s="703"/>
      <c r="CW23" s="703"/>
      <c r="CX23" s="703"/>
      <c r="CY23" s="703"/>
      <c r="CZ23" s="703"/>
      <c r="DA23" s="703"/>
      <c r="DB23" s="703"/>
      <c r="DC23" s="703"/>
      <c r="DD23" s="703"/>
      <c r="DE23" s="703"/>
      <c r="DF23" s="703"/>
      <c r="DG23" s="703"/>
      <c r="DH23" s="703"/>
      <c r="DI23" s="703"/>
      <c r="DJ23" s="703"/>
      <c r="DK23" s="703"/>
      <c r="DL23" s="703"/>
      <c r="DM23" s="703"/>
      <c r="DN23" s="703"/>
      <c r="DO23" s="703"/>
      <c r="DP23" s="703"/>
      <c r="DQ23" s="703"/>
      <c r="DR23" s="703"/>
    </row>
    <row r="24" spans="1:122" x14ac:dyDescent="0.2">
      <c r="A24" s="703"/>
      <c r="B24" s="719"/>
      <c r="C24" s="719" t="s">
        <v>472</v>
      </c>
      <c r="D24" s="719"/>
      <c r="E24" s="719"/>
      <c r="F24" s="720">
        <f>+F21*F23</f>
        <v>36612.090644838361</v>
      </c>
      <c r="G24" s="720">
        <f>+G21*G23</f>
        <v>54712.610524533571</v>
      </c>
      <c r="H24" s="720">
        <f>+H21*H23</f>
        <v>68311.249675402854</v>
      </c>
      <c r="I24" s="719"/>
      <c r="J24" s="719"/>
      <c r="K24" s="715"/>
      <c r="L24" s="703"/>
      <c r="M24" s="703" t="s">
        <v>473</v>
      </c>
      <c r="N24" s="703"/>
      <c r="O24" s="713">
        <f>-Model!BX176</f>
        <v>850.99999999999989</v>
      </c>
      <c r="P24" s="713">
        <f>-Model!CC176</f>
        <v>732</v>
      </c>
      <c r="Q24" s="713">
        <f>-Model!CH176</f>
        <v>671</v>
      </c>
      <c r="R24" s="713">
        <f>-Model!CM176</f>
        <v>431</v>
      </c>
      <c r="S24" s="713">
        <f>-Model!CW176</f>
        <v>457</v>
      </c>
      <c r="T24" s="713">
        <f>-Model!DB176</f>
        <v>241</v>
      </c>
      <c r="U24" s="713">
        <f>-Model!DG176</f>
        <v>310</v>
      </c>
      <c r="V24" s="713">
        <f>-Model!DL176</f>
        <v>233</v>
      </c>
      <c r="W24" s="703"/>
      <c r="X24" s="703"/>
      <c r="Y24" s="977"/>
      <c r="Z24" s="977"/>
      <c r="AA24" s="977"/>
      <c r="AB24" s="977"/>
      <c r="AC24" s="977"/>
      <c r="AD24" s="977"/>
      <c r="AE24" s="977"/>
      <c r="AF24" s="703"/>
      <c r="AG24" s="703"/>
      <c r="AH24" s="703"/>
      <c r="AI24" s="703"/>
      <c r="AJ24" s="703"/>
      <c r="AK24" s="703"/>
      <c r="AL24" s="703"/>
      <c r="AM24" s="703"/>
      <c r="AN24" s="703"/>
      <c r="AO24" s="703"/>
      <c r="AP24" s="703"/>
      <c r="AQ24" s="703"/>
      <c r="AR24" s="703"/>
      <c r="AS24" s="703"/>
      <c r="AT24" s="703"/>
      <c r="AU24" s="703"/>
      <c r="AV24" s="703"/>
      <c r="AW24" s="703"/>
      <c r="AX24" s="703"/>
      <c r="AY24" s="703"/>
      <c r="AZ24" s="703"/>
      <c r="BA24" s="703"/>
      <c r="BB24" s="703"/>
      <c r="BC24" s="703"/>
      <c r="BD24" s="703"/>
      <c r="BE24" s="703"/>
      <c r="BF24" s="703"/>
      <c r="BG24" s="703"/>
      <c r="BH24" s="703"/>
      <c r="BI24" s="703"/>
      <c r="BJ24" s="703"/>
      <c r="BK24" s="703"/>
      <c r="BL24" s="703"/>
      <c r="BM24" s="703"/>
      <c r="BN24" s="703"/>
      <c r="BO24" s="703"/>
      <c r="BP24" s="703"/>
      <c r="BQ24" s="703"/>
      <c r="BR24" s="703"/>
      <c r="BS24" s="703"/>
      <c r="BT24" s="703"/>
      <c r="BU24" s="703"/>
      <c r="BV24" s="703"/>
      <c r="BW24" s="703"/>
      <c r="BX24" s="703"/>
      <c r="BY24" s="703"/>
      <c r="BZ24" s="703"/>
      <c r="CA24" s="703"/>
      <c r="CB24" s="703"/>
      <c r="CC24" s="703"/>
      <c r="CD24" s="703"/>
      <c r="CE24" s="703"/>
      <c r="CF24" s="703"/>
      <c r="CG24" s="703"/>
      <c r="CH24" s="703"/>
      <c r="CI24" s="703"/>
      <c r="CJ24" s="703"/>
      <c r="CK24" s="703"/>
      <c r="CL24" s="703"/>
      <c r="CM24" s="703"/>
      <c r="CN24" s="703"/>
      <c r="CO24" s="703"/>
      <c r="CP24" s="703"/>
      <c r="CQ24" s="703"/>
      <c r="CR24" s="703"/>
      <c r="CS24" s="703"/>
      <c r="CT24" s="703"/>
      <c r="CU24" s="703"/>
      <c r="CV24" s="703"/>
      <c r="CW24" s="703"/>
      <c r="CX24" s="703"/>
      <c r="CY24" s="703"/>
      <c r="CZ24" s="703"/>
      <c r="DA24" s="703"/>
      <c r="DB24" s="703"/>
      <c r="DC24" s="703"/>
      <c r="DD24" s="703"/>
      <c r="DE24" s="703"/>
      <c r="DF24" s="703"/>
      <c r="DG24" s="703"/>
      <c r="DH24" s="703"/>
      <c r="DI24" s="703"/>
      <c r="DJ24" s="703"/>
      <c r="DK24" s="703"/>
      <c r="DL24" s="703"/>
      <c r="DM24" s="703"/>
      <c r="DN24" s="703"/>
      <c r="DO24" s="703"/>
      <c r="DP24" s="703"/>
      <c r="DQ24" s="703"/>
      <c r="DR24" s="703"/>
    </row>
    <row r="25" spans="1:122" x14ac:dyDescent="0.2">
      <c r="A25" s="703"/>
      <c r="B25" s="703"/>
      <c r="C25" s="703"/>
      <c r="D25" s="703"/>
      <c r="E25" s="703"/>
      <c r="F25" s="703"/>
      <c r="G25" s="703"/>
      <c r="H25" s="703"/>
      <c r="I25" s="703"/>
      <c r="J25" s="703"/>
      <c r="K25" s="715"/>
      <c r="L25" s="703"/>
      <c r="M25" s="703" t="s">
        <v>475</v>
      </c>
      <c r="N25" s="703"/>
      <c r="O25" s="713">
        <f>+Model!BX181</f>
        <v>-24</v>
      </c>
      <c r="P25" s="713">
        <f>+Model!CC181</f>
        <v>1703</v>
      </c>
      <c r="Q25" s="713">
        <f>+Model!CH181</f>
        <v>2156</v>
      </c>
      <c r="R25" s="713">
        <f>+Model!CM181</f>
        <v>2054</v>
      </c>
      <c r="S25" s="713">
        <f>+Model!CW181</f>
        <v>1809</v>
      </c>
      <c r="T25" s="713">
        <f>+Model!DB181</f>
        <v>1243.5223057637295</v>
      </c>
      <c r="U25" s="713">
        <f>+Model!DG181</f>
        <v>1340.1317150436512</v>
      </c>
      <c r="V25" s="713">
        <f>+Model!DL181</f>
        <v>1468.8397830707438</v>
      </c>
      <c r="W25" s="703"/>
      <c r="X25" s="703"/>
      <c r="Y25" s="721"/>
      <c r="Z25" s="721"/>
      <c r="AA25" s="721"/>
      <c r="AB25" s="721"/>
      <c r="AC25" s="721"/>
      <c r="AD25" s="721"/>
      <c r="AE25" s="721"/>
      <c r="AF25" s="703"/>
      <c r="AG25" s="703"/>
      <c r="AH25" s="703"/>
      <c r="AI25" s="703"/>
      <c r="AJ25" s="703"/>
      <c r="AK25" s="703"/>
      <c r="AL25" s="703"/>
      <c r="AM25" s="703"/>
      <c r="AN25" s="703"/>
      <c r="AO25" s="703"/>
      <c r="AP25" s="703"/>
      <c r="AQ25" s="703"/>
      <c r="AR25" s="703"/>
      <c r="AS25" s="703"/>
      <c r="AT25" s="703"/>
      <c r="AU25" s="703"/>
      <c r="AV25" s="703"/>
      <c r="AW25" s="703"/>
      <c r="AX25" s="703"/>
      <c r="AY25" s="703"/>
      <c r="AZ25" s="703"/>
      <c r="BA25" s="703"/>
      <c r="BB25" s="703"/>
      <c r="BC25" s="703"/>
      <c r="BD25" s="703"/>
      <c r="BE25" s="703"/>
      <c r="BF25" s="703"/>
      <c r="BG25" s="703"/>
      <c r="BH25" s="703"/>
      <c r="BI25" s="703"/>
      <c r="BJ25" s="703"/>
      <c r="BK25" s="703"/>
      <c r="BL25" s="703"/>
      <c r="BM25" s="703"/>
      <c r="BN25" s="703"/>
      <c r="BO25" s="703"/>
      <c r="BP25" s="703"/>
      <c r="BQ25" s="703"/>
      <c r="BR25" s="703"/>
      <c r="BS25" s="703"/>
      <c r="BT25" s="703"/>
      <c r="BU25" s="703"/>
      <c r="BV25" s="703"/>
      <c r="BW25" s="703"/>
      <c r="BX25" s="703"/>
      <c r="BY25" s="703"/>
      <c r="BZ25" s="703"/>
      <c r="CA25" s="703"/>
      <c r="CB25" s="703"/>
      <c r="CC25" s="703"/>
      <c r="CD25" s="703"/>
      <c r="CE25" s="703"/>
      <c r="CF25" s="703"/>
      <c r="CG25" s="703"/>
      <c r="CH25" s="703"/>
      <c r="CI25" s="703"/>
      <c r="CJ25" s="703"/>
      <c r="CK25" s="703"/>
      <c r="CL25" s="703"/>
      <c r="CM25" s="703"/>
      <c r="CN25" s="703"/>
      <c r="CO25" s="703"/>
      <c r="CP25" s="703"/>
      <c r="CQ25" s="703"/>
      <c r="CR25" s="703"/>
      <c r="CS25" s="703"/>
      <c r="CT25" s="703"/>
      <c r="CU25" s="703"/>
      <c r="CV25" s="703"/>
      <c r="CW25" s="703"/>
      <c r="CX25" s="703"/>
      <c r="CY25" s="703"/>
      <c r="CZ25" s="703"/>
      <c r="DA25" s="703"/>
      <c r="DB25" s="703"/>
      <c r="DC25" s="703"/>
      <c r="DD25" s="703"/>
      <c r="DE25" s="703"/>
      <c r="DF25" s="703"/>
      <c r="DG25" s="703"/>
      <c r="DH25" s="703"/>
      <c r="DI25" s="703"/>
      <c r="DJ25" s="703"/>
      <c r="DK25" s="703"/>
      <c r="DL25" s="703"/>
      <c r="DM25" s="703"/>
      <c r="DN25" s="703"/>
      <c r="DO25" s="703"/>
      <c r="DP25" s="703"/>
      <c r="DQ25" s="703"/>
      <c r="DR25" s="703"/>
    </row>
    <row r="26" spans="1:122" x14ac:dyDescent="0.2">
      <c r="A26" s="703"/>
      <c r="B26" s="703"/>
      <c r="C26" s="703" t="s">
        <v>474</v>
      </c>
      <c r="D26" s="703"/>
      <c r="E26" s="703"/>
      <c r="F26" s="721">
        <f>+G26</f>
        <v>-5764.4999999999991</v>
      </c>
      <c r="G26" s="713">
        <f>-U50</f>
        <v>-5764.4999999999991</v>
      </c>
      <c r="H26" s="721">
        <f>+G26</f>
        <v>-5764.4999999999991</v>
      </c>
      <c r="I26" s="703"/>
      <c r="J26" s="703"/>
      <c r="K26" s="715"/>
      <c r="L26" s="703"/>
      <c r="M26" s="703"/>
      <c r="N26" s="703"/>
      <c r="O26" s="703"/>
      <c r="P26" s="703"/>
      <c r="Q26" s="703"/>
      <c r="R26" s="703"/>
      <c r="S26" s="703"/>
      <c r="T26" s="703"/>
      <c r="U26" s="703"/>
      <c r="V26" s="703"/>
      <c r="W26" s="703"/>
      <c r="X26" s="703"/>
      <c r="Y26" s="721"/>
      <c r="Z26" s="721"/>
      <c r="AA26" s="721"/>
      <c r="AB26" s="721"/>
      <c r="AC26" s="721"/>
      <c r="AD26" s="721"/>
      <c r="AE26" s="721"/>
      <c r="AF26" s="703"/>
      <c r="AG26" s="703"/>
      <c r="AH26" s="703"/>
      <c r="AI26" s="703"/>
      <c r="AJ26" s="703"/>
      <c r="AK26" s="703"/>
      <c r="AL26" s="703"/>
      <c r="AM26" s="703"/>
      <c r="AN26" s="703"/>
      <c r="AO26" s="703"/>
      <c r="AP26" s="703"/>
      <c r="AQ26" s="703"/>
      <c r="AR26" s="703"/>
      <c r="AS26" s="703"/>
      <c r="AT26" s="703"/>
      <c r="AU26" s="703"/>
      <c r="AV26" s="703"/>
      <c r="AW26" s="703"/>
      <c r="AX26" s="703"/>
      <c r="AY26" s="703"/>
      <c r="AZ26" s="703"/>
      <c r="BA26" s="703"/>
      <c r="BB26" s="703"/>
      <c r="BC26" s="703"/>
      <c r="BD26" s="703"/>
      <c r="BE26" s="703"/>
      <c r="BF26" s="703"/>
      <c r="BG26" s="703"/>
      <c r="BH26" s="703"/>
      <c r="BI26" s="703"/>
      <c r="BJ26" s="703"/>
      <c r="BK26" s="703"/>
      <c r="BL26" s="703"/>
      <c r="BM26" s="703"/>
      <c r="BN26" s="703"/>
      <c r="BO26" s="703"/>
      <c r="BP26" s="703"/>
      <c r="BQ26" s="703"/>
      <c r="BR26" s="703"/>
      <c r="BS26" s="703"/>
      <c r="BT26" s="703"/>
      <c r="BU26" s="703"/>
      <c r="BV26" s="703"/>
      <c r="BW26" s="703"/>
      <c r="BX26" s="703"/>
      <c r="BY26" s="703"/>
      <c r="BZ26" s="703"/>
      <c r="CA26" s="703"/>
      <c r="CB26" s="703"/>
      <c r="CC26" s="703"/>
      <c r="CD26" s="703"/>
      <c r="CE26" s="703"/>
      <c r="CF26" s="703"/>
      <c r="CG26" s="703"/>
      <c r="CH26" s="703"/>
      <c r="CI26" s="703"/>
      <c r="CJ26" s="703"/>
      <c r="CK26" s="703"/>
      <c r="CL26" s="703"/>
      <c r="CM26" s="703"/>
      <c r="CN26" s="703"/>
      <c r="CO26" s="703"/>
      <c r="CP26" s="703"/>
      <c r="CQ26" s="703"/>
      <c r="CR26" s="703"/>
      <c r="CS26" s="703"/>
      <c r="CT26" s="703"/>
      <c r="CU26" s="703"/>
      <c r="CV26" s="703"/>
      <c r="CW26" s="703"/>
      <c r="CX26" s="703"/>
      <c r="CY26" s="703"/>
      <c r="CZ26" s="703"/>
      <c r="DA26" s="703"/>
      <c r="DB26" s="703"/>
      <c r="DC26" s="703"/>
      <c r="DD26" s="703"/>
      <c r="DE26" s="703"/>
      <c r="DF26" s="703"/>
      <c r="DG26" s="703"/>
      <c r="DH26" s="703"/>
      <c r="DI26" s="703"/>
      <c r="DJ26" s="703"/>
      <c r="DK26" s="703"/>
      <c r="DL26" s="703"/>
      <c r="DM26" s="703"/>
      <c r="DN26" s="703"/>
      <c r="DO26" s="703"/>
      <c r="DP26" s="703"/>
      <c r="DQ26" s="703"/>
      <c r="DR26" s="703"/>
    </row>
    <row r="27" spans="1:122" x14ac:dyDescent="0.2">
      <c r="A27" s="703"/>
      <c r="B27" s="703"/>
      <c r="C27" s="703" t="s">
        <v>476</v>
      </c>
      <c r="D27" s="703"/>
      <c r="E27" s="703"/>
      <c r="F27" s="721">
        <f>+G27</f>
        <v>-2844.9033735180874</v>
      </c>
      <c r="G27" s="713">
        <f>+-U51</f>
        <v>-2844.9033735180874</v>
      </c>
      <c r="H27" s="721">
        <f>+G27</f>
        <v>-2844.9033735180874</v>
      </c>
      <c r="I27" s="703"/>
      <c r="J27" s="703"/>
      <c r="K27" s="715"/>
      <c r="L27" s="703"/>
      <c r="M27" s="719" t="s">
        <v>367</v>
      </c>
      <c r="N27" s="703"/>
      <c r="O27" s="724">
        <f t="shared" ref="O27:T27" si="8">+O21-O24-O25</f>
        <v>2699</v>
      </c>
      <c r="P27" s="724">
        <f t="shared" si="8"/>
        <v>2833</v>
      </c>
      <c r="Q27" s="724">
        <f t="shared" si="8"/>
        <v>3709</v>
      </c>
      <c r="R27" s="724">
        <f t="shared" si="8"/>
        <v>4017</v>
      </c>
      <c r="S27" s="724">
        <f t="shared" si="8"/>
        <v>3441</v>
      </c>
      <c r="T27" s="724">
        <f t="shared" si="8"/>
        <v>4173.8790236437899</v>
      </c>
      <c r="U27" s="724">
        <f t="shared" ref="U27:V27" si="9">+U21-U24-U25</f>
        <v>4486.5279155809185</v>
      </c>
      <c r="V27" s="724">
        <f t="shared" si="9"/>
        <v>4917.420143323794</v>
      </c>
      <c r="W27" s="703"/>
      <c r="X27" s="703"/>
      <c r="Y27" s="721"/>
      <c r="Z27" s="721"/>
      <c r="AA27" s="721"/>
      <c r="AB27" s="721"/>
      <c r="AC27" s="721"/>
      <c r="AD27" s="721"/>
      <c r="AE27" s="721"/>
      <c r="AF27" s="703"/>
      <c r="AG27" s="703"/>
      <c r="AH27" s="703"/>
      <c r="AI27" s="703"/>
      <c r="AJ27" s="703"/>
      <c r="AK27" s="703"/>
      <c r="AL27" s="703"/>
      <c r="AM27" s="703"/>
      <c r="AN27" s="703"/>
      <c r="AO27" s="703"/>
      <c r="AP27" s="703"/>
      <c r="AQ27" s="703"/>
      <c r="AR27" s="703"/>
      <c r="AS27" s="703"/>
      <c r="AT27" s="703"/>
      <c r="AU27" s="703"/>
      <c r="AV27" s="703"/>
      <c r="AW27" s="703"/>
      <c r="AX27" s="703"/>
      <c r="AY27" s="703"/>
      <c r="AZ27" s="703"/>
      <c r="BA27" s="703"/>
      <c r="BB27" s="703"/>
      <c r="BC27" s="703"/>
      <c r="BD27" s="703"/>
      <c r="BE27" s="703"/>
      <c r="BF27" s="703"/>
      <c r="BG27" s="703"/>
      <c r="BH27" s="703"/>
      <c r="BI27" s="703"/>
      <c r="BJ27" s="703"/>
      <c r="BK27" s="703"/>
      <c r="BL27" s="703"/>
      <c r="BM27" s="703"/>
      <c r="BN27" s="703"/>
      <c r="BO27" s="703"/>
      <c r="BP27" s="703"/>
      <c r="BQ27" s="703"/>
      <c r="BR27" s="703"/>
      <c r="BS27" s="703"/>
      <c r="BT27" s="703"/>
      <c r="BU27" s="703"/>
      <c r="BV27" s="703"/>
      <c r="BW27" s="703"/>
      <c r="BX27" s="703"/>
      <c r="BY27" s="703"/>
      <c r="BZ27" s="703"/>
      <c r="CA27" s="703"/>
      <c r="CB27" s="703"/>
      <c r="CC27" s="703"/>
      <c r="CD27" s="703"/>
      <c r="CE27" s="703"/>
      <c r="CF27" s="703"/>
      <c r="CG27" s="703"/>
      <c r="CH27" s="703"/>
      <c r="CI27" s="703"/>
      <c r="CJ27" s="703"/>
      <c r="CK27" s="703"/>
      <c r="CL27" s="703"/>
      <c r="CM27" s="703"/>
      <c r="CN27" s="703"/>
      <c r="CO27" s="703"/>
      <c r="CP27" s="703"/>
      <c r="CQ27" s="703"/>
      <c r="CR27" s="703"/>
      <c r="CS27" s="703"/>
      <c r="CT27" s="703"/>
      <c r="CU27" s="703"/>
      <c r="CV27" s="703"/>
      <c r="CW27" s="703"/>
      <c r="CX27" s="703"/>
      <c r="CY27" s="703"/>
      <c r="CZ27" s="703"/>
      <c r="DA27" s="703"/>
      <c r="DB27" s="703"/>
      <c r="DC27" s="703"/>
      <c r="DD27" s="703"/>
      <c r="DE27" s="703"/>
      <c r="DF27" s="703"/>
      <c r="DG27" s="703"/>
      <c r="DH27" s="703"/>
      <c r="DI27" s="703"/>
      <c r="DJ27" s="703"/>
      <c r="DK27" s="703"/>
      <c r="DL27" s="703"/>
      <c r="DM27" s="703"/>
      <c r="DN27" s="703"/>
      <c r="DO27" s="703"/>
      <c r="DP27" s="703"/>
      <c r="DQ27" s="703"/>
      <c r="DR27" s="703"/>
    </row>
    <row r="28" spans="1:122" x14ac:dyDescent="0.2">
      <c r="A28" s="703"/>
      <c r="B28" s="703"/>
      <c r="C28" s="703" t="s">
        <v>356</v>
      </c>
      <c r="D28" s="703"/>
      <c r="E28" s="703"/>
      <c r="F28" s="721">
        <f>+G28</f>
        <v>1902.1541919594056</v>
      </c>
      <c r="G28" s="713">
        <f>+U47</f>
        <v>1902.1541919594056</v>
      </c>
      <c r="H28" s="721">
        <f>+G28</f>
        <v>1902.1541919594056</v>
      </c>
      <c r="I28" s="703"/>
      <c r="J28" s="703"/>
      <c r="K28" s="715"/>
      <c r="L28" s="703"/>
      <c r="M28" s="703" t="s">
        <v>478</v>
      </c>
      <c r="N28" s="703"/>
      <c r="O28" s="713">
        <f>+Model!BX189</f>
        <v>858.25</v>
      </c>
      <c r="P28" s="713">
        <f>+Model!CC189</f>
        <v>844.5</v>
      </c>
      <c r="Q28" s="713">
        <f>+Model!CH189</f>
        <v>804.25</v>
      </c>
      <c r="R28" s="713">
        <f>+Model!CM189</f>
        <v>756</v>
      </c>
      <c r="S28" s="713">
        <f>+Model!CW189</f>
        <v>725</v>
      </c>
      <c r="T28" s="713">
        <f>+Model!DB189</f>
        <v>698.09713803906243</v>
      </c>
      <c r="U28" s="713">
        <f>+Model!DG189</f>
        <v>663.19228113710926</v>
      </c>
      <c r="V28" s="713">
        <f>+Model!DL189</f>
        <v>636.66458989162481</v>
      </c>
      <c r="W28" s="703"/>
      <c r="X28" s="703"/>
      <c r="Y28" s="721"/>
      <c r="Z28" s="721"/>
      <c r="AA28" s="721"/>
      <c r="AB28" s="721"/>
      <c r="AC28" s="721"/>
      <c r="AD28" s="721"/>
      <c r="AE28" s="721"/>
      <c r="AF28" s="703"/>
      <c r="AG28" s="703"/>
      <c r="AH28" s="703"/>
      <c r="AI28" s="703"/>
      <c r="AJ28" s="703"/>
      <c r="AK28" s="703"/>
      <c r="AL28" s="703"/>
      <c r="AM28" s="703"/>
      <c r="AN28" s="703"/>
      <c r="AO28" s="703"/>
      <c r="AP28" s="703"/>
      <c r="AQ28" s="703"/>
      <c r="AR28" s="703"/>
      <c r="AS28" s="703"/>
      <c r="AT28" s="703"/>
      <c r="AU28" s="703"/>
      <c r="AV28" s="703"/>
      <c r="AW28" s="703"/>
      <c r="AX28" s="703"/>
      <c r="AY28" s="703"/>
      <c r="AZ28" s="703"/>
      <c r="BA28" s="703"/>
      <c r="BB28" s="703"/>
      <c r="BC28" s="703"/>
      <c r="BD28" s="703"/>
      <c r="BE28" s="703"/>
      <c r="BF28" s="703"/>
      <c r="BG28" s="703"/>
      <c r="BH28" s="703"/>
      <c r="BI28" s="703"/>
      <c r="BJ28" s="703"/>
      <c r="BK28" s="703"/>
      <c r="BL28" s="703"/>
      <c r="BM28" s="703"/>
      <c r="BN28" s="703"/>
      <c r="BO28" s="703"/>
      <c r="BP28" s="703"/>
      <c r="BQ28" s="703"/>
      <c r="BR28" s="703"/>
      <c r="BS28" s="703"/>
      <c r="BT28" s="703"/>
      <c r="BU28" s="703"/>
      <c r="BV28" s="703"/>
      <c r="BW28" s="703"/>
      <c r="BX28" s="703"/>
      <c r="BY28" s="703"/>
      <c r="BZ28" s="703"/>
      <c r="CA28" s="703"/>
      <c r="CB28" s="703"/>
      <c r="CC28" s="703"/>
      <c r="CD28" s="703"/>
      <c r="CE28" s="703"/>
      <c r="CF28" s="703"/>
      <c r="CG28" s="703"/>
      <c r="CH28" s="703"/>
      <c r="CI28" s="703"/>
      <c r="CJ28" s="703"/>
      <c r="CK28" s="703"/>
      <c r="CL28" s="703"/>
      <c r="CM28" s="703"/>
      <c r="CN28" s="703"/>
      <c r="CO28" s="703"/>
      <c r="CP28" s="703"/>
      <c r="CQ28" s="703"/>
      <c r="CR28" s="703"/>
      <c r="CS28" s="703"/>
      <c r="CT28" s="703"/>
      <c r="CU28" s="703"/>
      <c r="CV28" s="703"/>
      <c r="CW28" s="703"/>
      <c r="CX28" s="703"/>
      <c r="CY28" s="703"/>
      <c r="CZ28" s="703"/>
      <c r="DA28" s="703"/>
      <c r="DB28" s="703"/>
      <c r="DC28" s="703"/>
      <c r="DD28" s="703"/>
      <c r="DE28" s="703"/>
      <c r="DF28" s="703"/>
      <c r="DG28" s="703"/>
      <c r="DH28" s="703"/>
      <c r="DI28" s="703"/>
      <c r="DJ28" s="703"/>
      <c r="DK28" s="703"/>
      <c r="DL28" s="703"/>
      <c r="DM28" s="703"/>
      <c r="DN28" s="703"/>
      <c r="DO28" s="703"/>
      <c r="DP28" s="703"/>
      <c r="DQ28" s="703"/>
      <c r="DR28" s="703"/>
    </row>
    <row r="29" spans="1:122" x14ac:dyDescent="0.2">
      <c r="A29" s="703"/>
      <c r="B29" s="703"/>
      <c r="C29" s="719" t="s">
        <v>477</v>
      </c>
      <c r="D29" s="703"/>
      <c r="E29" s="703"/>
      <c r="F29" s="720">
        <f>+SUM(F26:F28)</f>
        <v>-6707.24918155868</v>
      </c>
      <c r="G29" s="720">
        <f>+SUM(G26:G28)</f>
        <v>-6707.24918155868</v>
      </c>
      <c r="H29" s="720">
        <f>+SUM(H26:H28)</f>
        <v>-6707.24918155868</v>
      </c>
      <c r="I29" s="703"/>
      <c r="J29" s="703"/>
      <c r="K29" s="715"/>
      <c r="L29" s="716"/>
      <c r="M29" s="719" t="s">
        <v>479</v>
      </c>
      <c r="N29" s="719"/>
      <c r="O29" s="725">
        <f>+Model!BX186</f>
        <v>3.1447713370230121</v>
      </c>
      <c r="P29" s="725">
        <f>+Model!CC186</f>
        <v>3.3546477205447012</v>
      </c>
      <c r="Q29" s="725">
        <f>+Model!CH186</f>
        <v>4.6117500777121538</v>
      </c>
      <c r="R29" s="725">
        <f>+Model!CM186</f>
        <v>5.3134920634920633</v>
      </c>
      <c r="S29" s="725">
        <f>S27/S28</f>
        <v>4.7462068965517243</v>
      </c>
      <c r="T29" s="725">
        <f>T27/T28</f>
        <v>5.9789373085930597</v>
      </c>
      <c r="U29" s="725">
        <f t="shared" ref="U29:V29" si="10">U27/U28</f>
        <v>6.7650484530494222</v>
      </c>
      <c r="V29" s="725">
        <f t="shared" si="10"/>
        <v>7.7237217545911481</v>
      </c>
      <c r="W29" s="714"/>
      <c r="X29" s="703"/>
      <c r="Y29" s="721"/>
      <c r="Z29" s="721"/>
      <c r="AA29" s="721"/>
      <c r="AB29" s="721"/>
      <c r="AC29" s="721"/>
      <c r="AD29" s="721"/>
      <c r="AE29" s="721"/>
      <c r="AF29" s="703"/>
      <c r="AG29" s="703"/>
      <c r="AH29" s="703"/>
      <c r="AI29" s="703"/>
      <c r="AJ29" s="703"/>
      <c r="AK29" s="703"/>
      <c r="AL29" s="703"/>
      <c r="AM29" s="703"/>
      <c r="AN29" s="703"/>
      <c r="AO29" s="703"/>
      <c r="AP29" s="703"/>
      <c r="AQ29" s="703"/>
      <c r="AR29" s="703"/>
      <c r="AS29" s="703"/>
      <c r="AT29" s="703"/>
      <c r="AU29" s="703"/>
      <c r="AV29" s="703"/>
      <c r="AW29" s="703"/>
      <c r="AX29" s="703"/>
      <c r="AY29" s="703"/>
      <c r="AZ29" s="703"/>
      <c r="BA29" s="703"/>
      <c r="BB29" s="703"/>
      <c r="BC29" s="703"/>
      <c r="BD29" s="703"/>
      <c r="BE29" s="703"/>
      <c r="BF29" s="703"/>
      <c r="BG29" s="703"/>
      <c r="BH29" s="703"/>
      <c r="BI29" s="703"/>
      <c r="BJ29" s="703"/>
      <c r="BK29" s="703"/>
      <c r="BL29" s="703"/>
      <c r="BM29" s="703"/>
      <c r="BN29" s="703"/>
      <c r="BO29" s="703"/>
      <c r="BP29" s="703"/>
      <c r="BQ29" s="703"/>
      <c r="BR29" s="703"/>
      <c r="BS29" s="703"/>
      <c r="BT29" s="703"/>
      <c r="BU29" s="703"/>
      <c r="BV29" s="703"/>
      <c r="BW29" s="703"/>
      <c r="BX29" s="703"/>
      <c r="BY29" s="703"/>
      <c r="BZ29" s="703"/>
      <c r="CA29" s="703"/>
      <c r="CB29" s="703"/>
      <c r="CC29" s="703"/>
      <c r="CD29" s="703"/>
      <c r="CE29" s="703"/>
      <c r="CF29" s="703"/>
      <c r="CG29" s="703"/>
      <c r="CH29" s="703"/>
      <c r="CI29" s="703"/>
      <c r="CJ29" s="703"/>
      <c r="CK29" s="703"/>
      <c r="CL29" s="703"/>
      <c r="CM29" s="703"/>
      <c r="CN29" s="703"/>
      <c r="CO29" s="703"/>
      <c r="CP29" s="703"/>
      <c r="CQ29" s="703"/>
      <c r="CR29" s="703"/>
      <c r="CS29" s="703"/>
      <c r="CT29" s="703"/>
      <c r="CU29" s="703"/>
      <c r="CV29" s="703"/>
      <c r="CW29" s="703"/>
      <c r="CX29" s="703"/>
      <c r="CY29" s="703"/>
      <c r="CZ29" s="703"/>
      <c r="DA29" s="703"/>
      <c r="DB29" s="703"/>
      <c r="DC29" s="703"/>
      <c r="DD29" s="703"/>
      <c r="DE29" s="703"/>
      <c r="DF29" s="703"/>
      <c r="DG29" s="703"/>
      <c r="DH29" s="703"/>
      <c r="DI29" s="703"/>
      <c r="DJ29" s="703"/>
      <c r="DK29" s="703"/>
      <c r="DL29" s="703"/>
      <c r="DM29" s="703"/>
      <c r="DN29" s="703"/>
      <c r="DO29" s="703"/>
      <c r="DP29" s="703"/>
      <c r="DQ29" s="703"/>
      <c r="DR29" s="703"/>
    </row>
    <row r="30" spans="1:122" x14ac:dyDescent="0.2">
      <c r="A30" s="716"/>
      <c r="B30" s="703"/>
      <c r="C30" s="703"/>
      <c r="D30" s="703"/>
      <c r="E30" s="703"/>
      <c r="F30" s="703"/>
      <c r="G30" s="713"/>
      <c r="H30" s="703"/>
      <c r="I30" s="703"/>
      <c r="J30" s="703"/>
      <c r="K30" s="715"/>
      <c r="L30" s="703"/>
      <c r="M30" s="703"/>
      <c r="N30" s="703"/>
      <c r="O30" s="703"/>
      <c r="P30" s="703"/>
      <c r="Q30" s="841"/>
      <c r="R30" s="841"/>
      <c r="S30" s="841"/>
      <c r="T30" s="924"/>
      <c r="U30" s="924"/>
      <c r="V30" s="924"/>
      <c r="W30" s="703"/>
      <c r="X30" s="703"/>
      <c r="Y30" s="721"/>
      <c r="Z30" s="721"/>
      <c r="AA30" s="721"/>
      <c r="AB30" s="721"/>
      <c r="AC30" s="721"/>
      <c r="AD30" s="721"/>
      <c r="AE30" s="721"/>
      <c r="AF30" s="703"/>
      <c r="AG30" s="703"/>
      <c r="AH30" s="703"/>
      <c r="AI30" s="703"/>
      <c r="AJ30" s="703"/>
      <c r="AK30" s="703"/>
      <c r="AL30" s="703"/>
      <c r="AM30" s="703"/>
      <c r="AN30" s="703"/>
      <c r="AO30" s="703"/>
      <c r="AP30" s="703"/>
      <c r="AQ30" s="703"/>
      <c r="AR30" s="703"/>
      <c r="AS30" s="703"/>
      <c r="AT30" s="703"/>
      <c r="AU30" s="703"/>
      <c r="AV30" s="703"/>
      <c r="AW30" s="703"/>
      <c r="AX30" s="703"/>
      <c r="AY30" s="703"/>
      <c r="AZ30" s="703"/>
      <c r="BA30" s="703"/>
      <c r="BB30" s="703"/>
      <c r="BC30" s="703"/>
      <c r="BD30" s="703"/>
      <c r="BE30" s="703"/>
      <c r="BF30" s="703"/>
      <c r="BG30" s="703"/>
      <c r="BH30" s="703"/>
      <c r="BI30" s="703"/>
      <c r="BJ30" s="703"/>
      <c r="BK30" s="703"/>
      <c r="BL30" s="703"/>
      <c r="BM30" s="703"/>
      <c r="BN30" s="703"/>
      <c r="BO30" s="703"/>
      <c r="BP30" s="703"/>
      <c r="BQ30" s="703"/>
      <c r="BR30" s="703"/>
      <c r="BS30" s="703"/>
      <c r="BT30" s="703"/>
      <c r="BU30" s="703"/>
      <c r="BV30" s="703"/>
      <c r="BW30" s="703"/>
      <c r="BX30" s="703"/>
      <c r="BY30" s="703"/>
      <c r="BZ30" s="703"/>
      <c r="CA30" s="703"/>
      <c r="CB30" s="703"/>
      <c r="CC30" s="703"/>
      <c r="CD30" s="703"/>
      <c r="CE30" s="703"/>
      <c r="CF30" s="703"/>
      <c r="CG30" s="703"/>
      <c r="CH30" s="703"/>
      <c r="CI30" s="703"/>
      <c r="CJ30" s="703"/>
      <c r="CK30" s="703"/>
      <c r="CL30" s="703"/>
      <c r="CM30" s="703"/>
      <c r="CN30" s="703"/>
      <c r="CO30" s="703"/>
      <c r="CP30" s="703"/>
      <c r="CQ30" s="703"/>
      <c r="CR30" s="703"/>
      <c r="CS30" s="703"/>
      <c r="CT30" s="703"/>
      <c r="CU30" s="703"/>
      <c r="CV30" s="703"/>
      <c r="CW30" s="703"/>
      <c r="CX30" s="703"/>
      <c r="CY30" s="703"/>
      <c r="CZ30" s="703"/>
      <c r="DA30" s="703"/>
      <c r="DB30" s="703"/>
      <c r="DC30" s="703"/>
      <c r="DD30" s="703"/>
      <c r="DE30" s="703"/>
      <c r="DF30" s="703"/>
      <c r="DG30" s="703"/>
      <c r="DH30" s="703"/>
      <c r="DI30" s="703"/>
      <c r="DJ30" s="703"/>
      <c r="DK30" s="703"/>
      <c r="DL30" s="703"/>
      <c r="DM30" s="703"/>
      <c r="DN30" s="703"/>
      <c r="DO30" s="703"/>
      <c r="DP30" s="703"/>
      <c r="DQ30" s="703"/>
      <c r="DR30" s="703"/>
    </row>
    <row r="31" spans="1:122" x14ac:dyDescent="0.2">
      <c r="A31" s="703"/>
      <c r="B31" s="703"/>
      <c r="C31" s="756" t="s">
        <v>482</v>
      </c>
      <c r="D31" s="757"/>
      <c r="E31" s="757"/>
      <c r="F31" s="758">
        <f>+F24+F29</f>
        <v>29904.841463279681</v>
      </c>
      <c r="G31" s="758">
        <f>+G24+G29</f>
        <v>48005.361342974895</v>
      </c>
      <c r="H31" s="759">
        <f>+H24+H29</f>
        <v>61604.000493844171</v>
      </c>
      <c r="I31" s="703"/>
      <c r="J31" s="703"/>
      <c r="K31" s="715"/>
      <c r="L31" s="703"/>
      <c r="M31" s="710" t="s">
        <v>480</v>
      </c>
      <c r="N31" s="703"/>
      <c r="O31" s="703"/>
      <c r="P31" s="703"/>
      <c r="Q31" s="726"/>
      <c r="R31" s="735"/>
      <c r="S31" s="735"/>
      <c r="T31" s="735"/>
      <c r="U31" s="735"/>
      <c r="V31" s="735"/>
      <c r="W31" s="716"/>
      <c r="X31" s="703"/>
      <c r="Y31" s="953"/>
      <c r="Z31" s="953"/>
      <c r="AA31" s="953"/>
      <c r="AB31" s="953"/>
      <c r="AC31" s="953"/>
      <c r="AD31" s="953"/>
      <c r="AE31" s="953"/>
      <c r="AF31" s="716"/>
      <c r="AG31" s="716"/>
      <c r="AH31" s="716"/>
      <c r="AI31" s="716"/>
      <c r="AJ31" s="716"/>
      <c r="AK31" s="716"/>
      <c r="AL31" s="716"/>
      <c r="AM31" s="716"/>
      <c r="AN31" s="716"/>
      <c r="AO31" s="716"/>
      <c r="AP31" s="716"/>
      <c r="AQ31" s="716"/>
      <c r="AR31" s="716"/>
      <c r="AS31" s="716"/>
      <c r="AT31" s="716"/>
      <c r="AU31" s="716"/>
      <c r="AV31" s="716"/>
      <c r="AW31" s="716"/>
      <c r="AX31" s="716"/>
      <c r="AY31" s="716"/>
      <c r="AZ31" s="716"/>
      <c r="BA31" s="716"/>
      <c r="BB31" s="716"/>
      <c r="BC31" s="716"/>
      <c r="BD31" s="716"/>
      <c r="BE31" s="716"/>
      <c r="BF31" s="716"/>
      <c r="BG31" s="716"/>
      <c r="BH31" s="716"/>
      <c r="BI31" s="716"/>
      <c r="BJ31" s="716"/>
      <c r="BK31" s="716"/>
      <c r="BL31" s="716"/>
      <c r="BM31" s="716"/>
      <c r="BN31" s="716"/>
      <c r="BO31" s="716"/>
      <c r="BP31" s="716"/>
      <c r="BQ31" s="716"/>
      <c r="BR31" s="716"/>
      <c r="BS31" s="716"/>
      <c r="BT31" s="716"/>
      <c r="BU31" s="716"/>
      <c r="BV31" s="716"/>
      <c r="BW31" s="716"/>
      <c r="BX31" s="716"/>
      <c r="BY31" s="716"/>
      <c r="BZ31" s="716"/>
      <c r="CA31" s="716"/>
      <c r="CB31" s="716"/>
      <c r="CC31" s="716"/>
      <c r="CD31" s="716"/>
      <c r="CE31" s="716"/>
      <c r="CF31" s="716"/>
      <c r="CG31" s="716"/>
      <c r="CH31" s="716"/>
      <c r="CI31" s="716"/>
      <c r="CJ31" s="716"/>
      <c r="CK31" s="716"/>
      <c r="CL31" s="716"/>
      <c r="CM31" s="716"/>
      <c r="CN31" s="716"/>
      <c r="CO31" s="716"/>
      <c r="CP31" s="716"/>
      <c r="CQ31" s="716"/>
      <c r="CR31" s="716"/>
      <c r="CS31" s="716"/>
      <c r="CT31" s="716"/>
      <c r="CU31" s="716"/>
      <c r="CV31" s="716"/>
      <c r="CW31" s="716"/>
      <c r="CX31" s="716"/>
      <c r="CY31" s="716"/>
      <c r="CZ31" s="716"/>
      <c r="DA31" s="716"/>
      <c r="DB31" s="716"/>
      <c r="DC31" s="716"/>
      <c r="DD31" s="716"/>
      <c r="DE31" s="716"/>
      <c r="DF31" s="716"/>
      <c r="DG31" s="716"/>
      <c r="DH31" s="716"/>
      <c r="DI31" s="716"/>
      <c r="DJ31" s="716"/>
      <c r="DK31" s="716"/>
      <c r="DL31" s="716"/>
      <c r="DM31" s="716"/>
      <c r="DN31" s="716"/>
      <c r="DO31" s="716"/>
      <c r="DP31" s="716"/>
      <c r="DQ31" s="716"/>
      <c r="DR31" s="716"/>
    </row>
    <row r="32" spans="1:122" x14ac:dyDescent="0.2">
      <c r="A32" s="703"/>
      <c r="B32" s="716"/>
      <c r="C32" s="716" t="s">
        <v>483</v>
      </c>
      <c r="D32" s="716"/>
      <c r="E32" s="716"/>
      <c r="F32" s="727">
        <f>+G32</f>
        <v>663.19228113710926</v>
      </c>
      <c r="G32" s="728">
        <f>+U28</f>
        <v>663.19228113710926</v>
      </c>
      <c r="H32" s="727">
        <f>+G32</f>
        <v>663.19228113710926</v>
      </c>
      <c r="I32" s="703"/>
      <c r="J32" s="703"/>
      <c r="K32" s="729"/>
      <c r="L32" s="703"/>
      <c r="M32" s="719" t="s">
        <v>481</v>
      </c>
      <c r="N32" s="719"/>
      <c r="O32" s="720">
        <f>+Model!BX257</f>
        <v>4504</v>
      </c>
      <c r="P32" s="720">
        <f>+Model!CC257</f>
        <v>4947</v>
      </c>
      <c r="Q32" s="720">
        <f>+Model!CH257</f>
        <v>7927</v>
      </c>
      <c r="R32" s="720">
        <f>+Model!CM257</f>
        <v>7205</v>
      </c>
      <c r="S32" s="720">
        <f>+Model!CW257</f>
        <v>5118</v>
      </c>
      <c r="T32" s="720">
        <f>+Model!DB257</f>
        <v>7381.6071841915609</v>
      </c>
      <c r="U32" s="720">
        <f>+Model!DG257</f>
        <v>8165.2357937748338</v>
      </c>
      <c r="V32" s="720">
        <f>+Model!DL257</f>
        <v>8789.5359766764341</v>
      </c>
      <c r="W32" s="727"/>
      <c r="X32" s="703"/>
      <c r="Y32" s="721"/>
      <c r="Z32" s="721"/>
      <c r="AA32" s="721"/>
      <c r="AB32" s="721"/>
      <c r="AC32" s="721"/>
      <c r="AD32" s="721"/>
      <c r="AE32" s="721"/>
      <c r="AF32" s="703"/>
      <c r="AG32" s="703"/>
      <c r="AH32" s="703"/>
      <c r="AI32" s="703"/>
      <c r="AJ32" s="703"/>
      <c r="AK32" s="703"/>
      <c r="AL32" s="703"/>
      <c r="AM32" s="703"/>
      <c r="AN32" s="703"/>
      <c r="AO32" s="703"/>
      <c r="AP32" s="703"/>
      <c r="AQ32" s="703"/>
      <c r="AR32" s="703"/>
      <c r="AS32" s="703"/>
      <c r="AT32" s="703"/>
      <c r="AU32" s="703"/>
      <c r="AV32" s="703"/>
      <c r="AW32" s="703"/>
      <c r="AX32" s="703"/>
      <c r="AY32" s="703"/>
      <c r="AZ32" s="703"/>
      <c r="BA32" s="703"/>
      <c r="BB32" s="703"/>
      <c r="BC32" s="703"/>
      <c r="BD32" s="703"/>
      <c r="BE32" s="703"/>
      <c r="BF32" s="703"/>
      <c r="BG32" s="703"/>
      <c r="BH32" s="703"/>
      <c r="BI32" s="703"/>
      <c r="BJ32" s="703"/>
      <c r="BK32" s="703"/>
      <c r="BL32" s="703"/>
      <c r="BM32" s="703"/>
      <c r="BN32" s="703"/>
      <c r="BO32" s="703"/>
      <c r="BP32" s="703"/>
      <c r="BQ32" s="703"/>
      <c r="BR32" s="703"/>
      <c r="BS32" s="703"/>
      <c r="BT32" s="703"/>
      <c r="BU32" s="703"/>
      <c r="BV32" s="703"/>
      <c r="BW32" s="703"/>
      <c r="BX32" s="703"/>
      <c r="BY32" s="703"/>
      <c r="BZ32" s="703"/>
      <c r="CA32" s="703"/>
      <c r="CB32" s="703"/>
      <c r="CC32" s="703"/>
      <c r="CD32" s="703"/>
      <c r="CE32" s="703"/>
      <c r="CF32" s="703"/>
      <c r="CG32" s="703"/>
      <c r="CH32" s="703"/>
      <c r="CI32" s="703"/>
      <c r="CJ32" s="703"/>
      <c r="CK32" s="703"/>
      <c r="CL32" s="703"/>
      <c r="CM32" s="703"/>
      <c r="CN32" s="703"/>
      <c r="CO32" s="703"/>
      <c r="CP32" s="703"/>
      <c r="CQ32" s="703"/>
      <c r="CR32" s="703"/>
      <c r="CS32" s="703"/>
      <c r="CT32" s="703"/>
      <c r="CU32" s="703"/>
      <c r="CV32" s="703"/>
      <c r="CW32" s="703"/>
      <c r="CX32" s="703"/>
      <c r="CY32" s="703"/>
      <c r="CZ32" s="703"/>
      <c r="DA32" s="703"/>
      <c r="DB32" s="703"/>
      <c r="DC32" s="703"/>
      <c r="DD32" s="703"/>
      <c r="DE32" s="703"/>
      <c r="DF32" s="703"/>
      <c r="DG32" s="703"/>
      <c r="DH32" s="703"/>
      <c r="DI32" s="703"/>
      <c r="DJ32" s="703"/>
      <c r="DK32" s="703"/>
      <c r="DL32" s="703"/>
      <c r="DM32" s="703"/>
      <c r="DN32" s="703"/>
      <c r="DO32" s="703"/>
      <c r="DP32" s="703"/>
      <c r="DQ32" s="703"/>
      <c r="DR32" s="703"/>
    </row>
    <row r="33" spans="1:122" x14ac:dyDescent="0.2">
      <c r="A33" s="703"/>
      <c r="B33" s="703"/>
      <c r="C33" s="703"/>
      <c r="D33" s="703"/>
      <c r="E33" s="703"/>
      <c r="F33" s="703"/>
      <c r="G33" s="742"/>
      <c r="H33" s="703"/>
      <c r="I33" s="716"/>
      <c r="J33" s="716"/>
      <c r="K33" s="703"/>
      <c r="L33" s="703"/>
      <c r="M33" s="703"/>
      <c r="N33" s="703"/>
      <c r="O33" s="703"/>
      <c r="P33" s="703"/>
      <c r="Q33" s="703"/>
      <c r="R33" s="703"/>
      <c r="S33" s="703"/>
      <c r="T33" s="703"/>
      <c r="U33" s="703"/>
      <c r="V33" s="703"/>
      <c r="W33" s="703"/>
      <c r="X33" s="703"/>
      <c r="Y33" s="721"/>
      <c r="Z33" s="721"/>
      <c r="AA33" s="721"/>
      <c r="AB33" s="721"/>
      <c r="AC33" s="721"/>
      <c r="AD33" s="721"/>
      <c r="AE33" s="721"/>
      <c r="AF33" s="703"/>
      <c r="AG33" s="703"/>
      <c r="AH33" s="703"/>
      <c r="AI33" s="703"/>
      <c r="AJ33" s="703"/>
      <c r="AK33" s="703"/>
      <c r="AL33" s="703"/>
      <c r="AM33" s="703"/>
      <c r="AN33" s="703"/>
      <c r="AO33" s="703"/>
      <c r="AP33" s="703"/>
      <c r="AQ33" s="703"/>
      <c r="AR33" s="703"/>
      <c r="AS33" s="703"/>
      <c r="AT33" s="703"/>
      <c r="AU33" s="703"/>
      <c r="AV33" s="703"/>
      <c r="AW33" s="703"/>
      <c r="AX33" s="703"/>
      <c r="AY33" s="703"/>
      <c r="AZ33" s="703"/>
      <c r="BA33" s="703"/>
      <c r="BB33" s="703"/>
      <c r="BC33" s="703"/>
      <c r="BD33" s="703"/>
      <c r="BE33" s="703"/>
      <c r="BF33" s="703"/>
      <c r="BG33" s="703"/>
      <c r="BH33" s="703"/>
      <c r="BI33" s="703"/>
      <c r="BJ33" s="703"/>
      <c r="BK33" s="703"/>
      <c r="BL33" s="703"/>
      <c r="BM33" s="703"/>
      <c r="BN33" s="703"/>
      <c r="BO33" s="703"/>
      <c r="BP33" s="703"/>
      <c r="BQ33" s="703"/>
      <c r="BR33" s="703"/>
      <c r="BS33" s="703"/>
      <c r="BT33" s="703"/>
      <c r="BU33" s="703"/>
      <c r="BV33" s="703"/>
      <c r="BW33" s="703"/>
      <c r="BX33" s="703"/>
      <c r="BY33" s="703"/>
      <c r="BZ33" s="703"/>
      <c r="CA33" s="703"/>
      <c r="CB33" s="703"/>
      <c r="CC33" s="703"/>
      <c r="CD33" s="703"/>
      <c r="CE33" s="703"/>
      <c r="CF33" s="703"/>
      <c r="CG33" s="703"/>
      <c r="CH33" s="703"/>
      <c r="CI33" s="703"/>
      <c r="CJ33" s="703"/>
      <c r="CK33" s="703"/>
      <c r="CL33" s="703"/>
      <c r="CM33" s="703"/>
      <c r="CN33" s="703"/>
      <c r="CO33" s="703"/>
      <c r="CP33" s="703"/>
      <c r="CQ33" s="703"/>
      <c r="CR33" s="703"/>
      <c r="CS33" s="703"/>
      <c r="CT33" s="703"/>
      <c r="CU33" s="703"/>
      <c r="CV33" s="703"/>
      <c r="CW33" s="703"/>
      <c r="CX33" s="703"/>
      <c r="CY33" s="703"/>
      <c r="CZ33" s="703"/>
      <c r="DA33" s="703"/>
      <c r="DB33" s="703"/>
      <c r="DC33" s="703"/>
      <c r="DD33" s="703"/>
      <c r="DE33" s="703"/>
      <c r="DF33" s="703"/>
      <c r="DG33" s="703"/>
      <c r="DH33" s="703"/>
      <c r="DI33" s="703"/>
      <c r="DJ33" s="703"/>
      <c r="DK33" s="703"/>
      <c r="DL33" s="703"/>
      <c r="DM33" s="703"/>
      <c r="DN33" s="703"/>
      <c r="DO33" s="703"/>
      <c r="DP33" s="703"/>
      <c r="DQ33" s="703"/>
      <c r="DR33" s="703"/>
    </row>
    <row r="34" spans="1:122" x14ac:dyDescent="0.2">
      <c r="A34" s="703"/>
      <c r="B34" s="703"/>
      <c r="C34" s="730" t="s">
        <v>484</v>
      </c>
      <c r="D34" s="731"/>
      <c r="E34" s="731"/>
      <c r="F34" s="732">
        <f>+F31/F$32</f>
        <v>45.092264059534664</v>
      </c>
      <c r="G34" s="732">
        <f>+G31/G$32</f>
        <v>72.385283587234937</v>
      </c>
      <c r="H34" s="733">
        <f>+H31/H$32</f>
        <v>92.89010479467278</v>
      </c>
      <c r="I34" s="703"/>
      <c r="J34" s="703"/>
      <c r="K34" s="703"/>
      <c r="L34" s="703"/>
      <c r="M34" s="703" t="s">
        <v>136</v>
      </c>
      <c r="N34" s="703"/>
      <c r="O34" s="713">
        <f>+Model!BX259</f>
        <v>-2568</v>
      </c>
      <c r="P34" s="713">
        <f>+Model!CC259</f>
        <v>-2249</v>
      </c>
      <c r="Q34" s="713">
        <f>+Model!CH259</f>
        <v>-2945</v>
      </c>
      <c r="R34" s="713">
        <f>+Model!CM259</f>
        <v>-3391</v>
      </c>
      <c r="S34" s="713">
        <f>+Model!CW259</f>
        <v>-3892</v>
      </c>
      <c r="T34" s="713">
        <f>+Model!DB259</f>
        <v>-4000</v>
      </c>
      <c r="U34" s="713">
        <f>+Model!DG259</f>
        <v>-4000</v>
      </c>
      <c r="V34" s="713">
        <f>+Model!DL259</f>
        <v>-4000</v>
      </c>
      <c r="W34" s="703"/>
      <c r="X34" s="703"/>
      <c r="Y34" s="976"/>
      <c r="Z34" s="976"/>
      <c r="AA34" s="976"/>
      <c r="AB34" s="976"/>
      <c r="AC34" s="976"/>
      <c r="AD34" s="976"/>
      <c r="AE34" s="976"/>
      <c r="AF34" s="703"/>
      <c r="AG34" s="703"/>
      <c r="AH34" s="703"/>
      <c r="AI34" s="703"/>
      <c r="AJ34" s="703"/>
      <c r="AK34" s="703"/>
      <c r="AL34" s="703"/>
      <c r="AM34" s="703"/>
      <c r="AN34" s="703"/>
      <c r="AO34" s="703"/>
      <c r="AP34" s="703"/>
      <c r="AQ34" s="703"/>
      <c r="AR34" s="703"/>
      <c r="AS34" s="703"/>
      <c r="AT34" s="703"/>
      <c r="AU34" s="703"/>
      <c r="AV34" s="703"/>
      <c r="AW34" s="703"/>
      <c r="AX34" s="703"/>
      <c r="AY34" s="703"/>
      <c r="AZ34" s="703"/>
      <c r="BA34" s="703"/>
      <c r="BB34" s="703"/>
      <c r="BC34" s="703"/>
      <c r="BD34" s="703"/>
      <c r="BE34" s="703"/>
      <c r="BF34" s="703"/>
      <c r="BG34" s="703"/>
      <c r="BH34" s="703"/>
      <c r="BI34" s="703"/>
      <c r="BJ34" s="703"/>
      <c r="BK34" s="703"/>
      <c r="BL34" s="703"/>
      <c r="BM34" s="703"/>
      <c r="BN34" s="703"/>
      <c r="BO34" s="703"/>
      <c r="BP34" s="703"/>
      <c r="BQ34" s="703"/>
      <c r="BR34" s="703"/>
      <c r="BS34" s="703"/>
      <c r="BT34" s="703"/>
      <c r="BU34" s="703"/>
      <c r="BV34" s="703"/>
      <c r="BW34" s="703"/>
      <c r="BX34" s="703"/>
      <c r="BY34" s="703"/>
      <c r="BZ34" s="703"/>
      <c r="CA34" s="703"/>
      <c r="CB34" s="703"/>
      <c r="CC34" s="703"/>
      <c r="CD34" s="703"/>
      <c r="CE34" s="703"/>
      <c r="CF34" s="703"/>
      <c r="CG34" s="703"/>
      <c r="CH34" s="703"/>
      <c r="CI34" s="703"/>
      <c r="CJ34" s="703"/>
      <c r="CK34" s="703"/>
      <c r="CL34" s="703"/>
      <c r="CM34" s="703"/>
      <c r="CN34" s="703"/>
      <c r="CO34" s="703"/>
      <c r="CP34" s="703"/>
      <c r="CQ34" s="703"/>
      <c r="CR34" s="703"/>
      <c r="CS34" s="703"/>
      <c r="CT34" s="703"/>
      <c r="CU34" s="703"/>
      <c r="CV34" s="703"/>
      <c r="CW34" s="703"/>
      <c r="CX34" s="703"/>
      <c r="CY34" s="703"/>
      <c r="CZ34" s="703"/>
      <c r="DA34" s="703"/>
      <c r="DB34" s="703"/>
      <c r="DC34" s="703"/>
      <c r="DD34" s="703"/>
      <c r="DE34" s="703"/>
      <c r="DF34" s="703"/>
      <c r="DG34" s="703"/>
      <c r="DH34" s="703"/>
      <c r="DI34" s="703"/>
      <c r="DJ34" s="703"/>
      <c r="DK34" s="703"/>
      <c r="DL34" s="703"/>
      <c r="DM34" s="703"/>
      <c r="DN34" s="703"/>
      <c r="DO34" s="703"/>
      <c r="DP34" s="703"/>
      <c r="DQ34" s="703"/>
      <c r="DR34" s="703"/>
    </row>
    <row r="35" spans="1:122" x14ac:dyDescent="0.2">
      <c r="A35" s="703"/>
      <c r="B35" s="703"/>
      <c r="C35" s="703"/>
      <c r="D35" s="703"/>
      <c r="E35" s="703"/>
      <c r="F35" s="703"/>
      <c r="G35" s="742"/>
      <c r="H35" s="703"/>
      <c r="I35" s="703"/>
      <c r="J35" s="703"/>
      <c r="K35" s="703"/>
      <c r="L35" s="703"/>
      <c r="M35" s="703" t="s">
        <v>238</v>
      </c>
      <c r="N35" s="703"/>
      <c r="O35" s="713">
        <f>+Model!BX265+Model!BX266</f>
        <v>-188</v>
      </c>
      <c r="P35" s="713">
        <f>+Model!CC265+Model!CC266</f>
        <v>-214</v>
      </c>
      <c r="Q35" s="713">
        <f>+Model!CH265+Model!CH266</f>
        <v>-1010</v>
      </c>
      <c r="R35" s="713">
        <f>+Model!CM265+Model!CM266</f>
        <v>1236</v>
      </c>
      <c r="S35" s="713">
        <f>+Model!CW265+Model!CW266</f>
        <v>-1448</v>
      </c>
      <c r="T35" s="713">
        <f>+Model!DB265+Model!DB266</f>
        <v>338</v>
      </c>
      <c r="U35" s="713">
        <f>+Model!DG265+Model!DG266</f>
        <v>0</v>
      </c>
      <c r="V35" s="713">
        <f>+Model!DL265+Model!DL266</f>
        <v>0</v>
      </c>
      <c r="W35" s="703"/>
      <c r="X35" s="703"/>
      <c r="Y35" s="703"/>
      <c r="Z35" s="978"/>
      <c r="AA35" s="978"/>
      <c r="AB35" s="978"/>
      <c r="AC35" s="978"/>
      <c r="AD35" s="978"/>
      <c r="AE35" s="978"/>
      <c r="AF35" s="703"/>
      <c r="AG35" s="703"/>
      <c r="AH35" s="703"/>
      <c r="AI35" s="703"/>
      <c r="AJ35" s="703"/>
      <c r="AK35" s="703"/>
      <c r="AL35" s="703"/>
      <c r="AM35" s="703"/>
      <c r="AN35" s="703"/>
      <c r="AO35" s="703"/>
      <c r="AP35" s="703"/>
      <c r="AQ35" s="703"/>
      <c r="AR35" s="703"/>
      <c r="AS35" s="703"/>
      <c r="AT35" s="703"/>
      <c r="AU35" s="703"/>
      <c r="AV35" s="703"/>
      <c r="AW35" s="703"/>
      <c r="AX35" s="703"/>
      <c r="AY35" s="703"/>
      <c r="AZ35" s="703"/>
      <c r="BA35" s="703"/>
      <c r="BB35" s="703"/>
      <c r="BC35" s="703"/>
      <c r="BD35" s="703"/>
      <c r="BE35" s="703"/>
      <c r="BF35" s="703"/>
      <c r="BG35" s="703"/>
      <c r="BH35" s="703"/>
      <c r="BI35" s="703"/>
      <c r="BJ35" s="703"/>
      <c r="BK35" s="703"/>
      <c r="BL35" s="703"/>
      <c r="BM35" s="703"/>
      <c r="BN35" s="703"/>
      <c r="BO35" s="703"/>
      <c r="BP35" s="703"/>
      <c r="BQ35" s="703"/>
      <c r="BR35" s="703"/>
      <c r="BS35" s="703"/>
      <c r="BT35" s="703"/>
      <c r="BU35" s="703"/>
      <c r="BV35" s="703"/>
      <c r="BW35" s="703"/>
      <c r="BX35" s="703"/>
      <c r="BY35" s="703"/>
      <c r="BZ35" s="703"/>
      <c r="CA35" s="703"/>
      <c r="CB35" s="703"/>
      <c r="CC35" s="703"/>
      <c r="CD35" s="703"/>
      <c r="CE35" s="703"/>
      <c r="CF35" s="703"/>
      <c r="CG35" s="703"/>
      <c r="CH35" s="703"/>
      <c r="CI35" s="703"/>
      <c r="CJ35" s="703"/>
      <c r="CK35" s="703"/>
      <c r="CL35" s="703"/>
      <c r="CM35" s="703"/>
      <c r="CN35" s="703"/>
      <c r="CO35" s="703"/>
      <c r="CP35" s="703"/>
      <c r="CQ35" s="703"/>
      <c r="CR35" s="703"/>
      <c r="CS35" s="703"/>
      <c r="CT35" s="703"/>
      <c r="CU35" s="703"/>
      <c r="CV35" s="703"/>
      <c r="CW35" s="703"/>
      <c r="CX35" s="703"/>
      <c r="CY35" s="703"/>
      <c r="CZ35" s="703"/>
      <c r="DA35" s="703"/>
      <c r="DB35" s="703"/>
      <c r="DC35" s="703"/>
      <c r="DD35" s="703"/>
      <c r="DE35" s="703"/>
      <c r="DF35" s="703"/>
      <c r="DG35" s="703"/>
      <c r="DH35" s="703"/>
      <c r="DI35" s="703"/>
      <c r="DJ35" s="703"/>
      <c r="DK35" s="703"/>
      <c r="DL35" s="703"/>
      <c r="DM35" s="703"/>
      <c r="DN35" s="703"/>
      <c r="DO35" s="703"/>
      <c r="DP35" s="703"/>
      <c r="DQ35" s="703"/>
      <c r="DR35" s="703"/>
    </row>
    <row r="36" spans="1:122" x14ac:dyDescent="0.2">
      <c r="A36" s="703"/>
      <c r="B36" s="703"/>
      <c r="C36" s="703"/>
      <c r="D36" s="703"/>
      <c r="E36" s="703"/>
      <c r="F36" s="703"/>
      <c r="G36" s="703"/>
      <c r="H36" s="703"/>
      <c r="I36" s="703"/>
      <c r="J36" s="703"/>
      <c r="K36" s="703"/>
      <c r="L36" s="703"/>
      <c r="M36" s="719" t="s">
        <v>485</v>
      </c>
      <c r="N36" s="716"/>
      <c r="O36" s="720">
        <f t="shared" ref="O36:T36" si="11">+O34+O35</f>
        <v>-2756</v>
      </c>
      <c r="P36" s="720">
        <f t="shared" si="11"/>
        <v>-2463</v>
      </c>
      <c r="Q36" s="720">
        <f t="shared" si="11"/>
        <v>-3955</v>
      </c>
      <c r="R36" s="720">
        <f t="shared" si="11"/>
        <v>-2155</v>
      </c>
      <c r="S36" s="720">
        <f t="shared" si="11"/>
        <v>-5340</v>
      </c>
      <c r="T36" s="720">
        <f t="shared" si="11"/>
        <v>-3662</v>
      </c>
      <c r="U36" s="720">
        <f t="shared" ref="U36:V36" si="12">+U34+U35</f>
        <v>-4000</v>
      </c>
      <c r="V36" s="720">
        <f t="shared" si="12"/>
        <v>-4000</v>
      </c>
      <c r="W36" s="703"/>
      <c r="X36" s="721"/>
      <c r="Y36" s="716"/>
      <c r="Z36" s="953"/>
      <c r="AA36" s="953"/>
      <c r="AB36" s="953"/>
      <c r="AC36" s="953"/>
      <c r="AD36" s="953"/>
      <c r="AE36" s="953"/>
      <c r="AF36" s="703"/>
      <c r="AG36" s="703"/>
      <c r="AH36" s="703"/>
      <c r="AI36" s="703"/>
      <c r="AJ36" s="703"/>
      <c r="AK36" s="703"/>
      <c r="AL36" s="703"/>
      <c r="AM36" s="703"/>
      <c r="AN36" s="703"/>
      <c r="AO36" s="703"/>
      <c r="AP36" s="703"/>
      <c r="AQ36" s="703"/>
      <c r="AR36" s="703"/>
      <c r="AS36" s="703"/>
      <c r="AT36" s="703"/>
      <c r="AU36" s="703"/>
      <c r="AV36" s="703"/>
      <c r="AW36" s="703"/>
      <c r="AX36" s="703"/>
      <c r="AY36" s="703"/>
      <c r="AZ36" s="703"/>
      <c r="BA36" s="703"/>
      <c r="BB36" s="703"/>
      <c r="BC36" s="703"/>
      <c r="BD36" s="703"/>
      <c r="BE36" s="703"/>
      <c r="BF36" s="703"/>
      <c r="BG36" s="703"/>
      <c r="BH36" s="703"/>
      <c r="BI36" s="703"/>
      <c r="BJ36" s="703"/>
      <c r="BK36" s="703"/>
      <c r="BL36" s="703"/>
      <c r="BM36" s="703"/>
      <c r="BN36" s="703"/>
      <c r="BO36" s="703"/>
      <c r="BP36" s="703"/>
      <c r="BQ36" s="703"/>
      <c r="BR36" s="703"/>
      <c r="BS36" s="703"/>
      <c r="BT36" s="703"/>
      <c r="BU36" s="703"/>
      <c r="BV36" s="703"/>
      <c r="BW36" s="703"/>
      <c r="BX36" s="703"/>
      <c r="BY36" s="703"/>
      <c r="BZ36" s="703"/>
      <c r="CA36" s="703"/>
      <c r="CB36" s="703"/>
      <c r="CC36" s="703"/>
      <c r="CD36" s="703"/>
      <c r="CE36" s="703"/>
      <c r="CF36" s="703"/>
      <c r="CG36" s="703"/>
      <c r="CH36" s="703"/>
      <c r="CI36" s="703"/>
      <c r="CJ36" s="703"/>
      <c r="CK36" s="703"/>
      <c r="CL36" s="703"/>
      <c r="CM36" s="703"/>
      <c r="CN36" s="703"/>
      <c r="CO36" s="703"/>
      <c r="CP36" s="703"/>
      <c r="CQ36" s="703"/>
      <c r="CR36" s="703"/>
      <c r="CS36" s="703"/>
      <c r="CT36" s="703"/>
      <c r="CU36" s="703"/>
      <c r="CV36" s="703"/>
      <c r="CW36" s="703"/>
      <c r="CX36" s="703"/>
      <c r="CY36" s="703"/>
      <c r="CZ36" s="703"/>
      <c r="DA36" s="703"/>
      <c r="DB36" s="703"/>
      <c r="DC36" s="703"/>
      <c r="DD36" s="703"/>
      <c r="DE36" s="703"/>
      <c r="DF36" s="703"/>
      <c r="DG36" s="703"/>
      <c r="DH36" s="703"/>
      <c r="DI36" s="703"/>
      <c r="DJ36" s="703"/>
      <c r="DK36" s="703"/>
      <c r="DL36" s="703"/>
      <c r="DM36" s="703"/>
      <c r="DN36" s="703"/>
      <c r="DO36" s="703"/>
      <c r="DP36" s="703"/>
      <c r="DQ36" s="703"/>
      <c r="DR36" s="703"/>
    </row>
    <row r="37" spans="1:122" x14ac:dyDescent="0.2">
      <c r="A37" s="703"/>
      <c r="B37" s="704" t="s">
        <v>243</v>
      </c>
      <c r="C37" s="705"/>
      <c r="D37" s="705"/>
      <c r="E37" s="707">
        <f>+F37-1</f>
        <v>2015</v>
      </c>
      <c r="F37" s="707">
        <f>+G37-1</f>
        <v>2016</v>
      </c>
      <c r="G37" s="707">
        <f>+H37-1</f>
        <v>2017</v>
      </c>
      <c r="H37" s="768">
        <v>2018</v>
      </c>
      <c r="I37" s="768">
        <v>2019</v>
      </c>
      <c r="J37" s="768">
        <v>2020</v>
      </c>
      <c r="K37" s="703"/>
      <c r="L37" s="703"/>
      <c r="M37" s="703"/>
      <c r="N37" s="703"/>
      <c r="O37" s="703"/>
      <c r="P37" s="703"/>
      <c r="Q37" s="703"/>
      <c r="R37" s="703"/>
      <c r="S37" s="721"/>
      <c r="T37" s="703"/>
      <c r="U37" s="703"/>
      <c r="V37" s="721"/>
      <c r="W37" s="703"/>
      <c r="X37" s="703"/>
      <c r="Y37" s="703"/>
      <c r="Z37" s="703"/>
      <c r="AA37" s="726"/>
      <c r="AB37" s="726"/>
      <c r="AC37" s="726"/>
      <c r="AD37" s="703"/>
      <c r="AE37" s="726"/>
      <c r="AF37" s="703"/>
      <c r="AG37" s="703"/>
      <c r="AH37" s="703"/>
      <c r="AI37" s="703"/>
      <c r="AJ37" s="703"/>
      <c r="AK37" s="703"/>
      <c r="AL37" s="703"/>
      <c r="AM37" s="703"/>
      <c r="AN37" s="703"/>
      <c r="AO37" s="703"/>
      <c r="AP37" s="703"/>
      <c r="AQ37" s="703"/>
      <c r="AR37" s="703"/>
      <c r="AS37" s="703"/>
      <c r="AT37" s="703"/>
      <c r="AU37" s="703"/>
      <c r="AV37" s="703"/>
      <c r="AW37" s="703"/>
      <c r="AX37" s="703"/>
      <c r="AY37" s="703"/>
      <c r="AZ37" s="703"/>
      <c r="BA37" s="703"/>
      <c r="BB37" s="703"/>
      <c r="BC37" s="703"/>
      <c r="BD37" s="703"/>
      <c r="BE37" s="703"/>
      <c r="BF37" s="703"/>
      <c r="BG37" s="703"/>
      <c r="BH37" s="703"/>
      <c r="BI37" s="703"/>
      <c r="BJ37" s="703"/>
      <c r="BK37" s="703"/>
      <c r="BL37" s="703"/>
      <c r="BM37" s="703"/>
      <c r="BN37" s="703"/>
      <c r="BO37" s="703"/>
      <c r="BP37" s="703"/>
      <c r="BQ37" s="703"/>
      <c r="BR37" s="703"/>
      <c r="BS37" s="703"/>
      <c r="BT37" s="703"/>
      <c r="BU37" s="703"/>
      <c r="BV37" s="703"/>
      <c r="BW37" s="703"/>
      <c r="BX37" s="703"/>
      <c r="BY37" s="703"/>
      <c r="BZ37" s="703"/>
      <c r="CA37" s="703"/>
      <c r="CB37" s="703"/>
      <c r="CC37" s="703"/>
      <c r="CD37" s="703"/>
      <c r="CE37" s="703"/>
      <c r="CF37" s="703"/>
      <c r="CG37" s="703"/>
      <c r="CH37" s="703"/>
      <c r="CI37" s="703"/>
      <c r="CJ37" s="703"/>
      <c r="CK37" s="703"/>
      <c r="CL37" s="703"/>
      <c r="CM37" s="703"/>
      <c r="CN37" s="703"/>
      <c r="CO37" s="703"/>
      <c r="CP37" s="703"/>
      <c r="CQ37" s="703"/>
      <c r="CR37" s="703"/>
      <c r="CS37" s="703"/>
      <c r="CT37" s="703"/>
      <c r="CU37" s="703"/>
      <c r="CV37" s="703"/>
      <c r="CW37" s="703"/>
      <c r="CX37" s="703"/>
      <c r="CY37" s="703"/>
      <c r="CZ37" s="703"/>
      <c r="DA37" s="703"/>
      <c r="DB37" s="703"/>
      <c r="DC37" s="703"/>
      <c r="DD37" s="703"/>
      <c r="DE37" s="703"/>
      <c r="DF37" s="703"/>
      <c r="DG37" s="703"/>
      <c r="DH37" s="703"/>
      <c r="DI37" s="703"/>
      <c r="DJ37" s="703"/>
      <c r="DK37" s="703"/>
      <c r="DL37" s="703"/>
      <c r="DM37" s="703"/>
      <c r="DN37" s="703"/>
      <c r="DO37" s="703"/>
      <c r="DP37" s="703"/>
      <c r="DQ37" s="703"/>
      <c r="DR37" s="703"/>
    </row>
    <row r="38" spans="1:122" x14ac:dyDescent="0.2">
      <c r="A38" s="703"/>
      <c r="B38" s="703"/>
      <c r="C38" s="703" t="s">
        <v>489</v>
      </c>
      <c r="D38" s="703"/>
      <c r="E38" s="735">
        <f>+Model!CH16</f>
        <v>2.9573257230594674E-2</v>
      </c>
      <c r="F38" s="735">
        <f>+Model!CM16</f>
        <v>2.0679677748780101E-2</v>
      </c>
      <c r="G38" s="735">
        <f>+Model!CW16</f>
        <v>9.7591189000543199E-3</v>
      </c>
      <c r="H38" s="735">
        <f>+Model!DB16</f>
        <v>3.0708361348668056E-2</v>
      </c>
      <c r="I38" s="735">
        <f>+Model!DG16</f>
        <v>2.5000000000000001E-2</v>
      </c>
      <c r="J38" s="735">
        <f>+Model!DL16</f>
        <v>2.5000000000000001E-2</v>
      </c>
      <c r="K38" s="703"/>
      <c r="L38" s="703"/>
      <c r="M38" s="703" t="s">
        <v>486</v>
      </c>
      <c r="N38" s="703"/>
      <c r="O38" s="713">
        <f>+Model!BX276</f>
        <v>-1193</v>
      </c>
      <c r="P38" s="713">
        <f>+Model!CC276</f>
        <v>-1908</v>
      </c>
      <c r="Q38" s="713">
        <f>+Model!CH276</f>
        <v>-1520</v>
      </c>
      <c r="R38" s="713">
        <f>+Model!CM276</f>
        <v>-1259</v>
      </c>
      <c r="S38" s="713">
        <f>+Model!CW276</f>
        <v>1196</v>
      </c>
      <c r="T38" s="713">
        <f>+Model!DB276</f>
        <v>-1839.5</v>
      </c>
      <c r="U38" s="713">
        <f>+Model!DG276</f>
        <v>-1289</v>
      </c>
      <c r="V38" s="713">
        <f>+Model!DL276</f>
        <v>-1527</v>
      </c>
      <c r="W38" s="726"/>
      <c r="X38" s="721"/>
      <c r="Y38" s="716"/>
      <c r="Z38" s="703"/>
      <c r="AA38" s="703"/>
      <c r="AB38" s="703"/>
      <c r="AC38" s="703"/>
      <c r="AD38" s="703"/>
      <c r="AE38" s="703"/>
      <c r="AF38" s="703"/>
      <c r="AG38" s="703"/>
      <c r="AH38" s="703"/>
      <c r="AI38" s="703"/>
      <c r="AJ38" s="703"/>
      <c r="AK38" s="703"/>
      <c r="AL38" s="703"/>
      <c r="AM38" s="703"/>
      <c r="AN38" s="703"/>
      <c r="AO38" s="703"/>
      <c r="AP38" s="703"/>
      <c r="AQ38" s="703"/>
      <c r="AR38" s="703"/>
      <c r="AS38" s="703"/>
      <c r="AT38" s="703"/>
      <c r="AU38" s="703"/>
      <c r="AV38" s="703"/>
      <c r="AW38" s="703"/>
      <c r="AX38" s="703"/>
      <c r="AY38" s="703"/>
      <c r="AZ38" s="703"/>
      <c r="BA38" s="703"/>
      <c r="BB38" s="703"/>
      <c r="BC38" s="703"/>
      <c r="BD38" s="703"/>
      <c r="BE38" s="703"/>
      <c r="BF38" s="703"/>
      <c r="BG38" s="703"/>
      <c r="BH38" s="703"/>
      <c r="BI38" s="703"/>
      <c r="BJ38" s="703"/>
      <c r="BK38" s="703"/>
      <c r="BL38" s="703"/>
      <c r="BM38" s="703"/>
      <c r="BN38" s="703"/>
      <c r="BO38" s="703"/>
      <c r="BP38" s="703"/>
      <c r="BQ38" s="703"/>
      <c r="BR38" s="703"/>
      <c r="BS38" s="703"/>
      <c r="BT38" s="703"/>
      <c r="BU38" s="703"/>
      <c r="BV38" s="703"/>
      <c r="BW38" s="703"/>
      <c r="BX38" s="703"/>
      <c r="BY38" s="703"/>
      <c r="BZ38" s="703"/>
      <c r="CA38" s="703"/>
      <c r="CB38" s="703"/>
      <c r="CC38" s="703"/>
      <c r="CD38" s="703"/>
      <c r="CE38" s="703"/>
      <c r="CF38" s="703"/>
      <c r="CG38" s="703"/>
      <c r="CH38" s="703"/>
      <c r="CI38" s="703"/>
      <c r="CJ38" s="703"/>
      <c r="CK38" s="703"/>
      <c r="CL38" s="703"/>
      <c r="CM38" s="703"/>
      <c r="CN38" s="703"/>
      <c r="CO38" s="703"/>
      <c r="CP38" s="703"/>
      <c r="CQ38" s="703"/>
      <c r="CR38" s="703"/>
      <c r="CS38" s="703"/>
      <c r="CT38" s="703"/>
      <c r="CU38" s="703"/>
      <c r="CV38" s="703"/>
      <c r="CW38" s="703"/>
      <c r="CX38" s="703"/>
      <c r="CY38" s="703"/>
      <c r="CZ38" s="703"/>
      <c r="DA38" s="703"/>
      <c r="DB38" s="703"/>
      <c r="DC38" s="703"/>
      <c r="DD38" s="703"/>
      <c r="DE38" s="703"/>
      <c r="DF38" s="703"/>
      <c r="DG38" s="703"/>
      <c r="DH38" s="703"/>
      <c r="DI38" s="703"/>
      <c r="DJ38" s="703"/>
      <c r="DK38" s="703"/>
      <c r="DL38" s="703"/>
      <c r="DM38" s="703"/>
      <c r="DN38" s="703"/>
      <c r="DO38" s="703"/>
      <c r="DP38" s="703"/>
      <c r="DQ38" s="703"/>
      <c r="DR38" s="703"/>
    </row>
    <row r="39" spans="1:122" x14ac:dyDescent="0.2">
      <c r="A39" s="703"/>
      <c r="B39" s="703"/>
      <c r="C39" s="703"/>
      <c r="D39" s="703"/>
      <c r="E39" s="703"/>
      <c r="F39" s="703"/>
      <c r="G39" s="703"/>
      <c r="H39" s="703"/>
      <c r="I39" s="703"/>
      <c r="J39" s="703"/>
      <c r="K39" s="703"/>
      <c r="L39" s="703"/>
      <c r="M39" s="703" t="s">
        <v>487</v>
      </c>
      <c r="N39" s="703"/>
      <c r="O39" s="713">
        <f>+Model!BX271+Model!BX270</f>
        <v>-250</v>
      </c>
      <c r="P39" s="713">
        <f>+Model!CC271+Model!CC270</f>
        <v>-1100</v>
      </c>
      <c r="Q39" s="713">
        <f>+Model!CH271+Model!CH270</f>
        <v>-2200</v>
      </c>
      <c r="R39" s="713">
        <f>+Model!CM271+Model!CM270</f>
        <v>-2601</v>
      </c>
      <c r="S39" s="713">
        <f>+Model!CW271+Model!CW270</f>
        <v>-1675</v>
      </c>
      <c r="T39" s="713">
        <f>+Model!DB271+Model!DB270</f>
        <v>-1228.5476518661874</v>
      </c>
      <c r="U39" s="713">
        <f>+Model!DG271+Model!DG270</f>
        <v>-2195.0612198724625</v>
      </c>
      <c r="V39" s="713">
        <f>+Model!DL271+Model!DL270</f>
        <v>-1835.0711798133816</v>
      </c>
      <c r="W39" s="726"/>
      <c r="X39" s="734"/>
      <c r="Y39" s="716"/>
      <c r="Z39" s="703"/>
      <c r="AA39" s="703"/>
      <c r="AB39" s="703"/>
      <c r="AC39" s="703"/>
      <c r="AD39" s="703"/>
      <c r="AE39" s="703"/>
      <c r="AF39" s="703"/>
      <c r="AG39" s="703"/>
      <c r="AH39" s="703"/>
      <c r="AI39" s="703"/>
      <c r="AJ39" s="703"/>
      <c r="AK39" s="703"/>
      <c r="AL39" s="703"/>
      <c r="AM39" s="703"/>
      <c r="AN39" s="703"/>
      <c r="AO39" s="703"/>
      <c r="AP39" s="703"/>
      <c r="AQ39" s="703"/>
      <c r="AR39" s="703"/>
      <c r="AS39" s="703"/>
      <c r="AT39" s="703"/>
      <c r="AU39" s="703"/>
      <c r="AV39" s="703"/>
      <c r="AW39" s="703"/>
      <c r="AX39" s="703"/>
      <c r="AY39" s="703"/>
      <c r="AZ39" s="703"/>
      <c r="BA39" s="703"/>
      <c r="BB39" s="703"/>
      <c r="BC39" s="703"/>
      <c r="BD39" s="703"/>
      <c r="BE39" s="703"/>
      <c r="BF39" s="703"/>
      <c r="BG39" s="703"/>
      <c r="BH39" s="703"/>
      <c r="BI39" s="703"/>
      <c r="BJ39" s="703"/>
      <c r="BK39" s="703"/>
      <c r="BL39" s="703"/>
      <c r="BM39" s="703"/>
      <c r="BN39" s="703"/>
      <c r="BO39" s="703"/>
      <c r="BP39" s="703"/>
      <c r="BQ39" s="703"/>
      <c r="BR39" s="703"/>
      <c r="BS39" s="703"/>
      <c r="BT39" s="703"/>
      <c r="BU39" s="703"/>
      <c r="BV39" s="703"/>
      <c r="BW39" s="703"/>
      <c r="BX39" s="703"/>
      <c r="BY39" s="703"/>
      <c r="BZ39" s="703"/>
      <c r="CA39" s="703"/>
      <c r="CB39" s="703"/>
      <c r="CC39" s="703"/>
      <c r="CD39" s="703"/>
      <c r="CE39" s="703"/>
      <c r="CF39" s="703"/>
      <c r="CG39" s="703"/>
      <c r="CH39" s="703"/>
      <c r="CI39" s="703"/>
      <c r="CJ39" s="703"/>
      <c r="CK39" s="703"/>
      <c r="CL39" s="703"/>
      <c r="CM39" s="703"/>
      <c r="CN39" s="703"/>
      <c r="CO39" s="703"/>
      <c r="CP39" s="703"/>
      <c r="CQ39" s="703"/>
      <c r="CR39" s="703"/>
      <c r="CS39" s="703"/>
      <c r="CT39" s="703"/>
      <c r="CU39" s="703"/>
      <c r="CV39" s="703"/>
      <c r="CW39" s="703"/>
      <c r="CX39" s="703"/>
      <c r="CY39" s="703"/>
      <c r="CZ39" s="703"/>
      <c r="DA39" s="703"/>
      <c r="DB39" s="703"/>
      <c r="DC39" s="703"/>
      <c r="DD39" s="703"/>
      <c r="DE39" s="703"/>
      <c r="DF39" s="703"/>
      <c r="DG39" s="703"/>
      <c r="DH39" s="703"/>
      <c r="DI39" s="703"/>
      <c r="DJ39" s="703"/>
      <c r="DK39" s="703"/>
      <c r="DL39" s="703"/>
      <c r="DM39" s="703"/>
      <c r="DN39" s="703"/>
      <c r="DO39" s="703"/>
      <c r="DP39" s="703"/>
      <c r="DQ39" s="703"/>
      <c r="DR39" s="703"/>
    </row>
    <row r="40" spans="1:122" x14ac:dyDescent="0.2">
      <c r="A40" s="703"/>
      <c r="B40" s="716"/>
      <c r="C40" s="703" t="s">
        <v>490</v>
      </c>
      <c r="D40" s="703"/>
      <c r="E40" s="735">
        <f>+Model!CH32</f>
        <v>-3.3503211139168543E-2</v>
      </c>
      <c r="F40" s="735">
        <f>+Model!CM32</f>
        <v>-4.8569531145750688E-2</v>
      </c>
      <c r="G40" s="922">
        <f>+Model!CW32</f>
        <v>2.1665121800732434E-2</v>
      </c>
      <c r="H40" s="735">
        <f>+Model!DB32</f>
        <v>2.942932881174487E-2</v>
      </c>
      <c r="I40" s="735">
        <f>+Model!DG32</f>
        <v>5.0000000000000001E-3</v>
      </c>
      <c r="J40" s="735">
        <f>+Model!DL32</f>
        <v>5.0000000000000001E-3</v>
      </c>
      <c r="K40" s="703"/>
      <c r="L40" s="703"/>
      <c r="M40" s="703" t="s">
        <v>376</v>
      </c>
      <c r="N40" s="703"/>
      <c r="O40" s="713">
        <f>+Model!BX269</f>
        <v>-102</v>
      </c>
      <c r="P40" s="713">
        <f>+Model!CC269</f>
        <v>-251</v>
      </c>
      <c r="Q40" s="713">
        <f>+Model!CH269</f>
        <v>-359</v>
      </c>
      <c r="R40" s="713">
        <f>+Model!CM269</f>
        <v>-509</v>
      </c>
      <c r="S40" s="713">
        <f>+Model!CW269</f>
        <v>-732</v>
      </c>
      <c r="T40" s="713">
        <f>+Model!DB269</f>
        <v>-853.34850840765625</v>
      </c>
      <c r="U40" s="713">
        <f>+Model!DG269</f>
        <v>-910.23140586068246</v>
      </c>
      <c r="V40" s="713">
        <f>+Model!DL269</f>
        <v>-1092.2776870328189</v>
      </c>
      <c r="W40" s="726"/>
      <c r="X40" s="721"/>
      <c r="Y40" s="716"/>
      <c r="Z40" s="703"/>
      <c r="AA40" s="703"/>
      <c r="AB40" s="703"/>
      <c r="AC40" s="703"/>
      <c r="AD40" s="703"/>
      <c r="AE40" s="703"/>
      <c r="AF40" s="703"/>
      <c r="AG40" s="703"/>
      <c r="AH40" s="703"/>
      <c r="AI40" s="703"/>
      <c r="AJ40" s="703"/>
      <c r="AK40" s="703"/>
      <c r="AL40" s="703"/>
      <c r="AM40" s="703"/>
      <c r="AN40" s="703"/>
      <c r="AO40" s="703"/>
      <c r="AP40" s="703"/>
      <c r="AQ40" s="703"/>
      <c r="AR40" s="703"/>
      <c r="AS40" s="703"/>
      <c r="AT40" s="703"/>
      <c r="AU40" s="703"/>
      <c r="AV40" s="703"/>
      <c r="AW40" s="703"/>
      <c r="AX40" s="703"/>
      <c r="AY40" s="703"/>
      <c r="AZ40" s="703"/>
      <c r="BA40" s="703"/>
      <c r="BB40" s="703"/>
      <c r="BC40" s="703"/>
      <c r="BD40" s="703"/>
      <c r="BE40" s="703"/>
      <c r="BF40" s="703"/>
      <c r="BG40" s="703"/>
      <c r="BH40" s="703"/>
      <c r="BI40" s="703"/>
      <c r="BJ40" s="703"/>
      <c r="BK40" s="703"/>
      <c r="BL40" s="703"/>
      <c r="BM40" s="703"/>
      <c r="BN40" s="703"/>
      <c r="BO40" s="703"/>
      <c r="BP40" s="703"/>
      <c r="BQ40" s="703"/>
      <c r="BR40" s="703"/>
      <c r="BS40" s="703"/>
      <c r="BT40" s="703"/>
      <c r="BU40" s="703"/>
      <c r="BV40" s="703"/>
      <c r="BW40" s="703"/>
      <c r="BX40" s="703"/>
      <c r="BY40" s="703"/>
      <c r="BZ40" s="703"/>
      <c r="CA40" s="703"/>
      <c r="CB40" s="703"/>
      <c r="CC40" s="703"/>
      <c r="CD40" s="703"/>
      <c r="CE40" s="703"/>
      <c r="CF40" s="703"/>
      <c r="CG40" s="703"/>
      <c r="CH40" s="703"/>
      <c r="CI40" s="703"/>
      <c r="CJ40" s="703"/>
      <c r="CK40" s="703"/>
      <c r="CL40" s="703"/>
      <c r="CM40" s="703"/>
      <c r="CN40" s="703"/>
      <c r="CO40" s="703"/>
      <c r="CP40" s="703"/>
      <c r="CQ40" s="703"/>
      <c r="CR40" s="703"/>
      <c r="CS40" s="703"/>
      <c r="CT40" s="703"/>
      <c r="CU40" s="703"/>
      <c r="CV40" s="703"/>
      <c r="CW40" s="703"/>
      <c r="CX40" s="703"/>
      <c r="CY40" s="703"/>
      <c r="CZ40" s="703"/>
      <c r="DA40" s="703"/>
      <c r="DB40" s="703"/>
      <c r="DC40" s="703"/>
      <c r="DD40" s="703"/>
      <c r="DE40" s="703"/>
      <c r="DF40" s="703"/>
      <c r="DG40" s="703"/>
      <c r="DH40" s="703"/>
      <c r="DI40" s="703"/>
      <c r="DJ40" s="703"/>
      <c r="DK40" s="703"/>
      <c r="DL40" s="703"/>
      <c r="DM40" s="703"/>
      <c r="DN40" s="703"/>
      <c r="DO40" s="703"/>
      <c r="DP40" s="703"/>
      <c r="DQ40" s="703"/>
      <c r="DR40" s="703"/>
    </row>
    <row r="41" spans="1:122" x14ac:dyDescent="0.2">
      <c r="A41" s="703"/>
      <c r="B41" s="703"/>
      <c r="C41" s="703" t="s">
        <v>492</v>
      </c>
      <c r="D41" s="703"/>
      <c r="E41" s="735">
        <f>+Model!CH75</f>
        <v>-2.0493870248288193E-2</v>
      </c>
      <c r="F41" s="735">
        <f>+Model!CM75</f>
        <v>-4.5895086859259471E-2</v>
      </c>
      <c r="G41" s="922">
        <f>+Model!CW75</f>
        <v>3.2709999991278771E-2</v>
      </c>
      <c r="H41" s="735">
        <f>+Model!DB75</f>
        <v>3.7705621843913795E-2</v>
      </c>
      <c r="I41" s="735">
        <f>+Model!DG75</f>
        <v>7.367858462183241E-3</v>
      </c>
      <c r="J41" s="735">
        <f>+Model!DL75</f>
        <v>6.0818131533064701E-3</v>
      </c>
      <c r="K41" s="703"/>
      <c r="L41" s="703"/>
      <c r="M41" s="703" t="s">
        <v>238</v>
      </c>
      <c r="N41" s="703"/>
      <c r="O41" s="713">
        <f>+Model!BX277</f>
        <v>225</v>
      </c>
      <c r="P41" s="713">
        <f>+Model!CC277</f>
        <v>19</v>
      </c>
      <c r="Q41" s="713">
        <f>+Model!CH277</f>
        <v>-9</v>
      </c>
      <c r="R41" s="713">
        <f>+Model!CM277</f>
        <v>109</v>
      </c>
      <c r="S41" s="713">
        <f>+Model!CW277</f>
        <v>482</v>
      </c>
      <c r="T41" s="713">
        <f>+Model!DB277</f>
        <v>-1</v>
      </c>
      <c r="U41" s="713">
        <f>+Model!DG277</f>
        <v>0</v>
      </c>
      <c r="V41" s="713">
        <f>+Model!DL277</f>
        <v>0</v>
      </c>
      <c r="W41" s="726"/>
      <c r="X41" s="721"/>
      <c r="Y41" s="716"/>
      <c r="Z41" s="703"/>
      <c r="AA41" s="703"/>
      <c r="AB41" s="703"/>
      <c r="AC41" s="703"/>
      <c r="AD41" s="703"/>
      <c r="AE41" s="703"/>
      <c r="AF41" s="703"/>
      <c r="AG41" s="703"/>
      <c r="AH41" s="703"/>
      <c r="AI41" s="703"/>
      <c r="AJ41" s="703"/>
      <c r="AK41" s="703"/>
      <c r="AL41" s="703"/>
      <c r="AM41" s="703"/>
      <c r="AN41" s="703"/>
      <c r="AO41" s="703"/>
      <c r="AP41" s="703"/>
      <c r="AQ41" s="703"/>
      <c r="AR41" s="703"/>
      <c r="AS41" s="703"/>
      <c r="AT41" s="703"/>
      <c r="AU41" s="703"/>
      <c r="AV41" s="703"/>
      <c r="AW41" s="703"/>
      <c r="AX41" s="703"/>
      <c r="AY41" s="703"/>
      <c r="AZ41" s="703"/>
      <c r="BA41" s="703"/>
      <c r="BB41" s="703"/>
      <c r="BC41" s="703"/>
      <c r="BD41" s="703"/>
      <c r="BE41" s="703"/>
      <c r="BF41" s="703"/>
      <c r="BG41" s="703"/>
      <c r="BH41" s="703"/>
      <c r="BI41" s="703"/>
      <c r="BJ41" s="703"/>
      <c r="BK41" s="703"/>
      <c r="BL41" s="703"/>
      <c r="BM41" s="703"/>
      <c r="BN41" s="703"/>
      <c r="BO41" s="703"/>
      <c r="BP41" s="703"/>
      <c r="BQ41" s="703"/>
      <c r="BR41" s="703"/>
      <c r="BS41" s="703"/>
      <c r="BT41" s="703"/>
      <c r="BU41" s="703"/>
      <c r="BV41" s="703"/>
      <c r="BW41" s="703"/>
      <c r="BX41" s="703"/>
      <c r="BY41" s="703"/>
      <c r="BZ41" s="703"/>
      <c r="CA41" s="703"/>
      <c r="CB41" s="703"/>
      <c r="CC41" s="703"/>
      <c r="CD41" s="703"/>
      <c r="CE41" s="703"/>
      <c r="CF41" s="703"/>
      <c r="CG41" s="703"/>
      <c r="CH41" s="703"/>
      <c r="CI41" s="703"/>
      <c r="CJ41" s="703"/>
      <c r="CK41" s="703"/>
      <c r="CL41" s="703"/>
      <c r="CM41" s="703"/>
      <c r="CN41" s="703"/>
      <c r="CO41" s="703"/>
      <c r="CP41" s="703"/>
      <c r="CQ41" s="703"/>
      <c r="CR41" s="703"/>
      <c r="CS41" s="703"/>
      <c r="CT41" s="703"/>
      <c r="CU41" s="703"/>
      <c r="CV41" s="703"/>
      <c r="CW41" s="703"/>
      <c r="CX41" s="703"/>
      <c r="CY41" s="703"/>
      <c r="CZ41" s="703"/>
      <c r="DA41" s="703"/>
      <c r="DB41" s="703"/>
      <c r="DC41" s="703"/>
      <c r="DD41" s="703"/>
      <c r="DE41" s="703"/>
      <c r="DF41" s="703"/>
      <c r="DG41" s="703"/>
      <c r="DH41" s="703"/>
      <c r="DI41" s="703"/>
      <c r="DJ41" s="703"/>
      <c r="DK41" s="703"/>
      <c r="DL41" s="703"/>
      <c r="DM41" s="703"/>
      <c r="DN41" s="703"/>
      <c r="DO41" s="703"/>
      <c r="DP41" s="703"/>
      <c r="DQ41" s="703"/>
      <c r="DR41" s="703"/>
    </row>
    <row r="42" spans="1:122" x14ac:dyDescent="0.2">
      <c r="A42" s="703"/>
      <c r="B42" s="716"/>
      <c r="C42" s="703"/>
      <c r="D42" s="703"/>
      <c r="E42" s="716"/>
      <c r="F42" s="716"/>
      <c r="G42" s="716"/>
      <c r="H42" s="716"/>
      <c r="I42" s="716"/>
      <c r="J42" s="716"/>
      <c r="K42" s="703"/>
      <c r="L42" s="703"/>
      <c r="M42" s="719" t="s">
        <v>488</v>
      </c>
      <c r="N42" s="703"/>
      <c r="O42" s="720">
        <f t="shared" ref="O42:T42" si="13">SUM(O38:O41)</f>
        <v>-1320</v>
      </c>
      <c r="P42" s="720">
        <f t="shared" si="13"/>
        <v>-3240</v>
      </c>
      <c r="Q42" s="720">
        <f t="shared" si="13"/>
        <v>-4088</v>
      </c>
      <c r="R42" s="720">
        <f t="shared" si="13"/>
        <v>-4260</v>
      </c>
      <c r="S42" s="720">
        <f t="shared" si="13"/>
        <v>-729</v>
      </c>
      <c r="T42" s="720">
        <f t="shared" si="13"/>
        <v>-3922.3961602738436</v>
      </c>
      <c r="U42" s="720">
        <f t="shared" ref="U42:V42" si="14">SUM(U38:U41)</f>
        <v>-4394.2926257331446</v>
      </c>
      <c r="V42" s="720">
        <f t="shared" si="14"/>
        <v>-4454.3488668462005</v>
      </c>
      <c r="W42" s="726"/>
      <c r="X42" s="721"/>
      <c r="Y42" s="716"/>
      <c r="Z42" s="703"/>
      <c r="AA42" s="703"/>
      <c r="AB42" s="703"/>
      <c r="AC42" s="703"/>
      <c r="AD42" s="703"/>
      <c r="AE42" s="703"/>
      <c r="AF42" s="703"/>
      <c r="AG42" s="703"/>
      <c r="AH42" s="703"/>
      <c r="AI42" s="703"/>
      <c r="AJ42" s="703"/>
      <c r="AK42" s="703"/>
      <c r="AL42" s="703"/>
      <c r="AM42" s="703"/>
      <c r="AN42" s="703"/>
      <c r="AO42" s="703"/>
      <c r="AP42" s="703"/>
      <c r="AQ42" s="703"/>
      <c r="AR42" s="703"/>
      <c r="AS42" s="703"/>
      <c r="AT42" s="703"/>
      <c r="AU42" s="703"/>
      <c r="AV42" s="703"/>
      <c r="AW42" s="703"/>
      <c r="AX42" s="703"/>
      <c r="AY42" s="703"/>
      <c r="AZ42" s="703"/>
      <c r="BA42" s="703"/>
      <c r="BB42" s="703"/>
      <c r="BC42" s="703"/>
      <c r="BD42" s="703"/>
      <c r="BE42" s="703"/>
      <c r="BF42" s="703"/>
      <c r="BG42" s="703"/>
      <c r="BH42" s="703"/>
      <c r="BI42" s="703"/>
      <c r="BJ42" s="703"/>
      <c r="BK42" s="703"/>
      <c r="BL42" s="703"/>
      <c r="BM42" s="703"/>
      <c r="BN42" s="703"/>
      <c r="BO42" s="703"/>
      <c r="BP42" s="703"/>
      <c r="BQ42" s="703"/>
      <c r="BR42" s="703"/>
      <c r="BS42" s="703"/>
      <c r="BT42" s="703"/>
      <c r="BU42" s="703"/>
      <c r="BV42" s="703"/>
      <c r="BW42" s="703"/>
      <c r="BX42" s="703"/>
      <c r="BY42" s="703"/>
      <c r="BZ42" s="703"/>
      <c r="CA42" s="703"/>
      <c r="CB42" s="703"/>
      <c r="CC42" s="703"/>
      <c r="CD42" s="703"/>
      <c r="CE42" s="703"/>
      <c r="CF42" s="703"/>
      <c r="CG42" s="703"/>
      <c r="CH42" s="703"/>
      <c r="CI42" s="703"/>
      <c r="CJ42" s="703"/>
      <c r="CK42" s="703"/>
      <c r="CL42" s="703"/>
      <c r="CM42" s="703"/>
      <c r="CN42" s="703"/>
      <c r="CO42" s="703"/>
      <c r="CP42" s="703"/>
      <c r="CQ42" s="703"/>
      <c r="CR42" s="703"/>
      <c r="CS42" s="703"/>
      <c r="CT42" s="703"/>
      <c r="CU42" s="703"/>
      <c r="CV42" s="703"/>
      <c r="CW42" s="703"/>
      <c r="CX42" s="703"/>
      <c r="CY42" s="703"/>
      <c r="CZ42" s="703"/>
      <c r="DA42" s="703"/>
      <c r="DB42" s="703"/>
      <c r="DC42" s="703"/>
      <c r="DD42" s="703"/>
      <c r="DE42" s="703"/>
      <c r="DF42" s="703"/>
      <c r="DG42" s="703"/>
      <c r="DH42" s="703"/>
      <c r="DI42" s="703"/>
      <c r="DJ42" s="703"/>
      <c r="DK42" s="703"/>
      <c r="DL42" s="703"/>
      <c r="DM42" s="703"/>
      <c r="DN42" s="703"/>
      <c r="DO42" s="703"/>
      <c r="DP42" s="703"/>
      <c r="DQ42" s="703"/>
      <c r="DR42" s="703"/>
    </row>
    <row r="43" spans="1:122" x14ac:dyDescent="0.2">
      <c r="A43" s="703"/>
      <c r="B43" s="716"/>
      <c r="C43" s="703" t="s">
        <v>520</v>
      </c>
      <c r="D43" s="703"/>
      <c r="E43" s="735">
        <f>+Model!CH142</f>
        <v>-5.4352163572663703E-2</v>
      </c>
      <c r="F43" s="735">
        <f>+Model!CM142</f>
        <v>-4.9823770448946147E-2</v>
      </c>
      <c r="G43" s="922">
        <f>+Model!CW142</f>
        <v>5.8596817722976535E-2</v>
      </c>
      <c r="H43" s="735">
        <f>+Model!DB142</f>
        <v>5.6895265568053022E-2</v>
      </c>
      <c r="I43" s="735">
        <f>+Model!DG142</f>
        <v>5.8991656169871121E-4</v>
      </c>
      <c r="J43" s="735">
        <f>+Model!DL142</f>
        <v>-1.1411924735881263E-3</v>
      </c>
      <c r="K43" s="703"/>
      <c r="L43" s="703"/>
      <c r="M43" s="703"/>
      <c r="N43" s="703"/>
      <c r="O43" s="703"/>
      <c r="P43" s="703"/>
      <c r="Q43" s="703"/>
      <c r="R43" s="703"/>
      <c r="S43" s="703"/>
      <c r="T43" s="703"/>
      <c r="U43" s="703"/>
      <c r="V43" s="703"/>
      <c r="W43" s="703"/>
      <c r="X43" s="721"/>
      <c r="Y43" s="716"/>
      <c r="Z43" s="703"/>
      <c r="AA43" s="703"/>
      <c r="AB43" s="703"/>
      <c r="AC43" s="703"/>
      <c r="AD43" s="703"/>
      <c r="AE43" s="703"/>
      <c r="AF43" s="703"/>
      <c r="AG43" s="703"/>
      <c r="AH43" s="703"/>
      <c r="AI43" s="703"/>
      <c r="AJ43" s="703"/>
      <c r="AK43" s="703"/>
      <c r="AL43" s="703"/>
      <c r="AM43" s="703"/>
      <c r="AN43" s="703"/>
      <c r="AO43" s="703"/>
      <c r="AP43" s="703"/>
      <c r="AQ43" s="703"/>
      <c r="AR43" s="703"/>
      <c r="AS43" s="703"/>
      <c r="AT43" s="703"/>
      <c r="AU43" s="703"/>
      <c r="AV43" s="703"/>
      <c r="AW43" s="703"/>
      <c r="AX43" s="703"/>
      <c r="AY43" s="703"/>
      <c r="AZ43" s="703"/>
      <c r="BA43" s="703"/>
      <c r="BB43" s="703"/>
      <c r="BC43" s="703"/>
      <c r="BD43" s="703"/>
      <c r="BE43" s="703"/>
      <c r="BF43" s="703"/>
      <c r="BG43" s="703"/>
      <c r="BH43" s="703"/>
      <c r="BI43" s="703"/>
      <c r="BJ43" s="703"/>
      <c r="BK43" s="703"/>
      <c r="BL43" s="703"/>
      <c r="BM43" s="703"/>
      <c r="BN43" s="703"/>
      <c r="BO43" s="703"/>
      <c r="BP43" s="703"/>
      <c r="BQ43" s="703"/>
      <c r="BR43" s="703"/>
      <c r="BS43" s="703"/>
      <c r="BT43" s="703"/>
      <c r="BU43" s="703"/>
      <c r="BV43" s="703"/>
      <c r="BW43" s="703"/>
      <c r="BX43" s="703"/>
      <c r="BY43" s="703"/>
      <c r="BZ43" s="703"/>
      <c r="CA43" s="703"/>
      <c r="CB43" s="703"/>
      <c r="CC43" s="703"/>
      <c r="CD43" s="703"/>
      <c r="CE43" s="703"/>
      <c r="CF43" s="703"/>
      <c r="CG43" s="703"/>
      <c r="CH43" s="703"/>
      <c r="CI43" s="703"/>
      <c r="CJ43" s="703"/>
      <c r="CK43" s="703"/>
      <c r="CL43" s="703"/>
      <c r="CM43" s="703"/>
      <c r="CN43" s="703"/>
      <c r="CO43" s="703"/>
      <c r="CP43" s="703"/>
      <c r="CQ43" s="703"/>
      <c r="CR43" s="703"/>
      <c r="CS43" s="703"/>
      <c r="CT43" s="703"/>
      <c r="CU43" s="703"/>
      <c r="CV43" s="703"/>
      <c r="CW43" s="703"/>
      <c r="CX43" s="703"/>
      <c r="CY43" s="703"/>
      <c r="CZ43" s="703"/>
      <c r="DA43" s="703"/>
      <c r="DB43" s="703"/>
      <c r="DC43" s="703"/>
      <c r="DD43" s="703"/>
      <c r="DE43" s="703"/>
      <c r="DF43" s="703"/>
      <c r="DG43" s="703"/>
      <c r="DH43" s="703"/>
      <c r="DI43" s="703"/>
      <c r="DJ43" s="703"/>
      <c r="DK43" s="703"/>
      <c r="DL43" s="703"/>
      <c r="DM43" s="703"/>
      <c r="DN43" s="703"/>
      <c r="DO43" s="703"/>
      <c r="DP43" s="703"/>
      <c r="DQ43" s="703"/>
      <c r="DR43" s="703"/>
    </row>
    <row r="44" spans="1:122" x14ac:dyDescent="0.2">
      <c r="A44" s="703"/>
      <c r="B44" s="703"/>
      <c r="C44" s="703" t="s">
        <v>519</v>
      </c>
      <c r="D44" s="703"/>
      <c r="E44" s="735">
        <f>+Model!CH145</f>
        <v>1.8331291974801101E-2</v>
      </c>
      <c r="F44" s="735">
        <f>+Model!CM145</f>
        <v>3.6176838415882262E-2</v>
      </c>
      <c r="G44" s="922">
        <f>+Model!CW145</f>
        <v>5.4328862527057931E-2</v>
      </c>
      <c r="H44" s="735">
        <f>+Model!DB145</f>
        <v>1.6750009366333529E-2</v>
      </c>
      <c r="I44" s="735">
        <f>+Model!DG145</f>
        <v>1.6226252767775451E-2</v>
      </c>
      <c r="J44" s="735">
        <f>+Model!DL145</f>
        <v>1.402184427471731E-2</v>
      </c>
      <c r="K44" s="703"/>
      <c r="L44" s="703"/>
      <c r="M44" s="736" t="s">
        <v>371</v>
      </c>
      <c r="N44" s="737"/>
      <c r="O44" s="738">
        <f t="shared" ref="O44:T44" si="15">+O32+O34</f>
        <v>1936</v>
      </c>
      <c r="P44" s="738">
        <f t="shared" si="15"/>
        <v>2698</v>
      </c>
      <c r="Q44" s="738">
        <f t="shared" si="15"/>
        <v>4982</v>
      </c>
      <c r="R44" s="738">
        <f t="shared" si="15"/>
        <v>3814</v>
      </c>
      <c r="S44" s="738">
        <f t="shared" si="15"/>
        <v>1226</v>
      </c>
      <c r="T44" s="738">
        <f t="shared" si="15"/>
        <v>3381.6071841915609</v>
      </c>
      <c r="U44" s="738">
        <f t="shared" ref="U44:V44" si="16">+U32+U34</f>
        <v>4165.2357937748338</v>
      </c>
      <c r="V44" s="739">
        <f t="shared" si="16"/>
        <v>4789.5359766764341</v>
      </c>
      <c r="W44" s="727"/>
      <c r="X44" s="721"/>
      <c r="Y44" s="716"/>
      <c r="Z44" s="703"/>
      <c r="AA44" s="703"/>
      <c r="AB44" s="703"/>
      <c r="AC44" s="703"/>
      <c r="AD44" s="703"/>
      <c r="AE44" s="703"/>
      <c r="AF44" s="703"/>
      <c r="AG44" s="703"/>
      <c r="AH44" s="703"/>
      <c r="AI44" s="716"/>
      <c r="AJ44" s="716"/>
      <c r="AK44" s="716"/>
      <c r="AL44" s="716"/>
      <c r="AM44" s="716"/>
      <c r="AN44" s="716"/>
      <c r="AO44" s="716"/>
      <c r="AP44" s="716"/>
      <c r="AQ44" s="716"/>
      <c r="AR44" s="716"/>
      <c r="AS44" s="716"/>
      <c r="AT44" s="716"/>
      <c r="AU44" s="716"/>
      <c r="AV44" s="716"/>
      <c r="AW44" s="716"/>
      <c r="AX44" s="716"/>
      <c r="AY44" s="716"/>
      <c r="AZ44" s="716"/>
      <c r="BA44" s="716"/>
      <c r="BB44" s="716"/>
      <c r="BC44" s="716"/>
      <c r="BD44" s="716"/>
      <c r="BE44" s="716"/>
      <c r="BF44" s="716"/>
      <c r="BG44" s="716"/>
      <c r="BH44" s="716"/>
      <c r="BI44" s="716"/>
      <c r="BJ44" s="716"/>
      <c r="BK44" s="716"/>
      <c r="BL44" s="716"/>
      <c r="BM44" s="716"/>
      <c r="BN44" s="716"/>
      <c r="BO44" s="716"/>
      <c r="BP44" s="716"/>
      <c r="BQ44" s="716"/>
      <c r="BR44" s="716"/>
      <c r="BS44" s="716"/>
      <c r="BT44" s="716"/>
      <c r="BU44" s="716"/>
      <c r="BV44" s="716"/>
      <c r="BW44" s="716"/>
      <c r="BX44" s="716"/>
      <c r="BY44" s="716"/>
      <c r="BZ44" s="716"/>
      <c r="CA44" s="716"/>
      <c r="CB44" s="716"/>
      <c r="CC44" s="716"/>
      <c r="CD44" s="716"/>
      <c r="CE44" s="716"/>
      <c r="CF44" s="716"/>
      <c r="CG44" s="716"/>
      <c r="CH44" s="716"/>
      <c r="CI44" s="716"/>
      <c r="CJ44" s="716"/>
      <c r="CK44" s="716"/>
      <c r="CL44" s="716"/>
      <c r="CM44" s="716"/>
      <c r="CN44" s="716"/>
      <c r="CO44" s="716"/>
      <c r="CP44" s="716"/>
      <c r="CQ44" s="716"/>
      <c r="CR44" s="716"/>
      <c r="CS44" s="716"/>
      <c r="CT44" s="716"/>
      <c r="CU44" s="716"/>
      <c r="CV44" s="716"/>
      <c r="CW44" s="716"/>
      <c r="CX44" s="716"/>
      <c r="CY44" s="716"/>
      <c r="CZ44" s="716"/>
      <c r="DA44" s="716"/>
      <c r="DB44" s="716"/>
      <c r="DC44" s="716"/>
      <c r="DD44" s="716"/>
      <c r="DE44" s="716"/>
      <c r="DF44" s="716"/>
      <c r="DG44" s="716"/>
      <c r="DH44" s="716"/>
      <c r="DI44" s="716"/>
      <c r="DJ44" s="716"/>
      <c r="DK44" s="716"/>
      <c r="DL44" s="716"/>
      <c r="DM44" s="716"/>
      <c r="DN44" s="716"/>
      <c r="DO44" s="716"/>
      <c r="DP44" s="716"/>
      <c r="DQ44" s="716"/>
      <c r="DR44" s="716"/>
    </row>
    <row r="45" spans="1:122" x14ac:dyDescent="0.2">
      <c r="A45" s="703"/>
      <c r="B45" s="703"/>
      <c r="C45" s="703" t="s">
        <v>521</v>
      </c>
      <c r="D45" s="703"/>
      <c r="E45" s="735">
        <f>+Model!CH150</f>
        <v>2.7219857778897349E-3</v>
      </c>
      <c r="F45" s="735">
        <f>+Model!CM150</f>
        <v>5.6119160063178519E-2</v>
      </c>
      <c r="G45" s="922">
        <f>+Model!CW150</f>
        <v>5.9329263512864161E-2</v>
      </c>
      <c r="H45" s="735">
        <f>+Model!DB150</f>
        <v>8.7609259546024276E-3</v>
      </c>
      <c r="I45" s="735">
        <f>+Model!DG150</f>
        <v>1.4568830767708985E-2</v>
      </c>
      <c r="J45" s="735">
        <f>+Model!DL150</f>
        <v>9.9843746343091233E-3</v>
      </c>
      <c r="K45" s="703"/>
      <c r="L45" s="703"/>
      <c r="M45" s="703"/>
      <c r="N45" s="703"/>
      <c r="O45" s="703"/>
      <c r="P45" s="703"/>
      <c r="Q45" s="703"/>
      <c r="R45" s="726"/>
      <c r="S45" s="726"/>
      <c r="T45" s="726"/>
      <c r="U45" s="726"/>
      <c r="V45" s="726"/>
      <c r="W45" s="703"/>
      <c r="X45" s="721"/>
      <c r="Y45" s="716"/>
      <c r="Z45" s="703"/>
      <c r="AA45" s="703"/>
      <c r="AB45" s="703"/>
      <c r="AC45" s="703"/>
      <c r="AD45" s="703"/>
      <c r="AE45" s="703"/>
      <c r="AF45" s="703"/>
      <c r="AG45" s="703"/>
      <c r="AH45" s="703"/>
      <c r="AI45" s="703"/>
      <c r="AJ45" s="703"/>
      <c r="AK45" s="703"/>
      <c r="AL45" s="703"/>
      <c r="AM45" s="703"/>
      <c r="AN45" s="703"/>
      <c r="AO45" s="703"/>
      <c r="AP45" s="703"/>
      <c r="AQ45" s="703"/>
      <c r="AR45" s="703"/>
      <c r="AS45" s="703"/>
      <c r="AT45" s="703"/>
      <c r="AU45" s="703"/>
      <c r="AV45" s="703"/>
      <c r="AW45" s="703"/>
      <c r="AX45" s="703"/>
      <c r="AY45" s="703"/>
      <c r="AZ45" s="703"/>
      <c r="BA45" s="703"/>
      <c r="BB45" s="703"/>
      <c r="BC45" s="703"/>
      <c r="BD45" s="703"/>
      <c r="BE45" s="703"/>
      <c r="BF45" s="703"/>
      <c r="BG45" s="703"/>
      <c r="BH45" s="703"/>
      <c r="BI45" s="703"/>
      <c r="BJ45" s="703"/>
      <c r="BK45" s="703"/>
      <c r="BL45" s="703"/>
      <c r="BM45" s="703"/>
      <c r="BN45" s="703"/>
      <c r="BO45" s="703"/>
      <c r="BP45" s="703"/>
      <c r="BQ45" s="703"/>
      <c r="BR45" s="703"/>
      <c r="BS45" s="703"/>
      <c r="BT45" s="703"/>
      <c r="BU45" s="703"/>
      <c r="BV45" s="703"/>
      <c r="BW45" s="703"/>
      <c r="BX45" s="703"/>
      <c r="BY45" s="703"/>
      <c r="BZ45" s="703"/>
      <c r="CA45" s="703"/>
      <c r="CB45" s="703"/>
      <c r="CC45" s="703"/>
      <c r="CD45" s="703"/>
      <c r="CE45" s="703"/>
      <c r="CF45" s="703"/>
      <c r="CG45" s="703"/>
      <c r="CH45" s="703"/>
      <c r="CI45" s="703"/>
      <c r="CJ45" s="703"/>
      <c r="CK45" s="703"/>
      <c r="CL45" s="703"/>
      <c r="CM45" s="703"/>
      <c r="CN45" s="703"/>
      <c r="CO45" s="703"/>
      <c r="CP45" s="703"/>
      <c r="CQ45" s="703"/>
      <c r="CR45" s="703"/>
      <c r="CS45" s="703"/>
      <c r="CT45" s="703"/>
      <c r="CU45" s="703"/>
      <c r="CV45" s="703"/>
      <c r="CW45" s="703"/>
      <c r="CX45" s="703"/>
      <c r="CY45" s="703"/>
      <c r="CZ45" s="703"/>
      <c r="DA45" s="703"/>
      <c r="DB45" s="703"/>
      <c r="DC45" s="703"/>
      <c r="DD45" s="703"/>
      <c r="DE45" s="703"/>
      <c r="DF45" s="703"/>
      <c r="DG45" s="703"/>
      <c r="DH45" s="703"/>
      <c r="DI45" s="703"/>
      <c r="DJ45" s="703"/>
      <c r="DK45" s="703"/>
      <c r="DL45" s="703"/>
      <c r="DM45" s="703"/>
      <c r="DN45" s="703"/>
      <c r="DO45" s="703"/>
      <c r="DP45" s="703"/>
      <c r="DQ45" s="703"/>
      <c r="DR45" s="703"/>
    </row>
    <row r="46" spans="1:122" x14ac:dyDescent="0.2">
      <c r="A46" s="703"/>
      <c r="B46" s="703"/>
      <c r="C46" s="703" t="s">
        <v>495</v>
      </c>
      <c r="D46" s="703"/>
      <c r="E46" s="714">
        <f>+Model!CH96</f>
        <v>2.3189476795743422</v>
      </c>
      <c r="F46" s="741">
        <f>+Model!CM96</f>
        <v>1.639647577092511</v>
      </c>
      <c r="G46" s="741">
        <f>+Model!CW96</f>
        <v>1.6755952380952381</v>
      </c>
      <c r="H46" s="741">
        <f>+Model!DB96</f>
        <v>2.0463293781166763</v>
      </c>
      <c r="I46" s="741">
        <f>+Model!DG96</f>
        <v>1.95</v>
      </c>
      <c r="J46" s="741">
        <f>+Model!DL96</f>
        <v>1.8499999999999999</v>
      </c>
      <c r="K46" s="703"/>
      <c r="L46" s="703"/>
      <c r="M46" s="710" t="s">
        <v>304</v>
      </c>
      <c r="N46" s="703"/>
      <c r="O46" s="703"/>
      <c r="P46" s="703"/>
      <c r="Q46" s="703"/>
      <c r="R46" s="703"/>
      <c r="S46" s="703"/>
      <c r="T46" s="703"/>
      <c r="U46" s="703"/>
      <c r="V46" s="703"/>
      <c r="W46" s="703"/>
      <c r="X46" s="721"/>
      <c r="Y46" s="716"/>
      <c r="Z46" s="703"/>
      <c r="AA46" s="703"/>
      <c r="AB46" s="703"/>
      <c r="AC46" s="703"/>
      <c r="AD46" s="703"/>
      <c r="AE46" s="703"/>
      <c r="AF46" s="703"/>
      <c r="AG46" s="703"/>
      <c r="AH46" s="703"/>
      <c r="AI46" s="703"/>
      <c r="AJ46" s="703"/>
      <c r="AK46" s="703"/>
      <c r="AL46" s="703"/>
      <c r="AM46" s="703"/>
      <c r="AN46" s="703"/>
      <c r="AO46" s="703"/>
      <c r="AP46" s="703"/>
      <c r="AQ46" s="703"/>
      <c r="AR46" s="703"/>
      <c r="AS46" s="703"/>
      <c r="AT46" s="703"/>
      <c r="AU46" s="703"/>
      <c r="AV46" s="703"/>
      <c r="AW46" s="703"/>
      <c r="AX46" s="703"/>
      <c r="AY46" s="703"/>
      <c r="AZ46" s="703"/>
      <c r="BA46" s="703"/>
      <c r="BB46" s="703"/>
      <c r="BC46" s="703"/>
      <c r="BD46" s="703"/>
      <c r="BE46" s="703"/>
      <c r="BF46" s="703"/>
      <c r="BG46" s="703"/>
      <c r="BH46" s="703"/>
      <c r="BI46" s="703"/>
      <c r="BJ46" s="703"/>
      <c r="BK46" s="703"/>
      <c r="BL46" s="703"/>
      <c r="BM46" s="703"/>
      <c r="BN46" s="703"/>
      <c r="BO46" s="703"/>
      <c r="BP46" s="703"/>
      <c r="BQ46" s="703"/>
      <c r="BR46" s="703"/>
      <c r="BS46" s="703"/>
      <c r="BT46" s="703"/>
      <c r="BU46" s="703"/>
      <c r="BV46" s="703"/>
      <c r="BW46" s="703"/>
      <c r="BX46" s="703"/>
      <c r="BY46" s="703"/>
      <c r="BZ46" s="703"/>
      <c r="CA46" s="703"/>
      <c r="CB46" s="703"/>
      <c r="CC46" s="703"/>
      <c r="CD46" s="703"/>
      <c r="CE46" s="703"/>
      <c r="CF46" s="703"/>
      <c r="CG46" s="703"/>
      <c r="CH46" s="703"/>
      <c r="CI46" s="703"/>
      <c r="CJ46" s="703"/>
      <c r="CK46" s="703"/>
      <c r="CL46" s="703"/>
      <c r="CM46" s="703"/>
      <c r="CN46" s="703"/>
      <c r="CO46" s="703"/>
      <c r="CP46" s="703"/>
      <c r="CQ46" s="703"/>
      <c r="CR46" s="703"/>
      <c r="CS46" s="703"/>
      <c r="CT46" s="703"/>
      <c r="CU46" s="703"/>
      <c r="CV46" s="703"/>
      <c r="CW46" s="703"/>
      <c r="CX46" s="703"/>
      <c r="CY46" s="703"/>
      <c r="CZ46" s="703"/>
      <c r="DA46" s="703"/>
      <c r="DB46" s="703"/>
      <c r="DC46" s="703"/>
      <c r="DD46" s="703"/>
      <c r="DE46" s="703"/>
      <c r="DF46" s="703"/>
      <c r="DG46" s="703"/>
      <c r="DH46" s="703"/>
      <c r="DI46" s="703"/>
      <c r="DJ46" s="703"/>
      <c r="DK46" s="703"/>
      <c r="DL46" s="703"/>
      <c r="DM46" s="703"/>
      <c r="DN46" s="703"/>
      <c r="DO46" s="703"/>
      <c r="DP46" s="703"/>
      <c r="DQ46" s="703"/>
      <c r="DR46" s="703"/>
    </row>
    <row r="47" spans="1:122" x14ac:dyDescent="0.2">
      <c r="A47" s="703"/>
      <c r="B47" s="703"/>
      <c r="C47" s="703"/>
      <c r="D47" s="703"/>
      <c r="E47" s="703"/>
      <c r="F47" s="703"/>
      <c r="G47" s="703"/>
      <c r="H47" s="703"/>
      <c r="I47" s="703"/>
      <c r="J47" s="703"/>
      <c r="K47" s="703"/>
      <c r="L47" s="703"/>
      <c r="M47" s="703" t="s">
        <v>356</v>
      </c>
      <c r="N47" s="703"/>
      <c r="O47" s="713">
        <f>+Model!BX287</f>
        <v>3803</v>
      </c>
      <c r="P47" s="713">
        <f>+Model!CC287</f>
        <v>3305</v>
      </c>
      <c r="Q47" s="713">
        <f>+Model!CH287</f>
        <v>3437</v>
      </c>
      <c r="R47" s="713">
        <f>+Model!CM287</f>
        <v>3249</v>
      </c>
      <c r="S47" s="713">
        <f>+Model!CW287</f>
        <v>2636</v>
      </c>
      <c r="T47" s="931">
        <f>+Model!DB287</f>
        <v>2131.2110239177173</v>
      </c>
      <c r="U47" s="931">
        <f>+Model!DG287</f>
        <v>1902.1541919594056</v>
      </c>
      <c r="V47" s="931">
        <f>+Model!DL287</f>
        <v>2237.3413017896382</v>
      </c>
      <c r="W47" s="703"/>
      <c r="X47" s="961"/>
      <c r="Y47" s="961"/>
      <c r="Z47" s="961"/>
      <c r="AA47" s="703"/>
      <c r="AB47" s="703"/>
      <c r="AC47" s="703"/>
      <c r="AD47" s="703"/>
      <c r="AE47" s="703"/>
      <c r="AF47" s="703"/>
      <c r="AG47" s="703"/>
      <c r="AH47" s="703"/>
      <c r="AI47" s="703"/>
      <c r="AJ47" s="703"/>
      <c r="AK47" s="703"/>
      <c r="AL47" s="703"/>
      <c r="AM47" s="703"/>
      <c r="AN47" s="703"/>
      <c r="AO47" s="703"/>
      <c r="AP47" s="703"/>
      <c r="AQ47" s="703"/>
      <c r="AR47" s="703"/>
      <c r="AS47" s="703"/>
      <c r="AT47" s="703"/>
      <c r="AU47" s="703"/>
      <c r="AV47" s="703"/>
      <c r="AW47" s="703"/>
      <c r="AX47" s="703"/>
      <c r="AY47" s="703"/>
      <c r="AZ47" s="703"/>
      <c r="BA47" s="703"/>
      <c r="BB47" s="703"/>
      <c r="BC47" s="703"/>
      <c r="BD47" s="703"/>
      <c r="BE47" s="703"/>
      <c r="BF47" s="703"/>
      <c r="BG47" s="703"/>
      <c r="BH47" s="703"/>
      <c r="BI47" s="703"/>
      <c r="BJ47" s="703"/>
      <c r="BK47" s="703"/>
      <c r="BL47" s="703"/>
      <c r="BM47" s="703"/>
      <c r="BN47" s="703"/>
      <c r="BO47" s="703"/>
      <c r="BP47" s="703"/>
      <c r="BQ47" s="703"/>
      <c r="BR47" s="703"/>
      <c r="BS47" s="703"/>
      <c r="BT47" s="703"/>
      <c r="BU47" s="703"/>
      <c r="BV47" s="703"/>
      <c r="BW47" s="703"/>
      <c r="BX47" s="703"/>
      <c r="BY47" s="703"/>
      <c r="BZ47" s="703"/>
      <c r="CA47" s="703"/>
      <c r="CB47" s="703"/>
      <c r="CC47" s="703"/>
      <c r="CD47" s="703"/>
      <c r="CE47" s="703"/>
      <c r="CF47" s="703"/>
      <c r="CG47" s="703"/>
      <c r="CH47" s="703"/>
      <c r="CI47" s="703"/>
      <c r="CJ47" s="703"/>
      <c r="CK47" s="703"/>
      <c r="CL47" s="703"/>
      <c r="CM47" s="703"/>
      <c r="CN47" s="703"/>
      <c r="CO47" s="703"/>
      <c r="CP47" s="703"/>
      <c r="CQ47" s="703"/>
      <c r="CR47" s="703"/>
      <c r="CS47" s="703"/>
      <c r="CT47" s="703"/>
      <c r="CU47" s="703"/>
      <c r="CV47" s="703"/>
      <c r="CW47" s="703"/>
      <c r="CX47" s="703"/>
      <c r="CY47" s="703"/>
      <c r="CZ47" s="703"/>
      <c r="DA47" s="703"/>
      <c r="DB47" s="703"/>
      <c r="DC47" s="703"/>
      <c r="DD47" s="703"/>
      <c r="DE47" s="703"/>
      <c r="DF47" s="703"/>
      <c r="DG47" s="703"/>
      <c r="DH47" s="703"/>
      <c r="DI47" s="703"/>
      <c r="DJ47" s="703"/>
      <c r="DK47" s="703"/>
      <c r="DL47" s="703"/>
      <c r="DM47" s="703"/>
      <c r="DN47" s="703"/>
      <c r="DO47" s="703"/>
      <c r="DP47" s="703"/>
      <c r="DQ47" s="703"/>
      <c r="DR47" s="703"/>
    </row>
    <row r="48" spans="1:122" x14ac:dyDescent="0.2">
      <c r="A48" s="703"/>
      <c r="B48" s="719"/>
      <c r="C48" s="703" t="s">
        <v>497</v>
      </c>
      <c r="D48" s="703"/>
      <c r="E48" s="735">
        <f>+Model!CH160</f>
        <v>0.1605738993710692</v>
      </c>
      <c r="F48" s="735">
        <f>+Model!CM160</f>
        <v>0.16403037412649157</v>
      </c>
      <c r="G48" s="735">
        <f>+Model!CW160</f>
        <v>0.14043427840148062</v>
      </c>
      <c r="H48" s="735">
        <f>+Model!DB160</f>
        <v>0.13053348742351875</v>
      </c>
      <c r="I48" s="735">
        <f>+Model!DG160</f>
        <v>0.13703845746471516</v>
      </c>
      <c r="J48" s="735">
        <f>+Model!DL160</f>
        <v>0.14327528710743953</v>
      </c>
      <c r="K48" s="703"/>
      <c r="L48" s="703"/>
      <c r="M48" s="762" t="s">
        <v>508</v>
      </c>
      <c r="N48" s="762"/>
      <c r="O48" s="763">
        <f t="shared" ref="O48:T48" si="17">O47/O11</f>
        <v>0.10068038016572685</v>
      </c>
      <c r="P48" s="763">
        <f t="shared" si="17"/>
        <v>8.1883950250235371E-2</v>
      </c>
      <c r="Q48" s="763">
        <f t="shared" si="17"/>
        <v>8.443887578616352E-2</v>
      </c>
      <c r="R48" s="763">
        <f t="shared" si="17"/>
        <v>8.1964731703625213E-2</v>
      </c>
      <c r="S48" s="763">
        <f t="shared" si="17"/>
        <v>6.486503554692534E-2</v>
      </c>
      <c r="T48" s="932">
        <f t="shared" si="17"/>
        <v>4.9164842009634738E-2</v>
      </c>
      <c r="U48" s="932">
        <f t="shared" ref="U48:V48" si="18">U47/U11</f>
        <v>4.2477225724775719E-2</v>
      </c>
      <c r="V48" s="932">
        <f t="shared" si="18"/>
        <v>4.8427727712129179E-2</v>
      </c>
      <c r="W48" s="703"/>
      <c r="X48" s="932"/>
      <c r="Y48" s="932"/>
      <c r="Z48" s="932"/>
      <c r="AA48" s="703"/>
      <c r="AB48" s="703"/>
      <c r="AC48" s="703"/>
      <c r="AD48" s="703"/>
      <c r="AE48" s="703"/>
      <c r="AF48" s="703"/>
      <c r="AG48" s="703"/>
      <c r="AH48" s="703"/>
      <c r="AI48" s="703"/>
      <c r="AJ48" s="703"/>
      <c r="AK48" s="703"/>
      <c r="AL48" s="703"/>
      <c r="AM48" s="703"/>
      <c r="AN48" s="703"/>
      <c r="AO48" s="703"/>
      <c r="AP48" s="703"/>
      <c r="AQ48" s="703"/>
      <c r="AR48" s="703"/>
      <c r="AS48" s="703"/>
      <c r="AT48" s="703"/>
      <c r="AU48" s="703"/>
      <c r="AV48" s="703"/>
      <c r="AW48" s="703"/>
      <c r="AX48" s="703"/>
      <c r="AY48" s="703"/>
      <c r="AZ48" s="703"/>
      <c r="BA48" s="703"/>
      <c r="BB48" s="703"/>
      <c r="BC48" s="703"/>
      <c r="BD48" s="703"/>
      <c r="BE48" s="703"/>
      <c r="BF48" s="703"/>
      <c r="BG48" s="703"/>
      <c r="BH48" s="703"/>
      <c r="BI48" s="703"/>
      <c r="BJ48" s="703"/>
      <c r="BK48" s="703"/>
      <c r="BL48" s="703"/>
      <c r="BM48" s="703"/>
      <c r="BN48" s="703"/>
      <c r="BO48" s="703"/>
      <c r="BP48" s="703"/>
      <c r="BQ48" s="703"/>
      <c r="BR48" s="703"/>
      <c r="BS48" s="703"/>
      <c r="BT48" s="703"/>
      <c r="BU48" s="703"/>
      <c r="BV48" s="703"/>
      <c r="BW48" s="703"/>
      <c r="BX48" s="703"/>
      <c r="BY48" s="703"/>
      <c r="BZ48" s="703"/>
      <c r="CA48" s="703"/>
      <c r="CB48" s="703"/>
      <c r="CC48" s="703"/>
      <c r="CD48" s="703"/>
      <c r="CE48" s="703"/>
      <c r="CF48" s="703"/>
      <c r="CG48" s="703"/>
      <c r="CH48" s="703"/>
      <c r="CI48" s="703"/>
      <c r="CJ48" s="703"/>
      <c r="CK48" s="703"/>
      <c r="CL48" s="703"/>
      <c r="CM48" s="703"/>
      <c r="CN48" s="703"/>
      <c r="CO48" s="703"/>
      <c r="CP48" s="703"/>
      <c r="CQ48" s="703"/>
      <c r="CR48" s="703"/>
      <c r="CS48" s="703"/>
      <c r="CT48" s="703"/>
      <c r="CU48" s="703"/>
      <c r="CV48" s="703"/>
      <c r="CW48" s="703"/>
      <c r="CX48" s="703"/>
      <c r="CY48" s="703"/>
      <c r="CZ48" s="703"/>
      <c r="DA48" s="703"/>
      <c r="DB48" s="703"/>
      <c r="DC48" s="703"/>
      <c r="DD48" s="703"/>
      <c r="DE48" s="703"/>
      <c r="DF48" s="703"/>
      <c r="DG48" s="703"/>
      <c r="DH48" s="703"/>
      <c r="DI48" s="703"/>
      <c r="DJ48" s="703"/>
      <c r="DK48" s="703"/>
      <c r="DL48" s="703"/>
      <c r="DM48" s="703"/>
      <c r="DN48" s="703"/>
      <c r="DO48" s="703"/>
      <c r="DP48" s="703"/>
      <c r="DQ48" s="703"/>
      <c r="DR48" s="703"/>
    </row>
    <row r="49" spans="1:122" x14ac:dyDescent="0.2">
      <c r="A49" s="703"/>
      <c r="B49" s="703"/>
      <c r="C49" s="703" t="s">
        <v>499</v>
      </c>
      <c r="D49" s="703"/>
      <c r="E49" s="735">
        <f>+Model!CH162</f>
        <v>0.21179736635220126</v>
      </c>
      <c r="F49" s="735">
        <f>+Model!CM162</f>
        <v>0.21920330987159112</v>
      </c>
      <c r="G49" s="735">
        <f>+Model!CW162</f>
        <v>0.20374904944178371</v>
      </c>
      <c r="H49" s="735">
        <f>+Model!DB162</f>
        <v>0.19530779383511662</v>
      </c>
      <c r="I49" s="735">
        <f>+Model!DG162</f>
        <v>0.20194936313110518</v>
      </c>
      <c r="J49" s="735">
        <f>+Model!DL162</f>
        <v>0.20780935842279868</v>
      </c>
      <c r="K49" s="703"/>
      <c r="L49" s="703"/>
      <c r="M49" s="703"/>
      <c r="N49" s="703"/>
      <c r="O49" s="703"/>
      <c r="P49" s="703"/>
      <c r="Q49" s="703"/>
      <c r="R49" s="703"/>
      <c r="S49" s="703"/>
      <c r="T49" s="933"/>
      <c r="U49" s="933"/>
      <c r="V49" s="934"/>
      <c r="W49" s="703"/>
      <c r="X49" s="962"/>
      <c r="Y49" s="962"/>
      <c r="Z49" s="963"/>
      <c r="AA49" s="703"/>
      <c r="AB49" s="703"/>
      <c r="AC49" s="703"/>
      <c r="AD49" s="703"/>
      <c r="AE49" s="703"/>
      <c r="AF49" s="703"/>
      <c r="AG49" s="703"/>
      <c r="AH49" s="703"/>
      <c r="AI49" s="703"/>
      <c r="AJ49" s="703"/>
      <c r="AK49" s="703"/>
      <c r="AL49" s="703"/>
      <c r="AM49" s="703"/>
      <c r="AN49" s="703"/>
      <c r="AO49" s="703"/>
      <c r="AP49" s="703"/>
      <c r="AQ49" s="703"/>
      <c r="AR49" s="703"/>
      <c r="AS49" s="703"/>
      <c r="AT49" s="703"/>
      <c r="AU49" s="703"/>
      <c r="AV49" s="703"/>
      <c r="AW49" s="703"/>
      <c r="AX49" s="703"/>
      <c r="AY49" s="703"/>
      <c r="AZ49" s="703"/>
      <c r="BA49" s="703"/>
      <c r="BB49" s="703"/>
      <c r="BC49" s="703"/>
      <c r="BD49" s="703"/>
      <c r="BE49" s="703"/>
      <c r="BF49" s="703"/>
      <c r="BG49" s="703"/>
      <c r="BH49" s="703"/>
      <c r="BI49" s="703"/>
      <c r="BJ49" s="703"/>
      <c r="BK49" s="703"/>
      <c r="BL49" s="703"/>
      <c r="BM49" s="703"/>
      <c r="BN49" s="703"/>
      <c r="BO49" s="703"/>
      <c r="BP49" s="703"/>
      <c r="BQ49" s="703"/>
      <c r="BR49" s="703"/>
      <c r="BS49" s="703"/>
      <c r="BT49" s="703"/>
      <c r="BU49" s="703"/>
      <c r="BV49" s="703"/>
      <c r="BW49" s="703"/>
      <c r="BX49" s="703"/>
      <c r="BY49" s="703"/>
      <c r="BZ49" s="703"/>
      <c r="CA49" s="703"/>
      <c r="CB49" s="703"/>
      <c r="CC49" s="703"/>
      <c r="CD49" s="703"/>
      <c r="CE49" s="703"/>
      <c r="CF49" s="703"/>
      <c r="CG49" s="703"/>
      <c r="CH49" s="703"/>
      <c r="CI49" s="703"/>
      <c r="CJ49" s="703"/>
      <c r="CK49" s="703"/>
      <c r="CL49" s="703"/>
      <c r="CM49" s="703"/>
      <c r="CN49" s="703"/>
      <c r="CO49" s="703"/>
      <c r="CP49" s="703"/>
      <c r="CQ49" s="703"/>
      <c r="CR49" s="703"/>
      <c r="CS49" s="703"/>
      <c r="CT49" s="703"/>
      <c r="CU49" s="703"/>
      <c r="CV49" s="703"/>
      <c r="CW49" s="703"/>
      <c r="CX49" s="703"/>
      <c r="CY49" s="703"/>
      <c r="CZ49" s="703"/>
      <c r="DA49" s="703"/>
      <c r="DB49" s="703"/>
      <c r="DC49" s="703"/>
      <c r="DD49" s="703"/>
      <c r="DE49" s="703"/>
      <c r="DF49" s="703"/>
      <c r="DG49" s="703"/>
      <c r="DH49" s="703"/>
      <c r="DI49" s="703"/>
      <c r="DJ49" s="703"/>
      <c r="DK49" s="703"/>
      <c r="DL49" s="703"/>
      <c r="DM49" s="703"/>
      <c r="DN49" s="703"/>
      <c r="DO49" s="703"/>
      <c r="DP49" s="703"/>
      <c r="DQ49" s="703"/>
      <c r="DR49" s="703"/>
    </row>
    <row r="50" spans="1:122" x14ac:dyDescent="0.2">
      <c r="A50" s="703"/>
      <c r="B50" s="703"/>
      <c r="C50" s="703" t="s">
        <v>511</v>
      </c>
      <c r="D50" s="703"/>
      <c r="E50" s="735">
        <f t="shared" ref="E50:J50" si="19">((Q21+Q18)*(1-38%))/(Q50+Q51+Q53)</f>
        <v>0.20102823832959052</v>
      </c>
      <c r="F50" s="735">
        <f t="shared" si="19"/>
        <v>0.19468585176274636</v>
      </c>
      <c r="G50" s="735">
        <f t="shared" si="19"/>
        <v>0.14916441620333598</v>
      </c>
      <c r="H50" s="735">
        <f t="shared" si="19"/>
        <v>0.15332683763730004</v>
      </c>
      <c r="I50" s="735">
        <f t="shared" si="19"/>
        <v>0.16451471638546275</v>
      </c>
      <c r="J50" s="735">
        <f t="shared" si="19"/>
        <v>0.17310551502788901</v>
      </c>
      <c r="K50" s="703"/>
      <c r="L50" s="703"/>
      <c r="M50" s="703" t="s">
        <v>380</v>
      </c>
      <c r="N50" s="703"/>
      <c r="O50" s="713">
        <f>(Model!BX307+Model!BX313)</f>
        <v>11342</v>
      </c>
      <c r="P50" s="713">
        <f>(Model!CC307+Model!CC313)</f>
        <v>9777</v>
      </c>
      <c r="Q50" s="713">
        <f>(Model!CH307+Model!CH313)</f>
        <v>8329</v>
      </c>
      <c r="R50" s="713">
        <f>(Model!CM307+Model!CM313)</f>
        <v>7332</v>
      </c>
      <c r="S50" s="713">
        <f>(Model!CW307+Model!CW313)</f>
        <v>8834</v>
      </c>
      <c r="T50" s="931">
        <f>(Model!DB307+Model!DB313)</f>
        <v>7053.4999999999991</v>
      </c>
      <c r="U50" s="931">
        <f>(Model!DG307+Model!DG313)</f>
        <v>5764.4999999999991</v>
      </c>
      <c r="V50" s="931">
        <f>(Model!DL307+Model!DL313)</f>
        <v>4237.4999999999991</v>
      </c>
      <c r="W50" s="703"/>
      <c r="X50" s="961"/>
      <c r="Y50" s="961"/>
      <c r="Z50" s="961"/>
      <c r="AA50" s="703"/>
      <c r="AB50" s="703"/>
      <c r="AC50" s="703"/>
      <c r="AD50" s="703"/>
      <c r="AE50" s="703"/>
      <c r="AF50" s="703"/>
      <c r="AG50" s="703"/>
      <c r="AH50" s="703"/>
      <c r="AI50" s="703"/>
      <c r="AJ50" s="703"/>
      <c r="AK50" s="703"/>
      <c r="AL50" s="703"/>
      <c r="AM50" s="703"/>
      <c r="AN50" s="703"/>
      <c r="AO50" s="703"/>
      <c r="AP50" s="703"/>
      <c r="AQ50" s="703"/>
      <c r="AR50" s="703"/>
      <c r="AS50" s="703"/>
      <c r="AT50" s="703"/>
      <c r="AU50" s="703"/>
      <c r="AV50" s="703"/>
      <c r="AW50" s="703"/>
      <c r="AX50" s="703"/>
      <c r="AY50" s="703"/>
      <c r="AZ50" s="703"/>
      <c r="BA50" s="703"/>
      <c r="BB50" s="703"/>
      <c r="BC50" s="703"/>
      <c r="BD50" s="703"/>
      <c r="BE50" s="703"/>
      <c r="BF50" s="703"/>
      <c r="BG50" s="703"/>
      <c r="BH50" s="703"/>
      <c r="BI50" s="703"/>
      <c r="BJ50" s="703"/>
      <c r="BK50" s="703"/>
      <c r="BL50" s="703"/>
      <c r="BM50" s="703"/>
      <c r="BN50" s="703"/>
      <c r="BO50" s="703"/>
      <c r="BP50" s="703"/>
      <c r="BQ50" s="703"/>
      <c r="BR50" s="703"/>
      <c r="BS50" s="703"/>
      <c r="BT50" s="703"/>
      <c r="BU50" s="703"/>
      <c r="BV50" s="703"/>
      <c r="BW50" s="703"/>
      <c r="BX50" s="703"/>
      <c r="BY50" s="703"/>
      <c r="BZ50" s="703"/>
      <c r="CA50" s="703"/>
      <c r="CB50" s="703"/>
      <c r="CC50" s="703"/>
      <c r="CD50" s="703"/>
      <c r="CE50" s="703"/>
      <c r="CF50" s="703"/>
      <c r="CG50" s="703"/>
      <c r="CH50" s="703"/>
      <c r="CI50" s="703"/>
      <c r="CJ50" s="703"/>
      <c r="CK50" s="703"/>
      <c r="CL50" s="703"/>
      <c r="CM50" s="703"/>
      <c r="CN50" s="703"/>
      <c r="CO50" s="703"/>
      <c r="CP50" s="703"/>
      <c r="CQ50" s="703"/>
      <c r="CR50" s="703"/>
      <c r="CS50" s="703"/>
      <c r="CT50" s="703"/>
      <c r="CU50" s="703"/>
      <c r="CV50" s="703"/>
      <c r="CW50" s="703"/>
      <c r="CX50" s="703"/>
      <c r="CY50" s="703"/>
      <c r="CZ50" s="703"/>
      <c r="DA50" s="703"/>
      <c r="DB50" s="703"/>
      <c r="DC50" s="703"/>
      <c r="DD50" s="703"/>
      <c r="DE50" s="703"/>
      <c r="DF50" s="703"/>
      <c r="DG50" s="703"/>
      <c r="DH50" s="703"/>
      <c r="DI50" s="703"/>
      <c r="DJ50" s="703"/>
      <c r="DK50" s="703"/>
      <c r="DL50" s="703"/>
      <c r="DM50" s="703"/>
      <c r="DN50" s="703"/>
      <c r="DO50" s="703"/>
      <c r="DP50" s="703"/>
      <c r="DQ50" s="703"/>
      <c r="DR50" s="703"/>
    </row>
    <row r="51" spans="1:122" x14ac:dyDescent="0.2">
      <c r="A51" s="703"/>
      <c r="B51" s="703"/>
      <c r="C51" s="703"/>
      <c r="D51" s="703"/>
      <c r="E51" s="703"/>
      <c r="F51" s="703"/>
      <c r="G51" s="703"/>
      <c r="H51" s="703"/>
      <c r="I51" s="703"/>
      <c r="J51" s="703"/>
      <c r="K51" s="703"/>
      <c r="M51" s="703" t="s">
        <v>491</v>
      </c>
      <c r="N51" s="703"/>
      <c r="O51" s="713">
        <f t="shared" ref="O51:T51" si="20">7*O18</f>
        <v>1463</v>
      </c>
      <c r="P51" s="713">
        <f t="shared" si="20"/>
        <v>1631</v>
      </c>
      <c r="Q51" s="713">
        <f t="shared" si="20"/>
        <v>1750</v>
      </c>
      <c r="R51" s="713">
        <f t="shared" si="20"/>
        <v>1995</v>
      </c>
      <c r="S51" s="713">
        <f t="shared" si="20"/>
        <v>2457</v>
      </c>
      <c r="T51" s="931">
        <f t="shared" si="20"/>
        <v>2744.5205051296543</v>
      </c>
      <c r="U51" s="931">
        <f t="shared" ref="U51:V51" si="21">7*U18</f>
        <v>2844.9033735180874</v>
      </c>
      <c r="V51" s="931">
        <f t="shared" si="21"/>
        <v>2930.2504747236303</v>
      </c>
      <c r="W51" s="703"/>
      <c r="X51" s="961"/>
      <c r="Y51" s="961"/>
      <c r="Z51" s="961"/>
      <c r="AA51" s="703"/>
      <c r="AB51" s="703"/>
      <c r="AC51" s="703"/>
      <c r="AD51" s="703"/>
      <c r="AE51" s="703"/>
      <c r="AF51" s="703"/>
      <c r="AG51" s="703"/>
      <c r="AH51" s="703"/>
      <c r="AI51" s="703"/>
      <c r="AJ51" s="703"/>
      <c r="AK51" s="703"/>
      <c r="AL51" s="703"/>
      <c r="AM51" s="703"/>
      <c r="AN51" s="703"/>
      <c r="AO51" s="703"/>
      <c r="AP51" s="703"/>
      <c r="AQ51" s="703"/>
      <c r="AR51" s="703"/>
      <c r="AS51" s="703"/>
      <c r="AT51" s="703"/>
      <c r="AU51" s="703"/>
      <c r="AV51" s="703"/>
      <c r="AW51" s="703"/>
      <c r="AX51" s="703"/>
      <c r="AY51" s="703"/>
      <c r="AZ51" s="703"/>
      <c r="BA51" s="703"/>
      <c r="BB51" s="703"/>
      <c r="BC51" s="703"/>
      <c r="BD51" s="703"/>
      <c r="BE51" s="703"/>
      <c r="BF51" s="703"/>
      <c r="BG51" s="703"/>
      <c r="BH51" s="703"/>
      <c r="BI51" s="703"/>
      <c r="BJ51" s="703"/>
      <c r="BK51" s="703"/>
      <c r="BL51" s="703"/>
      <c r="BM51" s="703"/>
      <c r="BN51" s="703"/>
      <c r="BO51" s="703"/>
      <c r="BP51" s="703"/>
      <c r="BQ51" s="703"/>
      <c r="BR51" s="703"/>
      <c r="BS51" s="703"/>
      <c r="BT51" s="703"/>
      <c r="BU51" s="703"/>
      <c r="BV51" s="703"/>
      <c r="BW51" s="703"/>
      <c r="BX51" s="703"/>
      <c r="BY51" s="703"/>
      <c r="BZ51" s="703"/>
      <c r="CA51" s="703"/>
      <c r="CB51" s="703"/>
      <c r="CC51" s="703"/>
      <c r="CD51" s="703"/>
      <c r="CE51" s="703"/>
      <c r="CF51" s="703"/>
      <c r="CG51" s="703"/>
      <c r="CH51" s="703"/>
      <c r="CI51" s="703"/>
      <c r="CJ51" s="703"/>
      <c r="CK51" s="703"/>
      <c r="CL51" s="703"/>
      <c r="CM51" s="703"/>
      <c r="CN51" s="703"/>
      <c r="CO51" s="703"/>
      <c r="CP51" s="703"/>
      <c r="CQ51" s="703"/>
      <c r="CR51" s="703"/>
      <c r="CS51" s="703"/>
      <c r="CT51" s="703"/>
      <c r="CU51" s="703"/>
      <c r="CV51" s="703"/>
      <c r="CW51" s="703"/>
      <c r="CX51" s="703"/>
      <c r="CY51" s="703"/>
      <c r="CZ51" s="703"/>
      <c r="DA51" s="703"/>
      <c r="DB51" s="703"/>
      <c r="DC51" s="703"/>
      <c r="DD51" s="703"/>
      <c r="DE51" s="703"/>
      <c r="DF51" s="703"/>
      <c r="DG51" s="703"/>
      <c r="DH51" s="703"/>
      <c r="DI51" s="703"/>
      <c r="DJ51" s="703"/>
      <c r="DK51" s="703"/>
      <c r="DL51" s="703"/>
      <c r="DM51" s="703"/>
      <c r="DN51" s="703"/>
      <c r="DO51" s="703"/>
      <c r="DP51" s="703"/>
      <c r="DQ51" s="703"/>
      <c r="DR51" s="703"/>
    </row>
    <row r="52" spans="1:122" x14ac:dyDescent="0.2">
      <c r="A52" s="703"/>
      <c r="B52" s="703"/>
      <c r="C52" s="703"/>
      <c r="D52" s="703"/>
      <c r="E52" s="703"/>
      <c r="F52" s="703"/>
      <c r="G52" s="703"/>
      <c r="H52" s="714"/>
      <c r="I52" s="741"/>
      <c r="J52" s="703"/>
      <c r="K52" s="703"/>
      <c r="L52" s="703"/>
      <c r="M52" s="703"/>
      <c r="N52" s="703"/>
      <c r="O52" s="703"/>
      <c r="P52" s="721"/>
      <c r="Q52" s="721"/>
      <c r="R52" s="721"/>
      <c r="S52" s="721"/>
      <c r="T52" s="935"/>
      <c r="U52" s="935"/>
      <c r="V52" s="933"/>
      <c r="W52" s="703"/>
      <c r="X52" s="964"/>
      <c r="Y52" s="964"/>
      <c r="Z52" s="962"/>
      <c r="AA52" s="703"/>
      <c r="AB52" s="703"/>
      <c r="AC52" s="703"/>
      <c r="AD52" s="703"/>
      <c r="AE52" s="703"/>
      <c r="AF52" s="703"/>
      <c r="AG52" s="703"/>
      <c r="AH52" s="703"/>
      <c r="AI52" s="703"/>
      <c r="AJ52" s="703"/>
      <c r="AK52" s="703"/>
      <c r="AL52" s="703"/>
      <c r="AM52" s="703"/>
      <c r="AN52" s="703"/>
      <c r="AO52" s="703"/>
      <c r="AP52" s="703"/>
      <c r="AQ52" s="703"/>
      <c r="AR52" s="703"/>
      <c r="AS52" s="703"/>
      <c r="AT52" s="703"/>
      <c r="AU52" s="703"/>
      <c r="AV52" s="703"/>
      <c r="AW52" s="703"/>
      <c r="AX52" s="703"/>
      <c r="AY52" s="703"/>
      <c r="AZ52" s="703"/>
      <c r="BA52" s="703"/>
      <c r="BB52" s="703"/>
      <c r="BC52" s="703"/>
      <c r="BD52" s="703"/>
      <c r="BE52" s="703"/>
      <c r="BF52" s="703"/>
      <c r="BG52" s="703"/>
      <c r="BH52" s="703"/>
      <c r="BI52" s="703"/>
      <c r="BJ52" s="703"/>
      <c r="BK52" s="703"/>
      <c r="BL52" s="703"/>
      <c r="BM52" s="703"/>
      <c r="BN52" s="703"/>
      <c r="BO52" s="703"/>
      <c r="BP52" s="703"/>
      <c r="BQ52" s="703"/>
      <c r="BR52" s="703"/>
      <c r="BS52" s="703"/>
      <c r="BT52" s="703"/>
      <c r="BU52" s="703"/>
      <c r="BV52" s="703"/>
      <c r="BW52" s="703"/>
      <c r="BX52" s="703"/>
      <c r="BY52" s="703"/>
      <c r="BZ52" s="703"/>
      <c r="CA52" s="703"/>
      <c r="CB52" s="703"/>
      <c r="CC52" s="703"/>
      <c r="CD52" s="703"/>
      <c r="CE52" s="703"/>
      <c r="CF52" s="703"/>
      <c r="CG52" s="703"/>
      <c r="CH52" s="703"/>
      <c r="CI52" s="703"/>
      <c r="CJ52" s="703"/>
      <c r="CK52" s="703"/>
      <c r="CL52" s="703"/>
      <c r="CM52" s="703"/>
      <c r="CN52" s="703"/>
      <c r="CO52" s="703"/>
      <c r="CP52" s="703"/>
      <c r="CQ52" s="703"/>
      <c r="CR52" s="703"/>
      <c r="CS52" s="703"/>
      <c r="CT52" s="703"/>
      <c r="CU52" s="703"/>
      <c r="CV52" s="703"/>
      <c r="CW52" s="703"/>
      <c r="CX52" s="703"/>
      <c r="CY52" s="703"/>
      <c r="CZ52" s="703"/>
      <c r="DA52" s="703"/>
      <c r="DB52" s="703"/>
      <c r="DC52" s="703"/>
      <c r="DD52" s="703"/>
      <c r="DE52" s="703"/>
      <c r="DF52" s="703"/>
      <c r="DG52" s="703"/>
      <c r="DH52" s="703"/>
      <c r="DI52" s="703"/>
      <c r="DJ52" s="703"/>
      <c r="DK52" s="703"/>
      <c r="DL52" s="703"/>
      <c r="DM52" s="703"/>
      <c r="DN52" s="703"/>
      <c r="DO52" s="703"/>
      <c r="DP52" s="703"/>
      <c r="DQ52" s="703"/>
      <c r="DR52" s="703"/>
    </row>
    <row r="53" spans="1:122" x14ac:dyDescent="0.2">
      <c r="A53" s="703"/>
      <c r="B53" s="704" t="s">
        <v>502</v>
      </c>
      <c r="C53" s="705"/>
      <c r="D53" s="705"/>
      <c r="E53" s="707">
        <f>+F53-1</f>
        <v>2015</v>
      </c>
      <c r="F53" s="707">
        <f>+G53-1</f>
        <v>2016</v>
      </c>
      <c r="G53" s="707">
        <f>+H53-1</f>
        <v>2017</v>
      </c>
      <c r="H53" s="767">
        <v>2018</v>
      </c>
      <c r="I53" s="767">
        <v>2019</v>
      </c>
      <c r="J53" s="768">
        <v>2020</v>
      </c>
      <c r="K53" s="703"/>
      <c r="L53" s="703"/>
      <c r="M53" s="703" t="s">
        <v>493</v>
      </c>
      <c r="N53" s="703"/>
      <c r="O53" s="713">
        <f>+Model!BX330</f>
        <v>11643</v>
      </c>
      <c r="P53" s="713">
        <f>+Model!CC330</f>
        <v>8813</v>
      </c>
      <c r="Q53" s="713">
        <f>+Model!CH330</f>
        <v>10850</v>
      </c>
      <c r="R53" s="713">
        <f>+Model!CM330</f>
        <v>12287</v>
      </c>
      <c r="S53" s="713">
        <f>+Model!CW330</f>
        <v>13889</v>
      </c>
      <c r="T53" s="931">
        <f>+Model!DB330</f>
        <v>14667.982863369945</v>
      </c>
      <c r="U53" s="931">
        <f>+Model!DG330</f>
        <v>16049.218153217722</v>
      </c>
      <c r="V53" s="931">
        <f>+Model!DL330</f>
        <v>18039.289429695316</v>
      </c>
      <c r="W53" s="703"/>
      <c r="X53" s="961"/>
      <c r="Y53" s="961"/>
      <c r="Z53" s="961"/>
      <c r="AA53" s="703"/>
      <c r="AB53" s="703"/>
      <c r="AC53" s="703"/>
      <c r="AD53" s="703"/>
      <c r="AE53" s="703"/>
      <c r="AF53" s="703"/>
      <c r="AG53" s="703"/>
      <c r="AH53" s="703"/>
      <c r="AI53" s="703"/>
      <c r="AJ53" s="703"/>
      <c r="AK53" s="703"/>
      <c r="AL53" s="703"/>
      <c r="AM53" s="703"/>
      <c r="AN53" s="703"/>
      <c r="AO53" s="703"/>
      <c r="AP53" s="703"/>
      <c r="AQ53" s="703"/>
      <c r="AR53" s="703"/>
      <c r="AS53" s="703"/>
      <c r="AT53" s="703"/>
      <c r="AU53" s="703"/>
      <c r="AV53" s="703"/>
      <c r="AW53" s="703"/>
      <c r="AX53" s="703"/>
      <c r="AY53" s="703"/>
      <c r="AZ53" s="703"/>
      <c r="BA53" s="703"/>
      <c r="BB53" s="703"/>
      <c r="BC53" s="703"/>
      <c r="BD53" s="703"/>
      <c r="BE53" s="703"/>
      <c r="BF53" s="703"/>
      <c r="BG53" s="703"/>
      <c r="BH53" s="703"/>
      <c r="BI53" s="703"/>
      <c r="BJ53" s="703"/>
      <c r="BK53" s="703"/>
      <c r="BL53" s="703"/>
      <c r="BM53" s="703"/>
      <c r="BN53" s="703"/>
      <c r="BO53" s="703"/>
      <c r="BP53" s="703"/>
      <c r="BQ53" s="703"/>
      <c r="BR53" s="703"/>
      <c r="BS53" s="703"/>
      <c r="BT53" s="703"/>
      <c r="BU53" s="703"/>
      <c r="BV53" s="703"/>
      <c r="BW53" s="703"/>
      <c r="BX53" s="703"/>
      <c r="BY53" s="703"/>
      <c r="BZ53" s="703"/>
      <c r="CA53" s="703"/>
      <c r="CB53" s="703"/>
      <c r="CC53" s="703"/>
      <c r="CD53" s="703"/>
      <c r="CE53" s="703"/>
      <c r="CF53" s="703"/>
      <c r="CG53" s="703"/>
      <c r="CH53" s="703"/>
      <c r="CI53" s="703"/>
      <c r="CJ53" s="703"/>
      <c r="CK53" s="703"/>
      <c r="CL53" s="703"/>
      <c r="CM53" s="703"/>
      <c r="CN53" s="703"/>
      <c r="CO53" s="703"/>
      <c r="CP53" s="703"/>
      <c r="CQ53" s="703"/>
      <c r="CR53" s="703"/>
      <c r="CS53" s="703"/>
      <c r="CT53" s="703"/>
      <c r="CU53" s="703"/>
      <c r="CV53" s="703"/>
      <c r="CW53" s="703"/>
      <c r="CX53" s="703"/>
      <c r="CY53" s="703"/>
      <c r="CZ53" s="703"/>
      <c r="DA53" s="703"/>
      <c r="DB53" s="703"/>
      <c r="DC53" s="703"/>
      <c r="DD53" s="703"/>
      <c r="DE53" s="703"/>
      <c r="DF53" s="703"/>
      <c r="DG53" s="703"/>
      <c r="DH53" s="703"/>
      <c r="DI53" s="703"/>
      <c r="DJ53" s="703"/>
      <c r="DK53" s="703"/>
      <c r="DL53" s="703"/>
      <c r="DM53" s="703"/>
      <c r="DN53" s="703"/>
      <c r="DO53" s="703"/>
      <c r="DP53" s="703"/>
      <c r="DQ53" s="703"/>
      <c r="DR53" s="703"/>
    </row>
    <row r="54" spans="1:122" x14ac:dyDescent="0.2">
      <c r="C54" s="703" t="s">
        <v>503</v>
      </c>
      <c r="D54" s="703"/>
      <c r="E54" s="726">
        <f t="shared" ref="E54:J54" si="22">(Q44/Q28)/$G$10</f>
        <v>0.11312255723281608</v>
      </c>
      <c r="F54" s="726">
        <f t="shared" si="22"/>
        <v>9.2128808345024571E-2</v>
      </c>
      <c r="G54" s="726">
        <f t="shared" si="22"/>
        <v>3.0880834235913455E-2</v>
      </c>
      <c r="H54" s="726">
        <f t="shared" si="22"/>
        <v>8.8459373753370152E-2</v>
      </c>
      <c r="I54" s="726">
        <f t="shared" si="22"/>
        <v>0.11469294107902427</v>
      </c>
      <c r="J54" s="726">
        <f t="shared" si="22"/>
        <v>0.13737866903142826</v>
      </c>
      <c r="M54" s="703"/>
      <c r="N54" s="703"/>
      <c r="O54" s="703"/>
      <c r="P54" s="703"/>
      <c r="Q54" s="703"/>
      <c r="R54" s="703"/>
      <c r="S54" s="703"/>
      <c r="T54" s="933"/>
      <c r="U54" s="933"/>
      <c r="V54" s="933"/>
      <c r="W54" s="703"/>
      <c r="X54" s="962"/>
      <c r="Y54" s="962"/>
      <c r="Z54" s="962"/>
      <c r="AA54" s="703"/>
      <c r="AB54" s="703"/>
      <c r="AC54" s="703"/>
      <c r="AD54" s="703"/>
      <c r="AE54" s="703"/>
      <c r="AF54" s="703"/>
      <c r="AG54" s="703"/>
      <c r="AH54" s="703"/>
      <c r="AI54" s="703"/>
      <c r="AJ54" s="703"/>
      <c r="AK54" s="703"/>
      <c r="AL54" s="703"/>
      <c r="AM54" s="703"/>
      <c r="AN54" s="703"/>
      <c r="AO54" s="703"/>
      <c r="AP54" s="703"/>
      <c r="AQ54" s="703"/>
      <c r="AR54" s="703"/>
      <c r="AS54" s="703"/>
      <c r="AT54" s="703"/>
      <c r="AU54" s="703"/>
      <c r="AV54" s="703"/>
      <c r="AW54" s="703"/>
      <c r="AX54" s="703"/>
      <c r="AY54" s="703"/>
      <c r="AZ54" s="703"/>
      <c r="BA54" s="703"/>
      <c r="BB54" s="703"/>
      <c r="BC54" s="703"/>
      <c r="BD54" s="703"/>
      <c r="BE54" s="703"/>
      <c r="BF54" s="703"/>
      <c r="BG54" s="703"/>
      <c r="BH54" s="703"/>
      <c r="BI54" s="703"/>
      <c r="BJ54" s="703"/>
      <c r="BK54" s="703"/>
      <c r="BL54" s="703"/>
      <c r="BM54" s="703"/>
      <c r="BN54" s="703"/>
      <c r="BO54" s="703"/>
      <c r="BP54" s="703"/>
      <c r="BQ54" s="703"/>
      <c r="BR54" s="703"/>
      <c r="BS54" s="703"/>
      <c r="BT54" s="703"/>
      <c r="BU54" s="703"/>
      <c r="BV54" s="703"/>
      <c r="BW54" s="703"/>
      <c r="BX54" s="703"/>
      <c r="BY54" s="703"/>
      <c r="BZ54" s="703"/>
      <c r="CA54" s="703"/>
      <c r="CB54" s="703"/>
      <c r="CC54" s="703"/>
      <c r="CD54" s="703"/>
      <c r="CE54" s="703"/>
      <c r="CF54" s="703"/>
      <c r="CG54" s="703"/>
      <c r="CH54" s="703"/>
      <c r="CI54" s="703"/>
      <c r="CJ54" s="703"/>
      <c r="CK54" s="703"/>
      <c r="CL54" s="703"/>
      <c r="CM54" s="703"/>
      <c r="CN54" s="703"/>
      <c r="CO54" s="703"/>
      <c r="CP54" s="703"/>
      <c r="CQ54" s="703"/>
      <c r="CR54" s="703"/>
      <c r="CS54" s="703"/>
      <c r="CT54" s="703"/>
      <c r="CU54" s="703"/>
      <c r="CV54" s="703"/>
      <c r="CW54" s="703"/>
      <c r="CX54" s="703"/>
      <c r="CY54" s="703"/>
      <c r="CZ54" s="703"/>
      <c r="DA54" s="703"/>
      <c r="DB54" s="703"/>
      <c r="DC54" s="703"/>
      <c r="DD54" s="703"/>
      <c r="DE54" s="703"/>
      <c r="DF54" s="703"/>
      <c r="DG54" s="703"/>
      <c r="DH54" s="703"/>
      <c r="DI54" s="703"/>
      <c r="DJ54" s="703"/>
      <c r="DK54" s="703"/>
      <c r="DL54" s="703"/>
      <c r="DM54" s="703"/>
      <c r="DN54" s="703"/>
      <c r="DO54" s="703"/>
      <c r="DP54" s="703"/>
      <c r="DQ54" s="703"/>
      <c r="DR54" s="703"/>
    </row>
    <row r="55" spans="1:122" x14ac:dyDescent="0.2">
      <c r="C55" s="703" t="s">
        <v>369</v>
      </c>
      <c r="D55" s="703"/>
      <c r="E55" s="740">
        <f t="shared" ref="E55:J55" si="23">$G$10/Q29</f>
        <v>11.874017255324885</v>
      </c>
      <c r="F55" s="740">
        <f t="shared" si="23"/>
        <v>10.305840179238238</v>
      </c>
      <c r="G55" s="740">
        <f t="shared" si="23"/>
        <v>11.53763440860215</v>
      </c>
      <c r="H55" s="740">
        <f t="shared" si="23"/>
        <v>9.1588182269945744</v>
      </c>
      <c r="I55" s="740">
        <f t="shared" si="23"/>
        <v>8.0945466067307041</v>
      </c>
      <c r="J55" s="740">
        <f t="shared" si="23"/>
        <v>7.0898462865327154</v>
      </c>
      <c r="M55" s="703" t="s">
        <v>494</v>
      </c>
      <c r="N55" s="703"/>
      <c r="O55" s="740">
        <f t="shared" ref="O55:T55" si="24">((O50+O51)-O47)/O22</f>
        <v>1.6692008158724272</v>
      </c>
      <c r="P55" s="740">
        <f t="shared" si="24"/>
        <v>1.1142739273927393</v>
      </c>
      <c r="Q55" s="740">
        <f t="shared" si="24"/>
        <v>0.77044426400649579</v>
      </c>
      <c r="R55" s="740">
        <f t="shared" si="24"/>
        <v>0.69950512141788468</v>
      </c>
      <c r="S55" s="740">
        <f t="shared" si="24"/>
        <v>1.0452898550724639</v>
      </c>
      <c r="T55" s="936">
        <f t="shared" si="24"/>
        <v>0.90557263616877726</v>
      </c>
      <c r="U55" s="936">
        <f t="shared" ref="U55:V55" si="25">((U50+U51)-U47)/U22</f>
        <v>0.74167284579181492</v>
      </c>
      <c r="V55" s="936">
        <f t="shared" si="25"/>
        <v>0.51354642846230647</v>
      </c>
      <c r="W55" s="703"/>
      <c r="X55" s="965"/>
      <c r="Y55" s="965"/>
      <c r="Z55" s="965"/>
      <c r="AA55" s="703"/>
      <c r="AB55" s="703"/>
      <c r="AC55" s="703"/>
      <c r="AD55" s="703"/>
      <c r="AE55" s="703"/>
      <c r="AF55" s="703"/>
      <c r="AG55" s="703"/>
      <c r="AH55" s="703"/>
      <c r="AI55" s="703"/>
      <c r="AJ55" s="703"/>
      <c r="AK55" s="703"/>
      <c r="AL55" s="703"/>
      <c r="AM55" s="703"/>
      <c r="AN55" s="703"/>
      <c r="AO55" s="703"/>
      <c r="AP55" s="703"/>
      <c r="AQ55" s="703"/>
      <c r="AR55" s="703"/>
      <c r="AS55" s="703"/>
      <c r="AT55" s="703"/>
      <c r="AU55" s="703"/>
      <c r="AV55" s="703"/>
      <c r="AW55" s="703"/>
      <c r="AX55" s="703"/>
      <c r="AY55" s="703"/>
      <c r="AZ55" s="703"/>
      <c r="BA55" s="703"/>
      <c r="BB55" s="703"/>
      <c r="BC55" s="703"/>
      <c r="BD55" s="703"/>
      <c r="BE55" s="703"/>
      <c r="BF55" s="703"/>
      <c r="BG55" s="703"/>
      <c r="BH55" s="703"/>
      <c r="BI55" s="703"/>
      <c r="BJ55" s="703"/>
      <c r="BK55" s="703"/>
      <c r="BL55" s="703"/>
      <c r="BM55" s="703"/>
      <c r="BN55" s="703"/>
      <c r="BO55" s="703"/>
      <c r="BP55" s="703"/>
      <c r="BQ55" s="703"/>
      <c r="BR55" s="703"/>
      <c r="BS55" s="703"/>
      <c r="BT55" s="703"/>
      <c r="BU55" s="703"/>
      <c r="BV55" s="703"/>
      <c r="BW55" s="703"/>
      <c r="BX55" s="703"/>
      <c r="BY55" s="703"/>
      <c r="BZ55" s="703"/>
      <c r="CA55" s="703"/>
      <c r="CB55" s="703"/>
      <c r="CC55" s="703"/>
      <c r="CD55" s="703"/>
      <c r="CE55" s="703"/>
      <c r="CF55" s="703"/>
      <c r="CG55" s="703"/>
      <c r="CH55" s="703"/>
      <c r="CI55" s="703"/>
      <c r="CJ55" s="703"/>
      <c r="CK55" s="703"/>
      <c r="CL55" s="703"/>
      <c r="CM55" s="703"/>
      <c r="CN55" s="703"/>
      <c r="CO55" s="703"/>
      <c r="CP55" s="703"/>
      <c r="CQ55" s="703"/>
      <c r="CR55" s="703"/>
      <c r="CS55" s="703"/>
      <c r="CT55" s="703"/>
      <c r="CU55" s="703"/>
      <c r="CV55" s="703"/>
      <c r="CW55" s="703"/>
      <c r="CX55" s="703"/>
      <c r="CY55" s="703"/>
      <c r="CZ55" s="703"/>
      <c r="DA55" s="703"/>
      <c r="DB55" s="703"/>
      <c r="DC55" s="703"/>
      <c r="DD55" s="703"/>
      <c r="DE55" s="703"/>
      <c r="DF55" s="703"/>
      <c r="DG55" s="703"/>
      <c r="DH55" s="703"/>
      <c r="DI55" s="703"/>
      <c r="DJ55" s="703"/>
      <c r="DK55" s="703"/>
      <c r="DL55" s="703"/>
      <c r="DM55" s="703"/>
      <c r="DN55" s="703"/>
      <c r="DO55" s="703"/>
      <c r="DP55" s="703"/>
      <c r="DQ55" s="703"/>
      <c r="DR55" s="703"/>
    </row>
    <row r="56" spans="1:122" x14ac:dyDescent="0.2">
      <c r="C56" s="703" t="s">
        <v>504</v>
      </c>
      <c r="D56" s="703"/>
      <c r="E56" s="740">
        <f t="shared" ref="E56:J56" si="26">($G$10+(Q50+Q51-Q47)/Q28)/(Q22/Q28)</f>
        <v>5.8789850365386842</v>
      </c>
      <c r="F56" s="740">
        <f t="shared" si="26"/>
        <v>5.4639843480262398</v>
      </c>
      <c r="G56" s="740">
        <f t="shared" si="26"/>
        <v>5.8400966183574887</v>
      </c>
      <c r="H56" s="740">
        <f t="shared" si="26"/>
        <v>5.4208862164613576</v>
      </c>
      <c r="I56" s="740">
        <f t="shared" si="26"/>
        <v>4.7574614226801435</v>
      </c>
      <c r="J56" s="740">
        <f t="shared" si="26"/>
        <v>4.1449196428158128</v>
      </c>
      <c r="M56" s="703" t="s">
        <v>496</v>
      </c>
      <c r="N56" s="703"/>
      <c r="O56" s="740">
        <f t="shared" ref="O56:T56" si="27">((O50+O51))/O22</f>
        <v>2.3743741887632117</v>
      </c>
      <c r="P56" s="740">
        <f t="shared" si="27"/>
        <v>1.5687568756875687</v>
      </c>
      <c r="Q56" s="740">
        <f t="shared" si="27"/>
        <v>1.169121911611182</v>
      </c>
      <c r="R56" s="740">
        <f t="shared" si="27"/>
        <v>1.073426171020831</v>
      </c>
      <c r="S56" s="740">
        <f t="shared" si="27"/>
        <v>1.363647342995169</v>
      </c>
      <c r="T56" s="936">
        <f t="shared" si="27"/>
        <v>1.1573026928358494</v>
      </c>
      <c r="U56" s="936">
        <f t="shared" ref="U56:V56" si="28">((U50+U51))/U22</f>
        <v>0.95200886798169215</v>
      </c>
      <c r="V56" s="936">
        <f t="shared" si="28"/>
        <v>0.74658563362457109</v>
      </c>
      <c r="W56" s="703"/>
      <c r="X56" s="965"/>
      <c r="Y56" s="965"/>
      <c r="Z56" s="965"/>
      <c r="AA56" s="703"/>
      <c r="AB56" s="703"/>
      <c r="AC56" s="703"/>
      <c r="AD56" s="703"/>
      <c r="AE56" s="703"/>
      <c r="AF56" s="703"/>
      <c r="AG56" s="703"/>
      <c r="AH56" s="703"/>
      <c r="AI56" s="703"/>
      <c r="AJ56" s="703"/>
      <c r="AK56" s="703"/>
      <c r="AL56" s="703"/>
      <c r="AM56" s="703"/>
      <c r="AN56" s="703"/>
      <c r="AO56" s="703"/>
      <c r="AP56" s="703"/>
      <c r="AQ56" s="703"/>
      <c r="AR56" s="703"/>
      <c r="AS56" s="703"/>
      <c r="AT56" s="703"/>
      <c r="AU56" s="703"/>
      <c r="AV56" s="703"/>
      <c r="AW56" s="703"/>
      <c r="AX56" s="703"/>
      <c r="AY56" s="703"/>
      <c r="AZ56" s="703"/>
      <c r="BA56" s="703"/>
      <c r="BB56" s="703"/>
      <c r="BC56" s="703"/>
      <c r="BD56" s="703"/>
      <c r="BE56" s="703"/>
      <c r="BF56" s="703"/>
      <c r="BG56" s="703"/>
      <c r="BH56" s="703"/>
      <c r="BI56" s="703"/>
      <c r="BJ56" s="703"/>
      <c r="BK56" s="703"/>
      <c r="BL56" s="703"/>
      <c r="BM56" s="703"/>
      <c r="BN56" s="703"/>
      <c r="BO56" s="703"/>
      <c r="BP56" s="703"/>
      <c r="BQ56" s="703"/>
      <c r="BR56" s="703"/>
      <c r="BS56" s="703"/>
      <c r="BT56" s="703"/>
      <c r="BU56" s="703"/>
      <c r="BV56" s="703"/>
      <c r="BW56" s="703"/>
      <c r="BX56" s="703"/>
      <c r="BY56" s="703"/>
      <c r="BZ56" s="703"/>
      <c r="CA56" s="703"/>
      <c r="CB56" s="703"/>
      <c r="CC56" s="703"/>
      <c r="CD56" s="703"/>
      <c r="CE56" s="703"/>
      <c r="CF56" s="703"/>
      <c r="CG56" s="703"/>
      <c r="CH56" s="703"/>
      <c r="CI56" s="703"/>
      <c r="CJ56" s="703"/>
      <c r="CK56" s="703"/>
      <c r="CL56" s="703"/>
      <c r="CM56" s="703"/>
      <c r="CN56" s="703"/>
      <c r="CO56" s="703"/>
      <c r="CP56" s="703"/>
      <c r="CQ56" s="703"/>
      <c r="CR56" s="703"/>
      <c r="CS56" s="703"/>
      <c r="CT56" s="703"/>
      <c r="CU56" s="703"/>
      <c r="CV56" s="703"/>
      <c r="CW56" s="703"/>
      <c r="CX56" s="703"/>
      <c r="CY56" s="703"/>
      <c r="CZ56" s="703"/>
      <c r="DA56" s="703"/>
      <c r="DB56" s="703"/>
      <c r="DC56" s="703"/>
      <c r="DD56" s="703"/>
      <c r="DE56" s="703"/>
      <c r="DF56" s="703"/>
      <c r="DG56" s="703"/>
      <c r="DH56" s="703"/>
      <c r="DI56" s="703"/>
      <c r="DJ56" s="703"/>
      <c r="DK56" s="703"/>
      <c r="DL56" s="703"/>
      <c r="DM56" s="703"/>
      <c r="DN56" s="703"/>
      <c r="DO56" s="703"/>
      <c r="DP56" s="703"/>
      <c r="DQ56" s="703"/>
      <c r="DR56" s="703"/>
    </row>
    <row r="57" spans="1:122" x14ac:dyDescent="0.2">
      <c r="M57" s="703"/>
      <c r="N57" s="703"/>
      <c r="O57" s="703"/>
      <c r="P57" s="742"/>
      <c r="Q57" s="703"/>
      <c r="R57" s="721"/>
      <c r="S57" s="721"/>
      <c r="T57" s="935"/>
      <c r="U57" s="935"/>
      <c r="V57" s="935"/>
      <c r="W57" s="721"/>
      <c r="X57" s="964"/>
      <c r="Y57" s="964"/>
      <c r="Z57" s="964"/>
      <c r="AA57" s="703"/>
      <c r="AB57" s="703"/>
      <c r="AC57" s="703"/>
      <c r="AD57" s="703"/>
      <c r="AE57" s="703"/>
      <c r="AF57" s="703"/>
      <c r="AG57" s="703"/>
      <c r="AH57" s="703"/>
      <c r="AI57" s="703"/>
      <c r="AJ57" s="703"/>
      <c r="AK57" s="703"/>
      <c r="AL57" s="703"/>
      <c r="AM57" s="703"/>
      <c r="AN57" s="703"/>
      <c r="AO57" s="703"/>
      <c r="AP57" s="703"/>
      <c r="AQ57" s="703"/>
      <c r="AR57" s="703"/>
      <c r="AS57" s="703"/>
      <c r="AT57" s="703"/>
      <c r="AU57" s="703"/>
      <c r="AV57" s="703"/>
      <c r="AW57" s="703"/>
      <c r="AX57" s="703"/>
      <c r="AY57" s="703"/>
      <c r="AZ57" s="703"/>
      <c r="BA57" s="703"/>
      <c r="BB57" s="703"/>
      <c r="BC57" s="703"/>
      <c r="BD57" s="703"/>
      <c r="BE57" s="703"/>
      <c r="BF57" s="703"/>
      <c r="BG57" s="703"/>
      <c r="BH57" s="703"/>
      <c r="BI57" s="703"/>
      <c r="BJ57" s="703"/>
      <c r="BK57" s="703"/>
      <c r="BL57" s="703"/>
      <c r="BM57" s="703"/>
      <c r="BN57" s="703"/>
      <c r="BO57" s="703"/>
      <c r="BP57" s="703"/>
      <c r="BQ57" s="703"/>
      <c r="BR57" s="703"/>
      <c r="BS57" s="703"/>
      <c r="BT57" s="703"/>
      <c r="BU57" s="703"/>
      <c r="BV57" s="703"/>
      <c r="BW57" s="703"/>
      <c r="BX57" s="703"/>
      <c r="BY57" s="703"/>
      <c r="BZ57" s="703"/>
      <c r="CA57" s="703"/>
      <c r="CB57" s="703"/>
      <c r="CC57" s="703"/>
      <c r="CD57" s="703"/>
      <c r="CE57" s="703"/>
      <c r="CF57" s="703"/>
      <c r="CG57" s="703"/>
      <c r="CH57" s="703"/>
      <c r="CI57" s="703"/>
      <c r="CJ57" s="703"/>
      <c r="CK57" s="703"/>
      <c r="CL57" s="703"/>
      <c r="CM57" s="703"/>
      <c r="CN57" s="703"/>
      <c r="CO57" s="703"/>
      <c r="CP57" s="703"/>
      <c r="CQ57" s="703"/>
      <c r="CR57" s="703"/>
      <c r="CS57" s="703"/>
      <c r="CT57" s="703"/>
      <c r="CU57" s="703"/>
      <c r="CV57" s="703"/>
      <c r="CW57" s="703"/>
      <c r="CX57" s="703"/>
      <c r="CY57" s="703"/>
      <c r="CZ57" s="703"/>
      <c r="DA57" s="703"/>
      <c r="DB57" s="703"/>
      <c r="DC57" s="703"/>
      <c r="DD57" s="703"/>
      <c r="DE57" s="703"/>
      <c r="DF57" s="703"/>
      <c r="DG57" s="703"/>
      <c r="DH57" s="703"/>
      <c r="DI57" s="703"/>
      <c r="DJ57" s="703"/>
      <c r="DK57" s="703"/>
      <c r="DL57" s="703"/>
      <c r="DM57" s="703"/>
      <c r="DN57" s="703"/>
      <c r="DO57" s="703"/>
      <c r="DP57" s="703"/>
      <c r="DQ57" s="703"/>
      <c r="DR57" s="703"/>
    </row>
    <row r="58" spans="1:122" x14ac:dyDescent="0.2">
      <c r="M58" s="703" t="s">
        <v>526</v>
      </c>
      <c r="N58" s="703"/>
      <c r="O58" s="721">
        <f t="shared" ref="O58:T58" si="29">+O50+O51-O47</f>
        <v>9002</v>
      </c>
      <c r="P58" s="721">
        <f t="shared" si="29"/>
        <v>8103</v>
      </c>
      <c r="Q58" s="721">
        <f t="shared" si="29"/>
        <v>6642</v>
      </c>
      <c r="R58" s="721">
        <f>+R50+R51-R47</f>
        <v>6078</v>
      </c>
      <c r="S58" s="721">
        <f t="shared" si="29"/>
        <v>8655</v>
      </c>
      <c r="T58" s="935">
        <f t="shared" si="29"/>
        <v>7666.8094812119371</v>
      </c>
      <c r="U58" s="935">
        <f t="shared" ref="U58" si="30">+U50+U51-U47</f>
        <v>6707.24918155868</v>
      </c>
      <c r="V58" s="935">
        <f>+V50+V51-V47</f>
        <v>4930.4091729339907</v>
      </c>
      <c r="W58" s="721"/>
      <c r="X58" s="964"/>
      <c r="Y58" s="964"/>
      <c r="Z58" s="964"/>
      <c r="AA58" s="703"/>
      <c r="AB58" s="703"/>
      <c r="AC58" s="703"/>
      <c r="AD58" s="703"/>
      <c r="AE58" s="703"/>
      <c r="AF58" s="703"/>
      <c r="AG58" s="703"/>
      <c r="AH58" s="703"/>
      <c r="AI58" s="703"/>
      <c r="AJ58" s="703"/>
      <c r="AK58" s="703"/>
      <c r="AL58" s="703"/>
      <c r="AM58" s="703"/>
      <c r="AN58" s="703"/>
      <c r="AO58" s="703"/>
      <c r="AP58" s="703"/>
      <c r="AQ58" s="703"/>
      <c r="AR58" s="703"/>
      <c r="AS58" s="703"/>
      <c r="AT58" s="703"/>
      <c r="AU58" s="703"/>
      <c r="AV58" s="703"/>
      <c r="AW58" s="703"/>
      <c r="AX58" s="703"/>
      <c r="AY58" s="703"/>
      <c r="AZ58" s="703"/>
      <c r="BA58" s="703"/>
      <c r="BB58" s="703"/>
      <c r="BC58" s="703"/>
      <c r="BD58" s="703"/>
      <c r="BE58" s="703"/>
      <c r="BF58" s="703"/>
      <c r="BG58" s="703"/>
      <c r="BH58" s="703"/>
      <c r="BI58" s="703"/>
      <c r="BJ58" s="703"/>
      <c r="BK58" s="703"/>
      <c r="BL58" s="703"/>
      <c r="BM58" s="703"/>
      <c r="BN58" s="703"/>
      <c r="BO58" s="703"/>
      <c r="BP58" s="703"/>
      <c r="BQ58" s="703"/>
      <c r="BR58" s="703"/>
      <c r="BS58" s="703"/>
      <c r="BT58" s="703"/>
      <c r="BU58" s="703"/>
      <c r="BV58" s="703"/>
      <c r="BW58" s="703"/>
      <c r="BX58" s="703"/>
      <c r="BY58" s="703"/>
      <c r="BZ58" s="703"/>
      <c r="CA58" s="703"/>
      <c r="CB58" s="703"/>
      <c r="CC58" s="703"/>
      <c r="CD58" s="703"/>
      <c r="CE58" s="703"/>
      <c r="CF58" s="703"/>
      <c r="CG58" s="703"/>
      <c r="CH58" s="703"/>
      <c r="CI58" s="703"/>
      <c r="CJ58" s="703"/>
      <c r="CK58" s="703"/>
      <c r="CL58" s="703"/>
      <c r="CM58" s="703"/>
      <c r="CN58" s="703"/>
      <c r="CO58" s="703"/>
      <c r="CP58" s="703"/>
      <c r="CQ58" s="703"/>
      <c r="CR58" s="703"/>
      <c r="CS58" s="703"/>
      <c r="CT58" s="703"/>
      <c r="CU58" s="703"/>
      <c r="CV58" s="703"/>
      <c r="CW58" s="703"/>
      <c r="CX58" s="703"/>
      <c r="CY58" s="703"/>
      <c r="CZ58" s="703"/>
      <c r="DA58" s="703"/>
      <c r="DB58" s="703"/>
      <c r="DC58" s="703"/>
      <c r="DD58" s="703"/>
      <c r="DE58" s="703"/>
      <c r="DF58" s="703"/>
      <c r="DG58" s="703"/>
      <c r="DH58" s="703"/>
      <c r="DI58" s="703"/>
      <c r="DJ58" s="703"/>
      <c r="DK58" s="703"/>
      <c r="DL58" s="703"/>
      <c r="DM58" s="703"/>
      <c r="DN58" s="703"/>
      <c r="DO58" s="703"/>
      <c r="DP58" s="703"/>
      <c r="DQ58" s="703"/>
      <c r="DR58" s="703"/>
    </row>
    <row r="59" spans="1:122" x14ac:dyDescent="0.2">
      <c r="M59" s="703" t="s">
        <v>500</v>
      </c>
      <c r="N59" s="703"/>
      <c r="O59" s="721">
        <f t="shared" ref="O59:T59" si="31">+O47+1900</f>
        <v>5703</v>
      </c>
      <c r="P59" s="721">
        <f t="shared" si="31"/>
        <v>5205</v>
      </c>
      <c r="Q59" s="721">
        <f t="shared" si="31"/>
        <v>5337</v>
      </c>
      <c r="R59" s="721">
        <f t="shared" si="31"/>
        <v>5149</v>
      </c>
      <c r="S59" s="721">
        <f t="shared" si="31"/>
        <v>4536</v>
      </c>
      <c r="T59" s="935">
        <f t="shared" si="31"/>
        <v>4031.2110239177173</v>
      </c>
      <c r="U59" s="935">
        <f t="shared" ref="U59" si="32">+U47+1900</f>
        <v>3802.1541919594056</v>
      </c>
      <c r="V59" s="935">
        <f>+V47+1900</f>
        <v>4137.3413017896382</v>
      </c>
      <c r="W59" s="721"/>
      <c r="X59" s="964"/>
      <c r="Y59" s="964"/>
      <c r="Z59" s="964"/>
      <c r="AA59" s="703"/>
      <c r="AB59" s="703"/>
      <c r="AC59" s="703"/>
      <c r="AD59" s="703"/>
      <c r="AE59" s="703"/>
      <c r="AF59" s="703"/>
      <c r="AG59" s="703"/>
      <c r="AH59" s="703"/>
      <c r="AI59" s="703"/>
      <c r="AJ59" s="703"/>
      <c r="AK59" s="703"/>
      <c r="AL59" s="703"/>
      <c r="AM59" s="703"/>
      <c r="AN59" s="703"/>
      <c r="AO59" s="703"/>
      <c r="AP59" s="703"/>
      <c r="AQ59" s="703"/>
      <c r="AR59" s="703"/>
      <c r="AS59" s="703"/>
      <c r="AT59" s="703"/>
      <c r="AU59" s="703"/>
      <c r="AV59" s="703"/>
      <c r="AW59" s="703"/>
      <c r="AX59" s="703"/>
      <c r="AY59" s="703"/>
      <c r="AZ59" s="703"/>
      <c r="BA59" s="703"/>
      <c r="BB59" s="703"/>
      <c r="BC59" s="703"/>
      <c r="BD59" s="703"/>
      <c r="BE59" s="703"/>
      <c r="BF59" s="703"/>
      <c r="BG59" s="703"/>
      <c r="BH59" s="703"/>
      <c r="BI59" s="703"/>
      <c r="BJ59" s="703"/>
      <c r="BK59" s="703"/>
      <c r="BL59" s="703"/>
      <c r="BM59" s="703"/>
      <c r="BN59" s="703"/>
      <c r="BO59" s="703"/>
      <c r="BP59" s="703"/>
      <c r="BQ59" s="703"/>
      <c r="BR59" s="703"/>
      <c r="BS59" s="703"/>
      <c r="BT59" s="703"/>
      <c r="BU59" s="703"/>
      <c r="BV59" s="703"/>
      <c r="BW59" s="703"/>
      <c r="BX59" s="703"/>
      <c r="BY59" s="703"/>
      <c r="BZ59" s="703"/>
      <c r="CA59" s="703"/>
      <c r="CB59" s="703"/>
      <c r="CC59" s="703"/>
      <c r="CD59" s="703"/>
      <c r="CE59" s="703"/>
      <c r="CF59" s="703"/>
      <c r="CG59" s="703"/>
      <c r="CH59" s="703"/>
      <c r="CI59" s="703"/>
      <c r="CJ59" s="703"/>
      <c r="CK59" s="703"/>
      <c r="CL59" s="703"/>
      <c r="CM59" s="703"/>
      <c r="CN59" s="703"/>
      <c r="CO59" s="703"/>
      <c r="CP59" s="703"/>
      <c r="CQ59" s="703"/>
      <c r="CR59" s="703"/>
      <c r="CS59" s="703"/>
      <c r="CT59" s="703"/>
      <c r="CU59" s="703"/>
      <c r="CV59" s="703"/>
      <c r="CW59" s="703"/>
      <c r="CX59" s="703"/>
      <c r="CY59" s="703"/>
      <c r="CZ59" s="703"/>
      <c r="DA59" s="703"/>
      <c r="DB59" s="703"/>
      <c r="DC59" s="703"/>
      <c r="DD59" s="703"/>
      <c r="DE59" s="703"/>
      <c r="DF59" s="703"/>
      <c r="DG59" s="703"/>
      <c r="DH59" s="703"/>
      <c r="DI59" s="703"/>
      <c r="DJ59" s="703"/>
      <c r="DK59" s="703"/>
      <c r="DL59" s="703"/>
      <c r="DM59" s="703"/>
      <c r="DN59" s="703"/>
      <c r="DO59" s="703"/>
      <c r="DP59" s="703"/>
      <c r="DQ59" s="703"/>
      <c r="DR59" s="703"/>
    </row>
    <row r="60" spans="1:122" x14ac:dyDescent="0.2">
      <c r="M60" s="703" t="s">
        <v>498</v>
      </c>
      <c r="N60" s="703"/>
      <c r="O60" s="726">
        <f t="shared" ref="O60:T60" si="33">(1900+O47)/O11</f>
        <v>0.15098085934397584</v>
      </c>
      <c r="P60" s="726">
        <f t="shared" si="33"/>
        <v>0.12895793072692135</v>
      </c>
      <c r="Q60" s="726">
        <f t="shared" si="33"/>
        <v>0.13111733490566038</v>
      </c>
      <c r="R60" s="726">
        <f t="shared" si="33"/>
        <v>0.12989732334317214</v>
      </c>
      <c r="S60" s="726">
        <f t="shared" si="33"/>
        <v>0.11161904447680325</v>
      </c>
      <c r="T60" s="937">
        <f t="shared" si="33"/>
        <v>9.2995883971208476E-2</v>
      </c>
      <c r="U60" s="937">
        <f t="shared" ref="U60:V60" si="34">(1900+U47)/U11</f>
        <v>8.4906345939230049E-2</v>
      </c>
      <c r="V60" s="937">
        <f t="shared" si="34"/>
        <v>8.9553631292170796E-2</v>
      </c>
      <c r="W60" s="703"/>
      <c r="X60" s="966"/>
      <c r="Y60" s="966"/>
      <c r="Z60" s="966"/>
      <c r="AA60" s="703"/>
      <c r="AB60" s="703"/>
      <c r="AC60" s="703"/>
      <c r="AD60" s="703"/>
      <c r="AE60" s="703"/>
      <c r="AF60" s="703"/>
      <c r="AG60" s="703"/>
      <c r="AH60" s="703"/>
      <c r="AI60" s="703"/>
      <c r="AJ60" s="703"/>
      <c r="AK60" s="703"/>
      <c r="AL60" s="703"/>
      <c r="AM60" s="703"/>
      <c r="AN60" s="703"/>
      <c r="AO60" s="703"/>
      <c r="AP60" s="703"/>
      <c r="AQ60" s="703"/>
      <c r="AR60" s="703"/>
      <c r="AS60" s="703"/>
      <c r="AT60" s="703"/>
      <c r="AU60" s="703"/>
      <c r="AV60" s="703"/>
      <c r="AW60" s="703"/>
      <c r="AX60" s="703"/>
      <c r="AY60" s="703"/>
      <c r="AZ60" s="703"/>
      <c r="BA60" s="703"/>
      <c r="BB60" s="703"/>
      <c r="BC60" s="703"/>
      <c r="BD60" s="703"/>
      <c r="BE60" s="703"/>
      <c r="BF60" s="703"/>
      <c r="BG60" s="703"/>
      <c r="BH60" s="703"/>
      <c r="BI60" s="703"/>
      <c r="BJ60" s="703"/>
      <c r="BK60" s="703"/>
      <c r="BL60" s="703"/>
      <c r="BM60" s="703"/>
      <c r="BN60" s="703"/>
      <c r="BO60" s="703"/>
      <c r="BP60" s="703"/>
      <c r="BQ60" s="703"/>
      <c r="BR60" s="703"/>
      <c r="BS60" s="703"/>
      <c r="BT60" s="703"/>
      <c r="BU60" s="703"/>
      <c r="BV60" s="703"/>
      <c r="BW60" s="703"/>
      <c r="BX60" s="703"/>
      <c r="BY60" s="703"/>
      <c r="BZ60" s="703"/>
      <c r="CA60" s="703"/>
      <c r="CB60" s="703"/>
      <c r="CC60" s="703"/>
      <c r="CD60" s="703"/>
      <c r="CE60" s="703"/>
      <c r="CF60" s="703"/>
      <c r="CG60" s="703"/>
      <c r="CH60" s="703"/>
      <c r="CI60" s="703"/>
      <c r="CJ60" s="703"/>
      <c r="CK60" s="703"/>
      <c r="CL60" s="703"/>
      <c r="CM60" s="703"/>
      <c r="CN60" s="703"/>
      <c r="CO60" s="703"/>
      <c r="CP60" s="703"/>
      <c r="CQ60" s="703"/>
      <c r="CR60" s="703"/>
      <c r="CS60" s="703"/>
      <c r="CT60" s="703"/>
      <c r="CU60" s="703"/>
      <c r="CV60" s="703"/>
      <c r="CW60" s="703"/>
      <c r="CX60" s="703"/>
      <c r="CY60" s="703"/>
      <c r="CZ60" s="703"/>
      <c r="DA60" s="703"/>
      <c r="DB60" s="703"/>
      <c r="DC60" s="703"/>
      <c r="DD60" s="703"/>
      <c r="DE60" s="703"/>
      <c r="DF60" s="703"/>
      <c r="DG60" s="703"/>
      <c r="DH60" s="703"/>
      <c r="DI60" s="703"/>
      <c r="DJ60" s="703"/>
      <c r="DK60" s="703"/>
      <c r="DL60" s="703"/>
      <c r="DM60" s="703"/>
      <c r="DN60" s="703"/>
      <c r="DO60" s="703"/>
      <c r="DP60" s="703"/>
      <c r="DQ60" s="703"/>
      <c r="DR60" s="703"/>
    </row>
    <row r="61" spans="1:122" x14ac:dyDescent="0.2">
      <c r="M61" s="703"/>
      <c r="N61" s="703"/>
      <c r="O61" s="703"/>
      <c r="P61" s="703"/>
      <c r="Q61" s="703"/>
      <c r="R61" s="703"/>
      <c r="S61" s="703"/>
      <c r="T61" s="703"/>
      <c r="U61" s="703"/>
      <c r="V61" s="709"/>
      <c r="W61" s="703"/>
      <c r="X61" s="721"/>
      <c r="Y61" s="716"/>
      <c r="Z61" s="703"/>
      <c r="AA61" s="703"/>
      <c r="AB61" s="703"/>
      <c r="AC61" s="703"/>
      <c r="AD61" s="703"/>
      <c r="AE61" s="703"/>
      <c r="AF61" s="703"/>
      <c r="AG61" s="703"/>
      <c r="AH61" s="703"/>
      <c r="AI61" s="703"/>
      <c r="AJ61" s="703"/>
      <c r="AK61" s="703"/>
      <c r="AL61" s="703"/>
      <c r="AM61" s="703"/>
      <c r="AN61" s="703"/>
      <c r="AO61" s="703"/>
      <c r="AP61" s="703"/>
      <c r="AQ61" s="703"/>
      <c r="AR61" s="703"/>
      <c r="AS61" s="703"/>
      <c r="AT61" s="703"/>
      <c r="AU61" s="703"/>
      <c r="AV61" s="703"/>
      <c r="AW61" s="703"/>
      <c r="AX61" s="703"/>
      <c r="AY61" s="703"/>
      <c r="AZ61" s="703"/>
      <c r="BA61" s="703"/>
      <c r="BB61" s="703"/>
      <c r="BC61" s="703"/>
      <c r="BD61" s="703"/>
      <c r="BE61" s="703"/>
      <c r="BF61" s="703"/>
      <c r="BG61" s="703"/>
      <c r="BH61" s="703"/>
      <c r="BI61" s="703"/>
      <c r="BJ61" s="703"/>
      <c r="BK61" s="703"/>
      <c r="BL61" s="703"/>
      <c r="BM61" s="703"/>
      <c r="BN61" s="703"/>
      <c r="BO61" s="703"/>
      <c r="BP61" s="703"/>
      <c r="BQ61" s="703"/>
      <c r="BR61" s="703"/>
      <c r="BS61" s="703"/>
      <c r="BT61" s="703"/>
      <c r="BU61" s="703"/>
      <c r="BV61" s="703"/>
      <c r="BW61" s="703"/>
      <c r="BX61" s="703"/>
      <c r="BY61" s="703"/>
      <c r="BZ61" s="703"/>
      <c r="CA61" s="703"/>
      <c r="CB61" s="703"/>
      <c r="CC61" s="703"/>
      <c r="CD61" s="703"/>
      <c r="CE61" s="703"/>
      <c r="CF61" s="703"/>
      <c r="CG61" s="703"/>
      <c r="CH61" s="703"/>
      <c r="CI61" s="703"/>
      <c r="CJ61" s="703"/>
      <c r="CK61" s="703"/>
      <c r="CL61" s="703"/>
      <c r="CM61" s="703"/>
      <c r="CN61" s="703"/>
      <c r="CO61" s="703"/>
      <c r="CP61" s="703"/>
      <c r="CQ61" s="703"/>
      <c r="CR61" s="703"/>
      <c r="CS61" s="703"/>
      <c r="CT61" s="703"/>
      <c r="CU61" s="703"/>
      <c r="CV61" s="703"/>
      <c r="CW61" s="703"/>
      <c r="CX61" s="703"/>
      <c r="CY61" s="703"/>
      <c r="CZ61" s="703"/>
      <c r="DA61" s="703"/>
      <c r="DB61" s="703"/>
      <c r="DC61" s="703"/>
      <c r="DD61" s="703"/>
      <c r="DE61" s="703"/>
      <c r="DF61" s="703"/>
      <c r="DG61" s="703"/>
      <c r="DH61" s="703"/>
      <c r="DI61" s="703"/>
      <c r="DJ61" s="703"/>
      <c r="DK61" s="703"/>
      <c r="DL61" s="703"/>
      <c r="DM61" s="703"/>
      <c r="DN61" s="703"/>
      <c r="DO61" s="703"/>
      <c r="DP61" s="703"/>
      <c r="DQ61" s="703"/>
      <c r="DR61" s="703"/>
    </row>
    <row r="62" spans="1:122" x14ac:dyDescent="0.2">
      <c r="W62" s="703"/>
      <c r="X62" s="721"/>
      <c r="Y62" s="716"/>
      <c r="Z62" s="703"/>
      <c r="AA62" s="703"/>
      <c r="AB62" s="703"/>
      <c r="AC62" s="703"/>
      <c r="AD62" s="703"/>
      <c r="AE62" s="703"/>
      <c r="AF62" s="703"/>
      <c r="AG62" s="703"/>
      <c r="AH62" s="703"/>
      <c r="AI62" s="703"/>
      <c r="AJ62" s="703"/>
      <c r="AK62" s="703"/>
      <c r="AL62" s="703"/>
      <c r="AM62" s="703"/>
      <c r="AN62" s="703"/>
      <c r="AO62" s="703"/>
      <c r="AP62" s="703"/>
      <c r="AQ62" s="703"/>
      <c r="AR62" s="703"/>
      <c r="AS62" s="703"/>
      <c r="AT62" s="703"/>
      <c r="AU62" s="703"/>
      <c r="AV62" s="703"/>
      <c r="AW62" s="703"/>
      <c r="AX62" s="703"/>
      <c r="AY62" s="703"/>
      <c r="AZ62" s="703"/>
      <c r="BA62" s="703"/>
      <c r="BB62" s="703"/>
      <c r="BC62" s="703"/>
      <c r="BD62" s="703"/>
      <c r="BE62" s="703"/>
      <c r="BF62" s="703"/>
      <c r="BG62" s="703"/>
      <c r="BH62" s="703"/>
      <c r="BI62" s="703"/>
      <c r="BJ62" s="703"/>
      <c r="BK62" s="703"/>
      <c r="BL62" s="703"/>
      <c r="BM62" s="703"/>
      <c r="BN62" s="703"/>
      <c r="BO62" s="703"/>
      <c r="BP62" s="703"/>
      <c r="BQ62" s="703"/>
      <c r="BR62" s="703"/>
      <c r="BS62" s="703"/>
      <c r="BT62" s="703"/>
      <c r="BU62" s="703"/>
      <c r="BV62" s="703"/>
      <c r="BW62" s="703"/>
      <c r="BX62" s="703"/>
      <c r="BY62" s="703"/>
      <c r="BZ62" s="703"/>
      <c r="CA62" s="703"/>
      <c r="CB62" s="703"/>
      <c r="CC62" s="703"/>
      <c r="CD62" s="703"/>
      <c r="CE62" s="703"/>
      <c r="CF62" s="703"/>
      <c r="CG62" s="703"/>
      <c r="CH62" s="703"/>
      <c r="CI62" s="703"/>
      <c r="CJ62" s="703"/>
      <c r="CK62" s="703"/>
      <c r="CL62" s="703"/>
      <c r="CM62" s="703"/>
      <c r="CN62" s="703"/>
      <c r="CO62" s="703"/>
      <c r="CP62" s="703"/>
      <c r="CQ62" s="703"/>
      <c r="CR62" s="703"/>
      <c r="CS62" s="703"/>
      <c r="CT62" s="703"/>
      <c r="CU62" s="703"/>
      <c r="CV62" s="703"/>
      <c r="CW62" s="703"/>
      <c r="CX62" s="703"/>
      <c r="CY62" s="703"/>
      <c r="CZ62" s="703"/>
      <c r="DA62" s="703"/>
      <c r="DB62" s="703"/>
      <c r="DC62" s="703"/>
      <c r="DD62" s="703"/>
      <c r="DE62" s="703"/>
      <c r="DF62" s="703"/>
      <c r="DG62" s="703"/>
      <c r="DH62" s="703"/>
      <c r="DI62" s="703"/>
      <c r="DJ62" s="703"/>
      <c r="DK62" s="703"/>
      <c r="DL62" s="703"/>
      <c r="DM62" s="703"/>
      <c r="DN62" s="703"/>
      <c r="DO62" s="703"/>
      <c r="DP62" s="703"/>
      <c r="DQ62" s="703"/>
      <c r="DR62" s="703"/>
    </row>
    <row r="63" spans="1:122" x14ac:dyDescent="0.2">
      <c r="W63" s="703"/>
      <c r="X63" s="721"/>
      <c r="Y63" s="716"/>
      <c r="Z63" s="703"/>
      <c r="AA63" s="703"/>
      <c r="AB63" s="703"/>
      <c r="AC63" s="703"/>
      <c r="AD63" s="703"/>
      <c r="AE63" s="703"/>
      <c r="AF63" s="703"/>
      <c r="AG63" s="703"/>
      <c r="AH63" s="703"/>
      <c r="AI63" s="703"/>
      <c r="AJ63" s="703"/>
      <c r="AK63" s="703"/>
      <c r="AL63" s="703"/>
      <c r="AM63" s="703"/>
      <c r="AN63" s="703"/>
      <c r="AO63" s="703"/>
      <c r="AP63" s="703"/>
      <c r="AQ63" s="703"/>
      <c r="AR63" s="703"/>
      <c r="AS63" s="703"/>
      <c r="AT63" s="703"/>
      <c r="AU63" s="703"/>
      <c r="AV63" s="703"/>
      <c r="AW63" s="703"/>
      <c r="AX63" s="703"/>
      <c r="AY63" s="703"/>
      <c r="AZ63" s="703"/>
      <c r="BA63" s="703"/>
      <c r="BB63" s="703"/>
      <c r="BC63" s="703"/>
      <c r="BD63" s="703"/>
      <c r="BE63" s="703"/>
      <c r="BF63" s="703"/>
      <c r="BG63" s="703"/>
      <c r="BH63" s="703"/>
      <c r="BI63" s="703"/>
      <c r="BJ63" s="703"/>
      <c r="BK63" s="703"/>
      <c r="BL63" s="703"/>
      <c r="BM63" s="703"/>
      <c r="BN63" s="703"/>
      <c r="BO63" s="703"/>
      <c r="BP63" s="703"/>
      <c r="BQ63" s="703"/>
      <c r="BR63" s="703"/>
      <c r="BS63" s="703"/>
      <c r="BT63" s="703"/>
      <c r="BU63" s="703"/>
      <c r="BV63" s="703"/>
      <c r="BW63" s="703"/>
      <c r="BX63" s="703"/>
      <c r="BY63" s="703"/>
      <c r="BZ63" s="703"/>
      <c r="CA63" s="703"/>
      <c r="CB63" s="703"/>
      <c r="CC63" s="703"/>
      <c r="CD63" s="703"/>
      <c r="CE63" s="703"/>
      <c r="CF63" s="703"/>
      <c r="CG63" s="703"/>
      <c r="CH63" s="703"/>
      <c r="CI63" s="703"/>
      <c r="CJ63" s="703"/>
      <c r="CK63" s="703"/>
      <c r="CL63" s="703"/>
      <c r="CM63" s="703"/>
      <c r="CN63" s="703"/>
      <c r="CO63" s="703"/>
      <c r="CP63" s="703"/>
      <c r="CQ63" s="703"/>
      <c r="CR63" s="703"/>
      <c r="CS63" s="703"/>
      <c r="CT63" s="703"/>
      <c r="CU63" s="703"/>
      <c r="CV63" s="703"/>
      <c r="CW63" s="703"/>
      <c r="CX63" s="703"/>
      <c r="CY63" s="703"/>
      <c r="CZ63" s="703"/>
      <c r="DA63" s="703"/>
      <c r="DB63" s="703"/>
      <c r="DC63" s="703"/>
      <c r="DD63" s="703"/>
      <c r="DE63" s="703"/>
      <c r="DF63" s="703"/>
      <c r="DG63" s="703"/>
      <c r="DH63" s="703"/>
      <c r="DI63" s="703"/>
      <c r="DJ63" s="703"/>
      <c r="DK63" s="703"/>
      <c r="DL63" s="703"/>
      <c r="DM63" s="703"/>
      <c r="DN63" s="703"/>
      <c r="DO63" s="703"/>
      <c r="DP63" s="703"/>
      <c r="DQ63" s="703"/>
      <c r="DR63" s="703"/>
    </row>
    <row r="64" spans="1:122" x14ac:dyDescent="0.2">
      <c r="Q64" s="957"/>
      <c r="R64" s="957"/>
      <c r="S64" s="957"/>
      <c r="T64" s="957"/>
      <c r="U64" s="957"/>
      <c r="V64" s="957"/>
      <c r="W64" s="703"/>
      <c r="X64" s="721"/>
      <c r="Y64" s="716"/>
      <c r="Z64" s="703"/>
      <c r="AA64" s="703"/>
      <c r="AB64" s="703"/>
      <c r="AC64" s="703"/>
      <c r="AD64" s="703"/>
      <c r="AE64" s="703"/>
      <c r="AF64" s="703"/>
      <c r="AG64" s="703"/>
      <c r="AH64" s="703"/>
      <c r="AI64" s="703"/>
      <c r="AJ64" s="703"/>
      <c r="AK64" s="703"/>
      <c r="AL64" s="703"/>
      <c r="AM64" s="703"/>
      <c r="AN64" s="703"/>
      <c r="AO64" s="703"/>
      <c r="AP64" s="703"/>
      <c r="AQ64" s="703"/>
      <c r="AR64" s="703"/>
      <c r="AS64" s="703"/>
      <c r="AT64" s="703"/>
      <c r="AU64" s="703"/>
      <c r="AV64" s="703"/>
      <c r="AW64" s="703"/>
      <c r="AX64" s="703"/>
      <c r="AY64" s="703"/>
      <c r="AZ64" s="703"/>
      <c r="BA64" s="703"/>
      <c r="BB64" s="703"/>
      <c r="BC64" s="703"/>
      <c r="BD64" s="703"/>
      <c r="BE64" s="703"/>
      <c r="BF64" s="703"/>
      <c r="BG64" s="703"/>
      <c r="BH64" s="703"/>
      <c r="BI64" s="703"/>
      <c r="BJ64" s="703"/>
      <c r="BK64" s="703"/>
      <c r="BL64" s="703"/>
      <c r="BM64" s="703"/>
      <c r="BN64" s="703"/>
      <c r="BO64" s="703"/>
      <c r="BP64" s="703"/>
      <c r="BQ64" s="703"/>
      <c r="BR64" s="703"/>
      <c r="BS64" s="703"/>
      <c r="BT64" s="703"/>
      <c r="BU64" s="703"/>
      <c r="BV64" s="703"/>
      <c r="BW64" s="703"/>
      <c r="BX64" s="703"/>
      <c r="BY64" s="703"/>
      <c r="BZ64" s="703"/>
      <c r="CA64" s="703"/>
      <c r="CB64" s="703"/>
      <c r="CC64" s="703"/>
      <c r="CD64" s="703"/>
      <c r="CE64" s="703"/>
      <c r="CF64" s="703"/>
      <c r="CG64" s="703"/>
      <c r="CH64" s="703"/>
      <c r="CI64" s="703"/>
      <c r="CJ64" s="703"/>
      <c r="CK64" s="703"/>
      <c r="CL64" s="703"/>
      <c r="CM64" s="703"/>
      <c r="CN64" s="703"/>
      <c r="CO64" s="703"/>
      <c r="CP64" s="703"/>
      <c r="CQ64" s="703"/>
      <c r="CR64" s="703"/>
      <c r="CS64" s="703"/>
      <c r="CT64" s="703"/>
      <c r="CU64" s="703"/>
      <c r="CV64" s="703"/>
      <c r="CW64" s="703"/>
      <c r="CX64" s="703"/>
      <c r="CY64" s="703"/>
      <c r="CZ64" s="703"/>
      <c r="DA64" s="703"/>
      <c r="DB64" s="703"/>
      <c r="DC64" s="703"/>
      <c r="DD64" s="703"/>
      <c r="DE64" s="703"/>
      <c r="DF64" s="703"/>
      <c r="DG64" s="703"/>
      <c r="DH64" s="703"/>
      <c r="DI64" s="703"/>
      <c r="DJ64" s="703"/>
      <c r="DK64" s="703"/>
      <c r="DL64" s="703"/>
      <c r="DM64" s="703"/>
      <c r="DN64" s="703"/>
      <c r="DO64" s="703"/>
      <c r="DP64" s="703"/>
      <c r="DQ64" s="703"/>
      <c r="DR64" s="703"/>
    </row>
    <row r="65" spans="17:122" x14ac:dyDescent="0.2">
      <c r="Q65" s="956"/>
      <c r="R65" s="956"/>
      <c r="S65" s="956"/>
      <c r="T65" s="956"/>
      <c r="U65" s="956"/>
      <c r="V65" s="956"/>
      <c r="W65" s="703"/>
      <c r="X65" s="703"/>
      <c r="Y65" s="703"/>
      <c r="Z65" s="703"/>
      <c r="AA65" s="703"/>
      <c r="AB65" s="703"/>
      <c r="AC65" s="703"/>
      <c r="AD65" s="703"/>
      <c r="AE65" s="703"/>
      <c r="AF65" s="703"/>
      <c r="AG65" s="703"/>
      <c r="AH65" s="703"/>
      <c r="AI65" s="703"/>
      <c r="AJ65" s="703"/>
      <c r="AK65" s="703"/>
      <c r="AL65" s="703"/>
      <c r="AM65" s="703"/>
      <c r="AN65" s="703"/>
      <c r="AO65" s="703"/>
      <c r="AP65" s="703"/>
      <c r="AQ65" s="703"/>
      <c r="AR65" s="703"/>
      <c r="AS65" s="703"/>
      <c r="AT65" s="703"/>
      <c r="AU65" s="703"/>
      <c r="AV65" s="703"/>
      <c r="AW65" s="703"/>
      <c r="AX65" s="703"/>
      <c r="AY65" s="703"/>
      <c r="AZ65" s="703"/>
      <c r="BA65" s="703"/>
      <c r="BB65" s="703"/>
      <c r="BC65" s="703"/>
      <c r="BD65" s="703"/>
      <c r="BE65" s="703"/>
      <c r="BF65" s="703"/>
      <c r="BG65" s="703"/>
      <c r="BH65" s="703"/>
      <c r="BI65" s="703"/>
      <c r="BJ65" s="703"/>
      <c r="BK65" s="703"/>
      <c r="BL65" s="703"/>
      <c r="BM65" s="703"/>
      <c r="BN65" s="703"/>
      <c r="BO65" s="703"/>
      <c r="BP65" s="703"/>
      <c r="BQ65" s="703"/>
      <c r="BR65" s="703"/>
      <c r="BS65" s="703"/>
      <c r="BT65" s="703"/>
      <c r="BU65" s="703"/>
      <c r="BV65" s="703"/>
      <c r="BW65" s="703"/>
      <c r="BX65" s="703"/>
      <c r="BY65" s="703"/>
      <c r="BZ65" s="703"/>
      <c r="CA65" s="703"/>
      <c r="CB65" s="703"/>
      <c r="CC65" s="703"/>
      <c r="CD65" s="703"/>
      <c r="CE65" s="703"/>
      <c r="CF65" s="703"/>
      <c r="CG65" s="703"/>
      <c r="CH65" s="703"/>
      <c r="CI65" s="703"/>
      <c r="CJ65" s="703"/>
      <c r="CK65" s="703"/>
      <c r="CL65" s="703"/>
      <c r="CM65" s="703"/>
      <c r="CN65" s="703"/>
      <c r="CO65" s="703"/>
      <c r="CP65" s="703"/>
      <c r="CQ65" s="703"/>
      <c r="CR65" s="703"/>
      <c r="CS65" s="703"/>
      <c r="CT65" s="703"/>
      <c r="CU65" s="703"/>
      <c r="CV65" s="703"/>
      <c r="CW65" s="703"/>
      <c r="CX65" s="703"/>
      <c r="CY65" s="703"/>
      <c r="CZ65" s="703"/>
      <c r="DA65" s="703"/>
      <c r="DB65" s="703"/>
      <c r="DC65" s="703"/>
      <c r="DD65" s="703"/>
      <c r="DE65" s="703"/>
      <c r="DF65" s="703"/>
      <c r="DG65" s="703"/>
      <c r="DH65" s="703"/>
      <c r="DI65" s="703"/>
      <c r="DJ65" s="703"/>
      <c r="DK65" s="703"/>
      <c r="DL65" s="703"/>
      <c r="DM65" s="703"/>
      <c r="DN65" s="703"/>
      <c r="DO65" s="703"/>
      <c r="DP65" s="703"/>
      <c r="DQ65" s="703"/>
      <c r="DR65" s="703"/>
    </row>
  </sheetData>
  <pageMargins left="0" right="0" top="0" bottom="0" header="0" footer="0"/>
  <pageSetup paperSize="5" scale="17"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EH528"/>
  <sheetViews>
    <sheetView showGridLines="0" zoomScaleNormal="100" workbookViewId="0">
      <pane xSplit="1" ySplit="2" topLeftCell="AY3" activePane="bottomRight" state="frozen"/>
      <selection pane="topRight" activeCell="B1" sqref="B1"/>
      <selection pane="bottomLeft" activeCell="A3" sqref="A3"/>
      <selection pane="bottomRight" activeCell="CX2" sqref="CX2"/>
    </sheetView>
  </sheetViews>
  <sheetFormatPr defaultRowHeight="12.75" customHeight="1" outlineLevelRow="1" outlineLevelCol="2" x14ac:dyDescent="0.2"/>
  <cols>
    <col min="1" max="1" width="37.1640625" customWidth="1"/>
    <col min="2" max="5" width="11.6640625" hidden="1" customWidth="1" outlineLevel="1"/>
    <col min="6" max="6" width="9.33203125" hidden="1" customWidth="1" outlineLevel="1"/>
    <col min="7" max="10" width="9.33203125" hidden="1" customWidth="1" outlineLevel="2"/>
    <col min="11" max="11" width="9.33203125" hidden="1" customWidth="1" outlineLevel="1"/>
    <col min="12" max="15" width="9.33203125" hidden="1" customWidth="1" outlineLevel="2"/>
    <col min="16" max="16" width="9.33203125" hidden="1" customWidth="1" outlineLevel="1"/>
    <col min="17" max="20" width="9.33203125" hidden="1" customWidth="1" outlineLevel="2"/>
    <col min="21" max="21" width="9.33203125" hidden="1" customWidth="1" outlineLevel="1"/>
    <col min="22" max="25" width="9.33203125" hidden="1" customWidth="1" outlineLevel="2"/>
    <col min="26" max="26" width="9.33203125" hidden="1" customWidth="1" outlineLevel="1"/>
    <col min="27" max="30" width="9.33203125" hidden="1" customWidth="1" outlineLevel="2"/>
    <col min="31" max="31" width="9.33203125" hidden="1" customWidth="1" outlineLevel="1"/>
    <col min="32" max="35" width="9.33203125" hidden="1" customWidth="1" outlineLevel="2"/>
    <col min="36" max="36" width="9.33203125" hidden="1" customWidth="1" outlineLevel="1"/>
    <col min="37" max="40" width="9.33203125" hidden="1" customWidth="1" outlineLevel="2"/>
    <col min="41" max="46" width="9.33203125" hidden="1" customWidth="1" outlineLevel="1"/>
    <col min="47" max="50" width="9.33203125" hidden="1" customWidth="1" outlineLevel="2"/>
    <col min="51" max="51" width="9.33203125" collapsed="1"/>
    <col min="52" max="55" width="9.33203125" hidden="1" customWidth="1" outlineLevel="1"/>
    <col min="56" max="56" width="9.33203125" collapsed="1"/>
    <col min="57" max="60" width="9.33203125" hidden="1" customWidth="1" outlineLevel="1"/>
    <col min="61" max="61" width="9.33203125" collapsed="1"/>
    <col min="62" max="65" width="9.33203125" hidden="1" customWidth="1" outlineLevel="1"/>
    <col min="66" max="66" width="9.33203125" collapsed="1"/>
    <col min="67" max="70" width="9.33203125" hidden="1" customWidth="1" outlineLevel="1"/>
    <col min="71" max="71" width="9.33203125" collapsed="1"/>
    <col min="72" max="75" width="9.33203125" hidden="1" customWidth="1" outlineLevel="1"/>
    <col min="76" max="76" width="9.33203125" collapsed="1"/>
    <col min="77" max="80" width="9.33203125" hidden="1" customWidth="1" outlineLevel="1"/>
    <col min="81" max="81" width="9.33203125" collapsed="1"/>
    <col min="82" max="85" width="9.33203125" hidden="1" customWidth="1" outlineLevel="1"/>
    <col min="86" max="86" width="9.33203125" customWidth="1" collapsed="1"/>
    <col min="87" max="90" width="9.33203125" hidden="1" customWidth="1" outlineLevel="1"/>
    <col min="91" max="91" width="9.33203125" customWidth="1" collapsed="1"/>
    <col min="92" max="95" width="9.33203125" hidden="1" customWidth="1" outlineLevel="1"/>
    <col min="96" max="96" width="9.33203125" customWidth="1" collapsed="1"/>
    <col min="97" max="100" width="9.33203125" hidden="1" customWidth="1" outlineLevel="1"/>
    <col min="101" max="101" width="9.33203125" customWidth="1" collapsed="1"/>
    <col min="102" max="105" width="9.33203125" customWidth="1" outlineLevel="1"/>
    <col min="106" max="106" width="9.33203125" customWidth="1"/>
    <col min="107" max="110" width="9.33203125" hidden="1" customWidth="1" outlineLevel="1"/>
    <col min="111" max="111" width="9.33203125" customWidth="1" collapsed="1"/>
    <col min="112" max="115" width="9.33203125" hidden="1" customWidth="1" outlineLevel="1"/>
    <col min="116" max="116" width="9.33203125" customWidth="1" collapsed="1"/>
    <col min="117" max="118" width="1.83203125" customWidth="1"/>
    <col min="119" max="122" width="9.33203125" hidden="1" customWidth="1" outlineLevel="1"/>
    <col min="123" max="123" width="2.83203125" customWidth="1" collapsed="1"/>
    <col min="124" max="124" width="2.83203125" customWidth="1"/>
    <col min="125" max="130" width="10.83203125" customWidth="1"/>
    <col min="131" max="131" width="1.83203125" customWidth="1"/>
    <col min="132" max="132" width="67.6640625" bestFit="1" customWidth="1"/>
    <col min="133" max="133" width="14.1640625" bestFit="1" customWidth="1"/>
    <col min="134" max="134" width="38.33203125" bestFit="1" customWidth="1"/>
    <col min="135" max="135" width="12.83203125" bestFit="1" customWidth="1"/>
    <col min="136" max="136" width="20.83203125" bestFit="1" customWidth="1"/>
    <col min="137" max="137" width="11.1640625" bestFit="1" customWidth="1"/>
  </cols>
  <sheetData>
    <row r="1" spans="1:138" ht="12.75" customHeight="1" x14ac:dyDescent="0.2">
      <c r="A1" s="979" t="s">
        <v>433</v>
      </c>
      <c r="B1" s="192">
        <v>2000</v>
      </c>
      <c r="C1" s="192"/>
      <c r="D1" s="192"/>
      <c r="E1" s="192"/>
      <c r="F1" s="193" t="s">
        <v>281</v>
      </c>
      <c r="G1" s="192">
        <v>2001</v>
      </c>
      <c r="H1" s="192"/>
      <c r="I1" s="192"/>
      <c r="J1" s="192"/>
      <c r="K1" s="193" t="s">
        <v>281</v>
      </c>
      <c r="L1" s="192">
        <v>2002</v>
      </c>
      <c r="M1" s="192"/>
      <c r="N1" s="192"/>
      <c r="O1" s="192"/>
      <c r="P1" s="193" t="s">
        <v>281</v>
      </c>
      <c r="Q1" s="192">
        <v>2003</v>
      </c>
      <c r="R1" s="192"/>
      <c r="S1" s="192"/>
      <c r="T1" s="192"/>
      <c r="U1" s="193" t="s">
        <v>281</v>
      </c>
      <c r="V1" s="192">
        <v>2004</v>
      </c>
      <c r="W1" s="192"/>
      <c r="X1" s="192"/>
      <c r="Y1" s="192"/>
      <c r="Z1" s="193" t="s">
        <v>281</v>
      </c>
      <c r="AA1" s="192">
        <v>2005</v>
      </c>
      <c r="AB1" s="192"/>
      <c r="AC1" s="192"/>
      <c r="AD1" s="192"/>
      <c r="AE1" s="193" t="s">
        <v>281</v>
      </c>
      <c r="AF1" s="192">
        <v>2006</v>
      </c>
      <c r="AG1" s="192"/>
      <c r="AH1" s="192"/>
      <c r="AI1" s="192"/>
      <c r="AJ1" s="193" t="s">
        <v>281</v>
      </c>
      <c r="AK1" s="192">
        <v>2007</v>
      </c>
      <c r="AL1" s="192"/>
      <c r="AM1" s="192"/>
      <c r="AN1" s="192"/>
      <c r="AO1" s="193" t="s">
        <v>281</v>
      </c>
      <c r="AP1" s="981" t="s">
        <v>61</v>
      </c>
      <c r="AQ1" s="982"/>
      <c r="AR1" s="982"/>
      <c r="AS1" s="982"/>
      <c r="AT1" s="983"/>
      <c r="AU1" s="6"/>
      <c r="AV1" s="6"/>
      <c r="AW1" s="6">
        <v>2008</v>
      </c>
      <c r="AX1" s="6"/>
      <c r="AY1" s="269" t="s">
        <v>319</v>
      </c>
      <c r="AZ1" s="192"/>
      <c r="BA1" s="192"/>
      <c r="BB1" s="192">
        <v>2009</v>
      </c>
      <c r="BC1" s="192"/>
      <c r="BD1" s="193" t="s">
        <v>281</v>
      </c>
      <c r="BE1" s="192">
        <v>2010</v>
      </c>
      <c r="BF1" s="192"/>
      <c r="BG1" s="192"/>
      <c r="BH1" s="192"/>
      <c r="BI1" s="193" t="s">
        <v>281</v>
      </c>
      <c r="BJ1" s="192">
        <v>2011</v>
      </c>
      <c r="BK1" s="192"/>
      <c r="BL1" s="192"/>
      <c r="BM1" s="192"/>
      <c r="BN1" s="312" t="s">
        <v>281</v>
      </c>
      <c r="BO1" s="593">
        <v>2012</v>
      </c>
      <c r="BP1" s="192"/>
      <c r="BQ1" s="192"/>
      <c r="BR1" s="192"/>
      <c r="BS1" s="193" t="s">
        <v>281</v>
      </c>
      <c r="BT1" s="192">
        <v>2013</v>
      </c>
      <c r="BU1" s="192"/>
      <c r="BV1" s="192"/>
      <c r="BW1" s="192"/>
      <c r="BX1" s="193" t="s">
        <v>281</v>
      </c>
      <c r="BY1" s="192">
        <v>2014</v>
      </c>
      <c r="BZ1" s="192"/>
      <c r="CA1" s="192"/>
      <c r="CB1" s="192"/>
      <c r="CC1" s="193" t="s">
        <v>281</v>
      </c>
      <c r="CD1" s="192">
        <v>2015</v>
      </c>
      <c r="CE1" s="192"/>
      <c r="CF1" s="192"/>
      <c r="CG1" s="192"/>
      <c r="CH1" s="193" t="s">
        <v>281</v>
      </c>
      <c r="CI1" s="192">
        <v>2016</v>
      </c>
      <c r="CJ1" s="192"/>
      <c r="CK1" s="192"/>
      <c r="CL1" s="192"/>
      <c r="CM1" s="193" t="s">
        <v>281</v>
      </c>
      <c r="CN1" s="192">
        <v>2017</v>
      </c>
      <c r="CO1" s="192"/>
      <c r="CP1" s="192"/>
      <c r="CQ1" s="192"/>
      <c r="CR1" s="193" t="s">
        <v>281</v>
      </c>
      <c r="CS1" s="915">
        <v>2017</v>
      </c>
      <c r="CT1" s="915"/>
      <c r="CU1" s="915"/>
      <c r="CV1" s="915"/>
      <c r="CW1" s="916" t="s">
        <v>281</v>
      </c>
      <c r="CX1" s="192">
        <v>2018</v>
      </c>
      <c r="CY1" s="192"/>
      <c r="CZ1" s="192"/>
      <c r="DA1" s="192"/>
      <c r="DB1" s="193" t="s">
        <v>281</v>
      </c>
      <c r="DC1" s="192"/>
      <c r="DD1" s="192"/>
      <c r="DE1" s="192"/>
      <c r="DF1" s="192"/>
      <c r="DG1" s="193" t="s">
        <v>281</v>
      </c>
      <c r="DH1" s="192"/>
      <c r="DI1" s="192"/>
      <c r="DJ1" s="192"/>
      <c r="DK1" s="192"/>
      <c r="DL1" s="193" t="s">
        <v>281</v>
      </c>
      <c r="DM1" s="494"/>
      <c r="DN1" s="494"/>
      <c r="DO1" s="485" t="s">
        <v>197</v>
      </c>
      <c r="DP1" s="412" t="s">
        <v>198</v>
      </c>
      <c r="DQ1" s="412" t="s">
        <v>199</v>
      </c>
      <c r="DR1" s="412" t="s">
        <v>200</v>
      </c>
      <c r="DS1" s="550" t="s">
        <v>418</v>
      </c>
      <c r="DT1" s="552"/>
      <c r="DU1" s="551"/>
      <c r="DV1" s="551"/>
      <c r="DW1" s="551"/>
      <c r="DX1" s="551"/>
      <c r="DY1" s="551"/>
      <c r="DZ1" s="551"/>
      <c r="EA1" s="494"/>
      <c r="EH1" s="8"/>
    </row>
    <row r="2" spans="1:138" ht="12.75" customHeight="1" x14ac:dyDescent="0.2">
      <c r="A2" s="980"/>
      <c r="B2" s="194" t="s">
        <v>441</v>
      </c>
      <c r="C2" s="194" t="s">
        <v>442</v>
      </c>
      <c r="D2" s="194" t="s">
        <v>159</v>
      </c>
      <c r="E2" s="194" t="s">
        <v>160</v>
      </c>
      <c r="F2" s="195" t="s">
        <v>90</v>
      </c>
      <c r="G2" s="194" t="s">
        <v>441</v>
      </c>
      <c r="H2" s="194" t="s">
        <v>442</v>
      </c>
      <c r="I2" s="194" t="s">
        <v>159</v>
      </c>
      <c r="J2" s="194" t="s">
        <v>160</v>
      </c>
      <c r="K2" s="195" t="s">
        <v>89</v>
      </c>
      <c r="L2" s="194" t="s">
        <v>441</v>
      </c>
      <c r="M2" s="194" t="s">
        <v>442</v>
      </c>
      <c r="N2" s="194" t="s">
        <v>159</v>
      </c>
      <c r="O2" s="194" t="s">
        <v>160</v>
      </c>
      <c r="P2" s="195" t="s">
        <v>88</v>
      </c>
      <c r="Q2" s="194" t="s">
        <v>441</v>
      </c>
      <c r="R2" s="194" t="s">
        <v>442</v>
      </c>
      <c r="S2" s="194" t="s">
        <v>159</v>
      </c>
      <c r="T2" s="194" t="s">
        <v>160</v>
      </c>
      <c r="U2" s="195" t="s">
        <v>87</v>
      </c>
      <c r="V2" s="194" t="s">
        <v>441</v>
      </c>
      <c r="W2" s="194" t="s">
        <v>442</v>
      </c>
      <c r="X2" s="194" t="s">
        <v>159</v>
      </c>
      <c r="Y2" s="194" t="s">
        <v>160</v>
      </c>
      <c r="Z2" s="195" t="s">
        <v>86</v>
      </c>
      <c r="AA2" s="194" t="s">
        <v>441</v>
      </c>
      <c r="AB2" s="194" t="s">
        <v>442</v>
      </c>
      <c r="AC2" s="194" t="s">
        <v>159</v>
      </c>
      <c r="AD2" s="194" t="s">
        <v>160</v>
      </c>
      <c r="AE2" s="195" t="s">
        <v>85</v>
      </c>
      <c r="AF2" s="194" t="s">
        <v>441</v>
      </c>
      <c r="AG2" s="194" t="s">
        <v>442</v>
      </c>
      <c r="AH2" s="194" t="s">
        <v>159</v>
      </c>
      <c r="AI2" s="194" t="s">
        <v>160</v>
      </c>
      <c r="AJ2" s="195" t="s">
        <v>84</v>
      </c>
      <c r="AK2" s="194" t="s">
        <v>441</v>
      </c>
      <c r="AL2" s="194" t="s">
        <v>442</v>
      </c>
      <c r="AM2" s="194" t="s">
        <v>159</v>
      </c>
      <c r="AN2" s="194" t="s">
        <v>160</v>
      </c>
      <c r="AO2" s="195" t="s">
        <v>83</v>
      </c>
      <c r="AP2" s="10" t="s">
        <v>28</v>
      </c>
      <c r="AQ2" s="10" t="s">
        <v>29</v>
      </c>
      <c r="AR2" s="10" t="s">
        <v>30</v>
      </c>
      <c r="AS2" s="10" t="s">
        <v>31</v>
      </c>
      <c r="AT2" s="11" t="s">
        <v>32</v>
      </c>
      <c r="AU2" s="12" t="s">
        <v>441</v>
      </c>
      <c r="AV2" s="12" t="s">
        <v>442</v>
      </c>
      <c r="AW2" s="12" t="s">
        <v>159</v>
      </c>
      <c r="AX2" s="12" t="s">
        <v>160</v>
      </c>
      <c r="AY2" s="270" t="s">
        <v>33</v>
      </c>
      <c r="AZ2" s="194" t="s">
        <v>441</v>
      </c>
      <c r="BA2" s="194" t="s">
        <v>442</v>
      </c>
      <c r="BB2" s="194" t="s">
        <v>159</v>
      </c>
      <c r="BC2" s="194" t="s">
        <v>160</v>
      </c>
      <c r="BD2" s="195" t="s">
        <v>268</v>
      </c>
      <c r="BE2" s="194" t="s">
        <v>441</v>
      </c>
      <c r="BF2" s="194" t="s">
        <v>442</v>
      </c>
      <c r="BG2" s="194" t="s">
        <v>159</v>
      </c>
      <c r="BH2" s="194" t="s">
        <v>160</v>
      </c>
      <c r="BI2" s="195" t="s">
        <v>258</v>
      </c>
      <c r="BJ2" s="194" t="s">
        <v>441</v>
      </c>
      <c r="BK2" s="194" t="s">
        <v>442</v>
      </c>
      <c r="BL2" s="194" t="s">
        <v>159</v>
      </c>
      <c r="BM2" s="194" t="s">
        <v>160</v>
      </c>
      <c r="BN2" s="313" t="s">
        <v>419</v>
      </c>
      <c r="BO2" s="313" t="s">
        <v>441</v>
      </c>
      <c r="BP2" s="194" t="s">
        <v>442</v>
      </c>
      <c r="BQ2" s="194" t="s">
        <v>159</v>
      </c>
      <c r="BR2" s="194" t="s">
        <v>160</v>
      </c>
      <c r="BS2" s="195" t="s">
        <v>107</v>
      </c>
      <c r="BT2" s="313" t="s">
        <v>441</v>
      </c>
      <c r="BU2" s="194" t="s">
        <v>442</v>
      </c>
      <c r="BV2" s="194" t="s">
        <v>159</v>
      </c>
      <c r="BW2" s="194" t="s">
        <v>160</v>
      </c>
      <c r="BX2" s="195" t="s">
        <v>322</v>
      </c>
      <c r="BY2" s="194" t="s">
        <v>441</v>
      </c>
      <c r="BZ2" s="194" t="s">
        <v>442</v>
      </c>
      <c r="CA2" s="194" t="s">
        <v>159</v>
      </c>
      <c r="CB2" s="194" t="s">
        <v>160</v>
      </c>
      <c r="CC2" s="195" t="s">
        <v>443</v>
      </c>
      <c r="CD2" s="194" t="s">
        <v>441</v>
      </c>
      <c r="CE2" s="194" t="s">
        <v>442</v>
      </c>
      <c r="CF2" s="194" t="s">
        <v>159</v>
      </c>
      <c r="CG2" s="194" t="s">
        <v>160</v>
      </c>
      <c r="CH2" s="195" t="s">
        <v>523</v>
      </c>
      <c r="CI2" s="194" t="s">
        <v>441</v>
      </c>
      <c r="CJ2" s="194" t="s">
        <v>442</v>
      </c>
      <c r="CK2" s="194" t="s">
        <v>159</v>
      </c>
      <c r="CL2" s="194" t="s">
        <v>160</v>
      </c>
      <c r="CM2" s="195" t="s">
        <v>545</v>
      </c>
      <c r="CN2" s="194" t="s">
        <v>441</v>
      </c>
      <c r="CO2" s="194" t="s">
        <v>442</v>
      </c>
      <c r="CP2" s="194" t="s">
        <v>159</v>
      </c>
      <c r="CQ2" s="194" t="s">
        <v>160</v>
      </c>
      <c r="CR2" s="195">
        <v>2017</v>
      </c>
      <c r="CS2" s="917" t="s">
        <v>441</v>
      </c>
      <c r="CT2" s="917" t="s">
        <v>442</v>
      </c>
      <c r="CU2" s="917" t="s">
        <v>159</v>
      </c>
      <c r="CV2" s="917" t="s">
        <v>160</v>
      </c>
      <c r="CW2" s="918">
        <v>2017</v>
      </c>
      <c r="CX2" s="194" t="s">
        <v>441</v>
      </c>
      <c r="CY2" s="194" t="s">
        <v>557</v>
      </c>
      <c r="CZ2" s="194" t="s">
        <v>558</v>
      </c>
      <c r="DA2" s="194" t="s">
        <v>275</v>
      </c>
      <c r="DB2" s="195" t="s">
        <v>517</v>
      </c>
      <c r="DC2" s="194"/>
      <c r="DD2" s="194"/>
      <c r="DE2" s="194"/>
      <c r="DF2" s="194"/>
      <c r="DG2" s="195" t="s">
        <v>527</v>
      </c>
      <c r="DH2" s="194"/>
      <c r="DI2" s="194"/>
      <c r="DJ2" s="194"/>
      <c r="DK2" s="194"/>
      <c r="DL2" s="195" t="s">
        <v>546</v>
      </c>
      <c r="DM2" s="495"/>
      <c r="DN2" s="495"/>
      <c r="DO2" s="312" t="s">
        <v>201</v>
      </c>
      <c r="DP2" s="404" t="s">
        <v>201</v>
      </c>
      <c r="DQ2" s="404" t="s">
        <v>201</v>
      </c>
      <c r="DR2" s="404" t="s">
        <v>201</v>
      </c>
      <c r="DS2" s="552"/>
      <c r="DT2" s="552"/>
      <c r="DU2" s="551"/>
      <c r="DV2" s="551"/>
      <c r="DW2" s="551"/>
      <c r="DX2" s="551"/>
      <c r="DY2" s="551"/>
      <c r="DZ2" s="551"/>
      <c r="EA2" s="495"/>
      <c r="EH2" s="8"/>
    </row>
    <row r="3" spans="1:138" ht="12.75" customHeight="1" x14ac:dyDescent="0.2">
      <c r="A3" s="4" t="s">
        <v>243</v>
      </c>
      <c r="B3" s="13"/>
      <c r="C3" s="14"/>
      <c r="D3" s="14"/>
      <c r="E3" s="14"/>
      <c r="F3" s="196"/>
      <c r="G3" s="13"/>
      <c r="H3" s="13"/>
      <c r="I3" s="13"/>
      <c r="J3" s="13"/>
      <c r="K3" s="196"/>
      <c r="L3" s="13"/>
      <c r="M3" s="13"/>
      <c r="N3" s="13"/>
      <c r="O3" s="13"/>
      <c r="P3" s="196"/>
      <c r="Q3" s="13"/>
      <c r="R3" s="13"/>
      <c r="S3" s="13"/>
      <c r="T3" s="13"/>
      <c r="U3" s="196"/>
      <c r="V3" s="13"/>
      <c r="W3" s="13"/>
      <c r="X3" s="13"/>
      <c r="Y3" s="13"/>
      <c r="Z3" s="196"/>
      <c r="AA3" s="13"/>
      <c r="AB3" s="13"/>
      <c r="AC3" s="13"/>
      <c r="AD3" s="13"/>
      <c r="AE3" s="196"/>
      <c r="AF3" s="13"/>
      <c r="AG3" s="13"/>
      <c r="AH3" s="13"/>
      <c r="AI3" s="13"/>
      <c r="AJ3" s="196"/>
      <c r="AK3" s="14"/>
      <c r="AL3" s="14"/>
      <c r="AM3" s="14"/>
      <c r="AN3" s="14"/>
      <c r="AO3" s="196"/>
      <c r="AP3" s="15"/>
      <c r="AQ3" s="15"/>
      <c r="AR3" s="15"/>
      <c r="AS3" s="15"/>
      <c r="AT3" s="16"/>
      <c r="AU3" s="15"/>
      <c r="AV3" s="15"/>
      <c r="AW3" s="15"/>
      <c r="AX3" s="15"/>
      <c r="AY3" s="271"/>
      <c r="AZ3" s="15"/>
      <c r="BA3" s="15"/>
      <c r="BB3" s="15"/>
      <c r="BC3" s="15"/>
      <c r="BD3" s="271"/>
      <c r="BE3" s="15"/>
      <c r="BF3" s="15"/>
      <c r="BG3" s="15"/>
      <c r="BH3" s="15"/>
      <c r="BI3" s="271"/>
      <c r="BJ3" s="15"/>
      <c r="BK3" s="15"/>
      <c r="BL3" s="15"/>
      <c r="BM3" s="15"/>
      <c r="BN3" s="314"/>
      <c r="BO3" s="314"/>
      <c r="BP3" s="15"/>
      <c r="BQ3" s="15"/>
      <c r="BR3" s="15"/>
      <c r="BS3" s="271"/>
      <c r="BT3" s="314"/>
      <c r="BU3" s="15"/>
      <c r="BV3" s="15"/>
      <c r="BW3" s="15"/>
      <c r="BX3" s="271"/>
      <c r="BY3" s="15"/>
      <c r="BZ3" s="15"/>
      <c r="CA3" s="15"/>
      <c r="CB3" s="15"/>
      <c r="CC3" s="271"/>
      <c r="CD3" s="15"/>
      <c r="CE3" s="15"/>
      <c r="CF3" s="15"/>
      <c r="CG3" s="15"/>
      <c r="CH3" s="271"/>
      <c r="CI3" s="15"/>
      <c r="CJ3" s="15"/>
      <c r="CK3" s="15"/>
      <c r="CL3" s="15"/>
      <c r="CM3" s="271"/>
      <c r="CN3" s="15"/>
      <c r="CO3" s="15"/>
      <c r="CP3" s="15"/>
      <c r="CQ3" s="15"/>
      <c r="CR3" s="271"/>
      <c r="CS3" s="15"/>
      <c r="CT3" s="15"/>
      <c r="CU3" s="15"/>
      <c r="CV3" s="15"/>
      <c r="CW3" s="271"/>
      <c r="CX3" s="15"/>
      <c r="CY3" s="15"/>
      <c r="CZ3" s="15"/>
      <c r="DA3" s="15"/>
      <c r="DB3" s="271"/>
      <c r="DC3" s="15"/>
      <c r="DD3" s="15"/>
      <c r="DE3" s="15"/>
      <c r="DF3" s="15"/>
      <c r="DG3" s="271"/>
      <c r="DH3" s="15"/>
      <c r="DI3" s="15"/>
      <c r="DJ3" s="15"/>
      <c r="DK3" s="15"/>
      <c r="DL3" s="271"/>
      <c r="DM3" s="15"/>
      <c r="DN3" s="15"/>
      <c r="DO3" s="486"/>
      <c r="DP3" s="411"/>
      <c r="DQ3" s="411"/>
      <c r="DR3" s="411"/>
      <c r="DS3" s="553"/>
      <c r="DT3" s="553"/>
      <c r="DU3" s="457"/>
      <c r="DV3" s="671"/>
      <c r="DW3" s="457"/>
      <c r="DX3" s="671"/>
      <c r="DY3" s="457"/>
      <c r="DZ3" s="457"/>
      <c r="EA3" s="15"/>
      <c r="EH3" s="8"/>
    </row>
    <row r="4" spans="1:138" ht="12.75" customHeight="1" x14ac:dyDescent="0.2">
      <c r="A4" s="5" t="s">
        <v>337</v>
      </c>
      <c r="B4" s="5"/>
      <c r="C4" s="5"/>
      <c r="D4" s="5"/>
      <c r="E4" s="5"/>
      <c r="F4" s="197"/>
      <c r="G4" s="5"/>
      <c r="H4" s="5"/>
      <c r="I4" s="5"/>
      <c r="J4" s="5"/>
      <c r="K4" s="197"/>
      <c r="L4" s="5"/>
      <c r="M4" s="5"/>
      <c r="N4" s="5"/>
      <c r="O4" s="617"/>
      <c r="P4" s="197"/>
      <c r="Q4" s="5"/>
      <c r="R4" s="5"/>
      <c r="S4" s="5"/>
      <c r="T4" s="5"/>
      <c r="U4" s="197"/>
      <c r="V4" s="5"/>
      <c r="W4" s="5"/>
      <c r="X4" s="5"/>
      <c r="Y4" s="5"/>
      <c r="Z4" s="197"/>
      <c r="AA4" s="5"/>
      <c r="AB4" s="5"/>
      <c r="AC4" s="5"/>
      <c r="AD4" s="5"/>
      <c r="AE4" s="197"/>
      <c r="AF4" s="5"/>
      <c r="AG4" s="5"/>
      <c r="AH4" s="5"/>
      <c r="AI4" s="5"/>
      <c r="AJ4" s="197"/>
      <c r="AK4" s="5"/>
      <c r="AL4" s="5"/>
      <c r="AM4" s="5"/>
      <c r="AN4" s="5"/>
      <c r="AO4" s="197"/>
      <c r="AP4" s="5"/>
      <c r="AQ4" s="5"/>
      <c r="AR4" s="5"/>
      <c r="AS4" s="5"/>
      <c r="AT4" s="5"/>
      <c r="AU4" s="5"/>
      <c r="AV4" s="5"/>
      <c r="AW4" s="5"/>
      <c r="AX4" s="5"/>
      <c r="AY4" s="197"/>
      <c r="AZ4" s="5"/>
      <c r="BA4" s="5"/>
      <c r="BB4" s="5"/>
      <c r="BC4" s="5"/>
      <c r="BD4" s="197"/>
      <c r="BE4" s="5"/>
      <c r="BF4" s="5"/>
      <c r="BG4" s="5"/>
      <c r="BH4" s="5"/>
      <c r="BI4" s="197"/>
      <c r="BJ4" s="5"/>
      <c r="BK4" s="5"/>
      <c r="BL4" s="5"/>
      <c r="BM4" s="5"/>
      <c r="BN4" s="315"/>
      <c r="BO4" s="315"/>
      <c r="BP4" s="5"/>
      <c r="BQ4" s="5"/>
      <c r="BR4" s="5"/>
      <c r="BS4" s="197"/>
      <c r="BT4" s="315"/>
      <c r="BU4" s="5"/>
      <c r="BV4" s="5"/>
      <c r="BW4" s="5"/>
      <c r="BX4" s="197"/>
      <c r="BY4" s="5"/>
      <c r="BZ4" s="5"/>
      <c r="CA4" s="5"/>
      <c r="CB4" s="5"/>
      <c r="CC4" s="197"/>
      <c r="CD4" s="5"/>
      <c r="CE4" s="5"/>
      <c r="CF4" s="5"/>
      <c r="CG4" s="5"/>
      <c r="CH4" s="197"/>
      <c r="CI4" s="5"/>
      <c r="CJ4" s="5"/>
      <c r="CK4" s="5"/>
      <c r="CL4" s="5"/>
      <c r="CM4" s="197"/>
      <c r="CN4" s="5"/>
      <c r="CO4" s="5"/>
      <c r="CP4" s="5"/>
      <c r="CQ4" s="5"/>
      <c r="CR4" s="197"/>
      <c r="CS4" s="5"/>
      <c r="CT4" s="5"/>
      <c r="CU4" s="5"/>
      <c r="CV4" s="5"/>
      <c r="CW4" s="197"/>
      <c r="CX4" s="5"/>
      <c r="CY4" s="5"/>
      <c r="CZ4" s="5"/>
      <c r="DA4" s="5"/>
      <c r="DB4" s="197"/>
      <c r="DC4" s="5"/>
      <c r="DD4" s="5"/>
      <c r="DE4" s="5"/>
      <c r="DF4" s="5"/>
      <c r="DG4" s="197"/>
      <c r="DH4" s="5"/>
      <c r="DI4" s="5"/>
      <c r="DJ4" s="5"/>
      <c r="DK4" s="5"/>
      <c r="DL4" s="197"/>
      <c r="DM4" s="5"/>
      <c r="DN4" s="4"/>
      <c r="DO4" s="487"/>
      <c r="DP4" s="413"/>
      <c r="DQ4" s="413"/>
      <c r="DR4" s="413"/>
      <c r="DS4" s="554"/>
      <c r="DT4" s="554"/>
      <c r="DU4" s="814"/>
      <c r="DV4" s="671"/>
      <c r="DW4" s="835"/>
      <c r="DX4" s="671"/>
      <c r="DY4" s="835"/>
      <c r="DZ4" s="458"/>
      <c r="EA4" s="4"/>
      <c r="EH4" s="5"/>
    </row>
    <row r="5" spans="1:138" ht="12.75" customHeight="1" x14ac:dyDescent="0.2">
      <c r="A5" s="17" t="s">
        <v>338</v>
      </c>
      <c r="B5" s="888"/>
      <c r="C5" s="888"/>
      <c r="D5" s="888"/>
      <c r="E5" s="888"/>
      <c r="F5" s="198"/>
      <c r="G5" s="888"/>
      <c r="H5" s="888"/>
      <c r="I5" s="888"/>
      <c r="J5" s="888"/>
      <c r="K5" s="198"/>
      <c r="L5" s="888"/>
      <c r="M5" s="888"/>
      <c r="N5" s="888"/>
      <c r="O5" s="888"/>
      <c r="P5" s="198"/>
      <c r="Q5" s="888"/>
      <c r="R5" s="888"/>
      <c r="S5" s="888"/>
      <c r="T5" s="888"/>
      <c r="U5" s="198"/>
      <c r="V5" s="888"/>
      <c r="W5" s="888"/>
      <c r="X5" s="888"/>
      <c r="Y5" s="888"/>
      <c r="Z5" s="198"/>
      <c r="AA5" s="888"/>
      <c r="AB5" s="888"/>
      <c r="AC5" s="888"/>
      <c r="AD5" s="888"/>
      <c r="AE5" s="198"/>
      <c r="AF5" s="888">
        <v>20790.075000000001</v>
      </c>
      <c r="AG5" s="888">
        <v>21052.023000000001</v>
      </c>
      <c r="AH5" s="888">
        <v>21239.977999999999</v>
      </c>
      <c r="AI5" s="888">
        <v>19703.287</v>
      </c>
      <c r="AJ5" s="198">
        <f>SUM(AF5:AI5)</f>
        <v>82785.362999999998</v>
      </c>
      <c r="AK5" s="888">
        <v>18925.48</v>
      </c>
      <c r="AL5" s="888">
        <v>19501.888999999999</v>
      </c>
      <c r="AM5" s="888">
        <v>20601.097000000002</v>
      </c>
      <c r="AN5" s="888">
        <v>19439.138999999999</v>
      </c>
      <c r="AO5" s="198">
        <f>SUM(AK5:AN5)</f>
        <v>78467.604999999996</v>
      </c>
      <c r="AP5" s="868">
        <v>31512.241000000002</v>
      </c>
      <c r="AQ5" s="888">
        <v>32286.510999999999</v>
      </c>
      <c r="AR5" s="888">
        <v>33051.433000000005</v>
      </c>
      <c r="AS5" s="888">
        <v>31299</v>
      </c>
      <c r="AT5" s="272">
        <v>128149.105</v>
      </c>
      <c r="AU5" s="888">
        <v>30233</v>
      </c>
      <c r="AV5" s="888">
        <v>29852.385999999999</v>
      </c>
      <c r="AW5" s="888">
        <v>29682</v>
      </c>
      <c r="AX5" s="888">
        <v>26947</v>
      </c>
      <c r="AY5" s="272">
        <f>SUM(AU5:AX5)</f>
        <v>116714.386</v>
      </c>
      <c r="AZ5" s="868">
        <v>26093.542000000001</v>
      </c>
      <c r="BA5" s="888">
        <v>27358</v>
      </c>
      <c r="BB5" s="888">
        <v>28506.182000000004</v>
      </c>
      <c r="BC5" s="888">
        <v>25600</v>
      </c>
      <c r="BD5" s="198">
        <f>SUM(AZ5:BC5)</f>
        <v>107557.724</v>
      </c>
      <c r="BE5" s="868">
        <v>24996.877</v>
      </c>
      <c r="BF5" s="888">
        <v>27410.116999999998</v>
      </c>
      <c r="BG5" s="888">
        <v>29512.562000000074</v>
      </c>
      <c r="BH5" s="888">
        <v>26934.273000000001</v>
      </c>
      <c r="BI5" s="198">
        <f>SUM(BE5:BH5)</f>
        <v>108853.82900000007</v>
      </c>
      <c r="BJ5" s="868">
        <v>25586.46</v>
      </c>
      <c r="BK5" s="888">
        <v>27361.31</v>
      </c>
      <c r="BL5" s="888">
        <v>28472.653999999999</v>
      </c>
      <c r="BM5" s="888">
        <v>25986.327000000001</v>
      </c>
      <c r="BN5" s="316">
        <f>SUM(BJ5:BM5)</f>
        <v>107406.751</v>
      </c>
      <c r="BO5" s="868">
        <v>24881</v>
      </c>
      <c r="BP5" s="888">
        <v>27176</v>
      </c>
      <c r="BQ5" s="888">
        <v>28858</v>
      </c>
      <c r="BR5" s="888">
        <v>26258</v>
      </c>
      <c r="BS5" s="198">
        <f>SUM(BO5:BR5)</f>
        <v>107173</v>
      </c>
      <c r="BT5" s="868">
        <v>25169</v>
      </c>
      <c r="BU5" s="888">
        <v>27955</v>
      </c>
      <c r="BV5" s="888">
        <v>29643</v>
      </c>
      <c r="BW5" s="888">
        <v>26951</v>
      </c>
      <c r="BX5" s="198">
        <f>SUM(BT5:BW5)</f>
        <v>109718</v>
      </c>
      <c r="BY5" s="868">
        <v>25623</v>
      </c>
      <c r="BZ5" s="888">
        <v>29341.28845</v>
      </c>
      <c r="CA5" s="888">
        <v>30852.024000000001</v>
      </c>
      <c r="CB5" s="888">
        <v>28362.903999999999</v>
      </c>
      <c r="CC5" s="773">
        <f>SUM(BY5:CB5)</f>
        <v>114179.21644999999</v>
      </c>
      <c r="CD5" s="868">
        <v>27419.710999999999</v>
      </c>
      <c r="CE5" s="888">
        <v>31096.215</v>
      </c>
      <c r="CF5" s="888">
        <v>32794.273999999998</v>
      </c>
      <c r="CG5" s="888">
        <v>29783.593000000001</v>
      </c>
      <c r="CH5" s="773">
        <f>SUM(CD5:CG5)</f>
        <v>121093.79300000001</v>
      </c>
      <c r="CI5" s="868">
        <v>29603.342000000001</v>
      </c>
      <c r="CJ5" s="888">
        <v>32855.572999999997</v>
      </c>
      <c r="CK5" s="888">
        <v>34213.906999999999</v>
      </c>
      <c r="CL5" s="888">
        <v>30760.328000000001</v>
      </c>
      <c r="CM5" s="773">
        <f>SUM(CI5:CL5)</f>
        <v>127433.15</v>
      </c>
      <c r="CN5" s="868">
        <v>30216.880000000001</v>
      </c>
      <c r="CO5" s="888">
        <v>33685.262999999999</v>
      </c>
      <c r="CP5" s="888">
        <v>35744.409</v>
      </c>
      <c r="CQ5" s="888">
        <v>28028.661</v>
      </c>
      <c r="CR5" s="773">
        <f>SUM(CN5:CQ5)</f>
        <v>127675.21299999999</v>
      </c>
      <c r="CS5" s="868">
        <v>30216.880000000001</v>
      </c>
      <c r="CT5" s="888">
        <v>33685.262999999999</v>
      </c>
      <c r="CU5" s="888">
        <v>35744.409</v>
      </c>
      <c r="CV5" s="888">
        <v>28028.661</v>
      </c>
      <c r="CW5" s="773">
        <f>SUM(CS5:CV5)</f>
        <v>127675.21299999999</v>
      </c>
      <c r="CX5" s="955">
        <v>28028.661</v>
      </c>
      <c r="CY5" s="782">
        <f>CT5*(1+CY6)</f>
        <v>35706.378779999999</v>
      </c>
      <c r="CZ5" s="782">
        <f>CU5*(1+CZ6)</f>
        <v>37889.073540000005</v>
      </c>
      <c r="DA5" s="782">
        <f>CV5*(1+DA6)</f>
        <v>29710.380660000003</v>
      </c>
      <c r="DB5" s="773">
        <f>SUM(CX5:DA5)</f>
        <v>131334.49398</v>
      </c>
      <c r="DC5" s="782"/>
      <c r="DD5" s="782"/>
      <c r="DE5" s="782"/>
      <c r="DF5" s="782"/>
      <c r="DG5" s="773">
        <f>DB5*(1+DG6)</f>
        <v>137244.54620909999</v>
      </c>
      <c r="DH5" s="782"/>
      <c r="DI5" s="782"/>
      <c r="DJ5" s="782"/>
      <c r="DK5" s="782"/>
      <c r="DL5" s="773">
        <f>DG5*(1+DL6)</f>
        <v>143420.55078850948</v>
      </c>
      <c r="DM5" s="18"/>
      <c r="DN5" s="496"/>
      <c r="DO5" s="486"/>
      <c r="DP5" s="411"/>
      <c r="DQ5" s="411"/>
      <c r="DR5" s="411"/>
      <c r="DS5" s="555"/>
      <c r="DT5" s="554"/>
      <c r="DU5" s="473"/>
      <c r="DV5" s="826">
        <v>2015</v>
      </c>
      <c r="DW5" s="826">
        <v>2016</v>
      </c>
      <c r="DX5" s="673">
        <v>2017</v>
      </c>
      <c r="DY5" s="673">
        <v>2018</v>
      </c>
      <c r="DZ5" s="673">
        <v>2019</v>
      </c>
      <c r="EA5" s="496"/>
      <c r="EH5" s="188"/>
    </row>
    <row r="6" spans="1:138" ht="12.75" customHeight="1" x14ac:dyDescent="0.2">
      <c r="A6" s="142" t="s">
        <v>244</v>
      </c>
      <c r="B6" s="780"/>
      <c r="C6" s="780"/>
      <c r="D6" s="780"/>
      <c r="E6" s="780"/>
      <c r="F6" s="201"/>
      <c r="G6" s="780"/>
      <c r="H6" s="780"/>
      <c r="I6" s="780"/>
      <c r="J6" s="780"/>
      <c r="K6" s="201"/>
      <c r="L6" s="780"/>
      <c r="M6" s="780"/>
      <c r="N6" s="780"/>
      <c r="O6" s="780"/>
      <c r="P6" s="201"/>
      <c r="Q6" s="780"/>
      <c r="R6" s="780"/>
      <c r="S6" s="780"/>
      <c r="T6" s="780"/>
      <c r="U6" s="201"/>
      <c r="V6" s="780"/>
      <c r="W6" s="780"/>
      <c r="X6" s="780"/>
      <c r="Y6" s="780"/>
      <c r="Z6" s="201"/>
      <c r="AA6" s="780"/>
      <c r="AB6" s="780"/>
      <c r="AC6" s="780"/>
      <c r="AD6" s="780"/>
      <c r="AE6" s="201"/>
      <c r="AF6" s="780"/>
      <c r="AG6" s="780"/>
      <c r="AH6" s="780"/>
      <c r="AI6" s="780"/>
      <c r="AJ6" s="201"/>
      <c r="AK6" s="780">
        <f>AK5/AF5-1</f>
        <v>-8.9686785641706512E-2</v>
      </c>
      <c r="AL6" s="780">
        <f>AL5/AG5-1</f>
        <v>-7.3633493560215202E-2</v>
      </c>
      <c r="AM6" s="780">
        <f>AM5/AH5-1</f>
        <v>-3.0079174281630539E-2</v>
      </c>
      <c r="AN6" s="780">
        <f>AN5/AI5-1</f>
        <v>-1.3406291041692775E-2</v>
      </c>
      <c r="AO6" s="201">
        <f>AO5/AJ5-1</f>
        <v>-5.2156055654427713E-2</v>
      </c>
      <c r="AP6" s="779"/>
      <c r="AQ6" s="780"/>
      <c r="AR6" s="780"/>
      <c r="AS6" s="780"/>
      <c r="AT6" s="209"/>
      <c r="AU6" s="780">
        <f t="shared" ref="AU6:BQ6" si="0">AU5/AP5-1</f>
        <v>-4.0595050031509983E-2</v>
      </c>
      <c r="AV6" s="780">
        <f t="shared" si="0"/>
        <v>-7.5391391779681571E-2</v>
      </c>
      <c r="AW6" s="780">
        <f t="shared" si="0"/>
        <v>-0.10194514107754438</v>
      </c>
      <c r="AX6" s="780">
        <f t="shared" si="0"/>
        <v>-0.13904597590977352</v>
      </c>
      <c r="AY6" s="209">
        <f t="shared" si="0"/>
        <v>-8.9229799927201925E-2</v>
      </c>
      <c r="AZ6" s="779">
        <f t="shared" si="0"/>
        <v>-0.13691853272913701</v>
      </c>
      <c r="BA6" s="780">
        <f t="shared" si="0"/>
        <v>-8.3557341111695327E-2</v>
      </c>
      <c r="BB6" s="780">
        <f t="shared" si="0"/>
        <v>-3.9613840037733161E-2</v>
      </c>
      <c r="BC6" s="780">
        <f t="shared" si="0"/>
        <v>-4.9987011541173465E-2</v>
      </c>
      <c r="BD6" s="209">
        <f>BD5/AY5-1</f>
        <v>-7.8453584976234225E-2</v>
      </c>
      <c r="BE6" s="779">
        <f t="shared" si="0"/>
        <v>-4.2028215257246426E-2</v>
      </c>
      <c r="BF6" s="780">
        <f t="shared" si="0"/>
        <v>1.9050003655236569E-3</v>
      </c>
      <c r="BG6" s="780">
        <f t="shared" si="0"/>
        <v>3.5303921093328805E-2</v>
      </c>
      <c r="BH6" s="780">
        <f t="shared" si="0"/>
        <v>5.2120039062500068E-2</v>
      </c>
      <c r="BI6" s="209">
        <f>BI5/BD5-1</f>
        <v>1.2050320068134557E-2</v>
      </c>
      <c r="BJ6" s="779">
        <f t="shared" si="0"/>
        <v>2.3586266396398159E-2</v>
      </c>
      <c r="BK6" s="780">
        <f t="shared" si="0"/>
        <v>-1.7806199076055851E-3</v>
      </c>
      <c r="BL6" s="780">
        <f t="shared" si="0"/>
        <v>-3.5236114031715449E-2</v>
      </c>
      <c r="BM6" s="780">
        <f t="shared" si="0"/>
        <v>-3.5194786954153123E-2</v>
      </c>
      <c r="BN6" s="324">
        <f>BN5/BI5-1</f>
        <v>-1.329377214649996E-2</v>
      </c>
      <c r="BO6" s="779">
        <f t="shared" si="0"/>
        <v>-2.7571614048993109E-2</v>
      </c>
      <c r="BP6" s="780">
        <f t="shared" si="0"/>
        <v>-6.7727020380238256E-3</v>
      </c>
      <c r="BQ6" s="780">
        <f t="shared" si="0"/>
        <v>1.3533898174718839E-2</v>
      </c>
      <c r="BR6" s="780">
        <v>0.01</v>
      </c>
      <c r="BS6" s="209">
        <f t="shared" ref="BS6:CF6" si="1">BS5/BN5-1</f>
        <v>-2.1763157140839429E-3</v>
      </c>
      <c r="BT6" s="779">
        <f t="shared" si="1"/>
        <v>1.1575097463928374E-2</v>
      </c>
      <c r="BU6" s="780">
        <f t="shared" si="1"/>
        <v>2.8664998528113106E-2</v>
      </c>
      <c r="BV6" s="780">
        <f t="shared" si="1"/>
        <v>2.7202162312010447E-2</v>
      </c>
      <c r="BW6" s="780">
        <f t="shared" si="1"/>
        <v>2.6391956736994349E-2</v>
      </c>
      <c r="BX6" s="209">
        <f t="shared" si="1"/>
        <v>2.3746652608399588E-2</v>
      </c>
      <c r="BY6" s="779">
        <f t="shared" si="1"/>
        <v>1.8038062696173807E-2</v>
      </c>
      <c r="BZ6" s="780">
        <f t="shared" si="1"/>
        <v>4.9590000000000023E-2</v>
      </c>
      <c r="CA6" s="780">
        <f t="shared" si="1"/>
        <v>4.0786155247444666E-2</v>
      </c>
      <c r="CB6" s="780">
        <f t="shared" si="1"/>
        <v>5.2387814923379405E-2</v>
      </c>
      <c r="CC6" s="781">
        <f t="shared" si="1"/>
        <v>4.0660752565668368E-2</v>
      </c>
      <c r="CD6" s="779">
        <f t="shared" si="1"/>
        <v>7.0121024079928151E-2</v>
      </c>
      <c r="CE6" s="780">
        <f t="shared" si="1"/>
        <v>5.9810820952547417E-2</v>
      </c>
      <c r="CF6" s="780">
        <f t="shared" si="1"/>
        <v>6.2953730361418048E-2</v>
      </c>
      <c r="CG6" s="780">
        <f>CG5/CB5-1</f>
        <v>5.0089687572189456E-2</v>
      </c>
      <c r="CH6" s="781">
        <f>CH5/CC5-1</f>
        <v>6.0558977062414421E-2</v>
      </c>
      <c r="CI6" s="779">
        <f>CI5/CD5-1</f>
        <v>7.9637272617497645E-2</v>
      </c>
      <c r="CJ6" s="780">
        <f t="shared" ref="CJ6:CK6" si="2">CJ5/CE5-1</f>
        <v>5.6577882549371239E-2</v>
      </c>
      <c r="CK6" s="780">
        <f t="shared" si="2"/>
        <v>4.328905100933178E-2</v>
      </c>
      <c r="CL6" s="780">
        <f>CL5/CG5-1</f>
        <v>3.2794397908942674E-2</v>
      </c>
      <c r="CM6" s="781">
        <f>CM5/CH5-1</f>
        <v>5.2350800507173778E-2</v>
      </c>
      <c r="CN6" s="779">
        <f>CN5/CI5-1</f>
        <v>2.0725295137285604E-2</v>
      </c>
      <c r="CO6" s="780">
        <f t="shared" ref="CO6:CP6" si="3">CO5/CJ5-1</f>
        <v>2.525264130989302E-2</v>
      </c>
      <c r="CP6" s="780">
        <f t="shared" si="3"/>
        <v>4.4733330221538248E-2</v>
      </c>
      <c r="CQ6" s="780">
        <f>CQ5/CL5-1</f>
        <v>-8.8804872301751825E-2</v>
      </c>
      <c r="CR6" s="781">
        <f>CR5/CM5-1</f>
        <v>1.899529282608059E-3</v>
      </c>
      <c r="CS6" s="779">
        <f t="shared" ref="CS6:CW6" si="4">CS5/CI5-1</f>
        <v>2.0725295137285604E-2</v>
      </c>
      <c r="CT6" s="780">
        <f t="shared" si="4"/>
        <v>2.525264130989302E-2</v>
      </c>
      <c r="CU6" s="780">
        <f t="shared" si="4"/>
        <v>4.4733330221538248E-2</v>
      </c>
      <c r="CV6" s="780">
        <f t="shared" si="4"/>
        <v>-8.8804872301751825E-2</v>
      </c>
      <c r="CW6" s="781">
        <f t="shared" si="4"/>
        <v>1.899529282608059E-3</v>
      </c>
      <c r="CX6" s="779">
        <f>CX5/CS5-1</f>
        <v>-7.2417105935490445E-2</v>
      </c>
      <c r="CY6" s="784">
        <v>0.06</v>
      </c>
      <c r="CZ6" s="784">
        <v>0.06</v>
      </c>
      <c r="DA6" s="784">
        <v>0.06</v>
      </c>
      <c r="DB6" s="781">
        <f>DB5/CW5-1</f>
        <v>2.8660856669179946E-2</v>
      </c>
      <c r="DC6" s="780"/>
      <c r="DD6" s="780"/>
      <c r="DE6" s="785"/>
      <c r="DF6" s="785"/>
      <c r="DG6" s="786">
        <v>4.4999999999999998E-2</v>
      </c>
      <c r="DH6" s="780"/>
      <c r="DI6" s="780"/>
      <c r="DJ6" s="785"/>
      <c r="DK6" s="785"/>
      <c r="DL6" s="786">
        <v>4.4999999999999998E-2</v>
      </c>
      <c r="DM6" s="424"/>
      <c r="DN6" s="497"/>
      <c r="DO6" s="486"/>
      <c r="DP6" s="411"/>
      <c r="DQ6" s="411"/>
      <c r="DR6" s="411"/>
      <c r="DS6" s="555"/>
      <c r="DT6" s="555"/>
      <c r="DU6" s="827" t="s">
        <v>528</v>
      </c>
      <c r="DV6" s="671">
        <f>+SUM(CH5,CH11)</f>
        <v>147429.79300000001</v>
      </c>
      <c r="DW6" s="671">
        <f>+SUM(CM5,CM11)</f>
        <v>154032.15</v>
      </c>
      <c r="DX6" s="671">
        <f>+SUM(CR5,CR11)</f>
        <v>153595.21299999999</v>
      </c>
      <c r="DY6" s="671">
        <f>+SUM(DB5,DB11)</f>
        <v>156560.33797999998</v>
      </c>
      <c r="DZ6" s="671">
        <f>+SUM(DG5,DG11)</f>
        <v>161916.49100909996</v>
      </c>
      <c r="EA6" s="497"/>
      <c r="EH6" s="189"/>
    </row>
    <row r="7" spans="1:138" ht="12.75" customHeight="1" x14ac:dyDescent="0.2">
      <c r="A7" s="17" t="s">
        <v>339</v>
      </c>
      <c r="B7" s="782"/>
      <c r="C7" s="782"/>
      <c r="D7" s="782"/>
      <c r="E7" s="782"/>
      <c r="F7" s="198"/>
      <c r="G7" s="782"/>
      <c r="H7" s="782"/>
      <c r="I7" s="782"/>
      <c r="J7" s="782"/>
      <c r="K7" s="198"/>
      <c r="L7" s="782"/>
      <c r="M7" s="782"/>
      <c r="N7" s="782"/>
      <c r="O7" s="782"/>
      <c r="P7" s="198"/>
      <c r="Q7" s="782"/>
      <c r="R7" s="782"/>
      <c r="S7" s="782"/>
      <c r="T7" s="782"/>
      <c r="U7" s="198"/>
      <c r="V7" s="782"/>
      <c r="W7" s="782"/>
      <c r="X7" s="782"/>
      <c r="Y7" s="782"/>
      <c r="Z7" s="198"/>
      <c r="AA7" s="782"/>
      <c r="AB7" s="782"/>
      <c r="AC7" s="782"/>
      <c r="AD7" s="782"/>
      <c r="AE7" s="198"/>
      <c r="AF7" s="782">
        <v>8637.9249999999993</v>
      </c>
      <c r="AG7" s="782">
        <v>11048.976999999999</v>
      </c>
      <c r="AH7" s="782">
        <v>12439.022000000001</v>
      </c>
      <c r="AI7" s="782">
        <v>10568.713</v>
      </c>
      <c r="AJ7" s="198">
        <f>SUM(AF7:AI7)</f>
        <v>42694.637000000002</v>
      </c>
      <c r="AK7" s="782">
        <v>10628.52</v>
      </c>
      <c r="AL7" s="782">
        <v>12628.111000000001</v>
      </c>
      <c r="AM7" s="782">
        <v>14105.902999999998</v>
      </c>
      <c r="AN7" s="782">
        <v>11918.861000000001</v>
      </c>
      <c r="AO7" s="198">
        <f>SUM(AK7:AN7)</f>
        <v>49281.395000000004</v>
      </c>
      <c r="AP7" s="783">
        <f>AP9-AP5</f>
        <v>19293.758999999998</v>
      </c>
      <c r="AQ7" s="782">
        <f>AQ9-AQ5</f>
        <v>21740.489000000001</v>
      </c>
      <c r="AR7" s="782">
        <f>AR9-AR5</f>
        <v>23685.566999999995</v>
      </c>
      <c r="AS7" s="782">
        <f>AS9-AS5</f>
        <v>21121</v>
      </c>
      <c r="AT7" s="272">
        <f>SUM(AP7:AS7)</f>
        <v>85840.815000000002</v>
      </c>
      <c r="AU7" s="782">
        <f>AU9-AU5</f>
        <v>21306</v>
      </c>
      <c r="AV7" s="782">
        <f>AV9-AV5</f>
        <v>25107.614000000001</v>
      </c>
      <c r="AW7" s="782">
        <f>AW9-AW5</f>
        <v>27073</v>
      </c>
      <c r="AX7" s="782">
        <f>AX9-AX5</f>
        <v>23247</v>
      </c>
      <c r="AY7" s="272">
        <f>SUM(AU7:AX7)</f>
        <v>96733.614000000001</v>
      </c>
      <c r="AZ7" s="783">
        <f>AZ9-AZ5</f>
        <v>21670.754999999997</v>
      </c>
      <c r="BA7" s="782">
        <f>BA9-BA5</f>
        <v>23247</v>
      </c>
      <c r="BB7" s="782">
        <f>BB9-BB5</f>
        <v>25265.860000000004</v>
      </c>
      <c r="BC7" s="782">
        <f>BC9-BC5</f>
        <v>19982.088000000011</v>
      </c>
      <c r="BD7" s="198">
        <f>SUM(AZ7:BC7)</f>
        <v>90165.703000000009</v>
      </c>
      <c r="BE7" s="783">
        <f>BE9-BE5</f>
        <v>20612.708000000006</v>
      </c>
      <c r="BF7" s="782">
        <f>BF9-BF5</f>
        <v>23231.883000000002</v>
      </c>
      <c r="BG7" s="782">
        <f>BG9-BG5</f>
        <v>25763.437999999926</v>
      </c>
      <c r="BH7" s="782">
        <f>BH9-BH5</f>
        <v>22351.337</v>
      </c>
      <c r="BI7" s="198">
        <f>SUM(BE7:BH7)</f>
        <v>91959.365999999936</v>
      </c>
      <c r="BJ7" s="783">
        <f>BJ9-BJ5</f>
        <v>23052.866999999998</v>
      </c>
      <c r="BK7" s="782">
        <v>24751.143</v>
      </c>
      <c r="BL7" s="782">
        <f>BL9-BL5</f>
        <v>26634.346000000001</v>
      </c>
      <c r="BM7" s="782">
        <f>BM9-BM5</f>
        <v>21496.672999999999</v>
      </c>
      <c r="BN7" s="316">
        <f>SUM(BJ7:BM7)</f>
        <v>95935.028999999995</v>
      </c>
      <c r="BO7" s="783">
        <f>BO9-BO5</f>
        <v>22073</v>
      </c>
      <c r="BP7" s="782">
        <f>BP9-BP5</f>
        <v>24557</v>
      </c>
      <c r="BQ7" s="782">
        <f>BQ9-BQ5</f>
        <v>25896</v>
      </c>
      <c r="BR7" s="782">
        <f>BR9-BR5</f>
        <v>21173</v>
      </c>
      <c r="BS7" s="198">
        <f>SUM(BO7:BR7)</f>
        <v>93699</v>
      </c>
      <c r="BT7" s="783">
        <f>BT9-BT5</f>
        <v>21033</v>
      </c>
      <c r="BU7" s="782">
        <f>BU9-BU5</f>
        <v>24585</v>
      </c>
      <c r="BV7" s="782">
        <f>BV9-BV5</f>
        <v>26840</v>
      </c>
      <c r="BW7" s="782">
        <f>BW9-BW5</f>
        <v>22027</v>
      </c>
      <c r="BX7" s="198">
        <f>SUM(BT7:BW7)</f>
        <v>94485</v>
      </c>
      <c r="BY7" s="783">
        <f>BY9-BY5</f>
        <v>21738</v>
      </c>
      <c r="BZ7" s="782">
        <f>BZ9-BZ5</f>
        <v>25431.71155</v>
      </c>
      <c r="CA7" s="782">
        <f>CA9-CA5</f>
        <v>28055.975999999999</v>
      </c>
      <c r="CB7" s="782">
        <f>CB9-CB5</f>
        <v>22827.096000000001</v>
      </c>
      <c r="CC7" s="773">
        <f>SUM(BY7:CB7)</f>
        <v>98052.783550000007</v>
      </c>
      <c r="CD7" s="783">
        <f t="shared" ref="CD7:CF7" si="5">CD9-CD5</f>
        <v>22751.289000000001</v>
      </c>
      <c r="CE7" s="782">
        <f t="shared" si="5"/>
        <v>26244.785</v>
      </c>
      <c r="CF7" s="782">
        <f t="shared" si="5"/>
        <v>28475.726000000002</v>
      </c>
      <c r="CG7" s="782">
        <f>CG9-CG5</f>
        <v>21862.406999999999</v>
      </c>
      <c r="CH7" s="773">
        <f>SUM(CD7:CG7)</f>
        <v>99334.206999999995</v>
      </c>
      <c r="CI7" s="783">
        <f>CI9-CI5</f>
        <v>22106.657999999999</v>
      </c>
      <c r="CJ7" s="782">
        <f t="shared" ref="CJ7:CK7" si="6">CJ9-CJ5</f>
        <v>26317.427000000003</v>
      </c>
      <c r="CK7" s="782">
        <f t="shared" si="6"/>
        <v>28018.093000000001</v>
      </c>
      <c r="CL7" s="782">
        <f>CL9-CL5</f>
        <v>21392.671999999999</v>
      </c>
      <c r="CM7" s="773">
        <f>SUM(CI7:CL7)</f>
        <v>97834.85</v>
      </c>
      <c r="CN7" s="783">
        <f>CN9-CN5</f>
        <v>21272.12</v>
      </c>
      <c r="CO7" s="782">
        <f t="shared" ref="CO7:CP7" si="7">CO9-CO5</f>
        <v>25925.737000000001</v>
      </c>
      <c r="CP7" s="782">
        <f t="shared" si="7"/>
        <v>27759.591</v>
      </c>
      <c r="CQ7" s="782">
        <f>CQ9-CQ5</f>
        <v>25772.339</v>
      </c>
      <c r="CR7" s="773">
        <f>SUM(CN7:CQ7)</f>
        <v>100729.78700000001</v>
      </c>
      <c r="CS7" s="783">
        <f>CS9-CS5</f>
        <v>21272.12</v>
      </c>
      <c r="CT7" s="782">
        <f t="shared" ref="CT7:CU7" si="8">CT9-CT5</f>
        <v>25925.737000000001</v>
      </c>
      <c r="CU7" s="782">
        <f t="shared" si="8"/>
        <v>27759.591</v>
      </c>
      <c r="CV7" s="782">
        <f>CV9-CV5</f>
        <v>25772.339</v>
      </c>
      <c r="CW7" s="773">
        <f>SUM(CS7:CV7)</f>
        <v>100729.78700000001</v>
      </c>
      <c r="CX7" s="783">
        <f>CX9-CX5</f>
        <v>25772.339</v>
      </c>
      <c r="CY7" s="782">
        <f t="shared" ref="CY7:DB7" si="9">CY9-CY5</f>
        <v>25991.006219999996</v>
      </c>
      <c r="CZ7" s="782">
        <f t="shared" si="9"/>
        <v>27837.566459999995</v>
      </c>
      <c r="DA7" s="782">
        <f t="shared" si="9"/>
        <v>25973.654339999994</v>
      </c>
      <c r="DB7" s="773">
        <f t="shared" si="9"/>
        <v>105574.56602</v>
      </c>
      <c r="DC7" s="782"/>
      <c r="DD7" s="782"/>
      <c r="DE7" s="782"/>
      <c r="DF7" s="782"/>
      <c r="DG7" s="773">
        <f>DG9-DG5</f>
        <v>106771.78559090002</v>
      </c>
      <c r="DH7" s="782"/>
      <c r="DI7" s="782"/>
      <c r="DJ7" s="782"/>
      <c r="DK7" s="782"/>
      <c r="DL7" s="773">
        <f>DL9-DL5</f>
        <v>107916.27096549055</v>
      </c>
      <c r="DM7" s="18"/>
      <c r="DN7" s="496"/>
      <c r="DO7" s="486"/>
      <c r="DP7" s="411"/>
      <c r="DQ7" s="411"/>
      <c r="DR7" s="411"/>
      <c r="DS7" s="555"/>
      <c r="DT7" s="555"/>
      <c r="DU7" s="828" t="s">
        <v>529</v>
      </c>
      <c r="DV7" s="804"/>
      <c r="DW7" s="804">
        <f>+DW6/DV6-1</f>
        <v>4.4783058197741532E-2</v>
      </c>
      <c r="DX7" s="804">
        <f>+DX6/DW6-1</f>
        <v>-2.8366610477098542E-3</v>
      </c>
      <c r="DY7" s="804">
        <f>+DY6/DX6-1</f>
        <v>1.9304800729694538E-2</v>
      </c>
      <c r="DZ7" s="804">
        <f>+DZ6/DY6-1</f>
        <v>3.4211429907517354E-2</v>
      </c>
      <c r="EA7" s="496"/>
      <c r="EH7" s="188"/>
    </row>
    <row r="8" spans="1:138" ht="12.75" customHeight="1" x14ac:dyDescent="0.2">
      <c r="A8" s="142" t="s">
        <v>244</v>
      </c>
      <c r="B8" s="788"/>
      <c r="C8" s="788"/>
      <c r="D8" s="788"/>
      <c r="E8" s="788"/>
      <c r="F8" s="205"/>
      <c r="G8" s="788"/>
      <c r="H8" s="788"/>
      <c r="I8" s="788"/>
      <c r="J8" s="788"/>
      <c r="K8" s="205"/>
      <c r="L8" s="788"/>
      <c r="M8" s="788"/>
      <c r="N8" s="788"/>
      <c r="O8" s="788"/>
      <c r="P8" s="205"/>
      <c r="Q8" s="788"/>
      <c r="R8" s="788"/>
      <c r="S8" s="788"/>
      <c r="T8" s="788"/>
      <c r="U8" s="205"/>
      <c r="V8" s="788"/>
      <c r="W8" s="788"/>
      <c r="X8" s="788"/>
      <c r="Y8" s="788"/>
      <c r="Z8" s="205"/>
      <c r="AA8" s="788"/>
      <c r="AB8" s="788"/>
      <c r="AC8" s="788"/>
      <c r="AD8" s="788"/>
      <c r="AE8" s="205"/>
      <c r="AF8" s="788"/>
      <c r="AG8" s="788"/>
      <c r="AH8" s="788"/>
      <c r="AI8" s="788"/>
      <c r="AJ8" s="205"/>
      <c r="AK8" s="788">
        <f>AK7/AF7-1</f>
        <v>0.23044828474431078</v>
      </c>
      <c r="AL8" s="788">
        <f>AL7/AG7-1</f>
        <v>0.14292128583487873</v>
      </c>
      <c r="AM8" s="788">
        <f>AM7/AH7-1</f>
        <v>0.13400418457335284</v>
      </c>
      <c r="AN8" s="788">
        <f>AN7/AI7-1</f>
        <v>0.12774951879192864</v>
      </c>
      <c r="AO8" s="201">
        <f>AO7/AJ7-1</f>
        <v>0.15427600426723398</v>
      </c>
      <c r="AP8" s="787"/>
      <c r="AQ8" s="788"/>
      <c r="AR8" s="788"/>
      <c r="AS8" s="788"/>
      <c r="AT8" s="455"/>
      <c r="AU8" s="788">
        <f t="shared" ref="AU8:BG8" si="10">AU7/AP7-1</f>
        <v>0.1042949173357044</v>
      </c>
      <c r="AV8" s="788">
        <f t="shared" si="10"/>
        <v>0.15487807104982787</v>
      </c>
      <c r="AW8" s="788">
        <f t="shared" si="10"/>
        <v>0.14301675784244505</v>
      </c>
      <c r="AX8" s="788">
        <f t="shared" si="10"/>
        <v>0.10065811277875092</v>
      </c>
      <c r="AY8" s="455">
        <f t="shared" si="10"/>
        <v>0.12689533527844543</v>
      </c>
      <c r="AZ8" s="787">
        <f t="shared" si="10"/>
        <v>1.7119825401295197E-2</v>
      </c>
      <c r="BA8" s="788">
        <f t="shared" si="10"/>
        <v>-7.4105568135626187E-2</v>
      </c>
      <c r="BB8" s="788">
        <f t="shared" si="10"/>
        <v>-6.6750637166180127E-2</v>
      </c>
      <c r="BC8" s="788">
        <f t="shared" si="10"/>
        <v>-0.14044444444444404</v>
      </c>
      <c r="BD8" s="455">
        <f t="shared" si="10"/>
        <v>-6.7896884323995099E-2</v>
      </c>
      <c r="BE8" s="787">
        <f t="shared" si="10"/>
        <v>-4.882372580004668E-2</v>
      </c>
      <c r="BF8" s="788">
        <f t="shared" si="10"/>
        <v>-6.5027745515544577E-4</v>
      </c>
      <c r="BG8" s="788">
        <f t="shared" si="10"/>
        <v>1.9693689429131744E-2</v>
      </c>
      <c r="BH8" s="788">
        <f t="shared" ref="BH8:BP8" si="11">BH7/BC7-1</f>
        <v>0.11856864007404977</v>
      </c>
      <c r="BI8" s="455">
        <f t="shared" si="11"/>
        <v>1.9892963070447411E-2</v>
      </c>
      <c r="BJ8" s="787">
        <f t="shared" si="11"/>
        <v>0.11838129177398682</v>
      </c>
      <c r="BK8" s="788">
        <f t="shared" si="11"/>
        <v>6.5395473969974693E-2</v>
      </c>
      <c r="BL8" s="788">
        <f t="shared" si="11"/>
        <v>3.380402879460731E-2</v>
      </c>
      <c r="BM8" s="788">
        <f t="shared" si="11"/>
        <v>-3.8237712580683647E-2</v>
      </c>
      <c r="BN8" s="456">
        <f t="shared" si="11"/>
        <v>4.3232823071007953E-2</v>
      </c>
      <c r="BO8" s="787">
        <f t="shared" si="11"/>
        <v>-4.2505212041521689E-2</v>
      </c>
      <c r="BP8" s="788">
        <f t="shared" si="11"/>
        <v>-7.8437993752450419E-3</v>
      </c>
      <c r="BQ8" s="788">
        <f t="shared" ref="BQ8:CF8" si="12">BQ7/BL7-1</f>
        <v>-2.7721574241019509E-2</v>
      </c>
      <c r="BR8" s="788">
        <f t="shared" si="12"/>
        <v>-1.5056888105429045E-2</v>
      </c>
      <c r="BS8" s="455">
        <f t="shared" si="12"/>
        <v>-2.3307742993437741E-2</v>
      </c>
      <c r="BT8" s="787">
        <f t="shared" si="12"/>
        <v>-4.7116386535586474E-2</v>
      </c>
      <c r="BU8" s="788">
        <f t="shared" si="12"/>
        <v>1.1402044223642882E-3</v>
      </c>
      <c r="BV8" s="788">
        <f t="shared" si="12"/>
        <v>3.6453506333024466E-2</v>
      </c>
      <c r="BW8" s="788">
        <f t="shared" si="12"/>
        <v>4.0334388135833343E-2</v>
      </c>
      <c r="BX8" s="455">
        <f t="shared" si="12"/>
        <v>8.3885633784779312E-3</v>
      </c>
      <c r="BY8" s="787">
        <f t="shared" si="12"/>
        <v>3.3518756240193959E-2</v>
      </c>
      <c r="BZ8" s="788">
        <f t="shared" si="12"/>
        <v>3.4440168802115201E-2</v>
      </c>
      <c r="CA8" s="788">
        <f t="shared" si="12"/>
        <v>4.5304619970193638E-2</v>
      </c>
      <c r="CB8" s="788">
        <f t="shared" si="12"/>
        <v>3.6323421255731736E-2</v>
      </c>
      <c r="CC8" s="789">
        <f t="shared" si="12"/>
        <v>3.7760316981531483E-2</v>
      </c>
      <c r="CD8" s="787">
        <f t="shared" si="12"/>
        <v>4.6613717913331465E-2</v>
      </c>
      <c r="CE8" s="788">
        <f t="shared" si="12"/>
        <v>3.1970850581623633E-2</v>
      </c>
      <c r="CF8" s="788">
        <f t="shared" si="12"/>
        <v>1.4961161928567446E-2</v>
      </c>
      <c r="CG8" s="788">
        <f t="shared" ref="CG8:CK8" si="13">CG7/CB7-1</f>
        <v>-4.2260697549964421E-2</v>
      </c>
      <c r="CH8" s="789">
        <f t="shared" si="13"/>
        <v>1.3068710582260445E-2</v>
      </c>
      <c r="CI8" s="787">
        <f t="shared" si="13"/>
        <v>-2.8333823195688002E-2</v>
      </c>
      <c r="CJ8" s="788">
        <f t="shared" si="13"/>
        <v>2.7678641680624061E-3</v>
      </c>
      <c r="CK8" s="788">
        <f t="shared" si="13"/>
        <v>-1.6070986214715033E-2</v>
      </c>
      <c r="CL8" s="788">
        <f t="shared" ref="CL8" si="14">CL7/CG7-1</f>
        <v>-2.1485969042658537E-2</v>
      </c>
      <c r="CM8" s="789">
        <f t="shared" ref="CM8:CP8" si="15">CM7/CH7-1</f>
        <v>-1.5094065229714793E-2</v>
      </c>
      <c r="CN8" s="787">
        <f t="shared" si="15"/>
        <v>-3.7750527465526429E-2</v>
      </c>
      <c r="CO8" s="788">
        <f t="shared" si="15"/>
        <v>-1.488329387215559E-2</v>
      </c>
      <c r="CP8" s="788">
        <f t="shared" si="15"/>
        <v>-9.2262524790677203E-3</v>
      </c>
      <c r="CQ8" s="788">
        <f t="shared" ref="CQ8" si="16">CQ7/CL7-1</f>
        <v>0.20472744124717113</v>
      </c>
      <c r="CR8" s="789">
        <f t="shared" ref="CR8" si="17">CR7/CM7-1</f>
        <v>2.9590038723420253E-2</v>
      </c>
      <c r="CS8" s="787">
        <f t="shared" ref="CS8:CW8" si="18">CS7/CI7-1</f>
        <v>-3.7750527465526429E-2</v>
      </c>
      <c r="CT8" s="788">
        <f t="shared" si="18"/>
        <v>-1.488329387215559E-2</v>
      </c>
      <c r="CU8" s="788">
        <f t="shared" si="18"/>
        <v>-9.2262524790677203E-3</v>
      </c>
      <c r="CV8" s="788">
        <f t="shared" si="18"/>
        <v>0.20472744124717113</v>
      </c>
      <c r="CW8" s="789">
        <f t="shared" si="18"/>
        <v>2.9590038723420253E-2</v>
      </c>
      <c r="CX8" s="787">
        <f>CX7/CS7-1</f>
        <v>0.21155479566681645</v>
      </c>
      <c r="CY8" s="788">
        <f>CY7/CT7-1</f>
        <v>2.5175454028556477E-3</v>
      </c>
      <c r="CZ8" s="788">
        <f>CZ7/CU7-1</f>
        <v>2.8089556506791791E-3</v>
      </c>
      <c r="DA8" s="788">
        <f>DA7/CV7-1</f>
        <v>7.8112948925588288E-3</v>
      </c>
      <c r="DB8" s="789">
        <f>DB7/CW7-1</f>
        <v>4.8096786107568956E-2</v>
      </c>
      <c r="DC8" s="788"/>
      <c r="DD8" s="788"/>
      <c r="DE8" s="788"/>
      <c r="DF8" s="788"/>
      <c r="DG8" s="789">
        <f>DG7/DB7-1</f>
        <v>1.1340037814346449E-2</v>
      </c>
      <c r="DH8" s="788"/>
      <c r="DI8" s="788"/>
      <c r="DJ8" s="788"/>
      <c r="DK8" s="788"/>
      <c r="DL8" s="789">
        <f>DL7/DG7-1</f>
        <v>1.0718986933267782E-2</v>
      </c>
      <c r="DM8" s="424"/>
      <c r="DN8" s="497"/>
      <c r="DO8" s="486"/>
      <c r="DP8" s="411"/>
      <c r="DQ8" s="411"/>
      <c r="DR8" s="411"/>
      <c r="DS8" s="555"/>
      <c r="DT8" s="555"/>
      <c r="DU8" s="829" t="s">
        <v>530</v>
      </c>
      <c r="DV8" s="671">
        <f>+DV10-DV6</f>
        <v>99334.206999999995</v>
      </c>
      <c r="DW8" s="671">
        <f>+DW10-DW6</f>
        <v>97834.85</v>
      </c>
      <c r="DX8" s="671">
        <f>+DX10-DX6</f>
        <v>100729.78700000001</v>
      </c>
      <c r="DY8" s="671">
        <f>+DY10-DY6</f>
        <v>105574.56602</v>
      </c>
      <c r="DZ8" s="671">
        <f>+DZ10-DZ6</f>
        <v>106771.78559090002</v>
      </c>
      <c r="EA8" s="497"/>
      <c r="EH8" s="189"/>
    </row>
    <row r="9" spans="1:138" ht="12.75" customHeight="1" x14ac:dyDescent="0.2">
      <c r="A9" s="17" t="s">
        <v>340</v>
      </c>
      <c r="B9" s="888">
        <v>35484</v>
      </c>
      <c r="C9" s="888">
        <v>37137</v>
      </c>
      <c r="D9" s="888">
        <v>38090</v>
      </c>
      <c r="E9" s="888">
        <v>36448</v>
      </c>
      <c r="F9" s="198">
        <f>SUM(B9:E9)</f>
        <v>147159</v>
      </c>
      <c r="G9" s="888">
        <v>37727</v>
      </c>
      <c r="H9" s="888">
        <v>38239</v>
      </c>
      <c r="I9" s="888">
        <v>37730</v>
      </c>
      <c r="J9" s="888">
        <v>34141.31</v>
      </c>
      <c r="K9" s="198">
        <f>SUM(G9:J9)</f>
        <v>147837.31</v>
      </c>
      <c r="L9" s="888">
        <v>33740</v>
      </c>
      <c r="M9" s="888">
        <v>35859</v>
      </c>
      <c r="N9" s="888">
        <v>36840</v>
      </c>
      <c r="O9" s="888">
        <v>35280</v>
      </c>
      <c r="P9" s="198">
        <f>SUM(L9:O9)</f>
        <v>141719</v>
      </c>
      <c r="Q9" s="888">
        <v>33204</v>
      </c>
      <c r="R9" s="888">
        <v>32034</v>
      </c>
      <c r="S9" s="888">
        <v>34509</v>
      </c>
      <c r="T9" s="888">
        <v>34636</v>
      </c>
      <c r="U9" s="198">
        <f>SUM(Q9:T9)</f>
        <v>134383</v>
      </c>
      <c r="V9" s="888">
        <v>30486</v>
      </c>
      <c r="W9" s="888">
        <v>33198</v>
      </c>
      <c r="X9" s="888">
        <v>33576</v>
      </c>
      <c r="Y9" s="888">
        <f>Z9-SUM(V9:X9)</f>
        <v>32714</v>
      </c>
      <c r="Z9" s="198">
        <v>129974</v>
      </c>
      <c r="AA9" s="888">
        <v>32461</v>
      </c>
      <c r="AB9" s="888">
        <v>34698</v>
      </c>
      <c r="AC9" s="888">
        <v>35148</v>
      </c>
      <c r="AD9" s="888">
        <f>AE9-SUM(AA9:AC9)</f>
        <v>31628</v>
      </c>
      <c r="AE9" s="198">
        <v>133935</v>
      </c>
      <c r="AF9" s="888">
        <f>AF7+AF5</f>
        <v>29428</v>
      </c>
      <c r="AG9" s="888">
        <f t="shared" ref="AG9:AO9" si="19">AG7+AG5</f>
        <v>32101</v>
      </c>
      <c r="AH9" s="888">
        <f t="shared" si="19"/>
        <v>33679</v>
      </c>
      <c r="AI9" s="888">
        <f t="shared" si="19"/>
        <v>30272</v>
      </c>
      <c r="AJ9" s="198">
        <f t="shared" si="19"/>
        <v>125480</v>
      </c>
      <c r="AK9" s="888">
        <f t="shared" si="19"/>
        <v>29554</v>
      </c>
      <c r="AL9" s="888">
        <f t="shared" si="19"/>
        <v>32130</v>
      </c>
      <c r="AM9" s="888">
        <f t="shared" si="19"/>
        <v>34707</v>
      </c>
      <c r="AN9" s="888">
        <f t="shared" si="19"/>
        <v>31358</v>
      </c>
      <c r="AO9" s="198">
        <f t="shared" si="19"/>
        <v>127749</v>
      </c>
      <c r="AP9" s="868">
        <v>50806</v>
      </c>
      <c r="AQ9" s="888">
        <v>54027</v>
      </c>
      <c r="AR9" s="888">
        <v>56737</v>
      </c>
      <c r="AS9" s="888">
        <v>52420</v>
      </c>
      <c r="AT9" s="272">
        <f>SUM(AP9:AS9)</f>
        <v>213990</v>
      </c>
      <c r="AU9" s="888">
        <v>51539</v>
      </c>
      <c r="AV9" s="888">
        <v>54960</v>
      </c>
      <c r="AW9" s="888">
        <v>56755</v>
      </c>
      <c r="AX9" s="888">
        <v>50194</v>
      </c>
      <c r="AY9" s="272">
        <f>SUM(AU9:AX9)</f>
        <v>213448</v>
      </c>
      <c r="AZ9" s="868">
        <v>47764.296999999999</v>
      </c>
      <c r="BA9" s="888">
        <v>50605</v>
      </c>
      <c r="BB9" s="888">
        <v>53772.042000000009</v>
      </c>
      <c r="BC9" s="888">
        <v>45582.088000000011</v>
      </c>
      <c r="BD9" s="198">
        <f>SUM(AZ9:BC9)</f>
        <v>197723.42700000003</v>
      </c>
      <c r="BE9" s="868">
        <v>45609.585000000006</v>
      </c>
      <c r="BF9" s="888">
        <v>50642</v>
      </c>
      <c r="BG9" s="888">
        <v>55276</v>
      </c>
      <c r="BH9" s="888">
        <v>49285.61</v>
      </c>
      <c r="BI9" s="198">
        <f>SUM(BE9:BH9)</f>
        <v>200813.19500000001</v>
      </c>
      <c r="BJ9" s="868">
        <v>48639.326999999997</v>
      </c>
      <c r="BK9" s="888">
        <v>52221</v>
      </c>
      <c r="BL9" s="888">
        <v>55107</v>
      </c>
      <c r="BM9" s="888">
        <v>47483</v>
      </c>
      <c r="BN9" s="316">
        <f>SUM(BJ9:BM9)</f>
        <v>203450.32699999999</v>
      </c>
      <c r="BO9" s="868">
        <v>46954</v>
      </c>
      <c r="BP9" s="888">
        <v>51733</v>
      </c>
      <c r="BQ9" s="888">
        <v>54754</v>
      </c>
      <c r="BR9" s="888">
        <v>47431</v>
      </c>
      <c r="BS9" s="198">
        <f>SUM(BO9:BR9)</f>
        <v>200872</v>
      </c>
      <c r="BT9" s="868">
        <v>46202</v>
      </c>
      <c r="BU9" s="888">
        <v>52540</v>
      </c>
      <c r="BV9" s="888">
        <v>56483</v>
      </c>
      <c r="BW9" s="888">
        <v>48978</v>
      </c>
      <c r="BX9" s="198">
        <f>SUM(BT9:BW9)</f>
        <v>204203</v>
      </c>
      <c r="BY9" s="868">
        <v>47361</v>
      </c>
      <c r="BZ9" s="888">
        <v>54773</v>
      </c>
      <c r="CA9" s="888">
        <v>58908</v>
      </c>
      <c r="CB9" s="888">
        <v>51190</v>
      </c>
      <c r="CC9" s="773">
        <f>SUM(BY9:CB9)</f>
        <v>212232</v>
      </c>
      <c r="CD9" s="868">
        <v>50171</v>
      </c>
      <c r="CE9" s="888">
        <v>57341</v>
      </c>
      <c r="CF9" s="888">
        <v>61270</v>
      </c>
      <c r="CG9" s="888">
        <v>51646</v>
      </c>
      <c r="CH9" s="773">
        <f>SUM(CD9:CG9)</f>
        <v>220428</v>
      </c>
      <c r="CI9" s="868">
        <v>51710</v>
      </c>
      <c r="CJ9" s="888">
        <v>59173</v>
      </c>
      <c r="CK9" s="888">
        <v>62232</v>
      </c>
      <c r="CL9" s="888">
        <v>52153</v>
      </c>
      <c r="CM9" s="773">
        <f>SUM(CI9:CL9)</f>
        <v>225268</v>
      </c>
      <c r="CN9" s="868">
        <v>51489</v>
      </c>
      <c r="CO9" s="888">
        <v>59611</v>
      </c>
      <c r="CP9" s="888">
        <v>63504</v>
      </c>
      <c r="CQ9" s="888">
        <v>53801</v>
      </c>
      <c r="CR9" s="773">
        <f>SUM(CN9:CQ9)</f>
        <v>228405</v>
      </c>
      <c r="CS9" s="868">
        <v>51489</v>
      </c>
      <c r="CT9" s="888">
        <v>59611</v>
      </c>
      <c r="CU9" s="888">
        <v>63504</v>
      </c>
      <c r="CV9" s="888">
        <v>53801</v>
      </c>
      <c r="CW9" s="773">
        <f>SUM(CS9:CV9)</f>
        <v>228405</v>
      </c>
      <c r="CX9" s="955">
        <v>53801</v>
      </c>
      <c r="CY9" s="782">
        <f>CT9*(1+CY10)</f>
        <v>61697.384999999995</v>
      </c>
      <c r="CZ9" s="782">
        <f>CU9*(1+CZ10)</f>
        <v>65726.64</v>
      </c>
      <c r="DA9" s="782">
        <f>CV9*(1+DA10)</f>
        <v>55684.034999999996</v>
      </c>
      <c r="DB9" s="773">
        <f>SUM(CX9:DA9)</f>
        <v>236909.06</v>
      </c>
      <c r="DC9" s="782"/>
      <c r="DD9" s="782"/>
      <c r="DE9" s="782"/>
      <c r="DF9" s="782"/>
      <c r="DG9" s="773">
        <f>DB9*(1+DG10)</f>
        <v>244016.33180000001</v>
      </c>
      <c r="DH9" s="782"/>
      <c r="DI9" s="782"/>
      <c r="DJ9" s="782"/>
      <c r="DK9" s="782"/>
      <c r="DL9" s="773">
        <f>DG9*(1+DL10)</f>
        <v>251336.82175400003</v>
      </c>
      <c r="DM9" s="17"/>
      <c r="DN9" s="498"/>
      <c r="DO9" s="486"/>
      <c r="DP9" s="411"/>
      <c r="DQ9" s="411"/>
      <c r="DR9" s="411"/>
      <c r="DS9" s="555"/>
      <c r="DT9" s="555"/>
      <c r="DU9" s="828" t="s">
        <v>529</v>
      </c>
      <c r="DV9" s="804"/>
      <c r="DW9" s="804">
        <f>+DW8/DV8-1</f>
        <v>-1.5094065229714793E-2</v>
      </c>
      <c r="DX9" s="804">
        <f>+DX8/DW8-1</f>
        <v>2.9590038723420253E-2</v>
      </c>
      <c r="DY9" s="804">
        <f>+DY8/DX8-1</f>
        <v>4.8096786107568956E-2</v>
      </c>
      <c r="DZ9" s="804">
        <f>+DZ8/DY8-1</f>
        <v>1.1340037814346449E-2</v>
      </c>
      <c r="EA9" s="498"/>
      <c r="EH9" s="188"/>
    </row>
    <row r="10" spans="1:138" ht="12.75" customHeight="1" x14ac:dyDescent="0.2">
      <c r="A10" s="142" t="s">
        <v>244</v>
      </c>
      <c r="B10" s="780"/>
      <c r="C10" s="780"/>
      <c r="D10" s="780"/>
      <c r="E10" s="780"/>
      <c r="F10" s="205"/>
      <c r="G10" s="780">
        <f t="shared" ref="G10:AO10" si="20">G9/B9-1</f>
        <v>6.3211588321496981E-2</v>
      </c>
      <c r="H10" s="780">
        <f t="shared" si="20"/>
        <v>2.9673910116595259E-2</v>
      </c>
      <c r="I10" s="780">
        <f t="shared" si="20"/>
        <v>-9.4512995536886191E-3</v>
      </c>
      <c r="J10" s="780">
        <f t="shared" si="20"/>
        <v>-6.3287148814749838E-2</v>
      </c>
      <c r="K10" s="205">
        <f t="shared" si="20"/>
        <v>4.6093680984513608E-3</v>
      </c>
      <c r="L10" s="780">
        <f t="shared" si="20"/>
        <v>-0.10568028202613511</v>
      </c>
      <c r="M10" s="780">
        <f t="shared" si="20"/>
        <v>-6.2240121342085342E-2</v>
      </c>
      <c r="N10" s="780">
        <f t="shared" si="20"/>
        <v>-2.3588656241717465E-2</v>
      </c>
      <c r="O10" s="780">
        <f t="shared" si="20"/>
        <v>3.335226445616768E-2</v>
      </c>
      <c r="P10" s="205">
        <f t="shared" si="20"/>
        <v>-4.1385425641199736E-2</v>
      </c>
      <c r="Q10" s="780">
        <f t="shared" si="20"/>
        <v>-1.5886188500296439E-2</v>
      </c>
      <c r="R10" s="780">
        <f t="shared" si="20"/>
        <v>-0.10666778214674144</v>
      </c>
      <c r="S10" s="780">
        <f t="shared" si="20"/>
        <v>-6.3273615635179192E-2</v>
      </c>
      <c r="T10" s="780">
        <f t="shared" si="20"/>
        <v>-1.82539682539683E-2</v>
      </c>
      <c r="U10" s="205">
        <f t="shared" si="20"/>
        <v>-5.176440703081453E-2</v>
      </c>
      <c r="V10" s="780">
        <f t="shared" si="20"/>
        <v>-8.1857607517166642E-2</v>
      </c>
      <c r="W10" s="780">
        <f t="shared" si="20"/>
        <v>3.6336392582880794E-2</v>
      </c>
      <c r="X10" s="780">
        <f t="shared" si="20"/>
        <v>-2.7036425280361653E-2</v>
      </c>
      <c r="Y10" s="780">
        <f t="shared" si="20"/>
        <v>-5.5491396235131107E-2</v>
      </c>
      <c r="Z10" s="205">
        <f t="shared" si="20"/>
        <v>-3.2809209498225189E-2</v>
      </c>
      <c r="AA10" s="780">
        <f t="shared" si="20"/>
        <v>6.4783835203044093E-2</v>
      </c>
      <c r="AB10" s="780">
        <f t="shared" si="20"/>
        <v>4.5183444785830362E-2</v>
      </c>
      <c r="AC10" s="780">
        <f t="shared" si="20"/>
        <v>4.6819156540385931E-2</v>
      </c>
      <c r="AD10" s="780">
        <f t="shared" si="20"/>
        <v>-3.3196796478571877E-2</v>
      </c>
      <c r="AE10" s="205">
        <f t="shared" si="20"/>
        <v>3.0475325834397715E-2</v>
      </c>
      <c r="AF10" s="780">
        <f t="shared" si="20"/>
        <v>-9.3435199162071436E-2</v>
      </c>
      <c r="AG10" s="780">
        <f t="shared" si="20"/>
        <v>-7.484581243875732E-2</v>
      </c>
      <c r="AH10" s="780">
        <f t="shared" si="20"/>
        <v>-4.1794696711050405E-2</v>
      </c>
      <c r="AI10" s="780">
        <f t="shared" si="20"/>
        <v>-4.2873403313519631E-2</v>
      </c>
      <c r="AJ10" s="205">
        <f t="shared" si="20"/>
        <v>-6.3127636540112775E-2</v>
      </c>
      <c r="AK10" s="780">
        <f t="shared" si="20"/>
        <v>4.2816365366318276E-3</v>
      </c>
      <c r="AL10" s="780">
        <f t="shared" si="20"/>
        <v>9.0339864801713965E-4</v>
      </c>
      <c r="AM10" s="780">
        <f t="shared" si="20"/>
        <v>3.0523471599513075E-2</v>
      </c>
      <c r="AN10" s="780">
        <f t="shared" si="20"/>
        <v>3.5874735729386931E-2</v>
      </c>
      <c r="AO10" s="205">
        <f t="shared" si="20"/>
        <v>1.80825629582404E-2</v>
      </c>
      <c r="AP10" s="779"/>
      <c r="AQ10" s="780"/>
      <c r="AR10" s="780"/>
      <c r="AS10" s="780"/>
      <c r="AT10" s="209"/>
      <c r="AU10" s="780">
        <f t="shared" ref="AU10:BE10" si="21">AU9/AP9-1</f>
        <v>1.4427429831122218E-2</v>
      </c>
      <c r="AV10" s="780">
        <f t="shared" si="21"/>
        <v>1.7269143206174675E-2</v>
      </c>
      <c r="AW10" s="780">
        <f t="shared" si="21"/>
        <v>3.1725329150300574E-4</v>
      </c>
      <c r="AX10" s="780">
        <f t="shared" si="21"/>
        <v>-4.2464708126669248E-2</v>
      </c>
      <c r="AY10" s="209">
        <f t="shared" si="21"/>
        <v>-2.5328286368522246E-3</v>
      </c>
      <c r="AZ10" s="779">
        <f t="shared" si="21"/>
        <v>-7.3239740778827667E-2</v>
      </c>
      <c r="BA10" s="780">
        <f t="shared" si="21"/>
        <v>-7.9239446870451258E-2</v>
      </c>
      <c r="BB10" s="780">
        <f t="shared" si="21"/>
        <v>-5.2558505858514515E-2</v>
      </c>
      <c r="BC10" s="780">
        <f t="shared" si="21"/>
        <v>-9.1881738853249129E-2</v>
      </c>
      <c r="BD10" s="209">
        <f>BD9/AY9-1</f>
        <v>-7.3669338667965878E-2</v>
      </c>
      <c r="BE10" s="779">
        <f t="shared" si="21"/>
        <v>-4.5111351685967249E-2</v>
      </c>
      <c r="BF10" s="780">
        <f t="shared" ref="BF10:CF10" si="22">BF9/BA9-1</f>
        <v>7.3115304811777193E-4</v>
      </c>
      <c r="BG10" s="780">
        <f t="shared" si="22"/>
        <v>2.7969144262737666E-2</v>
      </c>
      <c r="BH10" s="780">
        <f t="shared" si="22"/>
        <v>8.1249503094285469E-2</v>
      </c>
      <c r="BI10" s="209">
        <f t="shared" si="22"/>
        <v>1.5626716807816576E-2</v>
      </c>
      <c r="BJ10" s="779">
        <f t="shared" si="22"/>
        <v>6.6427747588582386E-2</v>
      </c>
      <c r="BK10" s="780">
        <f t="shared" si="22"/>
        <v>3.1179653252241257E-2</v>
      </c>
      <c r="BL10" s="780">
        <f t="shared" si="22"/>
        <v>-3.0573847601128579E-3</v>
      </c>
      <c r="BM10" s="780">
        <f t="shared" si="22"/>
        <v>-3.6574773042273412E-2</v>
      </c>
      <c r="BN10" s="324">
        <f>BN9/BI9-1</f>
        <v>1.3132264540684169E-2</v>
      </c>
      <c r="BO10" s="779">
        <f t="shared" si="22"/>
        <v>-3.4649472020860772E-2</v>
      </c>
      <c r="BP10" s="780">
        <f t="shared" si="22"/>
        <v>-9.3448995614791031E-3</v>
      </c>
      <c r="BQ10" s="780">
        <f t="shared" si="22"/>
        <v>-6.4057197815159395E-3</v>
      </c>
      <c r="BR10" s="780">
        <f t="shared" si="22"/>
        <v>-1.0951287829328304E-3</v>
      </c>
      <c r="BS10" s="209">
        <f>BS9/BN9-1</f>
        <v>-1.2673004944346866E-2</v>
      </c>
      <c r="BT10" s="779">
        <f t="shared" si="22"/>
        <v>-1.6015674915875078E-2</v>
      </c>
      <c r="BU10" s="780">
        <f t="shared" si="22"/>
        <v>1.5599327315253264E-2</v>
      </c>
      <c r="BV10" s="780">
        <f t="shared" si="22"/>
        <v>3.1577601636410213E-2</v>
      </c>
      <c r="BW10" s="780">
        <f t="shared" si="22"/>
        <v>3.2615799793384026E-2</v>
      </c>
      <c r="BX10" s="209">
        <f>BX9/BS9-1</f>
        <v>1.6582699430483183E-2</v>
      </c>
      <c r="BY10" s="779">
        <f t="shared" si="22"/>
        <v>2.5085494134453157E-2</v>
      </c>
      <c r="BZ10" s="780">
        <f t="shared" si="22"/>
        <v>4.2500951655881192E-2</v>
      </c>
      <c r="CA10" s="780">
        <f t="shared" si="22"/>
        <v>4.2933271957934283E-2</v>
      </c>
      <c r="CB10" s="780">
        <f t="shared" si="22"/>
        <v>4.5163134468536814E-2</v>
      </c>
      <c r="CC10" s="781">
        <f>CC9/BX9-1</f>
        <v>3.9318717158905558E-2</v>
      </c>
      <c r="CD10" s="779">
        <f t="shared" si="22"/>
        <v>5.9331517493296237E-2</v>
      </c>
      <c r="CE10" s="780">
        <f t="shared" si="22"/>
        <v>4.6884413853540918E-2</v>
      </c>
      <c r="CF10" s="780">
        <f t="shared" si="22"/>
        <v>4.0096421538670546E-2</v>
      </c>
      <c r="CG10" s="780">
        <f>CG9/CB9-1</f>
        <v>8.9079898417658843E-3</v>
      </c>
      <c r="CH10" s="781">
        <f>CH9/CC9-1</f>
        <v>3.8618116023973803E-2</v>
      </c>
      <c r="CI10" s="779">
        <f>CI9/CD9-1</f>
        <v>3.0675091188136605E-2</v>
      </c>
      <c r="CJ10" s="780">
        <f t="shared" ref="CJ10:CK10" si="23">CJ9/CE9-1</f>
        <v>3.1949216093196897E-2</v>
      </c>
      <c r="CK10" s="780">
        <f t="shared" si="23"/>
        <v>1.5700995593275646E-2</v>
      </c>
      <c r="CL10" s="780">
        <f>CL9/CG9-1</f>
        <v>9.8168299577896523E-3</v>
      </c>
      <c r="CM10" s="781">
        <f>CM9/CH9-1</f>
        <v>2.1957283103779979E-2</v>
      </c>
      <c r="CN10" s="779">
        <f>CN9/CI9-1</f>
        <v>-4.273834848191882E-3</v>
      </c>
      <c r="CO10" s="780">
        <f t="shared" ref="CO10:CP10" si="24">CO9/CJ9-1</f>
        <v>7.4020245720176625E-3</v>
      </c>
      <c r="CP10" s="780">
        <f t="shared" si="24"/>
        <v>2.0439645198611744E-2</v>
      </c>
      <c r="CQ10" s="780">
        <f>CQ9/CL9-1</f>
        <v>3.1599332732537011E-2</v>
      </c>
      <c r="CR10" s="781">
        <f>CR9/CM9-1</f>
        <v>1.392563524335455E-2</v>
      </c>
      <c r="CS10" s="779">
        <f t="shared" ref="CS10:CW10" si="25">CS9/CI9-1</f>
        <v>-4.273834848191882E-3</v>
      </c>
      <c r="CT10" s="780">
        <f t="shared" si="25"/>
        <v>7.4020245720176625E-3</v>
      </c>
      <c r="CU10" s="780">
        <f t="shared" si="25"/>
        <v>2.0439645198611744E-2</v>
      </c>
      <c r="CV10" s="780">
        <f t="shared" si="25"/>
        <v>3.1599332732537011E-2</v>
      </c>
      <c r="CW10" s="781">
        <f t="shared" si="25"/>
        <v>1.392563524335455E-2</v>
      </c>
      <c r="CX10" s="779">
        <f>CX9/CS9-1</f>
        <v>4.4902794771698895E-2</v>
      </c>
      <c r="CY10" s="784">
        <v>3.5000000000000003E-2</v>
      </c>
      <c r="CZ10" s="784">
        <v>3.5000000000000003E-2</v>
      </c>
      <c r="DA10" s="784">
        <v>3.5000000000000003E-2</v>
      </c>
      <c r="DB10" s="781">
        <f>DB9/CW9-1</f>
        <v>3.723237232109633E-2</v>
      </c>
      <c r="DC10" s="780"/>
      <c r="DD10" s="780"/>
      <c r="DE10" s="785"/>
      <c r="DF10" s="785"/>
      <c r="DG10" s="786">
        <v>0.03</v>
      </c>
      <c r="DH10" s="780"/>
      <c r="DI10" s="780"/>
      <c r="DJ10" s="785"/>
      <c r="DK10" s="785"/>
      <c r="DL10" s="786">
        <v>0.03</v>
      </c>
      <c r="DM10" s="33"/>
      <c r="DN10" s="499"/>
      <c r="DO10" s="486"/>
      <c r="DP10" s="411"/>
      <c r="DQ10" s="411"/>
      <c r="DR10" s="411"/>
      <c r="DS10" s="555"/>
      <c r="DT10" s="555"/>
      <c r="DU10" s="830" t="s">
        <v>161</v>
      </c>
      <c r="DV10" s="671">
        <f>+CH15</f>
        <v>246764</v>
      </c>
      <c r="DW10" s="671">
        <f>+CM15</f>
        <v>251867</v>
      </c>
      <c r="DX10" s="671">
        <f>+CR15</f>
        <v>254325</v>
      </c>
      <c r="DY10" s="671">
        <f>+DB15</f>
        <v>262134.90399999998</v>
      </c>
      <c r="DZ10" s="671">
        <f>+DG15</f>
        <v>268688.27659999998</v>
      </c>
      <c r="EA10" s="499"/>
      <c r="EH10" s="189"/>
    </row>
    <row r="11" spans="1:138" ht="12.75" customHeight="1" x14ac:dyDescent="0.2">
      <c r="A11" s="17" t="s">
        <v>341</v>
      </c>
      <c r="B11" s="782"/>
      <c r="C11" s="782"/>
      <c r="D11" s="782"/>
      <c r="E11" s="782"/>
      <c r="F11" s="198"/>
      <c r="G11" s="782"/>
      <c r="H11" s="782"/>
      <c r="I11" s="782"/>
      <c r="J11" s="782"/>
      <c r="K11" s="198"/>
      <c r="L11" s="782"/>
      <c r="M11" s="782"/>
      <c r="N11" s="782"/>
      <c r="O11" s="782"/>
      <c r="P11" s="198"/>
      <c r="Q11" s="782"/>
      <c r="R11" s="782"/>
      <c r="S11" s="782"/>
      <c r="T11" s="782"/>
      <c r="U11" s="198"/>
      <c r="V11" s="782">
        <v>5263</v>
      </c>
      <c r="W11" s="782">
        <v>5422</v>
      </c>
      <c r="X11" s="782">
        <v>5591</v>
      </c>
      <c r="Y11" s="782">
        <v>5429</v>
      </c>
      <c r="Z11" s="198">
        <f>SUM(V11:Y11)</f>
        <v>21705</v>
      </c>
      <c r="AA11" s="782">
        <v>5416</v>
      </c>
      <c r="AB11" s="782">
        <v>5777</v>
      </c>
      <c r="AC11" s="782">
        <v>5897</v>
      </c>
      <c r="AD11" s="782">
        <v>5768</v>
      </c>
      <c r="AE11" s="198">
        <f>SUM(AA11:AD11)</f>
        <v>22858</v>
      </c>
      <c r="AF11" s="782">
        <v>5174</v>
      </c>
      <c r="AG11" s="782">
        <v>5617</v>
      </c>
      <c r="AH11" s="782">
        <v>5964</v>
      </c>
      <c r="AI11" s="782">
        <v>5760</v>
      </c>
      <c r="AJ11" s="198">
        <f>SUM(AF11:AI11)</f>
        <v>22515</v>
      </c>
      <c r="AK11" s="782">
        <v>5725</v>
      </c>
      <c r="AL11" s="782">
        <v>5997</v>
      </c>
      <c r="AM11" s="782">
        <v>6236</v>
      </c>
      <c r="AN11" s="782">
        <v>6056</v>
      </c>
      <c r="AO11" s="198">
        <f>SUM(AK11:AN11)</f>
        <v>24014</v>
      </c>
      <c r="AP11" s="783">
        <f t="shared" ref="AP11:AX11" si="26">AP15-AP9</f>
        <v>7368</v>
      </c>
      <c r="AQ11" s="782">
        <f t="shared" si="26"/>
        <v>7756</v>
      </c>
      <c r="AR11" s="782">
        <f t="shared" si="26"/>
        <v>8095</v>
      </c>
      <c r="AS11" s="782">
        <f t="shared" si="26"/>
        <v>7982</v>
      </c>
      <c r="AT11" s="272">
        <f t="shared" si="26"/>
        <v>31201</v>
      </c>
      <c r="AU11" s="782">
        <f t="shared" si="26"/>
        <v>8036</v>
      </c>
      <c r="AV11" s="782">
        <f t="shared" si="26"/>
        <v>8439</v>
      </c>
      <c r="AW11" s="782">
        <f t="shared" si="26"/>
        <v>8337</v>
      </c>
      <c r="AX11" s="782">
        <f t="shared" si="26"/>
        <v>7904</v>
      </c>
      <c r="AY11" s="272">
        <f>SUM(AU11:AX11)</f>
        <v>32716</v>
      </c>
      <c r="AZ11" s="783">
        <f t="shared" ref="AZ11:BJ11" si="27">AZ15-AZ9</f>
        <v>7975.7030000000013</v>
      </c>
      <c r="BA11" s="782">
        <f t="shared" si="27"/>
        <v>8424</v>
      </c>
      <c r="BB11" s="782">
        <f t="shared" si="27"/>
        <v>8461.9579999999914</v>
      </c>
      <c r="BC11" s="782">
        <f t="shared" si="27"/>
        <v>7741.9119999999893</v>
      </c>
      <c r="BD11" s="198">
        <f t="shared" si="27"/>
        <v>32603.572999999975</v>
      </c>
      <c r="BE11" s="783">
        <f t="shared" si="27"/>
        <v>7691.4499999999825</v>
      </c>
      <c r="BF11" s="782">
        <f t="shared" si="27"/>
        <v>8056</v>
      </c>
      <c r="BG11" s="782">
        <f t="shared" si="27"/>
        <v>8381.5760000000009</v>
      </c>
      <c r="BH11" s="782">
        <f t="shared" si="27"/>
        <v>7741.7690000000293</v>
      </c>
      <c r="BI11" s="198">
        <f t="shared" si="27"/>
        <v>31870.794999999984</v>
      </c>
      <c r="BJ11" s="783">
        <f t="shared" si="27"/>
        <v>7579.448000000004</v>
      </c>
      <c r="BK11" s="782">
        <v>7894.88</v>
      </c>
      <c r="BL11" s="782">
        <f t="shared" ref="BL11:CB11" si="28">BL15-BL9</f>
        <v>8155</v>
      </c>
      <c r="BM11" s="782">
        <f t="shared" si="28"/>
        <v>7551</v>
      </c>
      <c r="BN11" s="316">
        <f t="shared" si="28"/>
        <v>31205.448000000004</v>
      </c>
      <c r="BO11" s="783">
        <f t="shared" si="28"/>
        <v>7454</v>
      </c>
      <c r="BP11" s="782">
        <f t="shared" si="28"/>
        <v>7649</v>
      </c>
      <c r="BQ11" s="782">
        <f t="shared" si="28"/>
        <v>7529</v>
      </c>
      <c r="BR11" s="782">
        <f t="shared" ref="BR11:BW11" si="29">BR15-BR9</f>
        <v>6911</v>
      </c>
      <c r="BS11" s="198">
        <f t="shared" si="29"/>
        <v>29543</v>
      </c>
      <c r="BT11" s="783">
        <f t="shared" si="29"/>
        <v>6820</v>
      </c>
      <c r="BU11" s="782">
        <f t="shared" si="29"/>
        <v>7340</v>
      </c>
      <c r="BV11" s="782">
        <f t="shared" si="29"/>
        <v>7410</v>
      </c>
      <c r="BW11" s="782">
        <f t="shared" si="29"/>
        <v>6967</v>
      </c>
      <c r="BX11" s="198">
        <f t="shared" si="28"/>
        <v>28537</v>
      </c>
      <c r="BY11" s="783">
        <f t="shared" si="28"/>
        <v>6543</v>
      </c>
      <c r="BZ11" s="782">
        <f t="shared" si="28"/>
        <v>7044</v>
      </c>
      <c r="CA11" s="782">
        <f t="shared" si="28"/>
        <v>7018</v>
      </c>
      <c r="CB11" s="782">
        <f t="shared" si="28"/>
        <v>6839</v>
      </c>
      <c r="CC11" s="773">
        <f>CC15-CC9</f>
        <v>27444</v>
      </c>
      <c r="CD11" s="783">
        <f>CD15-CD9</f>
        <v>6426</v>
      </c>
      <c r="CE11" s="782">
        <f>CE15-CE9</f>
        <v>6596</v>
      </c>
      <c r="CF11" s="782">
        <f>CF15-CF9</f>
        <v>6761</v>
      </c>
      <c r="CG11" s="782">
        <f>CG15-CG9</f>
        <v>6553</v>
      </c>
      <c r="CH11" s="773">
        <f t="shared" ref="CH11" si="30">CH15-CH9</f>
        <v>26336</v>
      </c>
      <c r="CI11" s="783">
        <f>CI15-CI9</f>
        <v>6435</v>
      </c>
      <c r="CJ11" s="782">
        <f>CJ15-CJ9</f>
        <v>6806</v>
      </c>
      <c r="CK11" s="782">
        <f>CK15-CK9</f>
        <v>6796</v>
      </c>
      <c r="CL11" s="782">
        <f>CL15-CL9</f>
        <v>6562</v>
      </c>
      <c r="CM11" s="773">
        <f t="shared" ref="CM11" si="31">CM15-CM9</f>
        <v>26599</v>
      </c>
      <c r="CN11" s="783">
        <f>CN15-CN9</f>
        <v>6382</v>
      </c>
      <c r="CO11" s="782">
        <f>CO15-CO9</f>
        <v>6616</v>
      </c>
      <c r="CP11" s="782">
        <f>CP15-CP9</f>
        <v>6663</v>
      </c>
      <c r="CQ11" s="782">
        <f>CQ15-CQ9</f>
        <v>6259</v>
      </c>
      <c r="CR11" s="773">
        <f t="shared" ref="CR11" si="32">CR15-CR9</f>
        <v>25920</v>
      </c>
      <c r="CS11" s="783">
        <f>CS15-CS9</f>
        <v>6382</v>
      </c>
      <c r="CT11" s="782">
        <f>CT15-CT9</f>
        <v>6616</v>
      </c>
      <c r="CU11" s="782">
        <f>CU15-CU9</f>
        <v>6663</v>
      </c>
      <c r="CV11" s="782">
        <f>CV15-CV9</f>
        <v>6259</v>
      </c>
      <c r="CW11" s="773">
        <f t="shared" ref="CW11" si="33">CW15-CW9</f>
        <v>25920</v>
      </c>
      <c r="CX11" s="783">
        <f>CX15-CX9</f>
        <v>5655.1489999999976</v>
      </c>
      <c r="CY11" s="782">
        <f t="shared" ref="CY11:DB11" si="34">CY15-CY9</f>
        <v>6847.5599999999977</v>
      </c>
      <c r="CZ11" s="782">
        <f t="shared" si="34"/>
        <v>6545.3699999999953</v>
      </c>
      <c r="DA11" s="782">
        <f t="shared" si="34"/>
        <v>6177.7650000000067</v>
      </c>
      <c r="DB11" s="773">
        <f t="shared" si="34"/>
        <v>25225.843999999983</v>
      </c>
      <c r="DC11" s="782"/>
      <c r="DD11" s="782"/>
      <c r="DE11" s="782"/>
      <c r="DF11" s="782"/>
      <c r="DG11" s="773">
        <f>DG15-DG9</f>
        <v>24671.944799999968</v>
      </c>
      <c r="DH11" s="782"/>
      <c r="DI11" s="782"/>
      <c r="DJ11" s="782"/>
      <c r="DK11" s="782"/>
      <c r="DL11" s="773">
        <f>DL15-DL9</f>
        <v>24068.661760999938</v>
      </c>
      <c r="DM11" s="17"/>
      <c r="DN11" s="498"/>
      <c r="DO11" s="486"/>
      <c r="DP11" s="411"/>
      <c r="DQ11" s="411"/>
      <c r="DR11" s="411"/>
      <c r="DS11" s="555"/>
      <c r="DT11" s="555"/>
      <c r="DU11" s="828" t="s">
        <v>529</v>
      </c>
      <c r="DV11" s="804"/>
      <c r="DW11" s="804">
        <f>+DW10/DV10-1</f>
        <v>2.0679677748780101E-2</v>
      </c>
      <c r="DX11" s="804">
        <f>+DX10/DW10-1</f>
        <v>9.7591189000543199E-3</v>
      </c>
      <c r="DY11" s="804">
        <f>+DY10/DX10-1</f>
        <v>3.0708361348668056E-2</v>
      </c>
      <c r="DZ11" s="804">
        <f>+DZ10/DY10-1</f>
        <v>2.4999999999999911E-2</v>
      </c>
      <c r="EA11" s="498"/>
      <c r="EH11" s="188"/>
    </row>
    <row r="12" spans="1:138" ht="12.75" customHeight="1" x14ac:dyDescent="0.2">
      <c r="A12" s="142" t="s">
        <v>244</v>
      </c>
      <c r="B12" s="780"/>
      <c r="C12" s="780"/>
      <c r="D12" s="780"/>
      <c r="E12" s="780"/>
      <c r="F12" s="199"/>
      <c r="G12" s="780"/>
      <c r="H12" s="780"/>
      <c r="I12" s="780"/>
      <c r="J12" s="780"/>
      <c r="K12" s="199"/>
      <c r="L12" s="780"/>
      <c r="M12" s="780"/>
      <c r="N12" s="780"/>
      <c r="O12" s="780"/>
      <c r="P12" s="199"/>
      <c r="Q12" s="780"/>
      <c r="R12" s="780"/>
      <c r="S12" s="780"/>
      <c r="T12" s="780"/>
      <c r="U12" s="199"/>
      <c r="V12" s="780"/>
      <c r="W12" s="780"/>
      <c r="X12" s="780"/>
      <c r="Y12" s="780"/>
      <c r="Z12" s="199"/>
      <c r="AA12" s="780">
        <f t="shared" ref="AA12:AO12" si="35">AA11/V11-1</f>
        <v>2.9070872126163882E-2</v>
      </c>
      <c r="AB12" s="780">
        <f t="shared" si="35"/>
        <v>6.5473994835854032E-2</v>
      </c>
      <c r="AC12" s="780">
        <f t="shared" si="35"/>
        <v>5.4730817385083119E-2</v>
      </c>
      <c r="AD12" s="780">
        <f t="shared" si="35"/>
        <v>6.2442438754835239E-2</v>
      </c>
      <c r="AE12" s="199">
        <f t="shared" si="35"/>
        <v>5.3121400598940438E-2</v>
      </c>
      <c r="AF12" s="780">
        <f t="shared" si="35"/>
        <v>-4.4682422451994053E-2</v>
      </c>
      <c r="AG12" s="780">
        <f t="shared" si="35"/>
        <v>-2.7696036004846825E-2</v>
      </c>
      <c r="AH12" s="780">
        <f t="shared" si="35"/>
        <v>1.136170934373415E-2</v>
      </c>
      <c r="AI12" s="780">
        <f t="shared" si="35"/>
        <v>-1.3869625520110951E-3</v>
      </c>
      <c r="AJ12" s="199">
        <f t="shared" si="35"/>
        <v>-1.5005687286726799E-2</v>
      </c>
      <c r="AK12" s="780">
        <f t="shared" si="35"/>
        <v>0.10649400850405866</v>
      </c>
      <c r="AL12" s="780">
        <f t="shared" si="35"/>
        <v>6.7651771408224981E-2</v>
      </c>
      <c r="AM12" s="780">
        <f t="shared" si="35"/>
        <v>4.5606975184439902E-2</v>
      </c>
      <c r="AN12" s="780">
        <f t="shared" si="35"/>
        <v>5.1388888888888928E-2</v>
      </c>
      <c r="AO12" s="199">
        <f t="shared" si="35"/>
        <v>6.6577836997557149E-2</v>
      </c>
      <c r="AP12" s="779"/>
      <c r="AQ12" s="780"/>
      <c r="AR12" s="780"/>
      <c r="AS12" s="780"/>
      <c r="AT12" s="206"/>
      <c r="AU12" s="780">
        <f t="shared" ref="AU12:BG12" si="36">AU11/AP11-1</f>
        <v>9.0662323561346403E-2</v>
      </c>
      <c r="AV12" s="780">
        <f t="shared" si="36"/>
        <v>8.8060856111397579E-2</v>
      </c>
      <c r="AW12" s="780">
        <f t="shared" si="36"/>
        <v>2.9894996911673966E-2</v>
      </c>
      <c r="AX12" s="780">
        <f t="shared" si="36"/>
        <v>-9.7719869706840434E-3</v>
      </c>
      <c r="AY12" s="206">
        <f t="shared" si="36"/>
        <v>4.8556136021281393E-2</v>
      </c>
      <c r="AZ12" s="779">
        <f t="shared" si="36"/>
        <v>-7.503359880537408E-3</v>
      </c>
      <c r="BA12" s="780">
        <f t="shared" si="36"/>
        <v>-1.7774617845716101E-3</v>
      </c>
      <c r="BB12" s="780">
        <f t="shared" si="36"/>
        <v>1.4988365119346536E-2</v>
      </c>
      <c r="BC12" s="780">
        <f t="shared" si="36"/>
        <v>-2.0507085020244231E-2</v>
      </c>
      <c r="BD12" s="206">
        <f t="shared" si="36"/>
        <v>-3.4364531116281016E-3</v>
      </c>
      <c r="BE12" s="779">
        <f t="shared" si="36"/>
        <v>-3.5639867733291863E-2</v>
      </c>
      <c r="BF12" s="780">
        <f t="shared" si="36"/>
        <v>-4.3684710351376999E-2</v>
      </c>
      <c r="BG12" s="780">
        <f t="shared" si="36"/>
        <v>-9.4992199204948502E-3</v>
      </c>
      <c r="BH12" s="780">
        <f t="shared" ref="BH12:BP12" si="37">BH11/BC11-1</f>
        <v>-1.8470889356581033E-5</v>
      </c>
      <c r="BI12" s="206">
        <f t="shared" si="37"/>
        <v>-2.2475389430477222E-2</v>
      </c>
      <c r="BJ12" s="779">
        <f t="shared" si="37"/>
        <v>-1.4561883650024199E-2</v>
      </c>
      <c r="BK12" s="780">
        <f t="shared" si="37"/>
        <v>-2.0000000000000018E-2</v>
      </c>
      <c r="BL12" s="780">
        <f t="shared" si="37"/>
        <v>-2.7032624890593437E-2</v>
      </c>
      <c r="BM12" s="780">
        <f t="shared" si="37"/>
        <v>-2.4641525728813174E-2</v>
      </c>
      <c r="BN12" s="317">
        <f t="shared" si="37"/>
        <v>-2.0876385418060028E-2</v>
      </c>
      <c r="BO12" s="779">
        <f t="shared" si="37"/>
        <v>-1.6551073376320224E-2</v>
      </c>
      <c r="BP12" s="780">
        <f t="shared" si="37"/>
        <v>-3.1144235251200802E-2</v>
      </c>
      <c r="BQ12" s="780">
        <f t="shared" ref="BQ12:CF12" si="38">BQ11/BL11-1</f>
        <v>-7.6762722256284444E-2</v>
      </c>
      <c r="BR12" s="780">
        <f t="shared" si="38"/>
        <v>-8.4756985829691378E-2</v>
      </c>
      <c r="BS12" s="206">
        <f t="shared" si="38"/>
        <v>-5.3274287233434525E-2</v>
      </c>
      <c r="BT12" s="779">
        <f t="shared" si="38"/>
        <v>-8.5055004024684688E-2</v>
      </c>
      <c r="BU12" s="780">
        <f t="shared" si="38"/>
        <v>-4.0397437573538975E-2</v>
      </c>
      <c r="BV12" s="780">
        <f t="shared" si="38"/>
        <v>-1.5805551866117651E-2</v>
      </c>
      <c r="BW12" s="780">
        <f t="shared" si="38"/>
        <v>8.1030241643755829E-3</v>
      </c>
      <c r="BX12" s="206">
        <f t="shared" si="38"/>
        <v>-3.4052059709575921E-2</v>
      </c>
      <c r="BY12" s="779">
        <f t="shared" si="38"/>
        <v>-4.061583577712613E-2</v>
      </c>
      <c r="BZ12" s="780">
        <f t="shared" si="38"/>
        <v>-4.0326975476839277E-2</v>
      </c>
      <c r="CA12" s="780">
        <f t="shared" si="38"/>
        <v>-5.290148448043186E-2</v>
      </c>
      <c r="CB12" s="780">
        <f t="shared" si="38"/>
        <v>-1.8372326682933871E-2</v>
      </c>
      <c r="CC12" s="781">
        <f t="shared" si="38"/>
        <v>-3.8301152889231527E-2</v>
      </c>
      <c r="CD12" s="779">
        <f t="shared" si="38"/>
        <v>-1.7881705639614887E-2</v>
      </c>
      <c r="CE12" s="780">
        <f t="shared" si="38"/>
        <v>-6.360022714366842E-2</v>
      </c>
      <c r="CF12" s="780">
        <f t="shared" si="38"/>
        <v>-3.662011969222001E-2</v>
      </c>
      <c r="CG12" s="780">
        <f t="shared" ref="CG12:CK12" si="39">CG11/CB11-1</f>
        <v>-4.1818979382950761E-2</v>
      </c>
      <c r="CH12" s="781">
        <f t="shared" si="39"/>
        <v>-4.0373123451391879E-2</v>
      </c>
      <c r="CI12" s="779">
        <f t="shared" si="39"/>
        <v>1.4005602240896309E-3</v>
      </c>
      <c r="CJ12" s="780">
        <f t="shared" si="39"/>
        <v>3.1837477258944924E-2</v>
      </c>
      <c r="CK12" s="780">
        <f t="shared" si="39"/>
        <v>5.1767490016270123E-3</v>
      </c>
      <c r="CL12" s="780">
        <f t="shared" ref="CL12" si="40">CL11/CG11-1</f>
        <v>1.3734167556844756E-3</v>
      </c>
      <c r="CM12" s="781">
        <f t="shared" ref="CM12:CP12" si="41">CM11/CH11-1</f>
        <v>9.9863304981773204E-3</v>
      </c>
      <c r="CN12" s="779">
        <f t="shared" si="41"/>
        <v>-8.2362082362081868E-3</v>
      </c>
      <c r="CO12" s="780">
        <f t="shared" si="41"/>
        <v>-2.7916544225683237E-2</v>
      </c>
      <c r="CP12" s="780">
        <f t="shared" si="41"/>
        <v>-1.9570335491465585E-2</v>
      </c>
      <c r="CQ12" s="780">
        <f t="shared" ref="CQ12" si="42">CQ11/CL11-1</f>
        <v>-4.6174946662602911E-2</v>
      </c>
      <c r="CR12" s="781">
        <f t="shared" ref="CR12" si="43">CR11/CM11-1</f>
        <v>-2.5527275461483478E-2</v>
      </c>
      <c r="CS12" s="779">
        <f t="shared" ref="CS12:CW12" si="44">CS11/CI11-1</f>
        <v>-8.2362082362081868E-3</v>
      </c>
      <c r="CT12" s="780">
        <f t="shared" si="44"/>
        <v>-2.7916544225683237E-2</v>
      </c>
      <c r="CU12" s="780">
        <f t="shared" si="44"/>
        <v>-1.9570335491465585E-2</v>
      </c>
      <c r="CV12" s="780">
        <f t="shared" si="44"/>
        <v>-4.6174946662602911E-2</v>
      </c>
      <c r="CW12" s="781">
        <f t="shared" si="44"/>
        <v>-2.5527275461483478E-2</v>
      </c>
      <c r="CX12" s="779">
        <f>CX11/CS11-1</f>
        <v>-0.11389078658727714</v>
      </c>
      <c r="CY12" s="780">
        <f>CY11/CT11-1</f>
        <v>3.4999999999999698E-2</v>
      </c>
      <c r="CZ12" s="780">
        <f>CZ11/CU11-1</f>
        <v>-1.7654209815399113E-2</v>
      </c>
      <c r="DA12" s="780">
        <f>DA11/CV11-1</f>
        <v>-1.2978910369067509E-2</v>
      </c>
      <c r="DB12" s="781">
        <f>DB11/CW11-1</f>
        <v>-2.6780709876543907E-2</v>
      </c>
      <c r="DC12" s="780"/>
      <c r="DD12" s="780"/>
      <c r="DE12" s="780"/>
      <c r="DF12" s="780"/>
      <c r="DG12" s="781">
        <f>DG11/DB11-1</f>
        <v>-2.1957608237013426E-2</v>
      </c>
      <c r="DH12" s="780"/>
      <c r="DI12" s="780"/>
      <c r="DJ12" s="780"/>
      <c r="DK12" s="780"/>
      <c r="DL12" s="781">
        <f>DL11/DG11-1</f>
        <v>-2.4452188260409513E-2</v>
      </c>
      <c r="DM12" s="20"/>
      <c r="DN12" s="500"/>
      <c r="DO12" s="486"/>
      <c r="DP12" s="411"/>
      <c r="DQ12" s="411"/>
      <c r="DR12" s="411"/>
      <c r="DS12" s="556"/>
      <c r="DT12" s="556"/>
      <c r="DU12" s="459"/>
      <c r="DV12" s="459"/>
      <c r="DW12" s="459"/>
      <c r="DX12" s="459"/>
      <c r="DY12" s="461"/>
      <c r="DZ12" s="458"/>
      <c r="EA12" s="500"/>
      <c r="EH12" s="188"/>
    </row>
    <row r="13" spans="1:138" ht="12.75" customHeight="1" x14ac:dyDescent="0.2">
      <c r="A13" s="17" t="s">
        <v>327</v>
      </c>
      <c r="B13" s="782"/>
      <c r="C13" s="782"/>
      <c r="D13" s="782"/>
      <c r="E13" s="782"/>
      <c r="F13" s="198"/>
      <c r="G13" s="782"/>
      <c r="H13" s="782"/>
      <c r="I13" s="782"/>
      <c r="J13" s="782"/>
      <c r="K13" s="198"/>
      <c r="L13" s="782"/>
      <c r="M13" s="782"/>
      <c r="N13" s="782"/>
      <c r="O13" s="782"/>
      <c r="P13" s="198"/>
      <c r="Q13" s="782"/>
      <c r="R13" s="782"/>
      <c r="S13" s="782"/>
      <c r="T13" s="782"/>
      <c r="U13" s="198"/>
      <c r="V13" s="782"/>
      <c r="W13" s="782"/>
      <c r="X13" s="782"/>
      <c r="Y13" s="782"/>
      <c r="Z13" s="198"/>
      <c r="AA13" s="782"/>
      <c r="AB13" s="782"/>
      <c r="AC13" s="782"/>
      <c r="AD13" s="782"/>
      <c r="AE13" s="198"/>
      <c r="AF13" s="782">
        <f>AF11+AF5</f>
        <v>25964.075000000001</v>
      </c>
      <c r="AG13" s="782">
        <f t="shared" ref="AG13:AO13" si="45">AG11+AG5</f>
        <v>26669.023000000001</v>
      </c>
      <c r="AH13" s="782">
        <f t="shared" si="45"/>
        <v>27203.977999999999</v>
      </c>
      <c r="AI13" s="782">
        <f t="shared" si="45"/>
        <v>25463.287</v>
      </c>
      <c r="AJ13" s="198">
        <f t="shared" si="45"/>
        <v>105300.363</v>
      </c>
      <c r="AK13" s="782">
        <f t="shared" si="45"/>
        <v>24650.48</v>
      </c>
      <c r="AL13" s="782">
        <f t="shared" si="45"/>
        <v>25498.888999999999</v>
      </c>
      <c r="AM13" s="782">
        <f t="shared" si="45"/>
        <v>26837.097000000002</v>
      </c>
      <c r="AN13" s="782">
        <f t="shared" si="45"/>
        <v>25495.138999999999</v>
      </c>
      <c r="AO13" s="198">
        <f t="shared" si="45"/>
        <v>102481.605</v>
      </c>
      <c r="AP13" s="783">
        <f t="shared" ref="AP13:BB13" si="46">AP5+AP11</f>
        <v>38880.241000000002</v>
      </c>
      <c r="AQ13" s="782">
        <f t="shared" si="46"/>
        <v>40042.510999999999</v>
      </c>
      <c r="AR13" s="782">
        <f t="shared" si="46"/>
        <v>41146.433000000005</v>
      </c>
      <c r="AS13" s="782">
        <f t="shared" si="46"/>
        <v>39281</v>
      </c>
      <c r="AT13" s="272">
        <f t="shared" si="46"/>
        <v>159350.10499999998</v>
      </c>
      <c r="AU13" s="782">
        <f t="shared" si="46"/>
        <v>38269</v>
      </c>
      <c r="AV13" s="782">
        <f t="shared" si="46"/>
        <v>38291.385999999999</v>
      </c>
      <c r="AW13" s="782">
        <f t="shared" si="46"/>
        <v>38019</v>
      </c>
      <c r="AX13" s="782">
        <f t="shared" si="46"/>
        <v>34851</v>
      </c>
      <c r="AY13" s="272">
        <f t="shared" si="46"/>
        <v>149430.386</v>
      </c>
      <c r="AZ13" s="783">
        <f>AZ5+AZ11</f>
        <v>34069.245000000003</v>
      </c>
      <c r="BA13" s="782">
        <f>BA5+BA11</f>
        <v>35782</v>
      </c>
      <c r="BB13" s="782">
        <f t="shared" si="46"/>
        <v>36968.14</v>
      </c>
      <c r="BC13" s="782">
        <f t="shared" ref="BC13:BQ13" si="47">BC5+BC11</f>
        <v>33341.911999999989</v>
      </c>
      <c r="BD13" s="198">
        <f t="shared" si="47"/>
        <v>140161.29699999996</v>
      </c>
      <c r="BE13" s="783">
        <f t="shared" si="47"/>
        <v>32688.326999999983</v>
      </c>
      <c r="BF13" s="782">
        <f t="shared" si="47"/>
        <v>35466.116999999998</v>
      </c>
      <c r="BG13" s="782">
        <f t="shared" si="47"/>
        <v>37894.138000000079</v>
      </c>
      <c r="BH13" s="782">
        <f t="shared" si="47"/>
        <v>34676.04200000003</v>
      </c>
      <c r="BI13" s="198">
        <f t="shared" si="47"/>
        <v>140724.62400000007</v>
      </c>
      <c r="BJ13" s="783">
        <f t="shared" si="47"/>
        <v>33165.908000000003</v>
      </c>
      <c r="BK13" s="782">
        <f t="shared" si="47"/>
        <v>35256.19</v>
      </c>
      <c r="BL13" s="782">
        <f t="shared" si="47"/>
        <v>36627.653999999995</v>
      </c>
      <c r="BM13" s="782">
        <f>BM5+BM11</f>
        <v>33537.327000000005</v>
      </c>
      <c r="BN13" s="316">
        <f t="shared" si="47"/>
        <v>138612.19900000002</v>
      </c>
      <c r="BO13" s="783">
        <f>BO5+BO11</f>
        <v>32335</v>
      </c>
      <c r="BP13" s="782">
        <f>BP5+BP11</f>
        <v>34825</v>
      </c>
      <c r="BQ13" s="782">
        <f t="shared" si="47"/>
        <v>36387</v>
      </c>
      <c r="BR13" s="782">
        <f t="shared" ref="BR13:BX13" si="48">BR5+BR11</f>
        <v>33169</v>
      </c>
      <c r="BS13" s="198">
        <f t="shared" si="48"/>
        <v>136716</v>
      </c>
      <c r="BT13" s="783">
        <f t="shared" si="48"/>
        <v>31989</v>
      </c>
      <c r="BU13" s="782">
        <f t="shared" si="48"/>
        <v>35295</v>
      </c>
      <c r="BV13" s="782">
        <f t="shared" si="48"/>
        <v>37053</v>
      </c>
      <c r="BW13" s="782">
        <f>BW5+BW11</f>
        <v>33918</v>
      </c>
      <c r="BX13" s="198">
        <f t="shared" si="48"/>
        <v>138255</v>
      </c>
      <c r="BY13" s="783">
        <f>BY5+BY11</f>
        <v>32166</v>
      </c>
      <c r="BZ13" s="782">
        <f>BZ5+BZ11</f>
        <v>36385.28845</v>
      </c>
      <c r="CA13" s="782">
        <f>CA5+CA11</f>
        <v>37870.024000000005</v>
      </c>
      <c r="CB13" s="782">
        <f t="shared" ref="CB13:CH13" si="49">CB5+CB11</f>
        <v>35201.903999999995</v>
      </c>
      <c r="CC13" s="773">
        <f t="shared" si="49"/>
        <v>141623.21645000001</v>
      </c>
      <c r="CD13" s="783">
        <f t="shared" si="49"/>
        <v>33845.710999999996</v>
      </c>
      <c r="CE13" s="782">
        <f t="shared" si="49"/>
        <v>37692.214999999997</v>
      </c>
      <c r="CF13" s="782">
        <f t="shared" si="49"/>
        <v>39555.273999999998</v>
      </c>
      <c r="CG13" s="782">
        <f t="shared" si="49"/>
        <v>36336.593000000001</v>
      </c>
      <c r="CH13" s="773">
        <f t="shared" si="49"/>
        <v>147429.79300000001</v>
      </c>
      <c r="CI13" s="783">
        <f>CI5+CI11</f>
        <v>36038.342000000004</v>
      </c>
      <c r="CJ13" s="782">
        <f t="shared" ref="CJ13:CM13" si="50">CJ5+CJ11</f>
        <v>39661.572999999997</v>
      </c>
      <c r="CK13" s="782">
        <f t="shared" si="50"/>
        <v>41009.906999999999</v>
      </c>
      <c r="CL13" s="782">
        <f t="shared" si="50"/>
        <v>37322.328000000001</v>
      </c>
      <c r="CM13" s="773">
        <f t="shared" si="50"/>
        <v>154032.15</v>
      </c>
      <c r="CN13" s="783">
        <f>CN5+CN11</f>
        <v>36598.880000000005</v>
      </c>
      <c r="CO13" s="782">
        <f t="shared" ref="CO13:CR13" si="51">CO5+CO11</f>
        <v>40301.262999999999</v>
      </c>
      <c r="CP13" s="782">
        <f t="shared" si="51"/>
        <v>42407.409</v>
      </c>
      <c r="CQ13" s="782">
        <f t="shared" si="51"/>
        <v>34287.661</v>
      </c>
      <c r="CR13" s="773">
        <f t="shared" si="51"/>
        <v>153595.21299999999</v>
      </c>
      <c r="CS13" s="783">
        <f>CS5+CS11</f>
        <v>36598.880000000005</v>
      </c>
      <c r="CT13" s="782">
        <f t="shared" ref="CT13:CW13" si="52">CT5+CT11</f>
        <v>40301.262999999999</v>
      </c>
      <c r="CU13" s="782">
        <f t="shared" si="52"/>
        <v>42407.409</v>
      </c>
      <c r="CV13" s="782">
        <f t="shared" si="52"/>
        <v>34287.661</v>
      </c>
      <c r="CW13" s="773">
        <f t="shared" si="52"/>
        <v>153595.21299999999</v>
      </c>
      <c r="CX13" s="954">
        <f>CX5+CX11</f>
        <v>33683.81</v>
      </c>
      <c r="CY13" s="782">
        <f t="shared" ref="CY13:DB13" si="53">CY5+CY11</f>
        <v>42553.938779999997</v>
      </c>
      <c r="CZ13" s="782">
        <f>CZ5+CZ11</f>
        <v>44434.44354</v>
      </c>
      <c r="DA13" s="782">
        <f t="shared" si="53"/>
        <v>35888.145660000009</v>
      </c>
      <c r="DB13" s="773">
        <f t="shared" si="53"/>
        <v>156560.33797999998</v>
      </c>
      <c r="DC13" s="782"/>
      <c r="DD13" s="782"/>
      <c r="DE13" s="782"/>
      <c r="DF13" s="782"/>
      <c r="DG13" s="773">
        <f>DG5+DG11</f>
        <v>161916.49100909996</v>
      </c>
      <c r="DH13" s="782"/>
      <c r="DI13" s="782"/>
      <c r="DJ13" s="782"/>
      <c r="DK13" s="782"/>
      <c r="DL13" s="773">
        <f>DL5+DL11</f>
        <v>167489.21254950942</v>
      </c>
      <c r="DM13" s="17"/>
      <c r="DN13" s="498"/>
      <c r="DO13" s="486"/>
      <c r="DP13" s="411"/>
      <c r="DQ13" s="411"/>
      <c r="DR13" s="411"/>
      <c r="DS13" s="555"/>
      <c r="DT13" s="555"/>
      <c r="DU13" s="804"/>
      <c r="DV13" s="804"/>
      <c r="DW13" s="804"/>
      <c r="DX13" s="804"/>
      <c r="DY13" s="459"/>
      <c r="DZ13" s="458"/>
      <c r="EA13" s="498"/>
      <c r="EH13" s="188"/>
    </row>
    <row r="14" spans="1:138" ht="12.75" customHeight="1" x14ac:dyDescent="0.2">
      <c r="A14" s="142" t="s">
        <v>244</v>
      </c>
      <c r="B14" s="780"/>
      <c r="C14" s="780"/>
      <c r="D14" s="780"/>
      <c r="E14" s="780"/>
      <c r="F14" s="201"/>
      <c r="G14" s="780"/>
      <c r="H14" s="780"/>
      <c r="I14" s="780"/>
      <c r="J14" s="780"/>
      <c r="K14" s="201"/>
      <c r="L14" s="780"/>
      <c r="M14" s="780"/>
      <c r="N14" s="780"/>
      <c r="O14" s="780"/>
      <c r="P14" s="201"/>
      <c r="Q14" s="780"/>
      <c r="R14" s="780"/>
      <c r="S14" s="780"/>
      <c r="T14" s="780"/>
      <c r="U14" s="201"/>
      <c r="V14" s="780"/>
      <c r="W14" s="780"/>
      <c r="X14" s="780"/>
      <c r="Y14" s="780"/>
      <c r="Z14" s="201"/>
      <c r="AA14" s="780"/>
      <c r="AB14" s="780"/>
      <c r="AC14" s="780"/>
      <c r="AD14" s="780"/>
      <c r="AE14" s="201"/>
      <c r="AF14" s="780"/>
      <c r="AG14" s="780"/>
      <c r="AH14" s="780"/>
      <c r="AI14" s="780"/>
      <c r="AJ14" s="201"/>
      <c r="AK14" s="780">
        <f>AK13/AF13-1</f>
        <v>-5.0592790230347129E-2</v>
      </c>
      <c r="AL14" s="780">
        <f>AL13/AG13-1</f>
        <v>-4.387614799387296E-2</v>
      </c>
      <c r="AM14" s="780">
        <f>AM13/AH13-1</f>
        <v>-1.3486299687494152E-2</v>
      </c>
      <c r="AN14" s="780">
        <f>AN13/AI13-1</f>
        <v>1.2508989903776691E-3</v>
      </c>
      <c r="AO14" s="201">
        <f>AO13/AJ13-1</f>
        <v>-2.6768739629131177E-2</v>
      </c>
      <c r="AP14" s="779"/>
      <c r="AQ14" s="780"/>
      <c r="AR14" s="780"/>
      <c r="AS14" s="780"/>
      <c r="AT14" s="209"/>
      <c r="AU14" s="780">
        <f t="shared" ref="AU14:BE14" si="54">AU13/AP13-1</f>
        <v>-1.5721121687491624E-2</v>
      </c>
      <c r="AV14" s="780">
        <f t="shared" si="54"/>
        <v>-4.3731648097692921E-2</v>
      </c>
      <c r="AW14" s="780">
        <f t="shared" si="54"/>
        <v>-7.600739048266969E-2</v>
      </c>
      <c r="AX14" s="780">
        <f t="shared" si="54"/>
        <v>-0.1127771696239912</v>
      </c>
      <c r="AY14" s="209">
        <f t="shared" si="54"/>
        <v>-6.2251097983273884E-2</v>
      </c>
      <c r="AZ14" s="779">
        <f t="shared" si="54"/>
        <v>-0.10974300347539778</v>
      </c>
      <c r="BA14" s="780">
        <f t="shared" si="54"/>
        <v>-6.5533955861508897E-2</v>
      </c>
      <c r="BB14" s="780">
        <f t="shared" si="54"/>
        <v>-2.7640390331150178E-2</v>
      </c>
      <c r="BC14" s="780">
        <f t="shared" si="54"/>
        <v>-4.3301139135175748E-2</v>
      </c>
      <c r="BD14" s="209">
        <f t="shared" si="54"/>
        <v>-6.2029479064586224E-2</v>
      </c>
      <c r="BE14" s="779">
        <f t="shared" si="54"/>
        <v>-4.0532685711116234E-2</v>
      </c>
      <c r="BF14" s="780">
        <f t="shared" ref="BF14:BP14" si="55">BF13/BA13-1</f>
        <v>-8.8279861382818403E-3</v>
      </c>
      <c r="BG14" s="780">
        <f t="shared" si="55"/>
        <v>2.5048541798426527E-2</v>
      </c>
      <c r="BH14" s="780">
        <f t="shared" si="55"/>
        <v>4.0013602099364887E-2</v>
      </c>
      <c r="BI14" s="209">
        <f t="shared" si="55"/>
        <v>4.0191337555910422E-3</v>
      </c>
      <c r="BJ14" s="779">
        <f t="shared" si="55"/>
        <v>1.4610138964897823E-2</v>
      </c>
      <c r="BK14" s="780">
        <f t="shared" si="55"/>
        <v>-5.9190860956105373E-3</v>
      </c>
      <c r="BL14" s="780">
        <f t="shared" si="55"/>
        <v>-3.3421633710208232E-2</v>
      </c>
      <c r="BM14" s="780">
        <f t="shared" si="55"/>
        <v>-3.2838667112008446E-2</v>
      </c>
      <c r="BN14" s="324">
        <f t="shared" si="55"/>
        <v>-1.5011054497470533E-2</v>
      </c>
      <c r="BO14" s="779">
        <f t="shared" si="55"/>
        <v>-2.5053075585930062E-2</v>
      </c>
      <c r="BP14" s="780">
        <f t="shared" si="55"/>
        <v>-1.2230192768986181E-2</v>
      </c>
      <c r="BQ14" s="780">
        <f t="shared" ref="BQ14:CF14" si="56">BQ13/BL13-1</f>
        <v>-6.5702815692207928E-3</v>
      </c>
      <c r="BR14" s="780">
        <f t="shared" si="56"/>
        <v>-1.0982598583363701E-2</v>
      </c>
      <c r="BS14" s="209">
        <f t="shared" si="56"/>
        <v>-1.3679885419031756E-2</v>
      </c>
      <c r="BT14" s="779">
        <f t="shared" si="56"/>
        <v>-1.0700479356734238E-2</v>
      </c>
      <c r="BU14" s="780">
        <f t="shared" si="56"/>
        <v>1.3496051687006405E-2</v>
      </c>
      <c r="BV14" s="780">
        <f t="shared" si="56"/>
        <v>1.8303240168191959E-2</v>
      </c>
      <c r="BW14" s="780">
        <f t="shared" si="56"/>
        <v>2.258132593686879E-2</v>
      </c>
      <c r="BX14" s="209">
        <f t="shared" si="56"/>
        <v>1.1256912139032682E-2</v>
      </c>
      <c r="BY14" s="779">
        <f t="shared" si="56"/>
        <v>5.5331520210071261E-3</v>
      </c>
      <c r="BZ14" s="780">
        <f t="shared" si="56"/>
        <v>3.089073381498797E-2</v>
      </c>
      <c r="CA14" s="780">
        <f t="shared" si="56"/>
        <v>2.2050144387768977E-2</v>
      </c>
      <c r="CB14" s="780">
        <f t="shared" si="56"/>
        <v>3.7853175305147646E-2</v>
      </c>
      <c r="CC14" s="781">
        <f t="shared" si="56"/>
        <v>2.4362348197171979E-2</v>
      </c>
      <c r="CD14" s="779">
        <f t="shared" si="56"/>
        <v>5.2220077100043394E-2</v>
      </c>
      <c r="CE14" s="780">
        <f t="shared" si="56"/>
        <v>3.591909273430538E-2</v>
      </c>
      <c r="CF14" s="780">
        <f t="shared" si="56"/>
        <v>4.4500896012106939E-2</v>
      </c>
      <c r="CG14" s="780">
        <f t="shared" ref="CG14:CK14" si="57">CG13/CB13-1</f>
        <v>3.2233739402278028E-2</v>
      </c>
      <c r="CH14" s="781">
        <f t="shared" si="57"/>
        <v>4.1000174233791764E-2</v>
      </c>
      <c r="CI14" s="779">
        <f t="shared" si="57"/>
        <v>6.4783127173780208E-2</v>
      </c>
      <c r="CJ14" s="780">
        <f t="shared" si="57"/>
        <v>5.2248401957804891E-2</v>
      </c>
      <c r="CK14" s="780">
        <f t="shared" si="57"/>
        <v>3.677469153670887E-2</v>
      </c>
      <c r="CL14" s="780">
        <f t="shared" ref="CL14" si="58">CL13/CG13-1</f>
        <v>2.7127887306330534E-2</v>
      </c>
      <c r="CM14" s="781">
        <f t="shared" ref="CM14:CP14" si="59">CM13/CH13-1</f>
        <v>4.4783058197741532E-2</v>
      </c>
      <c r="CN14" s="779">
        <f t="shared" si="59"/>
        <v>1.555393419597384E-2</v>
      </c>
      <c r="CO14" s="780">
        <f t="shared" si="59"/>
        <v>1.6128709771546346E-2</v>
      </c>
      <c r="CP14" s="780">
        <f t="shared" si="59"/>
        <v>3.4077180423744968E-2</v>
      </c>
      <c r="CQ14" s="780">
        <f t="shared" ref="CQ14" si="60">CQ13/CL13-1</f>
        <v>-8.130969214996453E-2</v>
      </c>
      <c r="CR14" s="781">
        <f t="shared" ref="CR14" si="61">CR13/CM13-1</f>
        <v>-2.8366610477098542E-3</v>
      </c>
      <c r="CS14" s="779">
        <f t="shared" ref="CS14:CW14" si="62">CS13/CI13-1</f>
        <v>1.555393419597384E-2</v>
      </c>
      <c r="CT14" s="780">
        <f t="shared" si="62"/>
        <v>1.6128709771546346E-2</v>
      </c>
      <c r="CU14" s="780">
        <f t="shared" si="62"/>
        <v>3.4077180423744968E-2</v>
      </c>
      <c r="CV14" s="780">
        <f t="shared" si="62"/>
        <v>-8.130969214996453E-2</v>
      </c>
      <c r="CW14" s="781">
        <f t="shared" si="62"/>
        <v>-2.8366610477098542E-3</v>
      </c>
      <c r="CX14" s="779">
        <f>CX13/CS13-1</f>
        <v>-7.9649158662778885E-2</v>
      </c>
      <c r="CY14" s="780">
        <f>CY13/CT13-1</f>
        <v>5.5895910259685877E-2</v>
      </c>
      <c r="CZ14" s="780">
        <f>CZ13/CU13-1</f>
        <v>4.7799065960384413E-2</v>
      </c>
      <c r="DA14" s="780">
        <f>DA13/CV13-1</f>
        <v>4.6678152236748094E-2</v>
      </c>
      <c r="DB14" s="781">
        <f>DB13/CW13-1</f>
        <v>1.9304800729694538E-2</v>
      </c>
      <c r="DC14" s="780"/>
      <c r="DD14" s="780"/>
      <c r="DE14" s="780"/>
      <c r="DF14" s="780"/>
      <c r="DG14" s="781">
        <f>DG13/DB13-1</f>
        <v>3.4211429907517354E-2</v>
      </c>
      <c r="DH14" s="780"/>
      <c r="DI14" s="780"/>
      <c r="DJ14" s="780"/>
      <c r="DK14" s="780"/>
      <c r="DL14" s="781">
        <f>DL13/DG13-1</f>
        <v>3.4417257350866537E-2</v>
      </c>
      <c r="DM14" s="20"/>
      <c r="DN14" s="500"/>
      <c r="DO14" s="486"/>
      <c r="DP14" s="411"/>
      <c r="DQ14" s="411"/>
      <c r="DR14" s="411"/>
      <c r="DS14" s="555"/>
      <c r="DT14" s="556"/>
      <c r="DU14" s="461"/>
      <c r="DV14" s="461"/>
      <c r="DW14" s="461"/>
      <c r="DX14" s="461"/>
      <c r="DY14" s="461"/>
      <c r="DZ14" s="461"/>
      <c r="EA14" s="500"/>
      <c r="EH14" s="189"/>
    </row>
    <row r="15" spans="1:138" ht="12.75" customHeight="1" x14ac:dyDescent="0.2">
      <c r="A15" s="22" t="s">
        <v>404</v>
      </c>
      <c r="B15" s="888">
        <f>B11+B9</f>
        <v>35484</v>
      </c>
      <c r="C15" s="888">
        <f t="shared" ref="C15:AO15" si="63">C11+C9</f>
        <v>37137</v>
      </c>
      <c r="D15" s="888">
        <f t="shared" si="63"/>
        <v>38090</v>
      </c>
      <c r="E15" s="888">
        <f t="shared" si="63"/>
        <v>36448</v>
      </c>
      <c r="F15" s="200">
        <f t="shared" si="63"/>
        <v>147159</v>
      </c>
      <c r="G15" s="888">
        <f t="shared" si="63"/>
        <v>37727</v>
      </c>
      <c r="H15" s="888">
        <f t="shared" si="63"/>
        <v>38239</v>
      </c>
      <c r="I15" s="888">
        <f t="shared" si="63"/>
        <v>37730</v>
      </c>
      <c r="J15" s="888">
        <f t="shared" si="63"/>
        <v>34141.31</v>
      </c>
      <c r="K15" s="200">
        <f t="shared" si="63"/>
        <v>147837.31</v>
      </c>
      <c r="L15" s="888">
        <f t="shared" si="63"/>
        <v>33740</v>
      </c>
      <c r="M15" s="888">
        <f t="shared" si="63"/>
        <v>35859</v>
      </c>
      <c r="N15" s="888">
        <f t="shared" si="63"/>
        <v>36840</v>
      </c>
      <c r="O15" s="888">
        <f t="shared" si="63"/>
        <v>35280</v>
      </c>
      <c r="P15" s="200">
        <f t="shared" si="63"/>
        <v>141719</v>
      </c>
      <c r="Q15" s="888">
        <f t="shared" si="63"/>
        <v>33204</v>
      </c>
      <c r="R15" s="888">
        <f t="shared" si="63"/>
        <v>32034</v>
      </c>
      <c r="S15" s="888">
        <f t="shared" si="63"/>
        <v>34509</v>
      </c>
      <c r="T15" s="888">
        <f t="shared" si="63"/>
        <v>34636</v>
      </c>
      <c r="U15" s="200">
        <f t="shared" si="63"/>
        <v>134383</v>
      </c>
      <c r="V15" s="888">
        <f t="shared" si="63"/>
        <v>35749</v>
      </c>
      <c r="W15" s="888">
        <f t="shared" si="63"/>
        <v>38620</v>
      </c>
      <c r="X15" s="888">
        <f t="shared" si="63"/>
        <v>39167</v>
      </c>
      <c r="Y15" s="888">
        <f t="shared" si="63"/>
        <v>38143</v>
      </c>
      <c r="Z15" s="200">
        <f t="shared" si="63"/>
        <v>151679</v>
      </c>
      <c r="AA15" s="888">
        <f t="shared" si="63"/>
        <v>37877</v>
      </c>
      <c r="AB15" s="888">
        <f t="shared" si="63"/>
        <v>40475</v>
      </c>
      <c r="AC15" s="888">
        <f t="shared" si="63"/>
        <v>41045</v>
      </c>
      <c r="AD15" s="888">
        <f t="shared" si="63"/>
        <v>37396</v>
      </c>
      <c r="AE15" s="200">
        <f t="shared" si="63"/>
        <v>156793</v>
      </c>
      <c r="AF15" s="888">
        <f t="shared" si="63"/>
        <v>34602</v>
      </c>
      <c r="AG15" s="888">
        <f t="shared" si="63"/>
        <v>37718</v>
      </c>
      <c r="AH15" s="888">
        <f t="shared" si="63"/>
        <v>39643</v>
      </c>
      <c r="AI15" s="888">
        <f t="shared" si="63"/>
        <v>36032</v>
      </c>
      <c r="AJ15" s="200">
        <f t="shared" si="63"/>
        <v>147995</v>
      </c>
      <c r="AK15" s="888">
        <f t="shared" si="63"/>
        <v>35279</v>
      </c>
      <c r="AL15" s="888">
        <f t="shared" si="63"/>
        <v>38127</v>
      </c>
      <c r="AM15" s="888">
        <f t="shared" si="63"/>
        <v>40943</v>
      </c>
      <c r="AN15" s="888">
        <f t="shared" si="63"/>
        <v>37414</v>
      </c>
      <c r="AO15" s="200">
        <f t="shared" si="63"/>
        <v>151763</v>
      </c>
      <c r="AP15" s="868">
        <v>58174</v>
      </c>
      <c r="AQ15" s="888">
        <v>61783</v>
      </c>
      <c r="AR15" s="888">
        <v>64832</v>
      </c>
      <c r="AS15" s="888">
        <v>60402</v>
      </c>
      <c r="AT15" s="272">
        <f>SUM(AP15:AS15)</f>
        <v>245191</v>
      </c>
      <c r="AU15" s="888">
        <v>59575</v>
      </c>
      <c r="AV15" s="888">
        <v>63399</v>
      </c>
      <c r="AW15" s="888">
        <f>246164-AV15-AU15-AX15</f>
        <v>65092</v>
      </c>
      <c r="AX15" s="888">
        <v>58098</v>
      </c>
      <c r="AY15" s="272">
        <f>SUM(AU15:AX15)</f>
        <v>246164</v>
      </c>
      <c r="AZ15" s="868">
        <v>55740</v>
      </c>
      <c r="BA15" s="888">
        <v>59029</v>
      </c>
      <c r="BB15" s="888">
        <v>62234</v>
      </c>
      <c r="BC15" s="888">
        <v>53324</v>
      </c>
      <c r="BD15" s="198">
        <f>SUM(AZ15:BC15)</f>
        <v>230327</v>
      </c>
      <c r="BE15" s="868">
        <v>53301.034999999989</v>
      </c>
      <c r="BF15" s="888">
        <v>58698</v>
      </c>
      <c r="BG15" s="888">
        <v>63657.576000000001</v>
      </c>
      <c r="BH15" s="888">
        <v>57027.37900000003</v>
      </c>
      <c r="BI15" s="198">
        <f>SUM(BE15:BH15)</f>
        <v>232683.99</v>
      </c>
      <c r="BJ15" s="868">
        <v>56218.775000000001</v>
      </c>
      <c r="BK15" s="888">
        <v>60141</v>
      </c>
      <c r="BL15" s="888">
        <v>63262</v>
      </c>
      <c r="BM15" s="888">
        <v>55034</v>
      </c>
      <c r="BN15" s="316">
        <f>SUM(BJ15:BM15)</f>
        <v>234655.77499999999</v>
      </c>
      <c r="BO15" s="868">
        <v>54408</v>
      </c>
      <c r="BP15" s="888">
        <v>59382</v>
      </c>
      <c r="BQ15" s="888">
        <v>62283</v>
      </c>
      <c r="BR15" s="888">
        <v>54342</v>
      </c>
      <c r="BS15" s="198">
        <f>SUM(BO15:BR15)</f>
        <v>230415</v>
      </c>
      <c r="BT15" s="868">
        <v>53022</v>
      </c>
      <c r="BU15" s="888">
        <v>59880</v>
      </c>
      <c r="BV15" s="888">
        <v>63893</v>
      </c>
      <c r="BW15" s="888">
        <v>55945</v>
      </c>
      <c r="BX15" s="198">
        <f>SUM(BT15:BW15)</f>
        <v>232740</v>
      </c>
      <c r="BY15" s="868">
        <v>53904</v>
      </c>
      <c r="BZ15" s="888">
        <v>61817</v>
      </c>
      <c r="CA15" s="888">
        <v>65926</v>
      </c>
      <c r="CB15" s="888">
        <v>58029</v>
      </c>
      <c r="CC15" s="773">
        <f>SUM(BY15:CB15)</f>
        <v>239676</v>
      </c>
      <c r="CD15" s="868">
        <v>56597</v>
      </c>
      <c r="CE15" s="888">
        <v>63937</v>
      </c>
      <c r="CF15" s="888">
        <v>68031</v>
      </c>
      <c r="CG15" s="888">
        <v>58199</v>
      </c>
      <c r="CH15" s="773">
        <f>SUM(CD15:CG15)</f>
        <v>246764</v>
      </c>
      <c r="CI15" s="868">
        <v>58145</v>
      </c>
      <c r="CJ15" s="888">
        <v>65979</v>
      </c>
      <c r="CK15" s="888">
        <v>69028</v>
      </c>
      <c r="CL15" s="888">
        <v>58715</v>
      </c>
      <c r="CM15" s="773">
        <f>SUM(CI15:CL15)</f>
        <v>251867</v>
      </c>
      <c r="CN15" s="868">
        <v>57871</v>
      </c>
      <c r="CO15" s="888">
        <v>66227</v>
      </c>
      <c r="CP15" s="888">
        <v>70167</v>
      </c>
      <c r="CQ15" s="888">
        <v>60060</v>
      </c>
      <c r="CR15" s="773">
        <f>SUM(CN15:CQ15)</f>
        <v>254325</v>
      </c>
      <c r="CS15" s="868">
        <v>57871</v>
      </c>
      <c r="CT15" s="888">
        <v>66227</v>
      </c>
      <c r="CU15" s="888">
        <v>70167</v>
      </c>
      <c r="CV15" s="888">
        <v>60060</v>
      </c>
      <c r="CW15" s="773">
        <f>SUM(CS15:CV15)</f>
        <v>254325</v>
      </c>
      <c r="CX15" s="868">
        <v>59456.148999999998</v>
      </c>
      <c r="CY15" s="782">
        <f>CT15*(1+CY16)</f>
        <v>68544.944999999992</v>
      </c>
      <c r="CZ15" s="782">
        <f>CU15*(1+CZ16)</f>
        <v>72272.009999999995</v>
      </c>
      <c r="DA15" s="782">
        <f>CV15*(1+DA16)</f>
        <v>61861.8</v>
      </c>
      <c r="DB15" s="773">
        <f>SUM(CX15:DA15)</f>
        <v>262134.90399999998</v>
      </c>
      <c r="DC15" s="782"/>
      <c r="DD15" s="782"/>
      <c r="DE15" s="782"/>
      <c r="DF15" s="782"/>
      <c r="DG15" s="773">
        <f>DB15*(1+DG16)</f>
        <v>268688.27659999998</v>
      </c>
      <c r="DH15" s="782"/>
      <c r="DI15" s="782"/>
      <c r="DJ15" s="782"/>
      <c r="DK15" s="782"/>
      <c r="DL15" s="773">
        <f>DG15*(1+DL16)</f>
        <v>275405.48351499997</v>
      </c>
      <c r="DM15" s="17"/>
      <c r="DN15" s="498"/>
      <c r="DO15" s="486"/>
      <c r="DP15" s="411"/>
      <c r="DQ15" s="411"/>
      <c r="DR15" s="411"/>
      <c r="DS15" s="555"/>
      <c r="DT15" s="555"/>
      <c r="DU15" s="459"/>
      <c r="DV15" s="459"/>
      <c r="DW15" s="461"/>
      <c r="DX15" s="459"/>
      <c r="DY15" s="459"/>
      <c r="DZ15" s="459"/>
      <c r="EA15" s="498"/>
      <c r="EH15" s="188"/>
    </row>
    <row r="16" spans="1:138" ht="12.75" customHeight="1" x14ac:dyDescent="0.2">
      <c r="A16" s="142" t="s">
        <v>244</v>
      </c>
      <c r="B16" s="780"/>
      <c r="C16" s="780"/>
      <c r="D16" s="780"/>
      <c r="E16" s="780"/>
      <c r="F16" s="201"/>
      <c r="G16" s="780">
        <f t="shared" ref="G16:AO16" si="64">G15/B15-1</f>
        <v>6.3211588321496981E-2</v>
      </c>
      <c r="H16" s="780">
        <f t="shared" si="64"/>
        <v>2.9673910116595259E-2</v>
      </c>
      <c r="I16" s="780">
        <f t="shared" si="64"/>
        <v>-9.4512995536886191E-3</v>
      </c>
      <c r="J16" s="780">
        <f t="shared" si="64"/>
        <v>-6.3287148814749838E-2</v>
      </c>
      <c r="K16" s="201">
        <f t="shared" si="64"/>
        <v>4.6093680984513608E-3</v>
      </c>
      <c r="L16" s="780">
        <f t="shared" si="64"/>
        <v>-0.10568028202613511</v>
      </c>
      <c r="M16" s="780">
        <f t="shared" si="64"/>
        <v>-6.2240121342085342E-2</v>
      </c>
      <c r="N16" s="780">
        <f t="shared" si="64"/>
        <v>-2.3588656241717465E-2</v>
      </c>
      <c r="O16" s="780">
        <f t="shared" si="64"/>
        <v>3.335226445616768E-2</v>
      </c>
      <c r="P16" s="201">
        <f t="shared" si="64"/>
        <v>-4.1385425641199736E-2</v>
      </c>
      <c r="Q16" s="780">
        <f t="shared" si="64"/>
        <v>-1.5886188500296439E-2</v>
      </c>
      <c r="R16" s="780">
        <f t="shared" si="64"/>
        <v>-0.10666778214674144</v>
      </c>
      <c r="S16" s="780">
        <f t="shared" si="64"/>
        <v>-6.3273615635179192E-2</v>
      </c>
      <c r="T16" s="780">
        <f t="shared" si="64"/>
        <v>-1.82539682539683E-2</v>
      </c>
      <c r="U16" s="201">
        <f t="shared" si="64"/>
        <v>-5.176440703081453E-2</v>
      </c>
      <c r="V16" s="780">
        <f t="shared" si="64"/>
        <v>7.6647391880496407E-2</v>
      </c>
      <c r="W16" s="780">
        <f t="shared" si="64"/>
        <v>0.20559405631516503</v>
      </c>
      <c r="X16" s="780">
        <f t="shared" si="64"/>
        <v>0.13497928076733601</v>
      </c>
      <c r="Y16" s="780">
        <f t="shared" si="64"/>
        <v>0.10125303152789011</v>
      </c>
      <c r="Z16" s="201">
        <f t="shared" si="64"/>
        <v>0.12870675606289494</v>
      </c>
      <c r="AA16" s="780">
        <f t="shared" si="64"/>
        <v>5.95261405913452E-2</v>
      </c>
      <c r="AB16" s="780">
        <f t="shared" si="64"/>
        <v>4.8032107716209138E-2</v>
      </c>
      <c r="AC16" s="780">
        <f t="shared" si="64"/>
        <v>4.7948528097633281E-2</v>
      </c>
      <c r="AD16" s="780">
        <f t="shared" si="64"/>
        <v>-1.9584196313871538E-2</v>
      </c>
      <c r="AE16" s="201">
        <f t="shared" si="64"/>
        <v>3.3715939582934951E-2</v>
      </c>
      <c r="AF16" s="780">
        <f t="shared" si="64"/>
        <v>-8.646408110462811E-2</v>
      </c>
      <c r="AG16" s="780">
        <f t="shared" si="64"/>
        <v>-6.8116121062384183E-2</v>
      </c>
      <c r="AH16" s="780">
        <f t="shared" si="64"/>
        <v>-3.4157631867462568E-2</v>
      </c>
      <c r="AI16" s="780">
        <f t="shared" si="64"/>
        <v>-3.6474489250187148E-2</v>
      </c>
      <c r="AJ16" s="201">
        <f t="shared" si="64"/>
        <v>-5.6112198886429931E-2</v>
      </c>
      <c r="AK16" s="780">
        <f t="shared" si="64"/>
        <v>1.956534304375479E-2</v>
      </c>
      <c r="AL16" s="780">
        <f t="shared" si="64"/>
        <v>1.0843629036534352E-2</v>
      </c>
      <c r="AM16" s="780">
        <f t="shared" si="64"/>
        <v>3.2792674620992335E-2</v>
      </c>
      <c r="AN16" s="780">
        <f t="shared" si="64"/>
        <v>3.8354795737122638E-2</v>
      </c>
      <c r="AO16" s="201">
        <f t="shared" si="64"/>
        <v>2.5460319605391968E-2</v>
      </c>
      <c r="AP16" s="779"/>
      <c r="AQ16" s="780"/>
      <c r="AR16" s="780"/>
      <c r="AS16" s="780"/>
      <c r="AT16" s="209"/>
      <c r="AU16" s="780">
        <f t="shared" ref="AU16:BE16" si="65">AU15/AP15-1</f>
        <v>2.4082923642864573E-2</v>
      </c>
      <c r="AV16" s="780">
        <f t="shared" si="65"/>
        <v>2.6156062347247655E-2</v>
      </c>
      <c r="AW16" s="780">
        <f t="shared" si="65"/>
        <v>4.0103652517275989E-3</v>
      </c>
      <c r="AX16" s="780">
        <f t="shared" si="65"/>
        <v>-3.8144432303566123E-2</v>
      </c>
      <c r="AY16" s="209">
        <f t="shared" si="65"/>
        <v>3.9683348899428594E-3</v>
      </c>
      <c r="AZ16" s="779">
        <f t="shared" si="65"/>
        <v>-6.4372639530004161E-2</v>
      </c>
      <c r="BA16" s="780">
        <f t="shared" si="65"/>
        <v>-6.8928531995772757E-2</v>
      </c>
      <c r="BB16" s="780">
        <f t="shared" si="65"/>
        <v>-4.3907085356111319E-2</v>
      </c>
      <c r="BC16" s="780">
        <f t="shared" si="65"/>
        <v>-8.2171503321973205E-2</v>
      </c>
      <c r="BD16" s="209">
        <f>BD15/AY15-1</f>
        <v>-6.4335158674704629E-2</v>
      </c>
      <c r="BE16" s="779">
        <f t="shared" si="65"/>
        <v>-4.3756099748834099E-2</v>
      </c>
      <c r="BF16" s="780">
        <f t="shared" ref="BF16:CF16" si="66">BF15/BA15-1</f>
        <v>-5.607413305324549E-3</v>
      </c>
      <c r="BG16" s="780">
        <f t="shared" si="66"/>
        <v>2.2874570170646313E-2</v>
      </c>
      <c r="BH16" s="780">
        <f t="shared" si="66"/>
        <v>6.9450510089266171E-2</v>
      </c>
      <c r="BI16" s="209">
        <f t="shared" si="66"/>
        <v>1.0233233620027038E-2</v>
      </c>
      <c r="BJ16" s="779">
        <f t="shared" si="66"/>
        <v>5.474077567161717E-2</v>
      </c>
      <c r="BK16" s="780">
        <f t="shared" si="66"/>
        <v>2.4583461106000293E-2</v>
      </c>
      <c r="BL16" s="780">
        <f t="shared" si="66"/>
        <v>-6.2141228877455879E-3</v>
      </c>
      <c r="BM16" s="780">
        <f t="shared" si="66"/>
        <v>-3.4954771461617185E-2</v>
      </c>
      <c r="BN16" s="324">
        <f>BN15/BI15-1</f>
        <v>8.4740896870472149E-3</v>
      </c>
      <c r="BO16" s="779">
        <f t="shared" si="66"/>
        <v>-3.2209435371012618E-2</v>
      </c>
      <c r="BP16" s="780">
        <f t="shared" si="66"/>
        <v>-1.262034219583974E-2</v>
      </c>
      <c r="BQ16" s="780">
        <f t="shared" si="66"/>
        <v>-1.5475324839556159E-2</v>
      </c>
      <c r="BR16" s="780">
        <f t="shared" si="66"/>
        <v>-1.2574045135734235E-2</v>
      </c>
      <c r="BS16" s="209">
        <f>BS15/BN15-1</f>
        <v>-1.8072323172101723E-2</v>
      </c>
      <c r="BT16" s="779">
        <f t="shared" si="66"/>
        <v>-2.5474194971327746E-2</v>
      </c>
      <c r="BU16" s="780">
        <f t="shared" si="66"/>
        <v>8.3863797110235172E-3</v>
      </c>
      <c r="BV16" s="780">
        <f t="shared" si="66"/>
        <v>2.5849750333156729E-2</v>
      </c>
      <c r="BW16" s="780">
        <f t="shared" si="66"/>
        <v>2.9498362224430474E-2</v>
      </c>
      <c r="BX16" s="209">
        <f>BX15/BS15-1</f>
        <v>1.0090488900462269E-2</v>
      </c>
      <c r="BY16" s="779">
        <f t="shared" si="66"/>
        <v>1.663460450379084E-2</v>
      </c>
      <c r="BZ16" s="780">
        <f t="shared" si="66"/>
        <v>3.2348029392117672E-2</v>
      </c>
      <c r="CA16" s="780">
        <f t="shared" si="66"/>
        <v>3.1818822093186983E-2</v>
      </c>
      <c r="CB16" s="780">
        <f t="shared" si="66"/>
        <v>3.725087139154537E-2</v>
      </c>
      <c r="CC16" s="781">
        <f>CC15/BX15-1</f>
        <v>2.9801495230729502E-2</v>
      </c>
      <c r="CD16" s="779">
        <f t="shared" si="66"/>
        <v>4.9959186702285496E-2</v>
      </c>
      <c r="CE16" s="780">
        <f t="shared" si="66"/>
        <v>3.4294773282430357E-2</v>
      </c>
      <c r="CF16" s="780">
        <f t="shared" si="66"/>
        <v>3.1929739404787272E-2</v>
      </c>
      <c r="CG16" s="780">
        <f>CG15/CB15-1</f>
        <v>2.9295696979096952E-3</v>
      </c>
      <c r="CH16" s="781">
        <f>CH15/CC15-1</f>
        <v>2.9573257230594674E-2</v>
      </c>
      <c r="CI16" s="779">
        <f>CI15/CD15-1</f>
        <v>2.7351273035673307E-2</v>
      </c>
      <c r="CJ16" s="780">
        <f t="shared" ref="CJ16:CK16" si="67">CJ15/CE15-1</f>
        <v>3.1937688662276864E-2</v>
      </c>
      <c r="CK16" s="780">
        <f t="shared" si="67"/>
        <v>1.4655083711837325E-2</v>
      </c>
      <c r="CL16" s="780">
        <f>CL15/CG15-1</f>
        <v>8.8661317204763446E-3</v>
      </c>
      <c r="CM16" s="781">
        <f>CM15/CH15-1</f>
        <v>2.0679677748780101E-2</v>
      </c>
      <c r="CN16" s="779">
        <f>CN15/CI15-1</f>
        <v>-4.7123570384384195E-3</v>
      </c>
      <c r="CO16" s="780">
        <f t="shared" ref="CO16:CP16" si="68">CO15/CJ15-1</f>
        <v>3.7587717303990686E-3</v>
      </c>
      <c r="CP16" s="780">
        <f t="shared" si="68"/>
        <v>1.6500550501245881E-2</v>
      </c>
      <c r="CQ16" s="780">
        <f>CQ15/CL15-1</f>
        <v>2.2907263901899011E-2</v>
      </c>
      <c r="CR16" s="781">
        <f>CR15/CM15-1</f>
        <v>9.7591189000543199E-3</v>
      </c>
      <c r="CS16" s="779">
        <f t="shared" ref="CS16:CW16" si="69">CS15/CI15-1</f>
        <v>-4.7123570384384195E-3</v>
      </c>
      <c r="CT16" s="780">
        <f t="shared" si="69"/>
        <v>3.7587717303990686E-3</v>
      </c>
      <c r="CU16" s="780">
        <f t="shared" si="69"/>
        <v>1.6500550501245881E-2</v>
      </c>
      <c r="CV16" s="780">
        <f t="shared" si="69"/>
        <v>2.2907263901899011E-2</v>
      </c>
      <c r="CW16" s="781">
        <f t="shared" si="69"/>
        <v>9.7591189000543199E-3</v>
      </c>
      <c r="CX16" s="779">
        <f>CX15/CS15-1</f>
        <v>2.7391076705085338E-2</v>
      </c>
      <c r="CY16" s="785">
        <v>3.5000000000000003E-2</v>
      </c>
      <c r="CZ16" s="785">
        <v>0.03</v>
      </c>
      <c r="DA16" s="785">
        <v>0.03</v>
      </c>
      <c r="DB16" s="781">
        <f>DB15/CW15-1</f>
        <v>3.0708361348668056E-2</v>
      </c>
      <c r="DC16" s="780"/>
      <c r="DD16" s="780"/>
      <c r="DE16" s="785"/>
      <c r="DF16" s="785"/>
      <c r="DG16" s="786">
        <v>2.5000000000000001E-2</v>
      </c>
      <c r="DH16" s="780"/>
      <c r="DI16" s="780"/>
      <c r="DJ16" s="785"/>
      <c r="DK16" s="785"/>
      <c r="DL16" s="786">
        <v>2.5000000000000001E-2</v>
      </c>
      <c r="DM16" s="33"/>
      <c r="DN16" s="499"/>
      <c r="DO16" s="486"/>
      <c r="DP16" s="411"/>
      <c r="DQ16" s="411"/>
      <c r="DR16" s="411"/>
      <c r="DS16" s="459" t="s">
        <v>584</v>
      </c>
      <c r="DT16" s="555"/>
      <c r="DU16" s="461"/>
      <c r="DV16" s="461"/>
      <c r="DW16" s="461"/>
      <c r="DX16" s="461"/>
      <c r="DY16" s="461"/>
      <c r="DZ16" s="461"/>
      <c r="EA16" s="499"/>
      <c r="EH16" s="189"/>
    </row>
    <row r="17" spans="1:138" ht="12.75" customHeight="1" x14ac:dyDescent="0.2">
      <c r="A17" s="143" t="s">
        <v>42</v>
      </c>
      <c r="B17" s="780"/>
      <c r="C17" s="780"/>
      <c r="D17" s="780"/>
      <c r="E17" s="780"/>
      <c r="F17" s="201"/>
      <c r="G17" s="780"/>
      <c r="H17" s="780"/>
      <c r="I17" s="780"/>
      <c r="J17" s="780"/>
      <c r="K17" s="201"/>
      <c r="L17" s="780"/>
      <c r="M17" s="780"/>
      <c r="N17" s="780"/>
      <c r="O17" s="780"/>
      <c r="P17" s="201"/>
      <c r="Q17" s="780"/>
      <c r="R17" s="780"/>
      <c r="S17" s="780"/>
      <c r="T17" s="780"/>
      <c r="U17" s="201"/>
      <c r="V17" s="780"/>
      <c r="W17" s="780">
        <f>W15/V15-1</f>
        <v>8.0309938739545172E-2</v>
      </c>
      <c r="X17" s="780">
        <f>X15/W15-1</f>
        <v>1.4163645779389E-2</v>
      </c>
      <c r="Y17" s="780">
        <f>Y15/X15-1</f>
        <v>-2.6144458345035315E-2</v>
      </c>
      <c r="Z17" s="201"/>
      <c r="AA17" s="780">
        <f>AA15/Y15-1</f>
        <v>-6.9737566525968075E-3</v>
      </c>
      <c r="AB17" s="780">
        <f>AB15/AA15-1</f>
        <v>6.8590437468648568E-2</v>
      </c>
      <c r="AC17" s="780">
        <f>AC15/AB15-1</f>
        <v>1.4082767140209951E-2</v>
      </c>
      <c r="AD17" s="780">
        <f>AD15/AC15-1</f>
        <v>-8.8902424168595395E-2</v>
      </c>
      <c r="AE17" s="201"/>
      <c r="AF17" s="780">
        <f>AF15/AD15-1</f>
        <v>-7.4713873141512455E-2</v>
      </c>
      <c r="AG17" s="780">
        <f>AG15/AF15-1</f>
        <v>9.0052598115715865E-2</v>
      </c>
      <c r="AH17" s="780">
        <f>AH15/AG15-1</f>
        <v>5.1036640330876404E-2</v>
      </c>
      <c r="AI17" s="780">
        <f>AI15/AH15-1</f>
        <v>-9.1087960043387262E-2</v>
      </c>
      <c r="AJ17" s="201"/>
      <c r="AK17" s="780">
        <f>AK15/AI15-1</f>
        <v>-2.0898090586145668E-2</v>
      </c>
      <c r="AL17" s="780">
        <f>AL15/AK15-1</f>
        <v>8.0727911788882833E-2</v>
      </c>
      <c r="AM17" s="780">
        <f>AM15/AL15-1</f>
        <v>7.3858420541873304E-2</v>
      </c>
      <c r="AN17" s="780">
        <f>AN15/AM15-1</f>
        <v>-8.6193000024424204E-2</v>
      </c>
      <c r="AO17" s="201"/>
      <c r="AP17" s="779"/>
      <c r="AQ17" s="780"/>
      <c r="AR17" s="780"/>
      <c r="AS17" s="780"/>
      <c r="AT17" s="206"/>
      <c r="AU17" s="780"/>
      <c r="AV17" s="780">
        <f>AV15/AU15-1</f>
        <v>6.4187998321443507E-2</v>
      </c>
      <c r="AW17" s="780">
        <f>AW15/AV15-1</f>
        <v>2.67038912285682E-2</v>
      </c>
      <c r="AX17" s="780">
        <f>AX15/AW15-1</f>
        <v>-0.10744791986726476</v>
      </c>
      <c r="AY17" s="206"/>
      <c r="AZ17" s="779">
        <f>AZ15/AX15-1</f>
        <v>-4.0586595063513364E-2</v>
      </c>
      <c r="BA17" s="780">
        <f>BA15/AZ15-1</f>
        <v>5.9006099748833973E-2</v>
      </c>
      <c r="BB17" s="780">
        <f>BB15/BA15-1</f>
        <v>5.4295346355181406E-2</v>
      </c>
      <c r="BC17" s="780">
        <f>BC15/BB15-1</f>
        <v>-0.14316932866278886</v>
      </c>
      <c r="BD17" s="206"/>
      <c r="BE17" s="779">
        <f>BE15/BC15-1</f>
        <v>-4.3066911709566114E-4</v>
      </c>
      <c r="BF17" s="780">
        <f>BF15/BE15-1</f>
        <v>0.10125441278954539</v>
      </c>
      <c r="BG17" s="780">
        <f>BG15/BF15-1</f>
        <v>8.4493100275988997E-2</v>
      </c>
      <c r="BH17" s="780">
        <f>BH15/BG15-1</f>
        <v>-0.10415409157269784</v>
      </c>
      <c r="BI17" s="206"/>
      <c r="BJ17" s="779">
        <f>BJ15/BH15-1</f>
        <v>-1.4179224333631502E-2</v>
      </c>
      <c r="BK17" s="780">
        <f>BK15/BJ15-1</f>
        <v>6.9767172977355019E-2</v>
      </c>
      <c r="BL17" s="780">
        <f>BL15/BK15-1</f>
        <v>5.1894714088558613E-2</v>
      </c>
      <c r="BM17" s="780">
        <f>BM15/BL15-1</f>
        <v>-0.13006228067402237</v>
      </c>
      <c r="BN17" s="317"/>
      <c r="BO17" s="779">
        <f>BO15/BM15-1</f>
        <v>-1.1374786495620848E-2</v>
      </c>
      <c r="BP17" s="780">
        <f>BP15/BO15-1</f>
        <v>9.1420379355977133E-2</v>
      </c>
      <c r="BQ17" s="780">
        <f>BQ15/BP15-1</f>
        <v>4.8853187834697387E-2</v>
      </c>
      <c r="BR17" s="780">
        <f>BR15/BQ15-1</f>
        <v>-0.12749867540099225</v>
      </c>
      <c r="BS17" s="206"/>
      <c r="BT17" s="779">
        <f>BT15/BR15-1</f>
        <v>-2.4290603952743739E-2</v>
      </c>
      <c r="BU17" s="780">
        <f>BU15/BT15-1</f>
        <v>0.12934253706008825</v>
      </c>
      <c r="BV17" s="780">
        <f>BV15/BU15-1</f>
        <v>6.7017368069472338E-2</v>
      </c>
      <c r="BW17" s="780">
        <f>BW15/BV15-1</f>
        <v>-0.12439547368256298</v>
      </c>
      <c r="BX17" s="206"/>
      <c r="BY17" s="779">
        <f>BY15/BW15-1</f>
        <v>-3.6482259361873215E-2</v>
      </c>
      <c r="BZ17" s="780">
        <f>BZ15/BY15-1</f>
        <v>0.14679801127931147</v>
      </c>
      <c r="CA17" s="780">
        <f>CA15/BZ15-1</f>
        <v>6.647038840448416E-2</v>
      </c>
      <c r="CB17" s="780">
        <f>CB15/CA15-1</f>
        <v>-0.11978582046537023</v>
      </c>
      <c r="CC17" s="781"/>
      <c r="CD17" s="779">
        <f>CD15/CB15-1</f>
        <v>-2.4677316514156722E-2</v>
      </c>
      <c r="CE17" s="780">
        <f>CE15/CD15-1</f>
        <v>0.12968885276604758</v>
      </c>
      <c r="CF17" s="780">
        <f>CF15/CE15-1</f>
        <v>6.4031781284702216E-2</v>
      </c>
      <c r="CG17" s="780">
        <f>CG15/CF15-1</f>
        <v>-0.14452235010509917</v>
      </c>
      <c r="CH17" s="781"/>
      <c r="CI17" s="779">
        <f>CI15/CG15-1</f>
        <v>-9.2785099400338744E-4</v>
      </c>
      <c r="CJ17" s="780">
        <f>CJ15/CI15-1</f>
        <v>0.13473213517929317</v>
      </c>
      <c r="CK17" s="780">
        <f>CK15/CJ15-1</f>
        <v>4.6211673411236998E-2</v>
      </c>
      <c r="CL17" s="780">
        <f>CL15/CK15-1</f>
        <v>-0.14940314075447647</v>
      </c>
      <c r="CM17" s="781"/>
      <c r="CN17" s="779">
        <f>CN15/CL15-1</f>
        <v>-1.4374520991228823E-2</v>
      </c>
      <c r="CO17" s="780">
        <f>CO15/CN15-1</f>
        <v>0.14439010903561367</v>
      </c>
      <c r="CP17" s="780">
        <f>CP15/CO15-1</f>
        <v>5.9492352061847997E-2</v>
      </c>
      <c r="CQ17" s="780">
        <f>CQ15/CP15-1</f>
        <v>-0.14404207105904487</v>
      </c>
      <c r="CR17" s="781"/>
      <c r="CS17" s="779">
        <f>CS15/CL15-1</f>
        <v>-1.4374520991228823E-2</v>
      </c>
      <c r="CT17" s="780">
        <f>CT15/CS15-1</f>
        <v>0.14439010903561367</v>
      </c>
      <c r="CU17" s="780">
        <f>CU15/CT15-1</f>
        <v>5.9492352061847997E-2</v>
      </c>
      <c r="CV17" s="780">
        <f>CV15/CU15-1</f>
        <v>-0.14404207105904487</v>
      </c>
      <c r="CW17" s="781"/>
      <c r="CX17" s="779">
        <f>CX15/CV15-1</f>
        <v>-1.0054129204129292E-2</v>
      </c>
      <c r="CY17" s="780">
        <f>CY15/CX15-1</f>
        <v>0.15286553456396912</v>
      </c>
      <c r="CZ17" s="780">
        <f>CZ15/CY15-1</f>
        <v>5.4374031520486366E-2</v>
      </c>
      <c r="DA17" s="780">
        <f>DA15/CZ15-1</f>
        <v>-0.14404207105904476</v>
      </c>
      <c r="DB17" s="781"/>
      <c r="DC17" s="780"/>
      <c r="DD17" s="780"/>
      <c r="DE17" s="780"/>
      <c r="DF17" s="780"/>
      <c r="DG17" s="781"/>
      <c r="DH17" s="780"/>
      <c r="DI17" s="780"/>
      <c r="DJ17" s="780"/>
      <c r="DK17" s="780"/>
      <c r="DL17" s="781"/>
      <c r="DM17" s="20"/>
      <c r="DN17" s="500"/>
      <c r="DO17" s="405">
        <f>AVERAGE(AF17,AK17,AP17,AU17,AZ17,BE17,BJ17,AA17,BO17,BT17,BY17,CD17)</f>
        <v>-2.5460717521888998E-2</v>
      </c>
      <c r="DP17" s="405">
        <f t="shared" ref="DP17" si="70">AVERAGE(AG17,AL17,AQ17,AV17,BA17,BF17,BK17,AB17,BP17,BU17,BZ17,CE17)</f>
        <v>9.3712401061077241E-2</v>
      </c>
      <c r="DQ17" s="405">
        <f t="shared" ref="DQ17" si="71">AVERAGE(AH17,AM17,AR17,AW17,BB17,BG17,BL17,AC17,BQ17,BV17,CA17,CF17)</f>
        <v>5.4794327777692088E-2</v>
      </c>
      <c r="DR17" s="405">
        <f t="shared" ref="DR17" si="72">AVERAGE(AI17,AN17,AS17,AX17,BC17,BH17,BM17,AD17,BR17,BW17,CB17,CG17)</f>
        <v>-0.11520175678792775</v>
      </c>
      <c r="DS17" s="555"/>
      <c r="DT17" s="555"/>
      <c r="DU17" s="461"/>
      <c r="DV17" s="461"/>
      <c r="DW17" s="461"/>
      <c r="DX17" s="461"/>
      <c r="DY17" s="461"/>
      <c r="DZ17" s="461"/>
      <c r="EA17" s="500"/>
      <c r="EH17" s="188"/>
    </row>
    <row r="18" spans="1:138" ht="12.75" customHeight="1" x14ac:dyDescent="0.2">
      <c r="A18" s="5" t="s">
        <v>334</v>
      </c>
      <c r="B18" s="5"/>
      <c r="C18" s="5"/>
      <c r="D18" s="5"/>
      <c r="E18" s="5"/>
      <c r="F18" s="197"/>
      <c r="G18" s="5"/>
      <c r="H18" s="5"/>
      <c r="I18" s="5"/>
      <c r="J18" s="5"/>
      <c r="K18" s="197"/>
      <c r="L18" s="5"/>
      <c r="M18" s="5"/>
      <c r="N18" s="5"/>
      <c r="O18" s="5"/>
      <c r="P18" s="197"/>
      <c r="Q18" s="5"/>
      <c r="R18" s="5"/>
      <c r="S18" s="5"/>
      <c r="T18" s="5"/>
      <c r="U18" s="197"/>
      <c r="V18" s="5"/>
      <c r="W18" s="5"/>
      <c r="X18" s="5"/>
      <c r="Y18" s="5"/>
      <c r="Z18" s="197"/>
      <c r="AA18" s="5"/>
      <c r="AB18" s="5"/>
      <c r="AC18" s="5"/>
      <c r="AD18" s="5"/>
      <c r="AE18" s="197"/>
      <c r="AF18" s="5"/>
      <c r="AG18" s="5"/>
      <c r="AH18" s="5"/>
      <c r="AI18" s="5"/>
      <c r="AJ18" s="197"/>
      <c r="AK18" s="5"/>
      <c r="AL18" s="5"/>
      <c r="AM18" s="5"/>
      <c r="AN18" s="5"/>
      <c r="AO18" s="197"/>
      <c r="AP18" s="315"/>
      <c r="AQ18" s="5"/>
      <c r="AR18" s="5"/>
      <c r="AS18" s="5"/>
      <c r="AT18" s="197"/>
      <c r="AU18" s="5"/>
      <c r="AV18" s="5"/>
      <c r="AW18" s="5"/>
      <c r="AX18" s="5"/>
      <c r="AY18" s="197"/>
      <c r="AZ18" s="315"/>
      <c r="BA18" s="5"/>
      <c r="BB18" s="5"/>
      <c r="BC18" s="5"/>
      <c r="BD18" s="197"/>
      <c r="BE18" s="315"/>
      <c r="BF18" s="5"/>
      <c r="BG18" s="5"/>
      <c r="BH18" s="5"/>
      <c r="BI18" s="197"/>
      <c r="BJ18" s="315"/>
      <c r="BK18" s="5"/>
      <c r="BL18" s="5"/>
      <c r="BM18" s="5"/>
      <c r="BN18" s="315"/>
      <c r="BO18" s="315"/>
      <c r="BP18" s="5"/>
      <c r="BQ18" s="5"/>
      <c r="BR18" s="5"/>
      <c r="BS18" s="197"/>
      <c r="BT18" s="315"/>
      <c r="BU18" s="5"/>
      <c r="BV18" s="5"/>
      <c r="BW18" s="5"/>
      <c r="BX18" s="197"/>
      <c r="BY18" s="315"/>
      <c r="BZ18" s="5"/>
      <c r="CA18" s="5"/>
      <c r="CB18" s="5"/>
      <c r="CC18" s="197"/>
      <c r="CD18" s="315"/>
      <c r="CE18" s="5"/>
      <c r="CF18" s="5"/>
      <c r="CG18" s="5"/>
      <c r="CH18" s="197"/>
      <c r="CI18" s="315"/>
      <c r="CJ18" s="5"/>
      <c r="CK18" s="5"/>
      <c r="CL18" s="5"/>
      <c r="CM18" s="197"/>
      <c r="CN18" s="315"/>
      <c r="CO18" s="5"/>
      <c r="CP18" s="5"/>
      <c r="CQ18" s="5"/>
      <c r="CR18" s="197"/>
      <c r="CS18" s="315"/>
      <c r="CT18" s="5"/>
      <c r="CU18" s="5"/>
      <c r="CV18" s="5"/>
      <c r="CW18" s="197"/>
      <c r="CX18" s="315"/>
      <c r="CY18" s="5"/>
      <c r="CZ18" s="5"/>
      <c r="DA18" s="5"/>
      <c r="DB18" s="197"/>
      <c r="DC18" s="5"/>
      <c r="DD18" s="5"/>
      <c r="DE18" s="5"/>
      <c r="DF18" s="5"/>
      <c r="DG18" s="197"/>
      <c r="DH18" s="5"/>
      <c r="DI18" s="5"/>
      <c r="DJ18" s="5"/>
      <c r="DK18" s="5"/>
      <c r="DL18" s="197"/>
      <c r="DM18" s="413"/>
      <c r="DN18" s="4"/>
      <c r="DO18" s="487"/>
      <c r="DP18" s="413"/>
      <c r="DQ18" s="413"/>
      <c r="DR18" s="413"/>
      <c r="DS18" s="577"/>
      <c r="DT18" s="555"/>
      <c r="DU18" s="925"/>
      <c r="DV18" s="458"/>
      <c r="DW18" s="814"/>
      <c r="DX18" s="458"/>
      <c r="DY18" s="458"/>
      <c r="DZ18" s="458"/>
      <c r="EA18" s="4"/>
      <c r="EH18" s="5"/>
    </row>
    <row r="19" spans="1:138" ht="12.75" customHeight="1" x14ac:dyDescent="0.2">
      <c r="A19" s="23" t="s">
        <v>252</v>
      </c>
      <c r="B19" s="889">
        <v>586</v>
      </c>
      <c r="C19" s="889">
        <v>593</v>
      </c>
      <c r="D19" s="889">
        <v>602</v>
      </c>
      <c r="E19" s="889">
        <v>605</v>
      </c>
      <c r="F19" s="202">
        <f>E19</f>
        <v>605</v>
      </c>
      <c r="G19" s="889">
        <v>829</v>
      </c>
      <c r="H19" s="889">
        <v>826</v>
      </c>
      <c r="I19" s="889">
        <v>828</v>
      </c>
      <c r="J19" s="889">
        <v>814</v>
      </c>
      <c r="K19" s="202">
        <f>J19</f>
        <v>814</v>
      </c>
      <c r="L19" s="889">
        <v>832</v>
      </c>
      <c r="M19" s="889">
        <v>831</v>
      </c>
      <c r="N19" s="889">
        <v>822</v>
      </c>
      <c r="O19" s="889">
        <v>831</v>
      </c>
      <c r="P19" s="202">
        <f>O19</f>
        <v>831</v>
      </c>
      <c r="Q19" s="889">
        <v>827</v>
      </c>
      <c r="R19" s="889">
        <v>816</v>
      </c>
      <c r="S19" s="889">
        <v>829</v>
      </c>
      <c r="T19" s="889">
        <v>833</v>
      </c>
      <c r="U19" s="202">
        <f>T19</f>
        <v>833</v>
      </c>
      <c r="V19" s="889">
        <v>550</v>
      </c>
      <c r="W19" s="889">
        <v>550</v>
      </c>
      <c r="X19" s="889">
        <v>542</v>
      </c>
      <c r="Y19" s="889">
        <v>538</v>
      </c>
      <c r="Z19" s="202">
        <f>Y19</f>
        <v>538</v>
      </c>
      <c r="AA19" s="889">
        <v>535</v>
      </c>
      <c r="AB19" s="889">
        <v>522</v>
      </c>
      <c r="AC19" s="889">
        <v>508</v>
      </c>
      <c r="AD19" s="889">
        <v>480</v>
      </c>
      <c r="AE19" s="202">
        <f>AD19</f>
        <v>480</v>
      </c>
      <c r="AF19" s="889">
        <v>469</v>
      </c>
      <c r="AG19" s="889">
        <v>457</v>
      </c>
      <c r="AH19" s="889">
        <v>440</v>
      </c>
      <c r="AI19" s="889">
        <v>440</v>
      </c>
      <c r="AJ19" s="202">
        <f>AI19</f>
        <v>440</v>
      </c>
      <c r="AK19" s="889">
        <v>440</v>
      </c>
      <c r="AL19" s="889">
        <v>440</v>
      </c>
      <c r="AM19" s="889">
        <v>444</v>
      </c>
      <c r="AN19" s="889">
        <v>446</v>
      </c>
      <c r="AO19" s="202">
        <f>AN19</f>
        <v>446</v>
      </c>
      <c r="AP19" s="869"/>
      <c r="AQ19" s="889"/>
      <c r="AR19" s="889"/>
      <c r="AS19" s="889"/>
      <c r="AT19" s="198"/>
      <c r="AU19" s="889">
        <v>799</v>
      </c>
      <c r="AV19" s="889">
        <v>789</v>
      </c>
      <c r="AW19" s="889">
        <v>770</v>
      </c>
      <c r="AX19" s="889">
        <v>767</v>
      </c>
      <c r="AY19" s="198">
        <f>AX19</f>
        <v>767</v>
      </c>
      <c r="AZ19" s="869">
        <v>750</v>
      </c>
      <c r="BA19" s="889">
        <v>759</v>
      </c>
      <c r="BB19" s="889">
        <v>750</v>
      </c>
      <c r="BC19" s="889">
        <v>740</v>
      </c>
      <c r="BD19" s="198">
        <f>BC19</f>
        <v>740</v>
      </c>
      <c r="BE19" s="869">
        <v>737</v>
      </c>
      <c r="BF19" s="889">
        <v>733</v>
      </c>
      <c r="BG19" s="889">
        <v>725</v>
      </c>
      <c r="BH19" s="889">
        <v>722</v>
      </c>
      <c r="BI19" s="198">
        <f>BH19</f>
        <v>722</v>
      </c>
      <c r="BJ19" s="869">
        <v>722</v>
      </c>
      <c r="BK19" s="889">
        <v>727</v>
      </c>
      <c r="BL19" s="889">
        <v>716</v>
      </c>
      <c r="BM19" s="889">
        <v>707</v>
      </c>
      <c r="BN19" s="316">
        <f>BM19</f>
        <v>707</v>
      </c>
      <c r="BO19" s="869">
        <v>712</v>
      </c>
      <c r="BP19" s="889">
        <v>722</v>
      </c>
      <c r="BQ19" s="889">
        <v>725</v>
      </c>
      <c r="BR19" s="889">
        <v>717</v>
      </c>
      <c r="BS19" s="198">
        <f>BR19</f>
        <v>717</v>
      </c>
      <c r="BT19" s="869">
        <v>719</v>
      </c>
      <c r="BU19" s="889">
        <v>727</v>
      </c>
      <c r="BV19" s="889">
        <v>724</v>
      </c>
      <c r="BW19" s="889">
        <v>743</v>
      </c>
      <c r="BX19" s="198">
        <f>BW19</f>
        <v>743</v>
      </c>
      <c r="BY19" s="869">
        <v>745</v>
      </c>
      <c r="BZ19" s="889">
        <v>760</v>
      </c>
      <c r="CA19" s="889">
        <v>764</v>
      </c>
      <c r="CB19" s="889">
        <v>772</v>
      </c>
      <c r="CC19" s="773">
        <f t="shared" ref="CC19" si="73">CB19</f>
        <v>772</v>
      </c>
      <c r="CD19" s="869">
        <v>786</v>
      </c>
      <c r="CE19" s="889">
        <v>800</v>
      </c>
      <c r="CF19" s="889">
        <v>809</v>
      </c>
      <c r="CG19" s="889">
        <v>809</v>
      </c>
      <c r="CH19" s="773">
        <f>CG19</f>
        <v>809</v>
      </c>
      <c r="CI19" s="869">
        <v>814</v>
      </c>
      <c r="CJ19" s="889">
        <v>822</v>
      </c>
      <c r="CK19" s="889">
        <v>830</v>
      </c>
      <c r="CL19" s="889">
        <v>832</v>
      </c>
      <c r="CM19" s="773">
        <f>CL19</f>
        <v>832</v>
      </c>
      <c r="CN19" s="869">
        <v>846</v>
      </c>
      <c r="CO19" s="889">
        <v>847</v>
      </c>
      <c r="CP19" s="889">
        <v>857</v>
      </c>
      <c r="CQ19" s="889">
        <v>856</v>
      </c>
      <c r="CR19" s="773">
        <f>CQ19</f>
        <v>856</v>
      </c>
      <c r="CS19" s="869">
        <v>846</v>
      </c>
      <c r="CT19" s="889">
        <v>847</v>
      </c>
      <c r="CU19" s="889">
        <v>857</v>
      </c>
      <c r="CV19" s="889">
        <v>856</v>
      </c>
      <c r="CW19" s="773">
        <f t="shared" ref="CW19:DB19" si="74">CV19</f>
        <v>856</v>
      </c>
      <c r="CX19" s="873">
        <v>867</v>
      </c>
      <c r="CY19" s="774">
        <f t="shared" si="74"/>
        <v>867</v>
      </c>
      <c r="CZ19" s="774">
        <f t="shared" si="74"/>
        <v>867</v>
      </c>
      <c r="DA19" s="774">
        <f t="shared" si="74"/>
        <v>867</v>
      </c>
      <c r="DB19" s="773">
        <f t="shared" si="74"/>
        <v>867</v>
      </c>
      <c r="DC19" s="654"/>
      <c r="DD19" s="654"/>
      <c r="DE19" s="774"/>
      <c r="DF19" s="774"/>
      <c r="DG19" s="775">
        <f>DB19</f>
        <v>867</v>
      </c>
      <c r="DH19" s="654"/>
      <c r="DI19" s="654"/>
      <c r="DJ19" s="774"/>
      <c r="DK19" s="774"/>
      <c r="DL19" s="775">
        <f>DG19</f>
        <v>867</v>
      </c>
      <c r="DM19" s="26"/>
      <c r="DN19" s="501"/>
      <c r="DO19" s="486"/>
      <c r="DP19" s="411"/>
      <c r="DQ19" s="411"/>
      <c r="DR19" s="411"/>
      <c r="DS19" s="555"/>
      <c r="DT19" s="555"/>
      <c r="DU19" s="459"/>
      <c r="DV19" s="459"/>
      <c r="DW19" s="461"/>
      <c r="DX19" s="459"/>
      <c r="DY19" s="459"/>
      <c r="DZ19" s="459"/>
      <c r="EA19" s="501"/>
      <c r="EH19" s="8"/>
    </row>
    <row r="20" spans="1:138" ht="12.75" customHeight="1" x14ac:dyDescent="0.2">
      <c r="A20" s="27" t="s">
        <v>253</v>
      </c>
      <c r="B20" s="777"/>
      <c r="C20" s="777">
        <f>AVERAGE(B19:C19)</f>
        <v>589.5</v>
      </c>
      <c r="D20" s="777">
        <f>AVERAGE(C19:D19)</f>
        <v>597.5</v>
      </c>
      <c r="E20" s="777">
        <f>AVERAGE(D19:E19)</f>
        <v>603.5</v>
      </c>
      <c r="F20" s="428"/>
      <c r="G20" s="777">
        <f>AVERAGE(E19,G19)</f>
        <v>717</v>
      </c>
      <c r="H20" s="777">
        <f>AVERAGE(G19:H19)</f>
        <v>827.5</v>
      </c>
      <c r="I20" s="777">
        <f>AVERAGE(H19:I19)</f>
        <v>827</v>
      </c>
      <c r="J20" s="777">
        <f>AVERAGE(I19:J19)</f>
        <v>821</v>
      </c>
      <c r="K20" s="428">
        <f>AVERAGE(F19,K19)</f>
        <v>709.5</v>
      </c>
      <c r="L20" s="777">
        <f>AVERAGE(J19,L19)</f>
        <v>823</v>
      </c>
      <c r="M20" s="777">
        <f>AVERAGE(L19:M19)</f>
        <v>831.5</v>
      </c>
      <c r="N20" s="777">
        <f>AVERAGE(M19:N19)</f>
        <v>826.5</v>
      </c>
      <c r="O20" s="777">
        <f>AVERAGE(N19:O19)</f>
        <v>826.5</v>
      </c>
      <c r="P20" s="428">
        <f>AVERAGE(K19,P19)</f>
        <v>822.5</v>
      </c>
      <c r="Q20" s="777">
        <f>AVERAGE(O19,Q19)</f>
        <v>829</v>
      </c>
      <c r="R20" s="777">
        <f>AVERAGE(Q19:R19)</f>
        <v>821.5</v>
      </c>
      <c r="S20" s="777">
        <f>AVERAGE(R19:S19)</f>
        <v>822.5</v>
      </c>
      <c r="T20" s="777">
        <f>AVERAGE(S19:T19)</f>
        <v>831</v>
      </c>
      <c r="U20" s="428">
        <f>AVERAGE(P19,U19)</f>
        <v>832</v>
      </c>
      <c r="V20" s="777">
        <f>AVERAGE(T19,V19)</f>
        <v>691.5</v>
      </c>
      <c r="W20" s="777">
        <f>AVERAGE(V19:W19)</f>
        <v>550</v>
      </c>
      <c r="X20" s="777">
        <f>AVERAGE(W19:X19)</f>
        <v>546</v>
      </c>
      <c r="Y20" s="777">
        <f>AVERAGE(X19:Y19)</f>
        <v>540</v>
      </c>
      <c r="Z20" s="428">
        <f>AVERAGE(U19,Z19)</f>
        <v>685.5</v>
      </c>
      <c r="AA20" s="777">
        <f>AVERAGE(Y19,AA19)</f>
        <v>536.5</v>
      </c>
      <c r="AB20" s="777">
        <f>AVERAGE(AA19:AB19)</f>
        <v>528.5</v>
      </c>
      <c r="AC20" s="777">
        <f>AVERAGE(AB19:AC19)</f>
        <v>515</v>
      </c>
      <c r="AD20" s="777">
        <f>AVERAGE(AC19:AD19)</f>
        <v>494</v>
      </c>
      <c r="AE20" s="428">
        <f>AVERAGE(Z19,AE19)</f>
        <v>509</v>
      </c>
      <c r="AF20" s="777">
        <f>AVERAGE(AD19,AF19)</f>
        <v>474.5</v>
      </c>
      <c r="AG20" s="777">
        <f>AVERAGE(AF19:AG19)</f>
        <v>463</v>
      </c>
      <c r="AH20" s="777">
        <f>AVERAGE(AG19:AH19)</f>
        <v>448.5</v>
      </c>
      <c r="AI20" s="777">
        <f>AVERAGE(AH19:AI19)</f>
        <v>440</v>
      </c>
      <c r="AJ20" s="428">
        <f>AVERAGE(AE19,AJ19)</f>
        <v>460</v>
      </c>
      <c r="AK20" s="777">
        <f>AVERAGE(AI19,AK19)</f>
        <v>440</v>
      </c>
      <c r="AL20" s="777">
        <f>AVERAGE(AK19:AL19)</f>
        <v>440</v>
      </c>
      <c r="AM20" s="777">
        <f>AVERAGE(AL19:AM19)</f>
        <v>442</v>
      </c>
      <c r="AN20" s="777">
        <f>AVERAGE(AM19:AN19)</f>
        <v>445</v>
      </c>
      <c r="AO20" s="428">
        <f>AVERAGE(AJ19,AO19)</f>
        <v>443</v>
      </c>
      <c r="AP20" s="776"/>
      <c r="AQ20" s="777"/>
      <c r="AR20" s="777"/>
      <c r="AS20" s="777"/>
      <c r="AT20" s="261"/>
      <c r="AU20" s="777">
        <f>AVERAGE(AT19:AU19)</f>
        <v>799</v>
      </c>
      <c r="AV20" s="777">
        <f>AVERAGE(AU19:AV19)</f>
        <v>794</v>
      </c>
      <c r="AW20" s="777">
        <f>AVERAGE(AV19:AW19)</f>
        <v>779.5</v>
      </c>
      <c r="AX20" s="777">
        <f>AVERAGE(AW19:AX19)</f>
        <v>768.5</v>
      </c>
      <c r="AY20" s="261">
        <f>AVERAGE(AT19,AY19)</f>
        <v>767</v>
      </c>
      <c r="AZ20" s="776">
        <f>AVERAGE(AY19:AZ19)</f>
        <v>758.5</v>
      </c>
      <c r="BA20" s="777">
        <f>AVERAGE(AZ19:BA19)</f>
        <v>754.5</v>
      </c>
      <c r="BB20" s="777">
        <f>AVERAGE(BA19:BB19)</f>
        <v>754.5</v>
      </c>
      <c r="BC20" s="777">
        <f>AVERAGE(BB19:BC19)</f>
        <v>745</v>
      </c>
      <c r="BD20" s="261">
        <f>AVERAGE(AY19,BD19)</f>
        <v>753.5</v>
      </c>
      <c r="BE20" s="776">
        <f>AVERAGE(BD19:BE19)</f>
        <v>738.5</v>
      </c>
      <c r="BF20" s="777">
        <f>AVERAGE(BE19:BF19)</f>
        <v>735</v>
      </c>
      <c r="BG20" s="777">
        <f>AVERAGE(BF19:BG19)</f>
        <v>729</v>
      </c>
      <c r="BH20" s="777">
        <f>AVERAGE(BG19:BH19)</f>
        <v>723.5</v>
      </c>
      <c r="BI20" s="261">
        <f>AVERAGE(BD19,BI19)</f>
        <v>731</v>
      </c>
      <c r="BJ20" s="776">
        <f>AVERAGE(BI19:BJ19)</f>
        <v>722</v>
      </c>
      <c r="BK20" s="777">
        <f>AVERAGE(BJ19:BK19)</f>
        <v>724.5</v>
      </c>
      <c r="BL20" s="777">
        <f>AVERAGE(BK19:BL19)</f>
        <v>721.5</v>
      </c>
      <c r="BM20" s="777">
        <f>AVERAGE(BL19:BM19)</f>
        <v>711.5</v>
      </c>
      <c r="BN20" s="358">
        <f>AVERAGE(BI19,BN19)</f>
        <v>714.5</v>
      </c>
      <c r="BO20" s="776">
        <f>AVERAGE(BN19:BO19)</f>
        <v>709.5</v>
      </c>
      <c r="BP20" s="777">
        <f>AVERAGE(BO19:BP19)</f>
        <v>717</v>
      </c>
      <c r="BQ20" s="777">
        <f>AVERAGE(BP19:BQ19)</f>
        <v>723.5</v>
      </c>
      <c r="BR20" s="777">
        <f>AVERAGE(BQ19:BR19)</f>
        <v>721</v>
      </c>
      <c r="BS20" s="261">
        <f>AVERAGE(BN19,BS19)</f>
        <v>712</v>
      </c>
      <c r="BT20" s="776">
        <f>AVERAGE(BS19:BT19)</f>
        <v>718</v>
      </c>
      <c r="BU20" s="777">
        <f>AVERAGE(BT19:BU19)</f>
        <v>723</v>
      </c>
      <c r="BV20" s="777">
        <f>AVERAGE(BU19:BV19)</f>
        <v>725.5</v>
      </c>
      <c r="BW20" s="777">
        <f>AVERAGE(BV19:BW19)</f>
        <v>733.5</v>
      </c>
      <c r="BX20" s="261">
        <f>AVERAGE(BS19,BX19)</f>
        <v>730</v>
      </c>
      <c r="BY20" s="776">
        <f>AVERAGE(BX19:BY19)</f>
        <v>744</v>
      </c>
      <c r="BZ20" s="777">
        <f>AVERAGE(BY19:BZ19)</f>
        <v>752.5</v>
      </c>
      <c r="CA20" s="777">
        <f>AVERAGE(BZ19:CA19)</f>
        <v>762</v>
      </c>
      <c r="CB20" s="777">
        <f>AVERAGE(CA19:CB19)</f>
        <v>768</v>
      </c>
      <c r="CC20" s="778">
        <f>AVERAGE(BX19,CC19)</f>
        <v>757.5</v>
      </c>
      <c r="CD20" s="776">
        <f>AVERAGE(CC19:CD19)</f>
        <v>779</v>
      </c>
      <c r="CE20" s="777">
        <f>AVERAGE(CD19:CE19)</f>
        <v>793</v>
      </c>
      <c r="CF20" s="777">
        <f>AVERAGE(CE19:CF19)</f>
        <v>804.5</v>
      </c>
      <c r="CG20" s="777">
        <f>AVERAGE(CF19:CG19)</f>
        <v>809</v>
      </c>
      <c r="CH20" s="778">
        <f>AVERAGE(CC19,CH19)</f>
        <v>790.5</v>
      </c>
      <c r="CI20" s="776">
        <f>AVERAGE(CH19:CI19)</f>
        <v>811.5</v>
      </c>
      <c r="CJ20" s="777">
        <f>AVERAGE(CI19:CJ19)</f>
        <v>818</v>
      </c>
      <c r="CK20" s="777">
        <f>AVERAGE(CJ19:CK19)</f>
        <v>826</v>
      </c>
      <c r="CL20" s="777">
        <f>AVERAGE(CK19:CL19)</f>
        <v>831</v>
      </c>
      <c r="CM20" s="778">
        <f>AVERAGE(CH19,CM19)</f>
        <v>820.5</v>
      </c>
      <c r="CN20" s="776">
        <f>AVERAGE(CM19:CN19)</f>
        <v>839</v>
      </c>
      <c r="CO20" s="777">
        <f>AVERAGE(CN19:CO19)</f>
        <v>846.5</v>
      </c>
      <c r="CP20" s="777">
        <f>AVERAGE(CO19:CP19)</f>
        <v>852</v>
      </c>
      <c r="CQ20" s="777">
        <f>AVERAGE(CP19:CQ19)</f>
        <v>856.5</v>
      </c>
      <c r="CR20" s="778">
        <f>AVERAGE(CM19,CR19)</f>
        <v>844</v>
      </c>
      <c r="CS20" s="776">
        <f>AVERAGE(CL19,CS19)</f>
        <v>839</v>
      </c>
      <c r="CT20" s="777">
        <f>AVERAGE(CS19:CT19)</f>
        <v>846.5</v>
      </c>
      <c r="CU20" s="777">
        <f>AVERAGE(CT19:CU19)</f>
        <v>852</v>
      </c>
      <c r="CV20" s="777">
        <f>AVERAGE(CU19:CV19)</f>
        <v>856.5</v>
      </c>
      <c r="CW20" s="778">
        <f>AVERAGE(CM19,CW19)</f>
        <v>844</v>
      </c>
      <c r="CX20" s="776">
        <f>AVERAGE(CQ19,CX19)</f>
        <v>861.5</v>
      </c>
      <c r="CY20" s="777">
        <f>AVERAGE(CX19:CY19)</f>
        <v>867</v>
      </c>
      <c r="CZ20" s="777">
        <f>AVERAGE(CY19:CZ19)</f>
        <v>867</v>
      </c>
      <c r="DA20" s="777">
        <f>AVERAGE(CZ19:DA19)</f>
        <v>867</v>
      </c>
      <c r="DB20" s="778">
        <f>AVERAGE(CW19,DB19)</f>
        <v>861.5</v>
      </c>
      <c r="DC20" s="777"/>
      <c r="DD20" s="777"/>
      <c r="DE20" s="777"/>
      <c r="DF20" s="777"/>
      <c r="DG20" s="778">
        <f>AVERAGE(DB19,DG19)</f>
        <v>867</v>
      </c>
      <c r="DH20" s="777"/>
      <c r="DI20" s="777"/>
      <c r="DJ20" s="777"/>
      <c r="DK20" s="777"/>
      <c r="DL20" s="778">
        <f>AVERAGE(DG19,DL19)</f>
        <v>867</v>
      </c>
      <c r="DM20" s="17"/>
      <c r="DN20" s="498"/>
      <c r="DO20" s="486"/>
      <c r="DP20" s="411"/>
      <c r="DQ20" s="411"/>
      <c r="DR20" s="411"/>
      <c r="DS20" s="555"/>
      <c r="DT20" s="555"/>
      <c r="DU20" s="459"/>
      <c r="DV20" s="459"/>
      <c r="DW20" s="459"/>
      <c r="DX20" s="459"/>
      <c r="DY20" s="459"/>
      <c r="DZ20" s="459"/>
      <c r="EA20" s="498"/>
      <c r="EH20" s="8"/>
    </row>
    <row r="21" spans="1:138" ht="12.75" customHeight="1" x14ac:dyDescent="0.2">
      <c r="A21" s="142" t="s">
        <v>244</v>
      </c>
      <c r="B21" s="780"/>
      <c r="C21" s="780"/>
      <c r="D21" s="780"/>
      <c r="E21" s="780"/>
      <c r="F21" s="199"/>
      <c r="G21" s="780"/>
      <c r="H21" s="780">
        <f>H20/C20-1</f>
        <v>0.40373197625106028</v>
      </c>
      <c r="I21" s="780">
        <f>I20/D20-1</f>
        <v>0.38410041841004183</v>
      </c>
      <c r="J21" s="780">
        <f>J20/E20-1</f>
        <v>0.36039768019884</v>
      </c>
      <c r="K21" s="199"/>
      <c r="L21" s="780">
        <f>L20/G20-1</f>
        <v>0.14783821478382153</v>
      </c>
      <c r="M21" s="780">
        <f t="shared" ref="M21:AO21" si="75">M20/H20-1</f>
        <v>4.8338368580060909E-3</v>
      </c>
      <c r="N21" s="780">
        <f t="shared" si="75"/>
        <v>-6.0459492140263471E-4</v>
      </c>
      <c r="O21" s="780">
        <f t="shared" si="75"/>
        <v>6.6991473812423319E-3</v>
      </c>
      <c r="P21" s="199">
        <f t="shared" si="75"/>
        <v>0.15926708949964774</v>
      </c>
      <c r="Q21" s="780">
        <f t="shared" si="75"/>
        <v>7.2904009720533569E-3</v>
      </c>
      <c r="R21" s="780">
        <f t="shared" si="75"/>
        <v>-1.20264582080577E-2</v>
      </c>
      <c r="S21" s="780">
        <f t="shared" si="75"/>
        <v>-4.8396854204476591E-3</v>
      </c>
      <c r="T21" s="780">
        <f t="shared" si="75"/>
        <v>5.4446460980035472E-3</v>
      </c>
      <c r="U21" s="199">
        <f t="shared" si="75"/>
        <v>1.1550151975683987E-2</v>
      </c>
      <c r="V21" s="780">
        <f t="shared" si="75"/>
        <v>-0.16586248492159228</v>
      </c>
      <c r="W21" s="780">
        <f t="shared" si="75"/>
        <v>-0.33049300060864273</v>
      </c>
      <c r="X21" s="780">
        <f t="shared" si="75"/>
        <v>-0.33617021276595749</v>
      </c>
      <c r="Y21" s="780">
        <f t="shared" si="75"/>
        <v>-0.35018050541516244</v>
      </c>
      <c r="Z21" s="199">
        <f t="shared" si="75"/>
        <v>-0.17608173076923073</v>
      </c>
      <c r="AA21" s="780">
        <f t="shared" si="75"/>
        <v>-0.2241503976861895</v>
      </c>
      <c r="AB21" s="780">
        <f t="shared" si="75"/>
        <v>-3.9090909090909065E-2</v>
      </c>
      <c r="AC21" s="780">
        <f t="shared" si="75"/>
        <v>-5.6776556776556797E-2</v>
      </c>
      <c r="AD21" s="780">
        <f t="shared" si="75"/>
        <v>-8.5185185185185142E-2</v>
      </c>
      <c r="AE21" s="199">
        <f t="shared" si="75"/>
        <v>-0.25747629467541944</v>
      </c>
      <c r="AF21" s="780">
        <f t="shared" si="75"/>
        <v>-0.11556383970177075</v>
      </c>
      <c r="AG21" s="780">
        <f t="shared" si="75"/>
        <v>-0.12393566698202463</v>
      </c>
      <c r="AH21" s="780">
        <f t="shared" si="75"/>
        <v>-0.12912621359223297</v>
      </c>
      <c r="AI21" s="780">
        <f t="shared" si="75"/>
        <v>-0.10931174089068829</v>
      </c>
      <c r="AJ21" s="199">
        <f t="shared" si="75"/>
        <v>-9.6267190569744643E-2</v>
      </c>
      <c r="AK21" s="780">
        <f t="shared" si="75"/>
        <v>-7.2708113804004215E-2</v>
      </c>
      <c r="AL21" s="780">
        <f t="shared" si="75"/>
        <v>-4.9676025917926525E-2</v>
      </c>
      <c r="AM21" s="780">
        <f t="shared" si="75"/>
        <v>-1.4492753623188359E-2</v>
      </c>
      <c r="AN21" s="780">
        <f t="shared" si="75"/>
        <v>1.1363636363636465E-2</v>
      </c>
      <c r="AO21" s="199">
        <f t="shared" si="75"/>
        <v>-3.6956521739130443E-2</v>
      </c>
      <c r="AP21" s="779"/>
      <c r="AQ21" s="780"/>
      <c r="AR21" s="780"/>
      <c r="AS21" s="780"/>
      <c r="AT21" s="206"/>
      <c r="AU21" s="780"/>
      <c r="AV21" s="780"/>
      <c r="AW21" s="780"/>
      <c r="AX21" s="780"/>
      <c r="AY21" s="206"/>
      <c r="AZ21" s="779">
        <f>AZ20/AU20-1</f>
        <v>-5.0688360450563241E-2</v>
      </c>
      <c r="BA21" s="780">
        <f t="shared" ref="BA21:BP21" si="76">BA20/AV20-1</f>
        <v>-4.9748110831234205E-2</v>
      </c>
      <c r="BB21" s="780">
        <f t="shared" si="76"/>
        <v>-3.2071840923668993E-2</v>
      </c>
      <c r="BC21" s="780">
        <f t="shared" si="76"/>
        <v>-3.0579050097592764E-2</v>
      </c>
      <c r="BD21" s="206">
        <f t="shared" si="76"/>
        <v>-1.7601043024771834E-2</v>
      </c>
      <c r="BE21" s="779">
        <f t="shared" si="76"/>
        <v>-2.6367831245880047E-2</v>
      </c>
      <c r="BF21" s="780">
        <f t="shared" si="76"/>
        <v>-2.5844930417495027E-2</v>
      </c>
      <c r="BG21" s="780">
        <f t="shared" si="76"/>
        <v>-3.379721669980118E-2</v>
      </c>
      <c r="BH21" s="780">
        <f t="shared" si="76"/>
        <v>-2.88590604026846E-2</v>
      </c>
      <c r="BI21" s="206">
        <f t="shared" si="76"/>
        <v>-2.9860650298606517E-2</v>
      </c>
      <c r="BJ21" s="779">
        <f t="shared" si="76"/>
        <v>-2.2342586323628955E-2</v>
      </c>
      <c r="BK21" s="780">
        <f t="shared" si="76"/>
        <v>-1.4285714285714235E-2</v>
      </c>
      <c r="BL21" s="780">
        <f t="shared" si="76"/>
        <v>-1.0288065843621408E-2</v>
      </c>
      <c r="BM21" s="780">
        <f t="shared" si="76"/>
        <v>-1.6586040082930187E-2</v>
      </c>
      <c r="BN21" s="317">
        <f t="shared" ref="BN21:CF21" si="77">BN20/BI20-1</f>
        <v>-2.2571819425444617E-2</v>
      </c>
      <c r="BO21" s="779">
        <f t="shared" si="76"/>
        <v>-1.7313019390581719E-2</v>
      </c>
      <c r="BP21" s="780">
        <f t="shared" si="76"/>
        <v>-1.0351966873705987E-2</v>
      </c>
      <c r="BQ21" s="780">
        <f t="shared" si="77"/>
        <v>2.7720027720028462E-3</v>
      </c>
      <c r="BR21" s="780">
        <f t="shared" si="77"/>
        <v>1.3352073085031613E-2</v>
      </c>
      <c r="BS21" s="206">
        <f t="shared" si="77"/>
        <v>-3.4989503149055468E-3</v>
      </c>
      <c r="BT21" s="779">
        <f t="shared" si="77"/>
        <v>1.1980267794221344E-2</v>
      </c>
      <c r="BU21" s="780">
        <f t="shared" si="77"/>
        <v>8.3682008368199945E-3</v>
      </c>
      <c r="BV21" s="780">
        <f t="shared" si="77"/>
        <v>2.7643400138217533E-3</v>
      </c>
      <c r="BW21" s="780">
        <f t="shared" si="77"/>
        <v>1.7337031900138689E-2</v>
      </c>
      <c r="BX21" s="206">
        <f>BX20/BS20-1</f>
        <v>2.528089887640439E-2</v>
      </c>
      <c r="BY21" s="779">
        <f t="shared" si="77"/>
        <v>3.6211699164345301E-2</v>
      </c>
      <c r="BZ21" s="780">
        <f t="shared" si="77"/>
        <v>4.0802213001383203E-2</v>
      </c>
      <c r="CA21" s="780">
        <f t="shared" si="77"/>
        <v>5.0310130944176468E-2</v>
      </c>
      <c r="CB21" s="780">
        <f t="shared" si="77"/>
        <v>4.7034764826175968E-2</v>
      </c>
      <c r="CC21" s="781">
        <f t="shared" ref="CC21" si="78">CC20/BX20-1</f>
        <v>3.7671232876712368E-2</v>
      </c>
      <c r="CD21" s="779">
        <f t="shared" si="77"/>
        <v>4.7043010752688241E-2</v>
      </c>
      <c r="CE21" s="780">
        <f t="shared" si="77"/>
        <v>5.3820598006644627E-2</v>
      </c>
      <c r="CF21" s="780">
        <f t="shared" si="77"/>
        <v>5.5774278215223072E-2</v>
      </c>
      <c r="CG21" s="780">
        <f>CG20/CB20-1</f>
        <v>5.3385416666666741E-2</v>
      </c>
      <c r="CH21" s="781">
        <f>CH20/CC20-1</f>
        <v>4.3564356435643603E-2</v>
      </c>
      <c r="CI21" s="779">
        <f>CI20/CD20-1</f>
        <v>4.1720154043645596E-2</v>
      </c>
      <c r="CJ21" s="780">
        <f t="shared" ref="CJ21:CK21" si="79">CJ20/CE20-1</f>
        <v>3.1525851197982346E-2</v>
      </c>
      <c r="CK21" s="780">
        <f t="shared" si="79"/>
        <v>2.672467371037901E-2</v>
      </c>
      <c r="CL21" s="780">
        <f>CL20/CG20-1</f>
        <v>2.7194066749072876E-2</v>
      </c>
      <c r="CM21" s="781">
        <f>CM20/CH20-1</f>
        <v>3.7950664136622292E-2</v>
      </c>
      <c r="CN21" s="779">
        <f>CN20/CI20-1</f>
        <v>3.3887861983980194E-2</v>
      </c>
      <c r="CO21" s="780">
        <f t="shared" ref="CO21:CP21" si="80">CO20/CJ20-1</f>
        <v>3.4841075794620924E-2</v>
      </c>
      <c r="CP21" s="780">
        <f t="shared" si="80"/>
        <v>3.14769975786926E-2</v>
      </c>
      <c r="CQ21" s="780">
        <f>CQ20/CL20-1</f>
        <v>3.0685920577617321E-2</v>
      </c>
      <c r="CR21" s="781">
        <f>CR20/CM20-1</f>
        <v>2.864107251675807E-2</v>
      </c>
      <c r="CS21" s="779">
        <f t="shared" ref="CS21:CW21" si="81">CS20/CI20-1</f>
        <v>3.3887861983980194E-2</v>
      </c>
      <c r="CT21" s="780">
        <f t="shared" si="81"/>
        <v>3.4841075794620924E-2</v>
      </c>
      <c r="CU21" s="780">
        <f t="shared" si="81"/>
        <v>3.14769975786926E-2</v>
      </c>
      <c r="CV21" s="780">
        <f t="shared" si="81"/>
        <v>3.0685920577617321E-2</v>
      </c>
      <c r="CW21" s="781">
        <f t="shared" si="81"/>
        <v>2.864107251675807E-2</v>
      </c>
      <c r="CX21" s="779">
        <f>CX20/CS20-1</f>
        <v>2.6817640047675839E-2</v>
      </c>
      <c r="CY21" s="780">
        <f>CY20/CT20-1</f>
        <v>2.421736562315413E-2</v>
      </c>
      <c r="CZ21" s="780">
        <f>CZ20/CU20-1</f>
        <v>1.7605633802816989E-2</v>
      </c>
      <c r="DA21" s="780">
        <f>DA20/CV20-1</f>
        <v>1.2259194395796813E-2</v>
      </c>
      <c r="DB21" s="781">
        <f>DB20/CW20-1</f>
        <v>2.0734597156398138E-2</v>
      </c>
      <c r="DC21" s="780"/>
      <c r="DD21" s="780"/>
      <c r="DE21" s="780"/>
      <c r="DF21" s="780"/>
      <c r="DG21" s="781">
        <f>DG20/DB20-1</f>
        <v>6.384213580963527E-3</v>
      </c>
      <c r="DH21" s="780"/>
      <c r="DI21" s="780"/>
      <c r="DJ21" s="780"/>
      <c r="DK21" s="780"/>
      <c r="DL21" s="781">
        <f>DL20/DG20-1</f>
        <v>0</v>
      </c>
      <c r="DM21" s="20"/>
      <c r="DN21" s="500"/>
      <c r="DO21" s="486"/>
      <c r="DP21" s="411"/>
      <c r="DQ21" s="411"/>
      <c r="DR21" s="411"/>
      <c r="DS21" s="556"/>
      <c r="DT21" s="556"/>
      <c r="DU21" s="461"/>
      <c r="DV21" s="461"/>
      <c r="DW21" s="461"/>
      <c r="DX21" s="461"/>
      <c r="DY21" s="461"/>
      <c r="DZ21" s="461"/>
      <c r="EA21" s="500"/>
      <c r="EH21" s="8"/>
    </row>
    <row r="22" spans="1:138" ht="12.75" customHeight="1" x14ac:dyDescent="0.2">
      <c r="A22" s="22" t="s">
        <v>96</v>
      </c>
      <c r="B22" s="889"/>
      <c r="C22" s="889"/>
      <c r="D22" s="889"/>
      <c r="E22" s="889"/>
      <c r="F22" s="200"/>
      <c r="G22" s="889"/>
      <c r="H22" s="889"/>
      <c r="I22" s="889"/>
      <c r="J22" s="889"/>
      <c r="K22" s="200"/>
      <c r="L22" s="889"/>
      <c r="M22" s="889"/>
      <c r="N22" s="889"/>
      <c r="O22" s="889"/>
      <c r="P22" s="200"/>
      <c r="Q22" s="889"/>
      <c r="R22" s="889"/>
      <c r="S22" s="889"/>
      <c r="T22" s="889"/>
      <c r="U22" s="200"/>
      <c r="V22" s="889">
        <f>V24-V19</f>
        <v>288</v>
      </c>
      <c r="W22" s="889">
        <f>W24-W19</f>
        <v>292</v>
      </c>
      <c r="X22" s="889">
        <f>X24-X19</f>
        <v>300</v>
      </c>
      <c r="Y22" s="889">
        <f>Y24-Y19</f>
        <v>307</v>
      </c>
      <c r="Z22" s="200">
        <f>Y22</f>
        <v>307</v>
      </c>
      <c r="AA22" s="889">
        <f>AA24-AA19</f>
        <v>306</v>
      </c>
      <c r="AB22" s="889">
        <f>AB24-AB19</f>
        <v>347</v>
      </c>
      <c r="AC22" s="889">
        <f>AC24-AC19</f>
        <v>174</v>
      </c>
      <c r="AD22" s="889">
        <f>AD24-AD19</f>
        <v>169</v>
      </c>
      <c r="AE22" s="200">
        <f>AD22</f>
        <v>169</v>
      </c>
      <c r="AF22" s="889">
        <f>AF24-AF19</f>
        <v>169</v>
      </c>
      <c r="AG22" s="889">
        <f>AG24-AG19</f>
        <v>168</v>
      </c>
      <c r="AH22" s="889">
        <f>AH24-AH19</f>
        <v>167</v>
      </c>
      <c r="AI22" s="889">
        <f>AI24-AI19</f>
        <v>160</v>
      </c>
      <c r="AJ22" s="200">
        <f>AI22</f>
        <v>160</v>
      </c>
      <c r="AK22" s="889">
        <f>AK24-AK19</f>
        <v>144</v>
      </c>
      <c r="AL22" s="889">
        <f>AL24-AL19</f>
        <v>133</v>
      </c>
      <c r="AM22" s="889">
        <f>AM24-AM19</f>
        <v>134</v>
      </c>
      <c r="AN22" s="889">
        <f>AN24-AN19</f>
        <v>132</v>
      </c>
      <c r="AO22" s="200">
        <f>AN22</f>
        <v>132</v>
      </c>
      <c r="AP22" s="869"/>
      <c r="AQ22" s="889"/>
      <c r="AR22" s="889"/>
      <c r="AS22" s="889"/>
      <c r="AT22" s="200"/>
      <c r="AU22" s="889">
        <f>AU24-AU19</f>
        <v>222</v>
      </c>
      <c r="AV22" s="889">
        <v>242</v>
      </c>
      <c r="AW22" s="889">
        <v>250</v>
      </c>
      <c r="AX22" s="889">
        <v>256</v>
      </c>
      <c r="AY22" s="200">
        <f>AX22</f>
        <v>256</v>
      </c>
      <c r="AZ22" s="869">
        <f>AZ24-AZ19</f>
        <v>265</v>
      </c>
      <c r="BA22" s="889">
        <f>BA24-BA19</f>
        <v>258</v>
      </c>
      <c r="BB22" s="889">
        <v>251</v>
      </c>
      <c r="BC22" s="889">
        <f>BC24-BC19</f>
        <v>243</v>
      </c>
      <c r="BD22" s="198">
        <f>BC22</f>
        <v>243</v>
      </c>
      <c r="BE22" s="869">
        <v>229</v>
      </c>
      <c r="BF22" s="889">
        <v>225</v>
      </c>
      <c r="BG22" s="889">
        <f>225-128-1</f>
        <v>96</v>
      </c>
      <c r="BH22" s="889">
        <v>93</v>
      </c>
      <c r="BI22" s="198">
        <f>BH22</f>
        <v>93</v>
      </c>
      <c r="BJ22" s="869">
        <v>83</v>
      </c>
      <c r="BK22" s="889">
        <v>76</v>
      </c>
      <c r="BL22" s="889">
        <f>BL24-BL19</f>
        <v>74</v>
      </c>
      <c r="BM22" s="889">
        <f>BM24-BM19</f>
        <v>68</v>
      </c>
      <c r="BN22" s="316">
        <f>BM22</f>
        <v>68</v>
      </c>
      <c r="BO22" s="869">
        <v>58</v>
      </c>
      <c r="BP22" s="889">
        <v>51</v>
      </c>
      <c r="BQ22" s="889">
        <v>0</v>
      </c>
      <c r="BR22" s="889">
        <v>0</v>
      </c>
      <c r="BS22" s="198">
        <f>BR22</f>
        <v>0</v>
      </c>
      <c r="BT22" s="869">
        <v>0</v>
      </c>
      <c r="BU22" s="889">
        <v>0</v>
      </c>
      <c r="BV22" s="889">
        <v>176</v>
      </c>
      <c r="BW22" s="889">
        <v>169</v>
      </c>
      <c r="BX22" s="198">
        <f>BW22</f>
        <v>169</v>
      </c>
      <c r="BY22" s="869">
        <v>164</v>
      </c>
      <c r="BZ22" s="889">
        <v>162</v>
      </c>
      <c r="CA22" s="889">
        <v>152</v>
      </c>
      <c r="CB22" s="889">
        <v>143</v>
      </c>
      <c r="CC22" s="773">
        <f t="shared" ref="CC22" si="82">CB22</f>
        <v>143</v>
      </c>
      <c r="CD22" s="869">
        <v>126</v>
      </c>
      <c r="CE22" s="889">
        <v>116</v>
      </c>
      <c r="CF22" s="889">
        <v>116</v>
      </c>
      <c r="CG22" s="889">
        <v>117</v>
      </c>
      <c r="CH22" s="773">
        <f>CG22</f>
        <v>117</v>
      </c>
      <c r="CI22" s="869">
        <v>117</v>
      </c>
      <c r="CJ22" s="889">
        <v>122</v>
      </c>
      <c r="CK22" s="889">
        <v>130</v>
      </c>
      <c r="CL22" s="889">
        <v>134</v>
      </c>
      <c r="CM22" s="773">
        <f>CL22</f>
        <v>134</v>
      </c>
      <c r="CN22" s="869">
        <v>138</v>
      </c>
      <c r="CO22" s="889">
        <v>139</v>
      </c>
      <c r="CP22" s="889">
        <v>139</v>
      </c>
      <c r="CQ22" s="889">
        <v>143</v>
      </c>
      <c r="CR22" s="773">
        <f>CQ22</f>
        <v>143</v>
      </c>
      <c r="CS22" s="869">
        <v>138</v>
      </c>
      <c r="CT22" s="889">
        <v>139</v>
      </c>
      <c r="CU22" s="889">
        <v>139</v>
      </c>
      <c r="CV22" s="889">
        <v>143</v>
      </c>
      <c r="CW22" s="773">
        <f t="shared" ref="CW22:DB22" si="83">CV22</f>
        <v>143</v>
      </c>
      <c r="CX22" s="873">
        <v>150</v>
      </c>
      <c r="CY22" s="774">
        <f t="shared" si="83"/>
        <v>150</v>
      </c>
      <c r="CZ22" s="774">
        <f t="shared" si="83"/>
        <v>150</v>
      </c>
      <c r="DA22" s="774">
        <f t="shared" si="83"/>
        <v>150</v>
      </c>
      <c r="DB22" s="773">
        <f t="shared" si="83"/>
        <v>150</v>
      </c>
      <c r="DC22" s="654"/>
      <c r="DD22" s="654"/>
      <c r="DE22" s="774"/>
      <c r="DF22" s="774"/>
      <c r="DG22" s="775">
        <f>DB22</f>
        <v>150</v>
      </c>
      <c r="DH22" s="654"/>
      <c r="DI22" s="654"/>
      <c r="DJ22" s="774"/>
      <c r="DK22" s="774"/>
      <c r="DL22" s="775">
        <f>DG22</f>
        <v>150</v>
      </c>
      <c r="DM22" s="26"/>
      <c r="DN22" s="501"/>
      <c r="DO22" s="486"/>
      <c r="DP22" s="411"/>
      <c r="DQ22" s="411"/>
      <c r="DR22" s="411"/>
      <c r="DS22" s="556"/>
      <c r="DT22" s="555"/>
      <c r="DU22" s="459"/>
      <c r="DV22" s="459"/>
      <c r="DW22" s="459"/>
      <c r="DX22" s="459"/>
      <c r="DY22" s="459"/>
      <c r="DZ22" s="459"/>
      <c r="EA22" s="501"/>
      <c r="EH22" s="8"/>
    </row>
    <row r="23" spans="1:138" ht="12.75" customHeight="1" x14ac:dyDescent="0.2">
      <c r="A23" s="23" t="s">
        <v>138</v>
      </c>
      <c r="B23" s="654"/>
      <c r="C23" s="654"/>
      <c r="D23" s="654"/>
      <c r="E23" s="654"/>
      <c r="F23" s="202"/>
      <c r="G23" s="654"/>
      <c r="H23" s="654"/>
      <c r="I23" s="654"/>
      <c r="J23" s="654"/>
      <c r="K23" s="202"/>
      <c r="L23" s="654"/>
      <c r="M23" s="654"/>
      <c r="N23" s="654"/>
      <c r="O23" s="654"/>
      <c r="P23" s="202"/>
      <c r="Q23" s="654"/>
      <c r="R23" s="654"/>
      <c r="S23" s="654"/>
      <c r="T23" s="654"/>
      <c r="U23" s="202"/>
      <c r="V23" s="654"/>
      <c r="W23" s="654">
        <f>AVERAGE(V22:W22)</f>
        <v>290</v>
      </c>
      <c r="X23" s="654">
        <f>AVERAGE(W22:X22)</f>
        <v>296</v>
      </c>
      <c r="Y23" s="654">
        <f>AVERAGE(X22:Y22)</f>
        <v>303.5</v>
      </c>
      <c r="Z23" s="202"/>
      <c r="AA23" s="654">
        <f>AVERAGE(Y22,AA22)</f>
        <v>306.5</v>
      </c>
      <c r="AB23" s="654">
        <f>AVERAGE(AA22:AB22)</f>
        <v>326.5</v>
      </c>
      <c r="AC23" s="654">
        <f>AVERAGE(AB22:AC22)</f>
        <v>260.5</v>
      </c>
      <c r="AD23" s="654">
        <f>AVERAGE(AC22:AD22)</f>
        <v>171.5</v>
      </c>
      <c r="AE23" s="202">
        <f>AVERAGE(Z22,AE22)</f>
        <v>238</v>
      </c>
      <c r="AF23" s="654">
        <f>AVERAGE(AD22,AF22)</f>
        <v>169</v>
      </c>
      <c r="AG23" s="654">
        <f>AVERAGE(AF22:AG22)</f>
        <v>168.5</v>
      </c>
      <c r="AH23" s="654">
        <f>AVERAGE(AG22:AH22)</f>
        <v>167.5</v>
      </c>
      <c r="AI23" s="654">
        <f>AVERAGE(AH22:AI22)</f>
        <v>163.5</v>
      </c>
      <c r="AJ23" s="202">
        <f>AVERAGE(AE22,AJ22)</f>
        <v>164.5</v>
      </c>
      <c r="AK23" s="654">
        <f>AVERAGE(AI22,AK22)</f>
        <v>152</v>
      </c>
      <c r="AL23" s="654">
        <f>AVERAGE(AK22:AL22)</f>
        <v>138.5</v>
      </c>
      <c r="AM23" s="654">
        <f>AVERAGE(AL22:AM22)</f>
        <v>133.5</v>
      </c>
      <c r="AN23" s="654">
        <f>AVERAGE(AM22:AN22)</f>
        <v>133</v>
      </c>
      <c r="AO23" s="202">
        <f>AVERAGE(AJ22,AO22)</f>
        <v>146</v>
      </c>
      <c r="AP23" s="772"/>
      <c r="AQ23" s="654"/>
      <c r="AR23" s="654"/>
      <c r="AS23" s="654"/>
      <c r="AT23" s="198"/>
      <c r="AU23" s="654">
        <f>AVERAGE(AT22:AU22)</f>
        <v>222</v>
      </c>
      <c r="AV23" s="654">
        <f>AVERAGE(AU22:AV22)</f>
        <v>232</v>
      </c>
      <c r="AW23" s="654">
        <f>AVERAGE(AV22:AW22)</f>
        <v>246</v>
      </c>
      <c r="AX23" s="654">
        <f>AVERAGE(AW22:AX22)</f>
        <v>253</v>
      </c>
      <c r="AY23" s="198">
        <f>AVERAGE(AT22,AY22)</f>
        <v>256</v>
      </c>
      <c r="AZ23" s="772">
        <f>AVERAGE(AY22:AZ22)</f>
        <v>260.5</v>
      </c>
      <c r="BA23" s="654">
        <f>AVERAGE(AZ22:BA22)</f>
        <v>261.5</v>
      </c>
      <c r="BB23" s="654">
        <f>AVERAGE(BA22:BB22)</f>
        <v>254.5</v>
      </c>
      <c r="BC23" s="654">
        <f>AVERAGE(BB22:BC22)</f>
        <v>247</v>
      </c>
      <c r="BD23" s="198">
        <f>AVERAGE(AY22,BD22)</f>
        <v>249.5</v>
      </c>
      <c r="BE23" s="772">
        <f>AVERAGE(BD22:BE22)</f>
        <v>236</v>
      </c>
      <c r="BF23" s="654">
        <f>AVERAGE(BE22:BF22)</f>
        <v>227</v>
      </c>
      <c r="BG23" s="654">
        <f>AVERAGE(BF22:BG22)</f>
        <v>160.5</v>
      </c>
      <c r="BH23" s="654">
        <f>AVERAGE(BG22:BH22)</f>
        <v>94.5</v>
      </c>
      <c r="BI23" s="198">
        <f>AVERAGE(BD22,BI22)</f>
        <v>168</v>
      </c>
      <c r="BJ23" s="772">
        <f>AVERAGE(BI22:BJ22)</f>
        <v>88</v>
      </c>
      <c r="BK23" s="654">
        <f>AVERAGE(BJ22:BK22)</f>
        <v>79.5</v>
      </c>
      <c r="BL23" s="654">
        <f>AVERAGE(BK22:BL22)</f>
        <v>75</v>
      </c>
      <c r="BM23" s="654">
        <f>AVERAGE(BL22:BM22)</f>
        <v>71</v>
      </c>
      <c r="BN23" s="316">
        <f>AVERAGE(BI22,BN22)</f>
        <v>80.5</v>
      </c>
      <c r="BO23" s="772">
        <f>AVERAGE(BN22:BO22)</f>
        <v>63</v>
      </c>
      <c r="BP23" s="654">
        <f>AVERAGE(BO22:BP22)</f>
        <v>54.5</v>
      </c>
      <c r="BQ23" s="654">
        <f>AVERAGE(BP22:BQ22)</f>
        <v>25.5</v>
      </c>
      <c r="BR23" s="654">
        <f>AVERAGE(BQ22:BR22)</f>
        <v>0</v>
      </c>
      <c r="BS23" s="198">
        <f>AVERAGE(BN22,BS22)</f>
        <v>34</v>
      </c>
      <c r="BT23" s="772">
        <f>AVERAGE(BS22:BT22)</f>
        <v>0</v>
      </c>
      <c r="BU23" s="654">
        <f>AVERAGE(BT22:BU22)</f>
        <v>0</v>
      </c>
      <c r="BV23" s="654">
        <f>AVERAGE(BU22:BV22)</f>
        <v>88</v>
      </c>
      <c r="BW23" s="654">
        <f>AVERAGE(BV22:BW22)</f>
        <v>172.5</v>
      </c>
      <c r="BX23" s="198">
        <f>AVERAGE(BS22,BX22)</f>
        <v>84.5</v>
      </c>
      <c r="BY23" s="772">
        <f>AVERAGE(BX22:BY22)</f>
        <v>166.5</v>
      </c>
      <c r="BZ23" s="654">
        <f>AVERAGE(BY22:BZ22)</f>
        <v>163</v>
      </c>
      <c r="CA23" s="654">
        <f>AVERAGE(BZ22:CA22)</f>
        <v>157</v>
      </c>
      <c r="CB23" s="654">
        <f>AVERAGE(CA22:CB22)</f>
        <v>147.5</v>
      </c>
      <c r="CC23" s="773">
        <f>AVERAGE(BX22,CC22)</f>
        <v>156</v>
      </c>
      <c r="CD23" s="772">
        <f>AVERAGE(CC22:CD22)</f>
        <v>134.5</v>
      </c>
      <c r="CE23" s="654">
        <f>AVERAGE(CD22:CE22)</f>
        <v>121</v>
      </c>
      <c r="CF23" s="654">
        <f>AVERAGE(CE22:CF22)</f>
        <v>116</v>
      </c>
      <c r="CG23" s="654">
        <f>AVERAGE(CF22:CG22)</f>
        <v>116.5</v>
      </c>
      <c r="CH23" s="773">
        <f>AVERAGE(CC22,CH22)</f>
        <v>130</v>
      </c>
      <c r="CI23" s="772">
        <f>AVERAGE(CH22:CI22)</f>
        <v>117</v>
      </c>
      <c r="CJ23" s="654">
        <f>AVERAGE(CI22:CJ22)</f>
        <v>119.5</v>
      </c>
      <c r="CK23" s="654">
        <f>AVERAGE(CJ22:CK22)</f>
        <v>126</v>
      </c>
      <c r="CL23" s="654">
        <f>AVERAGE(CK22:CL22)</f>
        <v>132</v>
      </c>
      <c r="CM23" s="773">
        <f>AVERAGE(CH22,CM22)</f>
        <v>125.5</v>
      </c>
      <c r="CN23" s="772">
        <f>AVERAGE(CM22:CN22)</f>
        <v>136</v>
      </c>
      <c r="CO23" s="654">
        <f>AVERAGE(CN22:CO22)</f>
        <v>138.5</v>
      </c>
      <c r="CP23" s="654">
        <f>AVERAGE(CO22:CP22)</f>
        <v>139</v>
      </c>
      <c r="CQ23" s="654">
        <f>AVERAGE(CP22:CQ22)</f>
        <v>141</v>
      </c>
      <c r="CR23" s="773">
        <f>AVERAGE(CM22,CR22)</f>
        <v>138.5</v>
      </c>
      <c r="CS23" s="772">
        <f>AVERAGE(CM22,CS22)</f>
        <v>136</v>
      </c>
      <c r="CT23" s="654">
        <f>AVERAGE(CS22:CT22)</f>
        <v>138.5</v>
      </c>
      <c r="CU23" s="654">
        <f>AVERAGE(CT22:CU22)</f>
        <v>139</v>
      </c>
      <c r="CV23" s="654">
        <f>AVERAGE(CU22:CV22)</f>
        <v>141</v>
      </c>
      <c r="CW23" s="773">
        <f>AVERAGE(CM22,CW22)</f>
        <v>138.5</v>
      </c>
      <c r="CX23" s="772">
        <f>AVERAGE(CR22,CX22)</f>
        <v>146.5</v>
      </c>
      <c r="CY23" s="654">
        <f>AVERAGE(CX22:CY22)</f>
        <v>150</v>
      </c>
      <c r="CZ23" s="654">
        <f>AVERAGE(CY22:CZ22)</f>
        <v>150</v>
      </c>
      <c r="DA23" s="654">
        <f>AVERAGE(CZ22:DA22)</f>
        <v>150</v>
      </c>
      <c r="DB23" s="773">
        <f>AVERAGE(CW22,DB22)</f>
        <v>146.5</v>
      </c>
      <c r="DC23" s="654"/>
      <c r="DD23" s="654"/>
      <c r="DE23" s="654"/>
      <c r="DF23" s="654"/>
      <c r="DG23" s="773">
        <f>AVERAGE(DB22,DG22)</f>
        <v>150</v>
      </c>
      <c r="DH23" s="654"/>
      <c r="DI23" s="654"/>
      <c r="DJ23" s="654"/>
      <c r="DK23" s="654"/>
      <c r="DL23" s="773">
        <f>AVERAGE(DG22,DL22)</f>
        <v>150</v>
      </c>
      <c r="DM23" s="17"/>
      <c r="DN23" s="498"/>
      <c r="DO23" s="486"/>
      <c r="DP23" s="411"/>
      <c r="DQ23" s="411"/>
      <c r="DR23" s="411"/>
      <c r="DS23" s="555" t="s">
        <v>227</v>
      </c>
      <c r="DT23" s="555"/>
      <c r="DU23" s="459"/>
      <c r="DV23" s="459"/>
      <c r="DW23" s="459"/>
      <c r="DX23" s="459"/>
      <c r="DY23" s="459"/>
      <c r="DZ23" s="459"/>
      <c r="EA23" s="498"/>
      <c r="EH23" s="8"/>
    </row>
    <row r="24" spans="1:138" ht="12.75" customHeight="1" x14ac:dyDescent="0.2">
      <c r="A24" s="22" t="s">
        <v>254</v>
      </c>
      <c r="B24" s="654">
        <v>586</v>
      </c>
      <c r="C24" s="654">
        <v>593</v>
      </c>
      <c r="D24" s="654">
        <v>602</v>
      </c>
      <c r="E24" s="654">
        <v>605</v>
      </c>
      <c r="F24" s="200">
        <f>E24</f>
        <v>605</v>
      </c>
      <c r="G24" s="654">
        <v>829</v>
      </c>
      <c r="H24" s="654">
        <v>826</v>
      </c>
      <c r="I24" s="654">
        <v>828</v>
      </c>
      <c r="J24" s="654">
        <v>814</v>
      </c>
      <c r="K24" s="200">
        <f>J24</f>
        <v>814</v>
      </c>
      <c r="L24" s="654">
        <v>832</v>
      </c>
      <c r="M24" s="654">
        <v>831</v>
      </c>
      <c r="N24" s="654">
        <v>822</v>
      </c>
      <c r="O24" s="654">
        <v>831</v>
      </c>
      <c r="P24" s="200">
        <f>O24</f>
        <v>831</v>
      </c>
      <c r="Q24" s="654">
        <v>827</v>
      </c>
      <c r="R24" s="654">
        <v>816</v>
      </c>
      <c r="S24" s="654">
        <v>829</v>
      </c>
      <c r="T24" s="654">
        <v>833</v>
      </c>
      <c r="U24" s="200">
        <f>T24</f>
        <v>833</v>
      </c>
      <c r="V24" s="654">
        <v>838</v>
      </c>
      <c r="W24" s="654">
        <v>842</v>
      </c>
      <c r="X24" s="654">
        <v>842</v>
      </c>
      <c r="Y24" s="654">
        <v>845</v>
      </c>
      <c r="Z24" s="200">
        <f>Y24</f>
        <v>845</v>
      </c>
      <c r="AA24" s="654">
        <v>841</v>
      </c>
      <c r="AB24" s="654">
        <v>869</v>
      </c>
      <c r="AC24" s="654">
        <v>682</v>
      </c>
      <c r="AD24" s="654">
        <v>649</v>
      </c>
      <c r="AE24" s="200">
        <f>AD24</f>
        <v>649</v>
      </c>
      <c r="AF24" s="654">
        <v>638</v>
      </c>
      <c r="AG24" s="654">
        <v>625</v>
      </c>
      <c r="AH24" s="654">
        <v>607</v>
      </c>
      <c r="AI24" s="654">
        <v>600</v>
      </c>
      <c r="AJ24" s="200">
        <f>AI24</f>
        <v>600</v>
      </c>
      <c r="AK24" s="654">
        <v>584</v>
      </c>
      <c r="AL24" s="654">
        <v>573</v>
      </c>
      <c r="AM24" s="654">
        <v>578</v>
      </c>
      <c r="AN24" s="654">
        <v>578</v>
      </c>
      <c r="AO24" s="200">
        <f>AO19+AO22</f>
        <v>578</v>
      </c>
      <c r="AP24" s="772"/>
      <c r="AQ24" s="654"/>
      <c r="AR24" s="654"/>
      <c r="AS24" s="654"/>
      <c r="AT24" s="200"/>
      <c r="AU24" s="654">
        <v>1021</v>
      </c>
      <c r="AV24" s="654">
        <f>AV19+AV22</f>
        <v>1031</v>
      </c>
      <c r="AW24" s="654">
        <f>AW19+AW22</f>
        <v>1020</v>
      </c>
      <c r="AX24" s="654">
        <f>AX19+AX22</f>
        <v>1023</v>
      </c>
      <c r="AY24" s="200">
        <f>AY19+AY22</f>
        <v>1023</v>
      </c>
      <c r="AZ24" s="772">
        <v>1015</v>
      </c>
      <c r="BA24" s="654">
        <v>1017</v>
      </c>
      <c r="BB24" s="654">
        <f>BB19+BB22</f>
        <v>1001</v>
      </c>
      <c r="BC24" s="654">
        <v>983</v>
      </c>
      <c r="BD24" s="198">
        <f t="shared" ref="BD24:BN24" si="84">BD19+BD22</f>
        <v>983</v>
      </c>
      <c r="BE24" s="772">
        <f t="shared" si="84"/>
        <v>966</v>
      </c>
      <c r="BF24" s="654">
        <f t="shared" si="84"/>
        <v>958</v>
      </c>
      <c r="BG24" s="654">
        <f t="shared" si="84"/>
        <v>821</v>
      </c>
      <c r="BH24" s="654">
        <f t="shared" si="84"/>
        <v>815</v>
      </c>
      <c r="BI24" s="198">
        <f t="shared" si="84"/>
        <v>815</v>
      </c>
      <c r="BJ24" s="772">
        <f t="shared" si="84"/>
        <v>805</v>
      </c>
      <c r="BK24" s="654">
        <f t="shared" si="84"/>
        <v>803</v>
      </c>
      <c r="BL24" s="654">
        <v>790</v>
      </c>
      <c r="BM24" s="654">
        <v>775</v>
      </c>
      <c r="BN24" s="316">
        <f t="shared" si="84"/>
        <v>775</v>
      </c>
      <c r="BO24" s="772">
        <f t="shared" ref="BO24:CB24" si="85">BO19+BO22</f>
        <v>770</v>
      </c>
      <c r="BP24" s="654">
        <f t="shared" si="85"/>
        <v>773</v>
      </c>
      <c r="BQ24" s="654">
        <f t="shared" si="85"/>
        <v>725</v>
      </c>
      <c r="BR24" s="654">
        <f t="shared" ref="BR24:BW24" si="86">BR19+BR22</f>
        <v>717</v>
      </c>
      <c r="BS24" s="198">
        <f t="shared" si="86"/>
        <v>717</v>
      </c>
      <c r="BT24" s="772">
        <f t="shared" si="86"/>
        <v>719</v>
      </c>
      <c r="BU24" s="654">
        <f t="shared" si="86"/>
        <v>727</v>
      </c>
      <c r="BV24" s="654">
        <f t="shared" si="86"/>
        <v>900</v>
      </c>
      <c r="BW24" s="654">
        <f t="shared" si="86"/>
        <v>912</v>
      </c>
      <c r="BX24" s="198">
        <f t="shared" si="85"/>
        <v>912</v>
      </c>
      <c r="BY24" s="772">
        <f t="shared" si="85"/>
        <v>909</v>
      </c>
      <c r="BZ24" s="654">
        <f t="shared" si="85"/>
        <v>922</v>
      </c>
      <c r="CA24" s="654">
        <f t="shared" si="85"/>
        <v>916</v>
      </c>
      <c r="CB24" s="654">
        <f t="shared" si="85"/>
        <v>915</v>
      </c>
      <c r="CC24" s="773">
        <f>CC19+CC22</f>
        <v>915</v>
      </c>
      <c r="CD24" s="772">
        <f>CD19+CD22</f>
        <v>912</v>
      </c>
      <c r="CE24" s="654">
        <f>CE19+CE22</f>
        <v>916</v>
      </c>
      <c r="CF24" s="654">
        <f>CF19+CF22</f>
        <v>925</v>
      </c>
      <c r="CG24" s="654">
        <f>CG19+CG22</f>
        <v>926</v>
      </c>
      <c r="CH24" s="773">
        <f t="shared" ref="CH24" si="87">CH19+CH22</f>
        <v>926</v>
      </c>
      <c r="CI24" s="772">
        <f>CI19+CI22</f>
        <v>931</v>
      </c>
      <c r="CJ24" s="654">
        <f>CJ19+CJ22</f>
        <v>944</v>
      </c>
      <c r="CK24" s="654">
        <f>CK19+CK22</f>
        <v>960</v>
      </c>
      <c r="CL24" s="654">
        <f>CL19+CL22</f>
        <v>966</v>
      </c>
      <c r="CM24" s="773">
        <f t="shared" ref="CM24" si="88">CM19+CM22</f>
        <v>966</v>
      </c>
      <c r="CN24" s="772">
        <f>CN19+CN22</f>
        <v>984</v>
      </c>
      <c r="CO24" s="654">
        <f>CO19+CO22</f>
        <v>986</v>
      </c>
      <c r="CP24" s="654">
        <f>CP19+CP22</f>
        <v>996</v>
      </c>
      <c r="CQ24" s="654">
        <f>CQ19+CQ22</f>
        <v>999</v>
      </c>
      <c r="CR24" s="773">
        <f t="shared" ref="CR24" si="89">CR19+CR22</f>
        <v>999</v>
      </c>
      <c r="CS24" s="772">
        <f>CS19+CS22</f>
        <v>984</v>
      </c>
      <c r="CT24" s="654">
        <f>CT19+CT22</f>
        <v>986</v>
      </c>
      <c r="CU24" s="654">
        <f>CU19+CU22</f>
        <v>996</v>
      </c>
      <c r="CV24" s="654">
        <f>CV19+CV22</f>
        <v>999</v>
      </c>
      <c r="CW24" s="773">
        <f t="shared" ref="CW24" si="90">CW19+CW22</f>
        <v>999</v>
      </c>
      <c r="CX24" s="772">
        <f>CX19+CX22</f>
        <v>1017</v>
      </c>
      <c r="CY24" s="782">
        <f t="shared" ref="CY24:DB24" si="91">CY19+CY22</f>
        <v>1017</v>
      </c>
      <c r="CZ24" s="782">
        <f t="shared" si="91"/>
        <v>1017</v>
      </c>
      <c r="DA24" s="782">
        <f t="shared" si="91"/>
        <v>1017</v>
      </c>
      <c r="DB24" s="773">
        <f t="shared" si="91"/>
        <v>1017</v>
      </c>
      <c r="DC24" s="654"/>
      <c r="DD24" s="654"/>
      <c r="DE24" s="782"/>
      <c r="DF24" s="782"/>
      <c r="DG24" s="773">
        <f>DG19+DG22</f>
        <v>1017</v>
      </c>
      <c r="DH24" s="654"/>
      <c r="DI24" s="654"/>
      <c r="DJ24" s="782"/>
      <c r="DK24" s="782"/>
      <c r="DL24" s="773">
        <f>DL19+DL22</f>
        <v>1017</v>
      </c>
      <c r="DM24" s="17"/>
      <c r="DN24" s="498"/>
      <c r="DO24" s="486"/>
      <c r="DP24" s="411"/>
      <c r="DQ24" s="411"/>
      <c r="DR24" s="411"/>
      <c r="DS24" s="556"/>
      <c r="DT24" s="556" t="s">
        <v>190</v>
      </c>
      <c r="DU24" s="459"/>
      <c r="DV24" s="459"/>
      <c r="DW24" s="459"/>
      <c r="DX24" s="459"/>
      <c r="DY24" s="459"/>
      <c r="DZ24" s="459"/>
      <c r="EA24" s="498"/>
      <c r="EH24" s="8"/>
    </row>
    <row r="25" spans="1:138" ht="12.75" customHeight="1" x14ac:dyDescent="0.2">
      <c r="A25" s="23" t="s">
        <v>225</v>
      </c>
      <c r="B25" s="777"/>
      <c r="C25" s="777">
        <f>AVERAGE(B24:C24)</f>
        <v>589.5</v>
      </c>
      <c r="D25" s="777">
        <f>AVERAGE(C24:D24)</f>
        <v>597.5</v>
      </c>
      <c r="E25" s="777">
        <f>AVERAGE(D24:E24)</f>
        <v>603.5</v>
      </c>
      <c r="F25" s="261">
        <f>+AVERAGE(B24:E24)</f>
        <v>596.5</v>
      </c>
      <c r="G25" s="777">
        <f>AVERAGE(E24,G24)</f>
        <v>717</v>
      </c>
      <c r="H25" s="777">
        <f>AVERAGE(G24:H24)</f>
        <v>827.5</v>
      </c>
      <c r="I25" s="777">
        <f>AVERAGE(H24:I24)</f>
        <v>827</v>
      </c>
      <c r="J25" s="777">
        <f>AVERAGE(I24:J24)</f>
        <v>821</v>
      </c>
      <c r="K25" s="261">
        <f>AVERAGE(F24,K24)</f>
        <v>709.5</v>
      </c>
      <c r="L25" s="777">
        <f>AVERAGE(J24,L24)</f>
        <v>823</v>
      </c>
      <c r="M25" s="777">
        <f>AVERAGE(L24:M24)</f>
        <v>831.5</v>
      </c>
      <c r="N25" s="777">
        <f>AVERAGE(M24:N24)</f>
        <v>826.5</v>
      </c>
      <c r="O25" s="777">
        <f>AVERAGE(N24:O24)</f>
        <v>826.5</v>
      </c>
      <c r="P25" s="261">
        <f>AVERAGE(K24,P24)</f>
        <v>822.5</v>
      </c>
      <c r="Q25" s="777">
        <f>AVERAGE(O24,Q24)</f>
        <v>829</v>
      </c>
      <c r="R25" s="777">
        <f>AVERAGE(Q24:R24)</f>
        <v>821.5</v>
      </c>
      <c r="S25" s="777">
        <f>AVERAGE(R24:S24)</f>
        <v>822.5</v>
      </c>
      <c r="T25" s="777">
        <f>AVERAGE(S24:T24)</f>
        <v>831</v>
      </c>
      <c r="U25" s="261">
        <f>AVERAGE(P24,U24)</f>
        <v>832</v>
      </c>
      <c r="V25" s="777">
        <f>AVERAGE(T24,V24)</f>
        <v>835.5</v>
      </c>
      <c r="W25" s="777">
        <f>AVERAGE(V24:W24)</f>
        <v>840</v>
      </c>
      <c r="X25" s="777">
        <f>AVERAGE(W24:X24)</f>
        <v>842</v>
      </c>
      <c r="Y25" s="777">
        <f>AVERAGE(X24:Y24)</f>
        <v>843.5</v>
      </c>
      <c r="Z25" s="261">
        <f>AVERAGE(U24,Z24)</f>
        <v>839</v>
      </c>
      <c r="AA25" s="777">
        <f>AVERAGE(Y24,AA24)</f>
        <v>843</v>
      </c>
      <c r="AB25" s="777">
        <f>AVERAGE(AA24:AB24)</f>
        <v>855</v>
      </c>
      <c r="AC25" s="777">
        <f>AVERAGE(AB24:AC24)</f>
        <v>775.5</v>
      </c>
      <c r="AD25" s="777">
        <f>AVERAGE(AC24:AD24)</f>
        <v>665.5</v>
      </c>
      <c r="AE25" s="261">
        <f>AVERAGE(Z24,AE24)</f>
        <v>747</v>
      </c>
      <c r="AF25" s="777">
        <f>AVERAGE(AD24,AF24)</f>
        <v>643.5</v>
      </c>
      <c r="AG25" s="777">
        <f>AVERAGE(AF24:AG24)</f>
        <v>631.5</v>
      </c>
      <c r="AH25" s="777">
        <f>AVERAGE(AG24:AH24)</f>
        <v>616</v>
      </c>
      <c r="AI25" s="777">
        <f>AVERAGE(AH24:AI24)</f>
        <v>603.5</v>
      </c>
      <c r="AJ25" s="261">
        <f>AVERAGE(AE24,AJ24)</f>
        <v>624.5</v>
      </c>
      <c r="AK25" s="777">
        <f>AVERAGE(AI24,AK24)</f>
        <v>592</v>
      </c>
      <c r="AL25" s="777">
        <f>AVERAGE(AK24:AL24)</f>
        <v>578.5</v>
      </c>
      <c r="AM25" s="777">
        <f>AVERAGE(AL24:AM24)</f>
        <v>575.5</v>
      </c>
      <c r="AN25" s="777">
        <f>AVERAGE(AM24:AN24)</f>
        <v>578</v>
      </c>
      <c r="AO25" s="261">
        <f>AVERAGE(AJ24,AO24)</f>
        <v>589</v>
      </c>
      <c r="AP25" s="776"/>
      <c r="AQ25" s="777"/>
      <c r="AR25" s="777"/>
      <c r="AS25" s="777"/>
      <c r="AT25" s="261"/>
      <c r="AU25" s="777">
        <f>AVERAGE(AT24:AU24)</f>
        <v>1021</v>
      </c>
      <c r="AV25" s="777">
        <f>AVERAGE(AU24:AV24)</f>
        <v>1026</v>
      </c>
      <c r="AW25" s="777">
        <f>AVERAGE(AV24:AW24)</f>
        <v>1025.5</v>
      </c>
      <c r="AX25" s="777">
        <f>AVERAGE(AW24:AX24)</f>
        <v>1021.5</v>
      </c>
      <c r="AY25" s="261">
        <f>AVERAGE(AT24,AY24)</f>
        <v>1023</v>
      </c>
      <c r="AZ25" s="776">
        <f>AVERAGE(AY24:AZ24)</f>
        <v>1019</v>
      </c>
      <c r="BA25" s="777">
        <f>AVERAGE(AZ24:BA24)</f>
        <v>1016</v>
      </c>
      <c r="BB25" s="777">
        <f>AVERAGE(BA24:BB24)</f>
        <v>1009</v>
      </c>
      <c r="BC25" s="777">
        <f>AVERAGE(BB24:BC24)</f>
        <v>992</v>
      </c>
      <c r="BD25" s="261">
        <f>AVERAGE(AY24,BD24)</f>
        <v>1003</v>
      </c>
      <c r="BE25" s="776">
        <f>AVERAGE(BD24:BE24)</f>
        <v>974.5</v>
      </c>
      <c r="BF25" s="777">
        <f>AVERAGE(BE24:BF24)</f>
        <v>962</v>
      </c>
      <c r="BG25" s="777">
        <f>AVERAGE(BF24:BG24)</f>
        <v>889.5</v>
      </c>
      <c r="BH25" s="777">
        <f>AVERAGE(BG24:BH24)</f>
        <v>818</v>
      </c>
      <c r="BI25" s="261">
        <f>AVERAGE(BD24,BI24)</f>
        <v>899</v>
      </c>
      <c r="BJ25" s="776">
        <f>AVERAGE(BI24:BJ24)</f>
        <v>810</v>
      </c>
      <c r="BK25" s="777">
        <f>AVERAGE(BJ24:BK24)</f>
        <v>804</v>
      </c>
      <c r="BL25" s="777">
        <f>AVERAGE(BK24:BL24)</f>
        <v>796.5</v>
      </c>
      <c r="BM25" s="777">
        <f>AVERAGE(BL24:BM24)</f>
        <v>782.5</v>
      </c>
      <c r="BN25" s="358">
        <f>AVERAGE(BI24,BN24)</f>
        <v>795</v>
      </c>
      <c r="BO25" s="776">
        <f>AVERAGE(BN24:BO24)</f>
        <v>772.5</v>
      </c>
      <c r="BP25" s="777">
        <f>AVERAGE(BO24:BP24)</f>
        <v>771.5</v>
      </c>
      <c r="BQ25" s="777">
        <f>AVERAGE(BP24:BQ24)</f>
        <v>749</v>
      </c>
      <c r="BR25" s="777">
        <f>AVERAGE(BQ24:BR24)</f>
        <v>721</v>
      </c>
      <c r="BS25" s="261">
        <f>AVERAGE(BN24,BS24)</f>
        <v>746</v>
      </c>
      <c r="BT25" s="776">
        <f>AVERAGE(BS24:BT24)</f>
        <v>718</v>
      </c>
      <c r="BU25" s="777">
        <f>AVERAGE(BT24:BU24)</f>
        <v>723</v>
      </c>
      <c r="BV25" s="777">
        <f>AVERAGE(BU24:BV24)</f>
        <v>813.5</v>
      </c>
      <c r="BW25" s="777">
        <f>AVERAGE(BV24:BW24)</f>
        <v>906</v>
      </c>
      <c r="BX25" s="261">
        <f>AVERAGE(BS24,BX24)</f>
        <v>814.5</v>
      </c>
      <c r="BY25" s="776">
        <f>AVERAGE(BX24:BY24)</f>
        <v>910.5</v>
      </c>
      <c r="BZ25" s="777">
        <f>AVERAGE(BY24:BZ24)</f>
        <v>915.5</v>
      </c>
      <c r="CA25" s="777">
        <f>AVERAGE(BZ24:CA24)</f>
        <v>919</v>
      </c>
      <c r="CB25" s="777">
        <f>AVERAGE(CA24:CB24)</f>
        <v>915.5</v>
      </c>
      <c r="CC25" s="778">
        <f>AVERAGE(BX24,CC24)</f>
        <v>913.5</v>
      </c>
      <c r="CD25" s="776">
        <f>AVERAGE(CC24:CD24)</f>
        <v>913.5</v>
      </c>
      <c r="CE25" s="777">
        <f>AVERAGE(CD24:CE24)</f>
        <v>914</v>
      </c>
      <c r="CF25" s="777">
        <f>AVERAGE(CE24:CF24)</f>
        <v>920.5</v>
      </c>
      <c r="CG25" s="777">
        <f>AVERAGE(CF24:CG24)</f>
        <v>925.5</v>
      </c>
      <c r="CH25" s="778">
        <f>AVERAGE(CC24,CH24)</f>
        <v>920.5</v>
      </c>
      <c r="CI25" s="776">
        <f>AVERAGE(CH24:CI24)</f>
        <v>928.5</v>
      </c>
      <c r="CJ25" s="777">
        <f>AVERAGE(CI24:CJ24)</f>
        <v>937.5</v>
      </c>
      <c r="CK25" s="777">
        <f>AVERAGE(CJ24:CK24)</f>
        <v>952</v>
      </c>
      <c r="CL25" s="777">
        <f>AVERAGE(CK24:CL24)</f>
        <v>963</v>
      </c>
      <c r="CM25" s="778">
        <f>AVERAGE(CH24,CM24)</f>
        <v>946</v>
      </c>
      <c r="CN25" s="776">
        <f>AVERAGE(CM24:CN24)</f>
        <v>975</v>
      </c>
      <c r="CO25" s="777">
        <f>AVERAGE(CN24:CO24)</f>
        <v>985</v>
      </c>
      <c r="CP25" s="777">
        <f>AVERAGE(CO24:CP24)</f>
        <v>991</v>
      </c>
      <c r="CQ25" s="777">
        <f>AVERAGE(CP24:CQ24)</f>
        <v>997.5</v>
      </c>
      <c r="CR25" s="778">
        <f>AVERAGE(CM24,CR24)</f>
        <v>982.5</v>
      </c>
      <c r="CS25" s="776">
        <f>AVERAGE(CM24,CS24)</f>
        <v>975</v>
      </c>
      <c r="CT25" s="777">
        <f>AVERAGE(CS24:CT24)</f>
        <v>985</v>
      </c>
      <c r="CU25" s="777">
        <f>AVERAGE(CT24:CU24)</f>
        <v>991</v>
      </c>
      <c r="CV25" s="777">
        <f>AVERAGE(CU24:CV24)</f>
        <v>997.5</v>
      </c>
      <c r="CW25" s="778">
        <f>AVERAGE(CM24,CW24)</f>
        <v>982.5</v>
      </c>
      <c r="CX25" s="776">
        <f>AVERAGE(CR24,CX24)</f>
        <v>1008</v>
      </c>
      <c r="CY25" s="777">
        <f>AVERAGE(CX24:CY24)</f>
        <v>1017</v>
      </c>
      <c r="CZ25" s="777">
        <f>AVERAGE(CY24:CZ24)</f>
        <v>1017</v>
      </c>
      <c r="DA25" s="777">
        <f>AVERAGE(CZ24:DA24)</f>
        <v>1017</v>
      </c>
      <c r="DB25" s="778">
        <f>AVERAGE(CW24,DB24)</f>
        <v>1008</v>
      </c>
      <c r="DC25" s="777"/>
      <c r="DD25" s="777"/>
      <c r="DE25" s="777"/>
      <c r="DF25" s="777"/>
      <c r="DG25" s="778">
        <f>AVERAGE(DB24,DG24)</f>
        <v>1017</v>
      </c>
      <c r="DH25" s="777"/>
      <c r="DI25" s="777"/>
      <c r="DJ25" s="777"/>
      <c r="DK25" s="777"/>
      <c r="DL25" s="778">
        <f>AVERAGE(DG24,DL24)</f>
        <v>1017</v>
      </c>
      <c r="DM25" s="17"/>
      <c r="DN25" s="498"/>
      <c r="DO25" s="486"/>
      <c r="DP25" s="411"/>
      <c r="DQ25" s="411"/>
      <c r="DR25" s="411"/>
      <c r="DS25" s="577"/>
      <c r="DT25" s="577"/>
      <c r="DU25" s="459"/>
      <c r="DV25" s="459"/>
      <c r="DW25" s="459"/>
      <c r="DX25" s="459"/>
      <c r="DY25" s="459"/>
      <c r="DZ25" s="459"/>
      <c r="EA25" s="498"/>
      <c r="EH25" s="8"/>
    </row>
    <row r="26" spans="1:138" ht="12.75" customHeight="1" x14ac:dyDescent="0.2">
      <c r="A26" s="142" t="s">
        <v>244</v>
      </c>
      <c r="B26" s="780"/>
      <c r="C26" s="780"/>
      <c r="D26" s="780"/>
      <c r="E26" s="780"/>
      <c r="F26" s="199"/>
      <c r="G26" s="780"/>
      <c r="H26" s="780">
        <f>H25/C25-1</f>
        <v>0.40373197625106028</v>
      </c>
      <c r="I26" s="780">
        <f>I25/D25-1</f>
        <v>0.38410041841004183</v>
      </c>
      <c r="J26" s="780">
        <f>J25/E25-1</f>
        <v>0.36039768019884</v>
      </c>
      <c r="K26" s="199"/>
      <c r="L26" s="780">
        <f t="shared" ref="L26:AO26" si="92">L25/G25-1</f>
        <v>0.14783821478382153</v>
      </c>
      <c r="M26" s="780">
        <f t="shared" si="92"/>
        <v>4.8338368580060909E-3</v>
      </c>
      <c r="N26" s="780">
        <f t="shared" si="92"/>
        <v>-6.0459492140263471E-4</v>
      </c>
      <c r="O26" s="780">
        <f t="shared" si="92"/>
        <v>6.6991473812423319E-3</v>
      </c>
      <c r="P26" s="199">
        <f t="shared" si="92"/>
        <v>0.15926708949964774</v>
      </c>
      <c r="Q26" s="780">
        <f t="shared" si="92"/>
        <v>7.2904009720533569E-3</v>
      </c>
      <c r="R26" s="780">
        <f t="shared" si="92"/>
        <v>-1.20264582080577E-2</v>
      </c>
      <c r="S26" s="780">
        <f t="shared" si="92"/>
        <v>-4.8396854204476591E-3</v>
      </c>
      <c r="T26" s="780">
        <f t="shared" si="92"/>
        <v>5.4446460980035472E-3</v>
      </c>
      <c r="U26" s="199">
        <f t="shared" si="92"/>
        <v>1.1550151975683987E-2</v>
      </c>
      <c r="V26" s="780">
        <f t="shared" si="92"/>
        <v>7.8407720144753057E-3</v>
      </c>
      <c r="W26" s="780">
        <f t="shared" si="92"/>
        <v>2.251978088861839E-2</v>
      </c>
      <c r="X26" s="780">
        <f t="shared" si="92"/>
        <v>2.3708206686930078E-2</v>
      </c>
      <c r="Y26" s="780">
        <f t="shared" si="92"/>
        <v>1.5042117930204491E-2</v>
      </c>
      <c r="Z26" s="199">
        <f t="shared" si="92"/>
        <v>8.4134615384614531E-3</v>
      </c>
      <c r="AA26" s="780">
        <f t="shared" si="92"/>
        <v>8.9766606822261341E-3</v>
      </c>
      <c r="AB26" s="780">
        <f t="shared" si="92"/>
        <v>1.7857142857142794E-2</v>
      </c>
      <c r="AC26" s="780">
        <f t="shared" si="92"/>
        <v>-7.8978622327790959E-2</v>
      </c>
      <c r="AD26" s="780">
        <f t="shared" si="92"/>
        <v>-0.21102548903378782</v>
      </c>
      <c r="AE26" s="199">
        <f t="shared" si="92"/>
        <v>-0.10965435041716332</v>
      </c>
      <c r="AF26" s="780">
        <f t="shared" si="92"/>
        <v>-0.23665480427046259</v>
      </c>
      <c r="AG26" s="780">
        <f t="shared" si="92"/>
        <v>-0.26140350877192986</v>
      </c>
      <c r="AH26" s="780">
        <f t="shared" si="92"/>
        <v>-0.20567375886524819</v>
      </c>
      <c r="AI26" s="780">
        <f t="shared" si="92"/>
        <v>-9.3163035311795594E-2</v>
      </c>
      <c r="AJ26" s="199">
        <f t="shared" si="92"/>
        <v>-0.16398929049531463</v>
      </c>
      <c r="AK26" s="780">
        <f t="shared" si="92"/>
        <v>-8.003108003108006E-2</v>
      </c>
      <c r="AL26" s="780">
        <f t="shared" si="92"/>
        <v>-8.392715756136182E-2</v>
      </c>
      <c r="AM26" s="780">
        <f t="shared" si="92"/>
        <v>-6.5746753246753276E-2</v>
      </c>
      <c r="AN26" s="780">
        <f t="shared" si="92"/>
        <v>-4.2253521126760618E-2</v>
      </c>
      <c r="AO26" s="199">
        <f t="shared" si="92"/>
        <v>-5.6845476381104931E-2</v>
      </c>
      <c r="AP26" s="779"/>
      <c r="AQ26" s="780"/>
      <c r="AR26" s="780"/>
      <c r="AS26" s="780"/>
      <c r="AT26" s="206"/>
      <c r="AU26" s="780"/>
      <c r="AV26" s="780"/>
      <c r="AW26" s="780"/>
      <c r="AX26" s="780"/>
      <c r="AY26" s="206"/>
      <c r="AZ26" s="779">
        <f t="shared" ref="AZ26:BP26" si="93">AZ25/AU25-1</f>
        <v>-1.9588638589618235E-3</v>
      </c>
      <c r="BA26" s="780">
        <f t="shared" si="93"/>
        <v>-9.74658869395717E-3</v>
      </c>
      <c r="BB26" s="780">
        <f t="shared" si="93"/>
        <v>-1.6089712335446094E-2</v>
      </c>
      <c r="BC26" s="780">
        <f t="shared" si="93"/>
        <v>-2.8879099363680827E-2</v>
      </c>
      <c r="BD26" s="206">
        <f t="shared" si="93"/>
        <v>-1.9550342130987275E-2</v>
      </c>
      <c r="BE26" s="779">
        <f t="shared" si="93"/>
        <v>-4.3670264965652628E-2</v>
      </c>
      <c r="BF26" s="780">
        <f t="shared" si="93"/>
        <v>-5.3149606299212615E-2</v>
      </c>
      <c r="BG26" s="780">
        <f t="shared" si="93"/>
        <v>-0.11843409316154607</v>
      </c>
      <c r="BH26" s="780">
        <f t="shared" si="93"/>
        <v>-0.17540322580645162</v>
      </c>
      <c r="BI26" s="206">
        <f t="shared" si="93"/>
        <v>-0.10368893320039885</v>
      </c>
      <c r="BJ26" s="779">
        <f t="shared" si="93"/>
        <v>-0.16880451513596717</v>
      </c>
      <c r="BK26" s="780">
        <f t="shared" si="93"/>
        <v>-0.16424116424116419</v>
      </c>
      <c r="BL26" s="780">
        <f t="shared" si="93"/>
        <v>-0.10455311973018555</v>
      </c>
      <c r="BM26" s="780">
        <f t="shared" si="93"/>
        <v>-4.3398533007334983E-2</v>
      </c>
      <c r="BN26" s="317">
        <f t="shared" ref="BN26:CF26" si="94">BN25/BI25-1</f>
        <v>-0.11568409343715236</v>
      </c>
      <c r="BO26" s="779">
        <f t="shared" si="93"/>
        <v>-4.629629629629628E-2</v>
      </c>
      <c r="BP26" s="780">
        <f t="shared" si="93"/>
        <v>-4.0422885572139355E-2</v>
      </c>
      <c r="BQ26" s="780">
        <f t="shared" si="94"/>
        <v>-5.9635907093534168E-2</v>
      </c>
      <c r="BR26" s="780">
        <f t="shared" si="94"/>
        <v>-7.8594249201277999E-2</v>
      </c>
      <c r="BS26" s="206">
        <f t="shared" si="94"/>
        <v>-6.163522012578615E-2</v>
      </c>
      <c r="BT26" s="779">
        <f t="shared" si="94"/>
        <v>-7.0550161812297785E-2</v>
      </c>
      <c r="BU26" s="780">
        <f t="shared" si="94"/>
        <v>-6.2864549578742657E-2</v>
      </c>
      <c r="BV26" s="780">
        <f t="shared" si="94"/>
        <v>8.6114819759679495E-2</v>
      </c>
      <c r="BW26" s="780">
        <f t="shared" si="94"/>
        <v>0.25658807212205281</v>
      </c>
      <c r="BX26" s="206">
        <f>BX25/BS25-1</f>
        <v>9.1823056300267991E-2</v>
      </c>
      <c r="BY26" s="779">
        <f t="shared" si="94"/>
        <v>0.26810584958217265</v>
      </c>
      <c r="BZ26" s="780">
        <f t="shared" si="94"/>
        <v>0.26625172890733051</v>
      </c>
      <c r="CA26" s="780">
        <f t="shared" si="94"/>
        <v>0.12968653964351562</v>
      </c>
      <c r="CB26" s="780">
        <f t="shared" si="94"/>
        <v>1.0485651214128033E-2</v>
      </c>
      <c r="CC26" s="781">
        <f t="shared" ref="CC26" si="95">CC25/BX25-1</f>
        <v>0.12154696132596676</v>
      </c>
      <c r="CD26" s="779">
        <f t="shared" si="94"/>
        <v>3.2948929159801743E-3</v>
      </c>
      <c r="CE26" s="780">
        <f t="shared" si="94"/>
        <v>-1.6384489350081965E-3</v>
      </c>
      <c r="CF26" s="780">
        <f t="shared" si="94"/>
        <v>1.6322089227420733E-3</v>
      </c>
      <c r="CG26" s="780">
        <f>CG25/CB25-1</f>
        <v>1.0922992900054718E-2</v>
      </c>
      <c r="CH26" s="781">
        <f>CH25/CC25-1</f>
        <v>7.6628352490422103E-3</v>
      </c>
      <c r="CI26" s="779">
        <f>CI25/CD25-1</f>
        <v>1.6420361247947435E-2</v>
      </c>
      <c r="CJ26" s="780">
        <f t="shared" ref="CJ26:CK26" si="96">CJ25/CE25-1</f>
        <v>2.5711159737417999E-2</v>
      </c>
      <c r="CK26" s="780">
        <f t="shared" si="96"/>
        <v>3.4220532319391594E-2</v>
      </c>
      <c r="CL26" s="780">
        <f>CL25/CG25-1</f>
        <v>4.0518638573743937E-2</v>
      </c>
      <c r="CM26" s="781">
        <f>CM25/CH25-1</f>
        <v>2.7702335687126656E-2</v>
      </c>
      <c r="CN26" s="779">
        <f>CN25/CI25-1</f>
        <v>5.0080775444264924E-2</v>
      </c>
      <c r="CO26" s="780">
        <f t="shared" ref="CO26:CP26" si="97">CO25/CJ25-1</f>
        <v>5.0666666666666638E-2</v>
      </c>
      <c r="CP26" s="780">
        <f t="shared" si="97"/>
        <v>4.0966386554621925E-2</v>
      </c>
      <c r="CQ26" s="780">
        <f>CQ25/CL25-1</f>
        <v>3.5825545171339623E-2</v>
      </c>
      <c r="CR26" s="781">
        <f>CR25/CM25-1</f>
        <v>3.858350951374212E-2</v>
      </c>
      <c r="CS26" s="779">
        <f t="shared" ref="CS26:CW26" si="98">CS25/CI25-1</f>
        <v>5.0080775444264924E-2</v>
      </c>
      <c r="CT26" s="780">
        <f t="shared" si="98"/>
        <v>5.0666666666666638E-2</v>
      </c>
      <c r="CU26" s="780">
        <f t="shared" si="98"/>
        <v>4.0966386554621925E-2</v>
      </c>
      <c r="CV26" s="780">
        <f t="shared" si="98"/>
        <v>3.5825545171339623E-2</v>
      </c>
      <c r="CW26" s="781">
        <f t="shared" si="98"/>
        <v>3.858350951374212E-2</v>
      </c>
      <c r="CX26" s="779">
        <f>CX25/CS25-1</f>
        <v>3.3846153846153859E-2</v>
      </c>
      <c r="CY26" s="780">
        <f>CY25/CT25-1</f>
        <v>3.2487309644670059E-2</v>
      </c>
      <c r="CZ26" s="780">
        <f>CZ25/CU25-1</f>
        <v>2.6236125126135157E-2</v>
      </c>
      <c r="DA26" s="780">
        <f>DA25/CV25-1</f>
        <v>1.9548872180451093E-2</v>
      </c>
      <c r="DB26" s="781">
        <f>DB25/CW25-1</f>
        <v>2.5954198473282508E-2</v>
      </c>
      <c r="DC26" s="780"/>
      <c r="DD26" s="780"/>
      <c r="DE26" s="780"/>
      <c r="DF26" s="780"/>
      <c r="DG26" s="781">
        <f>DG25/DB25-1</f>
        <v>8.9285714285713969E-3</v>
      </c>
      <c r="DH26" s="780"/>
      <c r="DI26" s="780"/>
      <c r="DJ26" s="780"/>
      <c r="DK26" s="780"/>
      <c r="DL26" s="781">
        <f>DL25/DG25-1</f>
        <v>0</v>
      </c>
      <c r="DM26" s="20"/>
      <c r="DN26" s="500"/>
      <c r="DO26" s="486"/>
      <c r="DP26" s="411"/>
      <c r="DQ26" s="411"/>
      <c r="DR26" s="411"/>
      <c r="DS26" s="577"/>
      <c r="DT26" s="577"/>
      <c r="DU26" s="461"/>
      <c r="DV26" s="461"/>
      <c r="DW26" s="461"/>
      <c r="DX26" s="461"/>
      <c r="DY26" s="461"/>
      <c r="DZ26" s="461"/>
      <c r="EA26" s="500"/>
      <c r="EH26" s="8"/>
    </row>
    <row r="27" spans="1:138" ht="12.75" customHeight="1" x14ac:dyDescent="0.2">
      <c r="A27" s="4" t="s">
        <v>43</v>
      </c>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231"/>
      <c r="AU27" s="4"/>
      <c r="AV27" s="4"/>
      <c r="AW27" s="4"/>
      <c r="AX27" s="4"/>
      <c r="AY27" s="4"/>
      <c r="AZ27" s="4"/>
      <c r="BA27" s="4"/>
      <c r="BB27" s="4"/>
      <c r="BC27" s="4"/>
      <c r="BD27" s="4"/>
      <c r="BE27" s="4"/>
      <c r="BF27" s="4"/>
      <c r="BG27" s="4"/>
      <c r="BH27" s="4"/>
      <c r="BI27" s="4"/>
      <c r="BJ27" s="4"/>
      <c r="BK27" s="4"/>
      <c r="BL27" s="4"/>
      <c r="BM27" s="4"/>
      <c r="BN27" s="4"/>
      <c r="BO27" s="4"/>
      <c r="BP27" s="4"/>
      <c r="BQ27" s="4"/>
      <c r="BR27" s="4"/>
      <c r="BS27" s="231"/>
      <c r="BT27" s="4"/>
      <c r="BU27" s="4"/>
      <c r="BV27" s="4"/>
      <c r="BW27" s="4"/>
      <c r="BX27" s="231"/>
      <c r="BY27" s="4"/>
      <c r="BZ27" s="4"/>
      <c r="CA27" s="4"/>
      <c r="CB27" s="4"/>
      <c r="CC27" s="433"/>
      <c r="CD27" s="4"/>
      <c r="CE27" s="4"/>
      <c r="CF27" s="4"/>
      <c r="CG27" s="4"/>
      <c r="CH27" s="433"/>
      <c r="CI27" s="4"/>
      <c r="CJ27" s="4"/>
      <c r="CK27" s="4"/>
      <c r="CL27" s="4"/>
      <c r="CM27" s="433"/>
      <c r="CN27" s="4"/>
      <c r="CO27" s="4"/>
      <c r="CP27" s="4"/>
      <c r="CQ27" s="4"/>
      <c r="CR27" s="433"/>
      <c r="CS27" s="4"/>
      <c r="CT27" s="4"/>
      <c r="CU27" s="4"/>
      <c r="CV27" s="4"/>
      <c r="CW27" s="433"/>
      <c r="CX27" s="4"/>
      <c r="CY27" s="4"/>
      <c r="CZ27" s="4"/>
      <c r="DA27" s="4"/>
      <c r="DB27" s="433"/>
      <c r="DC27" s="4"/>
      <c r="DD27" s="4"/>
      <c r="DE27" s="4"/>
      <c r="DF27" s="4"/>
      <c r="DG27" s="433"/>
      <c r="DH27" s="4"/>
      <c r="DI27" s="4"/>
      <c r="DJ27" s="4"/>
      <c r="DK27" s="4"/>
      <c r="DL27" s="433"/>
      <c r="DM27" s="413"/>
      <c r="DN27" s="4"/>
      <c r="DO27" s="487"/>
      <c r="DP27" s="413"/>
      <c r="DQ27" s="413"/>
      <c r="DR27" s="413"/>
      <c r="DS27" s="556"/>
      <c r="DT27" s="577"/>
      <c r="DU27" s="925"/>
      <c r="DV27" s="458"/>
      <c r="DW27" s="458"/>
      <c r="DX27" s="458"/>
      <c r="DY27" s="458"/>
      <c r="DZ27" s="458"/>
      <c r="EA27" s="4"/>
      <c r="EH27" s="4"/>
    </row>
    <row r="28" spans="1:138" ht="12.75" customHeight="1" x14ac:dyDescent="0.2">
      <c r="A28" s="5" t="s">
        <v>44</v>
      </c>
      <c r="B28" s="5"/>
      <c r="C28" s="5"/>
      <c r="D28" s="5"/>
      <c r="E28" s="5"/>
      <c r="F28" s="197"/>
      <c r="G28" s="5"/>
      <c r="H28" s="5"/>
      <c r="I28" s="5"/>
      <c r="J28" s="5"/>
      <c r="K28" s="197"/>
      <c r="L28" s="5"/>
      <c r="M28" s="5"/>
      <c r="N28" s="5"/>
      <c r="O28" s="5"/>
      <c r="P28" s="197"/>
      <c r="Q28" s="5"/>
      <c r="R28" s="5"/>
      <c r="S28" s="5"/>
      <c r="T28" s="5"/>
      <c r="U28" s="197"/>
      <c r="V28" s="5"/>
      <c r="W28" s="5"/>
      <c r="X28" s="5"/>
      <c r="Y28" s="5"/>
      <c r="Z28" s="197"/>
      <c r="AA28" s="5"/>
      <c r="AB28" s="5"/>
      <c r="AC28" s="5"/>
      <c r="AD28" s="5"/>
      <c r="AE28" s="197"/>
      <c r="AF28" s="5"/>
      <c r="AG28" s="5"/>
      <c r="AH28" s="5"/>
      <c r="AI28" s="5"/>
      <c r="AJ28" s="197"/>
      <c r="AK28" s="5"/>
      <c r="AL28" s="5"/>
      <c r="AM28" s="5"/>
      <c r="AN28" s="5"/>
      <c r="AO28" s="197"/>
      <c r="AP28" s="5"/>
      <c r="AQ28" s="5"/>
      <c r="AR28" s="5"/>
      <c r="AS28" s="5"/>
      <c r="AT28" s="197"/>
      <c r="AU28" s="5"/>
      <c r="AV28" s="5"/>
      <c r="AW28" s="5"/>
      <c r="AX28" s="5"/>
      <c r="AY28" s="197"/>
      <c r="AZ28" s="5"/>
      <c r="BA28" s="5"/>
      <c r="BB28" s="5"/>
      <c r="BC28" s="5"/>
      <c r="BD28" s="197"/>
      <c r="BE28" s="5"/>
      <c r="BF28" s="5"/>
      <c r="BG28" s="5"/>
      <c r="BH28" s="5"/>
      <c r="BI28" s="197"/>
      <c r="BJ28" s="5"/>
      <c r="BK28" s="5"/>
      <c r="BL28" s="5"/>
      <c r="BM28" s="5"/>
      <c r="BN28" s="315"/>
      <c r="BO28" s="5"/>
      <c r="BP28" s="5"/>
      <c r="BQ28" s="5"/>
      <c r="BR28" s="5"/>
      <c r="BS28" s="197"/>
      <c r="BT28" s="5"/>
      <c r="BU28" s="5"/>
      <c r="BV28" s="5"/>
      <c r="BW28" s="5"/>
      <c r="BX28" s="645"/>
      <c r="BY28" s="5"/>
      <c r="BZ28" s="5"/>
      <c r="CA28" s="5"/>
      <c r="CB28" s="5"/>
      <c r="CC28" s="197"/>
      <c r="CD28" s="5"/>
      <c r="CE28" s="5"/>
      <c r="CF28" s="5"/>
      <c r="CG28" s="5"/>
      <c r="CH28" s="769"/>
      <c r="CI28" s="5"/>
      <c r="CJ28" s="5"/>
      <c r="CK28" s="5"/>
      <c r="CL28" s="5"/>
      <c r="CM28" s="769"/>
      <c r="CN28" s="5"/>
      <c r="CO28" s="5"/>
      <c r="CP28" s="5"/>
      <c r="CQ28" s="5"/>
      <c r="CR28" s="769"/>
      <c r="CS28" s="5"/>
      <c r="CT28" s="5"/>
      <c r="CU28" s="5"/>
      <c r="CV28" s="5"/>
      <c r="CW28" s="769"/>
      <c r="CX28" s="5"/>
      <c r="CY28" s="5"/>
      <c r="CZ28" s="5"/>
      <c r="DA28" s="5"/>
      <c r="DB28" s="197"/>
      <c r="DC28" s="5"/>
      <c r="DD28" s="5"/>
      <c r="DE28" s="5"/>
      <c r="DF28" s="5"/>
      <c r="DG28" s="197"/>
      <c r="DH28" s="5"/>
      <c r="DI28" s="5"/>
      <c r="DJ28" s="5"/>
      <c r="DK28" s="5"/>
      <c r="DL28" s="197"/>
      <c r="DM28" s="413"/>
      <c r="DN28" s="4"/>
      <c r="DO28" s="487"/>
      <c r="DP28" s="413"/>
      <c r="DQ28" s="413"/>
      <c r="DR28" s="413"/>
      <c r="DS28" s="556"/>
      <c r="DT28" s="556"/>
      <c r="DU28" s="925"/>
      <c r="DV28" s="458"/>
      <c r="DW28" s="458"/>
      <c r="DX28" s="458"/>
      <c r="DY28" s="458"/>
      <c r="DZ28" s="458"/>
      <c r="EA28" s="4"/>
      <c r="EH28" s="5"/>
    </row>
    <row r="29" spans="1:138" ht="12.75" customHeight="1" x14ac:dyDescent="0.2">
      <c r="A29" s="144" t="s">
        <v>240</v>
      </c>
      <c r="B29" s="184">
        <f t="shared" ref="B29:AO29" si="99">B52+B46</f>
        <v>3589</v>
      </c>
      <c r="C29" s="184">
        <f t="shared" si="99"/>
        <v>4190</v>
      </c>
      <c r="D29" s="184">
        <f t="shared" si="99"/>
        <v>4050</v>
      </c>
      <c r="E29" s="184">
        <f t="shared" si="99"/>
        <v>3751</v>
      </c>
      <c r="F29" s="185">
        <f t="shared" si="99"/>
        <v>15580</v>
      </c>
      <c r="G29" s="184">
        <f t="shared" si="99"/>
        <v>3598</v>
      </c>
      <c r="H29" s="184">
        <f t="shared" si="99"/>
        <v>3537</v>
      </c>
      <c r="I29" s="184">
        <f t="shared" si="99"/>
        <v>3190</v>
      </c>
      <c r="J29" s="184">
        <f t="shared" si="99"/>
        <v>2639</v>
      </c>
      <c r="K29" s="185">
        <f t="shared" si="99"/>
        <v>12964</v>
      </c>
      <c r="L29" s="184">
        <f t="shared" si="99"/>
        <v>2878</v>
      </c>
      <c r="M29" s="184">
        <f t="shared" si="99"/>
        <v>3217</v>
      </c>
      <c r="N29" s="184">
        <f t="shared" si="99"/>
        <v>3165</v>
      </c>
      <c r="O29" s="184">
        <f t="shared" si="99"/>
        <v>3061</v>
      </c>
      <c r="P29" s="185">
        <f t="shared" si="99"/>
        <v>12321</v>
      </c>
      <c r="Q29" s="184">
        <f t="shared" si="99"/>
        <v>2931</v>
      </c>
      <c r="R29" s="184">
        <f t="shared" si="99"/>
        <v>3049</v>
      </c>
      <c r="S29" s="184">
        <f t="shared" si="99"/>
        <v>3201</v>
      </c>
      <c r="T29" s="184">
        <f t="shared" si="99"/>
        <v>3142</v>
      </c>
      <c r="U29" s="185">
        <f t="shared" si="99"/>
        <v>12323</v>
      </c>
      <c r="V29" s="184">
        <f t="shared" si="99"/>
        <v>3241</v>
      </c>
      <c r="W29" s="184">
        <f t="shared" si="99"/>
        <v>3656</v>
      </c>
      <c r="X29" s="184">
        <f t="shared" si="99"/>
        <v>3564</v>
      </c>
      <c r="Y29" s="184">
        <f t="shared" si="99"/>
        <v>3329</v>
      </c>
      <c r="Z29" s="185">
        <f t="shared" si="99"/>
        <v>13790</v>
      </c>
      <c r="AA29" s="184">
        <f t="shared" si="99"/>
        <v>3339</v>
      </c>
      <c r="AB29" s="184">
        <f t="shared" si="99"/>
        <v>3875</v>
      </c>
      <c r="AC29" s="184">
        <f t="shared" si="99"/>
        <v>3891</v>
      </c>
      <c r="AD29" s="184">
        <f t="shared" si="99"/>
        <v>3519</v>
      </c>
      <c r="AE29" s="185">
        <f t="shared" si="99"/>
        <v>14624</v>
      </c>
      <c r="AF29" s="184">
        <f t="shared" si="99"/>
        <v>3351</v>
      </c>
      <c r="AG29" s="184">
        <f t="shared" si="99"/>
        <v>4211</v>
      </c>
      <c r="AH29" s="184">
        <f t="shared" si="99"/>
        <v>4223</v>
      </c>
      <c r="AI29" s="184">
        <f t="shared" si="99"/>
        <v>3708</v>
      </c>
      <c r="AJ29" s="185">
        <f t="shared" si="99"/>
        <v>15493</v>
      </c>
      <c r="AK29" s="184">
        <f t="shared" si="99"/>
        <v>3730</v>
      </c>
      <c r="AL29" s="184">
        <f t="shared" si="99"/>
        <v>4493</v>
      </c>
      <c r="AM29" s="184">
        <f t="shared" si="99"/>
        <v>4638</v>
      </c>
      <c r="AN29" s="184">
        <f t="shared" si="99"/>
        <v>4067</v>
      </c>
      <c r="AO29" s="185">
        <f t="shared" si="99"/>
        <v>16928</v>
      </c>
      <c r="AP29" s="318"/>
      <c r="AQ29" s="184"/>
      <c r="AR29" s="184"/>
      <c r="AS29" s="184"/>
      <c r="AT29" s="185"/>
      <c r="AU29" s="184">
        <f>AU46+AU52</f>
        <v>6808</v>
      </c>
      <c r="AV29" s="184">
        <f>AV46+AV52</f>
        <v>7914</v>
      </c>
      <c r="AW29" s="184">
        <f>AW46+AW52</f>
        <v>8329</v>
      </c>
      <c r="AX29" s="184">
        <f>AX46+AX52</f>
        <v>6657</v>
      </c>
      <c r="AY29" s="185">
        <f>SUM(AU29:AX29)</f>
        <v>29708</v>
      </c>
      <c r="AZ29" s="318">
        <f>AZ46+AZ52</f>
        <v>5601</v>
      </c>
      <c r="BA29" s="184">
        <f>BA46+BA52</f>
        <v>5903</v>
      </c>
      <c r="BB29" s="184">
        <f>BB46+BB52</f>
        <v>6524</v>
      </c>
      <c r="BC29" s="184">
        <f>BC46+BC52</f>
        <v>5779</v>
      </c>
      <c r="BD29" s="185">
        <f>SUM(AZ29:BC29)</f>
        <v>23807</v>
      </c>
      <c r="BE29" s="318">
        <f>BE46+BE52</f>
        <v>5806</v>
      </c>
      <c r="BF29" s="184">
        <f>BF46+BF52</f>
        <v>7009</v>
      </c>
      <c r="BG29" s="184">
        <f>BG46+BG52</f>
        <v>7775</v>
      </c>
      <c r="BH29" s="184">
        <f>BH46+BH52</f>
        <v>6668</v>
      </c>
      <c r="BI29" s="185">
        <f>SUM(BE29:BH29)</f>
        <v>27258</v>
      </c>
      <c r="BJ29" s="318">
        <f>BJ46+BJ52</f>
        <v>6575</v>
      </c>
      <c r="BK29" s="184">
        <f>BK46+BK52</f>
        <v>7891</v>
      </c>
      <c r="BL29" s="184">
        <f>BL46+BL52</f>
        <v>8568</v>
      </c>
      <c r="BM29" s="184">
        <f>BM46+BM52</f>
        <v>7223</v>
      </c>
      <c r="BN29" s="318">
        <f>SUM(BJ29:BM29)</f>
        <v>30257</v>
      </c>
      <c r="BO29" s="318">
        <f>BO46+BO52</f>
        <v>7226</v>
      </c>
      <c r="BP29" s="184">
        <f>BP46+BP52</f>
        <v>8451</v>
      </c>
      <c r="BQ29" s="184">
        <f>BQ46+BQ52</f>
        <v>8692</v>
      </c>
      <c r="BR29" s="184">
        <f>BR46+BR52</f>
        <v>7438</v>
      </c>
      <c r="BS29" s="185">
        <f>SUM(BO29:BR29)</f>
        <v>31807</v>
      </c>
      <c r="BT29" s="318">
        <f>BT46+BT52</f>
        <v>7333</v>
      </c>
      <c r="BU29" s="184">
        <f>BU46+BU52</f>
        <v>8494</v>
      </c>
      <c r="BV29" s="184">
        <f>BV46+BV52</f>
        <v>9254</v>
      </c>
      <c r="BW29" s="184">
        <f>BW46+BW52</f>
        <v>7874</v>
      </c>
      <c r="BX29" s="185">
        <f>SUM(BT29:BW29)</f>
        <v>32955</v>
      </c>
      <c r="BY29" s="318">
        <f>BY46+BY52</f>
        <v>7677</v>
      </c>
      <c r="BZ29" s="184">
        <f>BZ46+BZ52</f>
        <v>9266</v>
      </c>
      <c r="CA29" s="184">
        <f>CA46+CA52</f>
        <v>9776</v>
      </c>
      <c r="CB29" s="184">
        <f>CB46+CB52</f>
        <v>8235</v>
      </c>
      <c r="CC29" s="185">
        <f>SUM(BY29:CB29)</f>
        <v>34954</v>
      </c>
      <c r="CD29" s="318">
        <f>CD46+CD52</f>
        <v>7923</v>
      </c>
      <c r="CE29" s="184">
        <f>CE46+CE52</f>
        <v>9139</v>
      </c>
      <c r="CF29" s="184">
        <f>CF46+CF52</f>
        <v>9595</v>
      </c>
      <c r="CG29" s="184">
        <f>CG46+CG52</f>
        <v>8125</v>
      </c>
      <c r="CH29" s="185">
        <f>SUM(CD29:CG29)</f>
        <v>34782</v>
      </c>
      <c r="CI29" s="318">
        <f>CI46+CI52</f>
        <v>7762</v>
      </c>
      <c r="CJ29" s="184">
        <f>CJ46+CJ52</f>
        <v>8970</v>
      </c>
      <c r="CK29" s="184">
        <f>CK46+CK52</f>
        <v>9071</v>
      </c>
      <c r="CL29" s="184">
        <f>CL46+CL52</f>
        <v>7974</v>
      </c>
      <c r="CM29" s="185">
        <f>SUM(CI29:CL29)</f>
        <v>33777</v>
      </c>
      <c r="CN29" s="318">
        <f>CN46+CN52</f>
        <v>7688</v>
      </c>
      <c r="CO29" s="184">
        <f>CO46+CO52</f>
        <v>9231</v>
      </c>
      <c r="CP29" s="184">
        <f>CP46+CP52</f>
        <v>9399</v>
      </c>
      <c r="CQ29" s="184">
        <f>CQ46+CQ52</f>
        <v>8501</v>
      </c>
      <c r="CR29" s="185">
        <f>SUM(CN29:CQ29)</f>
        <v>34819</v>
      </c>
      <c r="CS29" s="890">
        <v>8178</v>
      </c>
      <c r="CT29" s="891">
        <v>9768</v>
      </c>
      <c r="CU29" s="891">
        <v>9979</v>
      </c>
      <c r="CV29" s="891">
        <v>9022</v>
      </c>
      <c r="CW29" s="185">
        <f>SUM(CS29:CV29)</f>
        <v>36947</v>
      </c>
      <c r="CX29" s="890">
        <v>8765</v>
      </c>
      <c r="CY29" s="184">
        <f t="shared" ref="CY29:DA29" si="100">CY31*CY15/100</f>
        <v>10413.1764</v>
      </c>
      <c r="CZ29" s="184">
        <f t="shared" si="100"/>
        <v>10545.607620000001</v>
      </c>
      <c r="DA29" s="184">
        <f t="shared" si="100"/>
        <v>9478.5132000000012</v>
      </c>
      <c r="DB29" s="185">
        <f>SUM(CX29:DA29)</f>
        <v>39202.29722</v>
      </c>
      <c r="DC29" s="184"/>
      <c r="DD29" s="184"/>
      <c r="DE29" s="184"/>
      <c r="DF29" s="184"/>
      <c r="DG29" s="185">
        <f>DG31*DG15/100</f>
        <v>40383.266423752502</v>
      </c>
      <c r="DH29" s="184"/>
      <c r="DI29" s="184"/>
      <c r="DJ29" s="184"/>
      <c r="DK29" s="184"/>
      <c r="DL29" s="185">
        <f>DL31*DL15/100</f>
        <v>41599.812324768041</v>
      </c>
      <c r="DM29" s="414"/>
      <c r="DN29" s="502"/>
      <c r="DO29" s="489"/>
      <c r="DP29" s="414"/>
      <c r="DQ29" s="414"/>
      <c r="DR29" s="414"/>
      <c r="DS29" s="556"/>
      <c r="DT29" s="556"/>
      <c r="DU29" s="184"/>
      <c r="DV29" s="184"/>
      <c r="DW29" s="556"/>
      <c r="DX29" s="184"/>
      <c r="DY29" s="640"/>
      <c r="DZ29" s="184"/>
      <c r="EA29" s="502"/>
      <c r="EH29" s="318"/>
    </row>
    <row r="30" spans="1:138" ht="12.75" customHeight="1" x14ac:dyDescent="0.2">
      <c r="A30" s="142" t="s">
        <v>244</v>
      </c>
      <c r="B30" s="20"/>
      <c r="C30" s="20"/>
      <c r="D30" s="20"/>
      <c r="E30" s="20"/>
      <c r="F30" s="199"/>
      <c r="G30" s="20">
        <f t="shared" ref="G30:AO30" si="101">G29/B29-1</f>
        <v>2.5076623014768096E-3</v>
      </c>
      <c r="H30" s="20">
        <f t="shared" si="101"/>
        <v>-0.15584725536992838</v>
      </c>
      <c r="I30" s="20">
        <f t="shared" si="101"/>
        <v>-0.21234567901234569</v>
      </c>
      <c r="J30" s="20">
        <f t="shared" si="101"/>
        <v>-0.29645427885897091</v>
      </c>
      <c r="K30" s="199">
        <f t="shared" si="101"/>
        <v>-0.16790757381258026</v>
      </c>
      <c r="L30" s="20">
        <f t="shared" si="101"/>
        <v>-0.20011117287381874</v>
      </c>
      <c r="M30" s="20">
        <f t="shared" si="101"/>
        <v>-9.0472151540853862E-2</v>
      </c>
      <c r="N30" s="20">
        <f t="shared" si="101"/>
        <v>-7.8369905956112706E-3</v>
      </c>
      <c r="O30" s="20">
        <f t="shared" si="101"/>
        <v>0.15990905646078057</v>
      </c>
      <c r="P30" s="199">
        <f t="shared" si="101"/>
        <v>-4.9598889231718624E-2</v>
      </c>
      <c r="Q30" s="20">
        <f t="shared" si="101"/>
        <v>1.8415566365531655E-2</v>
      </c>
      <c r="R30" s="20">
        <f t="shared" si="101"/>
        <v>-5.2222567609574111E-2</v>
      </c>
      <c r="S30" s="20">
        <f t="shared" si="101"/>
        <v>1.1374407582938284E-2</v>
      </c>
      <c r="T30" s="20">
        <f t="shared" si="101"/>
        <v>2.6461940542306328E-2</v>
      </c>
      <c r="U30" s="199">
        <f t="shared" si="101"/>
        <v>1.6232448664887933E-4</v>
      </c>
      <c r="V30" s="20">
        <f t="shared" si="101"/>
        <v>0.10576595018764934</v>
      </c>
      <c r="W30" s="20">
        <f t="shared" si="101"/>
        <v>0.19908166612003941</v>
      </c>
      <c r="X30" s="20">
        <f t="shared" si="101"/>
        <v>0.11340206185567014</v>
      </c>
      <c r="Y30" s="20">
        <f t="shared" si="101"/>
        <v>5.9516231699554334E-2</v>
      </c>
      <c r="Z30" s="199">
        <f t="shared" si="101"/>
        <v>0.11904568692688478</v>
      </c>
      <c r="AA30" s="20">
        <f t="shared" si="101"/>
        <v>3.0237580993520474E-2</v>
      </c>
      <c r="AB30" s="20">
        <f t="shared" si="101"/>
        <v>5.9901531728665303E-2</v>
      </c>
      <c r="AC30" s="20">
        <f t="shared" si="101"/>
        <v>9.1750841750841694E-2</v>
      </c>
      <c r="AD30" s="20">
        <f t="shared" si="101"/>
        <v>5.7074196455392023E-2</v>
      </c>
      <c r="AE30" s="199">
        <f t="shared" si="101"/>
        <v>6.0478607686729413E-2</v>
      </c>
      <c r="AF30" s="20">
        <f t="shared" si="101"/>
        <v>3.5938903863432792E-3</v>
      </c>
      <c r="AG30" s="20">
        <f t="shared" si="101"/>
        <v>8.6709677419354758E-2</v>
      </c>
      <c r="AH30" s="20">
        <f t="shared" si="101"/>
        <v>8.5325109226420004E-2</v>
      </c>
      <c r="AI30" s="20">
        <f t="shared" si="101"/>
        <v>5.3708439897698135E-2</v>
      </c>
      <c r="AJ30" s="199">
        <f t="shared" si="101"/>
        <v>5.9422866520787654E-2</v>
      </c>
      <c r="AK30" s="20">
        <f t="shared" si="101"/>
        <v>0.11310056699492699</v>
      </c>
      <c r="AL30" s="20">
        <f t="shared" si="101"/>
        <v>6.6967466160056999E-2</v>
      </c>
      <c r="AM30" s="20">
        <f t="shared" si="101"/>
        <v>9.8271371063225255E-2</v>
      </c>
      <c r="AN30" s="20">
        <f t="shared" si="101"/>
        <v>9.6817691477885548E-2</v>
      </c>
      <c r="AO30" s="199">
        <f t="shared" si="101"/>
        <v>9.2622474665978283E-2</v>
      </c>
      <c r="AP30" s="317"/>
      <c r="AQ30" s="20"/>
      <c r="AR30" s="20"/>
      <c r="AS30" s="20"/>
      <c r="AT30" s="206"/>
      <c r="AU30" s="20"/>
      <c r="AV30" s="20"/>
      <c r="AW30" s="20"/>
      <c r="AX30" s="20"/>
      <c r="AY30" s="206"/>
      <c r="AZ30" s="317">
        <f t="shared" ref="AZ30:CA30" si="102">AZ29/AU29-1</f>
        <v>-0.17729142185663926</v>
      </c>
      <c r="BA30" s="20">
        <f t="shared" si="102"/>
        <v>-0.25410664644933034</v>
      </c>
      <c r="BB30" s="20">
        <f t="shared" si="102"/>
        <v>-0.21671269059911158</v>
      </c>
      <c r="BC30" s="20">
        <f t="shared" si="102"/>
        <v>-0.13189124230133698</v>
      </c>
      <c r="BD30" s="206">
        <f t="shared" si="102"/>
        <v>-0.19863336475023563</v>
      </c>
      <c r="BE30" s="317">
        <f t="shared" si="102"/>
        <v>3.6600607034458221E-2</v>
      </c>
      <c r="BF30" s="20">
        <f t="shared" si="102"/>
        <v>0.1873623581229884</v>
      </c>
      <c r="BG30" s="20">
        <f t="shared" si="102"/>
        <v>0.19175352544451263</v>
      </c>
      <c r="BH30" s="20">
        <f t="shared" si="102"/>
        <v>0.15383284305243117</v>
      </c>
      <c r="BI30" s="206">
        <f t="shared" si="102"/>
        <v>0.14495736548074101</v>
      </c>
      <c r="BJ30" s="317">
        <f t="shared" si="102"/>
        <v>0.13244919049259396</v>
      </c>
      <c r="BK30" s="20">
        <f t="shared" si="102"/>
        <v>0.12583820801826229</v>
      </c>
      <c r="BL30" s="20">
        <f t="shared" si="102"/>
        <v>0.10199356913183277</v>
      </c>
      <c r="BM30" s="20">
        <f t="shared" si="102"/>
        <v>8.3233353329334125E-2</v>
      </c>
      <c r="BN30" s="317">
        <f t="shared" si="102"/>
        <v>0.11002274561596592</v>
      </c>
      <c r="BO30" s="317">
        <f t="shared" si="102"/>
        <v>9.9011406844106364E-2</v>
      </c>
      <c r="BP30" s="20">
        <f t="shared" si="102"/>
        <v>7.0966924344189497E-2</v>
      </c>
      <c r="BQ30" s="20">
        <f t="shared" si="102"/>
        <v>1.4472455648926186E-2</v>
      </c>
      <c r="BR30" s="20">
        <f t="shared" si="102"/>
        <v>2.9766025197286439E-2</v>
      </c>
      <c r="BS30" s="206">
        <f t="shared" si="102"/>
        <v>5.1227815051062553E-2</v>
      </c>
      <c r="BT30" s="317">
        <f t="shared" si="102"/>
        <v>1.4807639081096058E-2</v>
      </c>
      <c r="BU30" s="20">
        <f t="shared" si="102"/>
        <v>5.0881552478996284E-3</v>
      </c>
      <c r="BV30" s="20">
        <f t="shared" si="102"/>
        <v>6.4657156005522243E-2</v>
      </c>
      <c r="BW30" s="20">
        <f t="shared" si="102"/>
        <v>5.8617908039795719E-2</v>
      </c>
      <c r="BX30" s="206">
        <f>BX29/BS29-1</f>
        <v>3.609268400037724E-2</v>
      </c>
      <c r="BY30" s="317">
        <f t="shared" si="102"/>
        <v>4.6911223237419808E-2</v>
      </c>
      <c r="BZ30" s="20">
        <f t="shared" si="102"/>
        <v>9.0887685425005804E-2</v>
      </c>
      <c r="CA30" s="20">
        <f t="shared" si="102"/>
        <v>5.640803976658737E-2</v>
      </c>
      <c r="CB30" s="20">
        <f t="shared" ref="CB30:CK30" si="103">CB29/BW29-1</f>
        <v>4.5847091694183328E-2</v>
      </c>
      <c r="CC30" s="206">
        <f t="shared" si="103"/>
        <v>6.0658473676225233E-2</v>
      </c>
      <c r="CD30" s="317">
        <f t="shared" si="103"/>
        <v>3.2043767096522124E-2</v>
      </c>
      <c r="CE30" s="20">
        <f t="shared" si="103"/>
        <v>-1.3706022015972374E-2</v>
      </c>
      <c r="CF30" s="20">
        <f t="shared" si="103"/>
        <v>-1.8514729950900199E-2</v>
      </c>
      <c r="CG30" s="20">
        <f>CG29/CB29-1</f>
        <v>-1.3357619914996954E-2</v>
      </c>
      <c r="CH30" s="206">
        <f>CH29/CC29-1</f>
        <v>-4.920752989643562E-3</v>
      </c>
      <c r="CI30" s="317">
        <f t="shared" si="103"/>
        <v>-2.0320585636753763E-2</v>
      </c>
      <c r="CJ30" s="20">
        <f t="shared" si="103"/>
        <v>-1.849217638691325E-2</v>
      </c>
      <c r="CK30" s="20">
        <f t="shared" si="103"/>
        <v>-5.4611776967170456E-2</v>
      </c>
      <c r="CL30" s="20">
        <f>CL29/CG29-1</f>
        <v>-1.8584615384615422E-2</v>
      </c>
      <c r="CM30" s="206">
        <f>CM29/CH29-1</f>
        <v>-2.8894255649473899E-2</v>
      </c>
      <c r="CN30" s="317">
        <f t="shared" ref="CN30:CP30" si="104">CN29/CI29-1</f>
        <v>-9.5336253542901428E-3</v>
      </c>
      <c r="CO30" s="20">
        <f t="shared" si="104"/>
        <v>2.9096989966555187E-2</v>
      </c>
      <c r="CP30" s="20">
        <f t="shared" si="104"/>
        <v>3.6159188623084537E-2</v>
      </c>
      <c r="CQ30" s="20">
        <f>CQ29/CL29-1</f>
        <v>6.6089791823426225E-2</v>
      </c>
      <c r="CR30" s="206">
        <f>CR29/CM29-1</f>
        <v>3.084939455842739E-2</v>
      </c>
      <c r="CS30" s="317"/>
      <c r="CT30" s="20"/>
      <c r="CU30" s="20"/>
      <c r="CV30" s="20"/>
      <c r="CW30" s="206"/>
      <c r="CX30" s="317">
        <f t="shared" ref="CX30:CY30" si="105">CX29/CS29-1</f>
        <v>7.1777940816825536E-2</v>
      </c>
      <c r="CY30" s="20">
        <f t="shared" si="105"/>
        <v>6.6049999999999942E-2</v>
      </c>
      <c r="CZ30" s="20">
        <f t="shared" ref="CZ30" si="106">CZ29/CU29-1</f>
        <v>5.6780000000000053E-2</v>
      </c>
      <c r="DA30" s="20">
        <f>DA29/CV29-1</f>
        <v>5.06000000000002E-2</v>
      </c>
      <c r="DB30" s="206">
        <f>DB29/CW29-1</f>
        <v>6.1041416623812461E-2</v>
      </c>
      <c r="DC30" s="20"/>
      <c r="DD30" s="20"/>
      <c r="DE30" s="20"/>
      <c r="DF30" s="20"/>
      <c r="DG30" s="206">
        <f>DG29/DB29-1</f>
        <v>3.0124999999999957E-2</v>
      </c>
      <c r="DH30" s="20"/>
      <c r="DI30" s="20"/>
      <c r="DJ30" s="20"/>
      <c r="DK30" s="20"/>
      <c r="DL30" s="206">
        <f>DL29/DG29-1</f>
        <v>3.0124999999999957E-2</v>
      </c>
      <c r="DM30" s="20"/>
      <c r="DN30" s="500"/>
      <c r="DO30" s="486"/>
      <c r="DP30" s="411"/>
      <c r="DQ30" s="411"/>
      <c r="DR30" s="411"/>
      <c r="DS30" s="556"/>
      <c r="DT30" s="556"/>
      <c r="DU30" s="556"/>
      <c r="DV30" s="556"/>
      <c r="DW30" s="556"/>
      <c r="DX30" s="461"/>
      <c r="DY30" s="461"/>
      <c r="DZ30" s="461"/>
      <c r="EA30" s="500"/>
      <c r="EH30" s="8"/>
    </row>
    <row r="31" spans="1:138" ht="12.75" customHeight="1" x14ac:dyDescent="0.2">
      <c r="A31" s="75" t="str">
        <f>A29&amp; " per ASM"</f>
        <v>Consolidated Pax Rev (mm) per ASM</v>
      </c>
      <c r="B31" s="32">
        <f t="shared" ref="B31:AO31" si="107">B29/B15*100</f>
        <v>10.114417765753579</v>
      </c>
      <c r="C31" s="32">
        <f t="shared" si="107"/>
        <v>11.282548401863371</v>
      </c>
      <c r="D31" s="32">
        <f t="shared" si="107"/>
        <v>10.632711997899712</v>
      </c>
      <c r="E31" s="32">
        <f t="shared" si="107"/>
        <v>10.291374012291483</v>
      </c>
      <c r="F31" s="203">
        <f t="shared" si="107"/>
        <v>10.587188007529271</v>
      </c>
      <c r="G31" s="32">
        <f t="shared" si="107"/>
        <v>9.5369364115885169</v>
      </c>
      <c r="H31" s="32">
        <f t="shared" si="107"/>
        <v>9.2497188734015001</v>
      </c>
      <c r="I31" s="32">
        <f t="shared" si="107"/>
        <v>8.4548104956268215</v>
      </c>
      <c r="J31" s="32">
        <f t="shared" si="107"/>
        <v>7.7296389623010953</v>
      </c>
      <c r="K31" s="203">
        <f t="shared" si="107"/>
        <v>8.7690989507317205</v>
      </c>
      <c r="L31" s="32">
        <f t="shared" si="107"/>
        <v>8.5299347954949614</v>
      </c>
      <c r="M31" s="32">
        <f t="shared" si="107"/>
        <v>8.9712485010736494</v>
      </c>
      <c r="N31" s="32">
        <f t="shared" si="107"/>
        <v>8.5912052117263844</v>
      </c>
      <c r="O31" s="32">
        <f t="shared" si="107"/>
        <v>8.6763038548752842</v>
      </c>
      <c r="P31" s="203">
        <f t="shared" si="107"/>
        <v>8.6939648177026374</v>
      </c>
      <c r="Q31" s="32">
        <f t="shared" si="107"/>
        <v>8.8272497289483187</v>
      </c>
      <c r="R31" s="32">
        <f t="shared" si="107"/>
        <v>9.5180121121308616</v>
      </c>
      <c r="S31" s="32">
        <f t="shared" si="107"/>
        <v>9.2758410849343651</v>
      </c>
      <c r="T31" s="32">
        <f t="shared" si="107"/>
        <v>9.0714863148169531</v>
      </c>
      <c r="U31" s="203">
        <f t="shared" si="107"/>
        <v>9.1700587127836108</v>
      </c>
      <c r="V31" s="32">
        <f t="shared" si="107"/>
        <v>9.0659878598002752</v>
      </c>
      <c r="W31" s="32">
        <f t="shared" si="107"/>
        <v>9.4665976178146032</v>
      </c>
      <c r="X31" s="32">
        <f t="shared" si="107"/>
        <v>9.0994970255572287</v>
      </c>
      <c r="Y31" s="32">
        <f t="shared" si="107"/>
        <v>8.7276826678551771</v>
      </c>
      <c r="Z31" s="203">
        <f t="shared" si="107"/>
        <v>9.0915683779560794</v>
      </c>
      <c r="AA31" s="32">
        <f t="shared" si="107"/>
        <v>8.8153760857512466</v>
      </c>
      <c r="AB31" s="32">
        <f t="shared" si="107"/>
        <v>9.573810994441013</v>
      </c>
      <c r="AC31" s="32">
        <f t="shared" si="107"/>
        <v>9.4798392008770875</v>
      </c>
      <c r="AD31" s="32">
        <f t="shared" si="107"/>
        <v>9.410097336613541</v>
      </c>
      <c r="AE31" s="203">
        <f t="shared" si="107"/>
        <v>9.3269469938071214</v>
      </c>
      <c r="AF31" s="32">
        <f t="shared" si="107"/>
        <v>9.684411305704872</v>
      </c>
      <c r="AG31" s="32">
        <f t="shared" si="107"/>
        <v>11.164430775756932</v>
      </c>
      <c r="AH31" s="32">
        <f t="shared" si="107"/>
        <v>10.652574224957748</v>
      </c>
      <c r="AI31" s="32">
        <f t="shared" si="107"/>
        <v>10.290852575488454</v>
      </c>
      <c r="AJ31" s="203">
        <f t="shared" si="107"/>
        <v>10.468596912057841</v>
      </c>
      <c r="AK31" s="32">
        <f t="shared" si="107"/>
        <v>10.572862042574902</v>
      </c>
      <c r="AL31" s="32">
        <f t="shared" si="107"/>
        <v>11.784299840008392</v>
      </c>
      <c r="AM31" s="32">
        <f t="shared" si="107"/>
        <v>11.327943726644358</v>
      </c>
      <c r="AN31" s="32">
        <f t="shared" si="107"/>
        <v>10.870262468594644</v>
      </c>
      <c r="AO31" s="203">
        <f t="shared" si="107"/>
        <v>11.154233904179543</v>
      </c>
      <c r="AP31" s="319"/>
      <c r="AQ31" s="32"/>
      <c r="AR31" s="32"/>
      <c r="AS31" s="32"/>
      <c r="AT31" s="203"/>
      <c r="AU31" s="32">
        <f t="shared" ref="AU31:BT31" si="108">(AU29/AU15)*100</f>
        <v>11.427612253462023</v>
      </c>
      <c r="AV31" s="32">
        <f t="shared" si="108"/>
        <v>12.482846732598306</v>
      </c>
      <c r="AW31" s="32">
        <f t="shared" si="108"/>
        <v>12.795735267006696</v>
      </c>
      <c r="AX31" s="32">
        <f t="shared" si="108"/>
        <v>11.458225756480429</v>
      </c>
      <c r="AY31" s="203">
        <f t="shared" si="108"/>
        <v>12.068377179441347</v>
      </c>
      <c r="AZ31" s="319">
        <f t="shared" si="108"/>
        <v>10.048439181916038</v>
      </c>
      <c r="BA31" s="32">
        <f t="shared" si="108"/>
        <v>10.000169408256959</v>
      </c>
      <c r="BB31" s="32">
        <f t="shared" si="108"/>
        <v>10.483015714882541</v>
      </c>
      <c r="BC31" s="32">
        <f t="shared" si="108"/>
        <v>10.837521566274098</v>
      </c>
      <c r="BD31" s="203">
        <f t="shared" si="108"/>
        <v>10.336174221867171</v>
      </c>
      <c r="BE31" s="319">
        <f t="shared" si="108"/>
        <v>10.892846639844802</v>
      </c>
      <c r="BF31" s="32">
        <f t="shared" si="108"/>
        <v>11.94078162799414</v>
      </c>
      <c r="BG31" s="32">
        <f t="shared" si="108"/>
        <v>12.213785834383641</v>
      </c>
      <c r="BH31" s="32">
        <f t="shared" si="108"/>
        <v>11.692629254449862</v>
      </c>
      <c r="BI31" s="203">
        <f t="shared" si="108"/>
        <v>11.714600561903723</v>
      </c>
      <c r="BJ31" s="319">
        <f t="shared" si="108"/>
        <v>11.695381124899999</v>
      </c>
      <c r="BK31" s="32">
        <f t="shared" si="108"/>
        <v>13.120832709798641</v>
      </c>
      <c r="BL31" s="32">
        <f t="shared" si="108"/>
        <v>13.543675508203979</v>
      </c>
      <c r="BM31" s="32">
        <f t="shared" si="108"/>
        <v>13.124613875059055</v>
      </c>
      <c r="BN31" s="319">
        <f t="shared" si="108"/>
        <v>12.894206417890205</v>
      </c>
      <c r="BO31" s="319">
        <f t="shared" si="108"/>
        <v>13.281135127187179</v>
      </c>
      <c r="BP31" s="32">
        <f t="shared" si="108"/>
        <v>14.231585328887542</v>
      </c>
      <c r="BQ31" s="32">
        <f t="shared" si="108"/>
        <v>13.95565403079492</v>
      </c>
      <c r="BR31" s="32">
        <f t="shared" si="108"/>
        <v>13.687387287917266</v>
      </c>
      <c r="BS31" s="203">
        <f t="shared" si="108"/>
        <v>13.804222815354903</v>
      </c>
      <c r="BT31" s="319">
        <f t="shared" si="108"/>
        <v>13.830108256949943</v>
      </c>
      <c r="BU31" s="32">
        <f t="shared" ref="BU31:BZ31" si="109">(BU29/BU15)*100</f>
        <v>14.185036740146961</v>
      </c>
      <c r="BV31" s="32">
        <f t="shared" si="109"/>
        <v>14.483589751615982</v>
      </c>
      <c r="BW31" s="32">
        <f t="shared" si="109"/>
        <v>14.07453749217982</v>
      </c>
      <c r="BX31" s="203">
        <f t="shared" si="109"/>
        <v>14.159577210621293</v>
      </c>
      <c r="BY31" s="319">
        <f t="shared" si="109"/>
        <v>14.2419857524488</v>
      </c>
      <c r="BZ31" s="32">
        <f t="shared" si="109"/>
        <v>14.989404209198117</v>
      </c>
      <c r="CA31" s="32">
        <f t="shared" ref="CA31:CF31" si="110">(CA29/CA15)*100</f>
        <v>14.828747383429905</v>
      </c>
      <c r="CB31" s="32">
        <f t="shared" si="110"/>
        <v>14.191180271932998</v>
      </c>
      <c r="CC31" s="203">
        <f t="shared" si="110"/>
        <v>14.583854870742169</v>
      </c>
      <c r="CD31" s="319">
        <f t="shared" si="110"/>
        <v>13.998975210700213</v>
      </c>
      <c r="CE31" s="32">
        <f t="shared" si="110"/>
        <v>14.293757917950483</v>
      </c>
      <c r="CF31" s="32">
        <f t="shared" si="110"/>
        <v>14.103864414752099</v>
      </c>
      <c r="CG31" s="32">
        <f>(CG29/CG15)*100</f>
        <v>13.960720974587193</v>
      </c>
      <c r="CH31" s="203">
        <f>(CH29/CH15)*100</f>
        <v>14.095248901784702</v>
      </c>
      <c r="CI31" s="319">
        <f>(CI29/CI15)*100</f>
        <v>13.349385157795169</v>
      </c>
      <c r="CJ31" s="32">
        <f t="shared" ref="CJ31:CK31" si="111">(CJ29/CJ15)*100</f>
        <v>13.595234847451461</v>
      </c>
      <c r="CK31" s="32">
        <f t="shared" si="111"/>
        <v>13.141044213942168</v>
      </c>
      <c r="CL31" s="32">
        <f t="shared" ref="CL31:CR31" si="112">(CL29/CL15)*100</f>
        <v>13.580856680575662</v>
      </c>
      <c r="CM31" s="203">
        <f t="shared" si="112"/>
        <v>13.410649271242361</v>
      </c>
      <c r="CN31" s="319">
        <f t="shared" si="112"/>
        <v>13.284719462252252</v>
      </c>
      <c r="CO31" s="32">
        <f t="shared" si="112"/>
        <v>13.938423905657812</v>
      </c>
      <c r="CP31" s="32">
        <f t="shared" si="112"/>
        <v>13.395185771088974</v>
      </c>
      <c r="CQ31" s="32">
        <f t="shared" si="112"/>
        <v>14.154179154179152</v>
      </c>
      <c r="CR31" s="203">
        <f t="shared" si="112"/>
        <v>13.690750024574855</v>
      </c>
      <c r="CS31" s="319">
        <f t="shared" ref="CS31:CW31" si="113">(CS29/CS15)*100</f>
        <v>14.131430250038878</v>
      </c>
      <c r="CT31" s="32">
        <f t="shared" si="113"/>
        <v>14.74927144518097</v>
      </c>
      <c r="CU31" s="32">
        <f t="shared" si="113"/>
        <v>14.221785169666653</v>
      </c>
      <c r="CV31" s="32">
        <f t="shared" si="113"/>
        <v>15.021645021645021</v>
      </c>
      <c r="CW31" s="203">
        <f t="shared" si="113"/>
        <v>14.527474687899341</v>
      </c>
      <c r="CX31" s="319">
        <f t="shared" ref="CX31" si="114">(CX29/CX15)*100</f>
        <v>14.741957135501663</v>
      </c>
      <c r="CY31" s="32">
        <f>(1+CY32)*CT31</f>
        <v>15.1917495885364</v>
      </c>
      <c r="CZ31" s="32">
        <f>(1+CZ32)*CU31</f>
        <v>14.591551584077987</v>
      </c>
      <c r="DA31" s="32">
        <f>(1+DA32)*CV31</f>
        <v>15.322077922077922</v>
      </c>
      <c r="DB31" s="203">
        <f>(DB29/DB15)*100</f>
        <v>14.95500851729383</v>
      </c>
      <c r="DC31" s="32"/>
      <c r="DD31" s="32"/>
      <c r="DE31" s="32"/>
      <c r="DF31" s="32"/>
      <c r="DG31" s="203">
        <f>(1+DG32)*DB31</f>
        <v>15.029783559880299</v>
      </c>
      <c r="DH31" s="32"/>
      <c r="DI31" s="32"/>
      <c r="DJ31" s="32"/>
      <c r="DK31" s="32"/>
      <c r="DL31" s="203">
        <f>(1+DL32)*DG31</f>
        <v>15.104932477679698</v>
      </c>
      <c r="DM31" s="32"/>
      <c r="DN31" s="503"/>
      <c r="DO31" s="486"/>
      <c r="DP31" s="411"/>
      <c r="DQ31" s="411"/>
      <c r="DR31" s="411"/>
      <c r="DS31" s="556"/>
      <c r="DT31" s="640"/>
      <c r="DU31" s="462"/>
      <c r="DV31" s="462"/>
      <c r="DW31" s="462"/>
      <c r="DX31" s="462"/>
      <c r="DY31" s="462"/>
      <c r="DZ31" s="462"/>
      <c r="EA31" s="503"/>
      <c r="EH31" s="8"/>
    </row>
    <row r="32" spans="1:138" ht="12.75" customHeight="1" x14ac:dyDescent="0.2">
      <c r="A32" s="648" t="s">
        <v>244</v>
      </c>
      <c r="B32" s="650"/>
      <c r="C32" s="650"/>
      <c r="D32" s="650"/>
      <c r="E32" s="650"/>
      <c r="F32" s="649"/>
      <c r="G32" s="650">
        <f t="shared" ref="G32:AO32" si="115">G31/B31-1</f>
        <v>-5.7094868685408362E-2</v>
      </c>
      <c r="H32" s="650">
        <f t="shared" si="115"/>
        <v>-0.18017467827801548</v>
      </c>
      <c r="I32" s="650">
        <f t="shared" si="115"/>
        <v>-0.20483029190512192</v>
      </c>
      <c r="J32" s="650">
        <f t="shared" si="115"/>
        <v>-0.24892060544401395</v>
      </c>
      <c r="K32" s="649">
        <f t="shared" si="115"/>
        <v>-0.17172539634741379</v>
      </c>
      <c r="L32" s="650">
        <f t="shared" si="115"/>
        <v>-0.10558963304714164</v>
      </c>
      <c r="M32" s="650">
        <f t="shared" si="115"/>
        <v>-3.0105820094556646E-2</v>
      </c>
      <c r="N32" s="650">
        <f t="shared" si="115"/>
        <v>1.6132202628327708E-2</v>
      </c>
      <c r="O32" s="650">
        <f t="shared" si="115"/>
        <v>0.12247207110076586</v>
      </c>
      <c r="P32" s="649">
        <f t="shared" si="115"/>
        <v>-8.5680562451417863E-3</v>
      </c>
      <c r="Q32" s="650">
        <f t="shared" si="115"/>
        <v>3.4855475520209511E-2</v>
      </c>
      <c r="R32" s="650">
        <f t="shared" si="115"/>
        <v>6.0946211777745063E-2</v>
      </c>
      <c r="S32" s="650">
        <f t="shared" si="115"/>
        <v>7.9690317753497553E-2</v>
      </c>
      <c r="T32" s="650">
        <f t="shared" si="115"/>
        <v>4.5547328280764798E-2</v>
      </c>
      <c r="U32" s="649">
        <f t="shared" si="115"/>
        <v>5.4761424167665274E-2</v>
      </c>
      <c r="V32" s="650">
        <f t="shared" si="115"/>
        <v>2.7045584772461106E-2</v>
      </c>
      <c r="W32" s="650">
        <f t="shared" si="115"/>
        <v>-5.4018101375107319E-3</v>
      </c>
      <c r="X32" s="650">
        <f t="shared" si="115"/>
        <v>-1.9011112605578306E-2</v>
      </c>
      <c r="Y32" s="650">
        <f t="shared" si="115"/>
        <v>-3.7899373380547607E-2</v>
      </c>
      <c r="Z32" s="649">
        <f t="shared" si="115"/>
        <v>-8.5594146434537777E-3</v>
      </c>
      <c r="AA32" s="650">
        <f t="shared" si="115"/>
        <v>-2.764307408355049E-2</v>
      </c>
      <c r="AB32" s="650">
        <f t="shared" si="115"/>
        <v>1.1325439292428685E-2</v>
      </c>
      <c r="AC32" s="650">
        <f t="shared" si="115"/>
        <v>4.1798153705816299E-2</v>
      </c>
      <c r="AD32" s="650">
        <f t="shared" si="115"/>
        <v>7.8189674708471824E-2</v>
      </c>
      <c r="AE32" s="649">
        <f t="shared" si="115"/>
        <v>2.5889770176700688E-2</v>
      </c>
      <c r="AF32" s="650">
        <f t="shared" si="115"/>
        <v>9.8581752099980546E-2</v>
      </c>
      <c r="AG32" s="650">
        <f t="shared" si="115"/>
        <v>0.16614280167422413</v>
      </c>
      <c r="AH32" s="650">
        <f t="shared" si="115"/>
        <v>0.12370832450113256</v>
      </c>
      <c r="AI32" s="650">
        <f t="shared" si="115"/>
        <v>9.3596825555459784E-2</v>
      </c>
      <c r="AJ32" s="649">
        <f t="shared" si="115"/>
        <v>0.12240338869822542</v>
      </c>
      <c r="AK32" s="650">
        <f t="shared" si="115"/>
        <v>9.1740293635263592E-2</v>
      </c>
      <c r="AL32" s="650">
        <f t="shared" si="115"/>
        <v>5.5521779542713423E-2</v>
      </c>
      <c r="AM32" s="650">
        <f t="shared" si="115"/>
        <v>6.3399652274123364E-2</v>
      </c>
      <c r="AN32" s="650">
        <f t="shared" si="115"/>
        <v>5.6303390691483823E-2</v>
      </c>
      <c r="AO32" s="649">
        <f t="shared" si="115"/>
        <v>6.5494640579004226E-2</v>
      </c>
      <c r="AP32" s="652"/>
      <c r="AQ32" s="650"/>
      <c r="AR32" s="650"/>
      <c r="AS32" s="650"/>
      <c r="AT32" s="651"/>
      <c r="AU32" s="650"/>
      <c r="AV32" s="650"/>
      <c r="AW32" s="650"/>
      <c r="AX32" s="650"/>
      <c r="AY32" s="651"/>
      <c r="AZ32" s="652">
        <f t="shared" ref="AZ32:CA32" si="116">AZ31/AU31-1</f>
        <v>-0.12068777282219745</v>
      </c>
      <c r="BA32" s="650">
        <f t="shared" si="116"/>
        <v>-0.19888711105119672</v>
      </c>
      <c r="BB32" s="650">
        <f t="shared" si="116"/>
        <v>-0.18074143485036087</v>
      </c>
      <c r="BC32" s="650">
        <f t="shared" si="116"/>
        <v>-5.4171056095249193E-2</v>
      </c>
      <c r="BD32" s="651">
        <f t="shared" si="116"/>
        <v>-0.14353238482842645</v>
      </c>
      <c r="BE32" s="652">
        <f t="shared" si="116"/>
        <v>8.4033693456435188E-2</v>
      </c>
      <c r="BF32" s="650">
        <f t="shared" si="116"/>
        <v>0.19405793447207542</v>
      </c>
      <c r="BG32" s="650">
        <f t="shared" si="116"/>
        <v>0.16510231087834382</v>
      </c>
      <c r="BH32" s="650">
        <f t="shared" si="116"/>
        <v>7.8902513175782119E-2</v>
      </c>
      <c r="BI32" s="651">
        <f t="shared" si="116"/>
        <v>0.13335943362103531</v>
      </c>
      <c r="BJ32" s="652">
        <f t="shared" si="116"/>
        <v>7.3675368027271926E-2</v>
      </c>
      <c r="BK32" s="650">
        <f t="shared" si="116"/>
        <v>9.8825279497447127E-2</v>
      </c>
      <c r="BL32" s="650">
        <f t="shared" si="116"/>
        <v>0.10888431251811359</v>
      </c>
      <c r="BM32" s="650">
        <f t="shared" si="116"/>
        <v>0.12246900072233302</v>
      </c>
      <c r="BN32" s="652">
        <f t="shared" si="116"/>
        <v>0.1006953544641207</v>
      </c>
      <c r="BO32" s="652">
        <f t="shared" si="116"/>
        <v>0.13558805697328125</v>
      </c>
      <c r="BP32" s="650">
        <f t="shared" si="116"/>
        <v>8.4655649809435518E-2</v>
      </c>
      <c r="BQ32" s="650">
        <f t="shared" si="116"/>
        <v>3.0418516918940375E-2</v>
      </c>
      <c r="BR32" s="650">
        <f t="shared" si="116"/>
        <v>4.2879235779093028E-2</v>
      </c>
      <c r="BS32" s="761">
        <f t="shared" si="116"/>
        <v>7.0575603334695147E-2</v>
      </c>
      <c r="BT32" s="652">
        <f t="shared" si="116"/>
        <v>4.1334804932372737E-2</v>
      </c>
      <c r="BU32" s="650">
        <f t="shared" si="116"/>
        <v>-3.2707943398333494E-3</v>
      </c>
      <c r="BV32" s="650">
        <f t="shared" si="116"/>
        <v>3.7829521974112046E-2</v>
      </c>
      <c r="BW32" s="650">
        <f t="shared" si="116"/>
        <v>2.8285179349335499E-2</v>
      </c>
      <c r="BX32" s="651">
        <f>BX31/BS31-1</f>
        <v>2.5742441281889406E-2</v>
      </c>
      <c r="BY32" s="652">
        <f t="shared" si="116"/>
        <v>2.9781219918642243E-2</v>
      </c>
      <c r="BZ32" s="650">
        <f t="shared" si="116"/>
        <v>5.670534971366048E-2</v>
      </c>
      <c r="CA32" s="650">
        <f t="shared" si="116"/>
        <v>2.3830945071846799E-2</v>
      </c>
      <c r="CB32" s="650">
        <f t="shared" ref="CB32:CK32" si="117">CB31/BW31-1</f>
        <v>8.2875035728873225E-3</v>
      </c>
      <c r="CC32" s="651">
        <f t="shared" si="117"/>
        <v>2.9964006255964959E-2</v>
      </c>
      <c r="CD32" s="652">
        <f t="shared" si="117"/>
        <v>-1.7062967620705805E-2</v>
      </c>
      <c r="CE32" s="650">
        <f t="shared" si="117"/>
        <v>-4.6409202229716118E-2</v>
      </c>
      <c r="CF32" s="650">
        <f t="shared" si="117"/>
        <v>-4.8883627857050915E-2</v>
      </c>
      <c r="CG32" s="650">
        <f t="shared" si="117"/>
        <v>-1.6239614530272894E-2</v>
      </c>
      <c r="CH32" s="651">
        <f t="shared" si="117"/>
        <v>-3.3503211139168543E-2</v>
      </c>
      <c r="CI32" s="652">
        <f t="shared" si="117"/>
        <v>-4.6402686134376814E-2</v>
      </c>
      <c r="CJ32" s="650">
        <f t="shared" si="117"/>
        <v>-4.8869098980737435E-2</v>
      </c>
      <c r="CK32" s="650">
        <f t="shared" si="117"/>
        <v>-6.8266410715268844E-2</v>
      </c>
      <c r="CL32" s="650">
        <f t="shared" ref="CL32" si="118">CL31/CG31-1</f>
        <v>-2.7209504058064105E-2</v>
      </c>
      <c r="CM32" s="651">
        <f t="shared" ref="CM32:CP32" si="119">CM31/CH31-1</f>
        <v>-4.8569531145750688E-2</v>
      </c>
      <c r="CN32" s="652">
        <f t="shared" si="119"/>
        <v>-4.8440954230133393E-3</v>
      </c>
      <c r="CO32" s="650">
        <f t="shared" si="119"/>
        <v>2.5243334304790199E-2</v>
      </c>
      <c r="CP32" s="650">
        <f t="shared" si="119"/>
        <v>1.9339525307826788E-2</v>
      </c>
      <c r="CQ32" s="650">
        <f t="shared" ref="CQ32" si="120">CQ31/CL31-1</f>
        <v>4.2215486628579102E-2</v>
      </c>
      <c r="CR32" s="651">
        <f t="shared" ref="CR32" si="121">CR31/CM31-1</f>
        <v>2.0886442383750925E-2</v>
      </c>
      <c r="CS32" s="652">
        <f>CS31/14.24-1</f>
        <v>-7.6242801938990468E-3</v>
      </c>
      <c r="CT32" s="650">
        <f>CT31/14.41-1</f>
        <v>2.354416691054606E-2</v>
      </c>
      <c r="CU32" s="650">
        <f>CU31/13.84-1</f>
        <v>2.7585633646434404E-2</v>
      </c>
      <c r="CV32" s="650">
        <f>CV31/14.44-1</f>
        <v>4.0280126152702378E-2</v>
      </c>
      <c r="CW32" s="921">
        <f>CW31/((35814/CM15)*100)-1</f>
        <v>2.1665121800732434E-2</v>
      </c>
      <c r="CX32" s="652">
        <f t="shared" ref="CX32" si="122">CX31/CS31-1</f>
        <v>4.3203474429709843E-2</v>
      </c>
      <c r="CY32" s="653">
        <v>0.03</v>
      </c>
      <c r="CZ32" s="653">
        <v>2.5999999999999999E-2</v>
      </c>
      <c r="DA32" s="653">
        <v>0.02</v>
      </c>
      <c r="DB32" s="651">
        <f>DB31/CW31-1</f>
        <v>2.942932881174487E-2</v>
      </c>
      <c r="DC32" s="650"/>
      <c r="DD32" s="650"/>
      <c r="DE32" s="653"/>
      <c r="DF32" s="653"/>
      <c r="DG32" s="793">
        <v>5.0000000000000001E-3</v>
      </c>
      <c r="DH32" s="650"/>
      <c r="DI32" s="650"/>
      <c r="DJ32" s="653"/>
      <c r="DK32" s="653"/>
      <c r="DL32" s="793">
        <v>5.0000000000000001E-3</v>
      </c>
      <c r="DM32" s="20"/>
      <c r="DN32" s="500"/>
      <c r="DO32" s="486"/>
      <c r="DP32" s="411"/>
      <c r="DQ32" s="411"/>
      <c r="DR32" s="411"/>
      <c r="DS32" s="556"/>
      <c r="DT32" s="556"/>
      <c r="DU32" s="461"/>
      <c r="DV32" s="461"/>
      <c r="DW32" s="461"/>
      <c r="DX32" s="461"/>
      <c r="DY32" s="461"/>
      <c r="DZ32" s="461"/>
      <c r="EA32" s="500"/>
      <c r="EH32" s="8"/>
    </row>
    <row r="33" spans="1:138" ht="12.75" customHeight="1" x14ac:dyDescent="0.2">
      <c r="A33" s="148" t="s">
        <v>162</v>
      </c>
      <c r="B33" s="20"/>
      <c r="C33" s="20"/>
      <c r="D33" s="20"/>
      <c r="E33" s="20"/>
      <c r="F33" s="199"/>
      <c r="G33" s="20"/>
      <c r="H33" s="20"/>
      <c r="I33" s="20"/>
      <c r="J33" s="20"/>
      <c r="K33" s="199"/>
      <c r="L33" s="20"/>
      <c r="M33" s="20"/>
      <c r="N33" s="20"/>
      <c r="O33" s="20"/>
      <c r="P33" s="199"/>
      <c r="Q33" s="20"/>
      <c r="R33" s="20"/>
      <c r="S33" s="20"/>
      <c r="T33" s="20"/>
      <c r="U33" s="199"/>
      <c r="V33" s="20"/>
      <c r="W33" s="20"/>
      <c r="X33" s="20"/>
      <c r="Y33" s="20"/>
      <c r="Z33" s="199"/>
      <c r="AA33" s="20"/>
      <c r="AB33" s="20"/>
      <c r="AC33" s="20"/>
      <c r="AD33" s="20"/>
      <c r="AE33" s="199"/>
      <c r="AF33" s="20"/>
      <c r="AG33" s="20"/>
      <c r="AH33" s="20"/>
      <c r="AI33" s="20"/>
      <c r="AJ33" s="199"/>
      <c r="AK33" s="20"/>
      <c r="AL33" s="20"/>
      <c r="AM33" s="20"/>
      <c r="AN33" s="20"/>
      <c r="AO33" s="199"/>
      <c r="AP33" s="317"/>
      <c r="AQ33" s="20"/>
      <c r="AR33" s="20"/>
      <c r="AS33" s="20"/>
      <c r="AT33" s="206"/>
      <c r="AU33" s="20"/>
      <c r="AV33" s="20"/>
      <c r="AW33" s="20"/>
      <c r="AX33" s="20"/>
      <c r="AY33" s="206"/>
      <c r="AZ33" s="317"/>
      <c r="BA33" s="20"/>
      <c r="BB33" s="20"/>
      <c r="BC33" s="20"/>
      <c r="BD33" s="206"/>
      <c r="BE33" s="317">
        <f t="shared" ref="BE33:CK33" si="123">BE31/AU31-1</f>
        <v>-4.6795918671042824E-2</v>
      </c>
      <c r="BF33" s="20">
        <f t="shared" si="123"/>
        <v>-4.3424798542834875E-2</v>
      </c>
      <c r="BG33" s="20">
        <f t="shared" si="123"/>
        <v>-4.5479952537279322E-2</v>
      </c>
      <c r="BH33" s="20">
        <f t="shared" si="123"/>
        <v>2.0457224613231295E-2</v>
      </c>
      <c r="BI33" s="206">
        <f t="shared" si="123"/>
        <v>-2.9314348754386654E-2</v>
      </c>
      <c r="BJ33" s="317">
        <f t="shared" si="123"/>
        <v>0.16390027477580071</v>
      </c>
      <c r="BK33" s="20">
        <f t="shared" si="123"/>
        <v>0.31206104358242248</v>
      </c>
      <c r="BL33" s="20">
        <f t="shared" si="123"/>
        <v>0.2919636750115977</v>
      </c>
      <c r="BM33" s="20">
        <f t="shared" si="123"/>
        <v>0.21103462584123367</v>
      </c>
      <c r="BN33" s="206">
        <f t="shared" si="123"/>
        <v>0.24748346352476047</v>
      </c>
      <c r="BO33" s="317">
        <f t="shared" si="123"/>
        <v>0.21925292499816229</v>
      </c>
      <c r="BP33" s="20">
        <f t="shared" si="123"/>
        <v>0.19184704756033799</v>
      </c>
      <c r="BQ33" s="20">
        <f t="shared" si="123"/>
        <v>0.14261492873959347</v>
      </c>
      <c r="BR33" s="20">
        <f t="shared" si="123"/>
        <v>0.17059961365902887</v>
      </c>
      <c r="BS33" s="206">
        <f t="shared" si="123"/>
        <v>0.17837759319312196</v>
      </c>
      <c r="BT33" s="317">
        <f t="shared" si="123"/>
        <v>0.18252736779180401</v>
      </c>
      <c r="BU33" s="20">
        <f t="shared" si="123"/>
        <v>8.1107964249370612E-2</v>
      </c>
      <c r="BV33" s="20">
        <f t="shared" si="123"/>
        <v>6.9398756847257381E-2</v>
      </c>
      <c r="BW33" s="20">
        <f t="shared" si="123"/>
        <v>7.2377262002802478E-2</v>
      </c>
      <c r="BX33" s="206">
        <f t="shared" si="123"/>
        <v>9.8134832941361605E-2</v>
      </c>
      <c r="BY33" s="317">
        <f t="shared" si="123"/>
        <v>7.2347025767000028E-2</v>
      </c>
      <c r="BZ33" s="20">
        <f t="shared" si="123"/>
        <v>5.3249083836945488E-2</v>
      </c>
      <c r="CA33" s="20">
        <f t="shared" si="123"/>
        <v>6.2561980306218068E-2</v>
      </c>
      <c r="CB33" s="20">
        <f>CB31/BR31-1</f>
        <v>3.6807096447140308E-2</v>
      </c>
      <c r="CC33" s="206">
        <f>CC31/BS31-1</f>
        <v>5.6477794209468524E-2</v>
      </c>
      <c r="CD33" s="317">
        <f t="shared" si="123"/>
        <v>1.221009630675951E-2</v>
      </c>
      <c r="CE33" s="20">
        <f t="shared" si="123"/>
        <v>7.6644974415762679E-3</v>
      </c>
      <c r="CF33" s="20">
        <f t="shared" si="123"/>
        <v>-2.6217625835578184E-2</v>
      </c>
      <c r="CG33" s="20">
        <f>CG31/BW31-1</f>
        <v>-8.0866968208274104E-3</v>
      </c>
      <c r="CH33" s="206">
        <f>CH31/BX31-1</f>
        <v>-4.5430953113725359E-3</v>
      </c>
      <c r="CI33" s="317">
        <f t="shared" si="123"/>
        <v>-6.2673886224058006E-2</v>
      </c>
      <c r="CJ33" s="20">
        <f t="shared" si="123"/>
        <v>-9.3010325313072517E-2</v>
      </c>
      <c r="CK33" s="20">
        <f t="shared" si="123"/>
        <v>-0.11381292875577798</v>
      </c>
      <c r="CL33" s="20">
        <f>CL31/CB31-1</f>
        <v>-4.3007246730874082E-2</v>
      </c>
      <c r="CM33" s="206">
        <f>CM31/CC31-1</f>
        <v>-8.0445507028012786E-2</v>
      </c>
      <c r="CN33" s="317">
        <f t="shared" ref="CN33:CP33" si="124">CN31/CD31-1</f>
        <v>-5.1022002517871035E-2</v>
      </c>
      <c r="CO33" s="20">
        <f t="shared" si="124"/>
        <v>-2.4859383678691893E-2</v>
      </c>
      <c r="CP33" s="20">
        <f t="shared" si="124"/>
        <v>-5.024712538514442E-2</v>
      </c>
      <c r="CQ33" s="20">
        <f>CQ31/CG31-1</f>
        <v>1.3857320115781446E-2</v>
      </c>
      <c r="CR33" s="206">
        <f>CR31/CH31-1</f>
        <v>-2.8697533475881332E-2</v>
      </c>
      <c r="CS33" s="317"/>
      <c r="CT33" s="20"/>
      <c r="CU33" s="20"/>
      <c r="CV33" s="20"/>
      <c r="CW33" s="206"/>
      <c r="CX33" s="317"/>
      <c r="CY33" s="20"/>
      <c r="CZ33" s="20"/>
      <c r="DA33" s="20"/>
      <c r="DB33" s="206"/>
      <c r="DC33" s="20"/>
      <c r="DD33" s="20"/>
      <c r="DE33" s="20"/>
      <c r="DF33" s="20"/>
      <c r="DG33" s="206">
        <f>DG31/CR31-1</f>
        <v>9.780571063688126E-2</v>
      </c>
      <c r="DH33" s="20"/>
      <c r="DI33" s="20"/>
      <c r="DJ33" s="20"/>
      <c r="DK33" s="20"/>
      <c r="DL33" s="206">
        <f>DL31/DB31-1</f>
        <v>1.0024999999999729E-2</v>
      </c>
      <c r="DM33" s="20"/>
      <c r="DN33" s="500"/>
      <c r="DO33" s="486"/>
      <c r="DP33" s="411"/>
      <c r="DQ33" s="411"/>
      <c r="DR33" s="411"/>
      <c r="DS33" s="556"/>
      <c r="DT33" s="556" t="s">
        <v>541</v>
      </c>
      <c r="DU33" s="461"/>
      <c r="DV33" s="461"/>
      <c r="DW33" s="461"/>
      <c r="DX33" s="461"/>
      <c r="DY33" s="461"/>
      <c r="DZ33" s="461"/>
      <c r="EA33" s="500"/>
      <c r="EH33" s="8"/>
    </row>
    <row r="34" spans="1:138" ht="12.75" customHeight="1" x14ac:dyDescent="0.2">
      <c r="A34" s="386" t="s">
        <v>42</v>
      </c>
      <c r="B34" s="20"/>
      <c r="C34" s="20"/>
      <c r="D34" s="20"/>
      <c r="E34" s="20"/>
      <c r="F34" s="201"/>
      <c r="G34" s="20"/>
      <c r="H34" s="20"/>
      <c r="I34" s="20"/>
      <c r="J34" s="20"/>
      <c r="K34" s="201"/>
      <c r="L34" s="20"/>
      <c r="M34" s="20"/>
      <c r="N34" s="20"/>
      <c r="O34" s="20"/>
      <c r="P34" s="201"/>
      <c r="Q34" s="20"/>
      <c r="R34" s="20"/>
      <c r="S34" s="20"/>
      <c r="T34" s="20"/>
      <c r="U34" s="201"/>
      <c r="V34" s="20"/>
      <c r="W34" s="20">
        <f>W31/V31-1</f>
        <v>4.4188208081623603E-2</v>
      </c>
      <c r="X34" s="20">
        <f>X31/W31-1</f>
        <v>-3.8778514422811328E-2</v>
      </c>
      <c r="Y34" s="20">
        <f>Y31/X31-1</f>
        <v>-4.0860979091235317E-2</v>
      </c>
      <c r="Z34" s="201"/>
      <c r="AA34" s="20">
        <f>AA31/Y31-1</f>
        <v>1.0047732168248169E-2</v>
      </c>
      <c r="AB34" s="20">
        <f>AB31/AA31-1</f>
        <v>8.6035456832711299E-2</v>
      </c>
      <c r="AC34" s="20">
        <f>AC31/AB31-1</f>
        <v>-9.8155054051609625E-3</v>
      </c>
      <c r="AD34" s="20">
        <f>AD31/AC31-1</f>
        <v>-7.3568615232517676E-3</v>
      </c>
      <c r="AE34" s="201"/>
      <c r="AF34" s="20">
        <f>AF31/AD31-1</f>
        <v>2.9151023552541622E-2</v>
      </c>
      <c r="AG34" s="20">
        <f>AG31/AF31-1</f>
        <v>0.15282492898460576</v>
      </c>
      <c r="AH34" s="20">
        <f>AH31/AG31-1</f>
        <v>-4.58470799882299E-2</v>
      </c>
      <c r="AI34" s="20">
        <f>AI31/AH31-1</f>
        <v>-3.3956266516483979E-2</v>
      </c>
      <c r="AJ34" s="201"/>
      <c r="AK34" s="20">
        <f>AK31/AI31-1</f>
        <v>2.7403897297893387E-2</v>
      </c>
      <c r="AL34" s="20">
        <f>AL31/AK31-1</f>
        <v>0.11457993044411818</v>
      </c>
      <c r="AM34" s="20">
        <f>AM31/AL31-1</f>
        <v>-3.8725772388672475E-2</v>
      </c>
      <c r="AN34" s="20">
        <f>AN31/AM31-1</f>
        <v>-4.0402854136113553E-2</v>
      </c>
      <c r="AO34" s="201"/>
      <c r="AP34" s="317"/>
      <c r="AQ34" s="20"/>
      <c r="AR34" s="20"/>
      <c r="AS34" s="20"/>
      <c r="AT34" s="206"/>
      <c r="AU34" s="20"/>
      <c r="AV34" s="20">
        <f>AV31/AU31-1</f>
        <v>9.2340766883877823E-2</v>
      </c>
      <c r="AW34" s="20">
        <f>AW31/AV31-1</f>
        <v>2.5065479141973102E-2</v>
      </c>
      <c r="AX34" s="20">
        <f>AX31/AW31-1</f>
        <v>-0.10452775730480945</v>
      </c>
      <c r="AY34" s="206"/>
      <c r="AZ34" s="317">
        <f>AZ31/AX31-1</f>
        <v>-0.12303707437140154</v>
      </c>
      <c r="BA34" s="20">
        <f>BA31/AZ31-1</f>
        <v>-4.8037085944601099E-3</v>
      </c>
      <c r="BB34" s="20">
        <f>BB31/BA31-1</f>
        <v>4.828381269490345E-2</v>
      </c>
      <c r="BC34" s="20">
        <f>BC31/BB31-1</f>
        <v>3.3817163021922392E-2</v>
      </c>
      <c r="BD34" s="206"/>
      <c r="BE34" s="317">
        <f>BE31/BC31-1</f>
        <v>5.1049562607443644E-3</v>
      </c>
      <c r="BF34" s="20">
        <f>BF31/BE31-1</f>
        <v>9.6203960525443444E-2</v>
      </c>
      <c r="BG34" s="20">
        <f>BG31/BF31-1</f>
        <v>2.2863177210231012E-2</v>
      </c>
      <c r="BH34" s="20">
        <f>BH31/BG31-1</f>
        <v>-4.2669536456636181E-2</v>
      </c>
      <c r="BI34" s="206"/>
      <c r="BJ34" s="317">
        <f>BJ31/BH31-1</f>
        <v>2.3535086850468012E-4</v>
      </c>
      <c r="BK34" s="20">
        <f>BK31/BJ31-1</f>
        <v>0.12188158467651733</v>
      </c>
      <c r="BL34" s="20">
        <f>BL31/BK31-1</f>
        <v>3.2226826433779499E-2</v>
      </c>
      <c r="BM34" s="20">
        <f>BM31/BL31-1</f>
        <v>-3.094149980860661E-2</v>
      </c>
      <c r="BN34" s="317"/>
      <c r="BO34" s="317">
        <f>BO31/BM31-1</f>
        <v>1.1925779578594975E-2</v>
      </c>
      <c r="BP34" s="20">
        <f>BP31/BO31-1</f>
        <v>7.1563928278595812E-2</v>
      </c>
      <c r="BQ34" s="20">
        <f>BQ31/BP31-1</f>
        <v>-1.9388655003355959E-2</v>
      </c>
      <c r="BR34" s="20">
        <f>BR31/BQ31-1</f>
        <v>-1.9222799754543107E-2</v>
      </c>
      <c r="BS34" s="206"/>
      <c r="BT34" s="317">
        <f>BT31/BR31-1</f>
        <v>1.0427188624863915E-2</v>
      </c>
      <c r="BU34" s="20">
        <f>BU31/BT31-1</f>
        <v>2.5663463843000445E-2</v>
      </c>
      <c r="BV34" s="20">
        <f>BV31/BU31-1</f>
        <v>2.1047038293813269E-2</v>
      </c>
      <c r="BW34" s="20">
        <f>BW31/BV31-1</f>
        <v>-2.8242463812572671E-2</v>
      </c>
      <c r="BX34" s="206"/>
      <c r="BY34" s="317">
        <f>BY31/BW31-1</f>
        <v>1.1897247803845712E-2</v>
      </c>
      <c r="BZ34" s="20">
        <f>BZ31/BY31-1</f>
        <v>5.2479932906884352E-2</v>
      </c>
      <c r="CA34" s="20">
        <f>CA31/BZ31-1</f>
        <v>-1.0718026115382639E-2</v>
      </c>
      <c r="CB34" s="20">
        <f>CB31/CA31-1</f>
        <v>-4.299534512330716E-2</v>
      </c>
      <c r="CC34" s="206"/>
      <c r="CD34" s="317">
        <f>CD31/CB31-1</f>
        <v>-1.3543979961478159E-2</v>
      </c>
      <c r="CE34" s="20">
        <f>CE31/CD31-1</f>
        <v>2.1057449049909804E-2</v>
      </c>
      <c r="CF34" s="20">
        <f>CF31/CE31-1</f>
        <v>-1.3285065011483854E-2</v>
      </c>
      <c r="CG34" s="20">
        <f>CG31/CF31-1</f>
        <v>-1.0149235412046598E-2</v>
      </c>
      <c r="CH34" s="206"/>
      <c r="CI34" s="317">
        <f>CI31/CG31-1</f>
        <v>-4.3789702401820341E-2</v>
      </c>
      <c r="CJ34" s="20">
        <f>CJ31/CI31-1</f>
        <v>1.8416555275786006E-2</v>
      </c>
      <c r="CK34" s="20">
        <f>CK31/CJ31-1</f>
        <v>-3.340807559454817E-2</v>
      </c>
      <c r="CL34" s="20">
        <f>CL31/CK31-1</f>
        <v>3.3468608694495527E-2</v>
      </c>
      <c r="CM34" s="206"/>
      <c r="CN34" s="317">
        <f>CN31/CL31-1</f>
        <v>-2.180548880594313E-2</v>
      </c>
      <c r="CO34" s="20">
        <f>CO31/CN31-1</f>
        <v>4.9207244854738708E-2</v>
      </c>
      <c r="CP34" s="20">
        <f>CP31/CO31-1</f>
        <v>-3.8974143579341813E-2</v>
      </c>
      <c r="CQ34" s="20">
        <f>CQ31/CP31-1</f>
        <v>5.6661654124150029E-2</v>
      </c>
      <c r="CR34" s="206"/>
      <c r="CS34" s="317"/>
      <c r="CT34" s="20">
        <f>CT31/CS31-1</f>
        <v>4.3721066035788736E-2</v>
      </c>
      <c r="CU34" s="20">
        <f>CU31/CT31-1</f>
        <v>-3.576354787928604E-2</v>
      </c>
      <c r="CV34" s="20">
        <f>CV31/CU31-1</f>
        <v>5.6241874169522088E-2</v>
      </c>
      <c r="CW34" s="206"/>
      <c r="CX34" s="317">
        <f>CX31/CV31-1</f>
        <v>-1.8618991844125632E-2</v>
      </c>
      <c r="CY34" s="20">
        <f>CY31/CX31-1</f>
        <v>3.0511040623740771E-2</v>
      </c>
      <c r="CZ34" s="20">
        <f>CZ31/CY31-1</f>
        <v>-3.9508155460337369E-2</v>
      </c>
      <c r="DA34" s="20">
        <f>DA31/CZ31-1</f>
        <v>5.00650211042033E-2</v>
      </c>
      <c r="DB34" s="206"/>
      <c r="DC34" s="20"/>
      <c r="DD34" s="20"/>
      <c r="DE34" s="20"/>
      <c r="DF34" s="20"/>
      <c r="DG34" s="206"/>
      <c r="DH34" s="20"/>
      <c r="DI34" s="20"/>
      <c r="DJ34" s="20"/>
      <c r="DK34" s="20"/>
      <c r="DL34" s="206"/>
      <c r="DM34" s="20"/>
      <c r="DN34" s="500"/>
      <c r="DO34" s="818">
        <f>AVERAGE(AF34,AK34,AP34,AU34,AZ34,BE34,BJ34,AA34,BO34,BT34,BY34,CD34)</f>
        <v>-3.038787817764288E-3</v>
      </c>
      <c r="DP34" s="405">
        <f>AVERAGE(AG34,AL34,AQ34,AV34,BA34,BF34,BK34,AB34,BP34,BU34,BZ34,CE34)</f>
        <v>7.5438881257382198E-2</v>
      </c>
      <c r="DQ34" s="405">
        <f>AVERAGE(AH34,AM34,AR34,AW34,BB34,BG34,BL34,AC34,BQ34,BV34,CA34,CF34)</f>
        <v>1.0642027147649584E-3</v>
      </c>
      <c r="DR34" s="405">
        <f>AVERAGE(AI34,AN34,AS34,AX34,BC34,BH34,BM34,AD34,BR34,BW34,CB34,CG34)</f>
        <v>-2.9695223347858971E-2</v>
      </c>
      <c r="DS34" s="556"/>
      <c r="DT34" s="640" t="s">
        <v>555</v>
      </c>
      <c r="DU34" s="556"/>
      <c r="DV34" s="461"/>
      <c r="DW34" s="461"/>
      <c r="DX34" s="461"/>
      <c r="DY34" s="461"/>
      <c r="DZ34" s="461"/>
      <c r="EA34" s="500"/>
      <c r="EH34" s="8"/>
    </row>
    <row r="35" spans="1:138" ht="12.75" hidden="1" customHeight="1" outlineLevel="1" x14ac:dyDescent="0.2">
      <c r="A35" s="144" t="s">
        <v>163</v>
      </c>
      <c r="B35" s="893"/>
      <c r="C35" s="891"/>
      <c r="D35" s="891"/>
      <c r="E35" s="891"/>
      <c r="F35" s="185"/>
      <c r="G35" s="893"/>
      <c r="H35" s="891"/>
      <c r="I35" s="891"/>
      <c r="J35" s="891"/>
      <c r="K35" s="185"/>
      <c r="L35" s="893"/>
      <c r="M35" s="891"/>
      <c r="N35" s="891"/>
      <c r="O35" s="891"/>
      <c r="P35" s="185"/>
      <c r="Q35" s="893"/>
      <c r="R35" s="891"/>
      <c r="S35" s="891"/>
      <c r="T35" s="891"/>
      <c r="U35" s="185"/>
      <c r="V35" s="893"/>
      <c r="W35" s="891"/>
      <c r="X35" s="891"/>
      <c r="Y35" s="891"/>
      <c r="Z35" s="185"/>
      <c r="AA35" s="893"/>
      <c r="AB35" s="891"/>
      <c r="AC35" s="891"/>
      <c r="AD35" s="891"/>
      <c r="AE35" s="185"/>
      <c r="AF35" s="893">
        <v>1837</v>
      </c>
      <c r="AG35" s="891">
        <v>2174</v>
      </c>
      <c r="AH35" s="891">
        <v>2055</v>
      </c>
      <c r="AI35" s="891">
        <v>1855</v>
      </c>
      <c r="AJ35" s="185">
        <f>SUM(AF35:AI35)</f>
        <v>7921</v>
      </c>
      <c r="AK35" s="893">
        <v>1866</v>
      </c>
      <c r="AL35" s="891">
        <v>2124</v>
      </c>
      <c r="AM35" s="891">
        <v>2110</v>
      </c>
      <c r="AN35" s="891">
        <v>1913</v>
      </c>
      <c r="AO35" s="185">
        <f>SUM(AK35:AN35)</f>
        <v>8013</v>
      </c>
      <c r="AP35" s="890"/>
      <c r="AQ35" s="891"/>
      <c r="AR35" s="891"/>
      <c r="AS35" s="891"/>
      <c r="AT35" s="185"/>
      <c r="AU35" s="893">
        <v>3371</v>
      </c>
      <c r="AV35" s="891">
        <v>3621</v>
      </c>
      <c r="AW35" s="891">
        <v>3612</v>
      </c>
      <c r="AX35" s="891">
        <v>3059</v>
      </c>
      <c r="AY35" s="185">
        <f>SUM(AU35:AX35)</f>
        <v>13663</v>
      </c>
      <c r="AZ35" s="890">
        <v>2568</v>
      </c>
      <c r="BA35" s="891">
        <v>2723</v>
      </c>
      <c r="BB35" s="891">
        <v>2901</v>
      </c>
      <c r="BC35" s="891">
        <v>2670</v>
      </c>
      <c r="BD35" s="185">
        <f>SUM(AZ35:BC35)</f>
        <v>10862</v>
      </c>
      <c r="BE35" s="890">
        <v>2668.4</v>
      </c>
      <c r="BF35" s="891">
        <v>3152</v>
      </c>
      <c r="BG35" s="891">
        <v>3259</v>
      </c>
      <c r="BH35" s="891">
        <v>2927</v>
      </c>
      <c r="BI35" s="185">
        <f>SUM(BE35:BH35)</f>
        <v>12006.4</v>
      </c>
      <c r="BJ35" s="890">
        <v>2901</v>
      </c>
      <c r="BK35" s="891">
        <v>3475</v>
      </c>
      <c r="BL35" s="891">
        <v>3536</v>
      </c>
      <c r="BM35" s="891">
        <v>3217</v>
      </c>
      <c r="BN35" s="318">
        <f>SUM(BJ35:BM35)</f>
        <v>13129</v>
      </c>
      <c r="BO35" s="890">
        <v>3172</v>
      </c>
      <c r="BP35" s="891">
        <v>3727</v>
      </c>
      <c r="BQ35" s="891">
        <v>3690</v>
      </c>
      <c r="BR35" s="891">
        <v>3439</v>
      </c>
      <c r="BS35" s="185">
        <f>SUM(BO35:BR35)</f>
        <v>14028</v>
      </c>
      <c r="BT35" s="890">
        <v>3402</v>
      </c>
      <c r="BU35" s="891">
        <v>3885</v>
      </c>
      <c r="BV35" s="891">
        <v>4121</v>
      </c>
      <c r="BW35" s="891">
        <v>3784</v>
      </c>
      <c r="BX35" s="185">
        <f>SUM(BT35:BW35)</f>
        <v>15192</v>
      </c>
      <c r="BY35" s="890">
        <v>3734</v>
      </c>
      <c r="BZ35" s="891">
        <v>4493</v>
      </c>
      <c r="CA35" s="891">
        <v>4599</v>
      </c>
      <c r="CB35" s="891">
        <v>4190</v>
      </c>
      <c r="CC35" s="185">
        <f>SUM(BY35:CB35)</f>
        <v>17016</v>
      </c>
      <c r="CD35" s="890">
        <v>4080</v>
      </c>
      <c r="CE35" s="891">
        <v>4713</v>
      </c>
      <c r="CF35" s="891">
        <v>4774</v>
      </c>
      <c r="CG35" s="891">
        <v>4366</v>
      </c>
      <c r="CH35" s="185">
        <f>SUM(CD35:CG35)</f>
        <v>17933</v>
      </c>
      <c r="CI35" s="890">
        <v>4211</v>
      </c>
      <c r="CJ35" s="891">
        <v>4721</v>
      </c>
      <c r="CK35" s="891">
        <v>4615</v>
      </c>
      <c r="CL35" s="891">
        <v>4385</v>
      </c>
      <c r="CM35" s="185">
        <f>SUM(CI35:CL35)</f>
        <v>17932</v>
      </c>
      <c r="CN35" s="890">
        <v>4252</v>
      </c>
      <c r="CO35" s="891">
        <v>4962</v>
      </c>
      <c r="CP35" s="891">
        <v>4897</v>
      </c>
      <c r="CQ35" s="891">
        <v>4766</v>
      </c>
      <c r="CR35" s="185">
        <f>SUM(CN35:CQ35)</f>
        <v>18877</v>
      </c>
      <c r="CS35" s="890"/>
      <c r="CT35" s="891"/>
      <c r="CU35" s="891"/>
      <c r="CV35" s="891"/>
      <c r="CW35" s="185"/>
      <c r="CX35" s="890"/>
      <c r="CY35" s="603"/>
      <c r="CZ35" s="603"/>
      <c r="DA35" s="603"/>
      <c r="DB35" s="604"/>
      <c r="DC35" s="603"/>
      <c r="DD35" s="603"/>
      <c r="DE35" s="603"/>
      <c r="DF35" s="603"/>
      <c r="DG35" s="604"/>
      <c r="DH35" s="603"/>
      <c r="DI35" s="603"/>
      <c r="DJ35" s="603"/>
      <c r="DK35" s="603"/>
      <c r="DL35" s="604"/>
      <c r="DM35" s="414"/>
      <c r="DN35" s="502"/>
      <c r="DO35" s="489"/>
      <c r="DP35" s="414"/>
      <c r="DQ35" s="414"/>
      <c r="DR35" s="414"/>
      <c r="DS35" s="557"/>
      <c r="DT35" s="557"/>
      <c r="DU35" s="184"/>
      <c r="DV35" s="184"/>
      <c r="DW35" s="184"/>
      <c r="DX35" s="184"/>
      <c r="DY35" s="184"/>
      <c r="DZ35" s="184"/>
      <c r="EA35" s="502"/>
      <c r="EH35" s="318"/>
    </row>
    <row r="36" spans="1:138" ht="12.75" hidden="1" customHeight="1" outlineLevel="1" x14ac:dyDescent="0.2">
      <c r="A36" s="142" t="s">
        <v>244</v>
      </c>
      <c r="B36" s="20"/>
      <c r="C36" s="20"/>
      <c r="D36" s="20"/>
      <c r="E36" s="20"/>
      <c r="F36" s="199"/>
      <c r="G36" s="20"/>
      <c r="H36" s="20"/>
      <c r="I36" s="20"/>
      <c r="J36" s="20"/>
      <c r="K36" s="199"/>
      <c r="L36" s="20"/>
      <c r="M36" s="20"/>
      <c r="N36" s="20"/>
      <c r="O36" s="20"/>
      <c r="P36" s="199"/>
      <c r="Q36" s="20"/>
      <c r="R36" s="20"/>
      <c r="S36" s="20"/>
      <c r="T36" s="20"/>
      <c r="U36" s="199"/>
      <c r="V36" s="20"/>
      <c r="W36" s="20"/>
      <c r="X36" s="20"/>
      <c r="Y36" s="20"/>
      <c r="Z36" s="199"/>
      <c r="AA36" s="20"/>
      <c r="AB36" s="20"/>
      <c r="AC36" s="20"/>
      <c r="AD36" s="20"/>
      <c r="AE36" s="199"/>
      <c r="AF36" s="20"/>
      <c r="AG36" s="20"/>
      <c r="AH36" s="20"/>
      <c r="AI36" s="20"/>
      <c r="AJ36" s="199"/>
      <c r="AK36" s="20">
        <f>AK35/AF35-1</f>
        <v>1.5786608600979912E-2</v>
      </c>
      <c r="AL36" s="20">
        <f>AL35/AG35-1</f>
        <v>-2.2999080036798514E-2</v>
      </c>
      <c r="AM36" s="20">
        <f>AM35/AH35-1</f>
        <v>2.6763990267639981E-2</v>
      </c>
      <c r="AN36" s="20">
        <f>AN35/AI35-1</f>
        <v>3.126684636118604E-2</v>
      </c>
      <c r="AO36" s="199">
        <f>AO35/AJ35-1</f>
        <v>1.1614695114253282E-2</v>
      </c>
      <c r="AP36" s="317"/>
      <c r="AQ36" s="20"/>
      <c r="AR36" s="20"/>
      <c r="AS36" s="20"/>
      <c r="AT36" s="206"/>
      <c r="AU36" s="20"/>
      <c r="AV36" s="20"/>
      <c r="AW36" s="20"/>
      <c r="AX36" s="20"/>
      <c r="AY36" s="206"/>
      <c r="AZ36" s="317">
        <f t="shared" ref="AZ36:CA36" si="125">AZ35/AU35-1</f>
        <v>-0.23820824681103525</v>
      </c>
      <c r="BA36" s="20">
        <f t="shared" si="125"/>
        <v>-0.24799779066556205</v>
      </c>
      <c r="BB36" s="20">
        <f t="shared" si="125"/>
        <v>-0.19684385382059799</v>
      </c>
      <c r="BC36" s="20">
        <f t="shared" si="125"/>
        <v>-0.12716574043805162</v>
      </c>
      <c r="BD36" s="206">
        <f t="shared" si="125"/>
        <v>-0.20500622118129253</v>
      </c>
      <c r="BE36" s="317">
        <f t="shared" si="125"/>
        <v>3.9096573208722729E-2</v>
      </c>
      <c r="BF36" s="20">
        <f t="shared" si="125"/>
        <v>0.15754682335659198</v>
      </c>
      <c r="BG36" s="20">
        <f t="shared" si="125"/>
        <v>0.12340572216477086</v>
      </c>
      <c r="BH36" s="20">
        <f t="shared" si="125"/>
        <v>9.6254681647940155E-2</v>
      </c>
      <c r="BI36" s="206">
        <f t="shared" si="125"/>
        <v>0.10535812925796351</v>
      </c>
      <c r="BJ36" s="317">
        <f t="shared" si="125"/>
        <v>8.7168340578623882E-2</v>
      </c>
      <c r="BK36" s="20">
        <f t="shared" si="125"/>
        <v>0.10247461928934021</v>
      </c>
      <c r="BL36" s="20">
        <f t="shared" si="125"/>
        <v>8.4995397361153691E-2</v>
      </c>
      <c r="BM36" s="20">
        <f t="shared" si="125"/>
        <v>9.9077553809361119E-2</v>
      </c>
      <c r="BN36" s="317">
        <f t="shared" si="125"/>
        <v>9.3500133262260254E-2</v>
      </c>
      <c r="BO36" s="317">
        <f t="shared" si="125"/>
        <v>9.3416063426404738E-2</v>
      </c>
      <c r="BP36" s="20">
        <f t="shared" si="125"/>
        <v>7.2517985611510793E-2</v>
      </c>
      <c r="BQ36" s="20">
        <f t="shared" si="125"/>
        <v>4.355203619909509E-2</v>
      </c>
      <c r="BR36" s="20">
        <f t="shared" si="125"/>
        <v>6.9008392912651484E-2</v>
      </c>
      <c r="BS36" s="206">
        <f t="shared" si="125"/>
        <v>6.8474369715896044E-2</v>
      </c>
      <c r="BT36" s="317">
        <f t="shared" si="125"/>
        <v>7.250945775535933E-2</v>
      </c>
      <c r="BU36" s="20">
        <f t="shared" si="125"/>
        <v>4.239334585457466E-2</v>
      </c>
      <c r="BV36" s="20">
        <f t="shared" si="125"/>
        <v>0.1168021680216802</v>
      </c>
      <c r="BW36" s="20">
        <f t="shared" si="125"/>
        <v>0.10031986042454211</v>
      </c>
      <c r="BX36" s="206">
        <f t="shared" si="125"/>
        <v>8.2976903336184682E-2</v>
      </c>
      <c r="BY36" s="317">
        <f t="shared" si="125"/>
        <v>9.7589653145208732E-2</v>
      </c>
      <c r="BZ36" s="20">
        <f t="shared" si="125"/>
        <v>0.15649935649935642</v>
      </c>
      <c r="CA36" s="20">
        <f t="shared" si="125"/>
        <v>0.11599126425624839</v>
      </c>
      <c r="CB36" s="20">
        <f t="shared" ref="CB36:CK36" si="126">CB35/BW35-1</f>
        <v>0.10729386892177595</v>
      </c>
      <c r="CC36" s="206">
        <f t="shared" si="126"/>
        <v>0.1200631911532386</v>
      </c>
      <c r="CD36" s="317">
        <f t="shared" si="126"/>
        <v>9.2662024638457519E-2</v>
      </c>
      <c r="CE36" s="20">
        <f t="shared" si="126"/>
        <v>4.8965056754952219E-2</v>
      </c>
      <c r="CF36" s="20">
        <f t="shared" si="126"/>
        <v>3.8051750380517557E-2</v>
      </c>
      <c r="CG36" s="20">
        <f t="shared" si="126"/>
        <v>4.2004773269689766E-2</v>
      </c>
      <c r="CH36" s="206">
        <f t="shared" si="126"/>
        <v>5.3890456041372881E-2</v>
      </c>
      <c r="CI36" s="317">
        <f t="shared" si="126"/>
        <v>3.210784313725501E-2</v>
      </c>
      <c r="CJ36" s="20">
        <f t="shared" si="126"/>
        <v>1.6974326331424816E-3</v>
      </c>
      <c r="CK36" s="20">
        <f t="shared" si="126"/>
        <v>-3.3305404273146211E-2</v>
      </c>
      <c r="CL36" s="20">
        <f t="shared" ref="CL36" si="127">CL35/CG35-1</f>
        <v>4.3518094365551097E-3</v>
      </c>
      <c r="CM36" s="206">
        <f t="shared" ref="CM36:CN36" si="128">CM35/CH35-1</f>
        <v>-5.5763118273599588E-5</v>
      </c>
      <c r="CN36" s="317">
        <f t="shared" si="128"/>
        <v>9.7364046544763383E-3</v>
      </c>
      <c r="CO36" s="20">
        <f>CO35/CJ35-1</f>
        <v>5.1048506672315197E-2</v>
      </c>
      <c r="CP36" s="20">
        <f t="shared" ref="CP36" si="129">CP35/CK35-1</f>
        <v>6.1105092091007673E-2</v>
      </c>
      <c r="CQ36" s="20">
        <f t="shared" ref="CQ36" si="130">CQ35/CL35-1</f>
        <v>8.6887115165336315E-2</v>
      </c>
      <c r="CR36" s="206">
        <f t="shared" ref="CR36" si="131">CR35/CM35-1</f>
        <v>5.2699085433861148E-2</v>
      </c>
      <c r="CS36" s="317"/>
      <c r="CT36" s="20"/>
      <c r="CU36" s="20"/>
      <c r="CV36" s="20"/>
      <c r="CW36" s="206"/>
      <c r="CX36" s="317"/>
      <c r="CY36" s="605"/>
      <c r="CZ36" s="605"/>
      <c r="DA36" s="605"/>
      <c r="DB36" s="606"/>
      <c r="DC36" s="605"/>
      <c r="DD36" s="605"/>
      <c r="DE36" s="605"/>
      <c r="DF36" s="605"/>
      <c r="DG36" s="606"/>
      <c r="DH36" s="605"/>
      <c r="DI36" s="605"/>
      <c r="DJ36" s="605"/>
      <c r="DK36" s="605"/>
      <c r="DL36" s="606"/>
      <c r="DM36" s="20"/>
      <c r="DN36" s="500"/>
      <c r="DO36" s="486"/>
      <c r="DP36" s="411"/>
      <c r="DQ36" s="411"/>
      <c r="DR36" s="411"/>
      <c r="DS36" s="556"/>
      <c r="DT36" s="556"/>
      <c r="DU36" s="461" t="s">
        <v>513</v>
      </c>
      <c r="DV36" s="461">
        <v>-7.4999999999999997E-2</v>
      </c>
      <c r="DW36" s="461"/>
      <c r="DX36" s="461" t="s">
        <v>514</v>
      </c>
      <c r="DY36" s="461"/>
      <c r="DZ36" s="461"/>
      <c r="EA36" s="500"/>
      <c r="EH36" s="8"/>
    </row>
    <row r="37" spans="1:138" ht="12.75" hidden="1" customHeight="1" outlineLevel="1" x14ac:dyDescent="0.2">
      <c r="A37" s="75" t="str">
        <f>A35&amp; " per ASM"</f>
        <v>Mainline Domestic Pax Rev (mm) per ASM</v>
      </c>
      <c r="B37" s="32"/>
      <c r="C37" s="32"/>
      <c r="D37" s="32"/>
      <c r="E37" s="32"/>
      <c r="F37" s="203"/>
      <c r="G37" s="32"/>
      <c r="H37" s="32"/>
      <c r="I37" s="32"/>
      <c r="J37" s="32"/>
      <c r="K37" s="203"/>
      <c r="L37" s="32"/>
      <c r="M37" s="32"/>
      <c r="N37" s="32"/>
      <c r="O37" s="32"/>
      <c r="P37" s="203"/>
      <c r="Q37" s="32"/>
      <c r="R37" s="32"/>
      <c r="S37" s="32"/>
      <c r="T37" s="32"/>
      <c r="U37" s="203"/>
      <c r="V37" s="32"/>
      <c r="W37" s="32"/>
      <c r="X37" s="32"/>
      <c r="Y37" s="32"/>
      <c r="Z37" s="203"/>
      <c r="AA37" s="32"/>
      <c r="AB37" s="32"/>
      <c r="AC37" s="32"/>
      <c r="AD37" s="32"/>
      <c r="AE37" s="203"/>
      <c r="AF37" s="32">
        <f t="shared" ref="AF37:AO37" si="132">AF35/AF5*100</f>
        <v>8.8359469602683003</v>
      </c>
      <c r="AG37" s="32">
        <f t="shared" si="132"/>
        <v>10.326798521928273</v>
      </c>
      <c r="AH37" s="32">
        <f t="shared" si="132"/>
        <v>9.6751512642809701</v>
      </c>
      <c r="AI37" s="32">
        <f t="shared" si="132"/>
        <v>9.4146727903826406</v>
      </c>
      <c r="AJ37" s="203">
        <f t="shared" si="132"/>
        <v>9.5681165280388996</v>
      </c>
      <c r="AK37" s="32">
        <f t="shared" si="132"/>
        <v>9.8597235050313117</v>
      </c>
      <c r="AL37" s="32">
        <f t="shared" si="132"/>
        <v>10.891252637116333</v>
      </c>
      <c r="AM37" s="32">
        <f t="shared" si="132"/>
        <v>10.242173026028661</v>
      </c>
      <c r="AN37" s="32">
        <f t="shared" si="132"/>
        <v>9.8409708372371831</v>
      </c>
      <c r="AO37" s="203">
        <f t="shared" si="132"/>
        <v>10.211857492018522</v>
      </c>
      <c r="AP37" s="319"/>
      <c r="AQ37" s="32"/>
      <c r="AR37" s="32"/>
      <c r="AS37" s="32"/>
      <c r="AT37" s="203"/>
      <c r="AU37" s="32">
        <f t="shared" ref="AU37:BQ37" si="133">AU35/AU5*100</f>
        <v>11.150067806701287</v>
      </c>
      <c r="AV37" s="32">
        <f t="shared" si="133"/>
        <v>12.129683704344437</v>
      </c>
      <c r="AW37" s="32">
        <f t="shared" si="133"/>
        <v>12.168991307863351</v>
      </c>
      <c r="AX37" s="32">
        <f t="shared" si="133"/>
        <v>11.351913014435745</v>
      </c>
      <c r="AY37" s="203">
        <f t="shared" si="133"/>
        <v>11.706354690500621</v>
      </c>
      <c r="AZ37" s="319">
        <f t="shared" si="133"/>
        <v>9.8415155750031946</v>
      </c>
      <c r="BA37" s="32">
        <f t="shared" si="133"/>
        <v>9.9532129541633161</v>
      </c>
      <c r="BB37" s="32">
        <f t="shared" si="133"/>
        <v>10.176739908557378</v>
      </c>
      <c r="BC37" s="32">
        <f t="shared" si="133"/>
        <v>10.4296875</v>
      </c>
      <c r="BD37" s="203">
        <f t="shared" si="133"/>
        <v>10.098763339395319</v>
      </c>
      <c r="BE37" s="319">
        <f t="shared" si="133"/>
        <v>10.674933512694405</v>
      </c>
      <c r="BF37" s="32">
        <f t="shared" si="133"/>
        <v>11.499403669090505</v>
      </c>
      <c r="BG37" s="32">
        <f t="shared" si="133"/>
        <v>11.042755285020636</v>
      </c>
      <c r="BH37" s="32">
        <f t="shared" si="133"/>
        <v>10.867195116051583</v>
      </c>
      <c r="BI37" s="203">
        <f t="shared" si="133"/>
        <v>11.029837085473577</v>
      </c>
      <c r="BJ37" s="319">
        <f t="shared" si="133"/>
        <v>11.338028003873925</v>
      </c>
      <c r="BK37" s="32">
        <f t="shared" si="133"/>
        <v>12.700415294443138</v>
      </c>
      <c r="BL37" s="32">
        <f t="shared" si="133"/>
        <v>12.418933619605674</v>
      </c>
      <c r="BM37" s="32">
        <f t="shared" si="133"/>
        <v>12.379587157507869</v>
      </c>
      <c r="BN37" s="319">
        <f t="shared" si="133"/>
        <v>12.223626427355576</v>
      </c>
      <c r="BO37" s="319">
        <f t="shared" si="133"/>
        <v>12.748683734576586</v>
      </c>
      <c r="BP37" s="32">
        <f t="shared" si="133"/>
        <v>13.714306741242272</v>
      </c>
      <c r="BQ37" s="32">
        <f t="shared" si="133"/>
        <v>12.786748908448264</v>
      </c>
      <c r="BR37" s="32">
        <f t="shared" ref="BR37:BW37" si="134">BR35/BR5*100</f>
        <v>13.096960926193921</v>
      </c>
      <c r="BS37" s="203">
        <f t="shared" si="134"/>
        <v>13.08911759491663</v>
      </c>
      <c r="BT37" s="319">
        <f t="shared" si="134"/>
        <v>13.516627597441296</v>
      </c>
      <c r="BU37" s="32">
        <f t="shared" si="134"/>
        <v>13.897335002682883</v>
      </c>
      <c r="BV37" s="32">
        <f t="shared" si="134"/>
        <v>13.902101676618425</v>
      </c>
      <c r="BW37" s="32">
        <f t="shared" si="134"/>
        <v>14.040295350821863</v>
      </c>
      <c r="BX37" s="203">
        <f t="shared" ref="BX37:CC37" si="135">BX35/BX5*100</f>
        <v>13.846406241455366</v>
      </c>
      <c r="BY37" s="319">
        <f t="shared" si="135"/>
        <v>14.572844709831012</v>
      </c>
      <c r="BZ37" s="32">
        <f t="shared" si="135"/>
        <v>15.3128926415636</v>
      </c>
      <c r="CA37" s="32">
        <f t="shared" si="135"/>
        <v>14.906639512532468</v>
      </c>
      <c r="CB37" s="32">
        <f t="shared" si="135"/>
        <v>14.772817339155401</v>
      </c>
      <c r="CC37" s="203">
        <f t="shared" si="135"/>
        <v>14.902887345922053</v>
      </c>
      <c r="CD37" s="319">
        <f t="shared" ref="CD37:CI37" si="136">CD35/CD5*100</f>
        <v>14.879806720063534</v>
      </c>
      <c r="CE37" s="32">
        <f t="shared" si="136"/>
        <v>15.15618540713074</v>
      </c>
      <c r="CF37" s="32">
        <f t="shared" si="136"/>
        <v>14.557419383639964</v>
      </c>
      <c r="CG37" s="32">
        <f t="shared" si="136"/>
        <v>14.659077566632069</v>
      </c>
      <c r="CH37" s="203">
        <f t="shared" si="136"/>
        <v>14.809181838081495</v>
      </c>
      <c r="CI37" s="319">
        <f t="shared" si="136"/>
        <v>14.224745300716386</v>
      </c>
      <c r="CJ37" s="32">
        <f t="shared" ref="CJ37:CN37" si="137">CJ35/CJ5*100</f>
        <v>14.368947392882179</v>
      </c>
      <c r="CK37" s="32">
        <f t="shared" si="137"/>
        <v>13.488667049922126</v>
      </c>
      <c r="CL37" s="32">
        <f t="shared" si="137"/>
        <v>14.25537465010126</v>
      </c>
      <c r="CM37" s="203">
        <f t="shared" si="137"/>
        <v>14.071691706592828</v>
      </c>
      <c r="CN37" s="319">
        <f t="shared" si="137"/>
        <v>14.071605010179741</v>
      </c>
      <c r="CO37" s="32">
        <f t="shared" ref="CO37:CR37" si="138">CO35/CO5*100</f>
        <v>14.730477241635311</v>
      </c>
      <c r="CP37" s="32">
        <f t="shared" si="138"/>
        <v>13.700044669923065</v>
      </c>
      <c r="CQ37" s="32">
        <f t="shared" si="138"/>
        <v>17.004023131893454</v>
      </c>
      <c r="CR37" s="203">
        <f t="shared" si="138"/>
        <v>14.785172122642162</v>
      </c>
      <c r="CS37" s="319"/>
      <c r="CT37" s="32"/>
      <c r="CU37" s="32"/>
      <c r="CV37" s="32"/>
      <c r="CW37" s="203"/>
      <c r="CX37" s="319"/>
      <c r="CY37" s="607"/>
      <c r="CZ37" s="607"/>
      <c r="DA37" s="607"/>
      <c r="DB37" s="608"/>
      <c r="DC37" s="607"/>
      <c r="DD37" s="607"/>
      <c r="DE37" s="607"/>
      <c r="DF37" s="607"/>
      <c r="DG37" s="608"/>
      <c r="DH37" s="607"/>
      <c r="DI37" s="607"/>
      <c r="DJ37" s="607"/>
      <c r="DK37" s="607"/>
      <c r="DL37" s="608"/>
      <c r="DM37" s="32"/>
      <c r="DN37" s="503"/>
      <c r="DO37" s="486"/>
      <c r="DP37" s="411"/>
      <c r="DQ37" s="411"/>
      <c r="DR37" s="411"/>
      <c r="DS37" s="558"/>
      <c r="DT37" s="558"/>
      <c r="DU37" s="462" t="s">
        <v>199</v>
      </c>
      <c r="DV37" s="462" t="s">
        <v>200</v>
      </c>
      <c r="DW37" s="462"/>
      <c r="DX37" s="462"/>
      <c r="DY37" s="462"/>
      <c r="DZ37" s="462"/>
      <c r="EA37" s="503"/>
      <c r="EH37" s="8"/>
    </row>
    <row r="38" spans="1:138" ht="12.75" hidden="1" customHeight="1" outlineLevel="1" x14ac:dyDescent="0.2">
      <c r="A38" s="148" t="s">
        <v>244</v>
      </c>
      <c r="B38" s="20"/>
      <c r="C38" s="20"/>
      <c r="D38" s="20"/>
      <c r="E38" s="20"/>
      <c r="F38" s="199"/>
      <c r="G38" s="20"/>
      <c r="H38" s="20"/>
      <c r="I38" s="20"/>
      <c r="J38" s="20"/>
      <c r="K38" s="199"/>
      <c r="L38" s="20"/>
      <c r="M38" s="20"/>
      <c r="N38" s="20"/>
      <c r="O38" s="20"/>
      <c r="P38" s="199"/>
      <c r="Q38" s="20"/>
      <c r="R38" s="20"/>
      <c r="S38" s="20"/>
      <c r="T38" s="20"/>
      <c r="U38" s="199"/>
      <c r="V38" s="20"/>
      <c r="W38" s="20"/>
      <c r="X38" s="20"/>
      <c r="Y38" s="20"/>
      <c r="Z38" s="199"/>
      <c r="AA38" s="20"/>
      <c r="AB38" s="20"/>
      <c r="AC38" s="20"/>
      <c r="AD38" s="20"/>
      <c r="AE38" s="199"/>
      <c r="AF38" s="20"/>
      <c r="AG38" s="20"/>
      <c r="AH38" s="20"/>
      <c r="AI38" s="20"/>
      <c r="AJ38" s="199"/>
      <c r="AK38" s="20">
        <f>AK37/AF37-1</f>
        <v>0.11586494909561162</v>
      </c>
      <c r="AL38" s="20">
        <f>AL37/AG37-1</f>
        <v>5.4659158304432687E-2</v>
      </c>
      <c r="AM38" s="20">
        <f>AM37/AH37-1</f>
        <v>5.8605984160789326E-2</v>
      </c>
      <c r="AN38" s="20">
        <f>AN37/AI37-1</f>
        <v>4.5280176629188595E-2</v>
      </c>
      <c r="AO38" s="199">
        <f>AO37/AJ37-1</f>
        <v>6.7279799748798164E-2</v>
      </c>
      <c r="AP38" s="317"/>
      <c r="AQ38" s="20"/>
      <c r="AR38" s="20"/>
      <c r="AS38" s="20"/>
      <c r="AT38" s="206"/>
      <c r="AU38" s="20"/>
      <c r="AV38" s="20"/>
      <c r="AW38" s="20"/>
      <c r="AX38" s="20"/>
      <c r="AY38" s="206"/>
      <c r="AZ38" s="317">
        <f t="shared" ref="AZ38:CA38" si="139">AZ37/AU37-1</f>
        <v>-0.11735823085413355</v>
      </c>
      <c r="BA38" s="20">
        <f t="shared" si="139"/>
        <v>-0.17943342985947641</v>
      </c>
      <c r="BB38" s="20">
        <f t="shared" si="139"/>
        <v>-0.16371540983997757</v>
      </c>
      <c r="BC38" s="20">
        <f t="shared" si="139"/>
        <v>-8.1239656546256978E-2</v>
      </c>
      <c r="BD38" s="206">
        <f t="shared" si="139"/>
        <v>-0.13732638328563695</v>
      </c>
      <c r="BE38" s="317">
        <f t="shared" si="139"/>
        <v>8.4683901716117616E-2</v>
      </c>
      <c r="BF38" s="20">
        <f t="shared" si="139"/>
        <v>0.15534588901571067</v>
      </c>
      <c r="BG38" s="20">
        <f t="shared" si="139"/>
        <v>8.5097524771665434E-2</v>
      </c>
      <c r="BH38" s="20">
        <f t="shared" si="139"/>
        <v>4.1948295771238042E-2</v>
      </c>
      <c r="BI38" s="206">
        <f>BI37/BD37-1</f>
        <v>9.2196808142452014E-2</v>
      </c>
      <c r="BJ38" s="317">
        <f t="shared" si="139"/>
        <v>6.2116966854264932E-2</v>
      </c>
      <c r="BK38" s="20">
        <f t="shared" si="139"/>
        <v>0.10444120929338774</v>
      </c>
      <c r="BL38" s="20">
        <f t="shared" si="139"/>
        <v>0.12462273219545184</v>
      </c>
      <c r="BM38" s="20">
        <f t="shared" si="139"/>
        <v>0.13917041382853057</v>
      </c>
      <c r="BN38" s="317">
        <f>BN37/BI37-1</f>
        <v>0.1082327266151768</v>
      </c>
      <c r="BO38" s="317">
        <f t="shared" si="139"/>
        <v>0.12441808489277628</v>
      </c>
      <c r="BP38" s="20">
        <f t="shared" si="139"/>
        <v>7.9831361675452017E-2</v>
      </c>
      <c r="BQ38" s="20">
        <f t="shared" si="139"/>
        <v>2.9617300495263343E-2</v>
      </c>
      <c r="BR38" s="20">
        <f t="shared" si="139"/>
        <v>5.79481172965437E-2</v>
      </c>
      <c r="BS38" s="206">
        <f>BS37/BN37-1</f>
        <v>7.0804778983113215E-2</v>
      </c>
      <c r="BT38" s="317">
        <f t="shared" si="139"/>
        <v>6.023710987369757E-2</v>
      </c>
      <c r="BU38" s="20">
        <f t="shared" si="139"/>
        <v>1.3345790268070923E-2</v>
      </c>
      <c r="BV38" s="20">
        <f t="shared" si="139"/>
        <v>8.7227236270608577E-2</v>
      </c>
      <c r="BW38" s="20">
        <f t="shared" si="139"/>
        <v>7.2026970985404226E-2</v>
      </c>
      <c r="BX38" s="206">
        <f>BX37/BS37-1</f>
        <v>5.7856355942041526E-2</v>
      </c>
      <c r="BY38" s="317">
        <f t="shared" si="139"/>
        <v>7.814205908799754E-2</v>
      </c>
      <c r="BZ38" s="20">
        <f t="shared" si="139"/>
        <v>0.10185820796630751</v>
      </c>
      <c r="CA38" s="20">
        <f t="shared" si="139"/>
        <v>7.225798366901226E-2</v>
      </c>
      <c r="CB38" s="20">
        <f t="shared" ref="CB38:CK38" si="140">CB37/BW37-1</f>
        <v>5.2172833265267338E-2</v>
      </c>
      <c r="CC38" s="206">
        <f t="shared" si="140"/>
        <v>7.6300022261635014E-2</v>
      </c>
      <c r="CD38" s="317">
        <f t="shared" si="140"/>
        <v>2.1063973187434248E-2</v>
      </c>
      <c r="CE38" s="20">
        <f t="shared" si="140"/>
        <v>-1.0233679429548892E-2</v>
      </c>
      <c r="CF38" s="20">
        <f t="shared" si="140"/>
        <v>-2.3427153289573011E-2</v>
      </c>
      <c r="CG38" s="20">
        <f t="shared" si="140"/>
        <v>-7.6992607376159539E-3</v>
      </c>
      <c r="CH38" s="206">
        <f t="shared" si="140"/>
        <v>-6.2877418090528936E-3</v>
      </c>
      <c r="CI38" s="317">
        <f t="shared" si="140"/>
        <v>-4.4023516680756436E-2</v>
      </c>
      <c r="CJ38" s="20">
        <f t="shared" si="140"/>
        <v>-5.1941698593775398E-2</v>
      </c>
      <c r="CK38" s="20">
        <f t="shared" si="140"/>
        <v>-7.3416331944034741E-2</v>
      </c>
      <c r="CL38" s="20">
        <f t="shared" ref="CL38" si="141">CL37/CG37-1</f>
        <v>-2.7539448829286717E-2</v>
      </c>
      <c r="CM38" s="206">
        <f t="shared" ref="CM38:CP38" si="142">CM37/CH37-1</f>
        <v>-4.979951894386403E-2</v>
      </c>
      <c r="CN38" s="317">
        <f t="shared" si="142"/>
        <v>-1.0765766788733422E-2</v>
      </c>
      <c r="CO38" s="20">
        <f t="shared" si="142"/>
        <v>2.5160496372352181E-2</v>
      </c>
      <c r="CP38" s="20">
        <f t="shared" si="142"/>
        <v>1.5670756733680236E-2</v>
      </c>
      <c r="CQ38" s="20">
        <f t="shared" ref="CQ38" si="143">CQ37/CL37-1</f>
        <v>0.19281488906871136</v>
      </c>
      <c r="CR38" s="206">
        <f t="shared" ref="CR38" si="144">CR37/CM37-1</f>
        <v>5.0703243854827829E-2</v>
      </c>
      <c r="CS38" s="317"/>
      <c r="CT38" s="20"/>
      <c r="CU38" s="20"/>
      <c r="CV38" s="20"/>
      <c r="CW38" s="206"/>
      <c r="CX38" s="317"/>
      <c r="CY38" s="609"/>
      <c r="CZ38" s="609"/>
      <c r="DA38" s="609"/>
      <c r="DB38" s="610"/>
      <c r="DC38" s="605"/>
      <c r="DD38" s="605"/>
      <c r="DE38" s="609"/>
      <c r="DF38" s="609"/>
      <c r="DG38" s="610"/>
      <c r="DH38" s="605"/>
      <c r="DI38" s="605"/>
      <c r="DJ38" s="609"/>
      <c r="DK38" s="609"/>
      <c r="DL38" s="610"/>
      <c r="DM38" s="33"/>
      <c r="DN38" s="499"/>
      <c r="DO38" s="486"/>
      <c r="DP38" s="411"/>
      <c r="DQ38" s="411"/>
      <c r="DR38" s="411"/>
      <c r="DS38" s="556" t="s">
        <v>516</v>
      </c>
      <c r="DT38" s="556"/>
      <c r="DU38" s="461">
        <f>+CJ38-(CF38-CE38)-(CK14-CJ14)</f>
        <v>-2.3274514312655259E-2</v>
      </c>
      <c r="DV38" s="461">
        <f>+CK38-(CG38-CF38)-(CL14-CK14)</f>
        <v>-7.9497420265613461E-2</v>
      </c>
      <c r="DW38" s="461">
        <v>0.6</v>
      </c>
      <c r="DX38" s="462"/>
      <c r="DY38" s="461"/>
      <c r="DZ38" s="461"/>
      <c r="EA38" s="499"/>
      <c r="EH38" s="8"/>
    </row>
    <row r="39" spans="1:138" ht="12.75" hidden="1" customHeight="1" outlineLevel="1" x14ac:dyDescent="0.2">
      <c r="A39" s="386" t="s">
        <v>42</v>
      </c>
      <c r="B39" s="20"/>
      <c r="C39" s="20"/>
      <c r="D39" s="20"/>
      <c r="E39" s="20"/>
      <c r="F39" s="201"/>
      <c r="G39" s="20"/>
      <c r="H39" s="20"/>
      <c r="I39" s="20"/>
      <c r="J39" s="20"/>
      <c r="K39" s="201"/>
      <c r="L39" s="20"/>
      <c r="M39" s="20"/>
      <c r="N39" s="20"/>
      <c r="O39" s="20"/>
      <c r="P39" s="201"/>
      <c r="Q39" s="20"/>
      <c r="R39" s="20"/>
      <c r="S39" s="20"/>
      <c r="T39" s="20"/>
      <c r="U39" s="201"/>
      <c r="V39" s="20"/>
      <c r="W39" s="20"/>
      <c r="X39" s="20"/>
      <c r="Y39" s="20"/>
      <c r="Z39" s="201"/>
      <c r="AA39" s="20"/>
      <c r="AB39" s="20"/>
      <c r="AC39" s="20"/>
      <c r="AD39" s="20"/>
      <c r="AE39" s="201"/>
      <c r="AF39" s="20"/>
      <c r="AG39" s="20">
        <f>AG37/AF37-1</f>
        <v>0.16872572553499166</v>
      </c>
      <c r="AH39" s="20">
        <f>AH37/AG37-1</f>
        <v>-6.3102543955280366E-2</v>
      </c>
      <c r="AI39" s="20">
        <f>AI37/AH37-1</f>
        <v>-2.6922418759484645E-2</v>
      </c>
      <c r="AJ39" s="201"/>
      <c r="AK39" s="20">
        <f>AK37/AI37-1</f>
        <v>4.7272032130877939E-2</v>
      </c>
      <c r="AL39" s="20">
        <f>AL37/AK37-1</f>
        <v>0.10462049281185659</v>
      </c>
      <c r="AM39" s="20">
        <f>AM37/AL37-1</f>
        <v>-5.9596414913347218E-2</v>
      </c>
      <c r="AN39" s="20">
        <f>AN37/AM37-1</f>
        <v>-3.9171588663059476E-2</v>
      </c>
      <c r="AO39" s="201"/>
      <c r="AP39" s="317"/>
      <c r="AQ39" s="20"/>
      <c r="AR39" s="20"/>
      <c r="AS39" s="20"/>
      <c r="AT39" s="206"/>
      <c r="AU39" s="20"/>
      <c r="AV39" s="20">
        <f>AV37/AU37-1</f>
        <v>8.7857393750950363E-2</v>
      </c>
      <c r="AW39" s="20">
        <f>AW37/AV37-1</f>
        <v>3.2406124081236776E-3</v>
      </c>
      <c r="AX39" s="20">
        <f>AX37/AW37-1</f>
        <v>-6.7144290989806787E-2</v>
      </c>
      <c r="AY39" s="206"/>
      <c r="AZ39" s="317">
        <f>AZ37/AX37-1</f>
        <v>-0.13305223864134985</v>
      </c>
      <c r="BA39" s="20">
        <f>BA37/AZ37-1</f>
        <v>1.1349611582572194E-2</v>
      </c>
      <c r="BB39" s="20">
        <f>BB37/BA37-1</f>
        <v>2.245776870478422E-2</v>
      </c>
      <c r="BC39" s="20">
        <f>BC37/BB37-1</f>
        <v>2.485546390253357E-2</v>
      </c>
      <c r="BD39" s="206"/>
      <c r="BE39" s="317">
        <f>BE37/BC37-1</f>
        <v>2.3514224438115239E-2</v>
      </c>
      <c r="BF39" s="20">
        <f>BF37/BE37-1</f>
        <v>7.7234219343442101E-2</v>
      </c>
      <c r="BG39" s="20">
        <f>BG37/BF37-1</f>
        <v>-3.9710614324923954E-2</v>
      </c>
      <c r="BH39" s="20">
        <f>BH37/BG37-1</f>
        <v>-1.5898221452683825E-2</v>
      </c>
      <c r="BI39" s="206"/>
      <c r="BJ39" s="317">
        <f>BJ37/BH37-1</f>
        <v>4.3326072900530699E-2</v>
      </c>
      <c r="BK39" s="20">
        <f>BK37/BJ37-1</f>
        <v>0.12016086837179429</v>
      </c>
      <c r="BL39" s="20">
        <f>BL37/BK37-1</f>
        <v>-2.2163186660567047E-2</v>
      </c>
      <c r="BM39" s="20">
        <f>BM37/BL37-1</f>
        <v>-3.16826414432958E-3</v>
      </c>
      <c r="BN39" s="317"/>
      <c r="BO39" s="317">
        <f>BO37/BM37-1</f>
        <v>2.9814934243979963E-2</v>
      </c>
      <c r="BP39" s="20">
        <f>BP37/BO37-1</f>
        <v>7.5742957215791051E-2</v>
      </c>
      <c r="BQ39" s="20">
        <f>BQ37/BP37-1</f>
        <v>-6.7634321609900683E-2</v>
      </c>
      <c r="BR39" s="20">
        <f>BR37/BQ37-1</f>
        <v>2.4260429290255292E-2</v>
      </c>
      <c r="BS39" s="206"/>
      <c r="BT39" s="317">
        <f>BT37/BR37-1</f>
        <v>3.2043057439993028E-2</v>
      </c>
      <c r="BU39" s="20">
        <f>BU37/BT37-1</f>
        <v>2.8165857385436421E-2</v>
      </c>
      <c r="BV39" s="20">
        <f>BV37/BU37-1</f>
        <v>3.4299194303244462E-4</v>
      </c>
      <c r="BW39" s="20">
        <f>BW37/BV37-1</f>
        <v>9.940487950527821E-3</v>
      </c>
      <c r="BX39" s="206"/>
      <c r="BY39" s="317">
        <f>BY37/BW37-1</f>
        <v>3.7930068114840232E-2</v>
      </c>
      <c r="BZ39" s="20">
        <f>BZ37/BY37-1</f>
        <v>5.0782667795351122E-2</v>
      </c>
      <c r="CA39" s="20">
        <f>CA37/BZ37-1</f>
        <v>-2.6530136306738283E-2</v>
      </c>
      <c r="CB39" s="20">
        <f>CB37/CA37-1</f>
        <v>-8.9773535654739112E-3</v>
      </c>
      <c r="CC39" s="206"/>
      <c r="CD39" s="317">
        <f>CD37/CB37-1</f>
        <v>7.2423139372717049E-3</v>
      </c>
      <c r="CE39" s="20">
        <f>CE37/CD37-1</f>
        <v>1.8574077759662355E-2</v>
      </c>
      <c r="CF39" s="20">
        <f>CF37/CE37-1</f>
        <v>-3.9506380227380067E-2</v>
      </c>
      <c r="CG39" s="20">
        <f>CG37/CF37-1</f>
        <v>6.9832557758384706E-3</v>
      </c>
      <c r="CH39" s="206"/>
      <c r="CI39" s="317">
        <f>CI37/CG37-1</f>
        <v>-2.9628894720111099E-2</v>
      </c>
      <c r="CJ39" s="20">
        <f>CJ37/CI37-1</f>
        <v>1.0137411188552603E-2</v>
      </c>
      <c r="CK39" s="20">
        <f>CK37/CJ37-1</f>
        <v>-6.1262688135117593E-2</v>
      </c>
      <c r="CL39" s="20">
        <f>CL37/CK37-1</f>
        <v>5.6840872218249405E-2</v>
      </c>
      <c r="CM39" s="206"/>
      <c r="CN39" s="317">
        <f>CN37/CL37-1</f>
        <v>-1.2891252908615258E-2</v>
      </c>
      <c r="CO39" s="20">
        <f>CO37/CN37-1</f>
        <v>4.6822820209842853E-2</v>
      </c>
      <c r="CP39" s="20">
        <f>CP37/CO37-1</f>
        <v>-6.9952422776891177E-2</v>
      </c>
      <c r="CQ39" s="20">
        <f>CQ37/CP37-1</f>
        <v>0.24116552475364617</v>
      </c>
      <c r="CR39" s="206"/>
      <c r="CS39" s="317"/>
      <c r="CT39" s="20"/>
      <c r="CU39" s="20"/>
      <c r="CV39" s="20"/>
      <c r="CW39" s="206"/>
      <c r="CX39" s="317"/>
      <c r="CY39" s="605"/>
      <c r="CZ39" s="605"/>
      <c r="DA39" s="605"/>
      <c r="DB39" s="606"/>
      <c r="DC39" s="605"/>
      <c r="DD39" s="605"/>
      <c r="DE39" s="605"/>
      <c r="DF39" s="605"/>
      <c r="DG39" s="606"/>
      <c r="DH39" s="605"/>
      <c r="DI39" s="605"/>
      <c r="DJ39" s="605"/>
      <c r="DK39" s="605"/>
      <c r="DL39" s="606"/>
      <c r="DM39" s="33"/>
      <c r="DN39" s="499"/>
      <c r="DO39" s="488">
        <f>AVERAGE(AF39,AK39,AP39,AU39,AZ39,BE39,BJ39,AA39)</f>
        <v>-4.7349772929564937E-3</v>
      </c>
      <c r="DP39" s="405">
        <f>AVERAGE(AG39,AL39,AQ39,AV39,BA39,BF39,BK39,AB39)</f>
        <v>9.49913852326012E-2</v>
      </c>
      <c r="DQ39" s="405">
        <f>AVERAGE(AH39,AM39,AR39,AW39,BB39,BG39,AC39)</f>
        <v>-2.7342238416128727E-2</v>
      </c>
      <c r="DR39" s="405">
        <f>AVERAGE(AI39,AN39,AS39,AX39,BC39,BH39,AD39)</f>
        <v>-2.4856211192500234E-2</v>
      </c>
      <c r="DS39" s="556"/>
      <c r="DT39" s="556"/>
      <c r="DU39" s="461"/>
      <c r="DV39" s="461"/>
      <c r="DW39" s="461"/>
      <c r="DX39" s="462"/>
      <c r="DY39" s="461"/>
      <c r="DZ39" s="461"/>
      <c r="EA39" s="499"/>
      <c r="EH39" s="8"/>
    </row>
    <row r="40" spans="1:138" ht="12.75" hidden="1" customHeight="1" outlineLevel="1" x14ac:dyDescent="0.2">
      <c r="A40" s="144" t="s">
        <v>241</v>
      </c>
      <c r="B40" s="184"/>
      <c r="C40" s="184"/>
      <c r="D40" s="184"/>
      <c r="E40" s="184"/>
      <c r="F40" s="185"/>
      <c r="G40" s="184"/>
      <c r="H40" s="184"/>
      <c r="I40" s="184"/>
      <c r="J40" s="184"/>
      <c r="K40" s="185"/>
      <c r="L40" s="184"/>
      <c r="M40" s="184"/>
      <c r="N40" s="184"/>
      <c r="O40" s="184"/>
      <c r="P40" s="185"/>
      <c r="Q40" s="184"/>
      <c r="R40" s="184"/>
      <c r="S40" s="184"/>
      <c r="T40" s="184"/>
      <c r="U40" s="185"/>
      <c r="V40" s="184"/>
      <c r="W40" s="184"/>
      <c r="X40" s="184"/>
      <c r="Y40" s="184"/>
      <c r="Z40" s="185"/>
      <c r="AA40" s="184"/>
      <c r="AB40" s="184"/>
      <c r="AC40" s="184"/>
      <c r="AD40" s="184"/>
      <c r="AE40" s="185"/>
      <c r="AF40" s="184">
        <v>656</v>
      </c>
      <c r="AG40" s="184">
        <v>1002</v>
      </c>
      <c r="AH40" s="184">
        <v>1152</v>
      </c>
      <c r="AI40" s="184">
        <v>909</v>
      </c>
      <c r="AJ40" s="185">
        <f>SUM(AF40:AI40)</f>
        <v>3719</v>
      </c>
      <c r="AK40" s="184">
        <v>917</v>
      </c>
      <c r="AL40" s="184">
        <v>1260</v>
      </c>
      <c r="AM40" s="184">
        <v>1429</v>
      </c>
      <c r="AN40" s="184">
        <v>1139</v>
      </c>
      <c r="AO40" s="185">
        <f>SUM(AK40:AN40)</f>
        <v>4745</v>
      </c>
      <c r="AP40" s="318"/>
      <c r="AQ40" s="184"/>
      <c r="AR40" s="184"/>
      <c r="AS40" s="184"/>
      <c r="AT40" s="185"/>
      <c r="AU40" s="184">
        <f t="shared" ref="AU40:BC40" si="145">AU46-AU35</f>
        <v>1992</v>
      </c>
      <c r="AV40" s="184">
        <f t="shared" si="145"/>
        <v>2644</v>
      </c>
      <c r="AW40" s="184">
        <f t="shared" si="145"/>
        <v>3110</v>
      </c>
      <c r="AX40" s="184">
        <f t="shared" si="145"/>
        <v>2210</v>
      </c>
      <c r="AY40" s="185">
        <f t="shared" si="145"/>
        <v>9956</v>
      </c>
      <c r="AZ40" s="318">
        <f t="shared" si="145"/>
        <v>1799</v>
      </c>
      <c r="BA40" s="184">
        <f t="shared" si="145"/>
        <v>1841</v>
      </c>
      <c r="BB40" s="184">
        <f t="shared" si="145"/>
        <v>2221</v>
      </c>
      <c r="BC40" s="184">
        <f t="shared" si="145"/>
        <v>1799</v>
      </c>
      <c r="BD40" s="185">
        <f>SUM(AZ40:BC40)</f>
        <v>7660</v>
      </c>
      <c r="BE40" s="318">
        <f>BE46-BE35</f>
        <v>1817.6</v>
      </c>
      <c r="BF40" s="184">
        <f>BF46-BF35</f>
        <v>2328</v>
      </c>
      <c r="BG40" s="184">
        <f>BG46-BG35</f>
        <v>2945</v>
      </c>
      <c r="BH40" s="184">
        <f>BH46-BH35</f>
        <v>2311</v>
      </c>
      <c r="BI40" s="185">
        <f>SUM(BE40:BH40)</f>
        <v>9401.6</v>
      </c>
      <c r="BJ40" s="318">
        <f>BJ46-BJ35</f>
        <v>2233</v>
      </c>
      <c r="BK40" s="184">
        <f>BK46-BK35</f>
        <v>2732</v>
      </c>
      <c r="BL40" s="184">
        <f>BL46-BL35</f>
        <v>3321</v>
      </c>
      <c r="BM40" s="184">
        <f>BM46-BM35</f>
        <v>2449</v>
      </c>
      <c r="BN40" s="318">
        <f>SUM(BJ40:BM40)</f>
        <v>10735</v>
      </c>
      <c r="BO40" s="318">
        <f>BO46-BO35</f>
        <v>2503</v>
      </c>
      <c r="BP40" s="184">
        <f>BP46-BP35</f>
        <v>2917</v>
      </c>
      <c r="BQ40" s="184">
        <f>BQ46-BQ35</f>
        <v>3327</v>
      </c>
      <c r="BR40" s="184">
        <f>BR46-BR35</f>
        <v>2475</v>
      </c>
      <c r="BS40" s="185">
        <f>SUM(BO40:BR40)</f>
        <v>11222</v>
      </c>
      <c r="BT40" s="318">
        <f>BT46-BT35</f>
        <v>2474</v>
      </c>
      <c r="BU40" s="184">
        <f>BU46-BU35</f>
        <v>2911</v>
      </c>
      <c r="BV40" s="184">
        <f>BV46-BV35</f>
        <v>3445</v>
      </c>
      <c r="BW40" s="184">
        <f>BW46-BW35</f>
        <v>2528</v>
      </c>
      <c r="BX40" s="185">
        <f>SUM(BT40:BW40)</f>
        <v>11358</v>
      </c>
      <c r="BY40" s="318">
        <f>BY46-BY35</f>
        <v>2490</v>
      </c>
      <c r="BZ40" s="184">
        <f>BZ46-BZ35</f>
        <v>3089</v>
      </c>
      <c r="CA40" s="184">
        <f>CA46-CA35</f>
        <v>3545</v>
      </c>
      <c r="CB40" s="184">
        <f>CB46-CB35</f>
        <v>2548</v>
      </c>
      <c r="CC40" s="185">
        <f>SUM(BY40:CB40)</f>
        <v>11672</v>
      </c>
      <c r="CD40" s="318">
        <f>CD46-CD35</f>
        <v>2469</v>
      </c>
      <c r="CE40" s="184">
        <f>CE46-CE35</f>
        <v>2874</v>
      </c>
      <c r="CF40" s="184">
        <f>CF46-CF35</f>
        <v>3285</v>
      </c>
      <c r="CG40" s="184">
        <f>CG46-CG35</f>
        <v>2337</v>
      </c>
      <c r="CH40" s="185">
        <f>SUM(CD40:CG40)</f>
        <v>10965</v>
      </c>
      <c r="CI40" s="318">
        <f>CI46-CI35</f>
        <v>2233</v>
      </c>
      <c r="CJ40" s="184">
        <f>CJ46-CJ35</f>
        <v>2750</v>
      </c>
      <c r="CK40" s="184">
        <f>CK46-CK35</f>
        <v>3000</v>
      </c>
      <c r="CL40" s="184">
        <f>CL46-CL35</f>
        <v>2190</v>
      </c>
      <c r="CM40" s="185">
        <f>SUM(CI40:CL40)</f>
        <v>10173</v>
      </c>
      <c r="CN40" s="318">
        <f>CN46-CN35</f>
        <v>2152</v>
      </c>
      <c r="CO40" s="184">
        <f>CO46-CO35</f>
        <v>2737</v>
      </c>
      <c r="CP40" s="184">
        <v>3027</v>
      </c>
      <c r="CQ40" s="184">
        <v>2312</v>
      </c>
      <c r="CR40" s="185">
        <f>SUM(CN40:CQ40)</f>
        <v>10228</v>
      </c>
      <c r="CS40" s="318"/>
      <c r="CT40" s="184"/>
      <c r="CU40" s="184"/>
      <c r="CV40" s="184"/>
      <c r="CW40" s="185"/>
      <c r="CX40" s="318"/>
      <c r="CY40" s="603"/>
      <c r="CZ40" s="603"/>
      <c r="DA40" s="603"/>
      <c r="DB40" s="604"/>
      <c r="DC40" s="603"/>
      <c r="DD40" s="603"/>
      <c r="DE40" s="603"/>
      <c r="DF40" s="603"/>
      <c r="DG40" s="604"/>
      <c r="DH40" s="603"/>
      <c r="DI40" s="603"/>
      <c r="DJ40" s="603"/>
      <c r="DK40" s="603"/>
      <c r="DL40" s="604"/>
      <c r="DM40" s="414"/>
      <c r="DN40" s="502"/>
      <c r="DO40" s="489"/>
      <c r="DP40" s="414"/>
      <c r="DQ40" s="414"/>
      <c r="DR40" s="414"/>
      <c r="DS40" s="557"/>
      <c r="DT40" s="557"/>
      <c r="DU40" s="184"/>
      <c r="DV40" s="184"/>
      <c r="DW40" s="184"/>
      <c r="DX40" s="462"/>
      <c r="DY40" s="184"/>
      <c r="DZ40" s="184"/>
      <c r="EA40" s="502"/>
      <c r="EH40" s="318"/>
    </row>
    <row r="41" spans="1:138" ht="12.75" hidden="1" customHeight="1" outlineLevel="1" x14ac:dyDescent="0.2">
      <c r="A41" s="142" t="s">
        <v>244</v>
      </c>
      <c r="B41" s="20"/>
      <c r="C41" s="20"/>
      <c r="D41" s="20"/>
      <c r="E41" s="20"/>
      <c r="F41" s="199"/>
      <c r="G41" s="20"/>
      <c r="H41" s="20"/>
      <c r="I41" s="20"/>
      <c r="J41" s="20"/>
      <c r="K41" s="199"/>
      <c r="L41" s="20"/>
      <c r="M41" s="20"/>
      <c r="N41" s="20"/>
      <c r="O41" s="20"/>
      <c r="P41" s="199"/>
      <c r="Q41" s="20"/>
      <c r="R41" s="20"/>
      <c r="S41" s="20"/>
      <c r="T41" s="20"/>
      <c r="U41" s="199"/>
      <c r="V41" s="20"/>
      <c r="W41" s="20"/>
      <c r="X41" s="20"/>
      <c r="Y41" s="20"/>
      <c r="Z41" s="199"/>
      <c r="AA41" s="20"/>
      <c r="AB41" s="20"/>
      <c r="AC41" s="20"/>
      <c r="AD41" s="20"/>
      <c r="AE41" s="199"/>
      <c r="AF41" s="20"/>
      <c r="AG41" s="20"/>
      <c r="AH41" s="20"/>
      <c r="AI41" s="20"/>
      <c r="AJ41" s="199"/>
      <c r="AK41" s="20">
        <f>AK40/AF40-1</f>
        <v>0.39786585365853666</v>
      </c>
      <c r="AL41" s="20">
        <f>AL40/AG40-1</f>
        <v>0.25748502994011968</v>
      </c>
      <c r="AM41" s="20">
        <f>AM40/AH40-1</f>
        <v>0.24045138888888884</v>
      </c>
      <c r="AN41" s="20">
        <f>AN40/AI40-1</f>
        <v>0.25302530253025313</v>
      </c>
      <c r="AO41" s="199">
        <f>AO40/AJ40-1</f>
        <v>0.27588061306802913</v>
      </c>
      <c r="AP41" s="317"/>
      <c r="AQ41" s="20"/>
      <c r="AR41" s="20"/>
      <c r="AS41" s="20"/>
      <c r="AT41" s="206"/>
      <c r="AU41" s="20"/>
      <c r="AV41" s="20"/>
      <c r="AW41" s="20"/>
      <c r="AX41" s="20"/>
      <c r="AY41" s="206"/>
      <c r="AZ41" s="317">
        <f t="shared" ref="AZ41:CA41" si="146">AZ40/AU40-1</f>
        <v>-9.6887550200803196E-2</v>
      </c>
      <c r="BA41" s="20">
        <f t="shared" si="146"/>
        <v>-0.30370650529500753</v>
      </c>
      <c r="BB41" s="20">
        <f t="shared" si="146"/>
        <v>-0.28585209003215439</v>
      </c>
      <c r="BC41" s="20">
        <f t="shared" si="146"/>
        <v>-0.18597285067873304</v>
      </c>
      <c r="BD41" s="206">
        <f t="shared" si="146"/>
        <v>-0.23061470470068302</v>
      </c>
      <c r="BE41" s="317">
        <f t="shared" si="146"/>
        <v>1.0339077265147267E-2</v>
      </c>
      <c r="BF41" s="20">
        <f t="shared" si="146"/>
        <v>0.26453014665942431</v>
      </c>
      <c r="BG41" s="20">
        <f t="shared" si="146"/>
        <v>0.32597928860873471</v>
      </c>
      <c r="BH41" s="20">
        <f t="shared" si="146"/>
        <v>0.28460255697609793</v>
      </c>
      <c r="BI41" s="206">
        <f t="shared" si="146"/>
        <v>0.22736292428198435</v>
      </c>
      <c r="BJ41" s="317">
        <f t="shared" si="146"/>
        <v>0.22854313380281699</v>
      </c>
      <c r="BK41" s="20">
        <f t="shared" si="146"/>
        <v>0.17353951890034369</v>
      </c>
      <c r="BL41" s="20">
        <f t="shared" si="146"/>
        <v>0.12767402376910009</v>
      </c>
      <c r="BM41" s="20">
        <f t="shared" si="146"/>
        <v>5.9714409346603103E-2</v>
      </c>
      <c r="BN41" s="317">
        <f t="shared" si="146"/>
        <v>0.14182692307692313</v>
      </c>
      <c r="BO41" s="317">
        <f t="shared" si="146"/>
        <v>0.12091356918943119</v>
      </c>
      <c r="BP41" s="20">
        <f t="shared" si="146"/>
        <v>6.7715959004392312E-2</v>
      </c>
      <c r="BQ41" s="20">
        <f t="shared" si="146"/>
        <v>1.8066847335140857E-3</v>
      </c>
      <c r="BR41" s="20">
        <f t="shared" si="146"/>
        <v>1.0616578195181692E-2</v>
      </c>
      <c r="BS41" s="206">
        <f t="shared" si="146"/>
        <v>4.5365626455519337E-2</v>
      </c>
      <c r="BT41" s="317">
        <f t="shared" si="146"/>
        <v>-1.1586096683979252E-2</v>
      </c>
      <c r="BU41" s="20">
        <f t="shared" si="146"/>
        <v>-2.056907781967765E-3</v>
      </c>
      <c r="BV41" s="20">
        <f t="shared" si="146"/>
        <v>3.5467388037270897E-2</v>
      </c>
      <c r="BW41" s="20">
        <f t="shared" si="146"/>
        <v>2.141414141414133E-2</v>
      </c>
      <c r="BX41" s="206">
        <f t="shared" si="146"/>
        <v>1.2119051862413022E-2</v>
      </c>
      <c r="BY41" s="317">
        <f t="shared" si="146"/>
        <v>6.4672594987873477E-3</v>
      </c>
      <c r="BZ41" s="20">
        <f t="shared" si="146"/>
        <v>6.1147372037100745E-2</v>
      </c>
      <c r="CA41" s="20">
        <f t="shared" si="146"/>
        <v>2.9027576197387495E-2</v>
      </c>
      <c r="CB41" s="20">
        <f t="shared" ref="CB41:CK41" si="147">CB40/BW40-1</f>
        <v>7.9113924050633333E-3</v>
      </c>
      <c r="CC41" s="206">
        <f t="shared" si="147"/>
        <v>2.7645712273287604E-2</v>
      </c>
      <c r="CD41" s="317">
        <f t="shared" si="147"/>
        <v>-8.4337349397590744E-3</v>
      </c>
      <c r="CE41" s="20">
        <f t="shared" si="147"/>
        <v>-6.9601812884428571E-2</v>
      </c>
      <c r="CF41" s="20">
        <f t="shared" si="147"/>
        <v>-7.334273624823695E-2</v>
      </c>
      <c r="CG41" s="20">
        <f t="shared" si="147"/>
        <v>-8.2810047095761341E-2</v>
      </c>
      <c r="CH41" s="206">
        <f t="shared" si="147"/>
        <v>-6.0572309801233737E-2</v>
      </c>
      <c r="CI41" s="317">
        <f t="shared" si="147"/>
        <v>-9.5585257189145456E-2</v>
      </c>
      <c r="CJ41" s="20">
        <f t="shared" si="147"/>
        <v>-4.3145441892832315E-2</v>
      </c>
      <c r="CK41" s="20">
        <f t="shared" si="147"/>
        <v>-8.6757990867579959E-2</v>
      </c>
      <c r="CL41" s="20">
        <f t="shared" ref="CL41" si="148">CL40/CG40-1</f>
        <v>-6.290115532734275E-2</v>
      </c>
      <c r="CM41" s="206">
        <f t="shared" ref="CM41:CP41" si="149">CM40/CH40-1</f>
        <v>-7.2229822161422708E-2</v>
      </c>
      <c r="CN41" s="317">
        <f t="shared" si="149"/>
        <v>-3.6274070756829424E-2</v>
      </c>
      <c r="CO41" s="20">
        <f t="shared" si="149"/>
        <v>-4.7272727272726911E-3</v>
      </c>
      <c r="CP41" s="20">
        <f t="shared" si="149"/>
        <v>8.999999999999897E-3</v>
      </c>
      <c r="CQ41" s="20">
        <f t="shared" ref="CQ41" si="150">CQ40/CL40-1</f>
        <v>5.5707762557077656E-2</v>
      </c>
      <c r="CR41" s="206">
        <f t="shared" ref="CR41" si="151">CR40/CM40-1</f>
        <v>5.4064681018382021E-3</v>
      </c>
      <c r="CS41" s="317"/>
      <c r="CT41" s="20"/>
      <c r="CU41" s="20"/>
      <c r="CV41" s="20"/>
      <c r="CW41" s="206"/>
      <c r="CX41" s="317"/>
      <c r="CY41" s="605"/>
      <c r="CZ41" s="605"/>
      <c r="DA41" s="605"/>
      <c r="DB41" s="606"/>
      <c r="DC41" s="605"/>
      <c r="DD41" s="605"/>
      <c r="DE41" s="605"/>
      <c r="DF41" s="605"/>
      <c r="DG41" s="606"/>
      <c r="DH41" s="605"/>
      <c r="DI41" s="605"/>
      <c r="DJ41" s="605"/>
      <c r="DK41" s="605"/>
      <c r="DL41" s="606"/>
      <c r="DM41" s="20"/>
      <c r="DN41" s="500"/>
      <c r="DO41" s="486"/>
      <c r="DP41" s="411"/>
      <c r="DQ41" s="411"/>
      <c r="DR41" s="411"/>
      <c r="DS41" s="556"/>
      <c r="DT41" s="556"/>
      <c r="DU41" s="461"/>
      <c r="DV41" s="461"/>
      <c r="DW41" s="461"/>
      <c r="DX41" s="462"/>
      <c r="DY41" s="461"/>
      <c r="DZ41" s="464"/>
      <c r="EA41" s="500"/>
      <c r="EH41" s="8"/>
    </row>
    <row r="42" spans="1:138" ht="12.75" hidden="1" customHeight="1" outlineLevel="1" x14ac:dyDescent="0.2">
      <c r="A42" s="75" t="str">
        <f>A40&amp; " per ASM"</f>
        <v>Mainline International Pax Rev (mm) per ASM</v>
      </c>
      <c r="B42" s="32"/>
      <c r="C42" s="32"/>
      <c r="D42" s="32"/>
      <c r="E42" s="32"/>
      <c r="F42" s="203"/>
      <c r="G42" s="32"/>
      <c r="H42" s="32"/>
      <c r="I42" s="32"/>
      <c r="J42" s="32"/>
      <c r="K42" s="203"/>
      <c r="L42" s="32"/>
      <c r="M42" s="32"/>
      <c r="N42" s="32"/>
      <c r="O42" s="32"/>
      <c r="P42" s="203"/>
      <c r="Q42" s="32"/>
      <c r="R42" s="32"/>
      <c r="S42" s="32"/>
      <c r="T42" s="32"/>
      <c r="U42" s="203"/>
      <c r="V42" s="32"/>
      <c r="W42" s="32"/>
      <c r="X42" s="32"/>
      <c r="Y42" s="32"/>
      <c r="Z42" s="203"/>
      <c r="AA42" s="32"/>
      <c r="AB42" s="32"/>
      <c r="AC42" s="32"/>
      <c r="AD42" s="32"/>
      <c r="AE42" s="203"/>
      <c r="AF42" s="32">
        <f t="shared" ref="AF42:AO42" si="152">AF40/AF7*100</f>
        <v>7.5944164831252881</v>
      </c>
      <c r="AG42" s="32">
        <f t="shared" si="152"/>
        <v>9.068712877219312</v>
      </c>
      <c r="AH42" s="32">
        <f t="shared" si="152"/>
        <v>9.2611782501871929</v>
      </c>
      <c r="AI42" s="32">
        <f t="shared" si="152"/>
        <v>8.6008580231102876</v>
      </c>
      <c r="AJ42" s="203">
        <f t="shared" si="152"/>
        <v>8.7106959124631977</v>
      </c>
      <c r="AK42" s="32">
        <f t="shared" si="152"/>
        <v>8.627729919123265</v>
      </c>
      <c r="AL42" s="32">
        <f t="shared" si="152"/>
        <v>9.9777393467637392</v>
      </c>
      <c r="AM42" s="32">
        <f t="shared" si="152"/>
        <v>10.130510609636264</v>
      </c>
      <c r="AN42" s="32">
        <f t="shared" si="152"/>
        <v>9.5562822655621193</v>
      </c>
      <c r="AO42" s="203">
        <f t="shared" si="152"/>
        <v>9.6283800407841529</v>
      </c>
      <c r="AP42" s="319"/>
      <c r="AQ42" s="32"/>
      <c r="AR42" s="32"/>
      <c r="AS42" s="32"/>
      <c r="AT42" s="203"/>
      <c r="AU42" s="32">
        <f t="shared" ref="AU42:BQ42" si="153">AU40/AU7*100</f>
        <v>9.3494790199943676</v>
      </c>
      <c r="AV42" s="32">
        <f t="shared" si="153"/>
        <v>10.530670098719854</v>
      </c>
      <c r="AW42" s="32">
        <f t="shared" si="153"/>
        <v>11.487459830827762</v>
      </c>
      <c r="AX42" s="32">
        <f t="shared" si="153"/>
        <v>9.5066030025379629</v>
      </c>
      <c r="AY42" s="203">
        <f t="shared" si="153"/>
        <v>10.29218240517717</v>
      </c>
      <c r="AZ42" s="319">
        <f t="shared" si="153"/>
        <v>8.3015104919048746</v>
      </c>
      <c r="BA42" s="32">
        <f t="shared" si="153"/>
        <v>7.919301415236375</v>
      </c>
      <c r="BB42" s="32">
        <f t="shared" si="153"/>
        <v>8.7905181141667033</v>
      </c>
      <c r="BC42" s="32">
        <f t="shared" si="153"/>
        <v>9.0030631433511807</v>
      </c>
      <c r="BD42" s="203">
        <f t="shared" si="153"/>
        <v>8.4954697242254067</v>
      </c>
      <c r="BE42" s="319">
        <f t="shared" si="153"/>
        <v>8.8178612921698569</v>
      </c>
      <c r="BF42" s="32">
        <f t="shared" si="153"/>
        <v>10.020711622902025</v>
      </c>
      <c r="BG42" s="32">
        <f t="shared" si="153"/>
        <v>11.430927813283338</v>
      </c>
      <c r="BH42" s="32">
        <f t="shared" si="153"/>
        <v>10.339426227612245</v>
      </c>
      <c r="BI42" s="203">
        <f t="shared" si="153"/>
        <v>10.223645952496026</v>
      </c>
      <c r="BJ42" s="319">
        <f t="shared" si="153"/>
        <v>9.6864307593498022</v>
      </c>
      <c r="BK42" s="32">
        <f t="shared" si="153"/>
        <v>11.037874089289533</v>
      </c>
      <c r="BL42" s="32">
        <f t="shared" si="153"/>
        <v>12.468862573160235</v>
      </c>
      <c r="BM42" s="32">
        <f t="shared" si="153"/>
        <v>11.392460591459898</v>
      </c>
      <c r="BN42" s="319">
        <f t="shared" si="153"/>
        <v>11.189864757324461</v>
      </c>
      <c r="BO42" s="319">
        <f t="shared" si="153"/>
        <v>11.339645721016627</v>
      </c>
      <c r="BP42" s="32">
        <f t="shared" si="153"/>
        <v>11.878486785845176</v>
      </c>
      <c r="BQ42" s="32">
        <f t="shared" si="153"/>
        <v>12.847544022242818</v>
      </c>
      <c r="BR42" s="32">
        <f t="shared" ref="BR42:BW42" si="154">BR40/BR7*100</f>
        <v>11.689415765361545</v>
      </c>
      <c r="BS42" s="203">
        <f t="shared" si="154"/>
        <v>11.976648630188155</v>
      </c>
      <c r="BT42" s="319">
        <f t="shared" si="154"/>
        <v>11.762468501878001</v>
      </c>
      <c r="BU42" s="32">
        <f t="shared" si="154"/>
        <v>11.840553182835063</v>
      </c>
      <c r="BV42" s="32">
        <f t="shared" si="154"/>
        <v>12.83532041728763</v>
      </c>
      <c r="BW42" s="32">
        <f t="shared" si="154"/>
        <v>11.476823897943433</v>
      </c>
      <c r="BX42" s="203">
        <f t="shared" ref="BX42:CC42" si="155">BX40/BX7*100</f>
        <v>12.020955707255119</v>
      </c>
      <c r="BY42" s="319">
        <f t="shared" si="155"/>
        <v>11.454595638973226</v>
      </c>
      <c r="BZ42" s="32">
        <f t="shared" si="155"/>
        <v>12.146252893466778</v>
      </c>
      <c r="CA42" s="32">
        <f t="shared" si="155"/>
        <v>12.635454207688232</v>
      </c>
      <c r="CB42" s="32">
        <f t="shared" si="155"/>
        <v>11.16217323482584</v>
      </c>
      <c r="CC42" s="203">
        <f t="shared" si="155"/>
        <v>11.903792607833619</v>
      </c>
      <c r="CD42" s="319">
        <f t="shared" ref="CD42:CI42" si="156">CD40/CD7*100</f>
        <v>10.852132378081961</v>
      </c>
      <c r="CE42" s="32">
        <f t="shared" si="156"/>
        <v>10.950746976970853</v>
      </c>
      <c r="CF42" s="32">
        <f t="shared" si="156"/>
        <v>11.536141343683386</v>
      </c>
      <c r="CG42" s="32">
        <f t="shared" si="156"/>
        <v>10.689582350195932</v>
      </c>
      <c r="CH42" s="203">
        <f t="shared" si="156"/>
        <v>11.038493517142589</v>
      </c>
      <c r="CI42" s="319">
        <f t="shared" si="156"/>
        <v>10.10102929171836</v>
      </c>
      <c r="CJ42" s="32">
        <f t="shared" ref="CJ42:CN42" si="157">CJ40/CJ7*100</f>
        <v>10.449349778760665</v>
      </c>
      <c r="CK42" s="32">
        <f t="shared" si="157"/>
        <v>10.707366843275166</v>
      </c>
      <c r="CL42" s="32">
        <f t="shared" si="157"/>
        <v>10.237150366256259</v>
      </c>
      <c r="CM42" s="203">
        <f t="shared" si="157"/>
        <v>10.398135224820194</v>
      </c>
      <c r="CN42" s="319">
        <f t="shared" si="157"/>
        <v>10.116528112853821</v>
      </c>
      <c r="CO42" s="32">
        <f t="shared" ref="CO42:CR42" si="158">CO40/CO7*100</f>
        <v>10.557076930927749</v>
      </c>
      <c r="CP42" s="32">
        <f t="shared" si="158"/>
        <v>10.90433933266524</v>
      </c>
      <c r="CQ42" s="32">
        <f t="shared" si="158"/>
        <v>8.9708582523301441</v>
      </c>
      <c r="CR42" s="203">
        <f t="shared" si="158"/>
        <v>10.153898171153681</v>
      </c>
      <c r="CS42" s="319"/>
      <c r="CT42" s="32"/>
      <c r="CU42" s="32"/>
      <c r="CV42" s="32"/>
      <c r="CW42" s="203"/>
      <c r="CX42" s="319"/>
      <c r="CY42" s="607"/>
      <c r="CZ42" s="607"/>
      <c r="DA42" s="607"/>
      <c r="DB42" s="608"/>
      <c r="DC42" s="607"/>
      <c r="DD42" s="607"/>
      <c r="DE42" s="607"/>
      <c r="DF42" s="607"/>
      <c r="DG42" s="608"/>
      <c r="DH42" s="607"/>
      <c r="DI42" s="607"/>
      <c r="DJ42" s="607"/>
      <c r="DK42" s="607"/>
      <c r="DL42" s="608"/>
      <c r="DM42" s="32"/>
      <c r="DN42" s="503"/>
      <c r="DO42" s="486"/>
      <c r="DP42" s="411"/>
      <c r="DQ42" s="411"/>
      <c r="DR42" s="411"/>
      <c r="DS42" s="558"/>
      <c r="DT42" s="558"/>
      <c r="DU42" s="462" t="s">
        <v>199</v>
      </c>
      <c r="DV42" s="462" t="s">
        <v>200</v>
      </c>
      <c r="DW42" s="462"/>
      <c r="DX42" s="462"/>
      <c r="DY42" s="462"/>
      <c r="DZ42" s="462"/>
      <c r="EA42" s="503"/>
      <c r="EH42" s="8"/>
    </row>
    <row r="43" spans="1:138" ht="12.75" hidden="1" customHeight="1" outlineLevel="1" x14ac:dyDescent="0.2">
      <c r="A43" s="148" t="s">
        <v>244</v>
      </c>
      <c r="B43" s="20"/>
      <c r="C43" s="20"/>
      <c r="D43" s="20"/>
      <c r="E43" s="20"/>
      <c r="F43" s="199"/>
      <c r="G43" s="20"/>
      <c r="H43" s="20"/>
      <c r="I43" s="20"/>
      <c r="J43" s="20"/>
      <c r="K43" s="199"/>
      <c r="L43" s="20"/>
      <c r="M43" s="20"/>
      <c r="N43" s="20"/>
      <c r="O43" s="20"/>
      <c r="P43" s="199"/>
      <c r="Q43" s="20"/>
      <c r="R43" s="20"/>
      <c r="S43" s="20"/>
      <c r="T43" s="20"/>
      <c r="U43" s="199"/>
      <c r="V43" s="20"/>
      <c r="W43" s="20"/>
      <c r="X43" s="20"/>
      <c r="Y43" s="20"/>
      <c r="Z43" s="199"/>
      <c r="AA43" s="20"/>
      <c r="AB43" s="20"/>
      <c r="AC43" s="20"/>
      <c r="AD43" s="20"/>
      <c r="AE43" s="199"/>
      <c r="AF43" s="20"/>
      <c r="AG43" s="20"/>
      <c r="AH43" s="20"/>
      <c r="AI43" s="20"/>
      <c r="AJ43" s="199"/>
      <c r="AK43" s="20">
        <f>AK42/AF42-1</f>
        <v>0.1360622555128479</v>
      </c>
      <c r="AL43" s="20">
        <f>AL42/AG42-1</f>
        <v>0.10023765024338904</v>
      </c>
      <c r="AM43" s="20">
        <f>AM42/AH42-1</f>
        <v>9.3868440490441962E-2</v>
      </c>
      <c r="AN43" s="20">
        <f>AN42/AI42-1</f>
        <v>0.11108475920479455</v>
      </c>
      <c r="AO43" s="199">
        <f>AO42/AJ42-1</f>
        <v>0.10535141365776979</v>
      </c>
      <c r="AP43" s="317"/>
      <c r="AQ43" s="20"/>
      <c r="AR43" s="20"/>
      <c r="AS43" s="20"/>
      <c r="AT43" s="206"/>
      <c r="AU43" s="20"/>
      <c r="AV43" s="20"/>
      <c r="AW43" s="20"/>
      <c r="AX43" s="20"/>
      <c r="AY43" s="206"/>
      <c r="AZ43" s="317">
        <f t="shared" ref="AZ43:CA43" si="159">AZ42/AU42-1</f>
        <v>-0.11208844106162019</v>
      </c>
      <c r="BA43" s="20">
        <f t="shared" si="159"/>
        <v>-0.24797744673446054</v>
      </c>
      <c r="BB43" s="20">
        <f t="shared" si="159"/>
        <v>-0.23477267876258789</v>
      </c>
      <c r="BC43" s="20">
        <f t="shared" si="159"/>
        <v>-5.2967380572466638E-2</v>
      </c>
      <c r="BD43" s="206">
        <f t="shared" si="159"/>
        <v>-0.17457062168350046</v>
      </c>
      <c r="BE43" s="317">
        <f t="shared" si="159"/>
        <v>6.2199620270129818E-2</v>
      </c>
      <c r="BF43" s="20">
        <f t="shared" si="159"/>
        <v>0.26535297717329365</v>
      </c>
      <c r="BG43" s="20">
        <f t="shared" si="159"/>
        <v>0.30037020171329587</v>
      </c>
      <c r="BH43" s="20">
        <f t="shared" si="159"/>
        <v>0.14843426764678158</v>
      </c>
      <c r="BI43" s="206">
        <f t="shared" si="159"/>
        <v>0.20342326962129098</v>
      </c>
      <c r="BJ43" s="317">
        <f t="shared" si="159"/>
        <v>9.8501148793440851E-2</v>
      </c>
      <c r="BK43" s="20">
        <f t="shared" si="159"/>
        <v>0.10150601121609104</v>
      </c>
      <c r="BL43" s="20">
        <f t="shared" si="159"/>
        <v>9.0800569895189254E-2</v>
      </c>
      <c r="BM43" s="20">
        <f t="shared" si="159"/>
        <v>0.10184649908671362</v>
      </c>
      <c r="BN43" s="317">
        <f t="shared" si="159"/>
        <v>9.4508241904889045E-2</v>
      </c>
      <c r="BO43" s="317">
        <f t="shared" si="159"/>
        <v>0.17067328541744464</v>
      </c>
      <c r="BP43" s="20">
        <f t="shared" si="159"/>
        <v>7.6157119546355512E-2</v>
      </c>
      <c r="BQ43" s="20">
        <f t="shared" si="159"/>
        <v>3.0370167836937245E-2</v>
      </c>
      <c r="BR43" s="20">
        <f t="shared" si="159"/>
        <v>2.6065938215687368E-2</v>
      </c>
      <c r="BS43" s="206">
        <f t="shared" si="159"/>
        <v>7.0312187852734853E-2</v>
      </c>
      <c r="BT43" s="317">
        <f t="shared" si="159"/>
        <v>3.7287124418510231E-2</v>
      </c>
      <c r="BU43" s="20">
        <f t="shared" si="159"/>
        <v>-3.1934709945813378E-3</v>
      </c>
      <c r="BV43" s="20">
        <f t="shared" si="159"/>
        <v>-9.5143514854090228E-4</v>
      </c>
      <c r="BW43" s="20">
        <f t="shared" si="159"/>
        <v>-1.8186697409469432E-2</v>
      </c>
      <c r="BX43" s="206">
        <f t="shared" si="159"/>
        <v>3.6994553681140019E-3</v>
      </c>
      <c r="BY43" s="317">
        <f t="shared" si="159"/>
        <v>-2.6174171081148501E-2</v>
      </c>
      <c r="BZ43" s="20">
        <f t="shared" si="159"/>
        <v>2.5818026059363675E-2</v>
      </c>
      <c r="CA43" s="20">
        <f t="shared" si="159"/>
        <v>-1.5571579290704851E-2</v>
      </c>
      <c r="CB43" s="20">
        <f t="shared" ref="CB43:CK43" si="160">CB42/BW42-1</f>
        <v>-2.7416179416500097E-2</v>
      </c>
      <c r="CC43" s="206">
        <f t="shared" si="160"/>
        <v>-9.7465710942423733E-3</v>
      </c>
      <c r="CD43" s="317">
        <f t="shared" si="160"/>
        <v>-5.2595768535157905E-2</v>
      </c>
      <c r="CE43" s="20">
        <f t="shared" si="160"/>
        <v>-9.8425903608425847E-2</v>
      </c>
      <c r="CF43" s="20">
        <f t="shared" si="160"/>
        <v>-8.7002243523303879E-2</v>
      </c>
      <c r="CG43" s="20">
        <f t="shared" si="160"/>
        <v>-4.2338608681993017E-2</v>
      </c>
      <c r="CH43" s="206">
        <f t="shared" si="160"/>
        <v>-7.2691042191174948E-2</v>
      </c>
      <c r="CI43" s="317">
        <f t="shared" si="160"/>
        <v>-6.9212488402795702E-2</v>
      </c>
      <c r="CJ43" s="20">
        <f t="shared" si="160"/>
        <v>-4.5786575040462019E-2</v>
      </c>
      <c r="CK43" s="20">
        <f t="shared" si="160"/>
        <v>-7.1841569526366444E-2</v>
      </c>
      <c r="CL43" s="20">
        <f t="shared" ref="CL43" si="161">CL42/CG42-1</f>
        <v>-4.2324570700498998E-2</v>
      </c>
      <c r="CM43" s="206">
        <f t="shared" ref="CM43:CP43" si="162">CM42/CH42-1</f>
        <v>-5.801138455423549E-2</v>
      </c>
      <c r="CN43" s="317">
        <f t="shared" si="162"/>
        <v>1.5343803772718267E-3</v>
      </c>
      <c r="CO43" s="20">
        <f t="shared" si="162"/>
        <v>1.0309459865727844E-2</v>
      </c>
      <c r="CP43" s="20">
        <f t="shared" si="162"/>
        <v>1.8395978420575387E-2</v>
      </c>
      <c r="CQ43" s="20">
        <f t="shared" ref="CQ43" si="163">CQ42/CL42-1</f>
        <v>-0.12369576186944298</v>
      </c>
      <c r="CR43" s="206">
        <f t="shared" ref="CR43" si="164">CR42/CM42-1</f>
        <v>-2.3488543703829023E-2</v>
      </c>
      <c r="CS43" s="317"/>
      <c r="CT43" s="20"/>
      <c r="CU43" s="20"/>
      <c r="CV43" s="20"/>
      <c r="CW43" s="206"/>
      <c r="CX43" s="317"/>
      <c r="CY43" s="605"/>
      <c r="CZ43" s="605"/>
      <c r="DA43" s="605"/>
      <c r="DB43" s="606"/>
      <c r="DC43" s="605"/>
      <c r="DD43" s="605"/>
      <c r="DE43" s="605"/>
      <c r="DF43" s="605"/>
      <c r="DG43" s="606"/>
      <c r="DH43" s="605"/>
      <c r="DI43" s="605"/>
      <c r="DJ43" s="605"/>
      <c r="DK43" s="605"/>
      <c r="DL43" s="606"/>
      <c r="DM43" s="33"/>
      <c r="DN43" s="499"/>
      <c r="DO43" s="486"/>
      <c r="DP43" s="411"/>
      <c r="DQ43" s="411"/>
      <c r="DR43" s="411"/>
      <c r="DS43" s="556" t="s">
        <v>515</v>
      </c>
      <c r="DT43" s="556"/>
      <c r="DU43" s="461">
        <f>+CJ43-(CF43-CE43)-(CK8-CJ8)</f>
        <v>-3.8371384742806547E-2</v>
      </c>
      <c r="DV43" s="461">
        <f>+CK43-(CG43-CF43)-(CL8-CK8)</f>
        <v>-0.1110902215397338</v>
      </c>
      <c r="DW43" s="461">
        <f>1-DW38</f>
        <v>0.4</v>
      </c>
      <c r="DX43" s="462"/>
      <c r="DY43" s="461"/>
      <c r="DZ43" s="461"/>
      <c r="EA43" s="499"/>
      <c r="EH43" s="8"/>
    </row>
    <row r="44" spans="1:138" ht="12.75" hidden="1" customHeight="1" outlineLevel="1" x14ac:dyDescent="0.2">
      <c r="A44" s="386" t="s">
        <v>42</v>
      </c>
      <c r="B44" s="20"/>
      <c r="C44" s="20"/>
      <c r="D44" s="20"/>
      <c r="E44" s="20"/>
      <c r="F44" s="201"/>
      <c r="G44" s="20"/>
      <c r="H44" s="20"/>
      <c r="I44" s="20"/>
      <c r="J44" s="20"/>
      <c r="K44" s="201"/>
      <c r="L44" s="20"/>
      <c r="M44" s="20"/>
      <c r="N44" s="20"/>
      <c r="O44" s="20"/>
      <c r="P44" s="201"/>
      <c r="Q44" s="20"/>
      <c r="R44" s="20"/>
      <c r="S44" s="20"/>
      <c r="T44" s="20"/>
      <c r="U44" s="201"/>
      <c r="V44" s="20"/>
      <c r="W44" s="20"/>
      <c r="X44" s="20"/>
      <c r="Y44" s="20"/>
      <c r="Z44" s="201"/>
      <c r="AA44" s="20"/>
      <c r="AB44" s="20"/>
      <c r="AC44" s="20"/>
      <c r="AD44" s="20"/>
      <c r="AE44" s="201"/>
      <c r="AF44" s="20"/>
      <c r="AG44" s="20">
        <f>AG42/AF42-1</f>
        <v>0.19412898902369857</v>
      </c>
      <c r="AH44" s="20">
        <f>AH42/AG42-1</f>
        <v>2.1223008774636121E-2</v>
      </c>
      <c r="AI44" s="20">
        <f>AI42/AH42-1</f>
        <v>-7.1299807566446383E-2</v>
      </c>
      <c r="AJ44" s="201"/>
      <c r="AK44" s="20">
        <f>AK42/AI42-1</f>
        <v>3.1243273567327368E-3</v>
      </c>
      <c r="AL44" s="20">
        <f>AL42/AK42-1</f>
        <v>0.15647330645436575</v>
      </c>
      <c r="AM44" s="20">
        <f>AM42/AL42-1</f>
        <v>1.5311210040987566E-2</v>
      </c>
      <c r="AN44" s="20">
        <f>AN42/AM42-1</f>
        <v>-5.6683060331424118E-2</v>
      </c>
      <c r="AO44" s="201"/>
      <c r="AP44" s="317"/>
      <c r="AQ44" s="20"/>
      <c r="AR44" s="20"/>
      <c r="AS44" s="20"/>
      <c r="AT44" s="206"/>
      <c r="AU44" s="20"/>
      <c r="AV44" s="20">
        <f>AV42/AU42-1</f>
        <v>0.12633763616127114</v>
      </c>
      <c r="AW44" s="20">
        <f>AW42/AV42-1</f>
        <v>9.0857440517884802E-2</v>
      </c>
      <c r="AX44" s="20">
        <f>AX42/AW42-1</f>
        <v>-0.17243645309417921</v>
      </c>
      <c r="AY44" s="206"/>
      <c r="AZ44" s="317">
        <f>AZ42/AX42-1</f>
        <v>-0.12676373572256738</v>
      </c>
      <c r="BA44" s="20">
        <f>BA42/AZ42-1</f>
        <v>-4.604090750005152E-2</v>
      </c>
      <c r="BB44" s="20">
        <f>BB42/BA42-1</f>
        <v>0.11001181205884492</v>
      </c>
      <c r="BC44" s="20">
        <f>BC42/BB42-1</f>
        <v>2.4178896672989225E-2</v>
      </c>
      <c r="BD44" s="206"/>
      <c r="BE44" s="317">
        <f>BE42/BC42-1</f>
        <v>-2.057098214601516E-2</v>
      </c>
      <c r="BF44" s="20">
        <f>BF42/BE42-1</f>
        <v>0.13641066590606088</v>
      </c>
      <c r="BG44" s="20">
        <f>BG42/BF42-1</f>
        <v>0.14073014407063744</v>
      </c>
      <c r="BH44" s="20">
        <f>BH42/BG42-1</f>
        <v>-9.5486700948518854E-2</v>
      </c>
      <c r="BI44" s="206"/>
      <c r="BJ44" s="317">
        <f>BJ42/BH42-1</f>
        <v>-6.3155870924304081E-2</v>
      </c>
      <c r="BK44" s="20">
        <f>BK42/BJ42-1</f>
        <v>0.13951922679416806</v>
      </c>
      <c r="BL44" s="20">
        <f>BL42/BK42-1</f>
        <v>0.12964348680687032</v>
      </c>
      <c r="BM44" s="20">
        <f>BM42/BL42-1</f>
        <v>-8.6327199083687023E-2</v>
      </c>
      <c r="BN44" s="317"/>
      <c r="BO44" s="317">
        <f>BO42/BM42-1</f>
        <v>-4.6359493648687744E-3</v>
      </c>
      <c r="BP44" s="20">
        <f>BP42/BO42-1</f>
        <v>4.7518333295887283E-2</v>
      </c>
      <c r="BQ44" s="20">
        <f>BQ42/BP42-1</f>
        <v>8.158086580122359E-2</v>
      </c>
      <c r="BR44" s="20">
        <f>BR42/BQ42-1</f>
        <v>-9.0143941509460368E-2</v>
      </c>
      <c r="BS44" s="206"/>
      <c r="BT44" s="317">
        <f>BT42/BR42-1</f>
        <v>6.2494771323753362E-3</v>
      </c>
      <c r="BU44" s="20">
        <f>BU42/BT42-1</f>
        <v>6.6384603660867292E-3</v>
      </c>
      <c r="BV44" s="20">
        <f>BV42/BU42-1</f>
        <v>8.4013577667524375E-2</v>
      </c>
      <c r="BW44" s="20">
        <f>BW42/BV42-1</f>
        <v>-0.10584048353903697</v>
      </c>
      <c r="BX44" s="206"/>
      <c r="BY44" s="317">
        <f>BY42/BW42-1</f>
        <v>-1.9367953336105748E-3</v>
      </c>
      <c r="BZ44" s="20">
        <f>BZ42/BY42-1</f>
        <v>6.0382511639280434E-2</v>
      </c>
      <c r="CA44" s="20">
        <f>CA42/BZ42-1</f>
        <v>4.0275903894985143E-2</v>
      </c>
      <c r="CB44" s="20">
        <f>CB42/CA42-1</f>
        <v>-0.11659897211814929</v>
      </c>
      <c r="CC44" s="206"/>
      <c r="CD44" s="317">
        <f>CD42/CB42-1</f>
        <v>-2.7776029830513194E-2</v>
      </c>
      <c r="CE44" s="20">
        <f>CE42/CD42-1</f>
        <v>9.0871172091544494E-3</v>
      </c>
      <c r="CF44" s="20">
        <f>CF42/CE42-1</f>
        <v>5.3457026077180281E-2</v>
      </c>
      <c r="CG44" s="20">
        <f>CG42/CF42-1</f>
        <v>-7.3383202256878333E-2</v>
      </c>
      <c r="CH44" s="206"/>
      <c r="CI44" s="317">
        <f>CI42/CG42-1</f>
        <v>-5.5058564422471035E-2</v>
      </c>
      <c r="CJ44" s="20">
        <f>CJ42/CI42-1</f>
        <v>3.4483662702363027E-2</v>
      </c>
      <c r="CK44" s="20">
        <f>CK42/CJ42-1</f>
        <v>2.469216458223511E-2</v>
      </c>
      <c r="CL44" s="20">
        <f>CL42/CK42-1</f>
        <v>-4.3915229944160306E-2</v>
      </c>
      <c r="CM44" s="206"/>
      <c r="CN44" s="317">
        <f>CN42/CL42-1</f>
        <v>-1.1782795903832133E-2</v>
      </c>
      <c r="CO44" s="20">
        <f>CO42/CN42-1</f>
        <v>4.3547431802633652E-2</v>
      </c>
      <c r="CP44" s="20">
        <f>CP42/CO42-1</f>
        <v>3.2893802328953337E-2</v>
      </c>
      <c r="CQ44" s="20">
        <f>CQ42/CP42-1</f>
        <v>-0.17731299635394915</v>
      </c>
      <c r="CR44" s="206"/>
      <c r="CS44" s="317"/>
      <c r="CT44" s="20"/>
      <c r="CU44" s="20"/>
      <c r="CV44" s="20"/>
      <c r="CW44" s="206"/>
      <c r="CX44" s="317"/>
      <c r="CY44" s="605"/>
      <c r="CZ44" s="605"/>
      <c r="DA44" s="605"/>
      <c r="DB44" s="606"/>
      <c r="DC44" s="605"/>
      <c r="DD44" s="605"/>
      <c r="DE44" s="605"/>
      <c r="DF44" s="605"/>
      <c r="DG44" s="606"/>
      <c r="DH44" s="605"/>
      <c r="DI44" s="605"/>
      <c r="DJ44" s="605"/>
      <c r="DK44" s="605"/>
      <c r="DL44" s="606"/>
      <c r="DM44" s="33"/>
      <c r="DN44" s="499"/>
      <c r="DO44" s="488">
        <f>AVERAGE(AF44,AK44,AP44,AU44,AZ44,BE44,BJ44,AA44)</f>
        <v>-5.1841565359038472E-2</v>
      </c>
      <c r="DP44" s="405">
        <f>AVERAGE(AG44,AL44,AQ44,AV44,BA44,BF44,BK44,AB44)</f>
        <v>0.11780481947325215</v>
      </c>
      <c r="DQ44" s="405">
        <f>AVERAGE(AH44,AM44,AR44,AW44,BB44,BG44,AC44)</f>
        <v>7.5626723092598172E-2</v>
      </c>
      <c r="DR44" s="405">
        <f>AVERAGE(AI44,AN44,AS44,AX44,BC44,BH44,AD44)</f>
        <v>-7.4345425053515865E-2</v>
      </c>
      <c r="DS44" s="556"/>
      <c r="DT44" s="556"/>
      <c r="DU44" s="461"/>
      <c r="DV44" s="461"/>
      <c r="DW44" s="461"/>
      <c r="DX44" s="462"/>
      <c r="DY44" s="461"/>
      <c r="DZ44" s="461"/>
      <c r="EA44" s="499"/>
      <c r="EH44" s="8"/>
    </row>
    <row r="45" spans="1:138" ht="12.75" hidden="1" customHeight="1" outlineLevel="1" x14ac:dyDescent="0.2">
      <c r="A45" s="115" t="s">
        <v>45</v>
      </c>
      <c r="B45" s="20"/>
      <c r="C45" s="20"/>
      <c r="D45" s="20"/>
      <c r="E45" s="20"/>
      <c r="F45" s="201"/>
      <c r="G45" s="20"/>
      <c r="H45" s="20"/>
      <c r="I45" s="20"/>
      <c r="J45" s="20"/>
      <c r="K45" s="201"/>
      <c r="L45" s="20"/>
      <c r="M45" s="20"/>
      <c r="N45" s="20"/>
      <c r="O45" s="20"/>
      <c r="P45" s="201"/>
      <c r="Q45" s="20"/>
      <c r="R45" s="20"/>
      <c r="S45" s="20"/>
      <c r="T45" s="20"/>
      <c r="U45" s="201"/>
      <c r="V45" s="20"/>
      <c r="W45" s="20"/>
      <c r="X45" s="20"/>
      <c r="Y45" s="20"/>
      <c r="Z45" s="201"/>
      <c r="AA45" s="20"/>
      <c r="AB45" s="20"/>
      <c r="AC45" s="20"/>
      <c r="AD45" s="20"/>
      <c r="AE45" s="201"/>
      <c r="AF45" s="20">
        <f t="shared" ref="AF45:AO45" si="165">AF40/AF46</f>
        <v>0.26313678299237864</v>
      </c>
      <c r="AG45" s="20">
        <f t="shared" si="165"/>
        <v>0.3154911838790932</v>
      </c>
      <c r="AH45" s="20">
        <f t="shared" si="165"/>
        <v>0.35921421889616462</v>
      </c>
      <c r="AI45" s="20">
        <f t="shared" si="165"/>
        <v>0.32887120115774238</v>
      </c>
      <c r="AJ45" s="201">
        <f t="shared" si="165"/>
        <v>0.31950171821305839</v>
      </c>
      <c r="AK45" s="20">
        <f t="shared" si="165"/>
        <v>0.329500538986705</v>
      </c>
      <c r="AL45" s="20">
        <f t="shared" si="165"/>
        <v>0.37234042553191488</v>
      </c>
      <c r="AM45" s="20">
        <f t="shared" si="165"/>
        <v>0.40378638033342751</v>
      </c>
      <c r="AN45" s="20">
        <f t="shared" si="165"/>
        <v>0.3731979030144168</v>
      </c>
      <c r="AO45" s="201">
        <f t="shared" si="165"/>
        <v>0.3719234989810315</v>
      </c>
      <c r="AP45" s="317"/>
      <c r="AQ45" s="20"/>
      <c r="AR45" s="20"/>
      <c r="AS45" s="20"/>
      <c r="AT45" s="206"/>
      <c r="AU45" s="20">
        <f t="shared" ref="AU45:BN45" si="166">AU40/AU46</f>
        <v>0.37143389893716205</v>
      </c>
      <c r="AV45" s="20">
        <f t="shared" si="166"/>
        <v>0.42202713487629689</v>
      </c>
      <c r="AW45" s="20">
        <f t="shared" si="166"/>
        <v>0.46265992264207079</v>
      </c>
      <c r="AX45" s="20">
        <f t="shared" si="166"/>
        <v>0.41943442778515849</v>
      </c>
      <c r="AY45" s="206">
        <f t="shared" si="166"/>
        <v>0.42152504339726493</v>
      </c>
      <c r="AZ45" s="317">
        <f t="shared" si="166"/>
        <v>0.41195328600870162</v>
      </c>
      <c r="BA45" s="20">
        <f t="shared" si="166"/>
        <v>0.40337423312883436</v>
      </c>
      <c r="BB45" s="20">
        <f t="shared" si="166"/>
        <v>0.43361967981257321</v>
      </c>
      <c r="BC45" s="20">
        <f t="shared" si="166"/>
        <v>0.40255090624300738</v>
      </c>
      <c r="BD45" s="206">
        <f t="shared" si="166"/>
        <v>0.41356225029694416</v>
      </c>
      <c r="BE45" s="317">
        <f t="shared" si="166"/>
        <v>0.4051716451181453</v>
      </c>
      <c r="BF45" s="20">
        <f t="shared" si="166"/>
        <v>0.42481751824817521</v>
      </c>
      <c r="BG45" s="20">
        <f t="shared" si="166"/>
        <v>0.4746937459703417</v>
      </c>
      <c r="BH45" s="20">
        <f t="shared" si="166"/>
        <v>0.44119893088965256</v>
      </c>
      <c r="BI45" s="206">
        <f t="shared" si="166"/>
        <v>0.43916292974588939</v>
      </c>
      <c r="BJ45" s="317">
        <f t="shared" si="166"/>
        <v>0.4349435138293728</v>
      </c>
      <c r="BK45" s="20">
        <f t="shared" si="166"/>
        <v>0.440148219751893</v>
      </c>
      <c r="BL45" s="20">
        <f>BL40/BL46</f>
        <v>0.48432259005395945</v>
      </c>
      <c r="BM45" s="20">
        <f>BM40/BM46</f>
        <v>0.4322273208612778</v>
      </c>
      <c r="BN45" s="317">
        <f t="shared" si="166"/>
        <v>0.44984076433121017</v>
      </c>
      <c r="BO45" s="317">
        <f t="shared" ref="BO45:BT45" si="167">BO40/BO46</f>
        <v>0.44105726872246698</v>
      </c>
      <c r="BP45" s="20">
        <f t="shared" si="167"/>
        <v>0.43904274533413606</v>
      </c>
      <c r="BQ45" s="20">
        <f t="shared" si="167"/>
        <v>0.47413424540401883</v>
      </c>
      <c r="BR45" s="20">
        <f t="shared" si="167"/>
        <v>0.41849847818735203</v>
      </c>
      <c r="BS45" s="206">
        <f t="shared" si="167"/>
        <v>0.44443564356435644</v>
      </c>
      <c r="BT45" s="317">
        <f t="shared" si="167"/>
        <v>0.42103471749489446</v>
      </c>
      <c r="BU45" s="20">
        <f t="shared" ref="BU45:BZ45" si="168">BU40/BU46</f>
        <v>0.42834020011771629</v>
      </c>
      <c r="BV45" s="20">
        <f t="shared" si="168"/>
        <v>0.45532646048109965</v>
      </c>
      <c r="BW45" s="20">
        <f t="shared" si="168"/>
        <v>0.40050697084917619</v>
      </c>
      <c r="BX45" s="206">
        <f t="shared" si="168"/>
        <v>0.4277966101694915</v>
      </c>
      <c r="BY45" s="317">
        <f t="shared" si="168"/>
        <v>0.40006426735218509</v>
      </c>
      <c r="BZ45" s="20">
        <f t="shared" si="168"/>
        <v>0.40741229227116854</v>
      </c>
      <c r="CA45" s="20">
        <f t="shared" ref="CA45:CF45" si="169">CA40/CA46</f>
        <v>0.43528978388998035</v>
      </c>
      <c r="CB45" s="20">
        <f t="shared" si="169"/>
        <v>0.37815375482338975</v>
      </c>
      <c r="CC45" s="206">
        <f t="shared" si="169"/>
        <v>0.40686001115448966</v>
      </c>
      <c r="CD45" s="317">
        <f t="shared" si="169"/>
        <v>0.37700412276683465</v>
      </c>
      <c r="CE45" s="20">
        <f t="shared" si="169"/>
        <v>0.37880585211546064</v>
      </c>
      <c r="CF45" s="20">
        <f t="shared" si="169"/>
        <v>0.40761881126690658</v>
      </c>
      <c r="CG45" s="20">
        <f>CG40/CG46</f>
        <v>0.34864985827241535</v>
      </c>
      <c r="CH45" s="206">
        <f>CH40/CH46</f>
        <v>0.37943802339262234</v>
      </c>
      <c r="CI45" s="317">
        <f>CI40/CI46</f>
        <v>0.34652389819987583</v>
      </c>
      <c r="CJ45" s="20">
        <f t="shared" ref="CJ45:CK45" si="170">CJ40/CJ46</f>
        <v>0.36808994779815285</v>
      </c>
      <c r="CK45" s="20">
        <f t="shared" si="170"/>
        <v>0.39395929087327641</v>
      </c>
      <c r="CL45" s="20">
        <f>CL40/CL46</f>
        <v>0.33307984790874523</v>
      </c>
      <c r="CM45" s="206">
        <f>CM40/CM46</f>
        <v>0.36196406333392633</v>
      </c>
      <c r="CN45" s="317">
        <f>CN40/CN46</f>
        <v>0.33603997501561522</v>
      </c>
      <c r="CO45" s="20">
        <f t="shared" ref="CO45:CP45" si="171">CO40/CO46</f>
        <v>0.35550071437849073</v>
      </c>
      <c r="CP45" s="20">
        <f t="shared" si="171"/>
        <v>0.38200403836446239</v>
      </c>
      <c r="CQ45" s="20">
        <f>CQ40/CQ46</f>
        <v>0.32664594518225487</v>
      </c>
      <c r="CR45" s="206">
        <f>CR40/CR46</f>
        <v>0.35141728225390828</v>
      </c>
      <c r="CS45" s="317"/>
      <c r="CT45" s="20"/>
      <c r="CU45" s="20"/>
      <c r="CV45" s="20"/>
      <c r="CW45" s="206"/>
      <c r="CX45" s="317"/>
      <c r="CY45" s="605"/>
      <c r="CZ45" s="605"/>
      <c r="DA45" s="605"/>
      <c r="DB45" s="606"/>
      <c r="DC45" s="605"/>
      <c r="DD45" s="605"/>
      <c r="DE45" s="605"/>
      <c r="DF45" s="605"/>
      <c r="DG45" s="606"/>
      <c r="DH45" s="605"/>
      <c r="DI45" s="605"/>
      <c r="DJ45" s="605"/>
      <c r="DK45" s="605"/>
      <c r="DL45" s="606"/>
      <c r="DM45" s="33"/>
      <c r="DN45" s="499"/>
      <c r="DO45" s="486"/>
      <c r="DP45" s="411"/>
      <c r="DQ45" s="411"/>
      <c r="DR45" s="411"/>
      <c r="DS45" s="556" t="s">
        <v>161</v>
      </c>
      <c r="DT45" s="556"/>
      <c r="DU45" s="461">
        <f>+DU43*$DW$43+DU38*$DW$38</f>
        <v>-2.9313262484715774E-2</v>
      </c>
      <c r="DV45" s="461">
        <f>+DV43*$DW$43+DV38*$DW$38</f>
        <v>-9.2134540775261592E-2</v>
      </c>
      <c r="DW45" s="461"/>
      <c r="DX45" s="462"/>
      <c r="DY45" s="461"/>
      <c r="DZ45" s="461"/>
      <c r="EA45" s="499"/>
      <c r="EH45" s="8"/>
    </row>
    <row r="46" spans="1:138" ht="12.75" hidden="1" customHeight="1" outlineLevel="1" x14ac:dyDescent="0.2">
      <c r="A46" s="144" t="s">
        <v>394</v>
      </c>
      <c r="B46" s="893">
        <v>3589</v>
      </c>
      <c r="C46" s="891">
        <v>4190</v>
      </c>
      <c r="D46" s="891">
        <v>4050</v>
      </c>
      <c r="E46" s="891">
        <v>3751</v>
      </c>
      <c r="F46" s="185">
        <f>SUM(B46:E46)</f>
        <v>15580</v>
      </c>
      <c r="G46" s="893">
        <v>3598</v>
      </c>
      <c r="H46" s="891">
        <v>3537</v>
      </c>
      <c r="I46" s="891">
        <v>3190</v>
      </c>
      <c r="J46" s="891">
        <v>2639</v>
      </c>
      <c r="K46" s="185">
        <f>SUM(G46:J46)</f>
        <v>12964</v>
      </c>
      <c r="L46" s="893">
        <v>2878</v>
      </c>
      <c r="M46" s="891">
        <v>3217</v>
      </c>
      <c r="N46" s="891">
        <v>3165</v>
      </c>
      <c r="O46" s="891">
        <v>3061</v>
      </c>
      <c r="P46" s="185">
        <f>SUM(L46:O46)</f>
        <v>12321</v>
      </c>
      <c r="Q46" s="893">
        <v>2931</v>
      </c>
      <c r="R46" s="891">
        <v>3049</v>
      </c>
      <c r="S46" s="891">
        <v>3201</v>
      </c>
      <c r="T46" s="891">
        <v>3142</v>
      </c>
      <c r="U46" s="185">
        <f>SUM(Q46:T46)</f>
        <v>12323</v>
      </c>
      <c r="V46" s="893">
        <v>2560</v>
      </c>
      <c r="W46" s="891">
        <v>2895</v>
      </c>
      <c r="X46" s="891">
        <v>2814</v>
      </c>
      <c r="Y46" s="891">
        <v>2611</v>
      </c>
      <c r="Z46" s="185">
        <f>SUM(V46:Y46)</f>
        <v>10880</v>
      </c>
      <c r="AA46" s="893">
        <v>2649</v>
      </c>
      <c r="AB46" s="891">
        <v>3045</v>
      </c>
      <c r="AC46" s="891">
        <v>3041</v>
      </c>
      <c r="AD46" s="891">
        <v>2664</v>
      </c>
      <c r="AE46" s="185">
        <f>SUM(AA46:AD46)</f>
        <v>11399</v>
      </c>
      <c r="AF46" s="893">
        <f>AF40+AF35</f>
        <v>2493</v>
      </c>
      <c r="AG46" s="891">
        <f>AG40+AG35</f>
        <v>3176</v>
      </c>
      <c r="AH46" s="891">
        <f>AH40+AH35</f>
        <v>3207</v>
      </c>
      <c r="AI46" s="891">
        <f>AI40+AI35</f>
        <v>2764</v>
      </c>
      <c r="AJ46" s="185">
        <f>SUM(AF46:AI46)</f>
        <v>11640</v>
      </c>
      <c r="AK46" s="893">
        <f>AK40+AK35</f>
        <v>2783</v>
      </c>
      <c r="AL46" s="891">
        <f>AL40+AL35</f>
        <v>3384</v>
      </c>
      <c r="AM46" s="891">
        <f>AM40+AM35</f>
        <v>3539</v>
      </c>
      <c r="AN46" s="891">
        <f>AN40+AN35</f>
        <v>3052</v>
      </c>
      <c r="AO46" s="185">
        <f>SUM(AK46:AN46)</f>
        <v>12758</v>
      </c>
      <c r="AP46" s="890"/>
      <c r="AQ46" s="891"/>
      <c r="AR46" s="891"/>
      <c r="AS46" s="891"/>
      <c r="AT46" s="185"/>
      <c r="AU46" s="893">
        <v>5363</v>
      </c>
      <c r="AV46" s="891">
        <v>6265</v>
      </c>
      <c r="AW46" s="891">
        <v>6722</v>
      </c>
      <c r="AX46" s="891">
        <v>5269</v>
      </c>
      <c r="AY46" s="185">
        <f>SUM(AU46:AX46)</f>
        <v>23619</v>
      </c>
      <c r="AZ46" s="890">
        <v>4367</v>
      </c>
      <c r="BA46" s="891">
        <v>4564</v>
      </c>
      <c r="BB46" s="891">
        <v>5122</v>
      </c>
      <c r="BC46" s="891">
        <v>4469</v>
      </c>
      <c r="BD46" s="185">
        <f>SUM(AZ46:BC46)</f>
        <v>18522</v>
      </c>
      <c r="BE46" s="890">
        <v>4486</v>
      </c>
      <c r="BF46" s="891">
        <v>5480</v>
      </c>
      <c r="BG46" s="891">
        <v>6204</v>
      </c>
      <c r="BH46" s="891">
        <v>5238</v>
      </c>
      <c r="BI46" s="185">
        <f>SUM(BE46:BH46)</f>
        <v>21408</v>
      </c>
      <c r="BJ46" s="890">
        <v>5134</v>
      </c>
      <c r="BK46" s="891">
        <v>6207</v>
      </c>
      <c r="BL46" s="891">
        <v>6857</v>
      </c>
      <c r="BM46" s="891">
        <v>5666</v>
      </c>
      <c r="BN46" s="318">
        <f>SUM(BJ46:BM46)</f>
        <v>23864</v>
      </c>
      <c r="BO46" s="890">
        <v>5675</v>
      </c>
      <c r="BP46" s="891">
        <v>6644</v>
      </c>
      <c r="BQ46" s="891">
        <v>7017</v>
      </c>
      <c r="BR46" s="891">
        <v>5914</v>
      </c>
      <c r="BS46" s="185">
        <f>SUM(BO46:BR46)</f>
        <v>25250</v>
      </c>
      <c r="BT46" s="890">
        <v>5876</v>
      </c>
      <c r="BU46" s="891">
        <v>6796</v>
      </c>
      <c r="BV46" s="891">
        <v>7566</v>
      </c>
      <c r="BW46" s="891">
        <v>6312</v>
      </c>
      <c r="BX46" s="185">
        <f>SUM(BT46:BW46)</f>
        <v>26550</v>
      </c>
      <c r="BY46" s="890">
        <v>6224</v>
      </c>
      <c r="BZ46" s="891">
        <v>7582</v>
      </c>
      <c r="CA46" s="891">
        <v>8144</v>
      </c>
      <c r="CB46" s="891">
        <v>6738</v>
      </c>
      <c r="CC46" s="185">
        <f>SUM(BY46:CB46)</f>
        <v>28688</v>
      </c>
      <c r="CD46" s="890">
        <v>6549</v>
      </c>
      <c r="CE46" s="891">
        <v>7587</v>
      </c>
      <c r="CF46" s="891">
        <v>8059</v>
      </c>
      <c r="CG46" s="891">
        <v>6703</v>
      </c>
      <c r="CH46" s="185">
        <f>SUM(CD46:CG46)</f>
        <v>28898</v>
      </c>
      <c r="CI46" s="890">
        <v>6444</v>
      </c>
      <c r="CJ46" s="891">
        <v>7471</v>
      </c>
      <c r="CK46" s="891">
        <v>7615</v>
      </c>
      <c r="CL46" s="891">
        <v>6575</v>
      </c>
      <c r="CM46" s="185">
        <f>SUM(CI46:CL46)</f>
        <v>28105</v>
      </c>
      <c r="CN46" s="890">
        <v>6404</v>
      </c>
      <c r="CO46" s="891">
        <v>7699</v>
      </c>
      <c r="CP46" s="891">
        <v>7924</v>
      </c>
      <c r="CQ46" s="891">
        <v>7078</v>
      </c>
      <c r="CR46" s="185">
        <f>SUM(CN46:CQ46)</f>
        <v>29105</v>
      </c>
      <c r="CS46" s="890"/>
      <c r="CT46" s="891"/>
      <c r="CU46" s="891"/>
      <c r="CV46" s="891"/>
      <c r="CW46" s="185"/>
      <c r="CX46" s="890"/>
      <c r="CY46" s="603"/>
      <c r="CZ46" s="603"/>
      <c r="DA46" s="603"/>
      <c r="DB46" s="604"/>
      <c r="DC46" s="603"/>
      <c r="DD46" s="603"/>
      <c r="DE46" s="603"/>
      <c r="DF46" s="603"/>
      <c r="DG46" s="604"/>
      <c r="DH46" s="603"/>
      <c r="DI46" s="603"/>
      <c r="DJ46" s="603"/>
      <c r="DK46" s="603"/>
      <c r="DL46" s="604"/>
      <c r="DM46" s="414"/>
      <c r="DN46" s="502"/>
      <c r="DO46" s="489"/>
      <c r="DP46" s="414"/>
      <c r="DQ46" s="414"/>
      <c r="DR46" s="414"/>
      <c r="DS46" s="557"/>
      <c r="DT46" s="557"/>
      <c r="DU46" s="184"/>
      <c r="DV46" s="184"/>
      <c r="DW46" s="184"/>
      <c r="DX46" s="184"/>
      <c r="DY46" s="184"/>
      <c r="DZ46" s="184"/>
      <c r="EA46" s="502"/>
      <c r="EH46" s="318"/>
    </row>
    <row r="47" spans="1:138" ht="12.75" hidden="1" customHeight="1" outlineLevel="1" x14ac:dyDescent="0.2">
      <c r="A47" s="142" t="s">
        <v>244</v>
      </c>
      <c r="B47" s="20"/>
      <c r="C47" s="20"/>
      <c r="D47" s="20"/>
      <c r="E47" s="20"/>
      <c r="F47" s="199"/>
      <c r="G47" s="20">
        <f>G46/B46-1</f>
        <v>2.5076623014768096E-3</v>
      </c>
      <c r="H47" s="20">
        <f t="shared" ref="H47:AO47" si="172">H46/C46-1</f>
        <v>-0.15584725536992838</v>
      </c>
      <c r="I47" s="20">
        <f t="shared" si="172"/>
        <v>-0.21234567901234569</v>
      </c>
      <c r="J47" s="20">
        <f t="shared" si="172"/>
        <v>-0.29645427885897091</v>
      </c>
      <c r="K47" s="199">
        <f t="shared" si="172"/>
        <v>-0.16790757381258026</v>
      </c>
      <c r="L47" s="20">
        <f t="shared" si="172"/>
        <v>-0.20011117287381874</v>
      </c>
      <c r="M47" s="20">
        <f t="shared" si="172"/>
        <v>-9.0472151540853862E-2</v>
      </c>
      <c r="N47" s="20">
        <f t="shared" si="172"/>
        <v>-7.8369905956112706E-3</v>
      </c>
      <c r="O47" s="20">
        <f t="shared" si="172"/>
        <v>0.15990905646078057</v>
      </c>
      <c r="P47" s="199">
        <f t="shared" si="172"/>
        <v>-4.9598889231718624E-2</v>
      </c>
      <c r="Q47" s="20">
        <f t="shared" si="172"/>
        <v>1.8415566365531655E-2</v>
      </c>
      <c r="R47" s="20">
        <f t="shared" si="172"/>
        <v>-5.2222567609574111E-2</v>
      </c>
      <c r="S47" s="20">
        <f t="shared" si="172"/>
        <v>1.1374407582938284E-2</v>
      </c>
      <c r="T47" s="20">
        <f t="shared" si="172"/>
        <v>2.6461940542306328E-2</v>
      </c>
      <c r="U47" s="199">
        <f t="shared" si="172"/>
        <v>1.6232448664887933E-4</v>
      </c>
      <c r="V47" s="20">
        <f t="shared" si="172"/>
        <v>-0.12657795974070285</v>
      </c>
      <c r="W47" s="20">
        <f t="shared" si="172"/>
        <v>-5.0508363397835376E-2</v>
      </c>
      <c r="X47" s="20">
        <f t="shared" si="172"/>
        <v>-0.12089971883786321</v>
      </c>
      <c r="Y47" s="20">
        <f t="shared" si="172"/>
        <v>-0.1690006365372374</v>
      </c>
      <c r="Z47" s="199">
        <f t="shared" si="172"/>
        <v>-0.11709810922664932</v>
      </c>
      <c r="AA47" s="20">
        <f t="shared" si="172"/>
        <v>3.4765624999999911E-2</v>
      </c>
      <c r="AB47" s="20">
        <f t="shared" si="172"/>
        <v>5.1813471502590636E-2</v>
      </c>
      <c r="AC47" s="20">
        <f t="shared" si="172"/>
        <v>8.066808813077464E-2</v>
      </c>
      <c r="AD47" s="20">
        <f t="shared" si="172"/>
        <v>2.0298736116430405E-2</v>
      </c>
      <c r="AE47" s="199">
        <f t="shared" si="172"/>
        <v>4.7702205882352855E-2</v>
      </c>
      <c r="AF47" s="20">
        <f t="shared" si="172"/>
        <v>-5.8890147225368117E-2</v>
      </c>
      <c r="AG47" s="20">
        <f t="shared" si="172"/>
        <v>4.3021346469622301E-2</v>
      </c>
      <c r="AH47" s="20">
        <f t="shared" si="172"/>
        <v>5.4587306806971325E-2</v>
      </c>
      <c r="AI47" s="20">
        <f t="shared" si="172"/>
        <v>3.7537537537537524E-2</v>
      </c>
      <c r="AJ47" s="199">
        <f t="shared" si="172"/>
        <v>2.1142205456619045E-2</v>
      </c>
      <c r="AK47" s="20">
        <f t="shared" si="172"/>
        <v>0.1163257119935821</v>
      </c>
      <c r="AL47" s="20">
        <f t="shared" si="172"/>
        <v>6.5491183879093251E-2</v>
      </c>
      <c r="AM47" s="20">
        <f t="shared" si="172"/>
        <v>0.10352354225132521</v>
      </c>
      <c r="AN47" s="20">
        <f t="shared" si="172"/>
        <v>0.10419681620839372</v>
      </c>
      <c r="AO47" s="199">
        <f t="shared" si="172"/>
        <v>9.6048109965635842E-2</v>
      </c>
      <c r="AP47" s="317"/>
      <c r="AQ47" s="20"/>
      <c r="AR47" s="20"/>
      <c r="AS47" s="20"/>
      <c r="AT47" s="206"/>
      <c r="AU47" s="20"/>
      <c r="AV47" s="20"/>
      <c r="AW47" s="20"/>
      <c r="AX47" s="20"/>
      <c r="AY47" s="206"/>
      <c r="AZ47" s="317">
        <f t="shared" ref="AZ47:CA47" si="173">AZ46/AU46-1</f>
        <v>-0.18571694946858097</v>
      </c>
      <c r="BA47" s="20">
        <f t="shared" si="173"/>
        <v>-0.27150837988826815</v>
      </c>
      <c r="BB47" s="20">
        <f t="shared" si="173"/>
        <v>-0.23802439750074378</v>
      </c>
      <c r="BC47" s="20">
        <f t="shared" si="173"/>
        <v>-0.1518314670715506</v>
      </c>
      <c r="BD47" s="206">
        <f t="shared" si="173"/>
        <v>-0.21580083830814178</v>
      </c>
      <c r="BE47" s="317">
        <f t="shared" si="173"/>
        <v>2.7249828257384978E-2</v>
      </c>
      <c r="BF47" s="20">
        <f t="shared" si="173"/>
        <v>0.20070113935144618</v>
      </c>
      <c r="BG47" s="20">
        <f t="shared" si="173"/>
        <v>0.21124560718469354</v>
      </c>
      <c r="BH47" s="20">
        <f t="shared" si="173"/>
        <v>0.17207428955023496</v>
      </c>
      <c r="BI47" s="206">
        <f t="shared" si="173"/>
        <v>0.155814706835115</v>
      </c>
      <c r="BJ47" s="317">
        <f t="shared" si="173"/>
        <v>0.1444493981275079</v>
      </c>
      <c r="BK47" s="20">
        <f t="shared" si="173"/>
        <v>0.13266423357664237</v>
      </c>
      <c r="BL47" s="20">
        <f t="shared" si="173"/>
        <v>0.10525467440361047</v>
      </c>
      <c r="BM47" s="20">
        <f t="shared" si="173"/>
        <v>8.1710576555937386E-2</v>
      </c>
      <c r="BN47" s="317">
        <f t="shared" si="173"/>
        <v>0.11472346786248133</v>
      </c>
      <c r="BO47" s="317">
        <f t="shared" si="173"/>
        <v>0.10537592520451899</v>
      </c>
      <c r="BP47" s="20">
        <f t="shared" si="173"/>
        <v>7.0404382149186429E-2</v>
      </c>
      <c r="BQ47" s="20">
        <f t="shared" si="173"/>
        <v>2.3333819454572025E-2</v>
      </c>
      <c r="BR47" s="20">
        <f t="shared" si="173"/>
        <v>4.3769855277091319E-2</v>
      </c>
      <c r="BS47" s="206">
        <f t="shared" si="173"/>
        <v>5.8079114984914471E-2</v>
      </c>
      <c r="BT47" s="317">
        <f t="shared" si="173"/>
        <v>3.5418502202643198E-2</v>
      </c>
      <c r="BU47" s="20">
        <f t="shared" si="173"/>
        <v>2.2877784467188356E-2</v>
      </c>
      <c r="BV47" s="20">
        <f t="shared" si="173"/>
        <v>7.8238563488670421E-2</v>
      </c>
      <c r="BW47" s="20">
        <f t="shared" si="173"/>
        <v>6.7297937098410587E-2</v>
      </c>
      <c r="BX47" s="206">
        <f t="shared" si="173"/>
        <v>5.1485148514851531E-2</v>
      </c>
      <c r="BY47" s="317">
        <f t="shared" si="173"/>
        <v>5.9223961878829057E-2</v>
      </c>
      <c r="BZ47" s="20">
        <f t="shared" si="173"/>
        <v>0.11565626839317256</v>
      </c>
      <c r="CA47" s="20">
        <f t="shared" si="173"/>
        <v>7.6394395982024799E-2</v>
      </c>
      <c r="CB47" s="20">
        <f t="shared" ref="CB47:CK47" si="174">CB46/BW46-1</f>
        <v>6.7490494296577941E-2</v>
      </c>
      <c r="CC47" s="206">
        <f t="shared" si="174"/>
        <v>8.0527306967984824E-2</v>
      </c>
      <c r="CD47" s="317">
        <f t="shared" si="174"/>
        <v>5.2217223650385503E-2</v>
      </c>
      <c r="CE47" s="20">
        <f t="shared" si="174"/>
        <v>6.5945660775512671E-4</v>
      </c>
      <c r="CF47" s="20">
        <f t="shared" si="174"/>
        <v>-1.04371316306483E-2</v>
      </c>
      <c r="CG47" s="20">
        <f t="shared" si="174"/>
        <v>-5.1944197091124966E-3</v>
      </c>
      <c r="CH47" s="206">
        <f t="shared" si="174"/>
        <v>7.3201338538761984E-3</v>
      </c>
      <c r="CI47" s="317">
        <f t="shared" si="174"/>
        <v>-1.6032982134677076E-2</v>
      </c>
      <c r="CJ47" s="20">
        <f t="shared" si="174"/>
        <v>-1.5289310662976119E-2</v>
      </c>
      <c r="CK47" s="20">
        <f t="shared" si="174"/>
        <v>-5.5093684079910665E-2</v>
      </c>
      <c r="CL47" s="20">
        <f t="shared" ref="CL47" si="175">CL46/CG46-1</f>
        <v>-1.9095927196777551E-2</v>
      </c>
      <c r="CM47" s="206">
        <f t="shared" ref="CM47:CP47" si="176">CM46/CH46-1</f>
        <v>-2.7441345421828522E-2</v>
      </c>
      <c r="CN47" s="317">
        <f t="shared" si="176"/>
        <v>-6.2073246430788265E-3</v>
      </c>
      <c r="CO47" s="20">
        <f t="shared" si="176"/>
        <v>3.0518002944719624E-2</v>
      </c>
      <c r="CP47" s="20">
        <f t="shared" si="176"/>
        <v>4.0577806959947393E-2</v>
      </c>
      <c r="CQ47" s="20">
        <f t="shared" ref="CQ47" si="177">CQ46/CL46-1</f>
        <v>7.6501901140684447E-2</v>
      </c>
      <c r="CR47" s="206">
        <f t="shared" ref="CR47" si="178">CR46/CM46-1</f>
        <v>3.5580857498665797E-2</v>
      </c>
      <c r="CS47" s="317"/>
      <c r="CT47" s="20"/>
      <c r="CU47" s="20"/>
      <c r="CV47" s="20"/>
      <c r="CW47" s="206"/>
      <c r="CX47" s="317"/>
      <c r="CY47" s="605"/>
      <c r="CZ47" s="605"/>
      <c r="DA47" s="605"/>
      <c r="DB47" s="606"/>
      <c r="DC47" s="605"/>
      <c r="DD47" s="605"/>
      <c r="DE47" s="605"/>
      <c r="DF47" s="605"/>
      <c r="DG47" s="606"/>
      <c r="DH47" s="605"/>
      <c r="DI47" s="605"/>
      <c r="DJ47" s="605"/>
      <c r="DK47" s="605"/>
      <c r="DL47" s="606"/>
      <c r="DM47" s="20"/>
      <c r="DN47" s="500"/>
      <c r="DO47" s="486"/>
      <c r="DP47" s="411"/>
      <c r="DQ47" s="411"/>
      <c r="DR47" s="411"/>
      <c r="DS47" s="556"/>
      <c r="DT47" s="556"/>
      <c r="DU47" s="461"/>
      <c r="DV47" s="461"/>
      <c r="DW47" s="461"/>
      <c r="DX47" s="461"/>
      <c r="DY47" s="461"/>
      <c r="DZ47" s="461"/>
      <c r="EA47" s="500"/>
      <c r="EH47" s="8"/>
    </row>
    <row r="48" spans="1:138" ht="12.75" hidden="1" customHeight="1" outlineLevel="1" x14ac:dyDescent="0.2">
      <c r="A48" s="75" t="str">
        <f>A46&amp; " per ASM"</f>
        <v>Total Mainline Pax Rev (mm) per ASM</v>
      </c>
      <c r="B48" s="32">
        <f t="shared" ref="B48:AO48" si="179">B46/B9*100</f>
        <v>10.114417765753579</v>
      </c>
      <c r="C48" s="32">
        <f t="shared" si="179"/>
        <v>11.282548401863371</v>
      </c>
      <c r="D48" s="32">
        <f t="shared" si="179"/>
        <v>10.632711997899712</v>
      </c>
      <c r="E48" s="32">
        <f t="shared" si="179"/>
        <v>10.291374012291483</v>
      </c>
      <c r="F48" s="203">
        <f t="shared" si="179"/>
        <v>10.587188007529271</v>
      </c>
      <c r="G48" s="32">
        <f t="shared" si="179"/>
        <v>9.5369364115885169</v>
      </c>
      <c r="H48" s="32">
        <f t="shared" si="179"/>
        <v>9.2497188734015001</v>
      </c>
      <c r="I48" s="32">
        <f t="shared" si="179"/>
        <v>8.4548104956268215</v>
      </c>
      <c r="J48" s="32">
        <f t="shared" si="179"/>
        <v>7.7296389623010953</v>
      </c>
      <c r="K48" s="203">
        <f t="shared" si="179"/>
        <v>8.7690989507317205</v>
      </c>
      <c r="L48" s="32">
        <f t="shared" si="179"/>
        <v>8.5299347954949614</v>
      </c>
      <c r="M48" s="32">
        <f t="shared" si="179"/>
        <v>8.9712485010736494</v>
      </c>
      <c r="N48" s="32">
        <f t="shared" si="179"/>
        <v>8.5912052117263844</v>
      </c>
      <c r="O48" s="32">
        <f t="shared" si="179"/>
        <v>8.6763038548752842</v>
      </c>
      <c r="P48" s="203">
        <f t="shared" si="179"/>
        <v>8.6939648177026374</v>
      </c>
      <c r="Q48" s="32">
        <f t="shared" si="179"/>
        <v>8.8272497289483187</v>
      </c>
      <c r="R48" s="32">
        <f t="shared" si="179"/>
        <v>9.5180121121308616</v>
      </c>
      <c r="S48" s="32">
        <f t="shared" si="179"/>
        <v>9.2758410849343651</v>
      </c>
      <c r="T48" s="32">
        <f t="shared" si="179"/>
        <v>9.0714863148169531</v>
      </c>
      <c r="U48" s="203">
        <f t="shared" si="179"/>
        <v>9.1700587127836108</v>
      </c>
      <c r="V48" s="32">
        <f t="shared" si="179"/>
        <v>8.3972971199895046</v>
      </c>
      <c r="W48" s="32">
        <f t="shared" si="179"/>
        <v>8.7204048436652801</v>
      </c>
      <c r="X48" s="32">
        <f t="shared" si="179"/>
        <v>8.3809864188706218</v>
      </c>
      <c r="Y48" s="32">
        <f t="shared" si="179"/>
        <v>7.9812924130341747</v>
      </c>
      <c r="Z48" s="203">
        <f t="shared" si="179"/>
        <v>8.3709049502208135</v>
      </c>
      <c r="AA48" s="32">
        <f t="shared" si="179"/>
        <v>8.160561905055296</v>
      </c>
      <c r="AB48" s="32">
        <f t="shared" si="179"/>
        <v>8.7757219436278753</v>
      </c>
      <c r="AC48" s="32">
        <f t="shared" si="179"/>
        <v>8.6519858882439973</v>
      </c>
      <c r="AD48" s="32">
        <f t="shared" si="179"/>
        <v>8.4229164031870489</v>
      </c>
      <c r="AE48" s="203">
        <f t="shared" si="179"/>
        <v>8.5108448127823202</v>
      </c>
      <c r="AF48" s="32">
        <f t="shared" si="179"/>
        <v>8.4715237189071626</v>
      </c>
      <c r="AG48" s="32">
        <f t="shared" si="179"/>
        <v>9.8937727796641859</v>
      </c>
      <c r="AH48" s="32">
        <f t="shared" si="179"/>
        <v>9.5222542237002283</v>
      </c>
      <c r="AI48" s="32">
        <f t="shared" si="179"/>
        <v>9.1305496828752641</v>
      </c>
      <c r="AJ48" s="203">
        <f t="shared" si="179"/>
        <v>9.2763787057698437</v>
      </c>
      <c r="AK48" s="32">
        <f t="shared" si="179"/>
        <v>9.416661027272113</v>
      </c>
      <c r="AL48" s="32">
        <f t="shared" si="179"/>
        <v>10.532212885154062</v>
      </c>
      <c r="AM48" s="32">
        <f t="shared" si="179"/>
        <v>10.196790272855621</v>
      </c>
      <c r="AN48" s="32">
        <f t="shared" si="179"/>
        <v>9.7327635691051722</v>
      </c>
      <c r="AO48" s="203">
        <f t="shared" si="179"/>
        <v>9.9867709336276604</v>
      </c>
      <c r="AP48" s="319"/>
      <c r="AQ48" s="32"/>
      <c r="AR48" s="32"/>
      <c r="AS48" s="32"/>
      <c r="AT48" s="203"/>
      <c r="AU48" s="32">
        <f t="shared" ref="AU48:BQ48" si="180">(AU46/AU9)*100</f>
        <v>10.405712179126485</v>
      </c>
      <c r="AV48" s="32">
        <f t="shared" si="180"/>
        <v>11.39919941775837</v>
      </c>
      <c r="AW48" s="32">
        <f t="shared" si="180"/>
        <v>11.843890406131619</v>
      </c>
      <c r="AX48" s="32">
        <f t="shared" si="180"/>
        <v>10.497270590110372</v>
      </c>
      <c r="AY48" s="203">
        <f t="shared" si="180"/>
        <v>11.065458566020764</v>
      </c>
      <c r="AZ48" s="319">
        <f t="shared" si="180"/>
        <v>9.1428122557733875</v>
      </c>
      <c r="BA48" s="32">
        <f t="shared" si="180"/>
        <v>9.0188716529987154</v>
      </c>
      <c r="BB48" s="32">
        <f t="shared" si="180"/>
        <v>9.5253961156989337</v>
      </c>
      <c r="BC48" s="32">
        <f t="shared" si="180"/>
        <v>9.8042897903228976</v>
      </c>
      <c r="BD48" s="203">
        <f t="shared" si="180"/>
        <v>9.3676304730445512</v>
      </c>
      <c r="BE48" s="319">
        <f t="shared" si="180"/>
        <v>9.83565187010581</v>
      </c>
      <c r="BF48" s="32">
        <f t="shared" si="180"/>
        <v>10.821057620157182</v>
      </c>
      <c r="BG48" s="32">
        <f t="shared" si="180"/>
        <v>11.223677545408496</v>
      </c>
      <c r="BH48" s="32">
        <f t="shared" si="180"/>
        <v>10.627848574867999</v>
      </c>
      <c r="BI48" s="203">
        <f t="shared" si="180"/>
        <v>10.660654047160596</v>
      </c>
      <c r="BJ48" s="319">
        <f t="shared" si="180"/>
        <v>10.555244730257062</v>
      </c>
      <c r="BK48" s="32">
        <f t="shared" si="180"/>
        <v>11.886022864364911</v>
      </c>
      <c r="BL48" s="32">
        <f t="shared" si="180"/>
        <v>12.443065309307348</v>
      </c>
      <c r="BM48" s="32">
        <f t="shared" si="180"/>
        <v>11.932691700187435</v>
      </c>
      <c r="BN48" s="319">
        <f t="shared" si="180"/>
        <v>11.729644455179471</v>
      </c>
      <c r="BO48" s="319">
        <f t="shared" si="180"/>
        <v>12.086297227073306</v>
      </c>
      <c r="BP48" s="32">
        <f t="shared" si="180"/>
        <v>12.842866255581544</v>
      </c>
      <c r="BQ48" s="32">
        <f t="shared" si="180"/>
        <v>12.815502063776163</v>
      </c>
      <c r="BR48" s="32">
        <f t="shared" ref="BR48:BW48" si="181">(BR46/BR9)*100</f>
        <v>12.468638654044822</v>
      </c>
      <c r="BS48" s="203">
        <f t="shared" si="181"/>
        <v>12.570193954358993</v>
      </c>
      <c r="BT48" s="319">
        <f t="shared" si="181"/>
        <v>12.718064153066965</v>
      </c>
      <c r="BU48" s="32">
        <f t="shared" si="181"/>
        <v>12.93490673772364</v>
      </c>
      <c r="BV48" s="32">
        <f t="shared" si="181"/>
        <v>13.395180850875485</v>
      </c>
      <c r="BW48" s="32">
        <f t="shared" si="181"/>
        <v>12.887418841112336</v>
      </c>
      <c r="BX48" s="203">
        <f t="shared" ref="BX48:CC48" si="182">(BX46/BX9)*100</f>
        <v>13.0017678486604</v>
      </c>
      <c r="BY48" s="319">
        <f t="shared" si="182"/>
        <v>13.141614408479551</v>
      </c>
      <c r="BZ48" s="32">
        <f t="shared" si="182"/>
        <v>13.842586675916966</v>
      </c>
      <c r="CA48" s="32">
        <f t="shared" si="182"/>
        <v>13.824947375568684</v>
      </c>
      <c r="CB48" s="32">
        <f t="shared" si="182"/>
        <v>13.162727095135768</v>
      </c>
      <c r="CC48" s="203">
        <f t="shared" si="182"/>
        <v>13.51728297334992</v>
      </c>
      <c r="CD48" s="319">
        <f t="shared" ref="CD48:CI48" si="183">(CD46/CD9)*100</f>
        <v>13.053357517290864</v>
      </c>
      <c r="CE48" s="32">
        <f t="shared" si="183"/>
        <v>13.231370223749151</v>
      </c>
      <c r="CF48" s="32">
        <f t="shared" si="183"/>
        <v>13.153256079647463</v>
      </c>
      <c r="CG48" s="32">
        <f t="shared" si="183"/>
        <v>12.978739883049995</v>
      </c>
      <c r="CH48" s="203">
        <f t="shared" si="183"/>
        <v>13.109949734153556</v>
      </c>
      <c r="CI48" s="319">
        <f t="shared" si="183"/>
        <v>12.461806227035389</v>
      </c>
      <c r="CJ48" s="32">
        <f t="shared" ref="CJ48:CN48" si="184">(CJ46/CJ9)*100</f>
        <v>12.625690771128726</v>
      </c>
      <c r="CK48" s="32">
        <f t="shared" si="184"/>
        <v>12.236469983288341</v>
      </c>
      <c r="CL48" s="32">
        <f t="shared" si="184"/>
        <v>12.607136693958163</v>
      </c>
      <c r="CM48" s="203">
        <f t="shared" si="184"/>
        <v>12.476250510503045</v>
      </c>
      <c r="CN48" s="319">
        <f t="shared" si="184"/>
        <v>12.4376080327837</v>
      </c>
      <c r="CO48" s="32">
        <f t="shared" ref="CO48:CR48" si="185">(CO46/CO9)*100</f>
        <v>12.915401519853717</v>
      </c>
      <c r="CP48" s="32">
        <f t="shared" si="185"/>
        <v>12.47795414462081</v>
      </c>
      <c r="CQ48" s="32">
        <f t="shared" si="185"/>
        <v>13.155889295737996</v>
      </c>
      <c r="CR48" s="203">
        <f t="shared" si="185"/>
        <v>12.742715789934547</v>
      </c>
      <c r="CS48" s="319"/>
      <c r="CT48" s="32"/>
      <c r="CU48" s="32"/>
      <c r="CV48" s="32"/>
      <c r="CW48" s="203"/>
      <c r="CX48" s="319"/>
      <c r="CY48" s="607"/>
      <c r="CZ48" s="607"/>
      <c r="DA48" s="607"/>
      <c r="DB48" s="608"/>
      <c r="DC48" s="607"/>
      <c r="DD48" s="607"/>
      <c r="DE48" s="607"/>
      <c r="DF48" s="607"/>
      <c r="DG48" s="608"/>
      <c r="DH48" s="607"/>
      <c r="DI48" s="607"/>
      <c r="DJ48" s="607"/>
      <c r="DK48" s="607"/>
      <c r="DL48" s="608"/>
      <c r="DM48" s="32"/>
      <c r="DN48" s="503"/>
      <c r="DO48" s="486"/>
      <c r="DP48" s="411"/>
      <c r="DQ48" s="411"/>
      <c r="DR48" s="411"/>
      <c r="DS48" s="558"/>
      <c r="DT48" s="558"/>
      <c r="DU48" s="462"/>
      <c r="DV48" s="462"/>
      <c r="DW48" s="462"/>
      <c r="DX48" s="462"/>
      <c r="DY48" s="462"/>
      <c r="DZ48" s="462"/>
      <c r="EA48" s="503"/>
      <c r="EH48" s="8"/>
    </row>
    <row r="49" spans="1:138" ht="12.75" hidden="1" customHeight="1" outlineLevel="1" x14ac:dyDescent="0.2">
      <c r="A49" s="148" t="s">
        <v>244</v>
      </c>
      <c r="B49" s="20"/>
      <c r="C49" s="20"/>
      <c r="D49" s="20"/>
      <c r="E49" s="20"/>
      <c r="F49" s="199"/>
      <c r="G49" s="20">
        <f t="shared" ref="G49:AO49" si="186">G48/B48-1</f>
        <v>-5.7094868685408362E-2</v>
      </c>
      <c r="H49" s="20">
        <f t="shared" si="186"/>
        <v>-0.18017467827801548</v>
      </c>
      <c r="I49" s="20">
        <f t="shared" si="186"/>
        <v>-0.20483029190512192</v>
      </c>
      <c r="J49" s="20">
        <f t="shared" si="186"/>
        <v>-0.24892060544401395</v>
      </c>
      <c r="K49" s="199">
        <f t="shared" si="186"/>
        <v>-0.17172539634741379</v>
      </c>
      <c r="L49" s="20">
        <f t="shared" si="186"/>
        <v>-0.10558963304714164</v>
      </c>
      <c r="M49" s="20">
        <f t="shared" si="186"/>
        <v>-3.0105820094556646E-2</v>
      </c>
      <c r="N49" s="20">
        <f t="shared" si="186"/>
        <v>1.6132202628327708E-2</v>
      </c>
      <c r="O49" s="20">
        <f t="shared" si="186"/>
        <v>0.12247207110076586</v>
      </c>
      <c r="P49" s="199">
        <f t="shared" si="186"/>
        <v>-8.5680562451417863E-3</v>
      </c>
      <c r="Q49" s="20">
        <f t="shared" si="186"/>
        <v>3.4855475520209511E-2</v>
      </c>
      <c r="R49" s="20">
        <f t="shared" si="186"/>
        <v>6.0946211777745063E-2</v>
      </c>
      <c r="S49" s="20">
        <f t="shared" si="186"/>
        <v>7.9690317753497553E-2</v>
      </c>
      <c r="T49" s="20">
        <f t="shared" si="186"/>
        <v>4.5547328280764798E-2</v>
      </c>
      <c r="U49" s="199">
        <f t="shared" si="186"/>
        <v>5.4761424167665274E-2</v>
      </c>
      <c r="V49" s="20">
        <f t="shared" si="186"/>
        <v>-4.8707425547145911E-2</v>
      </c>
      <c r="W49" s="20">
        <f t="shared" si="186"/>
        <v>-8.3799774476964406E-2</v>
      </c>
      <c r="X49" s="20">
        <f t="shared" si="186"/>
        <v>-9.6471539116506411E-2</v>
      </c>
      <c r="Y49" s="20">
        <f t="shared" si="186"/>
        <v>-0.12017809033147142</v>
      </c>
      <c r="Z49" s="199">
        <f t="shared" si="186"/>
        <v>-8.7148162033982346E-2</v>
      </c>
      <c r="AA49" s="20">
        <f t="shared" si="186"/>
        <v>-2.8191835009704236E-2</v>
      </c>
      <c r="AB49" s="20">
        <f t="shared" si="186"/>
        <v>6.3434096185086553E-3</v>
      </c>
      <c r="AC49" s="20">
        <f t="shared" si="186"/>
        <v>3.2335032635680383E-2</v>
      </c>
      <c r="AD49" s="20">
        <f t="shared" si="186"/>
        <v>5.5332390708008994E-2</v>
      </c>
      <c r="AE49" s="199">
        <f t="shared" si="186"/>
        <v>1.6717411485817291E-2</v>
      </c>
      <c r="AF49" s="20">
        <f t="shared" si="186"/>
        <v>3.8105441447510158E-2</v>
      </c>
      <c r="AG49" s="20">
        <f t="shared" si="186"/>
        <v>0.1274027189122755</v>
      </c>
      <c r="AH49" s="20">
        <f t="shared" si="186"/>
        <v>0.10058596334960734</v>
      </c>
      <c r="AI49" s="20">
        <f t="shared" si="186"/>
        <v>8.4012857995416246E-2</v>
      </c>
      <c r="AJ49" s="199">
        <f t="shared" si="186"/>
        <v>8.9948049791458873E-2</v>
      </c>
      <c r="AK49" s="20">
        <f t="shared" si="186"/>
        <v>0.11156638873070102</v>
      </c>
      <c r="AL49" s="20">
        <f t="shared" si="186"/>
        <v>6.4529489377614935E-2</v>
      </c>
      <c r="AM49" s="20">
        <f t="shared" si="186"/>
        <v>7.0837853444042587E-2</v>
      </c>
      <c r="AN49" s="20">
        <f t="shared" si="186"/>
        <v>6.595592895785729E-2</v>
      </c>
      <c r="AO49" s="199">
        <f t="shared" si="186"/>
        <v>7.6580770405153542E-2</v>
      </c>
      <c r="AP49" s="317"/>
      <c r="AQ49" s="20"/>
      <c r="AR49" s="20"/>
      <c r="AS49" s="20"/>
      <c r="AT49" s="206"/>
      <c r="AU49" s="20"/>
      <c r="AV49" s="20"/>
      <c r="AW49" s="20"/>
      <c r="AX49" s="20"/>
      <c r="AY49" s="206"/>
      <c r="AZ49" s="317">
        <f t="shared" ref="AZ49:CA49" si="187">AZ48/AU48-1</f>
        <v>-0.12136602489221582</v>
      </c>
      <c r="BA49" s="20">
        <f t="shared" si="187"/>
        <v>-0.2088153454927224</v>
      </c>
      <c r="BB49" s="20">
        <f t="shared" si="187"/>
        <v>-0.19575445321854668</v>
      </c>
      <c r="BC49" s="20">
        <f t="shared" si="187"/>
        <v>-6.6015331684441958E-2</v>
      </c>
      <c r="BD49" s="206">
        <f t="shared" si="187"/>
        <v>-0.15343495100960525</v>
      </c>
      <c r="BE49" s="317">
        <f t="shared" si="187"/>
        <v>7.5779704859948005E-2</v>
      </c>
      <c r="BF49" s="20">
        <f t="shared" si="187"/>
        <v>0.19982388446111798</v>
      </c>
      <c r="BG49" s="20">
        <f t="shared" si="187"/>
        <v>0.17828984843061813</v>
      </c>
      <c r="BH49" s="20">
        <f t="shared" si="187"/>
        <v>8.3999841106081607E-2</v>
      </c>
      <c r="BI49" s="206">
        <f>BI48/BD48-1</f>
        <v>0.13803101839218934</v>
      </c>
      <c r="BJ49" s="317">
        <f t="shared" si="187"/>
        <v>7.316168461984307E-2</v>
      </c>
      <c r="BK49" s="20">
        <f t="shared" si="187"/>
        <v>9.841600346198498E-2</v>
      </c>
      <c r="BL49" s="20">
        <f t="shared" si="187"/>
        <v>0.10864422636568816</v>
      </c>
      <c r="BM49" s="20">
        <f t="shared" si="187"/>
        <v>0.1227758483880772</v>
      </c>
      <c r="BN49" s="317">
        <f>BN48/BI48-1</f>
        <v>0.1002743737194618</v>
      </c>
      <c r="BO49" s="317">
        <f t="shared" si="187"/>
        <v>0.14505134991587787</v>
      </c>
      <c r="BP49" s="20">
        <f t="shared" si="187"/>
        <v>8.0501560710043218E-2</v>
      </c>
      <c r="BQ49" s="20">
        <f t="shared" si="187"/>
        <v>2.9931270568051671E-2</v>
      </c>
      <c r="BR49" s="20">
        <f t="shared" si="187"/>
        <v>4.4914170861295899E-2</v>
      </c>
      <c r="BS49" s="206">
        <f>BS48/BN48-1</f>
        <v>7.1660270896647615E-2</v>
      </c>
      <c r="BT49" s="317">
        <f t="shared" si="187"/>
        <v>5.227133787331506E-2</v>
      </c>
      <c r="BU49" s="20">
        <f t="shared" si="187"/>
        <v>7.1666620449384322E-3</v>
      </c>
      <c r="BV49" s="20">
        <f t="shared" si="187"/>
        <v>4.5232624068457072E-2</v>
      </c>
      <c r="BW49" s="20">
        <f t="shared" si="187"/>
        <v>3.358668084680283E-2</v>
      </c>
      <c r="BX49" s="206">
        <f>BX48/BS48-1</f>
        <v>3.4333113384598768E-2</v>
      </c>
      <c r="BY49" s="317">
        <f t="shared" si="187"/>
        <v>3.3303044418945271E-2</v>
      </c>
      <c r="BZ49" s="20">
        <f t="shared" si="187"/>
        <v>7.0172901637253204E-2</v>
      </c>
      <c r="CA49" s="20">
        <f t="shared" si="187"/>
        <v>3.2083667214176437E-2</v>
      </c>
      <c r="CB49" s="20">
        <f t="shared" ref="CB49:CK49" si="188">CB48/BW48-1</f>
        <v>2.1362559672939874E-2</v>
      </c>
      <c r="CC49" s="206">
        <f t="shared" si="188"/>
        <v>3.9649617705074913E-2</v>
      </c>
      <c r="CD49" s="317">
        <f t="shared" si="188"/>
        <v>-6.7158332641185092E-3</v>
      </c>
      <c r="CE49" s="20">
        <f t="shared" si="188"/>
        <v>-4.4154785986003309E-2</v>
      </c>
      <c r="CF49" s="20">
        <f t="shared" si="188"/>
        <v>-4.8585450466757441E-2</v>
      </c>
      <c r="CG49" s="20">
        <f t="shared" si="188"/>
        <v>-1.3977894607703711E-2</v>
      </c>
      <c r="CH49" s="206">
        <f t="shared" si="188"/>
        <v>-3.0134254050865339E-2</v>
      </c>
      <c r="CI49" s="317">
        <f t="shared" si="188"/>
        <v>-4.5317941339757972E-2</v>
      </c>
      <c r="CJ49" s="20">
        <f t="shared" si="188"/>
        <v>-4.5776018838418087E-2</v>
      </c>
      <c r="CK49" s="20">
        <f t="shared" si="188"/>
        <v>-6.9700315329350282E-2</v>
      </c>
      <c r="CL49" s="20">
        <f t="shared" ref="CL49" si="189">CL48/CG48-1</f>
        <v>-2.8631684773738231E-2</v>
      </c>
      <c r="CM49" s="206">
        <f t="shared" ref="CM49:CP49" si="190">CM48/CH48-1</f>
        <v>-4.8337273330623209E-2</v>
      </c>
      <c r="CN49" s="317">
        <f t="shared" si="190"/>
        <v>-1.9417886790111805E-3</v>
      </c>
      <c r="CO49" s="20">
        <f t="shared" si="190"/>
        <v>2.294613055053385E-2</v>
      </c>
      <c r="CP49" s="20">
        <f t="shared" si="190"/>
        <v>1.9734789662563701E-2</v>
      </c>
      <c r="CQ49" s="20">
        <f t="shared" ref="CQ49" si="191">CQ48/CL48-1</f>
        <v>4.3527139833648087E-2</v>
      </c>
      <c r="CR49" s="206">
        <f t="shared" ref="CR49" si="192">CR48/CM48-1</f>
        <v>2.1357801304741297E-2</v>
      </c>
      <c r="CS49" s="317"/>
      <c r="CT49" s="20"/>
      <c r="CU49" s="20"/>
      <c r="CV49" s="20"/>
      <c r="CW49" s="206"/>
      <c r="CX49" s="317"/>
      <c r="CY49" s="609"/>
      <c r="CZ49" s="609"/>
      <c r="DA49" s="609"/>
      <c r="DB49" s="610"/>
      <c r="DC49" s="605"/>
      <c r="DD49" s="605"/>
      <c r="DE49" s="609"/>
      <c r="DF49" s="609"/>
      <c r="DG49" s="610"/>
      <c r="DH49" s="605"/>
      <c r="DI49" s="605"/>
      <c r="DJ49" s="609"/>
      <c r="DK49" s="609"/>
      <c r="DL49" s="610"/>
      <c r="DM49" s="33"/>
      <c r="DN49" s="499"/>
      <c r="DO49" s="486"/>
      <c r="DP49" s="411"/>
      <c r="DQ49" s="411"/>
      <c r="DR49" s="411"/>
      <c r="DS49" s="556"/>
      <c r="DT49" s="556"/>
      <c r="DU49" s="461"/>
      <c r="DV49" s="461"/>
      <c r="DW49" s="461"/>
      <c r="DX49" s="461"/>
      <c r="DY49" s="461"/>
      <c r="DZ49" s="461"/>
      <c r="EA49" s="499"/>
      <c r="EH49" s="8"/>
    </row>
    <row r="50" spans="1:138" ht="12.75" hidden="1" customHeight="1" outlineLevel="1" x14ac:dyDescent="0.2">
      <c r="A50" s="386" t="s">
        <v>42</v>
      </c>
      <c r="B50" s="20"/>
      <c r="C50" s="20">
        <f>C48/B48-1</f>
        <v>0.11549163413686214</v>
      </c>
      <c r="D50" s="20">
        <f>D48/C48-1</f>
        <v>-5.7596597933170512E-2</v>
      </c>
      <c r="E50" s="20">
        <f>E48/D48-1</f>
        <v>-3.2102626843993676E-2</v>
      </c>
      <c r="F50" s="201"/>
      <c r="G50" s="20">
        <f>G48/E48-1</f>
        <v>-7.3307762384488662E-2</v>
      </c>
      <c r="H50" s="20">
        <f>H48/G48-1</f>
        <v>-3.0116331470765978E-2</v>
      </c>
      <c r="I50" s="20">
        <f>I48/H48-1</f>
        <v>-8.5938652693598905E-2</v>
      </c>
      <c r="J50" s="20">
        <f>J48/I48-1</f>
        <v>-8.5770288251973859E-2</v>
      </c>
      <c r="K50" s="201"/>
      <c r="L50" s="20">
        <f>L48/J48-1</f>
        <v>0.10353599140879144</v>
      </c>
      <c r="M50" s="20">
        <f>M48/L48-1</f>
        <v>5.1737054990357745E-2</v>
      </c>
      <c r="N50" s="20">
        <f>N48/M48-1</f>
        <v>-4.2362363421521887E-2</v>
      </c>
      <c r="O50" s="20">
        <f>O48/N48-1</f>
        <v>9.9053207380899178E-3</v>
      </c>
      <c r="P50" s="201"/>
      <c r="Q50" s="20">
        <f>Q48/O48-1</f>
        <v>1.739748591080259E-2</v>
      </c>
      <c r="R50" s="20">
        <f>R48/Q48-1</f>
        <v>7.8253408977117633E-2</v>
      </c>
      <c r="S50" s="20">
        <f>S48/R48-1</f>
        <v>-2.5443445999385306E-2</v>
      </c>
      <c r="T50" s="20">
        <f>T48/S48-1</f>
        <v>-2.2030861486978304E-2</v>
      </c>
      <c r="U50" s="201"/>
      <c r="V50" s="20">
        <f>V48/T48-1</f>
        <v>-7.4319595646223813E-2</v>
      </c>
      <c r="W50" s="20">
        <f>W48/V48-1</f>
        <v>3.8477586187420698E-2</v>
      </c>
      <c r="X50" s="20">
        <f>X48/W48-1</f>
        <v>-3.8922324236038253E-2</v>
      </c>
      <c r="Y50" s="20">
        <f>Y48/X48-1</f>
        <v>-4.769056837229757E-2</v>
      </c>
      <c r="Z50" s="201"/>
      <c r="AA50" s="20">
        <f>AA48/Y48-1</f>
        <v>2.2461210884637817E-2</v>
      </c>
      <c r="AB50" s="20">
        <f>AB48/AA48-1</f>
        <v>7.5382068750866393E-2</v>
      </c>
      <c r="AC50" s="20">
        <f>AC48/AB48-1</f>
        <v>-1.4099814941575639E-2</v>
      </c>
      <c r="AD50" s="20">
        <f>AD48/AC48-1</f>
        <v>-2.6475942981853406E-2</v>
      </c>
      <c r="AE50" s="201"/>
      <c r="AF50" s="20">
        <f>AF48/AD48-1</f>
        <v>5.7708415225066201E-3</v>
      </c>
      <c r="AG50" s="20">
        <f>AG48/AF48-1</f>
        <v>0.16788586185301924</v>
      </c>
      <c r="AH50" s="20">
        <f>AH48/AG48-1</f>
        <v>-3.7550746741180752E-2</v>
      </c>
      <c r="AI50" s="20">
        <f>AI48/AH48-1</f>
        <v>-4.1135694513389387E-2</v>
      </c>
      <c r="AJ50" s="201"/>
      <c r="AK50" s="20">
        <f>AK48/AI48-1</f>
        <v>3.1335610049136875E-2</v>
      </c>
      <c r="AL50" s="20">
        <f>AL48/AK48-1</f>
        <v>0.11846575496889367</v>
      </c>
      <c r="AM50" s="20">
        <f>AM48/AL48-1</f>
        <v>-3.1847306540038089E-2</v>
      </c>
      <c r="AN50" s="20">
        <f>AN48/AM48-1</f>
        <v>-4.5507134238674252E-2</v>
      </c>
      <c r="AO50" s="201"/>
      <c r="AP50" s="317"/>
      <c r="AQ50" s="20"/>
      <c r="AR50" s="20"/>
      <c r="AS50" s="20"/>
      <c r="AT50" s="206"/>
      <c r="AU50" s="20"/>
      <c r="AV50" s="20">
        <f>AV48/AU48-1</f>
        <v>9.547517954847784E-2</v>
      </c>
      <c r="AW50" s="20">
        <f>AW48/AV48-1</f>
        <v>3.901072102313452E-2</v>
      </c>
      <c r="AX50" s="20">
        <f>AX48/AW48-1</f>
        <v>-0.11369742287754525</v>
      </c>
      <c r="AY50" s="206"/>
      <c r="AZ50" s="317">
        <f>AZ48/AX48-1</f>
        <v>-0.12902957227882061</v>
      </c>
      <c r="BA50" s="20">
        <f>BA48/AZ48-1</f>
        <v>-1.3556069982341379E-2</v>
      </c>
      <c r="BB50" s="20">
        <f>BB48/BA48-1</f>
        <v>5.6162731014339551E-2</v>
      </c>
      <c r="BC50" s="20">
        <f>BC48/BB48-1</f>
        <v>2.9278958190968707E-2</v>
      </c>
      <c r="BD50" s="206"/>
      <c r="BE50" s="317">
        <f>BE48/BC48-1</f>
        <v>3.1988119949155625E-3</v>
      </c>
      <c r="BF50" s="20">
        <f>BF48/BE48-1</f>
        <v>0.10018713177988592</v>
      </c>
      <c r="BG50" s="20">
        <f>BG48/BF48-1</f>
        <v>3.7207077106892417E-2</v>
      </c>
      <c r="BH50" s="20">
        <f>BH48/BG48-1</f>
        <v>-5.3086786227589444E-2</v>
      </c>
      <c r="BI50" s="206"/>
      <c r="BJ50" s="317">
        <f>BJ48/BH48-1</f>
        <v>-6.8314714967453449E-3</v>
      </c>
      <c r="BK50" s="20">
        <f>BK48/BJ48-1</f>
        <v>0.12607743052068865</v>
      </c>
      <c r="BL50" s="20">
        <f>BL48/BK48-1</f>
        <v>4.6865335133460695E-2</v>
      </c>
      <c r="BM50" s="20">
        <f>BM48/BL48-1</f>
        <v>-4.1016710628220876E-2</v>
      </c>
      <c r="BN50" s="317"/>
      <c r="BO50" s="317">
        <f>BO48/BM48-1</f>
        <v>1.287266366594042E-2</v>
      </c>
      <c r="BP50" s="20">
        <f>BP48/BO48-1</f>
        <v>6.2597254915552014E-2</v>
      </c>
      <c r="BQ50" s="20">
        <f>BQ48/BP48-1</f>
        <v>-2.1306919546474345E-3</v>
      </c>
      <c r="BR50" s="20">
        <f>BR48/BQ48-1</f>
        <v>-2.7065924378551931E-2</v>
      </c>
      <c r="BS50" s="206"/>
      <c r="BT50" s="317">
        <f>BT48/BR48-1</f>
        <v>2.0004228684679104E-2</v>
      </c>
      <c r="BU50" s="20">
        <f>BU48/BT48-1</f>
        <v>1.7049967828978385E-2</v>
      </c>
      <c r="BV50" s="20">
        <f>BV48/BU48-1</f>
        <v>3.558387566950838E-2</v>
      </c>
      <c r="BW50" s="20">
        <f>BW48/BV48-1</f>
        <v>-3.79063198486016E-2</v>
      </c>
      <c r="BX50" s="206"/>
      <c r="BY50" s="317">
        <f>BY48/BW48-1</f>
        <v>1.9724319547705038E-2</v>
      </c>
      <c r="BZ50" s="20">
        <f>BZ48/BY48-1</f>
        <v>5.3339890035513093E-2</v>
      </c>
      <c r="CA50" s="20">
        <f>CA48/BZ48-1</f>
        <v>-1.274277760454301E-3</v>
      </c>
      <c r="CB50" s="20">
        <f>CB48/CA48-1</f>
        <v>-4.7900383447620598E-2</v>
      </c>
      <c r="CC50" s="206"/>
      <c r="CD50" s="317">
        <f>CD48/CB48-1</f>
        <v>-8.3090363459196181E-3</v>
      </c>
      <c r="CE50" s="20">
        <f>CE48/CD48-1</f>
        <v>1.3637311796791396E-2</v>
      </c>
      <c r="CF50" s="20">
        <f>CF48/CE48-1</f>
        <v>-5.9037078383219477E-3</v>
      </c>
      <c r="CG50" s="20">
        <f>CG48/CF48-1</f>
        <v>-1.3267908382586957E-2</v>
      </c>
      <c r="CH50" s="206"/>
      <c r="CI50" s="317">
        <f>CI48/CG48-1</f>
        <v>-3.9829263909488821E-2</v>
      </c>
      <c r="CJ50" s="20">
        <f>CJ48/CI48-1</f>
        <v>1.3150946267949104E-2</v>
      </c>
      <c r="CK50" s="20">
        <f>CK48/CJ48-1</f>
        <v>-3.0827682611269003E-2</v>
      </c>
      <c r="CL50" s="20">
        <f>CL48/CK48-1</f>
        <v>3.0291964200136912E-2</v>
      </c>
      <c r="CM50" s="206"/>
      <c r="CN50" s="317">
        <f>CN48/CL48-1</f>
        <v>-1.3447039188185128E-2</v>
      </c>
      <c r="CO50" s="20">
        <f>CO48/CN48-1</f>
        <v>3.8415223072685967E-2</v>
      </c>
      <c r="CP50" s="20">
        <f>CP48/CO48-1</f>
        <v>-3.3870211046900689E-2</v>
      </c>
      <c r="CQ50" s="20">
        <f>CQ48/CP48-1</f>
        <v>5.4330633312147603E-2</v>
      </c>
      <c r="CR50" s="206"/>
      <c r="CS50" s="317"/>
      <c r="CT50" s="20"/>
      <c r="CU50" s="20"/>
      <c r="CV50" s="20"/>
      <c r="CW50" s="206"/>
      <c r="CX50" s="317"/>
      <c r="CY50" s="605"/>
      <c r="CZ50" s="605"/>
      <c r="DA50" s="605"/>
      <c r="DB50" s="606"/>
      <c r="DC50" s="605"/>
      <c r="DD50" s="605"/>
      <c r="DE50" s="605"/>
      <c r="DF50" s="605"/>
      <c r="DG50" s="606"/>
      <c r="DH50" s="605"/>
      <c r="DI50" s="605"/>
      <c r="DJ50" s="605"/>
      <c r="DK50" s="605"/>
      <c r="DL50" s="606"/>
      <c r="DM50" s="33"/>
      <c r="DN50" s="499"/>
      <c r="DO50" s="488">
        <f>AVERAGE(AF50,AK50,AP50,AU50,AZ50,BE50,BJ50,AA50)</f>
        <v>-1.2182428220728181E-2</v>
      </c>
      <c r="DP50" s="405">
        <f>AVERAGE(AG50,AL50,AQ50,AV50,BA50,BF50,BK50,AB50)</f>
        <v>9.5702479634212897E-2</v>
      </c>
      <c r="DQ50" s="405">
        <f>AVERAGE(AH50,AM50,AR50,AW50,BB50,BG50,AC50)</f>
        <v>8.1471101535953352E-3</v>
      </c>
      <c r="DR50" s="405">
        <f>AVERAGE(AI50,AN50,AS50,AX50,BC50,BH50,AD50)</f>
        <v>-4.177067044134717E-2</v>
      </c>
      <c r="DS50" s="556"/>
      <c r="DT50" s="556"/>
      <c r="DU50" s="461"/>
      <c r="DV50" s="461"/>
      <c r="DW50" s="461"/>
      <c r="DX50" s="461"/>
      <c r="DY50" s="461"/>
      <c r="DZ50" s="461"/>
      <c r="EA50" s="499"/>
      <c r="EH50" s="8"/>
    </row>
    <row r="51" spans="1:138" ht="12.75" hidden="1" customHeight="1" outlineLevel="1" x14ac:dyDescent="0.2">
      <c r="A51" s="115" t="s">
        <v>46</v>
      </c>
      <c r="B51" s="20"/>
      <c r="C51" s="20"/>
      <c r="D51" s="20"/>
      <c r="E51" s="20"/>
      <c r="F51" s="201"/>
      <c r="G51" s="20"/>
      <c r="H51" s="20"/>
      <c r="I51" s="20"/>
      <c r="J51" s="20"/>
      <c r="K51" s="201"/>
      <c r="L51" s="20"/>
      <c r="M51" s="20"/>
      <c r="N51" s="20"/>
      <c r="O51" s="20"/>
      <c r="P51" s="201"/>
      <c r="Q51" s="20"/>
      <c r="R51" s="20"/>
      <c r="S51" s="20"/>
      <c r="T51" s="20"/>
      <c r="U51" s="201"/>
      <c r="V51" s="20">
        <f t="shared" ref="V51:AO51" si="193">V46/V29</f>
        <v>0.7898796667695156</v>
      </c>
      <c r="W51" s="20">
        <f t="shared" si="193"/>
        <v>0.79184901531728669</v>
      </c>
      <c r="X51" s="20">
        <f t="shared" si="193"/>
        <v>0.78956228956228958</v>
      </c>
      <c r="Y51" s="20">
        <f t="shared" si="193"/>
        <v>0.78431961550015017</v>
      </c>
      <c r="Z51" s="201">
        <f t="shared" si="193"/>
        <v>0.78897751994198695</v>
      </c>
      <c r="AA51" s="20">
        <f t="shared" si="193"/>
        <v>0.793351302785265</v>
      </c>
      <c r="AB51" s="20">
        <f t="shared" si="193"/>
        <v>0.78580645161290319</v>
      </c>
      <c r="AC51" s="20">
        <f t="shared" si="193"/>
        <v>0.78154716011308145</v>
      </c>
      <c r="AD51" s="20">
        <f t="shared" si="193"/>
        <v>0.75703324808184147</v>
      </c>
      <c r="AE51" s="201">
        <f t="shared" si="193"/>
        <v>0.77947210065645511</v>
      </c>
      <c r="AF51" s="20">
        <f t="shared" si="193"/>
        <v>0.74395702775290962</v>
      </c>
      <c r="AG51" s="20">
        <f t="shared" si="193"/>
        <v>0.75421515079553547</v>
      </c>
      <c r="AH51" s="20">
        <f t="shared" si="193"/>
        <v>0.75941273975846557</v>
      </c>
      <c r="AI51" s="20">
        <f t="shared" si="193"/>
        <v>0.74541531823085216</v>
      </c>
      <c r="AJ51" s="201">
        <f t="shared" si="193"/>
        <v>0.75130704188988573</v>
      </c>
      <c r="AK51" s="20">
        <f t="shared" si="193"/>
        <v>0.74611260053619299</v>
      </c>
      <c r="AL51" s="20">
        <f t="shared" si="193"/>
        <v>0.75317160026708208</v>
      </c>
      <c r="AM51" s="20">
        <f t="shared" si="193"/>
        <v>0.7630444156964209</v>
      </c>
      <c r="AN51" s="20">
        <f t="shared" si="193"/>
        <v>0.75043029259896732</v>
      </c>
      <c r="AO51" s="201">
        <f t="shared" si="193"/>
        <v>0.75366257088846877</v>
      </c>
      <c r="AP51" s="317"/>
      <c r="AQ51" s="20"/>
      <c r="AR51" s="20"/>
      <c r="AS51" s="20"/>
      <c r="AT51" s="206"/>
      <c r="AU51" s="20">
        <f t="shared" ref="AU51:BT51" si="194">AU46/AU29</f>
        <v>0.78774970622796714</v>
      </c>
      <c r="AV51" s="20">
        <f t="shared" si="194"/>
        <v>0.79163507707859493</v>
      </c>
      <c r="AW51" s="20">
        <f t="shared" si="194"/>
        <v>0.80705967102893506</v>
      </c>
      <c r="AX51" s="20">
        <f t="shared" si="194"/>
        <v>0.79149767162385454</v>
      </c>
      <c r="AY51" s="206">
        <f t="shared" si="194"/>
        <v>0.79503837350208695</v>
      </c>
      <c r="AZ51" s="317">
        <f t="shared" si="194"/>
        <v>0.77968219960721297</v>
      </c>
      <c r="BA51" s="20">
        <f t="shared" si="194"/>
        <v>0.77316618668473658</v>
      </c>
      <c r="BB51" s="20">
        <f t="shared" si="194"/>
        <v>0.78510116492949111</v>
      </c>
      <c r="BC51" s="20">
        <f t="shared" si="194"/>
        <v>0.77331718290361651</v>
      </c>
      <c r="BD51" s="206">
        <f t="shared" si="194"/>
        <v>0.77800646868568069</v>
      </c>
      <c r="BE51" s="317">
        <f t="shared" si="194"/>
        <v>0.77264898380985192</v>
      </c>
      <c r="BF51" s="20">
        <f t="shared" si="194"/>
        <v>0.78185190469396493</v>
      </c>
      <c r="BG51" s="20">
        <f t="shared" si="194"/>
        <v>0.79794212218649518</v>
      </c>
      <c r="BH51" s="20">
        <f t="shared" si="194"/>
        <v>0.78554289142171563</v>
      </c>
      <c r="BI51" s="206">
        <f t="shared" si="194"/>
        <v>0.78538410741800568</v>
      </c>
      <c r="BJ51" s="317">
        <f t="shared" si="194"/>
        <v>0.78083650190114073</v>
      </c>
      <c r="BK51" s="20">
        <f t="shared" si="194"/>
        <v>0.78659232036497273</v>
      </c>
      <c r="BL51" s="20">
        <f t="shared" si="194"/>
        <v>0.80030345471521946</v>
      </c>
      <c r="BM51" s="20">
        <f t="shared" si="194"/>
        <v>0.78443859892011625</v>
      </c>
      <c r="BN51" s="317">
        <f t="shared" si="194"/>
        <v>0.78871005056681098</v>
      </c>
      <c r="BO51" s="317">
        <f t="shared" si="194"/>
        <v>0.7853584278992527</v>
      </c>
      <c r="BP51" s="20">
        <f t="shared" si="194"/>
        <v>0.78617915039640274</v>
      </c>
      <c r="BQ51" s="20">
        <f t="shared" si="194"/>
        <v>0.80729406350667277</v>
      </c>
      <c r="BR51" s="20">
        <f t="shared" si="194"/>
        <v>0.79510621134713633</v>
      </c>
      <c r="BS51" s="206">
        <f t="shared" si="194"/>
        <v>0.79385041028704373</v>
      </c>
      <c r="BT51" s="317">
        <f t="shared" si="194"/>
        <v>0.80130915041592798</v>
      </c>
      <c r="BU51" s="20">
        <f t="shared" ref="BU51:BZ51" si="195">BU46/BU29</f>
        <v>0.80009418412997413</v>
      </c>
      <c r="BV51" s="20">
        <f t="shared" si="195"/>
        <v>0.81759239247892801</v>
      </c>
      <c r="BW51" s="20">
        <f t="shared" si="195"/>
        <v>0.80162560325120646</v>
      </c>
      <c r="BX51" s="206">
        <f t="shared" si="195"/>
        <v>0.8056440600819299</v>
      </c>
      <c r="BY51" s="317">
        <f t="shared" si="195"/>
        <v>0.81073335938517654</v>
      </c>
      <c r="BZ51" s="20">
        <f t="shared" si="195"/>
        <v>0.81826030649687032</v>
      </c>
      <c r="CA51" s="20">
        <f t="shared" ref="CA51:CF51" si="196">CA46/CA29</f>
        <v>0.83306055646481181</v>
      </c>
      <c r="CB51" s="20">
        <f t="shared" si="196"/>
        <v>0.81821493624772312</v>
      </c>
      <c r="CC51" s="206">
        <f t="shared" si="196"/>
        <v>0.82073582422612579</v>
      </c>
      <c r="CD51" s="317">
        <f t="shared" si="196"/>
        <v>0.82658084059068537</v>
      </c>
      <c r="CE51" s="20">
        <f t="shared" si="196"/>
        <v>0.83017835649414595</v>
      </c>
      <c r="CF51" s="20">
        <f t="shared" si="196"/>
        <v>0.83991662324127148</v>
      </c>
      <c r="CG51" s="20">
        <f>CG46/CG29</f>
        <v>0.82498461538461543</v>
      </c>
      <c r="CH51" s="206">
        <f>CH46/CH29</f>
        <v>0.83083203956069229</v>
      </c>
      <c r="CI51" s="317">
        <f>CI46/CI29</f>
        <v>0.83019840247358934</v>
      </c>
      <c r="CJ51" s="20">
        <f t="shared" ref="CJ51:CK51" si="197">CJ46/CJ29</f>
        <v>0.83288740245261983</v>
      </c>
      <c r="CK51" s="20">
        <f t="shared" si="197"/>
        <v>0.83948847977069785</v>
      </c>
      <c r="CL51" s="20">
        <f>CL46/CL29</f>
        <v>0.82455480311010787</v>
      </c>
      <c r="CM51" s="206">
        <f>CM46/CM29</f>
        <v>0.83207508067619973</v>
      </c>
      <c r="CN51" s="317">
        <f>CN46/CN29</f>
        <v>0.8329864724245577</v>
      </c>
      <c r="CO51" s="20">
        <f t="shared" ref="CO51:CP51" si="198">CO46/CO29</f>
        <v>0.8340374823962734</v>
      </c>
      <c r="CP51" s="20">
        <f t="shared" si="198"/>
        <v>0.84306841153314183</v>
      </c>
      <c r="CQ51" s="20">
        <f>CQ46/CQ29</f>
        <v>0.83260792847900245</v>
      </c>
      <c r="CR51" s="206">
        <f>CR46/CR29</f>
        <v>0.83589419569775125</v>
      </c>
      <c r="CS51" s="317"/>
      <c r="CT51" s="20"/>
      <c r="CU51" s="20"/>
      <c r="CV51" s="20"/>
      <c r="CW51" s="206"/>
      <c r="CX51" s="317"/>
      <c r="CY51" s="605"/>
      <c r="CZ51" s="605"/>
      <c r="DA51" s="605"/>
      <c r="DB51" s="606"/>
      <c r="DC51" s="605"/>
      <c r="DD51" s="605"/>
      <c r="DE51" s="605"/>
      <c r="DF51" s="605"/>
      <c r="DG51" s="606"/>
      <c r="DH51" s="605"/>
      <c r="DI51" s="605"/>
      <c r="DJ51" s="605"/>
      <c r="DK51" s="605"/>
      <c r="DL51" s="606"/>
      <c r="DM51" s="33"/>
      <c r="DN51" s="499"/>
      <c r="DO51" s="486"/>
      <c r="DP51" s="411"/>
      <c r="DQ51" s="411"/>
      <c r="DR51" s="411"/>
      <c r="DS51" s="556"/>
      <c r="DT51" s="556"/>
      <c r="DU51" s="461"/>
      <c r="DV51" s="461"/>
      <c r="DW51" s="461"/>
      <c r="DX51" s="461"/>
      <c r="DY51" s="461"/>
      <c r="DZ51" s="461"/>
      <c r="EA51" s="499"/>
      <c r="EH51" s="8"/>
    </row>
    <row r="52" spans="1:138" ht="12.75" hidden="1" customHeight="1" outlineLevel="1" x14ac:dyDescent="0.2">
      <c r="A52" s="144" t="s">
        <v>181</v>
      </c>
      <c r="B52" s="893"/>
      <c r="C52" s="891"/>
      <c r="D52" s="891"/>
      <c r="E52" s="891"/>
      <c r="F52" s="185"/>
      <c r="G52" s="893"/>
      <c r="H52" s="891"/>
      <c r="I52" s="891"/>
      <c r="J52" s="891"/>
      <c r="K52" s="185"/>
      <c r="L52" s="893"/>
      <c r="M52" s="891"/>
      <c r="N52" s="891"/>
      <c r="O52" s="891"/>
      <c r="P52" s="185"/>
      <c r="Q52" s="893"/>
      <c r="R52" s="891"/>
      <c r="S52" s="891"/>
      <c r="T52" s="891"/>
      <c r="U52" s="185"/>
      <c r="V52" s="893">
        <v>681</v>
      </c>
      <c r="W52" s="891">
        <v>761</v>
      </c>
      <c r="X52" s="891">
        <v>750</v>
      </c>
      <c r="Y52" s="891">
        <v>718</v>
      </c>
      <c r="Z52" s="185">
        <f>SUM(V52:Y52)</f>
        <v>2910</v>
      </c>
      <c r="AA52" s="893">
        <v>690</v>
      </c>
      <c r="AB52" s="891">
        <v>830</v>
      </c>
      <c r="AC52" s="891">
        <v>850</v>
      </c>
      <c r="AD52" s="891">
        <v>855</v>
      </c>
      <c r="AE52" s="185">
        <f>SUM(AA52:AD52)</f>
        <v>3225</v>
      </c>
      <c r="AF52" s="893">
        <v>858</v>
      </c>
      <c r="AG52" s="891">
        <v>1035</v>
      </c>
      <c r="AH52" s="891">
        <v>1016</v>
      </c>
      <c r="AI52" s="891">
        <v>944</v>
      </c>
      <c r="AJ52" s="185">
        <f>SUM(AF52:AI52)</f>
        <v>3853</v>
      </c>
      <c r="AK52" s="893">
        <v>947</v>
      </c>
      <c r="AL52" s="891">
        <v>1109</v>
      </c>
      <c r="AM52" s="891">
        <v>1099</v>
      </c>
      <c r="AN52" s="891">
        <v>1015</v>
      </c>
      <c r="AO52" s="185">
        <f>SUM(AK52:AN52)</f>
        <v>4170</v>
      </c>
      <c r="AP52" s="890"/>
      <c r="AQ52" s="891"/>
      <c r="AR52" s="891"/>
      <c r="AS52" s="891"/>
      <c r="AT52" s="185"/>
      <c r="AU52" s="893">
        <v>1445</v>
      </c>
      <c r="AV52" s="891">
        <v>1649</v>
      </c>
      <c r="AW52" s="891">
        <v>1607</v>
      </c>
      <c r="AX52" s="891">
        <v>1388</v>
      </c>
      <c r="AY52" s="185">
        <f>SUM(AU52:AX52)</f>
        <v>6089</v>
      </c>
      <c r="AZ52" s="890">
        <v>1234</v>
      </c>
      <c r="BA52" s="891">
        <v>1339</v>
      </c>
      <c r="BB52" s="891">
        <v>1402</v>
      </c>
      <c r="BC52" s="891">
        <v>1310</v>
      </c>
      <c r="BD52" s="185">
        <f>SUM(AZ52:BC52)</f>
        <v>5285</v>
      </c>
      <c r="BE52" s="890">
        <v>1320</v>
      </c>
      <c r="BF52" s="891">
        <v>1529</v>
      </c>
      <c r="BG52" s="891">
        <v>1571</v>
      </c>
      <c r="BH52" s="891">
        <v>1430</v>
      </c>
      <c r="BI52" s="185">
        <f>SUM(BE52:BH52)</f>
        <v>5850</v>
      </c>
      <c r="BJ52" s="890">
        <v>1441</v>
      </c>
      <c r="BK52" s="891">
        <v>1684</v>
      </c>
      <c r="BL52" s="891">
        <v>1711</v>
      </c>
      <c r="BM52" s="891">
        <v>1557</v>
      </c>
      <c r="BN52" s="318">
        <f>SUM(BJ52:BM52)</f>
        <v>6393</v>
      </c>
      <c r="BO52" s="890">
        <v>1551</v>
      </c>
      <c r="BP52" s="891">
        <v>1807</v>
      </c>
      <c r="BQ52" s="891">
        <v>1675</v>
      </c>
      <c r="BR52" s="891">
        <v>1524</v>
      </c>
      <c r="BS52" s="185">
        <f>SUM(BO52:BR52)</f>
        <v>6557</v>
      </c>
      <c r="BT52" s="890">
        <v>1457</v>
      </c>
      <c r="BU52" s="891">
        <v>1698</v>
      </c>
      <c r="BV52" s="891">
        <v>1688</v>
      </c>
      <c r="BW52" s="891">
        <v>1562</v>
      </c>
      <c r="BX52" s="185">
        <f>SUM(BT52:BW52)</f>
        <v>6405</v>
      </c>
      <c r="BY52" s="890">
        <v>1453</v>
      </c>
      <c r="BZ52" s="891">
        <v>1684</v>
      </c>
      <c r="CA52" s="891">
        <v>1632</v>
      </c>
      <c r="CB52" s="891">
        <v>1497</v>
      </c>
      <c r="CC52" s="185">
        <f>SUM(BY52:CB52)</f>
        <v>6266</v>
      </c>
      <c r="CD52" s="890">
        <v>1374</v>
      </c>
      <c r="CE52" s="891">
        <v>1552</v>
      </c>
      <c r="CF52" s="891">
        <v>1536</v>
      </c>
      <c r="CG52" s="891">
        <v>1422</v>
      </c>
      <c r="CH52" s="185">
        <f>SUM(CD52:CG52)</f>
        <v>5884</v>
      </c>
      <c r="CI52" s="890">
        <v>1318</v>
      </c>
      <c r="CJ52" s="891">
        <v>1499</v>
      </c>
      <c r="CK52" s="891">
        <v>1456</v>
      </c>
      <c r="CL52" s="891">
        <v>1399</v>
      </c>
      <c r="CM52" s="185">
        <f>SUM(CI52:CL52)</f>
        <v>5672</v>
      </c>
      <c r="CN52" s="890">
        <v>1284</v>
      </c>
      <c r="CO52" s="891">
        <v>1532</v>
      </c>
      <c r="CP52" s="891">
        <v>1475</v>
      </c>
      <c r="CQ52" s="891">
        <v>1423</v>
      </c>
      <c r="CR52" s="185">
        <f>SUM(CN52:CQ52)</f>
        <v>5714</v>
      </c>
      <c r="CS52" s="890"/>
      <c r="CT52" s="891"/>
      <c r="CU52" s="891"/>
      <c r="CV52" s="891"/>
      <c r="CW52" s="185"/>
      <c r="CX52" s="890"/>
      <c r="CY52" s="603"/>
      <c r="CZ52" s="603"/>
      <c r="DA52" s="603"/>
      <c r="DB52" s="604"/>
      <c r="DC52" s="603"/>
      <c r="DD52" s="603"/>
      <c r="DE52" s="603"/>
      <c r="DF52" s="603"/>
      <c r="DG52" s="604"/>
      <c r="DH52" s="603"/>
      <c r="DI52" s="603"/>
      <c r="DJ52" s="603"/>
      <c r="DK52" s="603"/>
      <c r="DL52" s="604"/>
      <c r="DM52" s="414"/>
      <c r="DN52" s="502"/>
      <c r="DO52" s="489"/>
      <c r="DP52" s="414"/>
      <c r="DQ52" s="414"/>
      <c r="DR52" s="414"/>
      <c r="DS52" s="557"/>
      <c r="DT52" s="557"/>
      <c r="DU52" s="184"/>
      <c r="DV52" s="184"/>
      <c r="DW52" s="184"/>
      <c r="DX52" s="184"/>
      <c r="DY52" s="184"/>
      <c r="DZ52" s="184"/>
      <c r="EA52" s="502"/>
      <c r="EH52" s="318"/>
    </row>
    <row r="53" spans="1:138" ht="12.75" hidden="1" customHeight="1" outlineLevel="1" x14ac:dyDescent="0.2">
      <c r="A53" s="142" t="s">
        <v>244</v>
      </c>
      <c r="B53" s="20"/>
      <c r="C53" s="20"/>
      <c r="D53" s="20"/>
      <c r="E53" s="20"/>
      <c r="F53" s="199"/>
      <c r="G53" s="20"/>
      <c r="H53" s="20"/>
      <c r="I53" s="20"/>
      <c r="J53" s="20"/>
      <c r="K53" s="199"/>
      <c r="L53" s="20"/>
      <c r="M53" s="20"/>
      <c r="N53" s="20"/>
      <c r="O53" s="20"/>
      <c r="P53" s="199"/>
      <c r="Q53" s="20"/>
      <c r="R53" s="20"/>
      <c r="S53" s="20"/>
      <c r="T53" s="20"/>
      <c r="U53" s="199"/>
      <c r="V53" s="20"/>
      <c r="W53" s="20"/>
      <c r="X53" s="20"/>
      <c r="Y53" s="20"/>
      <c r="Z53" s="199"/>
      <c r="AA53" s="20">
        <f>AA52/V52-1</f>
        <v>1.3215859030837107E-2</v>
      </c>
      <c r="AB53" s="20">
        <f t="shared" ref="AB53:AO53" si="199">AB52/W52-1</f>
        <v>9.067017082785811E-2</v>
      </c>
      <c r="AC53" s="20">
        <f t="shared" si="199"/>
        <v>0.1333333333333333</v>
      </c>
      <c r="AD53" s="20">
        <f t="shared" si="199"/>
        <v>0.19080779944289694</v>
      </c>
      <c r="AE53" s="199">
        <f t="shared" si="199"/>
        <v>0.10824742268041243</v>
      </c>
      <c r="AF53" s="20">
        <f t="shared" si="199"/>
        <v>0.24347826086956514</v>
      </c>
      <c r="AG53" s="20">
        <f t="shared" si="199"/>
        <v>0.24698795180722888</v>
      </c>
      <c r="AH53" s="20">
        <f t="shared" si="199"/>
        <v>0.19529411764705884</v>
      </c>
      <c r="AI53" s="20">
        <f t="shared" si="199"/>
        <v>0.10409356725146202</v>
      </c>
      <c r="AJ53" s="199">
        <f t="shared" si="199"/>
        <v>0.19472868217054273</v>
      </c>
      <c r="AK53" s="20">
        <f t="shared" si="199"/>
        <v>0.10372960372960383</v>
      </c>
      <c r="AL53" s="20">
        <f t="shared" si="199"/>
        <v>7.1497584541062809E-2</v>
      </c>
      <c r="AM53" s="20">
        <f t="shared" si="199"/>
        <v>8.1692913385826849E-2</v>
      </c>
      <c r="AN53" s="20">
        <f t="shared" si="199"/>
        <v>7.5211864406779627E-2</v>
      </c>
      <c r="AO53" s="199">
        <f t="shared" si="199"/>
        <v>8.2273553075525641E-2</v>
      </c>
      <c r="AP53" s="317"/>
      <c r="AQ53" s="20"/>
      <c r="AR53" s="20"/>
      <c r="AS53" s="20"/>
      <c r="AT53" s="206"/>
      <c r="AU53" s="20"/>
      <c r="AV53" s="20"/>
      <c r="AW53" s="20"/>
      <c r="AX53" s="20"/>
      <c r="AY53" s="206"/>
      <c r="AZ53" s="317">
        <f t="shared" ref="AZ53:CA53" si="200">AZ52/AU52-1</f>
        <v>-0.14602076124567476</v>
      </c>
      <c r="BA53" s="20">
        <f t="shared" si="200"/>
        <v>-0.18799272286234081</v>
      </c>
      <c r="BB53" s="20">
        <f t="shared" si="200"/>
        <v>-0.12756689483509642</v>
      </c>
      <c r="BC53" s="20">
        <f t="shared" si="200"/>
        <v>-5.6195965417867422E-2</v>
      </c>
      <c r="BD53" s="206">
        <f t="shared" si="200"/>
        <v>-0.13204138610609295</v>
      </c>
      <c r="BE53" s="317">
        <f t="shared" si="200"/>
        <v>6.9692058346839447E-2</v>
      </c>
      <c r="BF53" s="20">
        <f t="shared" si="200"/>
        <v>0.14189693801344294</v>
      </c>
      <c r="BG53" s="20">
        <f t="shared" si="200"/>
        <v>0.12054208273894429</v>
      </c>
      <c r="BH53" s="20">
        <f t="shared" si="200"/>
        <v>9.1603053435114434E-2</v>
      </c>
      <c r="BI53" s="206">
        <f t="shared" si="200"/>
        <v>0.10690633869441823</v>
      </c>
      <c r="BJ53" s="317">
        <f t="shared" si="200"/>
        <v>9.1666666666666563E-2</v>
      </c>
      <c r="BK53" s="20">
        <f t="shared" si="200"/>
        <v>0.10137344669718762</v>
      </c>
      <c r="BL53" s="20">
        <f t="shared" si="200"/>
        <v>8.9115213239974622E-2</v>
      </c>
      <c r="BM53" s="20">
        <f t="shared" si="200"/>
        <v>8.8811188811188879E-2</v>
      </c>
      <c r="BN53" s="317">
        <f t="shared" si="200"/>
        <v>9.2820512820512846E-2</v>
      </c>
      <c r="BO53" s="317">
        <f t="shared" si="200"/>
        <v>7.6335877862595325E-2</v>
      </c>
      <c r="BP53" s="20">
        <f t="shared" si="200"/>
        <v>7.3040380047505904E-2</v>
      </c>
      <c r="BQ53" s="20">
        <f t="shared" si="200"/>
        <v>-2.1040327293980088E-2</v>
      </c>
      <c r="BR53" s="20">
        <f t="shared" si="200"/>
        <v>-2.1194605009633882E-2</v>
      </c>
      <c r="BS53" s="206">
        <f t="shared" si="200"/>
        <v>2.5653058032222731E-2</v>
      </c>
      <c r="BT53" s="317">
        <f t="shared" si="200"/>
        <v>-6.0606060606060552E-2</v>
      </c>
      <c r="BU53" s="20">
        <f t="shared" si="200"/>
        <v>-6.0320973990038773E-2</v>
      </c>
      <c r="BV53" s="20">
        <f t="shared" si="200"/>
        <v>7.7611940298507598E-3</v>
      </c>
      <c r="BW53" s="20">
        <f t="shared" si="200"/>
        <v>2.4934383202099841E-2</v>
      </c>
      <c r="BX53" s="206">
        <f t="shared" si="200"/>
        <v>-2.3181332926643261E-2</v>
      </c>
      <c r="BY53" s="317">
        <f t="shared" si="200"/>
        <v>-2.7453671928620027E-3</v>
      </c>
      <c r="BZ53" s="20">
        <f t="shared" si="200"/>
        <v>-8.2449941107184399E-3</v>
      </c>
      <c r="CA53" s="20">
        <f t="shared" si="200"/>
        <v>-3.3175355450236976E-2</v>
      </c>
      <c r="CB53" s="20">
        <f t="shared" ref="CB53:CK53" si="201">CB52/BW52-1</f>
        <v>-4.161331626120357E-2</v>
      </c>
      <c r="CC53" s="206">
        <f t="shared" si="201"/>
        <v>-2.1701795472287233E-2</v>
      </c>
      <c r="CD53" s="317">
        <f t="shared" si="201"/>
        <v>-5.4370268410185774E-2</v>
      </c>
      <c r="CE53" s="20">
        <f t="shared" si="201"/>
        <v>-7.8384798099762509E-2</v>
      </c>
      <c r="CF53" s="20">
        <f t="shared" si="201"/>
        <v>-5.8823529411764719E-2</v>
      </c>
      <c r="CG53" s="20">
        <f t="shared" si="201"/>
        <v>-5.0100200400801653E-2</v>
      </c>
      <c r="CH53" s="206">
        <f t="shared" si="201"/>
        <v>-6.0963932333226944E-2</v>
      </c>
      <c r="CI53" s="317">
        <f t="shared" si="201"/>
        <v>-4.0756914119359555E-2</v>
      </c>
      <c r="CJ53" s="20">
        <f t="shared" si="201"/>
        <v>-3.4149484536082464E-2</v>
      </c>
      <c r="CK53" s="20">
        <f t="shared" si="201"/>
        <v>-5.208333333333337E-2</v>
      </c>
      <c r="CL53" s="20">
        <f t="shared" ref="CL53" si="202">CL52/CG52-1</f>
        <v>-1.6174402250351605E-2</v>
      </c>
      <c r="CM53" s="206">
        <f t="shared" ref="CM53:CP53" si="203">CM52/CH52-1</f>
        <v>-3.6029911624745115E-2</v>
      </c>
      <c r="CN53" s="317">
        <f t="shared" si="203"/>
        <v>-2.5796661608497695E-2</v>
      </c>
      <c r="CO53" s="20">
        <f t="shared" si="203"/>
        <v>2.2014676450967219E-2</v>
      </c>
      <c r="CP53" s="20">
        <f t="shared" si="203"/>
        <v>1.3049450549450503E-2</v>
      </c>
      <c r="CQ53" s="20">
        <f t="shared" ref="CQ53" si="204">CQ52/CL52-1</f>
        <v>1.71551107934238E-2</v>
      </c>
      <c r="CR53" s="206">
        <f t="shared" ref="CR53" si="205">CR52/CM52-1</f>
        <v>7.4047954866007792E-3</v>
      </c>
      <c r="CS53" s="317"/>
      <c r="CT53" s="20"/>
      <c r="CU53" s="20"/>
      <c r="CV53" s="20"/>
      <c r="CW53" s="206"/>
      <c r="CX53" s="317"/>
      <c r="CY53" s="605"/>
      <c r="CZ53" s="605"/>
      <c r="DA53" s="605"/>
      <c r="DB53" s="606"/>
      <c r="DC53" s="605"/>
      <c r="DD53" s="605"/>
      <c r="DE53" s="605"/>
      <c r="DF53" s="605"/>
      <c r="DG53" s="606"/>
      <c r="DH53" s="605"/>
      <c r="DI53" s="605"/>
      <c r="DJ53" s="605"/>
      <c r="DK53" s="605"/>
      <c r="DL53" s="606"/>
      <c r="DM53" s="20"/>
      <c r="DN53" s="500"/>
      <c r="DO53" s="486"/>
      <c r="DP53" s="411"/>
      <c r="DQ53" s="411"/>
      <c r="DR53" s="411"/>
      <c r="DS53" s="556"/>
      <c r="DT53" s="556"/>
      <c r="DU53" s="461"/>
      <c r="DV53" s="461"/>
      <c r="DW53" s="461"/>
      <c r="DX53" s="461"/>
      <c r="DY53" s="461"/>
      <c r="DZ53" s="461"/>
      <c r="EA53" s="500"/>
      <c r="EH53" s="8"/>
    </row>
    <row r="54" spans="1:138" ht="12.75" hidden="1" customHeight="1" outlineLevel="1" x14ac:dyDescent="0.2">
      <c r="A54" s="387" t="str">
        <f>A52&amp; " per ASM"</f>
        <v>Regional Pax Rev (mm) per ASM</v>
      </c>
      <c r="B54" s="32"/>
      <c r="C54" s="32"/>
      <c r="D54" s="32"/>
      <c r="E54" s="32"/>
      <c r="F54" s="204"/>
      <c r="G54" s="32"/>
      <c r="H54" s="32"/>
      <c r="I54" s="32"/>
      <c r="J54" s="32"/>
      <c r="K54" s="204"/>
      <c r="L54" s="32"/>
      <c r="M54" s="32"/>
      <c r="N54" s="32"/>
      <c r="O54" s="32"/>
      <c r="P54" s="204"/>
      <c r="Q54" s="32"/>
      <c r="R54" s="32"/>
      <c r="S54" s="32"/>
      <c r="T54" s="32"/>
      <c r="U54" s="204"/>
      <c r="V54" s="32">
        <f t="shared" ref="V54:AO54" si="206">V52/V11*100</f>
        <v>12.93938818164545</v>
      </c>
      <c r="W54" s="32">
        <f t="shared" si="206"/>
        <v>14.035411287347843</v>
      </c>
      <c r="X54" s="32">
        <f t="shared" si="206"/>
        <v>13.414416025755679</v>
      </c>
      <c r="Y54" s="32">
        <f t="shared" si="206"/>
        <v>13.225271689077179</v>
      </c>
      <c r="Z54" s="204">
        <f t="shared" si="206"/>
        <v>13.407049067035246</v>
      </c>
      <c r="AA54" s="32">
        <f t="shared" si="206"/>
        <v>12.740029542097489</v>
      </c>
      <c r="AB54" s="32">
        <f t="shared" si="206"/>
        <v>14.367318677514282</v>
      </c>
      <c r="AC54" s="32">
        <f t="shared" si="206"/>
        <v>14.414108868916397</v>
      </c>
      <c r="AD54" s="32">
        <f t="shared" si="206"/>
        <v>14.823162274618584</v>
      </c>
      <c r="AE54" s="204">
        <f t="shared" si="206"/>
        <v>14.108845918278066</v>
      </c>
      <c r="AF54" s="32">
        <f t="shared" si="206"/>
        <v>16.582914572864322</v>
      </c>
      <c r="AG54" s="32">
        <f t="shared" si="206"/>
        <v>18.426206159871818</v>
      </c>
      <c r="AH54" s="32">
        <f t="shared" si="206"/>
        <v>17.035546613011402</v>
      </c>
      <c r="AI54" s="32">
        <f t="shared" si="206"/>
        <v>16.388888888888889</v>
      </c>
      <c r="AJ54" s="204">
        <f t="shared" si="206"/>
        <v>17.113035753941816</v>
      </c>
      <c r="AK54" s="32">
        <f t="shared" si="206"/>
        <v>16.541484716157207</v>
      </c>
      <c r="AL54" s="32">
        <f t="shared" si="206"/>
        <v>18.492579623144906</v>
      </c>
      <c r="AM54" s="32">
        <f t="shared" si="206"/>
        <v>17.623476587556127</v>
      </c>
      <c r="AN54" s="32">
        <f t="shared" si="206"/>
        <v>16.760237780713343</v>
      </c>
      <c r="AO54" s="204">
        <f t="shared" si="206"/>
        <v>17.364870492212876</v>
      </c>
      <c r="AP54" s="319"/>
      <c r="AQ54" s="32"/>
      <c r="AR54" s="32"/>
      <c r="AS54" s="32"/>
      <c r="AT54" s="203"/>
      <c r="AU54" s="32">
        <f t="shared" ref="AU54:BQ54" si="207">(AU52/AU11)*100</f>
        <v>17.98158287705326</v>
      </c>
      <c r="AV54" s="32">
        <f t="shared" si="207"/>
        <v>19.540229885057471</v>
      </c>
      <c r="AW54" s="32">
        <f t="shared" si="207"/>
        <v>19.275518771740437</v>
      </c>
      <c r="AX54" s="32">
        <f t="shared" si="207"/>
        <v>17.560728744939272</v>
      </c>
      <c r="AY54" s="203">
        <f t="shared" si="207"/>
        <v>18.611688470473162</v>
      </c>
      <c r="AZ54" s="319">
        <f t="shared" si="207"/>
        <v>15.471990368748683</v>
      </c>
      <c r="BA54" s="32">
        <f t="shared" si="207"/>
        <v>15.895061728395063</v>
      </c>
      <c r="BB54" s="32">
        <f t="shared" si="207"/>
        <v>16.568269424168751</v>
      </c>
      <c r="BC54" s="32">
        <f t="shared" si="207"/>
        <v>16.920884660016824</v>
      </c>
      <c r="BD54" s="203">
        <f t="shared" si="207"/>
        <v>16.209879819000221</v>
      </c>
      <c r="BE54" s="319">
        <f t="shared" si="207"/>
        <v>17.161913553361238</v>
      </c>
      <c r="BF54" s="32">
        <f t="shared" si="207"/>
        <v>18.979642502482623</v>
      </c>
      <c r="BG54" s="32">
        <f t="shared" si="207"/>
        <v>18.743491677460181</v>
      </c>
      <c r="BH54" s="32">
        <f t="shared" si="207"/>
        <v>18.471230541753371</v>
      </c>
      <c r="BI54" s="203">
        <f t="shared" si="207"/>
        <v>18.355362644703412</v>
      </c>
      <c r="BJ54" s="319">
        <f t="shared" si="207"/>
        <v>19.011938600278004</v>
      </c>
      <c r="BK54" s="32">
        <f t="shared" si="207"/>
        <v>21.330279877591551</v>
      </c>
      <c r="BL54" s="32">
        <f t="shared" si="207"/>
        <v>20.980993255671368</v>
      </c>
      <c r="BM54" s="32">
        <f t="shared" si="207"/>
        <v>20.619785458879619</v>
      </c>
      <c r="BN54" s="319">
        <f t="shared" si="207"/>
        <v>20.486807303647744</v>
      </c>
      <c r="BO54" s="319">
        <f t="shared" si="207"/>
        <v>20.807620069761199</v>
      </c>
      <c r="BP54" s="32">
        <f t="shared" si="207"/>
        <v>23.624003137665053</v>
      </c>
      <c r="BQ54" s="32">
        <f t="shared" si="207"/>
        <v>22.247310399787487</v>
      </c>
      <c r="BR54" s="32">
        <f t="shared" ref="BR54:BW54" si="208">(BR52/BR11)*100</f>
        <v>22.051801475907972</v>
      </c>
      <c r="BS54" s="203">
        <f t="shared" si="208"/>
        <v>22.194766949869681</v>
      </c>
      <c r="BT54" s="319">
        <f t="shared" si="208"/>
        <v>21.363636363636363</v>
      </c>
      <c r="BU54" s="32">
        <f t="shared" si="208"/>
        <v>23.133514986376021</v>
      </c>
      <c r="BV54" s="32">
        <f t="shared" si="208"/>
        <v>22.780026990553306</v>
      </c>
      <c r="BW54" s="32">
        <f t="shared" si="208"/>
        <v>22.419979905267688</v>
      </c>
      <c r="BX54" s="203">
        <f t="shared" ref="BX54:CC54" si="209">(BX52/BX11)*100</f>
        <v>22.444545677541438</v>
      </c>
      <c r="BY54" s="319">
        <f t="shared" si="209"/>
        <v>22.206938713128537</v>
      </c>
      <c r="BZ54" s="32">
        <f t="shared" si="209"/>
        <v>23.906871095968199</v>
      </c>
      <c r="CA54" s="32">
        <f t="shared" si="209"/>
        <v>23.254488458250215</v>
      </c>
      <c r="CB54" s="32">
        <f t="shared" si="209"/>
        <v>21.889165082614419</v>
      </c>
      <c r="CC54" s="203">
        <f t="shared" si="209"/>
        <v>22.831948695525433</v>
      </c>
      <c r="CD54" s="319">
        <f t="shared" ref="CD54:CI54" si="210">(CD52/CD11)*100</f>
        <v>21.381886087768439</v>
      </c>
      <c r="CE54" s="32">
        <f t="shared" si="210"/>
        <v>23.52941176470588</v>
      </c>
      <c r="CF54" s="32">
        <f t="shared" si="210"/>
        <v>22.718532761425823</v>
      </c>
      <c r="CG54" s="32">
        <f t="shared" si="210"/>
        <v>21.699984739813829</v>
      </c>
      <c r="CH54" s="203">
        <f t="shared" si="210"/>
        <v>22.342041312272176</v>
      </c>
      <c r="CI54" s="319">
        <f t="shared" si="210"/>
        <v>20.481740481740481</v>
      </c>
      <c r="CJ54" s="32">
        <f t="shared" ref="CJ54:CN54" si="211">(CJ52/CJ11)*100</f>
        <v>22.024684102262711</v>
      </c>
      <c r="CK54" s="32">
        <f t="shared" si="211"/>
        <v>21.424367274867571</v>
      </c>
      <c r="CL54" s="32">
        <f t="shared" si="211"/>
        <v>21.319719597683633</v>
      </c>
      <c r="CM54" s="203">
        <f t="shared" si="211"/>
        <v>21.324109928944697</v>
      </c>
      <c r="CN54" s="319">
        <f t="shared" si="211"/>
        <v>20.119084926355374</v>
      </c>
      <c r="CO54" s="32">
        <f t="shared" ref="CO54:CR54" si="212">(CO52/CO11)*100</f>
        <v>23.155985489721886</v>
      </c>
      <c r="CP54" s="32">
        <f t="shared" si="212"/>
        <v>22.137175446495572</v>
      </c>
      <c r="CQ54" s="32">
        <f t="shared" si="212"/>
        <v>22.735261223837675</v>
      </c>
      <c r="CR54" s="203">
        <f t="shared" si="212"/>
        <v>22.044753086419753</v>
      </c>
      <c r="CS54" s="319"/>
      <c r="CT54" s="32"/>
      <c r="CU54" s="32"/>
      <c r="CV54" s="32"/>
      <c r="CW54" s="203"/>
      <c r="CX54" s="319"/>
      <c r="CY54" s="607"/>
      <c r="CZ54" s="607"/>
      <c r="DA54" s="607"/>
      <c r="DB54" s="608"/>
      <c r="DC54" s="607"/>
      <c r="DD54" s="607"/>
      <c r="DE54" s="607"/>
      <c r="DF54" s="607"/>
      <c r="DG54" s="608"/>
      <c r="DH54" s="607"/>
      <c r="DI54" s="607"/>
      <c r="DJ54" s="607"/>
      <c r="DK54" s="607"/>
      <c r="DL54" s="608"/>
      <c r="DM54" s="32"/>
      <c r="DN54" s="503"/>
      <c r="DO54" s="486"/>
      <c r="DP54" s="411"/>
      <c r="DQ54" s="411"/>
      <c r="DR54" s="411"/>
      <c r="DS54" s="558"/>
      <c r="DT54" s="558"/>
      <c r="DU54" s="461"/>
      <c r="DV54" s="461"/>
      <c r="DW54" s="461"/>
      <c r="DX54" s="461"/>
      <c r="DY54" s="461"/>
      <c r="DZ54" s="461"/>
      <c r="EA54" s="503"/>
      <c r="EH54" s="8"/>
    </row>
    <row r="55" spans="1:138" ht="12.75" hidden="1" customHeight="1" outlineLevel="1" x14ac:dyDescent="0.2">
      <c r="A55" s="148" t="s">
        <v>244</v>
      </c>
      <c r="B55" s="20"/>
      <c r="C55" s="20"/>
      <c r="D55" s="20"/>
      <c r="E55" s="20"/>
      <c r="F55" s="205"/>
      <c r="G55" s="20"/>
      <c r="H55" s="20"/>
      <c r="I55" s="20"/>
      <c r="J55" s="20"/>
      <c r="K55" s="205"/>
      <c r="L55" s="20"/>
      <c r="M55" s="20"/>
      <c r="N55" s="20"/>
      <c r="O55" s="20"/>
      <c r="P55" s="205"/>
      <c r="Q55" s="20"/>
      <c r="R55" s="20"/>
      <c r="S55" s="20"/>
      <c r="T55" s="20"/>
      <c r="U55" s="205"/>
      <c r="V55" s="20"/>
      <c r="W55" s="20"/>
      <c r="X55" s="20"/>
      <c r="Y55" s="20"/>
      <c r="Z55" s="205"/>
      <c r="AA55" s="20">
        <f t="shared" ref="AA55:AO55" si="213">AA54/V54-1</f>
        <v>-1.5407114830263136E-2</v>
      </c>
      <c r="AB55" s="20">
        <f t="shared" si="213"/>
        <v>2.3647856366391995E-2</v>
      </c>
      <c r="AC55" s="20">
        <f t="shared" si="213"/>
        <v>7.4523769148154395E-2</v>
      </c>
      <c r="AD55" s="20">
        <f t="shared" si="213"/>
        <v>0.12082100263097884</v>
      </c>
      <c r="AE55" s="199">
        <f t="shared" si="213"/>
        <v>5.2345363079812302E-2</v>
      </c>
      <c r="AF55" s="20">
        <f t="shared" si="213"/>
        <v>0.30163862792221985</v>
      </c>
      <c r="AG55" s="20">
        <f t="shared" si="213"/>
        <v>0.28250834922384915</v>
      </c>
      <c r="AH55" s="20">
        <f t="shared" si="213"/>
        <v>0.18186609855209701</v>
      </c>
      <c r="AI55" s="20">
        <f t="shared" si="213"/>
        <v>0.10562703053931144</v>
      </c>
      <c r="AJ55" s="199">
        <f t="shared" si="213"/>
        <v>0.21292952329799064</v>
      </c>
      <c r="AK55" s="20">
        <f t="shared" si="213"/>
        <v>-2.4983459044594092E-3</v>
      </c>
      <c r="AL55" s="20">
        <f t="shared" si="213"/>
        <v>3.6021231227529871E-3</v>
      </c>
      <c r="AM55" s="20">
        <f t="shared" si="213"/>
        <v>3.4511952442763283E-2</v>
      </c>
      <c r="AN55" s="20">
        <f t="shared" si="213"/>
        <v>2.2658576450305556E-2</v>
      </c>
      <c r="AO55" s="199">
        <f t="shared" si="213"/>
        <v>1.4715959336031537E-2</v>
      </c>
      <c r="AP55" s="317"/>
      <c r="AQ55" s="20"/>
      <c r="AR55" s="20"/>
      <c r="AS55" s="20"/>
      <c r="AT55" s="206"/>
      <c r="AU55" s="20"/>
      <c r="AV55" s="20"/>
      <c r="AW55" s="20"/>
      <c r="AX55" s="20"/>
      <c r="AY55" s="206"/>
      <c r="AZ55" s="317">
        <f t="shared" ref="AZ55:CA55" si="214">AZ54/AU54-1</f>
        <v>-0.13956460482169952</v>
      </c>
      <c r="BA55" s="20">
        <f t="shared" si="214"/>
        <v>-0.18654684095860552</v>
      </c>
      <c r="BB55" s="20">
        <f t="shared" si="214"/>
        <v>-0.14045014194589389</v>
      </c>
      <c r="BC55" s="20">
        <f t="shared" si="214"/>
        <v>-3.6436078150050677E-2</v>
      </c>
      <c r="BD55" s="206">
        <f t="shared" si="214"/>
        <v>-0.12904840177629939</v>
      </c>
      <c r="BE55" s="317">
        <f t="shared" si="214"/>
        <v>0.10922467920003176</v>
      </c>
      <c r="BF55" s="20">
        <f t="shared" si="214"/>
        <v>0.19405906229211056</v>
      </c>
      <c r="BG55" s="20">
        <f t="shared" si="214"/>
        <v>0.1312884404280843</v>
      </c>
      <c r="BH55" s="20">
        <f t="shared" si="214"/>
        <v>9.1623216686768982E-2</v>
      </c>
      <c r="BI55" s="206">
        <f t="shared" si="214"/>
        <v>0.13235649182225195</v>
      </c>
      <c r="BJ55" s="317">
        <f t="shared" si="214"/>
        <v>0.10779829656899942</v>
      </c>
      <c r="BK55" s="20">
        <f t="shared" si="214"/>
        <v>0.12385045581345655</v>
      </c>
      <c r="BL55" s="20">
        <f t="shared" si="214"/>
        <v>0.11937485377401025</v>
      </c>
      <c r="BM55" s="20">
        <f t="shared" si="214"/>
        <v>0.11631899197346596</v>
      </c>
      <c r="BN55" s="317">
        <f t="shared" si="214"/>
        <v>0.11612108680181144</v>
      </c>
      <c r="BO55" s="317">
        <f t="shared" si="214"/>
        <v>9.4450203487241424E-2</v>
      </c>
      <c r="BP55" s="20">
        <f t="shared" si="214"/>
        <v>0.10753366918936513</v>
      </c>
      <c r="BQ55" s="20">
        <f t="shared" si="214"/>
        <v>6.0355443075785775E-2</v>
      </c>
      <c r="BR55" s="20">
        <f t="shared" si="214"/>
        <v>6.9448638051259337E-2</v>
      </c>
      <c r="BS55" s="206">
        <f t="shared" si="214"/>
        <v>8.3368756337051542E-2</v>
      </c>
      <c r="BT55" s="317">
        <f t="shared" si="214"/>
        <v>2.672176308539953E-2</v>
      </c>
      <c r="BU55" s="20">
        <f t="shared" si="214"/>
        <v>-2.0762279298338737E-2</v>
      </c>
      <c r="BV55" s="20">
        <f t="shared" si="214"/>
        <v>2.394521320522891E-2</v>
      </c>
      <c r="BW55" s="20">
        <f t="shared" si="214"/>
        <v>1.6696070376017058E-2</v>
      </c>
      <c r="BX55" s="206">
        <f t="shared" si="214"/>
        <v>1.1253946853144292E-2</v>
      </c>
      <c r="BY55" s="317">
        <f t="shared" si="214"/>
        <v>3.9473726997506065E-2</v>
      </c>
      <c r="BZ55" s="20">
        <f t="shared" si="214"/>
        <v>3.3430116869296755E-2</v>
      </c>
      <c r="CA55" s="20">
        <f t="shared" si="214"/>
        <v>2.0827958978874905E-2</v>
      </c>
      <c r="CB55" s="20">
        <f t="shared" ref="CB55:CK55" si="215">CB54/BW54-1</f>
        <v>-2.3675972275450263E-2</v>
      </c>
      <c r="CC55" s="206">
        <f t="shared" si="215"/>
        <v>1.7260452652941849E-2</v>
      </c>
      <c r="CD55" s="317">
        <f t="shared" si="215"/>
        <v>-3.7152920356029684E-2</v>
      </c>
      <c r="CE55" s="20">
        <f t="shared" si="215"/>
        <v>-1.5788738298169736E-2</v>
      </c>
      <c r="CF55" s="20">
        <f t="shared" si="215"/>
        <v>-2.3047408580352813E-2</v>
      </c>
      <c r="CG55" s="20">
        <f t="shared" si="215"/>
        <v>-8.6426477248713329E-3</v>
      </c>
      <c r="CH55" s="206">
        <f t="shared" si="215"/>
        <v>-2.1457098988194034E-2</v>
      </c>
      <c r="CI55" s="317">
        <f t="shared" si="215"/>
        <v>-4.2098512840870961E-2</v>
      </c>
      <c r="CJ55" s="20">
        <f t="shared" si="215"/>
        <v>-6.3950925653834756E-2</v>
      </c>
      <c r="CK55" s="20">
        <f t="shared" si="215"/>
        <v>-5.6965187855601229E-2</v>
      </c>
      <c r="CL55" s="20">
        <f t="shared" ref="CL55" si="216">CL54/CG54-1</f>
        <v>-1.7523751591977277E-2</v>
      </c>
      <c r="CM55" s="206">
        <f t="shared" ref="CM55:CP55" si="217">CM54/CH54-1</f>
        <v>-4.5561252398559682E-2</v>
      </c>
      <c r="CN55" s="317">
        <f t="shared" si="217"/>
        <v>-1.7706286031131779E-2</v>
      </c>
      <c r="CO55" s="20">
        <f t="shared" si="217"/>
        <v>5.1365158392576049E-2</v>
      </c>
      <c r="CP55" s="20">
        <f t="shared" si="217"/>
        <v>3.3270908889999395E-2</v>
      </c>
      <c r="CQ55" s="20">
        <f t="shared" ref="CQ55" si="218">CQ54/CL54-1</f>
        <v>6.6395883851485538E-2</v>
      </c>
      <c r="CR55" s="206">
        <f t="shared" ref="CR55" si="219">CR54/CM54-1</f>
        <v>3.3794759072071523E-2</v>
      </c>
      <c r="CS55" s="317"/>
      <c r="CT55" s="20"/>
      <c r="CU55" s="20"/>
      <c r="CV55" s="20"/>
      <c r="CW55" s="206"/>
      <c r="CX55" s="317"/>
      <c r="CY55" s="605"/>
      <c r="CZ55" s="605"/>
      <c r="DA55" s="605"/>
      <c r="DB55" s="606"/>
      <c r="DC55" s="605"/>
      <c r="DD55" s="605"/>
      <c r="DE55" s="605"/>
      <c r="DF55" s="605"/>
      <c r="DG55" s="606"/>
      <c r="DH55" s="605"/>
      <c r="DI55" s="605"/>
      <c r="DJ55" s="605"/>
      <c r="DK55" s="605"/>
      <c r="DL55" s="606"/>
      <c r="DM55" s="33"/>
      <c r="DN55" s="499"/>
      <c r="DO55" s="486"/>
      <c r="DP55" s="411"/>
      <c r="DQ55" s="411"/>
      <c r="DR55" s="411"/>
      <c r="DS55" s="556"/>
      <c r="DT55" s="556"/>
      <c r="DU55" s="461"/>
      <c r="DV55" s="461"/>
      <c r="DW55" s="461"/>
      <c r="DX55" s="461"/>
      <c r="DY55" s="461"/>
      <c r="DZ55" s="461"/>
      <c r="EA55" s="499"/>
      <c r="EH55" s="8"/>
    </row>
    <row r="56" spans="1:138" ht="12.75" hidden="1" customHeight="1" outlineLevel="1" x14ac:dyDescent="0.2">
      <c r="A56" s="386" t="s">
        <v>42</v>
      </c>
      <c r="B56" s="20"/>
      <c r="C56" s="20"/>
      <c r="D56" s="20"/>
      <c r="E56" s="20"/>
      <c r="F56" s="201"/>
      <c r="G56" s="20"/>
      <c r="H56" s="20"/>
      <c r="I56" s="20"/>
      <c r="J56" s="20"/>
      <c r="K56" s="201"/>
      <c r="L56" s="20"/>
      <c r="M56" s="20"/>
      <c r="N56" s="20"/>
      <c r="O56" s="20"/>
      <c r="P56" s="201"/>
      <c r="Q56" s="20"/>
      <c r="R56" s="20"/>
      <c r="S56" s="20"/>
      <c r="T56" s="20"/>
      <c r="U56" s="201"/>
      <c r="V56" s="20"/>
      <c r="W56" s="20">
        <f>W54/V54-1</f>
        <v>8.4704399490626914E-2</v>
      </c>
      <c r="X56" s="20">
        <f>X54/W54-1</f>
        <v>-4.4244892356803067E-2</v>
      </c>
      <c r="Y56" s="20">
        <f>Y54/X54-1</f>
        <v>-1.4100079818260003E-2</v>
      </c>
      <c r="Z56" s="201"/>
      <c r="AA56" s="20">
        <f>AA54/Y54-1</f>
        <v>-3.6690523899063243E-2</v>
      </c>
      <c r="AB56" s="20">
        <f>AB54/AA54-1</f>
        <v>0.1277304051799617</v>
      </c>
      <c r="AC56" s="20">
        <f>AC54/AB54-1</f>
        <v>3.2567100690363837E-3</v>
      </c>
      <c r="AD56" s="20">
        <f>AD54/AC54-1</f>
        <v>2.8378681569715125E-2</v>
      </c>
      <c r="AE56" s="201"/>
      <c r="AF56" s="20">
        <f>AF54/AD54-1</f>
        <v>0.1187163889623557</v>
      </c>
      <c r="AG56" s="20">
        <f>AG54/AF54-1</f>
        <v>0.1111560684286339</v>
      </c>
      <c r="AH56" s="20">
        <f>AH54/AG54-1</f>
        <v>-7.5471832605941591E-2</v>
      </c>
      <c r="AI56" s="20">
        <f>AI54/AH54-1</f>
        <v>-3.7959317585301799E-2</v>
      </c>
      <c r="AJ56" s="201"/>
      <c r="AK56" s="20">
        <f>AK54/AI54-1</f>
        <v>9.3109318333211011E-3</v>
      </c>
      <c r="AL56" s="20">
        <f>AL54/AK54-1</f>
        <v>0.1179516192450325</v>
      </c>
      <c r="AM56" s="20">
        <f>AM54/AL54-1</f>
        <v>-4.6997393186888226E-2</v>
      </c>
      <c r="AN56" s="20">
        <f>AN54/AM54-1</f>
        <v>-4.8982322106202014E-2</v>
      </c>
      <c r="AO56" s="201"/>
      <c r="AP56" s="317"/>
      <c r="AQ56" s="20"/>
      <c r="AR56" s="20"/>
      <c r="AS56" s="20"/>
      <c r="AT56" s="206"/>
      <c r="AU56" s="20"/>
      <c r="AV56" s="20">
        <f>AV54/AU54-1</f>
        <v>8.6680189317106082E-2</v>
      </c>
      <c r="AW56" s="20">
        <f>AW54/AV54-1</f>
        <v>-1.3546980505048212E-2</v>
      </c>
      <c r="AX56" s="20">
        <f>AX54/AW54-1</f>
        <v>-8.8962068783082215E-2</v>
      </c>
      <c r="AY56" s="206"/>
      <c r="AZ56" s="317">
        <f>AZ54/AX54-1</f>
        <v>-0.11894371848278396</v>
      </c>
      <c r="BA56" s="20">
        <f>BA54/AZ54-1</f>
        <v>2.7344339646237614E-2</v>
      </c>
      <c r="BB56" s="20">
        <f>BB54/BA54-1</f>
        <v>4.2353260860325204E-2</v>
      </c>
      <c r="BC56" s="20">
        <f>BC54/BB54-1</f>
        <v>2.1282562880930778E-2</v>
      </c>
      <c r="BD56" s="206"/>
      <c r="BE56" s="317">
        <f>BE54/BC54-1</f>
        <v>1.4244461692594079E-2</v>
      </c>
      <c r="BF56" s="20">
        <f>BF54/BE54-1</f>
        <v>0.10591644943726997</v>
      </c>
      <c r="BG56" s="20">
        <f>BG54/BF54-1</f>
        <v>-1.2442322082281132E-2</v>
      </c>
      <c r="BH56" s="20">
        <f>BH54/BG54-1</f>
        <v>-1.4525635905620282E-2</v>
      </c>
      <c r="BI56" s="206"/>
      <c r="BJ56" s="317">
        <f>BJ54/BH54-1</f>
        <v>2.9272985213539826E-2</v>
      </c>
      <c r="BK56" s="20">
        <f>BK54/BJ54-1</f>
        <v>0.12194134044171845</v>
      </c>
      <c r="BL56" s="20">
        <f>BL54/BK54-1</f>
        <v>-1.6375154190411023E-2</v>
      </c>
      <c r="BM56" s="20">
        <f>BM54/BL54-1</f>
        <v>-1.7215953143405738E-2</v>
      </c>
      <c r="BN56" s="317"/>
      <c r="BO56" s="317">
        <f>BO54/BM54-1</f>
        <v>9.1094357531587011E-3</v>
      </c>
      <c r="BP56" s="20">
        <f>BP54/BO54-1</f>
        <v>0.13535344544265193</v>
      </c>
      <c r="BQ56" s="20">
        <f>BQ54/BP54-1</f>
        <v>-5.827516741574712E-2</v>
      </c>
      <c r="BR56" s="20">
        <f>BR54/BQ54-1</f>
        <v>-8.7879802262021967E-3</v>
      </c>
      <c r="BS56" s="206"/>
      <c r="BT56" s="317">
        <f>BT54/BR54-1</f>
        <v>-3.1206752565020257E-2</v>
      </c>
      <c r="BU56" s="20">
        <f>BU54/BT54-1</f>
        <v>8.2845382341005136E-2</v>
      </c>
      <c r="BV56" s="20">
        <f>BV54/BU54-1</f>
        <v>-1.5280340926612013E-2</v>
      </c>
      <c r="BW56" s="20">
        <f>BW54/BV54-1</f>
        <v>-1.5805384490322427E-2</v>
      </c>
      <c r="BX56" s="206"/>
      <c r="BY56" s="317">
        <f>BY54/BW54-1</f>
        <v>-9.5022918414434665E-3</v>
      </c>
      <c r="BZ56" s="20">
        <f>BZ54/BY54-1</f>
        <v>7.6549604823949791E-2</v>
      </c>
      <c r="CA56" s="20">
        <f>CA54/BZ54-1</f>
        <v>-2.7288499406683431E-2</v>
      </c>
      <c r="CB56" s="20">
        <f>CB54/CA54-1</f>
        <v>-5.8712251533161841E-2</v>
      </c>
      <c r="CC56" s="206"/>
      <c r="CD56" s="317">
        <f>CD54/CB54-1</f>
        <v>-2.3174890085181366E-2</v>
      </c>
      <c r="CE56" s="20">
        <f>CE54/CD54-1</f>
        <v>0.10043668122270732</v>
      </c>
      <c r="CF56" s="20">
        <f>CF54/CE54-1</f>
        <v>-3.4462357639402419E-2</v>
      </c>
      <c r="CG56" s="20">
        <f>CG54/CF54-1</f>
        <v>-4.4833353998168568E-2</v>
      </c>
      <c r="CH56" s="206"/>
      <c r="CI56" s="317">
        <f>CI54/CG54-1</f>
        <v>-5.6140327870285889E-2</v>
      </c>
      <c r="CJ56" s="20">
        <f>CJ54/CI54-1</f>
        <v>7.5332641866923788E-2</v>
      </c>
      <c r="CK56" s="20">
        <f>CK54/CJ54-1</f>
        <v>-2.7256546546039484E-2</v>
      </c>
      <c r="CL56" s="20">
        <f>CL54/CK54-1</f>
        <v>-4.8845165806458146E-3</v>
      </c>
      <c r="CM56" s="206"/>
      <c r="CN56" s="317">
        <f>CN54/CL54-1</f>
        <v>-5.631568772877793E-2</v>
      </c>
      <c r="CO56" s="20">
        <f>CO54/CN54-1</f>
        <v>0.15094625697355979</v>
      </c>
      <c r="CP56" s="20">
        <f>CP54/CO54-1</f>
        <v>-4.3997697428102445E-2</v>
      </c>
      <c r="CQ56" s="20">
        <f>CQ54/CP54-1</f>
        <v>2.7017257860545207E-2</v>
      </c>
      <c r="CR56" s="206"/>
      <c r="CS56" s="317"/>
      <c r="CT56" s="20"/>
      <c r="CU56" s="20"/>
      <c r="CV56" s="20"/>
      <c r="CW56" s="206"/>
      <c r="CX56" s="317"/>
      <c r="CY56" s="605"/>
      <c r="CZ56" s="605"/>
      <c r="DA56" s="605"/>
      <c r="DB56" s="606"/>
      <c r="DC56" s="605"/>
      <c r="DD56" s="605"/>
      <c r="DE56" s="605"/>
      <c r="DF56" s="605"/>
      <c r="DG56" s="606"/>
      <c r="DH56" s="605"/>
      <c r="DI56" s="605"/>
      <c r="DJ56" s="605"/>
      <c r="DK56" s="605"/>
      <c r="DL56" s="606"/>
      <c r="DM56" s="20"/>
      <c r="DN56" s="500"/>
      <c r="DO56" s="488">
        <f>AVERAGE(AF56,AK56,AP56,AU56,AZ56,BE56,BJ56,AA56)</f>
        <v>2.6517542199939181E-3</v>
      </c>
      <c r="DP56" s="405">
        <f>AVERAGE(AG56,AL56,AQ56,AV56,BA56,BF56,BK56,AB56)</f>
        <v>9.9817201670851466E-2</v>
      </c>
      <c r="DQ56" s="405">
        <f>AVERAGE(AH56,AM56,AR56,AW56,BB56,BG56,AC56)</f>
        <v>-1.7141426241799596E-2</v>
      </c>
      <c r="DR56" s="405">
        <f>AVERAGE(AI56,AN56,AS56,AX56,BC56,BH56,AD56)</f>
        <v>-2.3461349988260067E-2</v>
      </c>
      <c r="DS56" s="556"/>
      <c r="DT56" s="556"/>
      <c r="DU56" s="461"/>
      <c r="DV56" s="461"/>
      <c r="DW56" s="461"/>
      <c r="DX56" s="461"/>
      <c r="DY56" s="461"/>
      <c r="DZ56" s="461"/>
      <c r="EA56" s="500"/>
      <c r="EH56" s="8"/>
    </row>
    <row r="57" spans="1:138" ht="12.75" customHeight="1" collapsed="1" x14ac:dyDescent="0.2">
      <c r="A57" s="144" t="s">
        <v>51</v>
      </c>
      <c r="B57" s="184"/>
      <c r="C57" s="184"/>
      <c r="D57" s="184"/>
      <c r="E57" s="184"/>
      <c r="F57" s="185">
        <f>F59+F64</f>
        <v>1211</v>
      </c>
      <c r="G57" s="184">
        <f t="shared" ref="G57:BN57" si="220">G59+G64</f>
        <v>244</v>
      </c>
      <c r="H57" s="184">
        <f t="shared" si="220"/>
        <v>239</v>
      </c>
      <c r="I57" s="184">
        <f t="shared" si="220"/>
        <v>208</v>
      </c>
      <c r="J57" s="184">
        <f t="shared" si="220"/>
        <v>224</v>
      </c>
      <c r="K57" s="185">
        <f t="shared" si="220"/>
        <v>915</v>
      </c>
      <c r="L57" s="184">
        <f t="shared" si="220"/>
        <v>225</v>
      </c>
      <c r="M57" s="184">
        <f t="shared" si="220"/>
        <v>257</v>
      </c>
      <c r="N57" s="184">
        <f t="shared" si="220"/>
        <v>255</v>
      </c>
      <c r="O57" s="184">
        <f t="shared" si="220"/>
        <v>247</v>
      </c>
      <c r="P57" s="185">
        <f t="shared" si="220"/>
        <v>984</v>
      </c>
      <c r="Q57" s="184">
        <f t="shared" si="220"/>
        <v>224</v>
      </c>
      <c r="R57" s="184">
        <f t="shared" si="220"/>
        <v>258</v>
      </c>
      <c r="S57" s="184">
        <f t="shared" si="220"/>
        <v>242</v>
      </c>
      <c r="T57" s="184">
        <f t="shared" si="220"/>
        <v>256</v>
      </c>
      <c r="U57" s="185">
        <f t="shared" si="220"/>
        <v>980</v>
      </c>
      <c r="V57" s="184">
        <f t="shared" si="220"/>
        <v>288</v>
      </c>
      <c r="W57" s="184">
        <f t="shared" si="220"/>
        <v>305</v>
      </c>
      <c r="X57" s="184">
        <f t="shared" si="220"/>
        <v>307</v>
      </c>
      <c r="Y57" s="184">
        <f t="shared" si="220"/>
        <v>545</v>
      </c>
      <c r="Z57" s="185">
        <f t="shared" si="220"/>
        <v>1445</v>
      </c>
      <c r="AA57" s="184">
        <f t="shared" si="220"/>
        <v>308</v>
      </c>
      <c r="AB57" s="184">
        <f t="shared" si="220"/>
        <v>310</v>
      </c>
      <c r="AC57" s="184">
        <f t="shared" si="220"/>
        <v>325</v>
      </c>
      <c r="AD57" s="184">
        <f t="shared" si="220"/>
        <v>624</v>
      </c>
      <c r="AE57" s="185">
        <f t="shared" si="220"/>
        <v>1567</v>
      </c>
      <c r="AF57" s="184">
        <f t="shared" si="220"/>
        <v>443</v>
      </c>
      <c r="AG57" s="184">
        <f t="shared" si="220"/>
        <v>530</v>
      </c>
      <c r="AH57" s="184">
        <f t="shared" si="220"/>
        <v>528</v>
      </c>
      <c r="AI57" s="184">
        <f t="shared" si="220"/>
        <v>538</v>
      </c>
      <c r="AJ57" s="185">
        <f t="shared" si="220"/>
        <v>2039</v>
      </c>
      <c r="AK57" s="184">
        <f t="shared" si="220"/>
        <v>511</v>
      </c>
      <c r="AL57" s="184">
        <f t="shared" si="220"/>
        <v>510</v>
      </c>
      <c r="AM57" s="184">
        <f t="shared" si="220"/>
        <v>589</v>
      </c>
      <c r="AN57" s="184">
        <f t="shared" si="220"/>
        <v>616</v>
      </c>
      <c r="AO57" s="185">
        <f t="shared" si="220"/>
        <v>2226</v>
      </c>
      <c r="AP57" s="318">
        <f t="shared" si="220"/>
        <v>0</v>
      </c>
      <c r="AQ57" s="184">
        <f t="shared" si="220"/>
        <v>0</v>
      </c>
      <c r="AR57" s="184">
        <f t="shared" si="220"/>
        <v>0</v>
      </c>
      <c r="AS57" s="184">
        <f t="shared" si="220"/>
        <v>0</v>
      </c>
      <c r="AT57" s="185">
        <f t="shared" si="220"/>
        <v>0</v>
      </c>
      <c r="AU57" s="184">
        <f t="shared" si="220"/>
        <v>1092</v>
      </c>
      <c r="AV57" s="184">
        <f t="shared" si="220"/>
        <v>1174</v>
      </c>
      <c r="AW57" s="184">
        <f t="shared" si="220"/>
        <v>1203</v>
      </c>
      <c r="AX57" s="184">
        <f t="shared" si="220"/>
        <v>1111</v>
      </c>
      <c r="AY57" s="185">
        <f t="shared" si="220"/>
        <v>4580</v>
      </c>
      <c r="AZ57" s="318">
        <f t="shared" si="220"/>
        <v>1083</v>
      </c>
      <c r="BA57" s="184">
        <f t="shared" si="220"/>
        <v>1097</v>
      </c>
      <c r="BB57" s="184">
        <f t="shared" si="220"/>
        <v>1050</v>
      </c>
      <c r="BC57" s="184">
        <f t="shared" si="220"/>
        <v>1026</v>
      </c>
      <c r="BD57" s="185">
        <f t="shared" si="220"/>
        <v>4256</v>
      </c>
      <c r="BE57" s="318">
        <f t="shared" si="220"/>
        <v>1042</v>
      </c>
      <c r="BF57" s="184">
        <f t="shared" si="220"/>
        <v>1159.06</v>
      </c>
      <c r="BG57" s="184">
        <f t="shared" si="220"/>
        <v>1175</v>
      </c>
      <c r="BH57" s="184">
        <f t="shared" si="220"/>
        <v>1121</v>
      </c>
      <c r="BI57" s="185">
        <f t="shared" si="220"/>
        <v>4497.0599999999995</v>
      </c>
      <c r="BJ57" s="318">
        <f t="shared" si="220"/>
        <v>1172</v>
      </c>
      <c r="BK57" s="184">
        <f t="shared" si="220"/>
        <v>1262</v>
      </c>
      <c r="BL57" s="184">
        <f>BL59+BL64</f>
        <v>1248</v>
      </c>
      <c r="BM57" s="184">
        <f>BM59+BM64</f>
        <v>1176</v>
      </c>
      <c r="BN57" s="318">
        <f t="shared" si="220"/>
        <v>4858</v>
      </c>
      <c r="BO57" s="318">
        <f t="shared" ref="BO57:BU57" si="221">BO59+BO64</f>
        <v>1187</v>
      </c>
      <c r="BP57" s="184">
        <f t="shared" si="221"/>
        <v>1281</v>
      </c>
      <c r="BQ57" s="184">
        <f t="shared" si="221"/>
        <v>1231</v>
      </c>
      <c r="BR57" s="184">
        <f t="shared" si="221"/>
        <v>1164</v>
      </c>
      <c r="BS57" s="185">
        <f t="shared" si="221"/>
        <v>4863</v>
      </c>
      <c r="BT57" s="318">
        <f t="shared" si="221"/>
        <v>1167</v>
      </c>
      <c r="BU57" s="184">
        <f t="shared" si="221"/>
        <v>1213</v>
      </c>
      <c r="BV57" s="184">
        <f t="shared" ref="BV57:CC57" si="222">BV59+BV64</f>
        <v>1236</v>
      </c>
      <c r="BW57" s="184">
        <f t="shared" si="222"/>
        <v>1202</v>
      </c>
      <c r="BX57" s="185">
        <f t="shared" si="222"/>
        <v>4818</v>
      </c>
      <c r="BY57" s="318">
        <f t="shared" si="222"/>
        <v>1239</v>
      </c>
      <c r="BZ57" s="184">
        <f t="shared" si="222"/>
        <v>1355</v>
      </c>
      <c r="CA57" s="184">
        <f t="shared" si="222"/>
        <v>1402</v>
      </c>
      <c r="CB57" s="184">
        <f t="shared" si="222"/>
        <v>1412</v>
      </c>
      <c r="CC57" s="185">
        <f t="shared" si="222"/>
        <v>5408</v>
      </c>
      <c r="CD57" s="318">
        <f t="shared" ref="CD57:CH57" si="223">CD59+CD64</f>
        <v>1465</v>
      </c>
      <c r="CE57" s="184">
        <f t="shared" si="223"/>
        <v>1568</v>
      </c>
      <c r="CF57" s="184">
        <f t="shared" si="223"/>
        <v>1512</v>
      </c>
      <c r="CG57" s="184">
        <f t="shared" si="223"/>
        <v>1377</v>
      </c>
      <c r="CH57" s="185">
        <f t="shared" si="223"/>
        <v>5922</v>
      </c>
      <c r="CI57" s="318">
        <f>CI59+CI64</f>
        <v>1489</v>
      </c>
      <c r="CJ57" s="184">
        <f t="shared" ref="CJ57:CM57" si="224">CJ59+CJ64</f>
        <v>1477</v>
      </c>
      <c r="CK57" s="184">
        <f t="shared" si="224"/>
        <v>1412</v>
      </c>
      <c r="CL57" s="184">
        <f t="shared" si="224"/>
        <v>1484</v>
      </c>
      <c r="CM57" s="185">
        <f t="shared" si="224"/>
        <v>5862</v>
      </c>
      <c r="CN57" s="318">
        <f>CN59+CN64</f>
        <v>1460</v>
      </c>
      <c r="CO57" s="184">
        <f t="shared" ref="CO57:CR57" si="225">CO59+CO64</f>
        <v>1560</v>
      </c>
      <c r="CP57" s="184">
        <f t="shared" si="225"/>
        <v>1661</v>
      </c>
      <c r="CQ57" s="184">
        <f t="shared" si="225"/>
        <v>1744</v>
      </c>
      <c r="CR57" s="185">
        <f t="shared" si="225"/>
        <v>6425</v>
      </c>
      <c r="CS57" s="318">
        <f>CS59+CS64</f>
        <v>923</v>
      </c>
      <c r="CT57" s="184">
        <f>CT59+CT64</f>
        <v>979</v>
      </c>
      <c r="CU57" s="184">
        <f t="shared" ref="CU57:CW57" si="226">CU59+CU64</f>
        <v>1082</v>
      </c>
      <c r="CV57" s="184">
        <f t="shared" si="226"/>
        <v>1207</v>
      </c>
      <c r="CW57" s="185">
        <f t="shared" si="226"/>
        <v>4191</v>
      </c>
      <c r="CX57" s="318">
        <f>CX59+CX64</f>
        <v>1203</v>
      </c>
      <c r="CY57" s="184">
        <f t="shared" ref="CY57:DB57" si="227">CY59+CY64</f>
        <v>1146.75</v>
      </c>
      <c r="CZ57" s="184">
        <f t="shared" si="227"/>
        <v>1180.6500000000001</v>
      </c>
      <c r="DA57" s="184">
        <f t="shared" si="227"/>
        <v>1267.3500000000001</v>
      </c>
      <c r="DB57" s="185">
        <f t="shared" si="227"/>
        <v>4797.75</v>
      </c>
      <c r="DC57" s="184"/>
      <c r="DD57" s="184"/>
      <c r="DE57" s="184"/>
      <c r="DF57" s="184"/>
      <c r="DG57" s="185">
        <f>DG59+DG64</f>
        <v>5049.0727499999994</v>
      </c>
      <c r="DH57" s="184"/>
      <c r="DI57" s="184"/>
      <c r="DJ57" s="184"/>
      <c r="DK57" s="184"/>
      <c r="DL57" s="185">
        <f>DL59+DL64</f>
        <v>5251.5541012499989</v>
      </c>
      <c r="DM57" s="414"/>
      <c r="DN57" s="502"/>
      <c r="DO57" s="489"/>
      <c r="DP57" s="414"/>
      <c r="DQ57" s="414"/>
      <c r="DR57" s="414"/>
      <c r="DS57" s="556"/>
      <c r="DT57" s="640"/>
      <c r="DU57" s="461"/>
      <c r="DV57" s="461"/>
      <c r="DW57" s="461"/>
      <c r="DX57" s="461"/>
      <c r="DY57" s="461"/>
      <c r="DZ57" s="461"/>
      <c r="EA57" s="502"/>
      <c r="EH57" s="318"/>
    </row>
    <row r="58" spans="1:138" ht="12.75" customHeight="1" x14ac:dyDescent="0.2">
      <c r="A58" s="142" t="s">
        <v>244</v>
      </c>
      <c r="B58" s="20"/>
      <c r="C58" s="20"/>
      <c r="D58" s="20"/>
      <c r="E58" s="20"/>
      <c r="F58" s="199"/>
      <c r="G58" s="20" t="e">
        <f t="shared" ref="G58:AO58" si="228">G57/B57-1</f>
        <v>#DIV/0!</v>
      </c>
      <c r="H58" s="20" t="e">
        <f t="shared" si="228"/>
        <v>#DIV/0!</v>
      </c>
      <c r="I58" s="20" t="e">
        <f t="shared" si="228"/>
        <v>#DIV/0!</v>
      </c>
      <c r="J58" s="20" t="e">
        <f t="shared" si="228"/>
        <v>#DIV/0!</v>
      </c>
      <c r="K58" s="199">
        <f t="shared" si="228"/>
        <v>-0.24442609413707683</v>
      </c>
      <c r="L58" s="20">
        <f t="shared" si="228"/>
        <v>-7.7868852459016424E-2</v>
      </c>
      <c r="M58" s="20">
        <f t="shared" si="228"/>
        <v>7.5313807531380839E-2</v>
      </c>
      <c r="N58" s="20">
        <f t="shared" si="228"/>
        <v>0.22596153846153855</v>
      </c>
      <c r="O58" s="20">
        <f t="shared" si="228"/>
        <v>0.1026785714285714</v>
      </c>
      <c r="P58" s="199">
        <f t="shared" si="228"/>
        <v>7.5409836065573721E-2</v>
      </c>
      <c r="Q58" s="20">
        <f t="shared" si="228"/>
        <v>-4.4444444444444731E-3</v>
      </c>
      <c r="R58" s="20">
        <f t="shared" si="228"/>
        <v>3.8910505836575737E-3</v>
      </c>
      <c r="S58" s="20">
        <f t="shared" si="228"/>
        <v>-5.0980392156862786E-2</v>
      </c>
      <c r="T58" s="20">
        <f t="shared" si="228"/>
        <v>3.6437246963562764E-2</v>
      </c>
      <c r="U58" s="199">
        <f t="shared" si="228"/>
        <v>-4.0650406504064707E-3</v>
      </c>
      <c r="V58" s="20">
        <f t="shared" si="228"/>
        <v>0.28571428571428581</v>
      </c>
      <c r="W58" s="20">
        <f t="shared" si="228"/>
        <v>0.18217054263565902</v>
      </c>
      <c r="X58" s="20">
        <f t="shared" si="228"/>
        <v>0.26859504132231415</v>
      </c>
      <c r="Y58" s="20">
        <f t="shared" si="228"/>
        <v>1.12890625</v>
      </c>
      <c r="Z58" s="199">
        <f t="shared" si="228"/>
        <v>0.47448979591836737</v>
      </c>
      <c r="AA58" s="20">
        <f t="shared" si="228"/>
        <v>6.944444444444442E-2</v>
      </c>
      <c r="AB58" s="20">
        <f t="shared" si="228"/>
        <v>1.6393442622950838E-2</v>
      </c>
      <c r="AC58" s="20">
        <f t="shared" si="228"/>
        <v>5.8631921824104261E-2</v>
      </c>
      <c r="AD58" s="20">
        <f t="shared" si="228"/>
        <v>0.14495412844036704</v>
      </c>
      <c r="AE58" s="199">
        <f t="shared" si="228"/>
        <v>8.4429065743944598E-2</v>
      </c>
      <c r="AF58" s="20">
        <f t="shared" si="228"/>
        <v>0.43831168831168821</v>
      </c>
      <c r="AG58" s="20">
        <f t="shared" si="228"/>
        <v>0.70967741935483875</v>
      </c>
      <c r="AH58" s="20">
        <f t="shared" si="228"/>
        <v>0.62461538461538457</v>
      </c>
      <c r="AI58" s="20">
        <f t="shared" si="228"/>
        <v>-0.13782051282051277</v>
      </c>
      <c r="AJ58" s="199">
        <f t="shared" si="228"/>
        <v>0.30121250797702626</v>
      </c>
      <c r="AK58" s="20">
        <f t="shared" si="228"/>
        <v>0.15349887133182838</v>
      </c>
      <c r="AL58" s="20">
        <f t="shared" si="228"/>
        <v>-3.7735849056603765E-2</v>
      </c>
      <c r="AM58" s="20">
        <f t="shared" si="228"/>
        <v>0.11553030303030298</v>
      </c>
      <c r="AN58" s="20">
        <f t="shared" si="228"/>
        <v>0.14498141263940512</v>
      </c>
      <c r="AO58" s="199">
        <f t="shared" si="228"/>
        <v>9.1711623344776783E-2</v>
      </c>
      <c r="AP58" s="317"/>
      <c r="AQ58" s="20"/>
      <c r="AR58" s="20"/>
      <c r="AS58" s="20"/>
      <c r="AT58" s="206"/>
      <c r="AU58" s="20"/>
      <c r="AV58" s="20"/>
      <c r="AW58" s="20"/>
      <c r="AX58" s="20"/>
      <c r="AY58" s="206"/>
      <c r="AZ58" s="317">
        <f t="shared" ref="AZ58:BP58" si="229">AZ57/AU57-1</f>
        <v>-8.2417582417582125E-3</v>
      </c>
      <c r="BA58" s="20">
        <f t="shared" si="229"/>
        <v>-6.5587734241908002E-2</v>
      </c>
      <c r="BB58" s="20">
        <f t="shared" si="229"/>
        <v>-0.12718204488778051</v>
      </c>
      <c r="BC58" s="20">
        <f t="shared" si="229"/>
        <v>-7.6507650765076485E-2</v>
      </c>
      <c r="BD58" s="206">
        <f t="shared" si="229"/>
        <v>-7.074235807860263E-2</v>
      </c>
      <c r="BE58" s="317">
        <f t="shared" si="229"/>
        <v>-3.785780240073866E-2</v>
      </c>
      <c r="BF58" s="20">
        <f t="shared" si="229"/>
        <v>5.6572470373746464E-2</v>
      </c>
      <c r="BG58" s="20">
        <f t="shared" si="229"/>
        <v>0.11904761904761907</v>
      </c>
      <c r="BH58" s="20">
        <f t="shared" si="229"/>
        <v>9.259259259259256E-2</v>
      </c>
      <c r="BI58" s="206">
        <f t="shared" si="229"/>
        <v>5.6640037593984838E-2</v>
      </c>
      <c r="BJ58" s="317">
        <f t="shared" si="229"/>
        <v>0.12476007677543177</v>
      </c>
      <c r="BK58" s="20">
        <f t="shared" si="229"/>
        <v>8.8813348748123522E-2</v>
      </c>
      <c r="BL58" s="20">
        <f t="shared" si="229"/>
        <v>6.2127659574467975E-2</v>
      </c>
      <c r="BM58" s="20">
        <f t="shared" si="229"/>
        <v>4.9063336306868877E-2</v>
      </c>
      <c r="BN58" s="317">
        <f t="shared" si="229"/>
        <v>8.0261326288731061E-2</v>
      </c>
      <c r="BO58" s="317">
        <f t="shared" si="229"/>
        <v>1.2798634812286602E-2</v>
      </c>
      <c r="BP58" s="20">
        <f t="shared" si="229"/>
        <v>1.5055467511885912E-2</v>
      </c>
      <c r="BQ58" s="20">
        <f t="shared" ref="BQ58:CA58" si="230">BQ57/BL57-1</f>
        <v>-1.3621794871794823E-2</v>
      </c>
      <c r="BR58" s="20">
        <f t="shared" si="230"/>
        <v>-1.0204081632653073E-2</v>
      </c>
      <c r="BS58" s="206">
        <f t="shared" si="230"/>
        <v>1.0292301358583167E-3</v>
      </c>
      <c r="BT58" s="317">
        <f t="shared" si="230"/>
        <v>-1.6849199663016012E-2</v>
      </c>
      <c r="BU58" s="20">
        <f t="shared" si="230"/>
        <v>-5.3083528493364507E-2</v>
      </c>
      <c r="BV58" s="20">
        <f t="shared" si="230"/>
        <v>4.0617384240455578E-3</v>
      </c>
      <c r="BW58" s="20">
        <f t="shared" si="230"/>
        <v>3.2646048109965742E-2</v>
      </c>
      <c r="BX58" s="206">
        <f t="shared" si="230"/>
        <v>-9.2535471930906832E-3</v>
      </c>
      <c r="BY58" s="317">
        <f t="shared" si="230"/>
        <v>6.1696658097686319E-2</v>
      </c>
      <c r="BZ58" s="20">
        <f t="shared" si="230"/>
        <v>0.11706512778235778</v>
      </c>
      <c r="CA58" s="20">
        <f t="shared" si="230"/>
        <v>0.13430420711974111</v>
      </c>
      <c r="CB58" s="20">
        <f t="shared" ref="CB58:CK58" si="231">CB57/BW57-1</f>
        <v>0.17470881863560739</v>
      </c>
      <c r="CC58" s="206">
        <f t="shared" si="231"/>
        <v>0.12245745122457441</v>
      </c>
      <c r="CD58" s="317">
        <f t="shared" si="231"/>
        <v>0.18240516545601282</v>
      </c>
      <c r="CE58" s="20">
        <f t="shared" si="231"/>
        <v>0.15719557195571965</v>
      </c>
      <c r="CF58" s="20">
        <f t="shared" si="231"/>
        <v>7.8459343794579084E-2</v>
      </c>
      <c r="CG58" s="20">
        <f>CG57/CB57-1</f>
        <v>-2.4787535410764838E-2</v>
      </c>
      <c r="CH58" s="206">
        <f>CH57/CC57-1</f>
        <v>9.5044378698224907E-2</v>
      </c>
      <c r="CI58" s="317">
        <f t="shared" si="231"/>
        <v>1.6382252559727029E-2</v>
      </c>
      <c r="CJ58" s="20">
        <f t="shared" si="231"/>
        <v>-5.8035714285714302E-2</v>
      </c>
      <c r="CK58" s="20">
        <f t="shared" si="231"/>
        <v>-6.6137566137566162E-2</v>
      </c>
      <c r="CL58" s="20">
        <f>CL57/CG57-1</f>
        <v>7.770515613652873E-2</v>
      </c>
      <c r="CM58" s="206">
        <f>CM57/CH57-1</f>
        <v>-1.0131712259371817E-2</v>
      </c>
      <c r="CN58" s="317">
        <f t="shared" ref="CN58:CP58" si="232">CN57/CI57-1</f>
        <v>-1.9476158495634666E-2</v>
      </c>
      <c r="CO58" s="20">
        <f t="shared" si="232"/>
        <v>5.6194989844278842E-2</v>
      </c>
      <c r="CP58" s="20">
        <f t="shared" si="232"/>
        <v>0.17634560906515584</v>
      </c>
      <c r="CQ58" s="20">
        <f>CQ57/CL57-1</f>
        <v>0.17520215633423186</v>
      </c>
      <c r="CR58" s="206">
        <f>CR57/CM57-1</f>
        <v>9.6042306380075049E-2</v>
      </c>
      <c r="CS58" s="317"/>
      <c r="CT58" s="20"/>
      <c r="CU58" s="20"/>
      <c r="CV58" s="20"/>
      <c r="CW58" s="206"/>
      <c r="CX58" s="317">
        <f t="shared" ref="CX58:CY60" si="233">CX57/CS57-1</f>
        <v>0.30335861321776814</v>
      </c>
      <c r="CY58" s="20">
        <f t="shared" si="233"/>
        <v>0.1713483146067416</v>
      </c>
      <c r="CZ58" s="20">
        <f t="shared" ref="CZ58" si="234">CZ57/CU57-1</f>
        <v>9.1173752310536038E-2</v>
      </c>
      <c r="DA58" s="20">
        <f>DA57/CV57-1</f>
        <v>5.0000000000000044E-2</v>
      </c>
      <c r="DB58" s="206">
        <f>DB57/CW57-1</f>
        <v>0.1447745168217609</v>
      </c>
      <c r="DC58" s="20"/>
      <c r="DD58" s="20"/>
      <c r="DE58" s="20"/>
      <c r="DF58" s="20"/>
      <c r="DG58" s="206">
        <f>DG57/DB57-1</f>
        <v>5.2383460997342368E-2</v>
      </c>
      <c r="DH58" s="20"/>
      <c r="DI58" s="20"/>
      <c r="DJ58" s="20"/>
      <c r="DK58" s="20"/>
      <c r="DL58" s="206">
        <f>DL57/DG57-1</f>
        <v>4.0102680487223985E-2</v>
      </c>
      <c r="DM58" s="20"/>
      <c r="DN58" s="500"/>
      <c r="DO58" s="486"/>
      <c r="DP58" s="411"/>
      <c r="DQ58" s="411"/>
      <c r="DR58" s="411"/>
      <c r="DS58" s="556"/>
      <c r="DT58" s="556"/>
      <c r="DU58" s="556"/>
      <c r="DV58" s="556"/>
      <c r="DW58" s="556"/>
      <c r="DX58" s="556"/>
      <c r="DY58" s="556"/>
      <c r="DZ58" s="556"/>
      <c r="EA58" s="500"/>
      <c r="EH58" s="8"/>
    </row>
    <row r="59" spans="1:138" ht="12.75" customHeight="1" x14ac:dyDescent="0.2">
      <c r="A59" s="437" t="s">
        <v>144</v>
      </c>
      <c r="B59" s="892">
        <v>141</v>
      </c>
      <c r="C59" s="892">
        <v>145</v>
      </c>
      <c r="D59" s="892">
        <v>141</v>
      </c>
      <c r="E59" s="892">
        <v>156</v>
      </c>
      <c r="F59" s="439">
        <f>SUM(B59:E59)</f>
        <v>583</v>
      </c>
      <c r="G59" s="892">
        <v>140</v>
      </c>
      <c r="H59" s="892">
        <v>131</v>
      </c>
      <c r="I59" s="892">
        <v>116</v>
      </c>
      <c r="J59" s="892">
        <v>119</v>
      </c>
      <c r="K59" s="439">
        <f>SUM(G59:J59)</f>
        <v>506</v>
      </c>
      <c r="L59" s="892">
        <v>111</v>
      </c>
      <c r="M59" s="892">
        <v>109</v>
      </c>
      <c r="N59" s="892">
        <v>112</v>
      </c>
      <c r="O59" s="892">
        <v>126</v>
      </c>
      <c r="P59" s="439">
        <f>SUM(L59:O59)</f>
        <v>458</v>
      </c>
      <c r="Q59" s="892">
        <v>113</v>
      </c>
      <c r="R59" s="892">
        <v>114</v>
      </c>
      <c r="S59" s="892">
        <v>113</v>
      </c>
      <c r="T59" s="892">
        <v>124</v>
      </c>
      <c r="U59" s="439">
        <f>SUM(Q59:T59)</f>
        <v>464</v>
      </c>
      <c r="V59" s="892">
        <v>122</v>
      </c>
      <c r="W59" s="892">
        <v>125</v>
      </c>
      <c r="X59" s="892">
        <v>117</v>
      </c>
      <c r="Y59" s="892">
        <v>136</v>
      </c>
      <c r="Z59" s="439">
        <f>SUM(V59:Y59)</f>
        <v>500</v>
      </c>
      <c r="AA59" s="892">
        <v>132</v>
      </c>
      <c r="AB59" s="892">
        <v>127</v>
      </c>
      <c r="AC59" s="892">
        <v>128</v>
      </c>
      <c r="AD59" s="892">
        <v>137</v>
      </c>
      <c r="AE59" s="439">
        <f>SUM(AA59:AD59)</f>
        <v>524</v>
      </c>
      <c r="AF59" s="892">
        <v>123</v>
      </c>
      <c r="AG59" s="892">
        <v>128</v>
      </c>
      <c r="AH59" s="892">
        <v>121</v>
      </c>
      <c r="AI59" s="892">
        <v>126</v>
      </c>
      <c r="AJ59" s="439">
        <f>SUM(AF59:AI59)</f>
        <v>498</v>
      </c>
      <c r="AK59" s="892">
        <v>112</v>
      </c>
      <c r="AL59" s="892">
        <v>118</v>
      </c>
      <c r="AM59" s="892">
        <v>120</v>
      </c>
      <c r="AN59" s="892">
        <v>132</v>
      </c>
      <c r="AO59" s="439">
        <f>SUM(AK59:AN59)</f>
        <v>482</v>
      </c>
      <c r="AP59" s="870"/>
      <c r="AQ59" s="892"/>
      <c r="AR59" s="892"/>
      <c r="AS59" s="892"/>
      <c r="AT59" s="439"/>
      <c r="AU59" s="892">
        <v>331</v>
      </c>
      <c r="AV59" s="892">
        <v>373</v>
      </c>
      <c r="AW59" s="892">
        <v>364</v>
      </c>
      <c r="AX59" s="892">
        <v>285</v>
      </c>
      <c r="AY59" s="439">
        <f>SUM(AU59:AX59)</f>
        <v>1353</v>
      </c>
      <c r="AZ59" s="870">
        <v>185</v>
      </c>
      <c r="BA59" s="892">
        <v>173</v>
      </c>
      <c r="BB59" s="892">
        <v>177</v>
      </c>
      <c r="BC59" s="892">
        <v>253</v>
      </c>
      <c r="BD59" s="439">
        <f>SUM(AZ59:BC59)</f>
        <v>788</v>
      </c>
      <c r="BE59" s="870">
        <v>176</v>
      </c>
      <c r="BF59" s="892">
        <v>211.06</v>
      </c>
      <c r="BG59" s="892">
        <v>227</v>
      </c>
      <c r="BH59" s="892">
        <v>236</v>
      </c>
      <c r="BI59" s="439">
        <f>SUM(BE59:BH59)</f>
        <v>850.06</v>
      </c>
      <c r="BJ59" s="870">
        <v>250</v>
      </c>
      <c r="BK59" s="892">
        <v>264</v>
      </c>
      <c r="BL59" s="892">
        <v>257</v>
      </c>
      <c r="BM59" s="892">
        <v>256</v>
      </c>
      <c r="BN59" s="440">
        <f>SUM(BJ59:BM59)</f>
        <v>1027</v>
      </c>
      <c r="BO59" s="870">
        <v>244</v>
      </c>
      <c r="BP59" s="892">
        <v>262</v>
      </c>
      <c r="BQ59" s="892">
        <v>243</v>
      </c>
      <c r="BR59" s="892">
        <v>241</v>
      </c>
      <c r="BS59" s="439">
        <f>SUM(BO59:BR59)</f>
        <v>990</v>
      </c>
      <c r="BT59" s="870">
        <v>238</v>
      </c>
      <c r="BU59" s="892">
        <v>232</v>
      </c>
      <c r="BV59" s="892">
        <v>229</v>
      </c>
      <c r="BW59" s="892">
        <v>238</v>
      </c>
      <c r="BX59" s="439">
        <f>SUM(BT59:BW59)</f>
        <v>937</v>
      </c>
      <c r="BY59" s="870">
        <v>217</v>
      </c>
      <c r="BZ59" s="892">
        <v>230</v>
      </c>
      <c r="CA59" s="892">
        <v>244</v>
      </c>
      <c r="CB59" s="892">
        <v>243</v>
      </c>
      <c r="CC59" s="439">
        <f>SUM(BY59:CB59)</f>
        <v>934</v>
      </c>
      <c r="CD59" s="870">
        <v>217</v>
      </c>
      <c r="CE59" s="892">
        <v>207</v>
      </c>
      <c r="CF59" s="892">
        <v>196</v>
      </c>
      <c r="CG59" s="892">
        <v>193</v>
      </c>
      <c r="CH59" s="439">
        <f>SUM(CD59:CG59)</f>
        <v>813</v>
      </c>
      <c r="CI59" s="870">
        <v>162</v>
      </c>
      <c r="CJ59" s="892">
        <v>165</v>
      </c>
      <c r="CK59" s="892">
        <v>167</v>
      </c>
      <c r="CL59" s="892">
        <v>174</v>
      </c>
      <c r="CM59" s="439">
        <f>SUM(CI59:CL59)</f>
        <v>668</v>
      </c>
      <c r="CN59" s="870">
        <v>160</v>
      </c>
      <c r="CO59" s="892">
        <v>183</v>
      </c>
      <c r="CP59" s="892">
        <v>187</v>
      </c>
      <c r="CQ59" s="892">
        <v>200</v>
      </c>
      <c r="CR59" s="439">
        <f>SUM(CN59:CQ59)</f>
        <v>730</v>
      </c>
      <c r="CS59" s="870">
        <v>163</v>
      </c>
      <c r="CT59" s="892">
        <v>187</v>
      </c>
      <c r="CU59" s="892">
        <v>191</v>
      </c>
      <c r="CV59" s="892">
        <v>203</v>
      </c>
      <c r="CW59" s="439">
        <f>SUM(CS59:CV59)</f>
        <v>744</v>
      </c>
      <c r="CX59" s="870">
        <v>202</v>
      </c>
      <c r="CY59" s="438">
        <f>CT59*(1+CY60)</f>
        <v>196.35</v>
      </c>
      <c r="CZ59" s="438">
        <f>CU59*(1+CZ60)</f>
        <v>200.55</v>
      </c>
      <c r="DA59" s="438">
        <f>CV59*(1+DA60)</f>
        <v>213.15</v>
      </c>
      <c r="DB59" s="439">
        <f>SUM(CX59:DA59)</f>
        <v>812.05000000000007</v>
      </c>
      <c r="DC59" s="438"/>
      <c r="DD59" s="438"/>
      <c r="DE59" s="438"/>
      <c r="DF59" s="438"/>
      <c r="DG59" s="439">
        <f>DB59*(1+DG60)</f>
        <v>824.23074999999994</v>
      </c>
      <c r="DH59" s="438"/>
      <c r="DI59" s="438"/>
      <c r="DJ59" s="438"/>
      <c r="DK59" s="438"/>
      <c r="DL59" s="439">
        <f>DG59*(1+DL60)</f>
        <v>836.59421124999983</v>
      </c>
      <c r="DM59" s="438"/>
      <c r="DN59" s="504"/>
      <c r="DO59" s="440"/>
      <c r="DP59" s="438"/>
      <c r="DQ59" s="438"/>
      <c r="DR59" s="438"/>
      <c r="DS59" s="556"/>
      <c r="DT59" s="556"/>
      <c r="DU59" s="556"/>
      <c r="DV59" s="556"/>
      <c r="DW59" s="556"/>
      <c r="DX59" s="556"/>
      <c r="DY59" s="556"/>
      <c r="DZ59" s="556"/>
      <c r="EA59" s="504"/>
      <c r="EH59" s="440"/>
    </row>
    <row r="60" spans="1:138" ht="12.75" customHeight="1" x14ac:dyDescent="0.2">
      <c r="A60" s="142" t="s">
        <v>244</v>
      </c>
      <c r="B60" s="20"/>
      <c r="C60" s="20"/>
      <c r="D60" s="20"/>
      <c r="E60" s="20"/>
      <c r="F60" s="199"/>
      <c r="G60" s="20">
        <f t="shared" ref="G60:AO60" si="235">G59/B59-1</f>
        <v>-7.0921985815602939E-3</v>
      </c>
      <c r="H60" s="20">
        <f t="shared" si="235"/>
        <v>-9.6551724137931005E-2</v>
      </c>
      <c r="I60" s="20">
        <f t="shared" si="235"/>
        <v>-0.17730496453900713</v>
      </c>
      <c r="J60" s="20">
        <f t="shared" si="235"/>
        <v>-0.23717948717948723</v>
      </c>
      <c r="K60" s="199">
        <f t="shared" si="235"/>
        <v>-0.13207547169811318</v>
      </c>
      <c r="L60" s="20">
        <f t="shared" si="235"/>
        <v>-0.20714285714285718</v>
      </c>
      <c r="M60" s="20">
        <f t="shared" si="235"/>
        <v>-0.16793893129770987</v>
      </c>
      <c r="N60" s="20">
        <f t="shared" si="235"/>
        <v>-3.4482758620689613E-2</v>
      </c>
      <c r="O60" s="20">
        <f t="shared" si="235"/>
        <v>5.8823529411764719E-2</v>
      </c>
      <c r="P60" s="199">
        <f t="shared" si="235"/>
        <v>-9.4861660079051391E-2</v>
      </c>
      <c r="Q60" s="20">
        <f t="shared" si="235"/>
        <v>1.8018018018018056E-2</v>
      </c>
      <c r="R60" s="20">
        <f t="shared" si="235"/>
        <v>4.587155963302747E-2</v>
      </c>
      <c r="S60" s="20">
        <f t="shared" si="235"/>
        <v>8.9285714285713969E-3</v>
      </c>
      <c r="T60" s="20">
        <f t="shared" si="235"/>
        <v>-1.5873015873015928E-2</v>
      </c>
      <c r="U60" s="199">
        <f t="shared" si="235"/>
        <v>1.3100436681222627E-2</v>
      </c>
      <c r="V60" s="20">
        <f t="shared" si="235"/>
        <v>7.9646017699114946E-2</v>
      </c>
      <c r="W60" s="20">
        <f t="shared" si="235"/>
        <v>9.6491228070175517E-2</v>
      </c>
      <c r="X60" s="20">
        <f t="shared" si="235"/>
        <v>3.539823008849563E-2</v>
      </c>
      <c r="Y60" s="20">
        <f t="shared" si="235"/>
        <v>9.6774193548387011E-2</v>
      </c>
      <c r="Z60" s="199">
        <f t="shared" si="235"/>
        <v>7.7586206896551824E-2</v>
      </c>
      <c r="AA60" s="20">
        <f t="shared" si="235"/>
        <v>8.1967213114754189E-2</v>
      </c>
      <c r="AB60" s="20">
        <f t="shared" si="235"/>
        <v>1.6000000000000014E-2</v>
      </c>
      <c r="AC60" s="20">
        <f t="shared" si="235"/>
        <v>9.4017094017094127E-2</v>
      </c>
      <c r="AD60" s="20">
        <f t="shared" si="235"/>
        <v>7.3529411764705621E-3</v>
      </c>
      <c r="AE60" s="199">
        <f t="shared" si="235"/>
        <v>4.8000000000000043E-2</v>
      </c>
      <c r="AF60" s="20">
        <f t="shared" si="235"/>
        <v>-6.8181818181818232E-2</v>
      </c>
      <c r="AG60" s="20">
        <f t="shared" si="235"/>
        <v>7.8740157480314821E-3</v>
      </c>
      <c r="AH60" s="20">
        <f t="shared" si="235"/>
        <v>-5.46875E-2</v>
      </c>
      <c r="AI60" s="20">
        <f t="shared" si="235"/>
        <v>-8.0291970802919721E-2</v>
      </c>
      <c r="AJ60" s="199">
        <f t="shared" si="235"/>
        <v>-4.961832061068705E-2</v>
      </c>
      <c r="AK60" s="20">
        <f t="shared" si="235"/>
        <v>-8.9430894308943132E-2</v>
      </c>
      <c r="AL60" s="20">
        <f t="shared" si="235"/>
        <v>-7.8125E-2</v>
      </c>
      <c r="AM60" s="20">
        <f t="shared" si="235"/>
        <v>-8.2644628099173278E-3</v>
      </c>
      <c r="AN60" s="20">
        <f t="shared" si="235"/>
        <v>4.7619047619047672E-2</v>
      </c>
      <c r="AO60" s="199">
        <f t="shared" si="235"/>
        <v>-3.2128514056224855E-2</v>
      </c>
      <c r="AP60" s="317"/>
      <c r="AQ60" s="20"/>
      <c r="AR60" s="20"/>
      <c r="AS60" s="20"/>
      <c r="AT60" s="206"/>
      <c r="AU60" s="20"/>
      <c r="AV60" s="20"/>
      <c r="AW60" s="20"/>
      <c r="AX60" s="20"/>
      <c r="AY60" s="206"/>
      <c r="AZ60" s="317">
        <f t="shared" ref="AZ60:CA60" si="236">AZ59/AU59-1</f>
        <v>-0.44108761329305135</v>
      </c>
      <c r="BA60" s="20">
        <f t="shared" si="236"/>
        <v>-0.53619302949061665</v>
      </c>
      <c r="BB60" s="20">
        <f t="shared" si="236"/>
        <v>-0.51373626373626369</v>
      </c>
      <c r="BC60" s="20">
        <f t="shared" si="236"/>
        <v>-0.11228070175438598</v>
      </c>
      <c r="BD60" s="206">
        <f t="shared" si="236"/>
        <v>-0.41759053954175906</v>
      </c>
      <c r="BE60" s="317">
        <f t="shared" si="236"/>
        <v>-4.8648648648648596E-2</v>
      </c>
      <c r="BF60" s="20">
        <f t="shared" si="236"/>
        <v>0.21999999999999997</v>
      </c>
      <c r="BG60" s="20">
        <f t="shared" si="236"/>
        <v>0.28248587570621475</v>
      </c>
      <c r="BH60" s="20">
        <f t="shared" si="236"/>
        <v>-6.7193675889328008E-2</v>
      </c>
      <c r="BI60" s="206">
        <f>BI59/BD59-1</f>
        <v>7.8756345177664944E-2</v>
      </c>
      <c r="BJ60" s="317">
        <f t="shared" si="236"/>
        <v>0.42045454545454541</v>
      </c>
      <c r="BK60" s="20">
        <f t="shared" si="236"/>
        <v>0.25082914810954238</v>
      </c>
      <c r="BL60" s="20">
        <f t="shared" si="236"/>
        <v>0.13215859030836996</v>
      </c>
      <c r="BM60" s="20">
        <f t="shared" si="236"/>
        <v>8.4745762711864403E-2</v>
      </c>
      <c r="BN60" s="317">
        <f>BN59/BI59-1</f>
        <v>0.20815001294026314</v>
      </c>
      <c r="BO60" s="317">
        <f t="shared" si="236"/>
        <v>-2.4000000000000021E-2</v>
      </c>
      <c r="BP60" s="20">
        <f t="shared" si="236"/>
        <v>-7.575757575757569E-3</v>
      </c>
      <c r="BQ60" s="20">
        <f t="shared" si="236"/>
        <v>-5.4474708171206254E-2</v>
      </c>
      <c r="BR60" s="20">
        <f t="shared" si="236"/>
        <v>-5.859375E-2</v>
      </c>
      <c r="BS60" s="206">
        <f>BS59/BN59-1</f>
        <v>-3.6027263875365145E-2</v>
      </c>
      <c r="BT60" s="317">
        <f t="shared" si="236"/>
        <v>-2.4590163934426257E-2</v>
      </c>
      <c r="BU60" s="20">
        <f t="shared" si="236"/>
        <v>-0.1145038167938931</v>
      </c>
      <c r="BV60" s="20">
        <f t="shared" si="236"/>
        <v>-5.7613168724279795E-2</v>
      </c>
      <c r="BW60" s="20">
        <f t="shared" si="236"/>
        <v>-1.2448132780082943E-2</v>
      </c>
      <c r="BX60" s="206">
        <f>BX59/BS59-1</f>
        <v>-5.3535353535353547E-2</v>
      </c>
      <c r="BY60" s="317">
        <f t="shared" si="236"/>
        <v>-8.8235294117647078E-2</v>
      </c>
      <c r="BZ60" s="20">
        <f t="shared" si="236"/>
        <v>-8.6206896551723755E-3</v>
      </c>
      <c r="CA60" s="20">
        <f t="shared" si="236"/>
        <v>6.5502183406113579E-2</v>
      </c>
      <c r="CB60" s="20">
        <f t="shared" ref="CB60:CK60" si="237">CB59/BW59-1</f>
        <v>2.1008403361344463E-2</v>
      </c>
      <c r="CC60" s="206">
        <f t="shared" si="237"/>
        <v>-3.2017075773745907E-3</v>
      </c>
      <c r="CD60" s="317">
        <f t="shared" si="237"/>
        <v>0</v>
      </c>
      <c r="CE60" s="20">
        <f t="shared" si="237"/>
        <v>-9.9999999999999978E-2</v>
      </c>
      <c r="CF60" s="20">
        <f t="shared" si="237"/>
        <v>-0.19672131147540983</v>
      </c>
      <c r="CG60" s="20">
        <f t="shared" si="237"/>
        <v>-0.20576131687242794</v>
      </c>
      <c r="CH60" s="206">
        <f t="shared" si="237"/>
        <v>-0.12955032119914345</v>
      </c>
      <c r="CI60" s="317">
        <f t="shared" si="237"/>
        <v>-0.25345622119815669</v>
      </c>
      <c r="CJ60" s="20">
        <f t="shared" si="237"/>
        <v>-0.20289855072463769</v>
      </c>
      <c r="CK60" s="20">
        <f t="shared" si="237"/>
        <v>-0.14795918367346939</v>
      </c>
      <c r="CL60" s="20">
        <f t="shared" ref="CL60" si="238">CL59/CG59-1</f>
        <v>-9.8445595854922296E-2</v>
      </c>
      <c r="CM60" s="206">
        <f t="shared" ref="CM60:CP60" si="239">CM59/CH59-1</f>
        <v>-0.17835178351783521</v>
      </c>
      <c r="CN60" s="317">
        <f t="shared" si="239"/>
        <v>-1.2345679012345734E-2</v>
      </c>
      <c r="CO60" s="20">
        <f t="shared" si="239"/>
        <v>0.10909090909090913</v>
      </c>
      <c r="CP60" s="20">
        <f t="shared" si="239"/>
        <v>0.11976047904191622</v>
      </c>
      <c r="CQ60" s="20">
        <f t="shared" ref="CQ60" si="240">CQ59/CL59-1</f>
        <v>0.14942528735632177</v>
      </c>
      <c r="CR60" s="206">
        <f t="shared" ref="CR60" si="241">CR59/CM59-1</f>
        <v>9.2814371257484929E-2</v>
      </c>
      <c r="CS60" s="317"/>
      <c r="CT60" s="20"/>
      <c r="CU60" s="20"/>
      <c r="CV60" s="20"/>
      <c r="CW60" s="206"/>
      <c r="CX60" s="317">
        <f t="shared" si="233"/>
        <v>0.23926380368098155</v>
      </c>
      <c r="CY60" s="33">
        <v>0.05</v>
      </c>
      <c r="CZ60" s="33">
        <v>0.05</v>
      </c>
      <c r="DA60" s="33">
        <v>0.05</v>
      </c>
      <c r="DB60" s="206">
        <f>DB59/CW59-1</f>
        <v>9.146505376344094E-2</v>
      </c>
      <c r="DC60" s="20"/>
      <c r="DD60" s="20"/>
      <c r="DE60" s="33"/>
      <c r="DF60" s="33"/>
      <c r="DG60" s="786">
        <v>1.4999999999999999E-2</v>
      </c>
      <c r="DH60" s="20"/>
      <c r="DI60" s="20"/>
      <c r="DJ60" s="33"/>
      <c r="DK60" s="33"/>
      <c r="DL60" s="786">
        <v>1.4999999999999999E-2</v>
      </c>
      <c r="DM60" s="33"/>
      <c r="DN60" s="499"/>
      <c r="DO60" s="486"/>
      <c r="DP60" s="411"/>
      <c r="DQ60" s="411"/>
      <c r="DR60" s="411"/>
      <c r="DS60" s="556"/>
      <c r="DT60" s="556"/>
      <c r="DU60" s="556"/>
      <c r="DV60" s="556"/>
      <c r="DW60" s="556"/>
      <c r="DX60" s="556"/>
      <c r="DY60" s="556"/>
      <c r="DZ60" s="556"/>
      <c r="EA60" s="499"/>
      <c r="EH60" s="8"/>
    </row>
    <row r="61" spans="1:138" ht="12.75" customHeight="1" x14ac:dyDescent="0.2">
      <c r="A61" s="75" t="s">
        <v>164</v>
      </c>
      <c r="B61" s="32">
        <f t="shared" ref="B61:AO61" si="242">B59/B15*100</f>
        <v>0.39736219141021312</v>
      </c>
      <c r="C61" s="32">
        <f t="shared" si="242"/>
        <v>0.39044618574467516</v>
      </c>
      <c r="D61" s="32">
        <f t="shared" si="242"/>
        <v>0.37017589918613814</v>
      </c>
      <c r="E61" s="32">
        <f t="shared" si="242"/>
        <v>0.42800702370500443</v>
      </c>
      <c r="F61" s="203">
        <f t="shared" si="242"/>
        <v>0.3961701289081877</v>
      </c>
      <c r="G61" s="32">
        <f t="shared" si="242"/>
        <v>0.37108701990616799</v>
      </c>
      <c r="H61" s="32">
        <f t="shared" si="242"/>
        <v>0.34258218049635192</v>
      </c>
      <c r="I61" s="32">
        <f t="shared" si="242"/>
        <v>0.3074476543864299</v>
      </c>
      <c r="J61" s="32">
        <f t="shared" si="242"/>
        <v>0.34855135904275497</v>
      </c>
      <c r="K61" s="203">
        <f t="shared" si="242"/>
        <v>0.34226813244910909</v>
      </c>
      <c r="L61" s="32">
        <f t="shared" si="242"/>
        <v>0.32898636633076467</v>
      </c>
      <c r="M61" s="32">
        <f t="shared" si="242"/>
        <v>0.30396832036587745</v>
      </c>
      <c r="N61" s="32">
        <f t="shared" si="242"/>
        <v>0.30401737242128124</v>
      </c>
      <c r="O61" s="32">
        <f t="shared" si="242"/>
        <v>0.35714285714285715</v>
      </c>
      <c r="P61" s="203">
        <f t="shared" si="242"/>
        <v>0.32317473309859651</v>
      </c>
      <c r="Q61" s="32">
        <f t="shared" si="242"/>
        <v>0.34032044332008193</v>
      </c>
      <c r="R61" s="32">
        <f t="shared" si="242"/>
        <v>0.35587188612099641</v>
      </c>
      <c r="S61" s="32">
        <f t="shared" si="242"/>
        <v>0.32745080993364051</v>
      </c>
      <c r="T61" s="32">
        <f t="shared" si="242"/>
        <v>0.35800900796858759</v>
      </c>
      <c r="U61" s="203">
        <f t="shared" si="242"/>
        <v>0.3452817692714108</v>
      </c>
      <c r="V61" s="32">
        <f t="shared" si="242"/>
        <v>0.3412682872248175</v>
      </c>
      <c r="W61" s="32">
        <f t="shared" si="242"/>
        <v>0.32366649404453651</v>
      </c>
      <c r="X61" s="32">
        <f t="shared" si="242"/>
        <v>0.29872086195011105</v>
      </c>
      <c r="Y61" s="32">
        <f t="shared" si="242"/>
        <v>0.3565529717117164</v>
      </c>
      <c r="Z61" s="203">
        <f t="shared" si="242"/>
        <v>0.32964352349369391</v>
      </c>
      <c r="AA61" s="32">
        <f t="shared" si="242"/>
        <v>0.34849644903239435</v>
      </c>
      <c r="AB61" s="32">
        <f t="shared" si="242"/>
        <v>0.31377393452748609</v>
      </c>
      <c r="AC61" s="32">
        <f t="shared" si="242"/>
        <v>0.31185284443903033</v>
      </c>
      <c r="AD61" s="32">
        <f t="shared" si="242"/>
        <v>0.36634934217563375</v>
      </c>
      <c r="AE61" s="203">
        <f t="shared" si="242"/>
        <v>0.33419859304943461</v>
      </c>
      <c r="AF61" s="32">
        <f t="shared" si="242"/>
        <v>0.35547078203572047</v>
      </c>
      <c r="AG61" s="32">
        <f t="shared" si="242"/>
        <v>0.33936051752478924</v>
      </c>
      <c r="AH61" s="32">
        <f t="shared" si="242"/>
        <v>0.30522412531846732</v>
      </c>
      <c r="AI61" s="32">
        <f t="shared" si="242"/>
        <v>0.34968916518650089</v>
      </c>
      <c r="AJ61" s="203">
        <f t="shared" si="242"/>
        <v>0.3364978546572519</v>
      </c>
      <c r="AK61" s="32">
        <f t="shared" si="242"/>
        <v>0.31746931602369682</v>
      </c>
      <c r="AL61" s="32">
        <f t="shared" si="242"/>
        <v>0.30949196107745169</v>
      </c>
      <c r="AM61" s="32">
        <f t="shared" si="242"/>
        <v>0.29309039396233788</v>
      </c>
      <c r="AN61" s="32">
        <f t="shared" si="242"/>
        <v>0.35280910888972045</v>
      </c>
      <c r="AO61" s="203">
        <f t="shared" si="242"/>
        <v>0.31760046915256024</v>
      </c>
      <c r="AP61" s="319"/>
      <c r="AQ61" s="32"/>
      <c r="AR61" s="32"/>
      <c r="AS61" s="32"/>
      <c r="AT61" s="203"/>
      <c r="AU61" s="32">
        <f t="shared" ref="AU61:BX61" si="243">AU59/AU15*100</f>
        <v>0.55560218212337398</v>
      </c>
      <c r="AV61" s="32">
        <f t="shared" si="243"/>
        <v>0.58833735547879307</v>
      </c>
      <c r="AW61" s="32">
        <f t="shared" si="243"/>
        <v>0.55920850488539298</v>
      </c>
      <c r="AX61" s="32">
        <f t="shared" si="243"/>
        <v>0.49055044924093771</v>
      </c>
      <c r="AY61" s="203">
        <f t="shared" si="243"/>
        <v>0.54963357761492337</v>
      </c>
      <c r="AZ61" s="319">
        <f t="shared" si="243"/>
        <v>0.33189809831359884</v>
      </c>
      <c r="BA61" s="32">
        <f t="shared" si="243"/>
        <v>0.29307628453810836</v>
      </c>
      <c r="BB61" s="32">
        <f t="shared" si="243"/>
        <v>0.28441045087894079</v>
      </c>
      <c r="BC61" s="32">
        <f t="shared" si="243"/>
        <v>0.47445803015527716</v>
      </c>
      <c r="BD61" s="203">
        <f t="shared" si="243"/>
        <v>0.34212228700933889</v>
      </c>
      <c r="BE61" s="319">
        <f t="shared" si="243"/>
        <v>0.33019996703628746</v>
      </c>
      <c r="BF61" s="32">
        <f t="shared" si="243"/>
        <v>0.35956932093086647</v>
      </c>
      <c r="BG61" s="32">
        <f t="shared" si="243"/>
        <v>0.35659541921608828</v>
      </c>
      <c r="BH61" s="32">
        <f t="shared" si="243"/>
        <v>0.41383630834585594</v>
      </c>
      <c r="BI61" s="203">
        <f t="shared" si="243"/>
        <v>0.36532810014131184</v>
      </c>
      <c r="BJ61" s="319">
        <f t="shared" si="243"/>
        <v>0.44469129752471487</v>
      </c>
      <c r="BK61" s="32">
        <f t="shared" si="243"/>
        <v>0.43896842420312265</v>
      </c>
      <c r="BL61" s="32">
        <f t="shared" si="243"/>
        <v>0.40624703613543678</v>
      </c>
      <c r="BM61" s="32">
        <f t="shared" si="243"/>
        <v>0.46516698768034309</v>
      </c>
      <c r="BN61" s="319">
        <f t="shared" si="243"/>
        <v>0.43766235883178245</v>
      </c>
      <c r="BO61" s="319">
        <f t="shared" si="243"/>
        <v>0.44846346125569769</v>
      </c>
      <c r="BP61" s="32">
        <f t="shared" si="243"/>
        <v>0.4412111414233269</v>
      </c>
      <c r="BQ61" s="32">
        <f t="shared" si="243"/>
        <v>0.39015461682963248</v>
      </c>
      <c r="BR61" s="32">
        <f t="shared" si="243"/>
        <v>0.44348754186448786</v>
      </c>
      <c r="BS61" s="203">
        <f t="shared" si="243"/>
        <v>0.42965952737451985</v>
      </c>
      <c r="BT61" s="319">
        <f t="shared" si="243"/>
        <v>0.44887028026102377</v>
      </c>
      <c r="BU61" s="32">
        <f>BU59/BU15*100</f>
        <v>0.38744154976619904</v>
      </c>
      <c r="BV61" s="32">
        <f>BV59/BV15*100</f>
        <v>0.35841171959369572</v>
      </c>
      <c r="BW61" s="32">
        <f>BW59/BW15*100</f>
        <v>0.4254178210742694</v>
      </c>
      <c r="BX61" s="203">
        <f t="shared" si="243"/>
        <v>0.4025951705766091</v>
      </c>
      <c r="BY61" s="319">
        <f>BY59/BY15*100</f>
        <v>0.40256752745621849</v>
      </c>
      <c r="BZ61" s="32">
        <f>BZ59/BZ15*100</f>
        <v>0.37206593655466941</v>
      </c>
      <c r="CA61" s="32">
        <f>CA59/CA15*100</f>
        <v>0.37011194369444528</v>
      </c>
      <c r="CB61" s="32">
        <f t="shared" ref="CB61:CH61" si="244">CB59/CB15*100</f>
        <v>0.41875613917179344</v>
      </c>
      <c r="CC61" s="203">
        <f t="shared" si="244"/>
        <v>0.38969275188170699</v>
      </c>
      <c r="CD61" s="319">
        <f t="shared" si="244"/>
        <v>0.38341254836828809</v>
      </c>
      <c r="CE61" s="32">
        <f t="shared" si="244"/>
        <v>0.32375619750692086</v>
      </c>
      <c r="CF61" s="32">
        <f t="shared" si="244"/>
        <v>0.28810395260983962</v>
      </c>
      <c r="CG61" s="32">
        <f t="shared" si="244"/>
        <v>0.33162081822711731</v>
      </c>
      <c r="CH61" s="203">
        <f t="shared" si="244"/>
        <v>0.32946458964840902</v>
      </c>
      <c r="CI61" s="319">
        <f>CI59/CI15*100</f>
        <v>0.27861381030183163</v>
      </c>
      <c r="CJ61" s="32">
        <f t="shared" ref="CJ61:CM61" si="245">CJ59/CJ15*100</f>
        <v>0.25007957077251852</v>
      </c>
      <c r="CK61" s="32">
        <f t="shared" si="245"/>
        <v>0.24193081068551889</v>
      </c>
      <c r="CL61" s="32">
        <f t="shared" si="245"/>
        <v>0.29634675977177893</v>
      </c>
      <c r="CM61" s="203">
        <f t="shared" si="245"/>
        <v>0.26521934195428537</v>
      </c>
      <c r="CN61" s="319">
        <f>CN59/CN15*100</f>
        <v>0.27647699193032776</v>
      </c>
      <c r="CO61" s="32">
        <f t="shared" ref="CO61:CR61" si="246">CO59/CO15*100</f>
        <v>0.27632234587101939</v>
      </c>
      <c r="CP61" s="32">
        <f t="shared" si="246"/>
        <v>0.26650704747245857</v>
      </c>
      <c r="CQ61" s="32">
        <f t="shared" si="246"/>
        <v>0.33300033300033299</v>
      </c>
      <c r="CR61" s="203">
        <f t="shared" si="246"/>
        <v>0.28703430649759165</v>
      </c>
      <c r="CS61" s="319">
        <f>CS59/CS15*100</f>
        <v>0.28166093552902144</v>
      </c>
      <c r="CT61" s="32">
        <f t="shared" ref="CT61:CW61" si="247">CT59/CT15*100</f>
        <v>0.28236217856765372</v>
      </c>
      <c r="CU61" s="32">
        <f t="shared" si="247"/>
        <v>0.27220773297989087</v>
      </c>
      <c r="CV61" s="32">
        <f t="shared" si="247"/>
        <v>0.33799533799533804</v>
      </c>
      <c r="CW61" s="203">
        <f t="shared" si="247"/>
        <v>0.29253907401946327</v>
      </c>
      <c r="CX61" s="319">
        <f>CX59/CX15*100</f>
        <v>0.3397461884051724</v>
      </c>
      <c r="CY61" s="32">
        <f t="shared" ref="CY61:DB61" si="248">CY59/CY15*100</f>
        <v>0.28645438405414142</v>
      </c>
      <c r="CZ61" s="32">
        <f t="shared" si="248"/>
        <v>0.27749332002804411</v>
      </c>
      <c r="DA61" s="32">
        <f t="shared" si="248"/>
        <v>0.34455835426709214</v>
      </c>
      <c r="DB61" s="203">
        <f t="shared" si="248"/>
        <v>0.30978324046461214</v>
      </c>
      <c r="DC61" s="32"/>
      <c r="DD61" s="32"/>
      <c r="DE61" s="32"/>
      <c r="DF61" s="32"/>
      <c r="DG61" s="203">
        <f>DG59/DG15*100</f>
        <v>0.30676096494788418</v>
      </c>
      <c r="DH61" s="32"/>
      <c r="DI61" s="32"/>
      <c r="DJ61" s="32"/>
      <c r="DK61" s="32"/>
      <c r="DL61" s="203">
        <f>DL59/DL15*100</f>
        <v>0.30376817504595355</v>
      </c>
      <c r="DM61" s="32"/>
      <c r="DN61" s="503"/>
      <c r="DO61" s="486"/>
      <c r="DP61" s="411"/>
      <c r="DQ61" s="411"/>
      <c r="DR61" s="411"/>
      <c r="DS61" s="618" t="s">
        <v>542</v>
      </c>
      <c r="DT61" s="556"/>
      <c r="DU61" s="556"/>
      <c r="DV61" s="462"/>
      <c r="DW61" s="462"/>
      <c r="DX61" s="462"/>
      <c r="DY61" s="462"/>
      <c r="DZ61" s="462"/>
      <c r="EA61" s="503"/>
      <c r="EH61" s="8"/>
    </row>
    <row r="62" spans="1:138" ht="12.75" customHeight="1" x14ac:dyDescent="0.2">
      <c r="A62" s="148" t="s">
        <v>244</v>
      </c>
      <c r="B62" s="20"/>
      <c r="C62" s="20"/>
      <c r="D62" s="20"/>
      <c r="E62" s="20"/>
      <c r="F62" s="199"/>
      <c r="G62" s="20">
        <f t="shared" ref="G62:AO62" si="249">G61/B61-1</f>
        <v>-6.6123984797839541E-2</v>
      </c>
      <c r="H62" s="20">
        <f t="shared" si="249"/>
        <v>-0.12258796985565379</v>
      </c>
      <c r="I62" s="20">
        <f t="shared" si="249"/>
        <v>-0.16945523719297062</v>
      </c>
      <c r="J62" s="20">
        <f t="shared" si="249"/>
        <v>-0.18564102984677355</v>
      </c>
      <c r="K62" s="199">
        <f t="shared" si="249"/>
        <v>-0.13605769977566984</v>
      </c>
      <c r="L62" s="20">
        <f t="shared" si="249"/>
        <v>-0.11345223981708863</v>
      </c>
      <c r="M62" s="20">
        <f t="shared" si="249"/>
        <v>-0.11271415248314598</v>
      </c>
      <c r="N62" s="20">
        <f t="shared" si="249"/>
        <v>-1.115728780560854E-2</v>
      </c>
      <c r="O62" s="20">
        <f t="shared" si="249"/>
        <v>2.4649159663865605E-2</v>
      </c>
      <c r="P62" s="199">
        <f t="shared" si="249"/>
        <v>-5.5784916971057807E-2</v>
      </c>
      <c r="Q62" s="20">
        <f t="shared" si="249"/>
        <v>3.4451509695456295E-2</v>
      </c>
      <c r="R62" s="20">
        <f t="shared" si="249"/>
        <v>0.17075320774429459</v>
      </c>
      <c r="S62" s="20">
        <f t="shared" si="249"/>
        <v>7.7079271246010217E-2</v>
      </c>
      <c r="T62" s="20">
        <f t="shared" si="249"/>
        <v>2.4252223120453387E-3</v>
      </c>
      <c r="U62" s="199">
        <f t="shared" si="249"/>
        <v>6.8405830990722061E-2</v>
      </c>
      <c r="V62" s="20">
        <f t="shared" si="249"/>
        <v>2.7851512400742795E-3</v>
      </c>
      <c r="W62" s="20">
        <f t="shared" si="249"/>
        <v>-9.0497151734852288E-2</v>
      </c>
      <c r="X62" s="20">
        <f t="shared" si="249"/>
        <v>-8.773821017377148E-2</v>
      </c>
      <c r="Y62" s="20">
        <f t="shared" si="249"/>
        <v>-4.0670380478218249E-3</v>
      </c>
      <c r="Z62" s="199">
        <f t="shared" si="249"/>
        <v>-4.5291258240235499E-2</v>
      </c>
      <c r="AA62" s="20">
        <f t="shared" si="249"/>
        <v>2.118029151303813E-2</v>
      </c>
      <c r="AB62" s="20">
        <f t="shared" si="249"/>
        <v>-3.0564051883879007E-2</v>
      </c>
      <c r="AC62" s="20">
        <f t="shared" si="249"/>
        <v>4.3960714371239495E-2</v>
      </c>
      <c r="AD62" s="20">
        <f t="shared" si="249"/>
        <v>2.7475217544499886E-2</v>
      </c>
      <c r="AE62" s="199">
        <f t="shared" si="249"/>
        <v>1.3818167902903911E-2</v>
      </c>
      <c r="AF62" s="20">
        <f t="shared" si="249"/>
        <v>2.0012637209619877E-2</v>
      </c>
      <c r="AG62" s="20">
        <f t="shared" si="249"/>
        <v>8.1544641481562596E-2</v>
      </c>
      <c r="AH62" s="20">
        <f t="shared" si="249"/>
        <v>-2.1255920023711572E-2</v>
      </c>
      <c r="AI62" s="20">
        <f t="shared" si="249"/>
        <v>-4.5476202823767298E-2</v>
      </c>
      <c r="AJ62" s="199">
        <f t="shared" si="249"/>
        <v>6.8799260548568775E-3</v>
      </c>
      <c r="AK62" s="20">
        <f t="shared" si="249"/>
        <v>-0.1069046119469953</v>
      </c>
      <c r="AL62" s="20">
        <f t="shared" si="249"/>
        <v>-8.8014235318802925E-2</v>
      </c>
      <c r="AM62" s="20">
        <f t="shared" si="249"/>
        <v>-3.9753513400912377E-2</v>
      </c>
      <c r="AN62" s="20">
        <f t="shared" si="249"/>
        <v>8.9220485328893595E-3</v>
      </c>
      <c r="AO62" s="199">
        <f t="shared" si="249"/>
        <v>-5.6159007384876336E-2</v>
      </c>
      <c r="AP62" s="317"/>
      <c r="AQ62" s="20"/>
      <c r="AR62" s="20"/>
      <c r="AS62" s="20"/>
      <c r="AT62" s="206"/>
      <c r="AU62" s="20"/>
      <c r="AV62" s="20"/>
      <c r="AW62" s="20"/>
      <c r="AX62" s="20"/>
      <c r="AY62" s="206"/>
      <c r="AZ62" s="317">
        <f t="shared" ref="AZ62:CA62" si="250">AZ61/AU61-1</f>
        <v>-0.40263355869992001</v>
      </c>
      <c r="BA62" s="20">
        <f t="shared" si="250"/>
        <v>-0.50185674628869892</v>
      </c>
      <c r="BB62" s="20">
        <f t="shared" si="250"/>
        <v>-0.49140535525791174</v>
      </c>
      <c r="BC62" s="20">
        <f t="shared" si="250"/>
        <v>-3.280481979083183E-2</v>
      </c>
      <c r="BD62" s="206">
        <f t="shared" si="250"/>
        <v>-0.37754478448361495</v>
      </c>
      <c r="BE62" s="317">
        <f t="shared" si="250"/>
        <v>-5.1164236430992771E-3</v>
      </c>
      <c r="BF62" s="20">
        <f t="shared" si="250"/>
        <v>0.22687962111145188</v>
      </c>
      <c r="BG62" s="20">
        <f t="shared" si="250"/>
        <v>0.25380561127084955</v>
      </c>
      <c r="BH62" s="20">
        <f t="shared" si="250"/>
        <v>-0.12777046220417299</v>
      </c>
      <c r="BI62" s="206">
        <f t="shared" si="250"/>
        <v>6.7829001538679323E-2</v>
      </c>
      <c r="BJ62" s="317">
        <f t="shared" si="250"/>
        <v>0.3467333189522861</v>
      </c>
      <c r="BK62" s="20">
        <f t="shared" si="250"/>
        <v>0.22081723509309636</v>
      </c>
      <c r="BL62" s="20">
        <f t="shared" si="250"/>
        <v>0.13923795495886848</v>
      </c>
      <c r="BM62" s="20">
        <f t="shared" si="250"/>
        <v>0.12403619087861295</v>
      </c>
      <c r="BN62" s="317">
        <f t="shared" si="250"/>
        <v>0.19799806985143253</v>
      </c>
      <c r="BO62" s="317">
        <f t="shared" si="250"/>
        <v>8.482656962211399E-3</v>
      </c>
      <c r="BP62" s="20">
        <f t="shared" si="250"/>
        <v>5.109062740163095E-3</v>
      </c>
      <c r="BQ62" s="20">
        <f t="shared" si="250"/>
        <v>-3.9612398059291509E-2</v>
      </c>
      <c r="BR62" s="20">
        <f t="shared" si="250"/>
        <v>-4.6605727383975615E-2</v>
      </c>
      <c r="BS62" s="206">
        <f t="shared" si="250"/>
        <v>-1.8285400368046156E-2</v>
      </c>
      <c r="BT62" s="317">
        <f t="shared" si="250"/>
        <v>9.0713969023692442E-4</v>
      </c>
      <c r="BU62" s="20">
        <f t="shared" si="250"/>
        <v>-0.12186816380853305</v>
      </c>
      <c r="BV62" s="20">
        <f t="shared" si="250"/>
        <v>-8.1359788829047264E-2</v>
      </c>
      <c r="BW62" s="20">
        <f t="shared" si="250"/>
        <v>-4.0744596148632795E-2</v>
      </c>
      <c r="BX62" s="206">
        <f>BX61/BS61-1</f>
        <v>-6.2990240117076879E-2</v>
      </c>
      <c r="BY62" s="317">
        <f t="shared" si="250"/>
        <v>-0.10315397307631868</v>
      </c>
      <c r="BZ62" s="20">
        <f t="shared" si="250"/>
        <v>-3.9684987892517065E-2</v>
      </c>
      <c r="CA62" s="20">
        <f t="shared" si="250"/>
        <v>3.2644647094724588E-2</v>
      </c>
      <c r="CB62" s="20">
        <f t="shared" ref="CB62:CK62" si="251">CB61/BW61-1</f>
        <v>-1.5659151009832617E-2</v>
      </c>
      <c r="CC62" s="206">
        <f t="shared" si="251"/>
        <v>-3.2048120886355558E-2</v>
      </c>
      <c r="CD62" s="317">
        <f t="shared" si="251"/>
        <v>-4.7582027315935527E-2</v>
      </c>
      <c r="CE62" s="20">
        <f t="shared" si="251"/>
        <v>-0.12984187559629012</v>
      </c>
      <c r="CF62" s="20">
        <f t="shared" si="251"/>
        <v>-0.2215761811575292</v>
      </c>
      <c r="CG62" s="20">
        <f>CG61/CB61-1</f>
        <v>-0.20808129790529262</v>
      </c>
      <c r="CH62" s="206">
        <f>CH61/CC61-1</f>
        <v>-0.1545529444478364</v>
      </c>
      <c r="CI62" s="317">
        <f t="shared" si="251"/>
        <v>-0.27333152895609381</v>
      </c>
      <c r="CJ62" s="20">
        <f t="shared" si="251"/>
        <v>-0.227568235918719</v>
      </c>
      <c r="CK62" s="20">
        <f t="shared" si="251"/>
        <v>-0.16026556215578902</v>
      </c>
      <c r="CL62" s="20">
        <f>CL61/CG61-1</f>
        <v>-0.10636864912135946</v>
      </c>
      <c r="CM62" s="206">
        <f>CM61/CH61-1</f>
        <v>-0.1949989459039696</v>
      </c>
      <c r="CN62" s="317">
        <f t="shared" ref="CN62:CP62" si="252">CN61/CI61-1</f>
        <v>-7.6694632229069581E-3</v>
      </c>
      <c r="CO62" s="20">
        <f t="shared" si="252"/>
        <v>0.10493770049842355</v>
      </c>
      <c r="CP62" s="20">
        <f t="shared" si="252"/>
        <v>0.1015837408939444</v>
      </c>
      <c r="CQ62" s="20">
        <f>CQ61/CL61-1</f>
        <v>0.12368474437439958</v>
      </c>
      <c r="CR62" s="206">
        <f>CR61/CM61-1</f>
        <v>8.2252540039355226E-2</v>
      </c>
      <c r="CS62" s="317"/>
      <c r="CT62" s="20"/>
      <c r="CU62" s="20"/>
      <c r="CV62" s="20"/>
      <c r="CW62" s="206"/>
      <c r="CX62" s="317">
        <f>CX61/CS61-1</f>
        <v>0.20622402878501433</v>
      </c>
      <c r="CY62" s="20">
        <f>CY61/CT61-1</f>
        <v>1.4492753623188248E-2</v>
      </c>
      <c r="CZ62" s="20">
        <f>CZ61/CU61-1</f>
        <v>1.9417475728155331E-2</v>
      </c>
      <c r="DA62" s="20">
        <f>DA61/CV61-1</f>
        <v>1.9417475728155331E-2</v>
      </c>
      <c r="DB62" s="206">
        <f>DB61/CW61-1</f>
        <v>5.8946540741431352E-2</v>
      </c>
      <c r="DC62" s="20"/>
      <c r="DD62" s="20"/>
      <c r="DE62" s="20"/>
      <c r="DF62" s="20"/>
      <c r="DG62" s="206">
        <f>DG61/DB61-1</f>
        <v>-9.7560975609757294E-3</v>
      </c>
      <c r="DH62" s="20"/>
      <c r="DI62" s="20"/>
      <c r="DJ62" s="20"/>
      <c r="DK62" s="20"/>
      <c r="DL62" s="206">
        <f>DL61/DG61-1</f>
        <v>-9.7560975609758405E-3</v>
      </c>
      <c r="DM62" s="20"/>
      <c r="DN62" s="500"/>
      <c r="DO62" s="486"/>
      <c r="DP62" s="411"/>
      <c r="DQ62" s="411"/>
      <c r="DR62" s="411"/>
      <c r="DS62" s="618"/>
      <c r="DT62" s="556"/>
      <c r="DU62" s="601"/>
      <c r="DV62" s="461"/>
      <c r="DW62" s="461"/>
      <c r="DX62" s="461"/>
      <c r="DY62" s="461"/>
      <c r="DZ62" s="461"/>
      <c r="EA62" s="500"/>
      <c r="EH62" s="8"/>
    </row>
    <row r="63" spans="1:138" ht="12.75" customHeight="1" x14ac:dyDescent="0.2">
      <c r="A63" s="115" t="s">
        <v>165</v>
      </c>
      <c r="B63" s="20"/>
      <c r="C63" s="20"/>
      <c r="D63" s="20"/>
      <c r="E63" s="20"/>
      <c r="F63" s="199">
        <f>F59/F72</f>
        <v>3.4720981478172833E-2</v>
      </c>
      <c r="G63" s="20"/>
      <c r="H63" s="20"/>
      <c r="I63" s="20"/>
      <c r="J63" s="20"/>
      <c r="K63" s="199">
        <f t="shared" ref="K63:AO63" si="253">K59/K72</f>
        <v>3.6457958066143097E-2</v>
      </c>
      <c r="L63" s="20">
        <f t="shared" si="253"/>
        <v>3.5771833709313569E-2</v>
      </c>
      <c r="M63" s="20">
        <f t="shared" si="253"/>
        <v>3.137593552101324E-2</v>
      </c>
      <c r="N63" s="20">
        <f t="shared" si="253"/>
        <v>3.2748538011695909E-2</v>
      </c>
      <c r="O63" s="20">
        <f t="shared" si="253"/>
        <v>3.8089480048367597E-2</v>
      </c>
      <c r="P63" s="199">
        <f t="shared" si="253"/>
        <v>3.442314919203307E-2</v>
      </c>
      <c r="Q63" s="20">
        <f t="shared" si="253"/>
        <v>3.5816164817749602E-2</v>
      </c>
      <c r="R63" s="20">
        <f t="shared" si="253"/>
        <v>3.4472331418203807E-2</v>
      </c>
      <c r="S63" s="20">
        <f t="shared" si="253"/>
        <v>3.2820214928841129E-2</v>
      </c>
      <c r="T63" s="20">
        <f t="shared" si="253"/>
        <v>3.6492054149499707E-2</v>
      </c>
      <c r="U63" s="199">
        <f t="shared" si="253"/>
        <v>3.4879350522438547E-2</v>
      </c>
      <c r="V63" s="20">
        <f t="shared" si="253"/>
        <v>3.457069991499008E-2</v>
      </c>
      <c r="W63" s="20">
        <f t="shared" si="253"/>
        <v>3.155768745266347E-2</v>
      </c>
      <c r="X63" s="20">
        <f t="shared" si="253"/>
        <v>3.0224748127098942E-2</v>
      </c>
      <c r="Y63" s="20">
        <f t="shared" si="253"/>
        <v>3.5105833763551884E-2</v>
      </c>
      <c r="Z63" s="199">
        <f t="shared" si="253"/>
        <v>3.2819166393173616E-2</v>
      </c>
      <c r="AA63" s="20">
        <f t="shared" si="253"/>
        <v>3.6194132163421988E-2</v>
      </c>
      <c r="AB63" s="20">
        <f t="shared" si="253"/>
        <v>3.0346475507765831E-2</v>
      </c>
      <c r="AC63" s="20">
        <f t="shared" si="253"/>
        <v>3.0360531309297913E-2</v>
      </c>
      <c r="AD63" s="20">
        <f t="shared" si="253"/>
        <v>3.3067825247405265E-2</v>
      </c>
      <c r="AE63" s="199">
        <f t="shared" si="253"/>
        <v>3.2363658822802795E-2</v>
      </c>
      <c r="AF63" s="20">
        <f t="shared" si="253"/>
        <v>3.2419609910384818E-2</v>
      </c>
      <c r="AG63" s="20">
        <f t="shared" si="253"/>
        <v>2.6998523518245096E-2</v>
      </c>
      <c r="AH63" s="20">
        <f t="shared" si="253"/>
        <v>2.5468322458429803E-2</v>
      </c>
      <c r="AI63" s="20">
        <f t="shared" si="253"/>
        <v>2.9674988224211021E-2</v>
      </c>
      <c r="AJ63" s="199">
        <f t="shared" si="253"/>
        <v>2.8405201916495551E-2</v>
      </c>
      <c r="AK63" s="20">
        <f t="shared" si="253"/>
        <v>2.6408865833529829E-2</v>
      </c>
      <c r="AL63" s="20">
        <f t="shared" si="253"/>
        <v>2.3585848490905458E-2</v>
      </c>
      <c r="AM63" s="20">
        <f t="shared" si="253"/>
        <v>2.2957719533193036E-2</v>
      </c>
      <c r="AN63" s="20">
        <f t="shared" si="253"/>
        <v>2.8187059577194105E-2</v>
      </c>
      <c r="AO63" s="199">
        <f t="shared" si="253"/>
        <v>2.5164456510389475E-2</v>
      </c>
      <c r="AP63" s="317"/>
      <c r="AQ63" s="20"/>
      <c r="AR63" s="20"/>
      <c r="AS63" s="20"/>
      <c r="AT63" s="206"/>
      <c r="AU63" s="20">
        <f t="shared" ref="AU63:BN63" si="254">AU59/AU72</f>
        <v>4.1898734177215187E-2</v>
      </c>
      <c r="AV63" s="20">
        <f t="shared" si="254"/>
        <v>4.1043133802816899E-2</v>
      </c>
      <c r="AW63" s="20">
        <f t="shared" si="254"/>
        <v>3.8187159043222826E-2</v>
      </c>
      <c r="AX63" s="20">
        <f t="shared" si="254"/>
        <v>3.6688980432543768E-2</v>
      </c>
      <c r="AY63" s="206">
        <f t="shared" si="254"/>
        <v>3.9459869342043867E-2</v>
      </c>
      <c r="AZ63" s="317">
        <f t="shared" si="254"/>
        <v>2.7678037103530818E-2</v>
      </c>
      <c r="BA63" s="20">
        <f t="shared" si="254"/>
        <v>2.4714285714285713E-2</v>
      </c>
      <c r="BB63" s="20">
        <f t="shared" si="254"/>
        <v>2.3369421705835752E-2</v>
      </c>
      <c r="BC63" s="20">
        <f t="shared" si="254"/>
        <v>3.717854518736223E-2</v>
      </c>
      <c r="BD63" s="206">
        <f t="shared" si="254"/>
        <v>2.8079677867654921E-2</v>
      </c>
      <c r="BE63" s="317">
        <f t="shared" si="254"/>
        <v>2.5700934579439252E-2</v>
      </c>
      <c r="BF63" s="20">
        <f t="shared" si="254"/>
        <v>2.5839673068023497E-2</v>
      </c>
      <c r="BG63" s="20">
        <f t="shared" si="254"/>
        <v>2.5363128491620111E-2</v>
      </c>
      <c r="BH63" s="20">
        <f t="shared" si="254"/>
        <v>3.0299139812556167E-2</v>
      </c>
      <c r="BI63" s="206">
        <f t="shared" si="254"/>
        <v>2.6769277085289714E-2</v>
      </c>
      <c r="BJ63" s="317">
        <f t="shared" si="254"/>
        <v>3.2270556344391375E-2</v>
      </c>
      <c r="BK63" s="20">
        <f t="shared" si="254"/>
        <v>2.8843002294329727E-2</v>
      </c>
      <c r="BL63" s="20">
        <f>BL59/BL72</f>
        <v>2.6181744091279543E-2</v>
      </c>
      <c r="BM63" s="20">
        <f>BM59/BM72</f>
        <v>3.0479819026074533E-2</v>
      </c>
      <c r="BN63" s="317">
        <f t="shared" si="254"/>
        <v>2.9246760643599601E-2</v>
      </c>
      <c r="BO63" s="317">
        <f t="shared" ref="BO63:CB63" si="255">BO59/BO72</f>
        <v>2.9002733864257696E-2</v>
      </c>
      <c r="BP63" s="20">
        <f t="shared" si="255"/>
        <v>2.6921496095355529E-2</v>
      </c>
      <c r="BQ63" s="20">
        <f t="shared" si="255"/>
        <v>2.4488561926836641E-2</v>
      </c>
      <c r="BR63" s="20">
        <f t="shared" ref="BR63:BW63" si="256">BR59/BR72</f>
        <v>2.8016740292955127E-2</v>
      </c>
      <c r="BS63" s="206">
        <f t="shared" si="256"/>
        <v>2.6997545677665668E-2</v>
      </c>
      <c r="BT63" s="317">
        <f t="shared" si="256"/>
        <v>2.8000000000000001E-2</v>
      </c>
      <c r="BU63" s="20">
        <f t="shared" si="256"/>
        <v>2.3900278149788814E-2</v>
      </c>
      <c r="BV63" s="20">
        <f t="shared" si="256"/>
        <v>2.1830314585319352E-2</v>
      </c>
      <c r="BW63" s="20">
        <f t="shared" si="256"/>
        <v>2.6223005729396211E-2</v>
      </c>
      <c r="BX63" s="206">
        <f t="shared" si="255"/>
        <v>2.4806078415799647E-2</v>
      </c>
      <c r="BY63" s="317">
        <f t="shared" si="255"/>
        <v>2.433826828174069E-2</v>
      </c>
      <c r="BZ63" s="20">
        <f t="shared" si="255"/>
        <v>2.1655211373693625E-2</v>
      </c>
      <c r="CA63" s="20">
        <f t="shared" si="255"/>
        <v>2.1828591876901057E-2</v>
      </c>
      <c r="CB63" s="20">
        <f t="shared" si="255"/>
        <v>2.5189177982792577E-2</v>
      </c>
      <c r="CC63" s="206">
        <f>CC59/CC72</f>
        <v>2.3140577771170904E-2</v>
      </c>
      <c r="CD63" s="317">
        <f>CD59/CD72</f>
        <v>2.3114614401363441E-2</v>
      </c>
      <c r="CE63" s="20">
        <f>CE59/CE72</f>
        <v>1.9333146539646962E-2</v>
      </c>
      <c r="CF63" s="20">
        <f>CF59/CF72</f>
        <v>1.764652921580985E-2</v>
      </c>
      <c r="CG63" s="20">
        <f>CG59/CG72</f>
        <v>2.0311513365607242E-2</v>
      </c>
      <c r="CH63" s="206">
        <f t="shared" ref="CH63" si="257">CH59/CH72</f>
        <v>1.9973466981132077E-2</v>
      </c>
      <c r="CI63" s="317">
        <f>CI59/CI72</f>
        <v>1.7511620365365906E-2</v>
      </c>
      <c r="CJ63" s="20">
        <f>CJ59/CJ72</f>
        <v>1.5794007849143296E-2</v>
      </c>
      <c r="CK63" s="20">
        <f>CK59/CK72</f>
        <v>1.5930554230659161E-2</v>
      </c>
      <c r="CL63" s="20">
        <f>CL59/CL72</f>
        <v>1.8397124127722563E-2</v>
      </c>
      <c r="CM63" s="206">
        <f t="shared" ref="CM63" si="258">CM59/CM72</f>
        <v>1.6852090113272284E-2</v>
      </c>
      <c r="CN63" s="317">
        <f>CN59/CN72</f>
        <v>1.74901617839965E-2</v>
      </c>
      <c r="CO63" s="20">
        <f>CO59/CO72</f>
        <v>1.6958576591604116E-2</v>
      </c>
      <c r="CP63" s="20">
        <f>CP59/CP72</f>
        <v>1.6907775768535263E-2</v>
      </c>
      <c r="CQ63" s="20">
        <f>CQ59/CQ72</f>
        <v>1.9521717911176184E-2</v>
      </c>
      <c r="CR63" s="206">
        <f t="shared" ref="CR63" si="259">CR59/CR72</f>
        <v>1.7699544176122586E-2</v>
      </c>
      <c r="CS63" s="317">
        <f>CS59/CS72</f>
        <v>1.7910119767058565E-2</v>
      </c>
      <c r="CT63" s="20">
        <f>CT59/CT72</f>
        <v>1.7400204708290685E-2</v>
      </c>
      <c r="CU63" s="20">
        <f>CU59/CU72</f>
        <v>1.726787813036796E-2</v>
      </c>
      <c r="CV63" s="20">
        <f>CV59/CV72</f>
        <v>1.9845537198162087E-2</v>
      </c>
      <c r="CW63" s="206">
        <f t="shared" ref="CW63" si="260">CW59/CW72</f>
        <v>1.8085468423355535E-2</v>
      </c>
      <c r="CX63" s="317">
        <f>CX59/CX72</f>
        <v>2.0264847512038522E-2</v>
      </c>
      <c r="CY63" s="20">
        <f t="shared" ref="CY63:DB63" si="261">CY59/CY72</f>
        <v>1.6985402260000546E-2</v>
      </c>
      <c r="CZ63" s="20">
        <f t="shared" si="261"/>
        <v>1.7102643187537271E-2</v>
      </c>
      <c r="DA63" s="20">
        <f t="shared" si="261"/>
        <v>1.9835540061593188E-2</v>
      </c>
      <c r="DB63" s="206">
        <f t="shared" si="261"/>
        <v>1.8455662011900905E-2</v>
      </c>
      <c r="DC63" s="20"/>
      <c r="DD63" s="20"/>
      <c r="DE63" s="20"/>
      <c r="DF63" s="20"/>
      <c r="DG63" s="206">
        <f>DG59/DG72</f>
        <v>1.8141939530073339E-2</v>
      </c>
      <c r="DH63" s="20"/>
      <c r="DI63" s="20"/>
      <c r="DJ63" s="20"/>
      <c r="DK63" s="20"/>
      <c r="DL63" s="206">
        <f>DL59/DL72</f>
        <v>1.7856346037869512E-2</v>
      </c>
      <c r="DM63" s="20"/>
      <c r="DN63" s="500"/>
      <c r="DO63" s="486"/>
      <c r="DP63" s="411"/>
      <c r="DQ63" s="411"/>
      <c r="DR63" s="411"/>
      <c r="DS63" s="618"/>
      <c r="DT63" s="556"/>
      <c r="DU63" s="803"/>
      <c r="DV63" s="802"/>
      <c r="DW63" s="802"/>
      <c r="DX63" s="802"/>
      <c r="DY63" s="802"/>
      <c r="DZ63" s="461"/>
      <c r="EA63" s="500"/>
      <c r="EH63" s="8"/>
    </row>
    <row r="64" spans="1:138" ht="12.75" customHeight="1" x14ac:dyDescent="0.2">
      <c r="A64" s="437" t="s">
        <v>16</v>
      </c>
      <c r="B64" s="892">
        <v>230</v>
      </c>
      <c r="C64" s="892">
        <v>134</v>
      </c>
      <c r="D64" s="892">
        <v>154</v>
      </c>
      <c r="E64" s="892">
        <v>110</v>
      </c>
      <c r="F64" s="439">
        <f>SUM(B64:E64)</f>
        <v>628</v>
      </c>
      <c r="G64" s="892">
        <v>104</v>
      </c>
      <c r="H64" s="892">
        <v>108</v>
      </c>
      <c r="I64" s="892">
        <v>92</v>
      </c>
      <c r="J64" s="892">
        <v>105</v>
      </c>
      <c r="K64" s="439">
        <f>SUM(G64:J64)</f>
        <v>409</v>
      </c>
      <c r="L64" s="892">
        <v>114</v>
      </c>
      <c r="M64" s="892">
        <v>148</v>
      </c>
      <c r="N64" s="892">
        <v>143</v>
      </c>
      <c r="O64" s="892">
        <v>121</v>
      </c>
      <c r="P64" s="439">
        <f>SUM(L64:O64)</f>
        <v>526</v>
      </c>
      <c r="Q64" s="892">
        <v>111</v>
      </c>
      <c r="R64" s="892">
        <v>144</v>
      </c>
      <c r="S64" s="892">
        <v>129</v>
      </c>
      <c r="T64" s="892">
        <v>132</v>
      </c>
      <c r="U64" s="439">
        <f>SUM(Q64:T64)</f>
        <v>516</v>
      </c>
      <c r="V64" s="892">
        <v>166</v>
      </c>
      <c r="W64" s="892">
        <v>180</v>
      </c>
      <c r="X64" s="892">
        <v>190</v>
      </c>
      <c r="Y64" s="892">
        <v>409</v>
      </c>
      <c r="Z64" s="439">
        <f>SUM(V64:Y64)</f>
        <v>945</v>
      </c>
      <c r="AA64" s="892">
        <v>176</v>
      </c>
      <c r="AB64" s="892">
        <v>183</v>
      </c>
      <c r="AC64" s="892">
        <v>197</v>
      </c>
      <c r="AD64" s="892">
        <v>487</v>
      </c>
      <c r="AE64" s="439">
        <f>SUM(AA64:AD64)</f>
        <v>1043</v>
      </c>
      <c r="AF64" s="892">
        <v>320</v>
      </c>
      <c r="AG64" s="892">
        <v>402</v>
      </c>
      <c r="AH64" s="892">
        <v>407</v>
      </c>
      <c r="AI64" s="892">
        <v>412</v>
      </c>
      <c r="AJ64" s="439">
        <f>SUM(AF64:AI64)</f>
        <v>1541</v>
      </c>
      <c r="AK64" s="892">
        <v>399</v>
      </c>
      <c r="AL64" s="892">
        <v>392</v>
      </c>
      <c r="AM64" s="892">
        <v>469</v>
      </c>
      <c r="AN64" s="892">
        <v>484</v>
      </c>
      <c r="AO64" s="439">
        <f>SUM(AK64:AN64)</f>
        <v>1744</v>
      </c>
      <c r="AP64" s="870"/>
      <c r="AQ64" s="892"/>
      <c r="AR64" s="892"/>
      <c r="AS64" s="892"/>
      <c r="AT64" s="439"/>
      <c r="AU64" s="892">
        <v>761</v>
      </c>
      <c r="AV64" s="892">
        <v>801</v>
      </c>
      <c r="AW64" s="892">
        <v>839</v>
      </c>
      <c r="AX64" s="892">
        <v>826</v>
      </c>
      <c r="AY64" s="439">
        <f>SUM(AU64:AX64)</f>
        <v>3227</v>
      </c>
      <c r="AZ64" s="870">
        <v>898</v>
      </c>
      <c r="BA64" s="892">
        <v>924</v>
      </c>
      <c r="BB64" s="892">
        <v>873</v>
      </c>
      <c r="BC64" s="892">
        <v>773</v>
      </c>
      <c r="BD64" s="439">
        <f>SUM(AZ64:BC64)</f>
        <v>3468</v>
      </c>
      <c r="BE64" s="870">
        <v>866</v>
      </c>
      <c r="BF64" s="892">
        <v>948</v>
      </c>
      <c r="BG64" s="892">
        <v>948</v>
      </c>
      <c r="BH64" s="892">
        <v>885</v>
      </c>
      <c r="BI64" s="439">
        <f>SUM(BE64:BH64)</f>
        <v>3647</v>
      </c>
      <c r="BJ64" s="870">
        <v>922</v>
      </c>
      <c r="BK64" s="892">
        <v>998</v>
      </c>
      <c r="BL64" s="892">
        <v>991</v>
      </c>
      <c r="BM64" s="892">
        <v>920</v>
      </c>
      <c r="BN64" s="440">
        <f>SUM(BJ64:BM64)</f>
        <v>3831</v>
      </c>
      <c r="BO64" s="870">
        <v>943</v>
      </c>
      <c r="BP64" s="892">
        <v>1019</v>
      </c>
      <c r="BQ64" s="892">
        <v>988</v>
      </c>
      <c r="BR64" s="892">
        <v>923</v>
      </c>
      <c r="BS64" s="439">
        <f>SUM(BO64:BR64)</f>
        <v>3873</v>
      </c>
      <c r="BT64" s="870">
        <v>929</v>
      </c>
      <c r="BU64" s="892">
        <v>981</v>
      </c>
      <c r="BV64" s="892">
        <v>1007</v>
      </c>
      <c r="BW64" s="892">
        <v>964</v>
      </c>
      <c r="BX64" s="439">
        <f>SUM(BT64:BW64)</f>
        <v>3881</v>
      </c>
      <c r="BY64" s="870">
        <v>1022</v>
      </c>
      <c r="BZ64" s="892">
        <v>1125</v>
      </c>
      <c r="CA64" s="892">
        <v>1158</v>
      </c>
      <c r="CB64" s="892">
        <v>1169</v>
      </c>
      <c r="CC64" s="439">
        <f>SUM(BY64:CB64)</f>
        <v>4474</v>
      </c>
      <c r="CD64" s="870">
        <v>1248</v>
      </c>
      <c r="CE64" s="892">
        <v>1361</v>
      </c>
      <c r="CF64" s="892">
        <v>1316</v>
      </c>
      <c r="CG64" s="892">
        <v>1184</v>
      </c>
      <c r="CH64" s="439">
        <f>SUM(CD64:CG64)</f>
        <v>5109</v>
      </c>
      <c r="CI64" s="870">
        <v>1327</v>
      </c>
      <c r="CJ64" s="892">
        <v>1312</v>
      </c>
      <c r="CK64" s="892">
        <v>1245</v>
      </c>
      <c r="CL64" s="892">
        <v>1310</v>
      </c>
      <c r="CM64" s="439">
        <f>SUM(CI64:CL64)</f>
        <v>5194</v>
      </c>
      <c r="CN64" s="870">
        <v>1300</v>
      </c>
      <c r="CO64" s="892">
        <v>1377</v>
      </c>
      <c r="CP64" s="892">
        <v>1474</v>
      </c>
      <c r="CQ64" s="892">
        <v>1544</v>
      </c>
      <c r="CR64" s="439">
        <f>SUM(CN64:CQ64)</f>
        <v>5695</v>
      </c>
      <c r="CS64" s="870">
        <v>760</v>
      </c>
      <c r="CT64" s="892">
        <v>792</v>
      </c>
      <c r="CU64" s="892">
        <v>891</v>
      </c>
      <c r="CV64" s="892">
        <v>1004</v>
      </c>
      <c r="CW64" s="439">
        <f>SUM(CS64:CV64)</f>
        <v>3447</v>
      </c>
      <c r="CX64" s="870">
        <v>1001</v>
      </c>
      <c r="CY64" s="438">
        <f>CT64*(1+CY65)</f>
        <v>950.4</v>
      </c>
      <c r="CZ64" s="438">
        <f>CU64*(1+CZ65)</f>
        <v>980.1</v>
      </c>
      <c r="DA64" s="438">
        <f>CV64*(1+DA65)</f>
        <v>1054.2</v>
      </c>
      <c r="DB64" s="439">
        <f>SUM(CX64:DA64)</f>
        <v>3985.7</v>
      </c>
      <c r="DC64" s="438"/>
      <c r="DD64" s="438"/>
      <c r="DE64" s="438"/>
      <c r="DF64" s="438"/>
      <c r="DG64" s="439">
        <f>DB64*(1+DG65)</f>
        <v>4224.8419999999996</v>
      </c>
      <c r="DH64" s="438"/>
      <c r="DI64" s="438"/>
      <c r="DJ64" s="438"/>
      <c r="DK64" s="438"/>
      <c r="DL64" s="439">
        <f>DG64*(1+DL65)</f>
        <v>4414.9598899999992</v>
      </c>
      <c r="DM64" s="438"/>
      <c r="DN64" s="504"/>
      <c r="DO64" s="440"/>
      <c r="DP64" s="438"/>
      <c r="DQ64" s="438"/>
      <c r="DR64" s="438"/>
      <c r="DS64" s="556"/>
      <c r="DT64" s="556"/>
      <c r="DU64" s="803"/>
      <c r="DV64" s="802"/>
      <c r="DW64" s="802"/>
      <c r="DX64" s="802"/>
      <c r="DY64" s="802"/>
      <c r="DZ64" s="461"/>
      <c r="EA64" s="504"/>
      <c r="EH64" s="440"/>
    </row>
    <row r="65" spans="1:138" ht="12.75" customHeight="1" x14ac:dyDescent="0.2">
      <c r="A65" s="142" t="s">
        <v>244</v>
      </c>
      <c r="B65" s="20"/>
      <c r="C65" s="20"/>
      <c r="D65" s="20"/>
      <c r="E65" s="20"/>
      <c r="F65" s="199"/>
      <c r="G65" s="20">
        <f t="shared" ref="G65:AO65" si="262">G64/B64-1</f>
        <v>-0.54782608695652169</v>
      </c>
      <c r="H65" s="20">
        <f t="shared" si="262"/>
        <v>-0.19402985074626866</v>
      </c>
      <c r="I65" s="20">
        <f t="shared" si="262"/>
        <v>-0.40259740259740262</v>
      </c>
      <c r="J65" s="20">
        <f t="shared" si="262"/>
        <v>-4.5454545454545414E-2</v>
      </c>
      <c r="K65" s="199">
        <f t="shared" si="262"/>
        <v>-0.34872611464968151</v>
      </c>
      <c r="L65" s="20">
        <f t="shared" si="262"/>
        <v>9.6153846153846256E-2</v>
      </c>
      <c r="M65" s="20">
        <f t="shared" si="262"/>
        <v>0.37037037037037046</v>
      </c>
      <c r="N65" s="20">
        <f t="shared" si="262"/>
        <v>0.55434782608695654</v>
      </c>
      <c r="O65" s="20">
        <f t="shared" si="262"/>
        <v>0.15238095238095228</v>
      </c>
      <c r="P65" s="199">
        <f t="shared" si="262"/>
        <v>0.28606356968215163</v>
      </c>
      <c r="Q65" s="20">
        <f t="shared" si="262"/>
        <v>-2.6315789473684181E-2</v>
      </c>
      <c r="R65" s="20">
        <f t="shared" si="262"/>
        <v>-2.7027027027026973E-2</v>
      </c>
      <c r="S65" s="20">
        <f t="shared" si="262"/>
        <v>-9.7902097902097918E-2</v>
      </c>
      <c r="T65" s="20">
        <f t="shared" si="262"/>
        <v>9.0909090909090828E-2</v>
      </c>
      <c r="U65" s="199">
        <f t="shared" si="262"/>
        <v>-1.9011406844106515E-2</v>
      </c>
      <c r="V65" s="20">
        <f t="shared" si="262"/>
        <v>0.49549549549549554</v>
      </c>
      <c r="W65" s="20">
        <f t="shared" si="262"/>
        <v>0.25</v>
      </c>
      <c r="X65" s="20">
        <f t="shared" si="262"/>
        <v>0.47286821705426352</v>
      </c>
      <c r="Y65" s="20">
        <f t="shared" si="262"/>
        <v>2.0984848484848486</v>
      </c>
      <c r="Z65" s="199">
        <f t="shared" si="262"/>
        <v>0.83139534883720922</v>
      </c>
      <c r="AA65" s="20">
        <f t="shared" si="262"/>
        <v>6.024096385542177E-2</v>
      </c>
      <c r="AB65" s="20">
        <f t="shared" si="262"/>
        <v>1.6666666666666607E-2</v>
      </c>
      <c r="AC65" s="20">
        <f t="shared" si="262"/>
        <v>3.6842105263157787E-2</v>
      </c>
      <c r="AD65" s="20">
        <f t="shared" si="262"/>
        <v>0.19070904645476783</v>
      </c>
      <c r="AE65" s="199">
        <f t="shared" si="262"/>
        <v>0.10370370370370363</v>
      </c>
      <c r="AF65" s="20">
        <f t="shared" si="262"/>
        <v>0.81818181818181812</v>
      </c>
      <c r="AG65" s="20">
        <f t="shared" si="262"/>
        <v>1.1967213114754101</v>
      </c>
      <c r="AH65" s="20">
        <f t="shared" si="262"/>
        <v>1.0659898477157359</v>
      </c>
      <c r="AI65" s="20">
        <f t="shared" si="262"/>
        <v>-0.1540041067761807</v>
      </c>
      <c r="AJ65" s="199">
        <f t="shared" si="262"/>
        <v>0.47746883988494737</v>
      </c>
      <c r="AK65" s="20">
        <f t="shared" si="262"/>
        <v>0.24687499999999996</v>
      </c>
      <c r="AL65" s="20">
        <f t="shared" si="262"/>
        <v>-2.4875621890547261E-2</v>
      </c>
      <c r="AM65" s="20">
        <f t="shared" si="262"/>
        <v>0.15233415233415237</v>
      </c>
      <c r="AN65" s="20">
        <f t="shared" si="262"/>
        <v>0.17475728155339798</v>
      </c>
      <c r="AO65" s="199">
        <f t="shared" si="262"/>
        <v>0.13173264114211558</v>
      </c>
      <c r="AP65" s="317"/>
      <c r="AQ65" s="20"/>
      <c r="AR65" s="20"/>
      <c r="AS65" s="20"/>
      <c r="AT65" s="206"/>
      <c r="AU65" s="20"/>
      <c r="AV65" s="20"/>
      <c r="AW65" s="20"/>
      <c r="AX65" s="20"/>
      <c r="AY65" s="206"/>
      <c r="AZ65" s="317">
        <f t="shared" ref="AZ65:CA65" si="263">AZ64/AU64-1</f>
        <v>0.18002628120893571</v>
      </c>
      <c r="BA65" s="20">
        <f t="shared" si="263"/>
        <v>0.15355805243445686</v>
      </c>
      <c r="BB65" s="20">
        <f t="shared" si="263"/>
        <v>4.0524433849821184E-2</v>
      </c>
      <c r="BC65" s="20">
        <f t="shared" si="263"/>
        <v>-6.4164648910411626E-2</v>
      </c>
      <c r="BD65" s="206">
        <f t="shared" si="263"/>
        <v>7.4682367524016025E-2</v>
      </c>
      <c r="BE65" s="317">
        <f t="shared" si="263"/>
        <v>-3.563474387527843E-2</v>
      </c>
      <c r="BF65" s="20">
        <f t="shared" si="263"/>
        <v>2.5974025974025983E-2</v>
      </c>
      <c r="BG65" s="20">
        <f t="shared" si="263"/>
        <v>8.5910652920962116E-2</v>
      </c>
      <c r="BH65" s="20">
        <f t="shared" si="263"/>
        <v>0.14489003880983176</v>
      </c>
      <c r="BI65" s="206">
        <f>BI64/BD64-1</f>
        <v>5.1614763552479737E-2</v>
      </c>
      <c r="BJ65" s="317">
        <f t="shared" si="263"/>
        <v>6.4665127020785196E-2</v>
      </c>
      <c r="BK65" s="20">
        <f t="shared" si="263"/>
        <v>5.2742616033755185E-2</v>
      </c>
      <c r="BL65" s="20">
        <f t="shared" si="263"/>
        <v>4.5358649789029482E-2</v>
      </c>
      <c r="BM65" s="20">
        <f t="shared" si="263"/>
        <v>3.9548022598870025E-2</v>
      </c>
      <c r="BN65" s="317">
        <f>BN64/BI64-1</f>
        <v>5.0452426652042748E-2</v>
      </c>
      <c r="BO65" s="317">
        <f t="shared" si="263"/>
        <v>2.2776572668112838E-2</v>
      </c>
      <c r="BP65" s="20">
        <f t="shared" si="263"/>
        <v>2.104208416833675E-2</v>
      </c>
      <c r="BQ65" s="20">
        <f t="shared" si="263"/>
        <v>-3.0272452068617062E-3</v>
      </c>
      <c r="BR65" s="20">
        <f t="shared" si="263"/>
        <v>3.260869565217428E-3</v>
      </c>
      <c r="BS65" s="206">
        <f>BS64/BN64-1</f>
        <v>1.0963194988253822E-2</v>
      </c>
      <c r="BT65" s="317">
        <f t="shared" si="263"/>
        <v>-1.4846235418875975E-2</v>
      </c>
      <c r="BU65" s="20">
        <f t="shared" si="263"/>
        <v>-3.7291462217860616E-2</v>
      </c>
      <c r="BV65" s="20">
        <f t="shared" si="263"/>
        <v>1.9230769230769162E-2</v>
      </c>
      <c r="BW65" s="20">
        <f t="shared" si="263"/>
        <v>4.4420368364030294E-2</v>
      </c>
      <c r="BX65" s="206">
        <f>BX64/BS64-1</f>
        <v>2.0655822359927356E-3</v>
      </c>
      <c r="BY65" s="317">
        <f t="shared" si="263"/>
        <v>0.10010764262647998</v>
      </c>
      <c r="BZ65" s="20">
        <f t="shared" si="263"/>
        <v>0.14678899082568808</v>
      </c>
      <c r="CA65" s="20">
        <f t="shared" si="263"/>
        <v>0.14995034756703074</v>
      </c>
      <c r="CB65" s="20">
        <f t="shared" ref="CB65:CK65" si="264">CB64/BW64-1</f>
        <v>0.21265560165975095</v>
      </c>
      <c r="CC65" s="206">
        <f t="shared" si="264"/>
        <v>0.15279567121875814</v>
      </c>
      <c r="CD65" s="317">
        <f t="shared" si="264"/>
        <v>0.22113502935420737</v>
      </c>
      <c r="CE65" s="20">
        <f t="shared" si="264"/>
        <v>0.20977777777777784</v>
      </c>
      <c r="CF65" s="20">
        <f t="shared" si="264"/>
        <v>0.13644214162348867</v>
      </c>
      <c r="CG65" s="20">
        <f t="shared" si="264"/>
        <v>1.2831479897348119E-2</v>
      </c>
      <c r="CH65" s="206">
        <f t="shared" si="264"/>
        <v>0.14193115780062593</v>
      </c>
      <c r="CI65" s="317">
        <f t="shared" si="264"/>
        <v>6.3301282051282159E-2</v>
      </c>
      <c r="CJ65" s="20">
        <f t="shared" si="264"/>
        <v>-3.6002939015429836E-2</v>
      </c>
      <c r="CK65" s="20">
        <f t="shared" si="264"/>
        <v>-5.3951367781155057E-2</v>
      </c>
      <c r="CL65" s="20">
        <f t="shared" ref="CL65" si="265">CL64/CG64-1</f>
        <v>0.10641891891891886</v>
      </c>
      <c r="CM65" s="206">
        <f t="shared" ref="CM65:CP65" si="266">CM64/CH64-1</f>
        <v>1.6637306713642497E-2</v>
      </c>
      <c r="CN65" s="317">
        <f t="shared" si="266"/>
        <v>-2.0346646571213212E-2</v>
      </c>
      <c r="CO65" s="20">
        <f t="shared" si="266"/>
        <v>4.9542682926829285E-2</v>
      </c>
      <c r="CP65" s="20">
        <f t="shared" si="266"/>
        <v>0.18393574297188753</v>
      </c>
      <c r="CQ65" s="20">
        <f t="shared" ref="CQ65" si="267">CQ64/CL64-1</f>
        <v>0.17862595419847338</v>
      </c>
      <c r="CR65" s="206">
        <f t="shared" ref="CR65" si="268">CR64/CM64-1</f>
        <v>9.6457450904890329E-2</v>
      </c>
      <c r="CS65" s="317"/>
      <c r="CT65" s="20"/>
      <c r="CU65" s="20"/>
      <c r="CV65" s="20"/>
      <c r="CW65" s="206"/>
      <c r="CX65" s="317">
        <f t="shared" ref="CX65" si="269">CX64/CS64-1</f>
        <v>0.31710526315789478</v>
      </c>
      <c r="CY65" s="33">
        <v>0.2</v>
      </c>
      <c r="CZ65" s="33">
        <v>0.1</v>
      </c>
      <c r="DA65" s="33">
        <v>0.05</v>
      </c>
      <c r="DB65" s="206">
        <f>DB64/CW64-1</f>
        <v>0.15628082390484477</v>
      </c>
      <c r="DC65" s="20"/>
      <c r="DD65" s="20"/>
      <c r="DE65" s="33"/>
      <c r="DF65" s="33"/>
      <c r="DG65" s="786">
        <v>0.06</v>
      </c>
      <c r="DH65" s="20"/>
      <c r="DI65" s="20"/>
      <c r="DJ65" s="33"/>
      <c r="DK65" s="33"/>
      <c r="DL65" s="786">
        <v>4.4999999999999998E-2</v>
      </c>
      <c r="DM65" s="33"/>
      <c r="DN65" s="499"/>
      <c r="DO65" s="486"/>
      <c r="DP65" s="411"/>
      <c r="DQ65" s="411"/>
      <c r="DR65" s="411"/>
      <c r="DS65" s="556" t="s">
        <v>543</v>
      </c>
      <c r="DT65" s="559"/>
      <c r="DU65" s="803"/>
      <c r="DV65" s="802"/>
      <c r="DW65" s="802"/>
      <c r="DX65" s="802"/>
      <c r="DY65" s="802"/>
      <c r="DZ65" s="463"/>
      <c r="EA65" s="499"/>
      <c r="EH65" s="8"/>
    </row>
    <row r="66" spans="1:138" ht="12.75" customHeight="1" x14ac:dyDescent="0.2">
      <c r="A66" s="115" t="s">
        <v>165</v>
      </c>
      <c r="B66" s="20"/>
      <c r="C66" s="20"/>
      <c r="D66" s="20"/>
      <c r="E66" s="20"/>
      <c r="F66" s="199">
        <f>F64/F72</f>
        <v>3.7400988624858557E-2</v>
      </c>
      <c r="G66" s="20"/>
      <c r="H66" s="20"/>
      <c r="I66" s="20"/>
      <c r="J66" s="20"/>
      <c r="K66" s="199">
        <f t="shared" ref="K66:AO66" si="270">K64/K72</f>
        <v>2.9468981915123569E-2</v>
      </c>
      <c r="L66" s="20">
        <f t="shared" si="270"/>
        <v>3.6738640025781505E-2</v>
      </c>
      <c r="M66" s="20">
        <f t="shared" si="270"/>
        <v>4.2602187679907887E-2</v>
      </c>
      <c r="N66" s="20">
        <f t="shared" si="270"/>
        <v>4.1812865497076024E-2</v>
      </c>
      <c r="O66" s="20">
        <f t="shared" si="270"/>
        <v>3.657799274486094E-2</v>
      </c>
      <c r="P66" s="199">
        <f t="shared" si="270"/>
        <v>3.9534009770762872E-2</v>
      </c>
      <c r="Q66" s="20">
        <f t="shared" si="270"/>
        <v>3.5182250396196511E-2</v>
      </c>
      <c r="R66" s="20">
        <f t="shared" si="270"/>
        <v>4.3543997580889025E-2</v>
      </c>
      <c r="S66" s="20">
        <f t="shared" si="270"/>
        <v>3.7467325007261111E-2</v>
      </c>
      <c r="T66" s="20">
        <f t="shared" si="270"/>
        <v>3.8846380223660978E-2</v>
      </c>
      <c r="U66" s="199">
        <f t="shared" si="270"/>
        <v>3.8788243253401487E-2</v>
      </c>
      <c r="V66" s="20">
        <f t="shared" si="270"/>
        <v>4.7038821195806178E-2</v>
      </c>
      <c r="W66" s="20">
        <f t="shared" si="270"/>
        <v>4.5443069931835396E-2</v>
      </c>
      <c r="X66" s="20">
        <f t="shared" si="270"/>
        <v>4.908292430896409E-2</v>
      </c>
      <c r="Y66" s="20">
        <f t="shared" si="270"/>
        <v>0.10557563242127001</v>
      </c>
      <c r="Z66" s="199">
        <f t="shared" si="270"/>
        <v>6.2028224483098131E-2</v>
      </c>
      <c r="AA66" s="20">
        <f t="shared" si="270"/>
        <v>4.8258842884562655E-2</v>
      </c>
      <c r="AB66" s="20">
        <f t="shared" si="270"/>
        <v>4.3727598566308243E-2</v>
      </c>
      <c r="AC66" s="20">
        <f t="shared" si="270"/>
        <v>4.6726755218216322E-2</v>
      </c>
      <c r="AD66" s="20">
        <f t="shared" si="270"/>
        <v>0.11754767076997345</v>
      </c>
      <c r="AE66" s="199">
        <f t="shared" si="270"/>
        <v>6.4418504107220054E-2</v>
      </c>
      <c r="AF66" s="20">
        <f t="shared" si="270"/>
        <v>8.4343700579862943E-2</v>
      </c>
      <c r="AG66" s="20">
        <f t="shared" si="270"/>
        <v>8.4792237924488506E-2</v>
      </c>
      <c r="AH66" s="20">
        <f t="shared" si="270"/>
        <v>8.5666175541991157E-2</v>
      </c>
      <c r="AI66" s="20">
        <f t="shared" si="270"/>
        <v>9.7032501177578903E-2</v>
      </c>
      <c r="AJ66" s="199">
        <f t="shared" si="270"/>
        <v>8.7896417978553507E-2</v>
      </c>
      <c r="AK66" s="20">
        <f t="shared" si="270"/>
        <v>9.4081584531950008E-2</v>
      </c>
      <c r="AL66" s="20">
        <f t="shared" si="270"/>
        <v>7.8352988207075758E-2</v>
      </c>
      <c r="AM66" s="20">
        <f t="shared" si="270"/>
        <v>8.9726420508896121E-2</v>
      </c>
      <c r="AN66" s="20">
        <f t="shared" si="270"/>
        <v>0.10335255178304506</v>
      </c>
      <c r="AO66" s="199">
        <f t="shared" si="270"/>
        <v>9.1051477498172703E-2</v>
      </c>
      <c r="AP66" s="317"/>
      <c r="AQ66" s="20"/>
      <c r="AR66" s="20"/>
      <c r="AS66" s="20"/>
      <c r="AT66" s="206"/>
      <c r="AU66" s="20">
        <f t="shared" ref="AU66:BN66" si="271">AU64/AU72</f>
        <v>9.6329113924050636E-2</v>
      </c>
      <c r="AV66" s="20">
        <f t="shared" si="271"/>
        <v>8.813820422535211E-2</v>
      </c>
      <c r="AW66" s="20">
        <f t="shared" si="271"/>
        <v>8.8019303399076793E-2</v>
      </c>
      <c r="AX66" s="20">
        <f t="shared" si="271"/>
        <v>0.10633367662203913</v>
      </c>
      <c r="AY66" s="206">
        <f t="shared" si="271"/>
        <v>9.411455902939804E-2</v>
      </c>
      <c r="AZ66" s="317">
        <f t="shared" si="271"/>
        <v>0.1343506882106523</v>
      </c>
      <c r="BA66" s="20">
        <f t="shared" si="271"/>
        <v>0.13200000000000001</v>
      </c>
      <c r="BB66" s="20">
        <f t="shared" si="271"/>
        <v>0.11526274095590176</v>
      </c>
      <c r="BC66" s="20">
        <f t="shared" si="271"/>
        <v>0.11359294636296841</v>
      </c>
      <c r="BD66" s="206">
        <f t="shared" si="271"/>
        <v>0.12357908990485693</v>
      </c>
      <c r="BE66" s="317">
        <f t="shared" si="271"/>
        <v>0.12646028037383178</v>
      </c>
      <c r="BF66" s="20">
        <f t="shared" si="271"/>
        <v>0.1160618310835131</v>
      </c>
      <c r="BG66" s="20">
        <f t="shared" si="271"/>
        <v>0.1059217877094972</v>
      </c>
      <c r="BH66" s="20">
        <f t="shared" si="271"/>
        <v>0.11362177429708563</v>
      </c>
      <c r="BI66" s="206">
        <f t="shared" si="271"/>
        <v>0.11484783842323082</v>
      </c>
      <c r="BJ66" s="317">
        <f t="shared" si="271"/>
        <v>0.1190138117981154</v>
      </c>
      <c r="BK66" s="20">
        <f t="shared" si="271"/>
        <v>0.10903528897629193</v>
      </c>
      <c r="BL66" s="20">
        <f>BL64/BL72</f>
        <v>0.10095762021189894</v>
      </c>
      <c r="BM66" s="20">
        <f>BM64/BM72</f>
        <v>0.10953684962495536</v>
      </c>
      <c r="BN66" s="317">
        <f t="shared" si="271"/>
        <v>0.10909867577958138</v>
      </c>
      <c r="BO66" s="317">
        <f t="shared" ref="BO66:CB66" si="272">BO64/BO72</f>
        <v>0.11208843456555331</v>
      </c>
      <c r="BP66" s="20">
        <f t="shared" si="272"/>
        <v>0.10470612412659268</v>
      </c>
      <c r="BQ66" s="20">
        <f t="shared" si="272"/>
        <v>9.9566663307467496E-2</v>
      </c>
      <c r="BR66" s="20">
        <f t="shared" ref="BR66:BW66" si="273">BR64/BR72</f>
        <v>0.10730062776098581</v>
      </c>
      <c r="BS66" s="206">
        <f t="shared" si="273"/>
        <v>0.10561767112080719</v>
      </c>
      <c r="BT66" s="317">
        <f t="shared" si="273"/>
        <v>0.10929411764705882</v>
      </c>
      <c r="BU66" s="20">
        <f t="shared" si="273"/>
        <v>0.10106108993509838</v>
      </c>
      <c r="BV66" s="20">
        <f t="shared" si="273"/>
        <v>9.5996186844613918E-2</v>
      </c>
      <c r="BW66" s="20">
        <f t="shared" si="273"/>
        <v>0.10621419127368885</v>
      </c>
      <c r="BX66" s="206">
        <f t="shared" si="272"/>
        <v>0.10274534720567602</v>
      </c>
      <c r="BY66" s="317">
        <f t="shared" si="272"/>
        <v>0.11462539255271423</v>
      </c>
      <c r="BZ66" s="20">
        <f t="shared" si="272"/>
        <v>0.10592222954524057</v>
      </c>
      <c r="CA66" s="20">
        <f t="shared" si="272"/>
        <v>0.10359634997316157</v>
      </c>
      <c r="CB66" s="20">
        <f t="shared" si="272"/>
        <v>0.12117756815590339</v>
      </c>
      <c r="CC66" s="206">
        <f>CC64/CC72</f>
        <v>0.11084683613299638</v>
      </c>
      <c r="CD66" s="317">
        <f>CD64/CD72</f>
        <v>0.13293566254793354</v>
      </c>
      <c r="CE66" s="20">
        <f>CE64/CE72</f>
        <v>0.1271131035770991</v>
      </c>
      <c r="CF66" s="20">
        <f>CF64/CF72</f>
        <v>0.11848383902043756</v>
      </c>
      <c r="CG66" s="20">
        <f>CG64/CG72</f>
        <v>0.12460534624289624</v>
      </c>
      <c r="CH66" s="206">
        <f t="shared" ref="CH66" si="274">CH64/CH72</f>
        <v>0.12551591981132076</v>
      </c>
      <c r="CI66" s="317">
        <f>CI64/CI72</f>
        <v>0.14344395200518864</v>
      </c>
      <c r="CJ66" s="20">
        <f>CJ64/CJ72</f>
        <v>0.12558629271561214</v>
      </c>
      <c r="CK66" s="20">
        <f>CK64/CK72</f>
        <v>0.11876371267766861</v>
      </c>
      <c r="CL66" s="20">
        <f>CL64/CL72</f>
        <v>0.13850708395009514</v>
      </c>
      <c r="CM66" s="206">
        <f t="shared" ref="CM66" si="275">CM64/CM72</f>
        <v>0.13103256893463508</v>
      </c>
      <c r="CN66" s="317">
        <f>CN64/CN72</f>
        <v>0.14210756449497158</v>
      </c>
      <c r="CO66" s="20">
        <f>CO64/CO72</f>
        <v>0.12760633861551293</v>
      </c>
      <c r="CP66" s="20">
        <f>CP64/CP72</f>
        <v>0.13327305605786618</v>
      </c>
      <c r="CQ66" s="20">
        <f>CQ64/CQ72</f>
        <v>0.15070766227428015</v>
      </c>
      <c r="CR66" s="206">
        <f t="shared" ref="CR66" si="276">CR64/CR72</f>
        <v>0.13808069052468239</v>
      </c>
      <c r="CS66" s="317">
        <f>CS64/CS72</f>
        <v>8.3507306889352817E-2</v>
      </c>
      <c r="CT66" s="20">
        <f>CT64/CT72</f>
        <v>7.3694984646878195E-2</v>
      </c>
      <c r="CU66" s="20">
        <f>CU64/CU72</f>
        <v>8.0553295362082999E-2</v>
      </c>
      <c r="CV66" s="20">
        <f>CV64/CV72</f>
        <v>9.8152312053964214E-2</v>
      </c>
      <c r="CW66" s="206">
        <f t="shared" ref="CW66" si="277">CW64/CW72</f>
        <v>8.3791142009820602E-2</v>
      </c>
      <c r="CX66" s="317">
        <f>CX64/CX72</f>
        <v>0.10042134831460674</v>
      </c>
      <c r="CY66" s="20">
        <f t="shared" ref="CY66:DB66" si="278">CY64/CY72</f>
        <v>8.2215056317313573E-2</v>
      </c>
      <c r="CZ66" s="20">
        <f t="shared" si="278"/>
        <v>8.3581653393693736E-2</v>
      </c>
      <c r="DA66" s="20">
        <f t="shared" si="278"/>
        <v>9.8102868087879616E-2</v>
      </c>
      <c r="DB66" s="206">
        <f t="shared" si="278"/>
        <v>9.0583993695995846E-2</v>
      </c>
      <c r="DC66" s="20"/>
      <c r="DD66" s="20"/>
      <c r="DE66" s="20"/>
      <c r="DF66" s="20"/>
      <c r="DG66" s="206">
        <f>DG64/DG72</f>
        <v>9.2991954119782713E-2</v>
      </c>
      <c r="DH66" s="20"/>
      <c r="DI66" s="20"/>
      <c r="DJ66" s="20"/>
      <c r="DK66" s="20"/>
      <c r="DL66" s="206">
        <f>DL64/DL72</f>
        <v>9.4233321817231638E-2</v>
      </c>
      <c r="DM66" s="20"/>
      <c r="DN66" s="500"/>
      <c r="DO66" s="488"/>
      <c r="DP66" s="405"/>
      <c r="DQ66" s="405"/>
      <c r="DR66" s="405"/>
      <c r="DS66" s="559"/>
      <c r="DT66" s="559"/>
      <c r="DU66" s="463"/>
      <c r="DV66" s="802"/>
      <c r="DW66" s="802"/>
      <c r="DX66" s="802"/>
      <c r="DY66" s="802"/>
      <c r="DZ66" s="461"/>
      <c r="EA66" s="500"/>
      <c r="EH66" s="8"/>
    </row>
    <row r="67" spans="1:138" ht="12.75" customHeight="1" x14ac:dyDescent="0.2">
      <c r="A67" s="75" t="s">
        <v>166</v>
      </c>
      <c r="B67" s="32">
        <f t="shared" ref="B67:AO67" si="279">B64/B15*100</f>
        <v>0.64817946116559577</v>
      </c>
      <c r="C67" s="32">
        <f t="shared" si="279"/>
        <v>0.36082613027438942</v>
      </c>
      <c r="D67" s="32">
        <f t="shared" si="279"/>
        <v>0.40430559201890259</v>
      </c>
      <c r="E67" s="32">
        <f t="shared" si="279"/>
        <v>0.30179982440737491</v>
      </c>
      <c r="F67" s="203">
        <f t="shared" si="279"/>
        <v>0.42674929837794495</v>
      </c>
      <c r="G67" s="32">
        <f t="shared" si="279"/>
        <v>0.27566464335886764</v>
      </c>
      <c r="H67" s="32">
        <f t="shared" si="279"/>
        <v>0.28243416407332828</v>
      </c>
      <c r="I67" s="32">
        <f t="shared" si="279"/>
        <v>0.24383779485820301</v>
      </c>
      <c r="J67" s="32">
        <f t="shared" si="279"/>
        <v>0.30754531680243086</v>
      </c>
      <c r="K67" s="203">
        <f t="shared" si="279"/>
        <v>0.27665546674246172</v>
      </c>
      <c r="L67" s="32">
        <f t="shared" si="279"/>
        <v>0.33787788974510968</v>
      </c>
      <c r="M67" s="32">
        <f t="shared" si="279"/>
        <v>0.41272762765275101</v>
      </c>
      <c r="N67" s="32">
        <f t="shared" si="279"/>
        <v>0.38816503800217156</v>
      </c>
      <c r="O67" s="32">
        <f t="shared" si="279"/>
        <v>0.34297052154195012</v>
      </c>
      <c r="P67" s="203">
        <f t="shared" si="279"/>
        <v>0.37115700788179429</v>
      </c>
      <c r="Q67" s="32">
        <f t="shared" si="279"/>
        <v>0.33429707264185038</v>
      </c>
      <c r="R67" s="32">
        <f t="shared" si="279"/>
        <v>0.44952238246862714</v>
      </c>
      <c r="S67" s="32">
        <f t="shared" si="279"/>
        <v>0.37381552638442145</v>
      </c>
      <c r="T67" s="32">
        <f t="shared" si="279"/>
        <v>0.38110636332139969</v>
      </c>
      <c r="U67" s="203">
        <f t="shared" si="279"/>
        <v>0.38397713996562066</v>
      </c>
      <c r="V67" s="32">
        <f t="shared" si="279"/>
        <v>0.46434865310917789</v>
      </c>
      <c r="W67" s="32">
        <f t="shared" si="279"/>
        <v>0.4660797514241326</v>
      </c>
      <c r="X67" s="32">
        <f t="shared" si="279"/>
        <v>0.48510225444889832</v>
      </c>
      <c r="Y67" s="32">
        <f t="shared" si="279"/>
        <v>1.0722806281624413</v>
      </c>
      <c r="Z67" s="203">
        <f t="shared" si="279"/>
        <v>0.62302625940308154</v>
      </c>
      <c r="AA67" s="32">
        <f t="shared" si="279"/>
        <v>0.46466193204319245</v>
      </c>
      <c r="AB67" s="32">
        <f t="shared" si="279"/>
        <v>0.45213094502779499</v>
      </c>
      <c r="AC67" s="32">
        <f t="shared" si="279"/>
        <v>0.4799610183944451</v>
      </c>
      <c r="AD67" s="32">
        <f t="shared" si="279"/>
        <v>1.3022783185367419</v>
      </c>
      <c r="AE67" s="203">
        <f t="shared" si="279"/>
        <v>0.66520826822626011</v>
      </c>
      <c r="AF67" s="32">
        <f t="shared" si="279"/>
        <v>0.92480203456447607</v>
      </c>
      <c r="AG67" s="32">
        <f t="shared" si="279"/>
        <v>1.0658041253512911</v>
      </c>
      <c r="AH67" s="32">
        <f t="shared" si="279"/>
        <v>1.0266629669802991</v>
      </c>
      <c r="AI67" s="32">
        <f t="shared" si="279"/>
        <v>1.1434280639431618</v>
      </c>
      <c r="AJ67" s="203">
        <f t="shared" si="279"/>
        <v>1.0412513936281631</v>
      </c>
      <c r="AK67" s="32">
        <f t="shared" si="279"/>
        <v>1.1309844383344199</v>
      </c>
      <c r="AL67" s="32">
        <f t="shared" si="279"/>
        <v>1.0281427859522123</v>
      </c>
      <c r="AM67" s="32">
        <f t="shared" si="279"/>
        <v>1.1454949564028039</v>
      </c>
      <c r="AN67" s="32">
        <f t="shared" si="279"/>
        <v>1.2936333992623081</v>
      </c>
      <c r="AO67" s="203">
        <f t="shared" si="279"/>
        <v>1.1491602037387243</v>
      </c>
      <c r="AP67" s="319"/>
      <c r="AQ67" s="32"/>
      <c r="AR67" s="32"/>
      <c r="AS67" s="32"/>
      <c r="AT67" s="203"/>
      <c r="AU67" s="32">
        <f t="shared" ref="AU67:BX67" si="280">AU64/AU15*100</f>
        <v>1.2773814519513218</v>
      </c>
      <c r="AV67" s="32">
        <f t="shared" si="280"/>
        <v>1.2634268679316707</v>
      </c>
      <c r="AW67" s="32">
        <f t="shared" si="280"/>
        <v>1.2889448780188042</v>
      </c>
      <c r="AX67" s="32">
        <f t="shared" si="280"/>
        <v>1.4217356879754897</v>
      </c>
      <c r="AY67" s="203">
        <f t="shared" si="280"/>
        <v>1.3109146747696656</v>
      </c>
      <c r="AZ67" s="319">
        <f t="shared" si="280"/>
        <v>1.6110513096519556</v>
      </c>
      <c r="BA67" s="32">
        <f t="shared" si="280"/>
        <v>1.5653322942960239</v>
      </c>
      <c r="BB67" s="32">
        <f t="shared" si="280"/>
        <v>1.4027701899283349</v>
      </c>
      <c r="BC67" s="32">
        <f t="shared" si="280"/>
        <v>1.4496286850198785</v>
      </c>
      <c r="BD67" s="203">
        <f t="shared" si="280"/>
        <v>1.5056853951121667</v>
      </c>
      <c r="BE67" s="319">
        <f t="shared" si="280"/>
        <v>1.6247339287126417</v>
      </c>
      <c r="BF67" s="32">
        <f t="shared" si="280"/>
        <v>1.6150465092507411</v>
      </c>
      <c r="BG67" s="32">
        <f t="shared" si="280"/>
        <v>1.4892178740830471</v>
      </c>
      <c r="BH67" s="32">
        <f t="shared" si="280"/>
        <v>1.5518861562969597</v>
      </c>
      <c r="BI67" s="203">
        <f t="shared" si="280"/>
        <v>1.567361811184345</v>
      </c>
      <c r="BJ67" s="319">
        <f t="shared" si="280"/>
        <v>1.6400215052711484</v>
      </c>
      <c r="BK67" s="32">
        <f t="shared" si="280"/>
        <v>1.6594336642224106</v>
      </c>
      <c r="BL67" s="32">
        <f t="shared" si="280"/>
        <v>1.5665012171603807</v>
      </c>
      <c r="BM67" s="32">
        <f t="shared" si="280"/>
        <v>1.6716938619762329</v>
      </c>
      <c r="BN67" s="319">
        <f t="shared" si="280"/>
        <v>1.6326041837240104</v>
      </c>
      <c r="BO67" s="319">
        <f t="shared" si="280"/>
        <v>1.7332009998529629</v>
      </c>
      <c r="BP67" s="32">
        <f t="shared" si="280"/>
        <v>1.7160082179785121</v>
      </c>
      <c r="BQ67" s="32">
        <f t="shared" si="280"/>
        <v>1.5863076601962012</v>
      </c>
      <c r="BR67" s="32">
        <f t="shared" si="280"/>
        <v>1.698502079422914</v>
      </c>
      <c r="BS67" s="203">
        <f t="shared" si="280"/>
        <v>1.6808801510318339</v>
      </c>
      <c r="BT67" s="319">
        <f t="shared" si="280"/>
        <v>1.7521029006827356</v>
      </c>
      <c r="BU67" s="32">
        <f>BU64/BU15*100</f>
        <v>1.6382765531062125</v>
      </c>
      <c r="BV67" s="32">
        <f>BV64/BV15*100</f>
        <v>1.576072496204592</v>
      </c>
      <c r="BW67" s="32">
        <f>BW64/BW15*100</f>
        <v>1.7231209223344357</v>
      </c>
      <c r="BX67" s="203">
        <f t="shared" si="280"/>
        <v>1.6675259946721663</v>
      </c>
      <c r="BY67" s="319">
        <f>BY64/BY15*100</f>
        <v>1.8959631938260613</v>
      </c>
      <c r="BZ67" s="32">
        <f>BZ64/BZ15*100</f>
        <v>1.8198877331478396</v>
      </c>
      <c r="CA67" s="32">
        <f>CA64/CA15*100</f>
        <v>1.7565148803203594</v>
      </c>
      <c r="CB67" s="32">
        <f t="shared" ref="CB67:CH67" si="281">CB64/CB15*100</f>
        <v>2.0145099863861171</v>
      </c>
      <c r="CC67" s="203">
        <f t="shared" si="281"/>
        <v>1.8666866937031659</v>
      </c>
      <c r="CD67" s="319">
        <f t="shared" si="281"/>
        <v>2.2050638726434264</v>
      </c>
      <c r="CE67" s="32">
        <f t="shared" si="281"/>
        <v>2.1286578976179675</v>
      </c>
      <c r="CF67" s="32">
        <f t="shared" si="281"/>
        <v>1.9344122532374948</v>
      </c>
      <c r="CG67" s="32">
        <f t="shared" si="281"/>
        <v>2.0343992164813827</v>
      </c>
      <c r="CH67" s="203">
        <f t="shared" si="281"/>
        <v>2.0703992478643563</v>
      </c>
      <c r="CI67" s="319">
        <f>CI64/CI15*100</f>
        <v>2.2822254708057441</v>
      </c>
      <c r="CJ67" s="32">
        <f t="shared" ref="CJ67:CM67" si="282">CJ64/CJ15*100</f>
        <v>1.9885114960820867</v>
      </c>
      <c r="CK67" s="32">
        <f t="shared" si="282"/>
        <v>1.8036159239728806</v>
      </c>
      <c r="CL67" s="32">
        <f t="shared" si="282"/>
        <v>2.2311164097760368</v>
      </c>
      <c r="CM67" s="203">
        <f t="shared" si="282"/>
        <v>2.0621994941774826</v>
      </c>
      <c r="CN67" s="319">
        <f>CN64/CN15*100</f>
        <v>2.246375559433913</v>
      </c>
      <c r="CO67" s="32">
        <f t="shared" ref="CO67:CR67" si="283">CO64/CO15*100</f>
        <v>2.0792124058163588</v>
      </c>
      <c r="CP67" s="32">
        <f t="shared" si="283"/>
        <v>2.1007026094887911</v>
      </c>
      <c r="CQ67" s="32">
        <f t="shared" si="283"/>
        <v>2.5707625707625708</v>
      </c>
      <c r="CR67" s="203">
        <f t="shared" si="283"/>
        <v>2.2392607883613485</v>
      </c>
      <c r="CS67" s="319">
        <f>CS64/CS15*100</f>
        <v>1.3132657116690571</v>
      </c>
      <c r="CT67" s="32">
        <f t="shared" ref="CT67:CW67" si="284">CT64/CT15*100</f>
        <v>1.1958868739335919</v>
      </c>
      <c r="CU67" s="32">
        <f t="shared" si="284"/>
        <v>1.269827696780538</v>
      </c>
      <c r="CV67" s="32">
        <f t="shared" si="284"/>
        <v>1.6716616716616717</v>
      </c>
      <c r="CW67" s="203">
        <f t="shared" si="284"/>
        <v>1.3553524034208198</v>
      </c>
      <c r="CX67" s="319">
        <f>CX64/CX15*100</f>
        <v>1.6835937356117701</v>
      </c>
      <c r="CY67" s="32">
        <f t="shared" ref="CY67:DB67" si="285">CY64/CY15*100</f>
        <v>1.386535506009962</v>
      </c>
      <c r="CZ67" s="32">
        <f t="shared" si="285"/>
        <v>1.3561266664646523</v>
      </c>
      <c r="DA67" s="32">
        <f t="shared" si="285"/>
        <v>1.7041211215968497</v>
      </c>
      <c r="DB67" s="203">
        <f t="shared" si="285"/>
        <v>1.5204766473983182</v>
      </c>
      <c r="DC67" s="32"/>
      <c r="DD67" s="32"/>
      <c r="DE67" s="32"/>
      <c r="DF67" s="32"/>
      <c r="DG67" s="203">
        <f>DG64/DG15*100</f>
        <v>1.5723953621875291</v>
      </c>
      <c r="DH67" s="32"/>
      <c r="DI67" s="32"/>
      <c r="DJ67" s="32"/>
      <c r="DK67" s="32"/>
      <c r="DL67" s="203">
        <f>DL64/DL15*100</f>
        <v>1.6030762473033831</v>
      </c>
      <c r="DM67" s="32"/>
      <c r="DN67" s="503"/>
      <c r="DO67" s="486"/>
      <c r="DP67" s="411"/>
      <c r="DQ67" s="411"/>
      <c r="DR67" s="411"/>
      <c r="DS67" s="559"/>
      <c r="DT67" s="461"/>
      <c r="DU67" s="461"/>
      <c r="DV67" s="461"/>
      <c r="DW67" s="461"/>
      <c r="DX67" s="461"/>
      <c r="DY67" s="461"/>
      <c r="DZ67" s="461"/>
      <c r="EA67" s="503"/>
      <c r="EH67" s="8"/>
    </row>
    <row r="68" spans="1:138" ht="12.75" customHeight="1" x14ac:dyDescent="0.2">
      <c r="A68" s="647" t="s">
        <v>244</v>
      </c>
      <c r="B68" s="20"/>
      <c r="C68" s="20"/>
      <c r="D68" s="20"/>
      <c r="E68" s="20"/>
      <c r="F68" s="199"/>
      <c r="G68" s="20">
        <f t="shared" ref="G68:AO68" si="286">G67/B67-1</f>
        <v>-0.57470938239364955</v>
      </c>
      <c r="H68" s="20">
        <f t="shared" si="286"/>
        <v>-0.21725689916483637</v>
      </c>
      <c r="I68" s="20">
        <f t="shared" si="286"/>
        <v>-0.39689729830201603</v>
      </c>
      <c r="J68" s="20">
        <f t="shared" si="286"/>
        <v>1.9037427892272696E-2</v>
      </c>
      <c r="K68" s="199">
        <f t="shared" si="286"/>
        <v>-0.351714302064428</v>
      </c>
      <c r="L68" s="20">
        <f t="shared" si="286"/>
        <v>0.22568453330901472</v>
      </c>
      <c r="M68" s="20">
        <f t="shared" si="286"/>
        <v>0.46132331053829123</v>
      </c>
      <c r="N68" s="20">
        <f t="shared" si="286"/>
        <v>0.59189857432847104</v>
      </c>
      <c r="O68" s="20">
        <f t="shared" si="286"/>
        <v>0.11518694255479955</v>
      </c>
      <c r="P68" s="199">
        <f t="shared" si="286"/>
        <v>0.34158566339592333</v>
      </c>
      <c r="Q68" s="20">
        <f t="shared" si="286"/>
        <v>-1.0597962198593769E-2</v>
      </c>
      <c r="R68" s="20">
        <f t="shared" si="286"/>
        <v>8.9150210333952762E-2</v>
      </c>
      <c r="S68" s="20">
        <f t="shared" si="286"/>
        <v>-3.6967553006847176E-2</v>
      </c>
      <c r="T68" s="20">
        <f t="shared" si="286"/>
        <v>0.11119276842801495</v>
      </c>
      <c r="U68" s="199">
        <f t="shared" si="286"/>
        <v>3.4540994273532188E-2</v>
      </c>
      <c r="V68" s="20">
        <f t="shared" si="286"/>
        <v>0.38902997097631919</v>
      </c>
      <c r="W68" s="20">
        <f t="shared" si="286"/>
        <v>3.6833247022268312E-2</v>
      </c>
      <c r="X68" s="20">
        <f t="shared" si="286"/>
        <v>0.29770493788969232</v>
      </c>
      <c r="Y68" s="20">
        <f t="shared" si="286"/>
        <v>1.8135993815935088</v>
      </c>
      <c r="Z68" s="199">
        <f t="shared" si="286"/>
        <v>0.62256081041403699</v>
      </c>
      <c r="AA68" s="20">
        <f t="shared" si="286"/>
        <v>6.7466316940278936E-4</v>
      </c>
      <c r="AB68" s="20">
        <f t="shared" si="286"/>
        <v>-2.9927939057031061E-2</v>
      </c>
      <c r="AC68" s="20">
        <f t="shared" si="286"/>
        <v>-1.0598252239198414E-2</v>
      </c>
      <c r="AD68" s="20">
        <f t="shared" si="286"/>
        <v>0.21449393408183259</v>
      </c>
      <c r="AE68" s="199">
        <f t="shared" si="286"/>
        <v>6.7705025569215982E-2</v>
      </c>
      <c r="AF68" s="20">
        <f t="shared" si="286"/>
        <v>0.99026856040901468</v>
      </c>
      <c r="AG68" s="20">
        <f t="shared" si="286"/>
        <v>1.3572908182291532</v>
      </c>
      <c r="AH68" s="20">
        <f t="shared" si="286"/>
        <v>1.1390548974470245</v>
      </c>
      <c r="AI68" s="20">
        <f t="shared" si="286"/>
        <v>-0.12197872937949739</v>
      </c>
      <c r="AJ68" s="199">
        <f t="shared" si="286"/>
        <v>0.56530133999176013</v>
      </c>
      <c r="AK68" s="20">
        <f t="shared" si="286"/>
        <v>0.22294761047648737</v>
      </c>
      <c r="AL68" s="20">
        <f t="shared" si="286"/>
        <v>-3.5336079588419222E-2</v>
      </c>
      <c r="AM68" s="20">
        <f t="shared" si="286"/>
        <v>0.11574586134339948</v>
      </c>
      <c r="AN68" s="20">
        <f t="shared" si="286"/>
        <v>0.13136404471406515</v>
      </c>
      <c r="AO68" s="199">
        <f t="shared" si="286"/>
        <v>0.10363377256529849</v>
      </c>
      <c r="AP68" s="317"/>
      <c r="AQ68" s="20"/>
      <c r="AR68" s="20"/>
      <c r="AS68" s="20"/>
      <c r="AT68" s="206"/>
      <c r="AU68" s="20"/>
      <c r="AV68" s="20"/>
      <c r="AW68" s="20"/>
      <c r="AX68" s="20"/>
      <c r="AY68" s="206"/>
      <c r="AZ68" s="317">
        <f t="shared" ref="AZ68:CA68" si="287">AZ67/AU67-1</f>
        <v>0.26121395233265776</v>
      </c>
      <c r="BA68" s="20">
        <f t="shared" si="287"/>
        <v>0.23895757960141872</v>
      </c>
      <c r="BB68" s="20">
        <f t="shared" si="287"/>
        <v>8.8308905873839993E-2</v>
      </c>
      <c r="BC68" s="20">
        <f t="shared" si="287"/>
        <v>1.961897508819499E-2</v>
      </c>
      <c r="BD68" s="206">
        <f t="shared" si="287"/>
        <v>0.14857619957357127</v>
      </c>
      <c r="BE68" s="317">
        <f t="shared" si="287"/>
        <v>8.4929753501408189E-3</v>
      </c>
      <c r="BF68" s="20">
        <f t="shared" si="287"/>
        <v>3.1759528079675414E-2</v>
      </c>
      <c r="BG68" s="20">
        <f t="shared" si="287"/>
        <v>6.1626405219752156E-2</v>
      </c>
      <c r="BH68" s="20">
        <f t="shared" si="287"/>
        <v>7.0540457935046375E-2</v>
      </c>
      <c r="BI68" s="206">
        <f t="shared" si="287"/>
        <v>4.0962352608583164E-2</v>
      </c>
      <c r="BJ68" s="317">
        <f t="shared" si="287"/>
        <v>9.4092800601632831E-3</v>
      </c>
      <c r="BK68" s="20">
        <f t="shared" si="287"/>
        <v>2.7483515005559678E-2</v>
      </c>
      <c r="BL68" s="20">
        <f t="shared" si="287"/>
        <v>5.1895256175943372E-2</v>
      </c>
      <c r="BM68" s="20">
        <f t="shared" si="287"/>
        <v>7.7201349592004087E-2</v>
      </c>
      <c r="BN68" s="317">
        <f t="shared" si="287"/>
        <v>4.16255979149871E-2</v>
      </c>
      <c r="BO68" s="317">
        <f t="shared" si="287"/>
        <v>5.6816019962133923E-2</v>
      </c>
      <c r="BP68" s="20">
        <f t="shared" si="287"/>
        <v>3.4092687749956996E-2</v>
      </c>
      <c r="BQ68" s="20">
        <f t="shared" si="287"/>
        <v>1.2643745704662646E-2</v>
      </c>
      <c r="BR68" s="20">
        <f t="shared" si="287"/>
        <v>1.6036559119137372E-2</v>
      </c>
      <c r="BS68" s="206">
        <f t="shared" si="287"/>
        <v>2.9569915224463506E-2</v>
      </c>
      <c r="BT68" s="317">
        <f t="shared" si="287"/>
        <v>1.090577540133908E-2</v>
      </c>
      <c r="BU68" s="20">
        <f t="shared" si="287"/>
        <v>-4.5297956069154988E-2</v>
      </c>
      <c r="BV68" s="20">
        <f t="shared" si="287"/>
        <v>-6.4521935110262163E-3</v>
      </c>
      <c r="BW68" s="20">
        <f t="shared" si="287"/>
        <v>1.4494443786542854E-2</v>
      </c>
      <c r="BX68" s="206">
        <f>BX67/BS67-1</f>
        <v>-7.9447403501492486E-3</v>
      </c>
      <c r="BY68" s="317">
        <f t="shared" si="287"/>
        <v>8.2107217040316538E-2</v>
      </c>
      <c r="BZ68" s="20">
        <f t="shared" si="287"/>
        <v>0.11085501998871194</v>
      </c>
      <c r="CA68" s="20">
        <f t="shared" si="287"/>
        <v>0.11448863205867643</v>
      </c>
      <c r="CB68" s="20">
        <f t="shared" ref="CB68:CK68" si="288">CB67/BW67-1</f>
        <v>0.16910540651837458</v>
      </c>
      <c r="CC68" s="206">
        <f t="shared" si="288"/>
        <v>0.11943483919730702</v>
      </c>
      <c r="CD68" s="317">
        <f t="shared" si="288"/>
        <v>0.16303094903102977</v>
      </c>
      <c r="CE68" s="20">
        <f t="shared" si="288"/>
        <v>0.16966440228488811</v>
      </c>
      <c r="CF68" s="20">
        <f t="shared" si="288"/>
        <v>0.1012786028232735</v>
      </c>
      <c r="CG68" s="20">
        <f>CG67/CB67-1</f>
        <v>9.8729865970759167E-3</v>
      </c>
      <c r="CH68" s="206">
        <f>CH67/CC67-1</f>
        <v>0.10913055460692322</v>
      </c>
      <c r="CI68" s="317">
        <f t="shared" si="288"/>
        <v>3.4992908423018498E-2</v>
      </c>
      <c r="CJ68" s="20">
        <f t="shared" si="288"/>
        <v>-6.5837916789122874E-2</v>
      </c>
      <c r="CK68" s="20">
        <f t="shared" si="288"/>
        <v>-6.7615540092712534E-2</v>
      </c>
      <c r="CL68" s="20">
        <f>CL67/CG67-1</f>
        <v>9.6695472403341087E-2</v>
      </c>
      <c r="CM68" s="206">
        <f>CM67/CH67-1</f>
        <v>-3.9604697960220481E-3</v>
      </c>
      <c r="CN68" s="317">
        <f t="shared" ref="CN68:CP68" si="289">CN67/CI67-1</f>
        <v>-1.5708312710739469E-2</v>
      </c>
      <c r="CO68" s="20">
        <f t="shared" si="289"/>
        <v>4.5612464354859217E-2</v>
      </c>
      <c r="CP68" s="20">
        <f t="shared" si="289"/>
        <v>0.16471726688989774</v>
      </c>
      <c r="CQ68" s="20">
        <f>CQ67/CL67-1</f>
        <v>0.15223148352919336</v>
      </c>
      <c r="CR68" s="206">
        <f>CR67/CM67-1</f>
        <v>8.5860410054308334E-2</v>
      </c>
      <c r="CS68" s="317"/>
      <c r="CT68" s="20"/>
      <c r="CU68" s="20"/>
      <c r="CV68" s="20"/>
      <c r="CW68" s="206"/>
      <c r="CX68" s="317">
        <f>CX67/CS67-1</f>
        <v>0.28199017202090437</v>
      </c>
      <c r="CY68" s="20">
        <f>CY67/CT67-1</f>
        <v>0.15942028985507273</v>
      </c>
      <c r="CZ68" s="20">
        <f>CZ67/CU67-1</f>
        <v>6.7961165048543659E-2</v>
      </c>
      <c r="DA68" s="20">
        <f>DA67/CV67-1</f>
        <v>1.9417475728155331E-2</v>
      </c>
      <c r="DB68" s="206">
        <f>DB67/CW67-1</f>
        <v>0.12183122526712298</v>
      </c>
      <c r="DC68" s="20"/>
      <c r="DD68" s="20"/>
      <c r="DE68" s="20"/>
      <c r="DF68" s="20"/>
      <c r="DG68" s="206">
        <f>DG67/DB67-1</f>
        <v>3.4146341463414664E-2</v>
      </c>
      <c r="DH68" s="20"/>
      <c r="DI68" s="20"/>
      <c r="DJ68" s="20"/>
      <c r="DK68" s="20"/>
      <c r="DL68" s="206">
        <f>DL67/DG67-1</f>
        <v>1.9512195121951015E-2</v>
      </c>
      <c r="DM68" s="20"/>
      <c r="DN68" s="500"/>
      <c r="DO68" s="489"/>
      <c r="DP68" s="414"/>
      <c r="DQ68" s="414"/>
      <c r="DR68" s="414"/>
      <c r="DS68" s="559"/>
      <c r="DT68" s="461"/>
      <c r="DU68" s="461"/>
      <c r="DV68" s="461"/>
      <c r="DW68" s="461"/>
      <c r="DX68" s="461"/>
      <c r="DY68" s="461"/>
      <c r="DZ68" s="461"/>
      <c r="EA68" s="500"/>
      <c r="EH68" s="8"/>
    </row>
    <row r="69" spans="1:138" ht="12.75" customHeight="1" x14ac:dyDescent="0.2">
      <c r="A69" s="169" t="s">
        <v>576</v>
      </c>
      <c r="B69" s="20"/>
      <c r="C69" s="20"/>
      <c r="D69" s="20"/>
      <c r="E69" s="20"/>
      <c r="F69" s="199"/>
      <c r="G69" s="20"/>
      <c r="H69" s="20"/>
      <c r="I69" s="20"/>
      <c r="J69" s="20"/>
      <c r="K69" s="199"/>
      <c r="L69" s="20"/>
      <c r="M69" s="20"/>
      <c r="N69" s="20"/>
      <c r="O69" s="20"/>
      <c r="P69" s="199"/>
      <c r="Q69" s="20"/>
      <c r="R69" s="20"/>
      <c r="S69" s="20"/>
      <c r="T69" s="20"/>
      <c r="U69" s="199"/>
      <c r="V69" s="20"/>
      <c r="W69" s="20"/>
      <c r="X69" s="20"/>
      <c r="Y69" s="20"/>
      <c r="Z69" s="199"/>
      <c r="AA69" s="20"/>
      <c r="AB69" s="20"/>
      <c r="AC69" s="20"/>
      <c r="AD69" s="20"/>
      <c r="AE69" s="199"/>
      <c r="AF69" s="20"/>
      <c r="AG69" s="20"/>
      <c r="AH69" s="20"/>
      <c r="AI69" s="20"/>
      <c r="AJ69" s="199"/>
      <c r="AK69" s="20"/>
      <c r="AL69" s="20"/>
      <c r="AM69" s="20"/>
      <c r="AN69" s="20"/>
      <c r="AO69" s="199"/>
      <c r="AP69" s="317"/>
      <c r="AQ69" s="20"/>
      <c r="AR69" s="20"/>
      <c r="AS69" s="20"/>
      <c r="AT69" s="206"/>
      <c r="AU69" s="20"/>
      <c r="AV69" s="20"/>
      <c r="AW69" s="20"/>
      <c r="AX69" s="20"/>
      <c r="AY69" s="206"/>
      <c r="AZ69" s="317"/>
      <c r="BA69" s="20"/>
      <c r="BB69" s="20"/>
      <c r="BC69" s="20"/>
      <c r="BD69" s="206"/>
      <c r="BE69" s="317"/>
      <c r="BF69" s="20"/>
      <c r="BG69" s="20"/>
      <c r="BH69" s="20"/>
      <c r="BI69" s="206"/>
      <c r="BJ69" s="317"/>
      <c r="BK69" s="20"/>
      <c r="BL69" s="20"/>
      <c r="BM69" s="20"/>
      <c r="BN69" s="317"/>
      <c r="BO69" s="317"/>
      <c r="BP69" s="20"/>
      <c r="BQ69" s="20"/>
      <c r="BR69" s="20"/>
      <c r="BS69" s="206"/>
      <c r="BT69" s="317"/>
      <c r="BU69" s="20"/>
      <c r="BV69" s="20"/>
      <c r="BW69" s="20"/>
      <c r="BX69" s="206"/>
      <c r="BY69" s="317"/>
      <c r="BZ69" s="20"/>
      <c r="CA69" s="20"/>
      <c r="CB69" s="20"/>
      <c r="CC69" s="206"/>
      <c r="CD69" s="317"/>
      <c r="CE69" s="20"/>
      <c r="CF69" s="20"/>
      <c r="CG69" s="20"/>
      <c r="CH69" s="206"/>
      <c r="CI69" s="317"/>
      <c r="CJ69" s="20"/>
      <c r="CK69" s="20"/>
      <c r="CL69" s="20"/>
      <c r="CM69" s="206"/>
      <c r="CN69" s="440"/>
      <c r="CO69" s="438"/>
      <c r="CP69" s="438"/>
      <c r="CQ69" s="438"/>
      <c r="CR69" s="439"/>
      <c r="CS69" s="870">
        <v>61</v>
      </c>
      <c r="CT69" s="438">
        <f>CT70*CT15/100</f>
        <v>66.227000000000004</v>
      </c>
      <c r="CU69" s="438">
        <f>CU70*CU15/100</f>
        <v>126.30059999999999</v>
      </c>
      <c r="CV69" s="438">
        <f>CV70*CV15/100</f>
        <v>246.24599999999998</v>
      </c>
      <c r="CW69" s="439">
        <f>SUM(CS69:CV69)</f>
        <v>499.77359999999999</v>
      </c>
      <c r="CX69" s="967">
        <v>213</v>
      </c>
      <c r="CY69" s="438">
        <f>CT69*(1+CY71)</f>
        <v>66.227000000000004</v>
      </c>
      <c r="CZ69" s="438">
        <f>CU69*(1+CZ71)</f>
        <v>126.30059999999999</v>
      </c>
      <c r="DA69" s="438">
        <f>CV69*(1+DA71)</f>
        <v>246.24599999999998</v>
      </c>
      <c r="DB69" s="439">
        <f>SUM(CX69:DA69)</f>
        <v>651.77359999999999</v>
      </c>
      <c r="DC69" s="20"/>
      <c r="DD69" s="20"/>
      <c r="DE69" s="20"/>
      <c r="DF69" s="20"/>
      <c r="DG69" s="439">
        <f>DB69*(1+DG71)</f>
        <v>651.77359999999999</v>
      </c>
      <c r="DH69" s="20"/>
      <c r="DI69" s="20"/>
      <c r="DJ69" s="20"/>
      <c r="DK69" s="20"/>
      <c r="DL69" s="439">
        <f>DG69*(1+DL71)</f>
        <v>651.77359999999999</v>
      </c>
      <c r="DM69" s="20"/>
      <c r="DN69" s="500"/>
      <c r="DO69" s="489"/>
      <c r="DP69" s="414"/>
      <c r="DQ69" s="414"/>
      <c r="DR69" s="414"/>
      <c r="DS69" s="474"/>
      <c r="DT69" s="461"/>
      <c r="DU69" s="461"/>
      <c r="DV69" s="461"/>
      <c r="DW69" s="840"/>
      <c r="DX69" s="840"/>
      <c r="DY69" s="840"/>
      <c r="DZ69" s="681"/>
      <c r="EA69" s="500"/>
      <c r="EH69" s="8"/>
    </row>
    <row r="70" spans="1:138" ht="12.75" customHeight="1" x14ac:dyDescent="0.2">
      <c r="A70" s="75" t="s">
        <v>575</v>
      </c>
      <c r="B70" s="32"/>
      <c r="C70" s="32"/>
      <c r="D70" s="32"/>
      <c r="E70" s="32"/>
      <c r="F70" s="203"/>
      <c r="G70" s="32"/>
      <c r="H70" s="32"/>
      <c r="I70" s="32"/>
      <c r="J70" s="32"/>
      <c r="K70" s="203"/>
      <c r="L70" s="32"/>
      <c r="M70" s="32"/>
      <c r="N70" s="32"/>
      <c r="O70" s="32"/>
      <c r="P70" s="203"/>
      <c r="Q70" s="32"/>
      <c r="R70" s="32"/>
      <c r="S70" s="32"/>
      <c r="T70" s="32"/>
      <c r="U70" s="203"/>
      <c r="V70" s="32"/>
      <c r="W70" s="32"/>
      <c r="X70" s="32"/>
      <c r="Y70" s="32"/>
      <c r="Z70" s="203"/>
      <c r="AA70" s="32"/>
      <c r="AB70" s="32"/>
      <c r="AC70" s="32"/>
      <c r="AD70" s="32"/>
      <c r="AE70" s="203"/>
      <c r="AF70" s="32"/>
      <c r="AG70" s="32"/>
      <c r="AH70" s="32"/>
      <c r="AI70" s="32"/>
      <c r="AJ70" s="203"/>
      <c r="AK70" s="32"/>
      <c r="AL70" s="32"/>
      <c r="AM70" s="32"/>
      <c r="AN70" s="32"/>
      <c r="AO70" s="203"/>
      <c r="AP70" s="319"/>
      <c r="AQ70" s="32"/>
      <c r="AR70" s="32"/>
      <c r="AS70" s="32"/>
      <c r="AT70" s="203"/>
      <c r="AU70" s="32"/>
      <c r="AV70" s="32"/>
      <c r="AW70" s="32"/>
      <c r="AX70" s="32"/>
      <c r="AY70" s="203"/>
      <c r="AZ70" s="319"/>
      <c r="BA70" s="32"/>
      <c r="BB70" s="32"/>
      <c r="BC70" s="32"/>
      <c r="BD70" s="203"/>
      <c r="BE70" s="319"/>
      <c r="BF70" s="32"/>
      <c r="BG70" s="32"/>
      <c r="BH70" s="32"/>
      <c r="BI70" s="203"/>
      <c r="BJ70" s="319"/>
      <c r="BK70" s="32"/>
      <c r="BL70" s="32"/>
      <c r="BM70" s="32"/>
      <c r="BN70" s="319"/>
      <c r="BO70" s="319"/>
      <c r="BP70" s="32"/>
      <c r="BQ70" s="32"/>
      <c r="BR70" s="32"/>
      <c r="BS70" s="203"/>
      <c r="BT70" s="319"/>
      <c r="BU70" s="32"/>
      <c r="BV70" s="32"/>
      <c r="BW70" s="32"/>
      <c r="BX70" s="203"/>
      <c r="BY70" s="319"/>
      <c r="BZ70" s="32"/>
      <c r="CA70" s="32"/>
      <c r="CB70" s="32"/>
      <c r="CC70" s="203"/>
      <c r="CD70" s="319"/>
      <c r="CE70" s="32"/>
      <c r="CF70" s="32"/>
      <c r="CG70" s="32"/>
      <c r="CH70" s="203"/>
      <c r="CI70" s="319"/>
      <c r="CJ70" s="32"/>
      <c r="CK70" s="32"/>
      <c r="CL70" s="32"/>
      <c r="CM70" s="203"/>
      <c r="CN70" s="319"/>
      <c r="CO70" s="32"/>
      <c r="CP70" s="32"/>
      <c r="CQ70" s="32"/>
      <c r="CR70" s="203"/>
      <c r="CS70" s="939">
        <f t="shared" ref="CS70" si="290">CS69/CS15*100</f>
        <v>0.10540685317343747</v>
      </c>
      <c r="CT70" s="923">
        <v>0.1</v>
      </c>
      <c r="CU70" s="923">
        <v>0.18</v>
      </c>
      <c r="CV70" s="923">
        <v>0.41</v>
      </c>
      <c r="CW70" s="203">
        <f>CW69/CW15*100</f>
        <v>0.19650982011206133</v>
      </c>
      <c r="CX70" s="939">
        <f t="shared" ref="CX70" si="291">CX69/CX15*100</f>
        <v>0.35824721846684016</v>
      </c>
      <c r="CY70" s="32">
        <f t="shared" ref="CY70:DB70" si="292">CY69/CY15*100</f>
        <v>9.6618357487922718E-2</v>
      </c>
      <c r="CZ70" s="32">
        <f t="shared" si="292"/>
        <v>0.17475728155339806</v>
      </c>
      <c r="DA70" s="32">
        <f t="shared" si="292"/>
        <v>0.39805825242718446</v>
      </c>
      <c r="DB70" s="203">
        <f t="shared" si="292"/>
        <v>0.24864052442249354</v>
      </c>
      <c r="DC70" s="32"/>
      <c r="DD70" s="32"/>
      <c r="DE70" s="32"/>
      <c r="DF70" s="32"/>
      <c r="DG70" s="203">
        <f t="shared" ref="DG70" si="293">DG69/DG15*100</f>
        <v>0.24257612138779858</v>
      </c>
      <c r="DH70" s="32"/>
      <c r="DI70" s="32"/>
      <c r="DJ70" s="32"/>
      <c r="DK70" s="32"/>
      <c r="DL70" s="203">
        <f t="shared" ref="DL70" si="294">DL69/DL15*100</f>
        <v>0.23665963062224254</v>
      </c>
      <c r="DM70" s="20"/>
      <c r="DN70" s="500"/>
      <c r="DO70" s="489"/>
      <c r="DP70" s="414"/>
      <c r="DQ70" s="414"/>
      <c r="DR70" s="414"/>
      <c r="DS70" s="559"/>
      <c r="DT70" s="461"/>
      <c r="DU70" s="461"/>
      <c r="DV70" s="461"/>
      <c r="DW70" s="840"/>
      <c r="DX70" s="840"/>
      <c r="DY70" s="840"/>
      <c r="DZ70" s="681"/>
      <c r="EA70" s="500"/>
      <c r="EH70" s="8"/>
    </row>
    <row r="71" spans="1:138" ht="12.75" customHeight="1" x14ac:dyDescent="0.2">
      <c r="A71" s="647" t="s">
        <v>244</v>
      </c>
      <c r="B71" s="20"/>
      <c r="C71" s="20"/>
      <c r="D71" s="20"/>
      <c r="E71" s="20"/>
      <c r="F71" s="199"/>
      <c r="G71" s="20"/>
      <c r="H71" s="20"/>
      <c r="I71" s="20"/>
      <c r="J71" s="20"/>
      <c r="K71" s="199"/>
      <c r="L71" s="20"/>
      <c r="M71" s="20"/>
      <c r="N71" s="20"/>
      <c r="O71" s="20"/>
      <c r="P71" s="199"/>
      <c r="Q71" s="20"/>
      <c r="R71" s="20"/>
      <c r="S71" s="20"/>
      <c r="T71" s="20"/>
      <c r="U71" s="199"/>
      <c r="V71" s="20"/>
      <c r="W71" s="20"/>
      <c r="X71" s="20"/>
      <c r="Y71" s="20"/>
      <c r="Z71" s="199"/>
      <c r="AA71" s="20"/>
      <c r="AB71" s="20"/>
      <c r="AC71" s="20"/>
      <c r="AD71" s="20"/>
      <c r="AE71" s="199"/>
      <c r="AF71" s="20"/>
      <c r="AG71" s="20"/>
      <c r="AH71" s="20"/>
      <c r="AI71" s="20"/>
      <c r="AJ71" s="199"/>
      <c r="AK71" s="20"/>
      <c r="AL71" s="20"/>
      <c r="AM71" s="20"/>
      <c r="AN71" s="20"/>
      <c r="AO71" s="199"/>
      <c r="AP71" s="317"/>
      <c r="AQ71" s="20"/>
      <c r="AR71" s="20"/>
      <c r="AS71" s="20"/>
      <c r="AT71" s="206"/>
      <c r="AU71" s="20"/>
      <c r="AV71" s="20"/>
      <c r="AW71" s="20"/>
      <c r="AX71" s="20"/>
      <c r="AY71" s="206"/>
      <c r="AZ71" s="317"/>
      <c r="BA71" s="20"/>
      <c r="BB71" s="20"/>
      <c r="BC71" s="20"/>
      <c r="BD71" s="206"/>
      <c r="BE71" s="317"/>
      <c r="BF71" s="20"/>
      <c r="BG71" s="20"/>
      <c r="BH71" s="20"/>
      <c r="BI71" s="206"/>
      <c r="BJ71" s="317"/>
      <c r="BK71" s="20"/>
      <c r="BL71" s="20"/>
      <c r="BM71" s="20"/>
      <c r="BN71" s="317"/>
      <c r="BO71" s="317"/>
      <c r="BP71" s="20"/>
      <c r="BQ71" s="20"/>
      <c r="BR71" s="20"/>
      <c r="BS71" s="206"/>
      <c r="BT71" s="317"/>
      <c r="BU71" s="20"/>
      <c r="BV71" s="20"/>
      <c r="BW71" s="20"/>
      <c r="BX71" s="206"/>
      <c r="BY71" s="317"/>
      <c r="BZ71" s="20"/>
      <c r="CA71" s="20"/>
      <c r="CB71" s="20"/>
      <c r="CC71" s="206"/>
      <c r="CD71" s="317"/>
      <c r="CE71" s="20"/>
      <c r="CF71" s="20"/>
      <c r="CG71" s="20"/>
      <c r="CH71" s="206"/>
      <c r="CI71" s="317"/>
      <c r="CJ71" s="20"/>
      <c r="CK71" s="20"/>
      <c r="CL71" s="20"/>
      <c r="CM71" s="206"/>
      <c r="CN71" s="317"/>
      <c r="CO71" s="20"/>
      <c r="CP71" s="20"/>
      <c r="CQ71" s="20"/>
      <c r="CR71" s="206"/>
      <c r="CS71" s="317"/>
      <c r="CT71" s="20"/>
      <c r="CU71" s="20"/>
      <c r="CV71" s="20"/>
      <c r="CW71" s="206"/>
      <c r="CX71" s="317">
        <f>CX70/CS70-1</f>
        <v>2.398708980310575</v>
      </c>
      <c r="CY71" s="33">
        <v>0</v>
      </c>
      <c r="CZ71" s="33">
        <v>0</v>
      </c>
      <c r="DA71" s="33">
        <v>0</v>
      </c>
      <c r="DB71" s="206">
        <f>DB69/CW69-1</f>
        <v>0.3041377135566985</v>
      </c>
      <c r="DC71" s="20"/>
      <c r="DD71" s="20"/>
      <c r="DE71" s="20"/>
      <c r="DF71" s="20"/>
      <c r="DG71" s="449">
        <v>0</v>
      </c>
      <c r="DH71" s="20"/>
      <c r="DI71" s="20"/>
      <c r="DJ71" s="20"/>
      <c r="DK71" s="20"/>
      <c r="DL71" s="449">
        <v>0</v>
      </c>
      <c r="DM71" s="20"/>
      <c r="DN71" s="500"/>
      <c r="DO71" s="489"/>
      <c r="DP71" s="414"/>
      <c r="DQ71" s="414"/>
      <c r="DR71" s="414"/>
      <c r="DS71" s="559"/>
      <c r="DT71" s="461"/>
      <c r="DU71" s="461"/>
      <c r="DV71" s="929"/>
      <c r="DW71" s="929"/>
      <c r="DX71" s="840"/>
      <c r="DY71" s="840"/>
      <c r="DZ71" s="681"/>
      <c r="EA71" s="500"/>
      <c r="EH71" s="8"/>
    </row>
    <row r="72" spans="1:138" ht="12.75" customHeight="1" x14ac:dyDescent="0.2">
      <c r="A72" s="144" t="s">
        <v>328</v>
      </c>
      <c r="B72" s="184">
        <f t="shared" ref="B72:AO72" si="295">B64+B59+B29</f>
        <v>3960</v>
      </c>
      <c r="C72" s="184">
        <f t="shared" si="295"/>
        <v>4469</v>
      </c>
      <c r="D72" s="184">
        <f t="shared" si="295"/>
        <v>4345</v>
      </c>
      <c r="E72" s="184">
        <f t="shared" si="295"/>
        <v>4017</v>
      </c>
      <c r="F72" s="185">
        <f t="shared" si="295"/>
        <v>16791</v>
      </c>
      <c r="G72" s="184">
        <f t="shared" si="295"/>
        <v>3842</v>
      </c>
      <c r="H72" s="184">
        <f t="shared" si="295"/>
        <v>3776</v>
      </c>
      <c r="I72" s="184">
        <f t="shared" si="295"/>
        <v>3398</v>
      </c>
      <c r="J72" s="184">
        <f t="shared" si="295"/>
        <v>2863</v>
      </c>
      <c r="K72" s="185">
        <f t="shared" si="295"/>
        <v>13879</v>
      </c>
      <c r="L72" s="184">
        <f t="shared" si="295"/>
        <v>3103</v>
      </c>
      <c r="M72" s="184">
        <f t="shared" si="295"/>
        <v>3474</v>
      </c>
      <c r="N72" s="184">
        <f t="shared" si="295"/>
        <v>3420</v>
      </c>
      <c r="O72" s="184">
        <f t="shared" si="295"/>
        <v>3308</v>
      </c>
      <c r="P72" s="185">
        <f t="shared" si="295"/>
        <v>13305</v>
      </c>
      <c r="Q72" s="184">
        <f t="shared" si="295"/>
        <v>3155</v>
      </c>
      <c r="R72" s="184">
        <f t="shared" si="295"/>
        <v>3307</v>
      </c>
      <c r="S72" s="184">
        <f t="shared" si="295"/>
        <v>3443</v>
      </c>
      <c r="T72" s="184">
        <f t="shared" si="295"/>
        <v>3398</v>
      </c>
      <c r="U72" s="185">
        <f t="shared" si="295"/>
        <v>13303</v>
      </c>
      <c r="V72" s="184">
        <f t="shared" si="295"/>
        <v>3529</v>
      </c>
      <c r="W72" s="184">
        <f t="shared" si="295"/>
        <v>3961</v>
      </c>
      <c r="X72" s="184">
        <f t="shared" si="295"/>
        <v>3871</v>
      </c>
      <c r="Y72" s="184">
        <f t="shared" si="295"/>
        <v>3874</v>
      </c>
      <c r="Z72" s="185">
        <f t="shared" si="295"/>
        <v>15235</v>
      </c>
      <c r="AA72" s="184">
        <f t="shared" si="295"/>
        <v>3647</v>
      </c>
      <c r="AB72" s="184">
        <f t="shared" si="295"/>
        <v>4185</v>
      </c>
      <c r="AC72" s="184">
        <f t="shared" si="295"/>
        <v>4216</v>
      </c>
      <c r="AD72" s="184">
        <f t="shared" si="295"/>
        <v>4143</v>
      </c>
      <c r="AE72" s="185">
        <f t="shared" si="295"/>
        <v>16191</v>
      </c>
      <c r="AF72" s="184">
        <f t="shared" si="295"/>
        <v>3794</v>
      </c>
      <c r="AG72" s="184">
        <f t="shared" si="295"/>
        <v>4741</v>
      </c>
      <c r="AH72" s="184">
        <f t="shared" si="295"/>
        <v>4751</v>
      </c>
      <c r="AI72" s="184">
        <f t="shared" si="295"/>
        <v>4246</v>
      </c>
      <c r="AJ72" s="185">
        <f t="shared" si="295"/>
        <v>17532</v>
      </c>
      <c r="AK72" s="184">
        <f t="shared" si="295"/>
        <v>4241</v>
      </c>
      <c r="AL72" s="184">
        <f t="shared" si="295"/>
        <v>5003</v>
      </c>
      <c r="AM72" s="184">
        <f t="shared" si="295"/>
        <v>5227</v>
      </c>
      <c r="AN72" s="184">
        <f t="shared" si="295"/>
        <v>4683</v>
      </c>
      <c r="AO72" s="185">
        <f t="shared" si="295"/>
        <v>19154</v>
      </c>
      <c r="AP72" s="318"/>
      <c r="AQ72" s="184"/>
      <c r="AR72" s="184"/>
      <c r="AS72" s="184"/>
      <c r="AT72" s="185"/>
      <c r="AU72" s="184">
        <f t="shared" ref="AU72:BX72" si="296">AU64+AU59+AU29</f>
        <v>7900</v>
      </c>
      <c r="AV72" s="184">
        <f t="shared" si="296"/>
        <v>9088</v>
      </c>
      <c r="AW72" s="184">
        <f t="shared" si="296"/>
        <v>9532</v>
      </c>
      <c r="AX72" s="184">
        <f t="shared" si="296"/>
        <v>7768</v>
      </c>
      <c r="AY72" s="185">
        <f t="shared" si="296"/>
        <v>34288</v>
      </c>
      <c r="AZ72" s="318">
        <f t="shared" si="296"/>
        <v>6684</v>
      </c>
      <c r="BA72" s="184">
        <f t="shared" si="296"/>
        <v>7000</v>
      </c>
      <c r="BB72" s="184">
        <f t="shared" si="296"/>
        <v>7574</v>
      </c>
      <c r="BC72" s="184">
        <f t="shared" si="296"/>
        <v>6805</v>
      </c>
      <c r="BD72" s="185">
        <f t="shared" si="296"/>
        <v>28063</v>
      </c>
      <c r="BE72" s="318">
        <f t="shared" si="296"/>
        <v>6848</v>
      </c>
      <c r="BF72" s="184">
        <f t="shared" si="296"/>
        <v>8168.0599999999995</v>
      </c>
      <c r="BG72" s="184">
        <f t="shared" si="296"/>
        <v>8950</v>
      </c>
      <c r="BH72" s="184">
        <f t="shared" si="296"/>
        <v>7789</v>
      </c>
      <c r="BI72" s="185">
        <f t="shared" si="296"/>
        <v>31755.059999999998</v>
      </c>
      <c r="BJ72" s="318">
        <f t="shared" si="296"/>
        <v>7747</v>
      </c>
      <c r="BK72" s="184">
        <f t="shared" si="296"/>
        <v>9153</v>
      </c>
      <c r="BL72" s="184">
        <f t="shared" si="296"/>
        <v>9816</v>
      </c>
      <c r="BM72" s="184">
        <f t="shared" si="296"/>
        <v>8399</v>
      </c>
      <c r="BN72" s="318">
        <f t="shared" si="296"/>
        <v>35115</v>
      </c>
      <c r="BO72" s="318">
        <f t="shared" si="296"/>
        <v>8413</v>
      </c>
      <c r="BP72" s="184">
        <f t="shared" si="296"/>
        <v>9732</v>
      </c>
      <c r="BQ72" s="184">
        <f t="shared" si="296"/>
        <v>9923</v>
      </c>
      <c r="BR72" s="184">
        <f t="shared" si="296"/>
        <v>8602</v>
      </c>
      <c r="BS72" s="185">
        <f t="shared" si="296"/>
        <v>36670</v>
      </c>
      <c r="BT72" s="318">
        <f t="shared" si="296"/>
        <v>8500</v>
      </c>
      <c r="BU72" s="184">
        <f>BU64+BU59+BU29</f>
        <v>9707</v>
      </c>
      <c r="BV72" s="184">
        <f>BV64+BV59+BV29</f>
        <v>10490</v>
      </c>
      <c r="BW72" s="184">
        <f>BW64+BW59+BW29</f>
        <v>9076</v>
      </c>
      <c r="BX72" s="185">
        <f t="shared" si="296"/>
        <v>37773</v>
      </c>
      <c r="BY72" s="318">
        <f>BY64+BY59+BY29</f>
        <v>8916</v>
      </c>
      <c r="BZ72" s="184">
        <f>BZ64+BZ59+BZ29</f>
        <v>10621</v>
      </c>
      <c r="CA72" s="184">
        <f>CA64+CA59+CA29</f>
        <v>11178</v>
      </c>
      <c r="CB72" s="184">
        <f t="shared" ref="CB72:CH72" si="297">CB64+CB59+CB29</f>
        <v>9647</v>
      </c>
      <c r="CC72" s="185">
        <f t="shared" si="297"/>
        <v>40362</v>
      </c>
      <c r="CD72" s="318">
        <f t="shared" si="297"/>
        <v>9388</v>
      </c>
      <c r="CE72" s="184">
        <f t="shared" si="297"/>
        <v>10707</v>
      </c>
      <c r="CF72" s="184">
        <f t="shared" si="297"/>
        <v>11107</v>
      </c>
      <c r="CG72" s="184">
        <f t="shared" si="297"/>
        <v>9502</v>
      </c>
      <c r="CH72" s="185">
        <f t="shared" si="297"/>
        <v>40704</v>
      </c>
      <c r="CI72" s="318">
        <f>CI64+CI59+CI29</f>
        <v>9251</v>
      </c>
      <c r="CJ72" s="184">
        <f t="shared" ref="CJ72:CM72" si="298">CJ64+CJ59+CJ29</f>
        <v>10447</v>
      </c>
      <c r="CK72" s="184">
        <f t="shared" si="298"/>
        <v>10483</v>
      </c>
      <c r="CL72" s="184">
        <f t="shared" si="298"/>
        <v>9458</v>
      </c>
      <c r="CM72" s="185">
        <f t="shared" si="298"/>
        <v>39639</v>
      </c>
      <c r="CN72" s="318">
        <f>CN64+CN59+CN29</f>
        <v>9148</v>
      </c>
      <c r="CO72" s="184">
        <f t="shared" ref="CO72:CR72" si="299">CO64+CO59+CO29</f>
        <v>10791</v>
      </c>
      <c r="CP72" s="184">
        <f t="shared" si="299"/>
        <v>11060</v>
      </c>
      <c r="CQ72" s="184">
        <f t="shared" si="299"/>
        <v>10245</v>
      </c>
      <c r="CR72" s="185">
        <f t="shared" si="299"/>
        <v>41244</v>
      </c>
      <c r="CS72" s="318">
        <f>CS64+CS59+CS29</f>
        <v>9101</v>
      </c>
      <c r="CT72" s="184">
        <f t="shared" ref="CT72:CW72" si="300">CT64+CT59+CT29</f>
        <v>10747</v>
      </c>
      <c r="CU72" s="184">
        <f t="shared" si="300"/>
        <v>11061</v>
      </c>
      <c r="CV72" s="184">
        <f t="shared" si="300"/>
        <v>10229</v>
      </c>
      <c r="CW72" s="185">
        <f t="shared" si="300"/>
        <v>41138</v>
      </c>
      <c r="CX72" s="318">
        <f>CX64+CX59+CX29</f>
        <v>9968</v>
      </c>
      <c r="CY72" s="184">
        <f>CY64+CY59+CY29</f>
        <v>11559.9264</v>
      </c>
      <c r="CZ72" s="184">
        <f t="shared" ref="CZ72:DA72" si="301">CZ64+CZ59+CZ29</f>
        <v>11726.25762</v>
      </c>
      <c r="DA72" s="184">
        <f t="shared" si="301"/>
        <v>10745.863200000002</v>
      </c>
      <c r="DB72" s="185">
        <f>DB64+DB59+DB29</f>
        <v>44000.04722</v>
      </c>
      <c r="DC72" s="184"/>
      <c r="DD72" s="184"/>
      <c r="DE72" s="184"/>
      <c r="DF72" s="184"/>
      <c r="DG72" s="185">
        <f>DG64+DG59+DG29</f>
        <v>45432.339173752502</v>
      </c>
      <c r="DH72" s="184"/>
      <c r="DI72" s="184"/>
      <c r="DJ72" s="184"/>
      <c r="DK72" s="184"/>
      <c r="DL72" s="185">
        <f>DL64+DL59+DL29</f>
        <v>46851.366426018038</v>
      </c>
      <c r="DM72" s="414"/>
      <c r="DN72" s="502"/>
      <c r="DO72" s="489"/>
      <c r="DP72" s="414"/>
      <c r="DQ72" s="414"/>
      <c r="DR72" s="414"/>
      <c r="DS72" s="559"/>
      <c r="DT72" s="559"/>
      <c r="DU72" s="771"/>
      <c r="DV72" s="771"/>
      <c r="DW72" s="840"/>
      <c r="DX72" s="840"/>
      <c r="DY72" s="840"/>
      <c r="DZ72" s="681"/>
      <c r="EA72" s="502"/>
      <c r="EH72" s="8"/>
    </row>
    <row r="73" spans="1:138" ht="12.75" customHeight="1" x14ac:dyDescent="0.2">
      <c r="A73" s="142" t="s">
        <v>244</v>
      </c>
      <c r="B73" s="20"/>
      <c r="C73" s="20"/>
      <c r="D73" s="20"/>
      <c r="E73" s="20"/>
      <c r="F73" s="199"/>
      <c r="G73" s="20">
        <f t="shared" ref="G73:AO73" si="302">G72/B72-1</f>
        <v>-2.9797979797979823E-2</v>
      </c>
      <c r="H73" s="20">
        <f t="shared" si="302"/>
        <v>-0.1550682479301857</v>
      </c>
      <c r="I73" s="20">
        <f t="shared" si="302"/>
        <v>-0.21795166858457993</v>
      </c>
      <c r="J73" s="20">
        <f t="shared" si="302"/>
        <v>-0.28727906397809311</v>
      </c>
      <c r="K73" s="199">
        <f t="shared" si="302"/>
        <v>-0.17342624024775177</v>
      </c>
      <c r="L73" s="20">
        <f t="shared" si="302"/>
        <v>-0.19234773555439877</v>
      </c>
      <c r="M73" s="20">
        <f t="shared" si="302"/>
        <v>-7.9978813559322015E-2</v>
      </c>
      <c r="N73" s="20">
        <f t="shared" si="302"/>
        <v>6.4743967039435635E-3</v>
      </c>
      <c r="O73" s="20">
        <f t="shared" si="302"/>
        <v>0.15543136570031435</v>
      </c>
      <c r="P73" s="199">
        <f t="shared" si="302"/>
        <v>-4.1357446501909312E-2</v>
      </c>
      <c r="Q73" s="20">
        <f t="shared" si="302"/>
        <v>1.6757976152110832E-2</v>
      </c>
      <c r="R73" s="20">
        <f t="shared" si="302"/>
        <v>-4.8071387449625802E-2</v>
      </c>
      <c r="S73" s="20">
        <f t="shared" si="302"/>
        <v>6.7251461988304673E-3</v>
      </c>
      <c r="T73" s="20">
        <f t="shared" si="302"/>
        <v>2.7206771463119672E-2</v>
      </c>
      <c r="U73" s="199">
        <f t="shared" si="302"/>
        <v>-1.503194287861831E-4</v>
      </c>
      <c r="V73" s="20">
        <f t="shared" si="302"/>
        <v>0.11854199683042799</v>
      </c>
      <c r="W73" s="20">
        <f t="shared" si="302"/>
        <v>0.19776232234653768</v>
      </c>
      <c r="X73" s="20">
        <f t="shared" si="302"/>
        <v>0.12431019459773451</v>
      </c>
      <c r="Y73" s="20">
        <f t="shared" si="302"/>
        <v>0.14008240141259565</v>
      </c>
      <c r="Z73" s="199">
        <f t="shared" si="302"/>
        <v>0.14523039915808456</v>
      </c>
      <c r="AA73" s="20">
        <f t="shared" si="302"/>
        <v>3.3437234344006805E-2</v>
      </c>
      <c r="AB73" s="20">
        <f t="shared" si="302"/>
        <v>5.6551375915173008E-2</v>
      </c>
      <c r="AC73" s="20">
        <f t="shared" si="302"/>
        <v>8.9124257297855891E-2</v>
      </c>
      <c r="AD73" s="20">
        <f t="shared" si="302"/>
        <v>6.9437274135260685E-2</v>
      </c>
      <c r="AE73" s="199">
        <f t="shared" si="302"/>
        <v>6.2750246143747912E-2</v>
      </c>
      <c r="AF73" s="20">
        <f t="shared" si="302"/>
        <v>4.0307101727447225E-2</v>
      </c>
      <c r="AG73" s="20">
        <f t="shared" si="302"/>
        <v>0.13285543608124262</v>
      </c>
      <c r="AH73" s="20">
        <f t="shared" si="302"/>
        <v>0.12689753320683117</v>
      </c>
      <c r="AI73" s="20">
        <f t="shared" si="302"/>
        <v>2.4861211682355888E-2</v>
      </c>
      <c r="AJ73" s="199">
        <f t="shared" si="302"/>
        <v>8.2823790994997148E-2</v>
      </c>
      <c r="AK73" s="20">
        <f t="shared" si="302"/>
        <v>0.11781760674749608</v>
      </c>
      <c r="AL73" s="20">
        <f t="shared" si="302"/>
        <v>5.5262602826407825E-2</v>
      </c>
      <c r="AM73" s="20">
        <f t="shared" si="302"/>
        <v>0.10018943380340972</v>
      </c>
      <c r="AN73" s="20">
        <f t="shared" si="302"/>
        <v>0.10292039566650968</v>
      </c>
      <c r="AO73" s="199">
        <f t="shared" si="302"/>
        <v>9.251654118183894E-2</v>
      </c>
      <c r="AP73" s="317"/>
      <c r="AQ73" s="20"/>
      <c r="AR73" s="20"/>
      <c r="AS73" s="20"/>
      <c r="AT73" s="206"/>
      <c r="AU73" s="20"/>
      <c r="AV73" s="20"/>
      <c r="AW73" s="20"/>
      <c r="AX73" s="20"/>
      <c r="AY73" s="206"/>
      <c r="AZ73" s="317">
        <f t="shared" ref="AZ73:BI73" si="303">AZ72/AU72-1</f>
        <v>-0.15392405063291137</v>
      </c>
      <c r="BA73" s="20">
        <f t="shared" si="303"/>
        <v>-0.22975352112676062</v>
      </c>
      <c r="BB73" s="20">
        <f t="shared" si="303"/>
        <v>-0.20541334452370963</v>
      </c>
      <c r="BC73" s="20">
        <f t="shared" si="303"/>
        <v>-0.12397013388259526</v>
      </c>
      <c r="BD73" s="206">
        <f t="shared" si="303"/>
        <v>-0.18155039664022399</v>
      </c>
      <c r="BE73" s="317">
        <f t="shared" si="303"/>
        <v>2.4536205864751581E-2</v>
      </c>
      <c r="BF73" s="20">
        <f t="shared" si="303"/>
        <v>0.16686571428571417</v>
      </c>
      <c r="BG73" s="20">
        <f t="shared" si="303"/>
        <v>0.18167414840242935</v>
      </c>
      <c r="BH73" s="20">
        <f t="shared" si="303"/>
        <v>0.14459955914768563</v>
      </c>
      <c r="BI73" s="206">
        <f t="shared" si="303"/>
        <v>0.13156326836047461</v>
      </c>
      <c r="BJ73" s="317">
        <f t="shared" ref="BJ73:CA73" si="304">BJ72/BE72-1</f>
        <v>0.13127920560747675</v>
      </c>
      <c r="BK73" s="20">
        <f t="shared" si="304"/>
        <v>0.12058432479683057</v>
      </c>
      <c r="BL73" s="20">
        <f t="shared" si="304"/>
        <v>9.6759776536312847E-2</v>
      </c>
      <c r="BM73" s="20">
        <f t="shared" si="304"/>
        <v>7.8315573244318815E-2</v>
      </c>
      <c r="BN73" s="317">
        <f t="shared" si="304"/>
        <v>0.10580801925740357</v>
      </c>
      <c r="BO73" s="317">
        <f t="shared" si="304"/>
        <v>8.5968762101458651E-2</v>
      </c>
      <c r="BP73" s="20">
        <f t="shared" si="304"/>
        <v>6.3257948213700343E-2</v>
      </c>
      <c r="BQ73" s="20">
        <f t="shared" si="304"/>
        <v>1.0900570497147433E-2</v>
      </c>
      <c r="BR73" s="20">
        <f t="shared" si="304"/>
        <v>2.4169543993332487E-2</v>
      </c>
      <c r="BS73" s="206">
        <f t="shared" si="304"/>
        <v>4.4283069913142459E-2</v>
      </c>
      <c r="BT73" s="317">
        <f t="shared" si="304"/>
        <v>1.0341138713895193E-2</v>
      </c>
      <c r="BU73" s="20">
        <f t="shared" si="304"/>
        <v>-2.5688450472667324E-3</v>
      </c>
      <c r="BV73" s="20">
        <f t="shared" si="304"/>
        <v>5.7139977829285593E-2</v>
      </c>
      <c r="BW73" s="20">
        <f t="shared" si="304"/>
        <v>5.5103464310625405E-2</v>
      </c>
      <c r="BX73" s="206">
        <f>BX72/BS72-1</f>
        <v>3.0079083719661837E-2</v>
      </c>
      <c r="BY73" s="317">
        <f>BY72/BT72-1</f>
        <v>4.8941176470588266E-2</v>
      </c>
      <c r="BZ73" s="20">
        <f t="shared" si="304"/>
        <v>9.4158854434943873E-2</v>
      </c>
      <c r="CA73" s="20">
        <f t="shared" si="304"/>
        <v>6.558627264061001E-2</v>
      </c>
      <c r="CB73" s="20">
        <f t="shared" ref="CB73:CC73" si="305">CB72/BW72-1</f>
        <v>6.2913177611282567E-2</v>
      </c>
      <c r="CC73" s="206">
        <f t="shared" si="305"/>
        <v>6.8541021364466603E-2</v>
      </c>
      <c r="CD73" s="317">
        <f t="shared" ref="CD73:CK73" si="306">CD72/BY72-1</f>
        <v>5.2938537460744728E-2</v>
      </c>
      <c r="CE73" s="20">
        <f t="shared" si="306"/>
        <v>8.0971659919029104E-3</v>
      </c>
      <c r="CF73" s="20">
        <f t="shared" si="306"/>
        <v>-6.3517623904096876E-3</v>
      </c>
      <c r="CG73" s="20">
        <f t="shared" si="306"/>
        <v>-1.5030579454752724E-2</v>
      </c>
      <c r="CH73" s="206">
        <f t="shared" si="306"/>
        <v>8.473316485803517E-3</v>
      </c>
      <c r="CI73" s="317">
        <f t="shared" si="306"/>
        <v>-1.459309757136773E-2</v>
      </c>
      <c r="CJ73" s="20">
        <f t="shared" si="306"/>
        <v>-2.4283179228542062E-2</v>
      </c>
      <c r="CK73" s="20">
        <f t="shared" si="306"/>
        <v>-5.6180786891149692E-2</v>
      </c>
      <c r="CL73" s="20">
        <f t="shared" ref="CL73" si="307">CL72/CG72-1</f>
        <v>-4.6306040833509199E-3</v>
      </c>
      <c r="CM73" s="206">
        <f t="shared" ref="CM73:CP73" si="308">CM72/CH72-1</f>
        <v>-2.6164504716981174E-2</v>
      </c>
      <c r="CN73" s="317">
        <f t="shared" si="308"/>
        <v>-1.1133931466868474E-2</v>
      </c>
      <c r="CO73" s="20">
        <f t="shared" si="308"/>
        <v>3.2928113333971387E-2</v>
      </c>
      <c r="CP73" s="20">
        <f t="shared" si="308"/>
        <v>5.5041495755032033E-2</v>
      </c>
      <c r="CQ73" s="20">
        <f t="shared" ref="CQ73" si="309">CQ72/CL72-1</f>
        <v>8.3209980968492303E-2</v>
      </c>
      <c r="CR73" s="206">
        <f t="shared" ref="CR73" si="310">CR72/CM72-1</f>
        <v>4.04904260955119E-2</v>
      </c>
      <c r="CS73" s="317"/>
      <c r="CT73" s="20"/>
      <c r="CU73" s="20"/>
      <c r="CV73" s="20"/>
      <c r="CW73" s="206"/>
      <c r="CX73" s="317">
        <f t="shared" ref="CX73:CY75" si="311">CX72/CS72-1</f>
        <v>9.5264256675090753E-2</v>
      </c>
      <c r="CY73" s="20">
        <f t="shared" si="311"/>
        <v>7.5642169907881307E-2</v>
      </c>
      <c r="CZ73" s="20">
        <f t="shared" ref="CZ73" si="312">CZ72/CU72-1</f>
        <v>6.0144437211825386E-2</v>
      </c>
      <c r="DA73" s="20">
        <f t="shared" ref="DA73" si="313">DA72/CV72-1</f>
        <v>5.05292012904488E-2</v>
      </c>
      <c r="DB73" s="206">
        <f t="shared" ref="DB73" si="314">DB72/CW72-1</f>
        <v>6.9571861053040918E-2</v>
      </c>
      <c r="DC73" s="20"/>
      <c r="DD73" s="20"/>
      <c r="DE73" s="20"/>
      <c r="DF73" s="20"/>
      <c r="DG73" s="206">
        <f>DG72/DB72-1</f>
        <v>3.2552054923737916E-2</v>
      </c>
      <c r="DH73" s="20"/>
      <c r="DI73" s="20"/>
      <c r="DJ73" s="20"/>
      <c r="DK73" s="20"/>
      <c r="DL73" s="206">
        <f>DL72/DG72-1</f>
        <v>3.1233858482139221E-2</v>
      </c>
      <c r="DM73" s="20"/>
      <c r="DN73" s="500"/>
      <c r="DO73" s="486"/>
      <c r="DP73" s="411"/>
      <c r="DQ73" s="411"/>
      <c r="DR73" s="411"/>
      <c r="DS73" s="640" t="s">
        <v>580</v>
      </c>
      <c r="DT73" s="559"/>
      <c r="DU73" s="798"/>
      <c r="DV73" s="798"/>
      <c r="DW73" s="840"/>
      <c r="DX73" s="840"/>
      <c r="DY73" s="840"/>
      <c r="DZ73" s="681"/>
      <c r="EA73" s="500"/>
      <c r="EH73" s="8"/>
    </row>
    <row r="74" spans="1:138" ht="12.75" customHeight="1" x14ac:dyDescent="0.2">
      <c r="A74" s="75" t="str">
        <f>A72&amp; " per ASM"</f>
        <v>Total Revenue (mm) per ASM</v>
      </c>
      <c r="B74" s="36">
        <f t="shared" ref="B74:AO74" si="315">B72/B15*100</f>
        <v>11.159959418329388</v>
      </c>
      <c r="C74" s="36">
        <f t="shared" si="315"/>
        <v>12.033820717882435</v>
      </c>
      <c r="D74" s="36">
        <f t="shared" si="315"/>
        <v>11.407193489104751</v>
      </c>
      <c r="E74" s="36">
        <f t="shared" si="315"/>
        <v>11.021180860403863</v>
      </c>
      <c r="F74" s="203">
        <f t="shared" si="315"/>
        <v>11.410107434815405</v>
      </c>
      <c r="G74" s="36">
        <f t="shared" si="315"/>
        <v>10.183688074853553</v>
      </c>
      <c r="H74" s="36">
        <f t="shared" si="315"/>
        <v>9.8747352179711818</v>
      </c>
      <c r="I74" s="36">
        <f t="shared" si="315"/>
        <v>9.0060959448714542</v>
      </c>
      <c r="J74" s="36">
        <f t="shared" si="315"/>
        <v>8.3857356381462811</v>
      </c>
      <c r="K74" s="203">
        <f t="shared" si="315"/>
        <v>9.3880225499232903</v>
      </c>
      <c r="L74" s="36">
        <f t="shared" si="315"/>
        <v>9.1967990515708369</v>
      </c>
      <c r="M74" s="36">
        <f t="shared" si="315"/>
        <v>9.6879444490922779</v>
      </c>
      <c r="N74" s="36">
        <f t="shared" si="315"/>
        <v>9.2833876221498368</v>
      </c>
      <c r="O74" s="36">
        <f t="shared" si="315"/>
        <v>9.3764172335600904</v>
      </c>
      <c r="P74" s="203">
        <f t="shared" si="315"/>
        <v>9.3882965586830274</v>
      </c>
      <c r="Q74" s="36">
        <f t="shared" si="315"/>
        <v>9.501867244910251</v>
      </c>
      <c r="R74" s="36">
        <f t="shared" si="315"/>
        <v>10.323406380720485</v>
      </c>
      <c r="S74" s="36">
        <f t="shared" si="315"/>
        <v>9.9771074212524269</v>
      </c>
      <c r="T74" s="36">
        <f t="shared" si="315"/>
        <v>9.8106016861069421</v>
      </c>
      <c r="U74" s="203">
        <f t="shared" si="315"/>
        <v>9.8993176220206429</v>
      </c>
      <c r="V74" s="36">
        <f t="shared" si="315"/>
        <v>9.8716048001342696</v>
      </c>
      <c r="W74" s="36">
        <f t="shared" si="315"/>
        <v>10.256343863283272</v>
      </c>
      <c r="X74" s="36">
        <f t="shared" si="315"/>
        <v>9.8833201419562382</v>
      </c>
      <c r="Y74" s="36">
        <f t="shared" si="315"/>
        <v>10.156516267729335</v>
      </c>
      <c r="Z74" s="203">
        <f t="shared" si="315"/>
        <v>10.044238160852853</v>
      </c>
      <c r="AA74" s="36">
        <f t="shared" si="315"/>
        <v>9.6285344668268333</v>
      </c>
      <c r="AB74" s="36">
        <f t="shared" si="315"/>
        <v>10.339715873996294</v>
      </c>
      <c r="AC74" s="36">
        <f t="shared" si="315"/>
        <v>10.271653063710563</v>
      </c>
      <c r="AD74" s="36">
        <f t="shared" si="315"/>
        <v>11.078724997325917</v>
      </c>
      <c r="AE74" s="203">
        <f t="shared" si="315"/>
        <v>10.326353855082816</v>
      </c>
      <c r="AF74" s="36">
        <f t="shared" si="315"/>
        <v>10.964684122305069</v>
      </c>
      <c r="AG74" s="36">
        <f t="shared" si="315"/>
        <v>12.569595418633014</v>
      </c>
      <c r="AH74" s="36">
        <f t="shared" si="315"/>
        <v>11.984461317256514</v>
      </c>
      <c r="AI74" s="36">
        <f t="shared" si="315"/>
        <v>11.783969804618117</v>
      </c>
      <c r="AJ74" s="203">
        <f t="shared" si="315"/>
        <v>11.846346160343254</v>
      </c>
      <c r="AK74" s="36">
        <f t="shared" si="315"/>
        <v>12.02131579693302</v>
      </c>
      <c r="AL74" s="36">
        <f t="shared" si="315"/>
        <v>13.121934587038057</v>
      </c>
      <c r="AM74" s="36">
        <f t="shared" si="315"/>
        <v>12.766529077009499</v>
      </c>
      <c r="AN74" s="36">
        <f t="shared" si="315"/>
        <v>12.516704976746674</v>
      </c>
      <c r="AO74" s="203">
        <f t="shared" si="315"/>
        <v>12.620994577070826</v>
      </c>
      <c r="AP74" s="320"/>
      <c r="AQ74" s="36"/>
      <c r="AR74" s="36"/>
      <c r="AS74" s="36"/>
      <c r="AT74" s="273"/>
      <c r="AU74" s="36">
        <f t="shared" ref="AU74:BZ74" si="316">(AU72/AU$15)*100</f>
        <v>13.26059588753672</v>
      </c>
      <c r="AV74" s="36">
        <f t="shared" si="316"/>
        <v>14.33461095600877</v>
      </c>
      <c r="AW74" s="36">
        <f t="shared" si="316"/>
        <v>14.643888649910897</v>
      </c>
      <c r="AX74" s="36">
        <f t="shared" si="316"/>
        <v>13.370511893696857</v>
      </c>
      <c r="AY74" s="273">
        <f t="shared" si="316"/>
        <v>13.928925431825936</v>
      </c>
      <c r="AZ74" s="320">
        <f t="shared" si="316"/>
        <v>11.991388589881593</v>
      </c>
      <c r="BA74" s="36">
        <f t="shared" si="316"/>
        <v>11.858577987091092</v>
      </c>
      <c r="BB74" s="36">
        <f t="shared" si="316"/>
        <v>12.170196355689816</v>
      </c>
      <c r="BC74" s="36">
        <f t="shared" si="316"/>
        <v>12.761608281449256</v>
      </c>
      <c r="BD74" s="273">
        <f t="shared" si="316"/>
        <v>12.183981903988677</v>
      </c>
      <c r="BE74" s="320">
        <f t="shared" si="316"/>
        <v>12.847780535593731</v>
      </c>
      <c r="BF74" s="36">
        <f t="shared" si="316"/>
        <v>13.915397458175747</v>
      </c>
      <c r="BG74" s="36">
        <f t="shared" si="316"/>
        <v>14.059599127682777</v>
      </c>
      <c r="BH74" s="36">
        <f t="shared" si="316"/>
        <v>13.658351719092677</v>
      </c>
      <c r="BI74" s="273">
        <f t="shared" si="316"/>
        <v>13.647290473229379</v>
      </c>
      <c r="BJ74" s="320">
        <f t="shared" si="316"/>
        <v>13.780093927695864</v>
      </c>
      <c r="BK74" s="36">
        <f t="shared" si="316"/>
        <v>15.219234798224173</v>
      </c>
      <c r="BL74" s="36">
        <f t="shared" si="316"/>
        <v>15.516423761499794</v>
      </c>
      <c r="BM74" s="36">
        <f t="shared" si="316"/>
        <v>15.261474724715629</v>
      </c>
      <c r="BN74" s="320">
        <f t="shared" si="316"/>
        <v>14.964472960445999</v>
      </c>
      <c r="BO74" s="320">
        <f t="shared" si="316"/>
        <v>15.462799588295839</v>
      </c>
      <c r="BP74" s="36">
        <f t="shared" si="316"/>
        <v>16.38880468828938</v>
      </c>
      <c r="BQ74" s="36">
        <f t="shared" si="316"/>
        <v>15.932116307820754</v>
      </c>
      <c r="BR74" s="36">
        <f t="shared" si="316"/>
        <v>15.829376909204667</v>
      </c>
      <c r="BS74" s="273">
        <f t="shared" si="316"/>
        <v>15.914762493761256</v>
      </c>
      <c r="BT74" s="320">
        <f t="shared" si="316"/>
        <v>16.031081437893704</v>
      </c>
      <c r="BU74" s="36">
        <f t="shared" si="316"/>
        <v>16.210754843019373</v>
      </c>
      <c r="BV74" s="36">
        <f t="shared" si="316"/>
        <v>16.418073967414269</v>
      </c>
      <c r="BW74" s="36">
        <f t="shared" si="316"/>
        <v>16.223076235588525</v>
      </c>
      <c r="BX74" s="273">
        <f t="shared" si="316"/>
        <v>16.229698375870068</v>
      </c>
      <c r="BY74" s="320">
        <f t="shared" si="316"/>
        <v>16.540516473731078</v>
      </c>
      <c r="BZ74" s="36">
        <f t="shared" si="316"/>
        <v>17.181357878900627</v>
      </c>
      <c r="CA74" s="36">
        <f t="shared" ref="CA74:DB74" si="317">(CA72/CA$15)*100</f>
        <v>16.955374207444709</v>
      </c>
      <c r="CB74" s="36">
        <f t="shared" si="317"/>
        <v>16.62444639749091</v>
      </c>
      <c r="CC74" s="273">
        <f t="shared" si="317"/>
        <v>16.840234316327042</v>
      </c>
      <c r="CD74" s="320">
        <f t="shared" si="317"/>
        <v>16.587451631711929</v>
      </c>
      <c r="CE74" s="36">
        <f t="shared" si="317"/>
        <v>16.746172013075373</v>
      </c>
      <c r="CF74" s="36">
        <f t="shared" si="317"/>
        <v>16.32638062059943</v>
      </c>
      <c r="CG74" s="36">
        <f t="shared" si="317"/>
        <v>16.326741009295691</v>
      </c>
      <c r="CH74" s="273">
        <f t="shared" si="317"/>
        <v>16.495112739297465</v>
      </c>
      <c r="CI74" s="320">
        <f t="shared" si="317"/>
        <v>15.910224438902743</v>
      </c>
      <c r="CJ74" s="36">
        <f t="shared" si="317"/>
        <v>15.833825914306068</v>
      </c>
      <c r="CK74" s="36">
        <f t="shared" si="317"/>
        <v>15.186590948600568</v>
      </c>
      <c r="CL74" s="36">
        <f t="shared" si="317"/>
        <v>16.108319850123479</v>
      </c>
      <c r="CM74" s="273">
        <f t="shared" si="317"/>
        <v>15.738068107374131</v>
      </c>
      <c r="CN74" s="320">
        <f t="shared" si="317"/>
        <v>15.807572013616491</v>
      </c>
      <c r="CO74" s="36">
        <f t="shared" si="317"/>
        <v>16.293958657345193</v>
      </c>
      <c r="CP74" s="36">
        <f t="shared" si="317"/>
        <v>15.762395428050224</v>
      </c>
      <c r="CQ74" s="36">
        <f t="shared" si="317"/>
        <v>17.057942057942057</v>
      </c>
      <c r="CR74" s="273">
        <f t="shared" si="317"/>
        <v>16.217045119433795</v>
      </c>
      <c r="CS74" s="320">
        <f t="shared" si="317"/>
        <v>15.726356897236959</v>
      </c>
      <c r="CT74" s="36">
        <f t="shared" si="317"/>
        <v>16.227520497682214</v>
      </c>
      <c r="CU74" s="36">
        <f t="shared" si="317"/>
        <v>15.763820599427081</v>
      </c>
      <c r="CV74" s="36">
        <f t="shared" si="317"/>
        <v>17.031302031302033</v>
      </c>
      <c r="CW74" s="273">
        <f t="shared" si="317"/>
        <v>16.175366165339625</v>
      </c>
      <c r="CX74" s="320">
        <f t="shared" si="317"/>
        <v>16.765297059518605</v>
      </c>
      <c r="CY74" s="36">
        <f t="shared" si="317"/>
        <v>16.864739478600502</v>
      </c>
      <c r="CZ74" s="36">
        <f t="shared" si="317"/>
        <v>16.225171570570684</v>
      </c>
      <c r="DA74" s="36">
        <f t="shared" si="317"/>
        <v>17.370757397941865</v>
      </c>
      <c r="DB74" s="273">
        <f t="shared" si="317"/>
        <v>16.78526840515676</v>
      </c>
      <c r="DC74" s="36"/>
      <c r="DD74" s="36"/>
      <c r="DE74" s="36"/>
      <c r="DF74" s="36"/>
      <c r="DG74" s="273">
        <f>(DG72/DG$15)*100</f>
        <v>16.908939887015713</v>
      </c>
      <c r="DH74" s="36"/>
      <c r="DI74" s="36"/>
      <c r="DJ74" s="36"/>
      <c r="DK74" s="36"/>
      <c r="DL74" s="273">
        <f>(DL72/DL$15)*100</f>
        <v>17.011776900029034</v>
      </c>
      <c r="DM74" s="36"/>
      <c r="DN74" s="505"/>
      <c r="DO74" s="486"/>
      <c r="DP74" s="411"/>
      <c r="DQ74" s="411"/>
      <c r="DR74" s="411"/>
      <c r="DS74" s="556"/>
      <c r="DT74" s="556"/>
      <c r="DU74" s="797"/>
      <c r="DV74" s="797"/>
      <c r="DW74" s="930"/>
      <c r="DX74" s="797"/>
      <c r="DY74" s="797"/>
      <c r="DZ74" s="681"/>
      <c r="EA74" s="505"/>
      <c r="EH74" s="8"/>
    </row>
    <row r="75" spans="1:138" ht="12.75" customHeight="1" x14ac:dyDescent="0.2">
      <c r="A75" s="148" t="s">
        <v>244</v>
      </c>
      <c r="B75" s="20"/>
      <c r="C75" s="20"/>
      <c r="D75" s="20"/>
      <c r="E75" s="20"/>
      <c r="F75" s="206"/>
      <c r="G75" s="20">
        <f t="shared" ref="G75:AO75" si="318">G74/B74-1</f>
        <v>-8.7479829171455914E-2</v>
      </c>
      <c r="H75" s="20">
        <f t="shared" si="318"/>
        <v>-0.17941812085523434</v>
      </c>
      <c r="I75" s="20">
        <f t="shared" si="318"/>
        <v>-0.21048977090873711</v>
      </c>
      <c r="J75" s="20">
        <f t="shared" si="318"/>
        <v>-0.23912548533941835</v>
      </c>
      <c r="K75" s="199">
        <f t="shared" si="318"/>
        <v>-0.1772187419307002</v>
      </c>
      <c r="L75" s="20">
        <f t="shared" si="318"/>
        <v>-9.6908803179039604E-2</v>
      </c>
      <c r="M75" s="20">
        <f t="shared" si="318"/>
        <v>-1.8916028101590099E-2</v>
      </c>
      <c r="N75" s="20">
        <f t="shared" si="318"/>
        <v>3.0789331912046469E-2</v>
      </c>
      <c r="O75" s="20">
        <f t="shared" si="318"/>
        <v>0.11813890136331628</v>
      </c>
      <c r="P75" s="199">
        <f t="shared" si="318"/>
        <v>2.9187058113722131E-5</v>
      </c>
      <c r="Q75" s="20">
        <f t="shared" si="318"/>
        <v>3.3171127435616565E-2</v>
      </c>
      <c r="R75" s="20">
        <f t="shared" si="318"/>
        <v>6.5593061042763079E-2</v>
      </c>
      <c r="S75" s="20">
        <f t="shared" si="318"/>
        <v>7.4727009938419409E-2</v>
      </c>
      <c r="T75" s="20">
        <f t="shared" si="318"/>
        <v>4.6306008119265218E-2</v>
      </c>
      <c r="U75" s="199">
        <f t="shared" si="318"/>
        <v>5.4431712946368727E-2</v>
      </c>
      <c r="V75" s="20">
        <f t="shared" si="318"/>
        <v>3.8912094401452713E-2</v>
      </c>
      <c r="W75" s="20">
        <f t="shared" si="318"/>
        <v>-6.4961617284055029E-3</v>
      </c>
      <c r="X75" s="20">
        <f t="shared" si="318"/>
        <v>-9.4002475202793478E-3</v>
      </c>
      <c r="Y75" s="20">
        <f t="shared" si="318"/>
        <v>3.5259262651775147E-2</v>
      </c>
      <c r="Z75" s="199">
        <f t="shared" si="318"/>
        <v>1.4639447320069721E-2</v>
      </c>
      <c r="AA75" s="20">
        <f t="shared" si="318"/>
        <v>-2.4623183183359432E-2</v>
      </c>
      <c r="AB75" s="20">
        <f t="shared" si="318"/>
        <v>8.1288236650767232E-3</v>
      </c>
      <c r="AC75" s="20">
        <f t="shared" si="318"/>
        <v>3.9291747730177295E-2</v>
      </c>
      <c r="AD75" s="20">
        <f t="shared" si="318"/>
        <v>9.0799709790920113E-2</v>
      </c>
      <c r="AE75" s="199">
        <f t="shared" si="318"/>
        <v>2.8087316301349974E-2</v>
      </c>
      <c r="AF75" s="20">
        <f t="shared" si="318"/>
        <v>0.13876978475609847</v>
      </c>
      <c r="AG75" s="20">
        <f t="shared" si="318"/>
        <v>0.21566158797890389</v>
      </c>
      <c r="AH75" s="20">
        <f t="shared" si="318"/>
        <v>0.16675098379220477</v>
      </c>
      <c r="AI75" s="20">
        <f t="shared" si="318"/>
        <v>6.3657578598839359E-2</v>
      </c>
      <c r="AJ75" s="199">
        <f t="shared" si="318"/>
        <v>0.14719545026168857</v>
      </c>
      <c r="AK75" s="20">
        <f t="shared" si="318"/>
        <v>9.6366813931144879E-2</v>
      </c>
      <c r="AL75" s="20">
        <f t="shared" si="318"/>
        <v>4.3942477861002693E-2</v>
      </c>
      <c r="AM75" s="20">
        <f t="shared" si="318"/>
        <v>6.5256813723190144E-2</v>
      </c>
      <c r="AN75" s="20">
        <f t="shared" si="318"/>
        <v>6.2180672920716384E-2</v>
      </c>
      <c r="AO75" s="199">
        <f t="shared" si="318"/>
        <v>6.5391337231118563E-2</v>
      </c>
      <c r="AP75" s="317"/>
      <c r="AQ75" s="20"/>
      <c r="AR75" s="20"/>
      <c r="AS75" s="20"/>
      <c r="AT75" s="206"/>
      <c r="AU75" s="20"/>
      <c r="AV75" s="20"/>
      <c r="AW75" s="20"/>
      <c r="AX75" s="20"/>
      <c r="AY75" s="206"/>
      <c r="AZ75" s="317">
        <f t="shared" ref="AZ75:BI75" si="319">AZ74/AU74-1</f>
        <v>-9.5712689566840758E-2</v>
      </c>
      <c r="BA75" s="20">
        <f t="shared" si="319"/>
        <v>-0.17273108956471384</v>
      </c>
      <c r="BB75" s="20">
        <f t="shared" si="319"/>
        <v>-0.16892318381812688</v>
      </c>
      <c r="BC75" s="20">
        <f t="shared" si="319"/>
        <v>-4.5540785355768776E-2</v>
      </c>
      <c r="BD75" s="206">
        <f t="shared" si="319"/>
        <v>-0.1252748129335427</v>
      </c>
      <c r="BE75" s="317">
        <f t="shared" si="319"/>
        <v>7.1417245742062541E-2</v>
      </c>
      <c r="BF75" s="20">
        <f t="shared" si="319"/>
        <v>0.17344570936950876</v>
      </c>
      <c r="BG75" s="20">
        <f t="shared" si="319"/>
        <v>0.15524833920281211</v>
      </c>
      <c r="BH75" s="20">
        <f t="shared" si="319"/>
        <v>7.0268842129166398E-2</v>
      </c>
      <c r="BI75" s="206">
        <f t="shared" si="319"/>
        <v>0.12010101301625031</v>
      </c>
      <c r="BJ75" s="317">
        <f t="shared" ref="BJ75:CA75" si="320">BJ74/BE74-1</f>
        <v>7.2566105057541685E-2</v>
      </c>
      <c r="BK75" s="20">
        <f t="shared" si="320"/>
        <v>9.3697455927310269E-2</v>
      </c>
      <c r="BL75" s="20">
        <f t="shared" si="320"/>
        <v>0.10361779312388708</v>
      </c>
      <c r="BM75" s="20">
        <f t="shared" si="320"/>
        <v>0.11737309439630161</v>
      </c>
      <c r="BN75" s="317">
        <f t="shared" si="320"/>
        <v>9.6516043957620257E-2</v>
      </c>
      <c r="BO75" s="317">
        <f t="shared" si="320"/>
        <v>0.1221113346127487</v>
      </c>
      <c r="BP75" s="20">
        <f t="shared" si="320"/>
        <v>7.6848140236437823E-2</v>
      </c>
      <c r="BQ75" s="20">
        <f t="shared" si="320"/>
        <v>2.6790486822897863E-2</v>
      </c>
      <c r="BR75" s="20">
        <f t="shared" si="320"/>
        <v>3.7211488059494702E-2</v>
      </c>
      <c r="BS75" s="206">
        <f t="shared" si="320"/>
        <v>6.3503040556593948E-2</v>
      </c>
      <c r="BT75" s="317">
        <f t="shared" si="320"/>
        <v>3.6751549831119279E-2</v>
      </c>
      <c r="BU75" s="20">
        <f t="shared" si="320"/>
        <v>-1.0864114171623029E-2</v>
      </c>
      <c r="BV75" s="20">
        <f t="shared" si="320"/>
        <v>3.050176449910591E-2</v>
      </c>
      <c r="BW75" s="20">
        <f t="shared" si="320"/>
        <v>2.4871435473554637E-2</v>
      </c>
      <c r="BX75" s="206">
        <f>BX74/BS74-1</f>
        <v>1.9788914992119544E-2</v>
      </c>
      <c r="BY75" s="317">
        <f t="shared" si="320"/>
        <v>3.177795820019913E-2</v>
      </c>
      <c r="BZ75" s="20">
        <f t="shared" si="320"/>
        <v>5.9874018531543616E-2</v>
      </c>
      <c r="CA75" s="20">
        <f t="shared" si="320"/>
        <v>3.2726143218555714E-2</v>
      </c>
      <c r="CB75" s="20">
        <f t="shared" ref="CB75:CK75" si="321">CB74/BW74-1</f>
        <v>2.4740693816250436E-2</v>
      </c>
      <c r="CC75" s="206">
        <f t="shared" si="321"/>
        <v>3.761844036268136E-2</v>
      </c>
      <c r="CD75" s="317">
        <f t="shared" si="321"/>
        <v>2.8375872092865073E-3</v>
      </c>
      <c r="CE75" s="20">
        <f t="shared" si="321"/>
        <v>-2.5328956470878183E-2</v>
      </c>
      <c r="CF75" s="20">
        <f t="shared" si="321"/>
        <v>-3.7097004120917765E-2</v>
      </c>
      <c r="CG75" s="20">
        <f>CG74/CB74-1</f>
        <v>-1.7907687334487776E-2</v>
      </c>
      <c r="CH75" s="206">
        <f>CH74/CC74-1</f>
        <v>-2.0493870248288193E-2</v>
      </c>
      <c r="CI75" s="317">
        <f>CI74/CD74-1</f>
        <v>-4.0827681541778293E-2</v>
      </c>
      <c r="CJ75" s="20">
        <f t="shared" si="321"/>
        <v>-5.4480874677326097E-2</v>
      </c>
      <c r="CK75" s="20">
        <f t="shared" si="321"/>
        <v>-6.9812758778927342E-2</v>
      </c>
      <c r="CL75" s="20">
        <f>CL74/CG74-1</f>
        <v>-1.3378123597835856E-2</v>
      </c>
      <c r="CM75" s="206">
        <f>CM74/CH74-1</f>
        <v>-4.5895086859259471E-2</v>
      </c>
      <c r="CN75" s="317">
        <f>CN74/CI74-1</f>
        <v>-6.451978454512064E-3</v>
      </c>
      <c r="CO75" s="20">
        <f t="shared" ref="CO75:CP75" si="322">CO74/CJ74-1</f>
        <v>2.9060111278815359E-2</v>
      </c>
      <c r="CP75" s="20">
        <f t="shared" si="322"/>
        <v>3.7915321575360927E-2</v>
      </c>
      <c r="CQ75" s="20">
        <f>CQ74/CL74-1</f>
        <v>5.8952281594489175E-2</v>
      </c>
      <c r="CR75" s="206">
        <f>CR74/CM74-1</f>
        <v>3.0434295289091917E-2</v>
      </c>
      <c r="CS75" s="317"/>
      <c r="CT75" s="20"/>
      <c r="CU75" s="20"/>
      <c r="CV75" s="20"/>
      <c r="CW75" s="209">
        <f>CW74/((39450/CM15)*100)-1</f>
        <v>3.2709999991278771E-2</v>
      </c>
      <c r="CX75" s="317">
        <f t="shared" si="311"/>
        <v>6.6063626119548635E-2</v>
      </c>
      <c r="CY75" s="20">
        <f t="shared" ref="CY75" si="323">CY74/CT74-1</f>
        <v>3.926779701244576E-2</v>
      </c>
      <c r="CZ75" s="20">
        <f t="shared" ref="CZ75" si="324">CZ74/CU74-1</f>
        <v>2.9266443894976124E-2</v>
      </c>
      <c r="DA75" s="20">
        <f>DA74/CV74-1</f>
        <v>1.9931263388785148E-2</v>
      </c>
      <c r="DB75" s="206">
        <f>DB74/CW74-1</f>
        <v>3.7705621843913795E-2</v>
      </c>
      <c r="DC75" s="20"/>
      <c r="DD75" s="20"/>
      <c r="DE75" s="20"/>
      <c r="DF75" s="20"/>
      <c r="DG75" s="206">
        <f>DG74/DB74-1</f>
        <v>7.367858462183241E-3</v>
      </c>
      <c r="DH75" s="20"/>
      <c r="DI75" s="20"/>
      <c r="DJ75" s="20"/>
      <c r="DK75" s="20"/>
      <c r="DL75" s="206">
        <f>DL74/DG74-1</f>
        <v>6.0818131533064701E-3</v>
      </c>
      <c r="DM75" s="20"/>
      <c r="DN75" s="500"/>
      <c r="DO75" s="486"/>
      <c r="DP75" s="411"/>
      <c r="DQ75" s="411"/>
      <c r="DR75" s="411"/>
      <c r="DS75" s="556"/>
      <c r="DT75" s="560"/>
      <c r="DU75" s="796"/>
      <c r="DV75" s="556"/>
      <c r="DW75" s="564"/>
      <c r="DX75" s="564"/>
      <c r="DY75" s="564"/>
      <c r="DZ75" s="681"/>
      <c r="EA75" s="500"/>
      <c r="EH75" s="8"/>
    </row>
    <row r="76" spans="1:138" ht="12.75" customHeight="1" x14ac:dyDescent="0.2">
      <c r="A76" s="941" t="s">
        <v>581</v>
      </c>
      <c r="B76" s="489">
        <f>B72-B69</f>
        <v>3960</v>
      </c>
      <c r="C76" s="414">
        <f t="shared" ref="C76:E76" si="325">C72-C69</f>
        <v>4469</v>
      </c>
      <c r="D76" s="414">
        <f t="shared" si="325"/>
        <v>4345</v>
      </c>
      <c r="E76" s="414">
        <f t="shared" si="325"/>
        <v>4017</v>
      </c>
      <c r="F76" s="942">
        <f>SUM(B76:E76)</f>
        <v>16791</v>
      </c>
      <c r="G76" s="489">
        <f>G72-G69</f>
        <v>3842</v>
      </c>
      <c r="H76" s="414">
        <f t="shared" ref="H76:J76" si="326">H72-H69</f>
        <v>3776</v>
      </c>
      <c r="I76" s="414">
        <f t="shared" si="326"/>
        <v>3398</v>
      </c>
      <c r="J76" s="414">
        <f t="shared" si="326"/>
        <v>2863</v>
      </c>
      <c r="K76" s="942">
        <f>SUM(G76:J76)</f>
        <v>13879</v>
      </c>
      <c r="L76" s="489">
        <f>L72-L69</f>
        <v>3103</v>
      </c>
      <c r="M76" s="414">
        <f t="shared" ref="M76:O76" si="327">M72-M69</f>
        <v>3474</v>
      </c>
      <c r="N76" s="414">
        <f t="shared" si="327"/>
        <v>3420</v>
      </c>
      <c r="O76" s="414">
        <f t="shared" si="327"/>
        <v>3308</v>
      </c>
      <c r="P76" s="942">
        <f>SUM(L76:O76)</f>
        <v>13305</v>
      </c>
      <c r="Q76" s="489">
        <f>Q72-Q69</f>
        <v>3155</v>
      </c>
      <c r="R76" s="414">
        <f t="shared" ref="R76:T76" si="328">R72-R69</f>
        <v>3307</v>
      </c>
      <c r="S76" s="414">
        <f t="shared" si="328"/>
        <v>3443</v>
      </c>
      <c r="T76" s="414">
        <f t="shared" si="328"/>
        <v>3398</v>
      </c>
      <c r="U76" s="942">
        <f>SUM(Q76:T76)</f>
        <v>13303</v>
      </c>
      <c r="V76" s="489">
        <f>V72-V69</f>
        <v>3529</v>
      </c>
      <c r="W76" s="414">
        <f t="shared" ref="W76:Y76" si="329">W72-W69</f>
        <v>3961</v>
      </c>
      <c r="X76" s="414">
        <f t="shared" si="329"/>
        <v>3871</v>
      </c>
      <c r="Y76" s="414">
        <f t="shared" si="329"/>
        <v>3874</v>
      </c>
      <c r="Z76" s="942">
        <f>SUM(V76:Y76)</f>
        <v>15235</v>
      </c>
      <c r="AA76" s="489">
        <f>AA72-AA69</f>
        <v>3647</v>
      </c>
      <c r="AB76" s="414">
        <f t="shared" ref="AB76:AD76" si="330">AB72-AB69</f>
        <v>4185</v>
      </c>
      <c r="AC76" s="414">
        <f t="shared" si="330"/>
        <v>4216</v>
      </c>
      <c r="AD76" s="414">
        <f t="shared" si="330"/>
        <v>4143</v>
      </c>
      <c r="AE76" s="942">
        <f>SUM(AA76:AD76)</f>
        <v>16191</v>
      </c>
      <c r="AF76" s="489">
        <f>AF72-AF69</f>
        <v>3794</v>
      </c>
      <c r="AG76" s="414">
        <f t="shared" ref="AG76:AI76" si="331">AG72-AG69</f>
        <v>4741</v>
      </c>
      <c r="AH76" s="414">
        <f t="shared" si="331"/>
        <v>4751</v>
      </c>
      <c r="AI76" s="414">
        <f t="shared" si="331"/>
        <v>4246</v>
      </c>
      <c r="AJ76" s="942">
        <f>SUM(AF76:AI76)</f>
        <v>17532</v>
      </c>
      <c r="AK76" s="489">
        <f>AK72-AK69</f>
        <v>4241</v>
      </c>
      <c r="AL76" s="414">
        <f t="shared" ref="AL76:AN76" si="332">AL72-AL69</f>
        <v>5003</v>
      </c>
      <c r="AM76" s="414">
        <f t="shared" si="332"/>
        <v>5227</v>
      </c>
      <c r="AN76" s="414">
        <f t="shared" si="332"/>
        <v>4683</v>
      </c>
      <c r="AO76" s="942">
        <f>SUM(AK76:AN76)</f>
        <v>19154</v>
      </c>
      <c r="AP76" s="489">
        <f>AP72-AP69</f>
        <v>0</v>
      </c>
      <c r="AQ76" s="414">
        <f t="shared" ref="AQ76:AS76" si="333">AQ72-AQ69</f>
        <v>0</v>
      </c>
      <c r="AR76" s="414">
        <f t="shared" si="333"/>
        <v>0</v>
      </c>
      <c r="AS76" s="414">
        <f t="shared" si="333"/>
        <v>0</v>
      </c>
      <c r="AT76" s="942">
        <f>SUM(AP76:AS76)</f>
        <v>0</v>
      </c>
      <c r="AU76" s="489">
        <f>AU72-AU69</f>
        <v>7900</v>
      </c>
      <c r="AV76" s="414">
        <f t="shared" ref="AV76:AX76" si="334">AV72-AV69</f>
        <v>9088</v>
      </c>
      <c r="AW76" s="414">
        <f t="shared" si="334"/>
        <v>9532</v>
      </c>
      <c r="AX76" s="414">
        <f t="shared" si="334"/>
        <v>7768</v>
      </c>
      <c r="AY76" s="942">
        <f>SUM(AU76:AX76)</f>
        <v>34288</v>
      </c>
      <c r="AZ76" s="489">
        <f>AZ72-AZ69</f>
        <v>6684</v>
      </c>
      <c r="BA76" s="414">
        <f t="shared" ref="BA76:BC76" si="335">BA72-BA69</f>
        <v>7000</v>
      </c>
      <c r="BB76" s="414">
        <f t="shared" si="335"/>
        <v>7574</v>
      </c>
      <c r="BC76" s="414">
        <f t="shared" si="335"/>
        <v>6805</v>
      </c>
      <c r="BD76" s="942">
        <f>SUM(AZ76:BC76)</f>
        <v>28063</v>
      </c>
      <c r="BE76" s="489">
        <f>BE72-BE69</f>
        <v>6848</v>
      </c>
      <c r="BF76" s="414">
        <f t="shared" ref="BF76:BH76" si="336">BF72-BF69</f>
        <v>8168.0599999999995</v>
      </c>
      <c r="BG76" s="414">
        <f t="shared" si="336"/>
        <v>8950</v>
      </c>
      <c r="BH76" s="414">
        <f t="shared" si="336"/>
        <v>7789</v>
      </c>
      <c r="BI76" s="942">
        <f>SUM(BE76:BH76)</f>
        <v>31755.059999999998</v>
      </c>
      <c r="BJ76" s="489">
        <f>BJ72-BJ69</f>
        <v>7747</v>
      </c>
      <c r="BK76" s="414">
        <f t="shared" ref="BK76:BM76" si="337">BK72-BK69</f>
        <v>9153</v>
      </c>
      <c r="BL76" s="414">
        <f t="shared" si="337"/>
        <v>9816</v>
      </c>
      <c r="BM76" s="414">
        <f t="shared" si="337"/>
        <v>8399</v>
      </c>
      <c r="BN76" s="942">
        <f>SUM(BJ76:BM76)</f>
        <v>35115</v>
      </c>
      <c r="BO76" s="489">
        <f>BO72-BO69</f>
        <v>8413</v>
      </c>
      <c r="BP76" s="414">
        <f t="shared" ref="BP76:BR76" si="338">BP72-BP69</f>
        <v>9732</v>
      </c>
      <c r="BQ76" s="414">
        <f t="shared" si="338"/>
        <v>9923</v>
      </c>
      <c r="BR76" s="414">
        <f t="shared" si="338"/>
        <v>8602</v>
      </c>
      <c r="BS76" s="942">
        <f>SUM(BO76:BR76)</f>
        <v>36670</v>
      </c>
      <c r="BT76" s="489">
        <f>BT72-BT69</f>
        <v>8500</v>
      </c>
      <c r="BU76" s="414">
        <f t="shared" ref="BU76:BW76" si="339">BU72-BU69</f>
        <v>9707</v>
      </c>
      <c r="BV76" s="414">
        <f t="shared" si="339"/>
        <v>10490</v>
      </c>
      <c r="BW76" s="414">
        <f t="shared" si="339"/>
        <v>9076</v>
      </c>
      <c r="BX76" s="942">
        <f>SUM(BT76:BW76)</f>
        <v>37773</v>
      </c>
      <c r="BY76" s="489">
        <f>BY72-BY69</f>
        <v>8916</v>
      </c>
      <c r="BZ76" s="414">
        <f t="shared" ref="BZ76:CB76" si="340">BZ72-BZ69</f>
        <v>10621</v>
      </c>
      <c r="CA76" s="414">
        <f t="shared" si="340"/>
        <v>11178</v>
      </c>
      <c r="CB76" s="414">
        <f t="shared" si="340"/>
        <v>9647</v>
      </c>
      <c r="CC76" s="942">
        <f>SUM(BY76:CB76)</f>
        <v>40362</v>
      </c>
      <c r="CD76" s="489">
        <f>CD72-CD69</f>
        <v>9388</v>
      </c>
      <c r="CE76" s="414">
        <f t="shared" ref="CE76:CG76" si="341">CE72-CE69</f>
        <v>10707</v>
      </c>
      <c r="CF76" s="414">
        <f t="shared" si="341"/>
        <v>11107</v>
      </c>
      <c r="CG76" s="414">
        <f t="shared" si="341"/>
        <v>9502</v>
      </c>
      <c r="CH76" s="942">
        <f>SUM(CD76:CG76)</f>
        <v>40704</v>
      </c>
      <c r="CI76" s="489">
        <f>CI72-CI69</f>
        <v>9251</v>
      </c>
      <c r="CJ76" s="414">
        <f t="shared" ref="CJ76:CL76" si="342">CJ72-CJ69</f>
        <v>10447</v>
      </c>
      <c r="CK76" s="414">
        <f t="shared" si="342"/>
        <v>10483</v>
      </c>
      <c r="CL76" s="414">
        <f t="shared" si="342"/>
        <v>9458</v>
      </c>
      <c r="CM76" s="942">
        <f>SUM(CI76:CL76)</f>
        <v>39639</v>
      </c>
      <c r="CN76" s="489">
        <f>CN72-CN69</f>
        <v>9148</v>
      </c>
      <c r="CO76" s="414">
        <f t="shared" ref="CO76:CQ76" si="343">CO72-CO69</f>
        <v>10791</v>
      </c>
      <c r="CP76" s="414">
        <f t="shared" si="343"/>
        <v>11060</v>
      </c>
      <c r="CQ76" s="414">
        <f t="shared" si="343"/>
        <v>10245</v>
      </c>
      <c r="CR76" s="942">
        <f>SUM(CN76:CQ76)</f>
        <v>41244</v>
      </c>
      <c r="CS76" s="489">
        <f>CS72-CS69</f>
        <v>9040</v>
      </c>
      <c r="CT76" s="414">
        <f t="shared" ref="CT76:DA76" si="344">CT72-CT69</f>
        <v>10680.772999999999</v>
      </c>
      <c r="CU76" s="414">
        <f t="shared" si="344"/>
        <v>10934.6994</v>
      </c>
      <c r="CV76" s="414">
        <f t="shared" si="344"/>
        <v>9982.7540000000008</v>
      </c>
      <c r="CW76" s="942">
        <f>SUM(CS76:CV76)</f>
        <v>40638.2264</v>
      </c>
      <c r="CX76" s="489">
        <f>CX72-CX69</f>
        <v>9755</v>
      </c>
      <c r="CY76" s="414">
        <f t="shared" si="344"/>
        <v>11493.6994</v>
      </c>
      <c r="CZ76" s="414">
        <f t="shared" si="344"/>
        <v>11599.95702</v>
      </c>
      <c r="DA76" s="414">
        <f t="shared" si="344"/>
        <v>10499.617200000002</v>
      </c>
      <c r="DB76" s="942">
        <f>SUM(CX76:DA76)</f>
        <v>43348.27362</v>
      </c>
      <c r="DC76" s="84"/>
      <c r="DD76" s="84"/>
      <c r="DE76" s="84"/>
      <c r="DF76" s="84"/>
      <c r="DG76" s="942">
        <f t="shared" ref="DG76" si="345">DG72-DG69</f>
        <v>44780.565573752501</v>
      </c>
      <c r="DH76" s="84"/>
      <c r="DI76" s="84"/>
      <c r="DJ76" s="84"/>
      <c r="DK76" s="84"/>
      <c r="DL76" s="942">
        <f t="shared" ref="DL76" si="346">DL72-DL69</f>
        <v>46199.592826018037</v>
      </c>
      <c r="DM76" s="20"/>
      <c r="DN76" s="500"/>
      <c r="DO76" s="486"/>
      <c r="DP76" s="411"/>
      <c r="DQ76" s="411"/>
      <c r="DR76" s="411"/>
      <c r="DS76" s="556"/>
      <c r="DT76" s="560"/>
      <c r="DU76" s="796"/>
      <c r="DV76" s="556"/>
      <c r="DW76" s="564"/>
      <c r="DX76" s="564"/>
      <c r="DY76" s="564"/>
      <c r="DZ76" s="461"/>
      <c r="EA76" s="500"/>
      <c r="EH76" s="318"/>
    </row>
    <row r="77" spans="1:138" ht="12.75" customHeight="1" x14ac:dyDescent="0.2">
      <c r="A77" s="75" t="s">
        <v>577</v>
      </c>
      <c r="B77" s="36"/>
      <c r="C77" s="36"/>
      <c r="D77" s="36"/>
      <c r="E77" s="36"/>
      <c r="F77" s="203"/>
      <c r="G77" s="36"/>
      <c r="H77" s="36"/>
      <c r="I77" s="36"/>
      <c r="J77" s="36"/>
      <c r="K77" s="203"/>
      <c r="L77" s="36"/>
      <c r="M77" s="36"/>
      <c r="N77" s="36"/>
      <c r="O77" s="36"/>
      <c r="P77" s="203"/>
      <c r="Q77" s="36"/>
      <c r="R77" s="36"/>
      <c r="S77" s="36"/>
      <c r="T77" s="36"/>
      <c r="U77" s="203"/>
      <c r="V77" s="36"/>
      <c r="W77" s="36"/>
      <c r="X77" s="36"/>
      <c r="Y77" s="36"/>
      <c r="Z77" s="203"/>
      <c r="AA77" s="36"/>
      <c r="AB77" s="36"/>
      <c r="AC77" s="36"/>
      <c r="AD77" s="36"/>
      <c r="AE77" s="203"/>
      <c r="AF77" s="36"/>
      <c r="AG77" s="36"/>
      <c r="AH77" s="36"/>
      <c r="AI77" s="36"/>
      <c r="AJ77" s="203"/>
      <c r="AK77" s="36"/>
      <c r="AL77" s="36"/>
      <c r="AM77" s="36"/>
      <c r="AN77" s="36"/>
      <c r="AO77" s="203"/>
      <c r="AP77" s="320"/>
      <c r="AQ77" s="36"/>
      <c r="AR77" s="36"/>
      <c r="AS77" s="36"/>
      <c r="AT77" s="273"/>
      <c r="AU77" s="36"/>
      <c r="AV77" s="36"/>
      <c r="AW77" s="36"/>
      <c r="AX77" s="36"/>
      <c r="AY77" s="273"/>
      <c r="AZ77" s="320"/>
      <c r="BA77" s="36"/>
      <c r="BB77" s="36"/>
      <c r="BC77" s="36"/>
      <c r="BD77" s="273"/>
      <c r="BE77" s="320"/>
      <c r="BF77" s="36"/>
      <c r="BG77" s="36"/>
      <c r="BH77" s="36"/>
      <c r="BI77" s="273"/>
      <c r="BJ77" s="320"/>
      <c r="BK77" s="36"/>
      <c r="BL77" s="36"/>
      <c r="BM77" s="36"/>
      <c r="BN77" s="320"/>
      <c r="BO77" s="320"/>
      <c r="BP77" s="36"/>
      <c r="BQ77" s="36"/>
      <c r="BR77" s="36"/>
      <c r="BS77" s="273"/>
      <c r="BT77" s="320"/>
      <c r="BU77" s="36"/>
      <c r="BV77" s="36"/>
      <c r="BW77" s="36"/>
      <c r="BX77" s="273"/>
      <c r="BY77" s="320"/>
      <c r="BZ77" s="36"/>
      <c r="CA77" s="36"/>
      <c r="CB77" s="36"/>
      <c r="CC77" s="273"/>
      <c r="CD77" s="320"/>
      <c r="CE77" s="36"/>
      <c r="CF77" s="36"/>
      <c r="CG77" s="36"/>
      <c r="CH77" s="273"/>
      <c r="CI77" s="320"/>
      <c r="CJ77" s="36"/>
      <c r="CK77" s="36"/>
      <c r="CL77" s="36"/>
      <c r="CM77" s="273"/>
      <c r="CN77" s="320"/>
      <c r="CO77" s="36"/>
      <c r="CP77" s="36"/>
      <c r="CQ77" s="36"/>
      <c r="CR77" s="273"/>
      <c r="CS77" s="320">
        <f t="shared" ref="CS77:DB77" si="347">CS74-CS70</f>
        <v>15.620950044063521</v>
      </c>
      <c r="CT77" s="36">
        <f t="shared" si="347"/>
        <v>16.127520497682212</v>
      </c>
      <c r="CU77" s="36">
        <f t="shared" si="347"/>
        <v>15.583820599427082</v>
      </c>
      <c r="CV77" s="36">
        <f t="shared" si="347"/>
        <v>16.621302031302033</v>
      </c>
      <c r="CW77" s="273">
        <f t="shared" si="347"/>
        <v>15.978856345227564</v>
      </c>
      <c r="CX77" s="320">
        <f t="shared" si="347"/>
        <v>16.407049841051766</v>
      </c>
      <c r="CY77" s="36">
        <f t="shared" si="347"/>
        <v>16.768121121112578</v>
      </c>
      <c r="CZ77" s="36">
        <f t="shared" si="347"/>
        <v>16.050414289017287</v>
      </c>
      <c r="DA77" s="36">
        <f t="shared" si="347"/>
        <v>16.972699145514682</v>
      </c>
      <c r="DB77" s="273">
        <f t="shared" si="347"/>
        <v>16.536627880734265</v>
      </c>
      <c r="DC77" s="36"/>
      <c r="DD77" s="36"/>
      <c r="DE77" s="36"/>
      <c r="DF77" s="36"/>
      <c r="DG77" s="273">
        <f>DG74-DG70</f>
        <v>16.666363765627914</v>
      </c>
      <c r="DH77" s="36"/>
      <c r="DI77" s="36"/>
      <c r="DJ77" s="36"/>
      <c r="DK77" s="36"/>
      <c r="DL77" s="273">
        <f>DL74-DL70</f>
        <v>16.775117269406792</v>
      </c>
      <c r="DM77" s="20"/>
      <c r="DN77" s="500"/>
      <c r="DO77" s="486"/>
      <c r="DP77" s="411"/>
      <c r="DQ77" s="411"/>
      <c r="DR77" s="411"/>
      <c r="DS77" s="461" t="s">
        <v>585</v>
      </c>
      <c r="DT77" s="560"/>
      <c r="DU77" s="796"/>
      <c r="DV77" s="556"/>
      <c r="DW77" s="564"/>
      <c r="DX77" s="564"/>
      <c r="DY77" s="564"/>
      <c r="DZ77" s="681"/>
      <c r="EA77" s="500"/>
      <c r="EH77" s="8"/>
    </row>
    <row r="78" spans="1:138" ht="12.75" customHeight="1" x14ac:dyDescent="0.2">
      <c r="A78" s="148" t="s">
        <v>244</v>
      </c>
      <c r="B78" s="20"/>
      <c r="C78" s="20"/>
      <c r="D78" s="20"/>
      <c r="E78" s="20"/>
      <c r="F78" s="206"/>
      <c r="G78" s="20"/>
      <c r="H78" s="20"/>
      <c r="I78" s="20"/>
      <c r="J78" s="20"/>
      <c r="K78" s="199"/>
      <c r="L78" s="20"/>
      <c r="M78" s="20"/>
      <c r="N78" s="20"/>
      <c r="O78" s="20"/>
      <c r="P78" s="199"/>
      <c r="Q78" s="20"/>
      <c r="R78" s="20"/>
      <c r="S78" s="20"/>
      <c r="T78" s="20"/>
      <c r="U78" s="199"/>
      <c r="V78" s="20"/>
      <c r="W78" s="20"/>
      <c r="X78" s="20"/>
      <c r="Y78" s="20"/>
      <c r="Z78" s="199"/>
      <c r="AA78" s="20"/>
      <c r="AB78" s="20"/>
      <c r="AC78" s="20"/>
      <c r="AD78" s="20"/>
      <c r="AE78" s="199"/>
      <c r="AF78" s="20"/>
      <c r="AG78" s="20"/>
      <c r="AH78" s="20"/>
      <c r="AI78" s="20"/>
      <c r="AJ78" s="199"/>
      <c r="AK78" s="20"/>
      <c r="AL78" s="20"/>
      <c r="AM78" s="20"/>
      <c r="AN78" s="20"/>
      <c r="AO78" s="199"/>
      <c r="AP78" s="317"/>
      <c r="AQ78" s="20"/>
      <c r="AR78" s="20"/>
      <c r="AS78" s="20"/>
      <c r="AT78" s="206"/>
      <c r="AU78" s="20"/>
      <c r="AV78" s="20"/>
      <c r="AW78" s="20"/>
      <c r="AX78" s="20"/>
      <c r="AY78" s="206"/>
      <c r="AZ78" s="317"/>
      <c r="BA78" s="20"/>
      <c r="BB78" s="20"/>
      <c r="BC78" s="20"/>
      <c r="BD78" s="206"/>
      <c r="BE78" s="317"/>
      <c r="BF78" s="20"/>
      <c r="BG78" s="20"/>
      <c r="BH78" s="20"/>
      <c r="BI78" s="206"/>
      <c r="BJ78" s="317"/>
      <c r="BK78" s="20"/>
      <c r="BL78" s="20"/>
      <c r="BM78" s="20"/>
      <c r="BN78" s="317"/>
      <c r="BO78" s="317"/>
      <c r="BP78" s="20"/>
      <c r="BQ78" s="20"/>
      <c r="BR78" s="20"/>
      <c r="BS78" s="206"/>
      <c r="BT78" s="317"/>
      <c r="BU78" s="20"/>
      <c r="BV78" s="20"/>
      <c r="BW78" s="20"/>
      <c r="BX78" s="206"/>
      <c r="BY78" s="317"/>
      <c r="BZ78" s="20"/>
      <c r="CA78" s="20"/>
      <c r="CB78" s="20"/>
      <c r="CC78" s="206"/>
      <c r="CD78" s="317"/>
      <c r="CE78" s="20"/>
      <c r="CF78" s="20"/>
      <c r="CG78" s="20"/>
      <c r="CH78" s="206"/>
      <c r="CI78" s="317"/>
      <c r="CJ78" s="20"/>
      <c r="CK78" s="20"/>
      <c r="CL78" s="20"/>
      <c r="CM78" s="206"/>
      <c r="CN78" s="317"/>
      <c r="CO78" s="20"/>
      <c r="CP78" s="20"/>
      <c r="CQ78" s="20"/>
      <c r="CR78" s="206"/>
      <c r="CS78" s="317">
        <f>CS77/15.73-1</f>
        <v>-6.93261004046275E-3</v>
      </c>
      <c r="CT78" s="20">
        <f>CT77/15.7-1</f>
        <v>2.723060494791163E-2</v>
      </c>
      <c r="CU78" s="20">
        <f>CU77/15.03-1</f>
        <v>3.6847677939260359E-2</v>
      </c>
      <c r="CV78" s="20">
        <f>CV77/15.91-1</f>
        <v>4.4707858661347188E-2</v>
      </c>
      <c r="CW78" s="920">
        <f>CW77/((((39450/CM15)*100)-1)-0.093)-1</f>
        <v>9.6693554290955719E-2</v>
      </c>
      <c r="CX78" s="317">
        <f t="shared" ref="CX78:CY78" si="348">CX77/CS77-1</f>
        <v>5.0323430698569371E-2</v>
      </c>
      <c r="CY78" s="20">
        <f t="shared" si="348"/>
        <v>3.9720961664406529E-2</v>
      </c>
      <c r="CZ78" s="20">
        <f t="shared" ref="CZ78" si="349">CZ77/CU77-1</f>
        <v>2.994090483866052E-2</v>
      </c>
      <c r="DA78" s="20">
        <f>DA77/CV77-1</f>
        <v>2.1141371088190475E-2</v>
      </c>
      <c r="DB78" s="206">
        <f>DB77/CW77-1</f>
        <v>3.4906849617763358E-2</v>
      </c>
      <c r="DC78" s="20"/>
      <c r="DD78" s="20"/>
      <c r="DE78" s="20"/>
      <c r="DF78" s="20"/>
      <c r="DG78" s="206">
        <f>DG77/DB77-1</f>
        <v>7.845365199563803E-3</v>
      </c>
      <c r="DH78" s="20"/>
      <c r="DI78" s="20"/>
      <c r="DJ78" s="20"/>
      <c r="DK78" s="20"/>
      <c r="DL78" s="206">
        <f>DL77/DG77-1</f>
        <v>6.5253288184652369E-3</v>
      </c>
      <c r="DM78" s="20"/>
      <c r="DN78" s="500"/>
      <c r="DO78" s="486"/>
      <c r="DP78" s="411"/>
      <c r="DQ78" s="411"/>
      <c r="DR78" s="411"/>
      <c r="DS78" s="556"/>
      <c r="DT78" s="560"/>
      <c r="DU78" s="796"/>
      <c r="DV78" s="556"/>
      <c r="DW78" s="564"/>
      <c r="DX78" s="564"/>
      <c r="DY78" s="958"/>
      <c r="DZ78" s="681"/>
      <c r="EA78" s="500"/>
      <c r="EH78" s="8"/>
    </row>
    <row r="79" spans="1:138" ht="12.75" customHeight="1" x14ac:dyDescent="0.2">
      <c r="A79" s="5" t="s">
        <v>184</v>
      </c>
      <c r="B79" s="5"/>
      <c r="C79" s="646"/>
      <c r="D79" s="646"/>
      <c r="E79" s="646"/>
      <c r="F79" s="197"/>
      <c r="G79" s="5"/>
      <c r="H79" s="646"/>
      <c r="I79" s="646"/>
      <c r="J79" s="646"/>
      <c r="K79" s="197"/>
      <c r="L79" s="5"/>
      <c r="M79" s="646"/>
      <c r="N79" s="646"/>
      <c r="O79" s="646"/>
      <c r="P79" s="197"/>
      <c r="Q79" s="5"/>
      <c r="R79" s="646"/>
      <c r="S79" s="646"/>
      <c r="T79" s="646"/>
      <c r="U79" s="197"/>
      <c r="V79" s="5"/>
      <c r="W79" s="646"/>
      <c r="X79" s="646"/>
      <c r="Y79" s="646"/>
      <c r="Z79" s="197"/>
      <c r="AA79" s="5"/>
      <c r="AB79" s="646"/>
      <c r="AC79" s="646"/>
      <c r="AD79" s="646"/>
      <c r="AE79" s="197"/>
      <c r="AF79" s="5"/>
      <c r="AG79" s="646"/>
      <c r="AH79" s="646"/>
      <c r="AI79" s="646"/>
      <c r="AJ79" s="197"/>
      <c r="AK79" s="5"/>
      <c r="AL79" s="646"/>
      <c r="AM79" s="646"/>
      <c r="AN79" s="646"/>
      <c r="AO79" s="197"/>
      <c r="AP79" s="5"/>
      <c r="AQ79" s="646"/>
      <c r="AR79" s="646"/>
      <c r="AS79" s="646"/>
      <c r="AT79" s="197"/>
      <c r="AU79" s="5"/>
      <c r="AV79" s="646"/>
      <c r="AW79" s="646"/>
      <c r="AX79" s="646"/>
      <c r="AY79" s="197"/>
      <c r="AZ79" s="5"/>
      <c r="BA79" s="646"/>
      <c r="BB79" s="646"/>
      <c r="BC79" s="646"/>
      <c r="BD79" s="197"/>
      <c r="BE79" s="5"/>
      <c r="BF79" s="646"/>
      <c r="BG79" s="646"/>
      <c r="BH79" s="646"/>
      <c r="BI79" s="197"/>
      <c r="BJ79" s="5"/>
      <c r="BK79" s="646"/>
      <c r="BL79" s="646"/>
      <c r="BM79" s="646"/>
      <c r="BN79" s="315"/>
      <c r="BO79" s="5"/>
      <c r="BP79" s="646"/>
      <c r="BQ79" s="646"/>
      <c r="BR79" s="646"/>
      <c r="BS79" s="197"/>
      <c r="BT79" s="5"/>
      <c r="BU79" s="646"/>
      <c r="BV79" s="646"/>
      <c r="BW79" s="646"/>
      <c r="BX79" s="197"/>
      <c r="BY79" s="5"/>
      <c r="BZ79" s="646"/>
      <c r="CA79" s="646"/>
      <c r="CB79" s="646"/>
      <c r="CC79" s="197"/>
      <c r="CD79" s="5"/>
      <c r="CE79" s="646"/>
      <c r="CF79" s="646"/>
      <c r="CG79" s="646"/>
      <c r="CH79" s="197"/>
      <c r="CI79" s="5"/>
      <c r="CJ79" s="646"/>
      <c r="CK79" s="646"/>
      <c r="CL79" s="646"/>
      <c r="CM79" s="197"/>
      <c r="CN79" s="5"/>
      <c r="CO79" s="646"/>
      <c r="CP79" s="646"/>
      <c r="CQ79" s="646"/>
      <c r="CR79" s="197"/>
      <c r="CS79" s="5"/>
      <c r="CT79" s="646"/>
      <c r="CU79" s="646"/>
      <c r="CV79" s="646"/>
      <c r="CW79" s="197"/>
      <c r="CX79" s="5"/>
      <c r="CY79" s="5"/>
      <c r="CZ79" s="5"/>
      <c r="DA79" s="5"/>
      <c r="DB79" s="197"/>
      <c r="DC79" s="5"/>
      <c r="DD79" s="5"/>
      <c r="DE79" s="5"/>
      <c r="DF79" s="5"/>
      <c r="DG79" s="197"/>
      <c r="DH79" s="5"/>
      <c r="DI79" s="5"/>
      <c r="DJ79" s="5"/>
      <c r="DK79" s="5"/>
      <c r="DL79" s="197"/>
      <c r="DM79" s="413"/>
      <c r="DN79" s="969"/>
      <c r="DO79" s="970"/>
      <c r="DP79" s="971"/>
      <c r="DQ79" s="971"/>
      <c r="DR79" s="971"/>
      <c r="DS79" s="461"/>
      <c r="DT79" s="556"/>
      <c r="DU79" s="461"/>
      <c r="DV79" s="680"/>
      <c r="DW79" s="805"/>
      <c r="DX79" s="805"/>
      <c r="DY79" s="564"/>
      <c r="DZ79" s="458"/>
      <c r="EA79" s="4"/>
      <c r="EH79" s="5"/>
    </row>
    <row r="80" spans="1:138" ht="12.75" customHeight="1" x14ac:dyDescent="0.2">
      <c r="A80" s="144" t="s">
        <v>177</v>
      </c>
      <c r="B80" s="891">
        <f t="shared" ref="B80:AE80" si="350">B81+B83</f>
        <v>1428</v>
      </c>
      <c r="C80" s="893">
        <f t="shared" si="350"/>
        <v>1515</v>
      </c>
      <c r="D80" s="893">
        <f t="shared" si="350"/>
        <v>1514</v>
      </c>
      <c r="E80" s="893">
        <f t="shared" si="350"/>
        <v>1515</v>
      </c>
      <c r="F80" s="185">
        <f t="shared" si="350"/>
        <v>5972</v>
      </c>
      <c r="G80" s="891">
        <f t="shared" si="350"/>
        <v>1614</v>
      </c>
      <c r="H80" s="893">
        <f t="shared" si="350"/>
        <v>1567</v>
      </c>
      <c r="I80" s="893">
        <f t="shared" si="350"/>
        <v>1534</v>
      </c>
      <c r="J80" s="893">
        <f t="shared" si="350"/>
        <v>1422</v>
      </c>
      <c r="K80" s="185">
        <f t="shared" si="350"/>
        <v>6137</v>
      </c>
      <c r="L80" s="891">
        <f t="shared" si="350"/>
        <v>1501</v>
      </c>
      <c r="M80" s="893">
        <f t="shared" si="350"/>
        <v>1563</v>
      </c>
      <c r="N80" s="893">
        <f t="shared" si="350"/>
        <v>1555</v>
      </c>
      <c r="O80" s="893">
        <f t="shared" si="350"/>
        <v>1546</v>
      </c>
      <c r="P80" s="185">
        <f t="shared" si="350"/>
        <v>6165</v>
      </c>
      <c r="Q80" s="891">
        <f t="shared" si="350"/>
        <v>1634</v>
      </c>
      <c r="R80" s="893">
        <f t="shared" si="350"/>
        <v>1592</v>
      </c>
      <c r="S80" s="893">
        <f t="shared" si="350"/>
        <v>1564</v>
      </c>
      <c r="T80" s="893">
        <f t="shared" si="350"/>
        <v>1552</v>
      </c>
      <c r="U80" s="185">
        <f t="shared" si="350"/>
        <v>6342</v>
      </c>
      <c r="V80" s="891">
        <f t="shared" si="350"/>
        <v>1609</v>
      </c>
      <c r="W80" s="893">
        <f t="shared" si="350"/>
        <v>1584</v>
      </c>
      <c r="X80" s="893">
        <f t="shared" si="350"/>
        <v>1616</v>
      </c>
      <c r="Y80" s="893">
        <f t="shared" si="350"/>
        <v>1529</v>
      </c>
      <c r="Z80" s="185">
        <f t="shared" si="350"/>
        <v>6338</v>
      </c>
      <c r="AA80" s="891">
        <f t="shared" si="350"/>
        <v>1411</v>
      </c>
      <c r="AB80" s="893">
        <f t="shared" si="350"/>
        <v>1298</v>
      </c>
      <c r="AC80" s="893">
        <f t="shared" si="350"/>
        <v>1235</v>
      </c>
      <c r="AD80" s="893">
        <f t="shared" si="350"/>
        <v>1114</v>
      </c>
      <c r="AE80" s="185">
        <f t="shared" si="350"/>
        <v>5058</v>
      </c>
      <c r="AF80" s="891">
        <v>1223</v>
      </c>
      <c r="AG80" s="893">
        <v>1070</v>
      </c>
      <c r="AH80" s="893">
        <v>1069</v>
      </c>
      <c r="AI80" s="893">
        <v>1003</v>
      </c>
      <c r="AJ80" s="185">
        <f>SUM(AF80:AI80)</f>
        <v>4365</v>
      </c>
      <c r="AK80" s="891">
        <v>971</v>
      </c>
      <c r="AL80" s="893">
        <v>1118</v>
      </c>
      <c r="AM80" s="893">
        <f>1109+79</f>
        <v>1188</v>
      </c>
      <c r="AN80" s="893">
        <v>1070</v>
      </c>
      <c r="AO80" s="185">
        <f>SUM(AK80:AN80)</f>
        <v>4347</v>
      </c>
      <c r="AP80" s="871"/>
      <c r="AQ80" s="893"/>
      <c r="AR80" s="893"/>
      <c r="AS80" s="893"/>
      <c r="AT80" s="185"/>
      <c r="AU80" s="891">
        <v>1819</v>
      </c>
      <c r="AV80" s="893">
        <v>1825</v>
      </c>
      <c r="AW80" s="893">
        <v>1774</v>
      </c>
      <c r="AX80" s="893">
        <f>1753-164</f>
        <v>1589</v>
      </c>
      <c r="AY80" s="185">
        <f>SUM(AU80:AX80)</f>
        <v>7007</v>
      </c>
      <c r="AZ80" s="871">
        <f>1867-161</f>
        <v>1706</v>
      </c>
      <c r="BA80" s="893">
        <f>1891-168</f>
        <v>1723</v>
      </c>
      <c r="BB80" s="893">
        <f>1894-172</f>
        <v>1722</v>
      </c>
      <c r="BC80" s="893">
        <v>1687</v>
      </c>
      <c r="BD80" s="185">
        <f>SUM(AZ80:BC80)</f>
        <v>6838</v>
      </c>
      <c r="BE80" s="871">
        <v>1672</v>
      </c>
      <c r="BF80" s="893">
        <f>1702+90</f>
        <v>1792</v>
      </c>
      <c r="BG80" s="893">
        <f>1669+185</f>
        <v>1854</v>
      </c>
      <c r="BH80" s="893">
        <f>1708+38</f>
        <v>1746</v>
      </c>
      <c r="BI80" s="185">
        <f>BI81+BI83</f>
        <v>7064</v>
      </c>
      <c r="BJ80" s="871">
        <v>1727</v>
      </c>
      <c r="BK80" s="893">
        <f>1739+8</f>
        <v>1747</v>
      </c>
      <c r="BL80" s="893">
        <f>1717+167</f>
        <v>1884</v>
      </c>
      <c r="BM80" s="893">
        <f>1711+89</f>
        <v>1800</v>
      </c>
      <c r="BN80" s="318">
        <f>BN81+BN83</f>
        <v>7158</v>
      </c>
      <c r="BO80" s="871">
        <v>1763</v>
      </c>
      <c r="BP80" s="893">
        <v>1960</v>
      </c>
      <c r="BQ80" s="893">
        <v>2024</v>
      </c>
      <c r="BR80" s="893">
        <f>1828+63</f>
        <v>1891</v>
      </c>
      <c r="BS80" s="185">
        <f>BS81+BS83</f>
        <v>7638</v>
      </c>
      <c r="BT80" s="871">
        <f>1911+20</f>
        <v>1931</v>
      </c>
      <c r="BU80" s="893">
        <f>1922+118</f>
        <v>2040</v>
      </c>
      <c r="BV80" s="893">
        <v>2225</v>
      </c>
      <c r="BW80" s="893">
        <v>2030</v>
      </c>
      <c r="BX80" s="185">
        <f>BX81+BX83</f>
        <v>8226</v>
      </c>
      <c r="BY80" s="871">
        <v>2068</v>
      </c>
      <c r="BZ80" s="893">
        <v>2386</v>
      </c>
      <c r="CA80" s="893">
        <v>2453</v>
      </c>
      <c r="CB80" s="893">
        <v>2298</v>
      </c>
      <c r="CC80" s="185">
        <f>CC81+CC83</f>
        <v>9205</v>
      </c>
      <c r="CD80" s="871">
        <v>2228</v>
      </c>
      <c r="CE80" s="893">
        <v>2606</v>
      </c>
      <c r="CF80" s="893">
        <v>2839</v>
      </c>
      <c r="CG80" s="893">
        <v>2593</v>
      </c>
      <c r="CH80" s="185">
        <f t="shared" ref="CH80" si="351">CH81+CH83</f>
        <v>10266</v>
      </c>
      <c r="CI80" s="871">
        <v>2583</v>
      </c>
      <c r="CJ80" s="893">
        <v>2715</v>
      </c>
      <c r="CK80" s="893">
        <v>2789</v>
      </c>
      <c r="CL80" s="893">
        <v>3062</v>
      </c>
      <c r="CM80" s="185">
        <f t="shared" ref="CM80" si="352">CM81+CM83</f>
        <v>11149</v>
      </c>
      <c r="CN80" s="871">
        <v>2624</v>
      </c>
      <c r="CO80" s="893">
        <v>2954</v>
      </c>
      <c r="CP80" s="893">
        <v>3029</v>
      </c>
      <c r="CQ80" s="893">
        <v>2894</v>
      </c>
      <c r="CR80" s="185">
        <f t="shared" ref="CR80" si="353">CR81+CR83</f>
        <v>11501</v>
      </c>
      <c r="CS80" s="871">
        <f>2386+151</f>
        <v>2537</v>
      </c>
      <c r="CT80" s="893">
        <f>2521+338</f>
        <v>2859</v>
      </c>
      <c r="CU80" s="893">
        <f>2619+314</f>
        <v>2933</v>
      </c>
      <c r="CV80" s="893">
        <f>2532+262</f>
        <v>2794</v>
      </c>
      <c r="CW80" s="185">
        <f t="shared" ref="CW80" si="354">CW81+CW83</f>
        <v>11123</v>
      </c>
      <c r="CX80" s="871">
        <f>2584+183</f>
        <v>2767</v>
      </c>
      <c r="CY80" s="184">
        <f t="shared" ref="CY80:DA80" si="355">CY81+CY83</f>
        <v>3036.7848651269032</v>
      </c>
      <c r="CZ80" s="184">
        <f t="shared" si="355"/>
        <v>3091.443640464177</v>
      </c>
      <c r="DA80" s="184">
        <f t="shared" si="355"/>
        <v>2967.0351879699247</v>
      </c>
      <c r="DB80" s="185">
        <f>DB81+DB83</f>
        <v>11862.263693561004</v>
      </c>
      <c r="DC80" s="184"/>
      <c r="DD80" s="184"/>
      <c r="DE80" s="184"/>
      <c r="DF80" s="184"/>
      <c r="DG80" s="185">
        <f>DG81+DG83</f>
        <v>12376.130011549692</v>
      </c>
      <c r="DH80" s="184"/>
      <c r="DI80" s="184"/>
      <c r="DJ80" s="184"/>
      <c r="DK80" s="184"/>
      <c r="DL80" s="185">
        <f>DL81+DL83</f>
        <v>12876.513911896183</v>
      </c>
      <c r="DM80" s="414"/>
      <c r="DN80" s="502"/>
      <c r="DO80" s="489"/>
      <c r="DP80" s="414"/>
      <c r="DQ80" s="414"/>
      <c r="DR80" s="414"/>
      <c r="DS80" s="556"/>
      <c r="DT80" s="559"/>
      <c r="DU80" s="577"/>
      <c r="DV80" s="682"/>
      <c r="DW80" s="806"/>
      <c r="DX80" s="806"/>
      <c r="DY80" s="682"/>
      <c r="DZ80" s="682"/>
      <c r="EA80" s="502"/>
      <c r="EH80" s="318"/>
    </row>
    <row r="81" spans="1:138" ht="12.75" customHeight="1" x14ac:dyDescent="0.2">
      <c r="A81" s="37" t="s">
        <v>313</v>
      </c>
      <c r="B81" s="894"/>
      <c r="C81" s="894"/>
      <c r="D81" s="894"/>
      <c r="E81" s="894"/>
      <c r="F81" s="207"/>
      <c r="G81" s="894"/>
      <c r="H81" s="894"/>
      <c r="I81" s="894"/>
      <c r="J81" s="894"/>
      <c r="K81" s="207"/>
      <c r="L81" s="894"/>
      <c r="M81" s="894"/>
      <c r="N81" s="894"/>
      <c r="O81" s="894"/>
      <c r="P81" s="207"/>
      <c r="Q81" s="894"/>
      <c r="R81" s="894"/>
      <c r="S81" s="894"/>
      <c r="T81" s="894"/>
      <c r="U81" s="207"/>
      <c r="V81" s="894"/>
      <c r="W81" s="894"/>
      <c r="X81" s="894"/>
      <c r="Y81" s="894"/>
      <c r="Z81" s="207"/>
      <c r="AA81" s="894"/>
      <c r="AB81" s="894"/>
      <c r="AC81" s="894"/>
      <c r="AD81" s="894"/>
      <c r="AE81" s="207"/>
      <c r="AF81" s="894"/>
      <c r="AG81" s="894"/>
      <c r="AH81" s="894"/>
      <c r="AI81" s="894"/>
      <c r="AJ81" s="207"/>
      <c r="AK81" s="894"/>
      <c r="AL81" s="894">
        <v>79</v>
      </c>
      <c r="AM81" s="894">
        <v>79</v>
      </c>
      <c r="AN81" s="894">
        <v>0</v>
      </c>
      <c r="AO81" s="207">
        <f>SUM(AK81:AN81)</f>
        <v>158</v>
      </c>
      <c r="AP81" s="872"/>
      <c r="AQ81" s="894"/>
      <c r="AR81" s="894"/>
      <c r="AS81" s="894"/>
      <c r="AT81" s="207"/>
      <c r="AU81" s="894">
        <v>0</v>
      </c>
      <c r="AV81" s="894">
        <v>0</v>
      </c>
      <c r="AW81" s="894">
        <v>0</v>
      </c>
      <c r="AX81" s="894">
        <v>0</v>
      </c>
      <c r="AY81" s="207">
        <v>0</v>
      </c>
      <c r="AZ81" s="872">
        <v>0</v>
      </c>
      <c r="BA81" s="894">
        <v>0</v>
      </c>
      <c r="BB81" s="894">
        <v>0</v>
      </c>
      <c r="BC81" s="894">
        <v>0</v>
      </c>
      <c r="BD81" s="252">
        <v>0</v>
      </c>
      <c r="BE81" s="872">
        <v>0</v>
      </c>
      <c r="BF81" s="894">
        <v>90</v>
      </c>
      <c r="BG81" s="894">
        <v>185</v>
      </c>
      <c r="BH81" s="894">
        <v>38</v>
      </c>
      <c r="BI81" s="252">
        <f>SUM(BE81:BH81)</f>
        <v>313</v>
      </c>
      <c r="BJ81" s="872">
        <v>0</v>
      </c>
      <c r="BK81" s="894">
        <v>8</v>
      </c>
      <c r="BL81" s="894">
        <v>166.5</v>
      </c>
      <c r="BM81" s="894">
        <v>89</v>
      </c>
      <c r="BN81" s="321">
        <f>SUM(BJ81:BM81)</f>
        <v>263.5</v>
      </c>
      <c r="BO81" s="872">
        <v>0</v>
      </c>
      <c r="BP81" s="894">
        <v>135</v>
      </c>
      <c r="BQ81" s="894">
        <v>174</v>
      </c>
      <c r="BR81" s="894">
        <v>63</v>
      </c>
      <c r="BS81" s="252">
        <f>SUM(BO81:BR81)</f>
        <v>372</v>
      </c>
      <c r="BT81" s="872">
        <v>20</v>
      </c>
      <c r="BU81" s="894">
        <v>118</v>
      </c>
      <c r="BV81" s="894">
        <v>249</v>
      </c>
      <c r="BW81" s="894">
        <v>119</v>
      </c>
      <c r="BX81" s="252">
        <f>SUM(BT81:BW81)</f>
        <v>506</v>
      </c>
      <c r="BY81" s="872">
        <v>99</v>
      </c>
      <c r="BZ81" s="894">
        <v>340</v>
      </c>
      <c r="CA81" s="894">
        <v>384</v>
      </c>
      <c r="CB81" s="894">
        <v>262</v>
      </c>
      <c r="CC81" s="252">
        <f>SUM(BY81:CB81)</f>
        <v>1085</v>
      </c>
      <c r="CD81" s="872">
        <v>136</v>
      </c>
      <c r="CE81" s="894">
        <v>411</v>
      </c>
      <c r="CF81" s="894">
        <v>563</v>
      </c>
      <c r="CG81" s="894">
        <v>380</v>
      </c>
      <c r="CH81" s="252">
        <f>SUM(CD81:CG81)</f>
        <v>1490</v>
      </c>
      <c r="CI81" s="872">
        <v>272</v>
      </c>
      <c r="CJ81" s="894">
        <v>324</v>
      </c>
      <c r="CK81" s="894">
        <v>326</v>
      </c>
      <c r="CL81" s="894">
        <v>193</v>
      </c>
      <c r="CM81" s="252">
        <f>SUM(CI81:CL81)</f>
        <v>1115</v>
      </c>
      <c r="CN81" s="872">
        <v>151</v>
      </c>
      <c r="CO81" s="894">
        <v>338</v>
      </c>
      <c r="CP81" s="894">
        <v>314</v>
      </c>
      <c r="CQ81" s="894">
        <v>262</v>
      </c>
      <c r="CR81" s="252">
        <f>SUM(CN81:CQ81)</f>
        <v>1065</v>
      </c>
      <c r="CS81" s="872">
        <v>151</v>
      </c>
      <c r="CT81" s="894">
        <v>338</v>
      </c>
      <c r="CU81" s="894">
        <v>314</v>
      </c>
      <c r="CV81" s="894">
        <v>262</v>
      </c>
      <c r="CW81" s="252">
        <f>SUM(CS81:CV81)</f>
        <v>1065</v>
      </c>
      <c r="CX81" s="872">
        <v>183</v>
      </c>
      <c r="CY81" s="88">
        <v>421</v>
      </c>
      <c r="CZ81" s="88">
        <v>404</v>
      </c>
      <c r="DA81" s="88">
        <v>321</v>
      </c>
      <c r="DB81" s="252">
        <f>SUM(CX81:DA81)</f>
        <v>1329</v>
      </c>
      <c r="DC81" s="38"/>
      <c r="DD81" s="37"/>
      <c r="DE81" s="37"/>
      <c r="DF81" s="37"/>
      <c r="DG81" s="304">
        <v>1430</v>
      </c>
      <c r="DH81" s="38"/>
      <c r="DI81" s="37"/>
      <c r="DJ81" s="37"/>
      <c r="DK81" s="37"/>
      <c r="DL81" s="304">
        <v>1602</v>
      </c>
      <c r="DM81" s="37"/>
      <c r="DN81" s="506"/>
      <c r="DO81" s="486"/>
      <c r="DP81" s="411"/>
      <c r="DQ81" s="411"/>
      <c r="DR81" s="411"/>
      <c r="DS81" s="461"/>
      <c r="DT81" s="559"/>
      <c r="DU81" s="577"/>
      <c r="DV81" s="682"/>
      <c r="DW81" s="682"/>
      <c r="DX81" s="682"/>
      <c r="DY81" s="682"/>
      <c r="DZ81" s="682"/>
      <c r="EA81" s="506"/>
      <c r="EH81" s="8"/>
    </row>
    <row r="82" spans="1:138" ht="12.75" customHeight="1" x14ac:dyDescent="0.2">
      <c r="A82" s="145" t="s">
        <v>40</v>
      </c>
      <c r="B82" s="38"/>
      <c r="C82" s="38"/>
      <c r="D82" s="38"/>
      <c r="E82" s="38"/>
      <c r="F82" s="207"/>
      <c r="G82" s="38"/>
      <c r="H82" s="38"/>
      <c r="I82" s="38"/>
      <c r="J82" s="38"/>
      <c r="K82" s="207"/>
      <c r="L82" s="38"/>
      <c r="M82" s="38"/>
      <c r="N82" s="38"/>
      <c r="O82" s="38"/>
      <c r="P82" s="207"/>
      <c r="Q82" s="38"/>
      <c r="R82" s="38"/>
      <c r="S82" s="38"/>
      <c r="T82" s="38"/>
      <c r="U82" s="207"/>
      <c r="V82" s="38"/>
      <c r="W82" s="38"/>
      <c r="X82" s="38"/>
      <c r="Y82" s="38"/>
      <c r="Z82" s="207"/>
      <c r="AA82" s="38"/>
      <c r="AB82" s="38"/>
      <c r="AC82" s="38"/>
      <c r="AD82" s="38"/>
      <c r="AE82" s="207"/>
      <c r="AF82" s="38"/>
      <c r="AG82" s="38"/>
      <c r="AH82" s="38"/>
      <c r="AI82" s="38"/>
      <c r="AJ82" s="207"/>
      <c r="AK82" s="38"/>
      <c r="AL82" s="38">
        <f>AL81</f>
        <v>79</v>
      </c>
      <c r="AM82" s="38">
        <f>AM81</f>
        <v>79</v>
      </c>
      <c r="AN82" s="38">
        <f>AN81</f>
        <v>0</v>
      </c>
      <c r="AO82" s="207">
        <f>SUM(AK82:AN82)</f>
        <v>158</v>
      </c>
      <c r="AP82" s="321"/>
      <c r="AQ82" s="38"/>
      <c r="AR82" s="38"/>
      <c r="AS82" s="38"/>
      <c r="AT82" s="252"/>
      <c r="AU82" s="38">
        <f>AU81</f>
        <v>0</v>
      </c>
      <c r="AV82" s="38">
        <f>IF((AV178+AU178)*0.2&gt;0,(AV178+AU178)*0.2-(AU82),-(AU82))</f>
        <v>0</v>
      </c>
      <c r="AW82" s="38">
        <f>IF((AW178+AV178+AU82)*0.2&gt;0,(AW178+AV178+AU82)*0.2-(AV82+AU82),-(AV82+AU82))</f>
        <v>4.4000000000000004</v>
      </c>
      <c r="AX82" s="38">
        <f>IF((AX178+AW178+AV82)*0.2&gt;0,(AX178+AW178+AV82)*0.2-(AW82+AV82),-(AW82+AV82))</f>
        <v>-4.4000000000000004</v>
      </c>
      <c r="AY82" s="252">
        <f>SUM(AU82:AX82)</f>
        <v>0</v>
      </c>
      <c r="AZ82" s="321">
        <f>AZ81</f>
        <v>0</v>
      </c>
      <c r="BA82" s="38">
        <f>IF((BA178+AZ178)*0.2&gt;0,(BA178+AZ178)*0.2-(AZ82),-(AZ82))</f>
        <v>0</v>
      </c>
      <c r="BB82" s="38">
        <f>IF((BB178+BA178+AZ178)&gt;0,IF((BB178+BA178+AZ178)&gt;1500*3/4,((BB178+BA178+AZ178)-(1500*3/4))*0.2+(1500*3/4)*0.15-(BA82+AZ82),(BB178+BA178+AZ178)*0.15-(BA82+AZ82)),-(BA82+AZ82))</f>
        <v>0</v>
      </c>
      <c r="BC82" s="38">
        <f>IF((BC178+BB178+BA178+AZ178)&gt;0,IF((BC178+BB178+BA178+AZ178)&gt;1500,((BC178+BB178+BA178+AZ178)-(1500))*0.2+(1500)*0.15-(BB82+BA82+AZ82),(BC178+BB178+BA178+AZ178)*0.15-(BB82+BA82+AZ82)),-(BB82+BA82+AZ82))</f>
        <v>0</v>
      </c>
      <c r="BD82" s="252">
        <f>SUM(AZ82:BC82)</f>
        <v>0</v>
      </c>
      <c r="BE82" s="321">
        <f>IF((BE178)&gt;0,IF((BE178)&gt;2500/4,((BE178)-(2500/4))*0.235+(2500/4)*0.185,(BE178)*0.185),0)</f>
        <v>0</v>
      </c>
      <c r="BF82" s="38">
        <f>IF((BF178+BE178)&gt;0,IF((BF178+BE178)&gt;2500*2/4,((BF178+BE178)-(2500*2/4))*0.235+(2500*2/4)*0.185-(BE82),(BF178+BE178)*0.185-(BE82)),-(BE82))</f>
        <v>68.091099999999912</v>
      </c>
      <c r="BG82" s="38">
        <f>IF((BG178+BF178+BE178)&gt;0,IF((BG178+BF178+BE178)&gt;2500*3/4,((BG178+BF178+BE178)-(2500*3/4))*0.235+(2500*3/4)*0.185-(BF82+BE82),(BG178+BF178+BE178)*0.185-(BF82+BE82)),-(BF82+BE82))</f>
        <v>172.42000000000002</v>
      </c>
      <c r="BH82" s="38">
        <f>IF((BH178+BG178+BF178+BE178)&gt;0,IF((BH178+BG178+BF178+BE178)&gt;2500,((BH178+BG178+BF178+BE178)-(2500))*0.235+(2500)*0.185-(BG82+BF82+BE82),(BH178+BG178+BF178+BE178)*0.185-(BG82+BF82+BE82)),-(BG82+BF82+BE82))</f>
        <v>29.599999999999966</v>
      </c>
      <c r="BI82" s="252">
        <f>SUM(BE82:BH82)</f>
        <v>270.11109999999991</v>
      </c>
      <c r="BJ82" s="321">
        <f>IF((BJ178)&gt;0,IF((BJ178)&gt;2500/4,((BJ178)-(2500/4))*0.235+(2500/4)*0.185,(BJ178)*0.185),0)</f>
        <v>0</v>
      </c>
      <c r="BK82" s="38">
        <v>8</v>
      </c>
      <c r="BL82" s="38">
        <v>166.5</v>
      </c>
      <c r="BM82" s="38">
        <f>IF((SUM(BJ178:BM178)+SUM(BJ81:BM81))&gt;0,IF((SUM(BJ178:BM178)+SUM(BJ81:BM81))&gt;(2500),(SUM(BJ178:BM178)+SUM(BJ81:BM81)-(2500))*0.235+(2500*0.185)-SUM(BJ82:BL82),(SUM(BJ178:BM178)+SUM(BJ81:BM81))*0.185-SUM(BJ82:BL82)),-(SUM(BJ82:BL82)))</f>
        <v>78.857499999999987</v>
      </c>
      <c r="BN82" s="321">
        <f>SUM(BJ82:BM82)</f>
        <v>253.35749999999999</v>
      </c>
      <c r="BO82" s="321">
        <v>0</v>
      </c>
      <c r="BP82" s="38">
        <v>135</v>
      </c>
      <c r="BQ82" s="38">
        <v>174</v>
      </c>
      <c r="BR82" s="38">
        <v>63</v>
      </c>
      <c r="BS82" s="252">
        <f>SUM(BO82:BR82)</f>
        <v>372</v>
      </c>
      <c r="BT82" s="321">
        <v>20</v>
      </c>
      <c r="BU82" s="38">
        <v>118</v>
      </c>
      <c r="BV82" s="38">
        <v>249</v>
      </c>
      <c r="BW82" s="38">
        <f>BW81</f>
        <v>119</v>
      </c>
      <c r="BX82" s="252">
        <f>SUM(BT82:BW82)</f>
        <v>506</v>
      </c>
      <c r="BY82" s="321">
        <f>BY81</f>
        <v>99</v>
      </c>
      <c r="BZ82" s="38">
        <f>BZ81</f>
        <v>340</v>
      </c>
      <c r="CA82" s="38">
        <f>CA81</f>
        <v>384</v>
      </c>
      <c r="CB82" s="38">
        <f>CB81</f>
        <v>262</v>
      </c>
      <c r="CC82" s="252">
        <f>SUM(BY82:CB82)</f>
        <v>1085</v>
      </c>
      <c r="CD82" s="321">
        <f>CD81</f>
        <v>136</v>
      </c>
      <c r="CE82" s="38">
        <f>CE81</f>
        <v>411</v>
      </c>
      <c r="CF82" s="38">
        <f>CF81</f>
        <v>563</v>
      </c>
      <c r="CG82" s="38">
        <f>CG81</f>
        <v>380</v>
      </c>
      <c r="CH82" s="252">
        <f>SUM(CD82:CG82)</f>
        <v>1490</v>
      </c>
      <c r="CI82" s="321">
        <f>CI81</f>
        <v>272</v>
      </c>
      <c r="CJ82" s="38">
        <f>CJ81</f>
        <v>324</v>
      </c>
      <c r="CK82" s="38">
        <f>CK81</f>
        <v>326</v>
      </c>
      <c r="CL82" s="38">
        <f>CL81</f>
        <v>193</v>
      </c>
      <c r="CM82" s="252">
        <f>SUM(CI82:CL82)</f>
        <v>1115</v>
      </c>
      <c r="CN82" s="321">
        <f>CN81</f>
        <v>151</v>
      </c>
      <c r="CO82" s="38">
        <f>CO81</f>
        <v>338</v>
      </c>
      <c r="CP82" s="38">
        <f>CP81</f>
        <v>314</v>
      </c>
      <c r="CQ82" s="38">
        <f>CQ81</f>
        <v>262</v>
      </c>
      <c r="CR82" s="252">
        <f>SUM(CN82:CQ82)</f>
        <v>1065</v>
      </c>
      <c r="CS82" s="321">
        <f>CS81</f>
        <v>151</v>
      </c>
      <c r="CT82" s="38">
        <f>CT81</f>
        <v>338</v>
      </c>
      <c r="CU82" s="38">
        <f>CU81</f>
        <v>314</v>
      </c>
      <c r="CV82" s="38">
        <f>CV81</f>
        <v>262</v>
      </c>
      <c r="CW82" s="252">
        <f>SUM(CS82:CV82)</f>
        <v>1065</v>
      </c>
      <c r="CX82" s="321">
        <f>CX81</f>
        <v>183</v>
      </c>
      <c r="CY82" s="676">
        <f>((CY178+CY81)/($DB$178+$DB$82))*$DB$82</f>
        <v>421.5486480907677</v>
      </c>
      <c r="CZ82" s="676">
        <f>((CZ178+CZ81)/($DB$178+$DB$82))*$DB$82</f>
        <v>404.10112505321064</v>
      </c>
      <c r="DA82" s="676">
        <f>((DA178+DA81)/($DB$178+$DB$82))*$DB$82</f>
        <v>321.06529290888699</v>
      </c>
      <c r="DB82" s="252">
        <f>IF((DB178+DB81)&gt;0,IF((DB178+DB81)&gt;2500,(DB178+DB81-2500)*0.235+(2500)*0.125,(DB178+DB81)*0.125),0)</f>
        <v>1310.404312410767</v>
      </c>
      <c r="DC82" s="38"/>
      <c r="DD82" s="38"/>
      <c r="DE82" s="38"/>
      <c r="DF82" s="38"/>
      <c r="DG82" s="252">
        <f>IF((DG178+DG81)&gt;0,IF((DG178+DG81)&gt;2500,(DG178+DG81-2500)*0.235+(2500)*0.125,(DG178+DG81)*0.125),0)</f>
        <v>1430.3150131967739</v>
      </c>
      <c r="DH82" s="38"/>
      <c r="DI82" s="38"/>
      <c r="DJ82" s="38"/>
      <c r="DK82" s="38"/>
      <c r="DL82" s="252">
        <f>IF((DL178+DL81)&gt;0,IF((DL178+DL81)&gt;2500,(DL178+DL81-2500)*0.235+(2500)*0.125,(DL178+DL81)*0.125),0)</f>
        <v>1602.2410827027163</v>
      </c>
      <c r="DM82" s="37"/>
      <c r="DN82" s="506"/>
      <c r="DO82" s="486"/>
      <c r="DP82" s="411"/>
      <c r="DQ82" s="411"/>
      <c r="DR82" s="411"/>
      <c r="DS82" s="561" t="s">
        <v>559</v>
      </c>
      <c r="DT82" s="557"/>
      <c r="DU82" s="577"/>
      <c r="DV82" s="682"/>
      <c r="DW82" s="682"/>
      <c r="DX82" s="682"/>
      <c r="DY82" s="682"/>
      <c r="DZ82" s="682"/>
      <c r="EA82" s="506"/>
      <c r="EH82" s="8"/>
    </row>
    <row r="83" spans="1:138" ht="12.75" customHeight="1" x14ac:dyDescent="0.2">
      <c r="A83" s="38" t="s">
        <v>329</v>
      </c>
      <c r="B83" s="37">
        <v>1428</v>
      </c>
      <c r="C83" s="37">
        <v>1515</v>
      </c>
      <c r="D83" s="37">
        <v>1514</v>
      </c>
      <c r="E83" s="37">
        <v>1515</v>
      </c>
      <c r="F83" s="207">
        <f>SUM(B83:E83)</f>
        <v>5972</v>
      </c>
      <c r="G83" s="37">
        <v>1614</v>
      </c>
      <c r="H83" s="37">
        <v>1567</v>
      </c>
      <c r="I83" s="37">
        <v>1534</v>
      </c>
      <c r="J83" s="37">
        <v>1422</v>
      </c>
      <c r="K83" s="207">
        <f>SUM(G83:J83)</f>
        <v>6137</v>
      </c>
      <c r="L83" s="37">
        <v>1501</v>
      </c>
      <c r="M83" s="37">
        <v>1563</v>
      </c>
      <c r="N83" s="37">
        <v>1555</v>
      </c>
      <c r="O83" s="37">
        <v>1546</v>
      </c>
      <c r="P83" s="207">
        <f>SUM(L83:O83)</f>
        <v>6165</v>
      </c>
      <c r="Q83" s="37">
        <v>1634</v>
      </c>
      <c r="R83" s="37">
        <v>1592</v>
      </c>
      <c r="S83" s="37">
        <v>1564</v>
      </c>
      <c r="T83" s="37">
        <v>1552</v>
      </c>
      <c r="U83" s="207">
        <f>SUM(Q83:T83)</f>
        <v>6342</v>
      </c>
      <c r="V83" s="37">
        <v>1609</v>
      </c>
      <c r="W83" s="37">
        <v>1584</v>
      </c>
      <c r="X83" s="37">
        <v>1616</v>
      </c>
      <c r="Y83" s="37">
        <f>Z83-SUM(V83:X83)</f>
        <v>1529</v>
      </c>
      <c r="Z83" s="207">
        <v>6338</v>
      </c>
      <c r="AA83" s="37">
        <v>1411</v>
      </c>
      <c r="AB83" s="37">
        <v>1298</v>
      </c>
      <c r="AC83" s="37">
        <v>1235</v>
      </c>
      <c r="AD83" s="37">
        <f>AE83-SUM(AA83:AC83)</f>
        <v>1114</v>
      </c>
      <c r="AE83" s="207">
        <v>5058</v>
      </c>
      <c r="AF83" s="37">
        <v>1166</v>
      </c>
      <c r="AG83" s="37">
        <v>1014</v>
      </c>
      <c r="AH83" s="37">
        <v>1008</v>
      </c>
      <c r="AI83" s="37">
        <v>940</v>
      </c>
      <c r="AJ83" s="207">
        <f>SUM(AF83:AI83)</f>
        <v>4128</v>
      </c>
      <c r="AK83" s="37">
        <v>906</v>
      </c>
      <c r="AL83" s="37">
        <f>AL80-AL81</f>
        <v>1039</v>
      </c>
      <c r="AM83" s="37">
        <f>AM80-AM81</f>
        <v>1109</v>
      </c>
      <c r="AN83" s="37">
        <f>AN80-AN81</f>
        <v>1070</v>
      </c>
      <c r="AO83" s="207">
        <f>SUM(AK83:AN83)</f>
        <v>4124</v>
      </c>
      <c r="AP83" s="322"/>
      <c r="AQ83" s="37"/>
      <c r="AR83" s="37"/>
      <c r="AS83" s="37"/>
      <c r="AT83" s="207"/>
      <c r="AU83" s="37">
        <f>AU80-AU81</f>
        <v>1819</v>
      </c>
      <c r="AV83" s="37">
        <f>AV80-AV81</f>
        <v>1825</v>
      </c>
      <c r="AW83" s="37">
        <f>AW80-AW81</f>
        <v>1774</v>
      </c>
      <c r="AX83" s="37">
        <f>AX80-AX81</f>
        <v>1589</v>
      </c>
      <c r="AY83" s="207">
        <f>SUM(AU83:AX83)</f>
        <v>7007</v>
      </c>
      <c r="AZ83" s="322">
        <f>AZ80-AZ81</f>
        <v>1706</v>
      </c>
      <c r="BA83" s="37">
        <f>BA80-BA81</f>
        <v>1723</v>
      </c>
      <c r="BB83" s="37">
        <f>BB80-BB81</f>
        <v>1722</v>
      </c>
      <c r="BC83" s="37">
        <f>BC80-BC81</f>
        <v>1687</v>
      </c>
      <c r="BD83" s="207">
        <f>SUM(AZ83:BC83)</f>
        <v>6838</v>
      </c>
      <c r="BE83" s="322">
        <f>BE80-BE81</f>
        <v>1672</v>
      </c>
      <c r="BF83" s="37">
        <f>BF80-BF81</f>
        <v>1702</v>
      </c>
      <c r="BG83" s="37">
        <f>BG80-BG81</f>
        <v>1669</v>
      </c>
      <c r="BH83" s="37">
        <f>BH80-BH81</f>
        <v>1708</v>
      </c>
      <c r="BI83" s="207">
        <f>SUM(BE83:BH83)</f>
        <v>6751</v>
      </c>
      <c r="BJ83" s="322">
        <f>BJ80-BJ81</f>
        <v>1727</v>
      </c>
      <c r="BK83" s="37">
        <f>BK80-BK81</f>
        <v>1739</v>
      </c>
      <c r="BL83" s="37">
        <f>BL80-BL81</f>
        <v>1717.5</v>
      </c>
      <c r="BM83" s="37">
        <f>BM80-BM81</f>
        <v>1711</v>
      </c>
      <c r="BN83" s="322">
        <f>SUM(BJ83:BM83)</f>
        <v>6894.5</v>
      </c>
      <c r="BO83" s="322">
        <f>BO80-BO81</f>
        <v>1763</v>
      </c>
      <c r="BP83" s="37">
        <f>BP80-BP81</f>
        <v>1825</v>
      </c>
      <c r="BQ83" s="37">
        <f>BQ80-BQ81</f>
        <v>1850</v>
      </c>
      <c r="BR83" s="37">
        <f>BR80-BR81</f>
        <v>1828</v>
      </c>
      <c r="BS83" s="207">
        <f>SUM(BO83:BR83)</f>
        <v>7266</v>
      </c>
      <c r="BT83" s="322">
        <f>BT80-BT81</f>
        <v>1911</v>
      </c>
      <c r="BU83" s="37">
        <f>BU80-BU81</f>
        <v>1922</v>
      </c>
      <c r="BV83" s="37">
        <f>BV80-BV81</f>
        <v>1976</v>
      </c>
      <c r="BW83" s="37">
        <f>BW80-BW81</f>
        <v>1911</v>
      </c>
      <c r="BX83" s="207">
        <f>SUM(BT83:BW83)</f>
        <v>7720</v>
      </c>
      <c r="BY83" s="322">
        <f>BY80-BY81</f>
        <v>1969</v>
      </c>
      <c r="BZ83" s="37">
        <f>BZ80-BZ81</f>
        <v>2046</v>
      </c>
      <c r="CA83" s="37">
        <f>CA80-CA81</f>
        <v>2069</v>
      </c>
      <c r="CB83" s="37">
        <f>CB80-CB81</f>
        <v>2036</v>
      </c>
      <c r="CC83" s="207">
        <f>SUM(BY83:CB83)</f>
        <v>8120</v>
      </c>
      <c r="CD83" s="322">
        <f>CD80-CD81</f>
        <v>2092</v>
      </c>
      <c r="CE83" s="37">
        <f>CE80-CE81</f>
        <v>2195</v>
      </c>
      <c r="CF83" s="37">
        <f>CF80-CF81</f>
        <v>2276</v>
      </c>
      <c r="CG83" s="37">
        <f>CG80-CG81</f>
        <v>2213</v>
      </c>
      <c r="CH83" s="207">
        <f>SUM(CD83:CG83)</f>
        <v>8776</v>
      </c>
      <c r="CI83" s="322">
        <f>CI80-CI81</f>
        <v>2311</v>
      </c>
      <c r="CJ83" s="37">
        <f>CJ80-CJ81</f>
        <v>2391</v>
      </c>
      <c r="CK83" s="37">
        <f>CK80-CK81</f>
        <v>2463</v>
      </c>
      <c r="CL83" s="37">
        <f>CL80-CL81</f>
        <v>2869</v>
      </c>
      <c r="CM83" s="207">
        <f>SUM(CI83:CL83)</f>
        <v>10034</v>
      </c>
      <c r="CN83" s="322">
        <f>CN80-CN81</f>
        <v>2473</v>
      </c>
      <c r="CO83" s="37">
        <f>CO80-CO81</f>
        <v>2616</v>
      </c>
      <c r="CP83" s="37">
        <f>CP80-CP81</f>
        <v>2715</v>
      </c>
      <c r="CQ83" s="37">
        <f>CQ80-CQ81</f>
        <v>2632</v>
      </c>
      <c r="CR83" s="207">
        <f>SUM(CN83:CQ83)</f>
        <v>10436</v>
      </c>
      <c r="CS83" s="322">
        <f>CS80-CS81</f>
        <v>2386</v>
      </c>
      <c r="CT83" s="37">
        <f>CT80-CT81</f>
        <v>2521</v>
      </c>
      <c r="CU83" s="37">
        <f>CU80-CU81</f>
        <v>2619</v>
      </c>
      <c r="CV83" s="37">
        <f>CV80-CV81</f>
        <v>2532</v>
      </c>
      <c r="CW83" s="207">
        <f>SUM(CS83:CV83)</f>
        <v>10058</v>
      </c>
      <c r="CX83" s="322">
        <f>CX80-CX81</f>
        <v>2584</v>
      </c>
      <c r="CY83" s="37">
        <f>CY88*CY92/4000000</f>
        <v>2615.7848651269032</v>
      </c>
      <c r="CZ83" s="37">
        <f t="shared" ref="CZ83:DA83" si="356">CZ88*CZ92/4000000</f>
        <v>2687.443640464177</v>
      </c>
      <c r="DA83" s="37">
        <f t="shared" si="356"/>
        <v>2646.0351879699247</v>
      </c>
      <c r="DB83" s="207">
        <f>SUM(CX83:DA83)</f>
        <v>10533.263693561004</v>
      </c>
      <c r="DC83" s="37"/>
      <c r="DD83" s="37"/>
      <c r="DE83" s="37"/>
      <c r="DF83" s="37"/>
      <c r="DG83" s="207">
        <f>DG88*DG92/1000000</f>
        <v>10946.130011549692</v>
      </c>
      <c r="DH83" s="37"/>
      <c r="DI83" s="37"/>
      <c r="DJ83" s="37"/>
      <c r="DK83" s="37"/>
      <c r="DL83" s="207">
        <f>DL88*DL92/1000000</f>
        <v>11274.513911896183</v>
      </c>
      <c r="DM83" s="37"/>
      <c r="DN83" s="506"/>
      <c r="DO83" s="486"/>
      <c r="DP83" s="411"/>
      <c r="DQ83" s="411"/>
      <c r="DR83" s="411"/>
      <c r="DS83" s="561"/>
      <c r="DT83" s="561" t="s">
        <v>531</v>
      </c>
      <c r="DU83" s="465"/>
      <c r="DV83" s="465"/>
      <c r="DW83" s="463"/>
      <c r="DX83" s="668"/>
      <c r="DY83" s="668"/>
      <c r="DZ83" s="463"/>
      <c r="EA83" s="506"/>
      <c r="EH83" s="8"/>
    </row>
    <row r="84" spans="1:138" ht="12.75" customHeight="1" x14ac:dyDescent="0.2">
      <c r="A84" s="142" t="s">
        <v>244</v>
      </c>
      <c r="B84" s="20"/>
      <c r="C84" s="20"/>
      <c r="D84" s="20"/>
      <c r="E84" s="20"/>
      <c r="F84" s="206"/>
      <c r="G84" s="20">
        <f t="shared" ref="G84:AO84" si="357">G83/B83-1</f>
        <v>0.13025210084033612</v>
      </c>
      <c r="H84" s="20">
        <f t="shared" si="357"/>
        <v>3.4323432343234428E-2</v>
      </c>
      <c r="I84" s="20">
        <f t="shared" si="357"/>
        <v>1.3210039630118908E-2</v>
      </c>
      <c r="J84" s="20">
        <f t="shared" si="357"/>
        <v>-6.1386138613861441E-2</v>
      </c>
      <c r="K84" s="199">
        <f t="shared" si="357"/>
        <v>2.7628935030140633E-2</v>
      </c>
      <c r="L84" s="20">
        <f t="shared" si="357"/>
        <v>-7.0012391573729849E-2</v>
      </c>
      <c r="M84" s="20">
        <f t="shared" si="357"/>
        <v>-2.55264837268665E-3</v>
      </c>
      <c r="N84" s="20">
        <f t="shared" si="357"/>
        <v>1.368970013037818E-2</v>
      </c>
      <c r="O84" s="20">
        <f t="shared" si="357"/>
        <v>8.7201125175808691E-2</v>
      </c>
      <c r="P84" s="199">
        <f t="shared" si="357"/>
        <v>4.5624898158709293E-3</v>
      </c>
      <c r="Q84" s="20">
        <f t="shared" si="357"/>
        <v>8.8607594936708889E-2</v>
      </c>
      <c r="R84" s="20">
        <f t="shared" si="357"/>
        <v>1.8554062699936091E-2</v>
      </c>
      <c r="S84" s="20">
        <f t="shared" si="357"/>
        <v>5.7877813504823017E-3</v>
      </c>
      <c r="T84" s="20">
        <f t="shared" si="357"/>
        <v>3.8809831824062613E-3</v>
      </c>
      <c r="U84" s="199">
        <f t="shared" si="357"/>
        <v>2.871046228710461E-2</v>
      </c>
      <c r="V84" s="20">
        <f t="shared" si="357"/>
        <v>-1.5299877600979173E-2</v>
      </c>
      <c r="W84" s="20">
        <f t="shared" si="357"/>
        <v>-5.0251256281407253E-3</v>
      </c>
      <c r="X84" s="20">
        <f t="shared" si="357"/>
        <v>3.3248081841432242E-2</v>
      </c>
      <c r="Y84" s="20">
        <f t="shared" si="357"/>
        <v>-1.4819587628865927E-2</v>
      </c>
      <c r="Z84" s="199">
        <f t="shared" si="357"/>
        <v>-6.3071586250396106E-4</v>
      </c>
      <c r="AA84" s="20">
        <f t="shared" si="357"/>
        <v>-0.1230577998756992</v>
      </c>
      <c r="AB84" s="20">
        <f t="shared" si="357"/>
        <v>-0.18055555555555558</v>
      </c>
      <c r="AC84" s="20">
        <f t="shared" si="357"/>
        <v>-0.23576732673267331</v>
      </c>
      <c r="AD84" s="20">
        <f t="shared" si="357"/>
        <v>-0.27141922825376064</v>
      </c>
      <c r="AE84" s="199">
        <f t="shared" si="357"/>
        <v>-0.20195645313979171</v>
      </c>
      <c r="AF84" s="20">
        <f t="shared" si="357"/>
        <v>-0.17363571934798017</v>
      </c>
      <c r="AG84" s="20">
        <f t="shared" si="357"/>
        <v>-0.21879815100154087</v>
      </c>
      <c r="AH84" s="20">
        <f t="shared" si="357"/>
        <v>-0.18380566801619436</v>
      </c>
      <c r="AI84" s="20">
        <f t="shared" si="357"/>
        <v>-0.15619389587073607</v>
      </c>
      <c r="AJ84" s="199">
        <f t="shared" si="357"/>
        <v>-0.18386714116251479</v>
      </c>
      <c r="AK84" s="20">
        <f t="shared" si="357"/>
        <v>-0.22298456260720412</v>
      </c>
      <c r="AL84" s="20">
        <f t="shared" si="357"/>
        <v>2.4654832347140054E-2</v>
      </c>
      <c r="AM84" s="20">
        <f t="shared" si="357"/>
        <v>0.10019841269841279</v>
      </c>
      <c r="AN84" s="20">
        <f t="shared" si="357"/>
        <v>0.13829787234042556</v>
      </c>
      <c r="AO84" s="199">
        <f t="shared" si="357"/>
        <v>-9.6899224806201723E-4</v>
      </c>
      <c r="AP84" s="317"/>
      <c r="AQ84" s="20"/>
      <c r="AR84" s="20"/>
      <c r="AS84" s="20"/>
      <c r="AT84" s="206"/>
      <c r="AU84" s="20"/>
      <c r="AV84" s="20"/>
      <c r="AW84" s="20"/>
      <c r="AX84" s="20"/>
      <c r="AY84" s="206"/>
      <c r="AZ84" s="317">
        <f t="shared" ref="AZ84:CA84" si="358">AZ83/AU83-1</f>
        <v>-6.2122045079714083E-2</v>
      </c>
      <c r="BA84" s="20">
        <f t="shared" si="358"/>
        <v>-5.5890410958904124E-2</v>
      </c>
      <c r="BB84" s="20">
        <f t="shared" si="358"/>
        <v>-2.9312288613303261E-2</v>
      </c>
      <c r="BC84" s="20">
        <f t="shared" si="358"/>
        <v>6.1674008810572722E-2</v>
      </c>
      <c r="BD84" s="206">
        <f t="shared" si="358"/>
        <v>-2.4118738404452666E-2</v>
      </c>
      <c r="BE84" s="317">
        <f t="shared" si="358"/>
        <v>-1.9929660023446649E-2</v>
      </c>
      <c r="BF84" s="20">
        <f t="shared" si="358"/>
        <v>-1.2188044109112006E-2</v>
      </c>
      <c r="BG84" s="20">
        <f t="shared" si="358"/>
        <v>-3.0778164924506357E-2</v>
      </c>
      <c r="BH84" s="20">
        <f t="shared" si="358"/>
        <v>1.2448132780082943E-2</v>
      </c>
      <c r="BI84" s="206">
        <f t="shared" si="358"/>
        <v>-1.2723018426440524E-2</v>
      </c>
      <c r="BJ84" s="317">
        <f t="shared" si="358"/>
        <v>3.289473684210531E-2</v>
      </c>
      <c r="BK84" s="20">
        <f t="shared" si="358"/>
        <v>2.1739130434782705E-2</v>
      </c>
      <c r="BL84" s="20">
        <f t="shared" si="358"/>
        <v>2.9059316956261183E-2</v>
      </c>
      <c r="BM84" s="20">
        <f t="shared" si="358"/>
        <v>1.7564402810303914E-3</v>
      </c>
      <c r="BN84" s="317">
        <f t="shared" si="358"/>
        <v>2.1256110205895462E-2</v>
      </c>
      <c r="BO84" s="317">
        <f t="shared" si="358"/>
        <v>2.084539664157492E-2</v>
      </c>
      <c r="BP84" s="20">
        <f t="shared" si="358"/>
        <v>4.9453709028177029E-2</v>
      </c>
      <c r="BQ84" s="20">
        <f t="shared" si="358"/>
        <v>7.7147016011644753E-2</v>
      </c>
      <c r="BR84" s="20">
        <f t="shared" si="358"/>
        <v>6.8381063705435396E-2</v>
      </c>
      <c r="BS84" s="206">
        <f t="shared" si="358"/>
        <v>5.3883530350279152E-2</v>
      </c>
      <c r="BT84" s="317">
        <f t="shared" si="358"/>
        <v>8.394781622234837E-2</v>
      </c>
      <c r="BU84" s="20">
        <f t="shared" si="358"/>
        <v>5.3150684931506875E-2</v>
      </c>
      <c r="BV84" s="20">
        <f t="shared" si="358"/>
        <v>6.8108108108108079E-2</v>
      </c>
      <c r="BW84" s="20">
        <f t="shared" si="358"/>
        <v>4.5404814004376348E-2</v>
      </c>
      <c r="BX84" s="206">
        <f>BX83/BS83-1</f>
        <v>6.2482796586842859E-2</v>
      </c>
      <c r="BY84" s="317">
        <f t="shared" si="358"/>
        <v>3.0350601779173259E-2</v>
      </c>
      <c r="BZ84" s="20">
        <f t="shared" si="358"/>
        <v>6.4516129032258007E-2</v>
      </c>
      <c r="CA84" s="20">
        <f t="shared" si="358"/>
        <v>4.7064777327935126E-2</v>
      </c>
      <c r="CB84" s="20">
        <f t="shared" ref="CB84:CK84" si="359">CB83/BW83-1</f>
        <v>6.5410779696494004E-2</v>
      </c>
      <c r="CC84" s="206">
        <f t="shared" si="359"/>
        <v>5.1813471502590636E-2</v>
      </c>
      <c r="CD84" s="317">
        <f t="shared" si="359"/>
        <v>6.2468257998984367E-2</v>
      </c>
      <c r="CE84" s="20">
        <f t="shared" si="359"/>
        <v>7.2825024437927599E-2</v>
      </c>
      <c r="CF84" s="20">
        <f t="shared" si="359"/>
        <v>0.10004833252779122</v>
      </c>
      <c r="CG84" s="20">
        <f>CG83/CB83-1</f>
        <v>8.6935166994106083E-2</v>
      </c>
      <c r="CH84" s="206">
        <f>CH83/CC83-1</f>
        <v>8.0788177339901512E-2</v>
      </c>
      <c r="CI84" s="317">
        <f t="shared" si="359"/>
        <v>0.10468451242829824</v>
      </c>
      <c r="CJ84" s="20">
        <f t="shared" si="359"/>
        <v>8.9293849658314439E-2</v>
      </c>
      <c r="CK84" s="20">
        <f t="shared" si="359"/>
        <v>8.2161687170474451E-2</v>
      </c>
      <c r="CL84" s="20">
        <f>CL83/CG83-1</f>
        <v>0.29643018526886578</v>
      </c>
      <c r="CM84" s="206">
        <f>CM83/CH83-1</f>
        <v>0.14334548769371014</v>
      </c>
      <c r="CN84" s="317">
        <f t="shared" ref="CN84:CP84" si="360">CN83/CI83-1</f>
        <v>7.009952401557773E-2</v>
      </c>
      <c r="CO84" s="20">
        <f t="shared" si="360"/>
        <v>9.4102885821831794E-2</v>
      </c>
      <c r="CP84" s="20">
        <f t="shared" si="360"/>
        <v>0.1023142509135202</v>
      </c>
      <c r="CQ84" s="20">
        <f>CQ83/CL83-1</f>
        <v>-8.2607180202161068E-2</v>
      </c>
      <c r="CR84" s="206">
        <f>CR83/CM83-1</f>
        <v>4.0063783137333164E-2</v>
      </c>
      <c r="CS84" s="317"/>
      <c r="CT84" s="20"/>
      <c r="CU84" s="20"/>
      <c r="CV84" s="20"/>
      <c r="CW84" s="206"/>
      <c r="CX84" s="317">
        <f>CX83/CS83-1</f>
        <v>8.2984073763621158E-2</v>
      </c>
      <c r="CY84" s="20">
        <f>CY83/CT83-1</f>
        <v>3.7598121827411068E-2</v>
      </c>
      <c r="CZ84" s="20">
        <f t="shared" ref="CZ84:DA84" si="361">CZ83/CU83-1</f>
        <v>2.613350151362237E-2</v>
      </c>
      <c r="DA84" s="20">
        <f t="shared" si="361"/>
        <v>4.5037593984962321E-2</v>
      </c>
      <c r="DB84" s="206">
        <f>DB83/CW83-1</f>
        <v>4.7252305981408282E-2</v>
      </c>
      <c r="DC84" s="20"/>
      <c r="DD84" s="20"/>
      <c r="DE84" s="20"/>
      <c r="DF84" s="20"/>
      <c r="DG84" s="206">
        <f>DG83/DB83-1</f>
        <v>3.9196428571428799E-2</v>
      </c>
      <c r="DH84" s="20"/>
      <c r="DI84" s="20"/>
      <c r="DJ84" s="20"/>
      <c r="DK84" s="20"/>
      <c r="DL84" s="206">
        <f>DL83/DG83-1</f>
        <v>3.0000000000000027E-2</v>
      </c>
      <c r="DM84" s="20"/>
      <c r="DN84" s="500"/>
      <c r="DO84" s="486"/>
      <c r="DP84" s="411"/>
      <c r="DQ84" s="411"/>
      <c r="DR84" s="411"/>
      <c r="DS84" s="770"/>
      <c r="DT84" s="831" t="s">
        <v>532</v>
      </c>
      <c r="DU84" s="457"/>
      <c r="DV84" s="457"/>
      <c r="DW84" s="457"/>
      <c r="DX84" s="457"/>
      <c r="DY84" s="457"/>
      <c r="DZ84" s="457"/>
      <c r="EA84" s="539"/>
      <c r="EH84" s="8"/>
    </row>
    <row r="85" spans="1:138" ht="12.75" customHeight="1" x14ac:dyDescent="0.2">
      <c r="A85" s="388" t="s">
        <v>41</v>
      </c>
      <c r="B85" s="41"/>
      <c r="C85" s="41"/>
      <c r="D85" s="41"/>
      <c r="E85" s="41"/>
      <c r="F85" s="208">
        <f t="shared" ref="F85:AO85" si="362">(F83/F$15)*100</f>
        <v>4.058195557186445</v>
      </c>
      <c r="G85" s="41">
        <f t="shared" si="362"/>
        <v>4.2781032152039655</v>
      </c>
      <c r="H85" s="41">
        <f t="shared" si="362"/>
        <v>4.0979105102120865</v>
      </c>
      <c r="I85" s="41">
        <f t="shared" si="362"/>
        <v>4.0657301881791676</v>
      </c>
      <c r="J85" s="41">
        <f t="shared" si="362"/>
        <v>4.1650422904100637</v>
      </c>
      <c r="K85" s="208">
        <f t="shared" si="362"/>
        <v>4.1511848396051034</v>
      </c>
      <c r="L85" s="41">
        <f t="shared" si="362"/>
        <v>4.4487255483106107</v>
      </c>
      <c r="M85" s="41">
        <f t="shared" si="362"/>
        <v>4.3587383920354723</v>
      </c>
      <c r="N85" s="41">
        <f t="shared" si="362"/>
        <v>4.2209554831704663</v>
      </c>
      <c r="O85" s="41">
        <f t="shared" si="362"/>
        <v>4.3820861678004537</v>
      </c>
      <c r="P85" s="208">
        <f t="shared" si="362"/>
        <v>4.3501577064472654</v>
      </c>
      <c r="Q85" s="41">
        <f t="shared" si="362"/>
        <v>4.921093844115167</v>
      </c>
      <c r="R85" s="41">
        <f t="shared" si="362"/>
        <v>4.9697196728475994</v>
      </c>
      <c r="S85" s="41">
        <f t="shared" si="362"/>
        <v>4.5321510330638386</v>
      </c>
      <c r="T85" s="41">
        <f t="shared" si="362"/>
        <v>4.4808869384455479</v>
      </c>
      <c r="U85" s="208">
        <f t="shared" si="362"/>
        <v>4.7193469412053606</v>
      </c>
      <c r="V85" s="41">
        <f t="shared" si="362"/>
        <v>4.5008251979076341</v>
      </c>
      <c r="W85" s="41">
        <f t="shared" si="362"/>
        <v>4.1015018125323666</v>
      </c>
      <c r="X85" s="41">
        <f t="shared" si="362"/>
        <v>4.1259223325758931</v>
      </c>
      <c r="Y85" s="41">
        <f t="shared" si="362"/>
        <v>4.0085992187295183</v>
      </c>
      <c r="Z85" s="208">
        <f t="shared" si="362"/>
        <v>4.1785613038060641</v>
      </c>
      <c r="AA85" s="41">
        <f t="shared" si="362"/>
        <v>3.7252158301871847</v>
      </c>
      <c r="AB85" s="41">
        <f t="shared" si="362"/>
        <v>3.2069178505250151</v>
      </c>
      <c r="AC85" s="41">
        <f t="shared" si="362"/>
        <v>3.0088926787672068</v>
      </c>
      <c r="AD85" s="41">
        <f t="shared" si="362"/>
        <v>2.978928227617927</v>
      </c>
      <c r="AE85" s="208">
        <f t="shared" si="362"/>
        <v>3.225909319931374</v>
      </c>
      <c r="AF85" s="41">
        <f t="shared" si="362"/>
        <v>3.3697474134443093</v>
      </c>
      <c r="AG85" s="41">
        <f t="shared" si="362"/>
        <v>2.6883715997666897</v>
      </c>
      <c r="AH85" s="41">
        <f t="shared" si="362"/>
        <v>2.5426935398430999</v>
      </c>
      <c r="AI85" s="41">
        <f t="shared" si="362"/>
        <v>2.6087921847246891</v>
      </c>
      <c r="AJ85" s="208">
        <f t="shared" si="362"/>
        <v>2.7892834217372209</v>
      </c>
      <c r="AK85" s="41">
        <f t="shared" si="362"/>
        <v>2.5681000028345475</v>
      </c>
      <c r="AL85" s="41">
        <f t="shared" si="362"/>
        <v>2.7251029454192568</v>
      </c>
      <c r="AM85" s="41">
        <f t="shared" si="362"/>
        <v>2.7086437242019392</v>
      </c>
      <c r="AN85" s="41">
        <f t="shared" si="362"/>
        <v>2.8598920190303097</v>
      </c>
      <c r="AO85" s="208">
        <f t="shared" si="362"/>
        <v>2.717394885446387</v>
      </c>
      <c r="AP85" s="323"/>
      <c r="AQ85" s="41"/>
      <c r="AR85" s="41"/>
      <c r="AS85" s="41"/>
      <c r="AT85" s="274"/>
      <c r="AU85" s="41">
        <f t="shared" ref="AU85:BH85" si="363">(AU83/AU$15)*100</f>
        <v>3.0532941670163658</v>
      </c>
      <c r="AV85" s="41">
        <f t="shared" si="363"/>
        <v>2.878594299594631</v>
      </c>
      <c r="AW85" s="41">
        <f t="shared" si="363"/>
        <v>2.7253733177656239</v>
      </c>
      <c r="AX85" s="41">
        <f t="shared" si="363"/>
        <v>2.7350339082240351</v>
      </c>
      <c r="AY85" s="274">
        <f t="shared" si="363"/>
        <v>2.8464763328512701</v>
      </c>
      <c r="AZ85" s="323">
        <f t="shared" si="363"/>
        <v>3.0606386795837817</v>
      </c>
      <c r="BA85" s="41">
        <f t="shared" si="363"/>
        <v>2.9189042673939927</v>
      </c>
      <c r="BB85" s="41">
        <f t="shared" si="363"/>
        <v>2.766976250923932</v>
      </c>
      <c r="BC85" s="41">
        <f t="shared" si="363"/>
        <v>3.1636786437626587</v>
      </c>
      <c r="BD85" s="274">
        <f t="shared" si="363"/>
        <v>2.9688225870175882</v>
      </c>
      <c r="BE85" s="323">
        <f t="shared" si="363"/>
        <v>3.136899686844731</v>
      </c>
      <c r="BF85" s="41">
        <f t="shared" si="363"/>
        <v>2.8995877201948961</v>
      </c>
      <c r="BG85" s="41">
        <f t="shared" si="363"/>
        <v>2.6218403289500056</v>
      </c>
      <c r="BH85" s="41">
        <f t="shared" si="363"/>
        <v>2.9950526044691608</v>
      </c>
      <c r="BI85" s="274">
        <f t="shared" ref="BI85:BN85" si="364">(BI83/BI$15)*100</f>
        <v>2.9013599087758468</v>
      </c>
      <c r="BJ85" s="323">
        <f t="shared" si="364"/>
        <v>3.0719274833007302</v>
      </c>
      <c r="BK85" s="41">
        <f t="shared" si="364"/>
        <v>2.8915382185198117</v>
      </c>
      <c r="BL85" s="41">
        <f t="shared" si="364"/>
        <v>2.7148999399323448</v>
      </c>
      <c r="BM85" s="41">
        <f>(BM83/BM$15)*100</f>
        <v>3.1089871715666679</v>
      </c>
      <c r="BN85" s="323">
        <f t="shared" si="364"/>
        <v>2.9381335277173553</v>
      </c>
      <c r="BO85" s="323">
        <f t="shared" ref="BO85:BW85" si="365">(BO83/BO$15)*100</f>
        <v>3.2403323040729308</v>
      </c>
      <c r="BP85" s="41">
        <f t="shared" si="365"/>
        <v>3.0733218820518</v>
      </c>
      <c r="BQ85" s="41">
        <f t="shared" si="365"/>
        <v>2.9703129264807409</v>
      </c>
      <c r="BR85" s="41">
        <f t="shared" si="365"/>
        <v>3.3638806080011774</v>
      </c>
      <c r="BS85" s="274">
        <f t="shared" si="365"/>
        <v>3.1534405312154159</v>
      </c>
      <c r="BT85" s="323">
        <f t="shared" si="365"/>
        <v>3.6041643091546907</v>
      </c>
      <c r="BU85" s="41">
        <f t="shared" si="365"/>
        <v>3.2097528390113559</v>
      </c>
      <c r="BV85" s="41">
        <f t="shared" si="365"/>
        <v>3.0926705585901431</v>
      </c>
      <c r="BW85" s="41">
        <f t="shared" si="365"/>
        <v>3.4158548574492804</v>
      </c>
      <c r="BX85" s="274">
        <f t="shared" ref="BX85:CC85" si="366">(BX83/BX$15)*100</f>
        <v>3.3170061012288392</v>
      </c>
      <c r="BY85" s="323">
        <f t="shared" si="366"/>
        <v>3.6527901454437517</v>
      </c>
      <c r="BZ85" s="41">
        <f t="shared" si="366"/>
        <v>3.3097691573515373</v>
      </c>
      <c r="CA85" s="41">
        <f t="shared" si="366"/>
        <v>3.1383672602615058</v>
      </c>
      <c r="CB85" s="41">
        <f t="shared" si="366"/>
        <v>3.5085905323200466</v>
      </c>
      <c r="CC85" s="274">
        <f t="shared" si="366"/>
        <v>3.3879070077938547</v>
      </c>
      <c r="CD85" s="323">
        <f t="shared" ref="CD85:CH85" si="367">(CD83/CD$15)*100</f>
        <v>3.6963089916426668</v>
      </c>
      <c r="CE85" s="41">
        <f t="shared" si="367"/>
        <v>3.4330669252545474</v>
      </c>
      <c r="CF85" s="41">
        <f t="shared" si="367"/>
        <v>3.345533653775485</v>
      </c>
      <c r="CG85" s="41">
        <f t="shared" si="367"/>
        <v>3.8024708328321792</v>
      </c>
      <c r="CH85" s="274">
        <f t="shared" si="367"/>
        <v>3.5564344880128385</v>
      </c>
      <c r="CI85" s="323">
        <f>(CI83/CI$15)*100</f>
        <v>3.9745463926390916</v>
      </c>
      <c r="CJ85" s="41">
        <f t="shared" ref="CJ85:CM85" si="368">(CJ83/CJ$15)*100</f>
        <v>3.6238803255581322</v>
      </c>
      <c r="CK85" s="41">
        <f t="shared" si="368"/>
        <v>3.5681172857391203</v>
      </c>
      <c r="CL85" s="41">
        <f t="shared" si="368"/>
        <v>4.8863152516392745</v>
      </c>
      <c r="CM85" s="274">
        <f t="shared" si="368"/>
        <v>3.9838486185169155</v>
      </c>
      <c r="CN85" s="323">
        <f>(CN83/CN$15)*100</f>
        <v>4.2732975065231296</v>
      </c>
      <c r="CO85" s="41">
        <f t="shared" ref="CO85:CR85" si="369">(CO83/CO$15)*100</f>
        <v>3.9500505835988347</v>
      </c>
      <c r="CP85" s="41">
        <f t="shared" si="369"/>
        <v>3.8693402881696524</v>
      </c>
      <c r="CQ85" s="41">
        <f t="shared" si="369"/>
        <v>4.3822843822843822</v>
      </c>
      <c r="CR85" s="274">
        <f t="shared" si="369"/>
        <v>4.1034109898751598</v>
      </c>
      <c r="CS85" s="323">
        <f>(CS83/CS$15)*100</f>
        <v>4.1229631421610131</v>
      </c>
      <c r="CT85" s="41">
        <f t="shared" ref="CT85:CW85" si="370">(CT83/CT$15)*100</f>
        <v>3.8066045570537694</v>
      </c>
      <c r="CU85" s="41">
        <f t="shared" si="370"/>
        <v>3.7325238359912776</v>
      </c>
      <c r="CV85" s="41">
        <f t="shared" si="370"/>
        <v>4.2157842157842156</v>
      </c>
      <c r="CW85" s="274">
        <f t="shared" si="370"/>
        <v>3.9547822667846262</v>
      </c>
      <c r="CX85" s="323">
        <f>(CX83/CX$15)*100</f>
        <v>4.3460601526681453</v>
      </c>
      <c r="CY85" s="34">
        <f t="shared" ref="CY85:DB85" si="371">(CY83/CY$15)*100</f>
        <v>3.8161601342402469</v>
      </c>
      <c r="CZ85" s="34">
        <f t="shared" si="371"/>
        <v>3.7185123818531922</v>
      </c>
      <c r="DA85" s="34">
        <f t="shared" si="371"/>
        <v>4.2773330035173958</v>
      </c>
      <c r="DB85" s="274">
        <f t="shared" si="371"/>
        <v>4.0182606485556018</v>
      </c>
      <c r="DC85" s="41"/>
      <c r="DD85" s="41"/>
      <c r="DE85" s="34"/>
      <c r="DF85" s="34"/>
      <c r="DG85" s="274">
        <f>(DG83/DG$15)*100</f>
        <v>4.0739142585835078</v>
      </c>
      <c r="DH85" s="41"/>
      <c r="DI85" s="41"/>
      <c r="DJ85" s="34"/>
      <c r="DK85" s="34"/>
      <c r="DL85" s="274">
        <f>(DL83/DL$15)*100</f>
        <v>4.0937870110644026</v>
      </c>
      <c r="DM85" s="32"/>
      <c r="DN85" s="503"/>
      <c r="DO85" s="486"/>
      <c r="DP85" s="411"/>
      <c r="DQ85" s="411"/>
      <c r="DR85" s="411"/>
      <c r="DS85" s="770"/>
      <c r="DT85" s="770"/>
      <c r="DU85" s="770"/>
      <c r="DV85" s="770"/>
      <c r="DW85" s="770"/>
      <c r="DX85" s="770"/>
      <c r="DY85" s="770"/>
      <c r="DZ85" s="770"/>
      <c r="EA85" s="506"/>
      <c r="EH85" s="8"/>
    </row>
    <row r="86" spans="1:138" ht="12.75" customHeight="1" x14ac:dyDescent="0.2">
      <c r="A86" s="148" t="s">
        <v>244</v>
      </c>
      <c r="B86" s="35"/>
      <c r="C86" s="35"/>
      <c r="D86" s="35"/>
      <c r="E86" s="35"/>
      <c r="F86" s="206"/>
      <c r="G86" s="35">
        <f>G85/B92-1</f>
        <v>6.3054723307405691E-2</v>
      </c>
      <c r="H86" s="35">
        <f>H85/C92-1</f>
        <v>4.5155288300082752E-3</v>
      </c>
      <c r="I86" s="35">
        <f>I85/D92-1</f>
        <v>2.2877561874137919E-2</v>
      </c>
      <c r="J86" s="35">
        <f>J85/E92-1</f>
        <v>2.0294481905347439E-3</v>
      </c>
      <c r="K86" s="206">
        <f t="shared" ref="K86:AO86" si="372">K85/F85-1</f>
        <v>2.2913948110260041E-2</v>
      </c>
      <c r="L86" s="35">
        <f t="shared" si="372"/>
        <v>3.9882706078775643E-2</v>
      </c>
      <c r="M86" s="35">
        <f t="shared" si="372"/>
        <v>6.3648994084521071E-2</v>
      </c>
      <c r="N86" s="35">
        <f t="shared" si="372"/>
        <v>3.8178946414743731E-2</v>
      </c>
      <c r="O86" s="35">
        <f t="shared" si="372"/>
        <v>5.2110846002723532E-2</v>
      </c>
      <c r="P86" s="206">
        <f t="shared" si="372"/>
        <v>4.793158448253787E-2</v>
      </c>
      <c r="Q86" s="35">
        <f t="shared" si="372"/>
        <v>0.10618058827745314</v>
      </c>
      <c r="R86" s="35">
        <f t="shared" si="372"/>
        <v>0.14017388194908542</v>
      </c>
      <c r="S86" s="35">
        <f t="shared" si="372"/>
        <v>7.3726328347728742E-2</v>
      </c>
      <c r="T86" s="35">
        <f t="shared" si="372"/>
        <v>2.2546514801804252E-2</v>
      </c>
      <c r="U86" s="206">
        <f t="shared" si="372"/>
        <v>8.486801161505686E-2</v>
      </c>
      <c r="V86" s="35">
        <f t="shared" si="372"/>
        <v>-8.5401469575733913E-2</v>
      </c>
      <c r="W86" s="35">
        <f t="shared" si="372"/>
        <v>-0.1747015762395614</v>
      </c>
      <c r="X86" s="35">
        <f t="shared" si="372"/>
        <v>-8.9632648498328082E-2</v>
      </c>
      <c r="Y86" s="35">
        <f t="shared" si="372"/>
        <v>-0.10540049909848193</v>
      </c>
      <c r="Z86" s="206">
        <f t="shared" si="372"/>
        <v>-0.11458908279821767</v>
      </c>
      <c r="AA86" s="35">
        <f t="shared" si="372"/>
        <v>-0.17232603658569512</v>
      </c>
      <c r="AB86" s="35">
        <f t="shared" si="372"/>
        <v>-0.21811131699951969</v>
      </c>
      <c r="AC86" s="35">
        <f t="shared" si="372"/>
        <v>-0.27073453249210899</v>
      </c>
      <c r="AD86" s="35">
        <f t="shared" si="372"/>
        <v>-0.25686553704361947</v>
      </c>
      <c r="AE86" s="206">
        <f t="shared" si="372"/>
        <v>-0.22798564257199294</v>
      </c>
      <c r="AF86" s="35">
        <f t="shared" si="372"/>
        <v>-9.5422234025300479E-2</v>
      </c>
      <c r="AG86" s="35">
        <f t="shared" si="372"/>
        <v>-0.16169614406350707</v>
      </c>
      <c r="AH86" s="35">
        <f t="shared" si="372"/>
        <v>-0.154940434470769</v>
      </c>
      <c r="AI86" s="35">
        <f t="shared" si="372"/>
        <v>-0.12425141346530988</v>
      </c>
      <c r="AJ86" s="206">
        <f t="shared" si="372"/>
        <v>-0.13534971224902304</v>
      </c>
      <c r="AK86" s="35">
        <f t="shared" si="372"/>
        <v>-0.23789540053103753</v>
      </c>
      <c r="AL86" s="35">
        <f t="shared" si="372"/>
        <v>1.3663046304965842E-2</v>
      </c>
      <c r="AM86" s="35">
        <f t="shared" si="372"/>
        <v>6.526550752517335E-2</v>
      </c>
      <c r="AN86" s="35">
        <f t="shared" si="372"/>
        <v>9.6251374784043886E-2</v>
      </c>
      <c r="AO86" s="206">
        <f t="shared" si="372"/>
        <v>-2.5773119981497006E-2</v>
      </c>
      <c r="AP86" s="324"/>
      <c r="AQ86" s="35"/>
      <c r="AR86" s="35"/>
      <c r="AS86" s="35"/>
      <c r="AT86" s="209"/>
      <c r="AU86" s="35"/>
      <c r="AV86" s="35"/>
      <c r="AW86" s="35"/>
      <c r="AX86" s="35"/>
      <c r="AY86" s="209"/>
      <c r="AZ86" s="324">
        <f t="shared" ref="AZ86:CA86" si="373">AZ85/AU85-1</f>
        <v>2.4054389016152644E-3</v>
      </c>
      <c r="BA86" s="35">
        <f t="shared" si="373"/>
        <v>1.4003351498694361E-2</v>
      </c>
      <c r="BB86" s="35">
        <f t="shared" si="373"/>
        <v>1.5265040164264887E-2</v>
      </c>
      <c r="BC86" s="35">
        <f t="shared" si="373"/>
        <v>0.15672373722670208</v>
      </c>
      <c r="BD86" s="209">
        <f t="shared" si="373"/>
        <v>4.2981651649204311E-2</v>
      </c>
      <c r="BE86" s="324">
        <f t="shared" si="373"/>
        <v>2.4916697214099059E-2</v>
      </c>
      <c r="BF86" s="35">
        <f t="shared" si="373"/>
        <v>-6.6177392026435244E-3</v>
      </c>
      <c r="BG86" s="35">
        <f t="shared" si="373"/>
        <v>-5.2452897608161075E-2</v>
      </c>
      <c r="BH86" s="35">
        <f t="shared" si="373"/>
        <v>-5.3300621928194958E-2</v>
      </c>
      <c r="BI86" s="209">
        <f t="shared" si="373"/>
        <v>-2.2723714962540997E-2</v>
      </c>
      <c r="BJ86" s="324">
        <f t="shared" si="373"/>
        <v>-2.0712235018695679E-2</v>
      </c>
      <c r="BK86" s="35">
        <f t="shared" si="373"/>
        <v>-2.7760848961463358E-3</v>
      </c>
      <c r="BL86" s="35">
        <f t="shared" si="373"/>
        <v>3.5494003946307418E-2</v>
      </c>
      <c r="BM86" s="35">
        <f t="shared" si="373"/>
        <v>3.804092353085764E-2</v>
      </c>
      <c r="BN86" s="324">
        <f t="shared" si="373"/>
        <v>1.2674614697155695E-2</v>
      </c>
      <c r="BO86" s="324">
        <f t="shared" si="373"/>
        <v>5.4820571672887564E-2</v>
      </c>
      <c r="BP86" s="35">
        <f t="shared" si="373"/>
        <v>6.2867460083250837E-2</v>
      </c>
      <c r="BQ86" s="35">
        <f t="shared" si="373"/>
        <v>9.4078232052545063E-2</v>
      </c>
      <c r="BR86" s="35">
        <f t="shared" si="373"/>
        <v>8.1986004563043835E-2</v>
      </c>
      <c r="BS86" s="209">
        <f t="shared" si="373"/>
        <v>7.3280196923294127E-2</v>
      </c>
      <c r="BT86" s="324">
        <f t="shared" si="373"/>
        <v>0.11228231271972988</v>
      </c>
      <c r="BU86" s="35">
        <f t="shared" si="373"/>
        <v>4.4392016910533405E-2</v>
      </c>
      <c r="BV86" s="35">
        <f t="shared" si="373"/>
        <v>4.1193515679296855E-2</v>
      </c>
      <c r="BW86" s="35">
        <f t="shared" si="373"/>
        <v>1.5450681966678426E-2</v>
      </c>
      <c r="BX86" s="209">
        <f>BX85/BS85-1</f>
        <v>5.1868924875644096E-2</v>
      </c>
      <c r="BY86" s="324">
        <f t="shared" si="373"/>
        <v>1.349157033866355E-2</v>
      </c>
      <c r="BZ86" s="35">
        <f t="shared" si="373"/>
        <v>3.1160130812747378E-2</v>
      </c>
      <c r="CA86" s="35">
        <f t="shared" si="373"/>
        <v>1.4775806477167919E-2</v>
      </c>
      <c r="CB86" s="35">
        <f t="shared" ref="CB86:CK86" si="374">CB85/BW85-1</f>
        <v>2.7148599323103095E-2</v>
      </c>
      <c r="CC86" s="209">
        <f t="shared" si="374"/>
        <v>2.1374970199406373E-2</v>
      </c>
      <c r="CD86" s="324">
        <f t="shared" si="374"/>
        <v>1.1913864324562207E-2</v>
      </c>
      <c r="CE86" s="35">
        <f t="shared" si="374"/>
        <v>3.7252678975857156E-2</v>
      </c>
      <c r="CF86" s="35">
        <f t="shared" si="374"/>
        <v>6.6010882836165186E-2</v>
      </c>
      <c r="CG86" s="35">
        <f>CG85/CB85-1</f>
        <v>8.3760215905788638E-2</v>
      </c>
      <c r="CH86" s="209">
        <f>CH85/CC85-1</f>
        <v>4.9743832942075406E-2</v>
      </c>
      <c r="CI86" s="324">
        <f t="shared" si="374"/>
        <v>7.5274389025786981E-2</v>
      </c>
      <c r="CJ86" s="35">
        <f t="shared" si="374"/>
        <v>5.5581031322142538E-2</v>
      </c>
      <c r="CK86" s="35">
        <f t="shared" si="374"/>
        <v>6.6531577619147964E-2</v>
      </c>
      <c r="CL86" s="35">
        <f>CL85/CG85-1</f>
        <v>0.28503687903368347</v>
      </c>
      <c r="CM86" s="209">
        <f>CM85/CH85-1</f>
        <v>0.12018051561042387</v>
      </c>
      <c r="CN86" s="324">
        <f t="shared" ref="CN86:CP86" si="375">CN85/CI85-1</f>
        <v>7.5166090509681371E-2</v>
      </c>
      <c r="CO86" s="35">
        <f t="shared" si="375"/>
        <v>9.000580282420545E-2</v>
      </c>
      <c r="CP86" s="35">
        <f t="shared" si="375"/>
        <v>8.4420712187473601E-2</v>
      </c>
      <c r="CQ86" s="35">
        <f>CQ85/CL85-1</f>
        <v>-0.10315152490126356</v>
      </c>
      <c r="CR86" s="209">
        <f>CR85/CM85-1</f>
        <v>3.001177574933922E-2</v>
      </c>
      <c r="CS86" s="324"/>
      <c r="CT86" s="35"/>
      <c r="CU86" s="35"/>
      <c r="CV86" s="35"/>
      <c r="CW86" s="209"/>
      <c r="CX86" s="317">
        <f>CX85/CS85-1</f>
        <v>5.4110842812482129E-2</v>
      </c>
      <c r="CY86" s="35">
        <f t="shared" ref="CY86:DA86" si="376">CY85/CT85-1</f>
        <v>2.5102626351798385E-3</v>
      </c>
      <c r="CZ86" s="35">
        <f t="shared" si="376"/>
        <v>-3.7538820256091121E-3</v>
      </c>
      <c r="DA86" s="35">
        <f t="shared" si="376"/>
        <v>1.4599605810643013E-2</v>
      </c>
      <c r="DB86" s="209">
        <f>DB85/CW85-1</f>
        <v>1.6051043392228515E-2</v>
      </c>
      <c r="DC86" s="35"/>
      <c r="DD86" s="35"/>
      <c r="DE86" s="35"/>
      <c r="DF86" s="35"/>
      <c r="DG86" s="209">
        <f>DG85/DB85-1</f>
        <v>1.3850174216028188E-2</v>
      </c>
      <c r="DH86" s="35"/>
      <c r="DI86" s="35"/>
      <c r="DJ86" s="35"/>
      <c r="DK86" s="35"/>
      <c r="DL86" s="209">
        <f>DL85/DG85-1</f>
        <v>4.8780487804878092E-3</v>
      </c>
      <c r="DM86" s="33"/>
      <c r="DN86" s="499"/>
      <c r="DO86" s="486"/>
      <c r="DP86" s="411"/>
      <c r="DQ86" s="411"/>
      <c r="DR86" s="411"/>
      <c r="DS86" s="770"/>
      <c r="DT86" s="673"/>
      <c r="DU86" s="673" t="s">
        <v>533</v>
      </c>
      <c r="DV86" s="673">
        <v>2016</v>
      </c>
      <c r="DW86" s="673">
        <v>2017</v>
      </c>
      <c r="DX86" s="673">
        <v>2018</v>
      </c>
      <c r="DY86" s="673">
        <v>2019</v>
      </c>
      <c r="DZ86" s="465" t="s">
        <v>534</v>
      </c>
      <c r="EA86" s="539"/>
      <c r="EH86" s="8"/>
    </row>
    <row r="87" spans="1:138" ht="12.75" customHeight="1" x14ac:dyDescent="0.2">
      <c r="A87" s="389" t="s">
        <v>182</v>
      </c>
      <c r="B87" s="895">
        <v>72300</v>
      </c>
      <c r="C87" s="895">
        <v>73800</v>
      </c>
      <c r="D87" s="895">
        <v>74200</v>
      </c>
      <c r="E87" s="895">
        <v>74600</v>
      </c>
      <c r="F87" s="200">
        <f>E87</f>
        <v>74600</v>
      </c>
      <c r="G87" s="895">
        <v>84100</v>
      </c>
      <c r="H87" s="895">
        <v>82800</v>
      </c>
      <c r="I87" s="895">
        <v>83000</v>
      </c>
      <c r="J87" s="895">
        <v>78700</v>
      </c>
      <c r="K87" s="200">
        <f>J87</f>
        <v>78700</v>
      </c>
      <c r="L87" s="895">
        <v>75700</v>
      </c>
      <c r="M87" s="895">
        <v>75700</v>
      </c>
      <c r="N87" s="895">
        <v>76000</v>
      </c>
      <c r="O87" s="895">
        <v>75100</v>
      </c>
      <c r="P87" s="200">
        <f>O87</f>
        <v>75100</v>
      </c>
      <c r="Q87" s="895">
        <v>72200</v>
      </c>
      <c r="R87" s="895">
        <v>69800</v>
      </c>
      <c r="S87" s="895">
        <v>70100</v>
      </c>
      <c r="T87" s="895">
        <v>70600</v>
      </c>
      <c r="U87" s="200">
        <f>T87</f>
        <v>70600</v>
      </c>
      <c r="V87" s="895">
        <v>69900</v>
      </c>
      <c r="W87" s="895">
        <v>70300</v>
      </c>
      <c r="X87" s="895">
        <v>69700</v>
      </c>
      <c r="Y87" s="895">
        <v>69150</v>
      </c>
      <c r="Z87" s="200">
        <f>Y87</f>
        <v>69150</v>
      </c>
      <c r="AA87" s="895">
        <v>66500</v>
      </c>
      <c r="AB87" s="895">
        <v>65300</v>
      </c>
      <c r="AC87" s="895">
        <v>58000</v>
      </c>
      <c r="AD87" s="895">
        <v>55632</v>
      </c>
      <c r="AE87" s="200">
        <f>AD87</f>
        <v>55632</v>
      </c>
      <c r="AF87" s="895">
        <v>53735</v>
      </c>
      <c r="AG87" s="895">
        <v>51736</v>
      </c>
      <c r="AH87" s="895">
        <v>51000</v>
      </c>
      <c r="AI87" s="895">
        <v>51322</v>
      </c>
      <c r="AJ87" s="200">
        <f>AI87</f>
        <v>51322</v>
      </c>
      <c r="AK87" s="895">
        <v>52260</v>
      </c>
      <c r="AL87" s="895">
        <v>55542</v>
      </c>
      <c r="AM87" s="895">
        <v>55022</v>
      </c>
      <c r="AN87" s="895">
        <v>55044</v>
      </c>
      <c r="AO87" s="200">
        <f>AN87</f>
        <v>55044</v>
      </c>
      <c r="AP87" s="873"/>
      <c r="AQ87" s="895"/>
      <c r="AR87" s="895"/>
      <c r="AS87" s="895"/>
      <c r="AT87" s="275"/>
      <c r="AU87" s="895">
        <v>89575</v>
      </c>
      <c r="AV87" s="895">
        <v>89551</v>
      </c>
      <c r="AW87" s="895">
        <v>85507</v>
      </c>
      <c r="AX87" s="895">
        <v>84306</v>
      </c>
      <c r="AY87" s="275">
        <f>AX87</f>
        <v>84306</v>
      </c>
      <c r="AZ87" s="873">
        <v>83822</v>
      </c>
      <c r="BA87" s="895">
        <v>82968</v>
      </c>
      <c r="BB87" s="895">
        <v>81740</v>
      </c>
      <c r="BC87" s="895">
        <v>81106</v>
      </c>
      <c r="BD87" s="275">
        <f>BC87</f>
        <v>81106</v>
      </c>
      <c r="BE87" s="873">
        <v>81096</v>
      </c>
      <c r="BF87" s="895">
        <v>81916</v>
      </c>
      <c r="BG87" s="895">
        <v>79005</v>
      </c>
      <c r="BH87" s="895">
        <v>79684</v>
      </c>
      <c r="BI87" s="275">
        <f>BH87</f>
        <v>79684</v>
      </c>
      <c r="BJ87" s="873">
        <v>81563</v>
      </c>
      <c r="BK87" s="895">
        <v>82347</v>
      </c>
      <c r="BL87" s="895">
        <v>79709</v>
      </c>
      <c r="BM87" s="895">
        <v>78392</v>
      </c>
      <c r="BN87" s="325">
        <f>BM87</f>
        <v>78392</v>
      </c>
      <c r="BO87" s="873">
        <v>78761</v>
      </c>
      <c r="BP87" s="895">
        <v>80646</v>
      </c>
      <c r="BQ87" s="895">
        <v>76626</v>
      </c>
      <c r="BR87" s="895">
        <v>73561</v>
      </c>
      <c r="BS87" s="275">
        <f>BR87</f>
        <v>73561</v>
      </c>
      <c r="BT87" s="873">
        <v>73430</v>
      </c>
      <c r="BU87" s="895">
        <v>79629</v>
      </c>
      <c r="BV87" s="895">
        <v>77867</v>
      </c>
      <c r="BW87" s="895">
        <v>77755</v>
      </c>
      <c r="BX87" s="275">
        <f>BW87</f>
        <v>77755</v>
      </c>
      <c r="BY87" s="873">
        <v>78870</v>
      </c>
      <c r="BZ87" s="895">
        <v>80723</v>
      </c>
      <c r="CA87" s="895">
        <v>79714</v>
      </c>
      <c r="CB87" s="895">
        <v>79655</v>
      </c>
      <c r="CC87" s="275">
        <f>CB87</f>
        <v>79655</v>
      </c>
      <c r="CD87" s="873">
        <v>81055</v>
      </c>
      <c r="CE87" s="895">
        <v>83247</v>
      </c>
      <c r="CF87" s="895">
        <v>83033</v>
      </c>
      <c r="CG87" s="895">
        <v>82949</v>
      </c>
      <c r="CH87" s="275">
        <f>CG87</f>
        <v>82949</v>
      </c>
      <c r="CI87" s="873">
        <v>83817</v>
      </c>
      <c r="CJ87" s="895">
        <v>84791</v>
      </c>
      <c r="CK87" s="895">
        <v>84084</v>
      </c>
      <c r="CL87" s="895">
        <v>83756</v>
      </c>
      <c r="CM87" s="275">
        <f>CL87</f>
        <v>83756</v>
      </c>
      <c r="CN87" s="873">
        <v>85214</v>
      </c>
      <c r="CO87" s="895">
        <v>87263</v>
      </c>
      <c r="CP87" s="895">
        <v>87263</v>
      </c>
      <c r="CQ87" s="895">
        <v>87263</v>
      </c>
      <c r="CR87" s="275">
        <f>CQ87</f>
        <v>87263</v>
      </c>
      <c r="CS87" s="873">
        <v>85214</v>
      </c>
      <c r="CT87" s="895">
        <v>87263</v>
      </c>
      <c r="CU87" s="895">
        <v>87263</v>
      </c>
      <c r="CV87" s="895">
        <v>87263</v>
      </c>
      <c r="CW87" s="275">
        <f>CV87</f>
        <v>87263</v>
      </c>
      <c r="CX87" s="873">
        <v>87263</v>
      </c>
      <c r="CY87" s="25">
        <f>CY88*2-CX87</f>
        <v>89926.912137055828</v>
      </c>
      <c r="CZ87" s="25">
        <f t="shared" ref="CZ87:DA87" si="377">CZ88*2-CY87</f>
        <v>87386.924976970389</v>
      </c>
      <c r="DA87" s="25">
        <f t="shared" si="377"/>
        <v>90550.861489195027</v>
      </c>
      <c r="DB87" s="275">
        <f>DA87</f>
        <v>90550.861489195027</v>
      </c>
      <c r="DC87" s="28"/>
      <c r="DD87" s="28"/>
      <c r="DE87" s="25"/>
      <c r="DF87" s="25"/>
      <c r="DG87" s="275">
        <f>DG88*2-DB87</f>
        <v>87769.074975199997</v>
      </c>
      <c r="DH87" s="28"/>
      <c r="DI87" s="28"/>
      <c r="DJ87" s="25"/>
      <c r="DK87" s="25"/>
      <c r="DL87" s="275">
        <f>DL88*2-DG87</f>
        <v>90550.861489195027</v>
      </c>
      <c r="DM87" s="25"/>
      <c r="DN87" s="507"/>
      <c r="DO87" s="486"/>
      <c r="DP87" s="411"/>
      <c r="DQ87" s="411"/>
      <c r="DR87" s="411"/>
      <c r="DS87" s="770"/>
      <c r="DT87" s="553" t="s">
        <v>512</v>
      </c>
      <c r="DU87" s="832">
        <v>0.3</v>
      </c>
      <c r="DV87" s="832">
        <f>+DZ87</f>
        <v>0.21</v>
      </c>
      <c r="DW87" s="833">
        <v>0.03</v>
      </c>
      <c r="DX87" s="833">
        <v>0.03</v>
      </c>
      <c r="DY87" s="833">
        <v>0.03</v>
      </c>
      <c r="DZ87" s="833">
        <f>18%+3%</f>
        <v>0.21</v>
      </c>
      <c r="EA87" s="539"/>
      <c r="EH87" s="8"/>
    </row>
    <row r="88" spans="1:138" ht="12.75" customHeight="1" x14ac:dyDescent="0.2">
      <c r="A88" s="389" t="s">
        <v>26</v>
      </c>
      <c r="B88" s="28"/>
      <c r="C88" s="28">
        <f>AVERAGE(B87:C87)</f>
        <v>73050</v>
      </c>
      <c r="D88" s="28">
        <f>AVERAGE(C87:D87)</f>
        <v>74000</v>
      </c>
      <c r="E88" s="28">
        <f>AVERAGE(D87:E87)</f>
        <v>74400</v>
      </c>
      <c r="F88" s="275">
        <f>+AVERAGE(B88:E88)</f>
        <v>73816.666666666672</v>
      </c>
      <c r="G88" s="28">
        <f>AVERAGE(E87,G87)</f>
        <v>79350</v>
      </c>
      <c r="H88" s="28">
        <f>AVERAGE(G87:H87)</f>
        <v>83450</v>
      </c>
      <c r="I88" s="28">
        <f>AVERAGE(H87:I87)</f>
        <v>82900</v>
      </c>
      <c r="J88" s="28">
        <f>AVERAGE(I87:J87)</f>
        <v>80850</v>
      </c>
      <c r="K88" s="275">
        <f>+AVERAGE(G88:J88)</f>
        <v>81637.5</v>
      </c>
      <c r="L88" s="28">
        <f>AVERAGE(J87,L87)</f>
        <v>77200</v>
      </c>
      <c r="M88" s="28">
        <f>AVERAGE(L87:M87)</f>
        <v>75700</v>
      </c>
      <c r="N88" s="28">
        <f>AVERAGE(M87:N87)</f>
        <v>75850</v>
      </c>
      <c r="O88" s="28">
        <f>+AVERAGE(K88:N88)</f>
        <v>77596.875</v>
      </c>
      <c r="P88" s="275">
        <f>+AVERAGE(L88:O88)</f>
        <v>76586.71875</v>
      </c>
      <c r="Q88" s="28">
        <f>AVERAGE(O87,Q87)</f>
        <v>73650</v>
      </c>
      <c r="R88" s="28">
        <f>AVERAGE(Q87:R87)</f>
        <v>71000</v>
      </c>
      <c r="S88" s="28">
        <f>AVERAGE(R87:S87)</f>
        <v>69950</v>
      </c>
      <c r="T88" s="28">
        <f>AVERAGE(S87:T87)</f>
        <v>70350</v>
      </c>
      <c r="U88" s="275">
        <f>+AVERAGE(Q88:T88)</f>
        <v>71237.5</v>
      </c>
      <c r="V88" s="28">
        <f>AVERAGE(T87,V87)</f>
        <v>70250</v>
      </c>
      <c r="W88" s="28">
        <f>AVERAGE(V87:W87)</f>
        <v>70100</v>
      </c>
      <c r="X88" s="28">
        <f>AVERAGE(W87:X87)</f>
        <v>70000</v>
      </c>
      <c r="Y88" s="28">
        <f>AVERAGE(X87:Y87)</f>
        <v>69425</v>
      </c>
      <c r="Z88" s="275">
        <f>+AVERAGE(V88:Y88)</f>
        <v>69943.75</v>
      </c>
      <c r="AA88" s="28">
        <f>AVERAGE(Y87,AA87)</f>
        <v>67825</v>
      </c>
      <c r="AB88" s="28">
        <f>AVERAGE(AA87:AB87)</f>
        <v>65900</v>
      </c>
      <c r="AC88" s="28">
        <f>AVERAGE(AB87:AC87)</f>
        <v>61650</v>
      </c>
      <c r="AD88" s="28">
        <f>AVERAGE(AC87:AD87)</f>
        <v>56816</v>
      </c>
      <c r="AE88" s="275">
        <f>+AVERAGE(AA88:AD88)</f>
        <v>63047.75</v>
      </c>
      <c r="AF88" s="28">
        <f>AVERAGE(AD87,AF87)</f>
        <v>54683.5</v>
      </c>
      <c r="AG88" s="28">
        <f>AVERAGE(AF87:AG87)</f>
        <v>52735.5</v>
      </c>
      <c r="AH88" s="28">
        <f>AVERAGE(AG87:AH87)</f>
        <v>51368</v>
      </c>
      <c r="AI88" s="28">
        <f>AVERAGE(AH87:AI87)</f>
        <v>51161</v>
      </c>
      <c r="AJ88" s="275">
        <f>+AVERAGE(AF88:AI88)</f>
        <v>52487</v>
      </c>
      <c r="AK88" s="28">
        <f>AVERAGE(AI87,AK87)</f>
        <v>51791</v>
      </c>
      <c r="AL88" s="28">
        <f>AVERAGE(AK87:AL87)</f>
        <v>53901</v>
      </c>
      <c r="AM88" s="28">
        <f>AVERAGE(AL87:AM87)</f>
        <v>55282</v>
      </c>
      <c r="AN88" s="28">
        <f>AVERAGE(AM87:AN87)</f>
        <v>55033</v>
      </c>
      <c r="AO88" s="275">
        <f>+AVERAGE(AK88:AN88)</f>
        <v>54001.75</v>
      </c>
      <c r="AP88" s="325"/>
      <c r="AQ88" s="28"/>
      <c r="AR88" s="28"/>
      <c r="AS88" s="28"/>
      <c r="AT88" s="275"/>
      <c r="AU88" s="28">
        <f>AU87</f>
        <v>89575</v>
      </c>
      <c r="AV88" s="28">
        <f>(AV87+AU87)/2</f>
        <v>89563</v>
      </c>
      <c r="AW88" s="28">
        <f>(AW87+AV87)/2</f>
        <v>87529</v>
      </c>
      <c r="AX88" s="28">
        <f>(AX87+AW87)/2</f>
        <v>84906.5</v>
      </c>
      <c r="AY88" s="275">
        <f>+AVERAGE(AU88:AX88)</f>
        <v>87893.375</v>
      </c>
      <c r="AZ88" s="325">
        <f>(AZ87+AX87)/2</f>
        <v>84064</v>
      </c>
      <c r="BA88" s="28">
        <f>(BA87+AZ87)/2</f>
        <v>83395</v>
      </c>
      <c r="BB88" s="28">
        <f>(BB87+BA87)/2</f>
        <v>82354</v>
      </c>
      <c r="BC88" s="28">
        <f>(BC87+BB87)/2</f>
        <v>81423</v>
      </c>
      <c r="BD88" s="275">
        <f>+AVERAGE(AZ88:BC88)</f>
        <v>82809</v>
      </c>
      <c r="BE88" s="325">
        <f>(BE87+BC87)/2</f>
        <v>81101</v>
      </c>
      <c r="BF88" s="28">
        <f>(BF87+BE87)/2</f>
        <v>81506</v>
      </c>
      <c r="BG88" s="28">
        <f>(BG87+BF87)/2</f>
        <v>80460.5</v>
      </c>
      <c r="BH88" s="28">
        <f>(BH87+BG87)/2</f>
        <v>79344.5</v>
      </c>
      <c r="BI88" s="275">
        <f>+AVERAGE(BE88:BH88)</f>
        <v>80603</v>
      </c>
      <c r="BJ88" s="325">
        <f>(BJ87+BH87)/2</f>
        <v>80623.5</v>
      </c>
      <c r="BK88" s="28">
        <f>(BK87+BJ87)/2</f>
        <v>81955</v>
      </c>
      <c r="BL88" s="28">
        <f>(BL87+BK87)/2</f>
        <v>81028</v>
      </c>
      <c r="BM88" s="28">
        <f>(BM87+BL87)/2</f>
        <v>79050.5</v>
      </c>
      <c r="BN88" s="275">
        <f>+AVERAGE(BJ88:BM88)</f>
        <v>80664.25</v>
      </c>
      <c r="BO88" s="325">
        <f>(BO87+BM87)/2</f>
        <v>78576.5</v>
      </c>
      <c r="BP88" s="28">
        <f>(BP87+BO87)/2</f>
        <v>79703.5</v>
      </c>
      <c r="BQ88" s="28">
        <f>(BQ87+BP87)/2</f>
        <v>78636</v>
      </c>
      <c r="BR88" s="28">
        <f>(BR87+BQ87)/2</f>
        <v>75093.5</v>
      </c>
      <c r="BS88" s="275">
        <f>+AVERAGE(BO88:BR88)</f>
        <v>78002.375</v>
      </c>
      <c r="BT88" s="325">
        <f>(BT87+BR87)/2</f>
        <v>73495.5</v>
      </c>
      <c r="BU88" s="28">
        <f>(BU87+BT87)/2</f>
        <v>76529.5</v>
      </c>
      <c r="BV88" s="28">
        <f>(BV87+BU87)/2</f>
        <v>78748</v>
      </c>
      <c r="BW88" s="28">
        <f>(BW87+BV87)/2</f>
        <v>77811</v>
      </c>
      <c r="BX88" s="275">
        <f>+AVERAGE(BT88:BW88)</f>
        <v>76646</v>
      </c>
      <c r="BY88" s="325">
        <f>(BY87+BW87)/2</f>
        <v>78312.5</v>
      </c>
      <c r="BZ88" s="28">
        <f>(BZ87+BY87)/2</f>
        <v>79796.5</v>
      </c>
      <c r="CA88" s="28">
        <f>(CA87+BZ87)/2</f>
        <v>80218.5</v>
      </c>
      <c r="CB88" s="28">
        <f>(CB87+CA87)/2</f>
        <v>79684.5</v>
      </c>
      <c r="CC88" s="275">
        <f>+AVERAGE(BY88:CB88)</f>
        <v>79503</v>
      </c>
      <c r="CD88" s="325">
        <f>(CD87+CB87)/2</f>
        <v>80355</v>
      </c>
      <c r="CE88" s="28">
        <f>(CE87+CD87)/2</f>
        <v>82151</v>
      </c>
      <c r="CF88" s="28">
        <f>(CF87+CE87)/2</f>
        <v>83140</v>
      </c>
      <c r="CG88" s="28">
        <f>(CG87+CF87)/2</f>
        <v>82991</v>
      </c>
      <c r="CH88" s="275">
        <f>+AVERAGE(CD88:CG88)</f>
        <v>82159.25</v>
      </c>
      <c r="CI88" s="325">
        <f>(CI87+CG87)/2</f>
        <v>83383</v>
      </c>
      <c r="CJ88" s="28">
        <f>(CJ87+CI87)/2</f>
        <v>84304</v>
      </c>
      <c r="CK88" s="28">
        <f>(CK87+CJ87)/2</f>
        <v>84437.5</v>
      </c>
      <c r="CL88" s="28">
        <f>(CL87+CK87)/2</f>
        <v>83920</v>
      </c>
      <c r="CM88" s="275">
        <f>+AVERAGE(CI88:CL88)</f>
        <v>84011.125</v>
      </c>
      <c r="CN88" s="325">
        <f>(CN87+CL87)/2</f>
        <v>84485</v>
      </c>
      <c r="CO88" s="28">
        <f>(CO87+CN87)/2</f>
        <v>86238.5</v>
      </c>
      <c r="CP88" s="28">
        <f>(CP87+CO87)/2</f>
        <v>87263</v>
      </c>
      <c r="CQ88" s="28">
        <f>(CQ87+CP87)/2</f>
        <v>87263</v>
      </c>
      <c r="CR88" s="275">
        <f>+AVERAGE(CN88:CQ88)</f>
        <v>86312.375</v>
      </c>
      <c r="CS88" s="325">
        <f>(CS87+CL87)/2</f>
        <v>84485</v>
      </c>
      <c r="CT88" s="28">
        <f>(CT87+CS87)/2</f>
        <v>86238.5</v>
      </c>
      <c r="CU88" s="28">
        <f>(CU87+CT87)/2</f>
        <v>87263</v>
      </c>
      <c r="CV88" s="28">
        <f>(CV87+CU87)/2</f>
        <v>87263</v>
      </c>
      <c r="CW88" s="275">
        <f>+AVERAGE(CS88:CV88)</f>
        <v>86312.375</v>
      </c>
      <c r="CX88" s="325">
        <f>(CX87+CQ87)/2</f>
        <v>87263</v>
      </c>
      <c r="CY88" s="25">
        <f>CY90*CY25</f>
        <v>88594.956068527914</v>
      </c>
      <c r="CZ88" s="25">
        <f>CZ90*CZ25</f>
        <v>88656.918557013109</v>
      </c>
      <c r="DA88" s="25">
        <f>DA90*DA25</f>
        <v>88968.893233082708</v>
      </c>
      <c r="DB88" s="275">
        <f>+AVERAGE(CX88:DA88)</f>
        <v>88370.94196465594</v>
      </c>
      <c r="DC88" s="28"/>
      <c r="DD88" s="28"/>
      <c r="DE88" s="25"/>
      <c r="DF88" s="25"/>
      <c r="DG88" s="275">
        <f>DG90*DG25</f>
        <v>89159.968232197512</v>
      </c>
      <c r="DH88" s="28"/>
      <c r="DI88" s="28"/>
      <c r="DJ88" s="25"/>
      <c r="DK88" s="25"/>
      <c r="DL88" s="275">
        <f>DL90*DL25</f>
        <v>89159.968232197512</v>
      </c>
      <c r="DM88" s="419"/>
      <c r="DN88" s="508"/>
      <c r="DO88" s="486"/>
      <c r="DP88" s="411"/>
      <c r="DQ88" s="411"/>
      <c r="DR88" s="411"/>
      <c r="DS88" s="770"/>
      <c r="DT88" s="553" t="s">
        <v>536</v>
      </c>
      <c r="DU88" s="832">
        <v>0.2</v>
      </c>
      <c r="DV88" s="832">
        <f>14.5%*0.916666666666667+3.5%*0.0833333333333333</f>
        <v>0.13583333333333339</v>
      </c>
      <c r="DW88" s="832">
        <f>+DZ88*9/12+3%*3/12</f>
        <v>5.2500000000000005E-2</v>
      </c>
      <c r="DX88" s="832">
        <f>+DZ88*0.25+3%*0.75</f>
        <v>3.7499999999999999E-2</v>
      </c>
      <c r="DY88" s="833">
        <v>0.03</v>
      </c>
      <c r="DZ88" s="833">
        <v>0.06</v>
      </c>
      <c r="EA88" s="539"/>
      <c r="EH88" s="8"/>
    </row>
    <row r="89" spans="1:138" ht="12.75" customHeight="1" x14ac:dyDescent="0.2">
      <c r="A89" s="142" t="s">
        <v>244</v>
      </c>
      <c r="B89" s="35"/>
      <c r="C89" s="35"/>
      <c r="D89" s="35"/>
      <c r="E89" s="35"/>
      <c r="F89" s="209"/>
      <c r="G89" s="35"/>
      <c r="H89" s="35">
        <f>H88/C88-1</f>
        <v>0.14236824093086931</v>
      </c>
      <c r="I89" s="35">
        <f>I88/D88-1</f>
        <v>0.12027027027027026</v>
      </c>
      <c r="J89" s="35">
        <f>J88/E88-1</f>
        <v>8.6693548387096753E-2</v>
      </c>
      <c r="K89" s="201"/>
      <c r="L89" s="35">
        <f t="shared" ref="L89:AO89" si="378">L88/G88-1</f>
        <v>-2.7095148078134845E-2</v>
      </c>
      <c r="M89" s="35">
        <f t="shared" si="378"/>
        <v>-9.2869982025164721E-2</v>
      </c>
      <c r="N89" s="35">
        <f t="shared" si="378"/>
        <v>-8.5042219541616393E-2</v>
      </c>
      <c r="O89" s="35">
        <f t="shared" si="378"/>
        <v>-4.0236549165120539E-2</v>
      </c>
      <c r="P89" s="201">
        <f t="shared" si="378"/>
        <v>-6.1868396876435416E-2</v>
      </c>
      <c r="Q89" s="35">
        <f t="shared" si="378"/>
        <v>-4.5984455958549275E-2</v>
      </c>
      <c r="R89" s="35">
        <f t="shared" si="378"/>
        <v>-6.2087186261558736E-2</v>
      </c>
      <c r="S89" s="35">
        <f t="shared" si="378"/>
        <v>-7.7785102175346066E-2</v>
      </c>
      <c r="T89" s="35">
        <f t="shared" si="378"/>
        <v>-9.3391325359429733E-2</v>
      </c>
      <c r="U89" s="201">
        <f t="shared" si="378"/>
        <v>-6.9845253032204124E-2</v>
      </c>
      <c r="V89" s="35">
        <f t="shared" si="378"/>
        <v>-4.6164290563475929E-2</v>
      </c>
      <c r="W89" s="35">
        <f t="shared" si="378"/>
        <v>-1.2676056338028152E-2</v>
      </c>
      <c r="X89" s="35">
        <f t="shared" si="378"/>
        <v>7.1479628305937126E-4</v>
      </c>
      <c r="Y89" s="35">
        <f t="shared" si="378"/>
        <v>-1.3148542999289248E-2</v>
      </c>
      <c r="Z89" s="201">
        <f t="shared" si="378"/>
        <v>-1.8161080891384462E-2</v>
      </c>
      <c r="AA89" s="35">
        <f t="shared" si="378"/>
        <v>-3.4519572953736644E-2</v>
      </c>
      <c r="AB89" s="35">
        <f t="shared" si="378"/>
        <v>-5.9914407988587715E-2</v>
      </c>
      <c r="AC89" s="35">
        <f t="shared" si="378"/>
        <v>-0.11928571428571433</v>
      </c>
      <c r="AD89" s="35">
        <f t="shared" si="378"/>
        <v>-0.18162045372704361</v>
      </c>
      <c r="AE89" s="201">
        <f t="shared" si="378"/>
        <v>-9.8593512644088999E-2</v>
      </c>
      <c r="AF89" s="35">
        <f t="shared" si="378"/>
        <v>-0.19375598967932184</v>
      </c>
      <c r="AG89" s="35">
        <f t="shared" si="378"/>
        <v>-0.19976479514415779</v>
      </c>
      <c r="AH89" s="35">
        <f t="shared" si="378"/>
        <v>-0.16678021086780215</v>
      </c>
      <c r="AI89" s="35">
        <f t="shared" si="378"/>
        <v>-9.9531822021965644E-2</v>
      </c>
      <c r="AJ89" s="201">
        <f t="shared" si="378"/>
        <v>-0.16750399498792579</v>
      </c>
      <c r="AK89" s="35">
        <f t="shared" si="378"/>
        <v>-5.2895297484615966E-2</v>
      </c>
      <c r="AL89" s="35">
        <f t="shared" si="378"/>
        <v>2.2100861848280529E-2</v>
      </c>
      <c r="AM89" s="35">
        <f t="shared" si="378"/>
        <v>7.6195296682759706E-2</v>
      </c>
      <c r="AN89" s="35">
        <f t="shared" si="378"/>
        <v>7.5682648892711146E-2</v>
      </c>
      <c r="AO89" s="201">
        <f t="shared" si="378"/>
        <v>2.8859527121001483E-2</v>
      </c>
      <c r="AP89" s="324"/>
      <c r="AQ89" s="35"/>
      <c r="AR89" s="35"/>
      <c r="AS89" s="35"/>
      <c r="AT89" s="209"/>
      <c r="AU89" s="35"/>
      <c r="AV89" s="35"/>
      <c r="AW89" s="35"/>
      <c r="AX89" s="35"/>
      <c r="AY89" s="209"/>
      <c r="AZ89" s="324">
        <f>AZ88/AU88-1</f>
        <v>-6.1523862684900954E-2</v>
      </c>
      <c r="BA89" s="35">
        <f>BA88/AV88-1</f>
        <v>-6.8867724395118568E-2</v>
      </c>
      <c r="BB89" s="35">
        <f>BB88/AW88-1</f>
        <v>-5.9123262004592725E-2</v>
      </c>
      <c r="BC89" s="35">
        <f>BC88/AX88-1</f>
        <v>-4.1027483172666357E-2</v>
      </c>
      <c r="BD89" s="209"/>
      <c r="BE89" s="324">
        <f>BE88/AZ88-1</f>
        <v>-3.524695470118E-2</v>
      </c>
      <c r="BF89" s="35">
        <f>BF88/BA88-1</f>
        <v>-2.2651238083817971E-2</v>
      </c>
      <c r="BG89" s="35">
        <f>BG88/BB88-1</f>
        <v>-2.2992204385943626E-2</v>
      </c>
      <c r="BH89" s="35">
        <f>BH88/BC88-1</f>
        <v>-2.5527185193372826E-2</v>
      </c>
      <c r="BI89" s="209"/>
      <c r="BJ89" s="324">
        <f>BJ88/BE88-1</f>
        <v>-5.8877202500585701E-3</v>
      </c>
      <c r="BK89" s="35">
        <f>BK88/BF88-1</f>
        <v>5.5087968983877911E-3</v>
      </c>
      <c r="BL89" s="35">
        <f>BL88/BG88-1</f>
        <v>7.0531503035651255E-3</v>
      </c>
      <c r="BM89" s="35">
        <f>BM88/BH88-1</f>
        <v>-3.7053608000554572E-3</v>
      </c>
      <c r="BN89" s="324"/>
      <c r="BO89" s="324">
        <f>BO88/BJ88-1</f>
        <v>-2.5389619651838502E-2</v>
      </c>
      <c r="BP89" s="35">
        <f>BP88/BK88-1</f>
        <v>-2.7472393386614558E-2</v>
      </c>
      <c r="BQ89" s="35">
        <f>BQ88/BL88-1</f>
        <v>-2.9520659525102411E-2</v>
      </c>
      <c r="BR89" s="35">
        <f>BR88/BM88-1</f>
        <v>-5.0056609382609807E-2</v>
      </c>
      <c r="BS89" s="209"/>
      <c r="BT89" s="324">
        <f>BT88/BO88-1</f>
        <v>-6.4663099018154258E-2</v>
      </c>
      <c r="BU89" s="35">
        <f>BU88/BP88-1</f>
        <v>-3.9822592483391595E-2</v>
      </c>
      <c r="BV89" s="35">
        <f>BV88/BQ88-1</f>
        <v>1.4242840429319337E-3</v>
      </c>
      <c r="BW89" s="35">
        <f>BW88/BR88-1</f>
        <v>3.6188218687369655E-2</v>
      </c>
      <c r="BX89" s="209"/>
      <c r="BY89" s="324">
        <f>BY88/BT88-1</f>
        <v>6.5541427706458322E-2</v>
      </c>
      <c r="BZ89" s="35">
        <f>BZ88/BU88-1</f>
        <v>4.2689420419576685E-2</v>
      </c>
      <c r="CA89" s="35">
        <f>CA88/BV88-1</f>
        <v>1.8673490120383995E-2</v>
      </c>
      <c r="CB89" s="35">
        <f>CB88/BW88-1</f>
        <v>2.4077572579712436E-2</v>
      </c>
      <c r="CC89" s="209"/>
      <c r="CD89" s="324">
        <f>CD88/BY88-1</f>
        <v>2.6081404628890636E-2</v>
      </c>
      <c r="CE89" s="35">
        <f>CE88/BZ88-1</f>
        <v>2.950630666758558E-2</v>
      </c>
      <c r="CF89" s="35">
        <f>CF88/CA88-1</f>
        <v>3.6419279841931829E-2</v>
      </c>
      <c r="CG89" s="35">
        <f>CG88/CB88-1</f>
        <v>4.1494895494104789E-2</v>
      </c>
      <c r="CH89" s="209"/>
      <c r="CI89" s="324">
        <f>CI88/CD88-1</f>
        <v>3.7682782651981883E-2</v>
      </c>
      <c r="CJ89" s="35">
        <f>CJ88/CE88-1</f>
        <v>2.6207836788353145E-2</v>
      </c>
      <c r="CK89" s="35">
        <f>CK88/CF88-1</f>
        <v>1.5606206398845357E-2</v>
      </c>
      <c r="CL89" s="35">
        <f>CL88/CG88-1</f>
        <v>1.1193984889927844E-2</v>
      </c>
      <c r="CM89" s="209"/>
      <c r="CN89" s="324">
        <f>CN88/CI88-1</f>
        <v>1.3216123190578521E-2</v>
      </c>
      <c r="CO89" s="35">
        <f>CO88/CJ88-1</f>
        <v>2.2946716644524523E-2</v>
      </c>
      <c r="CP89" s="35">
        <f>CP88/CK88-1</f>
        <v>3.3462620281273114E-2</v>
      </c>
      <c r="CQ89" s="35">
        <f>CQ88/CL88-1</f>
        <v>3.9835557673975286E-2</v>
      </c>
      <c r="CR89" s="209"/>
      <c r="CS89" s="324">
        <f>CS88/CI88-1</f>
        <v>1.3216123190578521E-2</v>
      </c>
      <c r="CT89" s="35">
        <f>CT88/CJ88-1</f>
        <v>2.2946716644524523E-2</v>
      </c>
      <c r="CU89" s="35">
        <f>CU88/CK88-1</f>
        <v>3.3462620281273114E-2</v>
      </c>
      <c r="CV89" s="35">
        <f>CV88/CL88-1</f>
        <v>3.9835557673975286E-2</v>
      </c>
      <c r="CW89" s="209"/>
      <c r="CX89" s="324">
        <f>CX88/CS88-1</f>
        <v>3.2881576611232699E-2</v>
      </c>
      <c r="CY89" s="35">
        <f>CY88/CT88-1</f>
        <v>2.73248730964466E-2</v>
      </c>
      <c r="CZ89" s="35">
        <f>CZ88/CU88-1</f>
        <v>1.5973763874873814E-2</v>
      </c>
      <c r="DA89" s="35">
        <f>DA88/CV88-1</f>
        <v>1.9548872180451093E-2</v>
      </c>
      <c r="DB89" s="209">
        <f>DB88/CW88-1</f>
        <v>2.3850194884058595E-2</v>
      </c>
      <c r="DC89" s="35"/>
      <c r="DD89" s="35"/>
      <c r="DE89" s="35"/>
      <c r="DF89" s="35"/>
      <c r="DG89" s="209">
        <f>DG88/DB88-1</f>
        <v>8.9285714285713969E-3</v>
      </c>
      <c r="DH89" s="35"/>
      <c r="DI89" s="35"/>
      <c r="DJ89" s="35"/>
      <c r="DK89" s="35"/>
      <c r="DL89" s="209">
        <f>DL88/DG88-1</f>
        <v>0</v>
      </c>
      <c r="DM89" s="20"/>
      <c r="DN89" s="500"/>
      <c r="DO89" s="486"/>
      <c r="DP89" s="411"/>
      <c r="DQ89" s="411"/>
      <c r="DR89" s="411"/>
      <c r="DS89" s="770"/>
      <c r="DT89" s="553" t="s">
        <v>535</v>
      </c>
      <c r="DU89" s="832">
        <v>0.15</v>
      </c>
      <c r="DV89" s="832">
        <f>14.5%*0.916666666666667+3.5%*0.0833333333333333</f>
        <v>0.13583333333333339</v>
      </c>
      <c r="DW89" s="832">
        <f>+DZ89*9/12+3%*3/12</f>
        <v>5.2500000000000005E-2</v>
      </c>
      <c r="DX89" s="832">
        <f>+DZ89*0.25+3%*0.75</f>
        <v>3.7499999999999999E-2</v>
      </c>
      <c r="DY89" s="833">
        <v>0.03</v>
      </c>
      <c r="DZ89" s="833">
        <v>0.06</v>
      </c>
      <c r="EA89" s="502"/>
      <c r="EH89" s="8"/>
    </row>
    <row r="90" spans="1:138" ht="12.75" customHeight="1" x14ac:dyDescent="0.2">
      <c r="A90" s="146" t="s">
        <v>27</v>
      </c>
      <c r="B90" s="44"/>
      <c r="C90" s="44">
        <f t="shared" ref="C90:AO90" si="379">C88/C25</f>
        <v>123.91857506361323</v>
      </c>
      <c r="D90" s="44">
        <f t="shared" si="379"/>
        <v>123.84937238493724</v>
      </c>
      <c r="E90" s="44">
        <f t="shared" si="379"/>
        <v>123.28086164043081</v>
      </c>
      <c r="F90" s="210">
        <f t="shared" si="379"/>
        <v>123.7496507404303</v>
      </c>
      <c r="G90" s="44">
        <f t="shared" si="379"/>
        <v>110.66945606694561</v>
      </c>
      <c r="H90" s="44">
        <f t="shared" si="379"/>
        <v>100.84592145015105</v>
      </c>
      <c r="I90" s="44">
        <f t="shared" si="379"/>
        <v>100.24183796856106</v>
      </c>
      <c r="J90" s="44">
        <f t="shared" si="379"/>
        <v>98.477466504263091</v>
      </c>
      <c r="K90" s="210">
        <f t="shared" si="379"/>
        <v>115.06342494714588</v>
      </c>
      <c r="L90" s="44">
        <f t="shared" si="379"/>
        <v>93.803159173754551</v>
      </c>
      <c r="M90" s="44">
        <f t="shared" si="379"/>
        <v>91.040288634996998</v>
      </c>
      <c r="N90" s="44">
        <f t="shared" si="379"/>
        <v>91.77253478523896</v>
      </c>
      <c r="O90" s="44">
        <f t="shared" si="379"/>
        <v>93.886116152450086</v>
      </c>
      <c r="P90" s="210">
        <f t="shared" si="379"/>
        <v>93.114551671732528</v>
      </c>
      <c r="Q90" s="44">
        <f t="shared" si="379"/>
        <v>88.841978287092886</v>
      </c>
      <c r="R90" s="44">
        <f t="shared" si="379"/>
        <v>86.427267194157025</v>
      </c>
      <c r="S90" s="44">
        <f t="shared" si="379"/>
        <v>85.045592705167167</v>
      </c>
      <c r="T90" s="44">
        <f t="shared" si="379"/>
        <v>84.657039711191331</v>
      </c>
      <c r="U90" s="210">
        <f t="shared" si="379"/>
        <v>85.621995192307693</v>
      </c>
      <c r="V90" s="44">
        <f t="shared" si="379"/>
        <v>84.081388390185523</v>
      </c>
      <c r="W90" s="44">
        <f t="shared" si="379"/>
        <v>83.452380952380949</v>
      </c>
      <c r="X90" s="44">
        <f t="shared" si="379"/>
        <v>83.135391923990497</v>
      </c>
      <c r="Y90" s="44">
        <f t="shared" si="379"/>
        <v>82.305868405453467</v>
      </c>
      <c r="Z90" s="210">
        <f t="shared" si="379"/>
        <v>83.365613825983317</v>
      </c>
      <c r="AA90" s="44">
        <f t="shared" si="379"/>
        <v>80.456702253855283</v>
      </c>
      <c r="AB90" s="44">
        <f t="shared" si="379"/>
        <v>77.076023391812868</v>
      </c>
      <c r="AC90" s="44">
        <f t="shared" si="379"/>
        <v>79.497098646034814</v>
      </c>
      <c r="AD90" s="44">
        <f t="shared" si="379"/>
        <v>85.373403456048081</v>
      </c>
      <c r="AE90" s="210">
        <f t="shared" si="379"/>
        <v>84.401271753681385</v>
      </c>
      <c r="AF90" s="44">
        <f t="shared" si="379"/>
        <v>84.978243978243981</v>
      </c>
      <c r="AG90" s="44">
        <f t="shared" si="379"/>
        <v>83.5083135391924</v>
      </c>
      <c r="AH90" s="44">
        <f t="shared" si="379"/>
        <v>83.389610389610397</v>
      </c>
      <c r="AI90" s="44">
        <f t="shared" si="379"/>
        <v>84.773819386909693</v>
      </c>
      <c r="AJ90" s="210">
        <f t="shared" si="379"/>
        <v>84.046437149719779</v>
      </c>
      <c r="AK90" s="44">
        <f t="shared" si="379"/>
        <v>87.484797297297291</v>
      </c>
      <c r="AL90" s="44">
        <f t="shared" si="379"/>
        <v>93.173725151253237</v>
      </c>
      <c r="AM90" s="44">
        <f t="shared" si="379"/>
        <v>96.059079061685495</v>
      </c>
      <c r="AN90" s="44">
        <f t="shared" si="379"/>
        <v>95.212802768166085</v>
      </c>
      <c r="AO90" s="210">
        <f t="shared" si="379"/>
        <v>91.683786078098478</v>
      </c>
      <c r="AP90" s="44"/>
      <c r="AQ90" s="44"/>
      <c r="AR90" s="44"/>
      <c r="AS90" s="44"/>
      <c r="AT90" s="210"/>
      <c r="AU90" s="44">
        <f>AU88/AU25</f>
        <v>87.732615083251716</v>
      </c>
      <c r="AV90" s="44">
        <f>AV88/AV25</f>
        <v>87.293372319688103</v>
      </c>
      <c r="AW90" s="44">
        <f>AW88/AW25</f>
        <v>85.352510970258407</v>
      </c>
      <c r="AX90" s="44">
        <f>AX88/AX25</f>
        <v>83.11943220753794</v>
      </c>
      <c r="AY90" s="210"/>
      <c r="AZ90" s="44">
        <f t="shared" ref="AZ90:CE90" si="380">AZ88/AZ25</f>
        <v>82.496565260058887</v>
      </c>
      <c r="BA90" s="44">
        <f t="shared" si="380"/>
        <v>82.081692913385822</v>
      </c>
      <c r="BB90" s="44">
        <f t="shared" si="380"/>
        <v>81.619425173439055</v>
      </c>
      <c r="BC90" s="44">
        <f t="shared" si="380"/>
        <v>82.079637096774192</v>
      </c>
      <c r="BD90" s="210">
        <f t="shared" si="380"/>
        <v>82.561316051844472</v>
      </c>
      <c r="BE90" s="44">
        <f t="shared" si="380"/>
        <v>83.223191380194976</v>
      </c>
      <c r="BF90" s="44">
        <f t="shared" si="380"/>
        <v>84.725571725571726</v>
      </c>
      <c r="BG90" s="44">
        <f t="shared" si="380"/>
        <v>90.455874086565487</v>
      </c>
      <c r="BH90" s="44">
        <f t="shared" si="380"/>
        <v>96.998166259168698</v>
      </c>
      <c r="BI90" s="210">
        <f t="shared" si="380"/>
        <v>89.65850945494995</v>
      </c>
      <c r="BJ90" s="44">
        <f t="shared" si="380"/>
        <v>99.535185185185185</v>
      </c>
      <c r="BK90" s="44">
        <f t="shared" si="380"/>
        <v>101.93407960199005</v>
      </c>
      <c r="BL90" s="44">
        <f t="shared" si="380"/>
        <v>101.73006905210295</v>
      </c>
      <c r="BM90" s="44">
        <f t="shared" si="380"/>
        <v>101.02300319488818</v>
      </c>
      <c r="BN90" s="326">
        <f t="shared" si="380"/>
        <v>101.46446540880503</v>
      </c>
      <c r="BO90" s="44">
        <f t="shared" si="380"/>
        <v>101.71715210355987</v>
      </c>
      <c r="BP90" s="44">
        <f t="shared" si="380"/>
        <v>103.30978613091381</v>
      </c>
      <c r="BQ90" s="44">
        <f t="shared" si="380"/>
        <v>104.98798397863818</v>
      </c>
      <c r="BR90" s="44">
        <f t="shared" si="380"/>
        <v>104.15187239944521</v>
      </c>
      <c r="BS90" s="210">
        <f t="shared" si="380"/>
        <v>104.56082439678285</v>
      </c>
      <c r="BT90" s="44">
        <f t="shared" si="380"/>
        <v>102.36142061281338</v>
      </c>
      <c r="BU90" s="44">
        <f t="shared" si="380"/>
        <v>105.84993084370677</v>
      </c>
      <c r="BV90" s="44">
        <f t="shared" si="380"/>
        <v>96.801475107559924</v>
      </c>
      <c r="BW90" s="44">
        <f t="shared" si="380"/>
        <v>85.884105960264904</v>
      </c>
      <c r="BX90" s="210">
        <f t="shared" si="380"/>
        <v>94.101903007980354</v>
      </c>
      <c r="BY90" s="44">
        <f t="shared" si="380"/>
        <v>86.010433827567269</v>
      </c>
      <c r="BZ90" s="44">
        <f t="shared" si="380"/>
        <v>87.161660294920807</v>
      </c>
      <c r="CA90" s="44">
        <f t="shared" si="380"/>
        <v>87.288900979325348</v>
      </c>
      <c r="CB90" s="44">
        <f t="shared" si="380"/>
        <v>87.039322774440194</v>
      </c>
      <c r="CC90" s="210">
        <f t="shared" si="380"/>
        <v>87.031198686371098</v>
      </c>
      <c r="CD90" s="44">
        <f t="shared" si="380"/>
        <v>87.96387520525451</v>
      </c>
      <c r="CE90" s="44">
        <f t="shared" si="380"/>
        <v>89.880743982494536</v>
      </c>
      <c r="CF90" s="44">
        <f t="shared" ref="CF90:CX90" si="381">CF88/CF25</f>
        <v>90.320478001086371</v>
      </c>
      <c r="CG90" s="44">
        <f t="shared" si="381"/>
        <v>89.67152890329551</v>
      </c>
      <c r="CH90" s="210">
        <f t="shared" si="381"/>
        <v>89.255024443237374</v>
      </c>
      <c r="CI90" s="44">
        <f t="shared" si="381"/>
        <v>89.803984921917078</v>
      </c>
      <c r="CJ90" s="44">
        <f t="shared" si="381"/>
        <v>89.924266666666668</v>
      </c>
      <c r="CK90" s="44">
        <f t="shared" si="381"/>
        <v>88.694852941176464</v>
      </c>
      <c r="CL90" s="44">
        <f t="shared" si="381"/>
        <v>87.144340602284529</v>
      </c>
      <c r="CM90" s="210">
        <f t="shared" si="381"/>
        <v>88.806686046511629</v>
      </c>
      <c r="CN90" s="44">
        <f t="shared" si="381"/>
        <v>86.651282051282053</v>
      </c>
      <c r="CO90" s="44">
        <f t="shared" si="381"/>
        <v>87.551776649746188</v>
      </c>
      <c r="CP90" s="44">
        <f t="shared" si="381"/>
        <v>88.055499495459131</v>
      </c>
      <c r="CQ90" s="44">
        <f t="shared" si="381"/>
        <v>87.481704260651625</v>
      </c>
      <c r="CR90" s="210">
        <f t="shared" si="381"/>
        <v>87.849745547073795</v>
      </c>
      <c r="CS90" s="44">
        <f t="shared" si="381"/>
        <v>86.651282051282053</v>
      </c>
      <c r="CT90" s="44">
        <f t="shared" si="381"/>
        <v>87.551776649746188</v>
      </c>
      <c r="CU90" s="44">
        <f t="shared" si="381"/>
        <v>88.055499495459131</v>
      </c>
      <c r="CV90" s="44">
        <f t="shared" si="381"/>
        <v>87.481704260651625</v>
      </c>
      <c r="CW90" s="210">
        <f t="shared" si="381"/>
        <v>87.849745547073795</v>
      </c>
      <c r="CX90" s="44">
        <f t="shared" si="381"/>
        <v>86.570436507936506</v>
      </c>
      <c r="CY90" s="44">
        <f>CT90*(1+CY91)</f>
        <v>87.114017766497454</v>
      </c>
      <c r="CZ90" s="44">
        <f>CU90*(1+CZ91)</f>
        <v>87.174944500504537</v>
      </c>
      <c r="DA90" s="44">
        <f>CV90*(1+DA91)</f>
        <v>87.481704260651625</v>
      </c>
      <c r="DB90" s="210">
        <f>DB88/DB25</f>
        <v>87.669585282396767</v>
      </c>
      <c r="DC90" s="44"/>
      <c r="DD90" s="44"/>
      <c r="DE90" s="44"/>
      <c r="DF90" s="44"/>
      <c r="DG90" s="210">
        <f>DB90*(1+DG91)</f>
        <v>87.669585282396767</v>
      </c>
      <c r="DH90" s="44"/>
      <c r="DI90" s="44"/>
      <c r="DJ90" s="44"/>
      <c r="DK90" s="44"/>
      <c r="DL90" s="210">
        <f>DG90*(1+DL91)</f>
        <v>87.669585282396767</v>
      </c>
      <c r="DM90" s="420"/>
      <c r="DN90" s="509"/>
      <c r="DO90" s="822">
        <f>AVERAGE(AF90,AK90,AP90,AU90,AZ90,BE90,BJ90,AA90,BO90,BT90,BY90,CD90)</f>
        <v>89.450925653389319</v>
      </c>
      <c r="DP90" s="823">
        <f t="shared" ref="DP90" si="382">AVERAGE(AG90,AL90,AQ90,AV90,BA90,BF90,BK90,AB90,BP90,BU90,BZ90,CE90)</f>
        <v>90.544990899539116</v>
      </c>
      <c r="DQ90" s="823">
        <f t="shared" ref="DQ90" si="383">AVERAGE(AH90,AM90,AR90,AW90,BB90,BG90,BL90,AC90,BQ90,BV90,CA90,CF90)</f>
        <v>90.682045949664229</v>
      </c>
      <c r="DR90" s="823">
        <f t="shared" ref="DR90" si="384">AVERAGE(AI90,AN90,AS90,AX90,BC90,BH90,BM90,AD90,BR90,BW90,CB90,CG90)</f>
        <v>90.484281309721709</v>
      </c>
      <c r="DS90" s="770"/>
      <c r="DT90" s="553" t="s">
        <v>238</v>
      </c>
      <c r="DU90" s="832">
        <f>1-SUM(DU87:DU89)</f>
        <v>0.35</v>
      </c>
      <c r="DV90" s="833">
        <v>0.03</v>
      </c>
      <c r="DW90" s="832">
        <f>+DZ90*9/12+3%*3/12</f>
        <v>5.2500000000000005E-2</v>
      </c>
      <c r="DX90" s="832">
        <f>+DZ90*0.25+3%*0.75</f>
        <v>3.7499999999999999E-2</v>
      </c>
      <c r="DY90" s="833">
        <v>0.03</v>
      </c>
      <c r="DZ90" s="833">
        <v>0.06</v>
      </c>
      <c r="EA90" s="539"/>
      <c r="EH90" s="8"/>
    </row>
    <row r="91" spans="1:138" ht="12.75" customHeight="1" x14ac:dyDescent="0.2">
      <c r="A91" s="148" t="s">
        <v>244</v>
      </c>
      <c r="B91" s="35"/>
      <c r="C91" s="35"/>
      <c r="D91" s="35"/>
      <c r="E91" s="35"/>
      <c r="F91" s="209"/>
      <c r="G91" s="35"/>
      <c r="H91" s="35">
        <f>H90/C90-1</f>
        <v>-0.1861920507205469</v>
      </c>
      <c r="I91" s="35">
        <f>I90/D90-1</f>
        <v>-0.19061488937546989</v>
      </c>
      <c r="J91" s="35">
        <f>J90/E90-1</f>
        <v>-0.20119420651447883</v>
      </c>
      <c r="K91" s="209"/>
      <c r="L91" s="35">
        <f t="shared" ref="L91:AO91" si="385">L90/G90-1</f>
        <v>-0.15240245585907997</v>
      </c>
      <c r="M91" s="35">
        <f t="shared" si="385"/>
        <v>-9.7233806525344302E-2</v>
      </c>
      <c r="N91" s="35">
        <f t="shared" si="385"/>
        <v>-8.4488706062815111E-2</v>
      </c>
      <c r="O91" s="35">
        <f t="shared" si="385"/>
        <v>-4.662335978773624E-2</v>
      </c>
      <c r="P91" s="209">
        <f t="shared" si="385"/>
        <v>-0.19075456241195243</v>
      </c>
      <c r="Q91" s="35">
        <f t="shared" si="385"/>
        <v>-5.2889272923867248E-2</v>
      </c>
      <c r="R91" s="35">
        <f t="shared" si="385"/>
        <v>-5.0670110013982028E-2</v>
      </c>
      <c r="S91" s="35">
        <f t="shared" si="385"/>
        <v>-7.3300166502034747E-2</v>
      </c>
      <c r="T91" s="35">
        <f t="shared" si="385"/>
        <v>-9.8300758615606165E-2</v>
      </c>
      <c r="U91" s="209">
        <f t="shared" si="385"/>
        <v>-8.0466010359360407E-2</v>
      </c>
      <c r="V91" s="35">
        <f t="shared" si="385"/>
        <v>-5.3584915472317807E-2</v>
      </c>
      <c r="W91" s="35">
        <f t="shared" si="385"/>
        <v>-3.442069081153587E-2</v>
      </c>
      <c r="X91" s="35">
        <f t="shared" si="385"/>
        <v>-2.2460902680740635E-2</v>
      </c>
      <c r="Y91" s="35">
        <f t="shared" si="385"/>
        <v>-2.7772897726626389E-2</v>
      </c>
      <c r="Z91" s="209">
        <f t="shared" si="385"/>
        <v>-2.6352823959036709E-2</v>
      </c>
      <c r="AA91" s="35">
        <f t="shared" si="385"/>
        <v>-4.310925646838315E-2</v>
      </c>
      <c r="AB91" s="35">
        <f t="shared" si="385"/>
        <v>-7.6407137672998449E-2</v>
      </c>
      <c r="AC91" s="35">
        <f t="shared" si="385"/>
        <v>-4.3763470571981156E-2</v>
      </c>
      <c r="AD91" s="35">
        <f t="shared" si="385"/>
        <v>3.726994332267286E-2</v>
      </c>
      <c r="AE91" s="209">
        <f t="shared" si="385"/>
        <v>1.2423082853559864E-2</v>
      </c>
      <c r="AF91" s="35">
        <f t="shared" si="385"/>
        <v>5.6198447086762471E-2</v>
      </c>
      <c r="AG91" s="35">
        <f t="shared" si="385"/>
        <v>8.345384030363423E-2</v>
      </c>
      <c r="AH91" s="35">
        <f t="shared" si="385"/>
        <v>4.8964198818213456E-2</v>
      </c>
      <c r="AI91" s="35">
        <f t="shared" si="385"/>
        <v>-7.0230779711981661E-3</v>
      </c>
      <c r="AJ91" s="209">
        <f t="shared" si="385"/>
        <v>-4.2041381200649264E-3</v>
      </c>
      <c r="AK91" s="35">
        <f t="shared" si="385"/>
        <v>2.9496412278124273E-2</v>
      </c>
      <c r="AL91" s="35">
        <f t="shared" si="385"/>
        <v>0.11574190882833046</v>
      </c>
      <c r="AM91" s="35">
        <f t="shared" si="385"/>
        <v>0.15193102129727176</v>
      </c>
      <c r="AN91" s="35">
        <f t="shared" si="385"/>
        <v>0.12313923634386015</v>
      </c>
      <c r="AO91" s="209">
        <f t="shared" si="385"/>
        <v>9.0870585207241783E-2</v>
      </c>
      <c r="AP91" s="324"/>
      <c r="AQ91" s="35"/>
      <c r="AR91" s="35"/>
      <c r="AS91" s="35"/>
      <c r="AT91" s="209"/>
      <c r="AU91" s="35"/>
      <c r="AV91" s="35"/>
      <c r="AW91" s="35"/>
      <c r="AX91" s="35"/>
      <c r="AY91" s="209"/>
      <c r="AZ91" s="324">
        <f>AZ90/AU90-1</f>
        <v>-5.9681907557687763E-2</v>
      </c>
      <c r="BA91" s="35">
        <f>BA90/AV90-1</f>
        <v>-5.9703036643101948E-2</v>
      </c>
      <c r="BB91" s="35">
        <f>BB90/AW90-1</f>
        <v>-4.3737269757888719E-2</v>
      </c>
      <c r="BC91" s="35">
        <f>BC90/AX90-1</f>
        <v>-1.2509651271047195E-2</v>
      </c>
      <c r="BD91" s="209"/>
      <c r="BE91" s="324">
        <f t="shared" ref="BE91:CA91" si="386">BE90/AZ90-1</f>
        <v>8.8079560384786149E-3</v>
      </c>
      <c r="BF91" s="35">
        <f t="shared" si="386"/>
        <v>3.2210334830396148E-2</v>
      </c>
      <c r="BG91" s="35">
        <f t="shared" si="386"/>
        <v>0.10826404246720944</v>
      </c>
      <c r="BH91" s="35">
        <f t="shared" si="386"/>
        <v>0.18175676318847689</v>
      </c>
      <c r="BI91" s="209">
        <f t="shared" si="386"/>
        <v>8.5962697089867035E-2</v>
      </c>
      <c r="BJ91" s="324">
        <f t="shared" si="386"/>
        <v>0.19600298347693568</v>
      </c>
      <c r="BK91" s="35">
        <f t="shared" si="386"/>
        <v>0.20310878434856861</v>
      </c>
      <c r="BL91" s="35">
        <f t="shared" si="386"/>
        <v>0.12463751060266315</v>
      </c>
      <c r="BM91" s="35">
        <f t="shared" si="386"/>
        <v>4.1493948709973916E-2</v>
      </c>
      <c r="BN91" s="324">
        <f>BN90/BI90-1</f>
        <v>0.13167691528250458</v>
      </c>
      <c r="BO91" s="324">
        <f t="shared" si="386"/>
        <v>2.192156386020816E-2</v>
      </c>
      <c r="BP91" s="35">
        <f t="shared" si="386"/>
        <v>1.3496041111032975E-2</v>
      </c>
      <c r="BQ91" s="35">
        <f t="shared" si="386"/>
        <v>3.202509304173029E-2</v>
      </c>
      <c r="BR91" s="35">
        <f t="shared" si="386"/>
        <v>3.0971849040371424E-2</v>
      </c>
      <c r="BS91" s="209">
        <f>BS90/BN90-1</f>
        <v>3.0516683604476125E-2</v>
      </c>
      <c r="BT91" s="324">
        <f t="shared" si="386"/>
        <v>6.3339220173759259E-3</v>
      </c>
      <c r="BU91" s="35">
        <f t="shared" si="386"/>
        <v>2.4587648546422258E-2</v>
      </c>
      <c r="BV91" s="35">
        <f t="shared" si="386"/>
        <v>-7.7975674556661323E-2</v>
      </c>
      <c r="BW91" s="35">
        <f t="shared" si="386"/>
        <v>-0.17539546835144193</v>
      </c>
      <c r="BX91" s="209">
        <f>BX90/BS90-1</f>
        <v>-0.10002715117387972</v>
      </c>
      <c r="BY91" s="324">
        <f t="shared" si="386"/>
        <v>-0.15973778682785622</v>
      </c>
      <c r="BZ91" s="35">
        <f t="shared" si="386"/>
        <v>-0.17655439545237139</v>
      </c>
      <c r="CA91" s="35">
        <f t="shared" si="386"/>
        <v>-9.8268896395068195E-2</v>
      </c>
      <c r="CB91" s="35">
        <f t="shared" ref="CB91:CK91" si="387">CB90/BW90-1</f>
        <v>1.3450880128038634E-2</v>
      </c>
      <c r="CC91" s="209">
        <f t="shared" si="387"/>
        <v>-7.5138802676600669E-2</v>
      </c>
      <c r="CD91" s="324">
        <f t="shared" si="387"/>
        <v>2.2711679162129128E-2</v>
      </c>
      <c r="CE91" s="35">
        <f t="shared" si="387"/>
        <v>3.1195868440016206E-2</v>
      </c>
      <c r="CF91" s="35">
        <f t="shared" si="387"/>
        <v>3.4730383677061827E-2</v>
      </c>
      <c r="CG91" s="35">
        <f t="shared" si="387"/>
        <v>3.0241574094924895E-2</v>
      </c>
      <c r="CH91" s="209">
        <f t="shared" si="387"/>
        <v>2.5552052487294086E-2</v>
      </c>
      <c r="CI91" s="324">
        <f t="shared" si="387"/>
        <v>2.0918925097022756E-2</v>
      </c>
      <c r="CJ91" s="35">
        <f t="shared" si="387"/>
        <v>4.8422701285844028E-4</v>
      </c>
      <c r="CK91" s="35">
        <f t="shared" si="387"/>
        <v>-1.799841072464603E-2</v>
      </c>
      <c r="CL91" s="35">
        <f t="shared" ref="CL91" si="388">CL90/CG90-1</f>
        <v>-2.8182727917312245E-2</v>
      </c>
      <c r="CM91" s="209">
        <f t="shared" ref="CM91" si="389">CM90/CH90-1</f>
        <v>-5.0231166202959754E-3</v>
      </c>
      <c r="CN91" s="324">
        <f t="shared" ref="CN91" si="390">CN90/CI90-1</f>
        <v>-3.5106491915433802E-2</v>
      </c>
      <c r="CO91" s="35">
        <f t="shared" ref="CO91" si="391">CO90/CJ90-1</f>
        <v>-2.638320116320636E-2</v>
      </c>
      <c r="CP91" s="35">
        <f t="shared" ref="CP91" si="392">CP90/CK90-1</f>
        <v>-7.2084616470513563E-3</v>
      </c>
      <c r="CQ91" s="35">
        <f t="shared" ref="CQ91" si="393">CQ90/CL90-1</f>
        <v>3.8713203408902164E-3</v>
      </c>
      <c r="CR91" s="209">
        <f t="shared" ref="CR91" si="394">CR90/CM90-1</f>
        <v>-1.0775545649081453E-2</v>
      </c>
      <c r="CS91" s="324">
        <f t="shared" ref="CS91:CW91" si="395">CS90/CI90-1</f>
        <v>-3.5106491915433802E-2</v>
      </c>
      <c r="CT91" s="35">
        <f t="shared" si="395"/>
        <v>-2.638320116320636E-2</v>
      </c>
      <c r="CU91" s="35">
        <f t="shared" si="395"/>
        <v>-7.2084616470513563E-3</v>
      </c>
      <c r="CV91" s="35">
        <f t="shared" si="395"/>
        <v>3.8713203408902164E-3</v>
      </c>
      <c r="CW91" s="209">
        <f t="shared" si="395"/>
        <v>-1.0775545649081453E-2</v>
      </c>
      <c r="CX91" s="324">
        <f>CX90/CS90-1</f>
        <v>-9.3299881353980929E-4</v>
      </c>
      <c r="CY91" s="785">
        <v>-5.0000000000000001E-3</v>
      </c>
      <c r="CZ91" s="785">
        <v>-0.01</v>
      </c>
      <c r="DA91" s="785">
        <v>0</v>
      </c>
      <c r="DB91" s="781">
        <f>DB90/CW90-1</f>
        <v>-2.0507773079488922E-3</v>
      </c>
      <c r="DC91" s="35"/>
      <c r="DD91" s="35"/>
      <c r="DE91" s="33"/>
      <c r="DF91" s="33"/>
      <c r="DG91" s="283">
        <v>0</v>
      </c>
      <c r="DH91" s="35"/>
      <c r="DI91" s="35"/>
      <c r="DJ91" s="33"/>
      <c r="DK91" s="33"/>
      <c r="DL91" s="283">
        <v>0</v>
      </c>
      <c r="DM91" s="33"/>
      <c r="DN91" s="499"/>
      <c r="DO91" s="817">
        <f>+DO90/DR90-1</f>
        <v>-1.1420278101069048E-2</v>
      </c>
      <c r="DP91" s="821">
        <f>+DP90/DO90-1</f>
        <v>1.2230899100912129E-2</v>
      </c>
      <c r="DQ91" s="821">
        <f>+DQ90/DP90-1</f>
        <v>1.5136679430138855E-3</v>
      </c>
      <c r="DR91" s="821">
        <f>+DR90/DQ90-1</f>
        <v>-2.1808577196449352E-3</v>
      </c>
      <c r="DS91" s="556"/>
      <c r="DT91" s="468" t="s">
        <v>161</v>
      </c>
      <c r="DU91" s="835">
        <f>+SUM(DU87:DU90)</f>
        <v>1</v>
      </c>
      <c r="DV91" s="835">
        <f>+SUMPRODUCT(DV87:DV90,$DU$87:$DU$90)</f>
        <v>0.12104166666666667</v>
      </c>
      <c r="DW91" s="835">
        <f>+SUMPRODUCT(DW87:DW90,$DU$87:$DU$90)</f>
        <v>4.5749999999999999E-2</v>
      </c>
      <c r="DX91" s="835">
        <f>+SUMPRODUCT(DX87:DX90,$DU$87:$DU$90)</f>
        <v>3.5249999999999997E-2</v>
      </c>
      <c r="DY91" s="835">
        <f>+SUMPRODUCT(DY87:DY90,$DU$87:$DU$90)</f>
        <v>0.03</v>
      </c>
      <c r="DZ91" s="833"/>
      <c r="EA91" s="834"/>
      <c r="EH91" s="8"/>
    </row>
    <row r="92" spans="1:138" ht="12.75" customHeight="1" x14ac:dyDescent="0.2">
      <c r="A92" s="147" t="s">
        <v>183</v>
      </c>
      <c r="B92" s="46">
        <f>(B83/B$15)*100</f>
        <v>4.0243490023672637</v>
      </c>
      <c r="C92" s="46">
        <f>(C83/C$15)*100</f>
        <v>4.0794894579529846</v>
      </c>
      <c r="D92" s="46">
        <f>(D83/D$15)*100</f>
        <v>3.974796534523497</v>
      </c>
      <c r="E92" s="46">
        <f>(E83/E$15)*100</f>
        <v>4.1566066725197537</v>
      </c>
      <c r="F92" s="211"/>
      <c r="G92" s="46">
        <f>(G80*1000000)/G$88*4</f>
        <v>81361.058601134209</v>
      </c>
      <c r="H92" s="46">
        <f>(H80*1000000)/H$88*4</f>
        <v>75110.844817255842</v>
      </c>
      <c r="I92" s="46">
        <f>(I80*1000000)/I$88*4</f>
        <v>74016.887816646558</v>
      </c>
      <c r="J92" s="46">
        <f>(J80*1000000)/J$88*4</f>
        <v>70352.504638218918</v>
      </c>
      <c r="K92" s="211">
        <f>(K80*1000000)/K$88</f>
        <v>75173.786556423205</v>
      </c>
      <c r="L92" s="46">
        <f>(L80*1000000)/L$88*4</f>
        <v>77772.020725388604</v>
      </c>
      <c r="M92" s="46">
        <f>(M80*1000000)/M$88*4</f>
        <v>82589.167767503299</v>
      </c>
      <c r="N92" s="46">
        <f>(N80*1000000)/N$88*4</f>
        <v>82003.955174686882</v>
      </c>
      <c r="O92" s="46">
        <f>(O80*1000000)/O$88*4</f>
        <v>79693.930973380047</v>
      </c>
      <c r="P92" s="211">
        <f>(P80*1000000)/P$88</f>
        <v>80496.985647397247</v>
      </c>
      <c r="Q92" s="46">
        <f>(Q80*1000000)/Q$88*4</f>
        <v>88744.059742023077</v>
      </c>
      <c r="R92" s="46">
        <f>(R80*1000000)/R$88*4</f>
        <v>89690.140845070418</v>
      </c>
      <c r="S92" s="46">
        <f>(S80*1000000)/S$88*4</f>
        <v>89435.310936383132</v>
      </c>
      <c r="T92" s="46">
        <f>(T80*1000000)/T$88*4</f>
        <v>88244.491826581376</v>
      </c>
      <c r="U92" s="211">
        <f>(U80*1000000)/U$88</f>
        <v>89026.144937708363</v>
      </c>
      <c r="V92" s="46">
        <f>(V80*1000000)/V$88*4</f>
        <v>91615.658362989328</v>
      </c>
      <c r="W92" s="46">
        <f>(W80*1000000)/W$88*4</f>
        <v>90385.164051355212</v>
      </c>
      <c r="X92" s="46">
        <f>(X80*1000000)/X$88*4</f>
        <v>92342.857142857145</v>
      </c>
      <c r="Y92" s="46">
        <f>(Y80*1000000)/Y$88*4</f>
        <v>88095.066618653218</v>
      </c>
      <c r="Z92" s="211">
        <f>(Z80*1000000)/Z$88</f>
        <v>90615.673308908939</v>
      </c>
      <c r="AA92" s="46">
        <f>(AA80*1000000)/AA$88*4</f>
        <v>83214.154072981939</v>
      </c>
      <c r="AB92" s="46">
        <f>(AB80*1000000)/AB$88*4</f>
        <v>78786.039453717749</v>
      </c>
      <c r="AC92" s="46">
        <f>(AC80*1000000)/AC$88*4</f>
        <v>80129.764801297642</v>
      </c>
      <c r="AD92" s="46">
        <f>(AD80*1000000)/AD$88*4</f>
        <v>78428.611658687689</v>
      </c>
      <c r="AE92" s="211">
        <f>(AE80*1000000)/AE$88</f>
        <v>80224.908898414302</v>
      </c>
      <c r="AF92" s="46">
        <f>(AF80*1000000)/AF$88*4</f>
        <v>89460.257664560602</v>
      </c>
      <c r="AG92" s="46">
        <f>(AG80*1000000)/AG$88*4</f>
        <v>81159.75007347991</v>
      </c>
      <c r="AH92" s="46">
        <f>(AH80*1000000)/AH$88*4</f>
        <v>83242.485594144207</v>
      </c>
      <c r="AI92" s="46">
        <f>(AI80*1000000)/AI$88*4</f>
        <v>78419.10830515431</v>
      </c>
      <c r="AJ92" s="211">
        <f>(AJ80*1000000)/AJ$88</f>
        <v>83163.449997142146</v>
      </c>
      <c r="AK92" s="46">
        <f>(AK80*1000000)/AK$88*4</f>
        <v>74993.724778436401</v>
      </c>
      <c r="AL92" s="46">
        <f>(AL80*1000000)/AL$88*4</f>
        <v>82966.920836348116</v>
      </c>
      <c r="AM92" s="46">
        <f>(AM80*1000000)/AM$88*4</f>
        <v>85959.263413045832</v>
      </c>
      <c r="AN92" s="46">
        <f>(AN80*1000000)/AN$88*4</f>
        <v>77771.518906837722</v>
      </c>
      <c r="AO92" s="211">
        <f>(AO80*1000000)/AO$88</f>
        <v>80497.391288245286</v>
      </c>
      <c r="AP92" s="327"/>
      <c r="AQ92" s="46"/>
      <c r="AR92" s="46"/>
      <c r="AS92" s="46"/>
      <c r="AT92" s="276"/>
      <c r="AU92" s="46">
        <f>AU83*4/AU88*1000000</f>
        <v>81228.021211275467</v>
      </c>
      <c r="AV92" s="46">
        <f>AV83*4/AV88*1000000</f>
        <v>81506.872257517054</v>
      </c>
      <c r="AW92" s="46">
        <f>AW83*4/AW88*1000000</f>
        <v>81070.273852094746</v>
      </c>
      <c r="AX92" s="46">
        <f>AX83*4/AX88*1000000</f>
        <v>74858.815285048855</v>
      </c>
      <c r="AY92" s="276">
        <f>AY83/AY88*1000000</f>
        <v>79721.594488776886</v>
      </c>
      <c r="AZ92" s="327">
        <f>AZ83*4/AZ88*1000000</f>
        <v>81176.246669204425</v>
      </c>
      <c r="BA92" s="46">
        <f>BA83*4/BA88*1000000</f>
        <v>82642.844295221541</v>
      </c>
      <c r="BB92" s="46">
        <f>BB83*4/BB88*1000000</f>
        <v>83638.924642397455</v>
      </c>
      <c r="BC92" s="46">
        <f>BC83*4/BC88*1000000</f>
        <v>82875.84589121009</v>
      </c>
      <c r="BD92" s="276">
        <f>BD83/BD88*1000000</f>
        <v>82575.565457860866</v>
      </c>
      <c r="BE92" s="327">
        <f>BE83*4/BE88*1000000</f>
        <v>82465.074413385781</v>
      </c>
      <c r="BF92" s="46">
        <f>BF83*4/BF88*1000000</f>
        <v>83527.593060633575</v>
      </c>
      <c r="BG92" s="46">
        <f>BG83*4/BG88*1000000</f>
        <v>82972.390179031951</v>
      </c>
      <c r="BH92" s="46">
        <f>BH83*4/BH88*1000000</f>
        <v>86105.527163193416</v>
      </c>
      <c r="BI92" s="276">
        <f>BI83/BI88*1000000</f>
        <v>83756.187734947831</v>
      </c>
      <c r="BJ92" s="327">
        <f>BJ83*4/BJ88*1000000</f>
        <v>85682.214242745613</v>
      </c>
      <c r="BK92" s="46">
        <f>BK83*4/BK88*1000000</f>
        <v>84875.846501128675</v>
      </c>
      <c r="BL92" s="46">
        <f>BL83*4/BL88*1000000</f>
        <v>84785.506244754899</v>
      </c>
      <c r="BM92" s="46">
        <f>BM83*4/BM88*1000000</f>
        <v>86577.567504316859</v>
      </c>
      <c r="BN92" s="327">
        <f>BN83/BN88*1000000</f>
        <v>85471.568879646191</v>
      </c>
      <c r="BO92" s="327">
        <f>BO83*4/BO88*1000000</f>
        <v>89746.934516044872</v>
      </c>
      <c r="BP92" s="46">
        <f>BP83*4/BP88*1000000</f>
        <v>91589.453411707145</v>
      </c>
      <c r="BQ92" s="46">
        <f>BQ83*4/BQ88*1000000</f>
        <v>94104.481408006512</v>
      </c>
      <c r="BR92" s="46">
        <f>BR83*4/BR88*1000000</f>
        <v>97371.942977754399</v>
      </c>
      <c r="BS92" s="276">
        <f>BS83/BS88*1000000</f>
        <v>93151.009825021349</v>
      </c>
      <c r="BT92" s="327">
        <f>BT83*4/BT88*1000000</f>
        <v>104006.36773680021</v>
      </c>
      <c r="BU92" s="46">
        <f>BU83*4/BU88*1000000</f>
        <v>100457.99332283629</v>
      </c>
      <c r="BV92" s="46">
        <f>BV83*4/BV88*1000000</f>
        <v>100370.80306801441</v>
      </c>
      <c r="BW92" s="46">
        <f>BW83*4/BW88*1000000</f>
        <v>98238.038323630331</v>
      </c>
      <c r="BX92" s="276">
        <f>BX83/BX88*1000000</f>
        <v>100722.80353834512</v>
      </c>
      <c r="BY92" s="327">
        <f>BY83*4/BY88*1000000</f>
        <v>100571.42857142858</v>
      </c>
      <c r="BZ92" s="46">
        <f>BZ83*4/BZ88*1000000</f>
        <v>102560.88926206036</v>
      </c>
      <c r="CA92" s="46">
        <f>CA83*4/CA88*1000000</f>
        <v>103168.22179422452</v>
      </c>
      <c r="CB92" s="46">
        <f>CB83*4/CB88*1000000</f>
        <v>102203.06333101167</v>
      </c>
      <c r="CC92" s="276">
        <f>CC83/CC88*1000000</f>
        <v>102134.51064739695</v>
      </c>
      <c r="CD92" s="327">
        <f>CD83*4/CD88*1000000</f>
        <v>104137.88812146102</v>
      </c>
      <c r="CE92" s="46">
        <f>CE83*4/CE88*1000000</f>
        <v>106876.36182152378</v>
      </c>
      <c r="CF92" s="46">
        <f>CF83*4/CF88*1000000</f>
        <v>109502.04474380563</v>
      </c>
      <c r="CG92" s="46">
        <f>CG83*4/CG88*1000000</f>
        <v>106662.16818691183</v>
      </c>
      <c r="CH92" s="276">
        <f>CH83/CH88*1000000</f>
        <v>106816.94392293016</v>
      </c>
      <c r="CI92" s="327">
        <f>CI83*4/CI88*1000000</f>
        <v>110861.92629193001</v>
      </c>
      <c r="CJ92" s="46">
        <f>CJ83*4/CJ88*1000000</f>
        <v>113446.5743025242</v>
      </c>
      <c r="CK92" s="46">
        <f>CK83*4/CK88*1000000</f>
        <v>116678.01628423389</v>
      </c>
      <c r="CL92" s="46">
        <f>CL83*4/CL88*1000000</f>
        <v>136749.2850333651</v>
      </c>
      <c r="CM92" s="276">
        <f>CM83/CM88*1000000</f>
        <v>119436.56271714013</v>
      </c>
      <c r="CN92" s="327">
        <f>CN83*4/CN88*1000000</f>
        <v>117085.87323193466</v>
      </c>
      <c r="CO92" s="46">
        <f>CO83*4/CO88*1000000</f>
        <v>121337.91751943737</v>
      </c>
      <c r="CP92" s="46">
        <f>CP83*4/CP88*1000000</f>
        <v>124451.37114240858</v>
      </c>
      <c r="CQ92" s="46">
        <f>CQ83*4/CQ88*1000000</f>
        <v>120646.78042240125</v>
      </c>
      <c r="CR92" s="276">
        <f>CR83/CR88*1000000</f>
        <v>120909.66098430265</v>
      </c>
      <c r="CS92" s="327">
        <f>CS83*4/CS88*1000000</f>
        <v>112966.79884003078</v>
      </c>
      <c r="CT92" s="46">
        <f>CT83*4/CT88*1000000</f>
        <v>116931.53290003884</v>
      </c>
      <c r="CU92" s="46">
        <f>CU83*4/CU88*1000000</f>
        <v>120050.88067107479</v>
      </c>
      <c r="CV92" s="46">
        <f>CV83*4/CV88*1000000</f>
        <v>116062.93618142855</v>
      </c>
      <c r="CW92" s="276">
        <f>CW83/CW88*1000000</f>
        <v>116530.21944999197</v>
      </c>
      <c r="CX92" s="327">
        <f>CX83*4/CX88*1000000</f>
        <v>118446.53518673436</v>
      </c>
      <c r="CY92" s="47">
        <f>CT92*(1+CY93)</f>
        <v>118100.84822903923</v>
      </c>
      <c r="CZ92" s="47">
        <f>CU92*(1+CZ93)</f>
        <v>121251.38947778553</v>
      </c>
      <c r="DA92" s="47">
        <f>CV92*(1+DA93)</f>
        <v>118964.50958596426</v>
      </c>
      <c r="DB92" s="276">
        <f>DB83/DB88*1000000</f>
        <v>119193.74694199589</v>
      </c>
      <c r="DC92" s="46"/>
      <c r="DD92" s="46"/>
      <c r="DE92" s="47"/>
      <c r="DF92" s="47"/>
      <c r="DG92" s="276">
        <f>DB92*(1+DG93)</f>
        <v>122769.55935025577</v>
      </c>
      <c r="DH92" s="46"/>
      <c r="DI92" s="46"/>
      <c r="DJ92" s="47"/>
      <c r="DK92" s="47"/>
      <c r="DL92" s="276">
        <f>DG92*(1+DL93)</f>
        <v>126452.64613076345</v>
      </c>
      <c r="DM92" s="47"/>
      <c r="DN92" s="510"/>
      <c r="DO92" s="819">
        <f>AVERAGE(AF92,AK92,AP92,AU92,AZ92,BE92,BJ92,AA92,BO92,BT92,BY92,CD92)</f>
        <v>88789.30109075681</v>
      </c>
      <c r="DP92" s="820">
        <f t="shared" ref="DP92" si="396">AVERAGE(AG92,AL92,AQ92,AV92,BA92,BF92,BK92,AB92,BP92,BU92,BZ92,CE92)</f>
        <v>88813.687663288569</v>
      </c>
      <c r="DQ92" s="820">
        <f t="shared" ref="DQ92" si="397">AVERAGE(AH92,AM92,AR92,AW92,BB92,BG92,BL92,AC92,BQ92,BV92,CA92,CF92)</f>
        <v>89904.014521892546</v>
      </c>
      <c r="DR92" s="820">
        <f t="shared" ref="DR92" si="398">AVERAGE(AI92,AN92,AS92,AX92,BC92,BH92,BM92,AD92,BR92,BW92,CB92,CG92)</f>
        <v>88137.473412159743</v>
      </c>
      <c r="DS92" s="556"/>
      <c r="DT92" s="770"/>
      <c r="DU92" s="848"/>
      <c r="DV92" s="848"/>
      <c r="DW92" s="848"/>
      <c r="DX92" s="848"/>
      <c r="DY92" s="770"/>
      <c r="DZ92" s="770"/>
      <c r="EA92" s="836"/>
      <c r="EH92" s="8"/>
    </row>
    <row r="93" spans="1:138" ht="12.75" customHeight="1" x14ac:dyDescent="0.2">
      <c r="A93" s="148" t="s">
        <v>244</v>
      </c>
      <c r="B93" s="35"/>
      <c r="C93" s="35"/>
      <c r="D93" s="35"/>
      <c r="E93" s="35"/>
      <c r="F93" s="209"/>
      <c r="G93" s="35"/>
      <c r="H93" s="35">
        <f>H92/C90-1</f>
        <v>605.13063682097629</v>
      </c>
      <c r="I93" s="35">
        <f>I92/D90-1</f>
        <v>596.63635770873407</v>
      </c>
      <c r="J93" s="35">
        <f>J92/E90-1</f>
        <v>569.66850200490751</v>
      </c>
      <c r="K93" s="209"/>
      <c r="L93" s="35">
        <f>L92/G92-1</f>
        <v>-4.4112477608490352E-2</v>
      </c>
      <c r="M93" s="35">
        <f>M92/H92-1</f>
        <v>9.9563824217956398E-2</v>
      </c>
      <c r="N93" s="35">
        <f t="shared" ref="N93:AN93" si="399">N92/I92-1</f>
        <v>0.10790871642463218</v>
      </c>
      <c r="O93" s="35">
        <f t="shared" si="399"/>
        <v>0.13278029521761203</v>
      </c>
      <c r="P93" s="209">
        <f t="shared" si="399"/>
        <v>7.0811905782856899E-2</v>
      </c>
      <c r="Q93" s="35">
        <f t="shared" si="399"/>
        <v>0.14107951567025001</v>
      </c>
      <c r="R93" s="35">
        <f t="shared" si="399"/>
        <v>8.5979472484297936E-2</v>
      </c>
      <c r="S93" s="35">
        <f t="shared" si="399"/>
        <v>9.0621918733868156E-2</v>
      </c>
      <c r="T93" s="35">
        <f t="shared" si="399"/>
        <v>0.10729249704168131</v>
      </c>
      <c r="U93" s="209">
        <f t="shared" si="399"/>
        <v>0.10595625689229626</v>
      </c>
      <c r="V93" s="35">
        <f t="shared" si="399"/>
        <v>3.2358206614774288E-2</v>
      </c>
      <c r="W93" s="35">
        <f t="shared" si="399"/>
        <v>7.7491594921828E-3</v>
      </c>
      <c r="X93" s="35">
        <f t="shared" si="399"/>
        <v>3.251004749725972E-2</v>
      </c>
      <c r="Y93" s="35">
        <f t="shared" si="399"/>
        <v>-1.6933091781162757E-3</v>
      </c>
      <c r="Z93" s="209">
        <f t="shared" si="399"/>
        <v>1.785462430517204E-2</v>
      </c>
      <c r="AA93" s="35">
        <f t="shared" si="399"/>
        <v>-9.1703803041177645E-2</v>
      </c>
      <c r="AB93" s="35">
        <f t="shared" si="399"/>
        <v>-0.12832996122070484</v>
      </c>
      <c r="AC93" s="35">
        <f t="shared" si="399"/>
        <v>-0.13225811632258122</v>
      </c>
      <c r="AD93" s="35">
        <f t="shared" si="399"/>
        <v>-0.10972754015624708</v>
      </c>
      <c r="AE93" s="209">
        <f t="shared" si="399"/>
        <v>-0.11466851187070592</v>
      </c>
      <c r="AF93" s="35">
        <f t="shared" si="399"/>
        <v>7.5060591087672268E-2</v>
      </c>
      <c r="AG93" s="35">
        <f t="shared" si="399"/>
        <v>3.0128568921865551E-2</v>
      </c>
      <c r="AH93" s="35">
        <f t="shared" si="399"/>
        <v>3.8845999368216644E-2</v>
      </c>
      <c r="AI93" s="35">
        <f t="shared" si="399"/>
        <v>-1.2117202296957341E-4</v>
      </c>
      <c r="AJ93" s="209">
        <f t="shared" si="399"/>
        <v>3.6628786982467076E-2</v>
      </c>
      <c r="AK93" s="35">
        <f t="shared" si="399"/>
        <v>-0.16170904560064858</v>
      </c>
      <c r="AL93" s="35">
        <f t="shared" si="399"/>
        <v>2.2266834991877538E-2</v>
      </c>
      <c r="AM93" s="35">
        <f t="shared" si="399"/>
        <v>3.263691370470978E-2</v>
      </c>
      <c r="AN93" s="35">
        <f t="shared" si="399"/>
        <v>-8.2580561334184566E-3</v>
      </c>
      <c r="AO93" s="209">
        <f>AO92/AJ92-1</f>
        <v>-3.2058058065033146E-2</v>
      </c>
      <c r="AP93" s="324"/>
      <c r="AQ93" s="35"/>
      <c r="AR93" s="35"/>
      <c r="AS93" s="35"/>
      <c r="AT93" s="209"/>
      <c r="AU93" s="35"/>
      <c r="AV93" s="35"/>
      <c r="AW93" s="35"/>
      <c r="AX93" s="35"/>
      <c r="AY93" s="209"/>
      <c r="AZ93" s="324">
        <f t="shared" ref="AZ93:CA93" si="400">AZ92/AU92-1</f>
        <v>-6.3739755442737689E-4</v>
      </c>
      <c r="BA93" s="35">
        <f t="shared" si="400"/>
        <v>1.3937132001770713E-2</v>
      </c>
      <c r="BB93" s="35">
        <f t="shared" si="400"/>
        <v>3.1684249580665957E-2</v>
      </c>
      <c r="BC93" s="35">
        <f t="shared" si="400"/>
        <v>0.10709534442448532</v>
      </c>
      <c r="BD93" s="209">
        <f t="shared" si="400"/>
        <v>3.579922086839038E-2</v>
      </c>
      <c r="BE93" s="324">
        <f t="shared" si="400"/>
        <v>1.5876907310501398E-2</v>
      </c>
      <c r="BF93" s="35">
        <f t="shared" si="400"/>
        <v>1.0705691133420903E-2</v>
      </c>
      <c r="BG93" s="35">
        <f t="shared" si="400"/>
        <v>-7.9691897787460553E-3</v>
      </c>
      <c r="BH93" s="35">
        <f t="shared" si="400"/>
        <v>3.8970115324347798E-2</v>
      </c>
      <c r="BI93" s="209">
        <f>BI92/BD92-1</f>
        <v>1.4297477353508947E-2</v>
      </c>
      <c r="BJ93" s="324">
        <f t="shared" si="400"/>
        <v>3.9012149716045386E-2</v>
      </c>
      <c r="BK93" s="35">
        <f t="shared" si="400"/>
        <v>1.6141413766303403E-2</v>
      </c>
      <c r="BL93" s="35">
        <f t="shared" si="400"/>
        <v>2.1852040923622029E-2</v>
      </c>
      <c r="BM93" s="35">
        <f t="shared" si="400"/>
        <v>5.4821142924867949E-3</v>
      </c>
      <c r="BN93" s="324">
        <f>BN92/BI92-1</f>
        <v>2.0480649741686063E-2</v>
      </c>
      <c r="BO93" s="324">
        <f t="shared" si="400"/>
        <v>4.7439486820258114E-2</v>
      </c>
      <c r="BP93" s="35">
        <f t="shared" si="400"/>
        <v>7.9099145249634573E-2</v>
      </c>
      <c r="BQ93" s="35">
        <f t="shared" si="400"/>
        <v>0.10991236092109924</v>
      </c>
      <c r="BR93" s="35">
        <f t="shared" si="400"/>
        <v>0.12467866428447905</v>
      </c>
      <c r="BS93" s="209">
        <f>BS92/BN92-1</f>
        <v>8.9847899670458808E-2</v>
      </c>
      <c r="BT93" s="324">
        <f t="shared" si="400"/>
        <v>0.1588849056254511</v>
      </c>
      <c r="BU93" s="35">
        <f t="shared" si="400"/>
        <v>9.682926997351804E-2</v>
      </c>
      <c r="BV93" s="35">
        <f t="shared" si="400"/>
        <v>6.6588982440051625E-2</v>
      </c>
      <c r="BW93" s="35">
        <f t="shared" si="400"/>
        <v>8.8947115502644447E-3</v>
      </c>
      <c r="BX93" s="209">
        <f>BX92/BS92-1</f>
        <v>8.1285149002108925E-2</v>
      </c>
      <c r="BY93" s="324">
        <f t="shared" si="400"/>
        <v>-3.3026239067055263E-2</v>
      </c>
      <c r="BZ93" s="35">
        <f t="shared" si="400"/>
        <v>2.0933087250370352E-2</v>
      </c>
      <c r="CA93" s="35">
        <f t="shared" si="400"/>
        <v>2.7870841327377605E-2</v>
      </c>
      <c r="CB93" s="35">
        <f t="shared" ref="CB93:CK93" si="401">CB92/BW92-1</f>
        <v>4.036140251822995E-2</v>
      </c>
      <c r="CC93" s="209">
        <f t="shared" si="401"/>
        <v>1.4015764647718365E-2</v>
      </c>
      <c r="CD93" s="324">
        <f t="shared" si="401"/>
        <v>3.5461955753163465E-2</v>
      </c>
      <c r="CE93" s="35">
        <f t="shared" si="401"/>
        <v>4.2077175719846371E-2</v>
      </c>
      <c r="CF93" s="35">
        <f t="shared" si="401"/>
        <v>6.1393158081316068E-2</v>
      </c>
      <c r="CG93" s="35">
        <f t="shared" si="401"/>
        <v>4.362985521733509E-2</v>
      </c>
      <c r="CH93" s="209">
        <f t="shared" si="401"/>
        <v>4.5845750333093349E-2</v>
      </c>
      <c r="CI93" s="324">
        <f t="shared" si="401"/>
        <v>6.4568605065491891E-2</v>
      </c>
      <c r="CJ93" s="35">
        <f t="shared" si="401"/>
        <v>6.1474889012148592E-2</v>
      </c>
      <c r="CK93" s="35">
        <f t="shared" si="401"/>
        <v>6.5532762947188683E-2</v>
      </c>
      <c r="CL93" s="35">
        <f t="shared" ref="CL93" si="402">CL92/CG92-1</f>
        <v>0.28207861660686895</v>
      </c>
      <c r="CM93" s="209">
        <f t="shared" ref="CM93:CP93" si="403">CM92/CH92-1</f>
        <v>0.11814248124637583</v>
      </c>
      <c r="CN93" s="324">
        <f t="shared" si="403"/>
        <v>5.6141428786067538E-2</v>
      </c>
      <c r="CO93" s="35">
        <f t="shared" si="403"/>
        <v>6.9559995666943486E-2</v>
      </c>
      <c r="CP93" s="35">
        <f t="shared" si="403"/>
        <v>6.66222747500127E-2</v>
      </c>
      <c r="CQ93" s="35">
        <f t="shared" ref="CQ93" si="404">CQ92/CL92-1</f>
        <v>-0.11775202047334321</v>
      </c>
      <c r="CR93" s="209">
        <f t="shared" ref="CR93" si="405">CR92/CM92-1</f>
        <v>1.2333729585397135E-2</v>
      </c>
      <c r="CS93" s="324">
        <f t="shared" ref="CS93:CW93" si="406">CS92/CI92-1</f>
        <v>1.8986433111021883E-2</v>
      </c>
      <c r="CT93" s="35">
        <f t="shared" si="406"/>
        <v>3.0718940778426962E-2</v>
      </c>
      <c r="CU93" s="35">
        <f t="shared" si="406"/>
        <v>2.8907453985371312E-2</v>
      </c>
      <c r="CV93" s="35">
        <f t="shared" si="406"/>
        <v>-0.15127208048575425</v>
      </c>
      <c r="CW93" s="209">
        <f t="shared" si="406"/>
        <v>-2.4333781892494688E-2</v>
      </c>
      <c r="CX93" s="324">
        <f>CX92/CS92-1</f>
        <v>4.8507494263542617E-2</v>
      </c>
      <c r="CY93" s="785">
        <v>0.01</v>
      </c>
      <c r="CZ93" s="785">
        <v>0.01</v>
      </c>
      <c r="DA93" s="785">
        <v>2.5000000000000001E-2</v>
      </c>
      <c r="DB93" s="781">
        <f>DB92/CW92-1</f>
        <v>2.2856967957114005E-2</v>
      </c>
      <c r="DC93" s="35"/>
      <c r="DD93" s="35"/>
      <c r="DE93" s="33"/>
      <c r="DF93" s="33"/>
      <c r="DG93" s="283">
        <v>0.03</v>
      </c>
      <c r="DH93" s="35"/>
      <c r="DI93" s="35"/>
      <c r="DJ93" s="33"/>
      <c r="DK93" s="33"/>
      <c r="DL93" s="283">
        <v>0.03</v>
      </c>
      <c r="DM93" s="33"/>
      <c r="DN93" s="499"/>
      <c r="DO93" s="817">
        <f>+DO92/DR92-1</f>
        <v>7.3955793530511293E-3</v>
      </c>
      <c r="DP93" s="821">
        <f>+DP92/DO92-1</f>
        <v>2.7465665606296596E-4</v>
      </c>
      <c r="DQ93" s="821">
        <f>+DQ92/DP92-1</f>
        <v>1.2276563301116816E-2</v>
      </c>
      <c r="DR93" s="821">
        <f>+DR92/DQ92-1</f>
        <v>-1.9649190518657322E-2</v>
      </c>
      <c r="DS93" s="461"/>
      <c r="DT93" s="770"/>
      <c r="DU93" s="770"/>
      <c r="DV93" s="770"/>
      <c r="DW93" s="770"/>
      <c r="DX93" s="770"/>
      <c r="DY93" s="770"/>
      <c r="DZ93" s="770"/>
      <c r="EA93" s="499"/>
      <c r="EH93" s="8"/>
    </row>
    <row r="94" spans="1:138" ht="12.75" customHeight="1" x14ac:dyDescent="0.2">
      <c r="A94" s="144" t="s">
        <v>1</v>
      </c>
      <c r="B94" s="891">
        <v>434</v>
      </c>
      <c r="C94" s="891">
        <v>462</v>
      </c>
      <c r="D94" s="891">
        <v>533</v>
      </c>
      <c r="E94" s="891">
        <v>540</v>
      </c>
      <c r="F94" s="185">
        <f>SUM(B94:E94)</f>
        <v>1969</v>
      </c>
      <c r="G94" s="891">
        <v>514</v>
      </c>
      <c r="H94" s="891">
        <v>463</v>
      </c>
      <c r="I94" s="891">
        <v>472</v>
      </c>
      <c r="J94" s="891">
        <v>368</v>
      </c>
      <c r="K94" s="185">
        <f>SUM(G94:J94)</f>
        <v>1817</v>
      </c>
      <c r="L94" s="891">
        <v>339</v>
      </c>
      <c r="M94" s="891">
        <v>401</v>
      </c>
      <c r="N94" s="891">
        <v>468</v>
      </c>
      <c r="O94" s="891">
        <v>475</v>
      </c>
      <c r="P94" s="185">
        <f>SUM(L94:O94)</f>
        <v>1683</v>
      </c>
      <c r="Q94" s="891">
        <v>511</v>
      </c>
      <c r="R94" s="891">
        <v>435.45</v>
      </c>
      <c r="S94" s="891">
        <v>482</v>
      </c>
      <c r="T94" s="891">
        <v>510</v>
      </c>
      <c r="U94" s="185">
        <f>SUM(Q94:T94)</f>
        <v>1938.45</v>
      </c>
      <c r="V94" s="891">
        <v>574</v>
      </c>
      <c r="W94" s="891">
        <v>669</v>
      </c>
      <c r="X94" s="891">
        <v>786</v>
      </c>
      <c r="Y94" s="891">
        <v>895</v>
      </c>
      <c r="Z94" s="185">
        <f>SUM(V94:Y94)</f>
        <v>2924</v>
      </c>
      <c r="AA94" s="891">
        <v>884</v>
      </c>
      <c r="AB94" s="891">
        <v>1054</v>
      </c>
      <c r="AC94" s="891">
        <v>1203</v>
      </c>
      <c r="AD94" s="891">
        <v>1130</v>
      </c>
      <c r="AE94" s="185">
        <f>SUM(AA94:AD94)</f>
        <v>4271</v>
      </c>
      <c r="AF94" s="891">
        <v>959</v>
      </c>
      <c r="AG94" s="891">
        <v>1142</v>
      </c>
      <c r="AH94" s="891">
        <v>1276</v>
      </c>
      <c r="AI94" s="891">
        <v>1056</v>
      </c>
      <c r="AJ94" s="185">
        <f>SUM(AF94:AI94)</f>
        <v>4433</v>
      </c>
      <c r="AK94" s="891">
        <v>948</v>
      </c>
      <c r="AL94" s="891">
        <v>1112</v>
      </c>
      <c r="AM94" s="891">
        <v>1270</v>
      </c>
      <c r="AN94" s="891">
        <v>1356</v>
      </c>
      <c r="AO94" s="185">
        <f>SUM(AK94:AN94)</f>
        <v>4686</v>
      </c>
      <c r="AP94" s="871"/>
      <c r="AQ94" s="891"/>
      <c r="AR94" s="891"/>
      <c r="AS94" s="891"/>
      <c r="AT94" s="185"/>
      <c r="AU94" s="891">
        <f>2537</f>
        <v>2537</v>
      </c>
      <c r="AV94" s="891">
        <v>3116</v>
      </c>
      <c r="AW94" s="891">
        <v>3648</v>
      </c>
      <c r="AX94" s="891">
        <v>2743</v>
      </c>
      <c r="AY94" s="185">
        <f>SUM(AU94:AX94)</f>
        <v>12044</v>
      </c>
      <c r="AZ94" s="871">
        <f>1893-2</f>
        <v>1891</v>
      </c>
      <c r="BA94" s="891">
        <v>1812</v>
      </c>
      <c r="BB94" s="891">
        <v>1973</v>
      </c>
      <c r="BC94" s="891">
        <v>1706</v>
      </c>
      <c r="BD94" s="185">
        <f>SUM(AZ94:BC94)</f>
        <v>7382</v>
      </c>
      <c r="BE94" s="871">
        <v>1683</v>
      </c>
      <c r="BF94" s="891">
        <v>1960</v>
      </c>
      <c r="BG94" s="891">
        <v>2023</v>
      </c>
      <c r="BH94" s="891">
        <v>1928</v>
      </c>
      <c r="BI94" s="185">
        <f>SUM(BE94:BH94)</f>
        <v>7594</v>
      </c>
      <c r="BJ94" s="871">
        <f>2166+29</f>
        <v>2195</v>
      </c>
      <c r="BK94" s="891">
        <f>2663-11</f>
        <v>2652</v>
      </c>
      <c r="BL94" s="891">
        <v>2673</v>
      </c>
      <c r="BM94" s="891">
        <v>2184</v>
      </c>
      <c r="BN94" s="318">
        <f>SUM(BJ94:BM94)</f>
        <v>9704</v>
      </c>
      <c r="BO94" s="871">
        <v>2384</v>
      </c>
      <c r="BP94" s="891">
        <v>2744</v>
      </c>
      <c r="BQ94" s="891">
        <v>2661</v>
      </c>
      <c r="BR94" s="891">
        <f>2390-3</f>
        <v>2387</v>
      </c>
      <c r="BS94" s="185">
        <f>SUM(BO94:BR94)</f>
        <v>10176</v>
      </c>
      <c r="BT94" s="871">
        <v>2313</v>
      </c>
      <c r="BU94" s="891">
        <v>2470</v>
      </c>
      <c r="BV94" s="891">
        <v>2576</v>
      </c>
      <c r="BW94" s="891">
        <v>2314</v>
      </c>
      <c r="BX94" s="185">
        <f>SUM(BT94:BW94)</f>
        <v>9673</v>
      </c>
      <c r="BY94" s="871">
        <v>2192</v>
      </c>
      <c r="BZ94" s="891">
        <v>2435</v>
      </c>
      <c r="CA94" s="891">
        <v>2605</v>
      </c>
      <c r="CB94" s="891">
        <v>2090</v>
      </c>
      <c r="CC94" s="185">
        <f>SUM(BY94:CB94)</f>
        <v>9322</v>
      </c>
      <c r="CD94" s="871">
        <v>2424</v>
      </c>
      <c r="CE94" s="891">
        <v>2177</v>
      </c>
      <c r="CF94" s="891">
        <v>1720</v>
      </c>
      <c r="CG94" s="891">
        <v>1524</v>
      </c>
      <c r="CH94" s="185">
        <f>SUM(CD94:CG94)</f>
        <v>7845</v>
      </c>
      <c r="CI94" s="871">
        <v>1072</v>
      </c>
      <c r="CJ94" s="891">
        <v>1845</v>
      </c>
      <c r="CK94" s="891">
        <v>1399</v>
      </c>
      <c r="CL94" s="891">
        <v>1267</v>
      </c>
      <c r="CM94" s="185">
        <f>SUM(CI94:CL94)</f>
        <v>5583</v>
      </c>
      <c r="CN94" s="871">
        <f>1240+84</f>
        <v>1324</v>
      </c>
      <c r="CO94" s="891">
        <f>1448+52</f>
        <v>1500</v>
      </c>
      <c r="CP94" s="891">
        <f>1519+74</f>
        <v>1593</v>
      </c>
      <c r="CQ94" s="891">
        <f>1526+49</f>
        <v>1575</v>
      </c>
      <c r="CR94" s="185">
        <f>SUM(CN94:CQ94)</f>
        <v>5992</v>
      </c>
      <c r="CS94" s="871">
        <v>1482</v>
      </c>
      <c r="CT94" s="891">
        <f>1687</f>
        <v>1687</v>
      </c>
      <c r="CU94" s="891">
        <f>1785</f>
        <v>1785</v>
      </c>
      <c r="CV94" s="891">
        <f>1802</f>
        <v>1802</v>
      </c>
      <c r="CW94" s="185">
        <f>SUM(CS94:CV94)</f>
        <v>6756</v>
      </c>
      <c r="CX94" s="871">
        <v>1856</v>
      </c>
      <c r="CY94" s="184">
        <f t="shared" ref="CY94:DA94" si="407">CY96*CY109</f>
        <v>2224.8315494999997</v>
      </c>
      <c r="CZ94" s="184">
        <f t="shared" si="407"/>
        <v>2303.8810199999998</v>
      </c>
      <c r="DA94" s="184">
        <f t="shared" si="407"/>
        <v>1983.8892937499993</v>
      </c>
      <c r="DB94" s="185">
        <f>SUM(CX94:DA94)</f>
        <v>8368.6018632499981</v>
      </c>
      <c r="DC94" s="184"/>
      <c r="DD94" s="184"/>
      <c r="DE94" s="184"/>
      <c r="DF94" s="184"/>
      <c r="DG94" s="185">
        <f>DG96*DG109</f>
        <v>8131.7571119606246</v>
      </c>
      <c r="DH94" s="184"/>
      <c r="DI94" s="184"/>
      <c r="DJ94" s="184"/>
      <c r="DK94" s="184"/>
      <c r="DL94" s="185">
        <f>DL96*DL109</f>
        <v>7866.7243820884923</v>
      </c>
      <c r="DM94" s="414"/>
      <c r="DN94" s="502"/>
      <c r="DO94" s="489"/>
      <c r="DP94" s="414"/>
      <c r="DQ94" s="414"/>
      <c r="DR94" s="414"/>
      <c r="DS94" s="460"/>
      <c r="DT94" s="559"/>
      <c r="DU94" s="856"/>
      <c r="DV94" s="461"/>
      <c r="DW94" s="461"/>
      <c r="DX94" s="461"/>
      <c r="DY94" s="461"/>
      <c r="DZ94" s="461"/>
      <c r="EA94" s="502"/>
      <c r="EH94" s="318"/>
    </row>
    <row r="95" spans="1:138" ht="12.75" customHeight="1" x14ac:dyDescent="0.2">
      <c r="A95" s="142" t="s">
        <v>244</v>
      </c>
      <c r="B95" s="20"/>
      <c r="C95" s="20"/>
      <c r="D95" s="20"/>
      <c r="E95" s="20"/>
      <c r="F95" s="206"/>
      <c r="G95" s="20">
        <f>G94/B94-1</f>
        <v>0.18433179723502313</v>
      </c>
      <c r="H95" s="20">
        <f>H94/C94-1</f>
        <v>2.1645021645022577E-3</v>
      </c>
      <c r="I95" s="20">
        <f>I94/D94-1</f>
        <v>-0.11444652908067543</v>
      </c>
      <c r="J95" s="20">
        <f>J94/E94-1</f>
        <v>-0.31851851851851853</v>
      </c>
      <c r="K95" s="199">
        <f t="shared" ref="K95:AO95" si="408">K94/F94-1</f>
        <v>-7.7196546470289507E-2</v>
      </c>
      <c r="L95" s="20">
        <f t="shared" si="408"/>
        <v>-0.34046692607003892</v>
      </c>
      <c r="M95" s="20">
        <f t="shared" si="408"/>
        <v>-0.13390928725701945</v>
      </c>
      <c r="N95" s="20">
        <f t="shared" si="408"/>
        <v>-8.4745762711864181E-3</v>
      </c>
      <c r="O95" s="20">
        <f t="shared" si="408"/>
        <v>0.29076086956521729</v>
      </c>
      <c r="P95" s="199">
        <f t="shared" si="408"/>
        <v>-7.3747936158503058E-2</v>
      </c>
      <c r="Q95" s="20">
        <f t="shared" si="408"/>
        <v>0.50737463126843663</v>
      </c>
      <c r="R95" s="20">
        <f t="shared" si="408"/>
        <v>8.5910224438902727E-2</v>
      </c>
      <c r="S95" s="20">
        <f t="shared" si="408"/>
        <v>2.9914529914529808E-2</v>
      </c>
      <c r="T95" s="20">
        <f t="shared" si="408"/>
        <v>7.3684210526315796E-2</v>
      </c>
      <c r="U95" s="199">
        <f t="shared" si="408"/>
        <v>0.15178253119429597</v>
      </c>
      <c r="V95" s="20">
        <f t="shared" si="408"/>
        <v>0.12328767123287676</v>
      </c>
      <c r="W95" s="20">
        <f t="shared" si="408"/>
        <v>0.53634171546675846</v>
      </c>
      <c r="X95" s="20">
        <f t="shared" si="408"/>
        <v>0.63070539419087135</v>
      </c>
      <c r="Y95" s="20">
        <f t="shared" si="408"/>
        <v>0.75490196078431371</v>
      </c>
      <c r="Z95" s="199">
        <f t="shared" si="408"/>
        <v>0.50842167711315733</v>
      </c>
      <c r="AA95" s="20">
        <f t="shared" si="408"/>
        <v>0.54006968641114983</v>
      </c>
      <c r="AB95" s="20">
        <f t="shared" si="408"/>
        <v>0.5754857997010463</v>
      </c>
      <c r="AC95" s="20">
        <f t="shared" si="408"/>
        <v>0.53053435114503822</v>
      </c>
      <c r="AD95" s="20">
        <f t="shared" si="408"/>
        <v>0.26256983240223453</v>
      </c>
      <c r="AE95" s="199">
        <f t="shared" si="408"/>
        <v>0.46067031463748287</v>
      </c>
      <c r="AF95" s="20">
        <f t="shared" si="408"/>
        <v>8.4841628959275939E-2</v>
      </c>
      <c r="AG95" s="20">
        <f t="shared" si="408"/>
        <v>8.3491461100569264E-2</v>
      </c>
      <c r="AH95" s="20">
        <f t="shared" si="408"/>
        <v>6.0681629260182834E-2</v>
      </c>
      <c r="AI95" s="20">
        <f t="shared" si="408"/>
        <v>-6.5486725663716827E-2</v>
      </c>
      <c r="AJ95" s="199">
        <f t="shared" si="408"/>
        <v>3.7930227113088355E-2</v>
      </c>
      <c r="AK95" s="20">
        <f t="shared" si="408"/>
        <v>-1.147028154327423E-2</v>
      </c>
      <c r="AL95" s="20">
        <f t="shared" si="408"/>
        <v>-2.6269702276707552E-2</v>
      </c>
      <c r="AM95" s="20">
        <f t="shared" si="408"/>
        <v>-4.7021943573667402E-3</v>
      </c>
      <c r="AN95" s="20">
        <f t="shared" si="408"/>
        <v>0.28409090909090917</v>
      </c>
      <c r="AO95" s="199">
        <f t="shared" si="408"/>
        <v>5.7071960297766733E-2</v>
      </c>
      <c r="AP95" s="317"/>
      <c r="AQ95" s="20"/>
      <c r="AR95" s="20"/>
      <c r="AS95" s="20"/>
      <c r="AT95" s="206"/>
      <c r="AU95" s="20"/>
      <c r="AV95" s="20"/>
      <c r="AW95" s="20"/>
      <c r="AX95" s="20"/>
      <c r="AY95" s="206"/>
      <c r="AZ95" s="317">
        <f t="shared" ref="AZ95:CA95" si="409">AZ94/AU94-1</f>
        <v>-0.25463145447378799</v>
      </c>
      <c r="BA95" s="20">
        <f t="shared" si="409"/>
        <v>-0.41848523748395383</v>
      </c>
      <c r="BB95" s="20">
        <f t="shared" si="409"/>
        <v>-0.45915570175438591</v>
      </c>
      <c r="BC95" s="20">
        <f t="shared" si="409"/>
        <v>-0.3780532263944586</v>
      </c>
      <c r="BD95" s="206">
        <f t="shared" si="409"/>
        <v>-0.3870807040850216</v>
      </c>
      <c r="BE95" s="317">
        <f t="shared" si="409"/>
        <v>-0.10999471179270226</v>
      </c>
      <c r="BF95" s="20">
        <f t="shared" si="409"/>
        <v>8.1677704194260459E-2</v>
      </c>
      <c r="BG95" s="20">
        <f t="shared" si="409"/>
        <v>2.5342118601115127E-2</v>
      </c>
      <c r="BH95" s="20">
        <f t="shared" si="409"/>
        <v>0.13012895662368118</v>
      </c>
      <c r="BI95" s="206">
        <f t="shared" si="409"/>
        <v>2.8718504470333306E-2</v>
      </c>
      <c r="BJ95" s="317">
        <f t="shared" si="409"/>
        <v>0.30421865715983354</v>
      </c>
      <c r="BK95" s="20">
        <f t="shared" si="409"/>
        <v>0.35306122448979593</v>
      </c>
      <c r="BL95" s="20">
        <f t="shared" si="409"/>
        <v>0.32130499258526934</v>
      </c>
      <c r="BM95" s="20">
        <f t="shared" si="409"/>
        <v>0.13278008298755184</v>
      </c>
      <c r="BN95" s="317">
        <f t="shared" si="409"/>
        <v>0.27785093494864377</v>
      </c>
      <c r="BO95" s="317">
        <f t="shared" si="409"/>
        <v>8.6104783599088908E-2</v>
      </c>
      <c r="BP95" s="20">
        <f t="shared" si="409"/>
        <v>3.4690799396681848E-2</v>
      </c>
      <c r="BQ95" s="20">
        <f t="shared" si="409"/>
        <v>-4.4893378226711356E-3</v>
      </c>
      <c r="BR95" s="20">
        <f t="shared" si="409"/>
        <v>9.2948717948717841E-2</v>
      </c>
      <c r="BS95" s="206">
        <f t="shared" si="409"/>
        <v>4.8639736191261385E-2</v>
      </c>
      <c r="BT95" s="317">
        <f t="shared" si="409"/>
        <v>-2.9781879194630823E-2</v>
      </c>
      <c r="BU95" s="20">
        <f t="shared" si="409"/>
        <v>-9.9854227405247853E-2</v>
      </c>
      <c r="BV95" s="20">
        <f t="shared" si="409"/>
        <v>-3.1942878617061243E-2</v>
      </c>
      <c r="BW95" s="20">
        <f t="shared" si="409"/>
        <v>-3.0582320904901539E-2</v>
      </c>
      <c r="BX95" s="206">
        <f>BX94/BS94-1</f>
        <v>-4.9430031446540901E-2</v>
      </c>
      <c r="BY95" s="317">
        <f t="shared" si="409"/>
        <v>-5.2313013402507602E-2</v>
      </c>
      <c r="BZ95" s="20">
        <f t="shared" si="409"/>
        <v>-1.4170040485829927E-2</v>
      </c>
      <c r="CA95" s="20">
        <f t="shared" si="409"/>
        <v>1.1257763975155211E-2</v>
      </c>
      <c r="CB95" s="20">
        <f t="shared" ref="CB95:CK95" si="410">CB94/BW94-1</f>
        <v>-9.6802074330164189E-2</v>
      </c>
      <c r="CC95" s="206">
        <f t="shared" si="410"/>
        <v>-3.6286570867362755E-2</v>
      </c>
      <c r="CD95" s="317">
        <f t="shared" si="410"/>
        <v>0.1058394160583942</v>
      </c>
      <c r="CE95" s="20">
        <f t="shared" si="410"/>
        <v>-0.10595482546201229</v>
      </c>
      <c r="CF95" s="20">
        <f t="shared" si="410"/>
        <v>-0.33973128598848368</v>
      </c>
      <c r="CG95" s="20">
        <f>CG94/CB94-1</f>
        <v>-0.27081339712918662</v>
      </c>
      <c r="CH95" s="206">
        <f>CH94/CC94-1</f>
        <v>-0.1584423943359794</v>
      </c>
      <c r="CI95" s="317">
        <f t="shared" si="410"/>
        <v>-0.55775577557755773</v>
      </c>
      <c r="CJ95" s="20">
        <f t="shared" si="410"/>
        <v>-0.15250344510794667</v>
      </c>
      <c r="CK95" s="20">
        <f t="shared" si="410"/>
        <v>-0.18662790697674414</v>
      </c>
      <c r="CL95" s="20">
        <f>CL94/CG94-1</f>
        <v>-0.1686351706036745</v>
      </c>
      <c r="CM95" s="206">
        <f>CM94/CH94-1</f>
        <v>-0.28833652007648181</v>
      </c>
      <c r="CN95" s="317">
        <f t="shared" ref="CN95:CP95" si="411">CN94/CI94-1</f>
        <v>0.2350746268656716</v>
      </c>
      <c r="CO95" s="20">
        <f t="shared" si="411"/>
        <v>-0.18699186991869921</v>
      </c>
      <c r="CP95" s="20">
        <f t="shared" si="411"/>
        <v>0.13867047891350959</v>
      </c>
      <c r="CQ95" s="20">
        <f>CQ94/CL94-1</f>
        <v>0.24309392265193375</v>
      </c>
      <c r="CR95" s="206">
        <f>CR94/CM94-1</f>
        <v>7.3258104961490211E-2</v>
      </c>
      <c r="CS95" s="317"/>
      <c r="CT95" s="20"/>
      <c r="CU95" s="20"/>
      <c r="CV95" s="20"/>
      <c r="CW95" s="206"/>
      <c r="CX95" s="317">
        <f>CX94/CS94-1</f>
        <v>0.25236167341430504</v>
      </c>
      <c r="CY95" s="20">
        <f>CY94/CT94-1</f>
        <v>0.31880945435684627</v>
      </c>
      <c r="CZ95" s="20">
        <f>CZ94/CU94-1</f>
        <v>0.29068964705882339</v>
      </c>
      <c r="DA95" s="20">
        <f>DA94/CV94-1</f>
        <v>0.10093745491120942</v>
      </c>
      <c r="DB95" s="206">
        <f>DB94/CW94-1</f>
        <v>0.23869180924363498</v>
      </c>
      <c r="DC95" s="20"/>
      <c r="DD95" s="20"/>
      <c r="DE95" s="20"/>
      <c r="DF95" s="20"/>
      <c r="DG95" s="206">
        <f>DG94/DB94-1</f>
        <v>-2.8301591491579625E-2</v>
      </c>
      <c r="DH95" s="20"/>
      <c r="DI95" s="20"/>
      <c r="DJ95" s="20"/>
      <c r="DK95" s="20"/>
      <c r="DL95" s="206">
        <f>DL94/DG94-1</f>
        <v>-3.2592307692307698E-2</v>
      </c>
      <c r="DM95" s="20"/>
      <c r="DN95" s="500"/>
      <c r="DO95" s="486"/>
      <c r="DP95" s="411"/>
      <c r="DQ95" s="411"/>
      <c r="DR95" s="411"/>
      <c r="DS95" s="556"/>
      <c r="DT95" s="556"/>
      <c r="DU95" s="461"/>
      <c r="DV95" s="461"/>
      <c r="DW95" s="461"/>
      <c r="DX95" s="461"/>
      <c r="DY95" s="461"/>
      <c r="DZ95" s="461"/>
      <c r="EA95" s="500"/>
      <c r="EH95" s="8"/>
    </row>
    <row r="96" spans="1:138" ht="12.75" customHeight="1" x14ac:dyDescent="0.2">
      <c r="A96" s="149" t="s">
        <v>185</v>
      </c>
      <c r="B96" s="896">
        <f t="shared" ref="B96:AO96" si="412">B94/B109</f>
        <v>0.66057838660578383</v>
      </c>
      <c r="C96" s="896">
        <f t="shared" si="412"/>
        <v>0.66666666666666663</v>
      </c>
      <c r="D96" s="896">
        <f t="shared" si="412"/>
        <v>0.75602836879432622</v>
      </c>
      <c r="E96" s="896">
        <f t="shared" si="412"/>
        <v>0.80959520239880056</v>
      </c>
      <c r="F96" s="212">
        <f t="shared" si="412"/>
        <v>0.7233651726671565</v>
      </c>
      <c r="G96" s="896">
        <f t="shared" si="412"/>
        <v>0.7385057471264368</v>
      </c>
      <c r="H96" s="896">
        <f t="shared" si="412"/>
        <v>0.67888563049853368</v>
      </c>
      <c r="I96" s="896">
        <f t="shared" si="412"/>
        <v>0.69616519174041303</v>
      </c>
      <c r="J96" s="896">
        <f t="shared" si="412"/>
        <v>0.62057335581787521</v>
      </c>
      <c r="K96" s="212">
        <f t="shared" si="412"/>
        <v>0.68591921479803697</v>
      </c>
      <c r="L96" s="896">
        <f t="shared" si="412"/>
        <v>0.56594323873121866</v>
      </c>
      <c r="M96" s="896">
        <f t="shared" si="412"/>
        <v>0.63249211356466872</v>
      </c>
      <c r="N96" s="896">
        <f t="shared" si="412"/>
        <v>0.71341463414634143</v>
      </c>
      <c r="O96" s="896">
        <f t="shared" si="412"/>
        <v>0.76</v>
      </c>
      <c r="P96" s="212">
        <f t="shared" si="412"/>
        <v>0.66945107398568016</v>
      </c>
      <c r="Q96" s="896">
        <f t="shared" si="412"/>
        <v>0.86904761904761907</v>
      </c>
      <c r="R96" s="896">
        <f t="shared" si="412"/>
        <v>0.76260945709281958</v>
      </c>
      <c r="S96" s="896">
        <f t="shared" si="412"/>
        <v>0.79146141215106736</v>
      </c>
      <c r="T96" s="896">
        <f t="shared" si="412"/>
        <v>0.84717607973421927</v>
      </c>
      <c r="U96" s="212">
        <f t="shared" si="412"/>
        <v>0.81791139240506328</v>
      </c>
      <c r="V96" s="896">
        <f t="shared" si="412"/>
        <v>0.95229623029242161</v>
      </c>
      <c r="W96" s="896">
        <f t="shared" si="412"/>
        <v>1.0469483568075117</v>
      </c>
      <c r="X96" s="896">
        <f t="shared" si="412"/>
        <v>1.201834862385321</v>
      </c>
      <c r="Y96" s="896">
        <f t="shared" si="412"/>
        <v>1.4183835182250397</v>
      </c>
      <c r="Z96" s="212">
        <f t="shared" si="412"/>
        <v>1.1572161120114166</v>
      </c>
      <c r="AA96" s="896">
        <f t="shared" si="412"/>
        <v>1.4166666666666667</v>
      </c>
      <c r="AB96" s="896">
        <f t="shared" si="412"/>
        <v>1.604261796042618</v>
      </c>
      <c r="AC96" s="896">
        <f t="shared" si="412"/>
        <v>1.8227272727272728</v>
      </c>
      <c r="AD96" s="896">
        <f t="shared" si="412"/>
        <v>2.0508166969147004</v>
      </c>
      <c r="AE96" s="212">
        <f t="shared" si="412"/>
        <v>1.713884430176565</v>
      </c>
      <c r="AF96" s="896">
        <f t="shared" si="412"/>
        <v>1.9179999999999999</v>
      </c>
      <c r="AG96" s="896">
        <f t="shared" si="412"/>
        <v>2.1385767790262173</v>
      </c>
      <c r="AH96" s="896">
        <f t="shared" si="412"/>
        <v>2.2544169611307421</v>
      </c>
      <c r="AI96" s="896">
        <f t="shared" si="412"/>
        <v>2.0665362035225048</v>
      </c>
      <c r="AJ96" s="212">
        <f t="shared" si="412"/>
        <v>2.0999526290857413</v>
      </c>
      <c r="AK96" s="896">
        <f t="shared" si="412"/>
        <v>1.9307535641547862</v>
      </c>
      <c r="AL96" s="896">
        <f t="shared" si="412"/>
        <v>2.0941619585687383</v>
      </c>
      <c r="AM96" s="896">
        <f t="shared" si="412"/>
        <v>2.2086956521739132</v>
      </c>
      <c r="AN96" s="896">
        <f t="shared" si="412"/>
        <v>2.6076923076923078</v>
      </c>
      <c r="AO96" s="212">
        <f t="shared" si="412"/>
        <v>2.213509683514407</v>
      </c>
      <c r="AP96" s="874"/>
      <c r="AQ96" s="896"/>
      <c r="AR96" s="896"/>
      <c r="AS96" s="896"/>
      <c r="AT96" s="212"/>
      <c r="AU96" s="896">
        <v>2.8974870831376234</v>
      </c>
      <c r="AV96" s="896">
        <v>3.3873041933649186</v>
      </c>
      <c r="AW96" s="896">
        <v>3.81</v>
      </c>
      <c r="AX96" s="896">
        <v>3.12</v>
      </c>
      <c r="AY96" s="212">
        <v>3.3159304798348099</v>
      </c>
      <c r="AZ96" s="874">
        <v>2.2573260653694196</v>
      </c>
      <c r="BA96" s="896">
        <v>2.06</v>
      </c>
      <c r="BB96" s="896">
        <v>2.13</v>
      </c>
      <c r="BC96" s="896">
        <v>2.17</v>
      </c>
      <c r="BD96" s="212">
        <f>BD94/(BD109)</f>
        <v>2.1523154394095747</v>
      </c>
      <c r="BE96" s="874">
        <v>2.2250000000000001</v>
      </c>
      <c r="BF96" s="896">
        <v>2.3199999999999998</v>
      </c>
      <c r="BG96" s="896">
        <v>2.29</v>
      </c>
      <c r="BH96" s="896">
        <v>2.4700000000000002</v>
      </c>
      <c r="BI96" s="212">
        <f>BI94/(BI109)</f>
        <v>2.3257345281214832</v>
      </c>
      <c r="BJ96" s="874">
        <v>2.89</v>
      </c>
      <c r="BK96" s="896">
        <v>3.22</v>
      </c>
      <c r="BL96" s="896">
        <v>3.09</v>
      </c>
      <c r="BM96" s="896">
        <v>2.97</v>
      </c>
      <c r="BN96" s="579">
        <f>BN94/(BN109)</f>
        <v>3.0481980921031822</v>
      </c>
      <c r="BO96" s="874">
        <v>3.28</v>
      </c>
      <c r="BP96" s="896">
        <v>3.37</v>
      </c>
      <c r="BQ96" s="896">
        <v>3.14</v>
      </c>
      <c r="BR96" s="896">
        <v>3.24</v>
      </c>
      <c r="BS96" s="212">
        <f>BS94/(BS109)</f>
        <v>3.3028237585199611</v>
      </c>
      <c r="BT96" s="874">
        <v>3.24</v>
      </c>
      <c r="BU96" s="896">
        <v>3.03</v>
      </c>
      <c r="BV96" s="896">
        <v>2.97</v>
      </c>
      <c r="BW96" s="896">
        <v>3.05</v>
      </c>
      <c r="BX96" s="212">
        <f>BX94/(BX109)</f>
        <v>3.0581726209294975</v>
      </c>
      <c r="BY96" s="874">
        <v>3.03</v>
      </c>
      <c r="BZ96" s="896">
        <v>2.93</v>
      </c>
      <c r="CA96" s="896">
        <v>2.9</v>
      </c>
      <c r="CB96" s="896">
        <v>2.62</v>
      </c>
      <c r="CC96" s="212">
        <f>CC94/(CC109)</f>
        <v>2.8577559779276518</v>
      </c>
      <c r="CD96" s="874">
        <v>2.93</v>
      </c>
      <c r="CE96" s="896">
        <v>2.4</v>
      </c>
      <c r="CF96" s="896">
        <v>1.8</v>
      </c>
      <c r="CG96" s="896">
        <v>1.85</v>
      </c>
      <c r="CH96" s="212">
        <f>CH94/(CH109)</f>
        <v>2.3189476795743422</v>
      </c>
      <c r="CI96" s="874">
        <v>1.33</v>
      </c>
      <c r="CJ96" s="896">
        <v>1.97</v>
      </c>
      <c r="CK96" s="896">
        <v>1.48</v>
      </c>
      <c r="CL96" s="896">
        <v>1.6</v>
      </c>
      <c r="CM96" s="212">
        <f>CM94/(CM109)</f>
        <v>1.639647577092511</v>
      </c>
      <c r="CN96" s="874">
        <v>1.71</v>
      </c>
      <c r="CO96" s="896">
        <v>1.66</v>
      </c>
      <c r="CP96" s="896">
        <v>1.68</v>
      </c>
      <c r="CQ96" s="896">
        <v>1.93</v>
      </c>
      <c r="CR96" s="212">
        <f>CR94/(CR109)</f>
        <v>1.7464296123579131</v>
      </c>
      <c r="CS96" s="874">
        <v>1.71</v>
      </c>
      <c r="CT96" s="896">
        <v>1.66</v>
      </c>
      <c r="CU96" s="896">
        <v>1.68</v>
      </c>
      <c r="CV96" s="896">
        <v>1.93</v>
      </c>
      <c r="CW96" s="212">
        <f>CW94/(CW109)</f>
        <v>1.6755952380952381</v>
      </c>
      <c r="CX96" s="874">
        <v>2.0099999999999998</v>
      </c>
      <c r="CY96" s="190">
        <f>AVERAGE(2.07,2.12)</f>
        <v>2.0949999999999998</v>
      </c>
      <c r="CZ96" s="190">
        <f t="shared" ref="CZ96:DA96" si="413">+(CZ102*CZ103)+(CZ104*(CZ105+CZ107))+((1-CZ102-CZ104)*CZ107)+CZ108-CZ101</f>
        <v>2.0499999999999998</v>
      </c>
      <c r="DA96" s="190">
        <f t="shared" si="413"/>
        <v>2.0499999999999998</v>
      </c>
      <c r="DB96" s="212">
        <f>DB94/(DB109)</f>
        <v>2.0463293781166763</v>
      </c>
      <c r="DC96" s="190"/>
      <c r="DD96" s="191"/>
      <c r="DE96" s="190"/>
      <c r="DF96" s="190"/>
      <c r="DG96" s="212">
        <f>+(DG102*DG103)+(DG104*(DG105+DG107))+((1-DG102-DG104)*DG107)+DG108-DG101</f>
        <v>1.95</v>
      </c>
      <c r="DH96" s="190"/>
      <c r="DI96" s="191"/>
      <c r="DJ96" s="190"/>
      <c r="DK96" s="190"/>
      <c r="DL96" s="212">
        <f>+(DL102*DL103)+(DL104*(DL105+DL107))+((1-DL102-DL104)*DL107)+DL108-DL101</f>
        <v>1.8499999999999999</v>
      </c>
      <c r="DM96" s="132"/>
      <c r="DN96" s="511"/>
      <c r="DO96" s="486"/>
      <c r="DP96" s="411"/>
      <c r="DQ96" s="411"/>
      <c r="DR96" s="411"/>
      <c r="DS96" s="461" t="s">
        <v>587</v>
      </c>
      <c r="DT96" s="556"/>
      <c r="DU96" s="461"/>
      <c r="DV96" s="468"/>
      <c r="DW96" s="468"/>
      <c r="DX96" s="468"/>
      <c r="DY96" s="461"/>
      <c r="DZ96" s="468"/>
      <c r="EA96" s="511"/>
      <c r="EH96" s="141"/>
    </row>
    <row r="97" spans="1:138" ht="12.75" customHeight="1" x14ac:dyDescent="0.2">
      <c r="A97" s="142" t="s">
        <v>244</v>
      </c>
      <c r="B97" s="48"/>
      <c r="C97" s="48"/>
      <c r="D97" s="48"/>
      <c r="E97" s="48"/>
      <c r="F97" s="206"/>
      <c r="G97" s="48">
        <f>G96/B96-1</f>
        <v>0.117968377562371</v>
      </c>
      <c r="H97" s="48">
        <f>H96/C96-1</f>
        <v>1.832844574780057E-2</v>
      </c>
      <c r="I97" s="48">
        <f>I96/D96-1</f>
        <v>-7.9181125371498684E-2</v>
      </c>
      <c r="J97" s="48">
        <f>J96/E96-1</f>
        <v>-0.23347698457310595</v>
      </c>
      <c r="K97" s="199">
        <f t="shared" ref="K97:AO97" si="414">K96/F96-1</f>
        <v>-5.1766326724095202E-2</v>
      </c>
      <c r="L97" s="48">
        <f t="shared" si="414"/>
        <v>-0.23366440825500356</v>
      </c>
      <c r="M97" s="48">
        <f t="shared" si="414"/>
        <v>-6.8337750645563466E-2</v>
      </c>
      <c r="N97" s="48">
        <f t="shared" si="414"/>
        <v>2.4777800744109069E-2</v>
      </c>
      <c r="O97" s="48">
        <f t="shared" si="414"/>
        <v>0.22467391304347828</v>
      </c>
      <c r="P97" s="199">
        <f t="shared" si="414"/>
        <v>-2.400886351784981E-2</v>
      </c>
      <c r="Q97" s="48">
        <f t="shared" si="414"/>
        <v>0.5355738165472681</v>
      </c>
      <c r="R97" s="48">
        <f t="shared" si="414"/>
        <v>0.20572168527892187</v>
      </c>
      <c r="S97" s="48">
        <f t="shared" si="414"/>
        <v>0.10939890250235096</v>
      </c>
      <c r="T97" s="48">
        <f t="shared" si="414"/>
        <v>0.11470536807134102</v>
      </c>
      <c r="U97" s="199">
        <f t="shared" si="414"/>
        <v>0.22176425460863292</v>
      </c>
      <c r="V97" s="48">
        <f t="shared" si="414"/>
        <v>9.5792922528265878E-2</v>
      </c>
      <c r="W97" s="48">
        <f t="shared" si="414"/>
        <v>0.37284995231849627</v>
      </c>
      <c r="X97" s="48">
        <f t="shared" si="414"/>
        <v>0.5185008945905818</v>
      </c>
      <c r="Y97" s="48">
        <f t="shared" si="414"/>
        <v>0.67424878033622337</v>
      </c>
      <c r="Z97" s="199">
        <f t="shared" si="414"/>
        <v>0.41484288244063938</v>
      </c>
      <c r="AA97" s="48">
        <f t="shared" si="414"/>
        <v>0.48763233708449194</v>
      </c>
      <c r="AB97" s="48">
        <f t="shared" si="414"/>
        <v>0.53232180518868888</v>
      </c>
      <c r="AC97" s="48">
        <f t="shared" si="414"/>
        <v>0.51662040249826524</v>
      </c>
      <c r="AD97" s="48">
        <f t="shared" si="414"/>
        <v>0.44588305670745898</v>
      </c>
      <c r="AE97" s="199">
        <f t="shared" si="414"/>
        <v>0.48104093296590444</v>
      </c>
      <c r="AF97" s="48">
        <f t="shared" si="414"/>
        <v>0.35388235294117631</v>
      </c>
      <c r="AG97" s="48">
        <f t="shared" si="414"/>
        <v>0.33305971899452058</v>
      </c>
      <c r="AH97" s="48">
        <f t="shared" si="414"/>
        <v>0.23683723553307545</v>
      </c>
      <c r="AI97" s="48">
        <f t="shared" si="414"/>
        <v>7.6649983547789624E-3</v>
      </c>
      <c r="AJ97" s="199">
        <f t="shared" si="414"/>
        <v>0.22525917857215338</v>
      </c>
      <c r="AK97" s="48">
        <f t="shared" si="414"/>
        <v>6.6494077970731258E-3</v>
      </c>
      <c r="AL97" s="48">
        <f t="shared" si="414"/>
        <v>-2.0768401159626748E-2</v>
      </c>
      <c r="AM97" s="48">
        <f t="shared" si="414"/>
        <v>-2.0280768706555818E-2</v>
      </c>
      <c r="AN97" s="48">
        <f t="shared" si="414"/>
        <v>0.26186625874125879</v>
      </c>
      <c r="AO97" s="199">
        <f t="shared" si="414"/>
        <v>5.4076007646946422E-2</v>
      </c>
      <c r="AP97" s="328"/>
      <c r="AQ97" s="48"/>
      <c r="AR97" s="48"/>
      <c r="AS97" s="48"/>
      <c r="AT97" s="277"/>
      <c r="AU97" s="48"/>
      <c r="AV97" s="48"/>
      <c r="AW97" s="48"/>
      <c r="AX97" s="48"/>
      <c r="AY97" s="277"/>
      <c r="AZ97" s="328">
        <f t="shared" ref="AZ97:CA97" si="415">AZ96/AU96-1</f>
        <v>-0.22093662522042645</v>
      </c>
      <c r="BA97" s="48">
        <f t="shared" si="415"/>
        <v>-0.39184676592224987</v>
      </c>
      <c r="BB97" s="48">
        <f t="shared" si="415"/>
        <v>-0.44094488188976377</v>
      </c>
      <c r="BC97" s="48">
        <f t="shared" si="415"/>
        <v>-0.30448717948717952</v>
      </c>
      <c r="BD97" s="277">
        <f t="shared" si="415"/>
        <v>-0.3509165971667787</v>
      </c>
      <c r="BE97" s="328">
        <f t="shared" si="415"/>
        <v>-1.4320512160536869E-2</v>
      </c>
      <c r="BF97" s="48">
        <f t="shared" si="415"/>
        <v>0.12621359223300965</v>
      </c>
      <c r="BG97" s="48">
        <f t="shared" si="415"/>
        <v>7.5117370892018753E-2</v>
      </c>
      <c r="BH97" s="48">
        <f t="shared" si="415"/>
        <v>0.13824884792626735</v>
      </c>
      <c r="BI97" s="277">
        <f t="shared" si="415"/>
        <v>8.0573267996200792E-2</v>
      </c>
      <c r="BJ97" s="328">
        <f t="shared" si="415"/>
        <v>0.29887640449438213</v>
      </c>
      <c r="BK97" s="48">
        <f t="shared" si="415"/>
        <v>0.3879310344827589</v>
      </c>
      <c r="BL97" s="48">
        <f t="shared" si="415"/>
        <v>0.34934497816593879</v>
      </c>
      <c r="BM97" s="48">
        <f t="shared" si="415"/>
        <v>0.20242914979757076</v>
      </c>
      <c r="BN97" s="328">
        <f t="shared" si="415"/>
        <v>0.31063887784528843</v>
      </c>
      <c r="BO97" s="328">
        <f t="shared" si="415"/>
        <v>0.134948096885813</v>
      </c>
      <c r="BP97" s="48">
        <f t="shared" si="415"/>
        <v>4.658385093167694E-2</v>
      </c>
      <c r="BQ97" s="48">
        <f t="shared" si="415"/>
        <v>1.6181229773462924E-2</v>
      </c>
      <c r="BR97" s="48">
        <f t="shared" si="415"/>
        <v>9.0909090909090828E-2</v>
      </c>
      <c r="BS97" s="277">
        <f t="shared" si="415"/>
        <v>8.3533175575572161E-2</v>
      </c>
      <c r="BT97" s="328">
        <f t="shared" si="415"/>
        <v>-1.2195121951219412E-2</v>
      </c>
      <c r="BU97" s="48">
        <f t="shared" si="415"/>
        <v>-0.10089020771513357</v>
      </c>
      <c r="BV97" s="48">
        <f t="shared" si="415"/>
        <v>-5.414012738853502E-2</v>
      </c>
      <c r="BW97" s="48">
        <f t="shared" si="415"/>
        <v>-5.8641975308642125E-2</v>
      </c>
      <c r="BX97" s="277">
        <f>BX96/BS96-1</f>
        <v>-7.4073324972112609E-2</v>
      </c>
      <c r="BY97" s="328">
        <f t="shared" si="415"/>
        <v>-6.4814814814814992E-2</v>
      </c>
      <c r="BZ97" s="48">
        <f t="shared" si="415"/>
        <v>-3.3003300330032848E-2</v>
      </c>
      <c r="CA97" s="48">
        <f t="shared" si="415"/>
        <v>-2.3569023569023684E-2</v>
      </c>
      <c r="CB97" s="48">
        <f t="shared" ref="CB97:CK97" si="416">CB96/BW96-1</f>
        <v>-0.14098360655737696</v>
      </c>
      <c r="CC97" s="277">
        <f t="shared" si="416"/>
        <v>-6.5534771199714403E-2</v>
      </c>
      <c r="CD97" s="328">
        <f t="shared" si="416"/>
        <v>-3.3003300330032848E-2</v>
      </c>
      <c r="CE97" s="48">
        <f t="shared" si="416"/>
        <v>-0.1808873720136519</v>
      </c>
      <c r="CF97" s="48">
        <f t="shared" si="416"/>
        <v>-0.37931034482758619</v>
      </c>
      <c r="CG97" s="48">
        <f>CG96/CB96-1</f>
        <v>-0.29389312977099236</v>
      </c>
      <c r="CH97" s="277">
        <f>CH96/CC96-1</f>
        <v>-0.18854244467158288</v>
      </c>
      <c r="CI97" s="328">
        <f t="shared" si="416"/>
        <v>-0.5460750853242321</v>
      </c>
      <c r="CJ97" s="48">
        <f t="shared" si="416"/>
        <v>-0.1791666666666667</v>
      </c>
      <c r="CK97" s="48">
        <f t="shared" si="416"/>
        <v>-0.17777777777777781</v>
      </c>
      <c r="CL97" s="48">
        <f>CL96/CG96-1</f>
        <v>-0.13513513513513509</v>
      </c>
      <c r="CM97" s="277">
        <f>CM96/CH96-1</f>
        <v>-0.29293463947686871</v>
      </c>
      <c r="CN97" s="328">
        <f t="shared" ref="CN97:CP97" si="417">CN96/CI96-1</f>
        <v>0.28571428571428559</v>
      </c>
      <c r="CO97" s="48">
        <f t="shared" si="417"/>
        <v>-0.15736040609137059</v>
      </c>
      <c r="CP97" s="48">
        <f t="shared" si="417"/>
        <v>0.13513513513513509</v>
      </c>
      <c r="CQ97" s="48">
        <f>CQ96/CL96-1</f>
        <v>0.20624999999999982</v>
      </c>
      <c r="CR97" s="277">
        <f>CR96/CM96-1</f>
        <v>6.5124991953912525E-2</v>
      </c>
      <c r="CS97" s="328">
        <f>CS96/CI96-1</f>
        <v>0.28571428571428559</v>
      </c>
      <c r="CT97" s="48">
        <f>CT96/CJ96-1</f>
        <v>-0.15736040609137059</v>
      </c>
      <c r="CU97" s="48">
        <f>CU96/CK96-1</f>
        <v>0.13513513513513509</v>
      </c>
      <c r="CV97" s="48">
        <f>CV96/CL96-1</f>
        <v>0.20624999999999982</v>
      </c>
      <c r="CW97" s="277">
        <f t="shared" ref="CW97:DB97" si="418">CW96/CR96-1</f>
        <v>-4.0559535730179896E-2</v>
      </c>
      <c r="CX97" s="328">
        <f>CX96/CS96-1</f>
        <v>0.17543859649122795</v>
      </c>
      <c r="CY97" s="48">
        <f t="shared" si="418"/>
        <v>0.26204819277108427</v>
      </c>
      <c r="CZ97" s="48">
        <f t="shared" si="418"/>
        <v>0.22023809523809512</v>
      </c>
      <c r="DA97" s="48">
        <f t="shared" si="418"/>
        <v>6.2176165803108807E-2</v>
      </c>
      <c r="DB97" s="277">
        <f t="shared" si="418"/>
        <v>0.22125518836092928</v>
      </c>
      <c r="DC97" s="48"/>
      <c r="DD97" s="20"/>
      <c r="DE97" s="48"/>
      <c r="DF97" s="48"/>
      <c r="DG97" s="277">
        <f>DG96/DB96-1</f>
        <v>-4.7074229176796711E-2</v>
      </c>
      <c r="DH97" s="48"/>
      <c r="DI97" s="20"/>
      <c r="DJ97" s="48"/>
      <c r="DK97" s="48"/>
      <c r="DL97" s="277">
        <f>DL96/DG96-1</f>
        <v>-5.1282051282051322E-2</v>
      </c>
      <c r="DM97" s="48"/>
      <c r="DN97" s="512"/>
      <c r="DO97" s="486"/>
      <c r="DP97" s="411"/>
      <c r="DQ97" s="411"/>
      <c r="DR97" s="411"/>
      <c r="DS97" s="563"/>
      <c r="DT97" s="556"/>
      <c r="DU97" s="468"/>
      <c r="DV97" s="461"/>
      <c r="DW97" s="461"/>
      <c r="DX97" s="461"/>
      <c r="DY97" s="461"/>
      <c r="DZ97" s="461"/>
      <c r="EA97" s="512"/>
      <c r="EH97" s="8"/>
    </row>
    <row r="98" spans="1:138" ht="12.75" customHeight="1" x14ac:dyDescent="0.2">
      <c r="A98" s="150" t="s">
        <v>111</v>
      </c>
      <c r="B98" s="48"/>
      <c r="C98" s="48"/>
      <c r="D98" s="48"/>
      <c r="E98" s="48"/>
      <c r="F98" s="213"/>
      <c r="G98" s="48"/>
      <c r="H98" s="48"/>
      <c r="I98" s="48"/>
      <c r="J98" s="48"/>
      <c r="K98" s="213"/>
      <c r="L98" s="48"/>
      <c r="M98" s="48"/>
      <c r="N98" s="48"/>
      <c r="O98" s="48"/>
      <c r="P98" s="213"/>
      <c r="Q98" s="48"/>
      <c r="R98" s="48"/>
      <c r="S98" s="48"/>
      <c r="T98" s="48"/>
      <c r="U98" s="213"/>
      <c r="V98" s="48"/>
      <c r="W98" s="48"/>
      <c r="X98" s="48"/>
      <c r="Y98" s="48"/>
      <c r="Z98" s="213"/>
      <c r="AA98" s="48"/>
      <c r="AB98" s="48"/>
      <c r="AC98" s="48"/>
      <c r="AD98" s="48"/>
      <c r="AE98" s="213"/>
      <c r="AF98" s="48"/>
      <c r="AG98" s="48"/>
      <c r="AH98" s="48"/>
      <c r="AI98" s="48"/>
      <c r="AJ98" s="213"/>
      <c r="AK98" s="48"/>
      <c r="AL98" s="48"/>
      <c r="AM98" s="48"/>
      <c r="AN98" s="48"/>
      <c r="AO98" s="213"/>
      <c r="AP98" s="328"/>
      <c r="AQ98" s="48"/>
      <c r="AR98" s="48"/>
      <c r="AS98" s="48"/>
      <c r="AT98" s="277"/>
      <c r="AU98" s="48"/>
      <c r="AV98" s="48"/>
      <c r="AW98" s="48"/>
      <c r="AX98" s="48"/>
      <c r="AY98" s="277"/>
      <c r="AZ98" s="328"/>
      <c r="BA98" s="48"/>
      <c r="BB98" s="48"/>
      <c r="BC98" s="48"/>
      <c r="BD98" s="277"/>
      <c r="BE98" s="328"/>
      <c r="BF98" s="48"/>
      <c r="BG98" s="48"/>
      <c r="BH98" s="48"/>
      <c r="BI98" s="277"/>
      <c r="BJ98" s="328"/>
      <c r="BK98" s="48"/>
      <c r="BL98" s="48"/>
      <c r="BM98" s="48"/>
      <c r="BN98" s="328"/>
      <c r="BO98" s="328"/>
      <c r="BP98" s="48"/>
      <c r="BQ98" s="48"/>
      <c r="BR98" s="48"/>
      <c r="BS98" s="277"/>
      <c r="BT98" s="328"/>
      <c r="BU98" s="48"/>
      <c r="BV98" s="48"/>
      <c r="BW98" s="48"/>
      <c r="BX98" s="277"/>
      <c r="BY98" s="328"/>
      <c r="BZ98" s="48"/>
      <c r="CA98" s="48"/>
      <c r="CB98" s="48"/>
      <c r="CC98" s="277"/>
      <c r="CD98" s="328"/>
      <c r="CE98" s="48"/>
      <c r="CF98" s="48"/>
      <c r="CG98" s="48"/>
      <c r="CH98" s="277"/>
      <c r="CI98" s="328"/>
      <c r="CJ98" s="48"/>
      <c r="CK98" s="48"/>
      <c r="CL98" s="48"/>
      <c r="CM98" s="277"/>
      <c r="CN98" s="328"/>
      <c r="CO98" s="48"/>
      <c r="CP98" s="48"/>
      <c r="CQ98" s="48"/>
      <c r="CR98" s="277"/>
      <c r="CS98" s="328"/>
      <c r="CT98" s="48"/>
      <c r="CU98" s="48"/>
      <c r="CV98" s="48"/>
      <c r="CW98" s="277"/>
      <c r="CX98" s="328"/>
      <c r="CY98" s="48"/>
      <c r="CZ98" s="48"/>
      <c r="DA98" s="48"/>
      <c r="DB98" s="277"/>
      <c r="DC98" s="48"/>
      <c r="DD98" s="20"/>
      <c r="DE98" s="48"/>
      <c r="DF98" s="48"/>
      <c r="DG98" s="277"/>
      <c r="DH98" s="48"/>
      <c r="DI98" s="20"/>
      <c r="DJ98" s="48"/>
      <c r="DK98" s="48"/>
      <c r="DL98" s="277"/>
      <c r="DM98" s="48"/>
      <c r="DN98" s="512"/>
      <c r="DO98" s="486"/>
      <c r="DP98" s="411"/>
      <c r="DQ98" s="411"/>
      <c r="DR98" s="411"/>
      <c r="DS98" s="563"/>
      <c r="DT98" s="556"/>
      <c r="DU98" s="461"/>
      <c r="DV98" s="662"/>
      <c r="DW98" s="461"/>
      <c r="DX98" s="461"/>
      <c r="DY98" s="461"/>
      <c r="DZ98" s="461"/>
      <c r="EA98" s="512"/>
      <c r="EH98" s="8"/>
    </row>
    <row r="99" spans="1:138" ht="12.75" customHeight="1" x14ac:dyDescent="0.2">
      <c r="A99" s="52" t="s">
        <v>524</v>
      </c>
      <c r="B99" s="48"/>
      <c r="C99" s="48"/>
      <c r="D99" s="48"/>
      <c r="E99" s="48"/>
      <c r="F99" s="213"/>
      <c r="G99" s="48"/>
      <c r="H99" s="48"/>
      <c r="I99" s="48"/>
      <c r="J99" s="48"/>
      <c r="K99" s="213"/>
      <c r="L99" s="48"/>
      <c r="M99" s="48"/>
      <c r="N99" s="48"/>
      <c r="O99" s="48"/>
      <c r="P99" s="213"/>
      <c r="Q99" s="48"/>
      <c r="R99" s="48"/>
      <c r="S99" s="48"/>
      <c r="T99" s="48"/>
      <c r="U99" s="213"/>
      <c r="V99" s="48"/>
      <c r="W99" s="48"/>
      <c r="X99" s="48"/>
      <c r="Y99" s="48"/>
      <c r="Z99" s="213"/>
      <c r="AA99" s="48"/>
      <c r="AB99" s="48"/>
      <c r="AC99" s="48"/>
      <c r="AD99" s="48"/>
      <c r="AE99" s="213"/>
      <c r="AF99" s="48"/>
      <c r="AG99" s="48"/>
      <c r="AH99" s="48"/>
      <c r="AI99" s="48"/>
      <c r="AJ99" s="213"/>
      <c r="AK99" s="48"/>
      <c r="AL99" s="48"/>
      <c r="AM99" s="48"/>
      <c r="AN99" s="48"/>
      <c r="AO99" s="213"/>
      <c r="AP99" s="328"/>
      <c r="AQ99" s="48"/>
      <c r="AR99" s="48"/>
      <c r="AS99" s="48"/>
      <c r="AT99" s="277"/>
      <c r="AU99" s="48"/>
      <c r="AV99" s="48"/>
      <c r="AW99" s="48"/>
      <c r="AX99" s="48"/>
      <c r="AY99" s="277"/>
      <c r="AZ99" s="328"/>
      <c r="BA99" s="48"/>
      <c r="BB99" s="48"/>
      <c r="BC99" s="48"/>
      <c r="BD99" s="277"/>
      <c r="BE99" s="328"/>
      <c r="BF99" s="48"/>
      <c r="BG99" s="48"/>
      <c r="BH99" s="48"/>
      <c r="BI99" s="277"/>
      <c r="BJ99" s="328"/>
      <c r="BK99" s="48"/>
      <c r="BL99" s="48"/>
      <c r="BM99" s="48"/>
      <c r="BN99" s="328"/>
      <c r="BO99" s="328"/>
      <c r="BP99" s="48"/>
      <c r="BQ99" s="48"/>
      <c r="BR99" s="48"/>
      <c r="BS99" s="277"/>
      <c r="BT99" s="328"/>
      <c r="BU99" s="48"/>
      <c r="BV99" s="48"/>
      <c r="BW99" s="48"/>
      <c r="BX99" s="277"/>
      <c r="BY99" s="328"/>
      <c r="BZ99" s="48"/>
      <c r="CA99" s="48"/>
      <c r="CB99" s="48"/>
      <c r="CC99" s="277"/>
      <c r="CD99" s="328"/>
      <c r="CE99" s="48"/>
      <c r="CF99" s="48"/>
      <c r="CG99" s="48"/>
      <c r="CH99" s="277"/>
      <c r="CI99" s="328"/>
      <c r="CJ99" s="48"/>
      <c r="CK99" s="48"/>
      <c r="CL99" s="48"/>
      <c r="CM99" s="277"/>
      <c r="CN99" s="328"/>
      <c r="CO99" s="48"/>
      <c r="CP99" s="48"/>
      <c r="CQ99" s="48"/>
      <c r="CR99" s="277"/>
      <c r="CS99" s="328"/>
      <c r="CT99" s="48"/>
      <c r="CU99" s="48"/>
      <c r="CV99" s="48"/>
      <c r="CW99" s="277"/>
      <c r="CX99" s="328"/>
      <c r="CY99" s="862"/>
      <c r="CZ99" s="862"/>
      <c r="DA99" s="790"/>
      <c r="DB99" s="277"/>
      <c r="DC99" s="48"/>
      <c r="DD99" s="20"/>
      <c r="DE99" s="48"/>
      <c r="DF99" s="48"/>
      <c r="DG99" s="277"/>
      <c r="DH99" s="48"/>
      <c r="DI99" s="20"/>
      <c r="DJ99" s="48"/>
      <c r="DK99" s="48"/>
      <c r="DL99" s="277"/>
      <c r="DM99" s="48"/>
      <c r="DN99" s="512"/>
      <c r="DO99" s="486"/>
      <c r="DP99" s="411"/>
      <c r="DQ99" s="411"/>
      <c r="DR99" s="411"/>
      <c r="DS99" s="559"/>
      <c r="DT99" s="559"/>
      <c r="DU99" s="461"/>
      <c r="DV99" s="926"/>
      <c r="DW99" s="662"/>
      <c r="DX99" s="662"/>
      <c r="DY99" s="461"/>
      <c r="DZ99" s="461"/>
      <c r="EA99" s="512"/>
      <c r="EH99" s="8"/>
    </row>
    <row r="100" spans="1:138" ht="12.75" customHeight="1" x14ac:dyDescent="0.2">
      <c r="A100" s="52" t="s">
        <v>365</v>
      </c>
      <c r="B100" s="48"/>
      <c r="C100" s="56"/>
      <c r="D100" s="56"/>
      <c r="E100" s="56"/>
      <c r="F100" s="213"/>
      <c r="G100" s="48"/>
      <c r="H100" s="56"/>
      <c r="I100" s="56"/>
      <c r="J100" s="56"/>
      <c r="K100" s="213"/>
      <c r="L100" s="48"/>
      <c r="M100" s="56"/>
      <c r="N100" s="56"/>
      <c r="O100" s="56"/>
      <c r="P100" s="213"/>
      <c r="Q100" s="48"/>
      <c r="R100" s="56"/>
      <c r="S100" s="56"/>
      <c r="T100" s="56"/>
      <c r="U100" s="213"/>
      <c r="V100" s="48"/>
      <c r="W100" s="56"/>
      <c r="X100" s="56"/>
      <c r="Y100" s="56"/>
      <c r="Z100" s="213"/>
      <c r="AA100" s="48"/>
      <c r="AB100" s="56"/>
      <c r="AC100" s="56"/>
      <c r="AD100" s="56"/>
      <c r="AE100" s="213"/>
      <c r="AF100" s="48"/>
      <c r="AG100" s="56"/>
      <c r="AH100" s="56"/>
      <c r="AI100" s="56"/>
      <c r="AJ100" s="213"/>
      <c r="AK100" s="48"/>
      <c r="AL100" s="56"/>
      <c r="AM100" s="56"/>
      <c r="AN100" s="56"/>
      <c r="AO100" s="213"/>
      <c r="AP100" s="328"/>
      <c r="AQ100" s="56"/>
      <c r="AR100" s="56"/>
      <c r="AS100" s="56"/>
      <c r="AT100" s="277"/>
      <c r="AU100" s="48"/>
      <c r="AV100" s="56"/>
      <c r="AW100" s="56"/>
      <c r="AX100" s="56"/>
      <c r="AY100" s="277"/>
      <c r="AZ100" s="328"/>
      <c r="BA100" s="56"/>
      <c r="BB100" s="56"/>
      <c r="BC100" s="56"/>
      <c r="BD100" s="277"/>
      <c r="BE100" s="328"/>
      <c r="BF100" s="56"/>
      <c r="BG100" s="56"/>
      <c r="BH100" s="56"/>
      <c r="BI100" s="277"/>
      <c r="BJ100" s="328"/>
      <c r="BK100" s="56"/>
      <c r="BL100" s="56"/>
      <c r="BM100" s="56"/>
      <c r="BN100" s="328"/>
      <c r="BO100" s="328"/>
      <c r="BP100" s="56"/>
      <c r="BQ100" s="56"/>
      <c r="BR100" s="56"/>
      <c r="BS100" s="280"/>
      <c r="BT100" s="328"/>
      <c r="BU100" s="56"/>
      <c r="BV100" s="56"/>
      <c r="BW100" s="56"/>
      <c r="BX100" s="280"/>
      <c r="BY100" s="328"/>
      <c r="BZ100" s="56"/>
      <c r="CA100" s="56"/>
      <c r="CB100" s="56"/>
      <c r="CC100" s="280"/>
      <c r="CD100" s="328"/>
      <c r="CE100" s="56"/>
      <c r="CF100" s="56"/>
      <c r="CG100" s="56"/>
      <c r="CH100" s="280"/>
      <c r="CI100" s="328"/>
      <c r="CJ100" s="56"/>
      <c r="CK100" s="56"/>
      <c r="CL100" s="56"/>
      <c r="CM100" s="280"/>
      <c r="CN100" s="328"/>
      <c r="CO100" s="56"/>
      <c r="CP100" s="56"/>
      <c r="CQ100" s="56"/>
      <c r="CR100" s="280"/>
      <c r="CS100" s="328"/>
      <c r="CT100" s="56"/>
      <c r="CU100" s="56"/>
      <c r="CV100" s="56"/>
      <c r="CW100" s="280"/>
      <c r="CX100" s="328"/>
      <c r="CY100" s="56"/>
      <c r="CZ100" s="56">
        <f t="shared" ref="CZ100:DA100" si="419">CZ101*CZ109</f>
        <v>0</v>
      </c>
      <c r="DA100" s="56">
        <f t="shared" si="419"/>
        <v>0</v>
      </c>
      <c r="DB100" s="280"/>
      <c r="DC100" s="594"/>
      <c r="DD100" s="19"/>
      <c r="DE100" s="594"/>
      <c r="DF100" s="594"/>
      <c r="DG100" s="280">
        <f>DG101*DG109</f>
        <v>0</v>
      </c>
      <c r="DH100" s="594"/>
      <c r="DI100" s="19"/>
      <c r="DJ100" s="594"/>
      <c r="DK100" s="594"/>
      <c r="DL100" s="280">
        <f>DL101*DL109</f>
        <v>0</v>
      </c>
      <c r="DM100" s="48"/>
      <c r="DN100" s="512"/>
      <c r="DO100" s="486"/>
      <c r="DP100" s="411"/>
      <c r="DQ100" s="411"/>
      <c r="DR100" s="411"/>
      <c r="DS100" s="556"/>
      <c r="DT100" s="556"/>
      <c r="DU100" s="556"/>
      <c r="DV100" s="926"/>
      <c r="DW100" s="927"/>
      <c r="DX100" s="662"/>
      <c r="DY100" s="461"/>
      <c r="DZ100" s="461"/>
      <c r="EA100" s="512"/>
      <c r="EH100" s="8"/>
    </row>
    <row r="101" spans="1:138" ht="12.75" customHeight="1" x14ac:dyDescent="0.2">
      <c r="A101" s="52" t="s">
        <v>412</v>
      </c>
      <c r="B101" s="54"/>
      <c r="C101" s="53"/>
      <c r="D101" s="53"/>
      <c r="E101" s="53"/>
      <c r="F101" s="215"/>
      <c r="G101" s="54"/>
      <c r="H101" s="53"/>
      <c r="I101" s="53"/>
      <c r="J101" s="53"/>
      <c r="K101" s="215"/>
      <c r="L101" s="54"/>
      <c r="M101" s="53"/>
      <c r="N101" s="53"/>
      <c r="O101" s="53"/>
      <c r="P101" s="215"/>
      <c r="Q101" s="54"/>
      <c r="R101" s="53"/>
      <c r="S101" s="53"/>
      <c r="T101" s="53"/>
      <c r="U101" s="215"/>
      <c r="V101" s="54"/>
      <c r="W101" s="53"/>
      <c r="X101" s="53"/>
      <c r="Y101" s="53"/>
      <c r="Z101" s="215"/>
      <c r="AA101" s="54"/>
      <c r="AB101" s="53"/>
      <c r="AC101" s="53"/>
      <c r="AD101" s="53"/>
      <c r="AE101" s="215"/>
      <c r="AF101" s="54"/>
      <c r="AG101" s="53"/>
      <c r="AH101" s="53"/>
      <c r="AI101" s="53"/>
      <c r="AJ101" s="215"/>
      <c r="AK101" s="54"/>
      <c r="AL101" s="53"/>
      <c r="AM101" s="53"/>
      <c r="AN101" s="53"/>
      <c r="AO101" s="215"/>
      <c r="AP101" s="332"/>
      <c r="AQ101" s="53"/>
      <c r="AR101" s="53"/>
      <c r="AS101" s="53"/>
      <c r="AT101" s="279"/>
      <c r="AU101" s="54"/>
      <c r="AV101" s="53"/>
      <c r="AW101" s="53"/>
      <c r="AX101" s="53"/>
      <c r="AY101" s="279"/>
      <c r="AZ101" s="332"/>
      <c r="BA101" s="53"/>
      <c r="BB101" s="53"/>
      <c r="BC101" s="53"/>
      <c r="BD101" s="279"/>
      <c r="BE101" s="332"/>
      <c r="BF101" s="53"/>
      <c r="BG101" s="53"/>
      <c r="BH101" s="53"/>
      <c r="BI101" s="279"/>
      <c r="BJ101" s="332"/>
      <c r="BK101" s="53"/>
      <c r="BL101" s="53"/>
      <c r="BM101" s="53"/>
      <c r="BN101" s="330"/>
      <c r="BO101" s="332"/>
      <c r="BP101" s="53"/>
      <c r="BQ101" s="53"/>
      <c r="BR101" s="53"/>
      <c r="BS101" s="279"/>
      <c r="BT101" s="332"/>
      <c r="BU101" s="53"/>
      <c r="BV101" s="53"/>
      <c r="BW101" s="53"/>
      <c r="BX101" s="279"/>
      <c r="BY101" s="332"/>
      <c r="BZ101" s="53"/>
      <c r="CA101" s="53"/>
      <c r="CB101" s="53"/>
      <c r="CC101" s="279"/>
      <c r="CD101" s="332"/>
      <c r="CE101" s="53"/>
      <c r="CF101" s="53"/>
      <c r="CG101" s="53"/>
      <c r="CH101" s="279"/>
      <c r="CI101" s="332"/>
      <c r="CJ101" s="53"/>
      <c r="CK101" s="53"/>
      <c r="CL101" s="53"/>
      <c r="CM101" s="279"/>
      <c r="CN101" s="332"/>
      <c r="CO101" s="53"/>
      <c r="CP101" s="53"/>
      <c r="CQ101" s="53"/>
      <c r="CR101" s="279"/>
      <c r="CS101" s="332"/>
      <c r="CT101" s="53"/>
      <c r="CU101" s="53"/>
      <c r="CV101" s="53"/>
      <c r="CW101" s="279"/>
      <c r="CX101" s="332"/>
      <c r="CY101" s="862"/>
      <c r="CZ101" s="862">
        <v>0</v>
      </c>
      <c r="DA101" s="790">
        <v>0</v>
      </c>
      <c r="DB101" s="279"/>
      <c r="DC101" s="54"/>
      <c r="DD101" s="19"/>
      <c r="DE101" s="54"/>
      <c r="DF101" s="54"/>
      <c r="DG101" s="279">
        <v>0</v>
      </c>
      <c r="DH101" s="54"/>
      <c r="DI101" s="19"/>
      <c r="DJ101" s="54"/>
      <c r="DK101" s="54"/>
      <c r="DL101" s="279">
        <v>0</v>
      </c>
      <c r="DM101" s="48"/>
      <c r="DN101" s="512"/>
      <c r="DO101" s="486"/>
      <c r="DP101" s="411"/>
      <c r="DQ101" s="411"/>
      <c r="DR101" s="411"/>
      <c r="DS101" s="556"/>
      <c r="DT101" s="556"/>
      <c r="DU101" s="556"/>
      <c r="DV101" s="926"/>
      <c r="DW101" s="927"/>
      <c r="DX101" s="662"/>
      <c r="DY101" s="461"/>
      <c r="DZ101" s="461"/>
      <c r="EA101" s="512"/>
      <c r="EH101" s="8"/>
    </row>
    <row r="102" spans="1:138" ht="12.75" customHeight="1" x14ac:dyDescent="0.2">
      <c r="A102" s="151" t="s">
        <v>186</v>
      </c>
      <c r="B102" s="50"/>
      <c r="C102" s="50"/>
      <c r="D102" s="50"/>
      <c r="E102" s="50"/>
      <c r="F102" s="214"/>
      <c r="G102" s="50"/>
      <c r="H102" s="50"/>
      <c r="I102" s="50"/>
      <c r="J102" s="50"/>
      <c r="K102" s="214"/>
      <c r="L102" s="50"/>
      <c r="M102" s="50"/>
      <c r="N102" s="50"/>
      <c r="O102" s="50"/>
      <c r="P102" s="214"/>
      <c r="Q102" s="50"/>
      <c r="R102" s="50"/>
      <c r="S102" s="50"/>
      <c r="T102" s="50"/>
      <c r="U102" s="214"/>
      <c r="V102" s="50"/>
      <c r="W102" s="50"/>
      <c r="X102" s="50"/>
      <c r="Y102" s="50"/>
      <c r="Z102" s="214"/>
      <c r="AA102" s="50"/>
      <c r="AB102" s="50"/>
      <c r="AC102" s="50"/>
      <c r="AD102" s="50"/>
      <c r="AE102" s="214"/>
      <c r="AF102" s="50"/>
      <c r="AG102" s="50"/>
      <c r="AH102" s="50"/>
      <c r="AI102" s="50"/>
      <c r="AJ102" s="214"/>
      <c r="AK102" s="50"/>
      <c r="AL102" s="50"/>
      <c r="AM102" s="50"/>
      <c r="AN102" s="50"/>
      <c r="AO102" s="214"/>
      <c r="AP102" s="329"/>
      <c r="AQ102" s="50"/>
      <c r="AR102" s="50"/>
      <c r="AS102" s="50"/>
      <c r="AT102" s="278"/>
      <c r="AU102" s="50"/>
      <c r="AV102" s="50"/>
      <c r="AW102" s="50"/>
      <c r="AX102" s="50"/>
      <c r="AY102" s="278"/>
      <c r="AZ102" s="329"/>
      <c r="BA102" s="50"/>
      <c r="BB102" s="50"/>
      <c r="BC102" s="50"/>
      <c r="BD102" s="278"/>
      <c r="BE102" s="329"/>
      <c r="BF102" s="50"/>
      <c r="BG102" s="50"/>
      <c r="BH102" s="50"/>
      <c r="BI102" s="278"/>
      <c r="BJ102" s="329"/>
      <c r="BK102" s="50"/>
      <c r="BL102" s="50"/>
      <c r="BM102" s="50"/>
      <c r="BN102" s="329"/>
      <c r="BO102" s="329"/>
      <c r="BP102" s="50"/>
      <c r="BQ102" s="50"/>
      <c r="BR102" s="50"/>
      <c r="BS102" s="278"/>
      <c r="BT102" s="329"/>
      <c r="BU102" s="50"/>
      <c r="BV102" s="50"/>
      <c r="BW102" s="50"/>
      <c r="BX102" s="278"/>
      <c r="BY102" s="329"/>
      <c r="BZ102" s="50"/>
      <c r="CA102" s="50"/>
      <c r="CB102" s="50"/>
      <c r="CC102" s="278"/>
      <c r="CD102" s="329"/>
      <c r="CE102" s="50"/>
      <c r="CF102" s="50"/>
      <c r="CG102" s="50"/>
      <c r="CH102" s="278"/>
      <c r="CI102" s="329"/>
      <c r="CJ102" s="50"/>
      <c r="CK102" s="50"/>
      <c r="CL102" s="50"/>
      <c r="CM102" s="278"/>
      <c r="CN102" s="329"/>
      <c r="CO102" s="50"/>
      <c r="CP102" s="50"/>
      <c r="CQ102" s="50"/>
      <c r="CR102" s="278"/>
      <c r="CS102" s="329"/>
      <c r="CT102" s="50"/>
      <c r="CU102" s="50"/>
      <c r="CV102" s="50"/>
      <c r="CW102" s="278"/>
      <c r="CX102" s="329"/>
      <c r="CY102" s="669"/>
      <c r="CZ102" s="669"/>
      <c r="DA102" s="669"/>
      <c r="DB102" s="278"/>
      <c r="DC102" s="50"/>
      <c r="DD102" s="35"/>
      <c r="DE102" s="51"/>
      <c r="DF102" s="51"/>
      <c r="DG102" s="278"/>
      <c r="DH102" s="50"/>
      <c r="DI102" s="35"/>
      <c r="DJ102" s="51"/>
      <c r="DK102" s="51"/>
      <c r="DL102" s="278"/>
      <c r="DM102" s="48"/>
      <c r="DN102" s="512"/>
      <c r="DO102" s="486"/>
      <c r="DP102" s="411"/>
      <c r="DQ102" s="411"/>
      <c r="DR102" s="411"/>
      <c r="DS102" s="556"/>
      <c r="DT102" s="556"/>
      <c r="DU102" s="556"/>
      <c r="DV102" s="926"/>
      <c r="DW102" s="927"/>
      <c r="DX102" s="662"/>
      <c r="DY102" s="461"/>
      <c r="DZ102" s="461"/>
      <c r="EA102" s="512"/>
      <c r="EH102" s="8"/>
    </row>
    <row r="103" spans="1:138" ht="12.75" customHeight="1" x14ac:dyDescent="0.2">
      <c r="A103" s="52" t="s">
        <v>187</v>
      </c>
      <c r="B103" s="53"/>
      <c r="C103" s="53"/>
      <c r="D103" s="53"/>
      <c r="E103" s="53"/>
      <c r="F103" s="215"/>
      <c r="G103" s="53"/>
      <c r="H103" s="53"/>
      <c r="I103" s="53"/>
      <c r="J103" s="53"/>
      <c r="K103" s="215"/>
      <c r="L103" s="53"/>
      <c r="M103" s="53"/>
      <c r="N103" s="53"/>
      <c r="O103" s="53"/>
      <c r="P103" s="215"/>
      <c r="Q103" s="53"/>
      <c r="R103" s="53"/>
      <c r="S103" s="53"/>
      <c r="T103" s="53"/>
      <c r="U103" s="215"/>
      <c r="V103" s="53"/>
      <c r="W103" s="53"/>
      <c r="X103" s="53"/>
      <c r="Y103" s="53"/>
      <c r="Z103" s="215"/>
      <c r="AA103" s="53"/>
      <c r="AB103" s="53"/>
      <c r="AC103" s="53"/>
      <c r="AD103" s="53"/>
      <c r="AE103" s="215"/>
      <c r="AF103" s="53"/>
      <c r="AG103" s="53"/>
      <c r="AH103" s="53"/>
      <c r="AI103" s="53"/>
      <c r="AJ103" s="215"/>
      <c r="AK103" s="53"/>
      <c r="AL103" s="53"/>
      <c r="AM103" s="53"/>
      <c r="AN103" s="53"/>
      <c r="AO103" s="215"/>
      <c r="AP103" s="330"/>
      <c r="AQ103" s="53"/>
      <c r="AR103" s="53"/>
      <c r="AS103" s="53"/>
      <c r="AT103" s="279"/>
      <c r="AU103" s="53"/>
      <c r="AV103" s="53"/>
      <c r="AW103" s="53"/>
      <c r="AX103" s="53"/>
      <c r="AY103" s="279"/>
      <c r="AZ103" s="330"/>
      <c r="BA103" s="53"/>
      <c r="BB103" s="53"/>
      <c r="BC103" s="53"/>
      <c r="BD103" s="279"/>
      <c r="BE103" s="330"/>
      <c r="BF103" s="53"/>
      <c r="BG103" s="53"/>
      <c r="BH103" s="53"/>
      <c r="BI103" s="279"/>
      <c r="BJ103" s="330"/>
      <c r="BK103" s="53"/>
      <c r="BL103" s="53"/>
      <c r="BM103" s="53"/>
      <c r="BN103" s="330"/>
      <c r="BO103" s="330"/>
      <c r="BP103" s="53"/>
      <c r="BQ103" s="53"/>
      <c r="BR103" s="53"/>
      <c r="BS103" s="279"/>
      <c r="BT103" s="330"/>
      <c r="BU103" s="53"/>
      <c r="BV103" s="53"/>
      <c r="BW103" s="53"/>
      <c r="BX103" s="279"/>
      <c r="BY103" s="330"/>
      <c r="BZ103" s="53"/>
      <c r="CA103" s="53"/>
      <c r="CB103" s="53"/>
      <c r="CC103" s="279"/>
      <c r="CD103" s="330"/>
      <c r="CE103" s="53"/>
      <c r="CF103" s="53"/>
      <c r="CG103" s="53"/>
      <c r="CH103" s="279"/>
      <c r="CI103" s="330"/>
      <c r="CJ103" s="53"/>
      <c r="CK103" s="53"/>
      <c r="CL103" s="53"/>
      <c r="CM103" s="279"/>
      <c r="CN103" s="330"/>
      <c r="CO103" s="53"/>
      <c r="CP103" s="53"/>
      <c r="CQ103" s="53"/>
      <c r="CR103" s="279"/>
      <c r="CS103" s="330"/>
      <c r="CT103" s="53"/>
      <c r="CU103" s="53"/>
      <c r="CV103" s="53"/>
      <c r="CW103" s="279"/>
      <c r="CX103" s="330"/>
      <c r="CY103" s="667"/>
      <c r="CZ103" s="667"/>
      <c r="DA103" s="667"/>
      <c r="DB103" s="279"/>
      <c r="DC103" s="53"/>
      <c r="DD103" s="19"/>
      <c r="DE103" s="54"/>
      <c r="DF103" s="54"/>
      <c r="DG103" s="279"/>
      <c r="DH103" s="53"/>
      <c r="DI103" s="19"/>
      <c r="DJ103" s="54"/>
      <c r="DK103" s="54"/>
      <c r="DL103" s="279"/>
      <c r="DM103" s="48"/>
      <c r="DN103" s="512"/>
      <c r="DO103" s="486"/>
      <c r="DP103" s="411"/>
      <c r="DQ103" s="411"/>
      <c r="DR103" s="411"/>
      <c r="DS103" s="556"/>
      <c r="DT103" s="556"/>
      <c r="DU103" s="560"/>
      <c r="DV103" s="926"/>
      <c r="DW103" s="927"/>
      <c r="DX103" s="927"/>
      <c r="DY103" s="464"/>
      <c r="DZ103" s="461"/>
      <c r="EA103" s="512"/>
      <c r="EH103" s="8"/>
    </row>
    <row r="104" spans="1:138" ht="12.75" customHeight="1" x14ac:dyDescent="0.2">
      <c r="A104" s="151" t="s">
        <v>188</v>
      </c>
      <c r="B104" s="50"/>
      <c r="C104" s="50"/>
      <c r="D104" s="50"/>
      <c r="E104" s="50"/>
      <c r="F104" s="214"/>
      <c r="G104" s="50"/>
      <c r="H104" s="50"/>
      <c r="I104" s="50"/>
      <c r="J104" s="50"/>
      <c r="K104" s="214"/>
      <c r="L104" s="50"/>
      <c r="M104" s="50"/>
      <c r="N104" s="50"/>
      <c r="O104" s="50"/>
      <c r="P104" s="214"/>
      <c r="Q104" s="50"/>
      <c r="R104" s="50"/>
      <c r="S104" s="50"/>
      <c r="T104" s="50"/>
      <c r="U104" s="214"/>
      <c r="V104" s="50"/>
      <c r="W104" s="50"/>
      <c r="X104" s="50"/>
      <c r="Y104" s="50"/>
      <c r="Z104" s="214"/>
      <c r="AA104" s="50"/>
      <c r="AB104" s="50"/>
      <c r="AC104" s="50"/>
      <c r="AD104" s="50"/>
      <c r="AE104" s="214"/>
      <c r="AF104" s="50"/>
      <c r="AG104" s="50"/>
      <c r="AH104" s="50"/>
      <c r="AI104" s="50"/>
      <c r="AJ104" s="214"/>
      <c r="AK104" s="50"/>
      <c r="AL104" s="50"/>
      <c r="AM104" s="50"/>
      <c r="AN104" s="50"/>
      <c r="AO104" s="214"/>
      <c r="AP104" s="329"/>
      <c r="AQ104" s="50"/>
      <c r="AR104" s="50"/>
      <c r="AS104" s="50"/>
      <c r="AT104" s="278"/>
      <c r="AU104" s="50"/>
      <c r="AV104" s="50"/>
      <c r="AW104" s="50"/>
      <c r="AX104" s="50"/>
      <c r="AY104" s="278"/>
      <c r="AZ104" s="329"/>
      <c r="BA104" s="50"/>
      <c r="BB104" s="50"/>
      <c r="BC104" s="50"/>
      <c r="BD104" s="278"/>
      <c r="BE104" s="329"/>
      <c r="BF104" s="50"/>
      <c r="BG104" s="50"/>
      <c r="BH104" s="50"/>
      <c r="BI104" s="278"/>
      <c r="BJ104" s="329"/>
      <c r="BK104" s="50"/>
      <c r="BL104" s="50"/>
      <c r="BM104" s="50"/>
      <c r="BN104" s="329"/>
      <c r="BO104" s="329"/>
      <c r="BP104" s="50"/>
      <c r="BQ104" s="50"/>
      <c r="BR104" s="50"/>
      <c r="BS104" s="278"/>
      <c r="BT104" s="329"/>
      <c r="BU104" s="50"/>
      <c r="BV104" s="50"/>
      <c r="BW104" s="50"/>
      <c r="BX104" s="278"/>
      <c r="BY104" s="329"/>
      <c r="BZ104" s="50"/>
      <c r="CA104" s="50"/>
      <c r="CB104" s="50"/>
      <c r="CC104" s="278"/>
      <c r="CD104" s="329"/>
      <c r="CE104" s="50"/>
      <c r="CF104" s="50"/>
      <c r="CG104" s="50"/>
      <c r="CH104" s="278"/>
      <c r="CI104" s="329"/>
      <c r="CJ104" s="50"/>
      <c r="CK104" s="50"/>
      <c r="CL104" s="50"/>
      <c r="CM104" s="278"/>
      <c r="CN104" s="329"/>
      <c r="CO104" s="50"/>
      <c r="CP104" s="50"/>
      <c r="CQ104" s="50"/>
      <c r="CR104" s="278"/>
      <c r="CS104" s="329"/>
      <c r="CT104" s="50"/>
      <c r="CU104" s="50"/>
      <c r="CV104" s="50"/>
      <c r="CW104" s="278"/>
      <c r="CX104" s="329"/>
      <c r="CY104" s="666"/>
      <c r="CZ104" s="666"/>
      <c r="DA104" s="666"/>
      <c r="DB104" s="278"/>
      <c r="DC104" s="50"/>
      <c r="DD104" s="35"/>
      <c r="DE104" s="51"/>
      <c r="DF104" s="51"/>
      <c r="DG104" s="278"/>
      <c r="DH104" s="50"/>
      <c r="DI104" s="35"/>
      <c r="DJ104" s="51"/>
      <c r="DK104" s="51"/>
      <c r="DL104" s="278"/>
      <c r="DM104" s="48"/>
      <c r="DN104" s="512"/>
      <c r="DO104" s="486"/>
      <c r="DP104" s="411"/>
      <c r="DQ104" s="411"/>
      <c r="DR104" s="411"/>
      <c r="DS104" s="556"/>
      <c r="DT104" s="556"/>
      <c r="DU104" s="560"/>
      <c r="DV104" s="560"/>
      <c r="DW104" s="928"/>
      <c r="DX104" s="928"/>
      <c r="DY104" s="464"/>
      <c r="DZ104" s="464"/>
      <c r="EA104" s="800"/>
      <c r="EH104" s="8"/>
    </row>
    <row r="105" spans="1:138" ht="12.75" customHeight="1" x14ac:dyDescent="0.2">
      <c r="A105" s="52" t="s">
        <v>335</v>
      </c>
      <c r="B105" s="53"/>
      <c r="C105" s="53"/>
      <c r="D105" s="53"/>
      <c r="E105" s="53"/>
      <c r="F105" s="215"/>
      <c r="G105" s="53"/>
      <c r="H105" s="53"/>
      <c r="I105" s="53"/>
      <c r="J105" s="53"/>
      <c r="K105" s="215"/>
      <c r="L105" s="53"/>
      <c r="M105" s="53"/>
      <c r="N105" s="53"/>
      <c r="O105" s="53"/>
      <c r="P105" s="215"/>
      <c r="Q105" s="53"/>
      <c r="R105" s="53"/>
      <c r="S105" s="53"/>
      <c r="T105" s="53"/>
      <c r="U105" s="215"/>
      <c r="V105" s="53"/>
      <c r="W105" s="53"/>
      <c r="X105" s="53"/>
      <c r="Y105" s="53"/>
      <c r="Z105" s="215"/>
      <c r="AA105" s="53"/>
      <c r="AB105" s="53"/>
      <c r="AC105" s="53"/>
      <c r="AD105" s="53"/>
      <c r="AE105" s="215"/>
      <c r="AF105" s="53"/>
      <c r="AG105" s="53"/>
      <c r="AH105" s="53"/>
      <c r="AI105" s="53"/>
      <c r="AJ105" s="215"/>
      <c r="AK105" s="53"/>
      <c r="AL105" s="53"/>
      <c r="AM105" s="53"/>
      <c r="AN105" s="53"/>
      <c r="AO105" s="215"/>
      <c r="AP105" s="330"/>
      <c r="AQ105" s="53"/>
      <c r="AR105" s="53"/>
      <c r="AS105" s="53"/>
      <c r="AT105" s="279"/>
      <c r="AU105" s="53"/>
      <c r="AV105" s="53"/>
      <c r="AW105" s="53"/>
      <c r="AX105" s="53"/>
      <c r="AY105" s="279"/>
      <c r="AZ105" s="330"/>
      <c r="BA105" s="53"/>
      <c r="BB105" s="53"/>
      <c r="BC105" s="53"/>
      <c r="BD105" s="279"/>
      <c r="BE105" s="330"/>
      <c r="BF105" s="53"/>
      <c r="BG105" s="53"/>
      <c r="BH105" s="53"/>
      <c r="BI105" s="279"/>
      <c r="BJ105" s="330"/>
      <c r="BK105" s="53"/>
      <c r="BL105" s="53"/>
      <c r="BM105" s="53"/>
      <c r="BN105" s="330"/>
      <c r="BO105" s="330"/>
      <c r="BP105" s="53"/>
      <c r="BQ105" s="53"/>
      <c r="BR105" s="53"/>
      <c r="BS105" s="279"/>
      <c r="BT105" s="330"/>
      <c r="BU105" s="53"/>
      <c r="BV105" s="53"/>
      <c r="BW105" s="53"/>
      <c r="BX105" s="279"/>
      <c r="BY105" s="330"/>
      <c r="BZ105" s="53"/>
      <c r="CA105" s="53"/>
      <c r="CB105" s="53"/>
      <c r="CC105" s="279"/>
      <c r="CD105" s="330"/>
      <c r="CE105" s="53"/>
      <c r="CF105" s="53"/>
      <c r="CG105" s="53"/>
      <c r="CH105" s="279"/>
      <c r="CI105" s="330"/>
      <c r="CJ105" s="53"/>
      <c r="CK105" s="53"/>
      <c r="CL105" s="53"/>
      <c r="CM105" s="279"/>
      <c r="CN105" s="330"/>
      <c r="CO105" s="53"/>
      <c r="CP105" s="53"/>
      <c r="CQ105" s="53"/>
      <c r="CR105" s="279"/>
      <c r="CS105" s="330"/>
      <c r="CT105" s="53"/>
      <c r="CU105" s="53"/>
      <c r="CV105" s="53"/>
      <c r="CW105" s="279"/>
      <c r="CX105" s="330"/>
      <c r="CY105" s="667"/>
      <c r="CZ105" s="667"/>
      <c r="DA105" s="667"/>
      <c r="DB105" s="279"/>
      <c r="DC105" s="53"/>
      <c r="DD105" s="19"/>
      <c r="DE105" s="54"/>
      <c r="DF105" s="54"/>
      <c r="DG105" s="279"/>
      <c r="DH105" s="53"/>
      <c r="DI105" s="19"/>
      <c r="DJ105" s="54"/>
      <c r="DK105" s="54"/>
      <c r="DL105" s="279"/>
      <c r="DM105" s="48"/>
      <c r="DN105" s="512"/>
      <c r="DO105" s="486"/>
      <c r="DP105" s="411"/>
      <c r="DQ105" s="411"/>
      <c r="DR105" s="411"/>
      <c r="DS105" s="556"/>
      <c r="DT105" s="556"/>
      <c r="DU105" s="560"/>
      <c r="DV105" s="560"/>
      <c r="DW105" s="927"/>
      <c r="DX105" s="927"/>
      <c r="DY105" s="560"/>
      <c r="DZ105" s="464"/>
      <c r="EA105" s="800"/>
      <c r="EH105" s="8"/>
    </row>
    <row r="106" spans="1:138" ht="12.75" customHeight="1" x14ac:dyDescent="0.2">
      <c r="A106" s="55" t="s">
        <v>336</v>
      </c>
      <c r="B106" s="56"/>
      <c r="C106" s="56"/>
      <c r="D106" s="56"/>
      <c r="E106" s="56"/>
      <c r="F106" s="216"/>
      <c r="G106" s="56"/>
      <c r="H106" s="56"/>
      <c r="I106" s="56"/>
      <c r="J106" s="56"/>
      <c r="K106" s="216"/>
      <c r="L106" s="56"/>
      <c r="M106" s="56"/>
      <c r="N106" s="56"/>
      <c r="O106" s="56"/>
      <c r="P106" s="216"/>
      <c r="Q106" s="56"/>
      <c r="R106" s="56"/>
      <c r="S106" s="56"/>
      <c r="T106" s="56"/>
      <c r="U106" s="216"/>
      <c r="V106" s="56"/>
      <c r="W106" s="56"/>
      <c r="X106" s="56"/>
      <c r="Y106" s="56"/>
      <c r="Z106" s="216"/>
      <c r="AA106" s="56"/>
      <c r="AB106" s="56"/>
      <c r="AC106" s="56"/>
      <c r="AD106" s="56"/>
      <c r="AE106" s="216"/>
      <c r="AF106" s="56"/>
      <c r="AG106" s="56"/>
      <c r="AH106" s="56"/>
      <c r="AI106" s="56"/>
      <c r="AJ106" s="216"/>
      <c r="AK106" s="56"/>
      <c r="AL106" s="56"/>
      <c r="AM106" s="56"/>
      <c r="AN106" s="56"/>
      <c r="AO106" s="216"/>
      <c r="AP106" s="331"/>
      <c r="AQ106" s="56"/>
      <c r="AR106" s="56"/>
      <c r="AS106" s="56"/>
      <c r="AT106" s="280"/>
      <c r="AU106" s="56"/>
      <c r="AV106" s="56"/>
      <c r="AW106" s="56"/>
      <c r="AX106" s="56"/>
      <c r="AY106" s="280"/>
      <c r="AZ106" s="331"/>
      <c r="BA106" s="56"/>
      <c r="BB106" s="56"/>
      <c r="BC106" s="56"/>
      <c r="BD106" s="280"/>
      <c r="BE106" s="331"/>
      <c r="BF106" s="56"/>
      <c r="BG106" s="56"/>
      <c r="BH106" s="56"/>
      <c r="BI106" s="280"/>
      <c r="BJ106" s="331"/>
      <c r="BK106" s="56"/>
      <c r="BL106" s="56"/>
      <c r="BM106" s="56"/>
      <c r="BN106" s="331"/>
      <c r="BO106" s="331"/>
      <c r="BP106" s="56"/>
      <c r="BQ106" s="56"/>
      <c r="BR106" s="56"/>
      <c r="BS106" s="280"/>
      <c r="BT106" s="331"/>
      <c r="BU106" s="56"/>
      <c r="BV106" s="56"/>
      <c r="BW106" s="56"/>
      <c r="BX106" s="280"/>
      <c r="BY106" s="331"/>
      <c r="BZ106" s="56"/>
      <c r="CA106" s="56"/>
      <c r="CB106" s="56"/>
      <c r="CC106" s="280"/>
      <c r="CD106" s="331"/>
      <c r="CE106" s="56"/>
      <c r="CF106" s="56"/>
      <c r="CG106" s="56"/>
      <c r="CH106" s="280"/>
      <c r="CI106" s="331"/>
      <c r="CJ106" s="56"/>
      <c r="CK106" s="56"/>
      <c r="CL106" s="56"/>
      <c r="CM106" s="280"/>
      <c r="CN106" s="331"/>
      <c r="CO106" s="56"/>
      <c r="CP106" s="56"/>
      <c r="CQ106" s="56"/>
      <c r="CR106" s="280"/>
      <c r="CS106" s="331"/>
      <c r="CT106" s="56"/>
      <c r="CU106" s="56"/>
      <c r="CV106" s="56"/>
      <c r="CW106" s="280"/>
      <c r="CX106" s="331"/>
      <c r="CY106" s="56"/>
      <c r="CZ106" s="56">
        <f t="shared" ref="CZ106:DA106" si="420">SUM(CZ107:CZ108)</f>
        <v>2.0499999999999998</v>
      </c>
      <c r="DA106" s="56">
        <f t="shared" si="420"/>
        <v>2.0499999999999998</v>
      </c>
      <c r="DB106" s="280"/>
      <c r="DC106" s="56"/>
      <c r="DD106" s="20"/>
      <c r="DE106" s="56"/>
      <c r="DF106" s="56"/>
      <c r="DG106" s="280">
        <f>SUM(DG107:DG108)</f>
        <v>1.95</v>
      </c>
      <c r="DH106" s="56"/>
      <c r="DI106" s="20"/>
      <c r="DJ106" s="56"/>
      <c r="DK106" s="56"/>
      <c r="DL106" s="280">
        <f>SUM(DL107:DL108)</f>
        <v>1.8499999999999999</v>
      </c>
      <c r="DM106" s="48"/>
      <c r="DN106" s="512"/>
      <c r="DO106" s="486"/>
      <c r="DP106" s="411"/>
      <c r="DQ106" s="411"/>
      <c r="DR106" s="411"/>
      <c r="DS106" s="556"/>
      <c r="DT106" s="556"/>
      <c r="DU106" s="560"/>
      <c r="DV106" s="560"/>
      <c r="DW106" s="560"/>
      <c r="DX106" s="560"/>
      <c r="DY106" s="464"/>
      <c r="DZ106" s="464"/>
      <c r="EA106" s="800"/>
      <c r="EH106" s="8"/>
    </row>
    <row r="107" spans="1:138" ht="12.75" customHeight="1" x14ac:dyDescent="0.2">
      <c r="A107" s="55" t="s">
        <v>178</v>
      </c>
      <c r="B107" s="56"/>
      <c r="C107" s="56"/>
      <c r="D107" s="56"/>
      <c r="E107" s="56"/>
      <c r="F107" s="216"/>
      <c r="G107" s="56"/>
      <c r="H107" s="56"/>
      <c r="I107" s="56"/>
      <c r="J107" s="56"/>
      <c r="K107" s="216"/>
      <c r="L107" s="56"/>
      <c r="M107" s="56"/>
      <c r="N107" s="56"/>
      <c r="O107" s="56"/>
      <c r="P107" s="216"/>
      <c r="Q107" s="56"/>
      <c r="R107" s="56"/>
      <c r="S107" s="56"/>
      <c r="T107" s="56"/>
      <c r="U107" s="216"/>
      <c r="V107" s="56"/>
      <c r="W107" s="56"/>
      <c r="X107" s="56"/>
      <c r="Y107" s="56"/>
      <c r="Z107" s="216"/>
      <c r="AA107" s="56"/>
      <c r="AB107" s="56"/>
      <c r="AC107" s="56"/>
      <c r="AD107" s="56"/>
      <c r="AE107" s="216"/>
      <c r="AF107" s="56"/>
      <c r="AG107" s="56"/>
      <c r="AH107" s="56"/>
      <c r="AI107" s="56"/>
      <c r="AJ107" s="216"/>
      <c r="AK107" s="56"/>
      <c r="AL107" s="56"/>
      <c r="AM107" s="56"/>
      <c r="AN107" s="56"/>
      <c r="AO107" s="216"/>
      <c r="AP107" s="331"/>
      <c r="AQ107" s="56"/>
      <c r="AR107" s="56"/>
      <c r="AS107" s="56"/>
      <c r="AT107" s="279"/>
      <c r="AU107" s="56"/>
      <c r="AV107" s="56"/>
      <c r="AW107" s="56"/>
      <c r="AX107" s="56"/>
      <c r="AY107" s="279"/>
      <c r="AZ107" s="331"/>
      <c r="BA107" s="56"/>
      <c r="BB107" s="56"/>
      <c r="BC107" s="56"/>
      <c r="BD107" s="279"/>
      <c r="BE107" s="331"/>
      <c r="BF107" s="56"/>
      <c r="BG107" s="56"/>
      <c r="BH107" s="56"/>
      <c r="BI107" s="299"/>
      <c r="BJ107" s="331"/>
      <c r="BK107" s="56"/>
      <c r="BL107" s="56"/>
      <c r="BM107" s="56"/>
      <c r="BN107" s="332"/>
      <c r="BO107" s="331"/>
      <c r="BP107" s="56"/>
      <c r="BQ107" s="56"/>
      <c r="BR107" s="56"/>
      <c r="BS107" s="299"/>
      <c r="BT107" s="331"/>
      <c r="BU107" s="56"/>
      <c r="BV107" s="56"/>
      <c r="BW107" s="56"/>
      <c r="BX107" s="299"/>
      <c r="BY107" s="331"/>
      <c r="BZ107" s="56"/>
      <c r="CA107" s="56"/>
      <c r="CB107" s="56"/>
      <c r="CC107" s="299"/>
      <c r="CD107" s="331"/>
      <c r="CE107" s="56"/>
      <c r="CF107" s="56"/>
      <c r="CG107" s="56"/>
      <c r="CH107" s="299"/>
      <c r="CI107" s="331"/>
      <c r="CJ107" s="56"/>
      <c r="CK107" s="56"/>
      <c r="CL107" s="56"/>
      <c r="CM107" s="299"/>
      <c r="CN107" s="331"/>
      <c r="CO107" s="56"/>
      <c r="CP107" s="56"/>
      <c r="CQ107" s="56"/>
      <c r="CR107" s="299"/>
      <c r="CS107" s="331"/>
      <c r="CT107" s="56"/>
      <c r="CU107" s="56"/>
      <c r="CV107" s="56"/>
      <c r="CW107" s="299"/>
      <c r="CX107" s="331"/>
      <c r="CY107" s="839"/>
      <c r="CZ107" s="839">
        <v>1.9</v>
      </c>
      <c r="DA107" s="839">
        <v>1.9</v>
      </c>
      <c r="DB107" s="843"/>
      <c r="DC107" s="844"/>
      <c r="DD107" s="844"/>
      <c r="DE107" s="844"/>
      <c r="DF107" s="844"/>
      <c r="DG107" s="843">
        <v>1.8</v>
      </c>
      <c r="DH107" s="844"/>
      <c r="DI107" s="844"/>
      <c r="DJ107" s="844"/>
      <c r="DK107" s="844"/>
      <c r="DL107" s="843">
        <v>1.7</v>
      </c>
      <c r="DM107" s="48"/>
      <c r="DN107" s="512"/>
      <c r="DO107" s="486"/>
      <c r="DP107" s="411"/>
      <c r="DQ107" s="411"/>
      <c r="DR107" s="411"/>
      <c r="DS107" s="556"/>
      <c r="DT107" s="556"/>
      <c r="DU107" s="464"/>
      <c r="DV107" s="464"/>
      <c r="DW107" s="464"/>
      <c r="DX107" s="464"/>
      <c r="DY107" s="464"/>
      <c r="DZ107" s="464"/>
      <c r="EA107" s="800"/>
      <c r="EH107" s="8"/>
    </row>
    <row r="108" spans="1:138" ht="12.75" customHeight="1" x14ac:dyDescent="0.2">
      <c r="A108" s="52" t="s">
        <v>139</v>
      </c>
      <c r="B108" s="56"/>
      <c r="C108" s="56"/>
      <c r="D108" s="56"/>
      <c r="E108" s="56"/>
      <c r="F108" s="215"/>
      <c r="G108" s="56"/>
      <c r="H108" s="56"/>
      <c r="I108" s="56"/>
      <c r="J108" s="56"/>
      <c r="K108" s="215"/>
      <c r="L108" s="56"/>
      <c r="M108" s="56"/>
      <c r="N108" s="56"/>
      <c r="O108" s="56"/>
      <c r="P108" s="215"/>
      <c r="Q108" s="56"/>
      <c r="R108" s="56"/>
      <c r="S108" s="56"/>
      <c r="T108" s="56"/>
      <c r="U108" s="215"/>
      <c r="V108" s="56"/>
      <c r="W108" s="56"/>
      <c r="X108" s="56"/>
      <c r="Y108" s="56"/>
      <c r="Z108" s="215"/>
      <c r="AA108" s="56"/>
      <c r="AB108" s="56"/>
      <c r="AC108" s="56"/>
      <c r="AD108" s="56"/>
      <c r="AE108" s="215"/>
      <c r="AF108" s="56"/>
      <c r="AG108" s="56"/>
      <c r="AH108" s="56"/>
      <c r="AI108" s="56"/>
      <c r="AJ108" s="215"/>
      <c r="AK108" s="56"/>
      <c r="AL108" s="56"/>
      <c r="AM108" s="56"/>
      <c r="AN108" s="56"/>
      <c r="AO108" s="215"/>
      <c r="AP108" s="331"/>
      <c r="AQ108" s="56"/>
      <c r="AR108" s="56"/>
      <c r="AS108" s="56"/>
      <c r="AT108" s="279"/>
      <c r="AU108" s="56"/>
      <c r="AV108" s="56"/>
      <c r="AW108" s="56"/>
      <c r="AX108" s="56"/>
      <c r="AY108" s="279"/>
      <c r="AZ108" s="331"/>
      <c r="BA108" s="56"/>
      <c r="BB108" s="56"/>
      <c r="BC108" s="56"/>
      <c r="BD108" s="299"/>
      <c r="BE108" s="331"/>
      <c r="BF108" s="56"/>
      <c r="BG108" s="56"/>
      <c r="BH108" s="56"/>
      <c r="BI108" s="299"/>
      <c r="BJ108" s="331"/>
      <c r="BK108" s="56"/>
      <c r="BL108" s="56"/>
      <c r="BM108" s="56"/>
      <c r="BN108" s="332"/>
      <c r="BO108" s="331"/>
      <c r="BP108" s="56"/>
      <c r="BQ108" s="56"/>
      <c r="BR108" s="56"/>
      <c r="BS108" s="299"/>
      <c r="BT108" s="331"/>
      <c r="BU108" s="56"/>
      <c r="BV108" s="56"/>
      <c r="BW108" s="56"/>
      <c r="BX108" s="299"/>
      <c r="BY108" s="331"/>
      <c r="BZ108" s="56"/>
      <c r="CA108" s="56"/>
      <c r="CB108" s="56"/>
      <c r="CC108" s="299"/>
      <c r="CD108" s="331"/>
      <c r="CE108" s="56"/>
      <c r="CF108" s="56"/>
      <c r="CG108" s="56"/>
      <c r="CH108" s="299"/>
      <c r="CI108" s="331"/>
      <c r="CJ108" s="56"/>
      <c r="CK108" s="56"/>
      <c r="CL108" s="56"/>
      <c r="CM108" s="299"/>
      <c r="CN108" s="331"/>
      <c r="CO108" s="56"/>
      <c r="CP108" s="56"/>
      <c r="CQ108" s="56"/>
      <c r="CR108" s="299"/>
      <c r="CS108" s="331"/>
      <c r="CT108" s="56"/>
      <c r="CU108" s="56"/>
      <c r="CV108" s="56"/>
      <c r="CW108" s="299"/>
      <c r="CX108" s="331"/>
      <c r="CY108" s="816"/>
      <c r="CZ108" s="816">
        <v>0.15</v>
      </c>
      <c r="DA108" s="816">
        <v>0.15</v>
      </c>
      <c r="DB108" s="299"/>
      <c r="DC108" s="54"/>
      <c r="DD108" s="20"/>
      <c r="DE108" s="54"/>
      <c r="DF108" s="54"/>
      <c r="DG108" s="299">
        <v>0.15</v>
      </c>
      <c r="DH108" s="54"/>
      <c r="DI108" s="20"/>
      <c r="DJ108" s="54"/>
      <c r="DK108" s="54"/>
      <c r="DL108" s="299">
        <v>0.15</v>
      </c>
      <c r="DM108" s="48"/>
      <c r="DN108" s="512"/>
      <c r="DO108" s="486"/>
      <c r="DP108" s="411"/>
      <c r="DQ108" s="411"/>
      <c r="DR108" s="411"/>
      <c r="DS108" s="556" t="s">
        <v>579</v>
      </c>
      <c r="DT108" s="556"/>
      <c r="DU108" s="464"/>
      <c r="DV108" s="464"/>
      <c r="DW108" s="463"/>
      <c r="DX108" s="464"/>
      <c r="DY108" s="464"/>
      <c r="DZ108" s="464"/>
      <c r="EA108" s="800"/>
      <c r="EH108" s="8"/>
    </row>
    <row r="109" spans="1:138" ht="12.75" customHeight="1" x14ac:dyDescent="0.2">
      <c r="A109" s="62" t="s">
        <v>196</v>
      </c>
      <c r="B109" s="895">
        <v>657</v>
      </c>
      <c r="C109" s="895">
        <v>693</v>
      </c>
      <c r="D109" s="895">
        <v>705</v>
      </c>
      <c r="E109" s="895">
        <v>667</v>
      </c>
      <c r="F109" s="220">
        <f>SUM(B109:E109)</f>
        <v>2722</v>
      </c>
      <c r="G109" s="895">
        <v>696</v>
      </c>
      <c r="H109" s="895">
        <v>682</v>
      </c>
      <c r="I109" s="895">
        <v>678</v>
      </c>
      <c r="J109" s="895">
        <v>593</v>
      </c>
      <c r="K109" s="220">
        <f>SUM(G109:J109)</f>
        <v>2649</v>
      </c>
      <c r="L109" s="895">
        <v>599</v>
      </c>
      <c r="M109" s="895">
        <v>634</v>
      </c>
      <c r="N109" s="895">
        <v>656</v>
      </c>
      <c r="O109" s="895">
        <v>625</v>
      </c>
      <c r="P109" s="220">
        <f>SUM(L109:O109)</f>
        <v>2514</v>
      </c>
      <c r="Q109" s="895">
        <v>588</v>
      </c>
      <c r="R109" s="895">
        <v>571</v>
      </c>
      <c r="S109" s="895">
        <v>609</v>
      </c>
      <c r="T109" s="895">
        <v>602</v>
      </c>
      <c r="U109" s="220">
        <f>SUM(Q109:T109)</f>
        <v>2370</v>
      </c>
      <c r="V109" s="895">
        <v>602.75361987282236</v>
      </c>
      <c r="W109" s="895">
        <v>639</v>
      </c>
      <c r="X109" s="895">
        <v>654</v>
      </c>
      <c r="Y109" s="895">
        <v>631</v>
      </c>
      <c r="Z109" s="220">
        <f>SUM(V109:Y109)</f>
        <v>2526.7536198728221</v>
      </c>
      <c r="AA109" s="895">
        <v>624</v>
      </c>
      <c r="AB109" s="895">
        <v>657</v>
      </c>
      <c r="AC109" s="895">
        <v>660</v>
      </c>
      <c r="AD109" s="895">
        <v>551</v>
      </c>
      <c r="AE109" s="220">
        <f>SUM(AA109:AD109)</f>
        <v>2492</v>
      </c>
      <c r="AF109" s="895">
        <v>500</v>
      </c>
      <c r="AG109" s="895">
        <v>534</v>
      </c>
      <c r="AH109" s="895">
        <v>566</v>
      </c>
      <c r="AI109" s="895">
        <v>511</v>
      </c>
      <c r="AJ109" s="220">
        <f>SUM(AF109:AI109)</f>
        <v>2111</v>
      </c>
      <c r="AK109" s="895">
        <v>491</v>
      </c>
      <c r="AL109" s="895">
        <v>531</v>
      </c>
      <c r="AM109" s="895">
        <v>575</v>
      </c>
      <c r="AN109" s="895">
        <v>520</v>
      </c>
      <c r="AO109" s="220">
        <f>SUM(AK109:AN109)</f>
        <v>2117</v>
      </c>
      <c r="AP109" s="873"/>
      <c r="AQ109" s="895"/>
      <c r="AR109" s="895"/>
      <c r="AS109" s="895"/>
      <c r="AT109" s="902"/>
      <c r="AU109" s="895"/>
      <c r="AV109" s="895"/>
      <c r="AW109" s="895"/>
      <c r="AX109" s="895"/>
      <c r="AY109" s="284"/>
      <c r="AZ109" s="873">
        <f>AZ94/AZ96</f>
        <v>837.71681415929208</v>
      </c>
      <c r="BA109" s="895">
        <f>BA94/BA96</f>
        <v>879.61165048543683</v>
      </c>
      <c r="BB109" s="895">
        <f>BB94/BB96</f>
        <v>926.29107981220659</v>
      </c>
      <c r="BC109" s="895">
        <f>BC94/BC96</f>
        <v>786.17511520737332</v>
      </c>
      <c r="BD109" s="275">
        <f>SUM(AZ109:BC109)</f>
        <v>3429.7946596643092</v>
      </c>
      <c r="BE109" s="873">
        <f>BE94/BE96</f>
        <v>756.40449438202245</v>
      </c>
      <c r="BF109" s="895">
        <f>BF94/BF96</f>
        <v>844.82758620689663</v>
      </c>
      <c r="BG109" s="895">
        <f>BG94/BG96</f>
        <v>883.4061135371179</v>
      </c>
      <c r="BH109" s="895">
        <f>BH94/BH96</f>
        <v>780.56680161943314</v>
      </c>
      <c r="BI109" s="275">
        <f>SUM(BE109:BH109)</f>
        <v>3265.2049957454701</v>
      </c>
      <c r="BJ109" s="873">
        <f>BJ94/BJ96</f>
        <v>759.51557093425606</v>
      </c>
      <c r="BK109" s="895">
        <f>BK94/BK96</f>
        <v>823.6024844720497</v>
      </c>
      <c r="BL109" s="895">
        <f>BL94/BL96</f>
        <v>865.04854368932047</v>
      </c>
      <c r="BM109" s="895">
        <f>BM94/BM96</f>
        <v>735.35353535353534</v>
      </c>
      <c r="BN109" s="325">
        <f>SUM(BJ109:BM109)</f>
        <v>3183.5201344491616</v>
      </c>
      <c r="BO109" s="873">
        <v>714</v>
      </c>
      <c r="BP109" s="895">
        <v>790</v>
      </c>
      <c r="BQ109" s="895">
        <v>843</v>
      </c>
      <c r="BR109" s="895">
        <v>734</v>
      </c>
      <c r="BS109" s="275">
        <f>SUM(BO109:BR109)</f>
        <v>3081</v>
      </c>
      <c r="BT109" s="873">
        <v>716</v>
      </c>
      <c r="BU109" s="895">
        <v>810</v>
      </c>
      <c r="BV109" s="895">
        <v>876</v>
      </c>
      <c r="BW109" s="895">
        <v>761</v>
      </c>
      <c r="BX109" s="275">
        <f>SUM(BT109:BW109)</f>
        <v>3163</v>
      </c>
      <c r="BY109" s="873">
        <v>729</v>
      </c>
      <c r="BZ109" s="895">
        <v>839</v>
      </c>
      <c r="CA109" s="895">
        <v>905</v>
      </c>
      <c r="CB109" s="895">
        <v>789</v>
      </c>
      <c r="CC109" s="275">
        <f>SUM(BY109:CB109)</f>
        <v>3262</v>
      </c>
      <c r="CD109" s="873">
        <v>772</v>
      </c>
      <c r="CE109" s="895">
        <v>878</v>
      </c>
      <c r="CF109" s="895">
        <v>939</v>
      </c>
      <c r="CG109" s="895">
        <v>794</v>
      </c>
      <c r="CH109" s="275">
        <f>SUM(CD109:CG109)</f>
        <v>3383</v>
      </c>
      <c r="CI109" s="873">
        <v>784</v>
      </c>
      <c r="CJ109" s="895">
        <v>891</v>
      </c>
      <c r="CK109" s="895">
        <v>940</v>
      </c>
      <c r="CL109" s="895">
        <v>790</v>
      </c>
      <c r="CM109" s="275">
        <f>SUM(CI109:CL109)</f>
        <v>3405</v>
      </c>
      <c r="CN109" s="873">
        <v>772</v>
      </c>
      <c r="CO109" s="895">
        <v>893</v>
      </c>
      <c r="CP109" s="895">
        <v>953</v>
      </c>
      <c r="CQ109" s="895">
        <v>813</v>
      </c>
      <c r="CR109" s="275">
        <f>SUM(CN109:CQ109)</f>
        <v>3431</v>
      </c>
      <c r="CS109" s="873">
        <f>772+146</f>
        <v>918</v>
      </c>
      <c r="CT109" s="895">
        <f>893+154</f>
        <v>1047</v>
      </c>
      <c r="CU109" s="895">
        <f>953+155</f>
        <v>1108</v>
      </c>
      <c r="CV109" s="895">
        <f>813+146</f>
        <v>959</v>
      </c>
      <c r="CW109" s="275">
        <f>SUM(CS109:CV109)</f>
        <v>4032</v>
      </c>
      <c r="CX109" s="873">
        <v>936</v>
      </c>
      <c r="CY109" s="28">
        <f>CY110*CY9/1000</f>
        <v>1061.9721</v>
      </c>
      <c r="CZ109" s="28">
        <f>CZ110*CZ9/1000</f>
        <v>1123.8444</v>
      </c>
      <c r="DA109" s="28">
        <f>DA110*DA9/1000</f>
        <v>967.75087499999972</v>
      </c>
      <c r="DB109" s="275">
        <f>SUM(CX109:DA109)</f>
        <v>4089.5673749999996</v>
      </c>
      <c r="DC109" s="28"/>
      <c r="DD109" s="28"/>
      <c r="DE109" s="28"/>
      <c r="DF109" s="28"/>
      <c r="DG109" s="275">
        <f>DG110*DG9/1000</f>
        <v>4170.1318522874999</v>
      </c>
      <c r="DH109" s="28"/>
      <c r="DI109" s="28"/>
      <c r="DJ109" s="28"/>
      <c r="DK109" s="28"/>
      <c r="DL109" s="275">
        <f>DL110*DL9/1000</f>
        <v>4252.2834497775639</v>
      </c>
      <c r="DM109" s="421"/>
      <c r="DN109" s="513"/>
      <c r="DO109" s="486"/>
      <c r="DP109" s="411"/>
      <c r="DQ109" s="411"/>
      <c r="DR109" s="411"/>
      <c r="DS109" s="556"/>
      <c r="DT109" s="556"/>
      <c r="DU109" s="464"/>
      <c r="DV109" s="464"/>
      <c r="DW109" s="464"/>
      <c r="DX109" s="464"/>
      <c r="DY109" s="464"/>
      <c r="DZ109" s="464"/>
      <c r="EA109" s="800"/>
      <c r="EH109" s="8"/>
    </row>
    <row r="110" spans="1:138" ht="12.75" customHeight="1" x14ac:dyDescent="0.2">
      <c r="A110" s="152" t="s">
        <v>39</v>
      </c>
      <c r="B110" s="57">
        <f t="shared" ref="B110:AO110" si="421">B109/B9*1000</f>
        <v>18.515387216773757</v>
      </c>
      <c r="C110" s="57">
        <f t="shared" si="421"/>
        <v>18.660634946279991</v>
      </c>
      <c r="D110" s="57">
        <f t="shared" si="421"/>
        <v>18.508794959306904</v>
      </c>
      <c r="E110" s="57">
        <f t="shared" si="421"/>
        <v>18.300043898156279</v>
      </c>
      <c r="F110" s="217">
        <f t="shared" si="421"/>
        <v>18.496999843706465</v>
      </c>
      <c r="G110" s="57">
        <f t="shared" si="421"/>
        <v>18.448326132478069</v>
      </c>
      <c r="H110" s="57">
        <f t="shared" si="421"/>
        <v>17.835194435000915</v>
      </c>
      <c r="I110" s="57">
        <f t="shared" si="421"/>
        <v>17.969785316724092</v>
      </c>
      <c r="J110" s="57">
        <f t="shared" si="421"/>
        <v>17.368987891794429</v>
      </c>
      <c r="K110" s="217">
        <f t="shared" si="421"/>
        <v>17.918345511021538</v>
      </c>
      <c r="L110" s="57">
        <f t="shared" si="421"/>
        <v>17.753408417308833</v>
      </c>
      <c r="M110" s="57">
        <f t="shared" si="421"/>
        <v>17.680359184584066</v>
      </c>
      <c r="N110" s="57">
        <f t="shared" si="421"/>
        <v>17.806731813246472</v>
      </c>
      <c r="O110" s="57">
        <f t="shared" si="421"/>
        <v>17.715419501133788</v>
      </c>
      <c r="P110" s="217">
        <f t="shared" si="421"/>
        <v>17.739329236023398</v>
      </c>
      <c r="Q110" s="57">
        <f t="shared" si="421"/>
        <v>17.708709794000722</v>
      </c>
      <c r="R110" s="57">
        <f t="shared" si="421"/>
        <v>17.8248111381657</v>
      </c>
      <c r="S110" s="57">
        <f t="shared" si="421"/>
        <v>17.647570199078501</v>
      </c>
      <c r="T110" s="57">
        <f t="shared" si="421"/>
        <v>17.380759902991109</v>
      </c>
      <c r="U110" s="217">
        <f t="shared" si="421"/>
        <v>17.63615933563025</v>
      </c>
      <c r="V110" s="57">
        <f t="shared" si="421"/>
        <v>19.77148920398945</v>
      </c>
      <c r="W110" s="57">
        <f t="shared" si="421"/>
        <v>19.248147478763784</v>
      </c>
      <c r="X110" s="57">
        <f t="shared" si="421"/>
        <v>19.478198713366691</v>
      </c>
      <c r="Y110" s="57">
        <f t="shared" si="421"/>
        <v>19.288378064437246</v>
      </c>
      <c r="Z110" s="217">
        <f t="shared" si="421"/>
        <v>19.440454397593534</v>
      </c>
      <c r="AA110" s="57">
        <f t="shared" si="421"/>
        <v>19.223067681217461</v>
      </c>
      <c r="AB110" s="57">
        <f t="shared" si="421"/>
        <v>18.93480892270448</v>
      </c>
      <c r="AC110" s="57">
        <f t="shared" si="421"/>
        <v>18.777739842949813</v>
      </c>
      <c r="AD110" s="57">
        <f t="shared" si="421"/>
        <v>17.421272290375619</v>
      </c>
      <c r="AE110" s="217">
        <f t="shared" si="421"/>
        <v>18.606040243401651</v>
      </c>
      <c r="AF110" s="57">
        <f t="shared" si="421"/>
        <v>16.990621177110235</v>
      </c>
      <c r="AG110" s="57">
        <f t="shared" si="421"/>
        <v>16.634995794523533</v>
      </c>
      <c r="AH110" s="57">
        <f t="shared" si="421"/>
        <v>16.805724635529558</v>
      </c>
      <c r="AI110" s="57">
        <f t="shared" si="421"/>
        <v>16.880285412262158</v>
      </c>
      <c r="AJ110" s="217">
        <f t="shared" si="421"/>
        <v>16.823398151099777</v>
      </c>
      <c r="AK110" s="57">
        <f t="shared" si="421"/>
        <v>16.613656357853422</v>
      </c>
      <c r="AL110" s="57">
        <f t="shared" si="421"/>
        <v>16.526610644257705</v>
      </c>
      <c r="AM110" s="57">
        <f t="shared" si="421"/>
        <v>16.567263088137839</v>
      </c>
      <c r="AN110" s="57">
        <f t="shared" si="421"/>
        <v>16.582690222590728</v>
      </c>
      <c r="AO110" s="217">
        <f t="shared" si="421"/>
        <v>16.571558290084464</v>
      </c>
      <c r="AP110" s="584"/>
      <c r="AQ110" s="57"/>
      <c r="AR110" s="57"/>
      <c r="AS110" s="57"/>
      <c r="AT110" s="903"/>
      <c r="AU110" s="57"/>
      <c r="AV110" s="57"/>
      <c r="AW110" s="57"/>
      <c r="AX110" s="57"/>
      <c r="AY110" s="281"/>
      <c r="AZ110" s="584">
        <f t="shared" ref="AZ110:BZ110" si="422">AZ109/(AZ$9/1000)</f>
        <v>17.538556343858513</v>
      </c>
      <c r="BA110" s="57">
        <f t="shared" si="422"/>
        <v>17.381911876009028</v>
      </c>
      <c r="BB110" s="57">
        <f t="shared" si="422"/>
        <v>17.226258207047568</v>
      </c>
      <c r="BC110" s="57">
        <f t="shared" si="422"/>
        <v>17.247457273290621</v>
      </c>
      <c r="BD110" s="300">
        <f>BD109/(BD$9/1000)</f>
        <v>17.346425315925305</v>
      </c>
      <c r="BE110" s="584">
        <f t="shared" si="422"/>
        <v>16.584331876337448</v>
      </c>
      <c r="BF110" s="57">
        <f t="shared" si="422"/>
        <v>16.682350345699156</v>
      </c>
      <c r="BG110" s="57">
        <f t="shared" si="422"/>
        <v>15.981730109579525</v>
      </c>
      <c r="BH110" s="57">
        <f t="shared" si="422"/>
        <v>15.837620790722346</v>
      </c>
      <c r="BI110" s="300">
        <f>BI109/(BI$9/1000)</f>
        <v>16.25991258067215</v>
      </c>
      <c r="BJ110" s="584">
        <f t="shared" si="422"/>
        <v>15.615256578987125</v>
      </c>
      <c r="BK110" s="57">
        <f t="shared" si="422"/>
        <v>15.771480524540889</v>
      </c>
      <c r="BL110" s="57">
        <f t="shared" si="422"/>
        <v>15.697616340742927</v>
      </c>
      <c r="BM110" s="57">
        <f t="shared" si="422"/>
        <v>15.48666965763611</v>
      </c>
      <c r="BN110" s="333">
        <f>BN109/(BN$9/1000)</f>
        <v>15.647653072826772</v>
      </c>
      <c r="BO110" s="584">
        <f t="shared" si="422"/>
        <v>15.206372194062274</v>
      </c>
      <c r="BP110" s="57">
        <f t="shared" si="422"/>
        <v>15.270716950495816</v>
      </c>
      <c r="BQ110" s="57">
        <f t="shared" si="422"/>
        <v>15.396135442159478</v>
      </c>
      <c r="BR110" s="57">
        <f t="shared" si="422"/>
        <v>15.475111214184817</v>
      </c>
      <c r="BS110" s="300">
        <f>BS109/(BS$9/1000)</f>
        <v>15.338125771635667</v>
      </c>
      <c r="BT110" s="584">
        <f t="shared" si="422"/>
        <v>15.497164624908013</v>
      </c>
      <c r="BU110" s="57">
        <f t="shared" si="422"/>
        <v>15.416825275980205</v>
      </c>
      <c r="BV110" s="57">
        <f t="shared" si="422"/>
        <v>15.509091230989856</v>
      </c>
      <c r="BW110" s="57">
        <f t="shared" si="422"/>
        <v>15.537588304953244</v>
      </c>
      <c r="BX110" s="300">
        <f>BX109/(BX$9/1000)</f>
        <v>15.489488401247778</v>
      </c>
      <c r="BY110" s="584">
        <f t="shared" si="422"/>
        <v>15.39241147779819</v>
      </c>
      <c r="BZ110" s="57">
        <f t="shared" si="422"/>
        <v>15.317766052617165</v>
      </c>
      <c r="CA110" s="57">
        <f t="shared" ref="CA110:CF110" si="423">CA109/(CA$9/1000)</f>
        <v>15.362938819854689</v>
      </c>
      <c r="CB110" s="57">
        <f t="shared" si="423"/>
        <v>15.413166634108224</v>
      </c>
      <c r="CC110" s="300">
        <f t="shared" si="423"/>
        <v>15.369972482943194</v>
      </c>
      <c r="CD110" s="584">
        <f t="shared" si="423"/>
        <v>15.38737517689502</v>
      </c>
      <c r="CE110" s="57">
        <f t="shared" si="423"/>
        <v>15.311905966062678</v>
      </c>
      <c r="CF110" s="57">
        <f t="shared" si="423"/>
        <v>15.325607964746204</v>
      </c>
      <c r="CG110" s="57">
        <f>CG109/(CG$9/1000)</f>
        <v>15.373891492080704</v>
      </c>
      <c r="CH110" s="300">
        <f>CH109/(CH$9/1000)</f>
        <v>15.347415028943692</v>
      </c>
      <c r="CI110" s="584">
        <f>CI109/(CI$9/1000)</f>
        <v>15.161477470508606</v>
      </c>
      <c r="CJ110" s="57">
        <f t="shared" ref="CJ110:CK110" si="424">CJ109/(CJ$9/1000)</f>
        <v>15.057543136227672</v>
      </c>
      <c r="CK110" s="57">
        <f t="shared" si="424"/>
        <v>15.104769250546342</v>
      </c>
      <c r="CL110" s="57">
        <f>CL109/(CL$9/1000)</f>
        <v>15.147738385136043</v>
      </c>
      <c r="CM110" s="300">
        <f>CM109/(CM$9/1000)</f>
        <v>15.115329296659977</v>
      </c>
      <c r="CN110" s="584">
        <f>CN109/(CN$9/1000)</f>
        <v>14.993493755947874</v>
      </c>
      <c r="CO110" s="57">
        <f t="shared" ref="CO110:CP110" si="425">CO109/(CO$9/1000)</f>
        <v>14.980456627132577</v>
      </c>
      <c r="CP110" s="57">
        <f t="shared" si="425"/>
        <v>15.006928697404888</v>
      </c>
      <c r="CQ110" s="57">
        <f>CQ109/(CQ$9/1000)</f>
        <v>15.111243285440791</v>
      </c>
      <c r="CR110" s="300">
        <f>CR109/(CR$9/1000)</f>
        <v>15.021562575250105</v>
      </c>
      <c r="CS110" s="584">
        <f>CS109/(CS$9/1000)</f>
        <v>17.829050865233352</v>
      </c>
      <c r="CT110" s="57">
        <f t="shared" ref="CT110:CU110" si="426">CT109/(CT$9/1000)</f>
        <v>17.5638724396504</v>
      </c>
      <c r="CU110" s="57">
        <f t="shared" si="426"/>
        <v>17.447719828672209</v>
      </c>
      <c r="CV110" s="57">
        <f>CV109/(CV$9/1000)</f>
        <v>17.824947491682309</v>
      </c>
      <c r="CW110" s="300">
        <f>CW109/(CW$9/1000)</f>
        <v>17.652853483942994</v>
      </c>
      <c r="CX110" s="584">
        <f>CX109/(CX$9/1000)</f>
        <v>17.397446144123716</v>
      </c>
      <c r="CY110" s="57">
        <f>CT110*(1+CY111)</f>
        <v>17.21259499085739</v>
      </c>
      <c r="CZ110" s="57">
        <f>CU110*(1+CZ111)</f>
        <v>17.098765432098766</v>
      </c>
      <c r="DA110" s="57">
        <f>CV110*(1+DA111)</f>
        <v>17.37932380439025</v>
      </c>
      <c r="DB110" s="300">
        <f>DB109/(DB$9/1000)</f>
        <v>17.262182269432834</v>
      </c>
      <c r="DC110" s="57"/>
      <c r="DD110" s="57"/>
      <c r="DE110" s="57"/>
      <c r="DF110" s="57"/>
      <c r="DG110" s="300">
        <f>DB110*(1+DG111)</f>
        <v>17.089560446738506</v>
      </c>
      <c r="DH110" s="57"/>
      <c r="DI110" s="57"/>
      <c r="DJ110" s="57"/>
      <c r="DK110" s="57"/>
      <c r="DL110" s="300">
        <f>DG110*(1+DL111)</f>
        <v>16.91866484227112</v>
      </c>
      <c r="DM110" s="58"/>
      <c r="DN110" s="514"/>
      <c r="DO110" s="486"/>
      <c r="DP110" s="411"/>
      <c r="DQ110" s="411"/>
      <c r="DR110" s="411"/>
      <c r="DS110" s="556"/>
      <c r="DT110" s="556"/>
      <c r="DU110" s="463"/>
      <c r="DV110" s="463"/>
      <c r="DW110" s="463"/>
      <c r="DX110" s="463"/>
      <c r="DY110" s="464"/>
      <c r="DZ110" s="464"/>
      <c r="EA110" s="801"/>
      <c r="EH110" s="8"/>
    </row>
    <row r="111" spans="1:138" ht="12.75" customHeight="1" x14ac:dyDescent="0.2">
      <c r="A111" s="148" t="s">
        <v>244</v>
      </c>
      <c r="B111" s="59"/>
      <c r="C111" s="59"/>
      <c r="D111" s="59"/>
      <c r="E111" s="59"/>
      <c r="F111" s="218"/>
      <c r="G111" s="59">
        <f>G110/B110-1</f>
        <v>-3.6219109819607409E-3</v>
      </c>
      <c r="H111" s="59">
        <f>H110/C110-1</f>
        <v>-4.4234320732137178E-2</v>
      </c>
      <c r="I111" s="59">
        <f>I110/D110-1</f>
        <v>-2.9121811753162086E-2</v>
      </c>
      <c r="J111" s="59">
        <f>J110/E110-1</f>
        <v>-5.0877255352138939E-2</v>
      </c>
      <c r="K111" s="218">
        <f t="shared" ref="K111:AJ111" si="427">K110/F110-1</f>
        <v>-3.1283685871998923E-2</v>
      </c>
      <c r="L111" s="59">
        <f t="shared" si="427"/>
        <v>-3.7668334253146196E-2</v>
      </c>
      <c r="M111" s="59">
        <f t="shared" si="427"/>
        <v>-8.6814444878150487E-3</v>
      </c>
      <c r="N111" s="59">
        <f t="shared" si="427"/>
        <v>-9.0737591242043836E-3</v>
      </c>
      <c r="O111" s="59">
        <f t="shared" si="427"/>
        <v>1.9945411413581748E-2</v>
      </c>
      <c r="P111" s="218">
        <f t="shared" si="427"/>
        <v>-9.9906698912590741E-3</v>
      </c>
      <c r="Q111" s="59">
        <f t="shared" si="427"/>
        <v>-2.5177488320795582E-3</v>
      </c>
      <c r="R111" s="59">
        <f t="shared" si="427"/>
        <v>8.1701933808893124E-3</v>
      </c>
      <c r="S111" s="59">
        <f t="shared" si="427"/>
        <v>-8.9382833322378952E-3</v>
      </c>
      <c r="T111" s="59">
        <f t="shared" si="427"/>
        <v>-1.8890864995957934E-2</v>
      </c>
      <c r="U111" s="218">
        <f t="shared" si="427"/>
        <v>-5.8158850890280833E-3</v>
      </c>
      <c r="V111" s="59">
        <f t="shared" si="427"/>
        <v>0.11648389035589402</v>
      </c>
      <c r="W111" s="59">
        <f t="shared" si="427"/>
        <v>7.9851412144867018E-2</v>
      </c>
      <c r="X111" s="59">
        <f t="shared" si="427"/>
        <v>0.10373260985151256</v>
      </c>
      <c r="Y111" s="59">
        <f t="shared" si="427"/>
        <v>0.10975458910273828</v>
      </c>
      <c r="Z111" s="218">
        <f t="shared" si="427"/>
        <v>0.10230657523705156</v>
      </c>
      <c r="AA111" s="59">
        <f t="shared" si="427"/>
        <v>-2.7737997735715836E-2</v>
      </c>
      <c r="AB111" s="59">
        <f t="shared" si="427"/>
        <v>-1.6278894184752368E-2</v>
      </c>
      <c r="AC111" s="59">
        <f t="shared" si="427"/>
        <v>-3.59611728335123E-2</v>
      </c>
      <c r="AD111" s="59">
        <f t="shared" si="427"/>
        <v>-9.6799521858402682E-2</v>
      </c>
      <c r="AE111" s="218">
        <f t="shared" si="427"/>
        <v>-4.2921535532377875E-2</v>
      </c>
      <c r="AF111" s="59">
        <f t="shared" si="427"/>
        <v>-0.11613372751574469</v>
      </c>
      <c r="AG111" s="59">
        <f t="shared" si="427"/>
        <v>-0.12145953717141933</v>
      </c>
      <c r="AH111" s="59">
        <f t="shared" si="427"/>
        <v>-0.10501877350061695</v>
      </c>
      <c r="AI111" s="59">
        <f t="shared" si="427"/>
        <v>-3.1053235900131648E-2</v>
      </c>
      <c r="AJ111" s="218">
        <f t="shared" si="427"/>
        <v>-9.5809859001786291E-2</v>
      </c>
      <c r="AK111" s="59">
        <f>AK110/AF110-1</f>
        <v>-2.2186641402178964E-2</v>
      </c>
      <c r="AL111" s="59">
        <f>AL110/AG110-1</f>
        <v>-6.5154900911673641E-3</v>
      </c>
      <c r="AM111" s="59">
        <f>AM110/AH110-1</f>
        <v>-1.4189304690116034E-2</v>
      </c>
      <c r="AN111" s="59">
        <f>AN110/AI110-1</f>
        <v>-1.7629748692237768E-2</v>
      </c>
      <c r="AO111" s="218">
        <f>AO110/AJ110-1</f>
        <v>-1.4969619024254643E-2</v>
      </c>
      <c r="AP111" s="334"/>
      <c r="AQ111" s="59"/>
      <c r="AR111" s="59"/>
      <c r="AS111" s="59"/>
      <c r="AT111" s="282"/>
      <c r="AU111" s="59"/>
      <c r="AV111" s="59"/>
      <c r="AW111" s="59"/>
      <c r="AX111" s="59"/>
      <c r="AY111" s="282"/>
      <c r="AZ111" s="334"/>
      <c r="BA111" s="59"/>
      <c r="BB111" s="59"/>
      <c r="BC111" s="59"/>
      <c r="BD111" s="301"/>
      <c r="BE111" s="334">
        <f t="shared" ref="BE111:CA111" si="428">BE110/AZ110-1</f>
        <v>-5.4407241326633327E-2</v>
      </c>
      <c r="BF111" s="59">
        <f t="shared" si="428"/>
        <v>-4.0246523817407232E-2</v>
      </c>
      <c r="BG111" s="59">
        <f t="shared" si="428"/>
        <v>-7.2245991120630237E-2</v>
      </c>
      <c r="BH111" s="59">
        <f t="shared" si="428"/>
        <v>-8.1741700253494476E-2</v>
      </c>
      <c r="BI111" s="301">
        <f t="shared" si="428"/>
        <v>-6.2636117555336046E-2</v>
      </c>
      <c r="BJ111" s="334">
        <f t="shared" si="428"/>
        <v>-5.8433182872624556E-2</v>
      </c>
      <c r="BK111" s="59">
        <f t="shared" si="428"/>
        <v>-5.460080877591067E-2</v>
      </c>
      <c r="BL111" s="59">
        <f t="shared" si="428"/>
        <v>-1.7777410010590633E-2</v>
      </c>
      <c r="BM111" s="59">
        <f t="shared" si="428"/>
        <v>-2.215933426640837E-2</v>
      </c>
      <c r="BN111" s="334">
        <f t="shared" si="428"/>
        <v>-3.7654538719547603E-2</v>
      </c>
      <c r="BO111" s="334">
        <f t="shared" si="428"/>
        <v>-2.6184929005590107E-2</v>
      </c>
      <c r="BP111" s="59">
        <f t="shared" si="428"/>
        <v>-3.1751208979136192E-2</v>
      </c>
      <c r="BQ111" s="59">
        <f t="shared" si="428"/>
        <v>-1.9205520891790395E-2</v>
      </c>
      <c r="BR111" s="59">
        <f t="shared" si="428"/>
        <v>-7.4634790479910507E-4</v>
      </c>
      <c r="BS111" s="301">
        <f t="shared" si="428"/>
        <v>-1.9781068748809361E-2</v>
      </c>
      <c r="BT111" s="334">
        <f t="shared" si="428"/>
        <v>1.9123064142760215E-2</v>
      </c>
      <c r="BU111" s="59">
        <f t="shared" si="428"/>
        <v>9.5678759522581647E-3</v>
      </c>
      <c r="BV111" s="59">
        <f t="shared" si="428"/>
        <v>7.3366325760599871E-3</v>
      </c>
      <c r="BW111" s="59">
        <f t="shared" si="428"/>
        <v>4.0372627959635032E-3</v>
      </c>
      <c r="BX111" s="301">
        <f>BX110/BS110-1</f>
        <v>9.8683914753143753E-3</v>
      </c>
      <c r="BY111" s="334">
        <f t="shared" si="428"/>
        <v>-6.7595040541453821E-3</v>
      </c>
      <c r="BZ111" s="59">
        <f t="shared" si="428"/>
        <v>-6.425397031474267E-3</v>
      </c>
      <c r="CA111" s="59">
        <f t="shared" si="428"/>
        <v>-9.4236605458306588E-3</v>
      </c>
      <c r="CB111" s="59">
        <f t="shared" ref="CB111:CK111" si="429">CB110/BW110-1</f>
        <v>-8.0077852754893986E-3</v>
      </c>
      <c r="CC111" s="301">
        <f t="shared" si="429"/>
        <v>-7.7159371057701209E-3</v>
      </c>
      <c r="CD111" s="334">
        <f t="shared" si="429"/>
        <v>-3.2719375456102817E-4</v>
      </c>
      <c r="CE111" s="59">
        <f t="shared" si="429"/>
        <v>-3.8256796287117201E-4</v>
      </c>
      <c r="CF111" s="59">
        <f t="shared" si="429"/>
        <v>-2.429929295834965E-3</v>
      </c>
      <c r="CG111" s="59">
        <f t="shared" si="429"/>
        <v>-2.5481552856638778E-3</v>
      </c>
      <c r="CH111" s="301">
        <f t="shared" si="429"/>
        <v>-1.4676313848014377E-3</v>
      </c>
      <c r="CI111" s="334">
        <f t="shared" si="429"/>
        <v>-1.4680717392633102E-2</v>
      </c>
      <c r="CJ111" s="59">
        <f t="shared" si="429"/>
        <v>-1.6612094562151625E-2</v>
      </c>
      <c r="CK111" s="59">
        <f t="shared" si="429"/>
        <v>-1.4409784897790767E-2</v>
      </c>
      <c r="CL111" s="59">
        <f t="shared" ref="CL111" si="430">CL110/CG110-1</f>
        <v>-1.4710205744664973E-2</v>
      </c>
      <c r="CM111" s="301">
        <f t="shared" ref="CM111:CP111" si="431">CM110/CH110-1</f>
        <v>-1.5122138278402142E-2</v>
      </c>
      <c r="CN111" s="334">
        <f t="shared" si="431"/>
        <v>-1.1079640152978909E-2</v>
      </c>
      <c r="CO111" s="59">
        <f t="shared" si="431"/>
        <v>-5.1194612824736474E-3</v>
      </c>
      <c r="CP111" s="59">
        <f t="shared" si="431"/>
        <v>-6.4774609607436417E-3</v>
      </c>
      <c r="CQ111" s="59">
        <f t="shared" ref="CQ111" si="432">CQ110/CL110-1</f>
        <v>-2.4092771321601036E-3</v>
      </c>
      <c r="CR111" s="301">
        <f t="shared" ref="CR111" si="433">CR110/CM110-1</f>
        <v>-6.2034190304138814E-3</v>
      </c>
      <c r="CS111" s="334">
        <f t="shared" ref="CS111:CW111" si="434">CS110/CI110-1</f>
        <v>0.17594415847093958</v>
      </c>
      <c r="CT111" s="59">
        <f t="shared" si="434"/>
        <v>0.16645008290845453</v>
      </c>
      <c r="CU111" s="59">
        <f t="shared" si="434"/>
        <v>0.15511329827439257</v>
      </c>
      <c r="CV111" s="59">
        <f t="shared" si="434"/>
        <v>0.17673985637178147</v>
      </c>
      <c r="CW111" s="301">
        <f t="shared" si="434"/>
        <v>0.16787753263461691</v>
      </c>
      <c r="CX111" s="334">
        <f>CX110/CS110-1</f>
        <v>-2.4207947151649312E-2</v>
      </c>
      <c r="CY111" s="60">
        <v>-0.02</v>
      </c>
      <c r="CZ111" s="60">
        <v>-0.02</v>
      </c>
      <c r="DA111" s="60">
        <v>-2.5000000000000001E-2</v>
      </c>
      <c r="DB111" s="301">
        <f>DB110/CW110-1</f>
        <v>-2.2130768539234458E-2</v>
      </c>
      <c r="DC111" s="60"/>
      <c r="DD111" s="60"/>
      <c r="DE111" s="60"/>
      <c r="DF111" s="60"/>
      <c r="DG111" s="450">
        <v>-0.01</v>
      </c>
      <c r="DH111" s="60"/>
      <c r="DI111" s="60"/>
      <c r="DJ111" s="60"/>
      <c r="DK111" s="60"/>
      <c r="DL111" s="450">
        <v>-0.01</v>
      </c>
      <c r="DM111" s="61"/>
      <c r="DN111" s="515"/>
      <c r="DO111" s="486"/>
      <c r="DP111" s="411"/>
      <c r="DQ111" s="411"/>
      <c r="DR111" s="411"/>
      <c r="DS111" s="556"/>
      <c r="DT111" s="556"/>
      <c r="DU111" s="464"/>
      <c r="DV111" s="464"/>
      <c r="DW111" s="464"/>
      <c r="DX111" s="464"/>
      <c r="DY111" s="464"/>
      <c r="DZ111" s="464"/>
      <c r="EA111" s="801"/>
      <c r="EH111" s="8"/>
    </row>
    <row r="112" spans="1:138" ht="12.75" customHeight="1" x14ac:dyDescent="0.2">
      <c r="A112" s="153" t="s">
        <v>140</v>
      </c>
      <c r="B112" s="40">
        <f t="shared" ref="B112:AO112" si="435">B94/B9*100</f>
        <v>1.2230864615037762</v>
      </c>
      <c r="C112" s="40">
        <f t="shared" si="435"/>
        <v>1.2440423297519994</v>
      </c>
      <c r="D112" s="40">
        <f t="shared" si="435"/>
        <v>1.3993174061433447</v>
      </c>
      <c r="E112" s="40">
        <f t="shared" si="435"/>
        <v>1.4815627743634767</v>
      </c>
      <c r="F112" s="219">
        <f t="shared" si="435"/>
        <v>1.3380085485767095</v>
      </c>
      <c r="G112" s="40">
        <f t="shared" si="435"/>
        <v>1.3624194873697881</v>
      </c>
      <c r="H112" s="40">
        <f t="shared" si="435"/>
        <v>1.2108057219069537</v>
      </c>
      <c r="I112" s="40">
        <f t="shared" si="435"/>
        <v>1.2509939040551286</v>
      </c>
      <c r="J112" s="40">
        <f t="shared" si="435"/>
        <v>1.0778731103170911</v>
      </c>
      <c r="K112" s="219">
        <f t="shared" si="435"/>
        <v>1.2290537483399826</v>
      </c>
      <c r="L112" s="40">
        <f t="shared" si="435"/>
        <v>1.004742145820984</v>
      </c>
      <c r="M112" s="40">
        <f t="shared" si="435"/>
        <v>1.1182687749240079</v>
      </c>
      <c r="N112" s="40">
        <f t="shared" si="435"/>
        <v>1.2703583061889252</v>
      </c>
      <c r="O112" s="40">
        <f t="shared" si="435"/>
        <v>1.3463718820861679</v>
      </c>
      <c r="P112" s="219">
        <f t="shared" si="435"/>
        <v>1.1875613008841439</v>
      </c>
      <c r="Q112" s="40">
        <f t="shared" si="435"/>
        <v>1.5389712082881579</v>
      </c>
      <c r="R112" s="40">
        <f t="shared" si="435"/>
        <v>1.3593369544858589</v>
      </c>
      <c r="S112" s="40">
        <f t="shared" si="435"/>
        <v>1.3967370830797763</v>
      </c>
      <c r="T112" s="40">
        <f t="shared" si="435"/>
        <v>1.4724564037417716</v>
      </c>
      <c r="U112" s="219">
        <f t="shared" si="435"/>
        <v>1.4424815638882895</v>
      </c>
      <c r="V112" s="40">
        <f t="shared" si="435"/>
        <v>1.8828314636226466</v>
      </c>
      <c r="W112" s="40">
        <f t="shared" si="435"/>
        <v>2.0151816374480389</v>
      </c>
      <c r="X112" s="40">
        <f t="shared" si="435"/>
        <v>2.3409578270192992</v>
      </c>
      <c r="Y112" s="40">
        <f t="shared" si="435"/>
        <v>2.7358317539891175</v>
      </c>
      <c r="Z112" s="219">
        <f t="shared" si="435"/>
        <v>2.2496807053718437</v>
      </c>
      <c r="AA112" s="40">
        <f t="shared" si="435"/>
        <v>2.7232679215058071</v>
      </c>
      <c r="AB112" s="40">
        <f t="shared" si="435"/>
        <v>3.0376390570061673</v>
      </c>
      <c r="AC112" s="40">
        <f t="shared" si="435"/>
        <v>3.4226698531922159</v>
      </c>
      <c r="AD112" s="40">
        <f t="shared" si="435"/>
        <v>3.5727836094599721</v>
      </c>
      <c r="AE112" s="219">
        <f t="shared" si="435"/>
        <v>3.1888602680404672</v>
      </c>
      <c r="AF112" s="40">
        <f t="shared" si="435"/>
        <v>3.2588011417697431</v>
      </c>
      <c r="AG112" s="40">
        <f t="shared" si="435"/>
        <v>3.5575215725366807</v>
      </c>
      <c r="AH112" s="40">
        <f t="shared" si="435"/>
        <v>3.7887110662430596</v>
      </c>
      <c r="AI112" s="40">
        <f t="shared" si="435"/>
        <v>3.4883720930232558</v>
      </c>
      <c r="AJ112" s="219">
        <f t="shared" si="435"/>
        <v>3.5328339177558177</v>
      </c>
      <c r="AK112" s="40">
        <f t="shared" si="435"/>
        <v>3.2076876226568318</v>
      </c>
      <c r="AL112" s="40">
        <f t="shared" si="435"/>
        <v>3.4609399315281668</v>
      </c>
      <c r="AM112" s="40">
        <f t="shared" si="435"/>
        <v>3.6592041951191403</v>
      </c>
      <c r="AN112" s="40">
        <f t="shared" si="435"/>
        <v>4.3242553734294278</v>
      </c>
      <c r="AO112" s="219">
        <f t="shared" si="435"/>
        <v>3.6681304746025405</v>
      </c>
      <c r="AP112" s="335"/>
      <c r="AQ112" s="40"/>
      <c r="AR112" s="40"/>
      <c r="AS112" s="40"/>
      <c r="AT112" s="208"/>
      <c r="AU112" s="40"/>
      <c r="AV112" s="40"/>
      <c r="AW112" s="40"/>
      <c r="AX112" s="40"/>
      <c r="AY112" s="208"/>
      <c r="AZ112" s="335">
        <f t="shared" ref="AZ112:CH112" si="436">((AZ109*AZ96)/AZ$9)*100</f>
        <v>3.959024038394201</v>
      </c>
      <c r="BA112" s="40">
        <f t="shared" si="436"/>
        <v>3.5806738464578594</v>
      </c>
      <c r="BB112" s="40">
        <f t="shared" si="436"/>
        <v>3.6691929981011318</v>
      </c>
      <c r="BC112" s="40">
        <f t="shared" si="436"/>
        <v>3.7426982283040644</v>
      </c>
      <c r="BD112" s="208">
        <f t="shared" si="436"/>
        <v>3.7334979026031139</v>
      </c>
      <c r="BE112" s="335">
        <f t="shared" si="436"/>
        <v>3.6900138424850826</v>
      </c>
      <c r="BF112" s="40">
        <f t="shared" si="436"/>
        <v>3.8703052802022033</v>
      </c>
      <c r="BG112" s="40">
        <f t="shared" si="436"/>
        <v>3.6598161950937116</v>
      </c>
      <c r="BH112" s="40">
        <f t="shared" si="436"/>
        <v>3.9118923353084192</v>
      </c>
      <c r="BI112" s="208">
        <f t="shared" si="436"/>
        <v>3.781624011310611</v>
      </c>
      <c r="BJ112" s="335">
        <f t="shared" si="436"/>
        <v>4.5128091513272786</v>
      </c>
      <c r="BK112" s="40">
        <f t="shared" si="436"/>
        <v>5.078416728902166</v>
      </c>
      <c r="BL112" s="40">
        <f t="shared" si="436"/>
        <v>4.850563449289564</v>
      </c>
      <c r="BM112" s="40">
        <f t="shared" si="436"/>
        <v>4.5995408883179243</v>
      </c>
      <c r="BN112" s="335">
        <f t="shared" si="436"/>
        <v>4.7697146242483068</v>
      </c>
      <c r="BO112" s="335">
        <f t="shared" si="436"/>
        <v>4.9876900796524257</v>
      </c>
      <c r="BP112" s="40">
        <f t="shared" si="436"/>
        <v>5.1462316123170897</v>
      </c>
      <c r="BQ112" s="40">
        <f t="shared" si="436"/>
        <v>4.8343865288380758</v>
      </c>
      <c r="BR112" s="40">
        <f t="shared" si="436"/>
        <v>5.0139360333958809</v>
      </c>
      <c r="BS112" s="208">
        <f t="shared" si="436"/>
        <v>5.0659126209725596</v>
      </c>
      <c r="BT112" s="335">
        <f t="shared" si="436"/>
        <v>5.0210813384701964</v>
      </c>
      <c r="BU112" s="40">
        <f t="shared" si="436"/>
        <v>4.6712980586220016</v>
      </c>
      <c r="BV112" s="40">
        <f t="shared" si="436"/>
        <v>4.6062000956039881</v>
      </c>
      <c r="BW112" s="40">
        <f t="shared" si="436"/>
        <v>4.7389644330107386</v>
      </c>
      <c r="BX112" s="208">
        <f t="shared" si="436"/>
        <v>4.7369529340900964</v>
      </c>
      <c r="BY112" s="335">
        <f t="shared" si="436"/>
        <v>4.6639006777728511</v>
      </c>
      <c r="BZ112" s="40">
        <f t="shared" si="436"/>
        <v>4.4881054534168294</v>
      </c>
      <c r="CA112" s="40">
        <f t="shared" si="436"/>
        <v>4.4552522577578602</v>
      </c>
      <c r="CB112" s="40">
        <f t="shared" si="436"/>
        <v>4.0382496581363547</v>
      </c>
      <c r="CC112" s="208">
        <f t="shared" si="436"/>
        <v>4.3923630743714428</v>
      </c>
      <c r="CD112" s="335">
        <f t="shared" si="436"/>
        <v>4.5085009268302407</v>
      </c>
      <c r="CE112" s="40">
        <f t="shared" si="436"/>
        <v>3.6748574318550422</v>
      </c>
      <c r="CF112" s="40">
        <f t="shared" si="436"/>
        <v>2.7586094336543172</v>
      </c>
      <c r="CG112" s="40">
        <f t="shared" si="436"/>
        <v>2.84416992603493</v>
      </c>
      <c r="CH112" s="208">
        <f t="shared" si="436"/>
        <v>3.5589852468833358</v>
      </c>
      <c r="CI112" s="335">
        <f>((CI109*CI96)/CI$9)*100</f>
        <v>2.0164765035776444</v>
      </c>
      <c r="CJ112" s="40">
        <f t="shared" ref="CJ112:CM112" si="437">((CJ109*CJ96)/CJ$9)*100</f>
        <v>2.9663359978368513</v>
      </c>
      <c r="CK112" s="40">
        <f t="shared" si="437"/>
        <v>2.2355058490808588</v>
      </c>
      <c r="CL112" s="40">
        <f t="shared" si="437"/>
        <v>2.4236381416217667</v>
      </c>
      <c r="CM112" s="208">
        <f t="shared" si="437"/>
        <v>2.4783813058223982</v>
      </c>
      <c r="CN112" s="335">
        <f>((CN109*CN96)/CN$9)*100</f>
        <v>2.5638874322670859</v>
      </c>
      <c r="CO112" s="40">
        <f t="shared" ref="CO112:CW112" si="438">((CO109*CO96)/CO$9)*100</f>
        <v>2.4867558001040075</v>
      </c>
      <c r="CP112" s="40">
        <f t="shared" si="438"/>
        <v>2.5211640211640214</v>
      </c>
      <c r="CQ112" s="40">
        <f t="shared" si="438"/>
        <v>2.9164699540900725</v>
      </c>
      <c r="CR112" s="208">
        <f t="shared" si="438"/>
        <v>2.6234101705304176</v>
      </c>
      <c r="CS112" s="335">
        <f>((CS109*CS96)/CS$9)*100</f>
        <v>3.048767697954903</v>
      </c>
      <c r="CT112" s="40">
        <f t="shared" si="438"/>
        <v>2.9156028249819665</v>
      </c>
      <c r="CU112" s="40">
        <f t="shared" si="438"/>
        <v>2.9312169312169312</v>
      </c>
      <c r="CV112" s="40">
        <f t="shared" si="438"/>
        <v>3.4402148658946854</v>
      </c>
      <c r="CW112" s="208">
        <f t="shared" si="438"/>
        <v>2.9579037236487817</v>
      </c>
      <c r="CX112" s="335">
        <f>((CX109*CX96)/CX$9)*100</f>
        <v>3.4968866749688665</v>
      </c>
      <c r="CY112" s="40">
        <f t="shared" ref="CY112:DB112" si="439">((CY109*CY96)/CY$9)*100</f>
        <v>3.6060386505846234</v>
      </c>
      <c r="CZ112" s="40">
        <f t="shared" si="439"/>
        <v>3.5052469135802471</v>
      </c>
      <c r="DA112" s="40">
        <f t="shared" si="439"/>
        <v>3.5627613799000009</v>
      </c>
      <c r="DB112" s="208">
        <f t="shared" si="439"/>
        <v>3.5324110708345215</v>
      </c>
      <c r="DC112" s="40"/>
      <c r="DD112" s="40"/>
      <c r="DE112" s="40"/>
      <c r="DF112" s="40"/>
      <c r="DG112" s="208">
        <f>((DG109*DG96)/DG$9)*100</f>
        <v>3.3324642871140084</v>
      </c>
      <c r="DH112" s="40"/>
      <c r="DI112" s="40"/>
      <c r="DJ112" s="40"/>
      <c r="DK112" s="40"/>
      <c r="DL112" s="208">
        <f>((DL109*DL96)/DL$9)*100</f>
        <v>3.1299529958201573</v>
      </c>
      <c r="DM112" s="48"/>
      <c r="DN112" s="512"/>
      <c r="DO112" s="486"/>
      <c r="DP112" s="411"/>
      <c r="DQ112" s="411"/>
      <c r="DR112" s="411"/>
      <c r="DS112" s="556"/>
      <c r="DT112" s="556"/>
      <c r="DU112" s="461"/>
      <c r="DV112" s="461"/>
      <c r="DW112" s="461"/>
      <c r="DX112" s="461"/>
      <c r="DY112" s="461"/>
      <c r="DZ112" s="461"/>
      <c r="EA112" s="512"/>
      <c r="EH112" s="8"/>
    </row>
    <row r="113" spans="1:138" ht="12.75" customHeight="1" x14ac:dyDescent="0.2">
      <c r="A113" s="148" t="s">
        <v>244</v>
      </c>
      <c r="B113" s="20"/>
      <c r="C113" s="20"/>
      <c r="D113" s="20"/>
      <c r="E113" s="20"/>
      <c r="F113" s="206"/>
      <c r="G113" s="20">
        <f>G112/B112-1</f>
        <v>0.11391919561819286</v>
      </c>
      <c r="H113" s="20">
        <f>H112/C112-1</f>
        <v>-2.6716621332066315E-2</v>
      </c>
      <c r="I113" s="20">
        <f>I112/D112-1</f>
        <v>-0.10599703929718862</v>
      </c>
      <c r="J113" s="20">
        <f>J112/E112-1</f>
        <v>-0.27247557176227155</v>
      </c>
      <c r="K113" s="218">
        <f t="shared" ref="K113:AO113" si="440">K112/F112-1</f>
        <v>-8.143057109211016E-2</v>
      </c>
      <c r="L113" s="20">
        <f t="shared" si="440"/>
        <v>-0.26253099347493647</v>
      </c>
      <c r="M113" s="20">
        <f t="shared" si="440"/>
        <v>-7.6425924744727092E-2</v>
      </c>
      <c r="N113" s="20">
        <f t="shared" si="440"/>
        <v>1.5479213824325155E-2</v>
      </c>
      <c r="O113" s="20">
        <f t="shared" si="440"/>
        <v>0.24910053808661137</v>
      </c>
      <c r="P113" s="218">
        <f t="shared" si="440"/>
        <v>-3.3759668779237972E-2</v>
      </c>
      <c r="Q113" s="20">
        <f t="shared" si="440"/>
        <v>0.53170762736408395</v>
      </c>
      <c r="R113" s="20">
        <f t="shared" si="440"/>
        <v>0.21557266461118241</v>
      </c>
      <c r="S113" s="20">
        <f t="shared" si="440"/>
        <v>9.9482780783310965E-2</v>
      </c>
      <c r="T113" s="20">
        <f t="shared" si="440"/>
        <v>9.3647619452835729E-2</v>
      </c>
      <c r="U113" s="218">
        <f t="shared" si="440"/>
        <v>0.21465861409794718</v>
      </c>
      <c r="V113" s="20">
        <f t="shared" si="440"/>
        <v>0.22343514516881346</v>
      </c>
      <c r="W113" s="20">
        <f t="shared" si="440"/>
        <v>0.48247395967414097</v>
      </c>
      <c r="X113" s="20">
        <f t="shared" si="440"/>
        <v>0.67601895544831936</v>
      </c>
      <c r="Y113" s="20">
        <f t="shared" si="440"/>
        <v>0.85800526727778581</v>
      </c>
      <c r="Z113" s="218">
        <f t="shared" si="440"/>
        <v>0.5595906122416594</v>
      </c>
      <c r="AA113" s="20">
        <f t="shared" si="440"/>
        <v>0.44636839468686462</v>
      </c>
      <c r="AB113" s="20">
        <f t="shared" si="440"/>
        <v>0.50737730066503373</v>
      </c>
      <c r="AC113" s="20">
        <f t="shared" si="440"/>
        <v>0.4620809540811941</v>
      </c>
      <c r="AD113" s="20">
        <f t="shared" si="440"/>
        <v>0.30592226815501156</v>
      </c>
      <c r="AE113" s="218">
        <f t="shared" si="440"/>
        <v>0.41747238193670189</v>
      </c>
      <c r="AF113" s="20">
        <f t="shared" si="440"/>
        <v>0.19665094867633059</v>
      </c>
      <c r="AG113" s="20">
        <f t="shared" si="440"/>
        <v>0.17114690250358389</v>
      </c>
      <c r="AH113" s="20">
        <f t="shared" si="440"/>
        <v>0.10694610603749832</v>
      </c>
      <c r="AI113" s="20">
        <f t="shared" si="440"/>
        <v>-2.3626260547437772E-2</v>
      </c>
      <c r="AJ113" s="218">
        <f t="shared" si="440"/>
        <v>0.10786726943251113</v>
      </c>
      <c r="AK113" s="20">
        <f t="shared" si="440"/>
        <v>-1.5684761631436395E-2</v>
      </c>
      <c r="AL113" s="20">
        <f t="shared" si="440"/>
        <v>-2.7148574938829273E-2</v>
      </c>
      <c r="AM113" s="20">
        <f t="shared" si="440"/>
        <v>-3.418230339014483E-2</v>
      </c>
      <c r="AN113" s="20">
        <f t="shared" si="440"/>
        <v>0.23961987371643589</v>
      </c>
      <c r="AO113" s="218">
        <f t="shared" si="440"/>
        <v>3.8296891389864252E-2</v>
      </c>
      <c r="AP113" s="317"/>
      <c r="AQ113" s="20"/>
      <c r="AR113" s="20"/>
      <c r="AS113" s="20"/>
      <c r="AT113" s="283"/>
      <c r="AU113" s="20"/>
      <c r="AV113" s="20"/>
      <c r="AW113" s="20"/>
      <c r="AX113" s="20"/>
      <c r="AY113" s="283"/>
      <c r="AZ113" s="317"/>
      <c r="BA113" s="20"/>
      <c r="BB113" s="20"/>
      <c r="BC113" s="20"/>
      <c r="BD113" s="206"/>
      <c r="BE113" s="317">
        <f t="shared" ref="BE113:CA113" si="441">BE112/AZ112-1</f>
        <v>-6.7948613926130719E-2</v>
      </c>
      <c r="BF113" s="20">
        <f t="shared" si="441"/>
        <v>8.0887410069715893E-2</v>
      </c>
      <c r="BG113" s="20">
        <f t="shared" si="441"/>
        <v>-2.5555491390811813E-3</v>
      </c>
      <c r="BH113" s="20">
        <f t="shared" si="441"/>
        <v>4.5206451785192892E-2</v>
      </c>
      <c r="BI113" s="206">
        <f t="shared" si="441"/>
        <v>1.2890353754837269E-2</v>
      </c>
      <c r="BJ113" s="317">
        <f t="shared" si="441"/>
        <v>0.2229789220216245</v>
      </c>
      <c r="BK113" s="20">
        <f t="shared" si="441"/>
        <v>0.31214887747481379</v>
      </c>
      <c r="BL113" s="20">
        <f t="shared" si="441"/>
        <v>0.32535711924335109</v>
      </c>
      <c r="BM113" s="20">
        <f t="shared" si="441"/>
        <v>0.17578412033553326</v>
      </c>
      <c r="BN113" s="317">
        <f t="shared" si="441"/>
        <v>0.26128737547211878</v>
      </c>
      <c r="BO113" s="317">
        <f t="shared" si="441"/>
        <v>0.10522956154382879</v>
      </c>
      <c r="BP113" s="20">
        <f t="shared" si="441"/>
        <v>1.3353548366556334E-2</v>
      </c>
      <c r="BQ113" s="20">
        <f t="shared" si="441"/>
        <v>-3.3350600647966688E-3</v>
      </c>
      <c r="BR113" s="20">
        <f t="shared" si="441"/>
        <v>9.0094893194764714E-2</v>
      </c>
      <c r="BS113" s="206">
        <f t="shared" si="441"/>
        <v>6.2099731337895925E-2</v>
      </c>
      <c r="BT113" s="317">
        <f t="shared" si="441"/>
        <v>6.6947340922389742E-3</v>
      </c>
      <c r="BU113" s="20">
        <f t="shared" si="441"/>
        <v>-9.228763675509144E-2</v>
      </c>
      <c r="BV113" s="20">
        <f t="shared" si="441"/>
        <v>-4.7200701034745607E-2</v>
      </c>
      <c r="BW113" s="20">
        <f t="shared" si="441"/>
        <v>-5.484146557787406E-2</v>
      </c>
      <c r="BX113" s="206">
        <f>BX112/BS112-1</f>
        <v>-6.4935918065501363E-2</v>
      </c>
      <c r="BY113" s="317">
        <f t="shared" si="441"/>
        <v>-7.1136202865450859E-2</v>
      </c>
      <c r="BZ113" s="20">
        <f t="shared" si="441"/>
        <v>-3.92166380535377E-2</v>
      </c>
      <c r="CA113" s="20">
        <f t="shared" si="441"/>
        <v>-3.2770577637343146E-2</v>
      </c>
      <c r="CB113" s="20">
        <f t="shared" ref="CB113:CK113" si="442">CB112/BW112-1</f>
        <v>-0.1478624253841907</v>
      </c>
      <c r="CC113" s="206">
        <f t="shared" si="442"/>
        <v>-7.2745046132666413E-2</v>
      </c>
      <c r="CD113" s="317">
        <f t="shared" si="442"/>
        <v>-3.3319695610846134E-2</v>
      </c>
      <c r="CE113" s="20">
        <f t="shared" si="442"/>
        <v>-0.18120073826310279</v>
      </c>
      <c r="CF113" s="20">
        <f t="shared" si="442"/>
        <v>-0.3808185768043113</v>
      </c>
      <c r="CG113" s="20">
        <f>CG112/CB112-1</f>
        <v>-0.29569239972461003</v>
      </c>
      <c r="CH113" s="206">
        <f>CH112/CC112-1</f>
        <v>-0.18973336524721729</v>
      </c>
      <c r="CI113" s="317">
        <f t="shared" si="442"/>
        <v>-0.55273902871406211</v>
      </c>
      <c r="CJ113" s="20">
        <f t="shared" si="442"/>
        <v>-0.19280242761976596</v>
      </c>
      <c r="CK113" s="20">
        <f t="shared" si="442"/>
        <v>-0.18962582313818366</v>
      </c>
      <c r="CL113" s="20">
        <f>CL112/CG112-1</f>
        <v>-0.14785747523862913</v>
      </c>
      <c r="CM113" s="206">
        <f>CM112/CH112-1</f>
        <v>-0.30362697963056773</v>
      </c>
      <c r="CN113" s="317">
        <f t="shared" ref="CN113:CP113" si="443">CN112/CI112-1</f>
        <v>0.27146903408902689</v>
      </c>
      <c r="CO113" s="20">
        <f t="shared" si="443"/>
        <v>-0.16167426686746522</v>
      </c>
      <c r="CP113" s="20">
        <f t="shared" si="443"/>
        <v>0.12778234161212887</v>
      </c>
      <c r="CQ113" s="20">
        <f>CQ112/CL112-1</f>
        <v>0.20334380945933184</v>
      </c>
      <c r="CR113" s="206">
        <f>CR112/CM112-1</f>
        <v>5.8517575309056324E-2</v>
      </c>
      <c r="CS113" s="317">
        <f t="shared" ref="CS113:CW113" si="444">CS112/CI112-1</f>
        <v>0.5119282037483508</v>
      </c>
      <c r="CT113" s="20">
        <f t="shared" si="444"/>
        <v>-1.7102975823332534E-2</v>
      </c>
      <c r="CU113" s="20">
        <f t="shared" si="444"/>
        <v>0.31120968993309406</v>
      </c>
      <c r="CV113" s="20">
        <f t="shared" si="444"/>
        <v>0.4194424517484614</v>
      </c>
      <c r="CW113" s="206">
        <f t="shared" si="444"/>
        <v>0.19348209926368209</v>
      </c>
      <c r="CX113" s="317">
        <f>CX112/CS112-1</f>
        <v>0.14698364106735951</v>
      </c>
      <c r="CY113" s="20">
        <f>CY112/CT112-1</f>
        <v>0.23680722891566242</v>
      </c>
      <c r="CZ113" s="20">
        <f>CZ112/CU112-1</f>
        <v>0.19583333333333353</v>
      </c>
      <c r="DA113" s="20">
        <f>DA112/CV112-1</f>
        <v>3.5621761658030993E-2</v>
      </c>
      <c r="DB113" s="206">
        <f>DB112/CW112-1</f>
        <v>0.19422787245997464</v>
      </c>
      <c r="DC113" s="20"/>
      <c r="DD113" s="20"/>
      <c r="DE113" s="20"/>
      <c r="DF113" s="20"/>
      <c r="DG113" s="206">
        <f>DG112/DB112-1</f>
        <v>-5.6603486885029031E-2</v>
      </c>
      <c r="DH113" s="20"/>
      <c r="DI113" s="20"/>
      <c r="DJ113" s="20"/>
      <c r="DK113" s="20"/>
      <c r="DL113" s="206">
        <f>DL112/DG112-1</f>
        <v>-6.0769230769230687E-2</v>
      </c>
      <c r="DM113" s="48"/>
      <c r="DN113" s="512"/>
      <c r="DO113" s="486"/>
      <c r="DP113" s="411"/>
      <c r="DQ113" s="411"/>
      <c r="DR113" s="411"/>
      <c r="DS113" s="556"/>
      <c r="DT113" s="556"/>
      <c r="DU113" s="464"/>
      <c r="DV113" s="464"/>
      <c r="DW113" s="464"/>
      <c r="DX113" s="464"/>
      <c r="DY113" s="461"/>
      <c r="DZ113" s="461"/>
      <c r="EA113" s="512"/>
      <c r="EH113" s="8"/>
    </row>
    <row r="114" spans="1:138" ht="12.75" customHeight="1" x14ac:dyDescent="0.2">
      <c r="A114" s="616" t="s">
        <v>326</v>
      </c>
      <c r="B114" s="64"/>
      <c r="C114" s="64"/>
      <c r="D114" s="64"/>
      <c r="E114" s="64"/>
      <c r="F114" s="221"/>
      <c r="G114" s="64"/>
      <c r="H114" s="64"/>
      <c r="I114" s="64"/>
      <c r="J114" s="64"/>
      <c r="K114" s="267"/>
      <c r="L114" s="64"/>
      <c r="M114" s="64"/>
      <c r="N114" s="64"/>
      <c r="O114" s="64"/>
      <c r="P114" s="267"/>
      <c r="Q114" s="64"/>
      <c r="R114" s="64"/>
      <c r="S114" s="64"/>
      <c r="T114" s="64"/>
      <c r="U114" s="267"/>
      <c r="V114" s="64"/>
      <c r="W114" s="64"/>
      <c r="X114" s="64"/>
      <c r="Y114" s="64"/>
      <c r="Z114" s="267"/>
      <c r="AA114" s="64"/>
      <c r="AB114" s="64"/>
      <c r="AC114" s="64"/>
      <c r="AD114" s="64"/>
      <c r="AE114" s="267"/>
      <c r="AF114" s="64"/>
      <c r="AG114" s="64"/>
      <c r="AH114" s="64"/>
      <c r="AI114" s="64"/>
      <c r="AJ114" s="267"/>
      <c r="AK114" s="64"/>
      <c r="AL114" s="64"/>
      <c r="AM114" s="64"/>
      <c r="AN114" s="64"/>
      <c r="AO114" s="267"/>
      <c r="AP114" s="336"/>
      <c r="AQ114" s="64"/>
      <c r="AR114" s="64"/>
      <c r="AS114" s="64"/>
      <c r="AT114" s="904"/>
      <c r="AU114" s="64"/>
      <c r="AV114" s="64"/>
      <c r="AW114" s="64"/>
      <c r="AX114" s="64"/>
      <c r="AY114" s="285"/>
      <c r="AZ114" s="336">
        <f t="shared" ref="AZ114:CH114" si="445">(AZ122+AZ109)*AZ96</f>
        <v>2086</v>
      </c>
      <c r="BA114" s="64">
        <f t="shared" si="445"/>
        <v>2024</v>
      </c>
      <c r="BB114" s="64">
        <f t="shared" si="445"/>
        <v>2224</v>
      </c>
      <c r="BC114" s="64">
        <f t="shared" si="445"/>
        <v>1955.0000000000002</v>
      </c>
      <c r="BD114" s="285">
        <f t="shared" si="445"/>
        <v>8290.0294571910508</v>
      </c>
      <c r="BE114" s="336">
        <f t="shared" si="445"/>
        <v>1941</v>
      </c>
      <c r="BF114" s="64">
        <f t="shared" si="445"/>
        <v>2242</v>
      </c>
      <c r="BG114" s="64">
        <f t="shared" si="445"/>
        <v>2406.0000000000005</v>
      </c>
      <c r="BH114" s="64">
        <f t="shared" si="445"/>
        <v>2312</v>
      </c>
      <c r="BI114" s="285">
        <f t="shared" si="445"/>
        <v>8896.9259641888275</v>
      </c>
      <c r="BJ114" s="336">
        <f t="shared" si="445"/>
        <v>2658</v>
      </c>
      <c r="BK114" s="64">
        <f t="shared" si="445"/>
        <v>3197.0000000000005</v>
      </c>
      <c r="BL114" s="64">
        <f t="shared" si="445"/>
        <v>3225.0000000000005</v>
      </c>
      <c r="BM114" s="64">
        <f t="shared" si="445"/>
        <v>2678</v>
      </c>
      <c r="BN114" s="336">
        <f t="shared" si="445"/>
        <v>11759.805426132481</v>
      </c>
      <c r="BO114" s="336">
        <f t="shared" si="445"/>
        <v>2906.08</v>
      </c>
      <c r="BP114" s="64">
        <f t="shared" si="445"/>
        <v>3262.1600000000003</v>
      </c>
      <c r="BQ114" s="64">
        <f t="shared" si="445"/>
        <v>3205.94</v>
      </c>
      <c r="BR114" s="64">
        <f t="shared" si="445"/>
        <v>2896.5600000000004</v>
      </c>
      <c r="BS114" s="285">
        <f t="shared" si="445"/>
        <v>12448.342745861733</v>
      </c>
      <c r="BT114" s="336">
        <f t="shared" si="445"/>
        <v>2835</v>
      </c>
      <c r="BU114" s="64">
        <f t="shared" si="445"/>
        <v>2972.43</v>
      </c>
      <c r="BV114" s="64">
        <f t="shared" si="445"/>
        <v>3118.5</v>
      </c>
      <c r="BW114" s="64">
        <f t="shared" si="445"/>
        <v>2812.1</v>
      </c>
      <c r="BX114" s="285">
        <f t="shared" si="445"/>
        <v>11706.684792918117</v>
      </c>
      <c r="BY114" s="336">
        <f t="shared" si="445"/>
        <v>2669.43</v>
      </c>
      <c r="BZ114" s="64">
        <f t="shared" si="445"/>
        <v>2932.9300000000003</v>
      </c>
      <c r="CA114" s="64">
        <f t="shared" si="445"/>
        <v>3094.2999999999997</v>
      </c>
      <c r="CB114" s="64">
        <f t="shared" si="445"/>
        <v>2473.2800000000002</v>
      </c>
      <c r="CC114" s="285">
        <f t="shared" si="445"/>
        <v>11125.244022072349</v>
      </c>
      <c r="CD114" s="336">
        <f t="shared" si="445"/>
        <v>2689.7400000000002</v>
      </c>
      <c r="CE114" s="64">
        <f t="shared" si="445"/>
        <v>2469.6</v>
      </c>
      <c r="CF114" s="64">
        <f t="shared" si="445"/>
        <v>1972.8</v>
      </c>
      <c r="CG114" s="64">
        <f t="shared" si="445"/>
        <v>1748.25</v>
      </c>
      <c r="CH114" s="285">
        <f t="shared" si="445"/>
        <v>9247.9633461424764</v>
      </c>
      <c r="CI114" s="336">
        <f>(CI122+CI109)*CI96</f>
        <v>1236.9000000000001</v>
      </c>
      <c r="CJ114" s="64">
        <f t="shared" ref="CJ114:CM114" si="446">(CJ122+CJ109)*CJ96</f>
        <v>2060.62</v>
      </c>
      <c r="CK114" s="64">
        <f t="shared" si="446"/>
        <v>1626.52</v>
      </c>
      <c r="CL114" s="64">
        <f t="shared" si="446"/>
        <v>1505.6000000000001</v>
      </c>
      <c r="CM114" s="285">
        <f t="shared" si="446"/>
        <v>6584.8246696035239</v>
      </c>
      <c r="CN114" s="336">
        <f>(CN122+CN109)*CN96</f>
        <v>1569.78</v>
      </c>
      <c r="CO114" s="64">
        <f t="shared" ref="CO114:CW114" si="447">(CO122+CO109)*CO96</f>
        <v>1738.02</v>
      </c>
      <c r="CP114" s="64">
        <f t="shared" si="447"/>
        <v>1861.4399999999998</v>
      </c>
      <c r="CQ114" s="64">
        <f t="shared" si="447"/>
        <v>1850.87</v>
      </c>
      <c r="CR114" s="285">
        <f t="shared" si="447"/>
        <v>7041.6041970271053</v>
      </c>
      <c r="CS114" s="336">
        <f>(CS122+CS109)*CS96</f>
        <v>1569.78</v>
      </c>
      <c r="CT114" s="64">
        <f t="shared" si="447"/>
        <v>1738.02</v>
      </c>
      <c r="CU114" s="64">
        <f t="shared" si="447"/>
        <v>1861.4399999999998</v>
      </c>
      <c r="CV114" s="64">
        <f t="shared" si="447"/>
        <v>1850.87</v>
      </c>
      <c r="CW114" s="285">
        <f t="shared" si="447"/>
        <v>6756</v>
      </c>
      <c r="CX114" s="336">
        <f>(CX122+CX109)*CX96</f>
        <v>1881.36</v>
      </c>
      <c r="CY114" s="64">
        <f t="shared" ref="CY114:DB114" si="448">(CY122+CY109)*CY96</f>
        <v>2224.8315494999997</v>
      </c>
      <c r="CZ114" s="64">
        <f t="shared" si="448"/>
        <v>2303.8810199999998</v>
      </c>
      <c r="DA114" s="64">
        <f t="shared" si="448"/>
        <v>1983.8892937499993</v>
      </c>
      <c r="DB114" s="285">
        <f t="shared" si="448"/>
        <v>8368.6018632499981</v>
      </c>
      <c r="DC114" s="64"/>
      <c r="DD114" s="64"/>
      <c r="DE114" s="64"/>
      <c r="DF114" s="64"/>
      <c r="DG114" s="285">
        <f>(DG122+DG109)*DG96</f>
        <v>8131.7571119606246</v>
      </c>
      <c r="DH114" s="64"/>
      <c r="DI114" s="64"/>
      <c r="DJ114" s="64"/>
      <c r="DK114" s="64"/>
      <c r="DL114" s="285">
        <f>(DL122+DL109)*DL96</f>
        <v>7866.7243820884923</v>
      </c>
      <c r="DM114" s="65"/>
      <c r="DN114" s="516"/>
      <c r="DO114" s="486"/>
      <c r="DP114" s="411"/>
      <c r="DQ114" s="411"/>
      <c r="DR114" s="411"/>
      <c r="DS114" s="556"/>
      <c r="DT114" s="556"/>
      <c r="DU114" s="461"/>
      <c r="DV114" s="467"/>
      <c r="DW114" s="467"/>
      <c r="DX114" s="467"/>
      <c r="DY114" s="467"/>
      <c r="DZ114" s="467"/>
      <c r="EA114" s="516"/>
      <c r="EH114" s="8"/>
    </row>
    <row r="115" spans="1:138" ht="12.75" customHeight="1" x14ac:dyDescent="0.2">
      <c r="A115" s="144" t="s">
        <v>260</v>
      </c>
      <c r="B115" s="891">
        <v>0</v>
      </c>
      <c r="C115" s="891">
        <v>0</v>
      </c>
      <c r="D115" s="891">
        <v>0</v>
      </c>
      <c r="E115" s="891">
        <v>0</v>
      </c>
      <c r="F115" s="185">
        <f>SUM(B115:E115)</f>
        <v>0</v>
      </c>
      <c r="G115" s="891">
        <v>0</v>
      </c>
      <c r="H115" s="891">
        <v>0</v>
      </c>
      <c r="I115" s="891">
        <v>0</v>
      </c>
      <c r="J115" s="891">
        <v>0</v>
      </c>
      <c r="K115" s="185">
        <f>SUM(G115:J115)</f>
        <v>0</v>
      </c>
      <c r="L115" s="891">
        <v>0</v>
      </c>
      <c r="M115" s="891">
        <v>0</v>
      </c>
      <c r="N115" s="891">
        <v>0</v>
      </c>
      <c r="O115" s="891">
        <v>0</v>
      </c>
      <c r="P115" s="185">
        <f>SUM(L115:O115)</f>
        <v>0</v>
      </c>
      <c r="Q115" s="891">
        <v>0</v>
      </c>
      <c r="R115" s="891">
        <v>0</v>
      </c>
      <c r="S115" s="891">
        <v>0</v>
      </c>
      <c r="T115" s="891">
        <v>0</v>
      </c>
      <c r="U115" s="185">
        <f>SUM(Q115:T115)</f>
        <v>0</v>
      </c>
      <c r="V115" s="891">
        <v>237</v>
      </c>
      <c r="W115" s="891">
        <v>237</v>
      </c>
      <c r="X115" s="891">
        <v>234</v>
      </c>
      <c r="Y115" s="891">
        <f>Z115-SUM(V115:X115)</f>
        <v>224</v>
      </c>
      <c r="Z115" s="185">
        <v>932</v>
      </c>
      <c r="AA115" s="891">
        <v>204</v>
      </c>
      <c r="AB115" s="891">
        <v>211</v>
      </c>
      <c r="AC115" s="891">
        <v>313</v>
      </c>
      <c r="AD115" s="891">
        <f>AE115-SUM(AA115:AC115)</f>
        <v>590</v>
      </c>
      <c r="AE115" s="185">
        <v>1318</v>
      </c>
      <c r="AF115" s="891">
        <v>609</v>
      </c>
      <c r="AG115" s="891">
        <v>660</v>
      </c>
      <c r="AH115" s="891">
        <v>724</v>
      </c>
      <c r="AI115" s="891">
        <v>663</v>
      </c>
      <c r="AJ115" s="185">
        <f>SUM(AF115:AI115)</f>
        <v>2656</v>
      </c>
      <c r="AK115" s="891">
        <v>717</v>
      </c>
      <c r="AL115" s="891">
        <v>769</v>
      </c>
      <c r="AM115" s="891">
        <v>815</v>
      </c>
      <c r="AN115" s="891">
        <v>851</v>
      </c>
      <c r="AO115" s="185">
        <f>SUM(AK115:AN115)</f>
        <v>3152</v>
      </c>
      <c r="AP115" s="871"/>
      <c r="AQ115" s="891"/>
      <c r="AR115" s="891"/>
      <c r="AS115" s="891"/>
      <c r="AT115" s="185"/>
      <c r="AU115" s="891">
        <v>1192</v>
      </c>
      <c r="AV115" s="891">
        <v>1248</v>
      </c>
      <c r="AW115" s="891">
        <v>1216</v>
      </c>
      <c r="AX115" s="891">
        <v>1011</v>
      </c>
      <c r="AY115" s="185">
        <f>SUM(AU115:AX115)</f>
        <v>4667</v>
      </c>
      <c r="AZ115" s="871">
        <v>908</v>
      </c>
      <c r="BA115" s="891">
        <v>965</v>
      </c>
      <c r="BB115" s="891">
        <v>1009</v>
      </c>
      <c r="BC115" s="891">
        <v>941</v>
      </c>
      <c r="BD115" s="185">
        <f>BD117+BD120</f>
        <v>3823</v>
      </c>
      <c r="BE115" s="871">
        <v>917</v>
      </c>
      <c r="BF115" s="891">
        <v>972</v>
      </c>
      <c r="BG115" s="891">
        <v>1236</v>
      </c>
      <c r="BH115" s="891">
        <v>1180</v>
      </c>
      <c r="BI115" s="185">
        <f>BI117+BI120</f>
        <v>4305</v>
      </c>
      <c r="BJ115" s="871">
        <v>1300</v>
      </c>
      <c r="BK115" s="891">
        <v>1410</v>
      </c>
      <c r="BL115" s="891">
        <v>1432</v>
      </c>
      <c r="BM115" s="891">
        <v>1328</v>
      </c>
      <c r="BN115" s="318">
        <f>BN117+BN120</f>
        <v>5470</v>
      </c>
      <c r="BO115" s="871">
        <v>1375</v>
      </c>
      <c r="BP115" s="891">
        <v>1416</v>
      </c>
      <c r="BQ115" s="891">
        <v>1447</v>
      </c>
      <c r="BR115" s="891">
        <v>1409</v>
      </c>
      <c r="BS115" s="185">
        <f>BS117+BS120</f>
        <v>5647</v>
      </c>
      <c r="BT115" s="871">
        <v>1399</v>
      </c>
      <c r="BU115" s="891">
        <v>1444</v>
      </c>
      <c r="BV115" s="891">
        <v>1459</v>
      </c>
      <c r="BW115" s="891">
        <v>1367</v>
      </c>
      <c r="BX115" s="185">
        <f>SUM(BT115:BW115)</f>
        <v>5669</v>
      </c>
      <c r="BY115" s="871">
        <v>1319</v>
      </c>
      <c r="BZ115" s="891">
        <v>1361</v>
      </c>
      <c r="CA115" s="891">
        <v>1353</v>
      </c>
      <c r="CB115" s="891">
        <v>1204</v>
      </c>
      <c r="CC115" s="185">
        <f>SUM(BY115:CB115)</f>
        <v>5237</v>
      </c>
      <c r="CD115" s="871">
        <v>1053</v>
      </c>
      <c r="CE115" s="891">
        <v>1097</v>
      </c>
      <c r="CF115" s="891">
        <v>1073</v>
      </c>
      <c r="CG115" s="891">
        <v>1018</v>
      </c>
      <c r="CH115" s="185">
        <f>SUM(CD115:CG115)</f>
        <v>4241</v>
      </c>
      <c r="CI115" s="871">
        <v>1006</v>
      </c>
      <c r="CJ115" s="891">
        <v>1096</v>
      </c>
      <c r="CK115" s="891">
        <v>1119</v>
      </c>
      <c r="CL115" s="891">
        <v>1090</v>
      </c>
      <c r="CM115" s="185">
        <f>SUM(CI115:CL115)</f>
        <v>4311</v>
      </c>
      <c r="CN115" s="871">
        <v>1110</v>
      </c>
      <c r="CO115" s="891">
        <v>1081</v>
      </c>
      <c r="CP115" s="891">
        <v>1156</v>
      </c>
      <c r="CQ115" s="891">
        <f>879+277</f>
        <v>1156</v>
      </c>
      <c r="CR115" s="185">
        <f>SUM(CN115:CQ115)</f>
        <v>4503</v>
      </c>
      <c r="CS115" s="871">
        <v>864</v>
      </c>
      <c r="CT115" s="891">
        <v>838</v>
      </c>
      <c r="CU115" s="891">
        <v>887</v>
      </c>
      <c r="CV115" s="891">
        <v>877</v>
      </c>
      <c r="CW115" s="185">
        <f>SUM(CS115:CV115)</f>
        <v>3466</v>
      </c>
      <c r="CX115" s="871">
        <v>856</v>
      </c>
      <c r="CY115" s="184">
        <f t="shared" ref="CY115:DA115" si="449">CY117+CY120</f>
        <v>902.02319999999997</v>
      </c>
      <c r="CZ115" s="184">
        <f t="shared" si="449"/>
        <v>888.76753021161562</v>
      </c>
      <c r="DA115" s="184">
        <f t="shared" si="449"/>
        <v>848.30514569420131</v>
      </c>
      <c r="DB115" s="185">
        <f>SUM(CX115:DA115)</f>
        <v>3495.0958759058167</v>
      </c>
      <c r="DC115" s="184"/>
      <c r="DD115" s="184"/>
      <c r="DE115" s="184"/>
      <c r="DF115" s="184"/>
      <c r="DG115" s="185">
        <f>DG117+DG120</f>
        <v>3503.8107281596726</v>
      </c>
      <c r="DH115" s="184"/>
      <c r="DI115" s="184"/>
      <c r="DJ115" s="184"/>
      <c r="DK115" s="184"/>
      <c r="DL115" s="185">
        <f>DL117+DL120</f>
        <v>3503.5882608210163</v>
      </c>
      <c r="DM115" s="414"/>
      <c r="DN115" s="502"/>
      <c r="DO115" s="489"/>
      <c r="DP115" s="414"/>
      <c r="DQ115" s="414"/>
      <c r="DR115" s="414"/>
      <c r="DS115" s="460"/>
      <c r="DT115" s="562"/>
      <c r="DU115" s="562"/>
      <c r="DV115" s="184"/>
      <c r="DW115" s="184"/>
      <c r="DX115" s="184"/>
      <c r="DY115" s="184"/>
      <c r="DZ115" s="184"/>
      <c r="EA115" s="502"/>
      <c r="EH115" s="318"/>
    </row>
    <row r="116" spans="1:138" ht="12.75" customHeight="1" x14ac:dyDescent="0.2">
      <c r="A116" s="142" t="s">
        <v>244</v>
      </c>
      <c r="B116" s="20"/>
      <c r="C116" s="20"/>
      <c r="D116" s="20"/>
      <c r="E116" s="20"/>
      <c r="F116" s="199"/>
      <c r="G116" s="20"/>
      <c r="H116" s="20"/>
      <c r="I116" s="20"/>
      <c r="J116" s="20"/>
      <c r="K116" s="199"/>
      <c r="L116" s="20"/>
      <c r="M116" s="20"/>
      <c r="N116" s="20"/>
      <c r="O116" s="20"/>
      <c r="P116" s="199"/>
      <c r="Q116" s="20"/>
      <c r="R116" s="20"/>
      <c r="S116" s="20"/>
      <c r="T116" s="20"/>
      <c r="U116" s="199"/>
      <c r="V116" s="20"/>
      <c r="W116" s="20"/>
      <c r="X116" s="20"/>
      <c r="Y116" s="20"/>
      <c r="Z116" s="199"/>
      <c r="AA116" s="20">
        <f t="shared" ref="AA116:AO116" si="450">AA115/V115-1</f>
        <v>-0.13924050632911389</v>
      </c>
      <c r="AB116" s="20">
        <f t="shared" si="450"/>
        <v>-0.10970464135021096</v>
      </c>
      <c r="AC116" s="20">
        <f t="shared" si="450"/>
        <v>0.33760683760683752</v>
      </c>
      <c r="AD116" s="20">
        <f t="shared" si="450"/>
        <v>1.6339285714285716</v>
      </c>
      <c r="AE116" s="199">
        <f t="shared" si="450"/>
        <v>0.41416309012875541</v>
      </c>
      <c r="AF116" s="20">
        <f t="shared" si="450"/>
        <v>1.9852941176470589</v>
      </c>
      <c r="AG116" s="20">
        <f t="shared" si="450"/>
        <v>2.1279620853080567</v>
      </c>
      <c r="AH116" s="20">
        <f t="shared" si="450"/>
        <v>1.3130990415335462</v>
      </c>
      <c r="AI116" s="20">
        <f t="shared" si="450"/>
        <v>0.12372881355932197</v>
      </c>
      <c r="AJ116" s="199">
        <f t="shared" si="450"/>
        <v>1.0151745068285281</v>
      </c>
      <c r="AK116" s="20">
        <f t="shared" si="450"/>
        <v>0.17733990147783252</v>
      </c>
      <c r="AL116" s="20">
        <f t="shared" si="450"/>
        <v>0.16515151515151505</v>
      </c>
      <c r="AM116" s="20">
        <f t="shared" si="450"/>
        <v>0.12569060773480656</v>
      </c>
      <c r="AN116" s="20">
        <f t="shared" si="450"/>
        <v>0.28355957767722484</v>
      </c>
      <c r="AO116" s="199">
        <f t="shared" si="450"/>
        <v>0.18674698795180733</v>
      </c>
      <c r="AP116" s="317"/>
      <c r="AQ116" s="20"/>
      <c r="AR116" s="20"/>
      <c r="AS116" s="20"/>
      <c r="AT116" s="206"/>
      <c r="AU116" s="20"/>
      <c r="AV116" s="20"/>
      <c r="AW116" s="20"/>
      <c r="AX116" s="20"/>
      <c r="AY116" s="206"/>
      <c r="AZ116" s="317">
        <f t="shared" ref="AZ116:BV116" si="451">AZ115/AU115-1</f>
        <v>-0.23825503355704702</v>
      </c>
      <c r="BA116" s="20">
        <f t="shared" si="451"/>
        <v>-0.22676282051282048</v>
      </c>
      <c r="BB116" s="20">
        <f t="shared" si="451"/>
        <v>-0.17023026315789469</v>
      </c>
      <c r="BC116" s="20">
        <f t="shared" si="451"/>
        <v>-6.9238377843719112E-2</v>
      </c>
      <c r="BD116" s="206">
        <f t="shared" si="451"/>
        <v>-0.18084422541247058</v>
      </c>
      <c r="BE116" s="317">
        <f t="shared" si="451"/>
        <v>9.9118942731277748E-3</v>
      </c>
      <c r="BF116" s="20">
        <f t="shared" si="451"/>
        <v>7.2538860103625868E-3</v>
      </c>
      <c r="BG116" s="20">
        <f t="shared" si="451"/>
        <v>0.22497522299306238</v>
      </c>
      <c r="BH116" s="20">
        <f t="shared" si="451"/>
        <v>0.25398512221041436</v>
      </c>
      <c r="BI116" s="206">
        <f t="shared" si="451"/>
        <v>0.12607899555323043</v>
      </c>
      <c r="BJ116" s="317">
        <f t="shared" si="451"/>
        <v>0.41766630316248632</v>
      </c>
      <c r="BK116" s="20">
        <f t="shared" si="451"/>
        <v>0.45061728395061729</v>
      </c>
      <c r="BL116" s="20">
        <f t="shared" si="451"/>
        <v>0.15857605177993528</v>
      </c>
      <c r="BM116" s="20">
        <f t="shared" si="451"/>
        <v>0.12542372881355934</v>
      </c>
      <c r="BN116" s="317">
        <f t="shared" si="451"/>
        <v>0.27061556329849012</v>
      </c>
      <c r="BO116" s="317">
        <f t="shared" si="451"/>
        <v>5.7692307692307709E-2</v>
      </c>
      <c r="BP116" s="20">
        <f t="shared" si="451"/>
        <v>4.2553191489360653E-3</v>
      </c>
      <c r="BQ116" s="20">
        <f t="shared" si="451"/>
        <v>1.0474860335195624E-2</v>
      </c>
      <c r="BR116" s="20">
        <f t="shared" si="451"/>
        <v>6.0993975903614439E-2</v>
      </c>
      <c r="BS116" s="206">
        <f t="shared" si="451"/>
        <v>3.2358318098720362E-2</v>
      </c>
      <c r="BT116" s="317">
        <f t="shared" si="451"/>
        <v>1.7454545454545389E-2</v>
      </c>
      <c r="BU116" s="20">
        <f t="shared" si="451"/>
        <v>1.9774011299435124E-2</v>
      </c>
      <c r="BV116" s="20">
        <f t="shared" si="451"/>
        <v>8.2930200414650379E-3</v>
      </c>
      <c r="BW116" s="20">
        <f>BW115/BR115-1</f>
        <v>-2.9808374733853782E-2</v>
      </c>
      <c r="BX116" s="206">
        <f>BX115/BS115-1</f>
        <v>3.8958739153531763E-3</v>
      </c>
      <c r="BY116" s="317">
        <f>BY115/BT115-1</f>
        <v>-5.7183702644746259E-2</v>
      </c>
      <c r="BZ116" s="20">
        <f>BZ115/BU115-1</f>
        <v>-5.7479224376731253E-2</v>
      </c>
      <c r="CA116" s="20">
        <f>CA115/BV115-1</f>
        <v>-7.2652501713502349E-2</v>
      </c>
      <c r="CB116" s="20">
        <f t="shared" ref="CB116:CC116" si="452">CB115/BW115-1</f>
        <v>-0.119239209948793</v>
      </c>
      <c r="CC116" s="206">
        <f t="shared" si="452"/>
        <v>-7.6203916034573993E-2</v>
      </c>
      <c r="CD116" s="317">
        <f t="shared" ref="CD116:CK116" si="453">CD115/BY115-1</f>
        <v>-0.20166793025018959</v>
      </c>
      <c r="CE116" s="20">
        <f t="shared" si="453"/>
        <v>-0.19397501836884645</v>
      </c>
      <c r="CF116" s="20">
        <f t="shared" si="453"/>
        <v>-0.20694752402069472</v>
      </c>
      <c r="CG116" s="20">
        <f t="shared" si="453"/>
        <v>-0.154485049833887</v>
      </c>
      <c r="CH116" s="206">
        <f t="shared" si="453"/>
        <v>-0.1901852205461142</v>
      </c>
      <c r="CI116" s="317">
        <f t="shared" si="453"/>
        <v>-4.4634377967711303E-2</v>
      </c>
      <c r="CJ116" s="20">
        <f t="shared" si="453"/>
        <v>-9.1157702825883646E-4</v>
      </c>
      <c r="CK116" s="20">
        <f t="shared" si="453"/>
        <v>4.2870456663560041E-2</v>
      </c>
      <c r="CL116" s="20">
        <f t="shared" ref="CL116" si="454">CL115/CG115-1</f>
        <v>7.0726915520628708E-2</v>
      </c>
      <c r="CM116" s="206">
        <f t="shared" ref="CM116:CP116" si="455">CM115/CH115-1</f>
        <v>1.6505541145956037E-2</v>
      </c>
      <c r="CN116" s="317">
        <f t="shared" si="455"/>
        <v>0.10337972166998011</v>
      </c>
      <c r="CO116" s="20">
        <f t="shared" si="455"/>
        <v>-1.3686131386861367E-2</v>
      </c>
      <c r="CP116" s="20">
        <f t="shared" si="455"/>
        <v>3.3065236818587973E-2</v>
      </c>
      <c r="CQ116" s="20">
        <f t="shared" ref="CQ116" si="456">CQ115/CL115-1</f>
        <v>6.0550458715596278E-2</v>
      </c>
      <c r="CR116" s="206">
        <f t="shared" ref="CR116" si="457">CR115/CM115-1</f>
        <v>4.453723034098811E-2</v>
      </c>
      <c r="CS116" s="317"/>
      <c r="CT116" s="20"/>
      <c r="CU116" s="20"/>
      <c r="CV116" s="20"/>
      <c r="CW116" s="206"/>
      <c r="CX116" s="317">
        <f>CX115/CS115-1</f>
        <v>-9.2592592592593004E-3</v>
      </c>
      <c r="CY116" s="20">
        <f>CY115/CT115-1</f>
        <v>7.6400000000000023E-2</v>
      </c>
      <c r="CZ116" s="20">
        <f>CZ115/CU115-1</f>
        <v>1.992705988292709E-3</v>
      </c>
      <c r="DA116" s="20">
        <f>DA115/CV115-1</f>
        <v>-3.2719332161686099E-2</v>
      </c>
      <c r="DB116" s="206">
        <f>DB115/CW115-1</f>
        <v>8.3946554835017118E-3</v>
      </c>
      <c r="DC116" s="20"/>
      <c r="DD116" s="20"/>
      <c r="DE116" s="20"/>
      <c r="DF116" s="20"/>
      <c r="DG116" s="206">
        <f>DG115/DB115-1</f>
        <v>2.4934515570613769E-3</v>
      </c>
      <c r="DH116" s="20"/>
      <c r="DI116" s="20"/>
      <c r="DJ116" s="20"/>
      <c r="DK116" s="20"/>
      <c r="DL116" s="206">
        <f>DL115/DG115-1</f>
        <v>-6.3492966919764804E-5</v>
      </c>
      <c r="DM116" s="20"/>
      <c r="DN116" s="500"/>
      <c r="DO116" s="486"/>
      <c r="DP116" s="411"/>
      <c r="DQ116" s="411"/>
      <c r="DR116" s="411"/>
      <c r="DS116" s="562"/>
      <c r="DT116" s="557"/>
      <c r="DU116" s="184"/>
      <c r="DV116" s="461"/>
      <c r="DW116" s="461"/>
      <c r="DX116" s="461"/>
      <c r="DY116" s="461"/>
      <c r="DZ116" s="461"/>
      <c r="EA116" s="500"/>
      <c r="EH116" s="8"/>
    </row>
    <row r="117" spans="1:138" ht="12.75" customHeight="1" x14ac:dyDescent="0.2">
      <c r="A117" s="37" t="s">
        <v>362</v>
      </c>
      <c r="B117" s="67"/>
      <c r="C117" s="67"/>
      <c r="D117" s="67"/>
      <c r="E117" s="67"/>
      <c r="F117" s="207"/>
      <c r="G117" s="67"/>
      <c r="H117" s="67"/>
      <c r="I117" s="67"/>
      <c r="J117" s="67"/>
      <c r="K117" s="207"/>
      <c r="L117" s="67"/>
      <c r="M117" s="67"/>
      <c r="N117" s="67"/>
      <c r="O117" s="67"/>
      <c r="P117" s="207"/>
      <c r="Q117" s="67"/>
      <c r="R117" s="67"/>
      <c r="S117" s="67"/>
      <c r="T117" s="67"/>
      <c r="U117" s="207"/>
      <c r="V117" s="67"/>
      <c r="W117" s="67"/>
      <c r="X117" s="67"/>
      <c r="Y117" s="67"/>
      <c r="Z117" s="207"/>
      <c r="AA117" s="67"/>
      <c r="AB117" s="67"/>
      <c r="AC117" s="67"/>
      <c r="AD117" s="67"/>
      <c r="AE117" s="207"/>
      <c r="AF117" s="67"/>
      <c r="AG117" s="67"/>
      <c r="AH117" s="67"/>
      <c r="AI117" s="67"/>
      <c r="AJ117" s="207"/>
      <c r="AK117" s="67"/>
      <c r="AL117" s="67"/>
      <c r="AM117" s="67"/>
      <c r="AN117" s="67"/>
      <c r="AO117" s="207"/>
      <c r="AP117" s="337"/>
      <c r="AQ117" s="67"/>
      <c r="AR117" s="67"/>
      <c r="AS117" s="67"/>
      <c r="AT117" s="286"/>
      <c r="AU117" s="67">
        <f>AU115-AU120</f>
        <v>768</v>
      </c>
      <c r="AV117" s="67">
        <f>AV115-AV120</f>
        <v>731</v>
      </c>
      <c r="AW117" s="67">
        <f>AW115-AW120</f>
        <v>719</v>
      </c>
      <c r="AX117" s="67">
        <f>AX115-AX120</f>
        <v>710</v>
      </c>
      <c r="AY117" s="286">
        <f>SUM(AU117:AX117)</f>
        <v>2928</v>
      </c>
      <c r="AZ117" s="337">
        <f>AZ115-AZ120</f>
        <v>713</v>
      </c>
      <c r="BA117" s="67">
        <f>BA115-BA120</f>
        <v>753</v>
      </c>
      <c r="BB117" s="67">
        <f>BB115-BB120</f>
        <v>758</v>
      </c>
      <c r="BC117" s="67">
        <f>BC115-BC120</f>
        <v>692</v>
      </c>
      <c r="BD117" s="286">
        <f>SUM(AZ117:BC117)</f>
        <v>2916</v>
      </c>
      <c r="BE117" s="337">
        <f>BE115-BE120</f>
        <v>659</v>
      </c>
      <c r="BF117" s="67">
        <f>BF115-BF120</f>
        <v>690</v>
      </c>
      <c r="BG117" s="67">
        <f>BG115-BG120</f>
        <v>853</v>
      </c>
      <c r="BH117" s="67">
        <f>BH115-BH120</f>
        <v>796</v>
      </c>
      <c r="BI117" s="286">
        <f>SUM(BE117:BH117)</f>
        <v>2998</v>
      </c>
      <c r="BJ117" s="337">
        <f>BJ115-BJ120</f>
        <v>837</v>
      </c>
      <c r="BK117" s="67">
        <f>BK115-BK120</f>
        <v>865</v>
      </c>
      <c r="BL117" s="67">
        <f>BL115-BL120</f>
        <v>880</v>
      </c>
      <c r="BM117" s="67">
        <f>BM115-BM120</f>
        <v>834</v>
      </c>
      <c r="BN117" s="337">
        <f>SUM(BJ117:BM117)</f>
        <v>3416</v>
      </c>
      <c r="BO117" s="337">
        <f>BO115-BO120</f>
        <v>849</v>
      </c>
      <c r="BP117" s="67">
        <f>BP115-BP120</f>
        <v>895</v>
      </c>
      <c r="BQ117" s="67">
        <f>BQ115-BQ120</f>
        <v>907</v>
      </c>
      <c r="BR117" s="67">
        <f>BR115-BR120</f>
        <v>895</v>
      </c>
      <c r="BS117" s="286">
        <f>SUM(BO117:BR117)</f>
        <v>3546</v>
      </c>
      <c r="BT117" s="337">
        <f>BT115-BT120</f>
        <v>880</v>
      </c>
      <c r="BU117" s="67">
        <f>BU115-BU120</f>
        <v>937</v>
      </c>
      <c r="BV117" s="67">
        <f>BV115-BV120</f>
        <v>915</v>
      </c>
      <c r="BW117" s="67">
        <f>BW115-BW120</f>
        <v>870</v>
      </c>
      <c r="BX117" s="286">
        <f>SUM(BT117:BW117)</f>
        <v>3602</v>
      </c>
      <c r="BY117" s="337">
        <f>BY115-BY120</f>
        <v>846</v>
      </c>
      <c r="BZ117" s="67">
        <f>BZ115-BZ120</f>
        <v>861</v>
      </c>
      <c r="CA117" s="67">
        <f>CA115-CA120</f>
        <v>861</v>
      </c>
      <c r="CB117" s="67">
        <f>CB115-CB120</f>
        <v>825</v>
      </c>
      <c r="CC117" s="286">
        <f>SUM(BY117:CB117)</f>
        <v>3393</v>
      </c>
      <c r="CD117" s="337">
        <f>CD115-CD120</f>
        <v>789</v>
      </c>
      <c r="CE117" s="67">
        <f>CE115-CE120</f>
        <v>802</v>
      </c>
      <c r="CF117" s="67">
        <f>CF115-CF120</f>
        <v>816</v>
      </c>
      <c r="CG117" s="67">
        <f>CG115-CG120</f>
        <v>799</v>
      </c>
      <c r="CH117" s="286">
        <f>SUM(CD117:CG117)</f>
        <v>3206</v>
      </c>
      <c r="CI117" s="337">
        <f>CI115-CI120</f>
        <v>839</v>
      </c>
      <c r="CJ117" s="67">
        <f>CJ115-CJ120</f>
        <v>877</v>
      </c>
      <c r="CK117" s="67">
        <f>CK115-CK120</f>
        <v>889</v>
      </c>
      <c r="CL117" s="67">
        <f>CL115-CL120</f>
        <v>854</v>
      </c>
      <c r="CM117" s="286">
        <f>SUM(CI117:CL117)</f>
        <v>3459</v>
      </c>
      <c r="CN117" s="337">
        <f>CN115-CN120</f>
        <v>868</v>
      </c>
      <c r="CO117" s="67">
        <f>CO115-CO120</f>
        <v>842</v>
      </c>
      <c r="CP117" s="67">
        <f>CP115-CP120</f>
        <v>890</v>
      </c>
      <c r="CQ117" s="67">
        <f>CQ115-CQ120</f>
        <v>879</v>
      </c>
      <c r="CR117" s="286">
        <f>SUM(CN117:CQ117)</f>
        <v>3479</v>
      </c>
      <c r="CS117" s="337">
        <f>CS115-CS120</f>
        <v>864</v>
      </c>
      <c r="CT117" s="67">
        <f>CT115-CT120</f>
        <v>838</v>
      </c>
      <c r="CU117" s="67">
        <f>CU115-CU120</f>
        <v>887</v>
      </c>
      <c r="CV117" s="67">
        <f>CV115-CV120</f>
        <v>877</v>
      </c>
      <c r="CW117" s="286">
        <f>SUM(CS117:CV117)</f>
        <v>3466</v>
      </c>
      <c r="CX117" s="337">
        <f>CX115-CX120</f>
        <v>856</v>
      </c>
      <c r="CY117" s="67">
        <f>CY118*CY11/100</f>
        <v>902.02319999999997</v>
      </c>
      <c r="CZ117" s="67">
        <f>CZ118*CZ11/100</f>
        <v>888.76753021161562</v>
      </c>
      <c r="DA117" s="67">
        <f>DA118*DA11/100</f>
        <v>848.30514569420131</v>
      </c>
      <c r="DB117" s="286">
        <f>SUM(CX117:DA117)</f>
        <v>3495.0958759058167</v>
      </c>
      <c r="DC117" s="67"/>
      <c r="DD117" s="67"/>
      <c r="DE117" s="67"/>
      <c r="DF117" s="67"/>
      <c r="DG117" s="286">
        <f>DG118*DG11/100</f>
        <v>3503.8107281596726</v>
      </c>
      <c r="DH117" s="67"/>
      <c r="DI117" s="67"/>
      <c r="DJ117" s="67"/>
      <c r="DK117" s="67"/>
      <c r="DL117" s="286">
        <f>DL118*DL11/100</f>
        <v>3503.5882608210163</v>
      </c>
      <c r="DM117" s="68"/>
      <c r="DN117" s="517"/>
      <c r="DO117" s="486"/>
      <c r="DP117" s="411"/>
      <c r="DQ117" s="411"/>
      <c r="DR117" s="411"/>
      <c r="DS117" s="564"/>
      <c r="DT117" s="557"/>
      <c r="DU117" s="671"/>
      <c r="DV117" s="671"/>
      <c r="DW117" s="671"/>
      <c r="DX117" s="671"/>
      <c r="DY117" s="461"/>
      <c r="DZ117" s="461"/>
      <c r="EA117" s="517"/>
      <c r="EH117" s="8"/>
    </row>
    <row r="118" spans="1:138" ht="12.75" customHeight="1" x14ac:dyDescent="0.2">
      <c r="A118" s="75" t="s">
        <v>364</v>
      </c>
      <c r="B118" s="69"/>
      <c r="C118" s="69"/>
      <c r="D118" s="69"/>
      <c r="E118" s="69"/>
      <c r="F118" s="222"/>
      <c r="G118" s="69"/>
      <c r="H118" s="69"/>
      <c r="I118" s="69"/>
      <c r="J118" s="69"/>
      <c r="K118" s="222"/>
      <c r="L118" s="69"/>
      <c r="M118" s="69"/>
      <c r="N118" s="69"/>
      <c r="O118" s="69"/>
      <c r="P118" s="222"/>
      <c r="Q118" s="69"/>
      <c r="R118" s="69"/>
      <c r="S118" s="69"/>
      <c r="T118" s="69"/>
      <c r="U118" s="222"/>
      <c r="V118" s="69">
        <f t="shared" ref="V118:AO118" si="458">V115/V11*100</f>
        <v>4.5031350940528219</v>
      </c>
      <c r="W118" s="69">
        <f t="shared" si="458"/>
        <v>4.3710807819992619</v>
      </c>
      <c r="X118" s="69">
        <f t="shared" si="458"/>
        <v>4.1852978000357721</v>
      </c>
      <c r="Y118" s="69">
        <f t="shared" si="458"/>
        <v>4.1259900534168361</v>
      </c>
      <c r="Z118" s="222">
        <f t="shared" si="458"/>
        <v>4.2939414881363742</v>
      </c>
      <c r="AA118" s="69">
        <f t="shared" si="458"/>
        <v>3.7666174298375181</v>
      </c>
      <c r="AB118" s="69">
        <f t="shared" si="458"/>
        <v>3.6524147481391727</v>
      </c>
      <c r="AC118" s="69">
        <f t="shared" si="458"/>
        <v>5.3077836187892151</v>
      </c>
      <c r="AD118" s="69">
        <f t="shared" si="458"/>
        <v>10.228848821081831</v>
      </c>
      <c r="AE118" s="222">
        <f t="shared" si="458"/>
        <v>5.7660337737334855</v>
      </c>
      <c r="AF118" s="69">
        <f t="shared" si="458"/>
        <v>11.770390413606494</v>
      </c>
      <c r="AG118" s="69">
        <f t="shared" si="458"/>
        <v>11.750044507744347</v>
      </c>
      <c r="AH118" s="69">
        <f t="shared" si="458"/>
        <v>12.139503688799463</v>
      </c>
      <c r="AI118" s="69">
        <f t="shared" si="458"/>
        <v>11.510416666666666</v>
      </c>
      <c r="AJ118" s="222">
        <f t="shared" si="458"/>
        <v>11.796580057739286</v>
      </c>
      <c r="AK118" s="69">
        <f t="shared" si="458"/>
        <v>12.524017467248907</v>
      </c>
      <c r="AL118" s="69">
        <f t="shared" si="458"/>
        <v>12.82307820576955</v>
      </c>
      <c r="AM118" s="69">
        <f t="shared" si="458"/>
        <v>13.069275176395125</v>
      </c>
      <c r="AN118" s="69">
        <f t="shared" si="458"/>
        <v>14.052179656538968</v>
      </c>
      <c r="AO118" s="222">
        <f t="shared" si="458"/>
        <v>13.125676688598316</v>
      </c>
      <c r="AP118" s="338"/>
      <c r="AQ118" s="69"/>
      <c r="AR118" s="69"/>
      <c r="AS118" s="69"/>
      <c r="AT118" s="287"/>
      <c r="AU118" s="69">
        <f>AU117/AU11*100</f>
        <v>9.5569935291189658</v>
      </c>
      <c r="AV118" s="69">
        <f>AV117/AV11*100</f>
        <v>8.662163763479084</v>
      </c>
      <c r="AW118" s="69">
        <f>AW117/AW11*100</f>
        <v>8.6242053496461555</v>
      </c>
      <c r="AX118" s="69">
        <f>AX117/AX11*100</f>
        <v>8.9827935222672064</v>
      </c>
      <c r="AY118" s="287"/>
      <c r="AZ118" s="338">
        <f t="shared" ref="AZ118:CE118" si="459">AZ117/AZ11*100</f>
        <v>8.93965083704847</v>
      </c>
      <c r="BA118" s="69">
        <f t="shared" si="459"/>
        <v>8.9387464387464401</v>
      </c>
      <c r="BB118" s="69">
        <f t="shared" si="459"/>
        <v>8.9577376772609938</v>
      </c>
      <c r="BC118" s="69">
        <f t="shared" si="459"/>
        <v>8.9383604463600328</v>
      </c>
      <c r="BD118" s="287">
        <f t="shared" si="459"/>
        <v>8.943805024068995</v>
      </c>
      <c r="BE118" s="338">
        <f t="shared" si="459"/>
        <v>8.5679553270189821</v>
      </c>
      <c r="BF118" s="69">
        <f t="shared" si="459"/>
        <v>8.5650446871896726</v>
      </c>
      <c r="BG118" s="69">
        <f t="shared" si="459"/>
        <v>10.177083641549034</v>
      </c>
      <c r="BH118" s="69">
        <f t="shared" si="459"/>
        <v>10.281887770094885</v>
      </c>
      <c r="BI118" s="287">
        <f t="shared" si="459"/>
        <v>9.4067311468069796</v>
      </c>
      <c r="BJ118" s="338">
        <f t="shared" si="459"/>
        <v>11.043020547142742</v>
      </c>
      <c r="BK118" s="69">
        <f t="shared" si="459"/>
        <v>10.956467989380458</v>
      </c>
      <c r="BL118" s="69">
        <f t="shared" si="459"/>
        <v>10.790925812385039</v>
      </c>
      <c r="BM118" s="69">
        <f t="shared" si="459"/>
        <v>11.044894715931665</v>
      </c>
      <c r="BN118" s="338">
        <f t="shared" si="459"/>
        <v>10.946806467896247</v>
      </c>
      <c r="BO118" s="338">
        <f t="shared" si="459"/>
        <v>11.389857794472766</v>
      </c>
      <c r="BP118" s="69">
        <f t="shared" si="459"/>
        <v>11.700875931494313</v>
      </c>
      <c r="BQ118" s="69">
        <f t="shared" si="459"/>
        <v>12.046752556780449</v>
      </c>
      <c r="BR118" s="69">
        <f t="shared" si="459"/>
        <v>12.950368976993198</v>
      </c>
      <c r="BS118" s="287">
        <f t="shared" si="459"/>
        <v>12.002843313136784</v>
      </c>
      <c r="BT118" s="338">
        <f t="shared" si="459"/>
        <v>12.903225806451612</v>
      </c>
      <c r="BU118" s="69">
        <f t="shared" si="459"/>
        <v>12.76566757493188</v>
      </c>
      <c r="BV118" s="69">
        <f t="shared" si="459"/>
        <v>12.348178137651821</v>
      </c>
      <c r="BW118" s="69">
        <f t="shared" si="459"/>
        <v>12.487440792306588</v>
      </c>
      <c r="BX118" s="287">
        <f t="shared" si="459"/>
        <v>12.622209762764131</v>
      </c>
      <c r="BY118" s="338">
        <f t="shared" si="459"/>
        <v>12.929848693259974</v>
      </c>
      <c r="BZ118" s="69">
        <f t="shared" si="459"/>
        <v>12.223168654173765</v>
      </c>
      <c r="CA118" s="69">
        <f t="shared" si="459"/>
        <v>12.268452550584213</v>
      </c>
      <c r="CB118" s="69">
        <f t="shared" si="459"/>
        <v>12.063167129697325</v>
      </c>
      <c r="CC118" s="287">
        <f t="shared" si="459"/>
        <v>12.363358111062528</v>
      </c>
      <c r="CD118" s="338">
        <f t="shared" si="459"/>
        <v>12.278244631185807</v>
      </c>
      <c r="CE118" s="69">
        <f t="shared" si="459"/>
        <v>12.158884172225591</v>
      </c>
      <c r="CF118" s="69">
        <f t="shared" ref="CF118:CX118" si="460">CF117/CF11*100</f>
        <v>12.06922052950747</v>
      </c>
      <c r="CG118" s="69">
        <f t="shared" si="460"/>
        <v>12.192888753242789</v>
      </c>
      <c r="CH118" s="287">
        <f t="shared" si="460"/>
        <v>12.173450789793439</v>
      </c>
      <c r="CI118" s="338">
        <f t="shared" si="460"/>
        <v>13.038073038073039</v>
      </c>
      <c r="CJ118" s="69">
        <f t="shared" si="460"/>
        <v>12.885689097854833</v>
      </c>
      <c r="CK118" s="69">
        <f t="shared" si="460"/>
        <v>13.081224249558565</v>
      </c>
      <c r="CL118" s="69">
        <f t="shared" si="460"/>
        <v>13.014324900944835</v>
      </c>
      <c r="CM118" s="287">
        <f t="shared" si="460"/>
        <v>13.004248280010527</v>
      </c>
      <c r="CN118" s="338">
        <f t="shared" si="460"/>
        <v>13.600752115324349</v>
      </c>
      <c r="CO118" s="69">
        <f t="shared" si="460"/>
        <v>12.726723095525996</v>
      </c>
      <c r="CP118" s="69">
        <f t="shared" si="460"/>
        <v>13.357346540597328</v>
      </c>
      <c r="CQ118" s="69">
        <f t="shared" si="460"/>
        <v>14.043776961175908</v>
      </c>
      <c r="CR118" s="287">
        <f t="shared" si="460"/>
        <v>13.42206790123457</v>
      </c>
      <c r="CS118" s="338">
        <f t="shared" si="460"/>
        <v>13.538075838295205</v>
      </c>
      <c r="CT118" s="69">
        <f t="shared" si="460"/>
        <v>12.666263603385733</v>
      </c>
      <c r="CU118" s="69">
        <f t="shared" si="460"/>
        <v>13.312321776977337</v>
      </c>
      <c r="CV118" s="69">
        <f t="shared" si="460"/>
        <v>14.011822974916122</v>
      </c>
      <c r="CW118" s="287">
        <f t="shared" si="460"/>
        <v>13.371913580246913</v>
      </c>
      <c r="CX118" s="338">
        <f t="shared" si="460"/>
        <v>15.136648035268397</v>
      </c>
      <c r="CY118" s="69">
        <f>CT118*(1+CY119)</f>
        <v>13.172914147521164</v>
      </c>
      <c r="CZ118" s="69">
        <f>CU118*(1+CZ119)</f>
        <v>13.578568212516883</v>
      </c>
      <c r="DA118" s="69">
        <f>CV118*(1+DA119)</f>
        <v>13.731586515417799</v>
      </c>
      <c r="DB118" s="287">
        <f>DB117/DB11*100</f>
        <v>13.855218782395623</v>
      </c>
      <c r="DC118" s="69"/>
      <c r="DD118" s="69"/>
      <c r="DE118" s="69"/>
      <c r="DF118" s="69"/>
      <c r="DG118" s="287">
        <f>DB118*(1+DG119)</f>
        <v>14.201599251955512</v>
      </c>
      <c r="DH118" s="69"/>
      <c r="DI118" s="69"/>
      <c r="DJ118" s="69"/>
      <c r="DK118" s="69"/>
      <c r="DL118" s="287">
        <f>DG118*(1+DL119)</f>
        <v>14.556639233254399</v>
      </c>
      <c r="DM118" s="70"/>
      <c r="DN118" s="518"/>
      <c r="DO118" s="486"/>
      <c r="DP118" s="411"/>
      <c r="DQ118" s="411"/>
      <c r="DR118" s="411"/>
      <c r="DS118" s="565"/>
      <c r="DT118" s="565"/>
      <c r="DU118" s="919"/>
      <c r="DV118" s="919"/>
      <c r="DW118" s="919"/>
      <c r="DX118" s="919"/>
      <c r="DY118" s="464"/>
      <c r="DZ118" s="464"/>
      <c r="EA118" s="518"/>
      <c r="EH118" s="8"/>
    </row>
    <row r="119" spans="1:138" ht="12.75" customHeight="1" x14ac:dyDescent="0.2">
      <c r="A119" s="148" t="s">
        <v>244</v>
      </c>
      <c r="B119" s="20"/>
      <c r="C119" s="20"/>
      <c r="D119" s="20"/>
      <c r="E119" s="20"/>
      <c r="F119" s="199"/>
      <c r="G119" s="20"/>
      <c r="H119" s="20"/>
      <c r="I119" s="20"/>
      <c r="J119" s="20"/>
      <c r="K119" s="199"/>
      <c r="L119" s="20"/>
      <c r="M119" s="20"/>
      <c r="N119" s="20"/>
      <c r="O119" s="20"/>
      <c r="P119" s="199"/>
      <c r="Q119" s="20"/>
      <c r="R119" s="20"/>
      <c r="S119" s="20"/>
      <c r="T119" s="20"/>
      <c r="U119" s="199"/>
      <c r="V119" s="20"/>
      <c r="W119" s="20"/>
      <c r="X119" s="20"/>
      <c r="Y119" s="20"/>
      <c r="Z119" s="199"/>
      <c r="AA119" s="20">
        <f t="shared" ref="AA119:AO119" si="461">AA118/V118-1</f>
        <v>-0.16355664416730564</v>
      </c>
      <c r="AB119" s="20">
        <f t="shared" si="461"/>
        <v>-0.1644138074088356</v>
      </c>
      <c r="AC119" s="20">
        <f t="shared" si="461"/>
        <v>0.26819735951497869</v>
      </c>
      <c r="AD119" s="20">
        <f t="shared" si="461"/>
        <v>1.4791259040023772</v>
      </c>
      <c r="AE119" s="199">
        <f t="shared" si="461"/>
        <v>0.34283007573911273</v>
      </c>
      <c r="AF119" s="20">
        <f t="shared" si="461"/>
        <v>2.1249232588280771</v>
      </c>
      <c r="AG119" s="20">
        <f t="shared" si="461"/>
        <v>2.2170619488738907</v>
      </c>
      <c r="AH119" s="20">
        <f t="shared" si="461"/>
        <v>1.2871135224552854</v>
      </c>
      <c r="AI119" s="20">
        <f t="shared" si="461"/>
        <v>0.12528954802259884</v>
      </c>
      <c r="AJ119" s="199">
        <f t="shared" si="461"/>
        <v>1.0458742561441925</v>
      </c>
      <c r="AK119" s="20">
        <f t="shared" si="461"/>
        <v>6.4027362488437545E-2</v>
      </c>
      <c r="AL119" s="20">
        <f t="shared" si="461"/>
        <v>9.1321670936478139E-2</v>
      </c>
      <c r="AM119" s="20">
        <f t="shared" si="461"/>
        <v>7.6590568398073655E-2</v>
      </c>
      <c r="AN119" s="20">
        <f t="shared" si="461"/>
        <v>0.22082284798890583</v>
      </c>
      <c r="AO119" s="199">
        <f t="shared" si="461"/>
        <v>0.11266796176126159</v>
      </c>
      <c r="AP119" s="317"/>
      <c r="AQ119" s="20"/>
      <c r="AR119" s="20"/>
      <c r="AS119" s="20"/>
      <c r="AT119" s="206"/>
      <c r="AU119" s="20"/>
      <c r="AV119" s="20"/>
      <c r="AW119" s="20"/>
      <c r="AX119" s="20"/>
      <c r="AY119" s="206"/>
      <c r="AZ119" s="317">
        <f>AZ118/AU118-1</f>
        <v>-6.4595909810918006E-2</v>
      </c>
      <c r="BA119" s="20">
        <f>BA118/AV118-1</f>
        <v>3.1929975329428428E-2</v>
      </c>
      <c r="BB119" s="20">
        <f>BB118/AW118-1</f>
        <v>3.8673977960012706E-2</v>
      </c>
      <c r="BC119" s="20">
        <f>BC118/AX118-1</f>
        <v>-4.9464652390183161E-3</v>
      </c>
      <c r="BD119" s="206"/>
      <c r="BE119" s="317">
        <f t="shared" ref="BE119:BV119" si="462">BE118/AZ118-1</f>
        <v>-4.1578302867162908E-2</v>
      </c>
      <c r="BF119" s="20">
        <f t="shared" si="462"/>
        <v>-4.1806952923163498E-2</v>
      </c>
      <c r="BG119" s="20">
        <f t="shared" si="462"/>
        <v>0.13612208888225452</v>
      </c>
      <c r="BH119" s="20">
        <f t="shared" si="462"/>
        <v>0.15031026459466368</v>
      </c>
      <c r="BI119" s="206">
        <f t="shared" si="462"/>
        <v>5.1759415762328009E-2</v>
      </c>
      <c r="BJ119" s="317">
        <f t="shared" si="462"/>
        <v>0.28887466445099919</v>
      </c>
      <c r="BK119" s="20">
        <f t="shared" si="462"/>
        <v>0.27920733510795603</v>
      </c>
      <c r="BL119" s="20">
        <f t="shared" si="462"/>
        <v>6.0316117313797823E-2</v>
      </c>
      <c r="BM119" s="20">
        <f t="shared" si="462"/>
        <v>7.4208838191757387E-2</v>
      </c>
      <c r="BN119" s="317">
        <f>BN118/BI118-1</f>
        <v>0.16372056318544081</v>
      </c>
      <c r="BO119" s="317">
        <f t="shared" si="462"/>
        <v>3.1407824140992302E-2</v>
      </c>
      <c r="BP119" s="20">
        <f t="shared" si="462"/>
        <v>6.7942328023535614E-2</v>
      </c>
      <c r="BQ119" s="20">
        <f t="shared" si="462"/>
        <v>0.11637803523346113</v>
      </c>
      <c r="BR119" s="20">
        <f t="shared" si="462"/>
        <v>0.17252081708963596</v>
      </c>
      <c r="BS119" s="206">
        <f>BS118/BN118-1</f>
        <v>9.6469856148236666E-2</v>
      </c>
      <c r="BT119" s="317">
        <f t="shared" si="462"/>
        <v>0.13286978988563392</v>
      </c>
      <c r="BU119" s="20">
        <f t="shared" si="462"/>
        <v>9.1001019895574853E-2</v>
      </c>
      <c r="BV119" s="20">
        <f t="shared" si="462"/>
        <v>2.5021314204857426E-2</v>
      </c>
      <c r="BW119" s="20">
        <f t="shared" ref="BW119:CF119" si="463">BW118/BR118-1</f>
        <v>-3.5746331668929265E-2</v>
      </c>
      <c r="BX119" s="206">
        <f t="shared" si="463"/>
        <v>5.1601644166217486E-2</v>
      </c>
      <c r="BY119" s="317">
        <f t="shared" si="463"/>
        <v>2.0632737276480295E-3</v>
      </c>
      <c r="BZ119" s="20">
        <f t="shared" si="463"/>
        <v>-4.2496713749888615E-2</v>
      </c>
      <c r="CA119" s="20">
        <f t="shared" si="463"/>
        <v>-6.4564655756391698E-3</v>
      </c>
      <c r="CB119" s="20">
        <f t="shared" si="463"/>
        <v>-3.3976029970100408E-2</v>
      </c>
      <c r="CC119" s="206">
        <f t="shared" si="463"/>
        <v>-2.0507633494193933E-2</v>
      </c>
      <c r="CD119" s="317">
        <f t="shared" si="463"/>
        <v>-5.0395335439140321E-2</v>
      </c>
      <c r="CE119" s="20">
        <f t="shared" si="463"/>
        <v>-5.2592321816834486E-3</v>
      </c>
      <c r="CF119" s="20">
        <f t="shared" si="463"/>
        <v>-1.6239376584397003E-2</v>
      </c>
      <c r="CG119" s="20">
        <f>CG118/CB118-1</f>
        <v>1.0753529496090097E-2</v>
      </c>
      <c r="CH119" s="206">
        <f>CH118/CC118-1</f>
        <v>-1.536049668408157E-2</v>
      </c>
      <c r="CI119" s="317">
        <f>CI118/CD118-1</f>
        <v>6.1884123481081854E-2</v>
      </c>
      <c r="CJ119" s="20">
        <f t="shared" ref="CJ119:CK119" si="464">CJ118/CE118-1</f>
        <v>5.9775627050504765E-2</v>
      </c>
      <c r="CK119" s="20">
        <f t="shared" si="464"/>
        <v>8.3849965089037415E-2</v>
      </c>
      <c r="CL119" s="20">
        <f>CL118/CG118-1</f>
        <v>6.7370101074987643E-2</v>
      </c>
      <c r="CM119" s="206">
        <f>CM118/CH118-1</f>
        <v>6.8246670936859877E-2</v>
      </c>
      <c r="CN119" s="317">
        <f>CN118/CI118-1</f>
        <v>4.3156613374400354E-2</v>
      </c>
      <c r="CO119" s="20">
        <f t="shared" ref="CO119:CP119" si="465">CO118/CJ118-1</f>
        <v>-1.233663183409428E-2</v>
      </c>
      <c r="CP119" s="20">
        <f t="shared" si="465"/>
        <v>2.1108291224965603E-2</v>
      </c>
      <c r="CQ119" s="20">
        <f>CQ118/CL118-1</f>
        <v>7.9101456899722367E-2</v>
      </c>
      <c r="CR119" s="206">
        <f>CR118/CM118-1</f>
        <v>3.212947124873744E-2</v>
      </c>
      <c r="CS119" s="317"/>
      <c r="CT119" s="20"/>
      <c r="CU119" s="20"/>
      <c r="CV119" s="20"/>
      <c r="CW119" s="206"/>
      <c r="CX119" s="317">
        <f>CX118/CS118-1</f>
        <v>0.11807971945697826</v>
      </c>
      <c r="CY119" s="42">
        <v>0.04</v>
      </c>
      <c r="CZ119" s="42">
        <v>0.02</v>
      </c>
      <c r="DA119" s="42">
        <v>-0.02</v>
      </c>
      <c r="DB119" s="206">
        <f>DB118/CW118-1</f>
        <v>3.614330882773964E-2</v>
      </c>
      <c r="DC119" s="20"/>
      <c r="DD119" s="20"/>
      <c r="DE119" s="33"/>
      <c r="DF119" s="33"/>
      <c r="DG119" s="449">
        <v>2.5000000000000001E-2</v>
      </c>
      <c r="DH119" s="20"/>
      <c r="DI119" s="20"/>
      <c r="DJ119" s="33"/>
      <c r="DK119" s="33"/>
      <c r="DL119" s="449">
        <v>2.5000000000000001E-2</v>
      </c>
      <c r="DM119" s="33"/>
      <c r="DN119" s="499"/>
      <c r="DO119" s="486"/>
      <c r="DP119" s="824"/>
      <c r="DQ119" s="411"/>
      <c r="DR119" s="411"/>
      <c r="DS119" s="565"/>
      <c r="DT119" s="565"/>
      <c r="DU119" s="461"/>
      <c r="DV119" s="461"/>
      <c r="DW119" s="461"/>
      <c r="DX119" s="464"/>
      <c r="DY119" s="461"/>
      <c r="DZ119" s="461"/>
      <c r="EA119" s="499"/>
      <c r="EH119" s="8"/>
    </row>
    <row r="120" spans="1:138" ht="12.75" customHeight="1" x14ac:dyDescent="0.2">
      <c r="A120" s="37" t="s">
        <v>363</v>
      </c>
      <c r="B120" s="901"/>
      <c r="C120" s="897"/>
      <c r="D120" s="897"/>
      <c r="E120" s="897"/>
      <c r="F120" s="207"/>
      <c r="G120" s="901"/>
      <c r="H120" s="897"/>
      <c r="I120" s="897"/>
      <c r="J120" s="897"/>
      <c r="K120" s="207"/>
      <c r="L120" s="901"/>
      <c r="M120" s="897"/>
      <c r="N120" s="897"/>
      <c r="O120" s="897"/>
      <c r="P120" s="207"/>
      <c r="Q120" s="901"/>
      <c r="R120" s="897"/>
      <c r="S120" s="897"/>
      <c r="T120" s="897"/>
      <c r="U120" s="207"/>
      <c r="V120" s="901"/>
      <c r="W120" s="897"/>
      <c r="X120" s="897"/>
      <c r="Y120" s="897"/>
      <c r="Z120" s="207"/>
      <c r="AA120" s="901"/>
      <c r="AB120" s="897"/>
      <c r="AC120" s="897"/>
      <c r="AD120" s="897"/>
      <c r="AE120" s="207"/>
      <c r="AF120" s="901"/>
      <c r="AG120" s="897"/>
      <c r="AH120" s="897"/>
      <c r="AI120" s="897"/>
      <c r="AJ120" s="207"/>
      <c r="AK120" s="901"/>
      <c r="AL120" s="897"/>
      <c r="AM120" s="897"/>
      <c r="AN120" s="897"/>
      <c r="AO120" s="207"/>
      <c r="AP120" s="875"/>
      <c r="AQ120" s="897"/>
      <c r="AR120" s="897"/>
      <c r="AS120" s="897"/>
      <c r="AT120" s="286"/>
      <c r="AU120" s="901">
        <v>424</v>
      </c>
      <c r="AV120" s="897">
        <v>517</v>
      </c>
      <c r="AW120" s="897">
        <v>497</v>
      </c>
      <c r="AX120" s="897">
        <v>301</v>
      </c>
      <c r="AY120" s="286">
        <f>SUM(AU120:AX120)</f>
        <v>1739</v>
      </c>
      <c r="AZ120" s="875">
        <v>195</v>
      </c>
      <c r="BA120" s="897">
        <v>212</v>
      </c>
      <c r="BB120" s="897">
        <v>251</v>
      </c>
      <c r="BC120" s="897">
        <v>249</v>
      </c>
      <c r="BD120" s="286">
        <f>SUM(AZ120:BC120)</f>
        <v>907</v>
      </c>
      <c r="BE120" s="875">
        <v>258</v>
      </c>
      <c r="BF120" s="897">
        <v>282</v>
      </c>
      <c r="BG120" s="897">
        <v>383</v>
      </c>
      <c r="BH120" s="897">
        <v>384</v>
      </c>
      <c r="BI120" s="286">
        <f>SUM(BE120:BH120)</f>
        <v>1307</v>
      </c>
      <c r="BJ120" s="875">
        <v>463</v>
      </c>
      <c r="BK120" s="897">
        <v>545</v>
      </c>
      <c r="BL120" s="897">
        <v>552</v>
      </c>
      <c r="BM120" s="897">
        <v>494</v>
      </c>
      <c r="BN120" s="337">
        <f>SUM(BJ120:BM120)</f>
        <v>2054</v>
      </c>
      <c r="BO120" s="875">
        <v>526</v>
      </c>
      <c r="BP120" s="897">
        <v>521</v>
      </c>
      <c r="BQ120" s="897">
        <v>540</v>
      </c>
      <c r="BR120" s="897">
        <v>514</v>
      </c>
      <c r="BS120" s="286">
        <f>SUM(BO120:BR120)</f>
        <v>2101</v>
      </c>
      <c r="BT120" s="875">
        <v>519</v>
      </c>
      <c r="BU120" s="897">
        <v>507</v>
      </c>
      <c r="BV120" s="897">
        <v>544</v>
      </c>
      <c r="BW120" s="897">
        <v>497</v>
      </c>
      <c r="BX120" s="286">
        <f>SUM(BT120:BW120)</f>
        <v>2067</v>
      </c>
      <c r="BY120" s="875">
        <v>473</v>
      </c>
      <c r="BZ120" s="897">
        <v>500</v>
      </c>
      <c r="CA120" s="897">
        <v>492</v>
      </c>
      <c r="CB120" s="897">
        <v>379</v>
      </c>
      <c r="CC120" s="286">
        <f>SUM(BY120:CB120)</f>
        <v>1844</v>
      </c>
      <c r="CD120" s="875">
        <v>264</v>
      </c>
      <c r="CE120" s="897">
        <v>295</v>
      </c>
      <c r="CF120" s="897">
        <v>257</v>
      </c>
      <c r="CG120" s="897">
        <v>219</v>
      </c>
      <c r="CH120" s="286">
        <f>SUM(CD120:CG120)</f>
        <v>1035</v>
      </c>
      <c r="CI120" s="875">
        <v>167</v>
      </c>
      <c r="CJ120" s="897">
        <v>219</v>
      </c>
      <c r="CK120" s="897">
        <v>230</v>
      </c>
      <c r="CL120" s="897">
        <v>236</v>
      </c>
      <c r="CM120" s="286">
        <f>SUM(CI120:CL120)</f>
        <v>852</v>
      </c>
      <c r="CN120" s="875">
        <v>242</v>
      </c>
      <c r="CO120" s="897">
        <v>239</v>
      </c>
      <c r="CP120" s="897">
        <v>266</v>
      </c>
      <c r="CQ120" s="897">
        <v>277</v>
      </c>
      <c r="CR120" s="286">
        <f>SUM(CN120:CQ120)</f>
        <v>1024</v>
      </c>
      <c r="CS120" s="875"/>
      <c r="CT120" s="897"/>
      <c r="CU120" s="897"/>
      <c r="CV120" s="897"/>
      <c r="CW120" s="286"/>
      <c r="CX120" s="875"/>
      <c r="CY120" s="67"/>
      <c r="CZ120" s="67"/>
      <c r="DA120" s="67"/>
      <c r="DB120" s="286"/>
      <c r="DC120" s="67"/>
      <c r="DD120" s="71"/>
      <c r="DE120" s="67"/>
      <c r="DF120" s="67"/>
      <c r="DG120" s="286"/>
      <c r="DH120" s="67"/>
      <c r="DI120" s="71"/>
      <c r="DJ120" s="67"/>
      <c r="DK120" s="67"/>
      <c r="DL120" s="286"/>
      <c r="DM120" s="68"/>
      <c r="DN120" s="517"/>
      <c r="DO120" s="486"/>
      <c r="DP120" s="411"/>
      <c r="DQ120" s="411"/>
      <c r="DR120" s="411"/>
      <c r="DS120" s="556"/>
      <c r="DT120" s="556"/>
      <c r="DU120" s="461"/>
      <c r="DV120" s="461"/>
      <c r="DW120" s="461"/>
      <c r="DX120" s="461"/>
      <c r="DY120" s="470"/>
      <c r="DZ120" s="470"/>
      <c r="EA120" s="517"/>
      <c r="EH120" s="8"/>
    </row>
    <row r="121" spans="1:138" ht="12.75" customHeight="1" x14ac:dyDescent="0.2">
      <c r="A121" s="72" t="s">
        <v>262</v>
      </c>
      <c r="B121" s="73"/>
      <c r="C121" s="73"/>
      <c r="D121" s="73"/>
      <c r="E121" s="73"/>
      <c r="F121" s="223"/>
      <c r="G121" s="73"/>
      <c r="H121" s="73"/>
      <c r="I121" s="73"/>
      <c r="J121" s="73"/>
      <c r="K121" s="223"/>
      <c r="L121" s="73"/>
      <c r="M121" s="73"/>
      <c r="N121" s="73"/>
      <c r="O121" s="73"/>
      <c r="P121" s="223"/>
      <c r="Q121" s="73"/>
      <c r="R121" s="73"/>
      <c r="S121" s="73"/>
      <c r="T121" s="73"/>
      <c r="U121" s="223"/>
      <c r="V121" s="73"/>
      <c r="W121" s="73"/>
      <c r="X121" s="73"/>
      <c r="Y121" s="73"/>
      <c r="Z121" s="223"/>
      <c r="AA121" s="73"/>
      <c r="AB121" s="73"/>
      <c r="AC121" s="73"/>
      <c r="AD121" s="73"/>
      <c r="AE121" s="223"/>
      <c r="AF121" s="73"/>
      <c r="AG121" s="73"/>
      <c r="AH121" s="73"/>
      <c r="AI121" s="73"/>
      <c r="AJ121" s="223"/>
      <c r="AK121" s="73"/>
      <c r="AL121" s="73"/>
      <c r="AM121" s="73"/>
      <c r="AN121" s="73"/>
      <c r="AO121" s="223"/>
      <c r="AP121" s="339"/>
      <c r="AQ121" s="73"/>
      <c r="AR121" s="73"/>
      <c r="AS121" s="73"/>
      <c r="AT121" s="288"/>
      <c r="AU121" s="73">
        <f t="shared" ref="AU121:BV121" si="466">AU120/AU122</f>
        <v>2.8974870831376234</v>
      </c>
      <c r="AV121" s="73">
        <f t="shared" si="466"/>
        <v>3.3873041933649186</v>
      </c>
      <c r="AW121" s="73">
        <f t="shared" si="466"/>
        <v>3.8099999999999996</v>
      </c>
      <c r="AX121" s="73">
        <f t="shared" si="466"/>
        <v>3.1199999999999997</v>
      </c>
      <c r="AY121" s="288">
        <f t="shared" si="466"/>
        <v>3.306819198510254</v>
      </c>
      <c r="AZ121" s="339">
        <f t="shared" si="466"/>
        <v>2.2573260653694196</v>
      </c>
      <c r="BA121" s="73">
        <f t="shared" si="466"/>
        <v>2.06</v>
      </c>
      <c r="BB121" s="73">
        <f t="shared" si="466"/>
        <v>2.13</v>
      </c>
      <c r="BC121" s="73">
        <f t="shared" si="466"/>
        <v>2.17</v>
      </c>
      <c r="BD121" s="288">
        <f>BD96</f>
        <v>2.1523154394095747</v>
      </c>
      <c r="BE121" s="339">
        <f t="shared" si="466"/>
        <v>2.2250000000000001</v>
      </c>
      <c r="BF121" s="73">
        <f t="shared" si="466"/>
        <v>2.3199999999999998</v>
      </c>
      <c r="BG121" s="73">
        <f t="shared" si="466"/>
        <v>2.29</v>
      </c>
      <c r="BH121" s="73">
        <f t="shared" si="466"/>
        <v>2.4700000000000002</v>
      </c>
      <c r="BI121" s="288">
        <f>BI96</f>
        <v>2.3257345281214832</v>
      </c>
      <c r="BJ121" s="339">
        <f t="shared" si="466"/>
        <v>2.89</v>
      </c>
      <c r="BK121" s="73">
        <f t="shared" si="466"/>
        <v>3.22</v>
      </c>
      <c r="BL121" s="73">
        <f t="shared" si="466"/>
        <v>3.09</v>
      </c>
      <c r="BM121" s="73">
        <f t="shared" si="466"/>
        <v>2.97</v>
      </c>
      <c r="BN121" s="339">
        <f>BN96</f>
        <v>3.0481980921031822</v>
      </c>
      <c r="BO121" s="339">
        <f t="shared" si="466"/>
        <v>3.058139534883721</v>
      </c>
      <c r="BP121" s="73">
        <f t="shared" si="466"/>
        <v>2.9269662921348316</v>
      </c>
      <c r="BQ121" s="73">
        <f t="shared" si="466"/>
        <v>3.0337078651685392</v>
      </c>
      <c r="BR121" s="73">
        <f t="shared" si="466"/>
        <v>3.2124999999999999</v>
      </c>
      <c r="BS121" s="288">
        <f>BS96</f>
        <v>3.3028237585199611</v>
      </c>
      <c r="BT121" s="339">
        <f t="shared" si="466"/>
        <v>3.2641509433962264</v>
      </c>
      <c r="BU121" s="73">
        <f t="shared" si="466"/>
        <v>2.9649122807017543</v>
      </c>
      <c r="BV121" s="73">
        <f t="shared" si="466"/>
        <v>3.1264367816091956</v>
      </c>
      <c r="BW121" s="73">
        <f t="shared" ref="BW121:CE121" si="467">BW120/BW122</f>
        <v>3.0869565217391304</v>
      </c>
      <c r="BX121" s="288">
        <f t="shared" si="467"/>
        <v>3.1082706766917294</v>
      </c>
      <c r="BY121" s="339">
        <f t="shared" si="467"/>
        <v>3.111842105263158</v>
      </c>
      <c r="BZ121" s="73">
        <f t="shared" si="467"/>
        <v>3.0864197530864197</v>
      </c>
      <c r="CA121" s="73">
        <f t="shared" si="467"/>
        <v>3.0370370370370372</v>
      </c>
      <c r="CB121" s="73">
        <f t="shared" si="467"/>
        <v>2.4451612903225808</v>
      </c>
      <c r="CC121" s="288">
        <f t="shared" si="467"/>
        <v>2.9223454833597464</v>
      </c>
      <c r="CD121" s="339">
        <f t="shared" si="467"/>
        <v>1.8082191780821917</v>
      </c>
      <c r="CE121" s="73">
        <f t="shared" si="467"/>
        <v>1.9536423841059603</v>
      </c>
      <c r="CF121" s="73">
        <f>CF120/CF122</f>
        <v>1.6369426751592357</v>
      </c>
      <c r="CG121" s="73">
        <f>CG120/CG122</f>
        <v>1.4503311258278146</v>
      </c>
      <c r="CH121" s="288">
        <f>CH120/CH122</f>
        <v>1.7107438016528926</v>
      </c>
      <c r="CI121" s="339">
        <f>CI120/CI122</f>
        <v>1.1438356164383561</v>
      </c>
      <c r="CJ121" s="73">
        <f t="shared" ref="CJ121" si="468">CJ120/CJ122</f>
        <v>1.4129032258064516</v>
      </c>
      <c r="CK121" s="73">
        <f>CK120/CK122</f>
        <v>1.4465408805031446</v>
      </c>
      <c r="CL121" s="73">
        <f>CL120/CL122</f>
        <v>1.5629139072847682</v>
      </c>
      <c r="CM121" s="288">
        <f>CM120/CM122</f>
        <v>1.3944353518821604</v>
      </c>
      <c r="CN121" s="339">
        <f>CN120/CN122</f>
        <v>1.6575342465753424</v>
      </c>
      <c r="CO121" s="73">
        <f t="shared" ref="CO121" si="469">CO120/CO122</f>
        <v>1.551948051948052</v>
      </c>
      <c r="CP121" s="73">
        <f>CP120/CP122</f>
        <v>1.7161290322580645</v>
      </c>
      <c r="CQ121" s="73">
        <f>CQ120/CQ122</f>
        <v>1.8972602739726028</v>
      </c>
      <c r="CR121" s="288">
        <f>CR120/CR122</f>
        <v>1.7038269550748752</v>
      </c>
      <c r="CS121" s="339"/>
      <c r="CT121" s="73"/>
      <c r="CU121" s="73"/>
      <c r="CV121" s="73"/>
      <c r="CW121" s="288"/>
      <c r="CX121" s="339"/>
      <c r="CY121" s="73"/>
      <c r="CZ121" s="73"/>
      <c r="DA121" s="73"/>
      <c r="DB121" s="288"/>
      <c r="DC121" s="73"/>
      <c r="DD121" s="73"/>
      <c r="DE121" s="73"/>
      <c r="DF121" s="73"/>
      <c r="DG121" s="288"/>
      <c r="DH121" s="73"/>
      <c r="DI121" s="73"/>
      <c r="DJ121" s="73"/>
      <c r="DK121" s="73"/>
      <c r="DL121" s="288"/>
      <c r="DM121" s="422"/>
      <c r="DN121" s="519"/>
      <c r="DO121" s="486"/>
      <c r="DP121" s="411"/>
      <c r="DQ121" s="411"/>
      <c r="DR121" s="411"/>
      <c r="DS121" s="565"/>
      <c r="DT121" s="559"/>
      <c r="DU121" s="461"/>
      <c r="DV121" s="461"/>
      <c r="DW121" s="461"/>
      <c r="DX121" s="461"/>
      <c r="DY121" s="471"/>
      <c r="DZ121" s="471"/>
      <c r="EA121" s="519"/>
      <c r="EH121" s="8"/>
    </row>
    <row r="122" spans="1:138" ht="12.75" customHeight="1" x14ac:dyDescent="0.2">
      <c r="A122" s="74" t="s">
        <v>236</v>
      </c>
      <c r="B122" s="895"/>
      <c r="C122" s="889"/>
      <c r="D122" s="889"/>
      <c r="E122" s="889"/>
      <c r="F122" s="200"/>
      <c r="G122" s="895"/>
      <c r="H122" s="889"/>
      <c r="I122" s="889"/>
      <c r="J122" s="889"/>
      <c r="K122" s="200"/>
      <c r="L122" s="895"/>
      <c r="M122" s="889"/>
      <c r="N122" s="889"/>
      <c r="O122" s="889"/>
      <c r="P122" s="200"/>
      <c r="Q122" s="895"/>
      <c r="R122" s="889"/>
      <c r="S122" s="889"/>
      <c r="T122" s="889"/>
      <c r="U122" s="200"/>
      <c r="V122" s="895"/>
      <c r="W122" s="889"/>
      <c r="X122" s="889"/>
      <c r="Y122" s="889"/>
      <c r="Z122" s="200"/>
      <c r="AA122" s="895"/>
      <c r="AB122" s="889"/>
      <c r="AC122" s="889"/>
      <c r="AD122" s="889"/>
      <c r="AE122" s="200"/>
      <c r="AF122" s="895"/>
      <c r="AG122" s="889"/>
      <c r="AH122" s="889"/>
      <c r="AI122" s="889"/>
      <c r="AJ122" s="200"/>
      <c r="AK122" s="895"/>
      <c r="AL122" s="889"/>
      <c r="AM122" s="889"/>
      <c r="AN122" s="889"/>
      <c r="AO122" s="200"/>
      <c r="AP122" s="873"/>
      <c r="AQ122" s="889"/>
      <c r="AR122" s="889"/>
      <c r="AS122" s="889"/>
      <c r="AT122" s="275"/>
      <c r="AU122" s="895">
        <f>AU120/AU96</f>
        <v>146.33369807497468</v>
      </c>
      <c r="AV122" s="889">
        <f>AV120/AV96</f>
        <v>152.62874855252272</v>
      </c>
      <c r="AW122" s="889">
        <f>AW120/AW96</f>
        <v>130.4461942257218</v>
      </c>
      <c r="AX122" s="889">
        <f>AX120/AX96</f>
        <v>96.474358974358978</v>
      </c>
      <c r="AY122" s="275">
        <f>SUM(AU122:AX122)</f>
        <v>525.88299982757815</v>
      </c>
      <c r="AZ122" s="873">
        <f>AZ120/AZ96</f>
        <v>86.385393316267553</v>
      </c>
      <c r="BA122" s="889">
        <f>BA120/BA96</f>
        <v>102.91262135922329</v>
      </c>
      <c r="BB122" s="889">
        <f>BB120/BB96</f>
        <v>117.84037558685446</v>
      </c>
      <c r="BC122" s="889">
        <f>BC120/BC96</f>
        <v>114.74654377880185</v>
      </c>
      <c r="BD122" s="275">
        <f>SUM(AZ122:BC122)</f>
        <v>421.88493404114718</v>
      </c>
      <c r="BE122" s="873">
        <f>BE120/BE96</f>
        <v>115.95505617977527</v>
      </c>
      <c r="BF122" s="889">
        <f>BF120/BF96</f>
        <v>121.55172413793105</v>
      </c>
      <c r="BG122" s="889">
        <f>BG120/BG96</f>
        <v>167.24890829694323</v>
      </c>
      <c r="BH122" s="889">
        <f>BH120/BH96</f>
        <v>155.4655870445344</v>
      </c>
      <c r="BI122" s="275">
        <f>SUM(BE122:BH122)</f>
        <v>560.2212756591839</v>
      </c>
      <c r="BJ122" s="873">
        <f>BJ120/BJ96</f>
        <v>160.2076124567474</v>
      </c>
      <c r="BK122" s="889">
        <f>BK120/BK96</f>
        <v>169.25465838509317</v>
      </c>
      <c r="BL122" s="889">
        <f>BL120/BL96</f>
        <v>178.64077669902915</v>
      </c>
      <c r="BM122" s="889">
        <f>BM120/BM96</f>
        <v>166.32996632996631</v>
      </c>
      <c r="BN122" s="325">
        <f>SUM(BJ122:BM122)</f>
        <v>674.43301387083602</v>
      </c>
      <c r="BO122" s="873">
        <f>886-714</f>
        <v>172</v>
      </c>
      <c r="BP122" s="889">
        <f>968-790</f>
        <v>178</v>
      </c>
      <c r="BQ122" s="889">
        <f>1021-843</f>
        <v>178</v>
      </c>
      <c r="BR122" s="889">
        <f>894-734</f>
        <v>160</v>
      </c>
      <c r="BS122" s="275">
        <f>SUM(BO122:BR122)</f>
        <v>688</v>
      </c>
      <c r="BT122" s="873">
        <f>875-716</f>
        <v>159</v>
      </c>
      <c r="BU122" s="889">
        <f>981-810</f>
        <v>171</v>
      </c>
      <c r="BV122" s="889">
        <f>1050-876</f>
        <v>174</v>
      </c>
      <c r="BW122" s="889">
        <f>922-761</f>
        <v>161</v>
      </c>
      <c r="BX122" s="275">
        <f>SUM(BT122:BW122)</f>
        <v>665</v>
      </c>
      <c r="BY122" s="873">
        <f>881-729</f>
        <v>152</v>
      </c>
      <c r="BZ122" s="889">
        <f>1001-839</f>
        <v>162</v>
      </c>
      <c r="CA122" s="889">
        <v>162</v>
      </c>
      <c r="CB122" s="889">
        <v>155</v>
      </c>
      <c r="CC122" s="275">
        <f>SUM(BY122:CB122)</f>
        <v>631</v>
      </c>
      <c r="CD122" s="873">
        <v>146</v>
      </c>
      <c r="CE122" s="889">
        <v>151</v>
      </c>
      <c r="CF122" s="889">
        <v>157</v>
      </c>
      <c r="CG122" s="889">
        <v>151</v>
      </c>
      <c r="CH122" s="275">
        <f>SUM(CD122:CG122)</f>
        <v>605</v>
      </c>
      <c r="CI122" s="873">
        <v>146</v>
      </c>
      <c r="CJ122" s="889">
        <v>155</v>
      </c>
      <c r="CK122" s="889">
        <v>159</v>
      </c>
      <c r="CL122" s="889">
        <v>151</v>
      </c>
      <c r="CM122" s="275">
        <f>SUM(CI122:CL122)</f>
        <v>611</v>
      </c>
      <c r="CN122" s="873">
        <v>146</v>
      </c>
      <c r="CO122" s="889">
        <v>154</v>
      </c>
      <c r="CP122" s="889">
        <v>155</v>
      </c>
      <c r="CQ122" s="889">
        <v>146</v>
      </c>
      <c r="CR122" s="275">
        <f>SUM(CN122:CQ122)</f>
        <v>601</v>
      </c>
      <c r="CS122" s="873"/>
      <c r="CT122" s="889"/>
      <c r="CU122" s="889"/>
      <c r="CV122" s="889"/>
      <c r="CW122" s="275"/>
      <c r="CX122" s="873"/>
      <c r="CY122" s="28"/>
      <c r="CZ122" s="28"/>
      <c r="DA122" s="28"/>
      <c r="DB122" s="275"/>
      <c r="DC122" s="28"/>
      <c r="DD122" s="28"/>
      <c r="DE122" s="28"/>
      <c r="DF122" s="28"/>
      <c r="DG122" s="275"/>
      <c r="DH122" s="28"/>
      <c r="DI122" s="28"/>
      <c r="DJ122" s="28"/>
      <c r="DK122" s="28"/>
      <c r="DL122" s="275"/>
      <c r="DM122" s="419"/>
      <c r="DN122" s="508"/>
      <c r="DO122" s="486"/>
      <c r="DP122" s="411"/>
      <c r="DQ122" s="411"/>
      <c r="DR122" s="411"/>
      <c r="DS122" s="566"/>
      <c r="DT122" s="566"/>
      <c r="DU122" s="461"/>
      <c r="DV122" s="461"/>
      <c r="DW122" s="461"/>
      <c r="DX122" s="461"/>
      <c r="DY122" s="471"/>
      <c r="DZ122" s="466"/>
      <c r="EA122" s="508"/>
      <c r="EH122" s="8"/>
    </row>
    <row r="123" spans="1:138" ht="12.75" customHeight="1" x14ac:dyDescent="0.2">
      <c r="A123" s="595" t="s">
        <v>143</v>
      </c>
      <c r="B123" s="596"/>
      <c r="C123" s="596"/>
      <c r="D123" s="596"/>
      <c r="E123" s="596"/>
      <c r="F123" s="200"/>
      <c r="G123" s="596"/>
      <c r="H123" s="596"/>
      <c r="I123" s="596"/>
      <c r="J123" s="596"/>
      <c r="K123" s="200"/>
      <c r="L123" s="596"/>
      <c r="M123" s="596"/>
      <c r="N123" s="596"/>
      <c r="O123" s="596"/>
      <c r="P123" s="200"/>
      <c r="Q123" s="596"/>
      <c r="R123" s="596"/>
      <c r="S123" s="596"/>
      <c r="T123" s="596"/>
      <c r="U123" s="200"/>
      <c r="V123" s="596"/>
      <c r="W123" s="596"/>
      <c r="X123" s="596"/>
      <c r="Y123" s="596"/>
      <c r="Z123" s="200"/>
      <c r="AA123" s="596"/>
      <c r="AB123" s="596"/>
      <c r="AC123" s="596"/>
      <c r="AD123" s="596"/>
      <c r="AE123" s="200"/>
      <c r="AF123" s="596"/>
      <c r="AG123" s="596"/>
      <c r="AH123" s="596"/>
      <c r="AI123" s="596"/>
      <c r="AJ123" s="200"/>
      <c r="AK123" s="596"/>
      <c r="AL123" s="596"/>
      <c r="AM123" s="596"/>
      <c r="AN123" s="596"/>
      <c r="AO123" s="200"/>
      <c r="AP123" s="598"/>
      <c r="AQ123" s="596"/>
      <c r="AR123" s="596"/>
      <c r="AS123" s="596"/>
      <c r="AT123" s="275"/>
      <c r="AU123" s="596">
        <f t="shared" ref="AU123:BZ123" si="470">(AU122/(AU11/1000))</f>
        <v>18.20976830201278</v>
      </c>
      <c r="AV123" s="596">
        <f t="shared" si="470"/>
        <v>18.086117851940127</v>
      </c>
      <c r="AW123" s="596">
        <f t="shared" si="470"/>
        <v>15.646658777224637</v>
      </c>
      <c r="AX123" s="596">
        <f t="shared" si="470"/>
        <v>12.205764040278211</v>
      </c>
      <c r="AY123" s="597">
        <f t="shared" si="470"/>
        <v>16.07418388029032</v>
      </c>
      <c r="AZ123" s="598">
        <f t="shared" si="470"/>
        <v>10.831069476417005</v>
      </c>
      <c r="BA123" s="596">
        <f t="shared" si="470"/>
        <v>12.216597977115777</v>
      </c>
      <c r="BB123" s="596">
        <f t="shared" si="470"/>
        <v>13.925899370672198</v>
      </c>
      <c r="BC123" s="596">
        <f t="shared" si="470"/>
        <v>14.8214735298983</v>
      </c>
      <c r="BD123" s="597">
        <f t="shared" si="470"/>
        <v>12.93983742337527</v>
      </c>
      <c r="BE123" s="598">
        <f t="shared" si="470"/>
        <v>15.075838259336734</v>
      </c>
      <c r="BF123" s="596">
        <f t="shared" si="470"/>
        <v>15.088347087627987</v>
      </c>
      <c r="BG123" s="596">
        <f t="shared" si="470"/>
        <v>19.954350863959618</v>
      </c>
      <c r="BH123" s="596">
        <f t="shared" si="470"/>
        <v>20.081403493766583</v>
      </c>
      <c r="BI123" s="597">
        <f t="shared" si="470"/>
        <v>17.577888335047312</v>
      </c>
      <c r="BJ123" s="598">
        <f t="shared" si="470"/>
        <v>21.13710819795153</v>
      </c>
      <c r="BK123" s="596">
        <f t="shared" si="470"/>
        <v>21.43853464335027</v>
      </c>
      <c r="BL123" s="596">
        <f t="shared" si="470"/>
        <v>21.905674641205291</v>
      </c>
      <c r="BM123" s="596">
        <f t="shared" si="470"/>
        <v>22.027541561378136</v>
      </c>
      <c r="BN123" s="598">
        <f t="shared" si="470"/>
        <v>21.61266884778696</v>
      </c>
      <c r="BO123" s="598">
        <f t="shared" si="470"/>
        <v>23.074859136034345</v>
      </c>
      <c r="BP123" s="596">
        <f t="shared" si="470"/>
        <v>23.271015819061315</v>
      </c>
      <c r="BQ123" s="596">
        <f t="shared" si="470"/>
        <v>23.641917917386106</v>
      </c>
      <c r="BR123" s="596">
        <f t="shared" si="470"/>
        <v>23.15149761250181</v>
      </c>
      <c r="BS123" s="210">
        <f t="shared" si="470"/>
        <v>23.28808854889483</v>
      </c>
      <c r="BT123" s="598">
        <f t="shared" si="470"/>
        <v>23.313782991202345</v>
      </c>
      <c r="BU123" s="596">
        <f t="shared" si="470"/>
        <v>23.297002724795639</v>
      </c>
      <c r="BV123" s="596">
        <f t="shared" si="470"/>
        <v>23.481781376518217</v>
      </c>
      <c r="BW123" s="596">
        <f t="shared" si="470"/>
        <v>23.10894215587771</v>
      </c>
      <c r="BX123" s="210">
        <f t="shared" si="470"/>
        <v>23.303080211655047</v>
      </c>
      <c r="BY123" s="598">
        <f t="shared" si="470"/>
        <v>23.230933822405625</v>
      </c>
      <c r="BZ123" s="596">
        <f t="shared" si="470"/>
        <v>22.998296422487225</v>
      </c>
      <c r="CA123" s="596">
        <f t="shared" ref="CA123:CR123" si="471">(CA122/(CA11/1000))</f>
        <v>23.083499572527785</v>
      </c>
      <c r="CB123" s="596">
        <f t="shared" si="471"/>
        <v>22.6641321830677</v>
      </c>
      <c r="CC123" s="210">
        <f t="shared" si="471"/>
        <v>22.992275178545402</v>
      </c>
      <c r="CD123" s="598">
        <f t="shared" si="471"/>
        <v>22.720199190787426</v>
      </c>
      <c r="CE123" s="596">
        <f t="shared" si="471"/>
        <v>22.892662219526986</v>
      </c>
      <c r="CF123" s="596">
        <f t="shared" si="471"/>
        <v>23.221416950155302</v>
      </c>
      <c r="CG123" s="596">
        <f t="shared" si="471"/>
        <v>23.042881123149701</v>
      </c>
      <c r="CH123" s="210">
        <f t="shared" si="471"/>
        <v>22.972357229647631</v>
      </c>
      <c r="CI123" s="598">
        <f t="shared" si="471"/>
        <v>22.68842268842269</v>
      </c>
      <c r="CJ123" s="596">
        <f t="shared" si="471"/>
        <v>22.774022920952103</v>
      </c>
      <c r="CK123" s="596">
        <f t="shared" si="471"/>
        <v>23.396115361977632</v>
      </c>
      <c r="CL123" s="596">
        <f t="shared" si="471"/>
        <v>23.011277049679975</v>
      </c>
      <c r="CM123" s="210">
        <f t="shared" si="471"/>
        <v>22.970788375502838</v>
      </c>
      <c r="CN123" s="598">
        <f t="shared" si="471"/>
        <v>22.876841115637731</v>
      </c>
      <c r="CO123" s="596">
        <f t="shared" si="471"/>
        <v>23.276904474002421</v>
      </c>
      <c r="CP123" s="596">
        <f t="shared" si="471"/>
        <v>23.262794536995347</v>
      </c>
      <c r="CQ123" s="596">
        <f t="shared" si="471"/>
        <v>23.326409969643713</v>
      </c>
      <c r="CR123" s="210">
        <f t="shared" si="471"/>
        <v>23.186728395061728</v>
      </c>
      <c r="CS123" s="598"/>
      <c r="CT123" s="596"/>
      <c r="CU123" s="596"/>
      <c r="CV123" s="596"/>
      <c r="CW123" s="210"/>
      <c r="CX123" s="598"/>
      <c r="CY123" s="420"/>
      <c r="CZ123" s="420"/>
      <c r="DA123" s="420"/>
      <c r="DB123" s="210"/>
      <c r="DC123" s="420"/>
      <c r="DD123" s="420"/>
      <c r="DE123" s="420"/>
      <c r="DF123" s="420"/>
      <c r="DG123" s="599"/>
      <c r="DH123" s="420"/>
      <c r="DI123" s="420"/>
      <c r="DJ123" s="420"/>
      <c r="DK123" s="420"/>
      <c r="DL123" s="599"/>
      <c r="DM123" s="419"/>
      <c r="DN123" s="508"/>
      <c r="DO123" s="486"/>
      <c r="DP123" s="411"/>
      <c r="DQ123" s="411"/>
      <c r="DR123" s="411"/>
      <c r="DS123" s="564"/>
      <c r="DT123" s="557"/>
      <c r="DU123" s="184"/>
      <c r="DV123" s="461"/>
      <c r="DW123" s="461"/>
      <c r="DX123" s="461"/>
      <c r="DY123" s="461"/>
      <c r="DZ123" s="461"/>
      <c r="EA123" s="508"/>
      <c r="EH123" s="8"/>
    </row>
    <row r="124" spans="1:138" ht="12.75" customHeight="1" x14ac:dyDescent="0.2">
      <c r="A124" s="148" t="s">
        <v>244</v>
      </c>
      <c r="B124" s="20"/>
      <c r="C124" s="20"/>
      <c r="D124" s="20"/>
      <c r="E124" s="20"/>
      <c r="F124" s="199"/>
      <c r="G124" s="20"/>
      <c r="H124" s="20"/>
      <c r="I124" s="20"/>
      <c r="J124" s="20"/>
      <c r="K124" s="199"/>
      <c r="L124" s="20"/>
      <c r="M124" s="20"/>
      <c r="N124" s="20"/>
      <c r="O124" s="20"/>
      <c r="P124" s="199"/>
      <c r="Q124" s="20"/>
      <c r="R124" s="20"/>
      <c r="S124" s="20"/>
      <c r="T124" s="20"/>
      <c r="U124" s="199"/>
      <c r="V124" s="20"/>
      <c r="W124" s="20"/>
      <c r="X124" s="20"/>
      <c r="Y124" s="20"/>
      <c r="Z124" s="199"/>
      <c r="AA124" s="20"/>
      <c r="AB124" s="20"/>
      <c r="AC124" s="20"/>
      <c r="AD124" s="20"/>
      <c r="AE124" s="199"/>
      <c r="AF124" s="20"/>
      <c r="AG124" s="20"/>
      <c r="AH124" s="20"/>
      <c r="AI124" s="20"/>
      <c r="AJ124" s="199"/>
      <c r="AK124" s="20"/>
      <c r="AL124" s="20"/>
      <c r="AM124" s="20"/>
      <c r="AN124" s="20"/>
      <c r="AO124" s="199"/>
      <c r="AP124" s="317"/>
      <c r="AQ124" s="20"/>
      <c r="AR124" s="20"/>
      <c r="AS124" s="20"/>
      <c r="AT124" s="206"/>
      <c r="AU124" s="20"/>
      <c r="AV124" s="20"/>
      <c r="AW124" s="20"/>
      <c r="AX124" s="20"/>
      <c r="AY124" s="206"/>
      <c r="AZ124" s="317">
        <f t="shared" ref="AZ124:BV124" si="472">AZ123/AU123-1</f>
        <v>-0.40520553052727115</v>
      </c>
      <c r="BA124" s="20">
        <f t="shared" si="472"/>
        <v>-0.32453177198525873</v>
      </c>
      <c r="BB124" s="20">
        <f t="shared" si="472"/>
        <v>-0.10997615727756438</v>
      </c>
      <c r="BC124" s="20">
        <f t="shared" si="472"/>
        <v>0.21430116795543652</v>
      </c>
      <c r="BD124" s="206">
        <f t="shared" si="472"/>
        <v>-0.19499257195622177</v>
      </c>
      <c r="BE124" s="317">
        <f t="shared" si="472"/>
        <v>0.39190670802750027</v>
      </c>
      <c r="BF124" s="20">
        <f t="shared" si="472"/>
        <v>0.23506946171852361</v>
      </c>
      <c r="BG124" s="20">
        <f t="shared" si="472"/>
        <v>0.432894948672635</v>
      </c>
      <c r="BH124" s="20">
        <f t="shared" si="472"/>
        <v>0.35488576444560671</v>
      </c>
      <c r="BI124" s="206">
        <f t="shared" si="472"/>
        <v>0.35843193078249969</v>
      </c>
      <c r="BJ124" s="317">
        <f t="shared" si="472"/>
        <v>0.40205193464853894</v>
      </c>
      <c r="BK124" s="20">
        <f t="shared" si="472"/>
        <v>0.42086701206186161</v>
      </c>
      <c r="BL124" s="20">
        <f t="shared" si="472"/>
        <v>9.7789388918185338E-2</v>
      </c>
      <c r="BM124" s="20">
        <f t="shared" si="472"/>
        <v>9.6912452768336044E-2</v>
      </c>
      <c r="BN124" s="317">
        <f t="shared" si="472"/>
        <v>0.22953727067972007</v>
      </c>
      <c r="BO124" s="317">
        <f t="shared" si="472"/>
        <v>9.167530959938075E-2</v>
      </c>
      <c r="BP124" s="20">
        <f t="shared" si="472"/>
        <v>8.5476046110242843E-2</v>
      </c>
      <c r="BQ124" s="20">
        <f t="shared" si="472"/>
        <v>7.9259977362892364E-2</v>
      </c>
      <c r="BR124" s="20">
        <f t="shared" si="472"/>
        <v>5.1025033728428149E-2</v>
      </c>
      <c r="BS124" s="277">
        <f t="shared" si="472"/>
        <v>7.7520259663786284E-2</v>
      </c>
      <c r="BT124" s="317">
        <f t="shared" si="472"/>
        <v>1.0354293118734148E-2</v>
      </c>
      <c r="BU124" s="20">
        <f t="shared" si="472"/>
        <v>1.1167069773136973E-3</v>
      </c>
      <c r="BV124" s="20">
        <f t="shared" si="472"/>
        <v>-6.7734158213165196E-3</v>
      </c>
      <c r="BW124" s="20">
        <f t="shared" ref="BW124:CF124" si="473">BW123/BR123-1</f>
        <v>-1.8381297545572162E-3</v>
      </c>
      <c r="BX124" s="277">
        <f t="shared" si="473"/>
        <v>6.4374810018175133E-4</v>
      </c>
      <c r="BY124" s="317">
        <f t="shared" si="473"/>
        <v>-3.5536561710290959E-3</v>
      </c>
      <c r="BZ124" s="20">
        <f t="shared" si="473"/>
        <v>-1.2821662333004413E-2</v>
      </c>
      <c r="CA124" s="20">
        <f t="shared" si="473"/>
        <v>-1.6961311307868376E-2</v>
      </c>
      <c r="CB124" s="20">
        <f t="shared" si="473"/>
        <v>-1.9248391804766118E-2</v>
      </c>
      <c r="CC124" s="277">
        <f t="shared" si="473"/>
        <v>-1.3337508616315663E-2</v>
      </c>
      <c r="CD124" s="317">
        <f t="shared" si="473"/>
        <v>-2.1985109833407068E-2</v>
      </c>
      <c r="CE124" s="20">
        <f t="shared" si="473"/>
        <v>-4.5931316398266642E-3</v>
      </c>
      <c r="CF124" s="20">
        <f t="shared" si="473"/>
        <v>5.9747170135180383E-3</v>
      </c>
      <c r="CG124" s="20">
        <f>CG123/CB123-1</f>
        <v>1.6711380653037455E-2</v>
      </c>
      <c r="CH124" s="277">
        <f>CH123/CC123-1</f>
        <v>-8.6628873145866425E-4</v>
      </c>
      <c r="CI124" s="317">
        <f>CI123/CD123-1</f>
        <v>-1.3986013986012624E-3</v>
      </c>
      <c r="CJ124" s="20">
        <f t="shared" ref="CJ124:CK124" si="474">CJ123/CE123-1</f>
        <v>-5.182415982781019E-3</v>
      </c>
      <c r="CK124" s="20">
        <f t="shared" si="474"/>
        <v>7.5231589957374112E-3</v>
      </c>
      <c r="CL124" s="20">
        <f>CL123/CG123-1</f>
        <v>-1.3715330691861372E-3</v>
      </c>
      <c r="CM124" s="277">
        <f>CM123/CH123-1</f>
        <v>-6.8293128524410385E-5</v>
      </c>
      <c r="CN124" s="317">
        <f>CN123/CI123-1</f>
        <v>8.3046067063614615E-3</v>
      </c>
      <c r="CO124" s="20">
        <f t="shared" ref="CO124:CP124" si="475">CO123/CJ123-1</f>
        <v>2.2081366774583611E-2</v>
      </c>
      <c r="CP124" s="20">
        <f t="shared" si="475"/>
        <v>-5.6984171482994395E-3</v>
      </c>
      <c r="CQ124" s="20">
        <f>CQ123/CL123-1</f>
        <v>1.369471669405331E-2</v>
      </c>
      <c r="CR124" s="277">
        <f>CR123/CM123-1</f>
        <v>9.400635974217586E-3</v>
      </c>
      <c r="CS124" s="317"/>
      <c r="CT124" s="20"/>
      <c r="CU124" s="20"/>
      <c r="CV124" s="20"/>
      <c r="CW124" s="277"/>
      <c r="CX124" s="317"/>
      <c r="CY124" s="33"/>
      <c r="CZ124" s="33"/>
      <c r="DA124" s="33"/>
      <c r="DB124" s="277"/>
      <c r="DC124" s="33"/>
      <c r="DD124" s="33"/>
      <c r="DE124" s="33"/>
      <c r="DF124" s="33"/>
      <c r="DG124" s="449"/>
      <c r="DH124" s="33"/>
      <c r="DI124" s="33"/>
      <c r="DJ124" s="33"/>
      <c r="DK124" s="33"/>
      <c r="DL124" s="449"/>
      <c r="DM124" s="20"/>
      <c r="DN124" s="500"/>
      <c r="DO124" s="486"/>
      <c r="DP124" s="411"/>
      <c r="DQ124" s="411"/>
      <c r="DR124" s="411"/>
      <c r="DS124" s="560"/>
      <c r="DT124" s="560"/>
      <c r="DU124" s="466"/>
      <c r="DV124" s="461"/>
      <c r="DW124" s="461"/>
      <c r="DX124" s="461"/>
      <c r="DY124" s="461"/>
      <c r="DZ124" s="461"/>
      <c r="EA124" s="500"/>
      <c r="EH124" s="8"/>
    </row>
    <row r="125" spans="1:138" ht="12.75" customHeight="1" x14ac:dyDescent="0.2">
      <c r="A125" s="29" t="s">
        <v>151</v>
      </c>
      <c r="B125" s="42"/>
      <c r="C125" s="42"/>
      <c r="D125" s="42"/>
      <c r="E125" s="42"/>
      <c r="F125" s="215"/>
      <c r="G125" s="42"/>
      <c r="H125" s="42"/>
      <c r="I125" s="42"/>
      <c r="J125" s="42"/>
      <c r="K125" s="215"/>
      <c r="L125" s="42"/>
      <c r="M125" s="42"/>
      <c r="N125" s="42"/>
      <c r="O125" s="42"/>
      <c r="P125" s="215"/>
      <c r="Q125" s="42"/>
      <c r="R125" s="42"/>
      <c r="S125" s="42"/>
      <c r="T125" s="42"/>
      <c r="U125" s="215"/>
      <c r="V125" s="42"/>
      <c r="W125" s="42"/>
      <c r="X125" s="42"/>
      <c r="Y125" s="42"/>
      <c r="Z125" s="215"/>
      <c r="AA125" s="42"/>
      <c r="AB125" s="42"/>
      <c r="AC125" s="42"/>
      <c r="AD125" s="42"/>
      <c r="AE125" s="215"/>
      <c r="AF125" s="42"/>
      <c r="AG125" s="42"/>
      <c r="AH125" s="42"/>
      <c r="AI125" s="42"/>
      <c r="AJ125" s="215"/>
      <c r="AK125" s="42"/>
      <c r="AL125" s="42"/>
      <c r="AM125" s="42"/>
      <c r="AN125" s="42"/>
      <c r="AO125" s="215"/>
      <c r="AP125" s="340"/>
      <c r="AQ125" s="42"/>
      <c r="AR125" s="42"/>
      <c r="AS125" s="42"/>
      <c r="AT125" s="283"/>
      <c r="AU125" s="42">
        <v>0.13</v>
      </c>
      <c r="AV125" s="42">
        <f t="shared" ref="AV125:BI125" si="476">AU125</f>
        <v>0.13</v>
      </c>
      <c r="AW125" s="42">
        <f t="shared" si="476"/>
        <v>0.13</v>
      </c>
      <c r="AX125" s="42">
        <f t="shared" si="476"/>
        <v>0.13</v>
      </c>
      <c r="AY125" s="283">
        <f t="shared" si="476"/>
        <v>0.13</v>
      </c>
      <c r="AZ125" s="340">
        <f t="shared" si="476"/>
        <v>0.13</v>
      </c>
      <c r="BA125" s="42">
        <f t="shared" si="476"/>
        <v>0.13</v>
      </c>
      <c r="BB125" s="42">
        <f t="shared" si="476"/>
        <v>0.13</v>
      </c>
      <c r="BC125" s="42">
        <f t="shared" si="476"/>
        <v>0.13</v>
      </c>
      <c r="BD125" s="283">
        <f t="shared" si="476"/>
        <v>0.13</v>
      </c>
      <c r="BE125" s="340">
        <f t="shared" si="476"/>
        <v>0.13</v>
      </c>
      <c r="BF125" s="42">
        <f>BE125</f>
        <v>0.13</v>
      </c>
      <c r="BG125" s="42">
        <f>BF125</f>
        <v>0.13</v>
      </c>
      <c r="BH125" s="42">
        <f>BG125</f>
        <v>0.13</v>
      </c>
      <c r="BI125" s="283">
        <f t="shared" si="476"/>
        <v>0.13</v>
      </c>
      <c r="BJ125" s="340">
        <f t="shared" ref="BJ125:BX125" si="477">BI125</f>
        <v>0.13</v>
      </c>
      <c r="BK125" s="42">
        <f t="shared" si="477"/>
        <v>0.13</v>
      </c>
      <c r="BL125" s="42">
        <f t="shared" si="477"/>
        <v>0.13</v>
      </c>
      <c r="BM125" s="42">
        <f t="shared" si="477"/>
        <v>0.13</v>
      </c>
      <c r="BN125" s="340">
        <f t="shared" si="477"/>
        <v>0.13</v>
      </c>
      <c r="BO125" s="340">
        <f t="shared" si="477"/>
        <v>0.13</v>
      </c>
      <c r="BP125" s="42">
        <f t="shared" si="477"/>
        <v>0.13</v>
      </c>
      <c r="BQ125" s="42">
        <f t="shared" si="477"/>
        <v>0.13</v>
      </c>
      <c r="BR125" s="42">
        <f t="shared" si="477"/>
        <v>0.13</v>
      </c>
      <c r="BS125" s="283">
        <f t="shared" si="477"/>
        <v>0.13</v>
      </c>
      <c r="BT125" s="340">
        <f t="shared" si="477"/>
        <v>0.13</v>
      </c>
      <c r="BU125" s="42">
        <f>BT125</f>
        <v>0.13</v>
      </c>
      <c r="BV125" s="42">
        <f>BU125</f>
        <v>0.13</v>
      </c>
      <c r="BW125" s="42">
        <f>BV125</f>
        <v>0.13</v>
      </c>
      <c r="BX125" s="283">
        <f t="shared" si="477"/>
        <v>0.13</v>
      </c>
      <c r="BY125" s="340">
        <f t="shared" ref="BY125:CK125" si="478">BX125</f>
        <v>0.13</v>
      </c>
      <c r="BZ125" s="42">
        <f t="shared" si="478"/>
        <v>0.13</v>
      </c>
      <c r="CA125" s="42">
        <f t="shared" si="478"/>
        <v>0.13</v>
      </c>
      <c r="CB125" s="42">
        <f>CA125</f>
        <v>0.13</v>
      </c>
      <c r="CC125" s="283">
        <f>CB125</f>
        <v>0.13</v>
      </c>
      <c r="CD125" s="340">
        <f t="shared" si="478"/>
        <v>0.13</v>
      </c>
      <c r="CE125" s="42">
        <f t="shared" si="478"/>
        <v>0.13</v>
      </c>
      <c r="CF125" s="42">
        <f t="shared" si="478"/>
        <v>0.13</v>
      </c>
      <c r="CG125" s="42">
        <f>CF125</f>
        <v>0.13</v>
      </c>
      <c r="CH125" s="283">
        <f>CG125</f>
        <v>0.13</v>
      </c>
      <c r="CI125" s="340">
        <f t="shared" si="478"/>
        <v>0.13</v>
      </c>
      <c r="CJ125" s="42">
        <f t="shared" si="478"/>
        <v>0.13</v>
      </c>
      <c r="CK125" s="42">
        <f t="shared" si="478"/>
        <v>0.13</v>
      </c>
      <c r="CL125" s="42">
        <f>CK125</f>
        <v>0.13</v>
      </c>
      <c r="CM125" s="283">
        <f>CL125</f>
        <v>0.13</v>
      </c>
      <c r="CN125" s="340">
        <f t="shared" ref="CN125:CP125" si="479">CM125</f>
        <v>0.13</v>
      </c>
      <c r="CO125" s="42">
        <f t="shared" si="479"/>
        <v>0.13</v>
      </c>
      <c r="CP125" s="42">
        <f t="shared" si="479"/>
        <v>0.13</v>
      </c>
      <c r="CQ125" s="42">
        <f>CP125</f>
        <v>0.13</v>
      </c>
      <c r="CR125" s="283">
        <f>CQ125</f>
        <v>0.13</v>
      </c>
      <c r="CS125" s="340">
        <f t="shared" ref="CS125" si="480">CR125</f>
        <v>0.13</v>
      </c>
      <c r="CT125" s="42">
        <f t="shared" ref="CT125" si="481">CS125</f>
        <v>0.13</v>
      </c>
      <c r="CU125" s="42">
        <f t="shared" ref="CU125" si="482">CT125</f>
        <v>0.13</v>
      </c>
      <c r="CV125" s="42">
        <f>CU125</f>
        <v>0.13</v>
      </c>
      <c r="CW125" s="283">
        <f>CV125</f>
        <v>0.13</v>
      </c>
      <c r="CX125" s="340">
        <f t="shared" ref="CX125" si="483">CW125</f>
        <v>0.13</v>
      </c>
      <c r="CY125" s="42">
        <f t="shared" ref="CY125:DA125" si="484">CX125</f>
        <v>0.13</v>
      </c>
      <c r="CZ125" s="42">
        <f t="shared" si="484"/>
        <v>0.13</v>
      </c>
      <c r="DA125" s="42">
        <f t="shared" si="484"/>
        <v>0.13</v>
      </c>
      <c r="DB125" s="283">
        <f>CR125</f>
        <v>0.13</v>
      </c>
      <c r="DC125" s="42"/>
      <c r="DD125" s="42"/>
      <c r="DE125" s="42"/>
      <c r="DF125" s="42"/>
      <c r="DG125" s="283">
        <f>DB125</f>
        <v>0.13</v>
      </c>
      <c r="DH125" s="42"/>
      <c r="DI125" s="42"/>
      <c r="DJ125" s="42"/>
      <c r="DK125" s="42"/>
      <c r="DL125" s="283">
        <f>DG125</f>
        <v>0.13</v>
      </c>
      <c r="DM125" s="33"/>
      <c r="DN125" s="499"/>
      <c r="DO125" s="486"/>
      <c r="DP125" s="411"/>
      <c r="DQ125" s="411"/>
      <c r="DR125" s="411"/>
      <c r="DS125" s="460"/>
      <c r="DT125" s="556"/>
      <c r="DU125" s="612"/>
      <c r="DV125" s="461"/>
      <c r="DW125" s="461"/>
      <c r="DX125" s="461"/>
      <c r="DY125" s="461"/>
      <c r="DZ125" s="461"/>
      <c r="EA125" s="499"/>
      <c r="EH125" s="8"/>
    </row>
    <row r="126" spans="1:138" ht="12.75" customHeight="1" x14ac:dyDescent="0.2">
      <c r="A126" s="156" t="s">
        <v>152</v>
      </c>
      <c r="B126" s="67"/>
      <c r="C126" s="67"/>
      <c r="D126" s="67"/>
      <c r="E126" s="67"/>
      <c r="F126" s="207"/>
      <c r="G126" s="67"/>
      <c r="H126" s="67"/>
      <c r="I126" s="67"/>
      <c r="J126" s="67"/>
      <c r="K126" s="207"/>
      <c r="L126" s="67"/>
      <c r="M126" s="67"/>
      <c r="N126" s="67"/>
      <c r="O126" s="67"/>
      <c r="P126" s="207"/>
      <c r="Q126" s="67"/>
      <c r="R126" s="67"/>
      <c r="S126" s="67"/>
      <c r="T126" s="67"/>
      <c r="U126" s="207"/>
      <c r="V126" s="67"/>
      <c r="W126" s="67"/>
      <c r="X126" s="67"/>
      <c r="Y126" s="67"/>
      <c r="Z126" s="207"/>
      <c r="AA126" s="67"/>
      <c r="AB126" s="67"/>
      <c r="AC126" s="67"/>
      <c r="AD126" s="67"/>
      <c r="AE126" s="207"/>
      <c r="AF126" s="67"/>
      <c r="AG126" s="67"/>
      <c r="AH126" s="67"/>
      <c r="AI126" s="67"/>
      <c r="AJ126" s="207"/>
      <c r="AK126" s="67"/>
      <c r="AL126" s="67"/>
      <c r="AM126" s="67"/>
      <c r="AN126" s="67"/>
      <c r="AO126" s="207"/>
      <c r="AP126" s="337"/>
      <c r="AQ126" s="67"/>
      <c r="AR126" s="67"/>
      <c r="AS126" s="67"/>
      <c r="AT126" s="286"/>
      <c r="AU126" s="67">
        <f t="shared" ref="AU126:BV126" si="485">AU125*AU115</f>
        <v>154.96</v>
      </c>
      <c r="AV126" s="67">
        <f t="shared" si="485"/>
        <v>162.24</v>
      </c>
      <c r="AW126" s="67">
        <f t="shared" si="485"/>
        <v>158.08000000000001</v>
      </c>
      <c r="AX126" s="67">
        <f t="shared" si="485"/>
        <v>131.43</v>
      </c>
      <c r="AY126" s="286">
        <f t="shared" si="485"/>
        <v>606.71</v>
      </c>
      <c r="AZ126" s="337">
        <f t="shared" si="485"/>
        <v>118.04</v>
      </c>
      <c r="BA126" s="67">
        <f t="shared" si="485"/>
        <v>125.45</v>
      </c>
      <c r="BB126" s="67">
        <f t="shared" si="485"/>
        <v>131.17000000000002</v>
      </c>
      <c r="BC126" s="67">
        <f t="shared" si="485"/>
        <v>122.33</v>
      </c>
      <c r="BD126" s="286">
        <f t="shared" si="485"/>
        <v>496.99</v>
      </c>
      <c r="BE126" s="337">
        <f t="shared" si="485"/>
        <v>119.21000000000001</v>
      </c>
      <c r="BF126" s="67">
        <f t="shared" si="485"/>
        <v>126.36</v>
      </c>
      <c r="BG126" s="67">
        <f t="shared" si="485"/>
        <v>160.68</v>
      </c>
      <c r="BH126" s="67">
        <f t="shared" si="485"/>
        <v>153.4</v>
      </c>
      <c r="BI126" s="286">
        <f t="shared" si="485"/>
        <v>559.65</v>
      </c>
      <c r="BJ126" s="337">
        <f t="shared" si="485"/>
        <v>169</v>
      </c>
      <c r="BK126" s="67">
        <f t="shared" si="485"/>
        <v>183.3</v>
      </c>
      <c r="BL126" s="67">
        <f t="shared" si="485"/>
        <v>186.16</v>
      </c>
      <c r="BM126" s="67">
        <f t="shared" si="485"/>
        <v>172.64000000000001</v>
      </c>
      <c r="BN126" s="337">
        <f t="shared" si="485"/>
        <v>711.1</v>
      </c>
      <c r="BO126" s="337">
        <f t="shared" si="485"/>
        <v>178.75</v>
      </c>
      <c r="BP126" s="67">
        <f t="shared" si="485"/>
        <v>184.08</v>
      </c>
      <c r="BQ126" s="67">
        <f t="shared" si="485"/>
        <v>188.11</v>
      </c>
      <c r="BR126" s="67">
        <f t="shared" si="485"/>
        <v>183.17000000000002</v>
      </c>
      <c r="BS126" s="286">
        <f t="shared" si="485"/>
        <v>734.11</v>
      </c>
      <c r="BT126" s="337">
        <f t="shared" si="485"/>
        <v>181.87</v>
      </c>
      <c r="BU126" s="67">
        <f t="shared" si="485"/>
        <v>187.72</v>
      </c>
      <c r="BV126" s="67">
        <f t="shared" si="485"/>
        <v>189.67000000000002</v>
      </c>
      <c r="BW126" s="67">
        <f t="shared" ref="BW126:CC126" si="486">BW125*BW115</f>
        <v>177.71</v>
      </c>
      <c r="BX126" s="286">
        <f t="shared" si="486"/>
        <v>736.97</v>
      </c>
      <c r="BY126" s="337">
        <f t="shared" si="486"/>
        <v>171.47</v>
      </c>
      <c r="BZ126" s="67">
        <f t="shared" si="486"/>
        <v>176.93</v>
      </c>
      <c r="CA126" s="67">
        <f t="shared" si="486"/>
        <v>175.89000000000001</v>
      </c>
      <c r="CB126" s="67">
        <f t="shared" si="486"/>
        <v>156.52000000000001</v>
      </c>
      <c r="CC126" s="286">
        <f t="shared" si="486"/>
        <v>680.81000000000006</v>
      </c>
      <c r="CD126" s="337">
        <f t="shared" ref="CD126:CH126" si="487">CD125*CD115</f>
        <v>136.89000000000001</v>
      </c>
      <c r="CE126" s="67">
        <f t="shared" si="487"/>
        <v>142.61000000000001</v>
      </c>
      <c r="CF126" s="67">
        <f t="shared" si="487"/>
        <v>139.49</v>
      </c>
      <c r="CG126" s="67">
        <f t="shared" si="487"/>
        <v>132.34</v>
      </c>
      <c r="CH126" s="286">
        <f t="shared" si="487"/>
        <v>551.33000000000004</v>
      </c>
      <c r="CI126" s="337">
        <f>CI125*CI115</f>
        <v>130.78</v>
      </c>
      <c r="CJ126" s="67">
        <f t="shared" ref="CJ126:CM126" si="488">CJ125*CJ115</f>
        <v>142.48000000000002</v>
      </c>
      <c r="CK126" s="67">
        <f t="shared" si="488"/>
        <v>145.47</v>
      </c>
      <c r="CL126" s="67">
        <f t="shared" si="488"/>
        <v>141.70000000000002</v>
      </c>
      <c r="CM126" s="286">
        <f t="shared" si="488"/>
        <v>560.43000000000006</v>
      </c>
      <c r="CN126" s="337">
        <f>CN125*CN115</f>
        <v>144.30000000000001</v>
      </c>
      <c r="CO126" s="67">
        <f t="shared" ref="CO126:CR126" si="489">CO125*CO115</f>
        <v>140.53</v>
      </c>
      <c r="CP126" s="67">
        <f t="shared" si="489"/>
        <v>150.28</v>
      </c>
      <c r="CQ126" s="67">
        <f t="shared" si="489"/>
        <v>150.28</v>
      </c>
      <c r="CR126" s="286">
        <f t="shared" si="489"/>
        <v>585.39</v>
      </c>
      <c r="CS126" s="337">
        <f>CS125*CS115</f>
        <v>112.32000000000001</v>
      </c>
      <c r="CT126" s="67">
        <f t="shared" ref="CT126:CW126" si="490">CT125*CT115</f>
        <v>108.94</v>
      </c>
      <c r="CU126" s="67">
        <f t="shared" si="490"/>
        <v>115.31</v>
      </c>
      <c r="CV126" s="67">
        <f t="shared" si="490"/>
        <v>114.01</v>
      </c>
      <c r="CW126" s="286">
        <f t="shared" si="490"/>
        <v>450.58000000000004</v>
      </c>
      <c r="CX126" s="337">
        <f>CX125*CX115</f>
        <v>111.28</v>
      </c>
      <c r="CY126" s="67">
        <f t="shared" ref="CY126:DA126" si="491">CY125*CY115</f>
        <v>117.26301600000001</v>
      </c>
      <c r="CZ126" s="67">
        <f t="shared" si="491"/>
        <v>115.53977892751003</v>
      </c>
      <c r="DA126" s="67">
        <f t="shared" si="491"/>
        <v>110.27966894024617</v>
      </c>
      <c r="DB126" s="286">
        <f>DB125*DB115</f>
        <v>454.36246386775616</v>
      </c>
      <c r="DC126" s="67"/>
      <c r="DD126" s="67"/>
      <c r="DE126" s="67"/>
      <c r="DF126" s="67"/>
      <c r="DG126" s="286">
        <f>DG125*DG115</f>
        <v>455.49539466075748</v>
      </c>
      <c r="DH126" s="67"/>
      <c r="DI126" s="67"/>
      <c r="DJ126" s="67"/>
      <c r="DK126" s="67"/>
      <c r="DL126" s="286">
        <f>DL125*DL115</f>
        <v>455.46647390673212</v>
      </c>
      <c r="DM126" s="67"/>
      <c r="DN126" s="521"/>
      <c r="DO126" s="486"/>
      <c r="DP126" s="411"/>
      <c r="DQ126" s="411"/>
      <c r="DR126" s="411"/>
      <c r="DS126" s="564" t="s">
        <v>312</v>
      </c>
      <c r="DT126" s="556"/>
      <c r="DU126" s="461"/>
      <c r="DV126" s="470"/>
      <c r="DW126" s="470"/>
      <c r="DX126" s="470"/>
      <c r="DY126" s="470"/>
      <c r="DZ126" s="470"/>
      <c r="EA126" s="521"/>
      <c r="EH126" s="8"/>
    </row>
    <row r="127" spans="1:138" ht="12.75" customHeight="1" x14ac:dyDescent="0.2">
      <c r="A127" s="144" t="s">
        <v>228</v>
      </c>
      <c r="B127" s="891">
        <v>297</v>
      </c>
      <c r="C127" s="891">
        <v>301</v>
      </c>
      <c r="D127" s="891">
        <v>281</v>
      </c>
      <c r="E127" s="891">
        <v>307</v>
      </c>
      <c r="F127" s="185">
        <f>SUM(B127:E127)</f>
        <v>1186</v>
      </c>
      <c r="G127" s="891">
        <v>324</v>
      </c>
      <c r="H127" s="891">
        <v>331</v>
      </c>
      <c r="I127" s="891">
        <v>318</v>
      </c>
      <c r="J127" s="891">
        <v>310</v>
      </c>
      <c r="K127" s="185">
        <f>SUM(G127:J127)</f>
        <v>1283</v>
      </c>
      <c r="L127" s="891">
        <v>281</v>
      </c>
      <c r="M127" s="891">
        <v>291</v>
      </c>
      <c r="N127" s="891">
        <v>289</v>
      </c>
      <c r="O127" s="891">
        <v>287</v>
      </c>
      <c r="P127" s="185">
        <f>SUM(L127:O127)</f>
        <v>1148</v>
      </c>
      <c r="Q127" s="891">
        <v>298</v>
      </c>
      <c r="R127" s="891">
        <v>299</v>
      </c>
      <c r="S127" s="891">
        <v>298</v>
      </c>
      <c r="T127" s="891">
        <v>307</v>
      </c>
      <c r="U127" s="185">
        <f>SUM(Q127:T127)</f>
        <v>1202</v>
      </c>
      <c r="V127" s="891">
        <v>307</v>
      </c>
      <c r="W127" s="891">
        <v>311</v>
      </c>
      <c r="X127" s="891">
        <v>311</v>
      </c>
      <c r="Y127" s="891">
        <v>315</v>
      </c>
      <c r="Z127" s="185">
        <f>SUM(V127:Y127)</f>
        <v>1244</v>
      </c>
      <c r="AA127" s="891">
        <v>313</v>
      </c>
      <c r="AB127" s="891">
        <v>326</v>
      </c>
      <c r="AC127" s="891">
        <v>317</v>
      </c>
      <c r="AD127" s="891">
        <v>317</v>
      </c>
      <c r="AE127" s="185">
        <f>SUM(AA127:AD127)</f>
        <v>1273</v>
      </c>
      <c r="AF127" s="891">
        <v>301</v>
      </c>
      <c r="AG127" s="891">
        <v>318</v>
      </c>
      <c r="AH127" s="891">
        <v>293</v>
      </c>
      <c r="AI127" s="891">
        <v>364</v>
      </c>
      <c r="AJ127" s="185">
        <f>SUM(AF127:AI127)</f>
        <v>1276</v>
      </c>
      <c r="AK127" s="891">
        <v>291</v>
      </c>
      <c r="AL127" s="891">
        <v>288</v>
      </c>
      <c r="AM127" s="891">
        <v>297</v>
      </c>
      <c r="AN127" s="891">
        <v>288</v>
      </c>
      <c r="AO127" s="185">
        <f>SUM(AK127:AN127)</f>
        <v>1164</v>
      </c>
      <c r="AP127" s="871"/>
      <c r="AQ127" s="891"/>
      <c r="AR127" s="891"/>
      <c r="AS127" s="891"/>
      <c r="AT127" s="185"/>
      <c r="AU127" s="891">
        <v>428</v>
      </c>
      <c r="AV127" s="891">
        <v>423</v>
      </c>
      <c r="AW127" s="891">
        <v>415</v>
      </c>
      <c r="AX127" s="891">
        <v>413</v>
      </c>
      <c r="AY127" s="185">
        <f>SUM(AU127:AX127)</f>
        <v>1679</v>
      </c>
      <c r="AZ127" s="871">
        <v>384</v>
      </c>
      <c r="BA127" s="891">
        <v>383</v>
      </c>
      <c r="BB127" s="891">
        <v>385</v>
      </c>
      <c r="BC127" s="891">
        <v>384</v>
      </c>
      <c r="BD127" s="185">
        <f>SUM(AZ127:BC127)</f>
        <v>1536</v>
      </c>
      <c r="BE127" s="871">
        <v>385</v>
      </c>
      <c r="BF127" s="891">
        <v>379</v>
      </c>
      <c r="BG127" s="891">
        <v>375</v>
      </c>
      <c r="BH127" s="891">
        <v>372</v>
      </c>
      <c r="BI127" s="185">
        <f>SUM(BE127:BH127)</f>
        <v>1511</v>
      </c>
      <c r="BJ127" s="871">
        <v>376</v>
      </c>
      <c r="BK127" s="891">
        <v>381</v>
      </c>
      <c r="BL127" s="891">
        <v>384</v>
      </c>
      <c r="BM127" s="891">
        <v>382</v>
      </c>
      <c r="BN127" s="318">
        <f>SUM(BJ127:BM127)</f>
        <v>1523</v>
      </c>
      <c r="BO127" s="871">
        <v>386</v>
      </c>
      <c r="BP127" s="891">
        <v>388</v>
      </c>
      <c r="BQ127" s="891">
        <v>392</v>
      </c>
      <c r="BR127" s="891">
        <v>399</v>
      </c>
      <c r="BS127" s="185">
        <f>SUM(BO127:BR127)</f>
        <v>1565</v>
      </c>
      <c r="BT127" s="871">
        <v>405</v>
      </c>
      <c r="BU127" s="891">
        <v>415</v>
      </c>
      <c r="BV127" s="891">
        <v>418</v>
      </c>
      <c r="BW127" s="891">
        <v>420</v>
      </c>
      <c r="BX127" s="185">
        <f>SUM(BT127:BW127)</f>
        <v>1658</v>
      </c>
      <c r="BY127" s="871">
        <v>442</v>
      </c>
      <c r="BZ127" s="891">
        <v>451</v>
      </c>
      <c r="CA127" s="891">
        <v>440</v>
      </c>
      <c r="CB127" s="891">
        <v>438</v>
      </c>
      <c r="CC127" s="185">
        <f>SUM(BY127:CB127)</f>
        <v>1771</v>
      </c>
      <c r="CD127" s="871">
        <v>470</v>
      </c>
      <c r="CE127" s="891">
        <v>448</v>
      </c>
      <c r="CF127" s="891">
        <v>466</v>
      </c>
      <c r="CG127" s="891">
        <v>451</v>
      </c>
      <c r="CH127" s="185">
        <f>SUM(CD127:CG127)</f>
        <v>1835</v>
      </c>
      <c r="CI127" s="871">
        <v>486</v>
      </c>
      <c r="CJ127" s="891">
        <v>470</v>
      </c>
      <c r="CK127" s="891">
        <v>474</v>
      </c>
      <c r="CL127" s="891">
        <v>472</v>
      </c>
      <c r="CM127" s="185">
        <f>SUM(CI127:CL127)</f>
        <v>1902</v>
      </c>
      <c r="CN127" s="871">
        <v>540</v>
      </c>
      <c r="CO127" s="891">
        <v>535</v>
      </c>
      <c r="CP127" s="891">
        <v>574</v>
      </c>
      <c r="CQ127" s="891">
        <v>586</v>
      </c>
      <c r="CR127" s="185">
        <f>SUM(CN127:CQ127)</f>
        <v>2235</v>
      </c>
      <c r="CS127" s="871">
        <v>537</v>
      </c>
      <c r="CT127" s="891">
        <v>531</v>
      </c>
      <c r="CU127" s="891">
        <v>571</v>
      </c>
      <c r="CV127" s="891">
        <v>583</v>
      </c>
      <c r="CW127" s="185">
        <f>SUM(CS127:CV127)</f>
        <v>2222</v>
      </c>
      <c r="CX127" s="871">
        <v>610</v>
      </c>
      <c r="CY127" s="184">
        <f>CT127*(1+CY128)</f>
        <v>600.03</v>
      </c>
      <c r="CZ127" s="184">
        <f>CU127*(1+CZ128)</f>
        <v>605.26</v>
      </c>
      <c r="DA127" s="184">
        <f>CV127*(1+DA128)</f>
        <v>600.49</v>
      </c>
      <c r="DB127" s="185">
        <f>SUM(CX127:DA127)</f>
        <v>2415.7799999999997</v>
      </c>
      <c r="DC127" s="184"/>
      <c r="DD127" s="184"/>
      <c r="DE127" s="184"/>
      <c r="DF127" s="184"/>
      <c r="DG127" s="185">
        <f>DB127*(1+DG128)</f>
        <v>2500.3322999999996</v>
      </c>
      <c r="DH127" s="184"/>
      <c r="DI127" s="184"/>
      <c r="DJ127" s="184"/>
      <c r="DK127" s="184"/>
      <c r="DL127" s="185">
        <f>DG127*(1+DL128)</f>
        <v>2562.8406074999994</v>
      </c>
      <c r="DM127" s="414"/>
      <c r="DN127" s="502"/>
      <c r="DO127" s="489"/>
      <c r="DP127" s="414"/>
      <c r="DQ127" s="414"/>
      <c r="DR127" s="414"/>
      <c r="DS127" s="564" t="s">
        <v>569</v>
      </c>
      <c r="DT127" s="557"/>
      <c r="DU127" s="184"/>
      <c r="DV127" s="184"/>
      <c r="DW127" s="184"/>
      <c r="DX127" s="464"/>
      <c r="DY127" s="461"/>
      <c r="DZ127" s="461"/>
      <c r="EA127" s="502"/>
      <c r="EH127" s="318"/>
    </row>
    <row r="128" spans="1:138" ht="12.75" customHeight="1" x14ac:dyDescent="0.2">
      <c r="A128" s="142" t="s">
        <v>244</v>
      </c>
      <c r="B128" s="20"/>
      <c r="C128" s="20"/>
      <c r="D128" s="20"/>
      <c r="E128" s="20"/>
      <c r="F128" s="199"/>
      <c r="G128" s="20">
        <f>G127/B127-1</f>
        <v>9.0909090909090828E-2</v>
      </c>
      <c r="H128" s="20">
        <f>H127/C127-1</f>
        <v>9.9667774086378724E-2</v>
      </c>
      <c r="I128" s="20">
        <f>I127/D127-1</f>
        <v>0.13167259786476859</v>
      </c>
      <c r="J128" s="20">
        <f>J127/E127-1</f>
        <v>9.7719869706840434E-3</v>
      </c>
      <c r="K128" s="199">
        <f t="shared" ref="K128:AO128" si="492">K127/F127-1</f>
        <v>8.1787521079258019E-2</v>
      </c>
      <c r="L128" s="20">
        <f t="shared" si="492"/>
        <v>-0.13271604938271608</v>
      </c>
      <c r="M128" s="20">
        <f t="shared" si="492"/>
        <v>-0.12084592145015105</v>
      </c>
      <c r="N128" s="20">
        <f t="shared" si="492"/>
        <v>-9.1194968553459099E-2</v>
      </c>
      <c r="O128" s="20">
        <f t="shared" si="492"/>
        <v>-7.4193548387096797E-2</v>
      </c>
      <c r="P128" s="199">
        <f t="shared" si="492"/>
        <v>-0.10522213561964144</v>
      </c>
      <c r="Q128" s="20">
        <f t="shared" si="492"/>
        <v>6.0498220640569311E-2</v>
      </c>
      <c r="R128" s="20">
        <f t="shared" si="492"/>
        <v>2.7491408934707806E-2</v>
      </c>
      <c r="S128" s="20">
        <f t="shared" si="492"/>
        <v>3.114186851211076E-2</v>
      </c>
      <c r="T128" s="20">
        <f t="shared" si="492"/>
        <v>6.9686411149825878E-2</v>
      </c>
      <c r="U128" s="199">
        <f t="shared" si="492"/>
        <v>4.7038327526132351E-2</v>
      </c>
      <c r="V128" s="20">
        <f t="shared" si="492"/>
        <v>3.0201342281879207E-2</v>
      </c>
      <c r="W128" s="20">
        <f t="shared" si="492"/>
        <v>4.013377926421402E-2</v>
      </c>
      <c r="X128" s="20">
        <f t="shared" si="492"/>
        <v>4.3624161073825496E-2</v>
      </c>
      <c r="Y128" s="20">
        <f t="shared" si="492"/>
        <v>2.6058631921824116E-2</v>
      </c>
      <c r="Z128" s="199">
        <f t="shared" si="492"/>
        <v>3.4941763727121433E-2</v>
      </c>
      <c r="AA128" s="20">
        <f t="shared" si="492"/>
        <v>1.9543973941368087E-2</v>
      </c>
      <c r="AB128" s="20">
        <f t="shared" si="492"/>
        <v>4.8231511254019255E-2</v>
      </c>
      <c r="AC128" s="20">
        <f t="shared" si="492"/>
        <v>1.9292604501607746E-2</v>
      </c>
      <c r="AD128" s="20">
        <f t="shared" si="492"/>
        <v>6.3492063492063266E-3</v>
      </c>
      <c r="AE128" s="199">
        <f t="shared" si="492"/>
        <v>2.3311897106109258E-2</v>
      </c>
      <c r="AF128" s="20">
        <f t="shared" si="492"/>
        <v>-3.833865814696491E-2</v>
      </c>
      <c r="AG128" s="20">
        <f t="shared" si="492"/>
        <v>-2.4539877300613466E-2</v>
      </c>
      <c r="AH128" s="20">
        <f t="shared" si="492"/>
        <v>-7.5709779179810699E-2</v>
      </c>
      <c r="AI128" s="20">
        <f t="shared" si="492"/>
        <v>0.1482649842271293</v>
      </c>
      <c r="AJ128" s="199">
        <f t="shared" si="492"/>
        <v>2.3566378633150808E-3</v>
      </c>
      <c r="AK128" s="20">
        <f t="shared" si="492"/>
        <v>-3.3222591362126241E-2</v>
      </c>
      <c r="AL128" s="20">
        <f t="shared" si="492"/>
        <v>-9.4339622641509413E-2</v>
      </c>
      <c r="AM128" s="20">
        <f t="shared" si="492"/>
        <v>1.3651877133105783E-2</v>
      </c>
      <c r="AN128" s="20">
        <f t="shared" si="492"/>
        <v>-0.20879120879120883</v>
      </c>
      <c r="AO128" s="199">
        <f t="shared" si="492"/>
        <v>-8.7774294670846409E-2</v>
      </c>
      <c r="AP128" s="317"/>
      <c r="AQ128" s="20"/>
      <c r="AR128" s="20"/>
      <c r="AS128" s="20"/>
      <c r="AT128" s="206"/>
      <c r="AU128" s="20"/>
      <c r="AV128" s="20"/>
      <c r="AW128" s="20"/>
      <c r="AX128" s="20"/>
      <c r="AY128" s="206"/>
      <c r="AZ128" s="317">
        <f t="shared" ref="AZ128:CA128" si="493">AZ127/AU127-1</f>
        <v>-0.10280373831775702</v>
      </c>
      <c r="BA128" s="20">
        <f t="shared" si="493"/>
        <v>-9.4562647754137141E-2</v>
      </c>
      <c r="BB128" s="20">
        <f t="shared" si="493"/>
        <v>-7.2289156626506035E-2</v>
      </c>
      <c r="BC128" s="20">
        <f t="shared" si="493"/>
        <v>-7.021791767554475E-2</v>
      </c>
      <c r="BD128" s="206">
        <f t="shared" si="493"/>
        <v>-8.5169743895175731E-2</v>
      </c>
      <c r="BE128" s="317">
        <f t="shared" si="493"/>
        <v>2.6041666666667407E-3</v>
      </c>
      <c r="BF128" s="20">
        <f t="shared" si="493"/>
        <v>-1.0443864229765065E-2</v>
      </c>
      <c r="BG128" s="20">
        <f t="shared" si="493"/>
        <v>-2.5974025974025983E-2</v>
      </c>
      <c r="BH128" s="20">
        <f t="shared" si="493"/>
        <v>-3.125E-2</v>
      </c>
      <c r="BI128" s="206">
        <f t="shared" si="493"/>
        <v>-1.627604166666663E-2</v>
      </c>
      <c r="BJ128" s="317">
        <f t="shared" si="493"/>
        <v>-2.3376623376623384E-2</v>
      </c>
      <c r="BK128" s="20">
        <f t="shared" si="493"/>
        <v>5.2770448548813409E-3</v>
      </c>
      <c r="BL128" s="20">
        <f t="shared" si="493"/>
        <v>2.4000000000000021E-2</v>
      </c>
      <c r="BM128" s="20">
        <f t="shared" si="493"/>
        <v>2.6881720430107503E-2</v>
      </c>
      <c r="BN128" s="317">
        <f t="shared" si="493"/>
        <v>7.9417604235605399E-3</v>
      </c>
      <c r="BO128" s="317">
        <f t="shared" si="493"/>
        <v>2.659574468085113E-2</v>
      </c>
      <c r="BP128" s="20">
        <f t="shared" si="493"/>
        <v>1.8372703412073532E-2</v>
      </c>
      <c r="BQ128" s="20">
        <f t="shared" si="493"/>
        <v>2.0833333333333259E-2</v>
      </c>
      <c r="BR128" s="20">
        <f t="shared" si="493"/>
        <v>4.4502617801047029E-2</v>
      </c>
      <c r="BS128" s="206">
        <f t="shared" si="493"/>
        <v>2.7577150361129288E-2</v>
      </c>
      <c r="BT128" s="317">
        <f t="shared" si="493"/>
        <v>4.9222797927461093E-2</v>
      </c>
      <c r="BU128" s="20">
        <f t="shared" si="493"/>
        <v>6.9587628865979356E-2</v>
      </c>
      <c r="BV128" s="20">
        <f t="shared" si="493"/>
        <v>6.6326530612244916E-2</v>
      </c>
      <c r="BW128" s="20">
        <f t="shared" si="493"/>
        <v>5.2631578947368363E-2</v>
      </c>
      <c r="BX128" s="206">
        <f>BX127/BS127-1</f>
        <v>5.9424920127795433E-2</v>
      </c>
      <c r="BY128" s="317">
        <f t="shared" si="493"/>
        <v>9.135802469135812E-2</v>
      </c>
      <c r="BZ128" s="20">
        <f t="shared" si="493"/>
        <v>8.6746987951807242E-2</v>
      </c>
      <c r="CA128" s="20">
        <f t="shared" si="493"/>
        <v>5.2631578947368363E-2</v>
      </c>
      <c r="CB128" s="20">
        <f t="shared" ref="CB128:CK128" si="494">CB127/BW127-1</f>
        <v>4.2857142857142927E-2</v>
      </c>
      <c r="CC128" s="206">
        <f t="shared" si="494"/>
        <v>6.8154402895054256E-2</v>
      </c>
      <c r="CD128" s="317">
        <f t="shared" si="494"/>
        <v>6.3348416289592757E-2</v>
      </c>
      <c r="CE128" s="20">
        <f t="shared" si="494"/>
        <v>-6.6518847006651338E-3</v>
      </c>
      <c r="CF128" s="20">
        <f t="shared" si="494"/>
        <v>5.9090909090909083E-2</v>
      </c>
      <c r="CG128" s="20">
        <f t="shared" si="494"/>
        <v>2.9680365296803624E-2</v>
      </c>
      <c r="CH128" s="206">
        <f t="shared" si="494"/>
        <v>3.6137775268210159E-2</v>
      </c>
      <c r="CI128" s="317">
        <f t="shared" si="494"/>
        <v>3.4042553191489411E-2</v>
      </c>
      <c r="CJ128" s="20">
        <f t="shared" si="494"/>
        <v>4.9107142857142794E-2</v>
      </c>
      <c r="CK128" s="20">
        <f t="shared" si="494"/>
        <v>1.716738197424883E-2</v>
      </c>
      <c r="CL128" s="20">
        <f t="shared" ref="CL128" si="495">CL127/CG127-1</f>
        <v>4.6563192904656381E-2</v>
      </c>
      <c r="CM128" s="206">
        <f t="shared" ref="CM128:CP128" si="496">CM127/CH127-1</f>
        <v>3.6512261580381455E-2</v>
      </c>
      <c r="CN128" s="317">
        <f t="shared" si="496"/>
        <v>0.11111111111111116</v>
      </c>
      <c r="CO128" s="20">
        <f t="shared" si="496"/>
        <v>0.13829787234042556</v>
      </c>
      <c r="CP128" s="20">
        <f t="shared" si="496"/>
        <v>0.21097046413502119</v>
      </c>
      <c r="CQ128" s="20">
        <f t="shared" ref="CQ128" si="497">CQ127/CL127-1</f>
        <v>0.24152542372881358</v>
      </c>
      <c r="CR128" s="206">
        <f t="shared" ref="CR128" si="498">CR127/CM127-1</f>
        <v>0.17507886435331232</v>
      </c>
      <c r="CS128" s="317"/>
      <c r="CT128" s="20"/>
      <c r="CU128" s="20"/>
      <c r="CV128" s="20"/>
      <c r="CW128" s="206"/>
      <c r="CX128" s="317">
        <f>CX127/CS127-1</f>
        <v>0.13594040968342647</v>
      </c>
      <c r="CY128" s="33">
        <v>0.13</v>
      </c>
      <c r="CZ128" s="33">
        <v>0.06</v>
      </c>
      <c r="DA128" s="33">
        <v>0.03</v>
      </c>
      <c r="DB128" s="206">
        <f>DB127/CW127-1</f>
        <v>8.7209720972097005E-2</v>
      </c>
      <c r="DC128" s="20"/>
      <c r="DD128" s="20"/>
      <c r="DE128" s="20"/>
      <c r="DF128" s="20"/>
      <c r="DG128" s="449">
        <v>3.5000000000000003E-2</v>
      </c>
      <c r="DH128" s="20"/>
      <c r="DI128" s="20"/>
      <c r="DJ128" s="20"/>
      <c r="DK128" s="20"/>
      <c r="DL128" s="449">
        <v>2.5000000000000001E-2</v>
      </c>
      <c r="DM128" s="20"/>
      <c r="DN128" s="500"/>
      <c r="DO128" s="486"/>
      <c r="DP128" s="411"/>
      <c r="DQ128" s="411"/>
      <c r="DR128" s="411"/>
      <c r="DS128" s="564"/>
      <c r="DT128" s="184"/>
      <c r="DU128" s="553"/>
      <c r="DV128" s="673">
        <v>2016</v>
      </c>
      <c r="DW128" s="673">
        <v>2017</v>
      </c>
      <c r="DX128" s="673">
        <v>2018</v>
      </c>
      <c r="DY128" s="673">
        <v>2019</v>
      </c>
      <c r="DZ128" s="673">
        <v>2020</v>
      </c>
      <c r="EA128" s="500"/>
      <c r="EH128" s="8"/>
    </row>
    <row r="129" spans="1:138" ht="12.75" customHeight="1" x14ac:dyDescent="0.2">
      <c r="A129" s="441" t="s">
        <v>261</v>
      </c>
      <c r="B129" s="600"/>
      <c r="C129" s="600"/>
      <c r="D129" s="600"/>
      <c r="E129" s="600"/>
      <c r="F129" s="257"/>
      <c r="G129" s="600"/>
      <c r="H129" s="600"/>
      <c r="I129" s="600"/>
      <c r="J129" s="600"/>
      <c r="K129" s="257"/>
      <c r="L129" s="600"/>
      <c r="M129" s="600"/>
      <c r="N129" s="600"/>
      <c r="O129" s="600"/>
      <c r="P129" s="257"/>
      <c r="Q129" s="600"/>
      <c r="R129" s="600"/>
      <c r="S129" s="600"/>
      <c r="T129" s="600"/>
      <c r="U129" s="257"/>
      <c r="V129" s="600"/>
      <c r="W129" s="600"/>
      <c r="X129" s="600"/>
      <c r="Y129" s="600"/>
      <c r="Z129" s="268">
        <v>21</v>
      </c>
      <c r="AA129" s="600"/>
      <c r="AB129" s="600"/>
      <c r="AC129" s="600"/>
      <c r="AD129" s="600"/>
      <c r="AE129" s="268">
        <f>(Z298+AE298)/AE127/2</f>
        <v>19.716810683424981</v>
      </c>
      <c r="AF129" s="600"/>
      <c r="AG129" s="600"/>
      <c r="AH129" s="600"/>
      <c r="AI129" s="600"/>
      <c r="AJ129" s="268">
        <f>(AE298+AJ298)/AJ127/2</f>
        <v>18.302507836990596</v>
      </c>
      <c r="AK129" s="600"/>
      <c r="AL129" s="600"/>
      <c r="AM129" s="600"/>
      <c r="AN129" s="600"/>
      <c r="AO129" s="268">
        <f>(AJ298+AO298)/AO127/2</f>
        <v>15.058419243986254</v>
      </c>
      <c r="AP129" s="580"/>
      <c r="AQ129" s="600"/>
      <c r="AR129" s="600"/>
      <c r="AS129" s="600"/>
      <c r="AT129" s="257"/>
      <c r="AU129" s="600"/>
      <c r="AV129" s="600"/>
      <c r="AW129" s="600"/>
      <c r="AX129" s="600"/>
      <c r="AY129" s="268">
        <f>(AO298+AY298)/AY127/2</f>
        <v>10.272185824895772</v>
      </c>
      <c r="AZ129" s="580">
        <f>(AY298+AZ298)/2/(AZ127*4)</f>
        <v>14.6416015625</v>
      </c>
      <c r="BA129" s="600">
        <f>(AZ298+BA298)/2/(BA127*4)</f>
        <v>14.997715404699738</v>
      </c>
      <c r="BB129" s="600">
        <f>(BA298+BB298)/2/(BB127*4)</f>
        <v>15.065259740259741</v>
      </c>
      <c r="BC129" s="600">
        <f>(BB298+BC298)/2/(BC127*4)</f>
        <v>15.1689453125</v>
      </c>
      <c r="BD129" s="268">
        <f>(AY298+BD298)/BD127/2</f>
        <v>14.824869791666666</v>
      </c>
      <c r="BE129" s="580">
        <f>(BD298+BE298)/2/(BE127*4)</f>
        <v>15.287337662337663</v>
      </c>
      <c r="BF129" s="600">
        <f>(BE298+BF298)/2/(BF127*4)</f>
        <v>15.720976253298153</v>
      </c>
      <c r="BG129" s="600">
        <f>(BF298+BG298)/2/(BG127*4)</f>
        <v>15.986000000000001</v>
      </c>
      <c r="BH129" s="600">
        <f>(BG298+BH298)/2/(BH127*4)</f>
        <v>16.2940188172043</v>
      </c>
      <c r="BI129" s="268">
        <f>(BD298+BI298)/BI127/2</f>
        <v>15.826604897418928</v>
      </c>
      <c r="BJ129" s="580">
        <f>(BI298+BJ298)/2/(BJ127*4)</f>
        <v>16.390625</v>
      </c>
      <c r="BK129" s="600">
        <f>(BJ298+BK298)/2/(BK127*4)</f>
        <v>16.393372703412073</v>
      </c>
      <c r="BL129" s="600">
        <f>(BK298+BL298)/2/(BL127*4)</f>
        <v>16.459309895833332</v>
      </c>
      <c r="BM129" s="600">
        <f>(BL298+BM298)/2/(BM127*4)</f>
        <v>16.728730366492147</v>
      </c>
      <c r="BN129" s="580">
        <f>(BI298+BN298)/BN127/2</f>
        <v>16.469468154957323</v>
      </c>
      <c r="BO129" s="580">
        <f>(BN298+BO298)/2/(BO127*4)</f>
        <v>16.782383419689118</v>
      </c>
      <c r="BP129" s="600">
        <f>(BO298+BP298)/2/(BP127*4)</f>
        <v>17.035760309278352</v>
      </c>
      <c r="BQ129" s="600">
        <f>(BP298+BQ298)/2/(BQ127*4)</f>
        <v>17.119260204081634</v>
      </c>
      <c r="BR129" s="600">
        <f>(BQ298+BR298)/2/(BR127*4)</f>
        <v>17.012844611528823</v>
      </c>
      <c r="BS129" s="268">
        <f>(BN298+BS298)/BS127/2</f>
        <v>16.95335463258786</v>
      </c>
      <c r="BT129" s="580">
        <f>(BS298+BT298)/2/(BT127*4)</f>
        <v>17.006172839506174</v>
      </c>
      <c r="BU129" s="600">
        <f>(BT298+BU298)/2/(BU127*4)</f>
        <v>16.887349397590363</v>
      </c>
      <c r="BV129" s="600">
        <f>(BU298+BV298)/2/(BV127*4)</f>
        <v>17.078349282296649</v>
      </c>
      <c r="BW129" s="600">
        <f>(BV298+BW298)/2/(BW127*4)</f>
        <v>17.387202380952381</v>
      </c>
      <c r="BX129" s="268">
        <f>(BS298+BX298)/BX127/2</f>
        <v>17.193908323281061</v>
      </c>
      <c r="BY129" s="580">
        <f>(BX298+BY298)/2/(BY127*4)</f>
        <v>16.907522624434389</v>
      </c>
      <c r="BZ129" s="600">
        <f>(BY298+BZ298)/2/(BZ127*4)</f>
        <v>16.833425720620841</v>
      </c>
      <c r="CA129" s="600">
        <f>(BZ298+CA298)/2/(CA127*4)</f>
        <v>17.408238636363638</v>
      </c>
      <c r="CB129" s="600">
        <f>(CA298+CB298)/2/(CB127*4)</f>
        <v>17.679794520547944</v>
      </c>
      <c r="CC129" s="268">
        <f>(BX298+CC298)/CC127/2</f>
        <v>17.197910784867307</v>
      </c>
      <c r="CD129" s="580">
        <f>(CC298+CD298)/2/(CD127*4)</f>
        <v>16.782446808510638</v>
      </c>
      <c r="CE129" s="600">
        <f>(CD298+CE298)/2/(CE127*4)</f>
        <v>18.020368303571427</v>
      </c>
      <c r="CF129" s="600">
        <f>(CE298+CF298)/2/(CF127*4)</f>
        <v>17.683208154506438</v>
      </c>
      <c r="CG129" s="600">
        <f>(CF298+CG298)/2/(CG127*4)</f>
        <v>18.592294900221731</v>
      </c>
      <c r="CH129" s="268">
        <f>(CC298+CH298)/CH127/2</f>
        <v>17.759945504087195</v>
      </c>
      <c r="CI129" s="580">
        <f>(CH298+CI298)/2/(CI127*4)</f>
        <v>17.655864197530864</v>
      </c>
      <c r="CJ129" s="600">
        <f>(CI298+CJ298)/2/(CJ127*4)</f>
        <v>18.729255319148937</v>
      </c>
      <c r="CK129" s="600">
        <f>(CJ298+CK298)/2/(CK127*4)</f>
        <v>18.960179324894515</v>
      </c>
      <c r="CL129" s="600">
        <f>(CK298+CL298)/2/(CL127*4)</f>
        <v>19.34375</v>
      </c>
      <c r="CM129" s="268">
        <f>(CH298+CM298)/CM127/2</f>
        <v>18.596477392218716</v>
      </c>
      <c r="CN129" s="580">
        <f>(CM298+CN298)/2/(CN127*4)</f>
        <v>17.263888888888889</v>
      </c>
      <c r="CO129" s="600">
        <f>(CN298+CO298)/2/(CO127*4)</f>
        <v>17.862616822429906</v>
      </c>
      <c r="CP129" s="600">
        <f>(CO298+CP298)/2/(CP127*4)</f>
        <v>17.066419860627178</v>
      </c>
      <c r="CQ129" s="600">
        <f>(CP298+CQ298)/2/(CQ127*4)</f>
        <v>17.18877986348123</v>
      </c>
      <c r="CR129" s="268">
        <f>(CM298+CR298)/CR127/2</f>
        <v>17.392841163310962</v>
      </c>
      <c r="CS129" s="580"/>
      <c r="CT129" s="600"/>
      <c r="CU129" s="600"/>
      <c r="CV129" s="600"/>
      <c r="CW129" s="268"/>
      <c r="CX129" s="580"/>
      <c r="CY129" s="600">
        <f>(CX298+CY298)/2/(CY127*4)</f>
        <v>16.885822375547889</v>
      </c>
      <c r="CZ129" s="600">
        <f>(CY298+CZ298)/2/(CZ127*4)</f>
        <v>17.152959058916828</v>
      </c>
      <c r="DA129" s="600">
        <f>(CZ298+DA298)/2/(DA127*4)</f>
        <v>17.650377191959898</v>
      </c>
      <c r="DB129" s="268">
        <f>(CW298+DB298)/DB127/2</f>
        <v>17.318423035210163</v>
      </c>
      <c r="DC129" s="861"/>
      <c r="DD129" s="861"/>
      <c r="DE129" s="861"/>
      <c r="DF129" s="861"/>
      <c r="DG129" s="860">
        <f>(DB298+DG298)/DG127/2</f>
        <v>17.902820357118134</v>
      </c>
      <c r="DH129" s="861"/>
      <c r="DI129" s="861"/>
      <c r="DJ129" s="861"/>
      <c r="DK129" s="861"/>
      <c r="DL129" s="860">
        <f>(DG298+DL298)/DL127/2</f>
        <v>19.026934354519749</v>
      </c>
      <c r="DM129" s="9"/>
      <c r="DN129" s="495"/>
      <c r="DO129" s="486"/>
      <c r="DP129" s="411"/>
      <c r="DQ129" s="411"/>
      <c r="DR129" s="411"/>
      <c r="DS129" s="556"/>
      <c r="DT129" s="556"/>
      <c r="DU129" s="561" t="s">
        <v>537</v>
      </c>
      <c r="DV129" s="837">
        <v>2140</v>
      </c>
      <c r="DW129" s="837">
        <f>2690-700</f>
        <v>1990</v>
      </c>
      <c r="DX129" s="837">
        <f>2880-700</f>
        <v>2180</v>
      </c>
      <c r="DY129" s="837">
        <f>3380-700</f>
        <v>2680</v>
      </c>
      <c r="DZ129" s="837">
        <f>1730-700</f>
        <v>1030</v>
      </c>
      <c r="EA129" s="495"/>
      <c r="EH129" s="8"/>
    </row>
    <row r="130" spans="1:138" ht="12.75" customHeight="1" x14ac:dyDescent="0.2">
      <c r="A130" s="75" t="str">
        <f>A127&amp;" per Avg Aircraft"</f>
        <v>Depreciation and Amortization per Avg Aircraft</v>
      </c>
      <c r="B130" s="32"/>
      <c r="C130" s="32">
        <f>C127/C25*4</f>
        <v>2.0424088210347753</v>
      </c>
      <c r="D130" s="32">
        <f>D127/D25*4</f>
        <v>1.8811715481171547</v>
      </c>
      <c r="E130" s="32">
        <f>E127/E25*4</f>
        <v>2.0347970173985086</v>
      </c>
      <c r="F130" s="203"/>
      <c r="G130" s="32">
        <f>G127/G25*4</f>
        <v>1.8075313807531381</v>
      </c>
      <c r="H130" s="32">
        <f>H127/H25*4</f>
        <v>1.6</v>
      </c>
      <c r="I130" s="32">
        <f>I127/I25*4</f>
        <v>1.5380894800483675</v>
      </c>
      <c r="J130" s="32">
        <f>J127/J25*4</f>
        <v>1.510353227771011</v>
      </c>
      <c r="K130" s="203">
        <f>K127/K25</f>
        <v>1.8083157152924594</v>
      </c>
      <c r="L130" s="32">
        <f>L127/L25*4</f>
        <v>1.3657351154313486</v>
      </c>
      <c r="M130" s="32">
        <f>M127/M25*4</f>
        <v>1.3998797354179193</v>
      </c>
      <c r="N130" s="32">
        <f>N127/N25*4</f>
        <v>1.3986690865093769</v>
      </c>
      <c r="O130" s="32">
        <f>O127/O25*4</f>
        <v>1.3889897156684816</v>
      </c>
      <c r="P130" s="203">
        <f>P127/P25</f>
        <v>1.3957446808510638</v>
      </c>
      <c r="Q130" s="32">
        <f>Q127/Q25*4</f>
        <v>1.4378769601930037</v>
      </c>
      <c r="R130" s="32">
        <f>R127/R25*4</f>
        <v>1.4558734023128423</v>
      </c>
      <c r="S130" s="32">
        <f>S127/S25*4</f>
        <v>1.449240121580547</v>
      </c>
      <c r="T130" s="32">
        <f>T127/T25*4</f>
        <v>1.4777376654632972</v>
      </c>
      <c r="U130" s="203">
        <f>U127/U25</f>
        <v>1.4447115384615385</v>
      </c>
      <c r="V130" s="32">
        <f>V127/V25*4</f>
        <v>1.4697785757031718</v>
      </c>
      <c r="W130" s="32">
        <f>W127/W25*4</f>
        <v>1.480952380952381</v>
      </c>
      <c r="X130" s="32">
        <f>X127/X25*4</f>
        <v>1.4774346793349169</v>
      </c>
      <c r="Y130" s="32">
        <f>Y127/Y25*4</f>
        <v>1.4937759336099585</v>
      </c>
      <c r="Z130" s="203">
        <f>Z127/Z25</f>
        <v>1.4827175208581644</v>
      </c>
      <c r="AA130" s="32">
        <f>AA127/AA25*4</f>
        <v>1.4851720047449586</v>
      </c>
      <c r="AB130" s="32">
        <f>AB127/AB25*4</f>
        <v>1.5251461988304094</v>
      </c>
      <c r="AC130" s="32">
        <f>AC127/AC25*4</f>
        <v>1.6350741457124436</v>
      </c>
      <c r="AD130" s="32">
        <f>AD127/AD25*4</f>
        <v>1.9053343350864012</v>
      </c>
      <c r="AE130" s="203">
        <f>AE127/AE25</f>
        <v>1.7041499330655958</v>
      </c>
      <c r="AF130" s="32">
        <f>AF127/AF25*4</f>
        <v>1.8710178710178711</v>
      </c>
      <c r="AG130" s="32">
        <f>AG127/AG25*4</f>
        <v>2.0142517814726841</v>
      </c>
      <c r="AH130" s="32">
        <f>AH127/AH25*4</f>
        <v>1.9025974025974026</v>
      </c>
      <c r="AI130" s="32">
        <f>AI127/AI25*4</f>
        <v>2.4125932062966031</v>
      </c>
      <c r="AJ130" s="203">
        <f>AJ127/AJ25</f>
        <v>2.0432345876701361</v>
      </c>
      <c r="AK130" s="32">
        <f>AK127/AK25*4</f>
        <v>1.9662162162162162</v>
      </c>
      <c r="AL130" s="32">
        <f>AL127/AL25*4</f>
        <v>1.9913569576490924</v>
      </c>
      <c r="AM130" s="32">
        <f>AM127/AM25*4</f>
        <v>2.0642919200695049</v>
      </c>
      <c r="AN130" s="32">
        <f>AN127/AN25*4</f>
        <v>1.9930795847750864</v>
      </c>
      <c r="AO130" s="203">
        <f>AO127/AO25</f>
        <v>1.9762308998302207</v>
      </c>
      <c r="AP130" s="319"/>
      <c r="AQ130" s="32"/>
      <c r="AR130" s="32"/>
      <c r="AS130" s="32"/>
      <c r="AT130" s="203"/>
      <c r="AU130" s="32">
        <f>AU127/AU$25*4</f>
        <v>1.6767874632713027</v>
      </c>
      <c r="AV130" s="32">
        <f>AV127/AV$25*4</f>
        <v>1.6491228070175439</v>
      </c>
      <c r="AW130" s="32">
        <f>AW127/AW$25*4</f>
        <v>1.6187225743539737</v>
      </c>
      <c r="AX130" s="32">
        <f>AX127/AX$25*4</f>
        <v>1.6172295643661283</v>
      </c>
      <c r="AY130" s="203">
        <f>AY127/AY$25</f>
        <v>1.6412512218963833</v>
      </c>
      <c r="AZ130" s="319">
        <f>AZ127/AZ$25*4</f>
        <v>1.507360157016683</v>
      </c>
      <c r="BA130" s="32">
        <f>BA127/BA$25*4</f>
        <v>1.5078740157480315</v>
      </c>
      <c r="BB130" s="32">
        <f>BB127/BB$25*4</f>
        <v>1.5262636273538157</v>
      </c>
      <c r="BC130" s="32">
        <f>BC127/BC$25*4</f>
        <v>1.5483870967741935</v>
      </c>
      <c r="BD130" s="203">
        <f>BD127/BD$25</f>
        <v>1.531405782652044</v>
      </c>
      <c r="BE130" s="319">
        <f>BE127/BE$25*4</f>
        <v>1.5802975885069266</v>
      </c>
      <c r="BF130" s="32">
        <f>BF127/BF$25*4</f>
        <v>1.5758835758835759</v>
      </c>
      <c r="BG130" s="32">
        <f>BG127/BG$25*4</f>
        <v>1.6863406408094435</v>
      </c>
      <c r="BH130" s="32">
        <f>BH127/BH$25*4</f>
        <v>1.8190709046454767</v>
      </c>
      <c r="BI130" s="203">
        <f>BI127/BI$25</f>
        <v>1.6807563959955507</v>
      </c>
      <c r="BJ130" s="319">
        <f>BJ127/BJ$25*4</f>
        <v>1.8567901234567901</v>
      </c>
      <c r="BK130" s="32">
        <f>BK127/BK$25*4</f>
        <v>1.8955223880597014</v>
      </c>
      <c r="BL130" s="32">
        <f>BL127/BL$25*4</f>
        <v>1.9284369114877589</v>
      </c>
      <c r="BM130" s="32">
        <f>BM127/BM$25*4</f>
        <v>1.9527156549520768</v>
      </c>
      <c r="BN130" s="319">
        <f>BN127/BN$25</f>
        <v>1.9157232704402516</v>
      </c>
      <c r="BO130" s="319">
        <f>BO127/BO$25*4</f>
        <v>1.998705501618123</v>
      </c>
      <c r="BP130" s="32">
        <f>BP127/BP$25*4</f>
        <v>2.0116655865197668</v>
      </c>
      <c r="BQ130" s="32">
        <f>BQ127/BQ$25*4</f>
        <v>2.0934579439252334</v>
      </c>
      <c r="BR130" s="32">
        <f>BR127/BR$25*4</f>
        <v>2.2135922330097086</v>
      </c>
      <c r="BS130" s="203">
        <f>BS127/BS$25</f>
        <v>2.0978552278820377</v>
      </c>
      <c r="BT130" s="319">
        <f>BT127/BT$25*4</f>
        <v>2.2562674094707522</v>
      </c>
      <c r="BU130" s="32">
        <f>BU127/BU$25*4</f>
        <v>2.2959889349930842</v>
      </c>
      <c r="BV130" s="32">
        <f>BV127/BV$25*4</f>
        <v>2.0553165334972343</v>
      </c>
      <c r="BW130" s="32">
        <f>BW127/BW$25*4</f>
        <v>1.8543046357615893</v>
      </c>
      <c r="BX130" s="203">
        <f>BX127/BX$25</f>
        <v>2.0356046654389197</v>
      </c>
      <c r="BY130" s="319">
        <f>BY127/BY$25*4</f>
        <v>1.941790225151016</v>
      </c>
      <c r="BZ130" s="32">
        <f>BZ127/BZ$25*4</f>
        <v>1.9705079191698525</v>
      </c>
      <c r="CA130" s="32">
        <f>CA127/CA$25*4</f>
        <v>1.9151251360174102</v>
      </c>
      <c r="CB130" s="32">
        <f>CB127/CB$25*4</f>
        <v>1.9137083560895685</v>
      </c>
      <c r="CC130" s="203">
        <f>CC127/CC$25</f>
        <v>1.9386973180076628</v>
      </c>
      <c r="CD130" s="319">
        <f>CD127/CD$25*4</f>
        <v>2.0580186097427475</v>
      </c>
      <c r="CE130" s="32">
        <f>CE127/CE$25*4</f>
        <v>1.9606126914660831</v>
      </c>
      <c r="CF130" s="32">
        <f>CF127/CF$25*4</f>
        <v>2.0249864204236827</v>
      </c>
      <c r="CG130" s="32">
        <f>CG127/CG$25*4</f>
        <v>1.949216639654241</v>
      </c>
      <c r="CH130" s="203">
        <f>CH127/CH$25</f>
        <v>1.9934818033677348</v>
      </c>
      <c r="CI130" s="319">
        <f>CI127/CI$25*4</f>
        <v>2.0936995153473346</v>
      </c>
      <c r="CJ130" s="32">
        <f>CJ127/CJ$25*4</f>
        <v>2.0053333333333332</v>
      </c>
      <c r="CK130" s="32">
        <f>CK127/CK$25*4</f>
        <v>1.9915966386554622</v>
      </c>
      <c r="CL130" s="32">
        <f>CL127/CL$25*4</f>
        <v>1.9605399792315681</v>
      </c>
      <c r="CM130" s="203">
        <f>CM127/CM$25</f>
        <v>2.0105708245243128</v>
      </c>
      <c r="CN130" s="319">
        <f>CN127/CN$25*4</f>
        <v>2.2153846153846155</v>
      </c>
      <c r="CO130" s="32">
        <f>CO127/CO$25*4</f>
        <v>2.1725888324873095</v>
      </c>
      <c r="CP130" s="32">
        <f>CP127/CP$25*4</f>
        <v>2.3168516649848638</v>
      </c>
      <c r="CQ130" s="32">
        <f>CQ127/CQ$25*4</f>
        <v>2.3498746867167921</v>
      </c>
      <c r="CR130" s="203">
        <f>CR127/CR$25</f>
        <v>2.2748091603053435</v>
      </c>
      <c r="CS130" s="319">
        <f>CS127/CS$25*4</f>
        <v>2.2030769230769232</v>
      </c>
      <c r="CT130" s="32">
        <f>CT127/CT$25*4</f>
        <v>2.1563451776649747</v>
      </c>
      <c r="CU130" s="32">
        <f>CU127/CU$25*4</f>
        <v>2.3047426841574166</v>
      </c>
      <c r="CV130" s="32">
        <f>CV127/CV$25*4</f>
        <v>2.3378446115288218</v>
      </c>
      <c r="CW130" s="203">
        <f>CW127/CW$25</f>
        <v>2.2615776081424936</v>
      </c>
      <c r="CX130" s="319">
        <f>CX127/CX$25*4</f>
        <v>2.4206349206349205</v>
      </c>
      <c r="CY130" s="32">
        <f t="shared" ref="CY130:DA130" si="499">CY127/CY$25*4</f>
        <v>2.36</v>
      </c>
      <c r="CZ130" s="32">
        <f t="shared" si="499"/>
        <v>2.3805703048180922</v>
      </c>
      <c r="DA130" s="32">
        <f t="shared" si="499"/>
        <v>2.3618092428711899</v>
      </c>
      <c r="DB130" s="203">
        <f>DB127/DB$25</f>
        <v>2.3966071428571425</v>
      </c>
      <c r="DC130" s="32"/>
      <c r="DD130" s="32"/>
      <c r="DE130" s="32"/>
      <c r="DF130" s="32"/>
      <c r="DG130" s="203">
        <f>DG127/DG$25</f>
        <v>2.4585371681415924</v>
      </c>
      <c r="DH130" s="32"/>
      <c r="DI130" s="32"/>
      <c r="DJ130" s="32"/>
      <c r="DK130" s="32"/>
      <c r="DL130" s="203">
        <f>DL127/DL$25</f>
        <v>2.520000597345132</v>
      </c>
      <c r="DM130" s="32"/>
      <c r="DN130" s="503"/>
      <c r="DO130" s="486"/>
      <c r="DP130" s="411"/>
      <c r="DQ130" s="411"/>
      <c r="DR130" s="411"/>
      <c r="DS130" s="553"/>
      <c r="DT130" s="553"/>
      <c r="DU130" s="561" t="s">
        <v>538</v>
      </c>
      <c r="DV130" s="833">
        <v>3.4000000000000002E-2</v>
      </c>
      <c r="DW130" s="833">
        <v>3.4000000000000002E-2</v>
      </c>
      <c r="DX130" s="833">
        <v>3.4000000000000002E-2</v>
      </c>
      <c r="DY130" s="833">
        <v>3.4000000000000002E-2</v>
      </c>
      <c r="DZ130" s="833">
        <v>3.4000000000000002E-2</v>
      </c>
      <c r="EA130" s="503"/>
      <c r="EH130" s="8"/>
    </row>
    <row r="131" spans="1:138" ht="12.75" customHeight="1" x14ac:dyDescent="0.2">
      <c r="A131" s="144" t="s">
        <v>259</v>
      </c>
      <c r="B131" s="891">
        <v>185</v>
      </c>
      <c r="C131" s="891">
        <v>186</v>
      </c>
      <c r="D131" s="891">
        <v>183</v>
      </c>
      <c r="E131" s="891">
        <v>187</v>
      </c>
      <c r="F131" s="185">
        <f>SUM(B131:E131)</f>
        <v>741</v>
      </c>
      <c r="G131" s="891">
        <v>188</v>
      </c>
      <c r="H131" s="891">
        <v>186</v>
      </c>
      <c r="I131" s="891">
        <v>183</v>
      </c>
      <c r="J131" s="891">
        <v>180</v>
      </c>
      <c r="K131" s="185">
        <f>SUM(G131:J131)</f>
        <v>737</v>
      </c>
      <c r="L131" s="891">
        <v>178</v>
      </c>
      <c r="M131" s="891">
        <v>179</v>
      </c>
      <c r="N131" s="891">
        <v>175</v>
      </c>
      <c r="O131" s="891">
        <v>177</v>
      </c>
      <c r="P131" s="185">
        <f>SUM(L131:O131)</f>
        <v>709</v>
      </c>
      <c r="Q131" s="891">
        <v>183</v>
      </c>
      <c r="R131" s="891">
        <v>179</v>
      </c>
      <c r="S131" s="891">
        <v>182</v>
      </c>
      <c r="T131" s="891">
        <v>183</v>
      </c>
      <c r="U131" s="185">
        <f>SUM(Q131:T131)</f>
        <v>727</v>
      </c>
      <c r="V131" s="891">
        <v>181</v>
      </c>
      <c r="W131" s="891">
        <v>182</v>
      </c>
      <c r="X131" s="891">
        <v>181</v>
      </c>
      <c r="Y131" s="891">
        <f>Z131-SUM(V131:X131)</f>
        <v>172</v>
      </c>
      <c r="Z131" s="185">
        <v>716</v>
      </c>
      <c r="AA131" s="891">
        <v>143</v>
      </c>
      <c r="AB131" s="891">
        <v>151</v>
      </c>
      <c r="AC131" s="891">
        <v>141</v>
      </c>
      <c r="AD131" s="891">
        <f>AE131-SUM(AA131:AC131)</f>
        <v>106</v>
      </c>
      <c r="AE131" s="185">
        <v>541</v>
      </c>
      <c r="AF131" s="891">
        <v>95</v>
      </c>
      <c r="AG131" s="891">
        <v>73</v>
      </c>
      <c r="AH131" s="891">
        <v>70</v>
      </c>
      <c r="AI131" s="891">
        <v>78</v>
      </c>
      <c r="AJ131" s="185">
        <f>SUM(AF131:AI131)</f>
        <v>316</v>
      </c>
      <c r="AK131" s="891">
        <v>70</v>
      </c>
      <c r="AL131" s="891">
        <v>56</v>
      </c>
      <c r="AM131" s="891">
        <v>60</v>
      </c>
      <c r="AN131" s="891">
        <v>60</v>
      </c>
      <c r="AO131" s="185">
        <f>SUM(AK131:AN131)</f>
        <v>246</v>
      </c>
      <c r="AP131" s="871"/>
      <c r="AQ131" s="891"/>
      <c r="AR131" s="891"/>
      <c r="AS131" s="891"/>
      <c r="AT131" s="185"/>
      <c r="AU131" s="891">
        <v>118</v>
      </c>
      <c r="AV131" s="891">
        <v>123</v>
      </c>
      <c r="AW131" s="891">
        <v>127</v>
      </c>
      <c r="AX131" s="891">
        <v>123</v>
      </c>
      <c r="AY131" s="185">
        <f>SUM(AU131:AX131)</f>
        <v>491</v>
      </c>
      <c r="AZ131" s="871">
        <v>121</v>
      </c>
      <c r="BA131" s="891">
        <v>119</v>
      </c>
      <c r="BB131" s="891">
        <v>123</v>
      </c>
      <c r="BC131" s="891">
        <v>117</v>
      </c>
      <c r="BD131" s="185">
        <f>SUM(AZ131:BC131)</f>
        <v>480</v>
      </c>
      <c r="BE131" s="871">
        <v>112</v>
      </c>
      <c r="BF131" s="891">
        <v>101</v>
      </c>
      <c r="BG131" s="891">
        <v>92</v>
      </c>
      <c r="BH131" s="891">
        <v>82</v>
      </c>
      <c r="BI131" s="185">
        <f>SUM(BE131:BH131)</f>
        <v>387</v>
      </c>
      <c r="BJ131" s="871">
        <v>78</v>
      </c>
      <c r="BK131" s="891">
        <v>74</v>
      </c>
      <c r="BL131" s="891">
        <v>72</v>
      </c>
      <c r="BM131" s="891">
        <v>74</v>
      </c>
      <c r="BN131" s="318">
        <f>SUM(BJ131:BM131)</f>
        <v>298</v>
      </c>
      <c r="BO131" s="871">
        <v>75</v>
      </c>
      <c r="BP131" s="891">
        <v>68</v>
      </c>
      <c r="BQ131" s="891">
        <v>65</v>
      </c>
      <c r="BR131" s="891">
        <v>64</v>
      </c>
      <c r="BS131" s="185">
        <f>SUM(BO131:BR131)</f>
        <v>272</v>
      </c>
      <c r="BT131" s="871">
        <v>60</v>
      </c>
      <c r="BU131" s="891">
        <v>55</v>
      </c>
      <c r="BV131" s="891">
        <v>47</v>
      </c>
      <c r="BW131" s="891">
        <v>47</v>
      </c>
      <c r="BX131" s="185">
        <f>SUM(BT131:BW131)</f>
        <v>209</v>
      </c>
      <c r="BY131" s="871">
        <v>51</v>
      </c>
      <c r="BZ131" s="891">
        <v>56</v>
      </c>
      <c r="CA131" s="891">
        <v>65</v>
      </c>
      <c r="CB131" s="891">
        <v>61</v>
      </c>
      <c r="CC131" s="185">
        <f>SUM(BY131:CB131)</f>
        <v>233</v>
      </c>
      <c r="CD131" s="871">
        <v>60</v>
      </c>
      <c r="CE131" s="891">
        <v>60</v>
      </c>
      <c r="CF131" s="891">
        <v>63</v>
      </c>
      <c r="CG131" s="891">
        <v>67</v>
      </c>
      <c r="CH131" s="185">
        <f>SUM(CD131:CG131)</f>
        <v>250</v>
      </c>
      <c r="CI131" s="871">
        <v>66</v>
      </c>
      <c r="CJ131" s="891">
        <v>66</v>
      </c>
      <c r="CK131" s="891">
        <v>72</v>
      </c>
      <c r="CL131" s="891">
        <v>81</v>
      </c>
      <c r="CM131" s="185">
        <f>SUM(CI131:CL131)</f>
        <v>285</v>
      </c>
      <c r="CN131" s="871">
        <v>84</v>
      </c>
      <c r="CO131" s="891">
        <v>86</v>
      </c>
      <c r="CP131" s="891">
        <v>89</v>
      </c>
      <c r="CQ131" s="891">
        <v>92</v>
      </c>
      <c r="CR131" s="185">
        <f>SUM(CN131:CQ131)</f>
        <v>351</v>
      </c>
      <c r="CS131" s="871">
        <v>84</v>
      </c>
      <c r="CT131" s="891">
        <v>86</v>
      </c>
      <c r="CU131" s="891">
        <v>89</v>
      </c>
      <c r="CV131" s="891">
        <v>92</v>
      </c>
      <c r="CW131" s="185">
        <f>SUM(CS131:CV131)</f>
        <v>351</v>
      </c>
      <c r="CX131" s="871">
        <v>94</v>
      </c>
      <c r="CY131" s="184">
        <f t="shared" ref="CY131:DA131" si="500">(CY$20*CY133)/4</f>
        <v>96.01013585351447</v>
      </c>
      <c r="CZ131" s="184">
        <f t="shared" si="500"/>
        <v>99.623591549295782</v>
      </c>
      <c r="DA131" s="184">
        <f t="shared" si="500"/>
        <v>102.44063047285465</v>
      </c>
      <c r="DB131" s="185">
        <f>SUM(CX131:DA131)</f>
        <v>392.07435787566487</v>
      </c>
      <c r="DC131" s="184"/>
      <c r="DD131" s="184"/>
      <c r="DE131" s="184"/>
      <c r="DF131" s="184"/>
      <c r="DG131" s="185">
        <f>(DG$20*DG133)</f>
        <v>406.41476764544109</v>
      </c>
      <c r="DH131" s="184"/>
      <c r="DI131" s="184"/>
      <c r="DJ131" s="184"/>
      <c r="DK131" s="184"/>
      <c r="DL131" s="185">
        <f>(DL$20*DL133)</f>
        <v>418.60721067480432</v>
      </c>
      <c r="DM131" s="414"/>
      <c r="DN131" s="502"/>
      <c r="DO131" s="489"/>
      <c r="DP131" s="414"/>
      <c r="DQ131" s="414"/>
      <c r="DR131" s="414"/>
      <c r="DS131" s="640"/>
      <c r="DT131" s="558"/>
      <c r="DU131" s="566" t="s">
        <v>539</v>
      </c>
      <c r="DV131" s="566"/>
      <c r="DW131" s="838">
        <f>+DW130*DW129/2+DV130*DV129/2</f>
        <v>70.210000000000008</v>
      </c>
      <c r="DX131" s="838">
        <f>+DX130*DX129/2+DW130*DW129/2</f>
        <v>70.890000000000015</v>
      </c>
      <c r="DY131" s="838">
        <f>+DY130*DY129/2+DX130*DX129/2</f>
        <v>82.62</v>
      </c>
      <c r="DZ131" s="838">
        <f>+DZ130*DZ129/2+DY130*DY129/2</f>
        <v>63.070000000000007</v>
      </c>
      <c r="EA131" s="502"/>
      <c r="EH131" s="318"/>
    </row>
    <row r="132" spans="1:138" ht="12.75" customHeight="1" x14ac:dyDescent="0.2">
      <c r="A132" s="142" t="s">
        <v>244</v>
      </c>
      <c r="B132" s="20"/>
      <c r="C132" s="20"/>
      <c r="D132" s="20"/>
      <c r="E132" s="20"/>
      <c r="F132" s="199"/>
      <c r="G132" s="20">
        <f>G131/B131-1</f>
        <v>1.6216216216216273E-2</v>
      </c>
      <c r="H132" s="20">
        <f>H131/C131-1</f>
        <v>0</v>
      </c>
      <c r="I132" s="20">
        <f>I131/D131-1</f>
        <v>0</v>
      </c>
      <c r="J132" s="20">
        <f>J131/E131-1</f>
        <v>-3.7433155080213942E-2</v>
      </c>
      <c r="K132" s="199">
        <f t="shared" ref="K132:AO132" si="501">K131/F131-1</f>
        <v>-5.3981106612686069E-3</v>
      </c>
      <c r="L132" s="20">
        <f t="shared" si="501"/>
        <v>-5.3191489361702149E-2</v>
      </c>
      <c r="M132" s="20">
        <f t="shared" si="501"/>
        <v>-3.7634408602150504E-2</v>
      </c>
      <c r="N132" s="20">
        <f t="shared" si="501"/>
        <v>-4.3715846994535568E-2</v>
      </c>
      <c r="O132" s="20">
        <f t="shared" si="501"/>
        <v>-1.6666666666666718E-2</v>
      </c>
      <c r="P132" s="199">
        <f t="shared" si="501"/>
        <v>-3.7991858887381325E-2</v>
      </c>
      <c r="Q132" s="20">
        <f t="shared" si="501"/>
        <v>2.8089887640449396E-2</v>
      </c>
      <c r="R132" s="20">
        <f t="shared" si="501"/>
        <v>0</v>
      </c>
      <c r="S132" s="20">
        <f t="shared" si="501"/>
        <v>4.0000000000000036E-2</v>
      </c>
      <c r="T132" s="20">
        <f t="shared" si="501"/>
        <v>3.3898305084745672E-2</v>
      </c>
      <c r="U132" s="199">
        <f t="shared" si="501"/>
        <v>2.5387870239774291E-2</v>
      </c>
      <c r="V132" s="20">
        <f t="shared" si="501"/>
        <v>-1.0928961748633892E-2</v>
      </c>
      <c r="W132" s="20">
        <f t="shared" si="501"/>
        <v>1.6759776536312776E-2</v>
      </c>
      <c r="X132" s="20">
        <f t="shared" si="501"/>
        <v>-5.494505494505475E-3</v>
      </c>
      <c r="Y132" s="20">
        <f t="shared" si="501"/>
        <v>-6.0109289617486295E-2</v>
      </c>
      <c r="Z132" s="199">
        <f t="shared" si="501"/>
        <v>-1.5130674002751032E-2</v>
      </c>
      <c r="AA132" s="20">
        <f t="shared" si="501"/>
        <v>-0.20994475138121549</v>
      </c>
      <c r="AB132" s="20">
        <f t="shared" si="501"/>
        <v>-0.17032967032967028</v>
      </c>
      <c r="AC132" s="20">
        <f t="shared" si="501"/>
        <v>-0.22099447513812154</v>
      </c>
      <c r="AD132" s="20">
        <f t="shared" si="501"/>
        <v>-0.38372093023255816</v>
      </c>
      <c r="AE132" s="199">
        <f t="shared" si="501"/>
        <v>-0.244413407821229</v>
      </c>
      <c r="AF132" s="20">
        <f t="shared" si="501"/>
        <v>-0.33566433566433562</v>
      </c>
      <c r="AG132" s="20">
        <f t="shared" si="501"/>
        <v>-0.51655629139072845</v>
      </c>
      <c r="AH132" s="20">
        <f t="shared" si="501"/>
        <v>-0.50354609929078009</v>
      </c>
      <c r="AI132" s="20">
        <f t="shared" si="501"/>
        <v>-0.26415094339622647</v>
      </c>
      <c r="AJ132" s="199">
        <f t="shared" si="501"/>
        <v>-0.41589648798521262</v>
      </c>
      <c r="AK132" s="20">
        <f t="shared" si="501"/>
        <v>-0.26315789473684215</v>
      </c>
      <c r="AL132" s="20">
        <f t="shared" si="501"/>
        <v>-0.23287671232876717</v>
      </c>
      <c r="AM132" s="20">
        <f t="shared" si="501"/>
        <v>-0.1428571428571429</v>
      </c>
      <c r="AN132" s="20">
        <f t="shared" si="501"/>
        <v>-0.23076923076923073</v>
      </c>
      <c r="AO132" s="199">
        <f t="shared" si="501"/>
        <v>-0.22151898734177211</v>
      </c>
      <c r="AP132" s="317"/>
      <c r="AQ132" s="20"/>
      <c r="AR132" s="20"/>
      <c r="AS132" s="20"/>
      <c r="AT132" s="206"/>
      <c r="AU132" s="20"/>
      <c r="AV132" s="20"/>
      <c r="AW132" s="20"/>
      <c r="AX132" s="20"/>
      <c r="AY132" s="206"/>
      <c r="AZ132" s="317">
        <f t="shared" ref="AZ132:CA132" si="502">AZ131/AU131-1</f>
        <v>2.5423728813559254E-2</v>
      </c>
      <c r="BA132" s="20">
        <f t="shared" si="502"/>
        <v>-3.2520325203251987E-2</v>
      </c>
      <c r="BB132" s="20">
        <f t="shared" si="502"/>
        <v>-3.1496062992126039E-2</v>
      </c>
      <c r="BC132" s="20">
        <f t="shared" si="502"/>
        <v>-4.8780487804878092E-2</v>
      </c>
      <c r="BD132" s="206">
        <f t="shared" si="502"/>
        <v>-2.2403258655804503E-2</v>
      </c>
      <c r="BE132" s="317">
        <f t="shared" si="502"/>
        <v>-7.4380165289256173E-2</v>
      </c>
      <c r="BF132" s="20">
        <f t="shared" si="502"/>
        <v>-0.15126050420168069</v>
      </c>
      <c r="BG132" s="20">
        <f t="shared" si="502"/>
        <v>-0.25203252032520329</v>
      </c>
      <c r="BH132" s="20">
        <f t="shared" si="502"/>
        <v>-0.29914529914529919</v>
      </c>
      <c r="BI132" s="206">
        <f t="shared" si="502"/>
        <v>-0.19374999999999998</v>
      </c>
      <c r="BJ132" s="317">
        <f t="shared" si="502"/>
        <v>-0.3035714285714286</v>
      </c>
      <c r="BK132" s="20">
        <f t="shared" si="502"/>
        <v>-0.26732673267326734</v>
      </c>
      <c r="BL132" s="20">
        <f t="shared" si="502"/>
        <v>-0.21739130434782605</v>
      </c>
      <c r="BM132" s="20">
        <f t="shared" si="502"/>
        <v>-9.7560975609756073E-2</v>
      </c>
      <c r="BN132" s="317">
        <f t="shared" si="502"/>
        <v>-0.22997416020671835</v>
      </c>
      <c r="BO132" s="317">
        <f t="shared" si="502"/>
        <v>-3.8461538461538436E-2</v>
      </c>
      <c r="BP132" s="20">
        <f t="shared" si="502"/>
        <v>-8.108108108108103E-2</v>
      </c>
      <c r="BQ132" s="20">
        <f t="shared" si="502"/>
        <v>-9.722222222222221E-2</v>
      </c>
      <c r="BR132" s="20">
        <f t="shared" si="502"/>
        <v>-0.13513513513513509</v>
      </c>
      <c r="BS132" s="206">
        <f t="shared" si="502"/>
        <v>-8.7248322147650992E-2</v>
      </c>
      <c r="BT132" s="317">
        <f t="shared" si="502"/>
        <v>-0.19999999999999996</v>
      </c>
      <c r="BU132" s="20">
        <f t="shared" si="502"/>
        <v>-0.19117647058823528</v>
      </c>
      <c r="BV132" s="20">
        <f t="shared" si="502"/>
        <v>-0.27692307692307694</v>
      </c>
      <c r="BW132" s="20">
        <f t="shared" si="502"/>
        <v>-0.265625</v>
      </c>
      <c r="BX132" s="206">
        <f>BX131/BS131-1</f>
        <v>-0.23161764705882348</v>
      </c>
      <c r="BY132" s="317">
        <f t="shared" si="502"/>
        <v>-0.15000000000000002</v>
      </c>
      <c r="BZ132" s="20">
        <f t="shared" si="502"/>
        <v>1.8181818181818077E-2</v>
      </c>
      <c r="CA132" s="20">
        <f t="shared" si="502"/>
        <v>0.38297872340425543</v>
      </c>
      <c r="CB132" s="20">
        <f t="shared" ref="CB132:CK132" si="503">CB131/BW131-1</f>
        <v>0.2978723404255319</v>
      </c>
      <c r="CC132" s="206">
        <f t="shared" si="503"/>
        <v>0.1148325358851674</v>
      </c>
      <c r="CD132" s="317">
        <f t="shared" si="503"/>
        <v>0.17647058823529416</v>
      </c>
      <c r="CE132" s="20">
        <f t="shared" si="503"/>
        <v>7.1428571428571397E-2</v>
      </c>
      <c r="CF132" s="20">
        <f t="shared" si="503"/>
        <v>-3.0769230769230771E-2</v>
      </c>
      <c r="CG132" s="20">
        <f>CG131/CB131-1</f>
        <v>9.8360655737705027E-2</v>
      </c>
      <c r="CH132" s="206">
        <f>CH131/CC131-1</f>
        <v>7.296137339055786E-2</v>
      </c>
      <c r="CI132" s="317">
        <f t="shared" si="503"/>
        <v>0.10000000000000009</v>
      </c>
      <c r="CJ132" s="20">
        <f t="shared" si="503"/>
        <v>0.10000000000000009</v>
      </c>
      <c r="CK132" s="20">
        <f t="shared" si="503"/>
        <v>0.14285714285714279</v>
      </c>
      <c r="CL132" s="20">
        <f>CL131/CG131-1</f>
        <v>0.20895522388059695</v>
      </c>
      <c r="CM132" s="206">
        <f>CM131/CH131-1</f>
        <v>0.1399999999999999</v>
      </c>
      <c r="CN132" s="317">
        <f t="shared" ref="CN132:CP132" si="504">CN131/CI131-1</f>
        <v>0.27272727272727271</v>
      </c>
      <c r="CO132" s="20">
        <f t="shared" si="504"/>
        <v>0.30303030303030298</v>
      </c>
      <c r="CP132" s="20">
        <f t="shared" si="504"/>
        <v>0.23611111111111116</v>
      </c>
      <c r="CQ132" s="20">
        <f>CQ131/CL131-1</f>
        <v>0.13580246913580241</v>
      </c>
      <c r="CR132" s="206">
        <f>CR131/CM131-1</f>
        <v>0.23157894736842111</v>
      </c>
      <c r="CS132" s="317"/>
      <c r="CT132" s="20"/>
      <c r="CU132" s="20"/>
      <c r="CV132" s="20"/>
      <c r="CW132" s="206"/>
      <c r="CX132" s="317">
        <f>CX131/CS131-1</f>
        <v>0.11904761904761907</v>
      </c>
      <c r="CY132" s="20">
        <f>CY131/CT131-1</f>
        <v>0.11639692852923811</v>
      </c>
      <c r="CZ132" s="20">
        <f>CZ131/CU131-1</f>
        <v>0.1193661971830986</v>
      </c>
      <c r="DA132" s="20">
        <f>DA131/CV131-1</f>
        <v>0.11348511383537674</v>
      </c>
      <c r="DB132" s="206">
        <f>DB131/CW131-1</f>
        <v>0.11702096260873174</v>
      </c>
      <c r="DC132" s="20"/>
      <c r="DD132" s="20"/>
      <c r="DE132" s="20"/>
      <c r="DF132" s="20"/>
      <c r="DG132" s="206">
        <f>DG131/DB131-1</f>
        <v>3.6575739988392364E-2</v>
      </c>
      <c r="DH132" s="20"/>
      <c r="DI132" s="20"/>
      <c r="DJ132" s="20"/>
      <c r="DK132" s="20"/>
      <c r="DL132" s="206">
        <f>DL131/DG131-1</f>
        <v>3.0000000000000027E-2</v>
      </c>
      <c r="DM132" s="20"/>
      <c r="DN132" s="500"/>
      <c r="DO132" s="486"/>
      <c r="DP132" s="411"/>
      <c r="DQ132" s="411"/>
      <c r="DR132" s="411"/>
      <c r="DS132" s="557"/>
      <c r="DT132" s="640"/>
      <c r="DU132" s="566" t="s">
        <v>540</v>
      </c>
      <c r="DV132" s="463"/>
      <c r="DW132" s="838">
        <f>+CR127-CM127</f>
        <v>333</v>
      </c>
      <c r="DX132" s="838">
        <f>+DB127-CR127</f>
        <v>180.77999999999975</v>
      </c>
      <c r="DY132" s="838">
        <f>+DG127-DB127</f>
        <v>84.552299999999832</v>
      </c>
      <c r="DZ132" s="838">
        <f>+DL127-DG127</f>
        <v>62.508307499999773</v>
      </c>
      <c r="EA132" s="500"/>
      <c r="EH132" s="8"/>
    </row>
    <row r="133" spans="1:138" ht="12.75" customHeight="1" x14ac:dyDescent="0.2">
      <c r="A133" s="75" t="s">
        <v>153</v>
      </c>
      <c r="B133" s="32"/>
      <c r="C133" s="32">
        <f>C131/C20*4</f>
        <v>1.2620865139949109</v>
      </c>
      <c r="D133" s="32">
        <f>D131/D20*4</f>
        <v>1.2251046025104602</v>
      </c>
      <c r="E133" s="32">
        <f>E131/E20*4</f>
        <v>1.2394366197183098</v>
      </c>
      <c r="F133" s="203"/>
      <c r="G133" s="32">
        <f>G131/G20*4</f>
        <v>1.0488145048814506</v>
      </c>
      <c r="H133" s="32">
        <f>H131/H20*4</f>
        <v>0.89909365558912391</v>
      </c>
      <c r="I133" s="32">
        <f>I131/I20*4</f>
        <v>0.88512696493349452</v>
      </c>
      <c r="J133" s="32">
        <f>J131/J20*4</f>
        <v>0.87697929354445803</v>
      </c>
      <c r="K133" s="203">
        <f>K131/K20</f>
        <v>1.0387596899224807</v>
      </c>
      <c r="L133" s="32">
        <f>L131/L20*4</f>
        <v>0.8651275820170109</v>
      </c>
      <c r="M133" s="32">
        <f>M131/M20*4</f>
        <v>0.86109440769693324</v>
      </c>
      <c r="N133" s="32">
        <f>N131/N20*4</f>
        <v>0.84694494857834246</v>
      </c>
      <c r="O133" s="32">
        <f>O131/O20*4</f>
        <v>0.85662431941923778</v>
      </c>
      <c r="P133" s="203">
        <f>P131/P20</f>
        <v>0.8620060790273556</v>
      </c>
      <c r="Q133" s="32">
        <f>Q131/Q20*4</f>
        <v>0.88299155609167668</v>
      </c>
      <c r="R133" s="32">
        <f>R131/R20*4</f>
        <v>0.87157638466220333</v>
      </c>
      <c r="S133" s="32">
        <f>S131/S20*4</f>
        <v>0.88510638297872335</v>
      </c>
      <c r="T133" s="32">
        <f>T131/T20*4</f>
        <v>0.88086642599277976</v>
      </c>
      <c r="U133" s="203">
        <f>U131/U20</f>
        <v>0.87379807692307687</v>
      </c>
      <c r="V133" s="32">
        <f>V131/V20*4</f>
        <v>1.0469992769342009</v>
      </c>
      <c r="W133" s="32">
        <f>W131/W20*4</f>
        <v>1.3236363636363637</v>
      </c>
      <c r="X133" s="32">
        <f>X131/X20*4</f>
        <v>1.326007326007326</v>
      </c>
      <c r="Y133" s="32">
        <f>Y131/Y20*4</f>
        <v>1.2740740740740741</v>
      </c>
      <c r="Z133" s="203">
        <f>Z131/Z20</f>
        <v>1.0444930707512765</v>
      </c>
      <c r="AA133" s="32">
        <f>AA131/AA20*4</f>
        <v>1.0661696178937559</v>
      </c>
      <c r="AB133" s="32">
        <f>AB131/AB20*4</f>
        <v>1.1428571428571428</v>
      </c>
      <c r="AC133" s="32">
        <f>AC131/AC20*4</f>
        <v>1.0951456310679613</v>
      </c>
      <c r="AD133" s="32">
        <f>AD131/AD20*4</f>
        <v>0.8582995951417004</v>
      </c>
      <c r="AE133" s="203">
        <f>AE131/AE20</f>
        <v>1.0628683693516698</v>
      </c>
      <c r="AF133" s="32">
        <f>AF131/AF20*4</f>
        <v>0.80084299262381453</v>
      </c>
      <c r="AG133" s="32">
        <f>AG131/AG20*4</f>
        <v>0.63066954643628514</v>
      </c>
      <c r="AH133" s="32">
        <f>AH131/AH20*4</f>
        <v>0.62430323299888513</v>
      </c>
      <c r="AI133" s="32">
        <f>AI131/AI20*4</f>
        <v>0.70909090909090911</v>
      </c>
      <c r="AJ133" s="203">
        <f>AJ131/AJ20</f>
        <v>0.68695652173913047</v>
      </c>
      <c r="AK133" s="32">
        <f>AK131/AK20*4</f>
        <v>0.63636363636363635</v>
      </c>
      <c r="AL133" s="32">
        <f>AL131/AL20*4</f>
        <v>0.50909090909090904</v>
      </c>
      <c r="AM133" s="32">
        <f>AM131/AM20*4</f>
        <v>0.54298642533936647</v>
      </c>
      <c r="AN133" s="32">
        <f>AN131/AN20*4</f>
        <v>0.5393258426966292</v>
      </c>
      <c r="AO133" s="203">
        <f>AO131/AO20</f>
        <v>0.5553047404063205</v>
      </c>
      <c r="AP133" s="319"/>
      <c r="AQ133" s="32"/>
      <c r="AR133" s="32"/>
      <c r="AS133" s="32"/>
      <c r="AT133" s="203"/>
      <c r="AU133" s="32">
        <f>AU131/AU$20*4</f>
        <v>0.59073842302878599</v>
      </c>
      <c r="AV133" s="32">
        <f>AV131/AV$20*4</f>
        <v>0.61964735516372793</v>
      </c>
      <c r="AW133" s="32">
        <f>AW131/AW$20*4</f>
        <v>0.6516998075689544</v>
      </c>
      <c r="AX133" s="32">
        <f>AX131/AX$20*4</f>
        <v>0.6402081977878985</v>
      </c>
      <c r="AY133" s="203">
        <f>AY131/AY$20</f>
        <v>0.64015645371577579</v>
      </c>
      <c r="AZ133" s="319">
        <f>AZ131/AZ$20*4</f>
        <v>0.63810151615029664</v>
      </c>
      <c r="BA133" s="32">
        <f>BA131/BA$20*4</f>
        <v>0.63088137839628888</v>
      </c>
      <c r="BB133" s="32">
        <f>BB131/BB$20*4</f>
        <v>0.65208747514910537</v>
      </c>
      <c r="BC133" s="32">
        <f>BC131/BC$20*4</f>
        <v>0.62818791946308727</v>
      </c>
      <c r="BD133" s="203">
        <f>BD131/BD$20</f>
        <v>0.6370272063702721</v>
      </c>
      <c r="BE133" s="319">
        <f>BE131/BE$20*4</f>
        <v>0.60663507109004744</v>
      </c>
      <c r="BF133" s="32">
        <f>BF131/BF$20*4</f>
        <v>0.5496598639455782</v>
      </c>
      <c r="BG133" s="32">
        <f>BG131/BG$20*4</f>
        <v>0.50480109739368995</v>
      </c>
      <c r="BH133" s="32">
        <f>BH131/BH$20*4</f>
        <v>0.45335176226675883</v>
      </c>
      <c r="BI133" s="203">
        <f>BI131/BI$20</f>
        <v>0.52941176470588236</v>
      </c>
      <c r="BJ133" s="319">
        <f>BJ131/BJ$20*4</f>
        <v>0.43213296398891965</v>
      </c>
      <c r="BK133" s="32">
        <f>BK131/BK$20*4</f>
        <v>0.4085576259489303</v>
      </c>
      <c r="BL133" s="32">
        <f>BL131/BL$20*4</f>
        <v>0.39916839916839919</v>
      </c>
      <c r="BM133" s="32">
        <f>BM131/BM$20*4</f>
        <v>0.41602248770203792</v>
      </c>
      <c r="BN133" s="319">
        <f>BN131/BN$20</f>
        <v>0.417074877536739</v>
      </c>
      <c r="BO133" s="319">
        <f>BO131/BO$20*4</f>
        <v>0.42283298097251587</v>
      </c>
      <c r="BP133" s="32">
        <f>BP131/BP$20*4</f>
        <v>0.37935843793584378</v>
      </c>
      <c r="BQ133" s="32">
        <f>BQ131/BQ$20*4</f>
        <v>0.35936420179682099</v>
      </c>
      <c r="BR133" s="32">
        <f>BR131/BR$20*4</f>
        <v>0.35506241331484051</v>
      </c>
      <c r="BS133" s="203">
        <f>BS131/BS$20</f>
        <v>0.38202247191011235</v>
      </c>
      <c r="BT133" s="319">
        <f>BT131/BT$20*4</f>
        <v>0.33426183844011143</v>
      </c>
      <c r="BU133" s="32">
        <f>BU131/BU$20*4</f>
        <v>0.30428769017980634</v>
      </c>
      <c r="BV133" s="32">
        <f>BV131/BV$20*4</f>
        <v>0.25913163335630601</v>
      </c>
      <c r="BW133" s="32">
        <f>BW131/BW$20*4</f>
        <v>0.25630538513974099</v>
      </c>
      <c r="BX133" s="203">
        <f>BX131/BX$20</f>
        <v>0.28630136986301369</v>
      </c>
      <c r="BY133" s="319">
        <f>BY131/BY$20*4</f>
        <v>0.27419354838709675</v>
      </c>
      <c r="BZ133" s="32">
        <f>BZ131/BZ$20*4</f>
        <v>0.29767441860465116</v>
      </c>
      <c r="CA133" s="32">
        <f>CA131/CA$20*4</f>
        <v>0.34120734908136485</v>
      </c>
      <c r="CB133" s="32">
        <f>CB131/CB$20*4</f>
        <v>0.31770833333333331</v>
      </c>
      <c r="CC133" s="203">
        <f>CC131/CC$20</f>
        <v>0.3075907590759076</v>
      </c>
      <c r="CD133" s="319">
        <f>CD131/CD$20*4</f>
        <v>0.3080872913992298</v>
      </c>
      <c r="CE133" s="32">
        <f>CE131/CE$20*4</f>
        <v>0.3026481715006305</v>
      </c>
      <c r="CF133" s="32">
        <f>CF131/CF$20*4</f>
        <v>0.31323803604723433</v>
      </c>
      <c r="CG133" s="32">
        <f>CG131/CG$20*4</f>
        <v>0.33127317676143386</v>
      </c>
      <c r="CH133" s="203">
        <f>CH131/CH$20</f>
        <v>0.31625553447185328</v>
      </c>
      <c r="CI133" s="319">
        <f>CI131/CI$20*4</f>
        <v>0.32532347504621073</v>
      </c>
      <c r="CJ133" s="32">
        <f>CJ131/CJ$20*4</f>
        <v>0.32273838630806845</v>
      </c>
      <c r="CK133" s="32">
        <f>CK131/CK$20*4</f>
        <v>0.34866828087167068</v>
      </c>
      <c r="CL133" s="32">
        <f>CL131/CL$20*4</f>
        <v>0.38989169675090252</v>
      </c>
      <c r="CM133" s="203">
        <f>CM131/CM$20</f>
        <v>0.34734917733089582</v>
      </c>
      <c r="CN133" s="319">
        <f>CN131/CN$20*4</f>
        <v>0.40047675804529204</v>
      </c>
      <c r="CO133" s="32">
        <f>CO131/CO$20*4</f>
        <v>0.40637920850561132</v>
      </c>
      <c r="CP133" s="32">
        <f>CP131/CP$20*4</f>
        <v>0.41784037558685444</v>
      </c>
      <c r="CQ133" s="32">
        <f>CQ131/CQ$20*4</f>
        <v>0.42965557501459428</v>
      </c>
      <c r="CR133" s="203">
        <f>CR131/CR$20</f>
        <v>0.41587677725118483</v>
      </c>
      <c r="CS133" s="319">
        <f>CS131/CS$20*4</f>
        <v>0.40047675804529204</v>
      </c>
      <c r="CT133" s="32">
        <f>CT131/CT$20*4</f>
        <v>0.40637920850561132</v>
      </c>
      <c r="CU133" s="32">
        <f>CU131/CU$20*4</f>
        <v>0.41784037558685444</v>
      </c>
      <c r="CV133" s="32">
        <f>CV131/CV$20*4</f>
        <v>0.42965557501459428</v>
      </c>
      <c r="CW133" s="203">
        <f>CW131/CW$20</f>
        <v>0.41587677725118483</v>
      </c>
      <c r="CX133" s="319">
        <f>CX131/CX$20*4</f>
        <v>0.43644805571677309</v>
      </c>
      <c r="CY133" s="32">
        <f>CT133*(1+CY134)</f>
        <v>0.44295333727111635</v>
      </c>
      <c r="CZ133" s="32">
        <f>CU133*(1+CZ134)</f>
        <v>0.45962441314553992</v>
      </c>
      <c r="DA133" s="32">
        <f>CV133*(1+DA134)</f>
        <v>0.47262113251605375</v>
      </c>
      <c r="DB133" s="203">
        <f>DB131/DB$20</f>
        <v>0.45510662550860692</v>
      </c>
      <c r="DC133" s="32"/>
      <c r="DD133" s="32"/>
      <c r="DE133" s="32"/>
      <c r="DF133" s="32"/>
      <c r="DG133" s="203">
        <f>DB133*(1+DG134)</f>
        <v>0.46875982427386514</v>
      </c>
      <c r="DH133" s="32"/>
      <c r="DI133" s="32"/>
      <c r="DJ133" s="32"/>
      <c r="DK133" s="32"/>
      <c r="DL133" s="203">
        <f>DG133*(1+DL134)</f>
        <v>0.48282261900208112</v>
      </c>
      <c r="DM133" s="32"/>
      <c r="DN133" s="503"/>
      <c r="DO133" s="486"/>
      <c r="DP133" s="411"/>
      <c r="DQ133" s="411"/>
      <c r="DR133" s="411"/>
      <c r="DS133" s="556"/>
      <c r="DT133" s="556"/>
      <c r="DU133" s="461"/>
      <c r="DV133" s="462"/>
      <c r="DW133" s="462"/>
      <c r="DX133" s="462"/>
      <c r="DY133" s="462"/>
      <c r="DZ133" s="462"/>
      <c r="EA133" s="503"/>
      <c r="EH133" s="8"/>
    </row>
    <row r="134" spans="1:138" ht="12.75" customHeight="1" x14ac:dyDescent="0.2">
      <c r="A134" s="148" t="s">
        <v>244</v>
      </c>
      <c r="B134" s="20"/>
      <c r="C134" s="20"/>
      <c r="D134" s="20"/>
      <c r="E134" s="20"/>
      <c r="F134" s="199"/>
      <c r="G134" s="20"/>
      <c r="H134" s="20">
        <f>H133/C133-1</f>
        <v>-0.28761329305135941</v>
      </c>
      <c r="I134" s="20">
        <f>I133/D133-1</f>
        <v>-0.27750906892382099</v>
      </c>
      <c r="J134" s="20">
        <f>J133/E133-1</f>
        <v>-0.29243716089026672</v>
      </c>
      <c r="K134" s="199"/>
      <c r="L134" s="20">
        <f t="shared" ref="L134:AO134" si="505">L133/G133-1</f>
        <v>-0.17513766448644041</v>
      </c>
      <c r="M134" s="20">
        <f t="shared" si="505"/>
        <v>-4.2263948428478249E-2</v>
      </c>
      <c r="N134" s="20">
        <f t="shared" si="505"/>
        <v>-4.3137332685397212E-2</v>
      </c>
      <c r="O134" s="20">
        <f t="shared" si="505"/>
        <v>-2.3210324662230275E-2</v>
      </c>
      <c r="P134" s="199">
        <f t="shared" si="505"/>
        <v>-0.17015832690650101</v>
      </c>
      <c r="Q134" s="20">
        <f t="shared" si="505"/>
        <v>2.0648947561025199E-2</v>
      </c>
      <c r="R134" s="20">
        <f t="shared" si="505"/>
        <v>1.2172854534388433E-2</v>
      </c>
      <c r="S134" s="20">
        <f t="shared" si="505"/>
        <v>4.505775075987839E-2</v>
      </c>
      <c r="T134" s="20">
        <f t="shared" si="505"/>
        <v>2.8299577800893205E-2</v>
      </c>
      <c r="U134" s="199">
        <f t="shared" si="505"/>
        <v>1.3679715471411447E-2</v>
      </c>
      <c r="V134" s="20">
        <f t="shared" si="505"/>
        <v>0.18574098439679321</v>
      </c>
      <c r="W134" s="20">
        <f t="shared" si="505"/>
        <v>0.51866937531742008</v>
      </c>
      <c r="X134" s="20">
        <f t="shared" si="505"/>
        <v>0.49813327697943088</v>
      </c>
      <c r="Y134" s="20">
        <f t="shared" si="505"/>
        <v>0.446387370977535</v>
      </c>
      <c r="Z134" s="199">
        <f t="shared" si="505"/>
        <v>0.19534832856267137</v>
      </c>
      <c r="AA134" s="20">
        <f t="shared" si="505"/>
        <v>1.8309793886094328E-2</v>
      </c>
      <c r="AB134" s="20">
        <f t="shared" si="505"/>
        <v>-0.13657770800627955</v>
      </c>
      <c r="AC134" s="20">
        <f t="shared" si="505"/>
        <v>-0.17410288043769773</v>
      </c>
      <c r="AD134" s="20">
        <f t="shared" si="505"/>
        <v>-0.3263346200922701</v>
      </c>
      <c r="AE134" s="199">
        <f t="shared" si="505"/>
        <v>1.759255194213627E-2</v>
      </c>
      <c r="AF134" s="20">
        <f t="shared" si="505"/>
        <v>-0.24885967562469147</v>
      </c>
      <c r="AG134" s="20">
        <f t="shared" si="505"/>
        <v>-0.44816414686825046</v>
      </c>
      <c r="AH134" s="20">
        <f t="shared" si="505"/>
        <v>-0.42993587766945773</v>
      </c>
      <c r="AI134" s="20">
        <f t="shared" si="505"/>
        <v>-0.17384219554030877</v>
      </c>
      <c r="AJ134" s="199">
        <f t="shared" si="505"/>
        <v>-0.35367676605320253</v>
      </c>
      <c r="AK134" s="20">
        <f t="shared" si="505"/>
        <v>-0.20538277511961722</v>
      </c>
      <c r="AL134" s="20">
        <f t="shared" si="505"/>
        <v>-0.19277708592777099</v>
      </c>
      <c r="AM134" s="20">
        <f t="shared" si="505"/>
        <v>-0.13025210084033612</v>
      </c>
      <c r="AN134" s="20">
        <f t="shared" si="505"/>
        <v>-0.23941227312013835</v>
      </c>
      <c r="AO134" s="199">
        <f t="shared" si="505"/>
        <v>-0.19164499814269809</v>
      </c>
      <c r="AP134" s="317"/>
      <c r="AQ134" s="20"/>
      <c r="AR134" s="20"/>
      <c r="AS134" s="20"/>
      <c r="AT134" s="206"/>
      <c r="AU134" s="20"/>
      <c r="AV134" s="20"/>
      <c r="AW134" s="20"/>
      <c r="AX134" s="20"/>
      <c r="AY134" s="206"/>
      <c r="AZ134" s="317">
        <f t="shared" ref="AZ134:CA134" si="506">AZ133/AU133-1</f>
        <v>8.0176083483235239E-2</v>
      </c>
      <c r="BA134" s="20">
        <f t="shared" si="506"/>
        <v>1.8129704159864701E-2</v>
      </c>
      <c r="BB134" s="20">
        <f t="shared" si="506"/>
        <v>5.9485606048759188E-4</v>
      </c>
      <c r="BC134" s="20">
        <f t="shared" si="506"/>
        <v>-1.8775577017515088E-2</v>
      </c>
      <c r="BD134" s="206">
        <f t="shared" si="506"/>
        <v>-4.8882540000027008E-3</v>
      </c>
      <c r="BE134" s="317">
        <f t="shared" si="506"/>
        <v>-4.9312600368179749E-2</v>
      </c>
      <c r="BF134" s="20">
        <f t="shared" si="506"/>
        <v>-0.1287429257417253</v>
      </c>
      <c r="BG134" s="20">
        <f t="shared" si="506"/>
        <v>-0.22586904881394498</v>
      </c>
      <c r="BH134" s="20">
        <f t="shared" si="506"/>
        <v>-0.27831824169073649</v>
      </c>
      <c r="BI134" s="206">
        <f>BI133/BD133-1</f>
        <v>-0.16893382352941178</v>
      </c>
      <c r="BJ134" s="317">
        <f t="shared" si="506"/>
        <v>-0.28765581717451527</v>
      </c>
      <c r="BK134" s="20">
        <f t="shared" si="506"/>
        <v>-0.25670827952360453</v>
      </c>
      <c r="BL134" s="20">
        <f t="shared" si="506"/>
        <v>-0.20925607882129615</v>
      </c>
      <c r="BM134" s="20">
        <f t="shared" si="506"/>
        <v>-8.234064069382796E-2</v>
      </c>
      <c r="BN134" s="317">
        <f>BN133/BI133-1</f>
        <v>-0.21219189798615967</v>
      </c>
      <c r="BO134" s="317">
        <f t="shared" si="506"/>
        <v>-2.1521114544370334E-2</v>
      </c>
      <c r="BP134" s="20">
        <f t="shared" si="506"/>
        <v>-7.1468958498247193E-2</v>
      </c>
      <c r="BQ134" s="20">
        <f t="shared" si="506"/>
        <v>-9.971780695692245E-2</v>
      </c>
      <c r="BR134" s="20">
        <f t="shared" si="506"/>
        <v>-0.14653071934625328</v>
      </c>
      <c r="BS134" s="206">
        <f>BS133/BN133-1</f>
        <v>-8.4043435638338049E-2</v>
      </c>
      <c r="BT134" s="317">
        <f t="shared" si="506"/>
        <v>-0.20947075208913646</v>
      </c>
      <c r="BU134" s="20">
        <f t="shared" si="506"/>
        <v>-0.19788869904808404</v>
      </c>
      <c r="BV134" s="20">
        <f t="shared" si="506"/>
        <v>-0.27891639717966377</v>
      </c>
      <c r="BW134" s="20">
        <f t="shared" si="506"/>
        <v>-0.27813991138377636</v>
      </c>
      <c r="BX134" s="206">
        <f>BX133/BS133-1</f>
        <v>-0.25056406124093478</v>
      </c>
      <c r="BY134" s="317">
        <f t="shared" si="506"/>
        <v>-0.17970430107526891</v>
      </c>
      <c r="BZ134" s="20">
        <f t="shared" si="506"/>
        <v>-2.1733615221987246E-2</v>
      </c>
      <c r="CA134" s="20">
        <f t="shared" si="506"/>
        <v>0.31673367956664999</v>
      </c>
      <c r="CB134" s="20">
        <f t="shared" ref="CB134:CK134" si="507">CB133/BW133-1</f>
        <v>0.23956948138297851</v>
      </c>
      <c r="CC134" s="206">
        <f t="shared" si="507"/>
        <v>7.4360067585706124E-2</v>
      </c>
      <c r="CD134" s="317">
        <f t="shared" si="507"/>
        <v>0.12361247451483814</v>
      </c>
      <c r="CE134" s="20">
        <f t="shared" si="507"/>
        <v>1.6708701134930504E-2</v>
      </c>
      <c r="CF134" s="20">
        <f t="shared" si="507"/>
        <v>-8.197160204618259E-2</v>
      </c>
      <c r="CG134" s="20">
        <f t="shared" si="507"/>
        <v>4.2695900626152472E-2</v>
      </c>
      <c r="CH134" s="206">
        <f t="shared" si="507"/>
        <v>2.8169817006132414E-2</v>
      </c>
      <c r="CI134" s="317">
        <f t="shared" si="507"/>
        <v>5.594577942082557E-2</v>
      </c>
      <c r="CJ134" s="20">
        <f t="shared" si="507"/>
        <v>6.638141809290965E-2</v>
      </c>
      <c r="CK134" s="20">
        <f t="shared" si="507"/>
        <v>0.11310965063991674</v>
      </c>
      <c r="CL134" s="20">
        <f t="shared" ref="CL134" si="508">CL133/CG133-1</f>
        <v>0.17694918907268709</v>
      </c>
      <c r="CM134" s="206">
        <f t="shared" ref="CM134:CP134" si="509">CM133/CH133-1</f>
        <v>9.8318098720292513E-2</v>
      </c>
      <c r="CN134" s="317">
        <f t="shared" si="509"/>
        <v>0.2310109437642216</v>
      </c>
      <c r="CO134" s="20">
        <f t="shared" si="509"/>
        <v>0.25915982029390183</v>
      </c>
      <c r="CP134" s="20">
        <f t="shared" si="509"/>
        <v>0.19838941053729786</v>
      </c>
      <c r="CQ134" s="20">
        <f t="shared" ref="CQ134" si="510">CQ133/CL133-1</f>
        <v>0.10198698406520945</v>
      </c>
      <c r="CR134" s="206">
        <f t="shared" ref="CR134" si="511">CR133/CM133-1</f>
        <v>0.19728735345472681</v>
      </c>
      <c r="CS134" s="317"/>
      <c r="CT134" s="20"/>
      <c r="CU134" s="20"/>
      <c r="CV134" s="20"/>
      <c r="CW134" s="206"/>
      <c r="CX134" s="317"/>
      <c r="CY134" s="33">
        <v>0.09</v>
      </c>
      <c r="CZ134" s="33">
        <v>0.1</v>
      </c>
      <c r="DA134" s="33">
        <v>0.1</v>
      </c>
      <c r="DB134" s="206">
        <f>DB133/CW133-1</f>
        <v>9.4330461336935123E-2</v>
      </c>
      <c r="DC134" s="20"/>
      <c r="DD134" s="20"/>
      <c r="DE134" s="33"/>
      <c r="DF134" s="33"/>
      <c r="DG134" s="449">
        <v>0.03</v>
      </c>
      <c r="DH134" s="20"/>
      <c r="DI134" s="20"/>
      <c r="DJ134" s="33"/>
      <c r="DK134" s="33"/>
      <c r="DL134" s="449">
        <v>0.03</v>
      </c>
      <c r="DM134" s="33"/>
      <c r="DN134" s="499"/>
      <c r="DO134" s="486"/>
      <c r="DP134" s="411"/>
      <c r="DQ134" s="411"/>
      <c r="DR134" s="411"/>
      <c r="DS134" s="558"/>
      <c r="DT134" s="558"/>
      <c r="DU134" s="462"/>
      <c r="DV134" s="461"/>
      <c r="DW134" s="470"/>
      <c r="DX134" s="470"/>
      <c r="DY134" s="470"/>
      <c r="DZ134" s="470"/>
      <c r="EA134" s="499"/>
      <c r="EH134" s="8"/>
    </row>
    <row r="135" spans="1:138" ht="12.75" customHeight="1" x14ac:dyDescent="0.2">
      <c r="A135" s="144" t="s">
        <v>226</v>
      </c>
      <c r="B135" s="891">
        <v>1261</v>
      </c>
      <c r="C135" s="891">
        <v>1313</v>
      </c>
      <c r="D135" s="891">
        <v>1302</v>
      </c>
      <c r="E135" s="891">
        <v>1290</v>
      </c>
      <c r="F135" s="185">
        <f>SUM(B135:E135)</f>
        <v>5166</v>
      </c>
      <c r="G135" s="891">
        <v>1317</v>
      </c>
      <c r="H135" s="891">
        <v>1283</v>
      </c>
      <c r="I135" s="891">
        <v>1245</v>
      </c>
      <c r="J135" s="891">
        <v>1177</v>
      </c>
      <c r="K135" s="185">
        <f>SUM(G135:J135)</f>
        <v>5022</v>
      </c>
      <c r="L135" s="891">
        <v>1199</v>
      </c>
      <c r="M135" s="891">
        <v>1144</v>
      </c>
      <c r="N135" s="891">
        <v>1127</v>
      </c>
      <c r="O135" s="891">
        <v>1034</v>
      </c>
      <c r="P135" s="185">
        <f>SUM(L135:O135)</f>
        <v>4504</v>
      </c>
      <c r="Q135" s="891">
        <v>1021</v>
      </c>
      <c r="R135" s="891">
        <v>1004</v>
      </c>
      <c r="S135" s="891">
        <v>998</v>
      </c>
      <c r="T135" s="891">
        <v>980</v>
      </c>
      <c r="U135" s="185">
        <f>SUM(Q135:T135)</f>
        <v>4003</v>
      </c>
      <c r="V135" s="891">
        <v>1009</v>
      </c>
      <c r="W135" s="891">
        <v>1102</v>
      </c>
      <c r="X135" s="891">
        <v>1112</v>
      </c>
      <c r="Y135" s="891">
        <v>1332</v>
      </c>
      <c r="Z135" s="185">
        <f>SUM(V135:Y135)</f>
        <v>4555</v>
      </c>
      <c r="AA135" s="891">
        <v>1118</v>
      </c>
      <c r="AB135" s="891">
        <v>1178</v>
      </c>
      <c r="AC135" s="891">
        <v>1162</v>
      </c>
      <c r="AD135" s="891">
        <v>1385</v>
      </c>
      <c r="AE135" s="185">
        <f>SUM(AA135:AD135)</f>
        <v>4843</v>
      </c>
      <c r="AF135" s="891">
        <v>1092</v>
      </c>
      <c r="AG135" s="891">
        <v>1109</v>
      </c>
      <c r="AH135" s="891">
        <v>1151</v>
      </c>
      <c r="AI135" s="891">
        <v>1076</v>
      </c>
      <c r="AJ135" s="185">
        <f>SUM(AF135:AI135)</f>
        <v>4428</v>
      </c>
      <c r="AK135" s="891">
        <v>1089</v>
      </c>
      <c r="AL135" s="891">
        <v>1148</v>
      </c>
      <c r="AM135" s="891">
        <v>1144</v>
      </c>
      <c r="AN135" s="891">
        <v>1060</v>
      </c>
      <c r="AO135" s="185">
        <f>SUM(AK135:AN135)</f>
        <v>4441</v>
      </c>
      <c r="AP135" s="871"/>
      <c r="AQ135" s="891"/>
      <c r="AR135" s="891"/>
      <c r="AS135" s="891"/>
      <c r="AT135" s="185"/>
      <c r="AU135" s="891">
        <v>2064</v>
      </c>
      <c r="AV135" s="891">
        <v>2115</v>
      </c>
      <c r="AW135" s="891">
        <f>441+470+485+323+187+230</f>
        <v>2136</v>
      </c>
      <c r="AX135" s="891">
        <f>382+435+370+308+149+227-24+188</f>
        <v>2035</v>
      </c>
      <c r="AY135" s="185">
        <f>SUM(AU135:AX135)</f>
        <v>8350</v>
      </c>
      <c r="AZ135" s="871">
        <f>1895-26+187</f>
        <v>2056</v>
      </c>
      <c r="BA135" s="891">
        <f>392+376+329+315+161+198-22+190</f>
        <v>1939</v>
      </c>
      <c r="BB135" s="891">
        <f>415+334+384+340+181+203-25+197</f>
        <v>2029</v>
      </c>
      <c r="BC135" s="891">
        <f>419+284+336+318+161+377+121-121</f>
        <v>1895</v>
      </c>
      <c r="BD135" s="185">
        <f>SUM(AZ135:BC135)</f>
        <v>7919</v>
      </c>
      <c r="BE135" s="871">
        <f>392+364+374+313+138+376+(54-54)</f>
        <v>1957</v>
      </c>
      <c r="BF135" s="891">
        <f>395+366+377+324+165+403+82-82</f>
        <v>2030</v>
      </c>
      <c r="BG135" s="891">
        <f>405+398+404+331+190+206+433-206</f>
        <v>2161</v>
      </c>
      <c r="BH135" s="891">
        <f>395+393+364+313+434+108+180-108</f>
        <v>2079</v>
      </c>
      <c r="BI135" s="185">
        <f>SUM(BE135:BH135)</f>
        <v>8227</v>
      </c>
      <c r="BJ135" s="871">
        <f>485+425+369+313+164+429</f>
        <v>2185</v>
      </c>
      <c r="BK135" s="891">
        <f>412+440+415+485+320+181</f>
        <v>2253</v>
      </c>
      <c r="BL135" s="891">
        <v>2300</v>
      </c>
      <c r="BM135" s="891">
        <v>1981</v>
      </c>
      <c r="BN135" s="318">
        <f>SUM(BJ135:BM135)</f>
        <v>8719</v>
      </c>
      <c r="BO135" s="871">
        <v>2211</v>
      </c>
      <c r="BP135" s="891">
        <v>2268</v>
      </c>
      <c r="BQ135" s="891">
        <v>2317</v>
      </c>
      <c r="BR135" s="891">
        <f>353+377+389+324+173+359</f>
        <v>1975</v>
      </c>
      <c r="BS135" s="185">
        <f>SUM(BO135:BR135)</f>
        <v>8771</v>
      </c>
      <c r="BT135" s="871">
        <v>2092</v>
      </c>
      <c r="BU135" s="891">
        <v>2210</v>
      </c>
      <c r="BV135" s="891">
        <v>2381</v>
      </c>
      <c r="BW135" s="891">
        <v>2129</v>
      </c>
      <c r="BX135" s="185">
        <f>SUM(BT135:BW135)</f>
        <v>8812</v>
      </c>
      <c r="BY135" s="871">
        <v>2141</v>
      </c>
      <c r="BZ135" s="891">
        <v>2324</v>
      </c>
      <c r="CA135" s="891">
        <v>2510</v>
      </c>
      <c r="CB135" s="891">
        <v>2351</v>
      </c>
      <c r="CC135" s="185">
        <f>SUM(BY135:CB135)</f>
        <v>9326</v>
      </c>
      <c r="CD135" s="871">
        <v>2334</v>
      </c>
      <c r="CE135" s="891">
        <v>2540</v>
      </c>
      <c r="CF135" s="891">
        <v>2634</v>
      </c>
      <c r="CG135" s="891">
        <v>2223</v>
      </c>
      <c r="CH135" s="185">
        <f>SUM(CD135:CG135)</f>
        <v>9731</v>
      </c>
      <c r="CI135" s="871">
        <v>2343</v>
      </c>
      <c r="CJ135" s="891">
        <v>2449</v>
      </c>
      <c r="CK135" s="891">
        <v>2638</v>
      </c>
      <c r="CL135" s="891">
        <v>2477</v>
      </c>
      <c r="CM135" s="185">
        <f>SUM(CI135:CL135)</f>
        <v>9907</v>
      </c>
      <c r="CN135" s="871">
        <v>2497</v>
      </c>
      <c r="CO135" s="891">
        <v>2659</v>
      </c>
      <c r="CP135" s="891">
        <v>2854</v>
      </c>
      <c r="CQ135" s="891">
        <f>557+497+443+383+261+657</f>
        <v>2798</v>
      </c>
      <c r="CR135" s="185">
        <f>SUM(CN135:CQ135)</f>
        <v>10808</v>
      </c>
      <c r="CS135" s="871">
        <f>505+404+432+361+292+234+370</f>
        <v>2598</v>
      </c>
      <c r="CT135" s="891">
        <f>525+467+392+373+296+284+427</f>
        <v>2764</v>
      </c>
      <c r="CU135" s="891">
        <f>543+499+390+392+387+331+431</f>
        <v>2973</v>
      </c>
      <c r="CV135" s="891">
        <f>535+457+377+375+520+274+381</f>
        <v>2919</v>
      </c>
      <c r="CW135" s="185">
        <f>SUM(CS135:CV135)</f>
        <v>11254</v>
      </c>
      <c r="CX135" s="871">
        <f>544+493+435+427+373+263+410</f>
        <v>2945</v>
      </c>
      <c r="CY135" s="184">
        <f>CY137/100*CY15</f>
        <v>2917.9547999999995</v>
      </c>
      <c r="CZ135" s="184">
        <f>CZ137/100*CZ15</f>
        <v>3031.568099999999</v>
      </c>
      <c r="DA135" s="184">
        <f>DA137/100*DA15</f>
        <v>2886.3071999999997</v>
      </c>
      <c r="DB135" s="185">
        <f>SUM(CX135:DA135)</f>
        <v>11780.830099999997</v>
      </c>
      <c r="DC135" s="184"/>
      <c r="DD135" s="184"/>
      <c r="DE135" s="184"/>
      <c r="DF135" s="184"/>
      <c r="DG135" s="185">
        <f>DG137/100*DG15</f>
        <v>12377.234623812499</v>
      </c>
      <c r="DH135" s="184"/>
      <c r="DI135" s="184"/>
      <c r="DJ135" s="184"/>
      <c r="DK135" s="184"/>
      <c r="DL135" s="185">
        <f>DL137/100*DL15</f>
        <v>13003.832126643003</v>
      </c>
      <c r="DM135" s="414"/>
      <c r="DN135" s="502"/>
      <c r="DO135" s="489"/>
      <c r="DP135" s="414"/>
      <c r="DQ135" s="414"/>
      <c r="DR135" s="414"/>
      <c r="DS135" s="556"/>
      <c r="DT135" s="556"/>
      <c r="DU135" s="461"/>
      <c r="DV135" s="794"/>
      <c r="DW135" s="184"/>
      <c r="DX135" s="184"/>
      <c r="DY135" s="184"/>
      <c r="DZ135" s="184"/>
      <c r="EA135" s="502"/>
      <c r="EH135" s="318"/>
    </row>
    <row r="136" spans="1:138" ht="12.75" customHeight="1" x14ac:dyDescent="0.2">
      <c r="A136" s="142" t="s">
        <v>244</v>
      </c>
      <c r="B136" s="19"/>
      <c r="C136" s="19"/>
      <c r="D136" s="19"/>
      <c r="E136" s="19"/>
      <c r="F136" s="199"/>
      <c r="G136" s="19">
        <f>G135/B135-1</f>
        <v>4.440919904837437E-2</v>
      </c>
      <c r="H136" s="19">
        <f>H135/C135-1</f>
        <v>-2.2848438690022843E-2</v>
      </c>
      <c r="I136" s="19">
        <f>I135/D135-1</f>
        <v>-4.3778801843317949E-2</v>
      </c>
      <c r="J136" s="19">
        <f>J135/E135-1</f>
        <v>-8.759689922480618E-2</v>
      </c>
      <c r="K136" s="199">
        <f t="shared" ref="K136:AO136" si="512">K135/F135-1</f>
        <v>-2.7874564459930307E-2</v>
      </c>
      <c r="L136" s="19">
        <f t="shared" si="512"/>
        <v>-8.9597570235383395E-2</v>
      </c>
      <c r="M136" s="19">
        <f t="shared" si="512"/>
        <v>-0.10833982852689006</v>
      </c>
      <c r="N136" s="19">
        <f t="shared" si="512"/>
        <v>-9.4779116465863456E-2</v>
      </c>
      <c r="O136" s="19">
        <f t="shared" si="512"/>
        <v>-0.12149532710280375</v>
      </c>
      <c r="P136" s="199">
        <f t="shared" si="512"/>
        <v>-0.10314615690959772</v>
      </c>
      <c r="Q136" s="19">
        <f t="shared" si="512"/>
        <v>-0.1484570475396163</v>
      </c>
      <c r="R136" s="19">
        <f t="shared" si="512"/>
        <v>-0.1223776223776224</v>
      </c>
      <c r="S136" s="19">
        <f t="shared" si="512"/>
        <v>-0.11446317657497784</v>
      </c>
      <c r="T136" s="19">
        <f t="shared" si="512"/>
        <v>-5.2224371373307599E-2</v>
      </c>
      <c r="U136" s="199">
        <f t="shared" si="512"/>
        <v>-0.1112344582593251</v>
      </c>
      <c r="V136" s="19">
        <f t="shared" si="512"/>
        <v>-1.175318315377083E-2</v>
      </c>
      <c r="W136" s="19">
        <f t="shared" si="512"/>
        <v>9.7609561752987961E-2</v>
      </c>
      <c r="X136" s="19">
        <f t="shared" si="512"/>
        <v>0.11422845691382766</v>
      </c>
      <c r="Y136" s="19">
        <f t="shared" si="512"/>
        <v>0.35918367346938784</v>
      </c>
      <c r="Z136" s="199">
        <f t="shared" si="512"/>
        <v>0.13789657756682483</v>
      </c>
      <c r="AA136" s="19">
        <f t="shared" si="512"/>
        <v>0.10802775024777</v>
      </c>
      <c r="AB136" s="19">
        <f t="shared" si="512"/>
        <v>6.8965517241379226E-2</v>
      </c>
      <c r="AC136" s="19">
        <f t="shared" si="512"/>
        <v>4.496402877697836E-2</v>
      </c>
      <c r="AD136" s="19">
        <f t="shared" si="512"/>
        <v>3.9789789789789864E-2</v>
      </c>
      <c r="AE136" s="199">
        <f t="shared" si="512"/>
        <v>6.3227222832052732E-2</v>
      </c>
      <c r="AF136" s="19">
        <f t="shared" si="512"/>
        <v>-2.3255813953488413E-2</v>
      </c>
      <c r="AG136" s="19">
        <f t="shared" si="512"/>
        <v>-5.8573853989813296E-2</v>
      </c>
      <c r="AH136" s="19">
        <f t="shared" si="512"/>
        <v>-9.4664371772805733E-3</v>
      </c>
      <c r="AI136" s="19">
        <f t="shared" si="512"/>
        <v>-0.22310469314079417</v>
      </c>
      <c r="AJ136" s="199">
        <f t="shared" si="512"/>
        <v>-8.5690687590336601E-2</v>
      </c>
      <c r="AK136" s="19">
        <f t="shared" si="512"/>
        <v>-2.7472527472527375E-3</v>
      </c>
      <c r="AL136" s="19">
        <f t="shared" si="512"/>
        <v>3.5166816952209246E-2</v>
      </c>
      <c r="AM136" s="19">
        <f t="shared" si="512"/>
        <v>-6.0816681146829144E-3</v>
      </c>
      <c r="AN136" s="19">
        <f t="shared" si="512"/>
        <v>-1.4869888475836479E-2</v>
      </c>
      <c r="AO136" s="199">
        <f t="shared" si="512"/>
        <v>2.9358626919602226E-3</v>
      </c>
      <c r="AP136" s="341"/>
      <c r="AQ136" s="19"/>
      <c r="AR136" s="19"/>
      <c r="AS136" s="19"/>
      <c r="AT136" s="206"/>
      <c r="AU136" s="19"/>
      <c r="AV136" s="19"/>
      <c r="AW136" s="19"/>
      <c r="AX136" s="19"/>
      <c r="AY136" s="206"/>
      <c r="AZ136" s="341">
        <f t="shared" ref="AZ136:CA136" si="513">AZ135/AU135-1</f>
        <v>-3.8759689922480689E-3</v>
      </c>
      <c r="BA136" s="19">
        <f t="shared" si="513"/>
        <v>-8.3215130023640671E-2</v>
      </c>
      <c r="BB136" s="19">
        <f t="shared" si="513"/>
        <v>-5.0093632958801537E-2</v>
      </c>
      <c r="BC136" s="19">
        <f t="shared" si="513"/>
        <v>-6.879606879606881E-2</v>
      </c>
      <c r="BD136" s="199">
        <f t="shared" si="513"/>
        <v>-5.1616766467065922E-2</v>
      </c>
      <c r="BE136" s="341">
        <f t="shared" si="513"/>
        <v>-4.8151750972762697E-2</v>
      </c>
      <c r="BF136" s="19">
        <f t="shared" si="513"/>
        <v>4.6931407942238268E-2</v>
      </c>
      <c r="BG136" s="19">
        <f t="shared" si="513"/>
        <v>6.5056678166584447E-2</v>
      </c>
      <c r="BH136" s="19">
        <f t="shared" si="513"/>
        <v>9.7097625329815251E-2</v>
      </c>
      <c r="BI136" s="199">
        <f t="shared" si="513"/>
        <v>3.8893799722187206E-2</v>
      </c>
      <c r="BJ136" s="341">
        <f t="shared" si="513"/>
        <v>0.11650485436893199</v>
      </c>
      <c r="BK136" s="19">
        <f t="shared" si="513"/>
        <v>0.10985221674876855</v>
      </c>
      <c r="BL136" s="19">
        <f t="shared" si="513"/>
        <v>6.4322073114298828E-2</v>
      </c>
      <c r="BM136" s="19">
        <f t="shared" si="513"/>
        <v>-4.7138047138047146E-2</v>
      </c>
      <c r="BN136" s="341">
        <f t="shared" si="513"/>
        <v>5.9803087395162269E-2</v>
      </c>
      <c r="BO136" s="341">
        <f t="shared" si="513"/>
        <v>1.189931350114426E-2</v>
      </c>
      <c r="BP136" s="19">
        <f t="shared" si="513"/>
        <v>6.6577896138482195E-3</v>
      </c>
      <c r="BQ136" s="19">
        <f t="shared" si="513"/>
        <v>7.3913043478259777E-3</v>
      </c>
      <c r="BR136" s="19">
        <f t="shared" si="513"/>
        <v>-3.0287733467945221E-3</v>
      </c>
      <c r="BS136" s="199">
        <f t="shared" si="513"/>
        <v>5.9639866957219567E-3</v>
      </c>
      <c r="BT136" s="341">
        <f t="shared" si="513"/>
        <v>-5.3821800090456784E-2</v>
      </c>
      <c r="BU136" s="19">
        <f t="shared" si="513"/>
        <v>-2.5573192239858877E-2</v>
      </c>
      <c r="BV136" s="19">
        <f t="shared" si="513"/>
        <v>2.7621924902891726E-2</v>
      </c>
      <c r="BW136" s="19">
        <f t="shared" si="513"/>
        <v>7.7974683544303813E-2</v>
      </c>
      <c r="BX136" s="199">
        <f>BX135/BS135-1</f>
        <v>4.674495496522546E-3</v>
      </c>
      <c r="BY136" s="341">
        <f t="shared" si="513"/>
        <v>2.342256214149141E-2</v>
      </c>
      <c r="BZ136" s="19">
        <f t="shared" si="513"/>
        <v>5.1583710407239858E-2</v>
      </c>
      <c r="CA136" s="19">
        <f t="shared" si="513"/>
        <v>5.4178916421671497E-2</v>
      </c>
      <c r="CB136" s="19">
        <f t="shared" ref="CB136:CP136" si="514">CB135/BW135-1</f>
        <v>0.10427430718647246</v>
      </c>
      <c r="CC136" s="199">
        <f t="shared" si="514"/>
        <v>5.8329550612800762E-2</v>
      </c>
      <c r="CD136" s="341">
        <f t="shared" si="514"/>
        <v>9.0144792153199482E-2</v>
      </c>
      <c r="CE136" s="19">
        <f t="shared" si="514"/>
        <v>9.2943201376936235E-2</v>
      </c>
      <c r="CF136" s="19">
        <f t="shared" si="514"/>
        <v>4.9402390438247012E-2</v>
      </c>
      <c r="CG136" s="19">
        <f>CG135/CB135-1</f>
        <v>-5.4444917056571618E-2</v>
      </c>
      <c r="CH136" s="199">
        <f>CH135/CC135-1</f>
        <v>4.3426978340124434E-2</v>
      </c>
      <c r="CI136" s="341">
        <f t="shared" si="514"/>
        <v>3.8560411311054921E-3</v>
      </c>
      <c r="CJ136" s="19">
        <f t="shared" si="514"/>
        <v>-3.582677165354331E-2</v>
      </c>
      <c r="CK136" s="19">
        <f t="shared" si="514"/>
        <v>1.5186028853455547E-3</v>
      </c>
      <c r="CL136" s="19">
        <f>CL135/CG135-1</f>
        <v>0.11426000899685107</v>
      </c>
      <c r="CM136" s="199">
        <f>CM135/CH135-1</f>
        <v>1.8086527592231061E-2</v>
      </c>
      <c r="CN136" s="341">
        <f t="shared" si="514"/>
        <v>6.5727699530516492E-2</v>
      </c>
      <c r="CO136" s="19">
        <f t="shared" si="514"/>
        <v>8.5749285422621391E-2</v>
      </c>
      <c r="CP136" s="19">
        <f t="shared" si="514"/>
        <v>8.1880212282031906E-2</v>
      </c>
      <c r="CQ136" s="19">
        <f>CQ135/CL135-1</f>
        <v>0.12959224868792885</v>
      </c>
      <c r="CR136" s="199">
        <f>CR135/CM135-1</f>
        <v>9.0945795901887561E-2</v>
      </c>
      <c r="CS136" s="341"/>
      <c r="CT136" s="19"/>
      <c r="CU136" s="19"/>
      <c r="CV136" s="19"/>
      <c r="CW136" s="199"/>
      <c r="CX136" s="317">
        <f>CX135/CS135-1</f>
        <v>0.13356428021555034</v>
      </c>
      <c r="CY136" s="19">
        <f>CY135/CT135-1</f>
        <v>5.5699999999999861E-2</v>
      </c>
      <c r="CZ136" s="19">
        <f>CZ135/CU135-1</f>
        <v>1.9699999999999607E-2</v>
      </c>
      <c r="DA136" s="19">
        <f>DA135/CV135-1</f>
        <v>-1.1200000000000099E-2</v>
      </c>
      <c r="DB136" s="199">
        <f>DB135/CW135-1</f>
        <v>4.6812697707481643E-2</v>
      </c>
      <c r="DC136" s="19"/>
      <c r="DD136" s="19"/>
      <c r="DE136" s="19"/>
      <c r="DF136" s="19"/>
      <c r="DG136" s="199">
        <f>DG135/DB135-1</f>
        <v>5.0625000000000142E-2</v>
      </c>
      <c r="DH136" s="19"/>
      <c r="DI136" s="19"/>
      <c r="DJ136" s="19"/>
      <c r="DK136" s="19"/>
      <c r="DL136" s="199">
        <f>DL135/DG135-1</f>
        <v>5.0624999999999698E-2</v>
      </c>
      <c r="DM136" s="33"/>
      <c r="DN136" s="499"/>
      <c r="DO136" s="486"/>
      <c r="DP136" s="411"/>
      <c r="DQ136" s="411"/>
      <c r="DR136" s="411"/>
      <c r="DS136" s="556"/>
      <c r="DT136" s="556"/>
      <c r="DU136" s="611"/>
      <c r="DV136" s="461"/>
      <c r="DW136" s="797"/>
      <c r="DX136" s="797"/>
      <c r="DY136" s="461"/>
      <c r="DZ136" s="461"/>
      <c r="EA136" s="499"/>
      <c r="EH136" s="8"/>
    </row>
    <row r="137" spans="1:138" ht="12.75" customHeight="1" x14ac:dyDescent="0.2">
      <c r="A137" s="75" t="s">
        <v>317</v>
      </c>
      <c r="B137" s="32">
        <f t="shared" ref="B137:AO137" si="515">B135/B15*100</f>
        <v>3.5537143501296358</v>
      </c>
      <c r="C137" s="32">
        <f t="shared" si="515"/>
        <v>3.5355575302259203</v>
      </c>
      <c r="D137" s="32">
        <f t="shared" si="515"/>
        <v>3.4182200052507214</v>
      </c>
      <c r="E137" s="32">
        <f t="shared" si="515"/>
        <v>3.5392888498683059</v>
      </c>
      <c r="F137" s="203">
        <f t="shared" si="515"/>
        <v>3.5104886551281265</v>
      </c>
      <c r="G137" s="32">
        <f t="shared" si="515"/>
        <v>3.4908686086887375</v>
      </c>
      <c r="H137" s="32">
        <f t="shared" si="515"/>
        <v>3.355213263945187</v>
      </c>
      <c r="I137" s="32">
        <f t="shared" si="515"/>
        <v>3.2997614630267695</v>
      </c>
      <c r="J137" s="32">
        <f t="shared" si="515"/>
        <v>3.4474365512043912</v>
      </c>
      <c r="K137" s="203">
        <f t="shared" si="515"/>
        <v>3.3969773935957037</v>
      </c>
      <c r="L137" s="32">
        <f t="shared" si="515"/>
        <v>3.5536455245998813</v>
      </c>
      <c r="M137" s="32">
        <f t="shared" si="515"/>
        <v>3.1902730137482918</v>
      </c>
      <c r="N137" s="32">
        <f t="shared" si="515"/>
        <v>3.0591748099891425</v>
      </c>
      <c r="O137" s="32">
        <f t="shared" si="515"/>
        <v>2.9308390022675734</v>
      </c>
      <c r="P137" s="203">
        <f t="shared" si="515"/>
        <v>3.1781200826988618</v>
      </c>
      <c r="Q137" s="32">
        <f t="shared" si="515"/>
        <v>3.0749307312372003</v>
      </c>
      <c r="R137" s="32">
        <f t="shared" si="515"/>
        <v>3.134169944434039</v>
      </c>
      <c r="S137" s="32">
        <f t="shared" si="515"/>
        <v>2.8919991886174623</v>
      </c>
      <c r="T137" s="32">
        <f t="shared" si="515"/>
        <v>2.8294260307194827</v>
      </c>
      <c r="U137" s="203">
        <f t="shared" si="515"/>
        <v>2.9787994017100377</v>
      </c>
      <c r="V137" s="32">
        <f t="shared" si="515"/>
        <v>2.8224565722118102</v>
      </c>
      <c r="W137" s="32">
        <f t="shared" si="515"/>
        <v>2.8534438114966338</v>
      </c>
      <c r="X137" s="32">
        <f t="shared" si="515"/>
        <v>2.8391247734061835</v>
      </c>
      <c r="Y137" s="32">
        <f t="shared" si="515"/>
        <v>3.4921217523529875</v>
      </c>
      <c r="Z137" s="203">
        <f t="shared" si="515"/>
        <v>3.0030524990275516</v>
      </c>
      <c r="AA137" s="32">
        <f t="shared" si="515"/>
        <v>2.9516593183198245</v>
      </c>
      <c r="AB137" s="32">
        <f t="shared" si="515"/>
        <v>2.910438542310068</v>
      </c>
      <c r="AC137" s="32">
        <f t="shared" si="515"/>
        <v>2.8310391034230724</v>
      </c>
      <c r="AD137" s="32">
        <f t="shared" si="515"/>
        <v>3.7036046636003848</v>
      </c>
      <c r="AE137" s="203">
        <f t="shared" si="515"/>
        <v>3.0887858514091828</v>
      </c>
      <c r="AF137" s="32">
        <f t="shared" si="515"/>
        <v>3.155886942951275</v>
      </c>
      <c r="AG137" s="32">
        <f t="shared" si="515"/>
        <v>2.9402407338671188</v>
      </c>
      <c r="AH137" s="32">
        <f t="shared" si="515"/>
        <v>2.9034129606740158</v>
      </c>
      <c r="AI137" s="32">
        <f t="shared" si="515"/>
        <v>2.9862344582593252</v>
      </c>
      <c r="AJ137" s="203">
        <f t="shared" si="515"/>
        <v>2.9919929727355652</v>
      </c>
      <c r="AK137" s="32">
        <f t="shared" si="515"/>
        <v>3.086822188837552</v>
      </c>
      <c r="AL137" s="32">
        <f t="shared" si="515"/>
        <v>3.0109895874314789</v>
      </c>
      <c r="AM137" s="32">
        <f t="shared" si="515"/>
        <v>2.7941284224409544</v>
      </c>
      <c r="AN137" s="32">
        <f t="shared" si="515"/>
        <v>2.8331640562356335</v>
      </c>
      <c r="AO137" s="203">
        <f t="shared" si="515"/>
        <v>2.9262732022956848</v>
      </c>
      <c r="AP137" s="319"/>
      <c r="AQ137" s="32"/>
      <c r="AR137" s="32"/>
      <c r="AS137" s="32"/>
      <c r="AT137" s="273"/>
      <c r="AU137" s="32">
        <f t="shared" ref="AU137:BZ137" si="516">AU135/AU15*100</f>
        <v>3.4645404951741501</v>
      </c>
      <c r="AV137" s="32">
        <f t="shared" si="516"/>
        <v>3.3360147636398052</v>
      </c>
      <c r="AW137" s="32">
        <f t="shared" si="516"/>
        <v>3.2815092484483497</v>
      </c>
      <c r="AX137" s="32">
        <f t="shared" si="516"/>
        <v>3.5027023305449414</v>
      </c>
      <c r="AY137" s="203">
        <f t="shared" si="516"/>
        <v>3.3920475780374062</v>
      </c>
      <c r="AZ137" s="319">
        <f t="shared" si="516"/>
        <v>3.6885540007176179</v>
      </c>
      <c r="BA137" s="32">
        <f t="shared" si="516"/>
        <v>3.284826102424232</v>
      </c>
      <c r="BB137" s="32">
        <f t="shared" si="516"/>
        <v>3.2602757335218691</v>
      </c>
      <c r="BC137" s="32">
        <f t="shared" si="516"/>
        <v>3.5537469057084992</v>
      </c>
      <c r="BD137" s="203">
        <f t="shared" si="516"/>
        <v>3.4381553183083184</v>
      </c>
      <c r="BE137" s="319">
        <f t="shared" si="516"/>
        <v>3.6715984971023552</v>
      </c>
      <c r="BF137" s="32">
        <f t="shared" si="516"/>
        <v>3.4583801833111862</v>
      </c>
      <c r="BG137" s="32">
        <f t="shared" si="516"/>
        <v>3.3947255547399422</v>
      </c>
      <c r="BH137" s="32">
        <f t="shared" si="516"/>
        <v>3.6456173095382813</v>
      </c>
      <c r="BI137" s="203">
        <f t="shared" si="516"/>
        <v>3.5356966330171664</v>
      </c>
      <c r="BJ137" s="319">
        <f t="shared" si="516"/>
        <v>3.886601940366007</v>
      </c>
      <c r="BK137" s="32">
        <f t="shared" si="516"/>
        <v>3.746196438369831</v>
      </c>
      <c r="BL137" s="32">
        <f t="shared" si="516"/>
        <v>3.6356738642470994</v>
      </c>
      <c r="BM137" s="32">
        <f t="shared" si="516"/>
        <v>3.5995929788857794</v>
      </c>
      <c r="BN137" s="319">
        <f t="shared" si="516"/>
        <v>3.7156554105689494</v>
      </c>
      <c r="BO137" s="319">
        <f t="shared" si="516"/>
        <v>4.0637406263784737</v>
      </c>
      <c r="BP137" s="32">
        <f t="shared" si="516"/>
        <v>3.8193391936950594</v>
      </c>
      <c r="BQ137" s="32">
        <f t="shared" si="516"/>
        <v>3.7201162435977717</v>
      </c>
      <c r="BR137" s="32">
        <f t="shared" si="516"/>
        <v>3.6343896065658234</v>
      </c>
      <c r="BS137" s="203">
        <f t="shared" si="516"/>
        <v>3.8066098127292056</v>
      </c>
      <c r="BT137" s="319">
        <f t="shared" si="516"/>
        <v>3.9455320433027805</v>
      </c>
      <c r="BU137" s="32">
        <f t="shared" si="516"/>
        <v>3.6907147628590513</v>
      </c>
      <c r="BV137" s="32">
        <f t="shared" si="516"/>
        <v>3.7265428137667667</v>
      </c>
      <c r="BW137" s="32">
        <f t="shared" si="516"/>
        <v>3.8055232817946196</v>
      </c>
      <c r="BX137" s="203">
        <f t="shared" si="516"/>
        <v>3.7861991922316749</v>
      </c>
      <c r="BY137" s="319">
        <f t="shared" si="516"/>
        <v>3.9718759275749478</v>
      </c>
      <c r="BZ137" s="32">
        <f t="shared" si="516"/>
        <v>3.7594836371871816</v>
      </c>
      <c r="CA137" s="32">
        <f t="shared" ref="CA137:CX137" si="517">CA135/CA15*100</f>
        <v>3.807299092922368</v>
      </c>
      <c r="CB137" s="32">
        <f t="shared" si="517"/>
        <v>4.051422564579779</v>
      </c>
      <c r="CC137" s="203">
        <f t="shared" si="517"/>
        <v>3.8910862998381148</v>
      </c>
      <c r="CD137" s="319">
        <f t="shared" si="517"/>
        <v>4.1238934925879462</v>
      </c>
      <c r="CE137" s="32">
        <f t="shared" si="517"/>
        <v>3.9726605877660823</v>
      </c>
      <c r="CF137" s="32">
        <f t="shared" si="517"/>
        <v>3.8717643427261104</v>
      </c>
      <c r="CG137" s="32">
        <f t="shared" si="517"/>
        <v>3.819653258647056</v>
      </c>
      <c r="CH137" s="203">
        <f t="shared" si="517"/>
        <v>3.943443938337845</v>
      </c>
      <c r="CI137" s="319">
        <f t="shared" si="517"/>
        <v>4.0295812193653795</v>
      </c>
      <c r="CJ137" s="32">
        <f t="shared" si="517"/>
        <v>3.7117870837690781</v>
      </c>
      <c r="CK137" s="32">
        <f t="shared" si="517"/>
        <v>3.8216375963377178</v>
      </c>
      <c r="CL137" s="32">
        <f t="shared" si="517"/>
        <v>4.2186834710040024</v>
      </c>
      <c r="CM137" s="203">
        <f t="shared" si="517"/>
        <v>3.9334251807501581</v>
      </c>
      <c r="CN137" s="319">
        <f t="shared" si="517"/>
        <v>4.3147690553126781</v>
      </c>
      <c r="CO137" s="32">
        <f t="shared" si="517"/>
        <v>4.0149787850876528</v>
      </c>
      <c r="CP137" s="32">
        <f t="shared" si="517"/>
        <v>4.0674391095529234</v>
      </c>
      <c r="CQ137" s="32">
        <f t="shared" si="517"/>
        <v>4.6586746586746584</v>
      </c>
      <c r="CR137" s="203">
        <f t="shared" si="517"/>
        <v>4.249680526884891</v>
      </c>
      <c r="CS137" s="319">
        <f t="shared" si="517"/>
        <v>4.4892951564686978</v>
      </c>
      <c r="CT137" s="32">
        <f t="shared" si="517"/>
        <v>4.1735243933743034</v>
      </c>
      <c r="CU137" s="32">
        <f t="shared" si="517"/>
        <v>4.2370345033990331</v>
      </c>
      <c r="CV137" s="32">
        <f t="shared" si="517"/>
        <v>4.86013986013986</v>
      </c>
      <c r="CW137" s="203">
        <f t="shared" si="517"/>
        <v>4.425046692224516</v>
      </c>
      <c r="CX137" s="319">
        <f t="shared" si="517"/>
        <v>4.9532303210556075</v>
      </c>
      <c r="CY137" s="36">
        <f>CT137*(1+CY138)</f>
        <v>4.2569948812417895</v>
      </c>
      <c r="CZ137" s="36">
        <f>CU137*(1+CZ138)</f>
        <v>4.1946641583650424</v>
      </c>
      <c r="DA137" s="36">
        <f>CV137*(1+DA138)</f>
        <v>4.6657342657342653</v>
      </c>
      <c r="DB137" s="203">
        <f>DB135/DB15*100</f>
        <v>4.4941859783769962</v>
      </c>
      <c r="DC137" s="32"/>
      <c r="DD137" s="32"/>
      <c r="DE137" s="36"/>
      <c r="DF137" s="36"/>
      <c r="DG137" s="203">
        <f>DB137*(1+DG138)</f>
        <v>4.6065406278364209</v>
      </c>
      <c r="DH137" s="32"/>
      <c r="DI137" s="32"/>
      <c r="DJ137" s="36"/>
      <c r="DK137" s="36"/>
      <c r="DL137" s="203">
        <f>DG137*(1+DL138)</f>
        <v>4.7217041435323308</v>
      </c>
      <c r="DM137" s="76"/>
      <c r="DN137" s="520"/>
      <c r="DO137" s="486"/>
      <c r="DP137" s="411"/>
      <c r="DQ137" s="411"/>
      <c r="DR137" s="411"/>
      <c r="DS137" s="556"/>
      <c r="DT137" s="556"/>
      <c r="DU137" s="612"/>
      <c r="DV137" s="464"/>
      <c r="DW137" s="461"/>
      <c r="DX137" s="464"/>
      <c r="DY137" s="464"/>
      <c r="DZ137" s="851"/>
      <c r="EA137" s="520"/>
      <c r="EH137" s="8"/>
    </row>
    <row r="138" spans="1:138" ht="12.75" customHeight="1" x14ac:dyDescent="0.2">
      <c r="A138" s="148" t="s">
        <v>244</v>
      </c>
      <c r="B138" s="19"/>
      <c r="C138" s="19"/>
      <c r="D138" s="19"/>
      <c r="E138" s="19"/>
      <c r="F138" s="199"/>
      <c r="G138" s="19">
        <f>G137/B137-1</f>
        <v>-1.7684522516168366E-2</v>
      </c>
      <c r="H138" s="19">
        <f>H137/C137-1</f>
        <v>-5.100872061589945E-2</v>
      </c>
      <c r="I138" s="19">
        <f>I137/D137-1</f>
        <v>-3.4655037429418778E-2</v>
      </c>
      <c r="J138" s="19">
        <f>J137/E137-1</f>
        <v>-2.5952190555832311E-2</v>
      </c>
      <c r="K138" s="199">
        <f t="shared" ref="K138:AO138" si="518">K137/F137-1</f>
        <v>-3.2334889151857893E-2</v>
      </c>
      <c r="L138" s="19">
        <f t="shared" si="518"/>
        <v>1.79831792451004E-2</v>
      </c>
      <c r="M138" s="19">
        <f t="shared" si="518"/>
        <v>-4.915939382134904E-2</v>
      </c>
      <c r="N138" s="19">
        <f t="shared" si="518"/>
        <v>-7.2910316619354765E-2</v>
      </c>
      <c r="O138" s="19">
        <f t="shared" si="518"/>
        <v>-0.14984976264649164</v>
      </c>
      <c r="P138" s="199">
        <f t="shared" si="518"/>
        <v>-6.4427073111952948E-2</v>
      </c>
      <c r="Q138" s="19">
        <f t="shared" si="518"/>
        <v>-0.13471090181865597</v>
      </c>
      <c r="R138" s="19">
        <f t="shared" si="518"/>
        <v>-1.758566400821493E-2</v>
      </c>
      <c r="S138" s="19">
        <f t="shared" si="518"/>
        <v>-5.4647292735871322E-2</v>
      </c>
      <c r="T138" s="19">
        <f t="shared" si="518"/>
        <v>-3.4602027429561311E-2</v>
      </c>
      <c r="U138" s="199">
        <f t="shared" si="518"/>
        <v>-6.2716535499678483E-2</v>
      </c>
      <c r="V138" s="19">
        <f t="shared" si="518"/>
        <v>-8.2107267152586205E-2</v>
      </c>
      <c r="W138" s="19">
        <f t="shared" si="518"/>
        <v>-8.9569531299968475E-2</v>
      </c>
      <c r="X138" s="19">
        <f t="shared" si="518"/>
        <v>-1.828299794114252E-2</v>
      </c>
      <c r="Y138" s="19">
        <f t="shared" si="518"/>
        <v>0.23421560218875581</v>
      </c>
      <c r="Z138" s="199">
        <f t="shared" si="518"/>
        <v>8.141903514412796E-3</v>
      </c>
      <c r="AA138" s="19">
        <f t="shared" si="518"/>
        <v>4.5776699411451016E-2</v>
      </c>
      <c r="AB138" s="19">
        <f t="shared" si="518"/>
        <v>1.997401546292954E-2</v>
      </c>
      <c r="AC138" s="19">
        <f t="shared" si="518"/>
        <v>-2.8479445704002737E-3</v>
      </c>
      <c r="AD138" s="19">
        <f t="shared" si="518"/>
        <v>6.0560005132954009E-2</v>
      </c>
      <c r="AE138" s="199">
        <f t="shared" si="518"/>
        <v>2.854873579779027E-2</v>
      </c>
      <c r="AF138" s="19">
        <f t="shared" si="518"/>
        <v>6.9190784777866332E-2</v>
      </c>
      <c r="AG138" s="19">
        <f t="shared" si="518"/>
        <v>1.0239759790081848E-2</v>
      </c>
      <c r="AH138" s="19">
        <f t="shared" si="518"/>
        <v>2.5564414551333625E-2</v>
      </c>
      <c r="AI138" s="19">
        <f t="shared" si="518"/>
        <v>-0.19369513501035573</v>
      </c>
      <c r="AJ138" s="199">
        <f t="shared" si="518"/>
        <v>-3.1336869349313456E-2</v>
      </c>
      <c r="AK138" s="19">
        <f t="shared" si="518"/>
        <v>-2.188441961394727E-2</v>
      </c>
      <c r="AL138" s="19">
        <f t="shared" si="518"/>
        <v>2.4062265633368218E-2</v>
      </c>
      <c r="AM138" s="19">
        <f t="shared" si="518"/>
        <v>-3.7640025622704187E-2</v>
      </c>
      <c r="AN138" s="19">
        <f t="shared" si="518"/>
        <v>-5.1258668454625123E-2</v>
      </c>
      <c r="AO138" s="199">
        <f t="shared" si="518"/>
        <v>-2.1965215506436597E-2</v>
      </c>
      <c r="AP138" s="341"/>
      <c r="AQ138" s="19"/>
      <c r="AR138" s="19"/>
      <c r="AS138" s="19"/>
      <c r="AT138" s="206"/>
      <c r="AU138" s="19"/>
      <c r="AV138" s="19"/>
      <c r="AW138" s="19"/>
      <c r="AX138" s="19"/>
      <c r="AY138" s="206"/>
      <c r="AZ138" s="341">
        <f t="shared" ref="AZ138:CA138" si="519">AZ137/AU137-1</f>
        <v>6.4658936980388049E-2</v>
      </c>
      <c r="BA138" s="19">
        <f t="shared" si="519"/>
        <v>-1.5344254999556162E-2</v>
      </c>
      <c r="BB138" s="19">
        <f t="shared" si="519"/>
        <v>-6.4706552134572437E-3</v>
      </c>
      <c r="BC138" s="19">
        <f t="shared" si="519"/>
        <v>1.4572912667579319E-2</v>
      </c>
      <c r="BD138" s="206">
        <f t="shared" si="519"/>
        <v>1.3592893144968698E-2</v>
      </c>
      <c r="BE138" s="341">
        <f t="shared" si="519"/>
        <v>-4.596788771958904E-3</v>
      </c>
      <c r="BF138" s="19">
        <f t="shared" si="519"/>
        <v>5.2835089431026327E-2</v>
      </c>
      <c r="BG138" s="19">
        <f t="shared" si="519"/>
        <v>4.123878843610429E-2</v>
      </c>
      <c r="BH138" s="19">
        <f t="shared" si="519"/>
        <v>2.5851701392186399E-2</v>
      </c>
      <c r="BI138" s="206">
        <f>BI137/BD137-1</f>
        <v>2.8370246739417571E-2</v>
      </c>
      <c r="BJ138" s="341">
        <f t="shared" si="519"/>
        <v>5.8558538858029641E-2</v>
      </c>
      <c r="BK138" s="19">
        <f t="shared" si="519"/>
        <v>8.3222849947942601E-2</v>
      </c>
      <c r="BL138" s="19">
        <f t="shared" si="519"/>
        <v>7.0977257401774185E-2</v>
      </c>
      <c r="BM138" s="19">
        <f t="shared" si="519"/>
        <v>-1.2624564441277242E-2</v>
      </c>
      <c r="BN138" s="317">
        <f>BN137/BI137-1</f>
        <v>5.0897686150809918E-2</v>
      </c>
      <c r="BO138" s="341">
        <f t="shared" si="519"/>
        <v>4.5576750264212817E-2</v>
      </c>
      <c r="BP138" s="19">
        <f t="shared" si="519"/>
        <v>1.9524538162514649E-2</v>
      </c>
      <c r="BQ138" s="19">
        <f t="shared" si="519"/>
        <v>2.3226060010792304E-2</v>
      </c>
      <c r="BR138" s="19">
        <f t="shared" si="519"/>
        <v>9.6668228558483005E-3</v>
      </c>
      <c r="BS138" s="206">
        <f>BS137/BN137-1</f>
        <v>2.4478696786990106E-2</v>
      </c>
      <c r="BT138" s="341">
        <f t="shared" si="519"/>
        <v>-2.9088614147364633E-2</v>
      </c>
      <c r="BU138" s="19">
        <f t="shared" si="519"/>
        <v>-3.3677142645078595E-2</v>
      </c>
      <c r="BV138" s="19">
        <f t="shared" si="519"/>
        <v>1.7275186440894874E-3</v>
      </c>
      <c r="BW138" s="19">
        <f t="shared" si="519"/>
        <v>4.7087322426750511E-2</v>
      </c>
      <c r="BX138" s="206">
        <f>BX137/BS137-1</f>
        <v>-5.361889319277835E-3</v>
      </c>
      <c r="BY138" s="341">
        <f t="shared" si="519"/>
        <v>6.6768902097460447E-3</v>
      </c>
      <c r="BZ138" s="19">
        <f t="shared" si="519"/>
        <v>1.863294205777577E-2</v>
      </c>
      <c r="CA138" s="19">
        <f t="shared" si="519"/>
        <v>2.1670562553921968E-2</v>
      </c>
      <c r="CB138" s="19">
        <f t="shared" ref="CB138:CK138" si="520">CB137/BW137-1</f>
        <v>6.4616417921163682E-2</v>
      </c>
      <c r="CC138" s="206">
        <f t="shared" si="520"/>
        <v>2.7702480054837553E-2</v>
      </c>
      <c r="CD138" s="341">
        <f t="shared" si="520"/>
        <v>3.8273492874641102E-2</v>
      </c>
      <c r="CE138" s="19">
        <f t="shared" si="520"/>
        <v>5.6703784655490086E-2</v>
      </c>
      <c r="CF138" s="19">
        <f t="shared" si="520"/>
        <v>1.6932016169567854E-2</v>
      </c>
      <c r="CG138" s="19">
        <f t="shared" si="520"/>
        <v>-5.7206895167885907E-2</v>
      </c>
      <c r="CH138" s="206">
        <f t="shared" si="520"/>
        <v>1.3455789582952349E-2</v>
      </c>
      <c r="CI138" s="341">
        <f t="shared" si="520"/>
        <v>-2.2869716056459377E-2</v>
      </c>
      <c r="CJ138" s="19">
        <f t="shared" si="520"/>
        <v>-6.5667201673450637E-2</v>
      </c>
      <c r="CK138" s="19">
        <f t="shared" si="520"/>
        <v>-1.2946745191908637E-2</v>
      </c>
      <c r="CL138" s="19">
        <f t="shared" ref="CL138" si="521">CL137/CG137-1</f>
        <v>0.10446765330167307</v>
      </c>
      <c r="CM138" s="206">
        <f t="shared" ref="CM138:CP138" si="522">CM137/CH137-1</f>
        <v>-2.5406111369519202E-3</v>
      </c>
      <c r="CN138" s="341">
        <f t="shared" si="522"/>
        <v>7.0773566885000694E-2</v>
      </c>
      <c r="CO138" s="19">
        <f t="shared" si="522"/>
        <v>8.1683484121266803E-2</v>
      </c>
      <c r="CP138" s="19">
        <f t="shared" si="522"/>
        <v>6.4318373215387359E-2</v>
      </c>
      <c r="CQ138" s="19">
        <f t="shared" ref="CQ138" si="523">CQ137/CL137-1</f>
        <v>0.10429585217635262</v>
      </c>
      <c r="CR138" s="206">
        <f t="shared" ref="CR138" si="524">CR137/CM137-1</f>
        <v>8.0402024088944035E-2</v>
      </c>
      <c r="CS138" s="341"/>
      <c r="CT138" s="19"/>
      <c r="CU138" s="19"/>
      <c r="CV138" s="19"/>
      <c r="CW138" s="206"/>
      <c r="CX138" s="341">
        <f>CX137/CS137-1</f>
        <v>0.10334254006854904</v>
      </c>
      <c r="CY138" s="33">
        <v>0.02</v>
      </c>
      <c r="CZ138" s="33">
        <v>-0.01</v>
      </c>
      <c r="DA138" s="33">
        <v>-0.04</v>
      </c>
      <c r="DB138" s="206">
        <f>DB137/CW137-1</f>
        <v>1.5624532566846927E-2</v>
      </c>
      <c r="DC138" s="19"/>
      <c r="DD138" s="20"/>
      <c r="DE138" s="33"/>
      <c r="DF138" s="33"/>
      <c r="DG138" s="449">
        <v>2.5000000000000001E-2</v>
      </c>
      <c r="DH138" s="19"/>
      <c r="DI138" s="20"/>
      <c r="DJ138" s="33"/>
      <c r="DK138" s="33"/>
      <c r="DL138" s="449">
        <v>2.5000000000000001E-2</v>
      </c>
      <c r="DM138" s="33"/>
      <c r="DN138" s="499"/>
      <c r="DO138" s="486"/>
      <c r="DP138" s="825"/>
      <c r="DQ138" s="411"/>
      <c r="DR138" s="411"/>
      <c r="DS138" s="474"/>
      <c r="DT138" s="559"/>
      <c r="DU138" s="850"/>
      <c r="DV138" s="850"/>
      <c r="DW138" s="850"/>
      <c r="DX138" s="850"/>
      <c r="DY138" s="850"/>
      <c r="DZ138" s="850"/>
      <c r="EA138" s="499"/>
      <c r="EH138" s="8"/>
    </row>
    <row r="139" spans="1:138" ht="12.75" customHeight="1" x14ac:dyDescent="0.2">
      <c r="A139" s="144" t="s">
        <v>2</v>
      </c>
      <c r="B139" s="184">
        <f t="shared" ref="B139:AO139" si="525">B135+B131+B127+B115+B94+B80</f>
        <v>3605</v>
      </c>
      <c r="C139" s="184">
        <f t="shared" si="525"/>
        <v>3777</v>
      </c>
      <c r="D139" s="184">
        <f t="shared" si="525"/>
        <v>3813</v>
      </c>
      <c r="E139" s="184">
        <f t="shared" si="525"/>
        <v>3839</v>
      </c>
      <c r="F139" s="185">
        <f t="shared" si="525"/>
        <v>15034</v>
      </c>
      <c r="G139" s="184">
        <f t="shared" si="525"/>
        <v>3957</v>
      </c>
      <c r="H139" s="184">
        <f t="shared" si="525"/>
        <v>3830</v>
      </c>
      <c r="I139" s="184">
        <f t="shared" si="525"/>
        <v>3752</v>
      </c>
      <c r="J139" s="184">
        <f t="shared" si="525"/>
        <v>3457</v>
      </c>
      <c r="K139" s="185">
        <f t="shared" si="525"/>
        <v>14996</v>
      </c>
      <c r="L139" s="184">
        <f t="shared" si="525"/>
        <v>3498</v>
      </c>
      <c r="M139" s="184">
        <f t="shared" si="525"/>
        <v>3578</v>
      </c>
      <c r="N139" s="184">
        <f t="shared" si="525"/>
        <v>3614</v>
      </c>
      <c r="O139" s="184">
        <f t="shared" si="525"/>
        <v>3519</v>
      </c>
      <c r="P139" s="185">
        <f t="shared" si="525"/>
        <v>14209</v>
      </c>
      <c r="Q139" s="184">
        <f t="shared" si="525"/>
        <v>3647</v>
      </c>
      <c r="R139" s="184">
        <f t="shared" si="525"/>
        <v>3509.45</v>
      </c>
      <c r="S139" s="184">
        <f t="shared" si="525"/>
        <v>3524</v>
      </c>
      <c r="T139" s="184">
        <f t="shared" si="525"/>
        <v>3532</v>
      </c>
      <c r="U139" s="185">
        <f t="shared" si="525"/>
        <v>14212.45</v>
      </c>
      <c r="V139" s="184">
        <f t="shared" si="525"/>
        <v>3917</v>
      </c>
      <c r="W139" s="184">
        <f t="shared" si="525"/>
        <v>4085</v>
      </c>
      <c r="X139" s="184">
        <f t="shared" si="525"/>
        <v>4240</v>
      </c>
      <c r="Y139" s="184">
        <f t="shared" si="525"/>
        <v>4467</v>
      </c>
      <c r="Z139" s="185">
        <f t="shared" si="525"/>
        <v>16709</v>
      </c>
      <c r="AA139" s="184">
        <f t="shared" si="525"/>
        <v>4073</v>
      </c>
      <c r="AB139" s="184">
        <f t="shared" si="525"/>
        <v>4218</v>
      </c>
      <c r="AC139" s="184">
        <f t="shared" si="525"/>
        <v>4371</v>
      </c>
      <c r="AD139" s="184">
        <f t="shared" si="525"/>
        <v>4642</v>
      </c>
      <c r="AE139" s="185">
        <f t="shared" si="525"/>
        <v>17304</v>
      </c>
      <c r="AF139" s="184">
        <f t="shared" si="525"/>
        <v>4279</v>
      </c>
      <c r="AG139" s="184">
        <f t="shared" si="525"/>
        <v>4372</v>
      </c>
      <c r="AH139" s="184">
        <f t="shared" si="525"/>
        <v>4583</v>
      </c>
      <c r="AI139" s="184">
        <f t="shared" si="525"/>
        <v>4240</v>
      </c>
      <c r="AJ139" s="185">
        <f t="shared" si="525"/>
        <v>17474</v>
      </c>
      <c r="AK139" s="184">
        <f t="shared" si="525"/>
        <v>4086</v>
      </c>
      <c r="AL139" s="184">
        <f t="shared" si="525"/>
        <v>4491</v>
      </c>
      <c r="AM139" s="184">
        <f t="shared" si="525"/>
        <v>4774</v>
      </c>
      <c r="AN139" s="184">
        <f t="shared" si="525"/>
        <v>4685</v>
      </c>
      <c r="AO139" s="185">
        <f t="shared" si="525"/>
        <v>18036</v>
      </c>
      <c r="AP139" s="318"/>
      <c r="AQ139" s="184"/>
      <c r="AR139" s="184"/>
      <c r="AS139" s="184"/>
      <c r="AT139" s="185"/>
      <c r="AU139" s="184">
        <f t="shared" ref="AU139:CH139" si="526">AU135+AU131+AU127+AU115+AU94+AU80</f>
        <v>8158</v>
      </c>
      <c r="AV139" s="184">
        <f t="shared" si="526"/>
        <v>8850</v>
      </c>
      <c r="AW139" s="184">
        <f t="shared" si="526"/>
        <v>9316</v>
      </c>
      <c r="AX139" s="184">
        <f t="shared" si="526"/>
        <v>7914</v>
      </c>
      <c r="AY139" s="185">
        <f t="shared" si="526"/>
        <v>34238</v>
      </c>
      <c r="AZ139" s="318">
        <f t="shared" si="526"/>
        <v>7066</v>
      </c>
      <c r="BA139" s="184">
        <f t="shared" si="526"/>
        <v>6941</v>
      </c>
      <c r="BB139" s="184">
        <f t="shared" si="526"/>
        <v>7241</v>
      </c>
      <c r="BC139" s="184">
        <f t="shared" si="526"/>
        <v>6730</v>
      </c>
      <c r="BD139" s="185">
        <f t="shared" si="526"/>
        <v>27978</v>
      </c>
      <c r="BE139" s="318">
        <f t="shared" si="526"/>
        <v>6726</v>
      </c>
      <c r="BF139" s="184">
        <f t="shared" si="526"/>
        <v>7234</v>
      </c>
      <c r="BG139" s="184">
        <f t="shared" si="526"/>
        <v>7741</v>
      </c>
      <c r="BH139" s="184">
        <f t="shared" si="526"/>
        <v>7387</v>
      </c>
      <c r="BI139" s="185">
        <f t="shared" si="526"/>
        <v>29088</v>
      </c>
      <c r="BJ139" s="318">
        <f t="shared" si="526"/>
        <v>7861</v>
      </c>
      <c r="BK139" s="184">
        <f t="shared" si="526"/>
        <v>8517</v>
      </c>
      <c r="BL139" s="184">
        <f t="shared" si="526"/>
        <v>8745</v>
      </c>
      <c r="BM139" s="184">
        <f t="shared" si="526"/>
        <v>7749</v>
      </c>
      <c r="BN139" s="318">
        <f t="shared" si="526"/>
        <v>32872</v>
      </c>
      <c r="BO139" s="318">
        <f t="shared" si="526"/>
        <v>8194</v>
      </c>
      <c r="BP139" s="184">
        <f t="shared" si="526"/>
        <v>8844</v>
      </c>
      <c r="BQ139" s="184">
        <f t="shared" si="526"/>
        <v>8906</v>
      </c>
      <c r="BR139" s="184">
        <f t="shared" si="526"/>
        <v>8125</v>
      </c>
      <c r="BS139" s="185">
        <f t="shared" si="526"/>
        <v>34069</v>
      </c>
      <c r="BT139" s="318">
        <f t="shared" si="526"/>
        <v>8200</v>
      </c>
      <c r="BU139" s="184">
        <f t="shared" si="526"/>
        <v>8634</v>
      </c>
      <c r="BV139" s="184">
        <f t="shared" si="526"/>
        <v>9106</v>
      </c>
      <c r="BW139" s="184">
        <f t="shared" si="526"/>
        <v>8307</v>
      </c>
      <c r="BX139" s="185">
        <f t="shared" si="526"/>
        <v>34247</v>
      </c>
      <c r="BY139" s="318">
        <f t="shared" si="526"/>
        <v>8213</v>
      </c>
      <c r="BZ139" s="184">
        <f t="shared" si="526"/>
        <v>9013</v>
      </c>
      <c r="CA139" s="184">
        <f t="shared" si="526"/>
        <v>9426</v>
      </c>
      <c r="CB139" s="184">
        <f t="shared" si="526"/>
        <v>8442</v>
      </c>
      <c r="CC139" s="185">
        <f t="shared" si="526"/>
        <v>35094</v>
      </c>
      <c r="CD139" s="318">
        <f t="shared" si="526"/>
        <v>8569</v>
      </c>
      <c r="CE139" s="184">
        <f t="shared" si="526"/>
        <v>8928</v>
      </c>
      <c r="CF139" s="184">
        <f t="shared" si="526"/>
        <v>8795</v>
      </c>
      <c r="CG139" s="184">
        <f t="shared" si="526"/>
        <v>7876</v>
      </c>
      <c r="CH139" s="185">
        <f t="shared" si="526"/>
        <v>34168</v>
      </c>
      <c r="CI139" s="318">
        <f>CI135+CI131+CI127+CI115+CI94+CI80</f>
        <v>7556</v>
      </c>
      <c r="CJ139" s="184">
        <f t="shared" ref="CJ139:CM139" si="527">CJ135+CJ131+CJ127+CJ115+CJ94+CJ80</f>
        <v>8641</v>
      </c>
      <c r="CK139" s="184">
        <f t="shared" si="527"/>
        <v>8491</v>
      </c>
      <c r="CL139" s="184">
        <f t="shared" si="527"/>
        <v>8449</v>
      </c>
      <c r="CM139" s="185">
        <f t="shared" si="527"/>
        <v>33137</v>
      </c>
      <c r="CN139" s="318">
        <f>CN135+CN131+CN127+CN115+CN94+CN80</f>
        <v>8179</v>
      </c>
      <c r="CO139" s="184">
        <f t="shared" ref="CO139:CR139" si="528">CO135+CO131+CO127+CO115+CO94+CO80</f>
        <v>8815</v>
      </c>
      <c r="CP139" s="184">
        <f t="shared" si="528"/>
        <v>9295</v>
      </c>
      <c r="CQ139" s="184">
        <f t="shared" si="528"/>
        <v>9101</v>
      </c>
      <c r="CR139" s="185">
        <f t="shared" si="528"/>
        <v>35390</v>
      </c>
      <c r="CS139" s="318">
        <f>CS135+CS131+CS127+CS115+CS94+CS80</f>
        <v>8102</v>
      </c>
      <c r="CT139" s="184">
        <f t="shared" ref="CT139:CW139" si="529">CT135+CT131+CT127+CT115+CT94+CT80</f>
        <v>8765</v>
      </c>
      <c r="CU139" s="184">
        <f t="shared" si="529"/>
        <v>9238</v>
      </c>
      <c r="CV139" s="184">
        <f t="shared" si="529"/>
        <v>9067</v>
      </c>
      <c r="CW139" s="185">
        <f t="shared" si="529"/>
        <v>35172</v>
      </c>
      <c r="CX139" s="318">
        <f>CX135+CX131+CX127+CX115+CX94+CX80</f>
        <v>9128</v>
      </c>
      <c r="CY139" s="184">
        <f>CY135+CY131+CY127+CY115+CY94+CY80</f>
        <v>9777.6345504804158</v>
      </c>
      <c r="CZ139" s="184">
        <f t="shared" ref="CZ139" si="530">CZ135+CZ131+CZ127+CZ115+CZ94+CZ80</f>
        <v>10020.543882225087</v>
      </c>
      <c r="DA139" s="184">
        <f>DA135+DA131+DA127+DA115+DA94+DA80</f>
        <v>9388.4674578869799</v>
      </c>
      <c r="DB139" s="185">
        <f>DB135+DB131+DB127+DB115+DB94+DB80</f>
        <v>38314.645890592481</v>
      </c>
      <c r="DC139" s="184"/>
      <c r="DD139" s="184"/>
      <c r="DE139" s="184"/>
      <c r="DF139" s="184"/>
      <c r="DG139" s="185">
        <f>DG135+DG131+DG127+DG115+DG94+DG80</f>
        <v>39295.679543127932</v>
      </c>
      <c r="DH139" s="184"/>
      <c r="DI139" s="184"/>
      <c r="DJ139" s="184"/>
      <c r="DK139" s="184"/>
      <c r="DL139" s="185">
        <f>DL135+DL131+DL127+DL115+DL94+DL80</f>
        <v>40232.1064996235</v>
      </c>
      <c r="DM139" s="414"/>
      <c r="DN139" s="502"/>
      <c r="DO139" s="489"/>
      <c r="DP139" s="414"/>
      <c r="DQ139" s="414"/>
      <c r="DR139" s="414"/>
      <c r="DS139" s="474"/>
      <c r="DT139" s="556"/>
      <c r="DU139" s="461"/>
      <c r="DV139" s="852"/>
      <c r="DW139" s="852"/>
      <c r="DX139" s="852"/>
      <c r="DY139" s="852"/>
      <c r="DZ139" s="463"/>
      <c r="EA139" s="502"/>
      <c r="EH139" s="318"/>
    </row>
    <row r="140" spans="1:138" ht="12.75" customHeight="1" x14ac:dyDescent="0.2">
      <c r="A140" s="142" t="s">
        <v>244</v>
      </c>
      <c r="B140" s="20"/>
      <c r="C140" s="20"/>
      <c r="D140" s="20"/>
      <c r="E140" s="20"/>
      <c r="F140" s="199"/>
      <c r="G140" s="20">
        <f>G139/B139-1</f>
        <v>9.7642163661581183E-2</v>
      </c>
      <c r="H140" s="20">
        <f>H139/C139-1</f>
        <v>1.403230076780515E-2</v>
      </c>
      <c r="I140" s="20">
        <f>I139/D139-1</f>
        <v>-1.599790191450301E-2</v>
      </c>
      <c r="J140" s="20">
        <f>J139/E139-1</f>
        <v>-9.9505079447772871E-2</v>
      </c>
      <c r="K140" s="199">
        <f t="shared" ref="K140:AO140" si="531">K139/F139-1</f>
        <v>-2.5276040973792879E-3</v>
      </c>
      <c r="L140" s="20">
        <f t="shared" si="531"/>
        <v>-0.11599696739954513</v>
      </c>
      <c r="M140" s="20">
        <f t="shared" si="531"/>
        <v>-6.57963446475196E-2</v>
      </c>
      <c r="N140" s="20">
        <f t="shared" si="531"/>
        <v>-3.6780383795309124E-2</v>
      </c>
      <c r="O140" s="20">
        <f t="shared" si="531"/>
        <v>1.7934625397743709E-2</v>
      </c>
      <c r="P140" s="199">
        <f t="shared" si="531"/>
        <v>-5.248066150973596E-2</v>
      </c>
      <c r="Q140" s="20">
        <f t="shared" si="531"/>
        <v>4.2595769010863371E-2</v>
      </c>
      <c r="R140" s="20">
        <f t="shared" si="531"/>
        <v>-1.9158747903856965E-2</v>
      </c>
      <c r="S140" s="20">
        <f t="shared" si="531"/>
        <v>-2.4903154399557259E-2</v>
      </c>
      <c r="T140" s="20">
        <f t="shared" si="531"/>
        <v>3.6942313157146689E-3</v>
      </c>
      <c r="U140" s="199">
        <f t="shared" si="531"/>
        <v>2.42803856710605E-4</v>
      </c>
      <c r="V140" s="20">
        <f t="shared" si="531"/>
        <v>7.403345215245416E-2</v>
      </c>
      <c r="W140" s="20">
        <f t="shared" si="531"/>
        <v>0.16400005698898701</v>
      </c>
      <c r="X140" s="20">
        <f t="shared" si="531"/>
        <v>0.203178206583428</v>
      </c>
      <c r="Y140" s="20">
        <f t="shared" si="531"/>
        <v>0.26472253680634195</v>
      </c>
      <c r="Z140" s="199">
        <f t="shared" si="531"/>
        <v>0.17565936907429758</v>
      </c>
      <c r="AA140" s="20">
        <f t="shared" si="531"/>
        <v>3.9826397753382592E-2</v>
      </c>
      <c r="AB140" s="20">
        <f t="shared" si="531"/>
        <v>3.2558139534883734E-2</v>
      </c>
      <c r="AC140" s="20">
        <f t="shared" si="531"/>
        <v>3.0896226415094263E-2</v>
      </c>
      <c r="AD140" s="20">
        <f t="shared" si="531"/>
        <v>3.9176180882023681E-2</v>
      </c>
      <c r="AE140" s="199">
        <f t="shared" si="531"/>
        <v>3.5609551738583933E-2</v>
      </c>
      <c r="AF140" s="20">
        <f t="shared" si="531"/>
        <v>5.05769702921679E-2</v>
      </c>
      <c r="AG140" s="20">
        <f t="shared" si="531"/>
        <v>3.6510194404931307E-2</v>
      </c>
      <c r="AH140" s="20">
        <f t="shared" si="531"/>
        <v>4.8501487073896232E-2</v>
      </c>
      <c r="AI140" s="20">
        <f t="shared" si="531"/>
        <v>-8.6600603188280889E-2</v>
      </c>
      <c r="AJ140" s="199">
        <f t="shared" si="531"/>
        <v>9.8243180767452198E-3</v>
      </c>
      <c r="AK140" s="20">
        <f t="shared" si="531"/>
        <v>-4.5103996260808632E-2</v>
      </c>
      <c r="AL140" s="20">
        <f t="shared" si="531"/>
        <v>2.7218664226898337E-2</v>
      </c>
      <c r="AM140" s="20">
        <f t="shared" si="531"/>
        <v>4.1675758236962679E-2</v>
      </c>
      <c r="AN140" s="20">
        <f t="shared" si="531"/>
        <v>0.10495283018867929</v>
      </c>
      <c r="AO140" s="199">
        <f t="shared" si="531"/>
        <v>3.216206936019228E-2</v>
      </c>
      <c r="AP140" s="317"/>
      <c r="AQ140" s="20"/>
      <c r="AR140" s="20"/>
      <c r="AS140" s="20"/>
      <c r="AT140" s="206"/>
      <c r="AU140" s="20"/>
      <c r="AV140" s="20"/>
      <c r="AW140" s="20"/>
      <c r="AX140" s="20"/>
      <c r="AY140" s="206"/>
      <c r="AZ140" s="317">
        <f t="shared" ref="AZ140:BI140" si="532">AZ139/AU139-1</f>
        <v>-0.13385633733758273</v>
      </c>
      <c r="BA140" s="20">
        <f t="shared" si="532"/>
        <v>-0.21570621468926554</v>
      </c>
      <c r="BB140" s="20">
        <f t="shared" si="532"/>
        <v>-0.22273507943323312</v>
      </c>
      <c r="BC140" s="20">
        <f t="shared" si="532"/>
        <v>-0.14960828910791002</v>
      </c>
      <c r="BD140" s="206">
        <f t="shared" si="532"/>
        <v>-0.18283778258075822</v>
      </c>
      <c r="BE140" s="317">
        <f t="shared" si="532"/>
        <v>-4.8117746957260121E-2</v>
      </c>
      <c r="BF140" s="20">
        <f t="shared" si="532"/>
        <v>4.2212937617058133E-2</v>
      </c>
      <c r="BG140" s="20">
        <f t="shared" si="532"/>
        <v>6.9051236017124706E-2</v>
      </c>
      <c r="BH140" s="20">
        <f t="shared" si="532"/>
        <v>9.7622585438335907E-2</v>
      </c>
      <c r="BI140" s="206">
        <f t="shared" si="532"/>
        <v>3.9674029594681581E-2</v>
      </c>
      <c r="BJ140" s="317">
        <f t="shared" ref="BJ140:CA140" si="533">BJ139/BE139-1</f>
        <v>0.16874814154029139</v>
      </c>
      <c r="BK140" s="20">
        <f t="shared" si="533"/>
        <v>0.1773569256289742</v>
      </c>
      <c r="BL140" s="20">
        <f t="shared" si="533"/>
        <v>0.12969900529647327</v>
      </c>
      <c r="BM140" s="20">
        <f t="shared" si="533"/>
        <v>4.9005008799241967E-2</v>
      </c>
      <c r="BN140" s="317">
        <f t="shared" si="533"/>
        <v>0.13008800880088001</v>
      </c>
      <c r="BO140" s="317">
        <f t="shared" si="533"/>
        <v>4.2361022770639911E-2</v>
      </c>
      <c r="BP140" s="20">
        <f t="shared" si="533"/>
        <v>3.8393800634026087E-2</v>
      </c>
      <c r="BQ140" s="20">
        <f t="shared" si="533"/>
        <v>1.8410520297312827E-2</v>
      </c>
      <c r="BR140" s="20">
        <f t="shared" si="533"/>
        <v>4.8522389985804715E-2</v>
      </c>
      <c r="BS140" s="206">
        <f t="shared" si="533"/>
        <v>3.6413969335604701E-2</v>
      </c>
      <c r="BT140" s="317">
        <f t="shared" si="533"/>
        <v>7.3224310471076137E-4</v>
      </c>
      <c r="BU140" s="20">
        <f t="shared" si="533"/>
        <v>-2.3744911804613245E-2</v>
      </c>
      <c r="BV140" s="20">
        <f t="shared" si="533"/>
        <v>2.2456770716370977E-2</v>
      </c>
      <c r="BW140" s="20">
        <f t="shared" si="533"/>
        <v>2.2399999999999975E-2</v>
      </c>
      <c r="BX140" s="206">
        <f>BX139/BS139-1</f>
        <v>5.2246910681263969E-3</v>
      </c>
      <c r="BY140" s="317">
        <f t="shared" si="533"/>
        <v>1.585365853658427E-3</v>
      </c>
      <c r="BZ140" s="20">
        <f t="shared" si="533"/>
        <v>4.3896224229789116E-2</v>
      </c>
      <c r="CA140" s="20">
        <f t="shared" si="533"/>
        <v>3.51416648363716E-2</v>
      </c>
      <c r="CB140" s="20">
        <f t="shared" ref="CB140:CK140" si="534">CB139/BW139-1</f>
        <v>1.6251354279523289E-2</v>
      </c>
      <c r="CC140" s="206">
        <f t="shared" si="534"/>
        <v>2.4732093322042736E-2</v>
      </c>
      <c r="CD140" s="317">
        <f t="shared" si="534"/>
        <v>4.3345915012784619E-2</v>
      </c>
      <c r="CE140" s="20">
        <f t="shared" si="534"/>
        <v>-9.4308221457893859E-3</v>
      </c>
      <c r="CF140" s="20">
        <f t="shared" si="534"/>
        <v>-6.694249946955233E-2</v>
      </c>
      <c r="CG140" s="20">
        <f>CG139/CB139-1</f>
        <v>-6.7045723762141685E-2</v>
      </c>
      <c r="CH140" s="206">
        <f>CH139/CC139-1</f>
        <v>-2.6386276856442681E-2</v>
      </c>
      <c r="CI140" s="317">
        <f t="shared" si="534"/>
        <v>-0.11821682810129541</v>
      </c>
      <c r="CJ140" s="20">
        <f t="shared" si="534"/>
        <v>-3.2146057347670287E-2</v>
      </c>
      <c r="CK140" s="20">
        <f t="shared" si="534"/>
        <v>-3.4565093803297309E-2</v>
      </c>
      <c r="CL140" s="20">
        <f>CL139/CG139-1</f>
        <v>7.2752666328085303E-2</v>
      </c>
      <c r="CM140" s="206">
        <f>CM139/CH139-1</f>
        <v>-3.0174432217279334E-2</v>
      </c>
      <c r="CN140" s="317">
        <f t="shared" ref="CN140:CP140" si="535">CN139/CI139-1</f>
        <v>8.2451032292218063E-2</v>
      </c>
      <c r="CO140" s="20">
        <f t="shared" si="535"/>
        <v>2.0136558268718963E-2</v>
      </c>
      <c r="CP140" s="20">
        <f t="shared" si="535"/>
        <v>9.4688493699210952E-2</v>
      </c>
      <c r="CQ140" s="20">
        <f>CQ139/CL139-1</f>
        <v>7.7168895727304898E-2</v>
      </c>
      <c r="CR140" s="206">
        <f>CR139/CM139-1</f>
        <v>6.7990463831970382E-2</v>
      </c>
      <c r="CS140" s="317"/>
      <c r="CT140" s="20"/>
      <c r="CU140" s="20"/>
      <c r="CV140" s="20"/>
      <c r="CW140" s="206"/>
      <c r="CX140" s="317">
        <f>CX139/CS139-1</f>
        <v>0.12663539866699591</v>
      </c>
      <c r="CY140" s="20">
        <f>CY139/CT139-1</f>
        <v>0.1155316087256606</v>
      </c>
      <c r="CZ140" s="20">
        <f>CZ139/CU139-1</f>
        <v>8.4709231676238117E-2</v>
      </c>
      <c r="DA140" s="20">
        <f>DA139/CV139-1</f>
        <v>3.5454666139514757E-2</v>
      </c>
      <c r="DB140" s="206">
        <f>DB139/CW139-1</f>
        <v>8.9350787290813249E-2</v>
      </c>
      <c r="DC140" s="20"/>
      <c r="DD140" s="20"/>
      <c r="DE140" s="20"/>
      <c r="DF140" s="20"/>
      <c r="DG140" s="206">
        <f>DG139/DB139-1</f>
        <v>2.5604664475741057E-2</v>
      </c>
      <c r="DH140" s="20"/>
      <c r="DI140" s="20"/>
      <c r="DJ140" s="20"/>
      <c r="DK140" s="20"/>
      <c r="DL140" s="206">
        <f>DL139/DG139-1</f>
        <v>2.3830277714572023E-2</v>
      </c>
      <c r="DM140" s="20"/>
      <c r="DN140" s="500"/>
      <c r="DO140" s="486"/>
      <c r="DP140" s="411"/>
      <c r="DQ140" s="411"/>
      <c r="DR140" s="411"/>
      <c r="DS140" s="474"/>
      <c r="DT140" s="556"/>
      <c r="DU140" s="611"/>
      <c r="DV140" s="471"/>
      <c r="DW140" s="798"/>
      <c r="DX140" s="798"/>
      <c r="DY140" s="798"/>
      <c r="DZ140" s="461"/>
      <c r="EA140" s="500"/>
      <c r="EH140" s="8"/>
    </row>
    <row r="141" spans="1:138" ht="12.75" customHeight="1" x14ac:dyDescent="0.2">
      <c r="A141" s="154" t="s">
        <v>318</v>
      </c>
      <c r="B141" s="36">
        <f t="shared" ref="B141:AO141" si="536">B139/B15*100</f>
        <v>10.159508510878142</v>
      </c>
      <c r="C141" s="36">
        <f t="shared" si="536"/>
        <v>10.170449955569918</v>
      </c>
      <c r="D141" s="36">
        <f t="shared" si="536"/>
        <v>10.010501443948543</v>
      </c>
      <c r="E141" s="36">
        <f t="shared" si="536"/>
        <v>10.532813871817384</v>
      </c>
      <c r="F141" s="225">
        <f t="shared" si="536"/>
        <v>10.216160751296217</v>
      </c>
      <c r="G141" s="36">
        <f t="shared" si="536"/>
        <v>10.488509555490763</v>
      </c>
      <c r="H141" s="36">
        <f t="shared" si="536"/>
        <v>10.015952300007845</v>
      </c>
      <c r="I141" s="36">
        <f t="shared" si="536"/>
        <v>9.9443413729128025</v>
      </c>
      <c r="J141" s="36">
        <f t="shared" si="536"/>
        <v>10.12556343034289</v>
      </c>
      <c r="K141" s="225">
        <f t="shared" si="536"/>
        <v>10.14358283440087</v>
      </c>
      <c r="L141" s="36">
        <f t="shared" si="536"/>
        <v>10.36751630112626</v>
      </c>
      <c r="M141" s="36">
        <f t="shared" si="536"/>
        <v>9.9779692685239407</v>
      </c>
      <c r="N141" s="36">
        <f t="shared" si="536"/>
        <v>9.8099891422367005</v>
      </c>
      <c r="O141" s="36">
        <f t="shared" si="536"/>
        <v>9.9744897959183678</v>
      </c>
      <c r="P141" s="225">
        <f t="shared" si="536"/>
        <v>10.026178564624361</v>
      </c>
      <c r="Q141" s="36">
        <f t="shared" si="536"/>
        <v>10.983616431755209</v>
      </c>
      <c r="R141" s="36">
        <f t="shared" si="536"/>
        <v>10.955391146906411</v>
      </c>
      <c r="S141" s="36">
        <f t="shared" si="536"/>
        <v>10.211828798284506</v>
      </c>
      <c r="T141" s="36">
        <f t="shared" si="536"/>
        <v>10.197482388266543</v>
      </c>
      <c r="U141" s="225">
        <f t="shared" si="536"/>
        <v>10.576077331210049</v>
      </c>
      <c r="V141" s="36">
        <f t="shared" si="536"/>
        <v>10.956949844750902</v>
      </c>
      <c r="W141" s="36">
        <f t="shared" si="536"/>
        <v>10.577421025375452</v>
      </c>
      <c r="X141" s="36">
        <f t="shared" si="536"/>
        <v>10.825439783491204</v>
      </c>
      <c r="Y141" s="36">
        <f t="shared" si="536"/>
        <v>11.71119209291351</v>
      </c>
      <c r="Z141" s="225">
        <f t="shared" si="536"/>
        <v>11.016027268112264</v>
      </c>
      <c r="AA141" s="36">
        <f t="shared" si="536"/>
        <v>10.753227552340471</v>
      </c>
      <c r="AB141" s="36">
        <f t="shared" si="536"/>
        <v>10.421247683755405</v>
      </c>
      <c r="AC141" s="36">
        <f t="shared" si="536"/>
        <v>10.649287367523449</v>
      </c>
      <c r="AD141" s="36">
        <f t="shared" si="536"/>
        <v>12.413092309337898</v>
      </c>
      <c r="AE141" s="225">
        <f t="shared" si="536"/>
        <v>11.036206973525605</v>
      </c>
      <c r="AF141" s="36">
        <f t="shared" si="536"/>
        <v>12.366337205941853</v>
      </c>
      <c r="AG141" s="36">
        <f t="shared" si="536"/>
        <v>11.591282676706081</v>
      </c>
      <c r="AH141" s="36">
        <f t="shared" si="536"/>
        <v>11.560679060615998</v>
      </c>
      <c r="AI141" s="36">
        <f t="shared" si="536"/>
        <v>11.767317939609235</v>
      </c>
      <c r="AJ141" s="225">
        <f t="shared" si="536"/>
        <v>11.807155647150241</v>
      </c>
      <c r="AK141" s="36">
        <f t="shared" si="536"/>
        <v>11.581960939935939</v>
      </c>
      <c r="AL141" s="36">
        <f t="shared" si="536"/>
        <v>11.779054213549452</v>
      </c>
      <c r="AM141" s="36">
        <f t="shared" si="536"/>
        <v>11.660112839801675</v>
      </c>
      <c r="AN141" s="36">
        <f t="shared" si="536"/>
        <v>12.522050569305607</v>
      </c>
      <c r="AO141" s="225">
        <f t="shared" si="536"/>
        <v>11.88431962994933</v>
      </c>
      <c r="AP141" s="36"/>
      <c r="AQ141" s="36"/>
      <c r="AR141" s="36"/>
      <c r="AS141" s="36"/>
      <c r="AT141" s="203"/>
      <c r="AU141" s="36">
        <f t="shared" ref="AU141:BD141" si="537">AU139/AU15*100</f>
        <v>13.693663449433489</v>
      </c>
      <c r="AV141" s="36">
        <f t="shared" si="537"/>
        <v>13.959210713102729</v>
      </c>
      <c r="AW141" s="36">
        <f t="shared" si="537"/>
        <v>14.31205063602286</v>
      </c>
      <c r="AX141" s="36">
        <f t="shared" si="537"/>
        <v>13.621811422079935</v>
      </c>
      <c r="AY141" s="203">
        <f t="shared" si="537"/>
        <v>13.908613769682002</v>
      </c>
      <c r="AZ141" s="36">
        <f t="shared" si="537"/>
        <v>12.676713311804807</v>
      </c>
      <c r="BA141" s="36">
        <f t="shared" si="537"/>
        <v>11.758627115485609</v>
      </c>
      <c r="BB141" s="36">
        <f t="shared" si="537"/>
        <v>11.63511906674808</v>
      </c>
      <c r="BC141" s="36">
        <f t="shared" si="537"/>
        <v>12.62095866776686</v>
      </c>
      <c r="BD141" s="203">
        <f t="shared" si="537"/>
        <v>12.147077850186907</v>
      </c>
      <c r="BE141" s="36">
        <f>(BE139)/BE15*100</f>
        <v>12.618891922079939</v>
      </c>
      <c r="BF141" s="36">
        <f>(BF139)/BF15*100</f>
        <v>12.324099628607449</v>
      </c>
      <c r="BG141" s="36">
        <f>(BG139)/BG15*100</f>
        <v>12.160375066747751</v>
      </c>
      <c r="BH141" s="36">
        <f>(BH139)/BH15*100</f>
        <v>12.953427159961176</v>
      </c>
      <c r="BI141" s="203">
        <f>BI139/BI15*100</f>
        <v>12.501074955780156</v>
      </c>
      <c r="BJ141" s="36">
        <f>(BJ139)/BJ15*100</f>
        <v>13.982873159367132</v>
      </c>
      <c r="BK141" s="36">
        <f>(BK139)/BK15*100</f>
        <v>14.161719958098468</v>
      </c>
      <c r="BL141" s="36">
        <f>(BL139)/BL15*100</f>
        <v>13.823464322974296</v>
      </c>
      <c r="BM141" s="36">
        <f>(BM139)/BM15*100</f>
        <v>14.080386670058509</v>
      </c>
      <c r="BN141" s="203">
        <f>BN139/BN15*100</f>
        <v>14.00860473176081</v>
      </c>
      <c r="BO141" s="36">
        <f>(BO139)/BO15*100</f>
        <v>15.060285252168798</v>
      </c>
      <c r="BP141" s="36">
        <f>(BP139)/BP15*100</f>
        <v>14.893402041022533</v>
      </c>
      <c r="BQ141" s="36">
        <f>(BQ139)/BQ15*100</f>
        <v>14.299246985533772</v>
      </c>
      <c r="BR141" s="36">
        <f>(BR139)/BR15*100</f>
        <v>14.951602811821427</v>
      </c>
      <c r="BS141" s="203">
        <f>BS139/BS15*100</f>
        <v>14.785929735477291</v>
      </c>
      <c r="BT141" s="36">
        <f>(BT139)/BT15*100</f>
        <v>15.465278563615104</v>
      </c>
      <c r="BU141" s="36">
        <f>(BU139)/BU15*100</f>
        <v>14.418837675350701</v>
      </c>
      <c r="BV141" s="36">
        <f>(BV139)/BV15*100</f>
        <v>14.251952483057611</v>
      </c>
      <c r="BW141" s="36">
        <f>(BW139)/BW15*100</f>
        <v>14.848511931361157</v>
      </c>
      <c r="BX141" s="203">
        <f>BX139/BX15*100</f>
        <v>14.7147031021741</v>
      </c>
      <c r="BY141" s="36">
        <f>(BY139)/BY15*100</f>
        <v>15.236346096764619</v>
      </c>
      <c r="BZ141" s="36">
        <f>(BZ139)/BZ15*100</f>
        <v>14.580131678987982</v>
      </c>
      <c r="CA141" s="36">
        <f>(CA139)/CA15*100</f>
        <v>14.297849103540333</v>
      </c>
      <c r="CB141" s="36">
        <f>(CB139)/CB15*100</f>
        <v>14.547898464560824</v>
      </c>
      <c r="CC141" s="203">
        <f>CC139/CC15*100</f>
        <v>14.642267060531719</v>
      </c>
      <c r="CD141" s="36">
        <f>(CD139)/CD15*100</f>
        <v>15.140378465289681</v>
      </c>
      <c r="CE141" s="36">
        <f>(CE139)/CE15*100</f>
        <v>13.96374556203763</v>
      </c>
      <c r="CF141" s="36">
        <f>(CF139)/CF15*100</f>
        <v>12.927929914303773</v>
      </c>
      <c r="CG141" s="36">
        <f>(CG139)/CG15*100</f>
        <v>13.532878571796767</v>
      </c>
      <c r="CH141" s="203">
        <f>CH139/CH15*100</f>
        <v>13.846428166183072</v>
      </c>
      <c r="CI141" s="36">
        <f>(CI139)/CI15*100</f>
        <v>12.995098460744689</v>
      </c>
      <c r="CJ141" s="36">
        <f>(CJ139)/CJ15*100</f>
        <v>13.096591339668681</v>
      </c>
      <c r="CK141" s="36">
        <f>(CK139)/CK15*100</f>
        <v>12.300805470243958</v>
      </c>
      <c r="CL141" s="36">
        <f>(CL139)/CL15*100</f>
        <v>14.389849271906668</v>
      </c>
      <c r="CM141" s="203">
        <f>CM139/CM15*100</f>
        <v>13.156546907693345</v>
      </c>
      <c r="CN141" s="36">
        <f>(CN139)/CN15*100</f>
        <v>14.133158231238443</v>
      </c>
      <c r="CO141" s="36">
        <f>(CO139)/CO15*100</f>
        <v>13.310281305207846</v>
      </c>
      <c r="CP141" s="36">
        <f>(CP139)/CP15*100</f>
        <v>13.246967947895735</v>
      </c>
      <c r="CQ141" s="36">
        <f>(CQ139)/CQ15*100</f>
        <v>15.153180153180154</v>
      </c>
      <c r="CR141" s="203">
        <f>CR139/CR15*100</f>
        <v>13.915265899931189</v>
      </c>
      <c r="CS141" s="36">
        <f>(CS139)/CS15*100</f>
        <v>14.000103678871975</v>
      </c>
      <c r="CT141" s="36">
        <f>(CT139)/CT15*100</f>
        <v>13.234783396499916</v>
      </c>
      <c r="CU141" s="36">
        <f>(CU139)/CU15*100</f>
        <v>13.165733179414824</v>
      </c>
      <c r="CV141" s="36">
        <f>(CV139)/CV15*100</f>
        <v>15.096570096570098</v>
      </c>
      <c r="CW141" s="203">
        <f>CW139/CW15*100</f>
        <v>13.829548805662045</v>
      </c>
      <c r="CX141" s="36">
        <f>(CX139)/CX15*100</f>
        <v>15.3524911275367</v>
      </c>
      <c r="CY141" s="36">
        <f>(CY139)/CY15*100</f>
        <v>14.264559626505523</v>
      </c>
      <c r="CZ141" s="36">
        <f>(CZ139)/CZ15*100</f>
        <v>13.865041088832436</v>
      </c>
      <c r="DA141" s="36">
        <f>(DA139)/DA15*100</f>
        <v>15.176518397277446</v>
      </c>
      <c r="DB141" s="203">
        <f>DB139/DB15*100</f>
        <v>14.616384657646538</v>
      </c>
      <c r="DC141" s="36"/>
      <c r="DD141" s="36"/>
      <c r="DE141" s="36"/>
      <c r="DF141" s="36"/>
      <c r="DG141" s="203">
        <f>DG139/DG15*100</f>
        <v>14.625007105028242</v>
      </c>
      <c r="DH141" s="36"/>
      <c r="DI141" s="36"/>
      <c r="DJ141" s="36"/>
      <c r="DK141" s="36"/>
      <c r="DL141" s="203">
        <f>DL139/DL15*100</f>
        <v>14.608317156993811</v>
      </c>
      <c r="DM141" s="36"/>
      <c r="DN141" s="505"/>
      <c r="DO141" s="486"/>
      <c r="DP141" s="411"/>
      <c r="DQ141" s="411"/>
      <c r="DR141" s="411"/>
      <c r="DS141" s="564"/>
      <c r="DT141" s="556"/>
      <c r="DU141" s="661"/>
      <c r="DV141" s="464"/>
      <c r="DW141" s="471"/>
      <c r="DX141" s="464"/>
      <c r="DY141" s="464"/>
      <c r="DZ141" s="464"/>
      <c r="EA141" s="505"/>
      <c r="EH141" s="8"/>
    </row>
    <row r="142" spans="1:138" ht="12.75" customHeight="1" x14ac:dyDescent="0.2">
      <c r="A142" s="148" t="s">
        <v>244</v>
      </c>
      <c r="B142" s="48"/>
      <c r="C142" s="48"/>
      <c r="D142" s="48"/>
      <c r="E142" s="48"/>
      <c r="F142" s="226"/>
      <c r="G142" s="48">
        <f t="shared" ref="G142:AO142" si="538">G141/B141-1</f>
        <v>3.2383559131856421E-2</v>
      </c>
      <c r="H142" s="48">
        <f t="shared" si="538"/>
        <v>-1.5190837793509937E-2</v>
      </c>
      <c r="I142" s="48">
        <f t="shared" si="538"/>
        <v>-6.6090666292980549E-3</v>
      </c>
      <c r="J142" s="48">
        <f t="shared" si="538"/>
        <v>-3.8664923393754491E-2</v>
      </c>
      <c r="K142" s="199">
        <f t="shared" si="538"/>
        <v>-7.1042262022098512E-3</v>
      </c>
      <c r="L142" s="48">
        <f t="shared" si="538"/>
        <v>-1.1535791022010633E-2</v>
      </c>
      <c r="M142" s="48">
        <f t="shared" si="538"/>
        <v>-3.7922536316266076E-3</v>
      </c>
      <c r="N142" s="48">
        <f t="shared" si="538"/>
        <v>-1.351042021164528E-2</v>
      </c>
      <c r="O142" s="48">
        <f t="shared" si="538"/>
        <v>-1.4920022521591747E-2</v>
      </c>
      <c r="P142" s="199">
        <f t="shared" si="538"/>
        <v>-1.157424074838187E-2</v>
      </c>
      <c r="Q142" s="48">
        <f t="shared" si="538"/>
        <v>5.9426010312809474E-2</v>
      </c>
      <c r="R142" s="48">
        <f t="shared" si="538"/>
        <v>9.795799646986314E-2</v>
      </c>
      <c r="S142" s="48">
        <f t="shared" si="538"/>
        <v>4.0962293660213422E-2</v>
      </c>
      <c r="T142" s="48">
        <f t="shared" si="538"/>
        <v>2.2356290588359196E-2</v>
      </c>
      <c r="U142" s="199">
        <f t="shared" si="538"/>
        <v>5.4846296925721072E-2</v>
      </c>
      <c r="V142" s="48">
        <f t="shared" si="538"/>
        <v>-2.4278512610118597E-3</v>
      </c>
      <c r="W142" s="48">
        <f t="shared" si="538"/>
        <v>-3.4500833102402817E-2</v>
      </c>
      <c r="X142" s="48">
        <f t="shared" si="538"/>
        <v>6.0088256210266477E-2</v>
      </c>
      <c r="Y142" s="48">
        <f t="shared" si="538"/>
        <v>0.14843955076487081</v>
      </c>
      <c r="Z142" s="199">
        <f t="shared" si="538"/>
        <v>4.1598593043937093E-2</v>
      </c>
      <c r="AA142" s="48">
        <f t="shared" si="538"/>
        <v>-1.8592974805668905E-2</v>
      </c>
      <c r="AB142" s="48">
        <f t="shared" si="538"/>
        <v>-1.4764784463564773E-2</v>
      </c>
      <c r="AC142" s="48">
        <f t="shared" si="538"/>
        <v>-1.6272079425021291E-2</v>
      </c>
      <c r="AD142" s="48">
        <f t="shared" si="538"/>
        <v>5.9934139142770126E-2</v>
      </c>
      <c r="AE142" s="199">
        <f t="shared" si="538"/>
        <v>1.8318496243880933E-3</v>
      </c>
      <c r="AF142" s="48">
        <f t="shared" si="538"/>
        <v>0.15001167284424155</v>
      </c>
      <c r="AG142" s="48">
        <f t="shared" si="538"/>
        <v>0.11227398373560593</v>
      </c>
      <c r="AH142" s="48">
        <f t="shared" si="538"/>
        <v>8.5582411445856099E-2</v>
      </c>
      <c r="AI142" s="48">
        <f t="shared" si="538"/>
        <v>-5.2023650000803667E-2</v>
      </c>
      <c r="AJ142" s="199">
        <f t="shared" si="538"/>
        <v>6.9856308011805091E-2</v>
      </c>
      <c r="AK142" s="48">
        <f t="shared" si="538"/>
        <v>-6.3428342033972074E-2</v>
      </c>
      <c r="AL142" s="48">
        <f t="shared" si="538"/>
        <v>1.6199375175339092E-2</v>
      </c>
      <c r="AM142" s="48">
        <f t="shared" si="538"/>
        <v>8.6010327476713222E-3</v>
      </c>
      <c r="AN142" s="48">
        <f t="shared" si="538"/>
        <v>6.4138033285895402E-2</v>
      </c>
      <c r="AO142" s="199">
        <f t="shared" si="538"/>
        <v>6.5353574650057755E-3</v>
      </c>
      <c r="AP142" s="328"/>
      <c r="AQ142" s="48"/>
      <c r="AR142" s="48"/>
      <c r="AS142" s="48"/>
      <c r="AT142" s="199"/>
      <c r="AU142" s="48"/>
      <c r="AV142" s="48"/>
      <c r="AW142" s="48"/>
      <c r="AX142" s="48"/>
      <c r="AY142" s="199"/>
      <c r="AZ142" s="328">
        <f t="shared" ref="AZ142:CR142" si="539">AZ141/AU141-1</f>
        <v>-7.4264285914720118E-2</v>
      </c>
      <c r="BA142" s="48">
        <f t="shared" si="539"/>
        <v>-0.15764384124895803</v>
      </c>
      <c r="BB142" s="48">
        <f t="shared" si="539"/>
        <v>-0.18704039255821592</v>
      </c>
      <c r="BC142" s="48">
        <f t="shared" si="539"/>
        <v>-7.3474277634673957E-2</v>
      </c>
      <c r="BD142" s="199">
        <f t="shared" si="539"/>
        <v>-0.12665071794105687</v>
      </c>
      <c r="BE142" s="328">
        <f t="shared" si="539"/>
        <v>-4.5612287903540327E-3</v>
      </c>
      <c r="BF142" s="48">
        <f t="shared" si="539"/>
        <v>4.8090011492679885E-2</v>
      </c>
      <c r="BG142" s="48">
        <f t="shared" si="539"/>
        <v>4.5144015887280009E-2</v>
      </c>
      <c r="BH142" s="48">
        <f t="shared" si="539"/>
        <v>2.6342570397874798E-2</v>
      </c>
      <c r="BI142" s="199">
        <f t="shared" si="539"/>
        <v>2.9142573214660183E-2</v>
      </c>
      <c r="BJ142" s="328">
        <f t="shared" si="539"/>
        <v>0.1080904128278144</v>
      </c>
      <c r="BK142" s="48">
        <f t="shared" si="539"/>
        <v>0.14910787683226956</v>
      </c>
      <c r="BL142" s="48">
        <f t="shared" si="539"/>
        <v>0.13676299021189098</v>
      </c>
      <c r="BM142" s="48">
        <f t="shared" si="539"/>
        <v>8.7000875998341609E-2</v>
      </c>
      <c r="BN142" s="341">
        <f t="shared" si="539"/>
        <v>0.12059201159206023</v>
      </c>
      <c r="BO142" s="328">
        <f t="shared" si="539"/>
        <v>7.7052268194244933E-2</v>
      </c>
      <c r="BP142" s="48">
        <f t="shared" si="539"/>
        <v>5.1666187799854546E-2</v>
      </c>
      <c r="BQ142" s="48">
        <f t="shared" si="539"/>
        <v>3.441848233143241E-2</v>
      </c>
      <c r="BR142" s="48">
        <f t="shared" si="539"/>
        <v>6.1874447213550621E-2</v>
      </c>
      <c r="BS142" s="199">
        <f t="shared" si="539"/>
        <v>5.5489109629462297E-2</v>
      </c>
      <c r="BT142" s="328">
        <f t="shared" si="539"/>
        <v>2.6891476799085545E-2</v>
      </c>
      <c r="BU142" s="48">
        <f t="shared" si="539"/>
        <v>-3.1864067347721292E-2</v>
      </c>
      <c r="BV142" s="48">
        <f t="shared" si="539"/>
        <v>-3.3074820320264653E-3</v>
      </c>
      <c r="BW142" s="48">
        <f t="shared" si="539"/>
        <v>-6.8949718473501065E-3</v>
      </c>
      <c r="BX142" s="199">
        <f t="shared" si="539"/>
        <v>-4.8171900298085157E-3</v>
      </c>
      <c r="BY142" s="328">
        <f t="shared" si="539"/>
        <v>-1.4802996655300604E-2</v>
      </c>
      <c r="BZ142" s="48">
        <f t="shared" si="539"/>
        <v>1.1186338820709185E-2</v>
      </c>
      <c r="CA142" s="48">
        <f t="shared" si="539"/>
        <v>3.2203742285334958E-3</v>
      </c>
      <c r="CB142" s="48">
        <f t="shared" si="539"/>
        <v>-2.0245359817195996E-2</v>
      </c>
      <c r="CC142" s="199">
        <f t="shared" si="539"/>
        <v>-4.9226981434425943E-3</v>
      </c>
      <c r="CD142" s="328">
        <f t="shared" si="539"/>
        <v>-6.298598815323353E-3</v>
      </c>
      <c r="CE142" s="48">
        <f t="shared" si="539"/>
        <v>-4.2275757895839261E-2</v>
      </c>
      <c r="CF142" s="48">
        <f t="shared" si="539"/>
        <v>-9.5812956152778961E-2</v>
      </c>
      <c r="CG142" s="48">
        <f t="shared" si="539"/>
        <v>-6.9770894760963542E-2</v>
      </c>
      <c r="CH142" s="199">
        <f t="shared" si="539"/>
        <v>-5.4352163572663703E-2</v>
      </c>
      <c r="CI142" s="328">
        <f t="shared" si="539"/>
        <v>-0.14169262739786781</v>
      </c>
      <c r="CJ142" s="48">
        <f t="shared" si="539"/>
        <v>-6.210040268324768E-2</v>
      </c>
      <c r="CK142" s="48">
        <f t="shared" si="539"/>
        <v>-4.8509270101004254E-2</v>
      </c>
      <c r="CL142" s="48">
        <f t="shared" si="539"/>
        <v>6.3325086053448665E-2</v>
      </c>
      <c r="CM142" s="199">
        <f t="shared" si="539"/>
        <v>-4.9823770448946147E-2</v>
      </c>
      <c r="CN142" s="328">
        <f t="shared" si="539"/>
        <v>8.7576079083323544E-2</v>
      </c>
      <c r="CO142" s="48">
        <f t="shared" si="539"/>
        <v>1.6316456702127669E-2</v>
      </c>
      <c r="CP142" s="48">
        <f t="shared" si="539"/>
        <v>7.6918741617414854E-2</v>
      </c>
      <c r="CQ142" s="48">
        <f t="shared" si="539"/>
        <v>5.3046482061750222E-2</v>
      </c>
      <c r="CR142" s="199">
        <f t="shared" si="539"/>
        <v>5.7668550688948716E-2</v>
      </c>
      <c r="CS142" s="328"/>
      <c r="CT142" s="48"/>
      <c r="CU142" s="48"/>
      <c r="CV142" s="48"/>
      <c r="CW142" s="201">
        <f>CW141/((32904/CM15)*100)-1</f>
        <v>5.8596817722976535E-2</v>
      </c>
      <c r="CX142" s="328">
        <f>CX141/CS141-1</f>
        <v>9.6598388103772193E-2</v>
      </c>
      <c r="CY142" s="48">
        <f>CY141/CT141-1</f>
        <v>7.7808317609334043E-2</v>
      </c>
      <c r="CZ142" s="48">
        <f>CZ141/CU141-1</f>
        <v>5.3115758908969024E-2</v>
      </c>
      <c r="DA142" s="48">
        <f>DA141/CV141-1</f>
        <v>5.2957923684606723E-3</v>
      </c>
      <c r="DB142" s="199">
        <f>DB141/CW141-1</f>
        <v>5.6895265568053022E-2</v>
      </c>
      <c r="DC142" s="48"/>
      <c r="DD142" s="20"/>
      <c r="DE142" s="48"/>
      <c r="DF142" s="48"/>
      <c r="DG142" s="199">
        <f>DG141/DB141-1</f>
        <v>5.8991656169871121E-4</v>
      </c>
      <c r="DH142" s="48"/>
      <c r="DI142" s="20"/>
      <c r="DJ142" s="48"/>
      <c r="DK142" s="48"/>
      <c r="DL142" s="199">
        <f>DL141/DG141-1</f>
        <v>-1.1411924735881263E-3</v>
      </c>
      <c r="DM142" s="20"/>
      <c r="DN142" s="500"/>
      <c r="DO142" s="486"/>
      <c r="DP142" s="411"/>
      <c r="DQ142" s="411"/>
      <c r="DR142" s="411"/>
      <c r="DS142" s="564" t="s">
        <v>352</v>
      </c>
      <c r="DT142" s="556"/>
      <c r="DU142" s="556"/>
      <c r="DV142" s="461"/>
      <c r="DW142" s="461"/>
      <c r="DX142" s="461"/>
      <c r="DY142" s="461"/>
      <c r="DZ142" s="461"/>
      <c r="EA142" s="500"/>
      <c r="EH142" s="8"/>
    </row>
    <row r="143" spans="1:138" ht="12.75" customHeight="1" x14ac:dyDescent="0.2">
      <c r="A143" s="587" t="s">
        <v>70</v>
      </c>
      <c r="B143" s="895"/>
      <c r="C143" s="895"/>
      <c r="D143" s="895"/>
      <c r="E143" s="895"/>
      <c r="F143" s="261"/>
      <c r="G143" s="895"/>
      <c r="H143" s="895"/>
      <c r="I143" s="895"/>
      <c r="J143" s="895"/>
      <c r="K143" s="261"/>
      <c r="L143" s="895"/>
      <c r="M143" s="895"/>
      <c r="N143" s="895"/>
      <c r="O143" s="895"/>
      <c r="P143" s="261"/>
      <c r="Q143" s="895"/>
      <c r="R143" s="895"/>
      <c r="S143" s="895"/>
      <c r="T143" s="895"/>
      <c r="U143" s="261"/>
      <c r="V143" s="895"/>
      <c r="W143" s="895"/>
      <c r="X143" s="895"/>
      <c r="Y143" s="895"/>
      <c r="Z143" s="261"/>
      <c r="AA143" s="895"/>
      <c r="AB143" s="895"/>
      <c r="AC143" s="895"/>
      <c r="AD143" s="895"/>
      <c r="AE143" s="261"/>
      <c r="AF143" s="895"/>
      <c r="AG143" s="895"/>
      <c r="AH143" s="895"/>
      <c r="AI143" s="895"/>
      <c r="AJ143" s="261"/>
      <c r="AK143" s="895"/>
      <c r="AL143" s="895"/>
      <c r="AM143" s="895"/>
      <c r="AN143" s="895"/>
      <c r="AO143" s="261"/>
      <c r="AP143" s="873"/>
      <c r="AQ143" s="895"/>
      <c r="AR143" s="895"/>
      <c r="AS143" s="895"/>
      <c r="AT143" s="588"/>
      <c r="AU143" s="895"/>
      <c r="AV143" s="895"/>
      <c r="AW143" s="895"/>
      <c r="AX143" s="895"/>
      <c r="AY143" s="588"/>
      <c r="AZ143" s="873"/>
      <c r="BA143" s="895"/>
      <c r="BB143" s="895"/>
      <c r="BC143" s="895"/>
      <c r="BD143" s="588"/>
      <c r="BE143" s="873">
        <f>0.26*BE15/100</f>
        <v>138.58269099999998</v>
      </c>
      <c r="BF143" s="895">
        <f>0.275*BF15/100</f>
        <v>161.4195</v>
      </c>
      <c r="BG143" s="895">
        <f>0.265*BG15/100</f>
        <v>168.69257640000001</v>
      </c>
      <c r="BH143" s="895">
        <f>0.31*BH15/100</f>
        <v>176.78487490000009</v>
      </c>
      <c r="BI143" s="677">
        <f>SUM(BE143:BH143)</f>
        <v>645.47964230000002</v>
      </c>
      <c r="BJ143" s="873">
        <v>168</v>
      </c>
      <c r="BK143" s="895">
        <v>230</v>
      </c>
      <c r="BL143" s="895">
        <v>232</v>
      </c>
      <c r="BM143" s="895">
        <v>216</v>
      </c>
      <c r="BN143" s="583">
        <f>SUM(BJ143:BM143)</f>
        <v>846</v>
      </c>
      <c r="BO143" s="873">
        <v>240</v>
      </c>
      <c r="BP143" s="895">
        <v>244</v>
      </c>
      <c r="BQ143" s="895">
        <v>214</v>
      </c>
      <c r="BR143" s="895">
        <v>185</v>
      </c>
      <c r="BS143" s="677">
        <f>SUM(BO143:BR143)</f>
        <v>883</v>
      </c>
      <c r="BT143" s="873">
        <v>185</v>
      </c>
      <c r="BU143" s="895">
        <v>165</v>
      </c>
      <c r="BV143" s="895">
        <v>224</v>
      </c>
      <c r="BW143" s="895">
        <v>182</v>
      </c>
      <c r="BX143" s="677">
        <f>SUM(BT143:BW143)</f>
        <v>756</v>
      </c>
      <c r="BY143" s="873">
        <v>184</v>
      </c>
      <c r="BZ143" s="895">
        <v>193</v>
      </c>
      <c r="CA143" s="895">
        <v>239</v>
      </c>
      <c r="CB143" s="895">
        <v>297</v>
      </c>
      <c r="CC143" s="677">
        <f>SUM(BY143:CB143)</f>
        <v>913</v>
      </c>
      <c r="CD143" s="873">
        <v>293</v>
      </c>
      <c r="CE143" s="895">
        <v>346</v>
      </c>
      <c r="CF143" s="895">
        <v>306</v>
      </c>
      <c r="CG143" s="895">
        <v>213</v>
      </c>
      <c r="CH143" s="677">
        <f>SUM(CD143:CG143)</f>
        <v>1158</v>
      </c>
      <c r="CI143" s="873">
        <v>313</v>
      </c>
      <c r="CJ143" s="895">
        <v>284</v>
      </c>
      <c r="CK143" s="895">
        <v>247</v>
      </c>
      <c r="CL143" s="895">
        <v>338</v>
      </c>
      <c r="CM143" s="677">
        <f>SUM(CI143:CL143)</f>
        <v>1182</v>
      </c>
      <c r="CN143" s="873">
        <v>292</v>
      </c>
      <c r="CO143" s="895">
        <v>296</v>
      </c>
      <c r="CP143" s="895">
        <v>387</v>
      </c>
      <c r="CQ143" s="895">
        <v>520</v>
      </c>
      <c r="CR143" s="677">
        <f>SUM(CN143:CQ143)</f>
        <v>1495</v>
      </c>
      <c r="CS143" s="873">
        <v>292</v>
      </c>
      <c r="CT143" s="895">
        <v>296</v>
      </c>
      <c r="CU143" s="895">
        <v>387</v>
      </c>
      <c r="CV143" s="895">
        <v>520</v>
      </c>
      <c r="CW143" s="677">
        <f>SUM(CS143:CV143)</f>
        <v>1495</v>
      </c>
      <c r="CX143" s="873">
        <v>493</v>
      </c>
      <c r="CY143" s="654">
        <f>+CT143/CT15*CY15</f>
        <v>306.36</v>
      </c>
      <c r="CZ143" s="654">
        <f>+CU143/CU15*CZ15</f>
        <v>398.60999999999996</v>
      </c>
      <c r="DA143" s="654">
        <f>+CV143/CV15*DA15</f>
        <v>535.6</v>
      </c>
      <c r="DB143" s="678">
        <f>SUM(CX143:DA143)</f>
        <v>1733.5700000000002</v>
      </c>
      <c r="DC143" s="654"/>
      <c r="DD143" s="654"/>
      <c r="DE143" s="654"/>
      <c r="DF143" s="654"/>
      <c r="DG143" s="678">
        <f>+DB143/DB15*DG15</f>
        <v>1776.9092500000002</v>
      </c>
      <c r="DH143" s="654"/>
      <c r="DI143" s="654"/>
      <c r="DJ143" s="654"/>
      <c r="DK143" s="654"/>
      <c r="DL143" s="678">
        <f>+DG143/DG15*DL15</f>
        <v>1821.3319812500001</v>
      </c>
      <c r="DM143" s="429"/>
      <c r="DN143" s="589"/>
      <c r="DO143" s="590"/>
      <c r="DP143" s="591"/>
      <c r="DQ143" s="591"/>
      <c r="DR143" s="591"/>
      <c r="DS143" s="474"/>
      <c r="DT143" s="556"/>
      <c r="DU143" s="661"/>
      <c r="DV143" s="471"/>
      <c r="DW143" s="471"/>
      <c r="DX143" s="461"/>
      <c r="DY143" s="469"/>
      <c r="DZ143" s="469"/>
      <c r="EA143" s="589"/>
      <c r="EH143" s="592"/>
    </row>
    <row r="144" spans="1:138" ht="12.75" customHeight="1" x14ac:dyDescent="0.2">
      <c r="A144" s="154" t="s">
        <v>518</v>
      </c>
      <c r="B144" s="36"/>
      <c r="C144" s="36"/>
      <c r="D144" s="36"/>
      <c r="E144" s="36"/>
      <c r="F144" s="225"/>
      <c r="G144" s="36"/>
      <c r="H144" s="36"/>
      <c r="I144" s="36"/>
      <c r="J144" s="36"/>
      <c r="K144" s="225"/>
      <c r="L144" s="36"/>
      <c r="M144" s="36"/>
      <c r="N144" s="36"/>
      <c r="O144" s="36"/>
      <c r="P144" s="225"/>
      <c r="Q144" s="36"/>
      <c r="R144" s="36"/>
      <c r="S144" s="36"/>
      <c r="T144" s="36"/>
      <c r="U144" s="225"/>
      <c r="V144" s="36"/>
      <c r="W144" s="36"/>
      <c r="X144" s="36"/>
      <c r="Y144" s="36"/>
      <c r="Z144" s="225"/>
      <c r="AA144" s="36"/>
      <c r="AB144" s="36"/>
      <c r="AC144" s="36"/>
      <c r="AD144" s="36"/>
      <c r="AE144" s="225"/>
      <c r="AF144" s="36"/>
      <c r="AG144" s="36"/>
      <c r="AH144" s="36"/>
      <c r="AI144" s="36"/>
      <c r="AJ144" s="225"/>
      <c r="AK144" s="36"/>
      <c r="AL144" s="36"/>
      <c r="AM144" s="36"/>
      <c r="AN144" s="36"/>
      <c r="AO144" s="225"/>
      <c r="AP144" s="320"/>
      <c r="AQ144" s="36"/>
      <c r="AR144" s="36"/>
      <c r="AS144" s="36"/>
      <c r="AT144" s="203"/>
      <c r="AU144" s="36"/>
      <c r="AV144" s="36"/>
      <c r="AW144" s="36"/>
      <c r="AX144" s="36"/>
      <c r="AY144" s="203">
        <f t="shared" ref="AY144:CD144" si="540">(AY139-AY94-AY120-AY143)/AY15*100</f>
        <v>8.3095009830844475</v>
      </c>
      <c r="AZ144" s="320">
        <f t="shared" si="540"/>
        <v>8.9343379978471464</v>
      </c>
      <c r="BA144" s="36">
        <f t="shared" si="540"/>
        <v>8.3298039946466993</v>
      </c>
      <c r="BB144" s="36">
        <f t="shared" si="540"/>
        <v>8.0615097856477167</v>
      </c>
      <c r="BC144" s="36">
        <f t="shared" si="540"/>
        <v>8.9546920711124454</v>
      </c>
      <c r="BD144" s="203">
        <f t="shared" si="540"/>
        <v>8.5482813565061857</v>
      </c>
      <c r="BE144" s="320">
        <f t="shared" si="540"/>
        <v>8.7173116037990663</v>
      </c>
      <c r="BF144" s="36">
        <f t="shared" si="540"/>
        <v>8.2295487069406104</v>
      </c>
      <c r="BG144" s="36">
        <f t="shared" si="540"/>
        <v>8.115777804043308</v>
      </c>
      <c r="BH144" s="36">
        <f t="shared" si="540"/>
        <v>8.589234173115333</v>
      </c>
      <c r="BI144" s="203">
        <f t="shared" si="540"/>
        <v>8.3983089501344725</v>
      </c>
      <c r="BJ144" s="320">
        <f t="shared" si="540"/>
        <v>8.9560827321477561</v>
      </c>
      <c r="BK144" s="36">
        <f t="shared" si="540"/>
        <v>8.463444239370812</v>
      </c>
      <c r="BL144" s="36">
        <f t="shared" si="540"/>
        <v>8.3588884322342007</v>
      </c>
      <c r="BM144" s="36">
        <f t="shared" si="540"/>
        <v>8.8218192390158805</v>
      </c>
      <c r="BN144" s="319">
        <f t="shared" si="540"/>
        <v>8.6373327057473865</v>
      </c>
      <c r="BO144" s="320">
        <f t="shared" si="540"/>
        <v>9.2706954859579476</v>
      </c>
      <c r="BP144" s="36">
        <f t="shared" si="540"/>
        <v>8.9842039675322489</v>
      </c>
      <c r="BQ144" s="36">
        <f t="shared" si="540"/>
        <v>8.8162098807058111</v>
      </c>
      <c r="BR144" s="36">
        <f t="shared" si="540"/>
        <v>9.2727540392330052</v>
      </c>
      <c r="BS144" s="203">
        <f t="shared" si="540"/>
        <v>9.074496018054381</v>
      </c>
      <c r="BT144" s="320">
        <f t="shared" si="540"/>
        <v>9.7751876579533015</v>
      </c>
      <c r="BU144" s="36">
        <f t="shared" si="540"/>
        <v>9.1716766867067463</v>
      </c>
      <c r="BV144" s="36">
        <f t="shared" si="540"/>
        <v>9.0182023069819852</v>
      </c>
      <c r="BW144" s="36">
        <f t="shared" si="540"/>
        <v>9.4986147108767547</v>
      </c>
      <c r="BX144" s="203">
        <f t="shared" si="540"/>
        <v>9.3456217238119788</v>
      </c>
      <c r="BY144" s="320">
        <f t="shared" si="540"/>
        <v>9.9510240427426542</v>
      </c>
      <c r="BZ144" s="36">
        <f t="shared" si="540"/>
        <v>9.520034941844477</v>
      </c>
      <c r="CA144" s="36">
        <f t="shared" si="540"/>
        <v>9.2376300700785734</v>
      </c>
      <c r="CB144" s="36">
        <f t="shared" si="540"/>
        <v>9.7813162384325079</v>
      </c>
      <c r="CC144" s="203">
        <f t="shared" si="540"/>
        <v>9.6025467714748256</v>
      </c>
      <c r="CD144" s="320">
        <f t="shared" si="540"/>
        <v>9.8733148400091881</v>
      </c>
      <c r="CE144" s="36">
        <f t="shared" ref="CE144:DG144" si="541">(CE139-CE94-CE120-CE143)/CE15*100</f>
        <v>9.5562819650593553</v>
      </c>
      <c r="CF144" s="36">
        <f t="shared" si="541"/>
        <v>9.5721068336493662</v>
      </c>
      <c r="CG144" s="36">
        <f t="shared" si="541"/>
        <v>10.171996082406915</v>
      </c>
      <c r="CH144" s="203">
        <f t="shared" si="541"/>
        <v>9.7785738600444141</v>
      </c>
      <c r="CI144" s="320">
        <f t="shared" si="541"/>
        <v>10.325909364519735</v>
      </c>
      <c r="CJ144" s="36">
        <f t="shared" si="541"/>
        <v>9.5378832658876309</v>
      </c>
      <c r="CK144" s="36">
        <f t="shared" si="541"/>
        <v>9.5830677406269924</v>
      </c>
      <c r="CL144" s="36">
        <f t="shared" si="541"/>
        <v>11.254364302137445</v>
      </c>
      <c r="CM144" s="203">
        <f t="shared" si="541"/>
        <v>10.132331746517011</v>
      </c>
      <c r="CN144" s="320">
        <f t="shared" si="541"/>
        <v>10.922569162447513</v>
      </c>
      <c r="CO144" s="36">
        <f t="shared" si="541"/>
        <v>10.237516420795144</v>
      </c>
      <c r="CP144" s="36">
        <f t="shared" si="541"/>
        <v>10.046033035472515</v>
      </c>
      <c r="CQ144" s="36">
        <f t="shared" si="541"/>
        <v>11.203796203796204</v>
      </c>
      <c r="CR144" s="203">
        <f t="shared" si="541"/>
        <v>10.568760444313378</v>
      </c>
      <c r="CS144" s="320">
        <f t="shared" si="541"/>
        <v>10.934665030844466</v>
      </c>
      <c r="CT144" s="36">
        <f t="shared" si="541"/>
        <v>10.24053633714346</v>
      </c>
      <c r="CU144" s="36">
        <f t="shared" si="541"/>
        <v>10.070260948879103</v>
      </c>
      <c r="CV144" s="36">
        <f t="shared" si="541"/>
        <v>11.230436230436231</v>
      </c>
      <c r="CW144" s="203">
        <f t="shared" si="541"/>
        <v>10.585274746878994</v>
      </c>
      <c r="CX144" s="320">
        <f t="shared" si="541"/>
        <v>11.40168025345873</v>
      </c>
      <c r="CY144" s="36">
        <f t="shared" si="541"/>
        <v>10.57181240860346</v>
      </c>
      <c r="CZ144" s="36">
        <f t="shared" si="541"/>
        <v>10.125708226774222</v>
      </c>
      <c r="DA144" s="36">
        <f t="shared" si="541"/>
        <v>11.103747650629273</v>
      </c>
      <c r="DB144" s="203">
        <f t="shared" si="541"/>
        <v>10.762578198034431</v>
      </c>
      <c r="DC144" s="36"/>
      <c r="DD144" s="36"/>
      <c r="DE144" s="36"/>
      <c r="DF144" s="36"/>
      <c r="DG144" s="203">
        <f t="shared" si="541"/>
        <v>10.937214512308687</v>
      </c>
      <c r="DH144" s="36"/>
      <c r="DI144" s="36"/>
      <c r="DJ144" s="36"/>
      <c r="DK144" s="36"/>
      <c r="DL144" s="203">
        <f t="shared" ref="DL144" si="542">(DL139-DL94-DL120-DL143)/DL15*100</f>
        <v>11.090574430999457</v>
      </c>
      <c r="DM144" s="36"/>
      <c r="DN144" s="505"/>
      <c r="DO144" s="486"/>
      <c r="DP144" s="411"/>
      <c r="DQ144" s="411"/>
      <c r="DR144" s="411"/>
      <c r="DS144" s="560" t="s">
        <v>522</v>
      </c>
      <c r="DT144" s="560"/>
      <c r="DU144" s="464"/>
      <c r="DV144" s="464"/>
      <c r="DW144" s="464"/>
      <c r="DX144" s="464"/>
      <c r="DY144" s="464"/>
      <c r="DZ144" s="464"/>
      <c r="EA144" s="505"/>
      <c r="EH144" s="8"/>
    </row>
    <row r="145" spans="1:138" ht="12.75" customHeight="1" x14ac:dyDescent="0.2">
      <c r="A145" s="148" t="s">
        <v>244</v>
      </c>
      <c r="B145" s="20"/>
      <c r="C145" s="20"/>
      <c r="D145" s="20"/>
      <c r="E145" s="20"/>
      <c r="F145" s="226"/>
      <c r="G145" s="20"/>
      <c r="H145" s="20"/>
      <c r="I145" s="20"/>
      <c r="J145" s="20"/>
      <c r="K145" s="199"/>
      <c r="L145" s="20"/>
      <c r="M145" s="20"/>
      <c r="N145" s="20"/>
      <c r="O145" s="20"/>
      <c r="P145" s="199"/>
      <c r="Q145" s="20"/>
      <c r="R145" s="20"/>
      <c r="S145" s="20"/>
      <c r="T145" s="20"/>
      <c r="U145" s="199"/>
      <c r="V145" s="20"/>
      <c r="W145" s="20"/>
      <c r="X145" s="20"/>
      <c r="Y145" s="20"/>
      <c r="Z145" s="199"/>
      <c r="AA145" s="20"/>
      <c r="AB145" s="20"/>
      <c r="AC145" s="20"/>
      <c r="AD145" s="20"/>
      <c r="AE145" s="199"/>
      <c r="AF145" s="20"/>
      <c r="AG145" s="20"/>
      <c r="AH145" s="20"/>
      <c r="AI145" s="20"/>
      <c r="AJ145" s="199"/>
      <c r="AK145" s="20"/>
      <c r="AL145" s="20"/>
      <c r="AM145" s="20"/>
      <c r="AN145" s="20"/>
      <c r="AO145" s="199"/>
      <c r="AP145" s="317"/>
      <c r="AQ145" s="20"/>
      <c r="AR145" s="20"/>
      <c r="AS145" s="20"/>
      <c r="AT145" s="199"/>
      <c r="AU145" s="20"/>
      <c r="AV145" s="20"/>
      <c r="AW145" s="20"/>
      <c r="AX145" s="20"/>
      <c r="AY145" s="199"/>
      <c r="AZ145" s="317"/>
      <c r="BA145" s="20"/>
      <c r="BB145" s="20"/>
      <c r="BC145" s="20"/>
      <c r="BD145" s="199">
        <f t="shared" ref="BD145:CK145" si="543">BD144/AY144-1</f>
        <v>2.8735825882663768E-2</v>
      </c>
      <c r="BE145" s="317">
        <f t="shared" si="543"/>
        <v>-2.4291267478393497E-2</v>
      </c>
      <c r="BF145" s="20">
        <f t="shared" si="543"/>
        <v>-1.2035731905639002E-2</v>
      </c>
      <c r="BG145" s="20">
        <f t="shared" si="543"/>
        <v>6.7317437847942418E-3</v>
      </c>
      <c r="BH145" s="20">
        <f t="shared" si="543"/>
        <v>-4.081188890638332E-2</v>
      </c>
      <c r="BI145" s="199">
        <f t="shared" si="543"/>
        <v>-1.7544158891958705E-2</v>
      </c>
      <c r="BJ145" s="317">
        <f t="shared" si="543"/>
        <v>2.7390454672359343E-2</v>
      </c>
      <c r="BK145" s="20">
        <f t="shared" si="543"/>
        <v>2.842142877566789E-2</v>
      </c>
      <c r="BL145" s="20">
        <f t="shared" si="543"/>
        <v>2.9955308543535342E-2</v>
      </c>
      <c r="BM145" s="20">
        <f t="shared" si="543"/>
        <v>2.7078673280156673E-2</v>
      </c>
      <c r="BN145" s="341">
        <f t="shared" si="543"/>
        <v>2.8460938628494636E-2</v>
      </c>
      <c r="BO145" s="317">
        <f t="shared" si="543"/>
        <v>3.5128388517548181E-2</v>
      </c>
      <c r="BP145" s="20">
        <f t="shared" si="543"/>
        <v>6.1530473106791606E-2</v>
      </c>
      <c r="BQ145" s="20">
        <f t="shared" si="543"/>
        <v>5.4710797037085923E-2</v>
      </c>
      <c r="BR145" s="20">
        <f t="shared" si="543"/>
        <v>5.1115851277341307E-2</v>
      </c>
      <c r="BS145" s="199">
        <f t="shared" si="543"/>
        <v>5.0613230634973805E-2</v>
      </c>
      <c r="BT145" s="317">
        <f t="shared" si="543"/>
        <v>5.4417942295644783E-2</v>
      </c>
      <c r="BU145" s="20">
        <f t="shared" si="543"/>
        <v>2.0866925979418971E-2</v>
      </c>
      <c r="BV145" s="20">
        <f t="shared" si="543"/>
        <v>2.2911481125039046E-2</v>
      </c>
      <c r="BW145" s="20">
        <f t="shared" si="543"/>
        <v>2.4357453102727966E-2</v>
      </c>
      <c r="BX145" s="199">
        <f t="shared" si="543"/>
        <v>2.9877770095239731E-2</v>
      </c>
      <c r="BY145" s="317">
        <f t="shared" si="543"/>
        <v>1.7988031630910895E-2</v>
      </c>
      <c r="BZ145" s="20">
        <f t="shared" si="543"/>
        <v>3.7981959791783204E-2</v>
      </c>
      <c r="CA145" s="20">
        <f t="shared" si="543"/>
        <v>2.4331652321295305E-2</v>
      </c>
      <c r="CB145" s="20">
        <f t="shared" si="543"/>
        <v>2.9762395481947035E-2</v>
      </c>
      <c r="CC145" s="199">
        <f t="shared" si="543"/>
        <v>2.749148802034429E-2</v>
      </c>
      <c r="CD145" s="317">
        <f t="shared" si="543"/>
        <v>-7.8091664133943528E-3</v>
      </c>
      <c r="CE145" s="20">
        <f t="shared" si="543"/>
        <v>3.8074464470247982E-3</v>
      </c>
      <c r="CF145" s="20">
        <f t="shared" si="543"/>
        <v>3.6208070796663439E-2</v>
      </c>
      <c r="CG145" s="20">
        <f>CG144/CB144-1</f>
        <v>3.9941438805480844E-2</v>
      </c>
      <c r="CH145" s="199">
        <f>CH144/CC144-1</f>
        <v>1.8331291974801101E-2</v>
      </c>
      <c r="CI145" s="317">
        <f t="shared" si="543"/>
        <v>4.5840179498431333E-2</v>
      </c>
      <c r="CJ145" s="20">
        <f t="shared" si="543"/>
        <v>-1.9252989017063404E-3</v>
      </c>
      <c r="CK145" s="20">
        <f t="shared" si="543"/>
        <v>1.1450882410855012E-3</v>
      </c>
      <c r="CL145" s="20">
        <f>CL144/CG144-1</f>
        <v>0.10640666895286666</v>
      </c>
      <c r="CM145" s="199">
        <f>CM144/CH144-1</f>
        <v>3.6176838415882262E-2</v>
      </c>
      <c r="CN145" s="317">
        <f t="shared" ref="CN145:CP145" si="544">CN144/CI144-1</f>
        <v>5.7782784727699266E-2</v>
      </c>
      <c r="CO145" s="20">
        <f t="shared" si="544"/>
        <v>7.3353084264488722E-2</v>
      </c>
      <c r="CP145" s="20">
        <f t="shared" si="544"/>
        <v>4.8310760956306487E-2</v>
      </c>
      <c r="CQ145" s="20">
        <f>CQ144/CL144-1</f>
        <v>-4.4931989922911697E-3</v>
      </c>
      <c r="CR145" s="199">
        <f>CR144/CM144-1</f>
        <v>4.3072878851049268E-2</v>
      </c>
      <c r="CS145" s="317"/>
      <c r="CT145" s="20"/>
      <c r="CU145" s="20"/>
      <c r="CV145" s="20"/>
      <c r="CW145" s="209">
        <f>CW144/((32904-6435-1182)/CM15*100)-1</f>
        <v>5.4328862527057931E-2</v>
      </c>
      <c r="CX145" s="324">
        <f>CX144/CS144-1</f>
        <v>4.2709604848151228E-2</v>
      </c>
      <c r="CY145" s="20">
        <f>CY144/CT144-1</f>
        <v>3.2349484495106662E-2</v>
      </c>
      <c r="CZ145" s="20">
        <f>CZ144/CU144-1</f>
        <v>5.5060418172472314E-3</v>
      </c>
      <c r="DA145" s="20">
        <f>DA144/CV144-1</f>
        <v>-1.1280824467317818E-2</v>
      </c>
      <c r="DB145" s="199">
        <f>DB144/CW144-1</f>
        <v>1.6750009366333529E-2</v>
      </c>
      <c r="DC145" s="20"/>
      <c r="DD145" s="20"/>
      <c r="DE145" s="20"/>
      <c r="DF145" s="20"/>
      <c r="DG145" s="199">
        <f>DG144/DB144-1</f>
        <v>1.6226252767775451E-2</v>
      </c>
      <c r="DH145" s="20"/>
      <c r="DI145" s="20"/>
      <c r="DJ145" s="20"/>
      <c r="DK145" s="20"/>
      <c r="DL145" s="199">
        <f>DL144/DG144-1</f>
        <v>1.402184427471731E-2</v>
      </c>
      <c r="DM145" s="20"/>
      <c r="DN145" s="500"/>
      <c r="DO145" s="486"/>
      <c r="DP145" s="411"/>
      <c r="DQ145" s="411"/>
      <c r="DR145" s="411"/>
      <c r="DS145" s="556"/>
      <c r="DT145" s="556"/>
      <c r="DU145" s="464"/>
      <c r="DV145" s="461"/>
      <c r="DW145" s="461"/>
      <c r="DX145" s="461"/>
      <c r="DY145" s="461"/>
      <c r="DZ145" s="461"/>
      <c r="EA145" s="500"/>
      <c r="EH145" s="8"/>
    </row>
    <row r="146" spans="1:138" ht="12.75" customHeight="1" x14ac:dyDescent="0.2">
      <c r="A146" s="940" t="s">
        <v>582</v>
      </c>
      <c r="B146" s="20"/>
      <c r="C146" s="20"/>
      <c r="D146" s="20"/>
      <c r="E146" s="20"/>
      <c r="F146" s="226"/>
      <c r="G146" s="20"/>
      <c r="H146" s="20"/>
      <c r="I146" s="20"/>
      <c r="J146" s="20"/>
      <c r="K146" s="199"/>
      <c r="L146" s="20"/>
      <c r="M146" s="20"/>
      <c r="N146" s="20"/>
      <c r="O146" s="20"/>
      <c r="P146" s="199"/>
      <c r="Q146" s="20"/>
      <c r="R146" s="20"/>
      <c r="S146" s="20"/>
      <c r="T146" s="20"/>
      <c r="U146" s="199"/>
      <c r="V146" s="20"/>
      <c r="W146" s="20"/>
      <c r="X146" s="20"/>
      <c r="Y146" s="20"/>
      <c r="Z146" s="199"/>
      <c r="AA146" s="20"/>
      <c r="AB146" s="20"/>
      <c r="AC146" s="20"/>
      <c r="AD146" s="20"/>
      <c r="AE146" s="199"/>
      <c r="AF146" s="20"/>
      <c r="AG146" s="20"/>
      <c r="AH146" s="20"/>
      <c r="AI146" s="20"/>
      <c r="AJ146" s="199"/>
      <c r="AK146" s="20"/>
      <c r="AL146" s="20"/>
      <c r="AM146" s="20"/>
      <c r="AN146" s="20"/>
      <c r="AO146" s="199"/>
      <c r="AP146" s="317"/>
      <c r="AQ146" s="20"/>
      <c r="AR146" s="20"/>
      <c r="AS146" s="20"/>
      <c r="AT146" s="199"/>
      <c r="AU146" s="20"/>
      <c r="AV146" s="20"/>
      <c r="AW146" s="20"/>
      <c r="AX146" s="20"/>
      <c r="AY146" s="199"/>
      <c r="AZ146" s="317"/>
      <c r="BA146" s="20"/>
      <c r="BB146" s="20"/>
      <c r="BC146" s="20"/>
      <c r="BD146" s="199"/>
      <c r="BE146" s="317"/>
      <c r="BF146" s="20"/>
      <c r="BG146" s="20"/>
      <c r="BH146" s="20"/>
      <c r="BI146" s="199"/>
      <c r="BJ146" s="317"/>
      <c r="BK146" s="20"/>
      <c r="BL146" s="20"/>
      <c r="BM146" s="20"/>
      <c r="BN146" s="341"/>
      <c r="BO146" s="317"/>
      <c r="BP146" s="20"/>
      <c r="BQ146" s="20"/>
      <c r="BR146" s="20"/>
      <c r="BS146" s="199"/>
      <c r="BT146" s="317"/>
      <c r="BU146" s="20"/>
      <c r="BV146" s="20"/>
      <c r="BW146" s="20"/>
      <c r="BX146" s="199"/>
      <c r="BY146" s="317"/>
      <c r="BZ146" s="20"/>
      <c r="CA146" s="20"/>
      <c r="CB146" s="20"/>
      <c r="CC146" s="199"/>
      <c r="CD146" s="317"/>
      <c r="CE146" s="20"/>
      <c r="CF146" s="20"/>
      <c r="CG146" s="20"/>
      <c r="CH146" s="199"/>
      <c r="CI146" s="317"/>
      <c r="CJ146" s="20"/>
      <c r="CK146" s="20"/>
      <c r="CL146" s="20"/>
      <c r="CM146" s="199"/>
      <c r="CN146" s="317"/>
      <c r="CO146" s="20"/>
      <c r="CP146" s="20"/>
      <c r="CQ146" s="20"/>
      <c r="CR146" s="199"/>
      <c r="CS146" s="872">
        <v>-84</v>
      </c>
      <c r="CT146" s="894">
        <v>-52</v>
      </c>
      <c r="CU146" s="894">
        <v>-74</v>
      </c>
      <c r="CV146" s="894">
        <v>-49</v>
      </c>
      <c r="CW146" s="942">
        <f>SUM(CS146:CV146)</f>
        <v>-259</v>
      </c>
      <c r="CX146" s="872">
        <v>-27</v>
      </c>
      <c r="CY146" s="88">
        <v>0</v>
      </c>
      <c r="CZ146" s="88">
        <v>0</v>
      </c>
      <c r="DA146" s="88">
        <v>0</v>
      </c>
      <c r="DB146" s="942">
        <f>SUM(CX146:DA146)</f>
        <v>-27</v>
      </c>
      <c r="DC146" s="38"/>
      <c r="DD146" s="37"/>
      <c r="DE146" s="37"/>
      <c r="DF146" s="37"/>
      <c r="DG146" s="304">
        <v>0</v>
      </c>
      <c r="DH146" s="38"/>
      <c r="DI146" s="37"/>
      <c r="DJ146" s="37"/>
      <c r="DK146" s="37"/>
      <c r="DL146" s="304">
        <v>0</v>
      </c>
      <c r="DM146" s="20"/>
      <c r="DN146" s="500"/>
      <c r="DO146" s="486"/>
      <c r="DP146" s="411"/>
      <c r="DQ146" s="411"/>
      <c r="DR146" s="411"/>
      <c r="DS146" s="556"/>
      <c r="DT146" s="556"/>
      <c r="DU146" s="464"/>
      <c r="DV146" s="464"/>
      <c r="DW146" s="464"/>
      <c r="DX146" s="464"/>
      <c r="DY146" s="461"/>
      <c r="DZ146" s="461"/>
      <c r="EA146" s="500"/>
      <c r="EH146" s="318"/>
    </row>
    <row r="147" spans="1:138" ht="12.75" customHeight="1" x14ac:dyDescent="0.2">
      <c r="A147" s="943" t="s">
        <v>583</v>
      </c>
      <c r="B147" s="20"/>
      <c r="C147" s="20"/>
      <c r="D147" s="20"/>
      <c r="E147" s="20"/>
      <c r="F147" s="226"/>
      <c r="G147" s="20"/>
      <c r="H147" s="20"/>
      <c r="I147" s="20"/>
      <c r="J147" s="20"/>
      <c r="K147" s="199"/>
      <c r="L147" s="20"/>
      <c r="M147" s="20"/>
      <c r="N147" s="20"/>
      <c r="O147" s="20"/>
      <c r="P147" s="199"/>
      <c r="Q147" s="20"/>
      <c r="R147" s="20"/>
      <c r="S147" s="20"/>
      <c r="T147" s="20"/>
      <c r="U147" s="199"/>
      <c r="V147" s="20"/>
      <c r="W147" s="20"/>
      <c r="X147" s="20"/>
      <c r="Y147" s="20"/>
      <c r="Z147" s="199"/>
      <c r="AA147" s="20"/>
      <c r="AB147" s="20"/>
      <c r="AC147" s="20"/>
      <c r="AD147" s="20"/>
      <c r="AE147" s="199"/>
      <c r="AF147" s="20"/>
      <c r="AG147" s="20"/>
      <c r="AH147" s="20"/>
      <c r="AI147" s="20"/>
      <c r="AJ147" s="199"/>
      <c r="AK147" s="20"/>
      <c r="AL147" s="20"/>
      <c r="AM147" s="20"/>
      <c r="AN147" s="20"/>
      <c r="AO147" s="199"/>
      <c r="AP147" s="317"/>
      <c r="AQ147" s="20"/>
      <c r="AR147" s="20"/>
      <c r="AS147" s="20"/>
      <c r="AT147" s="199"/>
      <c r="AU147" s="20"/>
      <c r="AV147" s="20"/>
      <c r="AW147" s="20"/>
      <c r="AX147" s="20"/>
      <c r="AY147" s="199"/>
      <c r="AZ147" s="317"/>
      <c r="BA147" s="20"/>
      <c r="BB147" s="20"/>
      <c r="BC147" s="20"/>
      <c r="BD147" s="199"/>
      <c r="BE147" s="317"/>
      <c r="BF147" s="20"/>
      <c r="BG147" s="20"/>
      <c r="BH147" s="20"/>
      <c r="BI147" s="199"/>
      <c r="BJ147" s="317"/>
      <c r="BK147" s="20"/>
      <c r="BL147" s="20"/>
      <c r="BM147" s="20"/>
      <c r="BN147" s="341"/>
      <c r="BO147" s="317"/>
      <c r="BP147" s="20"/>
      <c r="BQ147" s="20"/>
      <c r="BR147" s="20"/>
      <c r="BS147" s="199"/>
      <c r="BT147" s="317"/>
      <c r="BU147" s="20"/>
      <c r="BV147" s="20"/>
      <c r="BW147" s="20"/>
      <c r="BX147" s="199"/>
      <c r="BY147" s="317"/>
      <c r="BZ147" s="20"/>
      <c r="CA147" s="20"/>
      <c r="CB147" s="20"/>
      <c r="CC147" s="199"/>
      <c r="CD147" s="317"/>
      <c r="CE147" s="20"/>
      <c r="CF147" s="20"/>
      <c r="CG147" s="20"/>
      <c r="CH147" s="199"/>
      <c r="CI147" s="317"/>
      <c r="CJ147" s="20"/>
      <c r="CK147" s="20"/>
      <c r="CL147" s="20"/>
      <c r="CM147" s="199"/>
      <c r="CN147" s="317"/>
      <c r="CO147" s="20"/>
      <c r="CP147" s="20"/>
      <c r="CQ147" s="20"/>
      <c r="CR147" s="199"/>
      <c r="CS147" s="872">
        <v>61</v>
      </c>
      <c r="CT147" s="894">
        <f>CT69</f>
        <v>66.227000000000004</v>
      </c>
      <c r="CU147" s="894">
        <f t="shared" ref="CU147:CV147" si="545">CU69</f>
        <v>126.30059999999999</v>
      </c>
      <c r="CV147" s="894">
        <f t="shared" si="545"/>
        <v>246.24599999999998</v>
      </c>
      <c r="CW147" s="252">
        <f>SUM(CS147:CV147)</f>
        <v>499.77359999999999</v>
      </c>
      <c r="CX147" s="872">
        <v>213</v>
      </c>
      <c r="CY147" s="38">
        <f>CY69</f>
        <v>66.227000000000004</v>
      </c>
      <c r="CZ147" s="38">
        <f t="shared" ref="CZ147:DA147" si="546">CZ69</f>
        <v>126.30059999999999</v>
      </c>
      <c r="DA147" s="38">
        <f t="shared" si="546"/>
        <v>246.24599999999998</v>
      </c>
      <c r="DB147" s="942">
        <f>SUM(CX147:DA147)</f>
        <v>651.77359999999999</v>
      </c>
      <c r="DC147" s="38"/>
      <c r="DD147" s="37"/>
      <c r="DE147" s="37"/>
      <c r="DF147" s="37"/>
      <c r="DG147" s="252">
        <f>DB147</f>
        <v>651.77359999999999</v>
      </c>
      <c r="DH147" s="38"/>
      <c r="DI147" s="37"/>
      <c r="DJ147" s="37"/>
      <c r="DK147" s="37"/>
      <c r="DL147" s="252">
        <f>DG147</f>
        <v>651.77359999999999</v>
      </c>
      <c r="DM147" s="20"/>
      <c r="DN147" s="500"/>
      <c r="DO147" s="486"/>
      <c r="DP147" s="411"/>
      <c r="DQ147" s="411"/>
      <c r="DR147" s="411"/>
      <c r="DS147" s="556"/>
      <c r="DT147" s="556"/>
      <c r="DU147" s="464"/>
      <c r="DV147" s="959"/>
      <c r="DW147" s="461"/>
      <c r="DX147" s="461"/>
      <c r="DY147" s="461"/>
      <c r="DZ147" s="461"/>
      <c r="EA147" s="500"/>
      <c r="EH147" s="318"/>
    </row>
    <row r="148" spans="1:138" ht="12.75" customHeight="1" x14ac:dyDescent="0.2">
      <c r="A148" s="941" t="s">
        <v>591</v>
      </c>
      <c r="B148" s="489">
        <f>B139-B146-B147</f>
        <v>3605</v>
      </c>
      <c r="C148" s="414">
        <f t="shared" ref="C148:E148" si="547">C139-C146-C147</f>
        <v>3777</v>
      </c>
      <c r="D148" s="414">
        <f t="shared" si="547"/>
        <v>3813</v>
      </c>
      <c r="E148" s="414">
        <f t="shared" si="547"/>
        <v>3839</v>
      </c>
      <c r="F148" s="942">
        <f>SUM(B148:E148)</f>
        <v>15034</v>
      </c>
      <c r="G148" s="489">
        <f>G139-G146-G147</f>
        <v>3957</v>
      </c>
      <c r="H148" s="414">
        <f t="shared" ref="H148:J148" si="548">H139-H146-H147</f>
        <v>3830</v>
      </c>
      <c r="I148" s="414">
        <f t="shared" si="548"/>
        <v>3752</v>
      </c>
      <c r="J148" s="414">
        <f t="shared" si="548"/>
        <v>3457</v>
      </c>
      <c r="K148" s="942">
        <f>SUM(G148:J148)</f>
        <v>14996</v>
      </c>
      <c r="L148" s="489">
        <f>L139-L146-L147</f>
        <v>3498</v>
      </c>
      <c r="M148" s="414">
        <f t="shared" ref="M148:O148" si="549">M139-M146-M147</f>
        <v>3578</v>
      </c>
      <c r="N148" s="414">
        <f t="shared" si="549"/>
        <v>3614</v>
      </c>
      <c r="O148" s="414">
        <f t="shared" si="549"/>
        <v>3519</v>
      </c>
      <c r="P148" s="942">
        <f>SUM(L148:O148)</f>
        <v>14209</v>
      </c>
      <c r="Q148" s="489">
        <f>Q139-Q146-Q147</f>
        <v>3647</v>
      </c>
      <c r="R148" s="414">
        <f t="shared" ref="R148:T148" si="550">R139-R146-R147</f>
        <v>3509.45</v>
      </c>
      <c r="S148" s="414">
        <f t="shared" si="550"/>
        <v>3524</v>
      </c>
      <c r="T148" s="414">
        <f t="shared" si="550"/>
        <v>3532</v>
      </c>
      <c r="U148" s="942">
        <f>SUM(Q148:T148)</f>
        <v>14212.45</v>
      </c>
      <c r="V148" s="489">
        <f>V139-V146-V147</f>
        <v>3917</v>
      </c>
      <c r="W148" s="414">
        <f t="shared" ref="W148:Y148" si="551">W139-W146-W147</f>
        <v>4085</v>
      </c>
      <c r="X148" s="414">
        <f t="shared" si="551"/>
        <v>4240</v>
      </c>
      <c r="Y148" s="414">
        <f t="shared" si="551"/>
        <v>4467</v>
      </c>
      <c r="Z148" s="942">
        <f>SUM(V148:Y148)</f>
        <v>16709</v>
      </c>
      <c r="AA148" s="489">
        <f>AA139-AA146-AA147</f>
        <v>4073</v>
      </c>
      <c r="AB148" s="414">
        <f t="shared" ref="AB148:AD148" si="552">AB139-AB146-AB147</f>
        <v>4218</v>
      </c>
      <c r="AC148" s="414">
        <f t="shared" si="552"/>
        <v>4371</v>
      </c>
      <c r="AD148" s="414">
        <f t="shared" si="552"/>
        <v>4642</v>
      </c>
      <c r="AE148" s="942">
        <f>SUM(AA148:AD148)</f>
        <v>17304</v>
      </c>
      <c r="AF148" s="489">
        <f>AF139-AF146-AF147</f>
        <v>4279</v>
      </c>
      <c r="AG148" s="414">
        <f t="shared" ref="AG148:AI148" si="553">AG139-AG146-AG147</f>
        <v>4372</v>
      </c>
      <c r="AH148" s="414">
        <f t="shared" si="553"/>
        <v>4583</v>
      </c>
      <c r="AI148" s="414">
        <f t="shared" si="553"/>
        <v>4240</v>
      </c>
      <c r="AJ148" s="942">
        <f>SUM(AF148:AI148)</f>
        <v>17474</v>
      </c>
      <c r="AK148" s="489">
        <f>AK139-AK146-AK147</f>
        <v>4086</v>
      </c>
      <c r="AL148" s="414">
        <f t="shared" ref="AL148:AN148" si="554">AL139-AL146-AL147</f>
        <v>4491</v>
      </c>
      <c r="AM148" s="414">
        <f t="shared" si="554"/>
        <v>4774</v>
      </c>
      <c r="AN148" s="414">
        <f t="shared" si="554"/>
        <v>4685</v>
      </c>
      <c r="AO148" s="942">
        <f>SUM(AK148:AN148)</f>
        <v>18036</v>
      </c>
      <c r="AP148" s="489">
        <f>AP139-AP146-AP147</f>
        <v>0</v>
      </c>
      <c r="AQ148" s="414">
        <f t="shared" ref="AQ148:AS148" si="555">AQ139-AQ146-AQ147</f>
        <v>0</v>
      </c>
      <c r="AR148" s="414">
        <f t="shared" si="555"/>
        <v>0</v>
      </c>
      <c r="AS148" s="414">
        <f t="shared" si="555"/>
        <v>0</v>
      </c>
      <c r="AT148" s="942">
        <f>SUM(AP148:AS148)</f>
        <v>0</v>
      </c>
      <c r="AU148" s="489">
        <f>AU139-AU146-AU147</f>
        <v>8158</v>
      </c>
      <c r="AV148" s="414">
        <f t="shared" ref="AV148:AX148" si="556">AV139-AV146-AV147</f>
        <v>8850</v>
      </c>
      <c r="AW148" s="414">
        <f t="shared" si="556"/>
        <v>9316</v>
      </c>
      <c r="AX148" s="414">
        <f t="shared" si="556"/>
        <v>7914</v>
      </c>
      <c r="AY148" s="942">
        <f>SUM(AU148:AX148)</f>
        <v>34238</v>
      </c>
      <c r="AZ148" s="489">
        <f>AZ139-AZ146-AZ147</f>
        <v>7066</v>
      </c>
      <c r="BA148" s="414">
        <f t="shared" ref="BA148:BC148" si="557">BA139-BA146-BA147</f>
        <v>6941</v>
      </c>
      <c r="BB148" s="414">
        <f t="shared" si="557"/>
        <v>7241</v>
      </c>
      <c r="BC148" s="414">
        <f t="shared" si="557"/>
        <v>6730</v>
      </c>
      <c r="BD148" s="942">
        <f>SUM(AZ148:BC148)</f>
        <v>27978</v>
      </c>
      <c r="BE148" s="489">
        <f>BE139-BE146-BE147</f>
        <v>6726</v>
      </c>
      <c r="BF148" s="414">
        <f t="shared" ref="BF148:BH148" si="558">BF139-BF146-BF147</f>
        <v>7234</v>
      </c>
      <c r="BG148" s="414">
        <f t="shared" si="558"/>
        <v>7741</v>
      </c>
      <c r="BH148" s="414">
        <f t="shared" si="558"/>
        <v>7387</v>
      </c>
      <c r="BI148" s="942">
        <f>SUM(BE148:BH148)</f>
        <v>29088</v>
      </c>
      <c r="BJ148" s="489">
        <f>BJ139-BJ146-BJ147</f>
        <v>7861</v>
      </c>
      <c r="BK148" s="414">
        <f t="shared" ref="BK148:BM148" si="559">BK139-BK146-BK147</f>
        <v>8517</v>
      </c>
      <c r="BL148" s="414">
        <f t="shared" si="559"/>
        <v>8745</v>
      </c>
      <c r="BM148" s="414">
        <f t="shared" si="559"/>
        <v>7749</v>
      </c>
      <c r="BN148" s="942">
        <f>SUM(BJ148:BM148)</f>
        <v>32872</v>
      </c>
      <c r="BO148" s="489">
        <f>BO139-BO146-BO147</f>
        <v>8194</v>
      </c>
      <c r="BP148" s="414">
        <f t="shared" ref="BP148:BR148" si="560">BP139-BP146-BP147</f>
        <v>8844</v>
      </c>
      <c r="BQ148" s="414">
        <f t="shared" si="560"/>
        <v>8906</v>
      </c>
      <c r="BR148" s="414">
        <f t="shared" si="560"/>
        <v>8125</v>
      </c>
      <c r="BS148" s="942">
        <f>SUM(BO148:BR148)</f>
        <v>34069</v>
      </c>
      <c r="BT148" s="489">
        <f>BT139-BT146-BT147</f>
        <v>8200</v>
      </c>
      <c r="BU148" s="414">
        <f t="shared" ref="BU148:BW148" si="561">BU139-BU146-BU147</f>
        <v>8634</v>
      </c>
      <c r="BV148" s="414">
        <f t="shared" si="561"/>
        <v>9106</v>
      </c>
      <c r="BW148" s="414">
        <f t="shared" si="561"/>
        <v>8307</v>
      </c>
      <c r="BX148" s="942">
        <f>SUM(BT148:BW148)</f>
        <v>34247</v>
      </c>
      <c r="BY148" s="489">
        <f>BY139-BY146-BY147</f>
        <v>8213</v>
      </c>
      <c r="BZ148" s="414">
        <f t="shared" ref="BZ148:CB148" si="562">BZ139-BZ146-BZ147</f>
        <v>9013</v>
      </c>
      <c r="CA148" s="414">
        <f t="shared" si="562"/>
        <v>9426</v>
      </c>
      <c r="CB148" s="414">
        <f t="shared" si="562"/>
        <v>8442</v>
      </c>
      <c r="CC148" s="942">
        <f>SUM(BY148:CB148)</f>
        <v>35094</v>
      </c>
      <c r="CD148" s="489">
        <f>CD139-CD146-CD147</f>
        <v>8569</v>
      </c>
      <c r="CE148" s="414">
        <f t="shared" ref="CE148:CG148" si="563">CE139-CE146-CE147</f>
        <v>8928</v>
      </c>
      <c r="CF148" s="414">
        <f t="shared" si="563"/>
        <v>8795</v>
      </c>
      <c r="CG148" s="414">
        <f t="shared" si="563"/>
        <v>7876</v>
      </c>
      <c r="CH148" s="942">
        <f>SUM(CD148:CG148)</f>
        <v>34168</v>
      </c>
      <c r="CI148" s="489">
        <f>CI139-CI146-CI147</f>
        <v>7556</v>
      </c>
      <c r="CJ148" s="414">
        <f t="shared" ref="CJ148:CL148" si="564">CJ139-CJ146-CJ147</f>
        <v>8641</v>
      </c>
      <c r="CK148" s="414">
        <f t="shared" si="564"/>
        <v>8491</v>
      </c>
      <c r="CL148" s="414">
        <f t="shared" si="564"/>
        <v>8449</v>
      </c>
      <c r="CM148" s="942">
        <f>SUM(CI148:CL148)</f>
        <v>33137</v>
      </c>
      <c r="CN148" s="489">
        <f>CN139-CN146-CN147</f>
        <v>8179</v>
      </c>
      <c r="CO148" s="414">
        <f t="shared" ref="CO148:CQ148" si="565">CO139-CO146-CO147</f>
        <v>8815</v>
      </c>
      <c r="CP148" s="414">
        <f t="shared" si="565"/>
        <v>9295</v>
      </c>
      <c r="CQ148" s="414">
        <f t="shared" si="565"/>
        <v>9101</v>
      </c>
      <c r="CR148" s="942">
        <f>SUM(CN148:CQ148)</f>
        <v>35390</v>
      </c>
      <c r="CS148" s="489">
        <f>CS139-CS146-CS147</f>
        <v>8125</v>
      </c>
      <c r="CT148" s="414">
        <f t="shared" ref="CT148" si="566">CT139-CT146-CT147</f>
        <v>8750.7729999999992</v>
      </c>
      <c r="CU148" s="414">
        <f t="shared" ref="CU148" si="567">CU139-CU146-CU147</f>
        <v>9185.6993999999995</v>
      </c>
      <c r="CV148" s="414">
        <f t="shared" ref="CV148" si="568">CV139-CV146-CV147</f>
        <v>8869.7540000000008</v>
      </c>
      <c r="CW148" s="942">
        <f>SUM(CS148:CV148)</f>
        <v>34931.2264</v>
      </c>
      <c r="CX148" s="489">
        <f>CX139-CX146-CX147</f>
        <v>8942</v>
      </c>
      <c r="CY148" s="414">
        <f t="shared" ref="CY148:DA148" si="569">CY139-CY146-CY147</f>
        <v>9711.407550480415</v>
      </c>
      <c r="CZ148" s="414">
        <f t="shared" si="569"/>
        <v>9894.2432822250867</v>
      </c>
      <c r="DA148" s="414">
        <f t="shared" si="569"/>
        <v>9142.2214578869807</v>
      </c>
      <c r="DB148" s="942">
        <f>SUM(CX148:DA148)</f>
        <v>37689.872290592481</v>
      </c>
      <c r="DC148" s="84"/>
      <c r="DD148" s="84"/>
      <c r="DE148" s="84"/>
      <c r="DF148" s="84"/>
      <c r="DG148" s="942">
        <f>DG139-DG146-DG147</f>
        <v>38643.905943127931</v>
      </c>
      <c r="DH148" s="84"/>
      <c r="DI148" s="84"/>
      <c r="DJ148" s="84"/>
      <c r="DK148" s="84"/>
      <c r="DL148" s="942">
        <f t="shared" ref="DL148" si="570">DL139-DL146-DL147</f>
        <v>39580.3328996235</v>
      </c>
      <c r="DM148" s="20"/>
      <c r="DN148" s="500"/>
      <c r="DO148" s="486"/>
      <c r="DP148" s="411"/>
      <c r="DQ148" s="411"/>
      <c r="DR148" s="411"/>
      <c r="DS148" s="556"/>
      <c r="DT148" s="560"/>
      <c r="DU148" s="796"/>
      <c r="DV148" s="556"/>
      <c r="DW148" s="564"/>
      <c r="DX148" s="564"/>
      <c r="DY148" s="564"/>
      <c r="DZ148" s="681"/>
      <c r="EA148" s="500"/>
      <c r="EH148" s="8"/>
    </row>
    <row r="149" spans="1:138" s="1" customFormat="1" ht="12.75" customHeight="1" x14ac:dyDescent="0.2">
      <c r="A149" s="944" t="s">
        <v>102</v>
      </c>
      <c r="B149" s="945">
        <f t="shared" ref="B149:AO149" si="571">(B139-B94-B81-B120)/B15*100</f>
        <v>8.9364220493743662</v>
      </c>
      <c r="C149" s="945">
        <f t="shared" si="571"/>
        <v>8.9264076258179177</v>
      </c>
      <c r="D149" s="945">
        <f t="shared" si="571"/>
        <v>8.6111840378051987</v>
      </c>
      <c r="E149" s="945">
        <f t="shared" si="571"/>
        <v>9.0512510974539069</v>
      </c>
      <c r="F149" s="946">
        <f t="shared" si="571"/>
        <v>8.8781522027195088</v>
      </c>
      <c r="G149" s="945">
        <f t="shared" si="571"/>
        <v>9.1260900681209751</v>
      </c>
      <c r="H149" s="945">
        <f t="shared" si="571"/>
        <v>8.8051465781008922</v>
      </c>
      <c r="I149" s="945">
        <f t="shared" si="571"/>
        <v>8.6933474688576737</v>
      </c>
      <c r="J149" s="945">
        <f t="shared" si="571"/>
        <v>9.047690320025799</v>
      </c>
      <c r="K149" s="946">
        <f t="shared" si="571"/>
        <v>8.9145290860608863</v>
      </c>
      <c r="L149" s="945">
        <f t="shared" si="571"/>
        <v>9.3627741553052761</v>
      </c>
      <c r="M149" s="945">
        <f t="shared" si="571"/>
        <v>8.8597004935999326</v>
      </c>
      <c r="N149" s="945">
        <f t="shared" si="571"/>
        <v>8.539630836047774</v>
      </c>
      <c r="O149" s="945">
        <f t="shared" si="571"/>
        <v>8.6281179138321988</v>
      </c>
      <c r="P149" s="946">
        <f t="shared" si="571"/>
        <v>8.8386172637402183</v>
      </c>
      <c r="Q149" s="945">
        <f t="shared" si="571"/>
        <v>9.4446452234670524</v>
      </c>
      <c r="R149" s="945">
        <f t="shared" si="571"/>
        <v>9.5960541924205529</v>
      </c>
      <c r="S149" s="945">
        <f t="shared" si="571"/>
        <v>8.8150917152047281</v>
      </c>
      <c r="T149" s="945">
        <f t="shared" si="571"/>
        <v>8.7250259845247715</v>
      </c>
      <c r="U149" s="946">
        <f t="shared" si="571"/>
        <v>9.1335957673217596</v>
      </c>
      <c r="V149" s="945">
        <f t="shared" si="571"/>
        <v>9.3513105261685645</v>
      </c>
      <c r="W149" s="945">
        <f t="shared" si="571"/>
        <v>8.8451579492490939</v>
      </c>
      <c r="X149" s="945">
        <f t="shared" si="571"/>
        <v>8.8186483519289194</v>
      </c>
      <c r="Y149" s="945">
        <f t="shared" si="571"/>
        <v>9.3647589334871419</v>
      </c>
      <c r="Z149" s="946">
        <f t="shared" si="571"/>
        <v>9.0882719427211427</v>
      </c>
      <c r="AA149" s="945">
        <f t="shared" si="571"/>
        <v>8.4193573936689816</v>
      </c>
      <c r="AB149" s="945">
        <f t="shared" si="571"/>
        <v>7.8171710932674481</v>
      </c>
      <c r="AC149" s="945">
        <f t="shared" si="571"/>
        <v>7.7183578998660005</v>
      </c>
      <c r="AD149" s="945">
        <f t="shared" si="571"/>
        <v>9.3913787570863185</v>
      </c>
      <c r="AE149" s="946">
        <f t="shared" si="571"/>
        <v>8.3122333267429038</v>
      </c>
      <c r="AF149" s="945">
        <f t="shared" si="571"/>
        <v>9.594821108606439</v>
      </c>
      <c r="AG149" s="945">
        <f t="shared" si="571"/>
        <v>8.5635505594146029</v>
      </c>
      <c r="AH149" s="945">
        <f t="shared" si="571"/>
        <v>8.3419519208939796</v>
      </c>
      <c r="AI149" s="945">
        <f t="shared" si="571"/>
        <v>8.8365896980461809</v>
      </c>
      <c r="AJ149" s="946">
        <f t="shared" si="571"/>
        <v>8.8117841818980374</v>
      </c>
      <c r="AK149" s="945">
        <f t="shared" si="571"/>
        <v>8.8948099435925041</v>
      </c>
      <c r="AL149" s="945">
        <f t="shared" si="571"/>
        <v>8.6552836572507665</v>
      </c>
      <c r="AM149" s="945">
        <f t="shared" si="571"/>
        <v>8.36528832767506</v>
      </c>
      <c r="AN149" s="945">
        <f t="shared" si="571"/>
        <v>8.8977388143475711</v>
      </c>
      <c r="AO149" s="946">
        <f t="shared" si="571"/>
        <v>8.6925008071796146</v>
      </c>
      <c r="AP149" s="947"/>
      <c r="AQ149" s="945"/>
      <c r="AR149" s="945"/>
      <c r="AS149" s="945"/>
      <c r="AT149" s="948"/>
      <c r="AU149" s="945">
        <f t="shared" ref="AU149:BD149" si="572">(AU139-AU94-AU81-AU120)/AU15*100</f>
        <v>8.7234578262694082</v>
      </c>
      <c r="AV149" s="945">
        <f t="shared" si="572"/>
        <v>8.2288364169781865</v>
      </c>
      <c r="AW149" s="945">
        <f t="shared" si="572"/>
        <v>7.9441406009955138</v>
      </c>
      <c r="AX149" s="945">
        <f t="shared" si="572"/>
        <v>8.3823883782574278</v>
      </c>
      <c r="AY149" s="948">
        <f t="shared" si="572"/>
        <v>8.3095009830844475</v>
      </c>
      <c r="AZ149" s="947">
        <f t="shared" si="572"/>
        <v>8.9343379978471464</v>
      </c>
      <c r="BA149" s="945">
        <f t="shared" si="572"/>
        <v>8.3298039946466993</v>
      </c>
      <c r="BB149" s="945">
        <f t="shared" si="572"/>
        <v>8.0615097856477167</v>
      </c>
      <c r="BC149" s="945">
        <f t="shared" si="572"/>
        <v>8.9546920711124454</v>
      </c>
      <c r="BD149" s="948">
        <f t="shared" si="572"/>
        <v>8.5482813565061857</v>
      </c>
      <c r="BE149" s="947">
        <f t="shared" ref="BE149:CW149" si="573">(BE139-BE94-BE81-BE120-BE143)/BE15*100</f>
        <v>8.7173116037990663</v>
      </c>
      <c r="BF149" s="945">
        <f t="shared" si="573"/>
        <v>8.0762215066952869</v>
      </c>
      <c r="BG149" s="945">
        <f t="shared" si="573"/>
        <v>7.8251603919068486</v>
      </c>
      <c r="BH149" s="945">
        <f t="shared" si="573"/>
        <v>8.5225995132969334</v>
      </c>
      <c r="BI149" s="948">
        <f t="shared" si="573"/>
        <v>8.2637917450616172</v>
      </c>
      <c r="BJ149" s="947">
        <f t="shared" si="573"/>
        <v>8.9560827321477561</v>
      </c>
      <c r="BK149" s="945">
        <f t="shared" si="573"/>
        <v>8.4501421659101119</v>
      </c>
      <c r="BL149" s="945">
        <f t="shared" si="573"/>
        <v>8.0956972590180509</v>
      </c>
      <c r="BM149" s="945">
        <f t="shared" si="573"/>
        <v>8.6601010284551379</v>
      </c>
      <c r="BN149" s="949">
        <f t="shared" si="573"/>
        <v>8.5250405620743841</v>
      </c>
      <c r="BO149" s="947">
        <f t="shared" si="573"/>
        <v>9.2706954859579476</v>
      </c>
      <c r="BP149" s="945">
        <f t="shared" si="573"/>
        <v>8.756862348859924</v>
      </c>
      <c r="BQ149" s="945">
        <f t="shared" si="573"/>
        <v>8.5368399081611361</v>
      </c>
      <c r="BR149" s="945">
        <f t="shared" si="573"/>
        <v>9.1568216112767296</v>
      </c>
      <c r="BS149" s="948">
        <f t="shared" si="573"/>
        <v>8.9130481956469847</v>
      </c>
      <c r="BT149" s="947">
        <f t="shared" si="573"/>
        <v>9.7374674663347296</v>
      </c>
      <c r="BU149" s="945">
        <f t="shared" si="573"/>
        <v>8.9746158984635933</v>
      </c>
      <c r="BV149" s="945">
        <f t="shared" si="573"/>
        <v>8.6284882537993219</v>
      </c>
      <c r="BW149" s="945">
        <f t="shared" si="573"/>
        <v>9.28590580033962</v>
      </c>
      <c r="BX149" s="948">
        <f t="shared" si="573"/>
        <v>9.1282117384205552</v>
      </c>
      <c r="BY149" s="947">
        <f t="shared" si="573"/>
        <v>9.7673642030276042</v>
      </c>
      <c r="BZ149" s="945">
        <f t="shared" si="573"/>
        <v>8.9700244269375737</v>
      </c>
      <c r="CA149" s="945">
        <f t="shared" si="573"/>
        <v>8.6551588144282992</v>
      </c>
      <c r="CB149" s="945">
        <f t="shared" si="573"/>
        <v>9.329817849695841</v>
      </c>
      <c r="CC149" s="948">
        <f t="shared" si="573"/>
        <v>9.1498523006058186</v>
      </c>
      <c r="CD149" s="947">
        <f t="shared" si="573"/>
        <v>9.6330194179903526</v>
      </c>
      <c r="CE149" s="945">
        <f t="shared" si="573"/>
        <v>8.9134616888499618</v>
      </c>
      <c r="CF149" s="945">
        <f t="shared" si="573"/>
        <v>8.7445429289588574</v>
      </c>
      <c r="CG149" s="945">
        <f t="shared" si="573"/>
        <v>9.5190639014416067</v>
      </c>
      <c r="CH149" s="948">
        <f t="shared" si="573"/>
        <v>9.1747580684378587</v>
      </c>
      <c r="CI149" s="947">
        <f t="shared" si="573"/>
        <v>9.8581133373462908</v>
      </c>
      <c r="CJ149" s="945">
        <f t="shared" si="573"/>
        <v>9.0468179269161393</v>
      </c>
      <c r="CK149" s="945">
        <f t="shared" si="573"/>
        <v>9.1107956191690338</v>
      </c>
      <c r="CL149" s="945">
        <f t="shared" si="573"/>
        <v>10.925657838712425</v>
      </c>
      <c r="CM149" s="948">
        <f t="shared" si="573"/>
        <v>9.6896377850214606</v>
      </c>
      <c r="CN149" s="947">
        <f t="shared" si="573"/>
        <v>10.661644001313265</v>
      </c>
      <c r="CO149" s="945">
        <f t="shared" si="573"/>
        <v>9.7271505579295461</v>
      </c>
      <c r="CP149" s="945">
        <f>(CP139-CP94-CP81-CP120-CP143)/CP15*100</f>
        <v>9.5985292231390815</v>
      </c>
      <c r="CQ149" s="945">
        <f t="shared" si="573"/>
        <v>10.767565767565767</v>
      </c>
      <c r="CR149" s="948">
        <f t="shared" si="573"/>
        <v>10.150004914971001</v>
      </c>
      <c r="CS149" s="951">
        <f t="shared" si="573"/>
        <v>10.673739869710218</v>
      </c>
      <c r="CT149" s="945">
        <f t="shared" si="573"/>
        <v>9.7301704742778625</v>
      </c>
      <c r="CU149" s="945">
        <f>(CU139-CU94-CU81-CU120-CU143)/CU15*100</f>
        <v>9.622757136545669</v>
      </c>
      <c r="CV149" s="945">
        <f t="shared" si="573"/>
        <v>10.794205794205794</v>
      </c>
      <c r="CW149" s="948">
        <f t="shared" si="573"/>
        <v>10.166519217536617</v>
      </c>
      <c r="CX149" s="951">
        <f>(CX139-CX94-CX81-CX143)/CX15*100</f>
        <v>11.09389038970553</v>
      </c>
      <c r="CY149" s="945">
        <f t="shared" ref="CY149:DB149" si="574">(CY139-CY94-CY81-CY143)/CY15*100</f>
        <v>9.9576168614336442</v>
      </c>
      <c r="CZ149" s="945">
        <f t="shared" si="574"/>
        <v>9.5667089682784372</v>
      </c>
      <c r="DA149" s="945">
        <f>(DA139-DA94-DA81-DA143)/DA15*100</f>
        <v>10.584849073478269</v>
      </c>
      <c r="DB149" s="948">
        <f t="shared" si="574"/>
        <v>10.255587339617499</v>
      </c>
      <c r="DC149" s="945"/>
      <c r="DD149" s="945"/>
      <c r="DE149" s="945"/>
      <c r="DF149" s="945"/>
      <c r="DG149" s="948">
        <f t="shared" ref="DG149" si="575">(DG139-DG94-DG81-DG143)/DG15*100</f>
        <v>10.404999255991845</v>
      </c>
      <c r="DH149" s="945"/>
      <c r="DI149" s="945"/>
      <c r="DJ149" s="945"/>
      <c r="DK149" s="945"/>
      <c r="DL149" s="948">
        <f t="shared" ref="DL149" si="576">(DL139-DL94-DL81-DL143)/DL15*100</f>
        <v>10.508886666633375</v>
      </c>
      <c r="DM149" s="945"/>
      <c r="DN149" s="950"/>
      <c r="DO149" s="490"/>
      <c r="DP149" s="415"/>
      <c r="DQ149" s="415"/>
      <c r="DR149" s="415"/>
      <c r="DS149" s="461"/>
      <c r="DT149" s="461"/>
      <c r="DU149" s="461"/>
      <c r="DV149" s="464"/>
      <c r="DW149" s="464"/>
      <c r="DX149" s="464"/>
      <c r="DY149" s="464"/>
      <c r="DZ149" s="464"/>
      <c r="EA149" s="950"/>
      <c r="EB149"/>
      <c r="EC149"/>
      <c r="ED149"/>
      <c r="EE149"/>
      <c r="EF149"/>
      <c r="EG149"/>
      <c r="EH149" s="162"/>
    </row>
    <row r="150" spans="1:138" ht="12.75" customHeight="1" x14ac:dyDescent="0.2">
      <c r="A150" s="148" t="s">
        <v>244</v>
      </c>
      <c r="B150" s="20"/>
      <c r="C150" s="20"/>
      <c r="D150" s="20"/>
      <c r="E150" s="20"/>
      <c r="F150" s="226"/>
      <c r="G150" s="20">
        <f>G149/B149-1</f>
        <v>2.1224156345647005E-2</v>
      </c>
      <c r="H150" s="20">
        <f>H149/C149-1</f>
        <v>-1.358452949944855E-2</v>
      </c>
      <c r="I150" s="20">
        <f>I149/D149-1</f>
        <v>9.5414789292340707E-3</v>
      </c>
      <c r="J150" s="20">
        <f>J149/E149-1</f>
        <v>-3.9340168444890189E-4</v>
      </c>
      <c r="K150" s="199">
        <f t="shared" ref="K150:AO150" si="577">K149/F149-1</f>
        <v>4.0973484696775753E-3</v>
      </c>
      <c r="L150" s="20">
        <f t="shared" si="577"/>
        <v>2.5934883988388391E-2</v>
      </c>
      <c r="M150" s="20">
        <f t="shared" si="577"/>
        <v>6.1956851047455519E-3</v>
      </c>
      <c r="N150" s="20">
        <f t="shared" si="577"/>
        <v>-1.7682099255846073E-2</v>
      </c>
      <c r="O150" s="20">
        <f t="shared" si="577"/>
        <v>-4.6373426957920461E-2</v>
      </c>
      <c r="P150" s="199">
        <f t="shared" si="577"/>
        <v>-8.5155168139354753E-3</v>
      </c>
      <c r="Q150" s="20">
        <f t="shared" si="577"/>
        <v>8.7443173149044373E-3</v>
      </c>
      <c r="R150" s="20">
        <f t="shared" si="577"/>
        <v>8.3112707856495494E-2</v>
      </c>
      <c r="S150" s="20">
        <f t="shared" si="577"/>
        <v>3.2256766650165858E-2</v>
      </c>
      <c r="T150" s="20">
        <f t="shared" si="577"/>
        <v>1.1231658127575539E-2</v>
      </c>
      <c r="U150" s="199">
        <f t="shared" si="577"/>
        <v>3.3373829274367273E-2</v>
      </c>
      <c r="V150" s="20">
        <f t="shared" si="577"/>
        <v>-9.8822872739126044E-3</v>
      </c>
      <c r="W150" s="20">
        <f t="shared" si="577"/>
        <v>-7.8250521319956134E-2</v>
      </c>
      <c r="X150" s="20">
        <f t="shared" si="577"/>
        <v>4.0347132384987994E-4</v>
      </c>
      <c r="Y150" s="20">
        <f t="shared" si="577"/>
        <v>7.3321609597156501E-2</v>
      </c>
      <c r="Z150" s="199">
        <f t="shared" si="577"/>
        <v>-4.9623199619559522E-3</v>
      </c>
      <c r="AA150" s="20">
        <f t="shared" si="577"/>
        <v>-9.9660163128111212E-2</v>
      </c>
      <c r="AB150" s="20">
        <f t="shared" si="577"/>
        <v>-0.1162202938466369</v>
      </c>
      <c r="AC150" s="20">
        <f t="shared" si="577"/>
        <v>-0.12476860491009945</v>
      </c>
      <c r="AD150" s="20">
        <f t="shared" si="577"/>
        <v>2.8425529998414856E-3</v>
      </c>
      <c r="AE150" s="199">
        <f t="shared" si="577"/>
        <v>-8.5389017941939316E-2</v>
      </c>
      <c r="AF150" s="20">
        <f t="shared" si="577"/>
        <v>0.13961442185853268</v>
      </c>
      <c r="AG150" s="20">
        <f t="shared" si="577"/>
        <v>9.5479484488957267E-2</v>
      </c>
      <c r="AH150" s="20">
        <f t="shared" si="577"/>
        <v>8.0793612983249385E-2</v>
      </c>
      <c r="AI150" s="20">
        <f t="shared" si="577"/>
        <v>-5.9074292858385502E-2</v>
      </c>
      <c r="AJ150" s="199">
        <f t="shared" si="577"/>
        <v>6.0098271489556376E-2</v>
      </c>
      <c r="AK150" s="20">
        <f t="shared" si="577"/>
        <v>-7.2957187746422236E-2</v>
      </c>
      <c r="AL150" s="20">
        <f t="shared" si="577"/>
        <v>1.0712040198713302E-2</v>
      </c>
      <c r="AM150" s="20">
        <f t="shared" si="577"/>
        <v>2.7974755791422279E-3</v>
      </c>
      <c r="AN150" s="20">
        <f t="shared" si="577"/>
        <v>6.9199904477754703E-3</v>
      </c>
      <c r="AO150" s="199">
        <f t="shared" si="577"/>
        <v>-1.3536801657428876E-2</v>
      </c>
      <c r="AP150" s="317"/>
      <c r="AQ150" s="20"/>
      <c r="AR150" s="20"/>
      <c r="AS150" s="20"/>
      <c r="AT150" s="199"/>
      <c r="AU150" s="20"/>
      <c r="AV150" s="20"/>
      <c r="AW150" s="20"/>
      <c r="AX150" s="20"/>
      <c r="AY150" s="199"/>
      <c r="AZ150" s="317">
        <f>AZ149/AU149-1</f>
        <v>2.4173919995658544E-2</v>
      </c>
      <c r="BA150" s="20">
        <f>BA149/AV149-1</f>
        <v>1.2269970206260306E-2</v>
      </c>
      <c r="BB150" s="20">
        <f>BB149/AW149-1</f>
        <v>1.4774308581282591E-2</v>
      </c>
      <c r="BC150" s="20">
        <f>BC149/AX149-1</f>
        <v>6.8274537879857933E-2</v>
      </c>
      <c r="BD150" s="199">
        <f>BD149/AY149-1</f>
        <v>2.8735825882663768E-2</v>
      </c>
      <c r="BE150" s="317">
        <f t="shared" ref="BE150:CA150" si="578">BE149/AZ149-1</f>
        <v>-2.4291267478393497E-2</v>
      </c>
      <c r="BF150" s="20">
        <f t="shared" si="578"/>
        <v>-3.0442791704868633E-2</v>
      </c>
      <c r="BG150" s="20">
        <f t="shared" si="578"/>
        <v>-2.9318254275601308E-2</v>
      </c>
      <c r="BH150" s="20">
        <f t="shared" si="578"/>
        <v>-4.8253201158019565E-2</v>
      </c>
      <c r="BI150" s="199">
        <f t="shared" si="578"/>
        <v>-3.3280328475388865E-2</v>
      </c>
      <c r="BJ150" s="317">
        <f t="shared" si="578"/>
        <v>2.7390454672359343E-2</v>
      </c>
      <c r="BK150" s="20">
        <f t="shared" si="578"/>
        <v>4.629896033743508E-2</v>
      </c>
      <c r="BL150" s="20">
        <f t="shared" si="578"/>
        <v>3.4572692898538371E-2</v>
      </c>
      <c r="BM150" s="20">
        <f t="shared" si="578"/>
        <v>1.6133752963948922E-2</v>
      </c>
      <c r="BN150" s="341">
        <f t="shared" si="578"/>
        <v>3.1613673852428192E-2</v>
      </c>
      <c r="BO150" s="317">
        <f t="shared" si="578"/>
        <v>3.5128388517548181E-2</v>
      </c>
      <c r="BP150" s="20">
        <f t="shared" si="578"/>
        <v>3.6297635818151708E-2</v>
      </c>
      <c r="BQ150" s="20">
        <f t="shared" si="578"/>
        <v>5.4491001210758228E-2</v>
      </c>
      <c r="BR150" s="20">
        <f t="shared" si="578"/>
        <v>5.7357365830892793E-2</v>
      </c>
      <c r="BS150" s="199">
        <f t="shared" si="578"/>
        <v>4.5513875358991429E-2</v>
      </c>
      <c r="BT150" s="317">
        <f t="shared" si="578"/>
        <v>5.0349186971332172E-2</v>
      </c>
      <c r="BU150" s="20">
        <f t="shared" si="578"/>
        <v>2.4866617851086792E-2</v>
      </c>
      <c r="BV150" s="20">
        <f t="shared" si="578"/>
        <v>1.0735628947495135E-2</v>
      </c>
      <c r="BW150" s="20">
        <f t="shared" si="578"/>
        <v>1.4097051853005693E-2</v>
      </c>
      <c r="BX150" s="199">
        <f>BX149/BS149-1</f>
        <v>2.414028714426264E-2</v>
      </c>
      <c r="BY150" s="317">
        <f t="shared" si="578"/>
        <v>3.070278467808718E-3</v>
      </c>
      <c r="BZ150" s="20">
        <f t="shared" si="578"/>
        <v>-5.1160646627845807E-4</v>
      </c>
      <c r="CA150" s="20">
        <f t="shared" si="578"/>
        <v>3.0909888087560233E-3</v>
      </c>
      <c r="CB150" s="20">
        <f t="shared" ref="CB150:CK150" si="579">CB149/BW149-1</f>
        <v>4.7288923989101672E-3</v>
      </c>
      <c r="CC150" s="199">
        <f t="shared" si="579"/>
        <v>2.3707340282410616E-3</v>
      </c>
      <c r="CD150" s="317">
        <f t="shared" si="579"/>
        <v>-1.3754456396292469E-2</v>
      </c>
      <c r="CE150" s="20">
        <f t="shared" si="579"/>
        <v>-6.3057507310404493E-3</v>
      </c>
      <c r="CF150" s="20">
        <f t="shared" si="579"/>
        <v>1.0327264519000234E-2</v>
      </c>
      <c r="CG150" s="20">
        <f>CG149/CB149-1</f>
        <v>2.0284002838483639E-2</v>
      </c>
      <c r="CH150" s="199">
        <f>CH149/CC149-1</f>
        <v>2.7219857778897349E-3</v>
      </c>
      <c r="CI150" s="317">
        <f t="shared" si="579"/>
        <v>2.3366912240990523E-2</v>
      </c>
      <c r="CJ150" s="20">
        <f t="shared" si="579"/>
        <v>1.4961217394695803E-2</v>
      </c>
      <c r="CK150" s="20">
        <f t="shared" si="579"/>
        <v>4.1883571638407391E-2</v>
      </c>
      <c r="CL150" s="20">
        <f>CL149/CG149-1</f>
        <v>0.14776599378199329</v>
      </c>
      <c r="CM150" s="199">
        <f>CM149/CH149-1</f>
        <v>5.6119160063178519E-2</v>
      </c>
      <c r="CN150" s="317">
        <f t="shared" ref="CN150:CP150" si="580">CN149/CI149-1</f>
        <v>8.1509578604954225E-2</v>
      </c>
      <c r="CO150" s="20">
        <f t="shared" si="580"/>
        <v>7.5201317911934185E-2</v>
      </c>
      <c r="CP150" s="20">
        <f t="shared" si="580"/>
        <v>5.3533590737548709E-2</v>
      </c>
      <c r="CQ150" s="20">
        <f>CQ149/CL149-1</f>
        <v>-1.4469798842363324E-2</v>
      </c>
      <c r="CR150" s="199">
        <f>CR149/CM149-1</f>
        <v>4.7511283720139685E-2</v>
      </c>
      <c r="CS150" s="317">
        <f>CS149/10.07-1</f>
        <v>5.9954306823258863E-2</v>
      </c>
      <c r="CT150" s="20">
        <f>CT149/9.21-1</f>
        <v>5.6478878857531223E-2</v>
      </c>
      <c r="CU150" s="20">
        <f>CU149/9.32-1</f>
        <v>3.2484671303183443E-2</v>
      </c>
      <c r="CV150" s="20">
        <f>CV149/10.27-1</f>
        <v>5.1042433710398738E-2</v>
      </c>
      <c r="CW150" s="201">
        <f>CW149/((32904-6435-1115-1182)/CM15*100)-1</f>
        <v>5.9329263512864161E-2</v>
      </c>
      <c r="CX150" s="317">
        <f>CX149/CS149-1</f>
        <v>3.9363009134933957E-2</v>
      </c>
      <c r="CY150" s="20">
        <f>CY149/CT149-1</f>
        <v>2.3375375360282336E-2</v>
      </c>
      <c r="CZ150" s="20">
        <f>CZ149/CU149-1</f>
        <v>-5.8245435764319176E-3</v>
      </c>
      <c r="DA150" s="20">
        <f>DA149/CV149-1</f>
        <v>-1.939528713079619E-2</v>
      </c>
      <c r="DB150" s="199">
        <f>DB149/CW149-1</f>
        <v>8.7609259546024276E-3</v>
      </c>
      <c r="DC150" s="20"/>
      <c r="DD150" s="20"/>
      <c r="DE150" s="20"/>
      <c r="DF150" s="20"/>
      <c r="DG150" s="199">
        <f>DG149/DB149-1</f>
        <v>1.4568830767708985E-2</v>
      </c>
      <c r="DH150" s="20"/>
      <c r="DI150" s="20"/>
      <c r="DJ150" s="20"/>
      <c r="DK150" s="20"/>
      <c r="DL150" s="199">
        <f>DL149/DG149-1</f>
        <v>9.9843746343091233E-3</v>
      </c>
      <c r="DM150" s="20"/>
      <c r="DN150" s="500"/>
      <c r="DO150" s="486"/>
      <c r="DP150" s="411"/>
      <c r="DQ150" s="411"/>
      <c r="DR150" s="411"/>
      <c r="DS150" s="461" t="s">
        <v>586</v>
      </c>
      <c r="DT150" s="556"/>
      <c r="DU150" s="464"/>
      <c r="DV150" s="464"/>
      <c r="DW150" s="464"/>
      <c r="DX150" s="464"/>
      <c r="DY150" s="464"/>
      <c r="DZ150" s="461"/>
      <c r="EA150" s="500"/>
      <c r="EH150" s="8"/>
    </row>
    <row r="151" spans="1:138" ht="12.75" customHeight="1" x14ac:dyDescent="0.2">
      <c r="A151" s="5" t="s">
        <v>170</v>
      </c>
      <c r="B151" s="5"/>
      <c r="C151" s="5"/>
      <c r="D151" s="5"/>
      <c r="E151" s="5"/>
      <c r="F151" s="197"/>
      <c r="G151" s="5"/>
      <c r="H151" s="5"/>
      <c r="I151" s="5"/>
      <c r="J151" s="5"/>
      <c r="K151" s="197"/>
      <c r="L151" s="5"/>
      <c r="M151" s="5"/>
      <c r="N151" s="5"/>
      <c r="O151" s="5"/>
      <c r="P151" s="197"/>
      <c r="Q151" s="5"/>
      <c r="R151" s="5"/>
      <c r="S151" s="5"/>
      <c r="T151" s="5"/>
      <c r="U151" s="197"/>
      <c r="V151" s="5"/>
      <c r="W151" s="5"/>
      <c r="X151" s="5"/>
      <c r="Y151" s="5"/>
      <c r="Z151" s="197"/>
      <c r="AA151" s="5"/>
      <c r="AB151" s="5"/>
      <c r="AC151" s="5"/>
      <c r="AD151" s="5"/>
      <c r="AE151" s="197"/>
      <c r="AF151" s="5"/>
      <c r="AG151" s="5"/>
      <c r="AH151" s="5"/>
      <c r="AI151" s="5"/>
      <c r="AJ151" s="197"/>
      <c r="AK151" s="5"/>
      <c r="AL151" s="5"/>
      <c r="AM151" s="5"/>
      <c r="AN151" s="5"/>
      <c r="AO151" s="197"/>
      <c r="AP151" s="5"/>
      <c r="AQ151" s="5"/>
      <c r="AR151" s="5"/>
      <c r="AS151" s="5"/>
      <c r="AT151" s="197"/>
      <c r="AU151" s="5"/>
      <c r="AV151" s="5"/>
      <c r="AW151" s="5"/>
      <c r="AX151" s="5"/>
      <c r="AY151" s="197"/>
      <c r="AZ151" s="5"/>
      <c r="BA151" s="5"/>
      <c r="BB151" s="5"/>
      <c r="BC151" s="5"/>
      <c r="BD151" s="197"/>
      <c r="BE151" s="5"/>
      <c r="BF151" s="5"/>
      <c r="BG151" s="5"/>
      <c r="BH151" s="5"/>
      <c r="BI151" s="197"/>
      <c r="BJ151" s="5"/>
      <c r="BK151" s="5"/>
      <c r="BL151" s="5"/>
      <c r="BM151" s="5"/>
      <c r="BN151" s="315"/>
      <c r="BO151" s="5"/>
      <c r="BP151" s="5"/>
      <c r="BQ151" s="5"/>
      <c r="BR151" s="5"/>
      <c r="BS151" s="613"/>
      <c r="BT151" s="5"/>
      <c r="BU151" s="5"/>
      <c r="BV151" s="5"/>
      <c r="BW151" s="5"/>
      <c r="BX151" s="765"/>
      <c r="BY151" s="5"/>
      <c r="BZ151" s="5"/>
      <c r="CA151" s="5"/>
      <c r="CB151" s="5"/>
      <c r="CC151" s="766"/>
      <c r="CD151" s="5"/>
      <c r="CE151" s="5"/>
      <c r="CF151" s="5"/>
      <c r="CG151" s="5"/>
      <c r="CH151" s="766"/>
      <c r="CI151" s="5"/>
      <c r="CJ151" s="5"/>
      <c r="CK151" s="5"/>
      <c r="CL151" s="5"/>
      <c r="CM151" s="766"/>
      <c r="CN151" s="5"/>
      <c r="CO151" s="5"/>
      <c r="CP151" s="5"/>
      <c r="CQ151" s="5"/>
      <c r="CR151" s="766"/>
      <c r="CS151" s="5"/>
      <c r="CT151" s="5"/>
      <c r="CU151" s="5"/>
      <c r="CV151" s="5"/>
      <c r="CW151" s="766"/>
      <c r="CX151" s="5"/>
      <c r="CY151" s="5"/>
      <c r="CZ151" s="646"/>
      <c r="DA151" s="5"/>
      <c r="DB151" s="765"/>
      <c r="DC151" s="5"/>
      <c r="DD151" s="5"/>
      <c r="DE151" s="5"/>
      <c r="DF151" s="5"/>
      <c r="DG151" s="765"/>
      <c r="DH151" s="5"/>
      <c r="DI151" s="5"/>
      <c r="DJ151" s="5"/>
      <c r="DK151" s="5"/>
      <c r="DL151" s="765"/>
      <c r="DM151" s="413"/>
      <c r="DN151" s="4"/>
      <c r="DO151" s="487"/>
      <c r="DP151" s="413"/>
      <c r="DQ151" s="413"/>
      <c r="DR151" s="413"/>
      <c r="DS151" s="556" t="s">
        <v>567</v>
      </c>
      <c r="DT151" s="556"/>
      <c r="DU151" s="461"/>
      <c r="DV151" s="458"/>
      <c r="DW151" s="458"/>
      <c r="DX151" s="458"/>
      <c r="DY151" s="458"/>
      <c r="DZ151" s="458"/>
      <c r="EA151" s="4"/>
      <c r="EH151" s="5"/>
    </row>
    <row r="152" spans="1:138" ht="12.75" customHeight="1" x14ac:dyDescent="0.2">
      <c r="A152" s="79" t="s">
        <v>118</v>
      </c>
      <c r="B152" s="79">
        <f t="shared" ref="B152:AO152" si="581">B72</f>
        <v>3960</v>
      </c>
      <c r="C152" s="79">
        <f t="shared" si="581"/>
        <v>4469</v>
      </c>
      <c r="D152" s="79">
        <f t="shared" si="581"/>
        <v>4345</v>
      </c>
      <c r="E152" s="79">
        <f t="shared" si="581"/>
        <v>4017</v>
      </c>
      <c r="F152" s="227">
        <f t="shared" si="581"/>
        <v>16791</v>
      </c>
      <c r="G152" s="79">
        <f t="shared" si="581"/>
        <v>3842</v>
      </c>
      <c r="H152" s="79">
        <f t="shared" si="581"/>
        <v>3776</v>
      </c>
      <c r="I152" s="79">
        <f t="shared" si="581"/>
        <v>3398</v>
      </c>
      <c r="J152" s="79">
        <f t="shared" si="581"/>
        <v>2863</v>
      </c>
      <c r="K152" s="227">
        <f t="shared" si="581"/>
        <v>13879</v>
      </c>
      <c r="L152" s="79">
        <f t="shared" si="581"/>
        <v>3103</v>
      </c>
      <c r="M152" s="79">
        <f t="shared" si="581"/>
        <v>3474</v>
      </c>
      <c r="N152" s="79">
        <f t="shared" si="581"/>
        <v>3420</v>
      </c>
      <c r="O152" s="79">
        <f t="shared" si="581"/>
        <v>3308</v>
      </c>
      <c r="P152" s="227">
        <f t="shared" si="581"/>
        <v>13305</v>
      </c>
      <c r="Q152" s="79">
        <f t="shared" si="581"/>
        <v>3155</v>
      </c>
      <c r="R152" s="79">
        <f t="shared" si="581"/>
        <v>3307</v>
      </c>
      <c r="S152" s="79">
        <f t="shared" si="581"/>
        <v>3443</v>
      </c>
      <c r="T152" s="79">
        <f t="shared" si="581"/>
        <v>3398</v>
      </c>
      <c r="U152" s="227">
        <f t="shared" si="581"/>
        <v>13303</v>
      </c>
      <c r="V152" s="79">
        <f t="shared" si="581"/>
        <v>3529</v>
      </c>
      <c r="W152" s="79">
        <f t="shared" si="581"/>
        <v>3961</v>
      </c>
      <c r="X152" s="79">
        <f t="shared" si="581"/>
        <v>3871</v>
      </c>
      <c r="Y152" s="79">
        <f t="shared" si="581"/>
        <v>3874</v>
      </c>
      <c r="Z152" s="227">
        <f t="shared" si="581"/>
        <v>15235</v>
      </c>
      <c r="AA152" s="79">
        <f t="shared" si="581"/>
        <v>3647</v>
      </c>
      <c r="AB152" s="79">
        <f t="shared" si="581"/>
        <v>4185</v>
      </c>
      <c r="AC152" s="79">
        <f t="shared" si="581"/>
        <v>4216</v>
      </c>
      <c r="AD152" s="79">
        <f t="shared" si="581"/>
        <v>4143</v>
      </c>
      <c r="AE152" s="227">
        <f t="shared" si="581"/>
        <v>16191</v>
      </c>
      <c r="AF152" s="79">
        <f t="shared" si="581"/>
        <v>3794</v>
      </c>
      <c r="AG152" s="79">
        <f t="shared" si="581"/>
        <v>4741</v>
      </c>
      <c r="AH152" s="79">
        <f t="shared" si="581"/>
        <v>4751</v>
      </c>
      <c r="AI152" s="79">
        <f t="shared" si="581"/>
        <v>4246</v>
      </c>
      <c r="AJ152" s="227">
        <f t="shared" si="581"/>
        <v>17532</v>
      </c>
      <c r="AK152" s="79">
        <f t="shared" si="581"/>
        <v>4241</v>
      </c>
      <c r="AL152" s="79">
        <f t="shared" si="581"/>
        <v>5003</v>
      </c>
      <c r="AM152" s="79">
        <f t="shared" si="581"/>
        <v>5227</v>
      </c>
      <c r="AN152" s="79">
        <f t="shared" si="581"/>
        <v>4683</v>
      </c>
      <c r="AO152" s="227">
        <f t="shared" si="581"/>
        <v>19154</v>
      </c>
      <c r="AP152" s="79"/>
      <c r="AQ152" s="79"/>
      <c r="AR152" s="79"/>
      <c r="AS152" s="79"/>
      <c r="AT152" s="227"/>
      <c r="AU152" s="79">
        <f>AU72</f>
        <v>7900</v>
      </c>
      <c r="AV152" s="79">
        <f>AV72</f>
        <v>9088</v>
      </c>
      <c r="AW152" s="79">
        <f>AW72</f>
        <v>9532</v>
      </c>
      <c r="AX152" s="79">
        <f>AX72</f>
        <v>7768</v>
      </c>
      <c r="AY152" s="227">
        <f>SUM(AU152:AX152)</f>
        <v>34288</v>
      </c>
      <c r="AZ152" s="79">
        <f>AZ72</f>
        <v>6684</v>
      </c>
      <c r="BA152" s="79">
        <f>BA72</f>
        <v>7000</v>
      </c>
      <c r="BB152" s="79">
        <f>BB72</f>
        <v>7574</v>
      </c>
      <c r="BC152" s="79">
        <f>BC72</f>
        <v>6805</v>
      </c>
      <c r="BD152" s="227">
        <f>SUM(AZ152:BC152)</f>
        <v>28063</v>
      </c>
      <c r="BE152" s="79">
        <f>BE72</f>
        <v>6848</v>
      </c>
      <c r="BF152" s="79">
        <f>BF72</f>
        <v>8168.0599999999995</v>
      </c>
      <c r="BG152" s="79">
        <f>BG72</f>
        <v>8950</v>
      </c>
      <c r="BH152" s="79">
        <f>BH72</f>
        <v>7789</v>
      </c>
      <c r="BI152" s="227">
        <f>SUM(BE152:BH152)</f>
        <v>31755.059999999998</v>
      </c>
      <c r="BJ152" s="79">
        <f>BJ72</f>
        <v>7747</v>
      </c>
      <c r="BK152" s="79">
        <f>BK72</f>
        <v>9153</v>
      </c>
      <c r="BL152" s="79">
        <f>BL72</f>
        <v>9816</v>
      </c>
      <c r="BM152" s="79">
        <f>BM72</f>
        <v>8399</v>
      </c>
      <c r="BN152" s="342">
        <f>SUM(BJ152:BM152)</f>
        <v>35115</v>
      </c>
      <c r="BO152" s="79">
        <f>BO72</f>
        <v>8413</v>
      </c>
      <c r="BP152" s="79">
        <f>BP72</f>
        <v>9732</v>
      </c>
      <c r="BQ152" s="79">
        <f>BQ72</f>
        <v>9923</v>
      </c>
      <c r="BR152" s="79">
        <f>BR72</f>
        <v>8602</v>
      </c>
      <c r="BS152" s="227">
        <f>SUM(BO152:BR152)</f>
        <v>36670</v>
      </c>
      <c r="BT152" s="79">
        <f t="shared" ref="BT152:CR152" si="582">BT72</f>
        <v>8500</v>
      </c>
      <c r="BU152" s="79">
        <f t="shared" si="582"/>
        <v>9707</v>
      </c>
      <c r="BV152" s="79">
        <f t="shared" si="582"/>
        <v>10490</v>
      </c>
      <c r="BW152" s="79">
        <f t="shared" si="582"/>
        <v>9076</v>
      </c>
      <c r="BX152" s="227">
        <f t="shared" si="582"/>
        <v>37773</v>
      </c>
      <c r="BY152" s="79">
        <f t="shared" si="582"/>
        <v>8916</v>
      </c>
      <c r="BZ152" s="79">
        <f t="shared" si="582"/>
        <v>10621</v>
      </c>
      <c r="CA152" s="79">
        <f t="shared" si="582"/>
        <v>11178</v>
      </c>
      <c r="CB152" s="79">
        <f t="shared" si="582"/>
        <v>9647</v>
      </c>
      <c r="CC152" s="227">
        <f t="shared" si="582"/>
        <v>40362</v>
      </c>
      <c r="CD152" s="79">
        <f t="shared" si="582"/>
        <v>9388</v>
      </c>
      <c r="CE152" s="79">
        <f t="shared" si="582"/>
        <v>10707</v>
      </c>
      <c r="CF152" s="79">
        <f t="shared" si="582"/>
        <v>11107</v>
      </c>
      <c r="CG152" s="79">
        <f t="shared" si="582"/>
        <v>9502</v>
      </c>
      <c r="CH152" s="227">
        <f t="shared" si="582"/>
        <v>40704</v>
      </c>
      <c r="CI152" s="79">
        <f t="shared" si="582"/>
        <v>9251</v>
      </c>
      <c r="CJ152" s="79">
        <f t="shared" si="582"/>
        <v>10447</v>
      </c>
      <c r="CK152" s="79">
        <f t="shared" si="582"/>
        <v>10483</v>
      </c>
      <c r="CL152" s="79">
        <f t="shared" si="582"/>
        <v>9458</v>
      </c>
      <c r="CM152" s="227">
        <f t="shared" si="582"/>
        <v>39639</v>
      </c>
      <c r="CN152" s="79">
        <f t="shared" si="582"/>
        <v>9148</v>
      </c>
      <c r="CO152" s="79">
        <f t="shared" si="582"/>
        <v>10791</v>
      </c>
      <c r="CP152" s="79">
        <f t="shared" si="582"/>
        <v>11060</v>
      </c>
      <c r="CQ152" s="79">
        <f t="shared" si="582"/>
        <v>10245</v>
      </c>
      <c r="CR152" s="227">
        <f t="shared" si="582"/>
        <v>41244</v>
      </c>
      <c r="CS152" s="79">
        <f>CS76</f>
        <v>9040</v>
      </c>
      <c r="CT152" s="80">
        <f>CT76</f>
        <v>10680.772999999999</v>
      </c>
      <c r="CU152" s="80">
        <f t="shared" ref="CU152:CV152" si="583">CU76</f>
        <v>10934.6994</v>
      </c>
      <c r="CV152" s="80">
        <f t="shared" si="583"/>
        <v>9982.7540000000008</v>
      </c>
      <c r="CW152" s="227">
        <f>CW76</f>
        <v>40638.2264</v>
      </c>
      <c r="CX152" s="79">
        <f>CX76</f>
        <v>9755</v>
      </c>
      <c r="CY152" s="80">
        <f>CY76</f>
        <v>11493.6994</v>
      </c>
      <c r="CZ152" s="80">
        <f t="shared" ref="CZ152:DA152" si="584">CZ76</f>
        <v>11599.95702</v>
      </c>
      <c r="DA152" s="80">
        <f t="shared" si="584"/>
        <v>10499.617200000002</v>
      </c>
      <c r="DB152" s="227">
        <f>DB76</f>
        <v>43348.27362</v>
      </c>
      <c r="DC152" s="80"/>
      <c r="DD152" s="80"/>
      <c r="DE152" s="80"/>
      <c r="DF152" s="80"/>
      <c r="DG152" s="227">
        <f t="shared" ref="DG152" si="585">DG76</f>
        <v>44780.565573752501</v>
      </c>
      <c r="DH152" s="952"/>
      <c r="DI152" s="952"/>
      <c r="DJ152" s="952"/>
      <c r="DK152" s="952"/>
      <c r="DL152" s="227">
        <f t="shared" ref="DL152" si="586">DL76</f>
        <v>46199.592826018037</v>
      </c>
      <c r="DM152" s="79"/>
      <c r="DN152" s="522"/>
      <c r="DO152" s="486"/>
      <c r="DP152" s="411"/>
      <c r="DQ152" s="411"/>
      <c r="DR152" s="411"/>
      <c r="DS152" s="556"/>
      <c r="DT152" s="560" t="s">
        <v>556</v>
      </c>
      <c r="DU152" s="925"/>
      <c r="DV152" s="472"/>
      <c r="DW152" s="472"/>
      <c r="DX152" s="472"/>
      <c r="DY152" s="472"/>
      <c r="DZ152" s="472"/>
      <c r="EA152" s="522"/>
      <c r="EH152" s="8"/>
    </row>
    <row r="153" spans="1:138" ht="12.75" customHeight="1" x14ac:dyDescent="0.2">
      <c r="A153" s="142" t="s">
        <v>244</v>
      </c>
      <c r="B153" s="20"/>
      <c r="C153" s="20"/>
      <c r="D153" s="20"/>
      <c r="E153" s="20"/>
      <c r="F153" s="199"/>
      <c r="G153" s="20">
        <f>G152/B152-1</f>
        <v>-2.9797979797979823E-2</v>
      </c>
      <c r="H153" s="20">
        <f>H152/C152-1</f>
        <v>-0.1550682479301857</v>
      </c>
      <c r="I153" s="20">
        <f>I152/D152-1</f>
        <v>-0.21795166858457993</v>
      </c>
      <c r="J153" s="20">
        <f>J152/E152-1</f>
        <v>-0.28727906397809311</v>
      </c>
      <c r="K153" s="199">
        <f t="shared" ref="K153:AO153" si="587">K152/F152-1</f>
        <v>-0.17342624024775177</v>
      </c>
      <c r="L153" s="20">
        <f t="shared" si="587"/>
        <v>-0.19234773555439877</v>
      </c>
      <c r="M153" s="20">
        <f t="shared" si="587"/>
        <v>-7.9978813559322015E-2</v>
      </c>
      <c r="N153" s="20">
        <f t="shared" si="587"/>
        <v>6.4743967039435635E-3</v>
      </c>
      <c r="O153" s="20">
        <f t="shared" si="587"/>
        <v>0.15543136570031435</v>
      </c>
      <c r="P153" s="199">
        <f t="shared" si="587"/>
        <v>-4.1357446501909312E-2</v>
      </c>
      <c r="Q153" s="20">
        <f t="shared" si="587"/>
        <v>1.6757976152110832E-2</v>
      </c>
      <c r="R153" s="20">
        <f t="shared" si="587"/>
        <v>-4.8071387449625802E-2</v>
      </c>
      <c r="S153" s="20">
        <f t="shared" si="587"/>
        <v>6.7251461988304673E-3</v>
      </c>
      <c r="T153" s="20">
        <f t="shared" si="587"/>
        <v>2.7206771463119672E-2</v>
      </c>
      <c r="U153" s="199">
        <f t="shared" si="587"/>
        <v>-1.503194287861831E-4</v>
      </c>
      <c r="V153" s="20">
        <f t="shared" si="587"/>
        <v>0.11854199683042799</v>
      </c>
      <c r="W153" s="20">
        <f t="shared" si="587"/>
        <v>0.19776232234653768</v>
      </c>
      <c r="X153" s="20">
        <f t="shared" si="587"/>
        <v>0.12431019459773451</v>
      </c>
      <c r="Y153" s="20">
        <f t="shared" si="587"/>
        <v>0.14008240141259565</v>
      </c>
      <c r="Z153" s="199">
        <f t="shared" si="587"/>
        <v>0.14523039915808456</v>
      </c>
      <c r="AA153" s="20">
        <f t="shared" si="587"/>
        <v>3.3437234344006805E-2</v>
      </c>
      <c r="AB153" s="20">
        <f t="shared" si="587"/>
        <v>5.6551375915173008E-2</v>
      </c>
      <c r="AC153" s="20">
        <f t="shared" si="587"/>
        <v>8.9124257297855891E-2</v>
      </c>
      <c r="AD153" s="20">
        <f t="shared" si="587"/>
        <v>6.9437274135260685E-2</v>
      </c>
      <c r="AE153" s="199">
        <f t="shared" si="587"/>
        <v>6.2750246143747912E-2</v>
      </c>
      <c r="AF153" s="20">
        <f t="shared" si="587"/>
        <v>4.0307101727447225E-2</v>
      </c>
      <c r="AG153" s="20">
        <f t="shared" si="587"/>
        <v>0.13285543608124262</v>
      </c>
      <c r="AH153" s="20">
        <f t="shared" si="587"/>
        <v>0.12689753320683117</v>
      </c>
      <c r="AI153" s="20">
        <f t="shared" si="587"/>
        <v>2.4861211682355888E-2</v>
      </c>
      <c r="AJ153" s="199">
        <f t="shared" si="587"/>
        <v>8.2823790994997148E-2</v>
      </c>
      <c r="AK153" s="20">
        <f t="shared" si="587"/>
        <v>0.11781760674749608</v>
      </c>
      <c r="AL153" s="20">
        <f t="shared" si="587"/>
        <v>5.5262602826407825E-2</v>
      </c>
      <c r="AM153" s="20">
        <f t="shared" si="587"/>
        <v>0.10018943380340972</v>
      </c>
      <c r="AN153" s="20">
        <f t="shared" si="587"/>
        <v>0.10292039566650968</v>
      </c>
      <c r="AO153" s="199">
        <f t="shared" si="587"/>
        <v>9.251654118183894E-2</v>
      </c>
      <c r="AP153" s="20"/>
      <c r="AQ153" s="20"/>
      <c r="AR153" s="20"/>
      <c r="AS153" s="20"/>
      <c r="AT153" s="206"/>
      <c r="AU153" s="20"/>
      <c r="AV153" s="20"/>
      <c r="AW153" s="20"/>
      <c r="AX153" s="20"/>
      <c r="AY153" s="206"/>
      <c r="AZ153" s="20">
        <f t="shared" ref="AZ153:BI153" si="588">AZ152/AU152-1</f>
        <v>-0.15392405063291137</v>
      </c>
      <c r="BA153" s="20">
        <f t="shared" si="588"/>
        <v>-0.22975352112676062</v>
      </c>
      <c r="BB153" s="20">
        <f t="shared" si="588"/>
        <v>-0.20541334452370963</v>
      </c>
      <c r="BC153" s="20">
        <f t="shared" si="588"/>
        <v>-0.12397013388259526</v>
      </c>
      <c r="BD153" s="206">
        <f t="shared" si="588"/>
        <v>-0.18155039664022399</v>
      </c>
      <c r="BE153" s="20">
        <f t="shared" si="588"/>
        <v>2.4536205864751581E-2</v>
      </c>
      <c r="BF153" s="20">
        <f t="shared" si="588"/>
        <v>0.16686571428571417</v>
      </c>
      <c r="BG153" s="20">
        <f t="shared" si="588"/>
        <v>0.18167414840242935</v>
      </c>
      <c r="BH153" s="20">
        <f t="shared" si="588"/>
        <v>0.14459955914768563</v>
      </c>
      <c r="BI153" s="206">
        <f t="shared" si="588"/>
        <v>0.13156326836047461</v>
      </c>
      <c r="BJ153" s="20">
        <f t="shared" ref="BJ153:BT153" si="589">BJ152/BE152-1</f>
        <v>0.13127920560747675</v>
      </c>
      <c r="BK153" s="20">
        <f t="shared" si="589"/>
        <v>0.12058432479683057</v>
      </c>
      <c r="BL153" s="20">
        <f t="shared" si="589"/>
        <v>9.6759776536312847E-2</v>
      </c>
      <c r="BM153" s="20">
        <f t="shared" si="589"/>
        <v>7.8315573244318815E-2</v>
      </c>
      <c r="BN153" s="317">
        <f t="shared" si="589"/>
        <v>0.10580801925740357</v>
      </c>
      <c r="BO153" s="20">
        <f t="shared" si="589"/>
        <v>8.5968762101458651E-2</v>
      </c>
      <c r="BP153" s="20">
        <f t="shared" si="589"/>
        <v>6.3257948213700343E-2</v>
      </c>
      <c r="BQ153" s="20">
        <f t="shared" si="589"/>
        <v>1.0900570497147433E-2</v>
      </c>
      <c r="BR153" s="20">
        <f t="shared" si="589"/>
        <v>2.4169543993332487E-2</v>
      </c>
      <c r="BS153" s="206">
        <f t="shared" si="589"/>
        <v>4.4283069913142459E-2</v>
      </c>
      <c r="BT153" s="20">
        <f t="shared" si="589"/>
        <v>1.0341138713895193E-2</v>
      </c>
      <c r="BU153" s="20">
        <f t="shared" ref="BU153:CA153" si="590">BU152/BP152-1</f>
        <v>-2.5688450472667324E-3</v>
      </c>
      <c r="BV153" s="20">
        <f t="shared" si="590"/>
        <v>5.7139977829285593E-2</v>
      </c>
      <c r="BW153" s="20">
        <f t="shared" si="590"/>
        <v>5.5103464310625405E-2</v>
      </c>
      <c r="BX153" s="206">
        <f t="shared" si="590"/>
        <v>3.0079083719661837E-2</v>
      </c>
      <c r="BY153" s="20">
        <f t="shared" si="590"/>
        <v>4.8941176470588266E-2</v>
      </c>
      <c r="BZ153" s="20">
        <f t="shared" si="590"/>
        <v>9.4158854434943873E-2</v>
      </c>
      <c r="CA153" s="20">
        <f t="shared" si="590"/>
        <v>6.558627264061001E-2</v>
      </c>
      <c r="CB153" s="20">
        <f t="shared" ref="CB153:CK153" si="591">CB152/BW152-1</f>
        <v>6.2913177611282567E-2</v>
      </c>
      <c r="CC153" s="206">
        <f t="shared" si="591"/>
        <v>6.8541021364466603E-2</v>
      </c>
      <c r="CD153" s="20">
        <f t="shared" si="591"/>
        <v>5.2938537460744728E-2</v>
      </c>
      <c r="CE153" s="20">
        <f t="shared" si="591"/>
        <v>8.0971659919029104E-3</v>
      </c>
      <c r="CF153" s="20">
        <f t="shared" si="591"/>
        <v>-6.3517623904096876E-3</v>
      </c>
      <c r="CG153" s="20">
        <f>CG152/CB152-1</f>
        <v>-1.5030579454752724E-2</v>
      </c>
      <c r="CH153" s="206">
        <f>CH152/CC152-1</f>
        <v>8.473316485803517E-3</v>
      </c>
      <c r="CI153" s="20">
        <f t="shared" si="591"/>
        <v>-1.459309757136773E-2</v>
      </c>
      <c r="CJ153" s="20">
        <f t="shared" si="591"/>
        <v>-2.4283179228542062E-2</v>
      </c>
      <c r="CK153" s="20">
        <f t="shared" si="591"/>
        <v>-5.6180786891149692E-2</v>
      </c>
      <c r="CL153" s="20">
        <f>CL152/CG152-1</f>
        <v>-4.6306040833509199E-3</v>
      </c>
      <c r="CM153" s="206">
        <f>CM152/CH152-1</f>
        <v>-2.6164504716981174E-2</v>
      </c>
      <c r="CN153" s="20">
        <f t="shared" ref="CN153:CP153" si="592">CN152/CI152-1</f>
        <v>-1.1133931466868474E-2</v>
      </c>
      <c r="CO153" s="20">
        <f t="shared" si="592"/>
        <v>3.2928113333971387E-2</v>
      </c>
      <c r="CP153" s="20">
        <f t="shared" si="592"/>
        <v>5.5041495755032033E-2</v>
      </c>
      <c r="CQ153" s="20">
        <f>CQ152/CL152-1</f>
        <v>8.3209980968492303E-2</v>
      </c>
      <c r="CR153" s="206">
        <f>CR152/CM152-1</f>
        <v>4.04904260955119E-2</v>
      </c>
      <c r="CS153" s="20"/>
      <c r="CT153" s="20"/>
      <c r="CU153" s="20"/>
      <c r="CV153" s="20"/>
      <c r="CW153" s="206"/>
      <c r="CX153" s="20">
        <f>CX152/CS152-1</f>
        <v>7.9092920353982299E-2</v>
      </c>
      <c r="CY153" s="20">
        <f>CY152/CT152-1</f>
        <v>7.6111195322660752E-2</v>
      </c>
      <c r="CZ153" s="20">
        <f>CZ152/CU152-1</f>
        <v>6.0839131983820183E-2</v>
      </c>
      <c r="DA153" s="20">
        <f>DA152/CV152-1</f>
        <v>5.1775612220836154E-2</v>
      </c>
      <c r="DB153" s="206">
        <f>DB152/CW152-1</f>
        <v>6.6687143118037362E-2</v>
      </c>
      <c r="DC153" s="20"/>
      <c r="DD153" s="20"/>
      <c r="DE153" s="20"/>
      <c r="DF153" s="20"/>
      <c r="DG153" s="206">
        <f>DG152/DB152-1</f>
        <v>3.3041499329552693E-2</v>
      </c>
      <c r="DH153" s="20"/>
      <c r="DI153" s="20"/>
      <c r="DJ153" s="20"/>
      <c r="DK153" s="20"/>
      <c r="DL153" s="206">
        <f>DL152/DG152-1</f>
        <v>3.1688462038927057E-2</v>
      </c>
      <c r="DM153" s="20"/>
      <c r="DN153" s="500"/>
      <c r="DO153" s="486"/>
      <c r="DP153" s="411"/>
      <c r="DQ153" s="411"/>
      <c r="DR153" s="411"/>
      <c r="DS153" s="556"/>
      <c r="DT153" s="560"/>
      <c r="DU153" s="472"/>
      <c r="DV153" s="461"/>
      <c r="DW153" s="461"/>
      <c r="DX153" s="461"/>
      <c r="DY153" s="461"/>
      <c r="DZ153" s="461"/>
      <c r="EA153" s="500"/>
      <c r="EH153" s="8"/>
    </row>
    <row r="154" spans="1:138" ht="12.75" customHeight="1" x14ac:dyDescent="0.2">
      <c r="A154" s="79" t="s">
        <v>208</v>
      </c>
      <c r="B154" s="79">
        <f t="shared" ref="B154:AO154" si="593">B139</f>
        <v>3605</v>
      </c>
      <c r="C154" s="79">
        <f t="shared" si="593"/>
        <v>3777</v>
      </c>
      <c r="D154" s="79">
        <f t="shared" si="593"/>
        <v>3813</v>
      </c>
      <c r="E154" s="79">
        <f t="shared" si="593"/>
        <v>3839</v>
      </c>
      <c r="F154" s="227">
        <f t="shared" si="593"/>
        <v>15034</v>
      </c>
      <c r="G154" s="79">
        <f t="shared" si="593"/>
        <v>3957</v>
      </c>
      <c r="H154" s="79">
        <f t="shared" si="593"/>
        <v>3830</v>
      </c>
      <c r="I154" s="79">
        <f t="shared" si="593"/>
        <v>3752</v>
      </c>
      <c r="J154" s="79">
        <f t="shared" si="593"/>
        <v>3457</v>
      </c>
      <c r="K154" s="227">
        <f t="shared" si="593"/>
        <v>14996</v>
      </c>
      <c r="L154" s="79">
        <f t="shared" si="593"/>
        <v>3498</v>
      </c>
      <c r="M154" s="79">
        <f t="shared" si="593"/>
        <v>3578</v>
      </c>
      <c r="N154" s="79">
        <f t="shared" si="593"/>
        <v>3614</v>
      </c>
      <c r="O154" s="79">
        <f t="shared" si="593"/>
        <v>3519</v>
      </c>
      <c r="P154" s="227">
        <f t="shared" si="593"/>
        <v>14209</v>
      </c>
      <c r="Q154" s="79">
        <f t="shared" si="593"/>
        <v>3647</v>
      </c>
      <c r="R154" s="79">
        <f t="shared" si="593"/>
        <v>3509.45</v>
      </c>
      <c r="S154" s="79">
        <f t="shared" si="593"/>
        <v>3524</v>
      </c>
      <c r="T154" s="79">
        <f t="shared" si="593"/>
        <v>3532</v>
      </c>
      <c r="U154" s="227">
        <f t="shared" si="593"/>
        <v>14212.45</v>
      </c>
      <c r="V154" s="79">
        <f t="shared" si="593"/>
        <v>3917</v>
      </c>
      <c r="W154" s="79">
        <f t="shared" si="593"/>
        <v>4085</v>
      </c>
      <c r="X154" s="79">
        <f t="shared" si="593"/>
        <v>4240</v>
      </c>
      <c r="Y154" s="79">
        <f t="shared" si="593"/>
        <v>4467</v>
      </c>
      <c r="Z154" s="227">
        <f t="shared" si="593"/>
        <v>16709</v>
      </c>
      <c r="AA154" s="79">
        <f t="shared" si="593"/>
        <v>4073</v>
      </c>
      <c r="AB154" s="79">
        <f t="shared" si="593"/>
        <v>4218</v>
      </c>
      <c r="AC154" s="79">
        <f t="shared" si="593"/>
        <v>4371</v>
      </c>
      <c r="AD154" s="79">
        <f t="shared" si="593"/>
        <v>4642</v>
      </c>
      <c r="AE154" s="227">
        <f t="shared" si="593"/>
        <v>17304</v>
      </c>
      <c r="AF154" s="79">
        <f t="shared" si="593"/>
        <v>4279</v>
      </c>
      <c r="AG154" s="79">
        <f t="shared" si="593"/>
        <v>4372</v>
      </c>
      <c r="AH154" s="79">
        <f t="shared" si="593"/>
        <v>4583</v>
      </c>
      <c r="AI154" s="79">
        <f t="shared" si="593"/>
        <v>4240</v>
      </c>
      <c r="AJ154" s="227">
        <f t="shared" si="593"/>
        <v>17474</v>
      </c>
      <c r="AK154" s="79">
        <f t="shared" si="593"/>
        <v>4086</v>
      </c>
      <c r="AL154" s="79">
        <f t="shared" si="593"/>
        <v>4491</v>
      </c>
      <c r="AM154" s="79">
        <f t="shared" si="593"/>
        <v>4774</v>
      </c>
      <c r="AN154" s="79">
        <f t="shared" si="593"/>
        <v>4685</v>
      </c>
      <c r="AO154" s="227">
        <f t="shared" si="593"/>
        <v>18036</v>
      </c>
      <c r="AP154" s="79"/>
      <c r="AQ154" s="79"/>
      <c r="AR154" s="79"/>
      <c r="AS154" s="79"/>
      <c r="AT154" s="227"/>
      <c r="AU154" s="79">
        <f>AU139</f>
        <v>8158</v>
      </c>
      <c r="AV154" s="79">
        <f>AV139</f>
        <v>8850</v>
      </c>
      <c r="AW154" s="79">
        <f>AW139</f>
        <v>9316</v>
      </c>
      <c r="AX154" s="79">
        <f>AX139</f>
        <v>7914</v>
      </c>
      <c r="AY154" s="227">
        <f>SUM(AU154:AX154)</f>
        <v>34238</v>
      </c>
      <c r="AZ154" s="79">
        <f>AZ139</f>
        <v>7066</v>
      </c>
      <c r="BA154" s="79">
        <f>BA139</f>
        <v>6941</v>
      </c>
      <c r="BB154" s="79">
        <f>BB139</f>
        <v>7241</v>
      </c>
      <c r="BC154" s="79">
        <f>BC139</f>
        <v>6730</v>
      </c>
      <c r="BD154" s="227">
        <f>SUM(AZ154:BC154)</f>
        <v>27978</v>
      </c>
      <c r="BE154" s="79">
        <f>BE139</f>
        <v>6726</v>
      </c>
      <c r="BF154" s="79">
        <f>BF139</f>
        <v>7234</v>
      </c>
      <c r="BG154" s="79">
        <f>BG139</f>
        <v>7741</v>
      </c>
      <c r="BH154" s="79">
        <f>BH139</f>
        <v>7387</v>
      </c>
      <c r="BI154" s="227">
        <f>SUM(BE154:BH154)</f>
        <v>29088</v>
      </c>
      <c r="BJ154" s="79">
        <f>BJ139</f>
        <v>7861</v>
      </c>
      <c r="BK154" s="79">
        <f>BK139</f>
        <v>8517</v>
      </c>
      <c r="BL154" s="79">
        <f>BL139</f>
        <v>8745</v>
      </c>
      <c r="BM154" s="79">
        <f>BM139</f>
        <v>7749</v>
      </c>
      <c r="BN154" s="342">
        <f>SUM(BJ154:BM154)</f>
        <v>32872</v>
      </c>
      <c r="BO154" s="79">
        <f>BO139</f>
        <v>8194</v>
      </c>
      <c r="BP154" s="79">
        <f>BP139</f>
        <v>8844</v>
      </c>
      <c r="BQ154" s="79">
        <f>BQ139</f>
        <v>8906</v>
      </c>
      <c r="BR154" s="79">
        <f>BR139</f>
        <v>8125</v>
      </c>
      <c r="BS154" s="227">
        <f>SUM(BO154:BR154)</f>
        <v>34069</v>
      </c>
      <c r="BT154" s="79">
        <f t="shared" ref="BT154:CR154" si="594">BT139</f>
        <v>8200</v>
      </c>
      <c r="BU154" s="79">
        <f t="shared" si="594"/>
        <v>8634</v>
      </c>
      <c r="BV154" s="79">
        <f t="shared" si="594"/>
        <v>9106</v>
      </c>
      <c r="BW154" s="79">
        <f t="shared" si="594"/>
        <v>8307</v>
      </c>
      <c r="BX154" s="227">
        <f t="shared" si="594"/>
        <v>34247</v>
      </c>
      <c r="BY154" s="79">
        <f t="shared" si="594"/>
        <v>8213</v>
      </c>
      <c r="BZ154" s="79">
        <f t="shared" si="594"/>
        <v>9013</v>
      </c>
      <c r="CA154" s="79">
        <f t="shared" si="594"/>
        <v>9426</v>
      </c>
      <c r="CB154" s="79">
        <f t="shared" si="594"/>
        <v>8442</v>
      </c>
      <c r="CC154" s="227">
        <f t="shared" si="594"/>
        <v>35094</v>
      </c>
      <c r="CD154" s="79">
        <f t="shared" si="594"/>
        <v>8569</v>
      </c>
      <c r="CE154" s="79">
        <f t="shared" si="594"/>
        <v>8928</v>
      </c>
      <c r="CF154" s="79">
        <f t="shared" si="594"/>
        <v>8795</v>
      </c>
      <c r="CG154" s="79">
        <f t="shared" si="594"/>
        <v>7876</v>
      </c>
      <c r="CH154" s="227">
        <f t="shared" si="594"/>
        <v>34168</v>
      </c>
      <c r="CI154" s="79">
        <f t="shared" si="594"/>
        <v>7556</v>
      </c>
      <c r="CJ154" s="79">
        <f t="shared" si="594"/>
        <v>8641</v>
      </c>
      <c r="CK154" s="79">
        <f t="shared" si="594"/>
        <v>8491</v>
      </c>
      <c r="CL154" s="79">
        <f t="shared" si="594"/>
        <v>8449</v>
      </c>
      <c r="CM154" s="227">
        <f t="shared" si="594"/>
        <v>33137</v>
      </c>
      <c r="CN154" s="79">
        <f t="shared" si="594"/>
        <v>8179</v>
      </c>
      <c r="CO154" s="79">
        <f t="shared" si="594"/>
        <v>8815</v>
      </c>
      <c r="CP154" s="79">
        <f t="shared" si="594"/>
        <v>9295</v>
      </c>
      <c r="CQ154" s="79">
        <f t="shared" si="594"/>
        <v>9101</v>
      </c>
      <c r="CR154" s="227">
        <f t="shared" si="594"/>
        <v>35390</v>
      </c>
      <c r="CS154" s="79">
        <f>CS148</f>
        <v>8125</v>
      </c>
      <c r="CT154" s="79">
        <f t="shared" ref="CT154:CW154" si="595">CT148</f>
        <v>8750.7729999999992</v>
      </c>
      <c r="CU154" s="79">
        <f t="shared" si="595"/>
        <v>9185.6993999999995</v>
      </c>
      <c r="CV154" s="79">
        <f t="shared" si="595"/>
        <v>8869.7540000000008</v>
      </c>
      <c r="CW154" s="227">
        <f t="shared" si="595"/>
        <v>34931.2264</v>
      </c>
      <c r="CX154" s="79">
        <f>CX148</f>
        <v>8942</v>
      </c>
      <c r="CY154" s="79">
        <f t="shared" ref="CY154:DB154" si="596">CY148</f>
        <v>9711.407550480415</v>
      </c>
      <c r="CZ154" s="79">
        <f t="shared" si="596"/>
        <v>9894.2432822250867</v>
      </c>
      <c r="DA154" s="79">
        <f t="shared" si="596"/>
        <v>9142.2214578869807</v>
      </c>
      <c r="DB154" s="227">
        <f t="shared" si="596"/>
        <v>37689.872290592481</v>
      </c>
      <c r="DC154" s="79"/>
      <c r="DD154" s="80"/>
      <c r="DE154" s="79"/>
      <c r="DF154" s="79"/>
      <c r="DG154" s="227">
        <f t="shared" ref="DG154" si="597">DG148</f>
        <v>38643.905943127931</v>
      </c>
      <c r="DH154" s="79"/>
      <c r="DI154" s="80"/>
      <c r="DJ154" s="79"/>
      <c r="DK154" s="79"/>
      <c r="DL154" s="227">
        <f t="shared" ref="DL154" si="598">DL148</f>
        <v>39580.3328996235</v>
      </c>
      <c r="DM154" s="79"/>
      <c r="DN154" s="522"/>
      <c r="DO154" s="486"/>
      <c r="DP154" s="411"/>
      <c r="DQ154" s="411"/>
      <c r="DR154" s="411"/>
      <c r="DS154" s="577"/>
      <c r="DT154" s="556"/>
      <c r="DU154" s="791"/>
      <c r="DV154" s="847"/>
      <c r="DW154" s="467"/>
      <c r="DX154" s="842"/>
      <c r="DY154" s="468"/>
      <c r="DZ154" s="791"/>
      <c r="EA154" s="522"/>
      <c r="EH154" s="8"/>
    </row>
    <row r="155" spans="1:138" ht="12.75" customHeight="1" x14ac:dyDescent="0.2">
      <c r="A155" s="142" t="s">
        <v>244</v>
      </c>
      <c r="B155" s="20"/>
      <c r="C155" s="20"/>
      <c r="D155" s="20"/>
      <c r="E155" s="20"/>
      <c r="F155" s="199"/>
      <c r="G155" s="20">
        <f>G154/B154-1</f>
        <v>9.7642163661581183E-2</v>
      </c>
      <c r="H155" s="20">
        <f>H154/C154-1</f>
        <v>1.403230076780515E-2</v>
      </c>
      <c r="I155" s="20">
        <f>I154/D154-1</f>
        <v>-1.599790191450301E-2</v>
      </c>
      <c r="J155" s="20">
        <f>J154/E154-1</f>
        <v>-9.9505079447772871E-2</v>
      </c>
      <c r="K155" s="199">
        <f t="shared" ref="K155:AO155" si="599">K154/F154-1</f>
        <v>-2.5276040973792879E-3</v>
      </c>
      <c r="L155" s="20">
        <f t="shared" si="599"/>
        <v>-0.11599696739954513</v>
      </c>
      <c r="M155" s="20">
        <f t="shared" si="599"/>
        <v>-6.57963446475196E-2</v>
      </c>
      <c r="N155" s="20">
        <f t="shared" si="599"/>
        <v>-3.6780383795309124E-2</v>
      </c>
      <c r="O155" s="20">
        <f t="shared" si="599"/>
        <v>1.7934625397743709E-2</v>
      </c>
      <c r="P155" s="199">
        <f t="shared" si="599"/>
        <v>-5.248066150973596E-2</v>
      </c>
      <c r="Q155" s="20">
        <f t="shared" si="599"/>
        <v>4.2595769010863371E-2</v>
      </c>
      <c r="R155" s="20">
        <f t="shared" si="599"/>
        <v>-1.9158747903856965E-2</v>
      </c>
      <c r="S155" s="20">
        <f t="shared" si="599"/>
        <v>-2.4903154399557259E-2</v>
      </c>
      <c r="T155" s="20">
        <f t="shared" si="599"/>
        <v>3.6942313157146689E-3</v>
      </c>
      <c r="U155" s="199">
        <f t="shared" si="599"/>
        <v>2.42803856710605E-4</v>
      </c>
      <c r="V155" s="20">
        <f t="shared" si="599"/>
        <v>7.403345215245416E-2</v>
      </c>
      <c r="W155" s="20">
        <f t="shared" si="599"/>
        <v>0.16400005698898701</v>
      </c>
      <c r="X155" s="20">
        <f t="shared" si="599"/>
        <v>0.203178206583428</v>
      </c>
      <c r="Y155" s="20">
        <f t="shared" si="599"/>
        <v>0.26472253680634195</v>
      </c>
      <c r="Z155" s="199">
        <f t="shared" si="599"/>
        <v>0.17565936907429758</v>
      </c>
      <c r="AA155" s="20">
        <f t="shared" si="599"/>
        <v>3.9826397753382592E-2</v>
      </c>
      <c r="AB155" s="20">
        <f t="shared" si="599"/>
        <v>3.2558139534883734E-2</v>
      </c>
      <c r="AC155" s="20">
        <f t="shared" si="599"/>
        <v>3.0896226415094263E-2</v>
      </c>
      <c r="AD155" s="20">
        <f t="shared" si="599"/>
        <v>3.9176180882023681E-2</v>
      </c>
      <c r="AE155" s="199">
        <f t="shared" si="599"/>
        <v>3.5609551738583933E-2</v>
      </c>
      <c r="AF155" s="20">
        <f t="shared" si="599"/>
        <v>5.05769702921679E-2</v>
      </c>
      <c r="AG155" s="20">
        <f t="shared" si="599"/>
        <v>3.6510194404931307E-2</v>
      </c>
      <c r="AH155" s="20">
        <f t="shared" si="599"/>
        <v>4.8501487073896232E-2</v>
      </c>
      <c r="AI155" s="20">
        <f t="shared" si="599"/>
        <v>-8.6600603188280889E-2</v>
      </c>
      <c r="AJ155" s="199">
        <f t="shared" si="599"/>
        <v>9.8243180767452198E-3</v>
      </c>
      <c r="AK155" s="20">
        <f t="shared" si="599"/>
        <v>-4.5103996260808632E-2</v>
      </c>
      <c r="AL155" s="20">
        <f t="shared" si="599"/>
        <v>2.7218664226898337E-2</v>
      </c>
      <c r="AM155" s="20">
        <f t="shared" si="599"/>
        <v>4.1675758236962679E-2</v>
      </c>
      <c r="AN155" s="20">
        <f t="shared" si="599"/>
        <v>0.10495283018867929</v>
      </c>
      <c r="AO155" s="199">
        <f t="shared" si="599"/>
        <v>3.216206936019228E-2</v>
      </c>
      <c r="AP155" s="20"/>
      <c r="AQ155" s="20"/>
      <c r="AR155" s="20"/>
      <c r="AS155" s="20"/>
      <c r="AT155" s="206"/>
      <c r="AU155" s="20"/>
      <c r="AV155" s="20"/>
      <c r="AW155" s="20"/>
      <c r="AX155" s="20"/>
      <c r="AY155" s="206"/>
      <c r="AZ155" s="20">
        <f t="shared" ref="AZ155:BI155" si="600">AZ154/AU154-1</f>
        <v>-0.13385633733758273</v>
      </c>
      <c r="BA155" s="20">
        <f t="shared" si="600"/>
        <v>-0.21570621468926554</v>
      </c>
      <c r="BB155" s="20">
        <f t="shared" si="600"/>
        <v>-0.22273507943323312</v>
      </c>
      <c r="BC155" s="20">
        <f t="shared" si="600"/>
        <v>-0.14960828910791002</v>
      </c>
      <c r="BD155" s="206">
        <f t="shared" si="600"/>
        <v>-0.18283778258075822</v>
      </c>
      <c r="BE155" s="20">
        <f t="shared" si="600"/>
        <v>-4.8117746957260121E-2</v>
      </c>
      <c r="BF155" s="20">
        <f t="shared" si="600"/>
        <v>4.2212937617058133E-2</v>
      </c>
      <c r="BG155" s="20">
        <f t="shared" si="600"/>
        <v>6.9051236017124706E-2</v>
      </c>
      <c r="BH155" s="20">
        <f t="shared" si="600"/>
        <v>9.7622585438335907E-2</v>
      </c>
      <c r="BI155" s="206">
        <f t="shared" si="600"/>
        <v>3.9674029594681581E-2</v>
      </c>
      <c r="BJ155" s="20">
        <f t="shared" ref="BJ155:BT155" si="601">BJ154/BE154-1</f>
        <v>0.16874814154029139</v>
      </c>
      <c r="BK155" s="20">
        <f t="shared" si="601"/>
        <v>0.1773569256289742</v>
      </c>
      <c r="BL155" s="20">
        <f t="shared" si="601"/>
        <v>0.12969900529647327</v>
      </c>
      <c r="BM155" s="20">
        <f t="shared" si="601"/>
        <v>4.9005008799241967E-2</v>
      </c>
      <c r="BN155" s="317">
        <f t="shared" si="601"/>
        <v>0.13008800880088001</v>
      </c>
      <c r="BO155" s="20">
        <f t="shared" si="601"/>
        <v>4.2361022770639911E-2</v>
      </c>
      <c r="BP155" s="20">
        <f t="shared" si="601"/>
        <v>3.8393800634026087E-2</v>
      </c>
      <c r="BQ155" s="20">
        <f t="shared" si="601"/>
        <v>1.8410520297312827E-2</v>
      </c>
      <c r="BR155" s="20">
        <f t="shared" si="601"/>
        <v>4.8522389985804715E-2</v>
      </c>
      <c r="BS155" s="206">
        <f t="shared" si="601"/>
        <v>3.6413969335604701E-2</v>
      </c>
      <c r="BT155" s="20">
        <f t="shared" si="601"/>
        <v>7.3224310471076137E-4</v>
      </c>
      <c r="BU155" s="20">
        <f t="shared" ref="BU155:CA155" si="602">BU154/BP154-1</f>
        <v>-2.3744911804613245E-2</v>
      </c>
      <c r="BV155" s="20">
        <f t="shared" si="602"/>
        <v>2.2456770716370977E-2</v>
      </c>
      <c r="BW155" s="20">
        <f t="shared" si="602"/>
        <v>2.2399999999999975E-2</v>
      </c>
      <c r="BX155" s="206">
        <f t="shared" si="602"/>
        <v>5.2246910681263969E-3</v>
      </c>
      <c r="BY155" s="20">
        <f t="shared" si="602"/>
        <v>1.585365853658427E-3</v>
      </c>
      <c r="BZ155" s="20">
        <f t="shared" si="602"/>
        <v>4.3896224229789116E-2</v>
      </c>
      <c r="CA155" s="20">
        <f t="shared" si="602"/>
        <v>3.51416648363716E-2</v>
      </c>
      <c r="CB155" s="20">
        <f t="shared" ref="CB155:CK155" si="603">CB154/BW154-1</f>
        <v>1.6251354279523289E-2</v>
      </c>
      <c r="CC155" s="206">
        <f t="shared" si="603"/>
        <v>2.4732093322042736E-2</v>
      </c>
      <c r="CD155" s="20">
        <f t="shared" si="603"/>
        <v>4.3345915012784619E-2</v>
      </c>
      <c r="CE155" s="20">
        <f t="shared" si="603"/>
        <v>-9.4308221457893859E-3</v>
      </c>
      <c r="CF155" s="20">
        <f t="shared" si="603"/>
        <v>-6.694249946955233E-2</v>
      </c>
      <c r="CG155" s="20">
        <f>CG154/CB154-1</f>
        <v>-6.7045723762141685E-2</v>
      </c>
      <c r="CH155" s="206">
        <f>CH154/CC154-1</f>
        <v>-2.6386276856442681E-2</v>
      </c>
      <c r="CI155" s="20">
        <f t="shared" si="603"/>
        <v>-0.11821682810129541</v>
      </c>
      <c r="CJ155" s="20">
        <f t="shared" si="603"/>
        <v>-3.2146057347670287E-2</v>
      </c>
      <c r="CK155" s="20">
        <f t="shared" si="603"/>
        <v>-3.4565093803297309E-2</v>
      </c>
      <c r="CL155" s="20">
        <f>CL154/CG154-1</f>
        <v>7.2752666328085303E-2</v>
      </c>
      <c r="CM155" s="206">
        <f>CM154/CH154-1</f>
        <v>-3.0174432217279334E-2</v>
      </c>
      <c r="CN155" s="20">
        <f t="shared" ref="CN155:CP155" si="604">CN154/CI154-1</f>
        <v>8.2451032292218063E-2</v>
      </c>
      <c r="CO155" s="20">
        <f t="shared" si="604"/>
        <v>2.0136558268718963E-2</v>
      </c>
      <c r="CP155" s="20">
        <f t="shared" si="604"/>
        <v>9.4688493699210952E-2</v>
      </c>
      <c r="CQ155" s="20">
        <f>CQ154/CL154-1</f>
        <v>7.7168895727304898E-2</v>
      </c>
      <c r="CR155" s="206">
        <f>CR154/CM154-1</f>
        <v>6.7990463831970382E-2</v>
      </c>
      <c r="CS155" s="20"/>
      <c r="CT155" s="20"/>
      <c r="CU155" s="20"/>
      <c r="CV155" s="20"/>
      <c r="CW155" s="206"/>
      <c r="CX155" s="20">
        <f>CX154/CS154-1</f>
        <v>0.10055384615384622</v>
      </c>
      <c r="CY155" s="20">
        <f>CY154/CT154-1</f>
        <v>0.10977710774584315</v>
      </c>
      <c r="CZ155" s="20">
        <f>CZ154/CU154-1</f>
        <v>7.7135539861568736E-2</v>
      </c>
      <c r="DA155" s="20">
        <f>DA154/CV154-1</f>
        <v>3.0718716425165882E-2</v>
      </c>
      <c r="DB155" s="206">
        <f>DB154/CW154-1</f>
        <v>7.8973634048888686E-2</v>
      </c>
      <c r="DC155" s="20"/>
      <c r="DD155" s="20"/>
      <c r="DE155" s="20"/>
      <c r="DF155" s="20"/>
      <c r="DG155" s="206">
        <f>DG154/DB154-1</f>
        <v>2.5312732427952067E-2</v>
      </c>
      <c r="DH155" s="20"/>
      <c r="DI155" s="20"/>
      <c r="DJ155" s="20"/>
      <c r="DK155" s="20"/>
      <c r="DL155" s="206">
        <f>DL154/DG154-1</f>
        <v>2.4232202559278049E-2</v>
      </c>
      <c r="DM155" s="20"/>
      <c r="DN155" s="500"/>
      <c r="DO155" s="486"/>
      <c r="DP155" s="411"/>
      <c r="DQ155" s="411"/>
      <c r="DR155" s="411"/>
      <c r="DS155" s="478"/>
      <c r="DT155" s="556"/>
      <c r="DU155" s="791"/>
      <c r="DV155" s="847"/>
      <c r="DW155" s="467"/>
      <c r="DX155" s="791"/>
      <c r="DY155" s="847"/>
      <c r="DZ155" s="467"/>
      <c r="EA155" s="500"/>
      <c r="EH155" s="8"/>
    </row>
    <row r="156" spans="1:138" ht="12.75" customHeight="1" x14ac:dyDescent="0.2">
      <c r="A156" s="79" t="s">
        <v>120</v>
      </c>
      <c r="B156" s="79">
        <f>B152-B154</f>
        <v>355</v>
      </c>
      <c r="C156" s="79">
        <f t="shared" ref="C156:AO156" si="605">C152-C154</f>
        <v>692</v>
      </c>
      <c r="D156" s="79">
        <f t="shared" si="605"/>
        <v>532</v>
      </c>
      <c r="E156" s="79">
        <f t="shared" si="605"/>
        <v>178</v>
      </c>
      <c r="F156" s="227">
        <f t="shared" si="605"/>
        <v>1757</v>
      </c>
      <c r="G156" s="79">
        <f t="shared" si="605"/>
        <v>-115</v>
      </c>
      <c r="H156" s="79">
        <f t="shared" si="605"/>
        <v>-54</v>
      </c>
      <c r="I156" s="79">
        <f t="shared" si="605"/>
        <v>-354</v>
      </c>
      <c r="J156" s="79">
        <f t="shared" si="605"/>
        <v>-594</v>
      </c>
      <c r="K156" s="227">
        <f t="shared" si="605"/>
        <v>-1117</v>
      </c>
      <c r="L156" s="79">
        <f t="shared" si="605"/>
        <v>-395</v>
      </c>
      <c r="M156" s="79">
        <f t="shared" si="605"/>
        <v>-104</v>
      </c>
      <c r="N156" s="79">
        <f t="shared" si="605"/>
        <v>-194</v>
      </c>
      <c r="O156" s="79">
        <f t="shared" si="605"/>
        <v>-211</v>
      </c>
      <c r="P156" s="227">
        <f t="shared" si="605"/>
        <v>-904</v>
      </c>
      <c r="Q156" s="79">
        <f t="shared" si="605"/>
        <v>-492</v>
      </c>
      <c r="R156" s="79">
        <f t="shared" si="605"/>
        <v>-202.44999999999982</v>
      </c>
      <c r="S156" s="79">
        <f t="shared" si="605"/>
        <v>-81</v>
      </c>
      <c r="T156" s="79">
        <f t="shared" si="605"/>
        <v>-134</v>
      </c>
      <c r="U156" s="227">
        <f t="shared" si="605"/>
        <v>-909.45000000000073</v>
      </c>
      <c r="V156" s="79">
        <f t="shared" si="605"/>
        <v>-388</v>
      </c>
      <c r="W156" s="79">
        <f t="shared" si="605"/>
        <v>-124</v>
      </c>
      <c r="X156" s="79">
        <f t="shared" si="605"/>
        <v>-369</v>
      </c>
      <c r="Y156" s="79">
        <f t="shared" si="605"/>
        <v>-593</v>
      </c>
      <c r="Z156" s="227">
        <f t="shared" si="605"/>
        <v>-1474</v>
      </c>
      <c r="AA156" s="79">
        <f t="shared" si="605"/>
        <v>-426</v>
      </c>
      <c r="AB156" s="79">
        <f t="shared" si="605"/>
        <v>-33</v>
      </c>
      <c r="AC156" s="79">
        <f t="shared" si="605"/>
        <v>-155</v>
      </c>
      <c r="AD156" s="79">
        <f t="shared" si="605"/>
        <v>-499</v>
      </c>
      <c r="AE156" s="227">
        <f t="shared" si="605"/>
        <v>-1113</v>
      </c>
      <c r="AF156" s="79">
        <f t="shared" si="605"/>
        <v>-485</v>
      </c>
      <c r="AG156" s="79">
        <f t="shared" si="605"/>
        <v>369</v>
      </c>
      <c r="AH156" s="79">
        <f t="shared" si="605"/>
        <v>168</v>
      </c>
      <c r="AI156" s="79">
        <f t="shared" si="605"/>
        <v>6</v>
      </c>
      <c r="AJ156" s="227">
        <f t="shared" si="605"/>
        <v>58</v>
      </c>
      <c r="AK156" s="79">
        <f t="shared" si="605"/>
        <v>155</v>
      </c>
      <c r="AL156" s="79">
        <f t="shared" si="605"/>
        <v>512</v>
      </c>
      <c r="AM156" s="79">
        <f t="shared" si="605"/>
        <v>453</v>
      </c>
      <c r="AN156" s="79">
        <f t="shared" si="605"/>
        <v>-2</v>
      </c>
      <c r="AO156" s="227">
        <f t="shared" si="605"/>
        <v>1118</v>
      </c>
      <c r="AP156" s="79"/>
      <c r="AQ156" s="79"/>
      <c r="AR156" s="79"/>
      <c r="AS156" s="79"/>
      <c r="AT156" s="227"/>
      <c r="AU156" s="79">
        <f>AU152-AU154</f>
        <v>-258</v>
      </c>
      <c r="AV156" s="79">
        <f>AV152-AV154</f>
        <v>238</v>
      </c>
      <c r="AW156" s="79">
        <f>AW152-AW154</f>
        <v>216</v>
      </c>
      <c r="AX156" s="79">
        <f>AX152-AX154</f>
        <v>-146</v>
      </c>
      <c r="AY156" s="227">
        <f>SUM(AU156:AX156)</f>
        <v>50</v>
      </c>
      <c r="AZ156" s="79">
        <f>AZ152-AZ154</f>
        <v>-382</v>
      </c>
      <c r="BA156" s="79">
        <f>BA152-BA154</f>
        <v>59</v>
      </c>
      <c r="BB156" s="79">
        <f>BB152-BB154</f>
        <v>333</v>
      </c>
      <c r="BC156" s="79">
        <f>BC152-BC154</f>
        <v>75</v>
      </c>
      <c r="BD156" s="227">
        <f>SUM(AZ156:BC156)</f>
        <v>85</v>
      </c>
      <c r="BE156" s="79">
        <f>BE152-BE154</f>
        <v>122</v>
      </c>
      <c r="BF156" s="79">
        <f>BF152-BF154</f>
        <v>934.05999999999949</v>
      </c>
      <c r="BG156" s="79">
        <f>BG152-BG154</f>
        <v>1209</v>
      </c>
      <c r="BH156" s="79">
        <f>BH152-BH154</f>
        <v>402</v>
      </c>
      <c r="BI156" s="227">
        <f>SUM(BE156:BH156)</f>
        <v>2667.0599999999995</v>
      </c>
      <c r="BJ156" s="79">
        <f>BJ152-BJ154</f>
        <v>-114</v>
      </c>
      <c r="BK156" s="79">
        <f>BK152-BK154</f>
        <v>636</v>
      </c>
      <c r="BL156" s="79">
        <f>BL152-BL154</f>
        <v>1071</v>
      </c>
      <c r="BM156" s="79">
        <f>BM152-BM154</f>
        <v>650</v>
      </c>
      <c r="BN156" s="342">
        <f>SUM(BJ156:BM156)</f>
        <v>2243</v>
      </c>
      <c r="BO156" s="79">
        <f>BO152-BO154</f>
        <v>219</v>
      </c>
      <c r="BP156" s="79">
        <f>BP152-BP154</f>
        <v>888</v>
      </c>
      <c r="BQ156" s="79">
        <f>BQ152-BQ154</f>
        <v>1017</v>
      </c>
      <c r="BR156" s="79">
        <f>BR152-BR154</f>
        <v>477</v>
      </c>
      <c r="BS156" s="227">
        <f>SUM(BO156:BR156)</f>
        <v>2601</v>
      </c>
      <c r="BT156" s="79">
        <f t="shared" ref="BT156:BY156" si="606">BT152-BT154</f>
        <v>300</v>
      </c>
      <c r="BU156" s="79">
        <f t="shared" si="606"/>
        <v>1073</v>
      </c>
      <c r="BV156" s="79">
        <f t="shared" si="606"/>
        <v>1384</v>
      </c>
      <c r="BW156" s="79">
        <f t="shared" si="606"/>
        <v>769</v>
      </c>
      <c r="BX156" s="227">
        <f t="shared" si="606"/>
        <v>3526</v>
      </c>
      <c r="BY156" s="79">
        <f t="shared" si="606"/>
        <v>703</v>
      </c>
      <c r="BZ156" s="79">
        <f>BZ152-BZ154</f>
        <v>1608</v>
      </c>
      <c r="CA156" s="79">
        <f>CA152-CA154</f>
        <v>1752</v>
      </c>
      <c r="CB156" s="79">
        <f>CB152-CB154</f>
        <v>1205</v>
      </c>
      <c r="CC156" s="227">
        <f>CC152-CC154</f>
        <v>5268</v>
      </c>
      <c r="CD156" s="79">
        <f>CD152-CD154</f>
        <v>819</v>
      </c>
      <c r="CE156" s="79">
        <f t="shared" ref="CE156:CH156" si="607">CE152-CE154</f>
        <v>1779</v>
      </c>
      <c r="CF156" s="79">
        <f t="shared" si="607"/>
        <v>2312</v>
      </c>
      <c r="CG156" s="79">
        <f t="shared" si="607"/>
        <v>1626</v>
      </c>
      <c r="CH156" s="227">
        <f t="shared" si="607"/>
        <v>6536</v>
      </c>
      <c r="CI156" s="79">
        <f>CI152-CI154</f>
        <v>1695</v>
      </c>
      <c r="CJ156" s="79">
        <f t="shared" ref="CJ156:CM156" si="608">CJ152-CJ154</f>
        <v>1806</v>
      </c>
      <c r="CK156" s="79">
        <f t="shared" si="608"/>
        <v>1992</v>
      </c>
      <c r="CL156" s="79">
        <f t="shared" si="608"/>
        <v>1009</v>
      </c>
      <c r="CM156" s="227">
        <f t="shared" si="608"/>
        <v>6502</v>
      </c>
      <c r="CN156" s="79">
        <f>CN152-CN154</f>
        <v>969</v>
      </c>
      <c r="CO156" s="79">
        <f t="shared" ref="CO156:CR156" si="609">CO152-CO154</f>
        <v>1976</v>
      </c>
      <c r="CP156" s="79">
        <f t="shared" si="609"/>
        <v>1765</v>
      </c>
      <c r="CQ156" s="79">
        <f t="shared" si="609"/>
        <v>1144</v>
      </c>
      <c r="CR156" s="227">
        <f t="shared" si="609"/>
        <v>5854</v>
      </c>
      <c r="CS156" s="80">
        <f>CS152-CS154</f>
        <v>915</v>
      </c>
      <c r="CT156" s="80">
        <f t="shared" ref="CT156:CW156" si="610">CT152-CT154</f>
        <v>1930</v>
      </c>
      <c r="CU156" s="80">
        <f t="shared" si="610"/>
        <v>1749</v>
      </c>
      <c r="CV156" s="80">
        <f t="shared" si="610"/>
        <v>1113</v>
      </c>
      <c r="CW156" s="227">
        <f t="shared" si="610"/>
        <v>5707</v>
      </c>
      <c r="CX156" s="79">
        <f>CX152-CX154</f>
        <v>813</v>
      </c>
      <c r="CY156" s="79">
        <f t="shared" ref="CY156:DA156" si="611">CY152-CY154</f>
        <v>1782.2918495195845</v>
      </c>
      <c r="CZ156" s="79">
        <f t="shared" si="611"/>
        <v>1705.7137377749132</v>
      </c>
      <c r="DA156" s="79">
        <f t="shared" si="611"/>
        <v>1357.3957421130217</v>
      </c>
      <c r="DB156" s="227">
        <f>DB152-DB154</f>
        <v>5658.4013294075194</v>
      </c>
      <c r="DC156" s="80"/>
      <c r="DD156" s="80"/>
      <c r="DE156" s="80"/>
      <c r="DF156" s="80"/>
      <c r="DG156" s="227">
        <f>DG152-DG154</f>
        <v>6136.6596306245701</v>
      </c>
      <c r="DH156" s="952"/>
      <c r="DI156" s="952"/>
      <c r="DJ156" s="952"/>
      <c r="DK156" s="952"/>
      <c r="DL156" s="227">
        <f>DL152-DL154</f>
        <v>6619.2599263945376</v>
      </c>
      <c r="DM156" s="79"/>
      <c r="DN156" s="522"/>
      <c r="DO156" s="486"/>
      <c r="DP156" s="411"/>
      <c r="DQ156" s="411"/>
      <c r="DR156" s="411"/>
      <c r="DS156" s="556"/>
      <c r="DT156" s="556"/>
      <c r="DU156" s="975">
        <f>DB156/DB76</f>
        <v>0.13053348742351875</v>
      </c>
      <c r="DV156" s="975">
        <f>DG156/DG76</f>
        <v>0.13703845746471516</v>
      </c>
      <c r="DW156" s="975">
        <f>DL156/DL76</f>
        <v>0.14327528710743953</v>
      </c>
      <c r="DX156" s="791"/>
      <c r="DY156" s="791"/>
      <c r="DZ156" s="791"/>
      <c r="EA156" s="522"/>
      <c r="EH156" s="8"/>
    </row>
    <row r="157" spans="1:138" ht="12.75" customHeight="1" x14ac:dyDescent="0.2">
      <c r="A157" s="79" t="s">
        <v>112</v>
      </c>
      <c r="B157" s="81">
        <f t="shared" ref="B157:AO157" si="612">B156+B127+B131</f>
        <v>837</v>
      </c>
      <c r="C157" s="81">
        <f t="shared" si="612"/>
        <v>1179</v>
      </c>
      <c r="D157" s="81">
        <f t="shared" si="612"/>
        <v>996</v>
      </c>
      <c r="E157" s="81">
        <f t="shared" si="612"/>
        <v>672</v>
      </c>
      <c r="F157" s="289">
        <f t="shared" si="612"/>
        <v>3684</v>
      </c>
      <c r="G157" s="81">
        <f t="shared" si="612"/>
        <v>397</v>
      </c>
      <c r="H157" s="81">
        <f t="shared" si="612"/>
        <v>463</v>
      </c>
      <c r="I157" s="81">
        <f t="shared" si="612"/>
        <v>147</v>
      </c>
      <c r="J157" s="81">
        <f t="shared" si="612"/>
        <v>-104</v>
      </c>
      <c r="K157" s="289">
        <f t="shared" si="612"/>
        <v>903</v>
      </c>
      <c r="L157" s="81">
        <f t="shared" si="612"/>
        <v>64</v>
      </c>
      <c r="M157" s="81">
        <f t="shared" si="612"/>
        <v>366</v>
      </c>
      <c r="N157" s="81">
        <f t="shared" si="612"/>
        <v>270</v>
      </c>
      <c r="O157" s="81">
        <f t="shared" si="612"/>
        <v>253</v>
      </c>
      <c r="P157" s="289">
        <f t="shared" si="612"/>
        <v>953</v>
      </c>
      <c r="Q157" s="81">
        <f t="shared" si="612"/>
        <v>-11</v>
      </c>
      <c r="R157" s="81">
        <f t="shared" si="612"/>
        <v>275.55000000000018</v>
      </c>
      <c r="S157" s="81">
        <f t="shared" si="612"/>
        <v>399</v>
      </c>
      <c r="T157" s="81">
        <f t="shared" si="612"/>
        <v>356</v>
      </c>
      <c r="U157" s="289">
        <f t="shared" si="612"/>
        <v>1019.5499999999993</v>
      </c>
      <c r="V157" s="81">
        <f t="shared" si="612"/>
        <v>100</v>
      </c>
      <c r="W157" s="81">
        <f t="shared" si="612"/>
        <v>369</v>
      </c>
      <c r="X157" s="81">
        <f t="shared" si="612"/>
        <v>123</v>
      </c>
      <c r="Y157" s="81">
        <f t="shared" si="612"/>
        <v>-106</v>
      </c>
      <c r="Z157" s="289">
        <f t="shared" si="612"/>
        <v>486</v>
      </c>
      <c r="AA157" s="81">
        <f t="shared" si="612"/>
        <v>30</v>
      </c>
      <c r="AB157" s="81">
        <f t="shared" si="612"/>
        <v>444</v>
      </c>
      <c r="AC157" s="81">
        <f t="shared" si="612"/>
        <v>303</v>
      </c>
      <c r="AD157" s="81">
        <f t="shared" si="612"/>
        <v>-76</v>
      </c>
      <c r="AE157" s="289">
        <f t="shared" si="612"/>
        <v>701</v>
      </c>
      <c r="AF157" s="81">
        <f t="shared" si="612"/>
        <v>-89</v>
      </c>
      <c r="AG157" s="81">
        <f t="shared" si="612"/>
        <v>760</v>
      </c>
      <c r="AH157" s="81">
        <f t="shared" si="612"/>
        <v>531</v>
      </c>
      <c r="AI157" s="81">
        <f t="shared" si="612"/>
        <v>448</v>
      </c>
      <c r="AJ157" s="289">
        <f t="shared" si="612"/>
        <v>1650</v>
      </c>
      <c r="AK157" s="81">
        <f t="shared" si="612"/>
        <v>516</v>
      </c>
      <c r="AL157" s="81">
        <f t="shared" si="612"/>
        <v>856</v>
      </c>
      <c r="AM157" s="81">
        <f t="shared" si="612"/>
        <v>810</v>
      </c>
      <c r="AN157" s="81">
        <f t="shared" si="612"/>
        <v>346</v>
      </c>
      <c r="AO157" s="289">
        <f t="shared" si="612"/>
        <v>2528</v>
      </c>
      <c r="AP157" s="81"/>
      <c r="AQ157" s="81"/>
      <c r="AR157" s="81"/>
      <c r="AS157" s="81"/>
      <c r="AT157" s="289"/>
      <c r="AU157" s="81">
        <f t="shared" ref="AU157:BZ157" si="613">AU156+AU127+AU131</f>
        <v>288</v>
      </c>
      <c r="AV157" s="81">
        <f t="shared" si="613"/>
        <v>784</v>
      </c>
      <c r="AW157" s="81">
        <f t="shared" si="613"/>
        <v>758</v>
      </c>
      <c r="AX157" s="81">
        <f t="shared" si="613"/>
        <v>390</v>
      </c>
      <c r="AY157" s="289">
        <f t="shared" si="613"/>
        <v>2220</v>
      </c>
      <c r="AZ157" s="81">
        <f t="shared" si="613"/>
        <v>123</v>
      </c>
      <c r="BA157" s="81">
        <f t="shared" si="613"/>
        <v>561</v>
      </c>
      <c r="BB157" s="81">
        <f t="shared" si="613"/>
        <v>841</v>
      </c>
      <c r="BC157" s="81">
        <f t="shared" si="613"/>
        <v>576</v>
      </c>
      <c r="BD157" s="289">
        <f t="shared" si="613"/>
        <v>2101</v>
      </c>
      <c r="BE157" s="81">
        <f t="shared" si="613"/>
        <v>619</v>
      </c>
      <c r="BF157" s="81">
        <f t="shared" si="613"/>
        <v>1414.0599999999995</v>
      </c>
      <c r="BG157" s="81">
        <f t="shared" si="613"/>
        <v>1676</v>
      </c>
      <c r="BH157" s="81">
        <f t="shared" si="613"/>
        <v>856</v>
      </c>
      <c r="BI157" s="289">
        <f t="shared" si="613"/>
        <v>4565.0599999999995</v>
      </c>
      <c r="BJ157" s="81">
        <f t="shared" si="613"/>
        <v>340</v>
      </c>
      <c r="BK157" s="81">
        <f t="shared" si="613"/>
        <v>1091</v>
      </c>
      <c r="BL157" s="81">
        <f t="shared" si="613"/>
        <v>1527</v>
      </c>
      <c r="BM157" s="81">
        <f t="shared" si="613"/>
        <v>1106</v>
      </c>
      <c r="BN157" s="289">
        <f t="shared" si="613"/>
        <v>4064</v>
      </c>
      <c r="BO157" s="81">
        <f t="shared" si="613"/>
        <v>680</v>
      </c>
      <c r="BP157" s="81">
        <f t="shared" si="613"/>
        <v>1344</v>
      </c>
      <c r="BQ157" s="81">
        <f t="shared" si="613"/>
        <v>1474</v>
      </c>
      <c r="BR157" s="81">
        <f t="shared" si="613"/>
        <v>940</v>
      </c>
      <c r="BS157" s="289">
        <f t="shared" si="613"/>
        <v>4438</v>
      </c>
      <c r="BT157" s="81">
        <f t="shared" si="613"/>
        <v>765</v>
      </c>
      <c r="BU157" s="81">
        <f t="shared" si="613"/>
        <v>1543</v>
      </c>
      <c r="BV157" s="81">
        <f t="shared" si="613"/>
        <v>1849</v>
      </c>
      <c r="BW157" s="81">
        <f t="shared" si="613"/>
        <v>1236</v>
      </c>
      <c r="BX157" s="289">
        <f t="shared" si="613"/>
        <v>5393</v>
      </c>
      <c r="BY157" s="81">
        <f t="shared" si="613"/>
        <v>1196</v>
      </c>
      <c r="BZ157" s="81">
        <f t="shared" si="613"/>
        <v>2115</v>
      </c>
      <c r="CA157" s="81">
        <f t="shared" ref="CA157:DB157" si="614">CA156+CA127+CA131</f>
        <v>2257</v>
      </c>
      <c r="CB157" s="81">
        <f t="shared" si="614"/>
        <v>1704</v>
      </c>
      <c r="CC157" s="289">
        <f t="shared" si="614"/>
        <v>7272</v>
      </c>
      <c r="CD157" s="81">
        <f t="shared" si="614"/>
        <v>1349</v>
      </c>
      <c r="CE157" s="81">
        <f t="shared" si="614"/>
        <v>2287</v>
      </c>
      <c r="CF157" s="81">
        <f t="shared" si="614"/>
        <v>2841</v>
      </c>
      <c r="CG157" s="81">
        <f t="shared" si="614"/>
        <v>2144</v>
      </c>
      <c r="CH157" s="289">
        <f t="shared" si="614"/>
        <v>8621</v>
      </c>
      <c r="CI157" s="81">
        <f t="shared" si="614"/>
        <v>2247</v>
      </c>
      <c r="CJ157" s="81">
        <f t="shared" si="614"/>
        <v>2342</v>
      </c>
      <c r="CK157" s="81">
        <f t="shared" si="614"/>
        <v>2538</v>
      </c>
      <c r="CL157" s="81">
        <f t="shared" si="614"/>
        <v>1562</v>
      </c>
      <c r="CM157" s="289">
        <f t="shared" si="614"/>
        <v>8689</v>
      </c>
      <c r="CN157" s="81">
        <f t="shared" si="614"/>
        <v>1593</v>
      </c>
      <c r="CO157" s="81">
        <f t="shared" si="614"/>
        <v>2597</v>
      </c>
      <c r="CP157" s="81">
        <f t="shared" si="614"/>
        <v>2428</v>
      </c>
      <c r="CQ157" s="81">
        <f t="shared" si="614"/>
        <v>1822</v>
      </c>
      <c r="CR157" s="289">
        <f t="shared" si="614"/>
        <v>8440</v>
      </c>
      <c r="CS157" s="81">
        <f t="shared" si="614"/>
        <v>1536</v>
      </c>
      <c r="CT157" s="81">
        <f t="shared" si="614"/>
        <v>2547</v>
      </c>
      <c r="CU157" s="81">
        <f t="shared" si="614"/>
        <v>2409</v>
      </c>
      <c r="CV157" s="81">
        <f t="shared" si="614"/>
        <v>1788</v>
      </c>
      <c r="CW157" s="289">
        <f t="shared" si="614"/>
        <v>8280</v>
      </c>
      <c r="CX157" s="81">
        <f t="shared" si="614"/>
        <v>1517</v>
      </c>
      <c r="CY157" s="81">
        <f t="shared" si="614"/>
        <v>2478.3319853730986</v>
      </c>
      <c r="CZ157" s="81">
        <f t="shared" si="614"/>
        <v>2410.5973293242091</v>
      </c>
      <c r="DA157" s="81">
        <f t="shared" si="614"/>
        <v>2060.3263725858765</v>
      </c>
      <c r="DB157" s="289">
        <f t="shared" si="614"/>
        <v>8466.2556872831847</v>
      </c>
      <c r="DC157" s="81"/>
      <c r="DD157" s="81"/>
      <c r="DE157" s="81"/>
      <c r="DF157" s="81"/>
      <c r="DG157" s="289">
        <f>DG156+DG127+DG131</f>
        <v>9043.4066982700115</v>
      </c>
      <c r="DH157" s="81"/>
      <c r="DI157" s="81"/>
      <c r="DJ157" s="81"/>
      <c r="DK157" s="81"/>
      <c r="DL157" s="289">
        <f>DL156+DL127+DL131</f>
        <v>9600.7077445693412</v>
      </c>
      <c r="DM157" s="81"/>
      <c r="DN157" s="523"/>
      <c r="DO157" s="486"/>
      <c r="DP157" s="411"/>
      <c r="DQ157" s="411"/>
      <c r="DR157" s="411"/>
      <c r="DS157" s="562"/>
      <c r="DT157" s="562"/>
      <c r="DU157" s="791"/>
      <c r="DV157" s="847"/>
      <c r="DW157" s="467"/>
      <c r="DX157" s="842"/>
      <c r="DY157" s="468"/>
      <c r="DZ157" s="791"/>
      <c r="EA157" s="523"/>
      <c r="EH157" s="8"/>
    </row>
    <row r="158" spans="1:138" ht="12.75" customHeight="1" x14ac:dyDescent="0.2">
      <c r="A158" s="142" t="s">
        <v>244</v>
      </c>
      <c r="B158" s="20"/>
      <c r="C158" s="20"/>
      <c r="D158" s="20"/>
      <c r="E158" s="20"/>
      <c r="F158" s="199"/>
      <c r="G158" s="20">
        <f t="shared" ref="G158:AE158" si="615">G157/B157-1</f>
        <v>-0.52568697729988045</v>
      </c>
      <c r="H158" s="20">
        <f t="shared" si="615"/>
        <v>-0.60729431721798133</v>
      </c>
      <c r="I158" s="20">
        <f t="shared" si="615"/>
        <v>-0.85240963855421681</v>
      </c>
      <c r="J158" s="20">
        <f t="shared" si="615"/>
        <v>-1.1547619047619047</v>
      </c>
      <c r="K158" s="199">
        <f t="shared" si="615"/>
        <v>-0.75488599348534202</v>
      </c>
      <c r="L158" s="20">
        <f t="shared" si="615"/>
        <v>-0.83879093198992449</v>
      </c>
      <c r="M158" s="20">
        <f t="shared" si="615"/>
        <v>-0.20950323974082075</v>
      </c>
      <c r="N158" s="20">
        <f t="shared" si="615"/>
        <v>0.83673469387755106</v>
      </c>
      <c r="O158" s="20">
        <f t="shared" si="615"/>
        <v>-3.4326923076923075</v>
      </c>
      <c r="P158" s="199">
        <f t="shared" si="615"/>
        <v>5.537098560354381E-2</v>
      </c>
      <c r="Q158" s="20">
        <f t="shared" si="615"/>
        <v>-1.171875</v>
      </c>
      <c r="R158" s="20">
        <f t="shared" si="615"/>
        <v>-0.24713114754098309</v>
      </c>
      <c r="S158" s="20">
        <f t="shared" si="615"/>
        <v>0.47777777777777786</v>
      </c>
      <c r="T158" s="20">
        <f t="shared" si="615"/>
        <v>0.40711462450592895</v>
      </c>
      <c r="U158" s="199">
        <f t="shared" si="615"/>
        <v>6.9832109129065234E-2</v>
      </c>
      <c r="V158" s="20">
        <f t="shared" si="615"/>
        <v>-10.090909090909092</v>
      </c>
      <c r="W158" s="20">
        <f t="shared" si="615"/>
        <v>0.33913990201415256</v>
      </c>
      <c r="X158" s="20">
        <f t="shared" si="615"/>
        <v>-0.69172932330827064</v>
      </c>
      <c r="Y158" s="20">
        <f t="shared" si="615"/>
        <v>-1.297752808988764</v>
      </c>
      <c r="Z158" s="199">
        <f t="shared" si="615"/>
        <v>-0.52331911137266407</v>
      </c>
      <c r="AA158" s="20">
        <f t="shared" si="615"/>
        <v>-0.7</v>
      </c>
      <c r="AB158" s="20">
        <f t="shared" si="615"/>
        <v>0.20325203252032531</v>
      </c>
      <c r="AC158" s="20">
        <f t="shared" si="615"/>
        <v>1.4634146341463414</v>
      </c>
      <c r="AD158" s="20">
        <f t="shared" si="615"/>
        <v>-0.28301886792452835</v>
      </c>
      <c r="AE158" s="199">
        <f t="shared" si="615"/>
        <v>0.4423868312757202</v>
      </c>
      <c r="AF158" s="20">
        <f t="shared" ref="AF158:AO158" si="616">AF157/AA157-1</f>
        <v>-3.9666666666666668</v>
      </c>
      <c r="AG158" s="20">
        <f t="shared" si="616"/>
        <v>0.71171171171171177</v>
      </c>
      <c r="AH158" s="20">
        <f t="shared" si="616"/>
        <v>0.75247524752475248</v>
      </c>
      <c r="AI158" s="20">
        <f t="shared" si="616"/>
        <v>-6.8947368421052628</v>
      </c>
      <c r="AJ158" s="206">
        <f t="shared" si="616"/>
        <v>1.3537803138373752</v>
      </c>
      <c r="AK158" s="20">
        <f t="shared" si="616"/>
        <v>-6.797752808988764</v>
      </c>
      <c r="AL158" s="20">
        <f t="shared" si="616"/>
        <v>0.12631578947368416</v>
      </c>
      <c r="AM158" s="20">
        <f t="shared" si="616"/>
        <v>0.52542372881355925</v>
      </c>
      <c r="AN158" s="20">
        <f t="shared" si="616"/>
        <v>-0.2276785714285714</v>
      </c>
      <c r="AO158" s="206">
        <f t="shared" si="616"/>
        <v>0.53212121212121222</v>
      </c>
      <c r="AP158" s="20"/>
      <c r="AQ158" s="20"/>
      <c r="AR158" s="20"/>
      <c r="AS158" s="20"/>
      <c r="AT158" s="206"/>
      <c r="AU158" s="20"/>
      <c r="AV158" s="20"/>
      <c r="AW158" s="20"/>
      <c r="AX158" s="20"/>
      <c r="AY158" s="206"/>
      <c r="AZ158" s="20">
        <f t="shared" ref="AZ158:BZ158" si="617">AZ157/AU157-1</f>
        <v>-0.57291666666666674</v>
      </c>
      <c r="BA158" s="20">
        <f t="shared" si="617"/>
        <v>-0.28443877551020413</v>
      </c>
      <c r="BB158" s="20">
        <f t="shared" si="617"/>
        <v>0.10949868073878632</v>
      </c>
      <c r="BC158" s="20">
        <f t="shared" si="617"/>
        <v>0.47692307692307701</v>
      </c>
      <c r="BD158" s="206">
        <f t="shared" si="617"/>
        <v>-5.3603603603603611E-2</v>
      </c>
      <c r="BE158" s="20">
        <f t="shared" si="617"/>
        <v>4.0325203252032518</v>
      </c>
      <c r="BF158" s="20">
        <f t="shared" si="617"/>
        <v>1.5206060606060596</v>
      </c>
      <c r="BG158" s="20">
        <f t="shared" si="617"/>
        <v>0.9928656361474435</v>
      </c>
      <c r="BH158" s="20">
        <f t="shared" si="617"/>
        <v>0.48611111111111116</v>
      </c>
      <c r="BI158" s="206">
        <f t="shared" si="617"/>
        <v>1.1728034269395522</v>
      </c>
      <c r="BJ158" s="20">
        <f t="shared" si="617"/>
        <v>-0.45072697899838454</v>
      </c>
      <c r="BK158" s="20">
        <f t="shared" si="617"/>
        <v>-0.22846272435398751</v>
      </c>
      <c r="BL158" s="20">
        <f t="shared" si="617"/>
        <v>-8.8902147971360423E-2</v>
      </c>
      <c r="BM158" s="20">
        <f t="shared" si="617"/>
        <v>0.2920560747663552</v>
      </c>
      <c r="BN158" s="317">
        <f t="shared" si="617"/>
        <v>-0.10975978409922316</v>
      </c>
      <c r="BO158" s="20">
        <f t="shared" si="617"/>
        <v>1</v>
      </c>
      <c r="BP158" s="20">
        <f t="shared" si="617"/>
        <v>0.23189734188817601</v>
      </c>
      <c r="BQ158" s="20">
        <f t="shared" si="617"/>
        <v>-3.4708578912901134E-2</v>
      </c>
      <c r="BR158" s="20">
        <f t="shared" si="617"/>
        <v>-0.15009041591320071</v>
      </c>
      <c r="BS158" s="206">
        <f t="shared" si="617"/>
        <v>9.2027559055118058E-2</v>
      </c>
      <c r="BT158" s="20">
        <f t="shared" si="617"/>
        <v>0.125</v>
      </c>
      <c r="BU158" s="20">
        <f t="shared" si="617"/>
        <v>0.14806547619047628</v>
      </c>
      <c r="BV158" s="20">
        <f>BV157/BQ157-1</f>
        <v>0.25440976933514237</v>
      </c>
      <c r="BW158" s="20">
        <f>BW157/BR157-1</f>
        <v>0.31489361702127661</v>
      </c>
      <c r="BX158" s="206">
        <f t="shared" si="617"/>
        <v>0.21518702118071209</v>
      </c>
      <c r="BY158" s="20">
        <f>BY157/BT157-1</f>
        <v>0.56339869281045751</v>
      </c>
      <c r="BZ158" s="20">
        <f t="shared" si="617"/>
        <v>0.37070641607258592</v>
      </c>
      <c r="CA158" s="20">
        <f t="shared" ref="CA158:CK158" si="618">CA157/BV157-1</f>
        <v>0.22065981611681984</v>
      </c>
      <c r="CB158" s="20">
        <f>CB157/BW157-1</f>
        <v>0.37864077669902918</v>
      </c>
      <c r="CC158" s="206">
        <f>CC157/BX157-1</f>
        <v>0.34841461153346942</v>
      </c>
      <c r="CD158" s="20">
        <f t="shared" si="618"/>
        <v>0.12792642140468224</v>
      </c>
      <c r="CE158" s="20">
        <f t="shared" si="618"/>
        <v>8.1323877068557815E-2</v>
      </c>
      <c r="CF158" s="20">
        <f t="shared" si="618"/>
        <v>0.25875055383252099</v>
      </c>
      <c r="CG158" s="20">
        <f>CG157/CB157-1</f>
        <v>0.25821596244131451</v>
      </c>
      <c r="CH158" s="206">
        <f>CH157/CC157-1</f>
        <v>0.18550605060506054</v>
      </c>
      <c r="CI158" s="20">
        <f t="shared" si="618"/>
        <v>0.66567828020756115</v>
      </c>
      <c r="CJ158" s="20">
        <f t="shared" si="618"/>
        <v>2.4048972452995088E-2</v>
      </c>
      <c r="CK158" s="20">
        <f t="shared" si="618"/>
        <v>-0.10665258711721226</v>
      </c>
      <c r="CL158" s="20">
        <f>CL157/CG157-1</f>
        <v>-0.27145522388059706</v>
      </c>
      <c r="CM158" s="206">
        <f>CM157/CH157-1</f>
        <v>7.8877160422223813E-3</v>
      </c>
      <c r="CN158" s="20">
        <f t="shared" ref="CN158:CP158" si="619">CN157/CI157-1</f>
        <v>-0.29105473965287054</v>
      </c>
      <c r="CO158" s="20">
        <f t="shared" si="619"/>
        <v>0.10888129803586688</v>
      </c>
      <c r="CP158" s="20">
        <f t="shared" si="619"/>
        <v>-4.3341213553979463E-2</v>
      </c>
      <c r="CQ158" s="20">
        <f>CQ157/CL157-1</f>
        <v>0.16645326504481428</v>
      </c>
      <c r="CR158" s="206">
        <f>CR157/CM157-1</f>
        <v>-2.8656922545747476E-2</v>
      </c>
      <c r="CS158" s="20"/>
      <c r="CT158" s="20"/>
      <c r="CU158" s="20"/>
      <c r="CV158" s="20"/>
      <c r="CW158" s="206"/>
      <c r="CX158" s="20">
        <f>CX157/CS157-1</f>
        <v>-1.236979166666663E-2</v>
      </c>
      <c r="CY158" s="20">
        <f>CY157/CT157-1</f>
        <v>-2.696035124731111E-2</v>
      </c>
      <c r="CZ158" s="20">
        <f>CZ157/CU157-1</f>
        <v>6.6306738240307084E-4</v>
      </c>
      <c r="DA158" s="20">
        <f>DA157/CV157-1</f>
        <v>0.15230781464534471</v>
      </c>
      <c r="DB158" s="206">
        <f>DB157/CW157-1</f>
        <v>2.2494648222606939E-2</v>
      </c>
      <c r="DC158" s="20"/>
      <c r="DD158" s="20"/>
      <c r="DE158" s="20"/>
      <c r="DF158" s="20"/>
      <c r="DG158" s="206">
        <f>DG157/DB157-1</f>
        <v>6.8170751310256517E-2</v>
      </c>
      <c r="DH158" s="20"/>
      <c r="DI158" s="20"/>
      <c r="DJ158" s="20"/>
      <c r="DK158" s="20"/>
      <c r="DL158" s="206">
        <f>DL157/DG157-1</f>
        <v>6.1625122577528169E-2</v>
      </c>
      <c r="DM158" s="20"/>
      <c r="DN158" s="500"/>
      <c r="DO158" s="486"/>
      <c r="DP158" s="411"/>
      <c r="DQ158" s="411"/>
      <c r="DR158" s="411"/>
      <c r="DS158" s="478"/>
      <c r="DT158" s="478"/>
      <c r="DU158" s="463"/>
      <c r="DV158" s="460"/>
      <c r="DW158" s="460"/>
      <c r="DX158" s="842"/>
      <c r="DY158" s="468"/>
      <c r="DZ158" s="461"/>
      <c r="EA158" s="500"/>
      <c r="EH158" s="8"/>
    </row>
    <row r="159" spans="1:138" ht="3" customHeight="1" x14ac:dyDescent="0.2">
      <c r="A159" s="79"/>
      <c r="B159" s="81"/>
      <c r="C159" s="81"/>
      <c r="D159" s="81"/>
      <c r="E159" s="81"/>
      <c r="F159" s="227"/>
      <c r="G159" s="81"/>
      <c r="H159" s="81"/>
      <c r="I159" s="81"/>
      <c r="J159" s="81"/>
      <c r="K159" s="227"/>
      <c r="L159" s="81"/>
      <c r="M159" s="81"/>
      <c r="N159" s="81"/>
      <c r="O159" s="81"/>
      <c r="P159" s="227"/>
      <c r="Q159" s="81"/>
      <c r="R159" s="81"/>
      <c r="S159" s="81"/>
      <c r="T159" s="81"/>
      <c r="U159" s="227"/>
      <c r="V159" s="81"/>
      <c r="W159" s="81"/>
      <c r="X159" s="81"/>
      <c r="Y159" s="81"/>
      <c r="Z159" s="227"/>
      <c r="AA159" s="81"/>
      <c r="AB159" s="81"/>
      <c r="AC159" s="81"/>
      <c r="AD159" s="81"/>
      <c r="AE159" s="227"/>
      <c r="AF159" s="81"/>
      <c r="AG159" s="81"/>
      <c r="AH159" s="81"/>
      <c r="AI159" s="81"/>
      <c r="AJ159" s="227"/>
      <c r="AK159" s="81"/>
      <c r="AL159" s="81"/>
      <c r="AM159" s="81"/>
      <c r="AN159" s="81"/>
      <c r="AO159" s="227"/>
      <c r="AP159" s="81"/>
      <c r="AQ159" s="81"/>
      <c r="AR159" s="81"/>
      <c r="AS159" s="81"/>
      <c r="AT159" s="289"/>
      <c r="AU159" s="81"/>
      <c r="AV159" s="81"/>
      <c r="AW159" s="81"/>
      <c r="AX159" s="81"/>
      <c r="AY159" s="289"/>
      <c r="AZ159" s="81"/>
      <c r="BA159" s="81"/>
      <c r="BB159" s="81"/>
      <c r="BC159" s="81"/>
      <c r="BD159" s="289"/>
      <c r="BE159" s="81"/>
      <c r="BF159" s="81"/>
      <c r="BG159" s="81"/>
      <c r="BH159" s="81"/>
      <c r="BI159" s="289"/>
      <c r="BJ159" s="81"/>
      <c r="BK159" s="81"/>
      <c r="BL159" s="81"/>
      <c r="BM159" s="81"/>
      <c r="BN159" s="343"/>
      <c r="BO159" s="81"/>
      <c r="BP159" s="81"/>
      <c r="BQ159" s="81"/>
      <c r="BR159" s="81"/>
      <c r="BS159" s="289"/>
      <c r="BT159" s="81"/>
      <c r="BU159" s="81"/>
      <c r="BV159" s="81"/>
      <c r="BW159" s="81"/>
      <c r="BX159" s="289"/>
      <c r="BY159" s="81"/>
      <c r="BZ159" s="81"/>
      <c r="CA159" s="81"/>
      <c r="CB159" s="81"/>
      <c r="CC159" s="289"/>
      <c r="CD159" s="81"/>
      <c r="CE159" s="81"/>
      <c r="CF159" s="81"/>
      <c r="CG159" s="81"/>
      <c r="CH159" s="289"/>
      <c r="CI159" s="81"/>
      <c r="CJ159" s="81"/>
      <c r="CK159" s="81"/>
      <c r="CL159" s="81"/>
      <c r="CM159" s="289"/>
      <c r="CN159" s="81"/>
      <c r="CO159" s="81"/>
      <c r="CP159" s="81"/>
      <c r="CQ159" s="81"/>
      <c r="CR159" s="289"/>
      <c r="CS159" s="81"/>
      <c r="CT159" s="81"/>
      <c r="CU159" s="81"/>
      <c r="CV159" s="81"/>
      <c r="CW159" s="289"/>
      <c r="CX159" s="81"/>
      <c r="CY159" s="81"/>
      <c r="CZ159" s="81"/>
      <c r="DA159" s="81"/>
      <c r="DB159" s="289"/>
      <c r="DC159" s="81"/>
      <c r="DD159" s="81"/>
      <c r="DE159" s="81"/>
      <c r="DF159" s="81"/>
      <c r="DG159" s="289"/>
      <c r="DH159" s="81"/>
      <c r="DI159" s="81"/>
      <c r="DJ159" s="81"/>
      <c r="DK159" s="81"/>
      <c r="DL159" s="289"/>
      <c r="DM159" s="81"/>
      <c r="DN159" s="523"/>
      <c r="DO159" s="486"/>
      <c r="DP159" s="411"/>
      <c r="DQ159" s="411"/>
      <c r="DR159" s="411"/>
      <c r="DS159" s="562"/>
      <c r="DT159" s="562"/>
      <c r="DU159" s="467"/>
      <c r="DV159" s="467"/>
      <c r="DW159" s="467"/>
      <c r="DX159" s="842"/>
      <c r="DY159" s="468"/>
      <c r="DZ159" s="467"/>
      <c r="EA159" s="523"/>
      <c r="EH159" s="8"/>
    </row>
    <row r="160" spans="1:138" ht="12.75" customHeight="1" x14ac:dyDescent="0.2">
      <c r="A160" s="140" t="s">
        <v>113</v>
      </c>
      <c r="B160" s="155">
        <f>B156/B152</f>
        <v>8.9646464646464641E-2</v>
      </c>
      <c r="C160" s="155">
        <f t="shared" ref="C160:AO160" si="620">C156/C152</f>
        <v>0.15484448422465877</v>
      </c>
      <c r="D160" s="155">
        <f t="shared" si="620"/>
        <v>0.12243958573072497</v>
      </c>
      <c r="E160" s="155">
        <f t="shared" si="620"/>
        <v>4.4311675379636546E-2</v>
      </c>
      <c r="F160" s="228">
        <f t="shared" si="620"/>
        <v>0.10463939014948484</v>
      </c>
      <c r="G160" s="155">
        <f t="shared" si="620"/>
        <v>-2.9932326913066111E-2</v>
      </c>
      <c r="H160" s="155">
        <f t="shared" si="620"/>
        <v>-1.4300847457627119E-2</v>
      </c>
      <c r="I160" s="155">
        <f t="shared" si="620"/>
        <v>-0.10417892878163626</v>
      </c>
      <c r="J160" s="155">
        <f t="shared" si="620"/>
        <v>-0.20747467691232974</v>
      </c>
      <c r="K160" s="228">
        <f t="shared" si="620"/>
        <v>-8.0481302687513509E-2</v>
      </c>
      <c r="L160" s="155">
        <f t="shared" si="620"/>
        <v>-0.12729616500161134</v>
      </c>
      <c r="M160" s="155">
        <f t="shared" si="620"/>
        <v>-2.9936672423719057E-2</v>
      </c>
      <c r="N160" s="155">
        <f t="shared" si="620"/>
        <v>-5.6725146198830408E-2</v>
      </c>
      <c r="O160" s="155">
        <f t="shared" si="620"/>
        <v>-6.3784764207980654E-2</v>
      </c>
      <c r="P160" s="228">
        <f t="shared" si="620"/>
        <v>-6.7944381811349111E-2</v>
      </c>
      <c r="Q160" s="155">
        <f t="shared" si="620"/>
        <v>-0.15594294770206021</v>
      </c>
      <c r="R160" s="155">
        <f t="shared" si="620"/>
        <v>-6.1218627154520658E-2</v>
      </c>
      <c r="S160" s="155">
        <f t="shared" si="620"/>
        <v>-2.3525994772001162E-2</v>
      </c>
      <c r="T160" s="155">
        <f t="shared" si="620"/>
        <v>-3.9434961742201298E-2</v>
      </c>
      <c r="U160" s="228">
        <f t="shared" si="620"/>
        <v>-6.8364278734120182E-2</v>
      </c>
      <c r="V160" s="155">
        <f t="shared" si="620"/>
        <v>-0.1099461603853783</v>
      </c>
      <c r="W160" s="155">
        <f t="shared" si="620"/>
        <v>-3.1305225953042158E-2</v>
      </c>
      <c r="X160" s="155">
        <f t="shared" si="620"/>
        <v>-9.5324205631619738E-2</v>
      </c>
      <c r="Y160" s="155">
        <f t="shared" si="620"/>
        <v>-0.15307176045431078</v>
      </c>
      <c r="Z160" s="228">
        <f t="shared" si="620"/>
        <v>-9.6750902527075813E-2</v>
      </c>
      <c r="AA160" s="155">
        <f t="shared" si="620"/>
        <v>-0.11680833561831643</v>
      </c>
      <c r="AB160" s="155">
        <f t="shared" si="620"/>
        <v>-7.8853046594982087E-3</v>
      </c>
      <c r="AC160" s="155">
        <f t="shared" si="620"/>
        <v>-3.6764705882352942E-2</v>
      </c>
      <c r="AD160" s="155">
        <f t="shared" si="620"/>
        <v>-0.12044412261646151</v>
      </c>
      <c r="AE160" s="228">
        <f t="shared" si="620"/>
        <v>-6.8741893644617386E-2</v>
      </c>
      <c r="AF160" s="155">
        <f t="shared" si="620"/>
        <v>-0.12783342119135477</v>
      </c>
      <c r="AG160" s="155">
        <f t="shared" si="620"/>
        <v>7.7831681079940943E-2</v>
      </c>
      <c r="AH160" s="155">
        <f t="shared" si="620"/>
        <v>3.5360976636497579E-2</v>
      </c>
      <c r="AI160" s="155">
        <f t="shared" si="620"/>
        <v>1.4130946773433821E-3</v>
      </c>
      <c r="AJ160" s="228">
        <f t="shared" si="620"/>
        <v>3.3082363677846222E-3</v>
      </c>
      <c r="AK160" s="155">
        <f t="shared" si="620"/>
        <v>3.6547983966045743E-2</v>
      </c>
      <c r="AL160" s="155">
        <f t="shared" si="620"/>
        <v>0.10233859684189486</v>
      </c>
      <c r="AM160" s="155">
        <f t="shared" si="620"/>
        <v>8.6665391237803716E-2</v>
      </c>
      <c r="AN160" s="155">
        <f t="shared" si="620"/>
        <v>-4.2707666026051675E-4</v>
      </c>
      <c r="AO160" s="228">
        <f t="shared" si="620"/>
        <v>5.8369009084264387E-2</v>
      </c>
      <c r="AP160" s="155"/>
      <c r="AQ160" s="155"/>
      <c r="AR160" s="155"/>
      <c r="AS160" s="155"/>
      <c r="AT160" s="290"/>
      <c r="AU160" s="155">
        <f t="shared" ref="AU160:BZ160" si="621">AU156/AU152</f>
        <v>-3.2658227848101268E-2</v>
      </c>
      <c r="AV160" s="155">
        <f t="shared" si="621"/>
        <v>2.6188380281690141E-2</v>
      </c>
      <c r="AW160" s="155">
        <f t="shared" si="621"/>
        <v>2.2660511959714646E-2</v>
      </c>
      <c r="AX160" s="155">
        <f t="shared" si="621"/>
        <v>-1.8795056642636459E-2</v>
      </c>
      <c r="AY160" s="290">
        <f t="shared" si="621"/>
        <v>1.4582361175921605E-3</v>
      </c>
      <c r="AZ160" s="155">
        <f t="shared" si="621"/>
        <v>-5.7151406343506884E-2</v>
      </c>
      <c r="BA160" s="155">
        <f t="shared" si="621"/>
        <v>8.4285714285714294E-3</v>
      </c>
      <c r="BB160" s="155">
        <f t="shared" si="621"/>
        <v>4.3966200158436761E-2</v>
      </c>
      <c r="BC160" s="155">
        <f t="shared" si="621"/>
        <v>1.1021307861866276E-2</v>
      </c>
      <c r="BD160" s="290">
        <f t="shared" si="621"/>
        <v>3.0288992623739444E-3</v>
      </c>
      <c r="BE160" s="155">
        <f t="shared" si="621"/>
        <v>1.7815420560747662E-2</v>
      </c>
      <c r="BF160" s="155">
        <f t="shared" si="621"/>
        <v>0.11435518348298121</v>
      </c>
      <c r="BG160" s="155">
        <f t="shared" si="621"/>
        <v>0.13508379888268157</v>
      </c>
      <c r="BH160" s="155">
        <f>BH156/BH152</f>
        <v>5.1611246629862627E-2</v>
      </c>
      <c r="BI160" s="290">
        <f t="shared" si="621"/>
        <v>8.3988504509202616E-2</v>
      </c>
      <c r="BJ160" s="155">
        <f t="shared" si="621"/>
        <v>-1.4715373693042468E-2</v>
      </c>
      <c r="BK160" s="155">
        <f>BK156/BK152</f>
        <v>6.9485414618157978E-2</v>
      </c>
      <c r="BL160" s="155">
        <f>BL156/BL152</f>
        <v>0.10910757946210269</v>
      </c>
      <c r="BM160" s="155">
        <f>BM156/BM152</f>
        <v>7.7390165495892366E-2</v>
      </c>
      <c r="BN160" s="344">
        <f t="shared" si="621"/>
        <v>6.3875836537092417E-2</v>
      </c>
      <c r="BO160" s="155">
        <f t="shared" ref="BO160:BU160" si="622">BO156/BO152</f>
        <v>2.6031142279805065E-2</v>
      </c>
      <c r="BP160" s="155">
        <f t="shared" si="622"/>
        <v>9.1245376078914919E-2</v>
      </c>
      <c r="BQ160" s="155">
        <f t="shared" si="622"/>
        <v>0.10248916658268668</v>
      </c>
      <c r="BR160" s="155">
        <f t="shared" si="622"/>
        <v>5.5452220413857244E-2</v>
      </c>
      <c r="BS160" s="290">
        <f t="shared" si="622"/>
        <v>7.0929915462230708E-2</v>
      </c>
      <c r="BT160" s="155">
        <f>BT156/BT152</f>
        <v>3.5294117647058823E-2</v>
      </c>
      <c r="BU160" s="155">
        <f t="shared" si="622"/>
        <v>0.11053878644277326</v>
      </c>
      <c r="BV160" s="155">
        <f>BV156/BV152</f>
        <v>0.1319351763584366</v>
      </c>
      <c r="BW160" s="155">
        <f>BW156/BW152</f>
        <v>8.4728955486998672E-2</v>
      </c>
      <c r="BX160" s="290">
        <f t="shared" si="621"/>
        <v>9.3347099780266327E-2</v>
      </c>
      <c r="BY160" s="155">
        <f t="shared" si="621"/>
        <v>7.8847016599371919E-2</v>
      </c>
      <c r="BZ160" s="155">
        <f t="shared" si="621"/>
        <v>0.15139817342999717</v>
      </c>
      <c r="CA160" s="155">
        <f>CA156/CA152</f>
        <v>0.15673644659151906</v>
      </c>
      <c r="CB160" s="155">
        <f>CB156/CB152</f>
        <v>0.12490929822742822</v>
      </c>
      <c r="CC160" s="290">
        <f>CC156/CC152</f>
        <v>0.13051880481641148</v>
      </c>
      <c r="CD160" s="155">
        <f>CD156/CD152</f>
        <v>8.7239028547081376E-2</v>
      </c>
      <c r="CE160" s="155">
        <f>CE156/CE152</f>
        <v>0.16615298402913981</v>
      </c>
      <c r="CF160" s="155">
        <f t="shared" ref="CF160:CH160" si="623">CF156/CF152</f>
        <v>0.20815701809669579</v>
      </c>
      <c r="CG160" s="155">
        <f t="shared" si="623"/>
        <v>0.17112186908019364</v>
      </c>
      <c r="CH160" s="290">
        <f t="shared" si="623"/>
        <v>0.1605738993710692</v>
      </c>
      <c r="CI160" s="155">
        <f>CI156/CI152</f>
        <v>0.18322343530429142</v>
      </c>
      <c r="CJ160" s="155">
        <f>CJ156/CJ152</f>
        <v>0.17287259500335025</v>
      </c>
      <c r="CK160" s="155">
        <f t="shared" ref="CK160:CM160" si="624">CK156/CK152</f>
        <v>0.19002194028426977</v>
      </c>
      <c r="CL160" s="155">
        <f t="shared" si="624"/>
        <v>0.10668217382110383</v>
      </c>
      <c r="CM160" s="290">
        <f t="shared" si="624"/>
        <v>0.16403037412649157</v>
      </c>
      <c r="CN160" s="155">
        <f>CN156/CN152</f>
        <v>0.10592479230432882</v>
      </c>
      <c r="CO160" s="155">
        <f>CO156/CO152</f>
        <v>0.18311555926234827</v>
      </c>
      <c r="CP160" s="155">
        <f t="shared" ref="CP160:CR160" si="625">CP156/CP152</f>
        <v>0.15958408679927669</v>
      </c>
      <c r="CQ160" s="155">
        <f t="shared" si="625"/>
        <v>0.11166422645192776</v>
      </c>
      <c r="CR160" s="290">
        <f t="shared" si="625"/>
        <v>0.14193579672194742</v>
      </c>
      <c r="CS160" s="155">
        <f>CS156/CS152</f>
        <v>0.10121681415929204</v>
      </c>
      <c r="CT160" s="155">
        <f>CT156/CT152</f>
        <v>0.18069853183847276</v>
      </c>
      <c r="CU160" s="155">
        <f t="shared" ref="CU160:CW160" si="626">CU156/CU152</f>
        <v>0.15994952728192968</v>
      </c>
      <c r="CV160" s="155">
        <f t="shared" si="626"/>
        <v>0.11149227958537293</v>
      </c>
      <c r="CW160" s="290">
        <f t="shared" si="626"/>
        <v>0.14043427840148062</v>
      </c>
      <c r="CX160" s="155">
        <f>CX156/CX152</f>
        <v>8.3341875961045614E-2</v>
      </c>
      <c r="CY160" s="155">
        <f t="shared" ref="CY160:DA160" si="627">CY156/CY152</f>
        <v>0.15506685771855008</v>
      </c>
      <c r="CZ160" s="155">
        <f t="shared" si="627"/>
        <v>0.14704483256567386</v>
      </c>
      <c r="DA160" s="155">
        <f t="shared" si="627"/>
        <v>0.12928049816073497</v>
      </c>
      <c r="DB160" s="290">
        <f>DB156/DB152</f>
        <v>0.13053348742351875</v>
      </c>
      <c r="DC160" s="155"/>
      <c r="DD160" s="155"/>
      <c r="DE160" s="155"/>
      <c r="DF160" s="155"/>
      <c r="DG160" s="290">
        <f>DG156/DG152</f>
        <v>0.13703845746471516</v>
      </c>
      <c r="DH160" s="155"/>
      <c r="DI160" s="155"/>
      <c r="DJ160" s="155"/>
      <c r="DK160" s="155"/>
      <c r="DL160" s="290">
        <f>DL156/DL152</f>
        <v>0.14327528710743953</v>
      </c>
      <c r="DM160" s="84"/>
      <c r="DN160" s="524"/>
      <c r="DO160" s="486"/>
      <c r="DP160" s="411"/>
      <c r="DQ160" s="411"/>
      <c r="DR160" s="411"/>
      <c r="DS160" s="556"/>
      <c r="DT160" s="562"/>
      <c r="DU160" s="467"/>
      <c r="DV160" s="461"/>
      <c r="DW160" s="461"/>
      <c r="DX160" s="842"/>
      <c r="DY160" s="468"/>
      <c r="DZ160" s="791"/>
      <c r="EA160" s="524"/>
      <c r="EH160" s="141"/>
    </row>
    <row r="161" spans="1:138" ht="12.75" customHeight="1" x14ac:dyDescent="0.2">
      <c r="A161" s="142" t="s">
        <v>171</v>
      </c>
      <c r="B161" s="82"/>
      <c r="C161" s="82"/>
      <c r="D161" s="82"/>
      <c r="E161" s="82"/>
      <c r="F161" s="229"/>
      <c r="G161" s="82">
        <f>(G160-B160)*100</f>
        <v>-11.957879155953075</v>
      </c>
      <c r="H161" s="82">
        <f>(H160-C160)*100</f>
        <v>-16.914533168228587</v>
      </c>
      <c r="I161" s="82">
        <f>(I160-D160)*100</f>
        <v>-22.661851451236124</v>
      </c>
      <c r="J161" s="82">
        <f>(J160-E160)*100</f>
        <v>-25.178635229196626</v>
      </c>
      <c r="K161" s="229">
        <f t="shared" ref="K161:AO161" si="628">(K160-F160)*100</f>
        <v>-18.512069283699834</v>
      </c>
      <c r="L161" s="82">
        <f t="shared" si="628"/>
        <v>-9.7363838088545229</v>
      </c>
      <c r="M161" s="82">
        <f t="shared" si="628"/>
        <v>-1.5635824966091938</v>
      </c>
      <c r="N161" s="82">
        <f t="shared" si="628"/>
        <v>4.745378258280585</v>
      </c>
      <c r="O161" s="82">
        <f t="shared" si="628"/>
        <v>14.368991270434908</v>
      </c>
      <c r="P161" s="229">
        <f t="shared" si="628"/>
        <v>1.2536920876164399</v>
      </c>
      <c r="Q161" s="82">
        <f t="shared" si="628"/>
        <v>-2.8646782700448874</v>
      </c>
      <c r="R161" s="82">
        <f t="shared" si="628"/>
        <v>-3.1281954730801602</v>
      </c>
      <c r="S161" s="82">
        <f t="shared" si="628"/>
        <v>3.319915142682925</v>
      </c>
      <c r="T161" s="82">
        <f t="shared" si="628"/>
        <v>2.4349802465779358</v>
      </c>
      <c r="U161" s="229">
        <f t="shared" si="628"/>
        <v>-4.1989692277107082E-2</v>
      </c>
      <c r="V161" s="82">
        <f t="shared" si="628"/>
        <v>4.5996787316681917</v>
      </c>
      <c r="W161" s="82">
        <f t="shared" si="628"/>
        <v>2.99134012014785</v>
      </c>
      <c r="X161" s="82">
        <f t="shared" si="628"/>
        <v>-7.1798210859618568</v>
      </c>
      <c r="Y161" s="82">
        <f t="shared" si="628"/>
        <v>-11.36367987121095</v>
      </c>
      <c r="Z161" s="229">
        <f t="shared" si="628"/>
        <v>-2.8386623792955632</v>
      </c>
      <c r="AA161" s="82">
        <f t="shared" si="628"/>
        <v>-0.68621752329381258</v>
      </c>
      <c r="AB161" s="82">
        <f t="shared" si="628"/>
        <v>2.341992129354395</v>
      </c>
      <c r="AC161" s="82">
        <f t="shared" si="628"/>
        <v>5.8559499749266797</v>
      </c>
      <c r="AD161" s="82">
        <f t="shared" si="628"/>
        <v>3.2627637837849277</v>
      </c>
      <c r="AE161" s="229">
        <f t="shared" si="628"/>
        <v>2.8009008882458426</v>
      </c>
      <c r="AF161" s="82">
        <f t="shared" si="628"/>
        <v>-1.1025085573038342</v>
      </c>
      <c r="AG161" s="82">
        <f t="shared" si="628"/>
        <v>8.5716985739439142</v>
      </c>
      <c r="AH161" s="82">
        <f t="shared" si="628"/>
        <v>7.2125682518850516</v>
      </c>
      <c r="AI161" s="82">
        <f t="shared" si="628"/>
        <v>12.185721729380489</v>
      </c>
      <c r="AJ161" s="229">
        <f t="shared" si="628"/>
        <v>7.2050130012402018</v>
      </c>
      <c r="AK161" s="82">
        <f t="shared" si="628"/>
        <v>16.438140515740052</v>
      </c>
      <c r="AL161" s="82">
        <f t="shared" si="628"/>
        <v>2.4506915761953922</v>
      </c>
      <c r="AM161" s="82">
        <f t="shared" si="628"/>
        <v>5.1304414601306139</v>
      </c>
      <c r="AN161" s="82">
        <f t="shared" si="628"/>
        <v>-0.18401713376038989</v>
      </c>
      <c r="AO161" s="229">
        <f t="shared" si="628"/>
        <v>5.5060772716479764</v>
      </c>
      <c r="AP161" s="82"/>
      <c r="AQ161" s="82"/>
      <c r="AR161" s="82"/>
      <c r="AS161" s="82"/>
      <c r="AT161" s="229"/>
      <c r="AU161" s="82"/>
      <c r="AV161" s="82"/>
      <c r="AW161" s="82"/>
      <c r="AX161" s="82"/>
      <c r="AY161" s="229"/>
      <c r="AZ161" s="82">
        <f t="shared" ref="AZ161:BI161" si="629">(AZ160-AU160)*100</f>
        <v>-2.4493178495405616</v>
      </c>
      <c r="BA161" s="82">
        <f t="shared" si="629"/>
        <v>-1.775980885311871</v>
      </c>
      <c r="BB161" s="82">
        <f t="shared" si="629"/>
        <v>2.1305688198722117</v>
      </c>
      <c r="BC161" s="82">
        <f t="shared" si="629"/>
        <v>2.9816364504502735</v>
      </c>
      <c r="BD161" s="229">
        <f t="shared" si="629"/>
        <v>0.1570663144781784</v>
      </c>
      <c r="BE161" s="82">
        <f t="shared" si="629"/>
        <v>7.4966826904254544</v>
      </c>
      <c r="BF161" s="82">
        <f t="shared" si="629"/>
        <v>10.592661205440979</v>
      </c>
      <c r="BG161" s="82">
        <f t="shared" si="629"/>
        <v>9.1117598724244804</v>
      </c>
      <c r="BH161" s="82">
        <f t="shared" si="629"/>
        <v>4.0589938767996356</v>
      </c>
      <c r="BI161" s="229">
        <f t="shared" si="629"/>
        <v>8.0959605246828676</v>
      </c>
      <c r="BJ161" s="82">
        <f t="shared" ref="BJ161:BT161" si="630">(BJ160-BE160)*100</f>
        <v>-3.253079425379013</v>
      </c>
      <c r="BK161" s="82">
        <f t="shared" si="630"/>
        <v>-4.4869768864823234</v>
      </c>
      <c r="BL161" s="82">
        <f t="shared" si="630"/>
        <v>-2.5976219420578888</v>
      </c>
      <c r="BM161" s="82">
        <f t="shared" si="630"/>
        <v>2.5778918866029739</v>
      </c>
      <c r="BN161" s="345">
        <f t="shared" si="630"/>
        <v>-2.0112667972110199</v>
      </c>
      <c r="BO161" s="82">
        <f t="shared" si="630"/>
        <v>4.0746515972847535</v>
      </c>
      <c r="BP161" s="82">
        <f t="shared" si="630"/>
        <v>2.1759961460756942</v>
      </c>
      <c r="BQ161" s="82">
        <f t="shared" si="630"/>
        <v>-0.66184128794160024</v>
      </c>
      <c r="BR161" s="82">
        <f t="shared" si="630"/>
        <v>-2.1937945082035122</v>
      </c>
      <c r="BS161" s="229">
        <f t="shared" si="630"/>
        <v>0.70540789251382907</v>
      </c>
      <c r="BT161" s="82">
        <f t="shared" si="630"/>
        <v>0.92629753672537585</v>
      </c>
      <c r="BU161" s="82">
        <f t="shared" ref="BU161:CA161" si="631">(BU160-BP160)*100</f>
        <v>1.9293410363858343</v>
      </c>
      <c r="BV161" s="82">
        <f t="shared" si="631"/>
        <v>2.944600977574992</v>
      </c>
      <c r="BW161" s="82">
        <f t="shared" si="631"/>
        <v>2.9276735073141427</v>
      </c>
      <c r="BX161" s="229">
        <f t="shared" si="631"/>
        <v>2.2417184318035619</v>
      </c>
      <c r="BY161" s="82">
        <f t="shared" si="631"/>
        <v>4.3552898952313095</v>
      </c>
      <c r="BZ161" s="82">
        <f t="shared" si="631"/>
        <v>4.0859386987223907</v>
      </c>
      <c r="CA161" s="82">
        <f t="shared" si="631"/>
        <v>2.4801270233082455</v>
      </c>
      <c r="CB161" s="82">
        <f t="shared" ref="CB161:CK161" si="632">(CB160-BW160)*100</f>
        <v>4.0180342740429547</v>
      </c>
      <c r="CC161" s="229">
        <f t="shared" si="632"/>
        <v>3.7171705036145157</v>
      </c>
      <c r="CD161" s="82">
        <f t="shared" si="632"/>
        <v>0.83920119477094568</v>
      </c>
      <c r="CE161" s="82">
        <f t="shared" si="632"/>
        <v>1.4754810599142631</v>
      </c>
      <c r="CF161" s="82">
        <f t="shared" si="632"/>
        <v>5.1420571505176733</v>
      </c>
      <c r="CG161" s="82">
        <f>(CG160-CB160)*100</f>
        <v>4.6212570852765422</v>
      </c>
      <c r="CH161" s="229">
        <f>(CH160-CC160)*100</f>
        <v>3.0055094554657713</v>
      </c>
      <c r="CI161" s="82">
        <f t="shared" si="632"/>
        <v>9.5984406757210046</v>
      </c>
      <c r="CJ161" s="82">
        <f t="shared" si="632"/>
        <v>0.67196109742104493</v>
      </c>
      <c r="CK161" s="82">
        <f t="shared" si="632"/>
        <v>-1.8135077812426015</v>
      </c>
      <c r="CL161" s="82">
        <f>(CL160-CG160)*100</f>
        <v>-6.4439695259089813</v>
      </c>
      <c r="CM161" s="229">
        <f>(CM160-CH160)*100</f>
        <v>0.34564747554223785</v>
      </c>
      <c r="CN161" s="82">
        <f t="shared" ref="CN161:CP161" si="633">(CN160-CI160)*100</f>
        <v>-7.7298642999962599</v>
      </c>
      <c r="CO161" s="82">
        <f t="shared" si="633"/>
        <v>1.0242964258998011</v>
      </c>
      <c r="CP161" s="82">
        <f t="shared" si="633"/>
        <v>-3.0437853484993087</v>
      </c>
      <c r="CQ161" s="82">
        <f>(CQ160-CL160)*100</f>
        <v>0.49820526308239355</v>
      </c>
      <c r="CR161" s="229">
        <f>(CR160-CM160)*100</f>
        <v>-2.2094577404544151</v>
      </c>
      <c r="CS161" s="82"/>
      <c r="CT161" s="82"/>
      <c r="CU161" s="82"/>
      <c r="CV161" s="82"/>
      <c r="CW161" s="229"/>
      <c r="CX161" s="82">
        <f>(CX160-CS160)*100</f>
        <v>-1.7874938198246426</v>
      </c>
      <c r="CY161" s="82">
        <f>(CY160-CT160)*100</f>
        <v>-2.5631674119922678</v>
      </c>
      <c r="CZ161" s="82">
        <f>(CZ160-CU160)*100</f>
        <v>-1.2904694716255827</v>
      </c>
      <c r="DA161" s="82">
        <f>(DA160-CV160)*100</f>
        <v>1.7788218575362045</v>
      </c>
      <c r="DB161" s="229">
        <f>(DB160-CW160)*100</f>
        <v>-0.99007909779618708</v>
      </c>
      <c r="DC161" s="82"/>
      <c r="DD161" s="82"/>
      <c r="DE161" s="82"/>
      <c r="DF161" s="82"/>
      <c r="DG161" s="229">
        <f>(DG160-DB160)*100</f>
        <v>0.65049700411964062</v>
      </c>
      <c r="DH161" s="82"/>
      <c r="DI161" s="82"/>
      <c r="DJ161" s="82"/>
      <c r="DK161" s="82"/>
      <c r="DL161" s="229">
        <f>(DL160-DG160)*100</f>
        <v>0.6236829642724373</v>
      </c>
      <c r="DM161" s="82"/>
      <c r="DN161" s="525"/>
      <c r="DO161" s="486"/>
      <c r="DP161" s="411"/>
      <c r="DQ161" s="411"/>
      <c r="DR161" s="411"/>
      <c r="DS161" s="556" t="s">
        <v>553</v>
      </c>
      <c r="DT161" s="556"/>
      <c r="DU161" s="461"/>
      <c r="DV161" s="473"/>
      <c r="DW161" s="473"/>
      <c r="DX161" s="842"/>
      <c r="DY161" s="468"/>
      <c r="DZ161" s="473"/>
      <c r="EA161" s="525"/>
      <c r="EH161" s="8"/>
    </row>
    <row r="162" spans="1:138" ht="12.75" customHeight="1" x14ac:dyDescent="0.2">
      <c r="A162" s="83" t="s">
        <v>168</v>
      </c>
      <c r="B162" s="84">
        <f t="shared" ref="B162:AO162" si="634">B157/B152</f>
        <v>0.21136363636363636</v>
      </c>
      <c r="C162" s="84">
        <f t="shared" si="634"/>
        <v>0.26381740881629001</v>
      </c>
      <c r="D162" s="84">
        <f t="shared" si="634"/>
        <v>0.22922899884925202</v>
      </c>
      <c r="E162" s="84">
        <f t="shared" si="634"/>
        <v>0.1672890216579537</v>
      </c>
      <c r="F162" s="230">
        <f t="shared" si="634"/>
        <v>0.21940325174200465</v>
      </c>
      <c r="G162" s="84">
        <f t="shared" si="634"/>
        <v>0.10333159812597606</v>
      </c>
      <c r="H162" s="84">
        <f t="shared" si="634"/>
        <v>0.12261652542372882</v>
      </c>
      <c r="I162" s="84">
        <f t="shared" si="634"/>
        <v>4.3260741612713358E-2</v>
      </c>
      <c r="J162" s="84">
        <f t="shared" si="634"/>
        <v>-3.6325532658050996E-2</v>
      </c>
      <c r="K162" s="230">
        <f t="shared" si="634"/>
        <v>6.5062324374954975E-2</v>
      </c>
      <c r="L162" s="84">
        <f t="shared" si="634"/>
        <v>2.0625201417982599E-2</v>
      </c>
      <c r="M162" s="84">
        <f t="shared" si="634"/>
        <v>0.10535405872193437</v>
      </c>
      <c r="N162" s="84">
        <f t="shared" si="634"/>
        <v>7.8947368421052627E-2</v>
      </c>
      <c r="O162" s="84">
        <f t="shared" si="634"/>
        <v>7.6481257557436524E-2</v>
      </c>
      <c r="P162" s="230">
        <f t="shared" si="634"/>
        <v>7.1627207816610292E-2</v>
      </c>
      <c r="Q162" s="84">
        <f t="shared" si="634"/>
        <v>-3.486529318541997E-3</v>
      </c>
      <c r="R162" s="84">
        <f t="shared" si="634"/>
        <v>8.3323253704263744E-2</v>
      </c>
      <c r="S162" s="84">
        <f t="shared" si="634"/>
        <v>0.11588730758059831</v>
      </c>
      <c r="T162" s="84">
        <f t="shared" si="634"/>
        <v>0.10476751030017657</v>
      </c>
      <c r="U162" s="230">
        <f t="shared" si="634"/>
        <v>7.6640607381793527E-2</v>
      </c>
      <c r="V162" s="84">
        <f t="shared" si="634"/>
        <v>2.8336639274582034E-2</v>
      </c>
      <c r="W162" s="84">
        <f t="shared" si="634"/>
        <v>9.3158293360262559E-2</v>
      </c>
      <c r="X162" s="84">
        <f t="shared" si="634"/>
        <v>3.177473521053991E-2</v>
      </c>
      <c r="Y162" s="84">
        <f t="shared" si="634"/>
        <v>-2.7361899845121322E-2</v>
      </c>
      <c r="Z162" s="230">
        <f t="shared" si="634"/>
        <v>3.1900229734164752E-2</v>
      </c>
      <c r="AA162" s="84">
        <f t="shared" si="634"/>
        <v>8.225939128050452E-3</v>
      </c>
      <c r="AB162" s="84">
        <f t="shared" si="634"/>
        <v>0.1060931899641577</v>
      </c>
      <c r="AC162" s="84">
        <f t="shared" si="634"/>
        <v>7.1869070208728653E-2</v>
      </c>
      <c r="AD162" s="84">
        <f t="shared" si="634"/>
        <v>-1.8344195027757665E-2</v>
      </c>
      <c r="AE162" s="230">
        <f t="shared" si="634"/>
        <v>4.3295658081650298E-2</v>
      </c>
      <c r="AF162" s="84">
        <f t="shared" si="634"/>
        <v>-2.3458091723774381E-2</v>
      </c>
      <c r="AG162" s="84">
        <f t="shared" si="634"/>
        <v>0.16030373338958026</v>
      </c>
      <c r="AH162" s="84">
        <f t="shared" si="634"/>
        <v>0.11176594401178699</v>
      </c>
      <c r="AI162" s="84">
        <f t="shared" si="634"/>
        <v>0.10551106924163919</v>
      </c>
      <c r="AJ162" s="230">
        <f t="shared" si="634"/>
        <v>9.4113620807665985E-2</v>
      </c>
      <c r="AK162" s="84">
        <f t="shared" si="634"/>
        <v>0.121669417590191</v>
      </c>
      <c r="AL162" s="84">
        <f t="shared" si="634"/>
        <v>0.17109734159504297</v>
      </c>
      <c r="AM162" s="84">
        <f t="shared" si="634"/>
        <v>0.154964606849053</v>
      </c>
      <c r="AN162" s="84">
        <f t="shared" si="634"/>
        <v>7.38842622250694E-2</v>
      </c>
      <c r="AO162" s="230">
        <f t="shared" si="634"/>
        <v>0.1319828756395531</v>
      </c>
      <c r="AP162" s="84"/>
      <c r="AQ162" s="84"/>
      <c r="AR162" s="84"/>
      <c r="AS162" s="84"/>
      <c r="AT162" s="291"/>
      <c r="AU162" s="84">
        <f t="shared" ref="AU162:BY162" si="635">AU157/AU152</f>
        <v>3.6455696202531647E-2</v>
      </c>
      <c r="AV162" s="84">
        <f t="shared" si="635"/>
        <v>8.6267605633802813E-2</v>
      </c>
      <c r="AW162" s="84">
        <f t="shared" si="635"/>
        <v>7.9521611414183804E-2</v>
      </c>
      <c r="AX162" s="84">
        <f t="shared" si="635"/>
        <v>5.020597322348095E-2</v>
      </c>
      <c r="AY162" s="291">
        <f t="shared" si="635"/>
        <v>6.4745683621091926E-2</v>
      </c>
      <c r="AZ162" s="84">
        <f t="shared" si="635"/>
        <v>1.8402154398563735E-2</v>
      </c>
      <c r="BA162" s="84">
        <f t="shared" si="635"/>
        <v>8.0142857142857141E-2</v>
      </c>
      <c r="BB162" s="84">
        <f t="shared" si="635"/>
        <v>0.11103776076049643</v>
      </c>
      <c r="BC162" s="84">
        <f t="shared" si="635"/>
        <v>8.4643644379132993E-2</v>
      </c>
      <c r="BD162" s="291">
        <f t="shared" si="635"/>
        <v>7.4867262944090088E-2</v>
      </c>
      <c r="BE162" s="84">
        <f t="shared" si="635"/>
        <v>9.039135514018691E-2</v>
      </c>
      <c r="BF162" s="84">
        <f t="shared" si="635"/>
        <v>0.17312066757589925</v>
      </c>
      <c r="BG162" s="84">
        <f t="shared" si="635"/>
        <v>0.18726256983240225</v>
      </c>
      <c r="BH162" s="84">
        <f t="shared" si="635"/>
        <v>0.10989857491333932</v>
      </c>
      <c r="BI162" s="291">
        <f t="shared" si="635"/>
        <v>0.14375850651833125</v>
      </c>
      <c r="BJ162" s="84">
        <f t="shared" si="635"/>
        <v>4.388795662837227E-2</v>
      </c>
      <c r="BK162" s="84">
        <f t="shared" si="635"/>
        <v>0.11919589205724899</v>
      </c>
      <c r="BL162" s="84">
        <f t="shared" si="635"/>
        <v>0.15556234718826406</v>
      </c>
      <c r="BM162" s="84">
        <f t="shared" si="635"/>
        <v>0.13168234313608762</v>
      </c>
      <c r="BN162" s="346">
        <f t="shared" si="635"/>
        <v>0.1157340168019365</v>
      </c>
      <c r="BO162" s="84">
        <f t="shared" si="635"/>
        <v>8.082729109711162E-2</v>
      </c>
      <c r="BP162" s="84">
        <f t="shared" si="635"/>
        <v>0.13810110974106041</v>
      </c>
      <c r="BQ162" s="84">
        <f t="shared" si="635"/>
        <v>0.14854378716114078</v>
      </c>
      <c r="BR162" s="84">
        <f t="shared" si="635"/>
        <v>0.10927691234596605</v>
      </c>
      <c r="BS162" s="291">
        <f>BS157/BS152</f>
        <v>0.12102536133078812</v>
      </c>
      <c r="BT162" s="84">
        <f>BT157/BT152</f>
        <v>0.09</v>
      </c>
      <c r="BU162" s="84">
        <f t="shared" si="635"/>
        <v>0.15895745338415576</v>
      </c>
      <c r="BV162" s="84">
        <f>BV157/BV152</f>
        <v>0.17626310772163967</v>
      </c>
      <c r="BW162" s="84">
        <f>BW157/BW152</f>
        <v>0.1361833406787131</v>
      </c>
      <c r="BX162" s="291">
        <f t="shared" si="635"/>
        <v>0.14277393905699839</v>
      </c>
      <c r="BY162" s="84">
        <f t="shared" si="635"/>
        <v>0.13414087034544639</v>
      </c>
      <c r="BZ162" s="84">
        <f>BZ157/BZ152</f>
        <v>0.19913379154505226</v>
      </c>
      <c r="CA162" s="84">
        <f>CA157/CA152</f>
        <v>0.20191447486133476</v>
      </c>
      <c r="CB162" s="84">
        <f>CB157/CB152</f>
        <v>0.17663522338550844</v>
      </c>
      <c r="CC162" s="291">
        <f>CC157/CC152</f>
        <v>0.18016946632971606</v>
      </c>
      <c r="CD162" s="84">
        <f>CD157/CD152</f>
        <v>0.14369407754580316</v>
      </c>
      <c r="CE162" s="84">
        <f t="shared" ref="CE162:CH162" si="636">CE157/CE152</f>
        <v>0.21359858036798357</v>
      </c>
      <c r="CF162" s="84">
        <f t="shared" si="636"/>
        <v>0.25578464031691728</v>
      </c>
      <c r="CG162" s="84">
        <f t="shared" si="636"/>
        <v>0.22563670806146074</v>
      </c>
      <c r="CH162" s="291">
        <f t="shared" si="636"/>
        <v>0.21179736635220126</v>
      </c>
      <c r="CI162" s="84">
        <f>CI157/CI152</f>
        <v>0.24289266025294562</v>
      </c>
      <c r="CJ162" s="84">
        <f t="shared" ref="CJ162:CM162" si="637">CJ157/CJ152</f>
        <v>0.224179190198143</v>
      </c>
      <c r="CK162" s="84">
        <f t="shared" si="637"/>
        <v>0.24210626728989793</v>
      </c>
      <c r="CL162" s="84">
        <f t="shared" si="637"/>
        <v>0.16515119475576232</v>
      </c>
      <c r="CM162" s="291">
        <f t="shared" si="637"/>
        <v>0.21920330987159112</v>
      </c>
      <c r="CN162" s="84">
        <f>CN157/CN152</f>
        <v>0.17413642326191517</v>
      </c>
      <c r="CO162" s="84">
        <f t="shared" ref="CO162:CR162" si="638">CO157/CO152</f>
        <v>0.24066351589287369</v>
      </c>
      <c r="CP162" s="84">
        <f t="shared" si="638"/>
        <v>0.21952983725135625</v>
      </c>
      <c r="CQ162" s="84">
        <f t="shared" si="638"/>
        <v>0.17784285017081503</v>
      </c>
      <c r="CR162" s="291">
        <f t="shared" si="638"/>
        <v>0.20463582581708856</v>
      </c>
      <c r="CS162" s="84">
        <f>CS157/CS152</f>
        <v>0.16991150442477876</v>
      </c>
      <c r="CT162" s="84">
        <f t="shared" ref="CT162:CW162" si="639">CT157/CT152</f>
        <v>0.2384658863174042</v>
      </c>
      <c r="CU162" s="84">
        <f t="shared" si="639"/>
        <v>0.22030783946378993</v>
      </c>
      <c r="CV162" s="84">
        <f t="shared" si="639"/>
        <v>0.17910889119375273</v>
      </c>
      <c r="CW162" s="291">
        <f t="shared" si="639"/>
        <v>0.20374904944178371</v>
      </c>
      <c r="CX162" s="84">
        <f>CX157/CX152</f>
        <v>0.15550999487442338</v>
      </c>
      <c r="CY162" s="84">
        <f t="shared" ref="CY162:DA162" si="640">CY157/CY152</f>
        <v>0.2156252655583718</v>
      </c>
      <c r="CZ162" s="84">
        <f t="shared" si="640"/>
        <v>0.20781088457207139</v>
      </c>
      <c r="DA162" s="84">
        <f t="shared" si="640"/>
        <v>0.19622871323212393</v>
      </c>
      <c r="DB162" s="291">
        <f>DB157/DB152</f>
        <v>0.19530779383511662</v>
      </c>
      <c r="DC162" s="84"/>
      <c r="DD162" s="84"/>
      <c r="DE162" s="84"/>
      <c r="DF162" s="84"/>
      <c r="DG162" s="291">
        <f>DG157/DG152</f>
        <v>0.20194936313110518</v>
      </c>
      <c r="DH162" s="84"/>
      <c r="DI162" s="84"/>
      <c r="DJ162" s="84"/>
      <c r="DK162" s="84"/>
      <c r="DL162" s="291">
        <f>DL157/DL152</f>
        <v>0.20780935842279868</v>
      </c>
      <c r="DM162" s="84"/>
      <c r="DN162" s="524"/>
      <c r="DO162" s="486"/>
      <c r="DP162" s="411"/>
      <c r="DQ162" s="411"/>
      <c r="DR162" s="411"/>
      <c r="DS162" s="556" t="s">
        <v>552</v>
      </c>
      <c r="DT162" s="556"/>
      <c r="DU162" s="473"/>
      <c r="DV162" s="461"/>
      <c r="DW162" s="461"/>
      <c r="DX162" s="842"/>
      <c r="DY162" s="468"/>
      <c r="DZ162" s="461"/>
      <c r="EA162" s="524"/>
      <c r="EH162" s="8"/>
    </row>
    <row r="163" spans="1:138" ht="12.75" customHeight="1" x14ac:dyDescent="0.2">
      <c r="A163" s="142" t="s">
        <v>171</v>
      </c>
      <c r="B163" s="82"/>
      <c r="C163" s="82"/>
      <c r="D163" s="82"/>
      <c r="E163" s="82"/>
      <c r="F163" s="229"/>
      <c r="G163" s="82">
        <f>(G162-B162)*100</f>
        <v>-10.803203823766031</v>
      </c>
      <c r="H163" s="82">
        <f>(H162-C162)*100</f>
        <v>-14.120088339256121</v>
      </c>
      <c r="I163" s="82">
        <f>(I162-D162)*100</f>
        <v>-18.596825723653865</v>
      </c>
      <c r="J163" s="82">
        <f>(J162-E162)*100</f>
        <v>-20.361455431600469</v>
      </c>
      <c r="K163" s="229">
        <f t="shared" ref="K163:AO163" si="641">(K162-F162)*100</f>
        <v>-15.434092736704969</v>
      </c>
      <c r="L163" s="82">
        <f t="shared" si="641"/>
        <v>-8.2706396707993459</v>
      </c>
      <c r="M163" s="82">
        <f t="shared" si="641"/>
        <v>-1.7262466701794446</v>
      </c>
      <c r="N163" s="82">
        <f t="shared" si="641"/>
        <v>3.5686626808339268</v>
      </c>
      <c r="O163" s="82">
        <f t="shared" si="641"/>
        <v>11.280679021548751</v>
      </c>
      <c r="P163" s="229">
        <f t="shared" si="641"/>
        <v>0.6564883441655317</v>
      </c>
      <c r="Q163" s="82">
        <f t="shared" si="641"/>
        <v>-2.4111730736524595</v>
      </c>
      <c r="R163" s="82">
        <f t="shared" si="641"/>
        <v>-2.2030805017670629</v>
      </c>
      <c r="S163" s="82">
        <f t="shared" si="641"/>
        <v>3.6939939159545689</v>
      </c>
      <c r="T163" s="82">
        <f t="shared" si="641"/>
        <v>2.828625274274005</v>
      </c>
      <c r="U163" s="229">
        <f t="shared" si="641"/>
        <v>0.50133995651832353</v>
      </c>
      <c r="V163" s="82">
        <f t="shared" si="641"/>
        <v>3.1823168593124036</v>
      </c>
      <c r="W163" s="82">
        <f t="shared" si="641"/>
        <v>0.9835039655998814</v>
      </c>
      <c r="X163" s="82">
        <f t="shared" si="641"/>
        <v>-8.4112572370058398</v>
      </c>
      <c r="Y163" s="82">
        <f t="shared" si="641"/>
        <v>-13.21294101452979</v>
      </c>
      <c r="Z163" s="229">
        <f t="shared" si="641"/>
        <v>-4.4740377647628771</v>
      </c>
      <c r="AA163" s="82">
        <f t="shared" si="641"/>
        <v>-2.0110700146531579</v>
      </c>
      <c r="AB163" s="82">
        <f t="shared" si="641"/>
        <v>1.2934896603895143</v>
      </c>
      <c r="AC163" s="82">
        <f t="shared" si="641"/>
        <v>4.0094334998188739</v>
      </c>
      <c r="AD163" s="82">
        <f t="shared" si="641"/>
        <v>0.90177048173636576</v>
      </c>
      <c r="AE163" s="229">
        <f t="shared" si="641"/>
        <v>1.1395428347485546</v>
      </c>
      <c r="AF163" s="82">
        <f t="shared" si="641"/>
        <v>-3.1684030851824834</v>
      </c>
      <c r="AG163" s="82">
        <f t="shared" si="641"/>
        <v>5.4210543425422557</v>
      </c>
      <c r="AH163" s="82">
        <f t="shared" si="641"/>
        <v>3.9896873803058339</v>
      </c>
      <c r="AI163" s="82">
        <f t="shared" si="641"/>
        <v>12.385526426939686</v>
      </c>
      <c r="AJ163" s="229">
        <f t="shared" si="641"/>
        <v>5.0817962726015686</v>
      </c>
      <c r="AK163" s="82">
        <f t="shared" si="641"/>
        <v>14.512750931396537</v>
      </c>
      <c r="AL163" s="82">
        <f t="shared" si="641"/>
        <v>1.0793608205462712</v>
      </c>
      <c r="AM163" s="82">
        <f t="shared" si="641"/>
        <v>4.3198662837266006</v>
      </c>
      <c r="AN163" s="82">
        <f t="shared" si="641"/>
        <v>-3.1626807016569796</v>
      </c>
      <c r="AO163" s="229">
        <f t="shared" si="641"/>
        <v>3.7869254831887118</v>
      </c>
      <c r="AP163" s="82"/>
      <c r="AQ163" s="82"/>
      <c r="AR163" s="82"/>
      <c r="AS163" s="82"/>
      <c r="AT163" s="229"/>
      <c r="AU163" s="82"/>
      <c r="AV163" s="82"/>
      <c r="AW163" s="82"/>
      <c r="AX163" s="82"/>
      <c r="AY163" s="229"/>
      <c r="AZ163" s="82">
        <f t="shared" ref="AZ163:BI163" si="642">(AZ162-AU162)*100</f>
        <v>-1.8053541803967912</v>
      </c>
      <c r="BA163" s="82">
        <f t="shared" si="642"/>
        <v>-0.61247484909456729</v>
      </c>
      <c r="BB163" s="82">
        <f t="shared" si="642"/>
        <v>3.1516149346312625</v>
      </c>
      <c r="BC163" s="82">
        <f t="shared" si="642"/>
        <v>3.4437671155652043</v>
      </c>
      <c r="BD163" s="229">
        <f t="shared" si="642"/>
        <v>1.0121579322998162</v>
      </c>
      <c r="BE163" s="82">
        <f t="shared" si="642"/>
        <v>7.1989200741623183</v>
      </c>
      <c r="BF163" s="82">
        <f t="shared" si="642"/>
        <v>9.2977810433042105</v>
      </c>
      <c r="BG163" s="82">
        <f t="shared" si="642"/>
        <v>7.6224809071905817</v>
      </c>
      <c r="BH163" s="82">
        <f t="shared" si="642"/>
        <v>2.5254930534206328</v>
      </c>
      <c r="BI163" s="229">
        <f t="shared" si="642"/>
        <v>6.8891243574241159</v>
      </c>
      <c r="BJ163" s="82">
        <f t="shared" ref="BJ163:BT163" si="643">(BJ162-BE162)*100</f>
        <v>-4.6503398511814638</v>
      </c>
      <c r="BK163" s="82">
        <f t="shared" si="643"/>
        <v>-5.3924775518650252</v>
      </c>
      <c r="BL163" s="82">
        <f t="shared" si="643"/>
        <v>-3.1700222644138187</v>
      </c>
      <c r="BM163" s="82">
        <f t="shared" si="643"/>
        <v>2.1783768222748301</v>
      </c>
      <c r="BN163" s="345">
        <f t="shared" si="643"/>
        <v>-2.8024489716394747</v>
      </c>
      <c r="BO163" s="82">
        <f t="shared" si="643"/>
        <v>3.6939334468739351</v>
      </c>
      <c r="BP163" s="82">
        <f t="shared" si="643"/>
        <v>1.8905217683811413</v>
      </c>
      <c r="BQ163" s="82">
        <f t="shared" si="643"/>
        <v>-0.70185600271232829</v>
      </c>
      <c r="BR163" s="82">
        <f t="shared" si="643"/>
        <v>-2.240543079012157</v>
      </c>
      <c r="BS163" s="229">
        <f t="shared" si="643"/>
        <v>0.52913445288516181</v>
      </c>
      <c r="BT163" s="82">
        <f t="shared" si="643"/>
        <v>0.91727089028883768</v>
      </c>
      <c r="BU163" s="82">
        <f t="shared" ref="BU163:CA163" si="644">(BU162-BP162)*100</f>
        <v>2.0856343643095352</v>
      </c>
      <c r="BV163" s="82">
        <f t="shared" si="644"/>
        <v>2.7719320560498888</v>
      </c>
      <c r="BW163" s="82">
        <f t="shared" si="644"/>
        <v>2.6906428332747048</v>
      </c>
      <c r="BX163" s="229">
        <f t="shared" si="644"/>
        <v>2.1748577726210279</v>
      </c>
      <c r="BY163" s="82">
        <f t="shared" si="644"/>
        <v>4.4140870345446395</v>
      </c>
      <c r="BZ163" s="82">
        <f t="shared" si="644"/>
        <v>4.0176338160896492</v>
      </c>
      <c r="CA163" s="82">
        <f t="shared" si="644"/>
        <v>2.5651367139695096</v>
      </c>
      <c r="CB163" s="82">
        <f t="shared" ref="CB163:CK163" si="645">(CB162-BW162)*100</f>
        <v>4.0451882706795335</v>
      </c>
      <c r="CC163" s="229">
        <f t="shared" si="645"/>
        <v>3.7395527272717666</v>
      </c>
      <c r="CD163" s="82">
        <f t="shared" si="645"/>
        <v>0.9553207200356767</v>
      </c>
      <c r="CE163" s="82">
        <f t="shared" si="645"/>
        <v>1.4464788822931314</v>
      </c>
      <c r="CF163" s="82">
        <f t="shared" si="645"/>
        <v>5.387016545558251</v>
      </c>
      <c r="CG163" s="82">
        <f>(CG162-CB162)*100</f>
        <v>4.9001484675952307</v>
      </c>
      <c r="CH163" s="229">
        <f>(CH162-CC162)*100</f>
        <v>3.1627900022485194</v>
      </c>
      <c r="CI163" s="82">
        <f t="shared" si="645"/>
        <v>9.9198582707142471</v>
      </c>
      <c r="CJ163" s="82">
        <f t="shared" si="645"/>
        <v>1.0580609830159431</v>
      </c>
      <c r="CK163" s="82">
        <f t="shared" si="645"/>
        <v>-1.3678373027019353</v>
      </c>
      <c r="CL163" s="82">
        <f>(CL162-CG162)*100</f>
        <v>-6.0485513305698433</v>
      </c>
      <c r="CM163" s="229">
        <f>(CM162-CH162)*100</f>
        <v>0.74059435193898626</v>
      </c>
      <c r="CN163" s="82">
        <f t="shared" ref="CN163:CP163" si="646">(CN162-CI162)*100</f>
        <v>-6.8756236991030448</v>
      </c>
      <c r="CO163" s="82">
        <f t="shared" si="646"/>
        <v>1.6484325694730684</v>
      </c>
      <c r="CP163" s="82">
        <f t="shared" si="646"/>
        <v>-2.2576430038541679</v>
      </c>
      <c r="CQ163" s="82">
        <f>(CQ162-CL162)*100</f>
        <v>1.2691655415052709</v>
      </c>
      <c r="CR163" s="229">
        <f>(CR162-CM162)*100</f>
        <v>-1.4567484054502562</v>
      </c>
      <c r="CS163" s="82"/>
      <c r="CT163" s="82"/>
      <c r="CU163" s="82"/>
      <c r="CV163" s="82"/>
      <c r="CW163" s="229"/>
      <c r="CX163" s="82">
        <f>(CX162-CS162)*100</f>
        <v>-1.4401509550355378</v>
      </c>
      <c r="CY163" s="82">
        <f>(CY162-CT162)*100</f>
        <v>-2.2840620759032397</v>
      </c>
      <c r="CZ163" s="82">
        <f>(CZ162-CU162)*100</f>
        <v>-1.2496954891718537</v>
      </c>
      <c r="DA163" s="82">
        <f>(DA162-CV162)*100</f>
        <v>1.7119822038371202</v>
      </c>
      <c r="DB163" s="229">
        <f>(DB162-CW162)*100</f>
        <v>-0.84412556066670863</v>
      </c>
      <c r="DC163" s="82"/>
      <c r="DD163" s="82"/>
      <c r="DE163" s="82"/>
      <c r="DF163" s="82"/>
      <c r="DG163" s="229">
        <f>(DG162-DB162)*100</f>
        <v>0.66415692959885531</v>
      </c>
      <c r="DH163" s="82"/>
      <c r="DI163" s="82"/>
      <c r="DJ163" s="82"/>
      <c r="DK163" s="82"/>
      <c r="DL163" s="229">
        <f>(DL162-DG162)*100</f>
        <v>0.58599952916935094</v>
      </c>
      <c r="DM163" s="82"/>
      <c r="DN163" s="525"/>
      <c r="DO163" s="486"/>
      <c r="DP163" s="411"/>
      <c r="DQ163" s="411"/>
      <c r="DR163" s="411"/>
      <c r="DS163" s="556"/>
      <c r="DT163" s="556"/>
      <c r="DU163" s="461"/>
      <c r="DV163" s="473"/>
      <c r="DW163" s="473"/>
      <c r="DX163" s="842"/>
      <c r="DY163" s="468"/>
      <c r="DZ163" s="791"/>
      <c r="EA163" s="525"/>
      <c r="EH163" s="8"/>
    </row>
    <row r="164" spans="1:138" ht="12.75" customHeight="1" x14ac:dyDescent="0.2">
      <c r="A164" s="4" t="s">
        <v>172</v>
      </c>
      <c r="B164" s="4"/>
      <c r="C164" s="4"/>
      <c r="D164" s="4"/>
      <c r="E164" s="4"/>
      <c r="F164" s="231"/>
      <c r="G164" s="4"/>
      <c r="H164" s="4"/>
      <c r="I164" s="4"/>
      <c r="J164" s="4"/>
      <c r="K164" s="231"/>
      <c r="L164" s="4"/>
      <c r="M164" s="4"/>
      <c r="N164" s="4"/>
      <c r="O164" s="4"/>
      <c r="P164" s="231"/>
      <c r="Q164" s="4"/>
      <c r="R164" s="4"/>
      <c r="S164" s="4"/>
      <c r="T164" s="4"/>
      <c r="U164" s="231"/>
      <c r="V164" s="4"/>
      <c r="W164" s="4"/>
      <c r="X164" s="4"/>
      <c r="Y164" s="4"/>
      <c r="Z164" s="231"/>
      <c r="AA164" s="4"/>
      <c r="AB164" s="4"/>
      <c r="AC164" s="4"/>
      <c r="AD164" s="4"/>
      <c r="AE164" s="231"/>
      <c r="AF164" s="4"/>
      <c r="AG164" s="4"/>
      <c r="AH164" s="4"/>
      <c r="AI164" s="4"/>
      <c r="AJ164" s="231"/>
      <c r="AK164" s="4"/>
      <c r="AL164" s="4"/>
      <c r="AM164" s="4"/>
      <c r="AN164" s="4"/>
      <c r="AO164" s="231"/>
      <c r="AP164" s="4"/>
      <c r="AQ164" s="4"/>
      <c r="AR164" s="4"/>
      <c r="AS164" s="4"/>
      <c r="AT164" s="231"/>
      <c r="AU164" s="4"/>
      <c r="AV164" s="4"/>
      <c r="AW164" s="4"/>
      <c r="AX164" s="4"/>
      <c r="AY164" s="231"/>
      <c r="AZ164" s="4"/>
      <c r="BA164" s="4"/>
      <c r="BB164" s="4"/>
      <c r="BC164" s="4"/>
      <c r="BD164" s="231"/>
      <c r="BE164" s="4"/>
      <c r="BF164" s="4"/>
      <c r="BG164" s="4"/>
      <c r="BH164" s="4"/>
      <c r="BI164" s="231"/>
      <c r="BJ164" s="4"/>
      <c r="BK164" s="4"/>
      <c r="BL164" s="4"/>
      <c r="BM164" s="4"/>
      <c r="BN164" s="347"/>
      <c r="BO164" s="4"/>
      <c r="BP164" s="4"/>
      <c r="BQ164" s="4"/>
      <c r="BR164" s="4"/>
      <c r="BS164" s="231"/>
      <c r="BT164" s="4"/>
      <c r="BU164" s="4"/>
      <c r="BV164" s="4"/>
      <c r="BW164" s="4"/>
      <c r="BX164" s="231"/>
      <c r="BY164" s="4"/>
      <c r="BZ164" s="4"/>
      <c r="CA164" s="4"/>
      <c r="CB164" s="4"/>
      <c r="CC164" s="231"/>
      <c r="CD164" s="4"/>
      <c r="CE164" s="4"/>
      <c r="CF164" s="4"/>
      <c r="CG164" s="4"/>
      <c r="CH164" s="231"/>
      <c r="CI164" s="4"/>
      <c r="CJ164" s="4"/>
      <c r="CK164" s="4"/>
      <c r="CL164" s="4"/>
      <c r="CM164" s="231"/>
      <c r="CN164" s="4"/>
      <c r="CO164" s="4"/>
      <c r="CP164" s="4"/>
      <c r="CQ164" s="4"/>
      <c r="CR164" s="231"/>
      <c r="CS164" s="4"/>
      <c r="CT164" s="4"/>
      <c r="CU164" s="4"/>
      <c r="CV164" s="4"/>
      <c r="CW164" s="231"/>
      <c r="CX164" s="4"/>
      <c r="CY164" s="4"/>
      <c r="CZ164" s="4"/>
      <c r="DA164" s="4"/>
      <c r="DB164" s="231"/>
      <c r="DC164" s="4"/>
      <c r="DD164" s="4"/>
      <c r="DE164" s="4"/>
      <c r="DF164" s="4"/>
      <c r="DG164" s="231"/>
      <c r="DH164" s="4"/>
      <c r="DI164" s="4"/>
      <c r="DJ164" s="4"/>
      <c r="DK164" s="4"/>
      <c r="DL164" s="231"/>
      <c r="DM164" s="413"/>
      <c r="DN164" s="4"/>
      <c r="DO164" s="487"/>
      <c r="DP164" s="413"/>
      <c r="DQ164" s="413"/>
      <c r="DR164" s="413"/>
      <c r="DS164" s="567"/>
      <c r="DT164" s="567"/>
      <c r="DU164" s="473"/>
      <c r="DV164" s="458"/>
      <c r="DW164" s="458"/>
      <c r="DX164" s="842"/>
      <c r="DY164" s="468"/>
      <c r="DZ164" s="458"/>
      <c r="EA164" s="4"/>
      <c r="EH164" s="4"/>
    </row>
    <row r="165" spans="1:138" ht="12.75" customHeight="1" x14ac:dyDescent="0.2">
      <c r="A165" s="5" t="s">
        <v>173</v>
      </c>
      <c r="B165" s="5"/>
      <c r="C165" s="5"/>
      <c r="D165" s="5"/>
      <c r="E165" s="5"/>
      <c r="F165" s="197"/>
      <c r="G165" s="5"/>
      <c r="H165" s="5"/>
      <c r="I165" s="5"/>
      <c r="J165" s="5"/>
      <c r="K165" s="197"/>
      <c r="L165" s="5"/>
      <c r="M165" s="5"/>
      <c r="N165" s="5"/>
      <c r="O165" s="5"/>
      <c r="P165" s="197"/>
      <c r="Q165" s="5"/>
      <c r="R165" s="5"/>
      <c r="S165" s="5"/>
      <c r="T165" s="5"/>
      <c r="U165" s="197"/>
      <c r="V165" s="5"/>
      <c r="W165" s="5"/>
      <c r="X165" s="5"/>
      <c r="Y165" s="5"/>
      <c r="Z165" s="197"/>
      <c r="AA165" s="5"/>
      <c r="AB165" s="5"/>
      <c r="AC165" s="5"/>
      <c r="AD165" s="5"/>
      <c r="AE165" s="197"/>
      <c r="AF165" s="5"/>
      <c r="AG165" s="5"/>
      <c r="AH165" s="5"/>
      <c r="AI165" s="5"/>
      <c r="AJ165" s="197"/>
      <c r="AK165" s="5"/>
      <c r="AL165" s="5"/>
      <c r="AM165" s="5"/>
      <c r="AN165" s="5"/>
      <c r="AO165" s="197"/>
      <c r="AP165" s="5"/>
      <c r="AQ165" s="5"/>
      <c r="AR165" s="5"/>
      <c r="AS165" s="5"/>
      <c r="AT165" s="197"/>
      <c r="AU165" s="5"/>
      <c r="AV165" s="5"/>
      <c r="AW165" s="5"/>
      <c r="AX165" s="5"/>
      <c r="AY165" s="197"/>
      <c r="AZ165" s="5"/>
      <c r="BA165" s="5"/>
      <c r="BB165" s="5"/>
      <c r="BC165" s="5"/>
      <c r="BD165" s="197"/>
      <c r="BE165" s="5"/>
      <c r="BF165" s="5"/>
      <c r="BG165" s="5"/>
      <c r="BH165" s="5"/>
      <c r="BI165" s="197"/>
      <c r="BJ165" s="5"/>
      <c r="BK165" s="5"/>
      <c r="BL165" s="5"/>
      <c r="BM165" s="5"/>
      <c r="BN165" s="315"/>
      <c r="BO165" s="5"/>
      <c r="BP165" s="5"/>
      <c r="BQ165" s="5"/>
      <c r="BR165" s="5"/>
      <c r="BS165" s="197"/>
      <c r="BT165" s="5"/>
      <c r="BU165" s="5"/>
      <c r="BV165" s="5"/>
      <c r="BW165" s="5"/>
      <c r="BX165" s="197"/>
      <c r="BY165" s="5"/>
      <c r="BZ165" s="5"/>
      <c r="CA165" s="5"/>
      <c r="CB165" s="5"/>
      <c r="CC165" s="635"/>
      <c r="CD165" s="5"/>
      <c r="CE165" s="5"/>
      <c r="CF165" s="5"/>
      <c r="CG165" s="5"/>
      <c r="CH165" s="635"/>
      <c r="CI165" s="5"/>
      <c r="CJ165" s="5"/>
      <c r="CK165" s="5"/>
      <c r="CL165" s="5"/>
      <c r="CM165" s="635"/>
      <c r="CN165" s="5"/>
      <c r="CO165" s="5"/>
      <c r="CP165" s="5"/>
      <c r="CQ165" s="5"/>
      <c r="CR165" s="635"/>
      <c r="CS165" s="5"/>
      <c r="CT165" s="5"/>
      <c r="CU165" s="5"/>
      <c r="CV165" s="5"/>
      <c r="CW165" s="635"/>
      <c r="CX165" s="5"/>
      <c r="CY165" s="5"/>
      <c r="CZ165" s="5"/>
      <c r="DA165" s="5"/>
      <c r="DB165" s="635"/>
      <c r="DC165" s="5"/>
      <c r="DD165" s="5"/>
      <c r="DE165" s="5"/>
      <c r="DF165" s="5"/>
      <c r="DG165" s="635"/>
      <c r="DH165" s="5"/>
      <c r="DI165" s="5"/>
      <c r="DJ165" s="5"/>
      <c r="DK165" s="5"/>
      <c r="DL165" s="635"/>
      <c r="DM165" s="413"/>
      <c r="DN165" s="4"/>
      <c r="DO165" s="487"/>
      <c r="DP165" s="413"/>
      <c r="DQ165" s="413"/>
      <c r="DR165" s="413"/>
      <c r="DS165" s="577"/>
      <c r="DT165" s="577"/>
      <c r="DU165" s="925"/>
      <c r="DV165" s="458"/>
      <c r="DW165" s="458"/>
      <c r="DX165" s="842"/>
      <c r="DY165" s="468"/>
      <c r="DZ165" s="458"/>
      <c r="EA165" s="4"/>
      <c r="EH165" s="5"/>
    </row>
    <row r="166" spans="1:138" ht="12.75" customHeight="1" x14ac:dyDescent="0.2">
      <c r="A166" s="176" t="s">
        <v>3</v>
      </c>
      <c r="B166" s="85"/>
      <c r="C166" s="85"/>
      <c r="D166" s="85"/>
      <c r="E166" s="85"/>
      <c r="F166" s="232"/>
      <c r="G166" s="85"/>
      <c r="H166" s="85"/>
      <c r="I166" s="85"/>
      <c r="J166" s="85"/>
      <c r="K166" s="232"/>
      <c r="L166" s="85"/>
      <c r="M166" s="85"/>
      <c r="N166" s="85"/>
      <c r="O166" s="85"/>
      <c r="P166" s="232"/>
      <c r="Q166" s="85"/>
      <c r="R166" s="85"/>
      <c r="S166" s="85"/>
      <c r="T166" s="85"/>
      <c r="U166" s="232"/>
      <c r="V166" s="85"/>
      <c r="W166" s="85"/>
      <c r="X166" s="85"/>
      <c r="Y166" s="85"/>
      <c r="Z166" s="232">
        <f>(Z287+U287)/2</f>
        <v>1942.5</v>
      </c>
      <c r="AA166" s="85"/>
      <c r="AB166" s="85"/>
      <c r="AC166" s="85"/>
      <c r="AD166" s="85"/>
      <c r="AE166" s="232">
        <f>(AE287+Z287)/2</f>
        <v>1735.5</v>
      </c>
      <c r="AF166" s="85"/>
      <c r="AG166" s="85"/>
      <c r="AH166" s="85"/>
      <c r="AI166" s="85"/>
      <c r="AJ166" s="232">
        <f>(AJ287+AE287)/2</f>
        <v>2328</v>
      </c>
      <c r="AK166" s="85">
        <f>(AK287+AJ287)/2</f>
        <v>2765.5</v>
      </c>
      <c r="AL166" s="85">
        <f>(AL287+AK287)/2</f>
        <v>3131</v>
      </c>
      <c r="AM166" s="85">
        <f>(AM287+AL287)/2</f>
        <v>2884.5</v>
      </c>
      <c r="AN166" s="85">
        <f>(AN287+AM287)/2</f>
        <v>2588</v>
      </c>
      <c r="AO166" s="232">
        <f>(AO287+AJ287)/2</f>
        <v>2717</v>
      </c>
      <c r="AP166" s="348"/>
      <c r="AQ166" s="85"/>
      <c r="AR166" s="85"/>
      <c r="AS166" s="85"/>
      <c r="AT166" s="248"/>
      <c r="AU166" s="85">
        <f>(AU287+AO287)/2</f>
        <v>2690.5</v>
      </c>
      <c r="AV166" s="85">
        <f>(AV287+AU287)/2</f>
        <v>2968.5</v>
      </c>
      <c r="AW166" s="85">
        <f>(AW287+AV287)/2</f>
        <v>3211.5</v>
      </c>
      <c r="AX166" s="85">
        <f>(AX287+AW287)/2</f>
        <v>3774</v>
      </c>
      <c r="AY166" s="248">
        <f>(AY287+AO287)/2</f>
        <v>3626.5</v>
      </c>
      <c r="AZ166" s="348">
        <f>(AZ287+AY287)/2</f>
        <v>4487.5</v>
      </c>
      <c r="BA166" s="85">
        <f>(BA287+AZ287)/2</f>
        <v>4725</v>
      </c>
      <c r="BB166" s="85">
        <f>(BB287+BA287)/2</f>
        <v>5215</v>
      </c>
      <c r="BC166" s="85">
        <f>(BC287+BB287)/2</f>
        <v>5083</v>
      </c>
      <c r="BD166" s="232">
        <f>(BD287+AY287)/2</f>
        <v>4572.5</v>
      </c>
      <c r="BE166" s="348">
        <f>(BE287+BD287)/2</f>
        <v>4795.5</v>
      </c>
      <c r="BF166" s="85">
        <f>(BF287+BE287)/2</f>
        <v>4673.5</v>
      </c>
      <c r="BG166" s="85">
        <f>(BG287+BF287)/2</f>
        <v>4154.5</v>
      </c>
      <c r="BH166" s="85">
        <f>(BH287+BG287)/2</f>
        <v>3742.5</v>
      </c>
      <c r="BI166" s="232">
        <f>(BI287+BD287)/2</f>
        <v>4144</v>
      </c>
      <c r="BJ166" s="348">
        <f>(BJ287+BI287)/2</f>
        <v>3724.5</v>
      </c>
      <c r="BK166" s="85">
        <f>(BK287+BJ287)/2</f>
        <v>3830.5</v>
      </c>
      <c r="BL166" s="85">
        <f>(BL287+BK287)/2</f>
        <v>3543.5</v>
      </c>
      <c r="BM166" s="85">
        <f>(BM287+BL287)/2</f>
        <v>3440</v>
      </c>
      <c r="BN166" s="348">
        <f>(BI287+BN287)/2</f>
        <v>3612.5</v>
      </c>
      <c r="BO166" s="348">
        <f>(BO287+BN287)/2</f>
        <v>3742.5</v>
      </c>
      <c r="BP166" s="85">
        <f>(BP287+BO287)/2</f>
        <v>3684</v>
      </c>
      <c r="BQ166" s="85">
        <f>(BQ287+BP287)/2</f>
        <v>3365.5</v>
      </c>
      <c r="BR166" s="85">
        <f>(BR287+BQ287)/2</f>
        <v>3303.5</v>
      </c>
      <c r="BS166" s="232">
        <f>(BN287+BS287)/2</f>
        <v>3494.5</v>
      </c>
      <c r="BT166" s="348">
        <f>(BT287+BS287)/2</f>
        <v>3484</v>
      </c>
      <c r="BU166" s="85">
        <f>(BU287+BT287)/2</f>
        <v>3758.5</v>
      </c>
      <c r="BV166" s="85">
        <f>(BV287+BU287)/2</f>
        <v>3950</v>
      </c>
      <c r="BW166" s="85">
        <f>(BW287+BV287)/2</f>
        <v>3890</v>
      </c>
      <c r="BX166" s="232">
        <f>(BS287+BX287)/2</f>
        <v>3588.5</v>
      </c>
      <c r="BY166" s="348">
        <f>(BY287+BX287)/2</f>
        <v>3730.5</v>
      </c>
      <c r="BZ166" s="85">
        <f>(BZ287+BY287)/2</f>
        <v>3869.5</v>
      </c>
      <c r="CA166" s="85">
        <f>(CA287+BZ287)/2</f>
        <v>4221.5</v>
      </c>
      <c r="CB166" s="85">
        <f>(CB287+CA287)/2</f>
        <v>3833.5</v>
      </c>
      <c r="CC166" s="232">
        <f>(BX287+CC287)/2</f>
        <v>3554</v>
      </c>
      <c r="CD166" s="348">
        <f>(CD287+CC287)/2</f>
        <v>3437</v>
      </c>
      <c r="CE166" s="85">
        <f>(CE287+CD287)/2</f>
        <v>3678</v>
      </c>
      <c r="CF166" s="85">
        <f>(CF287+CE287)/2</f>
        <v>3799</v>
      </c>
      <c r="CG166" s="85">
        <f>(CG287+CF287)/2</f>
        <v>3624</v>
      </c>
      <c r="CH166" s="232">
        <f>(CC287+CH287)/2</f>
        <v>3371</v>
      </c>
      <c r="CI166" s="348">
        <f>(CI287+CH287)/2</f>
        <v>3175.5</v>
      </c>
      <c r="CJ166" s="85">
        <f>(CJ287+CI287)/2</f>
        <v>2932.5</v>
      </c>
      <c r="CK166" s="85">
        <f>(CK287+CJ287)/2</f>
        <v>3051.5</v>
      </c>
      <c r="CL166" s="85">
        <f>(CL287+CK287)/2</f>
        <v>3200.5</v>
      </c>
      <c r="CM166" s="232">
        <f>(CH287+CM287)/2</f>
        <v>3343</v>
      </c>
      <c r="CN166" s="348">
        <f>(CN287+CM287)/2</f>
        <v>2949.5</v>
      </c>
      <c r="CO166" s="85">
        <f>(CO287+CN287)/2</f>
        <v>2819</v>
      </c>
      <c r="CP166" s="85">
        <f>(CP287+CO287)/2</f>
        <v>2713</v>
      </c>
      <c r="CQ166" s="85">
        <f>(CQ287+CP287)/2</f>
        <v>2538.5</v>
      </c>
      <c r="CR166" s="232">
        <f>(CM287+CR287)/2</f>
        <v>2944</v>
      </c>
      <c r="CS166" s="348">
        <f>(CS287+CM287)/2</f>
        <v>2948</v>
      </c>
      <c r="CT166" s="85">
        <f>(CT287+CS287)/2</f>
        <v>2816</v>
      </c>
      <c r="CU166" s="85">
        <f>(CU287+CT287)/2</f>
        <v>2710</v>
      </c>
      <c r="CV166" s="85">
        <f>(CV287+CU287)/2</f>
        <v>2535.5</v>
      </c>
      <c r="CW166" s="232">
        <f>(CM287+CW287)/2</f>
        <v>2942.5</v>
      </c>
      <c r="CX166" s="348">
        <f>(CX287+CR287)/2</f>
        <v>2301</v>
      </c>
      <c r="CY166" s="85">
        <f>(CY287+CX287)/2</f>
        <v>1851.6339809855699</v>
      </c>
      <c r="CZ166" s="85">
        <f t="shared" ref="CZ166:DA166" si="647">(CZ287+CY287)/2</f>
        <v>1515.2364447327798</v>
      </c>
      <c r="DA166" s="85">
        <f t="shared" si="647"/>
        <v>1710.7079757060687</v>
      </c>
      <c r="DB166" s="232">
        <f>(CW287+DB287)/2</f>
        <v>2383.6055119588586</v>
      </c>
      <c r="DC166" s="85"/>
      <c r="DD166" s="85"/>
      <c r="DE166" s="85"/>
      <c r="DF166" s="85"/>
      <c r="DG166" s="232">
        <f>(DB287+DG287)/2</f>
        <v>2016.6826079385614</v>
      </c>
      <c r="DH166" s="85"/>
      <c r="DI166" s="85"/>
      <c r="DJ166" s="85"/>
      <c r="DK166" s="85"/>
      <c r="DL166" s="232">
        <f>(DG287+DL287)/2</f>
        <v>2069.7477468745219</v>
      </c>
      <c r="DM166" s="66"/>
      <c r="DN166" s="526"/>
      <c r="DO166" s="486"/>
      <c r="DP166" s="411"/>
      <c r="DQ166" s="411"/>
      <c r="DR166" s="411"/>
      <c r="DS166" s="577"/>
      <c r="DT166" s="577"/>
      <c r="DU166" s="472"/>
      <c r="DV166" s="671"/>
      <c r="DW166" s="670"/>
      <c r="DX166" s="842"/>
      <c r="DY166" s="468"/>
      <c r="DZ166" s="791"/>
      <c r="EA166" s="526"/>
      <c r="EH166" s="8"/>
    </row>
    <row r="167" spans="1:138" ht="12.75" customHeight="1" x14ac:dyDescent="0.2">
      <c r="A167" s="390" t="s">
        <v>4</v>
      </c>
      <c r="B167" s="78"/>
      <c r="C167" s="78"/>
      <c r="D167" s="78"/>
      <c r="E167" s="78"/>
      <c r="F167" s="226"/>
      <c r="G167" s="78"/>
      <c r="H167" s="78"/>
      <c r="I167" s="78"/>
      <c r="J167" s="78"/>
      <c r="K167" s="226"/>
      <c r="L167" s="78"/>
      <c r="M167" s="78"/>
      <c r="N167" s="78"/>
      <c r="O167" s="78"/>
      <c r="P167" s="226"/>
      <c r="Q167" s="78"/>
      <c r="R167" s="78"/>
      <c r="S167" s="78"/>
      <c r="T167" s="78"/>
      <c r="U167" s="226"/>
      <c r="V167" s="78"/>
      <c r="W167" s="78"/>
      <c r="X167" s="78"/>
      <c r="Y167" s="78"/>
      <c r="Z167" s="226">
        <f>Z169/Z166</f>
        <v>1.9047619047619049E-2</v>
      </c>
      <c r="AA167" s="78"/>
      <c r="AB167" s="78"/>
      <c r="AC167" s="78"/>
      <c r="AD167" s="78"/>
      <c r="AE167" s="226">
        <f>AE169/AE166</f>
        <v>3.3995966580236243E-2</v>
      </c>
      <c r="AF167" s="78"/>
      <c r="AG167" s="78"/>
      <c r="AH167" s="78"/>
      <c r="AI167" s="78"/>
      <c r="AJ167" s="226">
        <f>AJ169/AJ166</f>
        <v>2.9639175257731958E-2</v>
      </c>
      <c r="AK167" s="78">
        <f>(AK169*4)/AK166</f>
        <v>1.4463930573133249E-2</v>
      </c>
      <c r="AL167" s="78">
        <f>(AL169*4)/AL166</f>
        <v>4.7269243053337594E-2</v>
      </c>
      <c r="AM167" s="78">
        <f>(AM169*4)/AM166</f>
        <v>5.8242329693187725E-2</v>
      </c>
      <c r="AN167" s="78">
        <f>(AN169*4)/AN166</f>
        <v>6.0278207109737247E-2</v>
      </c>
      <c r="AO167" s="226">
        <f>AO169/AO166</f>
        <v>4.7110783952889215E-2</v>
      </c>
      <c r="AP167" s="585"/>
      <c r="AQ167" s="78"/>
      <c r="AR167" s="78"/>
      <c r="AS167" s="78"/>
      <c r="AT167" s="199"/>
      <c r="AU167" s="78">
        <f>(AU169*4)/AU166</f>
        <v>9.3662887939044787E-2</v>
      </c>
      <c r="AV167" s="78">
        <f>(AV169*4)/AV166</f>
        <v>6.6026612767390941E-2</v>
      </c>
      <c r="AW167" s="78">
        <f>(AW169*4)/AW166</f>
        <v>5.2312003736571695E-2</v>
      </c>
      <c r="AX167" s="78">
        <f>(AX169*4)/AX166</f>
        <v>2.5437201907790145E-2</v>
      </c>
      <c r="AY167" s="199">
        <f>AY169/AY166</f>
        <v>4.9083138011857159E-2</v>
      </c>
      <c r="AZ167" s="585">
        <f>(AZ169*4)/AZ166</f>
        <v>8.9136490250696383E-3</v>
      </c>
      <c r="BA167" s="78">
        <f>(BA169*4)/BA166</f>
        <v>7.619047619047619E-3</v>
      </c>
      <c r="BB167" s="78">
        <f>(BB169*4)/BB166</f>
        <v>3.0680728667305847E-3</v>
      </c>
      <c r="BC167" s="78">
        <f>(BC169*4)/BC166</f>
        <v>3.1477473932716897E-3</v>
      </c>
      <c r="BD167" s="199">
        <f>BD169/BD166</f>
        <v>5.9048660470202297E-3</v>
      </c>
      <c r="BE167" s="585">
        <f>(BE169*4)/BE166</f>
        <v>1.6682306328849962E-2</v>
      </c>
      <c r="BF167" s="78">
        <f>(BF169*4)/BF166</f>
        <v>2.567668770728576E-3</v>
      </c>
      <c r="BG167" s="78">
        <f>(BG169*4)/BG166</f>
        <v>6.7396798652064023E-3</v>
      </c>
      <c r="BH167" s="78">
        <f>(BH169*4)/BH166</f>
        <v>5.3440213760855048E-3</v>
      </c>
      <c r="BI167" s="199">
        <f>BI169/BI166</f>
        <v>8.4459459459459464E-3</v>
      </c>
      <c r="BJ167" s="585">
        <f>(BJ169*4)/BJ166</f>
        <v>5.3698483017854742E-3</v>
      </c>
      <c r="BK167" s="78">
        <f>(BK169*4)/BK166</f>
        <v>3.1327502936953399E-3</v>
      </c>
      <c r="BL167" s="78">
        <f>(BL169*4)/BL166</f>
        <v>7.9017920135459295E-3</v>
      </c>
      <c r="BM167" s="78">
        <f>(BM169*4)/BM166</f>
        <v>8.8943288453692589E-3</v>
      </c>
      <c r="BN167" s="199">
        <f>BN169/BN166</f>
        <v>6.2696533721847926E-3</v>
      </c>
      <c r="BO167" s="585">
        <f>(BO169*4)/BO166</f>
        <v>6.9472277889111251E-3</v>
      </c>
      <c r="BP167" s="78">
        <f>(BP169*4)/BP166</f>
        <v>7.1351015976423276E-3</v>
      </c>
      <c r="BQ167" s="78">
        <f>(BQ169*4)/BQ166</f>
        <v>9.5082454315852036E-3</v>
      </c>
      <c r="BR167" s="78">
        <f>(BR169*4)/BR166</f>
        <v>7.5652294648675764E-3</v>
      </c>
      <c r="BS167" s="199">
        <f>BS169/BS166</f>
        <v>7.8178172716343013E-3</v>
      </c>
      <c r="BT167" s="585">
        <f>(BT169*4)/BT166</f>
        <v>5.4740036083319619E-3</v>
      </c>
      <c r="BU167" s="78">
        <f>(BU169*4)/BU166</f>
        <v>6.5077371673647917E-3</v>
      </c>
      <c r="BV167" s="78">
        <f>(BV169*4)/BV166</f>
        <v>7.7367088607595089E-3</v>
      </c>
      <c r="BW167" s="78">
        <f>(BW169*4)/BW166</f>
        <v>9.3893274135977874E-3</v>
      </c>
      <c r="BX167" s="199">
        <f>BX169/BX166</f>
        <v>7.7062311797314043E-3</v>
      </c>
      <c r="BY167" s="585">
        <f>(BY169*4)/BY166</f>
        <v>8.8975739222787991E-3</v>
      </c>
      <c r="BZ167" s="78">
        <f>(BZ169*4)/BZ166</f>
        <v>8.8332519835397066E-3</v>
      </c>
      <c r="CA167" s="78">
        <f>(CA169*4)/CA166</f>
        <v>7.4219857486157196E-3</v>
      </c>
      <c r="CB167" s="78">
        <f>(CB169*4)/CB166</f>
        <v>7.9967874013702582E-3</v>
      </c>
      <c r="CC167" s="199">
        <f>CC169/CC166</f>
        <v>9.0996247473482065E-3</v>
      </c>
      <c r="CD167" s="585">
        <f>(CD169*4)/CD166</f>
        <v>8.9879247776751409E-3</v>
      </c>
      <c r="CE167" s="78">
        <f>(CE169*4)/CE166</f>
        <v>8.8154723361385575E-3</v>
      </c>
      <c r="CF167" s="78">
        <f>(CF169*4)/CF166</f>
        <v>8.8264797023292693E-3</v>
      </c>
      <c r="CG167" s="78">
        <f>(CG169*4)/CG166</f>
        <v>8.5024840196815596E-3</v>
      </c>
      <c r="CH167" s="199">
        <f>CH169/CH166</f>
        <v>9.4674876290167555E-3</v>
      </c>
      <c r="CI167" s="585">
        <f>(CI169*4)/CI166</f>
        <v>1.1285423121808545E-2</v>
      </c>
      <c r="CJ167" s="78">
        <f>(CJ169*4)/CJ166</f>
        <v>1.1716641915494444E-2</v>
      </c>
      <c r="CK167" s="78">
        <f>(CK169*4)/CK166</f>
        <v>1.2155385502036303E-2</v>
      </c>
      <c r="CL167" s="78">
        <f>(CL169*4)/CL166</f>
        <v>1.1975805078824951E-2</v>
      </c>
      <c r="CM167" s="199">
        <f>CM169/CM166</f>
        <v>1.0889667705259761E-2</v>
      </c>
      <c r="CN167" s="585">
        <f>(CN169*4)/CN166</f>
        <v>1.3277434755151E-2</v>
      </c>
      <c r="CO167" s="78">
        <f>(CO169*4)/CO166</f>
        <v>1.3248935012621834E-2</v>
      </c>
      <c r="CP167" s="78">
        <f>(CP169*4)/CP166</f>
        <v>1.3766585993579435E-2</v>
      </c>
      <c r="CQ167" s="78">
        <f>(CQ169*4)/CQ166</f>
        <v>1.4565790948424343E-2</v>
      </c>
      <c r="CR167" s="199">
        <f>CR169/CR166</f>
        <v>1.2808640432579401E-2</v>
      </c>
      <c r="CS167" s="585">
        <f>(CS169*4)/CS166</f>
        <v>1.3284190573377841E-2</v>
      </c>
      <c r="CT167" s="78">
        <f>(CT169*4)/CT166</f>
        <v>1.3263049645092667E-2</v>
      </c>
      <c r="CU167" s="78">
        <f>(CU169*4)/CU166</f>
        <v>1.3781825756671959E-2</v>
      </c>
      <c r="CV167" s="78">
        <f>(CV169*4)/CV166</f>
        <v>1.4583025171593451E-2</v>
      </c>
      <c r="CW167" s="199">
        <f>CW169/CW166</f>
        <v>1.2815169900939255E-2</v>
      </c>
      <c r="CX167" s="585">
        <f>(CX169*4)/CX166</f>
        <v>1.7383746197305518E-2</v>
      </c>
      <c r="CY167" s="78">
        <f t="shared" ref="CY167:DA167" si="648">(CY169*4)/CY166</f>
        <v>2.3762795699277514E-2</v>
      </c>
      <c r="CZ167" s="78">
        <f t="shared" si="648"/>
        <v>3.1678224323904158E-2</v>
      </c>
      <c r="DA167" s="78">
        <f t="shared" si="648"/>
        <v>3.0396771826902712E-2</v>
      </c>
      <c r="DB167" s="199">
        <f>DB169/DB166</f>
        <v>1.9298495396663593E-2</v>
      </c>
      <c r="DC167" s="78"/>
      <c r="DD167" s="78"/>
      <c r="DE167" s="78"/>
      <c r="DF167" s="78"/>
      <c r="DG167" s="434">
        <f>+DB167</f>
        <v>1.9298495396663593E-2</v>
      </c>
      <c r="DH167" s="78"/>
      <c r="DI167" s="78"/>
      <c r="DJ167" s="78"/>
      <c r="DK167" s="78"/>
      <c r="DL167" s="434">
        <f>+DG167</f>
        <v>1.9298495396663593E-2</v>
      </c>
      <c r="DM167" s="19"/>
      <c r="DN167" s="527"/>
      <c r="DO167" s="486"/>
      <c r="DP167" s="411"/>
      <c r="DQ167" s="411"/>
      <c r="DR167" s="411"/>
      <c r="DS167" s="478"/>
      <c r="DT167" s="478"/>
      <c r="DU167" s="460"/>
      <c r="DV167" s="472"/>
      <c r="DW167" s="670"/>
      <c r="DX167" s="842"/>
      <c r="DY167" s="468"/>
      <c r="DZ167" s="460"/>
      <c r="EA167" s="527"/>
      <c r="EH167" s="8"/>
    </row>
    <row r="168" spans="1:138" ht="12.75" customHeight="1" x14ac:dyDescent="0.2">
      <c r="A168" s="391" t="s">
        <v>154</v>
      </c>
      <c r="B168" s="86"/>
      <c r="C168" s="86"/>
      <c r="D168" s="86"/>
      <c r="E168" s="86"/>
      <c r="F168" s="233"/>
      <c r="G168" s="86"/>
      <c r="H168" s="86"/>
      <c r="I168" s="86"/>
      <c r="J168" s="86"/>
      <c r="K168" s="233"/>
      <c r="L168" s="86"/>
      <c r="M168" s="86"/>
      <c r="N168" s="86"/>
      <c r="O168" s="86"/>
      <c r="P168" s="233"/>
      <c r="Q168" s="86"/>
      <c r="R168" s="86"/>
      <c r="S168" s="86"/>
      <c r="T168" s="86"/>
      <c r="U168" s="233"/>
      <c r="V168" s="86"/>
      <c r="W168" s="86"/>
      <c r="X168" s="86"/>
      <c r="Y168" s="86"/>
      <c r="Z168" s="233"/>
      <c r="AA168" s="86"/>
      <c r="AB168" s="86"/>
      <c r="AC168" s="86"/>
      <c r="AD168" s="86"/>
      <c r="AE168" s="233"/>
      <c r="AF168" s="86"/>
      <c r="AG168" s="86"/>
      <c r="AH168" s="86"/>
      <c r="AI168" s="86"/>
      <c r="AJ168" s="233"/>
      <c r="AK168" s="86"/>
      <c r="AL168" s="86"/>
      <c r="AM168" s="86"/>
      <c r="AN168" s="86"/>
      <c r="AO168" s="233"/>
      <c r="AP168" s="586"/>
      <c r="AQ168" s="86"/>
      <c r="AR168" s="86"/>
      <c r="AS168" s="86"/>
      <c r="AT168" s="292"/>
      <c r="AU168" s="86"/>
      <c r="AV168" s="86"/>
      <c r="AW168" s="86"/>
      <c r="AX168" s="86"/>
      <c r="AY168" s="292"/>
      <c r="AZ168" s="586"/>
      <c r="BA168" s="86"/>
      <c r="BB168" s="86"/>
      <c r="BC168" s="86"/>
      <c r="BD168" s="292"/>
      <c r="BE168" s="586"/>
      <c r="BF168" s="86"/>
      <c r="BG168" s="86"/>
      <c r="BH168" s="86"/>
      <c r="BI168" s="292"/>
      <c r="BJ168" s="586"/>
      <c r="BK168" s="86"/>
      <c r="BL168" s="86"/>
      <c r="BM168" s="86"/>
      <c r="BN168" s="349"/>
      <c r="BO168" s="586"/>
      <c r="BP168" s="86"/>
      <c r="BQ168" s="86"/>
      <c r="BR168" s="86"/>
      <c r="BS168" s="292"/>
      <c r="BT168" s="586"/>
      <c r="BU168" s="86"/>
      <c r="BV168" s="86"/>
      <c r="BW168" s="86"/>
      <c r="BX168" s="292">
        <f>BX166*BX167</f>
        <v>27.653810588466143</v>
      </c>
      <c r="BY168" s="586"/>
      <c r="BZ168" s="86"/>
      <c r="CA168" s="86"/>
      <c r="CB168" s="86"/>
      <c r="CC168" s="292">
        <f>CC166*CC167</f>
        <v>32.340066352075524</v>
      </c>
      <c r="CD168" s="586"/>
      <c r="CE168" s="86"/>
      <c r="CF168" s="86"/>
      <c r="CG168" s="86"/>
      <c r="CH168" s="292">
        <f>CH166*CH167</f>
        <v>31.914900797415484</v>
      </c>
      <c r="CI168" s="586"/>
      <c r="CJ168" s="86"/>
      <c r="CK168" s="86"/>
      <c r="CL168" s="86"/>
      <c r="CM168" s="292">
        <f>CM166*CM167</f>
        <v>36.404159138683383</v>
      </c>
      <c r="CN168" s="586"/>
      <c r="CO168" s="86"/>
      <c r="CP168" s="86"/>
      <c r="CQ168" s="86"/>
      <c r="CR168" s="292">
        <f>CR166*CR167</f>
        <v>37.708637433513758</v>
      </c>
      <c r="CS168" s="586"/>
      <c r="CT168" s="86"/>
      <c r="CU168" s="86"/>
      <c r="CV168" s="86"/>
      <c r="CW168" s="292">
        <f>CW166*CW167</f>
        <v>37.708637433513758</v>
      </c>
      <c r="CX168" s="586"/>
      <c r="CY168" s="86"/>
      <c r="CZ168" s="86"/>
      <c r="DA168" s="86"/>
      <c r="DB168" s="292">
        <f>DB166*DB167</f>
        <v>46</v>
      </c>
      <c r="DC168" s="86"/>
      <c r="DD168" s="86"/>
      <c r="DE168" s="86"/>
      <c r="DF168" s="86"/>
      <c r="DG168" s="292">
        <f>DG166*DG167</f>
        <v>38.918940025833855</v>
      </c>
      <c r="DH168" s="86"/>
      <c r="DI168" s="86"/>
      <c r="DJ168" s="86"/>
      <c r="DK168" s="86"/>
      <c r="DL168" s="292">
        <f>DL166*DL167</f>
        <v>39.943017365312805</v>
      </c>
      <c r="DM168" s="425"/>
      <c r="DN168" s="528"/>
      <c r="DO168" s="486"/>
      <c r="DP168" s="411"/>
      <c r="DQ168" s="411"/>
      <c r="DR168" s="411"/>
      <c r="DS168" s="480"/>
      <c r="DT168" s="480"/>
      <c r="DU168" s="472"/>
      <c r="DV168" s="465"/>
      <c r="DW168" s="465"/>
      <c r="DX168" s="842"/>
      <c r="DY168" s="468"/>
      <c r="DZ168" s="472"/>
      <c r="EA168" s="528"/>
      <c r="EH168" s="8"/>
    </row>
    <row r="169" spans="1:138" ht="12.75" customHeight="1" x14ac:dyDescent="0.2">
      <c r="A169" s="392" t="s">
        <v>48</v>
      </c>
      <c r="B169" s="899"/>
      <c r="C169" s="898"/>
      <c r="D169" s="898"/>
      <c r="E169" s="898"/>
      <c r="F169" s="234"/>
      <c r="G169" s="899"/>
      <c r="H169" s="898"/>
      <c r="I169" s="898"/>
      <c r="J169" s="898"/>
      <c r="K169" s="234"/>
      <c r="L169" s="899"/>
      <c r="M169" s="898"/>
      <c r="N169" s="898"/>
      <c r="O169" s="898"/>
      <c r="P169" s="234"/>
      <c r="Q169" s="899"/>
      <c r="R169" s="898"/>
      <c r="S169" s="898"/>
      <c r="T169" s="898"/>
      <c r="U169" s="234"/>
      <c r="V169" s="899">
        <v>13</v>
      </c>
      <c r="W169" s="898">
        <v>8</v>
      </c>
      <c r="X169" s="898">
        <v>6</v>
      </c>
      <c r="Y169" s="898">
        <v>10</v>
      </c>
      <c r="Z169" s="234">
        <f>SUM(V169:Y169)</f>
        <v>37</v>
      </c>
      <c r="AA169" s="899">
        <v>14</v>
      </c>
      <c r="AB169" s="898">
        <v>14</v>
      </c>
      <c r="AC169" s="898">
        <v>17</v>
      </c>
      <c r="AD169" s="898">
        <v>14</v>
      </c>
      <c r="AE169" s="234">
        <f>SUM(AA169:AD169)</f>
        <v>59</v>
      </c>
      <c r="AF169" s="899">
        <v>12</v>
      </c>
      <c r="AG169" s="898">
        <v>18</v>
      </c>
      <c r="AH169" s="898">
        <v>16</v>
      </c>
      <c r="AI169" s="898">
        <v>23</v>
      </c>
      <c r="AJ169" s="234">
        <f>SUM(AF169:AI169)</f>
        <v>69</v>
      </c>
      <c r="AK169" s="899">
        <v>10</v>
      </c>
      <c r="AL169" s="898">
        <v>37</v>
      </c>
      <c r="AM169" s="898">
        <v>42</v>
      </c>
      <c r="AN169" s="898">
        <v>39</v>
      </c>
      <c r="AO169" s="234">
        <f>SUM(AK169:AN169)</f>
        <v>128</v>
      </c>
      <c r="AP169" s="876"/>
      <c r="AQ169" s="898"/>
      <c r="AR169" s="898"/>
      <c r="AS169" s="898"/>
      <c r="AT169" s="207"/>
      <c r="AU169" s="899">
        <v>63</v>
      </c>
      <c r="AV169" s="898">
        <v>49</v>
      </c>
      <c r="AW169" s="898">
        <v>42</v>
      </c>
      <c r="AX169" s="898">
        <v>24</v>
      </c>
      <c r="AY169" s="207">
        <f>SUM(AU169:AX169)</f>
        <v>178</v>
      </c>
      <c r="AZ169" s="876">
        <v>10</v>
      </c>
      <c r="BA169" s="898">
        <v>9</v>
      </c>
      <c r="BB169" s="898">
        <v>4</v>
      </c>
      <c r="BC169" s="898">
        <v>4</v>
      </c>
      <c r="BD169" s="207">
        <f>SUM(AZ169:BC169)</f>
        <v>27</v>
      </c>
      <c r="BE169" s="876">
        <v>20</v>
      </c>
      <c r="BF169" s="898">
        <v>3</v>
      </c>
      <c r="BG169" s="898">
        <v>7</v>
      </c>
      <c r="BH169" s="898">
        <v>5</v>
      </c>
      <c r="BI169" s="207">
        <f>SUM(BE169:BH169)</f>
        <v>35</v>
      </c>
      <c r="BJ169" s="876">
        <v>5</v>
      </c>
      <c r="BK169" s="898">
        <v>3</v>
      </c>
      <c r="BL169" s="898">
        <v>7</v>
      </c>
      <c r="BM169" s="898">
        <v>7.6491228070175623</v>
      </c>
      <c r="BN169" s="322">
        <f>SUM(BJ169:BM169)</f>
        <v>22.649122807017562</v>
      </c>
      <c r="BO169" s="876">
        <v>6.4999999999999716</v>
      </c>
      <c r="BP169" s="898">
        <v>6.5714285714285836</v>
      </c>
      <c r="BQ169" s="898">
        <v>8</v>
      </c>
      <c r="BR169" s="898">
        <v>6.2479338842975096</v>
      </c>
      <c r="BS169" s="207">
        <f>SUM(BO169:BR169)</f>
        <v>27.319362455726065</v>
      </c>
      <c r="BT169" s="876">
        <v>4.7678571428571388</v>
      </c>
      <c r="BU169" s="898">
        <v>6.1148325358851423</v>
      </c>
      <c r="BV169" s="898">
        <v>7.6400000000000148</v>
      </c>
      <c r="BW169" s="898">
        <v>9.1311209097238475</v>
      </c>
      <c r="BX169" s="207">
        <f>SUM(BT169:BW169)</f>
        <v>27.653810588466143</v>
      </c>
      <c r="BY169" s="876">
        <v>8.2980998792652656</v>
      </c>
      <c r="BZ169" s="898">
        <v>8.5450671375767229</v>
      </c>
      <c r="CA169" s="898">
        <v>7.8329782094453151</v>
      </c>
      <c r="CB169" s="898">
        <v>7.6639211257882209</v>
      </c>
      <c r="CC169" s="207">
        <f>SUM(BY169:CB169)</f>
        <v>32.340066352075524</v>
      </c>
      <c r="CD169" s="876">
        <v>7.7228743652173648</v>
      </c>
      <c r="CE169" s="898">
        <v>8.1058268130794033</v>
      </c>
      <c r="CF169" s="898">
        <v>8.3829490972872236</v>
      </c>
      <c r="CG169" s="898">
        <v>7.7032505218314924</v>
      </c>
      <c r="CH169" s="207">
        <f>SUM(CD169:CG169)</f>
        <v>31.914900797415484</v>
      </c>
      <c r="CI169" s="876">
        <v>8.9592152808257595</v>
      </c>
      <c r="CJ169" s="898">
        <v>8.5897631042968641</v>
      </c>
      <c r="CK169" s="898">
        <v>9.2730397148659449</v>
      </c>
      <c r="CL169" s="898">
        <v>9.5821410386948145</v>
      </c>
      <c r="CM169" s="207">
        <f>SUM(CI169:CL169)</f>
        <v>36.404159138683383</v>
      </c>
      <c r="CN169" s="876">
        <v>9.7904484525794686</v>
      </c>
      <c r="CO169" s="898">
        <v>9.337186950145238</v>
      </c>
      <c r="CP169" s="898">
        <v>9.3371869501452522</v>
      </c>
      <c r="CQ169" s="898">
        <v>9.2438150806437989</v>
      </c>
      <c r="CR169" s="207">
        <f>SUM(CN169:CQ169)</f>
        <v>37.708637433513758</v>
      </c>
      <c r="CS169" s="876">
        <v>9.7904484525794686</v>
      </c>
      <c r="CT169" s="898">
        <v>9.337186950145238</v>
      </c>
      <c r="CU169" s="898">
        <v>9.3371869501452522</v>
      </c>
      <c r="CV169" s="898">
        <v>9.2438150806437989</v>
      </c>
      <c r="CW169" s="207">
        <f>SUM(CS169:CV169)</f>
        <v>37.708637433513758</v>
      </c>
      <c r="CX169" s="872">
        <v>10</v>
      </c>
      <c r="CY169" s="88">
        <f>CX169+1</f>
        <v>11</v>
      </c>
      <c r="CZ169" s="88">
        <f>CY169+1</f>
        <v>12</v>
      </c>
      <c r="DA169" s="88">
        <f>CZ169+1</f>
        <v>13</v>
      </c>
      <c r="DB169" s="207">
        <f>SUM(CX169:DA169)</f>
        <v>46</v>
      </c>
      <c r="DC169" s="37"/>
      <c r="DD169" s="38"/>
      <c r="DE169" s="88"/>
      <c r="DF169" s="88"/>
      <c r="DG169" s="303">
        <v>39</v>
      </c>
      <c r="DH169" s="37"/>
      <c r="DI169" s="38"/>
      <c r="DJ169" s="88"/>
      <c r="DK169" s="88"/>
      <c r="DL169" s="303">
        <v>39</v>
      </c>
      <c r="DM169" s="89"/>
      <c r="DN169" s="529"/>
      <c r="DO169" s="486"/>
      <c r="DP169" s="411"/>
      <c r="DQ169" s="411"/>
      <c r="DR169" s="411"/>
      <c r="DS169" s="478"/>
      <c r="DT169" s="478"/>
      <c r="DU169" s="465"/>
      <c r="DV169" s="472"/>
      <c r="DW169" s="472"/>
      <c r="DX169" s="472"/>
      <c r="DY169" s="468"/>
      <c r="DZ169" s="465"/>
      <c r="EA169" s="529"/>
      <c r="EH169" s="8"/>
    </row>
    <row r="170" spans="1:138" ht="12.75" customHeight="1" x14ac:dyDescent="0.2">
      <c r="A170" s="118" t="s">
        <v>155</v>
      </c>
      <c r="B170" s="85"/>
      <c r="C170" s="85"/>
      <c r="D170" s="85"/>
      <c r="E170" s="85"/>
      <c r="F170" s="232"/>
      <c r="G170" s="85"/>
      <c r="H170" s="85"/>
      <c r="I170" s="85"/>
      <c r="J170" s="85"/>
      <c r="K170" s="232"/>
      <c r="L170" s="85"/>
      <c r="M170" s="85"/>
      <c r="N170" s="85"/>
      <c r="O170" s="85"/>
      <c r="P170" s="232"/>
      <c r="Q170" s="85"/>
      <c r="R170" s="85"/>
      <c r="S170" s="85"/>
      <c r="T170" s="85"/>
      <c r="U170" s="232"/>
      <c r="V170" s="85"/>
      <c r="W170" s="85"/>
      <c r="X170" s="85"/>
      <c r="Y170" s="85"/>
      <c r="Z170" s="232">
        <f>(Z307+Z313+U313+U307)/2</f>
        <v>13228.5</v>
      </c>
      <c r="AA170" s="85"/>
      <c r="AB170" s="85"/>
      <c r="AC170" s="85"/>
      <c r="AD170" s="85"/>
      <c r="AE170" s="232">
        <f>(AE307+AE313+Z313+Z307)/2</f>
        <v>10820.5</v>
      </c>
      <c r="AF170" s="85"/>
      <c r="AG170" s="85"/>
      <c r="AH170" s="85"/>
      <c r="AI170" s="85"/>
      <c r="AJ170" s="232">
        <f>(AJ307+AJ313+AE313+AE307)/2</f>
        <v>7877.5</v>
      </c>
      <c r="AK170" s="85">
        <f>(AK307+AJ307+AJ313+AK313)/2</f>
        <v>8011.5</v>
      </c>
      <c r="AL170" s="85">
        <f>(AL307+AK307+AK313+AL313)/2</f>
        <v>8475</v>
      </c>
      <c r="AM170" s="85">
        <f>(AM307+AL307+AL313+AM313)/2</f>
        <v>8636.5</v>
      </c>
      <c r="AN170" s="85">
        <f>(AN307+AM307+AM313+AN313)/2</f>
        <v>8667</v>
      </c>
      <c r="AO170" s="232">
        <f>(AO307+AO313+AJ313+AJ307)/2</f>
        <v>8506</v>
      </c>
      <c r="AP170" s="348"/>
      <c r="AQ170" s="85"/>
      <c r="AR170" s="85"/>
      <c r="AS170" s="85"/>
      <c r="AT170" s="248"/>
      <c r="AU170" s="85">
        <f>(AU307+AO307+AO313+AU313)/2</f>
        <v>9059.5</v>
      </c>
      <c r="AV170" s="85">
        <f>(AV307+AU307+AU313+AV313)/2</f>
        <v>9126.5</v>
      </c>
      <c r="AW170" s="85">
        <f>(AW307+AV307+AV313+AW313)/2</f>
        <v>9636.5</v>
      </c>
      <c r="AX170" s="85">
        <f>(AX307+AW307+AW313+AX313)/2</f>
        <v>13355</v>
      </c>
      <c r="AY170" s="248">
        <f>(AY307+AY313+AO313+AO307)/2</f>
        <v>12785.5</v>
      </c>
      <c r="AZ170" s="348">
        <f>(AZ307+AY307+AY313+AZ313)/2</f>
        <v>16583.5</v>
      </c>
      <c r="BA170" s="85">
        <f>(BA307+AZ307+AZ313+BA313)/2</f>
        <v>16597</v>
      </c>
      <c r="BB170" s="85">
        <f>(BB307+BA307+BA313+BB313)/2</f>
        <v>17141</v>
      </c>
      <c r="BC170" s="85">
        <f>(BC307+BB307+BB313+BC313)/2</f>
        <v>17441</v>
      </c>
      <c r="BD170" s="232">
        <f>(BD307+BD313+AY313+AY307)/2</f>
        <v>16884.5</v>
      </c>
      <c r="BE170" s="348">
        <f>(BE307+BD307+BD313+BE313)/2</f>
        <v>17057</v>
      </c>
      <c r="BF170" s="85">
        <f>(BF307+BE307+BE313+BF313)/2</f>
        <v>16349.5</v>
      </c>
      <c r="BG170" s="85">
        <f>(BG307+BF307+BF313+BG313)/2</f>
        <v>15574</v>
      </c>
      <c r="BH170" s="85">
        <f>(BH307+BG307+BG313+BH313)/2</f>
        <v>15308.5</v>
      </c>
      <c r="BI170" s="232">
        <f>(BI307+BI313+BD313+BD307)/2</f>
        <v>16225</v>
      </c>
      <c r="BJ170" s="348">
        <f>(BJ307+BI307+BI313+BJ313)/2</f>
        <v>15210.5</v>
      </c>
      <c r="BK170" s="85">
        <f>(BK307+BJ307+BJ313+BK313)/2</f>
        <v>14915</v>
      </c>
      <c r="BL170" s="85">
        <f>(BL307+BK307+BK313+BL313)/2</f>
        <v>14577.5</v>
      </c>
      <c r="BM170" s="85">
        <f>(BM307+BL307+BL313+BM313)/2</f>
        <v>14142.5</v>
      </c>
      <c r="BN170" s="348">
        <f>(BN307+BN313+BI313+BI307)/2</f>
        <v>14521.5</v>
      </c>
      <c r="BO170" s="348">
        <f>(BO307+BN307+BN313+BO313)/2</f>
        <v>13583.5</v>
      </c>
      <c r="BP170" s="85">
        <f>(BP307+BO307+BO313+BP313)/2</f>
        <v>13188</v>
      </c>
      <c r="BQ170" s="85">
        <f>(BQ307+BP307+BP313+BQ313)/2</f>
        <v>12828.5</v>
      </c>
      <c r="BR170" s="85">
        <f>(BR307+BQ307+BQ313+BR313)/2</f>
        <v>12683</v>
      </c>
      <c r="BS170" s="232">
        <f>(BS307+BS313+BN313+BN307)/2</f>
        <v>13250</v>
      </c>
      <c r="BT170" s="348">
        <f>(BT307+BS307+BS313+BT313)/2</f>
        <v>12511.5</v>
      </c>
      <c r="BU170" s="85">
        <f>(BU307+BT307+BT313+BU313)/2</f>
        <v>12267.5</v>
      </c>
      <c r="BV170" s="85">
        <f>(BV307+BU307+BU313+BV313)/2</f>
        <v>12060.5</v>
      </c>
      <c r="BW170" s="85">
        <f>(BW307+BV307+BV313+BW313)/2</f>
        <v>11621</v>
      </c>
      <c r="BX170" s="232">
        <f>(BX307+BX313+BS313+BS307)/2</f>
        <v>12025.5</v>
      </c>
      <c r="BY170" s="348">
        <f>(BY307+BX307+BX313+BY313)/2</f>
        <v>11193</v>
      </c>
      <c r="BZ170" s="85">
        <f>(BZ307+BY307+BY313+BZ313)/2</f>
        <v>10683</v>
      </c>
      <c r="CA170" s="85">
        <f>(CA307+BZ307+BZ313+CA313)/2</f>
        <v>10230.5</v>
      </c>
      <c r="CB170" s="85">
        <f>(CB307+CA307+CA313+CB313)/2</f>
        <v>9958</v>
      </c>
      <c r="CC170" s="232">
        <f>(CC307+CC313+BX313+BX307)/2</f>
        <v>10559.5</v>
      </c>
      <c r="CD170" s="348">
        <f>(CD307+CC307+CC313+CD313)/2</f>
        <v>9649</v>
      </c>
      <c r="CE170" s="85">
        <f>(CE307+CD307+CD313+CE313)/2</f>
        <v>9389</v>
      </c>
      <c r="CF170" s="85">
        <f>(CF307+CE307+CE313+CF313)/2</f>
        <v>9029</v>
      </c>
      <c r="CG170" s="85">
        <f>(CG307+CF307+CF313+CG313)/2</f>
        <v>8565</v>
      </c>
      <c r="CH170" s="232">
        <f>(CH307+CH313+CC313+CC307)/2</f>
        <v>9053</v>
      </c>
      <c r="CI170" s="348">
        <f>(CI307+CH307+CH313+CI313)/2</f>
        <v>8390</v>
      </c>
      <c r="CJ170" s="85">
        <f>(CJ307+CI307+CI313+CJ313)/2</f>
        <v>8127.5</v>
      </c>
      <c r="CK170" s="85">
        <f>(CK307+CJ307+CJ313+CK313)/2</f>
        <v>7684.5</v>
      </c>
      <c r="CL170" s="85">
        <f>(CL307+CK307+CK313+CL313)/2</f>
        <v>7448.5</v>
      </c>
      <c r="CM170" s="232">
        <f>(CM307+CM313+CH313+CH307)/2</f>
        <v>7830.5</v>
      </c>
      <c r="CN170" s="348">
        <f>(CN307+CM307+CM313+CN313)/2</f>
        <v>8279.5</v>
      </c>
      <c r="CO170" s="85">
        <f>(CO307+CN307+CN313+CO313)/2</f>
        <v>9120.5</v>
      </c>
      <c r="CP170" s="85">
        <f>(CP307+CO307+CO313+CP313)/2</f>
        <v>8911</v>
      </c>
      <c r="CQ170" s="85">
        <f>(CQ307+CP307+CP313+CQ313)/2</f>
        <v>8821</v>
      </c>
      <c r="CR170" s="232">
        <f>(CR307+CR313+CM313+CM307)/2</f>
        <v>8083</v>
      </c>
      <c r="CS170" s="348">
        <f>(CS307+CM307+CM313+CS313)/2</f>
        <v>8279.5</v>
      </c>
      <c r="CT170" s="85">
        <f>(CT307+CS307+CS313+CT313)/2</f>
        <v>9120.5</v>
      </c>
      <c r="CU170" s="85">
        <f>(CU307+CT307+CT313+CU313)/2</f>
        <v>8911</v>
      </c>
      <c r="CV170" s="85">
        <f>(CV307+CU307+CU313+CV313)/2</f>
        <v>8821</v>
      </c>
      <c r="CW170" s="232">
        <f>(CW307+CW313+CM313+CM307)/2</f>
        <v>8083</v>
      </c>
      <c r="CX170" s="348">
        <f>(CX307+CR307+CR313+CX313)/2</f>
        <v>8741.5</v>
      </c>
      <c r="CY170" s="85">
        <f t="shared" ref="CY170:DA170" si="649">(CY307+CX307+CX313+CY313)/2</f>
        <v>8355.6666666666661</v>
      </c>
      <c r="CZ170" s="85">
        <f t="shared" si="649"/>
        <v>7768.9999999999991</v>
      </c>
      <c r="DA170" s="85">
        <f t="shared" si="649"/>
        <v>7264.5833333333321</v>
      </c>
      <c r="DB170" s="232">
        <f>(DB307+DB313+CW313+CW307)/2</f>
        <v>7943.75</v>
      </c>
      <c r="DC170" s="85"/>
      <c r="DD170" s="85"/>
      <c r="DE170" s="85"/>
      <c r="DF170" s="85"/>
      <c r="DG170" s="232">
        <f>(DG307+DG313+DB313+DB307)/2</f>
        <v>6408.9999999999991</v>
      </c>
      <c r="DH170" s="85"/>
      <c r="DI170" s="85"/>
      <c r="DJ170" s="85"/>
      <c r="DK170" s="85"/>
      <c r="DL170" s="232">
        <f>(DL307+DL313+DG313+DG307)/2</f>
        <v>5000.9999999999991</v>
      </c>
      <c r="DM170" s="66"/>
      <c r="DN170" s="526"/>
      <c r="DO170" s="486"/>
      <c r="DP170" s="411"/>
      <c r="DQ170" s="411"/>
      <c r="DR170" s="411"/>
      <c r="DS170" s="561"/>
      <c r="DT170" s="561"/>
      <c r="DU170" s="472"/>
      <c r="DV170" s="460"/>
      <c r="DW170" s="460"/>
      <c r="DX170" s="460"/>
      <c r="DY170" s="472"/>
      <c r="DZ170" s="472"/>
      <c r="EA170" s="526"/>
      <c r="EH170" s="8"/>
    </row>
    <row r="171" spans="1:138" ht="12.75" customHeight="1" x14ac:dyDescent="0.2">
      <c r="A171" s="390" t="s">
        <v>4</v>
      </c>
      <c r="B171" s="78"/>
      <c r="C171" s="78"/>
      <c r="D171" s="78"/>
      <c r="E171" s="78"/>
      <c r="F171" s="226"/>
      <c r="G171" s="78"/>
      <c r="H171" s="78"/>
      <c r="I171" s="78"/>
      <c r="J171" s="78"/>
      <c r="K171" s="226"/>
      <c r="L171" s="78"/>
      <c r="M171" s="78"/>
      <c r="N171" s="78"/>
      <c r="O171" s="78"/>
      <c r="P171" s="226"/>
      <c r="Q171" s="78"/>
      <c r="R171" s="78"/>
      <c r="S171" s="78"/>
      <c r="T171" s="78"/>
      <c r="U171" s="226"/>
      <c r="V171" s="78"/>
      <c r="W171" s="78"/>
      <c r="X171" s="78"/>
      <c r="Y171" s="78"/>
      <c r="Z171" s="226">
        <f>Z173/Z170</f>
        <v>6.228975318441244E-2</v>
      </c>
      <c r="AA171" s="78"/>
      <c r="AB171" s="78"/>
      <c r="AC171" s="78"/>
      <c r="AD171" s="78"/>
      <c r="AE171" s="226">
        <f>AE173/AE170</f>
        <v>9.5374520585924868E-2</v>
      </c>
      <c r="AF171" s="78"/>
      <c r="AG171" s="78"/>
      <c r="AH171" s="78"/>
      <c r="AI171" s="78"/>
      <c r="AJ171" s="226">
        <f>AJ173/AJ170</f>
        <v>0.11044112980006347</v>
      </c>
      <c r="AK171" s="78">
        <f>(AK173*4)/AK170</f>
        <v>9.9856456344005487E-2</v>
      </c>
      <c r="AL171" s="78">
        <f>(AL173*4)/AL170</f>
        <v>8.0235988200589969E-2</v>
      </c>
      <c r="AM171" s="78">
        <f>(AM173*4)/AM170</f>
        <v>6.1135876801945231E-2</v>
      </c>
      <c r="AN171" s="78">
        <f>(AN173*4)/AN170</f>
        <v>6.3689858082381451E-2</v>
      </c>
      <c r="AO171" s="226">
        <f>AO173/AO170</f>
        <v>7.5241006348459913E-2</v>
      </c>
      <c r="AP171" s="585"/>
      <c r="AQ171" s="78"/>
      <c r="AR171" s="78"/>
      <c r="AS171" s="78"/>
      <c r="AT171" s="199"/>
      <c r="AU171" s="78">
        <f>(AU173*4)/AU170</f>
        <v>0.11523814780065125</v>
      </c>
      <c r="AV171" s="78">
        <f>(AV173*4)/AV170</f>
        <v>0.10913274530214212</v>
      </c>
      <c r="AW171" s="78">
        <f>(AW173*4)/AW170</f>
        <v>0.10460229336377315</v>
      </c>
      <c r="AX171" s="78">
        <f>(AX173*4)/AX170</f>
        <v>9.4646199925121674E-2</v>
      </c>
      <c r="AY171" s="199">
        <f>AY173/AY170</f>
        <v>8.4314262250205316E-2</v>
      </c>
      <c r="AZ171" s="585">
        <f>(AZ173*4)/AZ170</f>
        <v>7.4290710646124164E-2</v>
      </c>
      <c r="BA171" s="78">
        <f>(BA173*4)/BA170</f>
        <v>7.8086401156835572E-2</v>
      </c>
      <c r="BB171" s="78">
        <f>(BB173*4)/BB170</f>
        <v>7.4441397818096958E-2</v>
      </c>
      <c r="BC171" s="78">
        <f>(BC173*4)/BC170</f>
        <v>7.4995699787856196E-2</v>
      </c>
      <c r="BD171" s="199">
        <f>BD173/BD170</f>
        <v>7.5690722260061002E-2</v>
      </c>
      <c r="BE171" s="585">
        <f>(BE173*4)/BE170</f>
        <v>7.6449551503781438E-2</v>
      </c>
      <c r="BF171" s="78">
        <f>(BF173*4)/BF170</f>
        <v>7.7066576959540042E-2</v>
      </c>
      <c r="BG171" s="78">
        <f>(BG173*4)/BG170</f>
        <v>7.9363040965712089E-2</v>
      </c>
      <c r="BH171" s="78">
        <f>(BH173*4)/BH170</f>
        <v>7.0549041382238623E-2</v>
      </c>
      <c r="BI171" s="199">
        <f>BI173/BI170</f>
        <v>7.519260400616333E-2</v>
      </c>
      <c r="BJ171" s="585">
        <f>(BJ173*4)/BJ170</f>
        <v>7.1792511751750429E-2</v>
      </c>
      <c r="BK171" s="78">
        <f>(BK173*4)/BK170</f>
        <v>7.5628561850486081E-2</v>
      </c>
      <c r="BL171" s="78">
        <f>(BL173*4)/BL170</f>
        <v>7.7928314182815983E-2</v>
      </c>
      <c r="BM171" s="78">
        <f>(BM173*4)/BM170</f>
        <v>7.8529007688037486E-2</v>
      </c>
      <c r="BN171" s="199">
        <f>BN173/BN170</f>
        <v>7.6896265730607552E-2</v>
      </c>
      <c r="BO171" s="585">
        <f>(BO173*4)/BO170</f>
        <v>8.2011263665476494E-2</v>
      </c>
      <c r="BP171" s="78">
        <f>(BP173*4)/BP170</f>
        <v>7.9639499111746601E-2</v>
      </c>
      <c r="BQ171" s="78">
        <f>(BQ173*4)/BQ170</f>
        <v>7.8263242000233851E-2</v>
      </c>
      <c r="BR171" s="78">
        <f>(BR173*4)/BR170</f>
        <v>7.5691871008436495E-2</v>
      </c>
      <c r="BS171" s="199">
        <f>BS173/BS170</f>
        <v>7.7892183288409689E-2</v>
      </c>
      <c r="BT171" s="585">
        <f>(BT173*4)/BT170</f>
        <v>7.1859603450539794E-2</v>
      </c>
      <c r="BU171" s="78">
        <f>(BU173*4)/BU170</f>
        <v>7.1445635226699861E-2</v>
      </c>
      <c r="BV171" s="78">
        <f>(BV173*4)/BV170</f>
        <v>7.3177728949877702E-2</v>
      </c>
      <c r="BW171" s="78">
        <f>(BW173*4)/BW170</f>
        <v>7.4049090752852195E-2</v>
      </c>
      <c r="BX171" s="199">
        <f>BX173/BX170</f>
        <v>7.314904250039217E-2</v>
      </c>
      <c r="BY171" s="585">
        <f>(BY173*4)/BY170</f>
        <v>6.6576646074963025E-2</v>
      </c>
      <c r="BZ171" s="78">
        <f>(BZ173*4)/BZ170</f>
        <v>6.79753129785928E-2</v>
      </c>
      <c r="CA171" s="78">
        <f>(CA173*4)/CA170</f>
        <v>6.3274709235890847E-2</v>
      </c>
      <c r="CB171" s="78">
        <f>(CB173*4)/CB170</f>
        <v>6.0118064320461226E-2</v>
      </c>
      <c r="CC171" s="199">
        <f>CC173/CC170</f>
        <v>6.433449181799096E-2</v>
      </c>
      <c r="CD171" s="585">
        <f>(CD173*4)/CD170</f>
        <v>5.7507668925367336E-2</v>
      </c>
      <c r="CE171" s="78">
        <f>(CE173*4)/CE170</f>
        <v>5.7559197705007732E-2</v>
      </c>
      <c r="CF171" s="78">
        <f>(CF173*4)/CF170</f>
        <v>5.7318838895686001E-2</v>
      </c>
      <c r="CG171" s="78">
        <f>(CG173*4)/CG170</f>
        <v>5.1233275199921303E-2</v>
      </c>
      <c r="CH171" s="199">
        <f>CH173/CH170</f>
        <v>5.6656898353851265E-2</v>
      </c>
      <c r="CI171" s="585">
        <f>(CI173*4)/CI170</f>
        <v>5.5284488810882368E-2</v>
      </c>
      <c r="CJ171" s="78">
        <f>(CJ173*4)/CJ170</f>
        <v>4.9998037824323278E-2</v>
      </c>
      <c r="CK171" s="78">
        <f>(CK173*4)/CK170</f>
        <v>5.4277071879688173E-2</v>
      </c>
      <c r="CL171" s="78">
        <f>(CL173*4)/CL170</f>
        <v>5.5088751312986406E-2</v>
      </c>
      <c r="CM171" s="199">
        <f>CM173/CM170</f>
        <v>5.4198858200457618E-2</v>
      </c>
      <c r="CN171" s="585">
        <f>(CN173*4)/CN170</f>
        <v>5.0143341241659263E-2</v>
      </c>
      <c r="CO171" s="78">
        <f>(CO173*4)/CO170</f>
        <v>4.9267994934551938E-2</v>
      </c>
      <c r="CP171" s="78">
        <f>(CP173*4)/CP170</f>
        <v>4.9079648501916845E-2</v>
      </c>
      <c r="CQ171" s="78">
        <f>(CQ173*4)/CQ170</f>
        <v>4.9084600422012833E-2</v>
      </c>
      <c r="CR171" s="199">
        <f>CR173/CR170</f>
        <v>5.3656889451133713E-2</v>
      </c>
      <c r="CS171" s="585">
        <f>(CS173*4)/CS170</f>
        <v>5.0143341241659263E-2</v>
      </c>
      <c r="CT171" s="78">
        <f>(CT173*4)/CT170</f>
        <v>4.9267994934551938E-2</v>
      </c>
      <c r="CU171" s="78">
        <f>(CU173*4)/CU170</f>
        <v>4.9079648501916845E-2</v>
      </c>
      <c r="CV171" s="78">
        <f>(CV173*4)/CV170</f>
        <v>4.9084600422012833E-2</v>
      </c>
      <c r="CW171" s="199">
        <f>CW173/CW170</f>
        <v>5.3656889451133713E-2</v>
      </c>
      <c r="CX171" s="585">
        <f>(CX173*4)/CX170</f>
        <v>5.1249785505920034E-2</v>
      </c>
      <c r="CY171" s="78">
        <f t="shared" ref="CY171:DA171" si="650">(CY173*4)/CY170</f>
        <v>5.2658874217098181E-2</v>
      </c>
      <c r="CZ171" s="78">
        <f t="shared" si="650"/>
        <v>5.5090745269661484E-2</v>
      </c>
      <c r="DA171" s="78">
        <f t="shared" si="650"/>
        <v>5.6713507312876409E-2</v>
      </c>
      <c r="DB171" s="199">
        <f>DB173/DB170</f>
        <v>5.4382376081825334E-2</v>
      </c>
      <c r="DC171" s="78"/>
      <c r="DD171" s="78"/>
      <c r="DE171" s="78"/>
      <c r="DF171" s="78"/>
      <c r="DG171" s="434">
        <f>DB171</f>
        <v>5.4382376081825334E-2</v>
      </c>
      <c r="DH171" s="78"/>
      <c r="DI171" s="78"/>
      <c r="DJ171" s="78"/>
      <c r="DK171" s="78"/>
      <c r="DL171" s="434">
        <f>DG171</f>
        <v>5.4382376081825334E-2</v>
      </c>
      <c r="DM171" s="19"/>
      <c r="DN171" s="527"/>
      <c r="DO171" s="486"/>
      <c r="DP171" s="411"/>
      <c r="DQ171" s="411"/>
      <c r="DR171" s="411"/>
      <c r="DS171" s="478"/>
      <c r="DT171" s="478"/>
      <c r="DU171" s="854"/>
      <c r="DV171" s="472"/>
      <c r="DW171" s="472"/>
      <c r="DX171" s="472"/>
      <c r="DY171" s="472"/>
      <c r="DZ171" s="472"/>
      <c r="EA171" s="527"/>
      <c r="EH171" s="8"/>
    </row>
    <row r="172" spans="1:138" ht="12.75" customHeight="1" x14ac:dyDescent="0.2">
      <c r="A172" s="391" t="s">
        <v>156</v>
      </c>
      <c r="B172" s="86"/>
      <c r="C172" s="86"/>
      <c r="D172" s="86"/>
      <c r="E172" s="86"/>
      <c r="F172" s="233"/>
      <c r="G172" s="86"/>
      <c r="H172" s="86"/>
      <c r="I172" s="86"/>
      <c r="J172" s="86"/>
      <c r="K172" s="233"/>
      <c r="L172" s="86"/>
      <c r="M172" s="86"/>
      <c r="N172" s="86"/>
      <c r="O172" s="86"/>
      <c r="P172" s="233"/>
      <c r="Q172" s="86"/>
      <c r="R172" s="86"/>
      <c r="S172" s="86"/>
      <c r="T172" s="86"/>
      <c r="U172" s="233"/>
      <c r="V172" s="86"/>
      <c r="W172" s="86"/>
      <c r="X172" s="86"/>
      <c r="Y172" s="86"/>
      <c r="Z172" s="233"/>
      <c r="AA172" s="86"/>
      <c r="AB172" s="86"/>
      <c r="AC172" s="86"/>
      <c r="AD172" s="86"/>
      <c r="AE172" s="233"/>
      <c r="AF172" s="86"/>
      <c r="AG172" s="86"/>
      <c r="AH172" s="86"/>
      <c r="AI172" s="86"/>
      <c r="AJ172" s="233"/>
      <c r="AK172" s="86"/>
      <c r="AL172" s="86"/>
      <c r="AM172" s="86"/>
      <c r="AN172" s="86"/>
      <c r="AO172" s="233"/>
      <c r="AP172" s="586"/>
      <c r="AQ172" s="86"/>
      <c r="AR172" s="86"/>
      <c r="AS172" s="86"/>
      <c r="AT172" s="292"/>
      <c r="AU172" s="86"/>
      <c r="AV172" s="86"/>
      <c r="AW172" s="86"/>
      <c r="AX172" s="86"/>
      <c r="AY172" s="292"/>
      <c r="AZ172" s="586"/>
      <c r="BA172" s="86"/>
      <c r="BB172" s="86"/>
      <c r="BC172" s="86"/>
      <c r="BD172" s="292"/>
      <c r="BE172" s="586"/>
      <c r="BF172" s="86"/>
      <c r="BG172" s="86"/>
      <c r="BH172" s="86"/>
      <c r="BI172" s="292"/>
      <c r="BJ172" s="586"/>
      <c r="BK172" s="86"/>
      <c r="BL172" s="86"/>
      <c r="BM172" s="86"/>
      <c r="BN172" s="349">
        <f>BN171*BN170</f>
        <v>1116.6491228070176</v>
      </c>
      <c r="BO172" s="586"/>
      <c r="BP172" s="86"/>
      <c r="BQ172" s="86"/>
      <c r="BR172" s="86"/>
      <c r="BS172" s="292">
        <f>BS171*BS170</f>
        <v>1032.0714285714284</v>
      </c>
      <c r="BT172" s="586"/>
      <c r="BU172" s="86"/>
      <c r="BV172" s="86"/>
      <c r="BW172" s="86"/>
      <c r="BX172" s="292">
        <f>BX171*BX170</f>
        <v>879.65381058846606</v>
      </c>
      <c r="BY172" s="586"/>
      <c r="BZ172" s="86"/>
      <c r="CA172" s="86"/>
      <c r="CB172" s="86"/>
      <c r="CC172" s="292">
        <f>CC171*CC170</f>
        <v>679.3400663520755</v>
      </c>
      <c r="CD172" s="586"/>
      <c r="CE172" s="86"/>
      <c r="CF172" s="86"/>
      <c r="CG172" s="86"/>
      <c r="CH172" s="292">
        <f>CH171*CH170</f>
        <v>512.9149007974155</v>
      </c>
      <c r="CI172" s="586"/>
      <c r="CJ172" s="86"/>
      <c r="CK172" s="86"/>
      <c r="CL172" s="86"/>
      <c r="CM172" s="292">
        <f>CM171*CM170</f>
        <v>424.40415913868338</v>
      </c>
      <c r="CN172" s="586"/>
      <c r="CO172" s="86"/>
      <c r="CP172" s="86"/>
      <c r="CQ172" s="86"/>
      <c r="CR172" s="292">
        <f>CR171*CR170</f>
        <v>433.70863743351379</v>
      </c>
      <c r="CS172" s="586"/>
      <c r="CT172" s="86"/>
      <c r="CU172" s="86"/>
      <c r="CV172" s="86"/>
      <c r="CW172" s="292">
        <f>CW171*CW170</f>
        <v>433.70863743351379</v>
      </c>
      <c r="CX172" s="586"/>
      <c r="CY172" s="576"/>
      <c r="CZ172" s="576"/>
      <c r="DA172" s="576"/>
      <c r="DB172" s="292">
        <f>DB171*DB170</f>
        <v>432</v>
      </c>
      <c r="DC172" s="86"/>
      <c r="DD172" s="86"/>
      <c r="DE172" s="86"/>
      <c r="DF172" s="86"/>
      <c r="DG172" s="292">
        <f>DG171*DG170</f>
        <v>348.53664830841853</v>
      </c>
      <c r="DH172" s="86"/>
      <c r="DI172" s="86"/>
      <c r="DJ172" s="86"/>
      <c r="DK172" s="86"/>
      <c r="DL172" s="292">
        <f>DL171*DL170</f>
        <v>271.96626278520847</v>
      </c>
      <c r="DM172" s="425"/>
      <c r="DN172" s="528"/>
      <c r="DO172" s="486"/>
      <c r="DP172" s="411"/>
      <c r="DQ172" s="411"/>
      <c r="DR172" s="411"/>
      <c r="DS172" s="559"/>
      <c r="DT172" s="480"/>
      <c r="DU172" s="853"/>
      <c r="DV172" s="849"/>
      <c r="DW172" s="849"/>
      <c r="DX172" s="849"/>
      <c r="DY172" s="849"/>
      <c r="DZ172" s="472"/>
      <c r="EA172" s="528"/>
      <c r="EH172" s="8"/>
    </row>
    <row r="173" spans="1:138" ht="12.75" customHeight="1" x14ac:dyDescent="0.2">
      <c r="A173" s="393" t="s">
        <v>413</v>
      </c>
      <c r="B173" s="899"/>
      <c r="C173" s="899"/>
      <c r="D173" s="899"/>
      <c r="E173" s="899"/>
      <c r="F173" s="234"/>
      <c r="G173" s="899"/>
      <c r="H173" s="899"/>
      <c r="I173" s="899"/>
      <c r="J173" s="899"/>
      <c r="K173" s="234"/>
      <c r="L173" s="899"/>
      <c r="M173" s="899"/>
      <c r="N173" s="899"/>
      <c r="O173" s="899"/>
      <c r="P173" s="234"/>
      <c r="Q173" s="899"/>
      <c r="R173" s="899"/>
      <c r="S173" s="899"/>
      <c r="T173" s="899"/>
      <c r="U173" s="234"/>
      <c r="V173" s="899">
        <v>194</v>
      </c>
      <c r="W173" s="899">
        <v>197</v>
      </c>
      <c r="X173" s="899">
        <v>210</v>
      </c>
      <c r="Y173" s="899">
        <v>223</v>
      </c>
      <c r="Z173" s="234">
        <f>SUM(V173:Y173)</f>
        <v>824</v>
      </c>
      <c r="AA173" s="899">
        <v>268</v>
      </c>
      <c r="AB173" s="899">
        <v>288</v>
      </c>
      <c r="AC173" s="899">
        <v>277</v>
      </c>
      <c r="AD173" s="899">
        <v>199</v>
      </c>
      <c r="AE173" s="234">
        <f>SUM(AA173:AD173)</f>
        <v>1032</v>
      </c>
      <c r="AF173" s="899">
        <v>214</v>
      </c>
      <c r="AG173" s="899">
        <v>227</v>
      </c>
      <c r="AH173" s="899">
        <v>222</v>
      </c>
      <c r="AI173" s="899">
        <v>207</v>
      </c>
      <c r="AJ173" s="234">
        <f>SUM(AF173:AI173)</f>
        <v>870</v>
      </c>
      <c r="AK173" s="899">
        <v>200</v>
      </c>
      <c r="AL173" s="899">
        <f>182-12</f>
        <v>170</v>
      </c>
      <c r="AM173" s="899">
        <v>132</v>
      </c>
      <c r="AN173" s="899">
        <f>138</f>
        <v>138</v>
      </c>
      <c r="AO173" s="234">
        <f>SUM(AK173:AN173)</f>
        <v>640</v>
      </c>
      <c r="AP173" s="876"/>
      <c r="AQ173" s="899"/>
      <c r="AR173" s="899"/>
      <c r="AS173" s="899"/>
      <c r="AT173" s="207"/>
      <c r="AU173" s="899">
        <v>261</v>
      </c>
      <c r="AV173" s="899">
        <v>249</v>
      </c>
      <c r="AW173" s="899">
        <v>252</v>
      </c>
      <c r="AX173" s="899">
        <v>316</v>
      </c>
      <c r="AY173" s="207">
        <f>SUM(AU173:AX173)</f>
        <v>1078</v>
      </c>
      <c r="AZ173" s="876">
        <v>308</v>
      </c>
      <c r="BA173" s="899">
        <v>324</v>
      </c>
      <c r="BB173" s="899">
        <v>319</v>
      </c>
      <c r="BC173" s="899">
        <v>327</v>
      </c>
      <c r="BD173" s="207">
        <f>SUM(AZ173:BC173)</f>
        <v>1278</v>
      </c>
      <c r="BE173" s="876">
        <v>326</v>
      </c>
      <c r="BF173" s="899">
        <v>315</v>
      </c>
      <c r="BG173" s="899">
        <f>256+53</f>
        <v>309</v>
      </c>
      <c r="BH173" s="899">
        <f>224+46</f>
        <v>270</v>
      </c>
      <c r="BI173" s="207">
        <f>SUM(BE173:BH173)</f>
        <v>1220</v>
      </c>
      <c r="BJ173" s="876">
        <f>221+47+5</f>
        <v>273</v>
      </c>
      <c r="BK173" s="899">
        <f>236+46</f>
        <v>282</v>
      </c>
      <c r="BL173" s="899">
        <f>236+48</f>
        <v>284</v>
      </c>
      <c r="BM173" s="899">
        <v>277.64912280701753</v>
      </c>
      <c r="BN173" s="322">
        <f>SUM(BJ173:BM173)</f>
        <v>1116.6491228070176</v>
      </c>
      <c r="BO173" s="876">
        <v>278.5</v>
      </c>
      <c r="BP173" s="899">
        <v>262.57142857142856</v>
      </c>
      <c r="BQ173" s="899">
        <f>203+48</f>
        <v>251</v>
      </c>
      <c r="BR173" s="899">
        <f>195+45</f>
        <v>240</v>
      </c>
      <c r="BS173" s="207">
        <f>SUM(BO173:BR173)</f>
        <v>1032.0714285714284</v>
      </c>
      <c r="BT173" s="876">
        <v>224.76785714285714</v>
      </c>
      <c r="BU173" s="899">
        <v>219.11483253588514</v>
      </c>
      <c r="BV173" s="899">
        <f>198.64+22</f>
        <v>220.64</v>
      </c>
      <c r="BW173" s="899">
        <v>215.13112090972385</v>
      </c>
      <c r="BX173" s="207">
        <f>SUM(BT173:BW173)</f>
        <v>879.65381058846606</v>
      </c>
      <c r="BY173" s="876">
        <v>186.29809987926527</v>
      </c>
      <c r="BZ173" s="899">
        <v>181.54506713757672</v>
      </c>
      <c r="CA173" s="899">
        <v>161.83297820944532</v>
      </c>
      <c r="CB173" s="899">
        <v>149.66392112578822</v>
      </c>
      <c r="CC173" s="207">
        <f>SUM(BY173:CB173)</f>
        <v>679.3400663520755</v>
      </c>
      <c r="CD173" s="876">
        <v>138.72287436521736</v>
      </c>
      <c r="CE173" s="899">
        <v>135.1058268130794</v>
      </c>
      <c r="CF173" s="899">
        <v>129.38294909728722</v>
      </c>
      <c r="CG173" s="899">
        <v>109.70325052183149</v>
      </c>
      <c r="CH173" s="207">
        <f>SUM(CD173:CG173)</f>
        <v>512.9149007974155</v>
      </c>
      <c r="CI173" s="876">
        <v>115.95921528082576</v>
      </c>
      <c r="CJ173" s="899">
        <v>101.58976310429686</v>
      </c>
      <c r="CK173" s="899">
        <v>104.27303971486594</v>
      </c>
      <c r="CL173" s="899">
        <v>102.58214103869481</v>
      </c>
      <c r="CM173" s="207">
        <f>SUM(CI173:CL173)</f>
        <v>424.40415913868338</v>
      </c>
      <c r="CN173" s="876">
        <v>103.79044845257947</v>
      </c>
      <c r="CO173" s="899">
        <v>112.33718695014524</v>
      </c>
      <c r="CP173" s="899">
        <v>109.33718695014525</v>
      </c>
      <c r="CQ173" s="899">
        <v>108.2438150806438</v>
      </c>
      <c r="CR173" s="207">
        <f>SUM(CN173:CQ173)</f>
        <v>433.70863743351379</v>
      </c>
      <c r="CS173" s="876">
        <v>103.79044845257947</v>
      </c>
      <c r="CT173" s="899">
        <v>112.33718695014524</v>
      </c>
      <c r="CU173" s="899">
        <v>109.33718695014525</v>
      </c>
      <c r="CV173" s="899">
        <v>108.2438150806438</v>
      </c>
      <c r="CW173" s="207">
        <f>SUM(CS173:CV173)</f>
        <v>433.70863743351379</v>
      </c>
      <c r="CX173" s="872">
        <v>112</v>
      </c>
      <c r="CY173" s="89">
        <f>CX173-2</f>
        <v>110</v>
      </c>
      <c r="CZ173" s="89">
        <f>CY173-3</f>
        <v>107</v>
      </c>
      <c r="DA173" s="89">
        <f>CZ173-4</f>
        <v>103</v>
      </c>
      <c r="DB173" s="207">
        <f>SUM(CX173:DA173)</f>
        <v>432</v>
      </c>
      <c r="DC173" s="37"/>
      <c r="DD173" s="38"/>
      <c r="DE173" s="89"/>
      <c r="DF173" s="89"/>
      <c r="DG173" s="303">
        <v>349</v>
      </c>
      <c r="DH173" s="37"/>
      <c r="DI173" s="38"/>
      <c r="DJ173" s="89"/>
      <c r="DK173" s="89"/>
      <c r="DL173" s="303">
        <v>272</v>
      </c>
      <c r="DM173" s="89"/>
      <c r="DN173" s="529"/>
      <c r="DO173" s="486"/>
      <c r="DP173" s="411"/>
      <c r="DQ173" s="411"/>
      <c r="DR173" s="411"/>
      <c r="DS173" s="556"/>
      <c r="DT173" s="478"/>
      <c r="DU173" s="472"/>
      <c r="DV173" s="849"/>
      <c r="DW173" s="849"/>
      <c r="DX173" s="849"/>
      <c r="DY173" s="849"/>
      <c r="DZ173" s="472"/>
      <c r="EA173" s="529"/>
      <c r="EH173" s="8"/>
    </row>
    <row r="174" spans="1:138" ht="12.75" customHeight="1" x14ac:dyDescent="0.2">
      <c r="A174" s="90" t="s">
        <v>270</v>
      </c>
      <c r="B174" s="90">
        <v>69</v>
      </c>
      <c r="C174" s="90">
        <v>67</v>
      </c>
      <c r="D174" s="90">
        <v>64</v>
      </c>
      <c r="E174" s="90">
        <v>64.430000000000007</v>
      </c>
      <c r="F174" s="235">
        <f>SUM(B174:E174)</f>
        <v>264.43</v>
      </c>
      <c r="G174" s="90">
        <v>86</v>
      </c>
      <c r="H174" s="90">
        <v>91</v>
      </c>
      <c r="I174" s="90">
        <v>105</v>
      </c>
      <c r="J174" s="90">
        <v>128</v>
      </c>
      <c r="K174" s="235">
        <f>SUM(G174:J174)</f>
        <v>410</v>
      </c>
      <c r="L174" s="90">
        <v>141</v>
      </c>
      <c r="M174" s="90">
        <v>155</v>
      </c>
      <c r="N174" s="90">
        <v>156</v>
      </c>
      <c r="O174" s="90">
        <v>158</v>
      </c>
      <c r="P174" s="235">
        <f>SUM(L174:O174)</f>
        <v>610</v>
      </c>
      <c r="Q174" s="90">
        <v>161</v>
      </c>
      <c r="R174" s="90">
        <v>177</v>
      </c>
      <c r="S174" s="90">
        <v>177</v>
      </c>
      <c r="T174" s="90">
        <v>181</v>
      </c>
      <c r="U174" s="235">
        <f>SUM(Q174:T174)</f>
        <v>696</v>
      </c>
      <c r="V174" s="90">
        <f t="shared" ref="V174:AO174" si="651">V173-V169</f>
        <v>181</v>
      </c>
      <c r="W174" s="90">
        <f t="shared" si="651"/>
        <v>189</v>
      </c>
      <c r="X174" s="90">
        <f t="shared" si="651"/>
        <v>204</v>
      </c>
      <c r="Y174" s="90">
        <f t="shared" si="651"/>
        <v>213</v>
      </c>
      <c r="Z174" s="235">
        <f t="shared" si="651"/>
        <v>787</v>
      </c>
      <c r="AA174" s="90">
        <f t="shared" si="651"/>
        <v>254</v>
      </c>
      <c r="AB174" s="90">
        <f t="shared" si="651"/>
        <v>274</v>
      </c>
      <c r="AC174" s="90">
        <f t="shared" si="651"/>
        <v>260</v>
      </c>
      <c r="AD174" s="90">
        <f t="shared" si="651"/>
        <v>185</v>
      </c>
      <c r="AE174" s="235">
        <f t="shared" si="651"/>
        <v>973</v>
      </c>
      <c r="AF174" s="90">
        <f t="shared" si="651"/>
        <v>202</v>
      </c>
      <c r="AG174" s="90">
        <f t="shared" si="651"/>
        <v>209</v>
      </c>
      <c r="AH174" s="90">
        <f t="shared" si="651"/>
        <v>206</v>
      </c>
      <c r="AI174" s="90">
        <f t="shared" si="651"/>
        <v>184</v>
      </c>
      <c r="AJ174" s="235">
        <f t="shared" si="651"/>
        <v>801</v>
      </c>
      <c r="AK174" s="90">
        <f t="shared" si="651"/>
        <v>190</v>
      </c>
      <c r="AL174" s="90">
        <f t="shared" si="651"/>
        <v>133</v>
      </c>
      <c r="AM174" s="90">
        <f t="shared" si="651"/>
        <v>90</v>
      </c>
      <c r="AN174" s="90">
        <f t="shared" si="651"/>
        <v>99</v>
      </c>
      <c r="AO174" s="235">
        <f t="shared" si="651"/>
        <v>512</v>
      </c>
      <c r="AP174" s="90"/>
      <c r="AQ174" s="90"/>
      <c r="AR174" s="90"/>
      <c r="AS174" s="90"/>
      <c r="AT174" s="235"/>
      <c r="AU174" s="90">
        <f t="shared" ref="AU174:BO174" si="652">AU173-AU169</f>
        <v>198</v>
      </c>
      <c r="AV174" s="90">
        <f t="shared" si="652"/>
        <v>200</v>
      </c>
      <c r="AW174" s="90">
        <f t="shared" si="652"/>
        <v>210</v>
      </c>
      <c r="AX174" s="90">
        <f t="shared" si="652"/>
        <v>292</v>
      </c>
      <c r="AY174" s="235">
        <f t="shared" si="652"/>
        <v>900</v>
      </c>
      <c r="AZ174" s="90">
        <f t="shared" si="652"/>
        <v>298</v>
      </c>
      <c r="BA174" s="90">
        <f t="shared" si="652"/>
        <v>315</v>
      </c>
      <c r="BB174" s="90">
        <f t="shared" si="652"/>
        <v>315</v>
      </c>
      <c r="BC174" s="90">
        <f t="shared" si="652"/>
        <v>323</v>
      </c>
      <c r="BD174" s="235">
        <f t="shared" si="652"/>
        <v>1251</v>
      </c>
      <c r="BE174" s="90">
        <f t="shared" si="652"/>
        <v>306</v>
      </c>
      <c r="BF174" s="90">
        <f t="shared" si="652"/>
        <v>312</v>
      </c>
      <c r="BG174" s="90">
        <f t="shared" si="652"/>
        <v>302</v>
      </c>
      <c r="BH174" s="90">
        <f t="shared" si="652"/>
        <v>265</v>
      </c>
      <c r="BI174" s="235">
        <f t="shared" si="652"/>
        <v>1185</v>
      </c>
      <c r="BJ174" s="90">
        <f t="shared" si="652"/>
        <v>268</v>
      </c>
      <c r="BK174" s="90">
        <f t="shared" si="652"/>
        <v>279</v>
      </c>
      <c r="BL174" s="90">
        <f t="shared" si="652"/>
        <v>277</v>
      </c>
      <c r="BM174" s="90">
        <f t="shared" si="652"/>
        <v>270</v>
      </c>
      <c r="BN174" s="353">
        <f>SUM(BJ174:BM174)</f>
        <v>1094</v>
      </c>
      <c r="BO174" s="90">
        <f t="shared" si="652"/>
        <v>272</v>
      </c>
      <c r="BP174" s="90">
        <f>BP173-BP169</f>
        <v>255.99999999999997</v>
      </c>
      <c r="BQ174" s="90">
        <f>BQ173-BQ169</f>
        <v>243</v>
      </c>
      <c r="BR174" s="90">
        <f>BR173-BR169</f>
        <v>233.75206611570249</v>
      </c>
      <c r="BS174" s="235">
        <f>SUM(BO174:BR174)</f>
        <v>1004.7520661157025</v>
      </c>
      <c r="BT174" s="90">
        <f t="shared" ref="BT174:BZ174" si="653">BT173-BT169</f>
        <v>220</v>
      </c>
      <c r="BU174" s="90">
        <f t="shared" si="653"/>
        <v>213</v>
      </c>
      <c r="BV174" s="90">
        <f>BV173-BV169</f>
        <v>212.99999999999997</v>
      </c>
      <c r="BW174" s="90">
        <f>BW173-BW169</f>
        <v>206</v>
      </c>
      <c r="BX174" s="235">
        <f t="shared" si="653"/>
        <v>851.99999999999989</v>
      </c>
      <c r="BY174" s="90">
        <f t="shared" si="653"/>
        <v>178</v>
      </c>
      <c r="BZ174" s="90">
        <f t="shared" si="653"/>
        <v>173</v>
      </c>
      <c r="CA174" s="90">
        <f>CA173-CA169</f>
        <v>154</v>
      </c>
      <c r="CB174" s="90">
        <f>CB173-CB169</f>
        <v>142</v>
      </c>
      <c r="CC174" s="235">
        <f>CC173-CC169</f>
        <v>647</v>
      </c>
      <c r="CD174" s="90">
        <f>CD173-CD169</f>
        <v>131</v>
      </c>
      <c r="CE174" s="90">
        <f>CE173-CE169</f>
        <v>127</v>
      </c>
      <c r="CF174" s="90">
        <f t="shared" ref="CF174:CH174" si="654">CF173-CF169</f>
        <v>121</v>
      </c>
      <c r="CG174" s="90">
        <f t="shared" si="654"/>
        <v>102</v>
      </c>
      <c r="CH174" s="235">
        <f t="shared" si="654"/>
        <v>481</v>
      </c>
      <c r="CI174" s="90">
        <f>CI173-CI169</f>
        <v>107</v>
      </c>
      <c r="CJ174" s="90">
        <f>CJ173-CJ169</f>
        <v>93</v>
      </c>
      <c r="CK174" s="90">
        <f t="shared" ref="CK174:CM174" si="655">CK173-CK169</f>
        <v>95</v>
      </c>
      <c r="CL174" s="90">
        <f t="shared" si="655"/>
        <v>93</v>
      </c>
      <c r="CM174" s="235">
        <f t="shared" si="655"/>
        <v>388</v>
      </c>
      <c r="CN174" s="90">
        <f>CN173-CN169</f>
        <v>94</v>
      </c>
      <c r="CO174" s="90">
        <f>CO173-CO169</f>
        <v>103</v>
      </c>
      <c r="CP174" s="90">
        <f t="shared" ref="CP174:CR174" si="656">CP173-CP169</f>
        <v>100</v>
      </c>
      <c r="CQ174" s="90">
        <f t="shared" si="656"/>
        <v>99</v>
      </c>
      <c r="CR174" s="235">
        <f t="shared" si="656"/>
        <v>396</v>
      </c>
      <c r="CS174" s="90">
        <f>CS173-CS169</f>
        <v>94</v>
      </c>
      <c r="CT174" s="90">
        <f>CT173-CT169</f>
        <v>103</v>
      </c>
      <c r="CU174" s="90">
        <f t="shared" ref="CU174:CW174" si="657">CU173-CU169</f>
        <v>100</v>
      </c>
      <c r="CV174" s="90">
        <f t="shared" si="657"/>
        <v>99</v>
      </c>
      <c r="CW174" s="235">
        <f t="shared" si="657"/>
        <v>396</v>
      </c>
      <c r="CX174" s="90">
        <f>CX173-CX169</f>
        <v>102</v>
      </c>
      <c r="CY174" s="90">
        <f t="shared" ref="CY174:DA174" si="658">CY173-CY169</f>
        <v>99</v>
      </c>
      <c r="CZ174" s="90">
        <f t="shared" si="658"/>
        <v>95</v>
      </c>
      <c r="DA174" s="90">
        <f t="shared" si="658"/>
        <v>90</v>
      </c>
      <c r="DB174" s="235">
        <f>DB173-DB169</f>
        <v>386</v>
      </c>
      <c r="DC174" s="90"/>
      <c r="DD174" s="90"/>
      <c r="DE174" s="90"/>
      <c r="DF174" s="90"/>
      <c r="DG174" s="235">
        <f>DG173-DG169</f>
        <v>310</v>
      </c>
      <c r="DH174" s="90"/>
      <c r="DI174" s="90"/>
      <c r="DJ174" s="90"/>
      <c r="DK174" s="90"/>
      <c r="DL174" s="235">
        <f>DL173-DL169</f>
        <v>233</v>
      </c>
      <c r="DM174" s="37"/>
      <c r="DN174" s="506"/>
      <c r="DO174" s="486"/>
      <c r="DP174" s="411"/>
      <c r="DQ174" s="411"/>
      <c r="DR174" s="411"/>
      <c r="DS174" s="556"/>
      <c r="DT174" s="561"/>
      <c r="DU174" s="465"/>
      <c r="DV174" s="465"/>
      <c r="DW174" s="465"/>
      <c r="DX174" s="465"/>
      <c r="DY174" s="465"/>
      <c r="DZ174" s="465"/>
      <c r="EA174" s="506"/>
      <c r="EH174" s="8"/>
    </row>
    <row r="175" spans="1:138" ht="12.75" customHeight="1" x14ac:dyDescent="0.2">
      <c r="A175" s="394" t="s">
        <v>295</v>
      </c>
      <c r="B175" s="881">
        <v>17</v>
      </c>
      <c r="C175" s="881">
        <v>8</v>
      </c>
      <c r="D175" s="881">
        <v>12</v>
      </c>
      <c r="E175" s="881">
        <v>3</v>
      </c>
      <c r="F175" s="248">
        <f>SUM(B175:E175)</f>
        <v>40</v>
      </c>
      <c r="G175" s="881">
        <v>-4</v>
      </c>
      <c r="H175" s="881">
        <v>-6</v>
      </c>
      <c r="I175" s="881">
        <v>-1</v>
      </c>
      <c r="J175" s="881">
        <v>7</v>
      </c>
      <c r="K175" s="248">
        <f>SUM(G175:J175)</f>
        <v>-4</v>
      </c>
      <c r="L175" s="881">
        <v>2</v>
      </c>
      <c r="M175" s="881">
        <v>10</v>
      </c>
      <c r="N175" s="881">
        <v>4</v>
      </c>
      <c r="O175" s="881">
        <v>-24</v>
      </c>
      <c r="P175" s="248">
        <f>SUM(L175:O175)</f>
        <v>-8</v>
      </c>
      <c r="Q175" s="881">
        <v>-8.4</v>
      </c>
      <c r="R175" s="881">
        <v>8</v>
      </c>
      <c r="S175" s="881">
        <v>-10</v>
      </c>
      <c r="T175" s="881">
        <v>-9</v>
      </c>
      <c r="U175" s="248">
        <f>SUM(Q175:T175)</f>
        <v>-19.399999999999999</v>
      </c>
      <c r="V175" s="881">
        <v>-29</v>
      </c>
      <c r="W175" s="881">
        <v>1</v>
      </c>
      <c r="X175" s="881">
        <v>-25</v>
      </c>
      <c r="Y175" s="881">
        <v>156</v>
      </c>
      <c r="Z175" s="248">
        <f>SUM(V175:Y175)</f>
        <v>103</v>
      </c>
      <c r="AA175" s="881">
        <v>-4</v>
      </c>
      <c r="AB175" s="881">
        <v>3</v>
      </c>
      <c r="AC175" s="881">
        <v>0</v>
      </c>
      <c r="AD175" s="881">
        <v>0</v>
      </c>
      <c r="AE175" s="248">
        <f>SUM(AA175:AD175)</f>
        <v>-1</v>
      </c>
      <c r="AF175" s="881">
        <v>0</v>
      </c>
      <c r="AG175" s="881">
        <v>19</v>
      </c>
      <c r="AH175" s="881">
        <v>-31</v>
      </c>
      <c r="AI175" s="881">
        <v>-7</v>
      </c>
      <c r="AJ175" s="248">
        <f>SUM(AF175:AI175)</f>
        <v>-19</v>
      </c>
      <c r="AK175" s="881">
        <v>29</v>
      </c>
      <c r="AL175" s="881">
        <v>7</v>
      </c>
      <c r="AM175" s="881">
        <v>0</v>
      </c>
      <c r="AN175" s="881">
        <v>-4</v>
      </c>
      <c r="AO175" s="248">
        <f>SUM(AK175:AN175)</f>
        <v>32</v>
      </c>
      <c r="AP175" s="877"/>
      <c r="AQ175" s="881"/>
      <c r="AR175" s="881"/>
      <c r="AS175" s="881"/>
      <c r="AT175" s="248"/>
      <c r="AU175" s="881">
        <v>-17</v>
      </c>
      <c r="AV175" s="881">
        <v>45</v>
      </c>
      <c r="AW175" s="881">
        <v>-67</v>
      </c>
      <c r="AX175" s="881">
        <v>-72</v>
      </c>
      <c r="AY175" s="248">
        <f>SUM(AU175:AX175)</f>
        <v>-111</v>
      </c>
      <c r="AZ175" s="877">
        <v>-13</v>
      </c>
      <c r="BA175" s="881">
        <v>61</v>
      </c>
      <c r="BB175" s="881">
        <f>15</f>
        <v>15</v>
      </c>
      <c r="BC175" s="881">
        <v>14</v>
      </c>
      <c r="BD175" s="248">
        <f>SUM(AZ175:BC175)</f>
        <v>77</v>
      </c>
      <c r="BE175" s="877">
        <f>-8+10</f>
        <v>2</v>
      </c>
      <c r="BF175" s="881">
        <f>-72</f>
        <v>-72</v>
      </c>
      <c r="BG175" s="881">
        <f>-360+25+360</f>
        <v>25</v>
      </c>
      <c r="BH175" s="881">
        <f>-31+23+31</f>
        <v>23</v>
      </c>
      <c r="BI175" s="248">
        <f>SUM(BE175:BH175)</f>
        <v>-22</v>
      </c>
      <c r="BJ175" s="877">
        <f>-20-9+20</f>
        <v>-9</v>
      </c>
      <c r="BK175" s="881">
        <v>6</v>
      </c>
      <c r="BL175" s="881">
        <v>-31</v>
      </c>
      <c r="BM175" s="881">
        <v>-9</v>
      </c>
      <c r="BN175" s="350">
        <f>SUM(BJ175:BM175)</f>
        <v>-43</v>
      </c>
      <c r="BO175" s="877">
        <v>17</v>
      </c>
      <c r="BP175" s="881">
        <v>-42</v>
      </c>
      <c r="BQ175" s="881">
        <v>-1</v>
      </c>
      <c r="BR175" s="881">
        <v>-2</v>
      </c>
      <c r="BS175" s="248">
        <f>SUM(BO175:BR175)</f>
        <v>-28</v>
      </c>
      <c r="BT175" s="877">
        <v>1</v>
      </c>
      <c r="BU175" s="881">
        <v>-15</v>
      </c>
      <c r="BV175" s="881">
        <f>13+22</f>
        <v>35</v>
      </c>
      <c r="BW175" s="881">
        <v>-20</v>
      </c>
      <c r="BX175" s="248">
        <f>SUM(BT175:BW175)</f>
        <v>1</v>
      </c>
      <c r="BY175" s="877">
        <v>-81</v>
      </c>
      <c r="BZ175" s="881">
        <v>3</v>
      </c>
      <c r="CA175" s="881">
        <v>39</v>
      </c>
      <c r="CB175" s="881">
        <v>-46</v>
      </c>
      <c r="CC175" s="248">
        <f>SUM(BY175:CB175)</f>
        <v>-85</v>
      </c>
      <c r="CD175" s="877">
        <v>-94</v>
      </c>
      <c r="CE175" s="881">
        <v>-12</v>
      </c>
      <c r="CF175" s="881">
        <v>-7</v>
      </c>
      <c r="CG175" s="881">
        <v>-77</v>
      </c>
      <c r="CH175" s="248">
        <f>SUM(CD175:CG175)</f>
        <v>-190</v>
      </c>
      <c r="CI175" s="877">
        <v>-28</v>
      </c>
      <c r="CJ175" s="881">
        <v>-31</v>
      </c>
      <c r="CK175" s="881">
        <v>9</v>
      </c>
      <c r="CL175" s="881">
        <v>7</v>
      </c>
      <c r="CM175" s="248">
        <f>SUM(CI175:CL175)</f>
        <v>-43</v>
      </c>
      <c r="CN175" s="877">
        <v>-28</v>
      </c>
      <c r="CO175" s="881">
        <v>-19</v>
      </c>
      <c r="CP175" s="881">
        <f>66+-7</f>
        <v>59</v>
      </c>
      <c r="CQ175" s="881">
        <f>-5+-15</f>
        <v>-20</v>
      </c>
      <c r="CR175" s="248">
        <f>SUM(CN175:CQ175)</f>
        <v>-8</v>
      </c>
      <c r="CS175" s="877">
        <f>-56+16</f>
        <v>-40</v>
      </c>
      <c r="CT175" s="881">
        <f>-48+15</f>
        <v>-33</v>
      </c>
      <c r="CU175" s="881">
        <f>53-7</f>
        <v>46</v>
      </c>
      <c r="CV175" s="881">
        <f>-19-15</f>
        <v>-34</v>
      </c>
      <c r="CW175" s="248">
        <f>SUM(CS175:CV175)</f>
        <v>-61</v>
      </c>
      <c r="CX175" s="968">
        <f>-38+3</f>
        <v>-35</v>
      </c>
      <c r="CY175" s="91">
        <v>60</v>
      </c>
      <c r="CZ175" s="91">
        <v>60</v>
      </c>
      <c r="DA175" s="91">
        <v>60</v>
      </c>
      <c r="DB175" s="248">
        <f>SUM(CX175:DA175)</f>
        <v>145</v>
      </c>
      <c r="DC175" s="66"/>
      <c r="DD175" s="66"/>
      <c r="DE175" s="91"/>
      <c r="DF175" s="91"/>
      <c r="DG175" s="302">
        <v>0</v>
      </c>
      <c r="DH175" s="66"/>
      <c r="DI175" s="66"/>
      <c r="DJ175" s="91"/>
      <c r="DK175" s="91"/>
      <c r="DL175" s="302">
        <v>0</v>
      </c>
      <c r="DM175" s="89"/>
      <c r="DN175" s="529"/>
      <c r="DO175" s="486"/>
      <c r="DP175" s="411"/>
      <c r="DQ175" s="411"/>
      <c r="DR175" s="411"/>
      <c r="DS175" s="925"/>
      <c r="DT175" s="561"/>
      <c r="DU175" s="465"/>
      <c r="DV175" s="465"/>
      <c r="DW175" s="465"/>
      <c r="DX175" s="465"/>
      <c r="DY175" s="465"/>
      <c r="DZ175" s="465"/>
      <c r="EA175" s="529"/>
      <c r="EH175" s="8"/>
    </row>
    <row r="176" spans="1:138" ht="12.75" customHeight="1" x14ac:dyDescent="0.2">
      <c r="A176" s="92" t="s">
        <v>282</v>
      </c>
      <c r="B176" s="93">
        <f>B175-B174</f>
        <v>-52</v>
      </c>
      <c r="C176" s="93">
        <f t="shared" ref="C176:AO176" si="659">C175-C174</f>
        <v>-59</v>
      </c>
      <c r="D176" s="93">
        <f t="shared" si="659"/>
        <v>-52</v>
      </c>
      <c r="E176" s="93">
        <f t="shared" si="659"/>
        <v>-61.430000000000007</v>
      </c>
      <c r="F176" s="430">
        <f t="shared" si="659"/>
        <v>-224.43</v>
      </c>
      <c r="G176" s="93">
        <f t="shared" si="659"/>
        <v>-90</v>
      </c>
      <c r="H176" s="93">
        <f t="shared" si="659"/>
        <v>-97</v>
      </c>
      <c r="I176" s="93">
        <f t="shared" si="659"/>
        <v>-106</v>
      </c>
      <c r="J176" s="93">
        <f t="shared" si="659"/>
        <v>-121</v>
      </c>
      <c r="K176" s="430">
        <f t="shared" si="659"/>
        <v>-414</v>
      </c>
      <c r="L176" s="93">
        <f t="shared" si="659"/>
        <v>-139</v>
      </c>
      <c r="M176" s="93">
        <f t="shared" si="659"/>
        <v>-145</v>
      </c>
      <c r="N176" s="93">
        <f t="shared" si="659"/>
        <v>-152</v>
      </c>
      <c r="O176" s="93">
        <f t="shared" si="659"/>
        <v>-182</v>
      </c>
      <c r="P176" s="430">
        <f t="shared" si="659"/>
        <v>-618</v>
      </c>
      <c r="Q176" s="93">
        <f t="shared" si="659"/>
        <v>-169.4</v>
      </c>
      <c r="R176" s="93">
        <f t="shared" si="659"/>
        <v>-169</v>
      </c>
      <c r="S176" s="93">
        <f t="shared" si="659"/>
        <v>-187</v>
      </c>
      <c r="T176" s="93">
        <f t="shared" si="659"/>
        <v>-190</v>
      </c>
      <c r="U176" s="430">
        <f t="shared" si="659"/>
        <v>-715.4</v>
      </c>
      <c r="V176" s="93">
        <f t="shared" si="659"/>
        <v>-210</v>
      </c>
      <c r="W176" s="93">
        <f t="shared" si="659"/>
        <v>-188</v>
      </c>
      <c r="X176" s="93">
        <f t="shared" si="659"/>
        <v>-229</v>
      </c>
      <c r="Y176" s="93">
        <f t="shared" si="659"/>
        <v>-57</v>
      </c>
      <c r="Z176" s="430">
        <f t="shared" si="659"/>
        <v>-684</v>
      </c>
      <c r="AA176" s="93">
        <f t="shared" si="659"/>
        <v>-258</v>
      </c>
      <c r="AB176" s="93">
        <f t="shared" si="659"/>
        <v>-271</v>
      </c>
      <c r="AC176" s="93">
        <f t="shared" si="659"/>
        <v>-260</v>
      </c>
      <c r="AD176" s="93">
        <f t="shared" si="659"/>
        <v>-185</v>
      </c>
      <c r="AE176" s="430">
        <f t="shared" si="659"/>
        <v>-974</v>
      </c>
      <c r="AF176" s="93">
        <f t="shared" si="659"/>
        <v>-202</v>
      </c>
      <c r="AG176" s="93">
        <f t="shared" si="659"/>
        <v>-190</v>
      </c>
      <c r="AH176" s="93">
        <f t="shared" si="659"/>
        <v>-237</v>
      </c>
      <c r="AI176" s="93">
        <f t="shared" si="659"/>
        <v>-191</v>
      </c>
      <c r="AJ176" s="430">
        <f t="shared" si="659"/>
        <v>-820</v>
      </c>
      <c r="AK176" s="93">
        <f t="shared" si="659"/>
        <v>-161</v>
      </c>
      <c r="AL176" s="93">
        <f t="shared" si="659"/>
        <v>-126</v>
      </c>
      <c r="AM176" s="93">
        <f t="shared" si="659"/>
        <v>-90</v>
      </c>
      <c r="AN176" s="93">
        <f t="shared" si="659"/>
        <v>-103</v>
      </c>
      <c r="AO176" s="430">
        <f t="shared" si="659"/>
        <v>-480</v>
      </c>
      <c r="AP176" s="351"/>
      <c r="AQ176" s="93"/>
      <c r="AR176" s="93"/>
      <c r="AS176" s="93"/>
      <c r="AT176" s="293"/>
      <c r="AU176" s="93">
        <f t="shared" ref="AU176:BD176" si="660">AU175-AU174</f>
        <v>-215</v>
      </c>
      <c r="AV176" s="93">
        <f t="shared" si="660"/>
        <v>-155</v>
      </c>
      <c r="AW176" s="93">
        <f t="shared" si="660"/>
        <v>-277</v>
      </c>
      <c r="AX176" s="93">
        <f t="shared" si="660"/>
        <v>-364</v>
      </c>
      <c r="AY176" s="293">
        <f t="shared" si="660"/>
        <v>-1011</v>
      </c>
      <c r="AZ176" s="351">
        <f t="shared" si="660"/>
        <v>-311</v>
      </c>
      <c r="BA176" s="93">
        <f t="shared" si="660"/>
        <v>-254</v>
      </c>
      <c r="BB176" s="93">
        <f t="shared" si="660"/>
        <v>-300</v>
      </c>
      <c r="BC176" s="93">
        <f t="shared" si="660"/>
        <v>-309</v>
      </c>
      <c r="BD176" s="293">
        <f t="shared" si="660"/>
        <v>-1174</v>
      </c>
      <c r="BE176" s="351">
        <f t="shared" ref="BE176:BP176" si="661">BE175-BE174</f>
        <v>-304</v>
      </c>
      <c r="BF176" s="93">
        <f t="shared" si="661"/>
        <v>-384</v>
      </c>
      <c r="BG176" s="93">
        <f t="shared" si="661"/>
        <v>-277</v>
      </c>
      <c r="BH176" s="93">
        <f t="shared" si="661"/>
        <v>-242</v>
      </c>
      <c r="BI176" s="293">
        <f t="shared" si="661"/>
        <v>-1207</v>
      </c>
      <c r="BJ176" s="351">
        <f t="shared" si="661"/>
        <v>-277</v>
      </c>
      <c r="BK176" s="93">
        <f t="shared" si="661"/>
        <v>-273</v>
      </c>
      <c r="BL176" s="93">
        <f t="shared" si="661"/>
        <v>-308</v>
      </c>
      <c r="BM176" s="93">
        <f t="shared" si="661"/>
        <v>-279</v>
      </c>
      <c r="BN176" s="351">
        <f t="shared" ref="BN176:BU176" si="662">BN175-BN174</f>
        <v>-1137</v>
      </c>
      <c r="BO176" s="351">
        <f t="shared" si="661"/>
        <v>-255</v>
      </c>
      <c r="BP176" s="93">
        <f t="shared" si="661"/>
        <v>-298</v>
      </c>
      <c r="BQ176" s="93">
        <f t="shared" si="662"/>
        <v>-244</v>
      </c>
      <c r="BR176" s="93">
        <f t="shared" si="662"/>
        <v>-235.75206611570249</v>
      </c>
      <c r="BS176" s="293">
        <f t="shared" si="662"/>
        <v>-1032.7520661157025</v>
      </c>
      <c r="BT176" s="351">
        <f t="shared" si="662"/>
        <v>-219</v>
      </c>
      <c r="BU176" s="93">
        <f t="shared" si="662"/>
        <v>-228</v>
      </c>
      <c r="BV176" s="93">
        <f t="shared" ref="BV176:CC176" si="663">BV175-BV174</f>
        <v>-177.99999999999997</v>
      </c>
      <c r="BW176" s="93">
        <f t="shared" si="663"/>
        <v>-226</v>
      </c>
      <c r="BX176" s="293">
        <f t="shared" si="663"/>
        <v>-850.99999999999989</v>
      </c>
      <c r="BY176" s="351">
        <f t="shared" si="663"/>
        <v>-259</v>
      </c>
      <c r="BZ176" s="93">
        <f t="shared" si="663"/>
        <v>-170</v>
      </c>
      <c r="CA176" s="93">
        <f t="shared" si="663"/>
        <v>-115</v>
      </c>
      <c r="CB176" s="93">
        <f t="shared" si="663"/>
        <v>-188</v>
      </c>
      <c r="CC176" s="293">
        <f t="shared" si="663"/>
        <v>-732</v>
      </c>
      <c r="CD176" s="351">
        <f t="shared" ref="CD176:CH176" si="664">CD175-CD174</f>
        <v>-225</v>
      </c>
      <c r="CE176" s="93">
        <f t="shared" si="664"/>
        <v>-139</v>
      </c>
      <c r="CF176" s="93">
        <f t="shared" si="664"/>
        <v>-128</v>
      </c>
      <c r="CG176" s="93">
        <f t="shared" si="664"/>
        <v>-179</v>
      </c>
      <c r="CH176" s="293">
        <f t="shared" si="664"/>
        <v>-671</v>
      </c>
      <c r="CI176" s="351">
        <f>CI175-CI174</f>
        <v>-135</v>
      </c>
      <c r="CJ176" s="93">
        <f t="shared" ref="CJ176:CM176" si="665">CJ175-CJ174</f>
        <v>-124</v>
      </c>
      <c r="CK176" s="93">
        <f t="shared" si="665"/>
        <v>-86</v>
      </c>
      <c r="CL176" s="93">
        <f t="shared" si="665"/>
        <v>-86</v>
      </c>
      <c r="CM176" s="293">
        <f t="shared" si="665"/>
        <v>-431</v>
      </c>
      <c r="CN176" s="351">
        <f>CN175-CN174</f>
        <v>-122</v>
      </c>
      <c r="CO176" s="93">
        <f t="shared" ref="CO176:CR176" si="666">CO175-CO174</f>
        <v>-122</v>
      </c>
      <c r="CP176" s="93">
        <f t="shared" si="666"/>
        <v>-41</v>
      </c>
      <c r="CQ176" s="93">
        <f t="shared" si="666"/>
        <v>-119</v>
      </c>
      <c r="CR176" s="293">
        <f t="shared" si="666"/>
        <v>-404</v>
      </c>
      <c r="CS176" s="351">
        <f>CS175-CS174</f>
        <v>-134</v>
      </c>
      <c r="CT176" s="93">
        <f t="shared" ref="CT176:CW176" si="667">CT175-CT174</f>
        <v>-136</v>
      </c>
      <c r="CU176" s="93">
        <f t="shared" si="667"/>
        <v>-54</v>
      </c>
      <c r="CV176" s="93">
        <f t="shared" si="667"/>
        <v>-133</v>
      </c>
      <c r="CW176" s="293">
        <f t="shared" si="667"/>
        <v>-457</v>
      </c>
      <c r="CX176" s="351">
        <f>CX175-CX174</f>
        <v>-137</v>
      </c>
      <c r="CY176" s="93">
        <f t="shared" ref="CY176:DA176" si="668">CY175-CY174</f>
        <v>-39</v>
      </c>
      <c r="CZ176" s="93">
        <f t="shared" si="668"/>
        <v>-35</v>
      </c>
      <c r="DA176" s="93">
        <f t="shared" si="668"/>
        <v>-30</v>
      </c>
      <c r="DB176" s="293">
        <f>DB175-DB174</f>
        <v>-241</v>
      </c>
      <c r="DC176" s="93"/>
      <c r="DD176" s="93"/>
      <c r="DE176" s="93"/>
      <c r="DF176" s="93"/>
      <c r="DG176" s="293">
        <f>DG175-DG174</f>
        <v>-310</v>
      </c>
      <c r="DH176" s="93"/>
      <c r="DI176" s="93"/>
      <c r="DJ176" s="93"/>
      <c r="DK176" s="93"/>
      <c r="DL176" s="293">
        <f>DL175-DL174</f>
        <v>-233</v>
      </c>
      <c r="DM176" s="89"/>
      <c r="DN176" s="529"/>
      <c r="DO176" s="486"/>
      <c r="DP176" s="411"/>
      <c r="DQ176" s="411"/>
      <c r="DR176" s="411"/>
      <c r="DS176" s="925" t="s">
        <v>589</v>
      </c>
      <c r="DT176" s="577"/>
      <c r="DU176" s="577"/>
      <c r="DV176" s="577"/>
      <c r="DW176" s="577"/>
      <c r="DX176" s="465"/>
      <c r="DY176" s="465"/>
      <c r="DZ176" s="465"/>
      <c r="EA176" s="529"/>
      <c r="EH176" s="8"/>
    </row>
    <row r="177" spans="1:138" ht="12.75" customHeight="1" x14ac:dyDescent="0.2">
      <c r="A177" s="5" t="s">
        <v>300</v>
      </c>
      <c r="B177" s="636"/>
      <c r="C177" s="5"/>
      <c r="D177" s="5"/>
      <c r="E177" s="5"/>
      <c r="F177" s="197"/>
      <c r="G177" s="636"/>
      <c r="H177" s="5"/>
      <c r="I177" s="5"/>
      <c r="J177" s="5"/>
      <c r="K177" s="197"/>
      <c r="L177" s="636"/>
      <c r="M177" s="5"/>
      <c r="N177" s="5"/>
      <c r="O177" s="5"/>
      <c r="P177" s="197"/>
      <c r="Q177" s="636"/>
      <c r="R177" s="5"/>
      <c r="S177" s="5"/>
      <c r="T177" s="5"/>
      <c r="U177" s="197"/>
      <c r="V177" s="636"/>
      <c r="W177" s="5"/>
      <c r="X177" s="5"/>
      <c r="Y177" s="5"/>
      <c r="Z177" s="197"/>
      <c r="AA177" s="636"/>
      <c r="AB177" s="5"/>
      <c r="AC177" s="5"/>
      <c r="AD177" s="5"/>
      <c r="AE177" s="197"/>
      <c r="AF177" s="636"/>
      <c r="AG177" s="5"/>
      <c r="AH177" s="5"/>
      <c r="AI177" s="5"/>
      <c r="AJ177" s="197"/>
      <c r="AK177" s="636"/>
      <c r="AL177" s="5"/>
      <c r="AM177" s="5"/>
      <c r="AN177" s="5"/>
      <c r="AO177" s="197"/>
      <c r="AP177" s="636"/>
      <c r="AQ177" s="5"/>
      <c r="AR177" s="5"/>
      <c r="AS177" s="5"/>
      <c r="AT177" s="197"/>
      <c r="AU177" s="636"/>
      <c r="AV177" s="5"/>
      <c r="AW177" s="5"/>
      <c r="AX177" s="5"/>
      <c r="AY177" s="197"/>
      <c r="AZ177" s="636"/>
      <c r="BA177" s="5"/>
      <c r="BB177" s="5"/>
      <c r="BC177" s="5"/>
      <c r="BD177" s="197"/>
      <c r="BE177" s="636"/>
      <c r="BF177" s="5"/>
      <c r="BG177" s="5"/>
      <c r="BH177" s="5"/>
      <c r="BI177" s="197"/>
      <c r="BJ177" s="636"/>
      <c r="BK177" s="5"/>
      <c r="BL177" s="5"/>
      <c r="BM177" s="5"/>
      <c r="BN177" s="315"/>
      <c r="BO177" s="636"/>
      <c r="BP177" s="5"/>
      <c r="BQ177" s="5"/>
      <c r="BR177" s="5"/>
      <c r="BS177" s="197"/>
      <c r="BT177" s="636"/>
      <c r="BU177" s="5"/>
      <c r="BV177" s="5"/>
      <c r="BW177" s="5"/>
      <c r="BX177" s="635"/>
      <c r="BY177" s="636"/>
      <c r="BZ177" s="5"/>
      <c r="CA177" s="5"/>
      <c r="CB177" s="5"/>
      <c r="CC177" s="635"/>
      <c r="CD177" s="636"/>
      <c r="CE177" s="5"/>
      <c r="CF177" s="5"/>
      <c r="CG177" s="5"/>
      <c r="CH177" s="635"/>
      <c r="CI177" s="636"/>
      <c r="CJ177" s="5"/>
      <c r="CK177" s="5"/>
      <c r="CL177" s="5"/>
      <c r="CM177" s="635"/>
      <c r="CN177" s="636"/>
      <c r="CO177" s="5"/>
      <c r="CP177" s="5"/>
      <c r="CQ177" s="5"/>
      <c r="CR177" s="635"/>
      <c r="CS177" s="636"/>
      <c r="CT177" s="5"/>
      <c r="CU177" s="5"/>
      <c r="CV177" s="5"/>
      <c r="CW177" s="635"/>
      <c r="CX177" s="636"/>
      <c r="CY177" s="636"/>
      <c r="CZ177" s="636"/>
      <c r="DA177" s="636"/>
      <c r="DB177" s="635"/>
      <c r="DC177" s="636"/>
      <c r="DD177" s="636"/>
      <c r="DE177" s="636"/>
      <c r="DF177" s="636"/>
      <c r="DG177" s="635"/>
      <c r="DH177" s="636"/>
      <c r="DI177" s="636"/>
      <c r="DJ177" s="636"/>
      <c r="DK177" s="636"/>
      <c r="DL177" s="635"/>
      <c r="DM177" s="413"/>
      <c r="DN177" s="4"/>
      <c r="DO177" s="487"/>
      <c r="DP177" s="413"/>
      <c r="DQ177" s="413"/>
      <c r="DR177" s="413"/>
      <c r="DS177" s="577" t="s">
        <v>351</v>
      </c>
      <c r="DT177" s="577"/>
      <c r="DU177" s="577"/>
      <c r="DV177" s="577"/>
      <c r="DW177" s="577"/>
      <c r="DX177" s="458"/>
      <c r="DY177" s="458"/>
      <c r="DZ177" s="458"/>
      <c r="EA177" s="4"/>
      <c r="EH177" s="5"/>
    </row>
    <row r="178" spans="1:138" ht="12.75" customHeight="1" x14ac:dyDescent="0.2">
      <c r="A178" s="94" t="s">
        <v>350</v>
      </c>
      <c r="B178" s="95">
        <f>B156+B176</f>
        <v>303</v>
      </c>
      <c r="C178" s="95">
        <f>C156+C176</f>
        <v>633</v>
      </c>
      <c r="D178" s="95">
        <f>D156+D176</f>
        <v>480</v>
      </c>
      <c r="E178" s="95">
        <f>E156+E176</f>
        <v>116.57</v>
      </c>
      <c r="F178" s="236">
        <f>SUM(B178:E178)</f>
        <v>1532.57</v>
      </c>
      <c r="G178" s="95">
        <f>G156+G176</f>
        <v>-205</v>
      </c>
      <c r="H178" s="95">
        <f>H156+H176</f>
        <v>-151</v>
      </c>
      <c r="I178" s="95">
        <f>I156+I176</f>
        <v>-460</v>
      </c>
      <c r="J178" s="95">
        <f>J156+J176</f>
        <v>-715</v>
      </c>
      <c r="K178" s="236">
        <f>SUM(G178:J178)</f>
        <v>-1531</v>
      </c>
      <c r="L178" s="95">
        <f>L156+L176</f>
        <v>-534</v>
      </c>
      <c r="M178" s="95">
        <f>M156+M176</f>
        <v>-249</v>
      </c>
      <c r="N178" s="95">
        <f>N156+N176</f>
        <v>-346</v>
      </c>
      <c r="O178" s="95">
        <f>O156+O176</f>
        <v>-393</v>
      </c>
      <c r="P178" s="236">
        <f>SUM(L178:O178)</f>
        <v>-1522</v>
      </c>
      <c r="Q178" s="95">
        <f>Q156+Q176</f>
        <v>-661.4</v>
      </c>
      <c r="R178" s="95">
        <f>R156+R176</f>
        <v>-371.44999999999982</v>
      </c>
      <c r="S178" s="95">
        <f>S156+S176</f>
        <v>-268</v>
      </c>
      <c r="T178" s="95">
        <f>T156+T176</f>
        <v>-324</v>
      </c>
      <c r="U178" s="236">
        <f>SUM(Q178:T178)</f>
        <v>-1624.85</v>
      </c>
      <c r="V178" s="95">
        <f>V156+V176</f>
        <v>-598</v>
      </c>
      <c r="W178" s="95">
        <f>W156+W176</f>
        <v>-312</v>
      </c>
      <c r="X178" s="95">
        <f>X156+X176</f>
        <v>-598</v>
      </c>
      <c r="Y178" s="95">
        <f>Y156+Y176</f>
        <v>-650</v>
      </c>
      <c r="Z178" s="236">
        <f>SUM(V178:Y178)</f>
        <v>-2158</v>
      </c>
      <c r="AA178" s="95">
        <f>AA156+AA176</f>
        <v>-684</v>
      </c>
      <c r="AB178" s="95">
        <f>AB156+AB176</f>
        <v>-304</v>
      </c>
      <c r="AC178" s="95">
        <f>AC156+AC176</f>
        <v>-415</v>
      </c>
      <c r="AD178" s="95">
        <f>AD156+AD176</f>
        <v>-684</v>
      </c>
      <c r="AE178" s="236">
        <f>SUM(AA178:AD178)</f>
        <v>-2087</v>
      </c>
      <c r="AF178" s="95">
        <f>AF156+AF176</f>
        <v>-687</v>
      </c>
      <c r="AG178" s="95">
        <f>AG156+AG176</f>
        <v>179</v>
      </c>
      <c r="AH178" s="95">
        <f>AH156+AH176</f>
        <v>-69</v>
      </c>
      <c r="AI178" s="95">
        <f>AI156+AI176</f>
        <v>-185</v>
      </c>
      <c r="AJ178" s="236">
        <f>SUM(AF178:AI178)</f>
        <v>-762</v>
      </c>
      <c r="AK178" s="95">
        <f>AK156+AK176</f>
        <v>-6</v>
      </c>
      <c r="AL178" s="95">
        <f>AL156+AL176</f>
        <v>386</v>
      </c>
      <c r="AM178" s="95">
        <f>AM156+AM176</f>
        <v>363</v>
      </c>
      <c r="AN178" s="95">
        <f>AN156+AN176</f>
        <v>-105</v>
      </c>
      <c r="AO178" s="236">
        <f>SUM(AK178:AN178)</f>
        <v>638</v>
      </c>
      <c r="AP178" s="95"/>
      <c r="AQ178" s="95"/>
      <c r="AR178" s="95"/>
      <c r="AS178" s="95"/>
      <c r="AT178" s="294"/>
      <c r="AU178" s="95">
        <f t="shared" ref="AU178:BY178" si="669">AU156-AU174+AU175</f>
        <v>-473</v>
      </c>
      <c r="AV178" s="95">
        <f t="shared" si="669"/>
        <v>83</v>
      </c>
      <c r="AW178" s="95">
        <f t="shared" si="669"/>
        <v>-61</v>
      </c>
      <c r="AX178" s="95">
        <f t="shared" si="669"/>
        <v>-510</v>
      </c>
      <c r="AY178" s="294">
        <f t="shared" si="669"/>
        <v>-961</v>
      </c>
      <c r="AZ178" s="95">
        <f t="shared" si="669"/>
        <v>-693</v>
      </c>
      <c r="BA178" s="95">
        <f t="shared" si="669"/>
        <v>-195</v>
      </c>
      <c r="BB178" s="95">
        <f t="shared" si="669"/>
        <v>33</v>
      </c>
      <c r="BC178" s="95">
        <f t="shared" si="669"/>
        <v>-234</v>
      </c>
      <c r="BD178" s="294">
        <f t="shared" si="669"/>
        <v>-1089</v>
      </c>
      <c r="BE178" s="95">
        <f t="shared" si="669"/>
        <v>-182</v>
      </c>
      <c r="BF178" s="95">
        <f t="shared" si="669"/>
        <v>550.05999999999949</v>
      </c>
      <c r="BG178" s="95">
        <f t="shared" si="669"/>
        <v>932</v>
      </c>
      <c r="BH178" s="95">
        <f t="shared" si="669"/>
        <v>160</v>
      </c>
      <c r="BI178" s="294">
        <f t="shared" si="669"/>
        <v>1460.0599999999995</v>
      </c>
      <c r="BJ178" s="95">
        <f t="shared" si="669"/>
        <v>-391</v>
      </c>
      <c r="BK178" s="95">
        <f t="shared" si="669"/>
        <v>363</v>
      </c>
      <c r="BL178" s="95">
        <f t="shared" si="669"/>
        <v>763</v>
      </c>
      <c r="BM178" s="95">
        <f t="shared" si="669"/>
        <v>371</v>
      </c>
      <c r="BN178" s="352">
        <f t="shared" si="669"/>
        <v>1106</v>
      </c>
      <c r="BO178" s="95">
        <f t="shared" si="669"/>
        <v>-36</v>
      </c>
      <c r="BP178" s="95">
        <f t="shared" si="669"/>
        <v>590</v>
      </c>
      <c r="BQ178" s="95">
        <f t="shared" si="669"/>
        <v>773</v>
      </c>
      <c r="BR178" s="95">
        <f t="shared" si="669"/>
        <v>241.24793388429751</v>
      </c>
      <c r="BS178" s="294">
        <f t="shared" si="669"/>
        <v>1568.2479338842975</v>
      </c>
      <c r="BT178" s="95">
        <f t="shared" si="669"/>
        <v>81</v>
      </c>
      <c r="BU178" s="95">
        <f>BU156-BU174+BU175</f>
        <v>845</v>
      </c>
      <c r="BV178" s="95">
        <f t="shared" si="669"/>
        <v>1206</v>
      </c>
      <c r="BW178" s="95">
        <f>BW156-BW174+BW175</f>
        <v>543</v>
      </c>
      <c r="BX178" s="294">
        <f t="shared" si="669"/>
        <v>2675</v>
      </c>
      <c r="BY178" s="95">
        <f t="shared" si="669"/>
        <v>444</v>
      </c>
      <c r="BZ178" s="95">
        <f>BZ156-BZ174+BZ175</f>
        <v>1438</v>
      </c>
      <c r="CA178" s="95">
        <f>CA156-CA174+CA175</f>
        <v>1637</v>
      </c>
      <c r="CB178" s="95">
        <f t="shared" ref="CB178:CH178" si="670">CB156-CB174+CB175</f>
        <v>1017</v>
      </c>
      <c r="CC178" s="294">
        <f t="shared" si="670"/>
        <v>4536</v>
      </c>
      <c r="CD178" s="95">
        <f t="shared" si="670"/>
        <v>594</v>
      </c>
      <c r="CE178" s="95">
        <f t="shared" si="670"/>
        <v>1640</v>
      </c>
      <c r="CF178" s="95">
        <f t="shared" si="670"/>
        <v>2184</v>
      </c>
      <c r="CG178" s="95">
        <f t="shared" si="670"/>
        <v>1447</v>
      </c>
      <c r="CH178" s="294">
        <f t="shared" si="670"/>
        <v>5865</v>
      </c>
      <c r="CI178" s="95">
        <f>CI156-CI174+CI175</f>
        <v>1560</v>
      </c>
      <c r="CJ178" s="95">
        <f t="shared" ref="CJ178:CM178" si="671">CJ156-CJ174+CJ175</f>
        <v>1682</v>
      </c>
      <c r="CK178" s="95">
        <f t="shared" si="671"/>
        <v>1906</v>
      </c>
      <c r="CL178" s="95">
        <f t="shared" si="671"/>
        <v>923</v>
      </c>
      <c r="CM178" s="294">
        <f t="shared" si="671"/>
        <v>6071</v>
      </c>
      <c r="CN178" s="95">
        <f>CN156-CN174+CN175</f>
        <v>847</v>
      </c>
      <c r="CO178" s="95">
        <f t="shared" ref="CO178:CR178" si="672">CO156-CO174+CO175</f>
        <v>1854</v>
      </c>
      <c r="CP178" s="95">
        <f t="shared" si="672"/>
        <v>1724</v>
      </c>
      <c r="CQ178" s="95">
        <f t="shared" si="672"/>
        <v>1025</v>
      </c>
      <c r="CR178" s="294">
        <f t="shared" si="672"/>
        <v>5450</v>
      </c>
      <c r="CS178" s="95">
        <f>CS156-CS174+CS175</f>
        <v>781</v>
      </c>
      <c r="CT178" s="95">
        <f t="shared" ref="CT178:CW178" si="673">CT156-CT174+CT175</f>
        <v>1794</v>
      </c>
      <c r="CU178" s="95">
        <f t="shared" si="673"/>
        <v>1695</v>
      </c>
      <c r="CV178" s="95">
        <f t="shared" si="673"/>
        <v>980</v>
      </c>
      <c r="CW178" s="294">
        <f t="shared" si="673"/>
        <v>5250</v>
      </c>
      <c r="CX178" s="95">
        <f>CX156-CX174+CX175</f>
        <v>676</v>
      </c>
      <c r="CY178" s="95">
        <f t="shared" ref="CY178:DB178" si="674">CY156-CY174+CY175</f>
        <v>1743.2918495195845</v>
      </c>
      <c r="CZ178" s="95">
        <f t="shared" si="674"/>
        <v>1670.7137377749132</v>
      </c>
      <c r="DA178" s="95">
        <f t="shared" si="674"/>
        <v>1327.3957421130217</v>
      </c>
      <c r="DB178" s="294">
        <f t="shared" si="674"/>
        <v>5417.4013294075194</v>
      </c>
      <c r="DC178" s="95"/>
      <c r="DD178" s="95"/>
      <c r="DE178" s="95"/>
      <c r="DF178" s="95"/>
      <c r="DG178" s="294">
        <f>DG156-DG174+DG175</f>
        <v>5826.6596306245701</v>
      </c>
      <c r="DH178" s="95"/>
      <c r="DI178" s="95"/>
      <c r="DJ178" s="95"/>
      <c r="DK178" s="95"/>
      <c r="DL178" s="294">
        <f>DL156-DL174+DL175</f>
        <v>6386.2599263945376</v>
      </c>
      <c r="DM178" s="66"/>
      <c r="DN178" s="526"/>
      <c r="DO178" s="486"/>
      <c r="DP178" s="411"/>
      <c r="DQ178" s="411"/>
      <c r="DR178" s="411"/>
      <c r="DS178" s="461" t="s">
        <v>590</v>
      </c>
      <c r="DT178" s="577"/>
      <c r="DU178" s="577"/>
      <c r="DV178" s="577"/>
      <c r="DW178" s="577"/>
      <c r="DX178" s="472"/>
      <c r="DY178" s="472"/>
      <c r="DZ178" s="472"/>
      <c r="EA178" s="526"/>
      <c r="EH178" s="8"/>
    </row>
    <row r="179" spans="1:138" ht="12.75" customHeight="1" x14ac:dyDescent="0.2">
      <c r="A179" s="94" t="s">
        <v>117</v>
      </c>
      <c r="B179" s="642"/>
      <c r="C179" s="642"/>
      <c r="D179" s="642"/>
      <c r="E179" s="642"/>
      <c r="F179" s="236"/>
      <c r="G179" s="642"/>
      <c r="H179" s="642"/>
      <c r="I179" s="642"/>
      <c r="J179" s="642"/>
      <c r="K179" s="236"/>
      <c r="L179" s="642"/>
      <c r="M179" s="642"/>
      <c r="N179" s="642"/>
      <c r="O179" s="642"/>
      <c r="P179" s="236"/>
      <c r="Q179" s="642"/>
      <c r="R179" s="642"/>
      <c r="S179" s="642"/>
      <c r="T179" s="642"/>
      <c r="U179" s="236"/>
      <c r="V179" s="642"/>
      <c r="W179" s="642"/>
      <c r="X179" s="642"/>
      <c r="Y179" s="642"/>
      <c r="Z179" s="236"/>
      <c r="AA179" s="642"/>
      <c r="AB179" s="642"/>
      <c r="AC179" s="642"/>
      <c r="AD179" s="642"/>
      <c r="AE179" s="236"/>
      <c r="AF179" s="642"/>
      <c r="AG179" s="642"/>
      <c r="AH179" s="642"/>
      <c r="AI179" s="642"/>
      <c r="AJ179" s="236"/>
      <c r="AK179" s="642"/>
      <c r="AL179" s="642"/>
      <c r="AM179" s="642"/>
      <c r="AN179" s="642"/>
      <c r="AO179" s="236"/>
      <c r="AP179" s="642"/>
      <c r="AQ179" s="642"/>
      <c r="AR179" s="642"/>
      <c r="AS179" s="642"/>
      <c r="AT179" s="294"/>
      <c r="AU179" s="642"/>
      <c r="AV179" s="642"/>
      <c r="AW179" s="642"/>
      <c r="AX179" s="642"/>
      <c r="AY179" s="294"/>
      <c r="AZ179" s="642">
        <f>AZ178/AZ152</f>
        <v>-0.10368043087971275</v>
      </c>
      <c r="BA179" s="642">
        <f t="shared" ref="BA179:BZ179" si="675">BA178/BA152</f>
        <v>-2.7857142857142858E-2</v>
      </c>
      <c r="BB179" s="642">
        <f t="shared" si="675"/>
        <v>4.3570108265117511E-3</v>
      </c>
      <c r="BC179" s="642">
        <f t="shared" si="675"/>
        <v>-3.4386480529022774E-2</v>
      </c>
      <c r="BD179" s="602">
        <f t="shared" si="675"/>
        <v>-3.8805544667355592E-2</v>
      </c>
      <c r="BE179" s="642">
        <f t="shared" si="675"/>
        <v>-2.6577102803738317E-2</v>
      </c>
      <c r="BF179" s="642">
        <f t="shared" si="675"/>
        <v>6.7342796208646791E-2</v>
      </c>
      <c r="BG179" s="642">
        <f t="shared" si="675"/>
        <v>0.10413407821229051</v>
      </c>
      <c r="BH179" s="642">
        <f t="shared" si="675"/>
        <v>2.0541789703427911E-2</v>
      </c>
      <c r="BI179" s="602">
        <f t="shared" si="675"/>
        <v>4.5978814085062339E-2</v>
      </c>
      <c r="BJ179" s="642">
        <f t="shared" si="675"/>
        <v>-5.0471150122628115E-2</v>
      </c>
      <c r="BK179" s="642">
        <f t="shared" si="675"/>
        <v>3.9659128154703377E-2</v>
      </c>
      <c r="BL179" s="642">
        <f t="shared" si="675"/>
        <v>7.773023634881826E-2</v>
      </c>
      <c r="BM179" s="642">
        <f t="shared" si="675"/>
        <v>4.4171925229193949E-2</v>
      </c>
      <c r="BN179" s="582">
        <f t="shared" si="675"/>
        <v>3.1496511462338034E-2</v>
      </c>
      <c r="BO179" s="642">
        <f t="shared" si="675"/>
        <v>-4.279091881611791E-3</v>
      </c>
      <c r="BP179" s="642">
        <f t="shared" si="675"/>
        <v>6.0624743115495275E-2</v>
      </c>
      <c r="BQ179" s="642">
        <f t="shared" si="675"/>
        <v>7.7899828680842484E-2</v>
      </c>
      <c r="BR179" s="642">
        <f t="shared" si="675"/>
        <v>2.8045563111404034E-2</v>
      </c>
      <c r="BS179" s="602">
        <f t="shared" si="675"/>
        <v>4.2766510332268817E-2</v>
      </c>
      <c r="BT179" s="642">
        <f t="shared" si="675"/>
        <v>9.5294117647058817E-3</v>
      </c>
      <c r="BU179" s="642">
        <f t="shared" si="675"/>
        <v>8.7050582054187697E-2</v>
      </c>
      <c r="BV179" s="642">
        <f t="shared" si="675"/>
        <v>0.11496663489037179</v>
      </c>
      <c r="BW179" s="642">
        <f t="shared" si="675"/>
        <v>5.9828118113706481E-2</v>
      </c>
      <c r="BX179" s="602">
        <f t="shared" si="675"/>
        <v>7.0817779895692684E-2</v>
      </c>
      <c r="BY179" s="642">
        <f t="shared" si="675"/>
        <v>4.9798115746971738E-2</v>
      </c>
      <c r="BZ179" s="642">
        <f t="shared" si="675"/>
        <v>0.13539214763204971</v>
      </c>
      <c r="CA179" s="642">
        <f>CA178/CA152</f>
        <v>0.14644838074789765</v>
      </c>
      <c r="CB179" s="642">
        <f>CB178/CB152</f>
        <v>0.10542137452057634</v>
      </c>
      <c r="CC179" s="602">
        <f>CC178/CC152</f>
        <v>0.11238293444328824</v>
      </c>
      <c r="CD179" s="642">
        <f>CD178/CD152</f>
        <v>6.3272262462718359E-2</v>
      </c>
      <c r="CE179" s="642">
        <f>CE178/CE152</f>
        <v>0.15317082282618846</v>
      </c>
      <c r="CF179" s="642">
        <f t="shared" ref="CF179:CH179" si="676">CF178/CF152</f>
        <v>0.19663275411902403</v>
      </c>
      <c r="CG179" s="642">
        <f t="shared" si="676"/>
        <v>0.15228372974110713</v>
      </c>
      <c r="CH179" s="602">
        <f t="shared" si="676"/>
        <v>0.14408903301886791</v>
      </c>
      <c r="CI179" s="642">
        <f>CI178/CI152</f>
        <v>0.16863041833315318</v>
      </c>
      <c r="CJ179" s="642">
        <f>CJ178/CJ152</f>
        <v>0.16100315880156982</v>
      </c>
      <c r="CK179" s="642">
        <f t="shared" ref="CK179:CM179" si="677">CK178/CK152</f>
        <v>0.18181818181818182</v>
      </c>
      <c r="CL179" s="642">
        <f t="shared" si="677"/>
        <v>9.7589342355677733E-2</v>
      </c>
      <c r="CM179" s="602">
        <f t="shared" si="677"/>
        <v>0.15315724412825751</v>
      </c>
      <c r="CN179" s="642">
        <f>CN178/CN152</f>
        <v>9.2588543944031487E-2</v>
      </c>
      <c r="CO179" s="642">
        <f>CO178/CO152</f>
        <v>0.17180984153461218</v>
      </c>
      <c r="CP179" s="642">
        <f t="shared" ref="CP179:CR179" si="678">CP178/CP152</f>
        <v>0.15587703435804701</v>
      </c>
      <c r="CQ179" s="642">
        <f t="shared" si="678"/>
        <v>0.10004880429477794</v>
      </c>
      <c r="CR179" s="602">
        <f t="shared" si="678"/>
        <v>0.13214043254776453</v>
      </c>
      <c r="CS179" s="642">
        <f>CS178/CS152</f>
        <v>8.639380530973452E-2</v>
      </c>
      <c r="CT179" s="642">
        <f>CT178/CT152</f>
        <v>0.16796537104570991</v>
      </c>
      <c r="CU179" s="642">
        <f t="shared" ref="CU179:CW179" si="679">CU178/CU152</f>
        <v>0.15501111992159566</v>
      </c>
      <c r="CV179" s="642">
        <f t="shared" si="679"/>
        <v>9.8169302779573642E-2</v>
      </c>
      <c r="CW179" s="602">
        <f t="shared" si="679"/>
        <v>0.12918870888518894</v>
      </c>
      <c r="CX179" s="642">
        <f>CX178/CX152</f>
        <v>6.929779600205023E-2</v>
      </c>
      <c r="CY179" s="642">
        <f t="shared" ref="CY179:DB179" si="680">CY178/CY152</f>
        <v>0.15167369433026798</v>
      </c>
      <c r="CZ179" s="642">
        <f t="shared" si="680"/>
        <v>0.14402758000692259</v>
      </c>
      <c r="DA179" s="642">
        <f t="shared" si="680"/>
        <v>0.12642325113652919</v>
      </c>
      <c r="DB179" s="602">
        <f t="shared" si="680"/>
        <v>0.12497386578523492</v>
      </c>
      <c r="DC179" s="642"/>
      <c r="DD179" s="642"/>
      <c r="DE179" s="642"/>
      <c r="DF179" s="642"/>
      <c r="DG179" s="602">
        <f>DG178/DG152</f>
        <v>0.13011581153498841</v>
      </c>
      <c r="DH179" s="642"/>
      <c r="DI179" s="642"/>
      <c r="DJ179" s="642"/>
      <c r="DK179" s="642"/>
      <c r="DL179" s="602">
        <f>DL178/DL152</f>
        <v>0.13823195261578178</v>
      </c>
      <c r="DM179" s="66"/>
      <c r="DN179" s="526"/>
      <c r="DO179" s="486"/>
      <c r="DP179" s="411"/>
      <c r="DQ179" s="411"/>
      <c r="DR179" s="411"/>
      <c r="DS179" s="577"/>
      <c r="DT179" s="577"/>
      <c r="DU179" s="641"/>
      <c r="DV179" s="670"/>
      <c r="DW179" s="472"/>
      <c r="DX179" s="472"/>
      <c r="DY179" s="472"/>
      <c r="DZ179" s="472"/>
      <c r="EA179" s="526"/>
      <c r="EH179" s="8"/>
    </row>
    <row r="180" spans="1:138" ht="12.75" customHeight="1" x14ac:dyDescent="0.2">
      <c r="A180" s="161" t="s">
        <v>296</v>
      </c>
      <c r="B180" s="35">
        <f t="shared" ref="B180:AO180" si="681">B181/B178</f>
        <v>0.43</v>
      </c>
      <c r="C180" s="35">
        <f t="shared" si="681"/>
        <v>0.40650000000000003</v>
      </c>
      <c r="D180" s="35">
        <f t="shared" si="681"/>
        <v>0.42602799999999996</v>
      </c>
      <c r="E180" s="35">
        <f t="shared" si="681"/>
        <v>0.33087415286952049</v>
      </c>
      <c r="F180" s="237">
        <f t="shared" si="681"/>
        <v>0.41151003869317554</v>
      </c>
      <c r="G180" s="35">
        <f t="shared" si="681"/>
        <v>0.40099999999999997</v>
      </c>
      <c r="H180" s="35">
        <f t="shared" si="681"/>
        <v>0.18543046357615894</v>
      </c>
      <c r="I180" s="35">
        <f t="shared" si="681"/>
        <v>0.35586956521739127</v>
      </c>
      <c r="J180" s="35">
        <f t="shared" si="681"/>
        <v>0.32127190209790213</v>
      </c>
      <c r="K180" s="237">
        <f t="shared" si="681"/>
        <v>0.32894474853037231</v>
      </c>
      <c r="L180" s="35">
        <f t="shared" si="681"/>
        <v>0.33932584269662919</v>
      </c>
      <c r="M180" s="35">
        <f t="shared" si="681"/>
        <v>0.34839723600000005</v>
      </c>
      <c r="N180" s="35">
        <f t="shared" si="681"/>
        <v>0.38799421965317921</v>
      </c>
      <c r="O180" s="35">
        <f t="shared" si="681"/>
        <v>0.41379083969465658</v>
      </c>
      <c r="P180" s="237">
        <f t="shared" si="681"/>
        <v>0.37110165030486203</v>
      </c>
      <c r="Q180" s="35">
        <f t="shared" si="681"/>
        <v>0.35599999999999998</v>
      </c>
      <c r="R180" s="35">
        <f t="shared" si="681"/>
        <v>0.36250000000000016</v>
      </c>
      <c r="S180" s="35">
        <f t="shared" si="681"/>
        <v>0.35541791044776094</v>
      </c>
      <c r="T180" s="35">
        <f t="shared" si="681"/>
        <v>0.36376376543209876</v>
      </c>
      <c r="U180" s="237">
        <f t="shared" si="681"/>
        <v>0.35893804658891587</v>
      </c>
      <c r="V180" s="35">
        <f t="shared" si="681"/>
        <v>0.35953177257525082</v>
      </c>
      <c r="W180" s="35">
        <f t="shared" si="681"/>
        <v>-4.916666666666667</v>
      </c>
      <c r="X180" s="35">
        <f t="shared" si="681"/>
        <v>1.0033444816053512E-2</v>
      </c>
      <c r="Y180" s="35">
        <f t="shared" si="681"/>
        <v>0.16461538461538461</v>
      </c>
      <c r="Z180" s="237">
        <f t="shared" si="681"/>
        <v>-0.55885078776645036</v>
      </c>
      <c r="AA180" s="35">
        <f t="shared" si="681"/>
        <v>0.21052631578947367</v>
      </c>
      <c r="AB180" s="35">
        <f t="shared" si="681"/>
        <v>5.921052631578947E-2</v>
      </c>
      <c r="AC180" s="35">
        <f t="shared" si="681"/>
        <v>-5.5421686746987948E-2</v>
      </c>
      <c r="AD180" s="35">
        <f t="shared" si="681"/>
        <v>-0.14327485380116958</v>
      </c>
      <c r="AE180" s="237">
        <f t="shared" si="681"/>
        <v>1.9645424053665549E-2</v>
      </c>
      <c r="AF180" s="35">
        <f t="shared" si="681"/>
        <v>3.0567685589519649E-2</v>
      </c>
      <c r="AG180" s="35">
        <f t="shared" si="681"/>
        <v>2.23463687150838E-2</v>
      </c>
      <c r="AH180" s="35">
        <f t="shared" si="681"/>
        <v>0.33333333333333331</v>
      </c>
      <c r="AI180" s="35">
        <f t="shared" si="681"/>
        <v>3.9189189189189189</v>
      </c>
      <c r="AJ180" s="237">
        <f t="shared" si="681"/>
        <v>1.0039370078740157</v>
      </c>
      <c r="AK180" s="35">
        <f t="shared" si="681"/>
        <v>0</v>
      </c>
      <c r="AL180" s="35">
        <f t="shared" si="681"/>
        <v>0.25647668393782386</v>
      </c>
      <c r="AM180" s="35">
        <f t="shared" si="681"/>
        <v>0.39393939393939392</v>
      </c>
      <c r="AN180" s="35">
        <f t="shared" si="681"/>
        <v>0.33333333333333331</v>
      </c>
      <c r="AO180" s="237">
        <f t="shared" si="681"/>
        <v>0.32445141065830724</v>
      </c>
      <c r="AP180" s="324"/>
      <c r="AQ180" s="35"/>
      <c r="AR180" s="35"/>
      <c r="AS180" s="35"/>
      <c r="AT180" s="209"/>
      <c r="AU180" s="35">
        <f t="shared" ref="AU180:BV180" si="682">AU181/AU178</f>
        <v>0</v>
      </c>
      <c r="AV180" s="35">
        <f t="shared" si="682"/>
        <v>0</v>
      </c>
      <c r="AW180" s="35">
        <f t="shared" si="682"/>
        <v>-4.9180327868852458E-2</v>
      </c>
      <c r="AX180" s="35">
        <f t="shared" si="682"/>
        <v>0</v>
      </c>
      <c r="AY180" s="209">
        <f t="shared" si="682"/>
        <v>-3.1217481789802288E-3</v>
      </c>
      <c r="AZ180" s="324">
        <f t="shared" si="682"/>
        <v>0</v>
      </c>
      <c r="BA180" s="35">
        <f t="shared" si="682"/>
        <v>-2.0512820512820513E-2</v>
      </c>
      <c r="BB180" s="35">
        <f t="shared" si="682"/>
        <v>-0.54545454545454541</v>
      </c>
      <c r="BC180" s="35">
        <f t="shared" si="682"/>
        <v>3.8461538461538464E-2</v>
      </c>
      <c r="BD180" s="209">
        <f t="shared" si="682"/>
        <v>2.1120293847566574E-2</v>
      </c>
      <c r="BE180" s="324">
        <f t="shared" si="682"/>
        <v>-5.4945054945054944E-2</v>
      </c>
      <c r="BF180" s="35">
        <f t="shared" si="682"/>
        <v>-1.8179834927098879E-3</v>
      </c>
      <c r="BG180" s="35">
        <f t="shared" si="682"/>
        <v>3.2188841201716738E-3</v>
      </c>
      <c r="BH180" s="35">
        <f t="shared" si="682"/>
        <v>1.2500000000000001E-2</v>
      </c>
      <c r="BI180" s="209">
        <f t="shared" si="682"/>
        <v>9.5886470419023918E-3</v>
      </c>
      <c r="BJ180" s="324">
        <f t="shared" si="682"/>
        <v>0.1815856777493606</v>
      </c>
      <c r="BK180" s="35">
        <f t="shared" si="682"/>
        <v>-8.2644628099173556E-3</v>
      </c>
      <c r="BL180" s="35">
        <f t="shared" si="682"/>
        <v>-2.6212319790301442E-3</v>
      </c>
      <c r="BM180" s="35">
        <f t="shared" si="682"/>
        <v>-2.15633423180593E-2</v>
      </c>
      <c r="BN180" s="209">
        <f t="shared" si="682"/>
        <v>-7.5949367088607597E-2</v>
      </c>
      <c r="BO180" s="324">
        <f t="shared" si="682"/>
        <v>-8.3333333333333329E-2</v>
      </c>
      <c r="BP180" s="35">
        <f t="shared" si="682"/>
        <v>6.7796610169491523E-3</v>
      </c>
      <c r="BQ180" s="35">
        <f t="shared" si="682"/>
        <v>6.4683053040103496E-3</v>
      </c>
      <c r="BR180" s="35">
        <f t="shared" si="682"/>
        <v>1.2435339659484089E-2</v>
      </c>
      <c r="BS180" s="209">
        <f t="shared" si="682"/>
        <v>9.5648141316835127E-3</v>
      </c>
      <c r="BT180" s="324">
        <f t="shared" si="682"/>
        <v>-4.9382716049382713E-2</v>
      </c>
      <c r="BU180" s="35">
        <f t="shared" si="682"/>
        <v>1.1834319526627219E-3</v>
      </c>
      <c r="BV180" s="35">
        <f t="shared" si="682"/>
        <v>-4.9751243781094526E-3</v>
      </c>
      <c r="BW180" s="35">
        <f t="shared" ref="BW180:CC180" si="683">BW181/BW178</f>
        <v>-2.7624309392265192E-2</v>
      </c>
      <c r="BX180" s="209">
        <f t="shared" si="683"/>
        <v>-8.9719626168224299E-3</v>
      </c>
      <c r="BY180" s="324">
        <f t="shared" si="683"/>
        <v>0.36711711711711714</v>
      </c>
      <c r="BZ180" s="35">
        <f t="shared" si="683"/>
        <v>0.38178025034770513</v>
      </c>
      <c r="CA180" s="35">
        <f t="shared" si="683"/>
        <v>0.3805742211362248</v>
      </c>
      <c r="CB180" s="35">
        <f t="shared" si="683"/>
        <v>0.36184857423795475</v>
      </c>
      <c r="CC180" s="209">
        <f t="shared" si="683"/>
        <v>0.37544091710758376</v>
      </c>
      <c r="CD180" s="324">
        <f t="shared" ref="CD180:CI180" si="684">CD181/CD178</f>
        <v>0.37373737373737376</v>
      </c>
      <c r="CE180" s="35">
        <f t="shared" si="684"/>
        <v>0.37378048780487805</v>
      </c>
      <c r="CF180" s="35">
        <f t="shared" si="684"/>
        <v>0.36630036630036628</v>
      </c>
      <c r="CG180" s="35">
        <f t="shared" si="684"/>
        <v>0.36005528680027643</v>
      </c>
      <c r="CH180" s="209">
        <f t="shared" si="684"/>
        <v>0.36760443307757884</v>
      </c>
      <c r="CI180" s="324">
        <f t="shared" si="684"/>
        <v>0.34230769230769231</v>
      </c>
      <c r="CJ180" s="35">
        <f t="shared" ref="CJ180:CN180" si="685">CJ181/CJ178</f>
        <v>0.33174791914387636</v>
      </c>
      <c r="CK180" s="35">
        <f t="shared" si="685"/>
        <v>0.33735571878279119</v>
      </c>
      <c r="CL180" s="35">
        <f t="shared" si="685"/>
        <v>0.3456121343445287</v>
      </c>
      <c r="CM180" s="209">
        <f t="shared" si="685"/>
        <v>0.33832976445396146</v>
      </c>
      <c r="CN180" s="324">
        <f t="shared" si="685"/>
        <v>0.33884297520661155</v>
      </c>
      <c r="CO180" s="35">
        <f t="shared" ref="CO180:CS180" si="686">CO181/CO178</f>
        <v>0.3522114347357066</v>
      </c>
      <c r="CP180" s="35">
        <f t="shared" si="686"/>
        <v>0.34628770301624129</v>
      </c>
      <c r="CQ180" s="35">
        <f t="shared" si="686"/>
        <v>0.335609756097561</v>
      </c>
      <c r="CR180" s="209">
        <f t="shared" si="686"/>
        <v>0.34513761467889909</v>
      </c>
      <c r="CS180" s="324">
        <f t="shared" si="686"/>
        <v>0.33674775928297057</v>
      </c>
      <c r="CT180" s="35">
        <f t="shared" ref="CT180:CX180" si="687">CT181/CT178</f>
        <v>0.3517279821627648</v>
      </c>
      <c r="CU180" s="35">
        <f t="shared" si="687"/>
        <v>0.34631268436578172</v>
      </c>
      <c r="CV180" s="35">
        <f t="shared" si="687"/>
        <v>0.33469387755102042</v>
      </c>
      <c r="CW180" s="209">
        <f t="shared" si="687"/>
        <v>0.34457142857142858</v>
      </c>
      <c r="CX180" s="324">
        <f t="shared" si="687"/>
        <v>0.22633136094674555</v>
      </c>
      <c r="CY180" s="42">
        <v>0.23</v>
      </c>
      <c r="CZ180" s="42">
        <v>0.23</v>
      </c>
      <c r="DA180" s="42">
        <v>0.23</v>
      </c>
      <c r="DB180" s="209">
        <f>DB181/DB178</f>
        <v>0.2295422159354269</v>
      </c>
      <c r="DC180" s="35"/>
      <c r="DD180" s="35"/>
      <c r="DE180" s="42"/>
      <c r="DF180" s="42"/>
      <c r="DG180" s="283">
        <v>0.23</v>
      </c>
      <c r="DH180" s="35"/>
      <c r="DI180" s="35"/>
      <c r="DJ180" s="42"/>
      <c r="DK180" s="42"/>
      <c r="DL180" s="283">
        <v>0.23</v>
      </c>
      <c r="DM180" s="33"/>
      <c r="DN180" s="499"/>
      <c r="DO180" s="486"/>
      <c r="DP180" s="411"/>
      <c r="DQ180" s="411"/>
      <c r="DR180" s="411"/>
      <c r="DS180" s="562" t="s">
        <v>570</v>
      </c>
      <c r="DT180" s="478"/>
      <c r="DU180" s="472"/>
      <c r="DV180" s="461"/>
      <c r="DW180" s="461"/>
      <c r="DX180" s="461"/>
      <c r="DY180" s="461"/>
      <c r="DZ180" s="461"/>
      <c r="EA180" s="499"/>
      <c r="EH180" s="160"/>
    </row>
    <row r="181" spans="1:138" ht="12.75" customHeight="1" x14ac:dyDescent="0.2">
      <c r="A181" s="395" t="s">
        <v>297</v>
      </c>
      <c r="B181" s="881">
        <v>130.29</v>
      </c>
      <c r="C181" s="881">
        <v>257.31450000000001</v>
      </c>
      <c r="D181" s="881">
        <v>204.49343999999999</v>
      </c>
      <c r="E181" s="881">
        <f>36+2.57</f>
        <v>38.57</v>
      </c>
      <c r="F181" s="232">
        <f>SUM(B181:E181)</f>
        <v>630.66794000000004</v>
      </c>
      <c r="G181" s="881">
        <v>-82.204999999999998</v>
      </c>
      <c r="H181" s="881">
        <f>-9-23+4</f>
        <v>-28</v>
      </c>
      <c r="I181" s="881">
        <v>-163.69999999999999</v>
      </c>
      <c r="J181" s="881">
        <v>-229.70941000000002</v>
      </c>
      <c r="K181" s="232">
        <f>SUM(G181:J181)</f>
        <v>-503.61441000000002</v>
      </c>
      <c r="L181" s="881">
        <v>-181.2</v>
      </c>
      <c r="M181" s="881">
        <v>-86.750911764000008</v>
      </c>
      <c r="N181" s="881">
        <v>-134.24600000000001</v>
      </c>
      <c r="O181" s="881">
        <v>-162.61980000000003</v>
      </c>
      <c r="P181" s="232">
        <f>SUM(L181:O181)</f>
        <v>-564.81671176400005</v>
      </c>
      <c r="Q181" s="881">
        <v>-235.45839999999998</v>
      </c>
      <c r="R181" s="881">
        <v>-134.65062499999999</v>
      </c>
      <c r="S181" s="881">
        <v>-95.251999999999938</v>
      </c>
      <c r="T181" s="881">
        <v>-117.85946</v>
      </c>
      <c r="U181" s="232">
        <f>SUM(Q181:T181)</f>
        <v>-583.22048499999994</v>
      </c>
      <c r="V181" s="881">
        <v>-215</v>
      </c>
      <c r="W181" s="881">
        <v>1534</v>
      </c>
      <c r="X181" s="881">
        <v>-6</v>
      </c>
      <c r="Y181" s="881">
        <v>-107</v>
      </c>
      <c r="Z181" s="232">
        <f>SUM(V181:Y181)</f>
        <v>1206</v>
      </c>
      <c r="AA181" s="881">
        <v>-144</v>
      </c>
      <c r="AB181" s="881">
        <v>-18</v>
      </c>
      <c r="AC181" s="881">
        <v>23</v>
      </c>
      <c r="AD181" s="881">
        <v>98</v>
      </c>
      <c r="AE181" s="232">
        <f>SUM(AA181:AD181)</f>
        <v>-41</v>
      </c>
      <c r="AF181" s="881">
        <v>-21</v>
      </c>
      <c r="AG181" s="881">
        <v>4</v>
      </c>
      <c r="AH181" s="881">
        <v>-23</v>
      </c>
      <c r="AI181" s="881">
        <v>-725</v>
      </c>
      <c r="AJ181" s="232">
        <f>SUM(AF181:AI181)</f>
        <v>-765</v>
      </c>
      <c r="AK181" s="881">
        <v>0</v>
      </c>
      <c r="AL181" s="881">
        <v>99</v>
      </c>
      <c r="AM181" s="881">
        <v>143</v>
      </c>
      <c r="AN181" s="881">
        <v>-35</v>
      </c>
      <c r="AO181" s="232">
        <f>SUM(AK181:AN181)</f>
        <v>207</v>
      </c>
      <c r="AP181" s="877"/>
      <c r="AQ181" s="881"/>
      <c r="AR181" s="881"/>
      <c r="AS181" s="881"/>
      <c r="AT181" s="248"/>
      <c r="AU181" s="881">
        <v>0</v>
      </c>
      <c r="AV181" s="881">
        <v>0</v>
      </c>
      <c r="AW181" s="881">
        <v>3</v>
      </c>
      <c r="AX181" s="881">
        <v>0</v>
      </c>
      <c r="AY181" s="248">
        <f>SUM(AU181:AX181)</f>
        <v>3</v>
      </c>
      <c r="AZ181" s="877">
        <v>0</v>
      </c>
      <c r="BA181" s="881">
        <v>4</v>
      </c>
      <c r="BB181" s="881">
        <v>-18</v>
      </c>
      <c r="BC181" s="881">
        <f>-330+321</f>
        <v>-9</v>
      </c>
      <c r="BD181" s="248">
        <f>SUM(AZ181:BC181)</f>
        <v>-23</v>
      </c>
      <c r="BE181" s="877">
        <v>10</v>
      </c>
      <c r="BF181" s="881">
        <v>-1</v>
      </c>
      <c r="BG181" s="881">
        <v>3</v>
      </c>
      <c r="BH181" s="881">
        <v>2</v>
      </c>
      <c r="BI181" s="248">
        <f>SUM(BE181:BH181)</f>
        <v>14</v>
      </c>
      <c r="BJ181" s="877">
        <v>-71</v>
      </c>
      <c r="BK181" s="881">
        <v>-3</v>
      </c>
      <c r="BL181" s="881">
        <v>-2</v>
      </c>
      <c r="BM181" s="881">
        <v>-8</v>
      </c>
      <c r="BN181" s="350">
        <f>SUM(BJ181:BM181)</f>
        <v>-84</v>
      </c>
      <c r="BO181" s="877">
        <v>3</v>
      </c>
      <c r="BP181" s="881">
        <v>4</v>
      </c>
      <c r="BQ181" s="881">
        <v>5</v>
      </c>
      <c r="BR181" s="881">
        <v>3</v>
      </c>
      <c r="BS181" s="248">
        <f>SUM(BO181:BR181)</f>
        <v>15</v>
      </c>
      <c r="BT181" s="877">
        <v>-4</v>
      </c>
      <c r="BU181" s="881">
        <v>1</v>
      </c>
      <c r="BV181" s="881">
        <v>-6</v>
      </c>
      <c r="BW181" s="881">
        <v>-15</v>
      </c>
      <c r="BX181" s="248">
        <f>SUM(BT181:BW181)</f>
        <v>-24</v>
      </c>
      <c r="BY181" s="877">
        <v>163</v>
      </c>
      <c r="BZ181" s="881">
        <v>549</v>
      </c>
      <c r="CA181" s="881">
        <v>623</v>
      </c>
      <c r="CB181" s="881">
        <v>368</v>
      </c>
      <c r="CC181" s="248">
        <f>SUM(BY181:CB181)</f>
        <v>1703</v>
      </c>
      <c r="CD181" s="877">
        <v>222</v>
      </c>
      <c r="CE181" s="881">
        <v>613</v>
      </c>
      <c r="CF181" s="881">
        <v>800</v>
      </c>
      <c r="CG181" s="881">
        <v>521</v>
      </c>
      <c r="CH181" s="248">
        <f>SUM(CD181:CG181)</f>
        <v>2156</v>
      </c>
      <c r="CI181" s="877">
        <v>534</v>
      </c>
      <c r="CJ181" s="881">
        <v>558</v>
      </c>
      <c r="CK181" s="881">
        <v>643</v>
      </c>
      <c r="CL181" s="881">
        <v>319</v>
      </c>
      <c r="CM181" s="248">
        <f>SUM(CI181:CL181)</f>
        <v>2054</v>
      </c>
      <c r="CN181" s="877">
        <v>287</v>
      </c>
      <c r="CO181" s="881">
        <v>653</v>
      </c>
      <c r="CP181" s="881">
        <v>597</v>
      </c>
      <c r="CQ181" s="881">
        <f>517-18-5-150</f>
        <v>344</v>
      </c>
      <c r="CR181" s="248">
        <f>SUM(CN181:CQ181)</f>
        <v>1881</v>
      </c>
      <c r="CS181" s="877">
        <f>288-29+4</f>
        <v>263</v>
      </c>
      <c r="CT181" s="881">
        <f>645-19+5</f>
        <v>631</v>
      </c>
      <c r="CU181" s="881">
        <f>617-27-3</f>
        <v>587</v>
      </c>
      <c r="CV181" s="881">
        <f>745-18-394-5</f>
        <v>328</v>
      </c>
      <c r="CW181" s="248">
        <f>SUM(CS181:CV181)</f>
        <v>1809</v>
      </c>
      <c r="CX181" s="968">
        <v>153</v>
      </c>
      <c r="CY181" s="66">
        <f t="shared" ref="CY181:DA181" si="688">CY178*CY180</f>
        <v>400.95712538950443</v>
      </c>
      <c r="CZ181" s="66">
        <f t="shared" si="688"/>
        <v>384.26415968823005</v>
      </c>
      <c r="DA181" s="66">
        <f t="shared" si="688"/>
        <v>305.30102068599501</v>
      </c>
      <c r="DB181" s="248">
        <f>SUM(CX181:DA181)</f>
        <v>1243.5223057637295</v>
      </c>
      <c r="DC181" s="66"/>
      <c r="DD181" s="45"/>
      <c r="DE181" s="66"/>
      <c r="DF181" s="66"/>
      <c r="DG181" s="248">
        <f>DG178*DG180</f>
        <v>1340.1317150436512</v>
      </c>
      <c r="DH181" s="66"/>
      <c r="DI181" s="45"/>
      <c r="DJ181" s="66"/>
      <c r="DK181" s="66"/>
      <c r="DL181" s="248">
        <f>DL178*DL180</f>
        <v>1468.8397830707438</v>
      </c>
      <c r="DM181" s="66"/>
      <c r="DN181" s="526"/>
      <c r="DO181" s="486"/>
      <c r="DP181" s="411"/>
      <c r="DQ181" s="411"/>
      <c r="DR181" s="411"/>
      <c r="DS181" s="474"/>
      <c r="DT181" s="562"/>
      <c r="DU181" s="478"/>
      <c r="DV181" s="472"/>
      <c r="DW181" s="472"/>
      <c r="DX181" s="472"/>
      <c r="DY181" s="472"/>
      <c r="DZ181" s="472"/>
      <c r="EA181" s="526"/>
      <c r="EH181" s="8"/>
    </row>
    <row r="182" spans="1:138" ht="12.75" customHeight="1" x14ac:dyDescent="0.2">
      <c r="A182" s="396" t="s">
        <v>298</v>
      </c>
      <c r="B182" s="894">
        <v>3</v>
      </c>
      <c r="C182" s="894">
        <v>3</v>
      </c>
      <c r="D182" s="894">
        <v>4</v>
      </c>
      <c r="E182" s="894">
        <v>3</v>
      </c>
      <c r="F182" s="238">
        <f>SUM(B182:E182)</f>
        <v>13</v>
      </c>
      <c r="G182" s="894">
        <v>3</v>
      </c>
      <c r="H182" s="894">
        <v>4</v>
      </c>
      <c r="I182" s="894">
        <v>2.5</v>
      </c>
      <c r="J182" s="894">
        <v>4</v>
      </c>
      <c r="K182" s="238">
        <f>SUM(G182:J182)</f>
        <v>13.5</v>
      </c>
      <c r="L182" s="894">
        <v>4</v>
      </c>
      <c r="M182" s="894">
        <v>3</v>
      </c>
      <c r="N182" s="894">
        <v>4</v>
      </c>
      <c r="O182" s="894">
        <v>4</v>
      </c>
      <c r="P182" s="238">
        <f>SUM(L182:O182)</f>
        <v>15</v>
      </c>
      <c r="Q182" s="894">
        <v>4</v>
      </c>
      <c r="R182" s="894">
        <v>4</v>
      </c>
      <c r="S182" s="894">
        <v>4</v>
      </c>
      <c r="T182" s="894">
        <v>5</v>
      </c>
      <c r="U182" s="238">
        <f>SUM(Q182:T182)</f>
        <v>17</v>
      </c>
      <c r="V182" s="894">
        <v>4</v>
      </c>
      <c r="W182" s="894">
        <v>5</v>
      </c>
      <c r="X182" s="894">
        <v>5</v>
      </c>
      <c r="Y182" s="894">
        <v>5</v>
      </c>
      <c r="Z182" s="238">
        <f>SUM(V182:Y182)</f>
        <v>19</v>
      </c>
      <c r="AA182" s="894">
        <v>5</v>
      </c>
      <c r="AB182" s="894">
        <v>6</v>
      </c>
      <c r="AC182" s="894">
        <v>4</v>
      </c>
      <c r="AD182" s="894">
        <v>3</v>
      </c>
      <c r="AE182" s="238">
        <f>SUM(AA182:AD182)</f>
        <v>18</v>
      </c>
      <c r="AF182" s="894">
        <v>2</v>
      </c>
      <c r="AG182" s="894">
        <v>0</v>
      </c>
      <c r="AH182" s="894">
        <v>4</v>
      </c>
      <c r="AI182" s="894">
        <v>0</v>
      </c>
      <c r="AJ182" s="238">
        <f>SUM(AF182:AI182)</f>
        <v>6</v>
      </c>
      <c r="AK182" s="894">
        <v>0</v>
      </c>
      <c r="AL182" s="894">
        <v>0</v>
      </c>
      <c r="AM182" s="894">
        <v>0</v>
      </c>
      <c r="AN182" s="894">
        <v>0</v>
      </c>
      <c r="AO182" s="238">
        <f>SUM(AK182:AN182)</f>
        <v>0</v>
      </c>
      <c r="AP182" s="872"/>
      <c r="AQ182" s="894"/>
      <c r="AR182" s="894"/>
      <c r="AS182" s="894"/>
      <c r="AT182" s="207"/>
      <c r="AU182" s="894">
        <v>0</v>
      </c>
      <c r="AV182" s="894">
        <v>0</v>
      </c>
      <c r="AW182" s="894">
        <v>0</v>
      </c>
      <c r="AX182" s="894">
        <v>0</v>
      </c>
      <c r="AY182" s="207">
        <f>SUM(AU182:AX182)</f>
        <v>0</v>
      </c>
      <c r="AZ182" s="872">
        <v>0</v>
      </c>
      <c r="BA182" s="894">
        <v>0</v>
      </c>
      <c r="BB182" s="894">
        <v>0</v>
      </c>
      <c r="BC182" s="894">
        <v>0</v>
      </c>
      <c r="BD182" s="207">
        <f>SUM(AZ182:BC182)</f>
        <v>0</v>
      </c>
      <c r="BE182" s="872">
        <v>0</v>
      </c>
      <c r="BF182" s="894">
        <v>0</v>
      </c>
      <c r="BG182" s="894">
        <v>0</v>
      </c>
      <c r="BH182" s="894">
        <v>0</v>
      </c>
      <c r="BI182" s="207">
        <f>SUM(BE182:BH182)</f>
        <v>0</v>
      </c>
      <c r="BJ182" s="872">
        <v>0</v>
      </c>
      <c r="BK182" s="894">
        <v>0</v>
      </c>
      <c r="BL182" s="894">
        <v>0</v>
      </c>
      <c r="BM182" s="894">
        <v>0</v>
      </c>
      <c r="BN182" s="322">
        <f>SUM(BJ182:BM182)</f>
        <v>0</v>
      </c>
      <c r="BO182" s="872">
        <v>0</v>
      </c>
      <c r="BP182" s="894">
        <v>0</v>
      </c>
      <c r="BQ182" s="894">
        <v>0</v>
      </c>
      <c r="BR182" s="894">
        <v>0</v>
      </c>
      <c r="BS182" s="207">
        <f>SUM(BO182:BR182)</f>
        <v>0</v>
      </c>
      <c r="BT182" s="872">
        <v>0</v>
      </c>
      <c r="BU182" s="894">
        <v>0</v>
      </c>
      <c r="BV182" s="894">
        <v>0</v>
      </c>
      <c r="BW182" s="894">
        <v>0</v>
      </c>
      <c r="BX182" s="207">
        <f>SUM(BT182:BW182)</f>
        <v>0</v>
      </c>
      <c r="BY182" s="872">
        <v>0</v>
      </c>
      <c r="BZ182" s="894">
        <v>0</v>
      </c>
      <c r="CA182" s="894">
        <v>0</v>
      </c>
      <c r="CB182" s="894">
        <v>0</v>
      </c>
      <c r="CC182" s="207">
        <f>SUM(BY182:CB182)</f>
        <v>0</v>
      </c>
      <c r="CD182" s="872">
        <v>0</v>
      </c>
      <c r="CE182" s="894">
        <v>0</v>
      </c>
      <c r="CF182" s="894">
        <v>0</v>
      </c>
      <c r="CG182" s="894">
        <v>0</v>
      </c>
      <c r="CH182" s="207">
        <f>SUM(CD182:CG182)</f>
        <v>0</v>
      </c>
      <c r="CI182" s="872">
        <v>0</v>
      </c>
      <c r="CJ182" s="894">
        <v>0</v>
      </c>
      <c r="CK182" s="894">
        <v>0</v>
      </c>
      <c r="CL182" s="894">
        <v>0</v>
      </c>
      <c r="CM182" s="207">
        <f>SUM(CI182:CL182)</f>
        <v>0</v>
      </c>
      <c r="CN182" s="872">
        <v>0</v>
      </c>
      <c r="CO182" s="894">
        <v>0</v>
      </c>
      <c r="CP182" s="894">
        <v>0</v>
      </c>
      <c r="CQ182" s="894">
        <v>0</v>
      </c>
      <c r="CR182" s="207">
        <f>SUM(CN182:CQ182)</f>
        <v>0</v>
      </c>
      <c r="CS182" s="872">
        <v>0</v>
      </c>
      <c r="CT182" s="894">
        <v>0</v>
      </c>
      <c r="CU182" s="894">
        <v>0</v>
      </c>
      <c r="CV182" s="894">
        <v>0</v>
      </c>
      <c r="CW182" s="207">
        <f>SUM(CS182:CV182)</f>
        <v>0</v>
      </c>
      <c r="CX182" s="872">
        <v>0</v>
      </c>
      <c r="CY182" s="89">
        <v>0</v>
      </c>
      <c r="CZ182" s="89">
        <v>0</v>
      </c>
      <c r="DA182" s="89">
        <v>0</v>
      </c>
      <c r="DB182" s="207">
        <f>SUM(CX182:DA182)</f>
        <v>0</v>
      </c>
      <c r="DC182" s="37"/>
      <c r="DD182" s="37"/>
      <c r="DE182" s="37"/>
      <c r="DF182" s="37"/>
      <c r="DG182" s="303">
        <v>0</v>
      </c>
      <c r="DH182" s="37"/>
      <c r="DI182" s="37"/>
      <c r="DJ182" s="37"/>
      <c r="DK182" s="37"/>
      <c r="DL182" s="303">
        <v>0</v>
      </c>
      <c r="DM182" s="37"/>
      <c r="DN182" s="506"/>
      <c r="DO182" s="486"/>
      <c r="DP182" s="411"/>
      <c r="DQ182" s="411"/>
      <c r="DR182" s="411"/>
      <c r="DS182" s="562"/>
      <c r="DT182" s="556"/>
      <c r="DU182" s="556"/>
      <c r="DV182" s="465"/>
      <c r="DW182" s="465"/>
      <c r="DX182" s="465"/>
      <c r="DY182" s="465"/>
      <c r="DZ182" s="465"/>
      <c r="EA182" s="506"/>
      <c r="EH182" s="8"/>
    </row>
    <row r="183" spans="1:138" ht="12.75" customHeight="1" x14ac:dyDescent="0.2">
      <c r="A183" s="96" t="s">
        <v>273</v>
      </c>
      <c r="B183" s="90">
        <f>B178-B181-B182</f>
        <v>169.71</v>
      </c>
      <c r="C183" s="90">
        <f>C178-C181-C182</f>
        <v>372.68549999999999</v>
      </c>
      <c r="D183" s="90">
        <f>D178-D181-D182</f>
        <v>271.50656000000004</v>
      </c>
      <c r="E183" s="90">
        <f>E178-E181-E182</f>
        <v>75</v>
      </c>
      <c r="F183" s="431">
        <f>SUM(B183:E183)</f>
        <v>888.90206000000001</v>
      </c>
      <c r="G183" s="90">
        <f>G178-G181-G182</f>
        <v>-125.795</v>
      </c>
      <c r="H183" s="90">
        <f>H178-H181-H182</f>
        <v>-127</v>
      </c>
      <c r="I183" s="90">
        <f>I178-I181-I182</f>
        <v>-298.8</v>
      </c>
      <c r="J183" s="90">
        <f>J178-J181-J182</f>
        <v>-489.29058999999995</v>
      </c>
      <c r="K183" s="431">
        <f>SUM(G183:J183)</f>
        <v>-1040.8855899999999</v>
      </c>
      <c r="L183" s="90">
        <f>L178-L181-L182</f>
        <v>-356.8</v>
      </c>
      <c r="M183" s="90">
        <f>M178-M181-M182</f>
        <v>-165.24908823599998</v>
      </c>
      <c r="N183" s="90">
        <f>N178-N181-N182</f>
        <v>-215.75399999999999</v>
      </c>
      <c r="O183" s="90">
        <f>O178-O181-O182</f>
        <v>-234.38019999999997</v>
      </c>
      <c r="P183" s="431">
        <f>SUM(L183:O183)</f>
        <v>-972.18328823599995</v>
      </c>
      <c r="Q183" s="90">
        <f>Q178-Q181-Q182</f>
        <v>-429.94159999999999</v>
      </c>
      <c r="R183" s="90">
        <f>R178-R181-R182</f>
        <v>-240.79937499999983</v>
      </c>
      <c r="S183" s="90">
        <f>S178-S181-S182</f>
        <v>-176.74800000000005</v>
      </c>
      <c r="T183" s="90">
        <f>T178-T181-T182</f>
        <v>-211.14053999999999</v>
      </c>
      <c r="U183" s="431">
        <f>SUM(Q183:T183)</f>
        <v>-1058.6295149999999</v>
      </c>
      <c r="V183" s="90">
        <f>V178-V181-V182</f>
        <v>-387</v>
      </c>
      <c r="W183" s="90">
        <f>W178-W181-W182</f>
        <v>-1851</v>
      </c>
      <c r="X183" s="90">
        <f>X178-X181-X182</f>
        <v>-597</v>
      </c>
      <c r="Y183" s="90">
        <f>Y178-Y181-Y182</f>
        <v>-548</v>
      </c>
      <c r="Z183" s="431">
        <f>SUM(V183:Y183)</f>
        <v>-3383</v>
      </c>
      <c r="AA183" s="90">
        <f>AA178-AA181-AA182</f>
        <v>-545</v>
      </c>
      <c r="AB183" s="90">
        <f>AB178-AB181-AB182</f>
        <v>-292</v>
      </c>
      <c r="AC183" s="90">
        <f>AC178-AC181-AC182</f>
        <v>-442</v>
      </c>
      <c r="AD183" s="90">
        <f>AD178-AD181-AD182</f>
        <v>-785</v>
      </c>
      <c r="AE183" s="431">
        <f>SUM(AA183:AD183)</f>
        <v>-2064</v>
      </c>
      <c r="AF183" s="90">
        <f>AF178-AF181-AF182</f>
        <v>-668</v>
      </c>
      <c r="AG183" s="90">
        <f>AG178-AG181-AG182</f>
        <v>175</v>
      </c>
      <c r="AH183" s="90">
        <f>AH178-AH181-AH182</f>
        <v>-50</v>
      </c>
      <c r="AI183" s="90">
        <f>AI178-AI181-AI182</f>
        <v>540</v>
      </c>
      <c r="AJ183" s="431">
        <f>SUM(AF183:AI183)</f>
        <v>-3</v>
      </c>
      <c r="AK183" s="90">
        <f>AK178-AK181-AK182</f>
        <v>-6</v>
      </c>
      <c r="AL183" s="90">
        <f>AL178-AL181-AL182</f>
        <v>287</v>
      </c>
      <c r="AM183" s="90">
        <f>AM178-AM181-AM182</f>
        <v>220</v>
      </c>
      <c r="AN183" s="90">
        <f>AN178-AN181-AN182</f>
        <v>-70</v>
      </c>
      <c r="AO183" s="431">
        <f>SUM(AK183:AN183)</f>
        <v>431</v>
      </c>
      <c r="AP183" s="353"/>
      <c r="AQ183" s="90"/>
      <c r="AR183" s="90"/>
      <c r="AS183" s="90"/>
      <c r="AT183" s="235"/>
      <c r="AU183" s="90">
        <f t="shared" ref="AU183:BZ183" si="689">AU178-AU181-AU182</f>
        <v>-473</v>
      </c>
      <c r="AV183" s="90">
        <f t="shared" si="689"/>
        <v>83</v>
      </c>
      <c r="AW183" s="90">
        <f t="shared" si="689"/>
        <v>-64</v>
      </c>
      <c r="AX183" s="90">
        <f t="shared" si="689"/>
        <v>-510</v>
      </c>
      <c r="AY183" s="235">
        <f t="shared" si="689"/>
        <v>-964</v>
      </c>
      <c r="AZ183" s="353">
        <f t="shared" si="689"/>
        <v>-693</v>
      </c>
      <c r="BA183" s="90">
        <f t="shared" si="689"/>
        <v>-199</v>
      </c>
      <c r="BB183" s="90">
        <f t="shared" si="689"/>
        <v>51</v>
      </c>
      <c r="BC183" s="90">
        <f t="shared" si="689"/>
        <v>-225</v>
      </c>
      <c r="BD183" s="235">
        <f t="shared" si="689"/>
        <v>-1066</v>
      </c>
      <c r="BE183" s="353">
        <f t="shared" si="689"/>
        <v>-192</v>
      </c>
      <c r="BF183" s="90">
        <f t="shared" si="689"/>
        <v>551.05999999999949</v>
      </c>
      <c r="BG183" s="90">
        <f t="shared" si="689"/>
        <v>929</v>
      </c>
      <c r="BH183" s="90">
        <f t="shared" si="689"/>
        <v>158</v>
      </c>
      <c r="BI183" s="235">
        <f t="shared" si="689"/>
        <v>1446.0599999999995</v>
      </c>
      <c r="BJ183" s="353">
        <f t="shared" si="689"/>
        <v>-320</v>
      </c>
      <c r="BK183" s="90">
        <f t="shared" si="689"/>
        <v>366</v>
      </c>
      <c r="BL183" s="90">
        <f t="shared" si="689"/>
        <v>765</v>
      </c>
      <c r="BM183" s="90">
        <f t="shared" si="689"/>
        <v>379</v>
      </c>
      <c r="BN183" s="353">
        <f t="shared" si="689"/>
        <v>1190</v>
      </c>
      <c r="BO183" s="353">
        <f t="shared" si="689"/>
        <v>-39</v>
      </c>
      <c r="BP183" s="90">
        <f t="shared" si="689"/>
        <v>586</v>
      </c>
      <c r="BQ183" s="90">
        <f t="shared" si="689"/>
        <v>768</v>
      </c>
      <c r="BR183" s="90">
        <f t="shared" si="689"/>
        <v>238.24793388429751</v>
      </c>
      <c r="BS183" s="235">
        <f t="shared" si="689"/>
        <v>1553.2479338842975</v>
      </c>
      <c r="BT183" s="353">
        <f t="shared" si="689"/>
        <v>85</v>
      </c>
      <c r="BU183" s="90">
        <f t="shared" si="689"/>
        <v>844</v>
      </c>
      <c r="BV183" s="90">
        <f t="shared" si="689"/>
        <v>1212</v>
      </c>
      <c r="BW183" s="90">
        <f t="shared" si="689"/>
        <v>558</v>
      </c>
      <c r="BX183" s="235">
        <f t="shared" si="689"/>
        <v>2699</v>
      </c>
      <c r="BY183" s="353">
        <f t="shared" si="689"/>
        <v>281</v>
      </c>
      <c r="BZ183" s="90">
        <f t="shared" si="689"/>
        <v>889</v>
      </c>
      <c r="CA183" s="90">
        <f>CA178-CA181-CA182</f>
        <v>1014</v>
      </c>
      <c r="CB183" s="90">
        <f>CB178-CB181-CB182</f>
        <v>649</v>
      </c>
      <c r="CC183" s="235">
        <f>CC178-CC181-CC182</f>
        <v>2833</v>
      </c>
      <c r="CD183" s="353">
        <f>CD178-CD181-CD182</f>
        <v>372</v>
      </c>
      <c r="CE183" s="90">
        <f>CE178-CE181-CE182</f>
        <v>1027</v>
      </c>
      <c r="CF183" s="90">
        <f t="shared" ref="CF183:CH183" si="690">CF178-CF181-CF182</f>
        <v>1384</v>
      </c>
      <c r="CG183" s="90">
        <f t="shared" si="690"/>
        <v>926</v>
      </c>
      <c r="CH183" s="235">
        <f t="shared" si="690"/>
        <v>3709</v>
      </c>
      <c r="CI183" s="353">
        <f>CI178-CI181-CI182</f>
        <v>1026</v>
      </c>
      <c r="CJ183" s="90">
        <f>CJ178-CJ181-CJ182</f>
        <v>1124</v>
      </c>
      <c r="CK183" s="90">
        <f t="shared" ref="CK183:CM183" si="691">CK178-CK181-CK182</f>
        <v>1263</v>
      </c>
      <c r="CL183" s="90">
        <f t="shared" si="691"/>
        <v>604</v>
      </c>
      <c r="CM183" s="235">
        <f t="shared" si="691"/>
        <v>4017</v>
      </c>
      <c r="CN183" s="353">
        <f>CN178-CN181-CN182</f>
        <v>560</v>
      </c>
      <c r="CO183" s="90">
        <f>CO178-CO181-CO182</f>
        <v>1201</v>
      </c>
      <c r="CP183" s="90">
        <f t="shared" ref="CP183:CR183" si="692">CP178-CP181-CP182</f>
        <v>1127</v>
      </c>
      <c r="CQ183" s="90">
        <f t="shared" si="692"/>
        <v>681</v>
      </c>
      <c r="CR183" s="235">
        <f t="shared" si="692"/>
        <v>3569</v>
      </c>
      <c r="CS183" s="353">
        <f>CS178-CS181-CS182</f>
        <v>518</v>
      </c>
      <c r="CT183" s="90">
        <f>CT178-CT181-CT182</f>
        <v>1163</v>
      </c>
      <c r="CU183" s="90">
        <f t="shared" ref="CU183:CW183" si="693">CU178-CU181-CU182</f>
        <v>1108</v>
      </c>
      <c r="CV183" s="90">
        <f t="shared" si="693"/>
        <v>652</v>
      </c>
      <c r="CW183" s="235">
        <f t="shared" si="693"/>
        <v>3441</v>
      </c>
      <c r="CX183" s="353">
        <f>CX178-CX181-CX182</f>
        <v>523</v>
      </c>
      <c r="CY183" s="90">
        <f t="shared" ref="CY183:DB183" si="694">CY178-CY181-CY182</f>
        <v>1342.3347241300801</v>
      </c>
      <c r="CZ183" s="90">
        <f t="shared" si="694"/>
        <v>1286.4495780866832</v>
      </c>
      <c r="DA183" s="90">
        <f t="shared" si="694"/>
        <v>1022.0947214270267</v>
      </c>
      <c r="DB183" s="235">
        <f t="shared" si="694"/>
        <v>4173.8790236437899</v>
      </c>
      <c r="DC183" s="90"/>
      <c r="DD183" s="90"/>
      <c r="DE183" s="90"/>
      <c r="DF183" s="90"/>
      <c r="DG183" s="235">
        <f>DG178-DG181-DG182</f>
        <v>4486.5279155809185</v>
      </c>
      <c r="DH183" s="90"/>
      <c r="DI183" s="90"/>
      <c r="DJ183" s="90"/>
      <c r="DK183" s="90"/>
      <c r="DL183" s="235">
        <f>DL178-DL181-DL182</f>
        <v>4917.420143323794</v>
      </c>
      <c r="DM183" s="37"/>
      <c r="DN183" s="506"/>
      <c r="DO183" s="486"/>
      <c r="DP183" s="411"/>
      <c r="DQ183" s="411"/>
      <c r="DR183" s="411"/>
      <c r="DS183" s="561"/>
      <c r="DT183" s="561"/>
      <c r="DU183" s="465"/>
      <c r="DV183" s="465"/>
      <c r="DW183" s="465"/>
      <c r="DX183" s="465"/>
      <c r="DY183" s="465"/>
      <c r="DZ183" s="465"/>
      <c r="EA183" s="506"/>
      <c r="EH183" s="8"/>
    </row>
    <row r="184" spans="1:138" ht="12.75" customHeight="1" x14ac:dyDescent="0.2">
      <c r="A184" s="398" t="s">
        <v>105</v>
      </c>
      <c r="B184" s="400">
        <f>B183/B188</f>
        <v>1.3375314265898506</v>
      </c>
      <c r="C184" s="400">
        <f>C183/C188</f>
        <v>3.0408908435189868</v>
      </c>
      <c r="D184" s="400">
        <f>D183/D188</f>
        <v>2.2091664768104153</v>
      </c>
      <c r="E184" s="400">
        <f>E183/E188</f>
        <v>0.61025223759153779</v>
      </c>
      <c r="F184" s="399">
        <v>7.2</v>
      </c>
      <c r="G184" s="400">
        <f>G183/G188</f>
        <v>-1.0224658825824386</v>
      </c>
      <c r="H184" s="400">
        <f>H183/H188</f>
        <v>-1.0320756096966348</v>
      </c>
      <c r="I184" s="400">
        <f>I183/I188</f>
        <v>-2.4264078931341104</v>
      </c>
      <c r="J184" s="400">
        <f>J183/J188</f>
        <v>-3.9699999999999998</v>
      </c>
      <c r="K184" s="399">
        <v>-8.4499999999999993</v>
      </c>
      <c r="L184" s="400">
        <f>L183/L188</f>
        <v>-2.8950699425529844</v>
      </c>
      <c r="M184" s="400">
        <f>M183/M188</f>
        <v>-1.3408395465543681</v>
      </c>
      <c r="N184" s="400">
        <f>N183/N188</f>
        <v>-1.75</v>
      </c>
      <c r="O184" s="400">
        <f>O183/O188</f>
        <v>-1.8999999999999997</v>
      </c>
      <c r="P184" s="399">
        <v>-7.89</v>
      </c>
      <c r="Q184" s="400">
        <f>Q183/Q188</f>
        <v>-3.4852594033722437</v>
      </c>
      <c r="R184" s="400">
        <f>R183/R188</f>
        <v>-1.9497925101214562</v>
      </c>
      <c r="S184" s="400">
        <f>S183/S188</f>
        <v>-1.4300000000000004</v>
      </c>
      <c r="T184" s="400">
        <f>T183/T188</f>
        <v>-1.7099999999999997</v>
      </c>
      <c r="U184" s="399">
        <v>-8.58</v>
      </c>
      <c r="V184" s="400">
        <f t="shared" ref="V184:AO184" si="695">V183/V188</f>
        <v>-3.1240141091778515</v>
      </c>
      <c r="W184" s="400">
        <f t="shared" si="695"/>
        <v>-14.844726208914283</v>
      </c>
      <c r="X184" s="400">
        <f t="shared" si="695"/>
        <v>-4.7324418105256978</v>
      </c>
      <c r="Y184" s="400">
        <f t="shared" si="695"/>
        <v>-4.1094863142107236</v>
      </c>
      <c r="Z184" s="399">
        <f t="shared" si="695"/>
        <v>-26.637795275590552</v>
      </c>
      <c r="AA184" s="400">
        <f t="shared" si="695"/>
        <v>-3.8673325820726387</v>
      </c>
      <c r="AB184" s="400">
        <f t="shared" si="695"/>
        <v>-1.9888247799394325</v>
      </c>
      <c r="AC184" s="400">
        <f t="shared" si="695"/>
        <v>-2.6241754166985731</v>
      </c>
      <c r="AD184" s="400">
        <f t="shared" si="695"/>
        <v>-4.140295358649789</v>
      </c>
      <c r="AE184" s="399">
        <f t="shared" si="695"/>
        <v>-12.780185758513932</v>
      </c>
      <c r="AF184" s="400">
        <f t="shared" si="695"/>
        <v>-3.4450747808148527</v>
      </c>
      <c r="AG184" s="400">
        <f t="shared" si="695"/>
        <v>0.88697415103902677</v>
      </c>
      <c r="AH184" s="400">
        <f t="shared" si="695"/>
        <v>-0.25342118601115049</v>
      </c>
      <c r="AI184" s="400">
        <f t="shared" si="695"/>
        <v>2.7369488089204257</v>
      </c>
      <c r="AJ184" s="399">
        <f t="shared" si="695"/>
        <v>-1.5271061338763044E-2</v>
      </c>
      <c r="AK184" s="400">
        <f t="shared" si="695"/>
        <v>-1.5463917525773196E-2</v>
      </c>
      <c r="AL184" s="400">
        <f t="shared" si="695"/>
        <v>0.73969072164948457</v>
      </c>
      <c r="AM184" s="400">
        <f t="shared" si="695"/>
        <v>0.5670103092783505</v>
      </c>
      <c r="AN184" s="400">
        <f t="shared" si="695"/>
        <v>-0.17725713698956988</v>
      </c>
      <c r="AO184" s="399">
        <f t="shared" si="695"/>
        <v>1.1059033831422318</v>
      </c>
      <c r="AP184" s="402"/>
      <c r="AQ184" s="400"/>
      <c r="AR184" s="400"/>
      <c r="AS184" s="400"/>
      <c r="AT184" s="401"/>
      <c r="AU184" s="400"/>
      <c r="AV184" s="400"/>
      <c r="AW184" s="400"/>
      <c r="AX184" s="400"/>
      <c r="AY184" s="399">
        <f t="shared" ref="AY184:BP184" si="696">AY183/AY188</f>
        <v>-1.193069306930693</v>
      </c>
      <c r="AZ184" s="402">
        <f t="shared" si="696"/>
        <v>-0.84</v>
      </c>
      <c r="BA184" s="400">
        <f t="shared" si="696"/>
        <v>-0.24062877871825877</v>
      </c>
      <c r="BB184" s="400">
        <f t="shared" si="696"/>
        <v>6.1594202898550728E-2</v>
      </c>
      <c r="BC184" s="400">
        <f t="shared" si="696"/>
        <v>-0.27108433734939757</v>
      </c>
      <c r="BD184" s="401">
        <f t="shared" si="696"/>
        <v>-1.2882175226586103</v>
      </c>
      <c r="BE184" s="402">
        <f t="shared" si="696"/>
        <v>-0.23065833733781838</v>
      </c>
      <c r="BF184" s="400">
        <f t="shared" si="696"/>
        <v>0.66074340527577879</v>
      </c>
      <c r="BG184" s="400">
        <f t="shared" si="696"/>
        <v>1.1125748502994013</v>
      </c>
      <c r="BH184" s="400">
        <f t="shared" si="696"/>
        <v>0.18899521531100477</v>
      </c>
      <c r="BI184" s="401">
        <f t="shared" si="696"/>
        <v>1.7331575477916934</v>
      </c>
      <c r="BJ184" s="402">
        <f t="shared" si="696"/>
        <v>-0.3823178016726404</v>
      </c>
      <c r="BK184" s="400">
        <f t="shared" si="696"/>
        <v>0.43675417661097854</v>
      </c>
      <c r="BL184" s="400">
        <f t="shared" si="696"/>
        <v>0.91288782816229119</v>
      </c>
      <c r="BM184" s="400">
        <f t="shared" si="696"/>
        <v>0.4511904761904762</v>
      </c>
      <c r="BN184" s="402">
        <f t="shared" si="696"/>
        <v>1.4196242171189979</v>
      </c>
      <c r="BO184" s="402">
        <f t="shared" si="696"/>
        <v>-4.6263345195729534E-2</v>
      </c>
      <c r="BP184" s="400">
        <f t="shared" si="696"/>
        <v>0.69349112426035497</v>
      </c>
      <c r="BQ184" s="400">
        <f t="shared" ref="BQ184:BZ184" si="697">BQ183/BQ188</f>
        <v>0.90780141843971629</v>
      </c>
      <c r="BR184" s="400">
        <f t="shared" si="697"/>
        <v>0.28161694312564717</v>
      </c>
      <c r="BS184" s="401">
        <f t="shared" si="697"/>
        <v>1.8381632353660324</v>
      </c>
      <c r="BT184" s="402">
        <f t="shared" si="697"/>
        <v>0.10023584905660378</v>
      </c>
      <c r="BU184" s="400">
        <f t="shared" si="697"/>
        <v>0.99294117647058822</v>
      </c>
      <c r="BV184" s="400">
        <f t="shared" si="697"/>
        <v>1.4242068155111633</v>
      </c>
      <c r="BW184" s="400">
        <f t="shared" si="697"/>
        <v>0.65957446808510634</v>
      </c>
      <c r="BX184" s="401">
        <f t="shared" si="697"/>
        <v>3.1799705449189983</v>
      </c>
      <c r="BY184" s="402">
        <f t="shared" si="697"/>
        <v>0.33412604042806182</v>
      </c>
      <c r="BZ184" s="400">
        <f t="shared" si="697"/>
        <v>1.0570749108204518</v>
      </c>
      <c r="CA184" s="400">
        <f>CA183/CA188</f>
        <v>1.2158273381294964</v>
      </c>
      <c r="CB184" s="400">
        <f>CB183/CB188</f>
        <v>0.78666666666666663</v>
      </c>
      <c r="CC184" s="401">
        <f>CC183/CC188</f>
        <v>3.3917988626159832</v>
      </c>
      <c r="CD184" s="402">
        <f>CD183/CD188</f>
        <v>0.45476772616136918</v>
      </c>
      <c r="CE184" s="400">
        <f>CE183/CE188</f>
        <v>1.2789539227895392</v>
      </c>
      <c r="CF184" s="400">
        <f t="shared" ref="CF184:CH184" si="698">CF183/CF188</f>
        <v>1.7563451776649746</v>
      </c>
      <c r="CG184" s="400">
        <f t="shared" si="698"/>
        <v>1.1902313624678664</v>
      </c>
      <c r="CH184" s="401">
        <f t="shared" si="698"/>
        <v>4.6551615939755253</v>
      </c>
      <c r="CI184" s="402">
        <f>CI183/CI188</f>
        <v>1.3255813953488371</v>
      </c>
      <c r="CJ184" s="400">
        <f>CJ183/CJ188</f>
        <v>1.4828496042216359</v>
      </c>
      <c r="CK184" s="400">
        <f t="shared" ref="CK184:CM184" si="699">CK183/CK188</f>
        <v>1.7067567567567568</v>
      </c>
      <c r="CL184" s="400">
        <f t="shared" si="699"/>
        <v>0.82513661202185795</v>
      </c>
      <c r="CM184" s="401">
        <f t="shared" si="699"/>
        <v>5.348868175765646</v>
      </c>
      <c r="CN184" s="402">
        <f>CN183/CN188</f>
        <v>0.76923076923076927</v>
      </c>
      <c r="CO184" s="400">
        <f>CO183/CO188</f>
        <v>1.6497252747252746</v>
      </c>
      <c r="CP184" s="400">
        <f t="shared" ref="CP184:CR184" si="700">CP183/CP188</f>
        <v>1.5740223463687151</v>
      </c>
      <c r="CQ184" s="400">
        <f t="shared" si="700"/>
        <v>0.9511173184357542</v>
      </c>
      <c r="CR184" s="401">
        <f t="shared" si="700"/>
        <v>4.9432132963988922</v>
      </c>
      <c r="CS184" s="402">
        <f>CS183/CS188</f>
        <v>0.71153846153846156</v>
      </c>
      <c r="CT184" s="400">
        <f>CT183/CT188</f>
        <v>1.5975274725274726</v>
      </c>
      <c r="CU184" s="400">
        <f t="shared" ref="CU184:CW184" si="701">CU183/CU188</f>
        <v>1.5474860335195531</v>
      </c>
      <c r="CV184" s="400">
        <f t="shared" si="701"/>
        <v>0.91061452513966479</v>
      </c>
      <c r="CW184" s="401">
        <f t="shared" si="701"/>
        <v>4.7659279778393353</v>
      </c>
      <c r="CX184" s="402">
        <f>CX183/CX188</f>
        <v>0.74289772727272729</v>
      </c>
      <c r="CY184" s="400">
        <f t="shared" ref="CY184:DA184" si="702">CY183/CY188</f>
        <v>1.9211752086074667</v>
      </c>
      <c r="CZ184" s="400">
        <f t="shared" si="702"/>
        <v>1.855144727724843</v>
      </c>
      <c r="DA184" s="400">
        <f t="shared" si="702"/>
        <v>1.4850980328684928</v>
      </c>
      <c r="DB184" s="401">
        <f>DB183/DB188</f>
        <v>5.9961157653970512</v>
      </c>
      <c r="DC184" s="400"/>
      <c r="DD184" s="400"/>
      <c r="DE184" s="400"/>
      <c r="DF184" s="400"/>
      <c r="DG184" s="401">
        <f>DG183/DG188</f>
        <v>6.7855116334163039</v>
      </c>
      <c r="DH184" s="400"/>
      <c r="DI184" s="400"/>
      <c r="DJ184" s="400"/>
      <c r="DK184" s="400"/>
      <c r="DL184" s="401">
        <f>DL183/DL188</f>
        <v>7.7480612935463933</v>
      </c>
      <c r="DM184" s="400"/>
      <c r="DN184" s="530"/>
      <c r="DO184" s="490"/>
      <c r="DP184" s="415"/>
      <c r="DQ184" s="415"/>
      <c r="DR184" s="415"/>
      <c r="DS184" s="561"/>
      <c r="DT184" s="561"/>
      <c r="DU184" s="465"/>
      <c r="DV184" s="474"/>
      <c r="DW184" s="474"/>
      <c r="DX184" s="474"/>
      <c r="DY184" s="474"/>
      <c r="DZ184" s="474"/>
      <c r="EA184" s="530"/>
      <c r="EH184" s="162"/>
    </row>
    <row r="185" spans="1:138" ht="12.75" customHeight="1" x14ac:dyDescent="0.2">
      <c r="A185" s="397" t="s">
        <v>299</v>
      </c>
      <c r="B185" s="97"/>
      <c r="C185" s="97"/>
      <c r="D185" s="97"/>
      <c r="E185" s="97"/>
      <c r="F185" s="239"/>
      <c r="G185" s="97"/>
      <c r="H185" s="97"/>
      <c r="I185" s="97"/>
      <c r="J185" s="97"/>
      <c r="K185" s="239"/>
      <c r="L185" s="97"/>
      <c r="M185" s="97"/>
      <c r="N185" s="97"/>
      <c r="O185" s="97"/>
      <c r="P185" s="239"/>
      <c r="Q185" s="97"/>
      <c r="R185" s="97"/>
      <c r="S185" s="97"/>
      <c r="T185" s="97"/>
      <c r="U185" s="239"/>
      <c r="V185" s="97"/>
      <c r="W185" s="97"/>
      <c r="X185" s="97"/>
      <c r="Y185" s="97"/>
      <c r="Z185" s="239"/>
      <c r="AA185" s="97"/>
      <c r="AB185" s="97"/>
      <c r="AC185" s="97"/>
      <c r="AD185" s="97"/>
      <c r="AE185" s="239"/>
      <c r="AF185" s="97"/>
      <c r="AG185" s="97"/>
      <c r="AH185" s="97"/>
      <c r="AI185" s="97"/>
      <c r="AJ185" s="239"/>
      <c r="AK185" s="97"/>
      <c r="AL185" s="97"/>
      <c r="AM185" s="97"/>
      <c r="AN185" s="97"/>
      <c r="AO185" s="239"/>
      <c r="AP185" s="354"/>
      <c r="AQ185" s="97"/>
      <c r="AR185" s="97"/>
      <c r="AS185" s="97"/>
      <c r="AT185" s="263"/>
      <c r="AU185" s="97"/>
      <c r="AV185" s="97"/>
      <c r="AW185" s="97"/>
      <c r="AX185" s="97"/>
      <c r="AY185" s="263"/>
      <c r="AZ185" s="354"/>
      <c r="BA185" s="97"/>
      <c r="BB185" s="97"/>
      <c r="BC185" s="97"/>
      <c r="BD185" s="263"/>
      <c r="BE185" s="354"/>
      <c r="BF185" s="97"/>
      <c r="BG185" s="97"/>
      <c r="BH185" s="97"/>
      <c r="BI185" s="263"/>
      <c r="BJ185" s="354"/>
      <c r="BK185" s="97"/>
      <c r="BL185" s="97"/>
      <c r="BM185" s="97"/>
      <c r="BN185" s="354"/>
      <c r="BO185" s="354"/>
      <c r="BP185" s="97"/>
      <c r="BQ185" s="97"/>
      <c r="BR185" s="97"/>
      <c r="BS185" s="263"/>
      <c r="BT185" s="354"/>
      <c r="BU185" s="97"/>
      <c r="BV185" s="97"/>
      <c r="BW185" s="97"/>
      <c r="BX185" s="263"/>
      <c r="BY185" s="354"/>
      <c r="BZ185" s="97"/>
      <c r="CA185" s="97"/>
      <c r="CB185" s="97"/>
      <c r="CC185" s="263"/>
      <c r="CD185" s="354"/>
      <c r="CE185" s="97"/>
      <c r="CF185" s="97"/>
      <c r="CG185" s="97"/>
      <c r="CH185" s="263"/>
      <c r="CI185" s="354"/>
      <c r="CJ185" s="97"/>
      <c r="CK185" s="97"/>
      <c r="CL185" s="97"/>
      <c r="CM185" s="263"/>
      <c r="CN185" s="354"/>
      <c r="CO185" s="97"/>
      <c r="CP185" s="97"/>
      <c r="CQ185" s="97"/>
      <c r="CR185" s="263"/>
      <c r="CS185" s="354"/>
      <c r="CT185" s="97"/>
      <c r="CU185" s="97"/>
      <c r="CV185" s="97"/>
      <c r="CW185" s="263"/>
      <c r="CX185" s="354"/>
      <c r="CY185" s="97"/>
      <c r="CZ185" s="97"/>
      <c r="DA185" s="97"/>
      <c r="DB185" s="263"/>
      <c r="DC185" s="97"/>
      <c r="DD185" s="97"/>
      <c r="DE185" s="97"/>
      <c r="DF185" s="97"/>
      <c r="DG185" s="263"/>
      <c r="DH185" s="97"/>
      <c r="DI185" s="97"/>
      <c r="DJ185" s="97"/>
      <c r="DK185" s="97"/>
      <c r="DL185" s="263"/>
      <c r="DM185" s="97"/>
      <c r="DN185" s="531"/>
      <c r="DO185" s="486"/>
      <c r="DP185" s="411"/>
      <c r="DQ185" s="411"/>
      <c r="DR185" s="411"/>
      <c r="DS185" s="568"/>
      <c r="DT185" s="568"/>
      <c r="DU185" s="474"/>
      <c r="DV185" s="474"/>
      <c r="DW185" s="474"/>
      <c r="DX185" s="474"/>
      <c r="DY185" s="474"/>
      <c r="DZ185" s="474"/>
      <c r="EA185" s="531"/>
      <c r="EH185" s="8"/>
    </row>
    <row r="186" spans="1:138" ht="12.75" customHeight="1" x14ac:dyDescent="0.2">
      <c r="A186" s="98" t="s">
        <v>368</v>
      </c>
      <c r="B186" s="99">
        <f>B183/B189</f>
        <v>1.2704080486873723</v>
      </c>
      <c r="C186" s="99">
        <f>C183/C189</f>
        <v>2.8460137457044676</v>
      </c>
      <c r="D186" s="99">
        <f>D183/D189</f>
        <v>2.08</v>
      </c>
      <c r="E186" s="99">
        <f>E183/E189</f>
        <v>0.60306841208066642</v>
      </c>
      <c r="F186" s="240">
        <v>6.8</v>
      </c>
      <c r="G186" s="99">
        <f>G183/G189</f>
        <v>-1.0224658825824386</v>
      </c>
      <c r="H186" s="99">
        <f>H183/H189</f>
        <v>-1.0320756096966348</v>
      </c>
      <c r="I186" s="99">
        <f>I183/I189</f>
        <v>-2.4264078931341104</v>
      </c>
      <c r="J186" s="99">
        <f>J183/J189</f>
        <v>-3.9699999999999998</v>
      </c>
      <c r="K186" s="240">
        <v>-8.4499999999999993</v>
      </c>
      <c r="L186" s="99">
        <f>L183/L189</f>
        <v>-2.8950699425529844</v>
      </c>
      <c r="M186" s="99">
        <f>M183/M189</f>
        <v>-1.3408395465543681</v>
      </c>
      <c r="N186" s="99">
        <f>N183/N189</f>
        <v>-1.75</v>
      </c>
      <c r="O186" s="99">
        <f>O183/O189</f>
        <v>-1.8999999999999997</v>
      </c>
      <c r="P186" s="240">
        <v>-7.89</v>
      </c>
      <c r="Q186" s="99">
        <f>Q183/Q189</f>
        <v>-3.4852594033722437</v>
      </c>
      <c r="R186" s="99">
        <f>R183/R189</f>
        <v>-1.9497925101214562</v>
      </c>
      <c r="S186" s="99">
        <f>S183/S189</f>
        <v>-1.4300000000000004</v>
      </c>
      <c r="T186" s="99">
        <f>T183/T189</f>
        <v>-1.7099999999999997</v>
      </c>
      <c r="U186" s="240">
        <v>-8.58</v>
      </c>
      <c r="V186" s="99">
        <f t="shared" ref="V186:AO186" si="703">V183/V189</f>
        <v>-3.1240141091778515</v>
      </c>
      <c r="W186" s="99">
        <f t="shared" si="703"/>
        <v>-14.844726208914283</v>
      </c>
      <c r="X186" s="99">
        <f t="shared" si="703"/>
        <v>-4.7324418105256978</v>
      </c>
      <c r="Y186" s="99">
        <f t="shared" si="703"/>
        <v>-4.1094863142107236</v>
      </c>
      <c r="Z186" s="240">
        <f t="shared" si="703"/>
        <v>-26.637795275590552</v>
      </c>
      <c r="AA186" s="99">
        <f t="shared" si="703"/>
        <v>-3.8673325820726387</v>
      </c>
      <c r="AB186" s="99">
        <f t="shared" si="703"/>
        <v>-1.9888247799394325</v>
      </c>
      <c r="AC186" s="99">
        <f t="shared" si="703"/>
        <v>-2.6241754166985731</v>
      </c>
      <c r="AD186" s="99">
        <f t="shared" si="703"/>
        <v>-4.140295358649789</v>
      </c>
      <c r="AE186" s="240">
        <f t="shared" si="703"/>
        <v>-12.780185758513932</v>
      </c>
      <c r="AF186" s="99">
        <f t="shared" si="703"/>
        <v>-3.4450747808148527</v>
      </c>
      <c r="AG186" s="99">
        <f t="shared" si="703"/>
        <v>0.88697415103902677</v>
      </c>
      <c r="AH186" s="99">
        <f t="shared" si="703"/>
        <v>-0.25342118601115049</v>
      </c>
      <c r="AI186" s="99">
        <f t="shared" si="703"/>
        <v>2.7369488089204257</v>
      </c>
      <c r="AJ186" s="240">
        <f t="shared" si="703"/>
        <v>-1.5271061338763044E-2</v>
      </c>
      <c r="AK186" s="99">
        <f t="shared" si="703"/>
        <v>-1.5236160487557136E-2</v>
      </c>
      <c r="AL186" s="99">
        <f t="shared" si="703"/>
        <v>0.72879634332148302</v>
      </c>
      <c r="AM186" s="99">
        <f t="shared" si="703"/>
        <v>0.55865921787709494</v>
      </c>
      <c r="AN186" s="99">
        <f t="shared" si="703"/>
        <v>-0.17725713698956988</v>
      </c>
      <c r="AO186" s="240">
        <f t="shared" si="703"/>
        <v>1.0936959104448292</v>
      </c>
      <c r="AP186" s="355"/>
      <c r="AQ186" s="99"/>
      <c r="AR186" s="99"/>
      <c r="AS186" s="99"/>
      <c r="AT186" s="295"/>
      <c r="AU186" s="99"/>
      <c r="AV186" s="99"/>
      <c r="AW186" s="99"/>
      <c r="AX186" s="99">
        <f t="shared" ref="AX186:BQ186" si="704">AX183/AX189</f>
        <v>-0.6288532675709001</v>
      </c>
      <c r="AY186" s="295">
        <f t="shared" si="704"/>
        <v>-1.18865598027127</v>
      </c>
      <c r="AZ186" s="355">
        <f t="shared" si="704"/>
        <v>-0.84</v>
      </c>
      <c r="BA186" s="99">
        <f t="shared" si="704"/>
        <v>-0.24062877871825877</v>
      </c>
      <c r="BB186" s="99">
        <f t="shared" si="704"/>
        <v>6.1594202898550728E-2</v>
      </c>
      <c r="BC186" s="99">
        <f t="shared" si="704"/>
        <v>-0.27108433734939757</v>
      </c>
      <c r="BD186" s="295">
        <f t="shared" si="704"/>
        <v>-1.2882175226586103</v>
      </c>
      <c r="BE186" s="355">
        <f t="shared" ref="BE186:BJ186" si="705">BE183/BE189</f>
        <v>-0.23065833733781838</v>
      </c>
      <c r="BF186" s="99">
        <f t="shared" si="705"/>
        <v>0.6544655581947737</v>
      </c>
      <c r="BG186" s="99">
        <f t="shared" si="705"/>
        <v>1.1033254156769596</v>
      </c>
      <c r="BH186" s="99">
        <f t="shared" si="705"/>
        <v>0.18698224852071005</v>
      </c>
      <c r="BI186" s="295">
        <f t="shared" si="705"/>
        <v>1.7207830070803825</v>
      </c>
      <c r="BJ186" s="355">
        <f t="shared" si="705"/>
        <v>-0.3823178016726404</v>
      </c>
      <c r="BK186" s="99">
        <f>BK183/BK189</f>
        <v>0.43364928909952605</v>
      </c>
      <c r="BL186" s="99">
        <f>BL183/BL189</f>
        <v>0.90639810426540279</v>
      </c>
      <c r="BM186" s="99">
        <f>BM183/BM189</f>
        <v>0.4485207100591716</v>
      </c>
      <c r="BN186" s="355">
        <f t="shared" si="704"/>
        <v>1.4124629080118694</v>
      </c>
      <c r="BO186" s="355">
        <f t="shared" si="704"/>
        <v>-4.6044864226682407E-2</v>
      </c>
      <c r="BP186" s="99">
        <f>BP183/BP189</f>
        <v>0.69349112426035497</v>
      </c>
      <c r="BQ186" s="99">
        <f t="shared" si="704"/>
        <v>0.90352941176470591</v>
      </c>
      <c r="BR186" s="99">
        <f t="shared" ref="BR186:BX186" si="706">BR183/BR189</f>
        <v>0.27963372521631163</v>
      </c>
      <c r="BS186" s="295">
        <f t="shared" si="706"/>
        <v>1.8305809474181467</v>
      </c>
      <c r="BT186" s="355">
        <f t="shared" si="706"/>
        <v>9.9415204678362568E-2</v>
      </c>
      <c r="BU186" s="99">
        <f t="shared" si="706"/>
        <v>0.9825378346915018</v>
      </c>
      <c r="BV186" s="99">
        <f t="shared" si="706"/>
        <v>1.4076655052264808</v>
      </c>
      <c r="BW186" s="99">
        <f>BW183/BW189</f>
        <v>0.65034965034965031</v>
      </c>
      <c r="BX186" s="295">
        <f t="shared" si="706"/>
        <v>3.1447713370230121</v>
      </c>
      <c r="BY186" s="355">
        <f>BY183/BY189</f>
        <v>0.33058823529411763</v>
      </c>
      <c r="BZ186" s="99">
        <f>BZ183/BZ189</f>
        <v>1.0458823529411765</v>
      </c>
      <c r="CA186" s="99">
        <f>CA183/CA189</f>
        <v>1.2028469750889679</v>
      </c>
      <c r="CB186" s="99">
        <f t="shared" ref="CB186:CH186" si="707">CB183/CB189</f>
        <v>0.77724550898203593</v>
      </c>
      <c r="CC186" s="295">
        <f t="shared" si="707"/>
        <v>3.3546477205447012</v>
      </c>
      <c r="CD186" s="355">
        <f t="shared" si="707"/>
        <v>0.45036319612590797</v>
      </c>
      <c r="CE186" s="99">
        <f t="shared" si="707"/>
        <v>1.2663378545006165</v>
      </c>
      <c r="CF186" s="99">
        <f t="shared" si="707"/>
        <v>1.7408805031446541</v>
      </c>
      <c r="CG186" s="99">
        <f t="shared" si="707"/>
        <v>1.1796178343949044</v>
      </c>
      <c r="CH186" s="295">
        <f t="shared" si="707"/>
        <v>4.6117500777121538</v>
      </c>
      <c r="CI186" s="355">
        <f>CI183/CI189</f>
        <v>1.3153846153846154</v>
      </c>
      <c r="CJ186" s="99">
        <f t="shared" ref="CJ186:CM186" si="708">CJ183/CJ189</f>
        <v>1.473132372214941</v>
      </c>
      <c r="CK186" s="99">
        <f t="shared" si="708"/>
        <v>1.6975806451612903</v>
      </c>
      <c r="CL186" s="99">
        <f t="shared" si="708"/>
        <v>0.81953867028493899</v>
      </c>
      <c r="CM186" s="295">
        <f t="shared" si="708"/>
        <v>5.3134920634920633</v>
      </c>
      <c r="CN186" s="355">
        <f>CN183/CN189</f>
        <v>0.76607387140902872</v>
      </c>
      <c r="CO186" s="99">
        <f t="shared" ref="CO186:CR186" si="709">CO183/CO189</f>
        <v>1.6429548563611491</v>
      </c>
      <c r="CP186" s="99">
        <f t="shared" si="709"/>
        <v>1.5674547983310152</v>
      </c>
      <c r="CQ186" s="99">
        <f t="shared" si="709"/>
        <v>0.94714881780250348</v>
      </c>
      <c r="CR186" s="295">
        <f t="shared" si="709"/>
        <v>4.9227586206896552</v>
      </c>
      <c r="CS186" s="355">
        <f>CS183/CS189</f>
        <v>0.70861833105335159</v>
      </c>
      <c r="CT186" s="99">
        <f t="shared" ref="CT186:CW186" si="710">CT183/CT189</f>
        <v>1.5909712722298222</v>
      </c>
      <c r="CU186" s="99">
        <f t="shared" si="710"/>
        <v>1.5410292072322671</v>
      </c>
      <c r="CV186" s="99">
        <f t="shared" si="710"/>
        <v>0.90681502086230881</v>
      </c>
      <c r="CW186" s="295">
        <f t="shared" si="710"/>
        <v>4.7462068965517243</v>
      </c>
      <c r="CX186" s="355">
        <f>CX183/CX189</f>
        <v>0.74079320113314451</v>
      </c>
      <c r="CY186" s="99">
        <f t="shared" ref="CY186:DA186" si="711">CY183/CY189</f>
        <v>1.9156916593003903</v>
      </c>
      <c r="CZ186" s="99">
        <f t="shared" si="711"/>
        <v>1.8498096339161016</v>
      </c>
      <c r="DA186" s="99">
        <f t="shared" si="711"/>
        <v>1.4807948592263309</v>
      </c>
      <c r="DB186" s="295">
        <f>DB183/DB189</f>
        <v>5.9789373085930597</v>
      </c>
      <c r="DC186" s="99"/>
      <c r="DD186" s="99"/>
      <c r="DE186" s="99"/>
      <c r="DF186" s="99"/>
      <c r="DG186" s="295">
        <f>DG183/DG189</f>
        <v>6.7650484530494222</v>
      </c>
      <c r="DH186" s="99"/>
      <c r="DI186" s="99"/>
      <c r="DJ186" s="99"/>
      <c r="DK186" s="99"/>
      <c r="DL186" s="295">
        <f>DL183/DL189</f>
        <v>7.7237217545911481</v>
      </c>
      <c r="DM186" s="426"/>
      <c r="DN186" s="532"/>
      <c r="DO186" s="486"/>
      <c r="DP186" s="411"/>
      <c r="DQ186" s="411"/>
      <c r="DR186" s="411"/>
      <c r="DS186" s="474" t="s">
        <v>588</v>
      </c>
      <c r="DT186" s="568"/>
      <c r="DU186" s="474"/>
      <c r="DV186" s="474"/>
      <c r="DW186" s="474"/>
      <c r="DX186" s="460"/>
      <c r="DY186" s="474"/>
      <c r="DZ186" s="474"/>
      <c r="EA186" s="532"/>
      <c r="EH186" s="8"/>
    </row>
    <row r="187" spans="1:138" ht="12.75" customHeight="1" x14ac:dyDescent="0.2">
      <c r="A187" s="142" t="s">
        <v>244</v>
      </c>
      <c r="B187" s="77"/>
      <c r="C187" s="77"/>
      <c r="D187" s="77"/>
      <c r="E187" s="77"/>
      <c r="F187" s="241"/>
      <c r="G187" s="77">
        <f>(G186-B186)/ABS(B186)</f>
        <v>-1.8048326548614708</v>
      </c>
      <c r="H187" s="77">
        <f>(H186-C186)/ABS(C186)</f>
        <v>-1.3626390108812239</v>
      </c>
      <c r="I187" s="77">
        <f>(I186-D186)/ABS(D186)</f>
        <v>-2.1665422563144761</v>
      </c>
      <c r="J187" s="77">
        <f>(J186-E186)/ABS(E186)</f>
        <v>-7.5830010666666654</v>
      </c>
      <c r="K187" s="241">
        <f t="shared" ref="K187:AN187" si="712">(K186-F186)/ABS(F186)</f>
        <v>-2.2426470588235294</v>
      </c>
      <c r="L187" s="77">
        <f t="shared" si="712"/>
        <v>-1.8314587233374633</v>
      </c>
      <c r="M187" s="77">
        <f t="shared" si="712"/>
        <v>-0.29916794269413111</v>
      </c>
      <c r="N187" s="77">
        <f t="shared" si="712"/>
        <v>0.27876924364123168</v>
      </c>
      <c r="O187" s="77">
        <f t="shared" si="712"/>
        <v>0.52141057934508828</v>
      </c>
      <c r="P187" s="241">
        <f t="shared" si="712"/>
        <v>6.6272189349112387E-2</v>
      </c>
      <c r="Q187" s="77">
        <f t="shared" si="712"/>
        <v>-0.20386017351235647</v>
      </c>
      <c r="R187" s="77">
        <f t="shared" si="712"/>
        <v>-0.45415796776873807</v>
      </c>
      <c r="S187" s="77">
        <f t="shared" si="712"/>
        <v>0.18285714285714263</v>
      </c>
      <c r="T187" s="77">
        <f t="shared" si="712"/>
        <v>9.9999999999999992E-2</v>
      </c>
      <c r="U187" s="241">
        <f t="shared" si="712"/>
        <v>-8.7452471482889788E-2</v>
      </c>
      <c r="V187" s="77">
        <f t="shared" si="712"/>
        <v>0.10364947121148599</v>
      </c>
      <c r="W187" s="77">
        <f t="shared" si="712"/>
        <v>-6.6134902210643824</v>
      </c>
      <c r="X187" s="77">
        <f t="shared" si="712"/>
        <v>-2.309399867500487</v>
      </c>
      <c r="Y187" s="77">
        <f t="shared" si="712"/>
        <v>-1.4032083708834644</v>
      </c>
      <c r="Z187" s="241">
        <f t="shared" si="712"/>
        <v>-2.1046381440082227</v>
      </c>
      <c r="AA187" s="77">
        <f t="shared" si="712"/>
        <v>-0.23793697688849644</v>
      </c>
      <c r="AB187" s="77">
        <f t="shared" si="712"/>
        <v>0.86602482578997375</v>
      </c>
      <c r="AC187" s="77">
        <f t="shared" si="712"/>
        <v>0.44549230148757613</v>
      </c>
      <c r="AD187" s="77">
        <f t="shared" si="712"/>
        <v>-7.4970548831192908E-3</v>
      </c>
      <c r="AE187" s="241">
        <f t="shared" si="712"/>
        <v>0.52022359109332861</v>
      </c>
      <c r="AF187" s="77">
        <f t="shared" si="712"/>
        <v>0.10918579984953952</v>
      </c>
      <c r="AG187" s="77">
        <f t="shared" si="712"/>
        <v>1.4459790324344404</v>
      </c>
      <c r="AH187" s="77">
        <f t="shared" si="712"/>
        <v>0.90342826001701715</v>
      </c>
      <c r="AI187" s="77">
        <f t="shared" si="712"/>
        <v>1.6610515849316085</v>
      </c>
      <c r="AJ187" s="241">
        <f t="shared" si="712"/>
        <v>0.99880509864040201</v>
      </c>
      <c r="AK187" s="77">
        <f t="shared" si="712"/>
        <v>0.99557740790638116</v>
      </c>
      <c r="AL187" s="77">
        <f t="shared" si="712"/>
        <v>-0.17833417978669364</v>
      </c>
      <c r="AM187" s="77">
        <f t="shared" si="712"/>
        <v>3.2044692737430172</v>
      </c>
      <c r="AN187" s="77">
        <f t="shared" si="712"/>
        <v>-1.0647645057926707</v>
      </c>
      <c r="AO187" s="241">
        <f>(AO186-AJ186)/ABS(AJ186)</f>
        <v>72.618853868962219</v>
      </c>
      <c r="AP187" s="356"/>
      <c r="AQ187" s="77"/>
      <c r="AR187" s="77"/>
      <c r="AS187" s="77"/>
      <c r="AT187" s="224"/>
      <c r="AU187" s="77"/>
      <c r="AV187" s="77"/>
      <c r="AW187" s="77"/>
      <c r="AX187" s="77"/>
      <c r="AY187" s="224"/>
      <c r="AZ187" s="356"/>
      <c r="BA187" s="77"/>
      <c r="BB187" s="77"/>
      <c r="BC187" s="77">
        <f t="shared" ref="BC187:BP187" si="713">(BC186-AX186)/ABS(AX186)</f>
        <v>0.56892274982282065</v>
      </c>
      <c r="BD187" s="224">
        <f t="shared" si="713"/>
        <v>-8.3759762319640108E-2</v>
      </c>
      <c r="BE187" s="356">
        <f t="shared" si="713"/>
        <v>0.72540674126450189</v>
      </c>
      <c r="BF187" s="77">
        <f t="shared" si="713"/>
        <v>3.7198141539049137</v>
      </c>
      <c r="BG187" s="77">
        <f t="shared" si="713"/>
        <v>16.912812630990636</v>
      </c>
      <c r="BH187" s="77">
        <f t="shared" si="713"/>
        <v>1.6897567389875081</v>
      </c>
      <c r="BI187" s="224">
        <f t="shared" si="713"/>
        <v>2.3357860584981389</v>
      </c>
      <c r="BJ187" s="356">
        <f t="shared" si="713"/>
        <v>-0.65750696933492625</v>
      </c>
      <c r="BK187" s="77">
        <f t="shared" si="713"/>
        <v>-0.33739937316843666</v>
      </c>
      <c r="BL187" s="77">
        <f t="shared" si="713"/>
        <v>-0.17848524887893527</v>
      </c>
      <c r="BM187" s="77">
        <f t="shared" si="713"/>
        <v>1.39873417721519</v>
      </c>
      <c r="BN187" s="356">
        <f t="shared" ref="BN187:BT187" si="714">(BN186-BI186)/ABS(BI186)</f>
        <v>-0.17917430483674612</v>
      </c>
      <c r="BO187" s="356">
        <f t="shared" si="713"/>
        <v>0.87956390200708379</v>
      </c>
      <c r="BP187" s="77">
        <f t="shared" si="713"/>
        <v>0.59919811168234871</v>
      </c>
      <c r="BQ187" s="77">
        <f t="shared" si="714"/>
        <v>-3.1649365628603474E-3</v>
      </c>
      <c r="BR187" s="77">
        <f t="shared" si="714"/>
        <v>-0.37654222214305189</v>
      </c>
      <c r="BS187" s="224">
        <f t="shared" si="714"/>
        <v>0.29602054470570477</v>
      </c>
      <c r="BT187" s="356">
        <f t="shared" si="714"/>
        <v>3.1590943169890537</v>
      </c>
      <c r="BU187" s="77">
        <f t="shared" ref="BU187:CA187" si="715">(BU186-BP186)/ABS(BP186)</f>
        <v>0.41679943739644898</v>
      </c>
      <c r="BV187" s="77">
        <f t="shared" si="715"/>
        <v>0.55796312427409978</v>
      </c>
      <c r="BW187" s="77">
        <f t="shared" si="715"/>
        <v>1.3257196529015594</v>
      </c>
      <c r="BX187" s="224">
        <f t="shared" si="715"/>
        <v>0.71790891927417955</v>
      </c>
      <c r="BY187" s="356">
        <f t="shared" si="715"/>
        <v>2.3253287197231836</v>
      </c>
      <c r="BZ187" s="77">
        <f t="shared" si="715"/>
        <v>6.4470309450794488E-2</v>
      </c>
      <c r="CA187" s="77">
        <f t="shared" si="715"/>
        <v>-0.14550227264719359</v>
      </c>
      <c r="CB187" s="77">
        <f t="shared" ref="CB187:CK187" si="716">(CB186-BW186)/ABS(BW186)</f>
        <v>0.19511943854227037</v>
      </c>
      <c r="CC187" s="224">
        <f t="shared" si="716"/>
        <v>6.6738201614482989E-2</v>
      </c>
      <c r="CD187" s="356">
        <f t="shared" si="716"/>
        <v>0.36230860038086049</v>
      </c>
      <c r="CE187" s="77">
        <f t="shared" si="716"/>
        <v>0.21078422533804728</v>
      </c>
      <c r="CF187" s="77">
        <f t="shared" si="716"/>
        <v>0.44730006326523036</v>
      </c>
      <c r="CG187" s="77">
        <f>(CG186-CB186)/ABS(CB186)</f>
        <v>0.5176901259164024</v>
      </c>
      <c r="CH187" s="224">
        <f>(CH186-CC186)/ABS(CC186)</f>
        <v>0.37473453604938711</v>
      </c>
      <c r="CI187" s="356">
        <f t="shared" si="716"/>
        <v>1.9207196029776674</v>
      </c>
      <c r="CJ187" s="77">
        <f t="shared" si="716"/>
        <v>0.16330122090196408</v>
      </c>
      <c r="CK187" s="77">
        <f t="shared" si="716"/>
        <v>-2.4872389520790673E-2</v>
      </c>
      <c r="CL187" s="77">
        <f>(CL186-CG186)/ABS(CG186)</f>
        <v>-0.30525069527680654</v>
      </c>
      <c r="CM187" s="224">
        <f>(CM186-CH186)/ABS(CH186)</f>
        <v>0.15216392344661422</v>
      </c>
      <c r="CN187" s="356">
        <f t="shared" ref="CN187:CP187" si="717">(CN186-CI186)/ABS(CI186)</f>
        <v>-0.41760465916272671</v>
      </c>
      <c r="CO187" s="77">
        <f t="shared" si="717"/>
        <v>0.11527985356188329</v>
      </c>
      <c r="CP187" s="77">
        <f t="shared" si="717"/>
        <v>-7.6653705496219041E-2</v>
      </c>
      <c r="CQ187" s="77">
        <f>(CQ186-CL186)/ABS(CL186)</f>
        <v>0.15570973298086926</v>
      </c>
      <c r="CR187" s="224">
        <f>(CR186-CM186)/ABS(CM186)</f>
        <v>-7.353609229739122E-2</v>
      </c>
      <c r="CS187" s="356"/>
      <c r="CT187" s="77"/>
      <c r="CU187" s="77"/>
      <c r="CV187" s="77"/>
      <c r="CW187" s="224"/>
      <c r="CX187" s="356">
        <f>(CX186-CS186)/ABS(CS186)</f>
        <v>4.5405077274765678E-2</v>
      </c>
      <c r="CY187" s="77">
        <f>(CY186-CT186)/ABS(CT186)</f>
        <v>0.20410198017935111</v>
      </c>
      <c r="CZ187" s="77">
        <f>(CZ186-CU186)/ABS(CU186)</f>
        <v>0.20037285810981681</v>
      </c>
      <c r="DA187" s="77">
        <f>(DA186-CV186)/ABS(CV186)</f>
        <v>0.63296242911615319</v>
      </c>
      <c r="DB187" s="224">
        <f>(DB186-CW186)/ABS(CV186)</f>
        <v>1.3594066967142946</v>
      </c>
      <c r="DC187" s="77"/>
      <c r="DD187" s="77"/>
      <c r="DE187" s="77"/>
      <c r="DF187" s="77"/>
      <c r="DG187" s="224">
        <f>(DG186-DB186)/ABS(DB186)</f>
        <v>0.13148007812802223</v>
      </c>
      <c r="DH187" s="77"/>
      <c r="DI187" s="77"/>
      <c r="DJ187" s="77"/>
      <c r="DK187" s="77"/>
      <c r="DL187" s="224">
        <f>(DL186-DG186)/ABS(DG186)</f>
        <v>0.14170974652954527</v>
      </c>
      <c r="DM187" s="77"/>
      <c r="DN187" s="533"/>
      <c r="DO187" s="486"/>
      <c r="DP187" s="411"/>
      <c r="DQ187" s="411"/>
      <c r="DR187" s="411"/>
      <c r="DS187" s="474" t="s">
        <v>578</v>
      </c>
      <c r="DT187" s="568"/>
      <c r="DU187" s="474"/>
      <c r="DV187" s="615"/>
      <c r="DW187" s="460"/>
      <c r="DX187" s="460"/>
      <c r="DY187" s="460"/>
      <c r="DZ187" s="460"/>
      <c r="EA187" s="533"/>
      <c r="EH187" s="8"/>
    </row>
    <row r="188" spans="1:138" ht="12.75" customHeight="1" x14ac:dyDescent="0.2">
      <c r="A188" s="158" t="s">
        <v>330</v>
      </c>
      <c r="B188" s="900">
        <v>126.883</v>
      </c>
      <c r="C188" s="900">
        <v>122.55800000000001</v>
      </c>
      <c r="D188" s="900">
        <v>122.9</v>
      </c>
      <c r="E188" s="900">
        <v>122.9</v>
      </c>
      <c r="F188" s="242">
        <f>F183/F184</f>
        <v>123.45861944444444</v>
      </c>
      <c r="G188" s="900">
        <v>123.03100000000001</v>
      </c>
      <c r="H188" s="900">
        <v>123.053</v>
      </c>
      <c r="I188" s="900">
        <v>123.145</v>
      </c>
      <c r="J188" s="900">
        <v>123.247</v>
      </c>
      <c r="K188" s="242">
        <f>K183/K184</f>
        <v>123.18172662721894</v>
      </c>
      <c r="L188" s="900">
        <v>123.244</v>
      </c>
      <c r="M188" s="900">
        <f>M189</f>
        <v>123.24299999999999</v>
      </c>
      <c r="N188" s="900">
        <v>123.288</v>
      </c>
      <c r="O188" s="900">
        <v>123.358</v>
      </c>
      <c r="P188" s="242">
        <f>P183/P184</f>
        <v>123.21714679797212</v>
      </c>
      <c r="Q188" s="900">
        <v>123.36</v>
      </c>
      <c r="R188" s="900">
        <v>123.5</v>
      </c>
      <c r="S188" s="900">
        <v>123.6</v>
      </c>
      <c r="T188" s="900">
        <v>123.474</v>
      </c>
      <c r="U188" s="242">
        <f>U183/U184</f>
        <v>123.38339335664334</v>
      </c>
      <c r="V188" s="900">
        <v>123.879082</v>
      </c>
      <c r="W188" s="900">
        <v>124.690747</v>
      </c>
      <c r="X188" s="900">
        <v>126.150521</v>
      </c>
      <c r="Y188" s="900">
        <v>133.35</v>
      </c>
      <c r="Z188" s="242">
        <v>127</v>
      </c>
      <c r="AA188" s="900">
        <v>140.92400599999999</v>
      </c>
      <c r="AB188" s="900">
        <v>146.82037500000001</v>
      </c>
      <c r="AC188" s="900">
        <v>168.433862</v>
      </c>
      <c r="AD188" s="900">
        <v>189.6</v>
      </c>
      <c r="AE188" s="242">
        <v>161.5</v>
      </c>
      <c r="AF188" s="900">
        <v>193.9</v>
      </c>
      <c r="AG188" s="900">
        <v>197.3</v>
      </c>
      <c r="AH188" s="900">
        <v>197.3</v>
      </c>
      <c r="AI188" s="900">
        <f>AH188</f>
        <v>197.3</v>
      </c>
      <c r="AJ188" s="242">
        <f>AVERAGE(AF188:AI188)</f>
        <v>196.45</v>
      </c>
      <c r="AK188" s="900">
        <v>388</v>
      </c>
      <c r="AL188" s="900">
        <v>388</v>
      </c>
      <c r="AM188" s="900">
        <v>388</v>
      </c>
      <c r="AN188" s="900">
        <v>394.90652499999999</v>
      </c>
      <c r="AO188" s="242">
        <f>AVERAGE(AK188:AN188)</f>
        <v>389.72663124999997</v>
      </c>
      <c r="AP188" s="878"/>
      <c r="AQ188" s="900"/>
      <c r="AR188" s="900"/>
      <c r="AS188" s="900"/>
      <c r="AT188" s="220"/>
      <c r="AU188" s="900"/>
      <c r="AV188" s="900"/>
      <c r="AW188" s="900"/>
      <c r="AX188" s="900"/>
      <c r="AY188" s="220">
        <v>808</v>
      </c>
      <c r="AZ188" s="878">
        <v>825</v>
      </c>
      <c r="BA188" s="900">
        <v>827</v>
      </c>
      <c r="BB188" s="900">
        <v>828</v>
      </c>
      <c r="BC188" s="900">
        <v>830</v>
      </c>
      <c r="BD188" s="220">
        <f>AVERAGE(AZ188:BC188)</f>
        <v>827.5</v>
      </c>
      <c r="BE188" s="878">
        <v>832.4</v>
      </c>
      <c r="BF188" s="900">
        <v>834</v>
      </c>
      <c r="BG188" s="900">
        <v>835</v>
      </c>
      <c r="BH188" s="900">
        <v>836</v>
      </c>
      <c r="BI188" s="220">
        <f>AVERAGE(BE188:BH188)</f>
        <v>834.35</v>
      </c>
      <c r="BJ188" s="878">
        <v>837</v>
      </c>
      <c r="BK188" s="900">
        <v>838</v>
      </c>
      <c r="BL188" s="900">
        <v>838</v>
      </c>
      <c r="BM188" s="900">
        <v>840</v>
      </c>
      <c r="BN188" s="357">
        <f>AVERAGE(BJ188:BM188)</f>
        <v>838.25</v>
      </c>
      <c r="BO188" s="878">
        <v>843</v>
      </c>
      <c r="BP188" s="900">
        <v>845</v>
      </c>
      <c r="BQ188" s="900">
        <v>846</v>
      </c>
      <c r="BR188" s="900">
        <v>846</v>
      </c>
      <c r="BS188" s="220">
        <f>AVERAGE(BO188:BR188)</f>
        <v>845</v>
      </c>
      <c r="BT188" s="878">
        <v>848</v>
      </c>
      <c r="BU188" s="900">
        <v>850</v>
      </c>
      <c r="BV188" s="900">
        <v>851</v>
      </c>
      <c r="BW188" s="900">
        <v>846</v>
      </c>
      <c r="BX188" s="220">
        <f>AVERAGE(BT188:BW188)</f>
        <v>848.75</v>
      </c>
      <c r="BY188" s="878">
        <v>841</v>
      </c>
      <c r="BZ188" s="900">
        <v>841</v>
      </c>
      <c r="CA188" s="900">
        <v>834</v>
      </c>
      <c r="CB188" s="900">
        <v>825</v>
      </c>
      <c r="CC188" s="220">
        <f>AVERAGE(BY188:CB188)</f>
        <v>835.25</v>
      </c>
      <c r="CD188" s="878">
        <v>818</v>
      </c>
      <c r="CE188" s="900">
        <v>803</v>
      </c>
      <c r="CF188" s="900">
        <v>788</v>
      </c>
      <c r="CG188" s="900">
        <v>778</v>
      </c>
      <c r="CH188" s="220">
        <f>AVERAGE(CD188:CG188)</f>
        <v>796.75</v>
      </c>
      <c r="CI188" s="878">
        <v>774</v>
      </c>
      <c r="CJ188" s="900">
        <v>758</v>
      </c>
      <c r="CK188" s="900">
        <v>740</v>
      </c>
      <c r="CL188" s="900">
        <v>732</v>
      </c>
      <c r="CM188" s="220">
        <f>AVERAGE(CI188:CL188)</f>
        <v>751</v>
      </c>
      <c r="CN188" s="878">
        <v>728</v>
      </c>
      <c r="CO188" s="900">
        <v>728</v>
      </c>
      <c r="CP188" s="900">
        <v>716</v>
      </c>
      <c r="CQ188" s="900">
        <v>716</v>
      </c>
      <c r="CR188" s="220">
        <f>AVERAGE(CN188:CQ188)</f>
        <v>722</v>
      </c>
      <c r="CS188" s="878">
        <v>728</v>
      </c>
      <c r="CT188" s="900">
        <v>728</v>
      </c>
      <c r="CU188" s="900">
        <v>716</v>
      </c>
      <c r="CV188" s="900">
        <v>716</v>
      </c>
      <c r="CW188" s="220">
        <f>AVERAGE(CS188:CV188)</f>
        <v>722</v>
      </c>
      <c r="CX188" s="878">
        <v>704</v>
      </c>
      <c r="CY188" s="63">
        <f>CY189-(CX189-CX188)</f>
        <v>698.70500000000004</v>
      </c>
      <c r="CZ188" s="63">
        <f>CZ189-(CY189-CY188)</f>
        <v>693.44971250000003</v>
      </c>
      <c r="DA188" s="63">
        <f>DA189-(CZ189-CZ188)</f>
        <v>688.2338396562501</v>
      </c>
      <c r="DB188" s="220">
        <f>AVERAGE(CX188:DA188)</f>
        <v>696.09713803906243</v>
      </c>
      <c r="DC188" s="63"/>
      <c r="DD188" s="63"/>
      <c r="DE188" s="159"/>
      <c r="DF188" s="159"/>
      <c r="DG188" s="220">
        <f>DG189-(DB189-DB188)</f>
        <v>661.19228113710926</v>
      </c>
      <c r="DH188" s="63"/>
      <c r="DI188" s="63"/>
      <c r="DJ188" s="159"/>
      <c r="DK188" s="159"/>
      <c r="DL188" s="220">
        <f>DL189-(DG189-DG188)</f>
        <v>634.66458989162481</v>
      </c>
      <c r="DM188" s="43"/>
      <c r="DN188" s="534"/>
      <c r="DO188" s="486"/>
      <c r="DP188" s="411"/>
      <c r="DQ188" s="411"/>
      <c r="DR188" s="411"/>
      <c r="DS188" s="556" t="s">
        <v>551</v>
      </c>
      <c r="DT188" s="480"/>
      <c r="DU188" s="474"/>
      <c r="DV188" s="615"/>
      <c r="DW188" s="460"/>
      <c r="DX188" s="460"/>
      <c r="DY188" s="460"/>
      <c r="DZ188" s="460"/>
      <c r="EA188" s="534"/>
      <c r="EH188" s="160"/>
    </row>
    <row r="189" spans="1:138" ht="12.75" customHeight="1" x14ac:dyDescent="0.2">
      <c r="A189" s="158" t="s">
        <v>266</v>
      </c>
      <c r="B189" s="900">
        <v>133.58699999999999</v>
      </c>
      <c r="C189" s="900">
        <v>130.94999999999999</v>
      </c>
      <c r="D189" s="900">
        <v>130.53200000000001</v>
      </c>
      <c r="E189" s="900">
        <v>124.364</v>
      </c>
      <c r="F189" s="242">
        <f>F183/F186</f>
        <v>130.72089117647059</v>
      </c>
      <c r="G189" s="900">
        <v>123.03100000000001</v>
      </c>
      <c r="H189" s="900">
        <v>123.053</v>
      </c>
      <c r="I189" s="900">
        <v>123.145</v>
      </c>
      <c r="J189" s="900">
        <v>123.247</v>
      </c>
      <c r="K189" s="242">
        <f>K183/K186</f>
        <v>123.18172662721894</v>
      </c>
      <c r="L189" s="900">
        <v>123.244</v>
      </c>
      <c r="M189" s="900">
        <v>123.24299999999999</v>
      </c>
      <c r="N189" s="900">
        <v>123.288</v>
      </c>
      <c r="O189" s="900">
        <v>123.358</v>
      </c>
      <c r="P189" s="242">
        <f>P183/P186</f>
        <v>123.21714679797212</v>
      </c>
      <c r="Q189" s="900">
        <v>123.36</v>
      </c>
      <c r="R189" s="900">
        <v>123.5</v>
      </c>
      <c r="S189" s="900">
        <v>123.6</v>
      </c>
      <c r="T189" s="900">
        <v>123.474</v>
      </c>
      <c r="U189" s="242">
        <f>U183/U186</f>
        <v>123.38339335664334</v>
      </c>
      <c r="V189" s="900">
        <v>123.879082</v>
      </c>
      <c r="W189" s="900">
        <v>124.690747</v>
      </c>
      <c r="X189" s="900">
        <v>126.150521</v>
      </c>
      <c r="Y189" s="900">
        <v>133.35</v>
      </c>
      <c r="Z189" s="242">
        <v>127</v>
      </c>
      <c r="AA189" s="900">
        <v>140.92400599999999</v>
      </c>
      <c r="AB189" s="900">
        <v>146.82037500000001</v>
      </c>
      <c r="AC189" s="900">
        <v>168.433862</v>
      </c>
      <c r="AD189" s="900">
        <v>189.6</v>
      </c>
      <c r="AE189" s="242">
        <v>161.5</v>
      </c>
      <c r="AF189" s="900">
        <v>193.9</v>
      </c>
      <c r="AG189" s="900">
        <v>197.3</v>
      </c>
      <c r="AH189" s="900">
        <v>197.3</v>
      </c>
      <c r="AI189" s="900">
        <f>AH189</f>
        <v>197.3</v>
      </c>
      <c r="AJ189" s="242">
        <f>AVERAGE(AF189:AI189)</f>
        <v>196.45</v>
      </c>
      <c r="AK189" s="900">
        <v>393.8</v>
      </c>
      <c r="AL189" s="900">
        <v>393.8</v>
      </c>
      <c r="AM189" s="900">
        <v>393.8</v>
      </c>
      <c r="AN189" s="900">
        <v>394.90652499999999</v>
      </c>
      <c r="AO189" s="242">
        <f>AVERAGE(AK189:AN189)</f>
        <v>394.07663124999999</v>
      </c>
      <c r="AP189" s="878"/>
      <c r="AQ189" s="900"/>
      <c r="AR189" s="900"/>
      <c r="AS189" s="900"/>
      <c r="AT189" s="220"/>
      <c r="AU189" s="900"/>
      <c r="AV189" s="900"/>
      <c r="AW189" s="900"/>
      <c r="AX189" s="900">
        <v>811</v>
      </c>
      <c r="AY189" s="220">
        <f>AX189</f>
        <v>811</v>
      </c>
      <c r="AZ189" s="878">
        <v>825</v>
      </c>
      <c r="BA189" s="900">
        <v>827</v>
      </c>
      <c r="BB189" s="900">
        <v>828</v>
      </c>
      <c r="BC189" s="900">
        <v>830</v>
      </c>
      <c r="BD189" s="220">
        <f>IF(BD183&gt;0,BD407,BD188)</f>
        <v>827.5</v>
      </c>
      <c r="BE189" s="878">
        <f>BE188</f>
        <v>832.4</v>
      </c>
      <c r="BF189" s="900">
        <v>842</v>
      </c>
      <c r="BG189" s="900">
        <v>842</v>
      </c>
      <c r="BH189" s="900">
        <v>845</v>
      </c>
      <c r="BI189" s="220">
        <f>IF(BI183&gt;0,AVERAGE(BE189:BH189),BI188)</f>
        <v>840.35</v>
      </c>
      <c r="BJ189" s="878">
        <v>837</v>
      </c>
      <c r="BK189" s="900">
        <v>844</v>
      </c>
      <c r="BL189" s="900">
        <v>844</v>
      </c>
      <c r="BM189" s="900">
        <v>845</v>
      </c>
      <c r="BN189" s="220">
        <f>IF(BN183&gt;0,AVERAGE(BJ189:BM189),BN188)</f>
        <v>842.5</v>
      </c>
      <c r="BO189" s="878">
        <v>847</v>
      </c>
      <c r="BP189" s="900">
        <v>845</v>
      </c>
      <c r="BQ189" s="900">
        <v>850</v>
      </c>
      <c r="BR189" s="900">
        <v>852</v>
      </c>
      <c r="BS189" s="220">
        <f>IF(BS183&gt;0,AVERAGE(BO189:BR189),BS188)</f>
        <v>848.5</v>
      </c>
      <c r="BT189" s="878">
        <v>855</v>
      </c>
      <c r="BU189" s="900">
        <v>859</v>
      </c>
      <c r="BV189" s="900">
        <v>861</v>
      </c>
      <c r="BW189" s="900">
        <v>858</v>
      </c>
      <c r="BX189" s="220">
        <f>AVERAGE(BT189:BW189)</f>
        <v>858.25</v>
      </c>
      <c r="BY189" s="878">
        <v>850</v>
      </c>
      <c r="BZ189" s="900">
        <v>850</v>
      </c>
      <c r="CA189" s="900">
        <v>843</v>
      </c>
      <c r="CB189" s="900">
        <v>835</v>
      </c>
      <c r="CC189" s="220">
        <f>AVERAGE(BY189:CB189)</f>
        <v>844.5</v>
      </c>
      <c r="CD189" s="878">
        <v>826</v>
      </c>
      <c r="CE189" s="900">
        <v>811</v>
      </c>
      <c r="CF189" s="900">
        <v>795</v>
      </c>
      <c r="CG189" s="900">
        <v>785</v>
      </c>
      <c r="CH189" s="220">
        <f>AVERAGE(CD189:CG189)</f>
        <v>804.25</v>
      </c>
      <c r="CI189" s="878">
        <v>780</v>
      </c>
      <c r="CJ189" s="900">
        <v>763</v>
      </c>
      <c r="CK189" s="900">
        <v>744</v>
      </c>
      <c r="CL189" s="900">
        <v>737</v>
      </c>
      <c r="CM189" s="220">
        <f>AVERAGE(CI189:CL189)</f>
        <v>756</v>
      </c>
      <c r="CN189" s="878">
        <v>731</v>
      </c>
      <c r="CO189" s="900">
        <v>731</v>
      </c>
      <c r="CP189" s="900">
        <v>719</v>
      </c>
      <c r="CQ189" s="900">
        <v>719</v>
      </c>
      <c r="CR189" s="220">
        <f>AVERAGE(CN189:CQ189)</f>
        <v>725</v>
      </c>
      <c r="CS189" s="878">
        <v>731</v>
      </c>
      <c r="CT189" s="900">
        <v>731</v>
      </c>
      <c r="CU189" s="900">
        <v>719</v>
      </c>
      <c r="CV189" s="900">
        <v>719</v>
      </c>
      <c r="CW189" s="220">
        <f>AVERAGE(CS189:CV189)</f>
        <v>725</v>
      </c>
      <c r="CX189" s="878">
        <v>706</v>
      </c>
      <c r="CY189" s="63">
        <f>CX189*(1+(CY190/4))</f>
        <v>700.70500000000004</v>
      </c>
      <c r="CZ189" s="63">
        <f>CY189*(1+(CZ190/4))</f>
        <v>695.44971250000003</v>
      </c>
      <c r="DA189" s="63">
        <f>CZ189*(1+(DA190/4))</f>
        <v>690.2338396562501</v>
      </c>
      <c r="DB189" s="220">
        <f>AVERAGE(CX189:DA189)</f>
        <v>698.09713803906243</v>
      </c>
      <c r="DC189" s="63"/>
      <c r="DD189" s="63"/>
      <c r="DE189" s="159"/>
      <c r="DF189" s="159"/>
      <c r="DG189" s="220">
        <f>DB189*(1+(DG190))</f>
        <v>663.19228113710926</v>
      </c>
      <c r="DH189" s="63"/>
      <c r="DI189" s="63"/>
      <c r="DJ189" s="159"/>
      <c r="DK189" s="159"/>
      <c r="DL189" s="220">
        <f>DG189*(1+(DL190))</f>
        <v>636.66458989162481</v>
      </c>
      <c r="DM189" s="129"/>
      <c r="DN189" s="535"/>
      <c r="DO189" s="486"/>
      <c r="DP189" s="411"/>
      <c r="DQ189" s="411"/>
      <c r="DR189" s="411"/>
      <c r="DS189" s="474"/>
      <c r="DT189" s="569"/>
      <c r="DU189" s="615"/>
      <c r="DV189" s="615"/>
      <c r="DW189" s="460"/>
      <c r="DX189" s="615"/>
      <c r="DY189" s="460"/>
      <c r="DZ189" s="460"/>
      <c r="EA189" s="535"/>
      <c r="EH189" s="160"/>
    </row>
    <row r="190" spans="1:138" ht="12.75" customHeight="1" x14ac:dyDescent="0.2">
      <c r="A190" s="619" t="s">
        <v>426</v>
      </c>
      <c r="B190" s="49"/>
      <c r="C190" s="49"/>
      <c r="D190" s="49"/>
      <c r="E190" s="49"/>
      <c r="F190" s="242"/>
      <c r="G190" s="49"/>
      <c r="H190" s="49"/>
      <c r="I190" s="49"/>
      <c r="J190" s="49"/>
      <c r="K190" s="242"/>
      <c r="L190" s="49"/>
      <c r="M190" s="49"/>
      <c r="N190" s="49"/>
      <c r="O190" s="49"/>
      <c r="P190" s="242"/>
      <c r="Q190" s="49"/>
      <c r="R190" s="49"/>
      <c r="S190" s="49"/>
      <c r="T190" s="49"/>
      <c r="U190" s="242"/>
      <c r="V190" s="49"/>
      <c r="W190" s="49"/>
      <c r="X190" s="49"/>
      <c r="Y190" s="49"/>
      <c r="Z190" s="242"/>
      <c r="AA190" s="49"/>
      <c r="AB190" s="49"/>
      <c r="AC190" s="49"/>
      <c r="AD190" s="49"/>
      <c r="AE190" s="242"/>
      <c r="AF190" s="49"/>
      <c r="AG190" s="49"/>
      <c r="AH190" s="49"/>
      <c r="AI190" s="49"/>
      <c r="AJ190" s="242"/>
      <c r="AK190" s="49"/>
      <c r="AL190" s="49"/>
      <c r="AM190" s="49"/>
      <c r="AN190" s="49"/>
      <c r="AO190" s="242"/>
      <c r="AP190" s="620"/>
      <c r="AQ190" s="49"/>
      <c r="AR190" s="49"/>
      <c r="AS190" s="49"/>
      <c r="AT190" s="220"/>
      <c r="AU190" s="49"/>
      <c r="AV190" s="49"/>
      <c r="AW190" s="49"/>
      <c r="AX190" s="49"/>
      <c r="AY190" s="220"/>
      <c r="AZ190" s="620">
        <f>(AZ189/AX189-1)*4</f>
        <v>6.9050554870529801E-2</v>
      </c>
      <c r="BA190" s="49">
        <f>(BA189/AZ189-1)*4</f>
        <v>9.6969696969697594E-3</v>
      </c>
      <c r="BB190" s="49">
        <f>(BB189/BA189-1)*4</f>
        <v>4.8367593712210777E-3</v>
      </c>
      <c r="BC190" s="49">
        <f>(BC189/BB189-1)*4</f>
        <v>9.6618357487923134E-3</v>
      </c>
      <c r="BD190" s="214">
        <f>(BD189/AY189-1)</f>
        <v>2.0345252774352618E-2</v>
      </c>
      <c r="BE190" s="620">
        <f>(BE189/BC189-1)*4</f>
        <v>1.156626506024061E-2</v>
      </c>
      <c r="BF190" s="49">
        <f>(BF189/BE189-1)*4</f>
        <v>4.6131667467563808E-2</v>
      </c>
      <c r="BG190" s="49">
        <f>(BG189/BF189-1)*4</f>
        <v>0</v>
      </c>
      <c r="BH190" s="49">
        <f>(BH189/BG189-1)*4</f>
        <v>1.4251781472683689E-2</v>
      </c>
      <c r="BI190" s="214">
        <f>(BI189/BD189-1)</f>
        <v>1.5528700906344506E-2</v>
      </c>
      <c r="BJ190" s="620">
        <f>(BJ189/BH189-1)*4</f>
        <v>-3.7869822485207205E-2</v>
      </c>
      <c r="BK190" s="49">
        <f>(BK189/BJ189-1)*4</f>
        <v>3.3452807646355609E-2</v>
      </c>
      <c r="BL190" s="49">
        <f>(BL189/BK189-1)*4</f>
        <v>0</v>
      </c>
      <c r="BM190" s="49">
        <f>(BM189/BL189-1)*4</f>
        <v>4.7393364928911552E-3</v>
      </c>
      <c r="BN190" s="214">
        <f>(BN189/BI189-1)</f>
        <v>2.5584577854464996E-3</v>
      </c>
      <c r="BO190" s="620">
        <f>(BO189/BM189-1)*4</f>
        <v>9.4674556213014682E-3</v>
      </c>
      <c r="BP190" s="49">
        <f>(BP189/BO189-1)*4</f>
        <v>-9.4451003541911049E-3</v>
      </c>
      <c r="BQ190" s="49">
        <f>(BQ189/BP189-1)*4</f>
        <v>2.3668639053254559E-2</v>
      </c>
      <c r="BR190" s="49">
        <f>(BR189/BQ189-1)*4</f>
        <v>9.4117647058826748E-3</v>
      </c>
      <c r="BS190" s="214">
        <f>(BS189/BN189-1)</f>
        <v>7.1216617210683175E-3</v>
      </c>
      <c r="BT190" s="620">
        <f>(BT189/BR189-1)*4</f>
        <v>1.4084507042253946E-2</v>
      </c>
      <c r="BU190" s="49">
        <f>(BU189/BT189-1)*4</f>
        <v>1.8713450292398015E-2</v>
      </c>
      <c r="BV190" s="49">
        <f>(BV189/BU189-1)*4</f>
        <v>9.3131548311990997E-3</v>
      </c>
      <c r="BW190" s="49">
        <f>(BW189/BV189-1)*4</f>
        <v>-1.3937282229965042E-2</v>
      </c>
      <c r="BX190" s="214">
        <f>(BX189/BS189-1)</f>
        <v>1.1490866234531438E-2</v>
      </c>
      <c r="BY190" s="620">
        <f>(BY189/BW189-1)*4</f>
        <v>-3.7296037296037365E-2</v>
      </c>
      <c r="BZ190" s="49">
        <f>(BZ189/BY189-1)*4</f>
        <v>0</v>
      </c>
      <c r="CA190" s="49">
        <f>(CA189/BZ189-1)*4</f>
        <v>-3.2941176470588029E-2</v>
      </c>
      <c r="CB190" s="49">
        <f>(CB189/CA189-1)*4</f>
        <v>-3.7959667852906165E-2</v>
      </c>
      <c r="CC190" s="214">
        <f>(CC189/BX189-1)</f>
        <v>-1.6020972909991271E-2</v>
      </c>
      <c r="CD190" s="620">
        <f>(CD189/CB189-1)*4</f>
        <v>-4.3113772455089627E-2</v>
      </c>
      <c r="CE190" s="49">
        <f>(CE189/CD189-1)*4</f>
        <v>-7.2639225181597933E-2</v>
      </c>
      <c r="CF190" s="49">
        <f>(CF189/CE189-1)*4</f>
        <v>-7.8914919852034693E-2</v>
      </c>
      <c r="CG190" s="49">
        <f>(CG189/CF189-1)*4</f>
        <v>-5.031446540880502E-2</v>
      </c>
      <c r="CH190" s="214">
        <f>(CH189/CC189-1)</f>
        <v>-4.7661338069863834E-2</v>
      </c>
      <c r="CI190" s="620">
        <f>(CI189/CG189-1)*4</f>
        <v>-2.5477707006369421E-2</v>
      </c>
      <c r="CJ190" s="49">
        <f>(CJ189/CI189-1)*4</f>
        <v>-8.7179487179487314E-2</v>
      </c>
      <c r="CK190" s="49">
        <f>(CK189/CJ189-1)*4</f>
        <v>-9.9606815203145516E-2</v>
      </c>
      <c r="CL190" s="49">
        <f>(CL189/CK189-1)*4</f>
        <v>-3.7634408602150504E-2</v>
      </c>
      <c r="CM190" s="214">
        <f>(CM189/CH189-1)</f>
        <v>-5.9993783027665559E-2</v>
      </c>
      <c r="CN190" s="620">
        <f>(CN189/CL189-1)*4</f>
        <v>-3.2564450474898088E-2</v>
      </c>
      <c r="CO190" s="49">
        <f>(CO189/CN189-1)*4</f>
        <v>0</v>
      </c>
      <c r="CP190" s="49">
        <f>(CP189/CO189-1)*4</f>
        <v>-6.5663474692202684E-2</v>
      </c>
      <c r="CQ190" s="49">
        <f>(CQ189/CP189-1)*4</f>
        <v>0</v>
      </c>
      <c r="CR190" s="214">
        <f>(CR189/CM189-1)</f>
        <v>-4.1005291005291045E-2</v>
      </c>
      <c r="CS190" s="620">
        <f>(CS189/CL189-1)*4</f>
        <v>-3.2564450474898088E-2</v>
      </c>
      <c r="CT190" s="49">
        <f>(CT189/CS189-1)*4</f>
        <v>0</v>
      </c>
      <c r="CU190" s="49">
        <f>(CU189/CT189-1)*4</f>
        <v>-6.5663474692202684E-2</v>
      </c>
      <c r="CV190" s="49">
        <f>(CV189/CU189-1)*4</f>
        <v>0</v>
      </c>
      <c r="CW190" s="214">
        <f>(CW189/CM189-1)</f>
        <v>-4.1005291005291045E-2</v>
      </c>
      <c r="CX190" s="620">
        <f>(CX189/CQ189-1)*4</f>
        <v>-7.2322670375521536E-2</v>
      </c>
      <c r="CY190" s="621">
        <v>-0.03</v>
      </c>
      <c r="CZ190" s="621">
        <v>-0.03</v>
      </c>
      <c r="DA190" s="621">
        <v>-0.03</v>
      </c>
      <c r="DB190" s="214">
        <f>(DB189/CW189-1)</f>
        <v>-3.710739580818978E-2</v>
      </c>
      <c r="DC190" s="63"/>
      <c r="DD190" s="63"/>
      <c r="DE190" s="159"/>
      <c r="DF190" s="159"/>
      <c r="DG190" s="622">
        <v>-0.05</v>
      </c>
      <c r="DH190" s="63"/>
      <c r="DI190" s="63"/>
      <c r="DJ190" s="159"/>
      <c r="DK190" s="159"/>
      <c r="DL190" s="622">
        <v>-0.04</v>
      </c>
      <c r="DM190" s="129"/>
      <c r="DN190" s="535"/>
      <c r="DO190" s="486"/>
      <c r="DP190" s="411"/>
      <c r="DQ190" s="411"/>
      <c r="DR190" s="411"/>
      <c r="DS190" s="569"/>
      <c r="DT190" s="569"/>
      <c r="DU190" s="569"/>
      <c r="DV190" s="569"/>
      <c r="DW190" s="569"/>
      <c r="DX190" s="569"/>
      <c r="DY190" s="569"/>
      <c r="DZ190" s="569"/>
      <c r="EA190" s="535"/>
      <c r="EH190" s="160"/>
    </row>
    <row r="191" spans="1:138" ht="12.75" customHeight="1" x14ac:dyDescent="0.2">
      <c r="A191" s="100" t="s">
        <v>49</v>
      </c>
      <c r="B191" s="43"/>
      <c r="C191" s="43"/>
      <c r="D191" s="43"/>
      <c r="E191" s="43"/>
      <c r="F191" s="243"/>
      <c r="G191" s="43"/>
      <c r="H191" s="43"/>
      <c r="I191" s="43"/>
      <c r="J191" s="43"/>
      <c r="K191" s="243"/>
      <c r="L191" s="43"/>
      <c r="M191" s="43"/>
      <c r="N191" s="43"/>
      <c r="O191" s="43"/>
      <c r="P191" s="243"/>
      <c r="Q191" s="43"/>
      <c r="R191" s="43"/>
      <c r="S191" s="43"/>
      <c r="T191" s="43"/>
      <c r="U191" s="243"/>
      <c r="V191" s="43"/>
      <c r="W191" s="43"/>
      <c r="X191" s="43"/>
      <c r="Y191" s="43"/>
      <c r="Z191" s="243"/>
      <c r="AA191" s="43"/>
      <c r="AB191" s="43"/>
      <c r="AC191" s="43"/>
      <c r="AD191" s="43"/>
      <c r="AE191" s="243"/>
      <c r="AF191" s="43"/>
      <c r="AG191" s="43"/>
      <c r="AH191" s="43"/>
      <c r="AI191" s="43"/>
      <c r="AJ191" s="243"/>
      <c r="AK191" s="43"/>
      <c r="AL191" s="43"/>
      <c r="AM191" s="43"/>
      <c r="AN191" s="43"/>
      <c r="AO191" s="243">
        <f>AO188</f>
        <v>389.72663124999997</v>
      </c>
      <c r="AP191" s="358"/>
      <c r="AQ191" s="43"/>
      <c r="AR191" s="43"/>
      <c r="AS191" s="43"/>
      <c r="AT191" s="261"/>
      <c r="AU191" s="43"/>
      <c r="AV191" s="43"/>
      <c r="AW191" s="43"/>
      <c r="AX191" s="43"/>
      <c r="AY191" s="261">
        <v>808</v>
      </c>
      <c r="AZ191" s="358"/>
      <c r="BA191" s="43"/>
      <c r="BB191" s="43"/>
      <c r="BC191" s="43"/>
      <c r="BD191" s="261">
        <f>BC188</f>
        <v>830</v>
      </c>
      <c r="BE191" s="358"/>
      <c r="BF191" s="43"/>
      <c r="BG191" s="43"/>
      <c r="BH191" s="43"/>
      <c r="BI191" s="261">
        <f>BD191*(BI188/BD188)</f>
        <v>836.87069486404835</v>
      </c>
      <c r="BJ191" s="358"/>
      <c r="BK191" s="43"/>
      <c r="BL191" s="43"/>
      <c r="BM191" s="43"/>
      <c r="BN191" s="358">
        <f>BI191*(BN188/BI188)</f>
        <v>840.78247734138984</v>
      </c>
      <c r="BO191" s="358"/>
      <c r="BP191" s="43"/>
      <c r="BQ191" s="43"/>
      <c r="BR191" s="43"/>
      <c r="BS191" s="261">
        <f>BN191*(BS188/BN188)</f>
        <v>847.55287009063466</v>
      </c>
      <c r="BT191" s="358"/>
      <c r="BU191" s="43"/>
      <c r="BV191" s="43"/>
      <c r="BW191" s="43"/>
      <c r="BX191" s="261">
        <f>BS191*(BX188/BS188)</f>
        <v>851.31419939577063</v>
      </c>
      <c r="BY191" s="358"/>
      <c r="BZ191" s="43"/>
      <c r="CA191" s="43"/>
      <c r="CB191" s="43"/>
      <c r="CC191" s="261">
        <f>BX191*(CC188/BX188)</f>
        <v>837.7734138972811</v>
      </c>
      <c r="CD191" s="358"/>
      <c r="CE191" s="43"/>
      <c r="CF191" s="43"/>
      <c r="CG191" s="43"/>
      <c r="CH191" s="261">
        <f>CC191*(CH188/CC188)</f>
        <v>799.15709969788531</v>
      </c>
      <c r="CI191" s="358"/>
      <c r="CJ191" s="43"/>
      <c r="CK191" s="43"/>
      <c r="CL191" s="43"/>
      <c r="CM191" s="261">
        <f>CH191*(CM188/CH188)</f>
        <v>753.26888217522674</v>
      </c>
      <c r="CN191" s="358"/>
      <c r="CO191" s="43"/>
      <c r="CP191" s="43"/>
      <c r="CQ191" s="43"/>
      <c r="CR191" s="261">
        <f>CM191*(CR188/CM188)</f>
        <v>724.18126888217535</v>
      </c>
      <c r="CS191" s="358"/>
      <c r="CT191" s="43"/>
      <c r="CU191" s="43"/>
      <c r="CV191" s="43"/>
      <c r="CW191" s="261">
        <f>CM191*(CW188/CM188)</f>
        <v>724.18126888217535</v>
      </c>
      <c r="CX191" s="358"/>
      <c r="CY191" s="43"/>
      <c r="CZ191" s="43"/>
      <c r="DA191" s="43"/>
      <c r="DB191" s="261">
        <f>CW191*(DB188/CW188)</f>
        <v>698.20015054069108</v>
      </c>
      <c r="DC191" s="43"/>
      <c r="DD191" s="43"/>
      <c r="DE191" s="43"/>
      <c r="DF191" s="43"/>
      <c r="DG191" s="261">
        <f>DB191*(DG188/DB188)</f>
        <v>663.18984089885282</v>
      </c>
      <c r="DH191" s="43"/>
      <c r="DI191" s="43"/>
      <c r="DJ191" s="43"/>
      <c r="DK191" s="43"/>
      <c r="DL191" s="261">
        <f>DG191*(DL188/DG188)</f>
        <v>636.58200557105567</v>
      </c>
      <c r="DM191" s="43"/>
      <c r="DN191" s="534"/>
      <c r="DO191" s="486"/>
      <c r="DP191" s="411"/>
      <c r="DQ191" s="411"/>
      <c r="DR191" s="411"/>
      <c r="DS191" s="569"/>
      <c r="DT191" s="569"/>
      <c r="DU191" s="569"/>
      <c r="DV191" s="569"/>
      <c r="DW191" s="569"/>
      <c r="DX191" s="569"/>
      <c r="DY191" s="569"/>
      <c r="DZ191" s="569"/>
      <c r="EA191" s="534"/>
      <c r="EH191" s="8"/>
    </row>
    <row r="192" spans="1:138" ht="12.75" customHeight="1" x14ac:dyDescent="0.2">
      <c r="A192" s="476" t="s">
        <v>141</v>
      </c>
      <c r="B192" s="626"/>
      <c r="C192" s="859"/>
      <c r="D192" s="859"/>
      <c r="E192" s="859"/>
      <c r="F192" s="629"/>
      <c r="G192" s="626"/>
      <c r="H192" s="859"/>
      <c r="I192" s="859"/>
      <c r="J192" s="859"/>
      <c r="K192" s="629"/>
      <c r="L192" s="626"/>
      <c r="M192" s="859"/>
      <c r="N192" s="859"/>
      <c r="O192" s="859"/>
      <c r="P192" s="629"/>
      <c r="Q192" s="626"/>
      <c r="R192" s="859"/>
      <c r="S192" s="859"/>
      <c r="T192" s="859"/>
      <c r="U192" s="629"/>
      <c r="V192" s="626"/>
      <c r="W192" s="859"/>
      <c r="X192" s="859"/>
      <c r="Y192" s="859"/>
      <c r="Z192" s="629"/>
      <c r="AA192" s="626"/>
      <c r="AB192" s="859"/>
      <c r="AC192" s="859"/>
      <c r="AD192" s="859"/>
      <c r="AE192" s="629"/>
      <c r="AF192" s="626"/>
      <c r="AG192" s="859"/>
      <c r="AH192" s="859"/>
      <c r="AI192" s="859"/>
      <c r="AJ192" s="629"/>
      <c r="AK192" s="626"/>
      <c r="AL192" s="859"/>
      <c r="AM192" s="859"/>
      <c r="AN192" s="859"/>
      <c r="AO192" s="629"/>
      <c r="AP192" s="627"/>
      <c r="AQ192" s="859"/>
      <c r="AR192" s="859"/>
      <c r="AS192" s="859"/>
      <c r="AT192" s="628"/>
      <c r="AU192" s="626"/>
      <c r="AV192" s="859"/>
      <c r="AW192" s="859"/>
      <c r="AX192" s="859"/>
      <c r="AY192" s="628"/>
      <c r="AZ192" s="627"/>
      <c r="BA192" s="859"/>
      <c r="BB192" s="859"/>
      <c r="BC192" s="859"/>
      <c r="BD192" s="628"/>
      <c r="BE192" s="627"/>
      <c r="BF192" s="859"/>
      <c r="BG192" s="859"/>
      <c r="BH192" s="859"/>
      <c r="BI192" s="628"/>
      <c r="BJ192" s="627"/>
      <c r="BK192" s="859"/>
      <c r="BL192" s="859"/>
      <c r="BM192" s="859"/>
      <c r="BN192" s="628"/>
      <c r="BO192" s="627"/>
      <c r="BP192" s="859"/>
      <c r="BQ192" s="859"/>
      <c r="BR192" s="859"/>
      <c r="BS192" s="628"/>
      <c r="BT192" s="627"/>
      <c r="BU192" s="859"/>
      <c r="BV192" s="859"/>
      <c r="BW192" s="859"/>
      <c r="BX192" s="628"/>
      <c r="BY192" s="627"/>
      <c r="BZ192" s="859"/>
      <c r="CA192" s="859"/>
      <c r="CB192" s="859"/>
      <c r="CC192" s="628"/>
      <c r="CD192" s="627"/>
      <c r="CE192" s="859"/>
      <c r="CF192" s="859"/>
      <c r="CG192" s="859"/>
      <c r="CH192" s="628"/>
      <c r="CI192" s="627"/>
      <c r="CJ192" s="859"/>
      <c r="CK192" s="859"/>
      <c r="CL192" s="859"/>
      <c r="CM192" s="628"/>
      <c r="CN192" s="627"/>
      <c r="CO192" s="859"/>
      <c r="CP192" s="859"/>
      <c r="CQ192" s="859"/>
      <c r="CR192" s="628"/>
      <c r="CS192" s="627"/>
      <c r="CT192" s="859"/>
      <c r="CU192" s="859"/>
      <c r="CV192" s="859"/>
      <c r="CW192" s="628"/>
      <c r="CX192" s="627"/>
      <c r="CY192" s="626"/>
      <c r="CZ192" s="626"/>
      <c r="DA192" s="626"/>
      <c r="DB192" s="628"/>
      <c r="DC192" s="626"/>
      <c r="DD192" s="626"/>
      <c r="DE192" s="626"/>
      <c r="DF192" s="626"/>
      <c r="DG192" s="628"/>
      <c r="DH192" s="626"/>
      <c r="DI192" s="626"/>
      <c r="DJ192" s="626"/>
      <c r="DK192" s="626"/>
      <c r="DL192" s="628"/>
      <c r="DM192" s="43"/>
      <c r="DN192" s="534"/>
      <c r="DO192" s="486"/>
      <c r="DP192" s="411"/>
      <c r="DQ192" s="411"/>
      <c r="DR192" s="411"/>
      <c r="DS192" s="569"/>
      <c r="DT192" s="569"/>
      <c r="DU192" s="569"/>
      <c r="DV192" s="569"/>
      <c r="DW192" s="569"/>
      <c r="DX192" s="569"/>
      <c r="DY192" s="569"/>
      <c r="DZ192" s="569"/>
      <c r="EA192" s="534"/>
      <c r="EH192" s="8"/>
    </row>
    <row r="193" spans="1:138" ht="12.75" customHeight="1" x14ac:dyDescent="0.2">
      <c r="A193" s="623" t="s">
        <v>420</v>
      </c>
      <c r="B193" s="131"/>
      <c r="C193" s="131"/>
      <c r="D193" s="131"/>
      <c r="E193" s="131"/>
      <c r="F193" s="243"/>
      <c r="G193" s="131"/>
      <c r="H193" s="131"/>
      <c r="I193" s="131"/>
      <c r="J193" s="131"/>
      <c r="K193" s="243"/>
      <c r="L193" s="131"/>
      <c r="M193" s="131"/>
      <c r="N193" s="131"/>
      <c r="O193" s="131"/>
      <c r="P193" s="243"/>
      <c r="Q193" s="131"/>
      <c r="R193" s="131"/>
      <c r="S193" s="131"/>
      <c r="T193" s="131"/>
      <c r="U193" s="243"/>
      <c r="V193" s="131"/>
      <c r="W193" s="131"/>
      <c r="X193" s="131"/>
      <c r="Y193" s="131"/>
      <c r="Z193" s="243"/>
      <c r="AA193" s="131"/>
      <c r="AB193" s="131"/>
      <c r="AC193" s="131"/>
      <c r="AD193" s="131"/>
      <c r="AE193" s="243"/>
      <c r="AF193" s="131"/>
      <c r="AG193" s="131"/>
      <c r="AH193" s="131"/>
      <c r="AI193" s="131"/>
      <c r="AJ193" s="243"/>
      <c r="AK193" s="131"/>
      <c r="AL193" s="131"/>
      <c r="AM193" s="131"/>
      <c r="AN193" s="131"/>
      <c r="AO193" s="243"/>
      <c r="AP193" s="630"/>
      <c r="AQ193" s="131"/>
      <c r="AR193" s="131"/>
      <c r="AS193" s="131"/>
      <c r="AT193" s="262"/>
      <c r="AU193" s="131"/>
      <c r="AV193" s="131">
        <f>AVERAGE(AU196,AV196)</f>
        <v>7.1499996999999995</v>
      </c>
      <c r="AW193" s="131">
        <f>AVERAGE(AV196,AW196)</f>
        <v>6.5749998999999999</v>
      </c>
      <c r="AX193" s="131">
        <f>AVERAGE(AW196,AX196)</f>
        <v>9.4549999500000013</v>
      </c>
      <c r="AY193" s="262"/>
      <c r="AZ193" s="630">
        <f>AVERAGE(AY196,AZ196)</f>
        <v>8.5449996000000006</v>
      </c>
      <c r="BA193" s="131">
        <f>AVERAGE(AZ196,BA196)</f>
        <v>5.7099995999999997</v>
      </c>
      <c r="BB193" s="131">
        <f>AVERAGE(BA196,BB196)</f>
        <v>7.3749995500000001</v>
      </c>
      <c r="BC193" s="131">
        <f>AVERAGE(BB196,BC196)</f>
        <v>10.16999955</v>
      </c>
      <c r="BD193" s="262">
        <f>AVERAGE(AY196,BD196)</f>
        <v>11.420000000000002</v>
      </c>
      <c r="BE193" s="630">
        <f>AVERAGE(BD196,BE196)</f>
        <v>12.984999999999999</v>
      </c>
      <c r="BF193" s="131">
        <f>AVERAGE(BE196,BF196)</f>
        <v>13.17</v>
      </c>
      <c r="BG193" s="131">
        <f>AVERAGE(BF196,BG196)</f>
        <v>11.695</v>
      </c>
      <c r="BH193" s="131">
        <f>AVERAGE(BG196,BH196)</f>
        <v>12.120000000000001</v>
      </c>
      <c r="BI193" s="262">
        <f>AVERAGE(BD196,BI196)</f>
        <v>11.99</v>
      </c>
      <c r="BJ193" s="630">
        <f>AVERAGE(BI196,BJ196)</f>
        <v>11.199999649999999</v>
      </c>
      <c r="BK193" s="131">
        <f>AVERAGE(BJ196,BK196)</f>
        <v>9.4849992499999995</v>
      </c>
      <c r="BL193" s="131">
        <f>AVERAGE(BK196,BL196)</f>
        <v>8.3349995999999997</v>
      </c>
      <c r="BM193" s="131">
        <f>AVERAGE(BL196,BM196)</f>
        <v>7.7949995999999997</v>
      </c>
      <c r="BN193" s="262">
        <f>AVERAGE(BI196,BN196)</f>
        <v>10.3449996</v>
      </c>
      <c r="BO193" s="630">
        <f>AVERAGE(BN196,BO196)</f>
        <v>9.0024996000000002</v>
      </c>
      <c r="BP193" s="131">
        <f>AVERAGE(BO196,BP196)</f>
        <v>10.432499999999999</v>
      </c>
      <c r="BQ193" s="131">
        <f>AVERAGE(BP196,BQ196)</f>
        <v>10.054999949999999</v>
      </c>
      <c r="BR193" s="131">
        <f>AVERAGE(BQ196,BR196)</f>
        <v>10.51499995</v>
      </c>
      <c r="BS193" s="262">
        <f>AVERAGE(BN196,BS196)</f>
        <v>9.9799995999999993</v>
      </c>
      <c r="BT193" s="630">
        <f>AVERAGE(BS196,BT196)</f>
        <v>14.1899975</v>
      </c>
      <c r="BU193" s="131">
        <f>AVERAGE(BT196,BU196)</f>
        <v>17.609993500000002</v>
      </c>
      <c r="BV193" s="131">
        <f>AVERAGE(BU196,BV196)</f>
        <v>21.149994499999998</v>
      </c>
      <c r="BW193" s="131">
        <f>AVERAGE(BV196,BW196)</f>
        <v>25.529991500000001</v>
      </c>
      <c r="BX193" s="262">
        <f>AVERAGE(BS196,BX196)</f>
        <v>19.669992999999998</v>
      </c>
      <c r="BY193" s="630">
        <f>AVERAGE(BX196,BY196)</f>
        <v>31.059989999999999</v>
      </c>
      <c r="BZ193" s="131">
        <f>AVERAGE(BY196,BZ196)</f>
        <v>36.684989999999999</v>
      </c>
      <c r="CA193" s="131">
        <f>AVERAGE(BZ196,CA196)</f>
        <v>37.434989999999999</v>
      </c>
      <c r="CB193" s="131">
        <f>AVERAGE(CA196,CB196)</f>
        <v>42.669998499999998</v>
      </c>
      <c r="CC193" s="262">
        <f>AVERAGE(BX196,CC196)</f>
        <v>38.329994499999998</v>
      </c>
      <c r="CD193" s="630">
        <f>AVERAGE(CC196,CD196)</f>
        <v>47.075004999999997</v>
      </c>
      <c r="CE193" s="131">
        <f>AVERAGE(CD196,CE196)</f>
        <v>43.020004499999999</v>
      </c>
      <c r="CF193" s="131">
        <f>AVERAGE(CE196,CF196)</f>
        <v>42.974998999999997</v>
      </c>
      <c r="CG193" s="131">
        <f>AVERAGE(CF196,CG196)</f>
        <v>47.779999500000002</v>
      </c>
      <c r="CH193" s="262">
        <f>AVERAGE(CC196,CH196)</f>
        <v>49.940002999999997</v>
      </c>
      <c r="CI193" s="630">
        <f>AVERAGE(CH196,CI196)</f>
        <v>49.684998</v>
      </c>
      <c r="CJ193" s="131">
        <f>AVERAGE(CI196,CJ196)</f>
        <v>42.554993000000003</v>
      </c>
      <c r="CK193" s="131">
        <f>AVERAGE(CJ196,CK196)</f>
        <v>37.894997000000004</v>
      </c>
      <c r="CL193" s="131">
        <f>AVERAGE(CK196,CL196)</f>
        <v>44.275002000000001</v>
      </c>
      <c r="CM193" s="262">
        <f>AVERAGE(CH196,CM196)</f>
        <v>49.940002999999997</v>
      </c>
      <c r="CN193" s="630">
        <f>AVERAGE(CM196,CN196)</f>
        <v>47.575004999999997</v>
      </c>
      <c r="CO193" s="131">
        <f>AVERAGE(CN196,CO196)</f>
        <v>49.850006499999999</v>
      </c>
      <c r="CP193" s="131">
        <f>AVERAGE(CO196,CP196)</f>
        <v>50.980004000000001</v>
      </c>
      <c r="CQ193" s="131">
        <f>AVERAGE(CP196,CQ196)</f>
        <v>52.110000999999997</v>
      </c>
      <c r="CR193" s="262">
        <f>AVERAGE(CM196,CR196)</f>
        <v>52.595001499999995</v>
      </c>
      <c r="CS193" s="630">
        <f>AVERAGE(CM196,CS196)</f>
        <v>47.575004999999997</v>
      </c>
      <c r="CT193" s="131">
        <f>AVERAGE(CS196,CT196)</f>
        <v>49.850006499999999</v>
      </c>
      <c r="CU193" s="131">
        <f>AVERAGE(CT196,CU196)</f>
        <v>50.980004000000001</v>
      </c>
      <c r="CV193" s="131">
        <f>AVERAGE(CU196,CV196)</f>
        <v>52.110000999999997</v>
      </c>
      <c r="CW193" s="262">
        <f>AVERAGE(CM196,CW196)</f>
        <v>52.595001499999995</v>
      </c>
      <c r="CX193" s="630">
        <f>AVERAGE(CR196,CX196)</f>
        <v>55.405000000000001</v>
      </c>
      <c r="CY193" s="131">
        <f>AVERAGE(CX196,CY196)</f>
        <v>55.632150000000003</v>
      </c>
      <c r="CZ193" s="131">
        <f>AVERAGE(CY196,CZ196)</f>
        <v>57.301114500000004</v>
      </c>
      <c r="DA193" s="131">
        <f>AVERAGE(CZ196,DA196)</f>
        <v>59.020147935000004</v>
      </c>
      <c r="DB193" s="262">
        <f>AVERAGE(CW196,DB196)</f>
        <v>57.946183435000002</v>
      </c>
      <c r="DC193" s="43"/>
      <c r="DD193" s="43"/>
      <c r="DE193" s="43"/>
      <c r="DF193" s="43"/>
      <c r="DG193" s="262">
        <f>AVERAGE(DB196,DG196)</f>
        <v>62.886985213500004</v>
      </c>
      <c r="DH193" s="43"/>
      <c r="DI193" s="43"/>
      <c r="DJ193" s="43"/>
      <c r="DK193" s="43"/>
      <c r="DL193" s="262">
        <f>AVERAGE(DG196,DL196)</f>
        <v>69.175683734850011</v>
      </c>
      <c r="DM193" s="43"/>
      <c r="DN193" s="534"/>
      <c r="DO193" s="486"/>
      <c r="DP193" s="411"/>
      <c r="DQ193" s="411"/>
      <c r="DR193" s="411"/>
      <c r="DS193" s="569"/>
      <c r="DT193" s="569"/>
      <c r="DU193" s="473"/>
      <c r="DV193" s="569"/>
      <c r="DW193" s="569"/>
      <c r="DX193" s="569"/>
      <c r="DY193" s="569"/>
      <c r="DZ193" s="460"/>
      <c r="EA193" s="534"/>
      <c r="EH193" s="8"/>
    </row>
    <row r="194" spans="1:138" ht="12.75" customHeight="1" x14ac:dyDescent="0.2">
      <c r="A194" s="624" t="s">
        <v>421</v>
      </c>
      <c r="B194" s="110"/>
      <c r="C194" s="110"/>
      <c r="D194" s="110"/>
      <c r="E194" s="110"/>
      <c r="F194" s="243"/>
      <c r="G194" s="110"/>
      <c r="H194" s="110"/>
      <c r="I194" s="110"/>
      <c r="J194" s="110"/>
      <c r="K194" s="243"/>
      <c r="L194" s="110"/>
      <c r="M194" s="110"/>
      <c r="N194" s="110"/>
      <c r="O194" s="110"/>
      <c r="P194" s="243"/>
      <c r="Q194" s="110"/>
      <c r="R194" s="110"/>
      <c r="S194" s="110"/>
      <c r="T194" s="110"/>
      <c r="U194" s="243"/>
      <c r="V194" s="110"/>
      <c r="W194" s="110"/>
      <c r="X194" s="110"/>
      <c r="Y194" s="110"/>
      <c r="Z194" s="243"/>
      <c r="AA194" s="110"/>
      <c r="AB194" s="110"/>
      <c r="AC194" s="110"/>
      <c r="AD194" s="110"/>
      <c r="AE194" s="243"/>
      <c r="AF194" s="110"/>
      <c r="AG194" s="110"/>
      <c r="AH194" s="110"/>
      <c r="AI194" s="110"/>
      <c r="AJ194" s="243"/>
      <c r="AK194" s="110"/>
      <c r="AL194" s="110"/>
      <c r="AM194" s="110"/>
      <c r="AN194" s="110"/>
      <c r="AO194" s="243"/>
      <c r="AP194" s="366"/>
      <c r="AQ194" s="110"/>
      <c r="AR194" s="110"/>
      <c r="AS194" s="110"/>
      <c r="AT194" s="250"/>
      <c r="AU194" s="110"/>
      <c r="AV194" s="110"/>
      <c r="AW194" s="110">
        <f>AW193/AV193-1</f>
        <v>-8.0419555821799493E-2</v>
      </c>
      <c r="AX194" s="110">
        <f>AX193/AW193-1</f>
        <v>0.43802282795472003</v>
      </c>
      <c r="AY194" s="631"/>
      <c r="AZ194" s="366"/>
      <c r="BA194" s="110">
        <f>BA193/AZ193-1</f>
        <v>-0.33177298217778739</v>
      </c>
      <c r="BB194" s="110">
        <f>BB193/BA193-1</f>
        <v>0.29159370694176578</v>
      </c>
      <c r="BC194" s="110">
        <f>BC193/BB193-1</f>
        <v>0.37898307397184849</v>
      </c>
      <c r="BD194" s="250"/>
      <c r="BE194" s="366">
        <f>BE193/BC193-1</f>
        <v>0.27679455010398701</v>
      </c>
      <c r="BF194" s="110">
        <f>BF193/BE193-1</f>
        <v>1.4247208317289317E-2</v>
      </c>
      <c r="BG194" s="110">
        <f>BG193/BF193-1</f>
        <v>-0.11199696279422933</v>
      </c>
      <c r="BH194" s="110">
        <f>BH193/BG193-1</f>
        <v>3.6340316374519066E-2</v>
      </c>
      <c r="BI194" s="250">
        <f>BI193/BD193-1</f>
        <v>4.9912434325744215E-2</v>
      </c>
      <c r="BJ194" s="366">
        <f>BJ193/BH193-1</f>
        <v>-7.5907619636963908E-2</v>
      </c>
      <c r="BK194" s="110">
        <f>BK193/BJ193-1</f>
        <v>-0.1531250404994432</v>
      </c>
      <c r="BL194" s="110">
        <f>BL193/BK193-1</f>
        <v>-0.12124404227021945</v>
      </c>
      <c r="BM194" s="110">
        <f>BM193/BL193-1</f>
        <v>-6.4787045700638091E-2</v>
      </c>
      <c r="BN194" s="250">
        <f>BN193/BI193-1</f>
        <v>-0.13719769808173488</v>
      </c>
      <c r="BO194" s="366">
        <f>BO193/BM193-1</f>
        <v>0.15490699961036558</v>
      </c>
      <c r="BP194" s="110">
        <f>BP193/BO193-1</f>
        <v>0.15884481683287155</v>
      </c>
      <c r="BQ194" s="110">
        <f>BQ193/BP193-1</f>
        <v>-3.6185003594536358E-2</v>
      </c>
      <c r="BR194" s="110">
        <f>BR193/BQ193-1</f>
        <v>4.5748384116103491E-2</v>
      </c>
      <c r="BS194" s="250">
        <f>BS193/BN193-1</f>
        <v>-3.5282746651822072E-2</v>
      </c>
      <c r="BT194" s="366">
        <f>BT193/BR193-1</f>
        <v>0.34950048192820016</v>
      </c>
      <c r="BU194" s="110">
        <f>BU193/BT193-1</f>
        <v>0.24101455972772379</v>
      </c>
      <c r="BV194" s="110">
        <f>BV193/BU193-1</f>
        <v>0.20102227749260648</v>
      </c>
      <c r="BW194" s="110">
        <f>BW193/BV193-1</f>
        <v>0.20709211059132926</v>
      </c>
      <c r="BX194" s="250">
        <f>BX193/BS193-1</f>
        <v>0.97094126136037118</v>
      </c>
      <c r="BY194" s="366">
        <f>BY193/BW193-1</f>
        <v>0.21660792562347697</v>
      </c>
      <c r="BZ194" s="110">
        <f>BZ193/BY193-1</f>
        <v>0.18110115296238027</v>
      </c>
      <c r="CA194" s="110">
        <f>CA193/BZ193-1</f>
        <v>2.044432886583869E-2</v>
      </c>
      <c r="CB194" s="110">
        <f>CB193/CA193-1</f>
        <v>0.13984265789839934</v>
      </c>
      <c r="CC194" s="250">
        <f>CC193/BX193-1</f>
        <v>0.94865318457408709</v>
      </c>
      <c r="CD194" s="366">
        <f>CD193/CB193-1</f>
        <v>0.10323427829508836</v>
      </c>
      <c r="CE194" s="110">
        <f>CE193/CD193-1</f>
        <v>-8.6139141142948294E-2</v>
      </c>
      <c r="CF194" s="110">
        <f>CF193/CE193-1</f>
        <v>-1.0461528426851663E-3</v>
      </c>
      <c r="CG194" s="110">
        <f>CG193/CF193-1</f>
        <v>0.11180920562674146</v>
      </c>
      <c r="CH194" s="250">
        <f>CH193/CC193-1</f>
        <v>0.30289616921286022</v>
      </c>
      <c r="CI194" s="366">
        <f>CI193/CG193-1</f>
        <v>3.9870207616891973E-2</v>
      </c>
      <c r="CJ194" s="110">
        <f>CJ193/CI193-1</f>
        <v>-0.1435041820873173</v>
      </c>
      <c r="CK194" s="110">
        <f>CK193/CJ193-1</f>
        <v>-0.10950527003964017</v>
      </c>
      <c r="CL194" s="110">
        <f>CL193/CK193-1</f>
        <v>0.16836008721679008</v>
      </c>
      <c r="CM194" s="250">
        <f>CM193/CH193-1</f>
        <v>0</v>
      </c>
      <c r="CN194" s="366">
        <f>CN193/CL193-1</f>
        <v>7.4534225882135319E-2</v>
      </c>
      <c r="CO194" s="110">
        <f>CO193/CN193-1</f>
        <v>4.781925929382469E-2</v>
      </c>
      <c r="CP194" s="110">
        <f>CP193/CO193-1</f>
        <v>2.2667950905884027E-2</v>
      </c>
      <c r="CQ194" s="110">
        <f>CQ193/CP193-1</f>
        <v>2.2165494533896046E-2</v>
      </c>
      <c r="CR194" s="250">
        <f>CR193/CM193-1</f>
        <v>5.3163763326165459E-2</v>
      </c>
      <c r="CS194" s="366">
        <f>CS193/CQ193-1</f>
        <v>-8.7027363518952905E-2</v>
      </c>
      <c r="CT194" s="110">
        <f>CT193/CS193-1</f>
        <v>4.781925929382469E-2</v>
      </c>
      <c r="CU194" s="110">
        <f>CU193/CT193-1</f>
        <v>2.2667950905884027E-2</v>
      </c>
      <c r="CV194" s="110">
        <f>CV193/CU193-1</f>
        <v>2.2165494533896046E-2</v>
      </c>
      <c r="CW194" s="250">
        <f>CW193/CM193-1</f>
        <v>5.3163763326165459E-2</v>
      </c>
      <c r="CX194" s="366">
        <f>CX193/CV193-1</f>
        <v>6.3231605004191227E-2</v>
      </c>
      <c r="CY194" s="110">
        <f>CY193/CX193-1</f>
        <v>4.0998104864182761E-3</v>
      </c>
      <c r="CZ194" s="110">
        <f>CZ193/CY193-1</f>
        <v>3.0000000000000027E-2</v>
      </c>
      <c r="DA194" s="110">
        <f>DA193/CZ193-1</f>
        <v>3.0000000000000027E-2</v>
      </c>
      <c r="DB194" s="250">
        <f>DB193/CV193-1</f>
        <v>0.11199735795437826</v>
      </c>
      <c r="DC194" s="43"/>
      <c r="DD194" s="43"/>
      <c r="DE194" s="43"/>
      <c r="DF194" s="43"/>
      <c r="DG194" s="250">
        <f>DG193/DB193-1</f>
        <v>8.5265352877679224E-2</v>
      </c>
      <c r="DH194" s="43"/>
      <c r="DI194" s="43"/>
      <c r="DJ194" s="43"/>
      <c r="DK194" s="43"/>
      <c r="DL194" s="250">
        <f>DL193/DG193-1</f>
        <v>0.10000000000000009</v>
      </c>
      <c r="DM194" s="43"/>
      <c r="DN194" s="534"/>
      <c r="DO194" s="486"/>
      <c r="DP194" s="411"/>
      <c r="DQ194" s="411"/>
      <c r="DR194" s="411"/>
      <c r="DS194" s="569"/>
      <c r="DT194" s="569"/>
      <c r="DU194" s="473"/>
      <c r="DV194" s="569"/>
      <c r="DW194" s="569"/>
      <c r="DX194" s="569"/>
      <c r="DY194" s="569"/>
      <c r="DZ194" s="460"/>
      <c r="EA194" s="534"/>
      <c r="EH194" s="8"/>
    </row>
    <row r="195" spans="1:138" ht="12.75" customHeight="1" x14ac:dyDescent="0.2">
      <c r="A195" s="121" t="s">
        <v>422</v>
      </c>
      <c r="B195" s="110"/>
      <c r="C195" s="110"/>
      <c r="D195" s="110"/>
      <c r="E195" s="110"/>
      <c r="F195" s="243"/>
      <c r="G195" s="110"/>
      <c r="H195" s="110"/>
      <c r="I195" s="110"/>
      <c r="J195" s="110"/>
      <c r="K195" s="243"/>
      <c r="L195" s="110"/>
      <c r="M195" s="110"/>
      <c r="N195" s="110"/>
      <c r="O195" s="110"/>
      <c r="P195" s="243"/>
      <c r="Q195" s="110"/>
      <c r="R195" s="110"/>
      <c r="S195" s="110"/>
      <c r="T195" s="110"/>
      <c r="U195" s="243"/>
      <c r="V195" s="110"/>
      <c r="W195" s="110"/>
      <c r="X195" s="110"/>
      <c r="Y195" s="110"/>
      <c r="Z195" s="243"/>
      <c r="AA195" s="110"/>
      <c r="AB195" s="110"/>
      <c r="AC195" s="110"/>
      <c r="AD195" s="110"/>
      <c r="AE195" s="243"/>
      <c r="AF195" s="110"/>
      <c r="AG195" s="110"/>
      <c r="AH195" s="110"/>
      <c r="AI195" s="110"/>
      <c r="AJ195" s="243"/>
      <c r="AK195" s="110"/>
      <c r="AL195" s="110"/>
      <c r="AM195" s="110"/>
      <c r="AN195" s="110"/>
      <c r="AO195" s="243"/>
      <c r="AP195" s="110"/>
      <c r="AQ195" s="110"/>
      <c r="AR195" s="110"/>
      <c r="AS195" s="110"/>
      <c r="AT195" s="631"/>
      <c r="AU195" s="110"/>
      <c r="AV195" s="110"/>
      <c r="AW195" s="110"/>
      <c r="AX195" s="110"/>
      <c r="AY195" s="261"/>
      <c r="AZ195" s="110"/>
      <c r="BA195" s="110"/>
      <c r="BB195" s="110"/>
      <c r="BC195" s="110"/>
      <c r="BD195" s="250"/>
      <c r="BE195" s="110">
        <f t="shared" ref="BE195:CA195" si="718">BE193/AZ193-1</f>
        <v>0.51960217762912464</v>
      </c>
      <c r="BF195" s="110">
        <f t="shared" si="718"/>
        <v>1.3064800214697039</v>
      </c>
      <c r="BG195" s="110">
        <f t="shared" si="718"/>
        <v>0.58576280862281549</v>
      </c>
      <c r="BH195" s="110">
        <f t="shared" si="718"/>
        <v>0.19174046571123005</v>
      </c>
      <c r="BI195" s="250">
        <f t="shared" si="718"/>
        <v>4.9912434325744215E-2</v>
      </c>
      <c r="BJ195" s="110">
        <f t="shared" si="718"/>
        <v>-0.13746633423180599</v>
      </c>
      <c r="BK195" s="110">
        <f t="shared" si="718"/>
        <v>-0.27980263857251331</v>
      </c>
      <c r="BL195" s="110">
        <f t="shared" si="718"/>
        <v>-0.28730230012825997</v>
      </c>
      <c r="BM195" s="110">
        <f t="shared" si="718"/>
        <v>-0.35684821782178222</v>
      </c>
      <c r="BN195" s="250">
        <f t="shared" si="718"/>
        <v>-0.13719769808173488</v>
      </c>
      <c r="BO195" s="110">
        <f t="shared" si="718"/>
        <v>-0.19620536773856045</v>
      </c>
      <c r="BP195" s="110">
        <f t="shared" si="718"/>
        <v>9.9894657345386717E-2</v>
      </c>
      <c r="BQ195" s="110">
        <f t="shared" si="718"/>
        <v>0.20635878014919151</v>
      </c>
      <c r="BR195" s="110">
        <f t="shared" si="718"/>
        <v>0.34894169205602021</v>
      </c>
      <c r="BS195" s="250">
        <f t="shared" si="718"/>
        <v>-3.5282746651822072E-2</v>
      </c>
      <c r="BT195" s="110">
        <f t="shared" si="718"/>
        <v>0.57622861766081068</v>
      </c>
      <c r="BU195" s="110">
        <f t="shared" si="718"/>
        <v>0.68799362568895317</v>
      </c>
      <c r="BV195" s="110">
        <f t="shared" si="718"/>
        <v>1.1034305922597243</v>
      </c>
      <c r="BW195" s="110">
        <f t="shared" si="718"/>
        <v>1.4279592602375621</v>
      </c>
      <c r="BX195" s="250">
        <f>BX193/BS193-1</f>
        <v>0.97094126136037118</v>
      </c>
      <c r="BY195" s="110">
        <f t="shared" si="718"/>
        <v>1.188865079081233</v>
      </c>
      <c r="BZ195" s="110">
        <f t="shared" si="718"/>
        <v>1.0831915696050651</v>
      </c>
      <c r="CA195" s="110">
        <f t="shared" si="718"/>
        <v>0.76997634680235971</v>
      </c>
      <c r="CB195" s="110">
        <f t="shared" ref="CB195:CK195" si="719">CB193/BW193-1</f>
        <v>0.67136751690653695</v>
      </c>
      <c r="CC195" s="250">
        <f t="shared" si="719"/>
        <v>0.94865318457408709</v>
      </c>
      <c r="CD195" s="110">
        <f t="shared" si="719"/>
        <v>0.51561558777063343</v>
      </c>
      <c r="CE195" s="110">
        <f t="shared" si="719"/>
        <v>0.17268682641047461</v>
      </c>
      <c r="CF195" s="110">
        <f t="shared" si="719"/>
        <v>0.14799012902100417</v>
      </c>
      <c r="CG195" s="110">
        <f>CG193/CB193-1</f>
        <v>0.11975629668700383</v>
      </c>
      <c r="CH195" s="250">
        <f>CH193/CC193-1</f>
        <v>0.30289616921286022</v>
      </c>
      <c r="CI195" s="110">
        <f t="shared" si="719"/>
        <v>5.5443286729337737E-2</v>
      </c>
      <c r="CJ195" s="110">
        <f t="shared" si="719"/>
        <v>-1.0809192267750567E-2</v>
      </c>
      <c r="CK195" s="110">
        <f t="shared" si="719"/>
        <v>-0.11820830990595232</v>
      </c>
      <c r="CL195" s="110">
        <f>CL193/CG193-1</f>
        <v>-7.3357001604824279E-2</v>
      </c>
      <c r="CM195" s="250">
        <f>CM193/CH193-1</f>
        <v>0</v>
      </c>
      <c r="CN195" s="110">
        <f t="shared" ref="CN195:CP195" si="720">CN193/CI193-1</f>
        <v>-4.2467406358756454E-2</v>
      </c>
      <c r="CO195" s="110">
        <f t="shared" si="720"/>
        <v>0.1714255598632104</v>
      </c>
      <c r="CP195" s="110">
        <f t="shared" si="720"/>
        <v>0.34529642527745796</v>
      </c>
      <c r="CQ195" s="110">
        <f>CQ193/CL193-1</f>
        <v>0.17696213768663394</v>
      </c>
      <c r="CR195" s="250">
        <f>CR193/CM193-1</f>
        <v>5.3163763326165459E-2</v>
      </c>
      <c r="CS195" s="110">
        <f t="shared" ref="CS195:CW195" si="721">CS193/CI193-1</f>
        <v>-4.2467406358756454E-2</v>
      </c>
      <c r="CT195" s="110">
        <f t="shared" si="721"/>
        <v>0.1714255598632104</v>
      </c>
      <c r="CU195" s="110">
        <f t="shared" si="721"/>
        <v>0.34529642527745796</v>
      </c>
      <c r="CV195" s="110">
        <f t="shared" si="721"/>
        <v>0.17696213768663394</v>
      </c>
      <c r="CW195" s="250">
        <f t="shared" si="721"/>
        <v>5.3163763326165459E-2</v>
      </c>
      <c r="CX195" s="110">
        <f>CX193/CS193-1</f>
        <v>0.164582116176341</v>
      </c>
      <c r="CY195" s="110">
        <f>CY193/CT193-1</f>
        <v>0.11599082740340272</v>
      </c>
      <c r="CZ195" s="110">
        <f>CZ193/CU193-1</f>
        <v>0.12399195770953653</v>
      </c>
      <c r="DA195" s="110">
        <f>DA193/CV193-1</f>
        <v>0.13260692386093043</v>
      </c>
      <c r="DB195" s="250">
        <f>DB193/CW193-1</f>
        <v>0.10174316536524874</v>
      </c>
      <c r="DC195" s="43"/>
      <c r="DD195" s="43"/>
      <c r="DE195" s="43"/>
      <c r="DF195" s="43"/>
      <c r="DG195" s="250">
        <f>DG193/DB193-1</f>
        <v>8.5265352877679224E-2</v>
      </c>
      <c r="DH195" s="43"/>
      <c r="DI195" s="43"/>
      <c r="DJ195" s="43"/>
      <c r="DK195" s="43"/>
      <c r="DL195" s="250">
        <f>DL193/DG193-1</f>
        <v>0.10000000000000009</v>
      </c>
      <c r="DM195" s="43"/>
      <c r="DN195" s="534"/>
      <c r="DO195" s="486"/>
      <c r="DP195" s="411"/>
      <c r="DQ195" s="411"/>
      <c r="DR195" s="411"/>
      <c r="DS195" s="569"/>
      <c r="DT195" s="569"/>
      <c r="DU195" s="474"/>
      <c r="DV195" s="569"/>
      <c r="DW195" s="569"/>
      <c r="DX195" s="569"/>
      <c r="DY195" s="569"/>
      <c r="DZ195" s="460"/>
      <c r="EA195" s="534"/>
      <c r="EH195" s="8"/>
    </row>
    <row r="196" spans="1:138" ht="12.75" customHeight="1" x14ac:dyDescent="0.2">
      <c r="A196" s="623" t="s">
        <v>424</v>
      </c>
      <c r="B196" s="879"/>
      <c r="C196" s="879"/>
      <c r="D196" s="879"/>
      <c r="E196" s="879"/>
      <c r="F196" s="243"/>
      <c r="G196" s="879"/>
      <c r="H196" s="879"/>
      <c r="I196" s="879"/>
      <c r="J196" s="879"/>
      <c r="K196" s="243"/>
      <c r="L196" s="879"/>
      <c r="M196" s="879"/>
      <c r="N196" s="879"/>
      <c r="O196" s="879"/>
      <c r="P196" s="243"/>
      <c r="Q196" s="879"/>
      <c r="R196" s="879"/>
      <c r="S196" s="879"/>
      <c r="T196" s="879"/>
      <c r="U196" s="243"/>
      <c r="V196" s="879"/>
      <c r="W196" s="879"/>
      <c r="X196" s="879"/>
      <c r="Y196" s="879"/>
      <c r="Z196" s="243"/>
      <c r="AA196" s="879"/>
      <c r="AB196" s="879"/>
      <c r="AC196" s="879"/>
      <c r="AD196" s="879"/>
      <c r="AE196" s="243"/>
      <c r="AF196" s="879"/>
      <c r="AG196" s="879"/>
      <c r="AH196" s="879"/>
      <c r="AI196" s="879"/>
      <c r="AJ196" s="243"/>
      <c r="AK196" s="879"/>
      <c r="AL196" s="879"/>
      <c r="AM196" s="879"/>
      <c r="AN196" s="879"/>
      <c r="AO196" s="243"/>
      <c r="AP196" s="879"/>
      <c r="AQ196" s="879"/>
      <c r="AR196" s="879"/>
      <c r="AS196" s="879"/>
      <c r="AT196" s="262"/>
      <c r="AU196" s="879">
        <v>8.5999994999999991</v>
      </c>
      <c r="AV196" s="879">
        <v>5.6999998999999999</v>
      </c>
      <c r="AW196" s="879">
        <v>7.4499998999999999</v>
      </c>
      <c r="AX196" s="879">
        <v>11.46</v>
      </c>
      <c r="AY196" s="262">
        <f>AX196</f>
        <v>11.46</v>
      </c>
      <c r="AZ196" s="879">
        <v>5.6299992000000003</v>
      </c>
      <c r="BA196" s="879">
        <v>5.79</v>
      </c>
      <c r="BB196" s="879">
        <v>8.9599990999999992</v>
      </c>
      <c r="BC196" s="879">
        <v>11.38</v>
      </c>
      <c r="BD196" s="262">
        <f>BC196</f>
        <v>11.38</v>
      </c>
      <c r="BE196" s="879">
        <v>14.59</v>
      </c>
      <c r="BF196" s="879">
        <v>11.75</v>
      </c>
      <c r="BG196" s="879">
        <v>11.64</v>
      </c>
      <c r="BH196" s="879">
        <v>12.6</v>
      </c>
      <c r="BI196" s="262">
        <f>BH196</f>
        <v>12.6</v>
      </c>
      <c r="BJ196" s="879">
        <v>9.7999992999999996</v>
      </c>
      <c r="BK196" s="879">
        <v>9.1699991999999995</v>
      </c>
      <c r="BL196" s="879">
        <v>7.5</v>
      </c>
      <c r="BM196" s="879">
        <v>8.0899991999999994</v>
      </c>
      <c r="BN196" s="262">
        <f>BM196</f>
        <v>8.0899991999999994</v>
      </c>
      <c r="BO196" s="879">
        <v>9.9149999999999991</v>
      </c>
      <c r="BP196" s="879">
        <v>10.95</v>
      </c>
      <c r="BQ196" s="879">
        <v>9.1599999000000007</v>
      </c>
      <c r="BR196" s="879">
        <v>11.87</v>
      </c>
      <c r="BS196" s="262">
        <f>BR196</f>
        <v>11.87</v>
      </c>
      <c r="BT196" s="879">
        <v>16.509995</v>
      </c>
      <c r="BU196" s="879">
        <v>18.709992</v>
      </c>
      <c r="BV196" s="879">
        <v>23.589997</v>
      </c>
      <c r="BW196" s="879">
        <v>27.469985999999999</v>
      </c>
      <c r="BX196" s="262">
        <f>BW196</f>
        <v>27.469985999999999</v>
      </c>
      <c r="BY196" s="879">
        <v>34.649994</v>
      </c>
      <c r="BZ196" s="879">
        <v>38.719985999999999</v>
      </c>
      <c r="CA196" s="879">
        <v>36.149994</v>
      </c>
      <c r="CB196" s="879">
        <v>49.190002999999997</v>
      </c>
      <c r="CC196" s="262">
        <f>CB196</f>
        <v>49.190002999999997</v>
      </c>
      <c r="CD196" s="879">
        <v>44.960006999999997</v>
      </c>
      <c r="CE196" s="879">
        <v>41.080002</v>
      </c>
      <c r="CF196" s="879">
        <v>44.869996</v>
      </c>
      <c r="CG196" s="879">
        <v>50.690002999999997</v>
      </c>
      <c r="CH196" s="262">
        <f>CG196</f>
        <v>50.690002999999997</v>
      </c>
      <c r="CI196" s="879">
        <v>48.679993000000003</v>
      </c>
      <c r="CJ196" s="879">
        <v>36.429993000000003</v>
      </c>
      <c r="CK196" s="879">
        <v>39.360000999999997</v>
      </c>
      <c r="CL196" s="879">
        <v>49.190002999999997</v>
      </c>
      <c r="CM196" s="262">
        <f>CL196</f>
        <v>49.190002999999997</v>
      </c>
      <c r="CN196" s="879">
        <v>45.960006999999997</v>
      </c>
      <c r="CO196" s="879">
        <v>53.740006000000001</v>
      </c>
      <c r="CP196" s="879">
        <v>48.220002000000001</v>
      </c>
      <c r="CQ196" s="879">
        <v>56</v>
      </c>
      <c r="CR196" s="262">
        <f>CQ196</f>
        <v>56</v>
      </c>
      <c r="CS196" s="879">
        <v>45.960006999999997</v>
      </c>
      <c r="CT196" s="879">
        <v>53.740006000000001</v>
      </c>
      <c r="CU196" s="879">
        <v>48.220002000000001</v>
      </c>
      <c r="CV196" s="879">
        <v>56</v>
      </c>
      <c r="CW196" s="262">
        <f>CV196</f>
        <v>56</v>
      </c>
      <c r="CX196" s="879">
        <v>54.81</v>
      </c>
      <c r="CY196" s="131">
        <f>CX196*(1+CY198)</f>
        <v>56.454300000000003</v>
      </c>
      <c r="CZ196" s="131">
        <f>CY196*(1+CZ198)</f>
        <v>58.147929000000005</v>
      </c>
      <c r="DA196" s="131">
        <f>CZ196*(1+DA198)</f>
        <v>59.892366870000004</v>
      </c>
      <c r="DB196" s="262">
        <f>DA196</f>
        <v>59.892366870000004</v>
      </c>
      <c r="DC196" s="131"/>
      <c r="DD196" s="131"/>
      <c r="DE196" s="131"/>
      <c r="DF196" s="131"/>
      <c r="DG196" s="262">
        <f>DB196*(1+DG198)</f>
        <v>65.881603557000005</v>
      </c>
      <c r="DH196" s="131"/>
      <c r="DI196" s="131"/>
      <c r="DJ196" s="131"/>
      <c r="DK196" s="131"/>
      <c r="DL196" s="262">
        <f>DG196*(1+DL198)</f>
        <v>72.469763912700017</v>
      </c>
      <c r="DM196" s="43"/>
      <c r="DN196" s="534"/>
      <c r="DO196" s="486"/>
      <c r="DP196" s="411"/>
      <c r="DQ196" s="411"/>
      <c r="DR196" s="411"/>
      <c r="DS196" s="569"/>
      <c r="DT196" s="569"/>
      <c r="DU196" s="474"/>
      <c r="DV196" s="569"/>
      <c r="DW196" s="569"/>
      <c r="DX196" s="569"/>
      <c r="DY196" s="569"/>
      <c r="DZ196" s="460"/>
      <c r="EA196" s="534"/>
      <c r="EH196" s="8"/>
    </row>
    <row r="197" spans="1:138" ht="12.75" customHeight="1" x14ac:dyDescent="0.2">
      <c r="A197" s="625" t="s">
        <v>425</v>
      </c>
      <c r="B197" s="131"/>
      <c r="C197" s="131"/>
      <c r="D197" s="131"/>
      <c r="E197" s="131"/>
      <c r="F197" s="243"/>
      <c r="G197" s="131"/>
      <c r="H197" s="131"/>
      <c r="I197" s="131"/>
      <c r="J197" s="131"/>
      <c r="K197" s="243"/>
      <c r="L197" s="131"/>
      <c r="M197" s="131"/>
      <c r="N197" s="131"/>
      <c r="O197" s="131"/>
      <c r="P197" s="243"/>
      <c r="Q197" s="131"/>
      <c r="R197" s="131"/>
      <c r="S197" s="131"/>
      <c r="T197" s="131"/>
      <c r="U197" s="243"/>
      <c r="V197" s="131"/>
      <c r="W197" s="131"/>
      <c r="X197" s="131"/>
      <c r="Y197" s="131"/>
      <c r="Z197" s="243"/>
      <c r="AA197" s="131"/>
      <c r="AB197" s="131"/>
      <c r="AC197" s="131"/>
      <c r="AD197" s="131"/>
      <c r="AE197" s="243"/>
      <c r="AF197" s="131"/>
      <c r="AG197" s="131"/>
      <c r="AH197" s="131"/>
      <c r="AI197" s="131"/>
      <c r="AJ197" s="243"/>
      <c r="AK197" s="131"/>
      <c r="AL197" s="131"/>
      <c r="AM197" s="131"/>
      <c r="AN197" s="131"/>
      <c r="AO197" s="243"/>
      <c r="AP197" s="630"/>
      <c r="AQ197" s="131"/>
      <c r="AR197" s="131"/>
      <c r="AS197" s="131"/>
      <c r="AT197" s="262"/>
      <c r="AU197" s="131"/>
      <c r="AV197" s="131">
        <f>AV196-AU196</f>
        <v>-2.8999995999999992</v>
      </c>
      <c r="AW197" s="131">
        <f>AW196-AV196</f>
        <v>1.75</v>
      </c>
      <c r="AX197" s="131">
        <f>AX196-AW196</f>
        <v>4.010000100000001</v>
      </c>
      <c r="AY197" s="262"/>
      <c r="AZ197" s="630"/>
      <c r="BA197" s="131">
        <f>BA196-AZ196</f>
        <v>0.16000079999999972</v>
      </c>
      <c r="BB197" s="131">
        <f>BB196-BA196</f>
        <v>3.1699990999999992</v>
      </c>
      <c r="BC197" s="131">
        <f>BC196-BB196</f>
        <v>2.4200009000000016</v>
      </c>
      <c r="BD197" s="262"/>
      <c r="BE197" s="630">
        <f>BE196-BD196</f>
        <v>3.2099999999999991</v>
      </c>
      <c r="BF197" s="131">
        <f>BF196-BE196</f>
        <v>-2.84</v>
      </c>
      <c r="BG197" s="131">
        <f>BG196-BF196</f>
        <v>-0.10999999999999943</v>
      </c>
      <c r="BH197" s="131">
        <f>BH196-BG196</f>
        <v>0.95999999999999908</v>
      </c>
      <c r="BI197" s="262">
        <f>BI196-BD196</f>
        <v>1.2199999999999989</v>
      </c>
      <c r="BJ197" s="630">
        <f>BJ196-BI196</f>
        <v>-2.8000007</v>
      </c>
      <c r="BK197" s="131">
        <f>BK196-BJ196</f>
        <v>-0.63000010000000017</v>
      </c>
      <c r="BL197" s="131">
        <f>BL196-BK196</f>
        <v>-1.6699991999999995</v>
      </c>
      <c r="BM197" s="131">
        <f>BM196-BL196</f>
        <v>0.58999919999999939</v>
      </c>
      <c r="BN197" s="262">
        <f>BN196-BI196</f>
        <v>-4.5100008000000003</v>
      </c>
      <c r="BO197" s="630">
        <f>BO196-BN196</f>
        <v>1.8250007999999998</v>
      </c>
      <c r="BP197" s="131">
        <f>BP196-BO196</f>
        <v>1.0350000000000001</v>
      </c>
      <c r="BQ197" s="131">
        <f>BQ196-BP196</f>
        <v>-1.7900000999999985</v>
      </c>
      <c r="BR197" s="131">
        <f>BR196-BQ196</f>
        <v>2.7100000999999985</v>
      </c>
      <c r="BS197" s="262">
        <f>BS196-BN196</f>
        <v>3.7800007999999998</v>
      </c>
      <c r="BT197" s="630">
        <f>BT196-BS196</f>
        <v>4.6399950000000008</v>
      </c>
      <c r="BU197" s="131">
        <f>BU196-BT196</f>
        <v>2.1999969999999998</v>
      </c>
      <c r="BV197" s="131">
        <f>BV196-BU196</f>
        <v>4.8800050000000006</v>
      </c>
      <c r="BW197" s="131">
        <f>BW196-BV196</f>
        <v>3.8799889999999984</v>
      </c>
      <c r="BX197" s="262">
        <f>BX196-BS196</f>
        <v>15.599985999999999</v>
      </c>
      <c r="BY197" s="630">
        <f>BY196-BX196</f>
        <v>7.1800080000000008</v>
      </c>
      <c r="BZ197" s="131">
        <f>BZ196-BY196</f>
        <v>4.0699919999999992</v>
      </c>
      <c r="CA197" s="131">
        <f>CA196-BZ196</f>
        <v>-2.5699919999999992</v>
      </c>
      <c r="CB197" s="131">
        <f>CB196-CA196</f>
        <v>13.040008999999998</v>
      </c>
      <c r="CC197" s="262">
        <f>CC196-BX196</f>
        <v>21.720016999999999</v>
      </c>
      <c r="CD197" s="630">
        <f>CD196-CC196</f>
        <v>-4.2299959999999999</v>
      </c>
      <c r="CE197" s="131">
        <f>CE196-CD196</f>
        <v>-3.880004999999997</v>
      </c>
      <c r="CF197" s="131">
        <f>CF196-CE196</f>
        <v>3.7899940000000001</v>
      </c>
      <c r="CG197" s="131">
        <f>CG196-CF196</f>
        <v>5.8200069999999968</v>
      </c>
      <c r="CH197" s="262">
        <f>CH196-CC196</f>
        <v>1.5</v>
      </c>
      <c r="CI197" s="630">
        <f>CI196-CH196</f>
        <v>-2.0100099999999941</v>
      </c>
      <c r="CJ197" s="131">
        <f>CJ196-CI196</f>
        <v>-12.25</v>
      </c>
      <c r="CK197" s="131">
        <f>CK196-CJ196</f>
        <v>2.9300079999999937</v>
      </c>
      <c r="CL197" s="131">
        <f>CL196-CK196</f>
        <v>9.8300020000000004</v>
      </c>
      <c r="CM197" s="262">
        <f>CM196-CH196</f>
        <v>-1.5</v>
      </c>
      <c r="CN197" s="630">
        <f>CN196-CM196</f>
        <v>-3.2299959999999999</v>
      </c>
      <c r="CO197" s="131">
        <f>CO196-CN196</f>
        <v>7.7799990000000037</v>
      </c>
      <c r="CP197" s="131">
        <f>CP196-CO196</f>
        <v>-5.5200040000000001</v>
      </c>
      <c r="CQ197" s="131">
        <f>CQ196-CP196</f>
        <v>7.7799979999999991</v>
      </c>
      <c r="CR197" s="262">
        <f>CR196-CM196</f>
        <v>6.8099970000000027</v>
      </c>
      <c r="CS197" s="630">
        <f>CS196-CM196</f>
        <v>-3.2299959999999999</v>
      </c>
      <c r="CT197" s="131">
        <f>CT196-CS196</f>
        <v>7.7799990000000037</v>
      </c>
      <c r="CU197" s="131">
        <f>CU196-CT196</f>
        <v>-5.5200040000000001</v>
      </c>
      <c r="CV197" s="131">
        <f>CV196-CU196</f>
        <v>7.7799979999999991</v>
      </c>
      <c r="CW197" s="262">
        <f>CW196-CM196</f>
        <v>6.8099970000000027</v>
      </c>
      <c r="CX197" s="630">
        <f>CX196-CV196</f>
        <v>-1.1899999999999977</v>
      </c>
      <c r="CY197" s="131">
        <f>CY196-CX196</f>
        <v>1.6443000000000012</v>
      </c>
      <c r="CZ197" s="131">
        <f>CZ196-CY196</f>
        <v>1.6936290000000014</v>
      </c>
      <c r="DA197" s="131">
        <f>DA196-CZ196</f>
        <v>1.7444378699999987</v>
      </c>
      <c r="DB197" s="262">
        <f>DB196-CW196</f>
        <v>3.8923668700000036</v>
      </c>
      <c r="DC197" s="43"/>
      <c r="DD197" s="43"/>
      <c r="DE197" s="43"/>
      <c r="DF197" s="43"/>
      <c r="DG197" s="262">
        <f>DG196-DB196</f>
        <v>5.9892366870000018</v>
      </c>
      <c r="DH197" s="43"/>
      <c r="DI197" s="43"/>
      <c r="DJ197" s="43"/>
      <c r="DK197" s="43"/>
      <c r="DL197" s="262">
        <f>DL196-DG196</f>
        <v>6.5881603557000119</v>
      </c>
      <c r="DM197" s="43"/>
      <c r="DN197" s="534"/>
      <c r="DO197" s="486"/>
      <c r="DP197" s="411"/>
      <c r="DQ197" s="411"/>
      <c r="DR197" s="411"/>
      <c r="DS197" s="569"/>
      <c r="DT197" s="569"/>
      <c r="DU197" s="474"/>
      <c r="DV197" s="569"/>
      <c r="DW197" s="569"/>
      <c r="DX197" s="569"/>
      <c r="DY197" s="569"/>
      <c r="DZ197" s="460"/>
      <c r="EA197" s="534"/>
      <c r="EH197" s="8"/>
    </row>
    <row r="198" spans="1:138" ht="12.75" customHeight="1" x14ac:dyDescent="0.2">
      <c r="A198" s="624" t="s">
        <v>423</v>
      </c>
      <c r="B198" s="110"/>
      <c r="C198" s="110"/>
      <c r="D198" s="110"/>
      <c r="E198" s="110"/>
      <c r="F198" s="243"/>
      <c r="G198" s="110"/>
      <c r="H198" s="110"/>
      <c r="I198" s="110"/>
      <c r="J198" s="110"/>
      <c r="K198" s="243"/>
      <c r="L198" s="110"/>
      <c r="M198" s="110"/>
      <c r="N198" s="110"/>
      <c r="O198" s="110"/>
      <c r="P198" s="243"/>
      <c r="Q198" s="110"/>
      <c r="R198" s="110"/>
      <c r="S198" s="110"/>
      <c r="T198" s="110"/>
      <c r="U198" s="243"/>
      <c r="V198" s="110"/>
      <c r="W198" s="110"/>
      <c r="X198" s="110"/>
      <c r="Y198" s="110"/>
      <c r="Z198" s="243"/>
      <c r="AA198" s="110"/>
      <c r="AB198" s="110"/>
      <c r="AC198" s="110"/>
      <c r="AD198" s="110"/>
      <c r="AE198" s="243"/>
      <c r="AF198" s="110"/>
      <c r="AG198" s="110"/>
      <c r="AH198" s="110"/>
      <c r="AI198" s="110"/>
      <c r="AJ198" s="243"/>
      <c r="AK198" s="110"/>
      <c r="AL198" s="110"/>
      <c r="AM198" s="110"/>
      <c r="AN198" s="110"/>
      <c r="AO198" s="243"/>
      <c r="AP198" s="366"/>
      <c r="AQ198" s="110"/>
      <c r="AR198" s="110"/>
      <c r="AS198" s="110"/>
      <c r="AT198" s="250"/>
      <c r="AU198" s="110"/>
      <c r="AV198" s="110">
        <f>AV196/AU196-1</f>
        <v>-0.33720927541914392</v>
      </c>
      <c r="AW198" s="110">
        <f>AW196/AV196-1</f>
        <v>0.30701754924592195</v>
      </c>
      <c r="AX198" s="110">
        <f>AX196/AW196-1</f>
        <v>0.53825505420476594</v>
      </c>
      <c r="AY198" s="250"/>
      <c r="AZ198" s="366"/>
      <c r="BA198" s="110">
        <f>BA196/AZ196-1</f>
        <v>2.8419329082675526E-2</v>
      </c>
      <c r="BB198" s="110">
        <f>BB196/BA196-1</f>
        <v>0.54749552677029345</v>
      </c>
      <c r="BC198" s="110">
        <f>BC196/BB196-1</f>
        <v>0.27008941329023139</v>
      </c>
      <c r="BD198" s="250"/>
      <c r="BE198" s="366">
        <f>BE196/BD196-1</f>
        <v>0.2820738137082599</v>
      </c>
      <c r="BF198" s="110">
        <f>BF196/BE196-1</f>
        <v>-0.19465387251542154</v>
      </c>
      <c r="BG198" s="110">
        <f>BG196/BF196-1</f>
        <v>-9.3617021276595214E-3</v>
      </c>
      <c r="BH198" s="110">
        <f>BH196/BG196-1</f>
        <v>8.247422680412364E-2</v>
      </c>
      <c r="BI198" s="250">
        <f>BI196/BD196-1</f>
        <v>0.10720562390158173</v>
      </c>
      <c r="BJ198" s="366">
        <f>BJ196/BI196-1</f>
        <v>-0.22222227777777781</v>
      </c>
      <c r="BK198" s="110">
        <f>BK196/BJ196-1</f>
        <v>-6.4285729081633769E-2</v>
      </c>
      <c r="BL198" s="110">
        <f>BL196/BK196-1</f>
        <v>-0.18211552297627243</v>
      </c>
      <c r="BM198" s="110">
        <f>BM196/BL196-1</f>
        <v>7.866655999999983E-2</v>
      </c>
      <c r="BN198" s="250">
        <f>BN196/BI196-1</f>
        <v>-0.35793657142857149</v>
      </c>
      <c r="BO198" s="366">
        <f>BO196/BN196-1</f>
        <v>0.22558726581827093</v>
      </c>
      <c r="BP198" s="110">
        <f>BP196/BO196-1</f>
        <v>0.10438729198184582</v>
      </c>
      <c r="BQ198" s="110">
        <f>BQ196/BP196-1</f>
        <v>-0.1634703287671232</v>
      </c>
      <c r="BR198" s="110">
        <f>BR196/BQ196-1</f>
        <v>0.29585154253113011</v>
      </c>
      <c r="BS198" s="250">
        <f>BS196/BN196-1</f>
        <v>0.46724365559887815</v>
      </c>
      <c r="BT198" s="366">
        <f>BT196/BS196-1</f>
        <v>0.39090101095197993</v>
      </c>
      <c r="BU198" s="110">
        <f>BU196/BT196-1</f>
        <v>0.13325243284446775</v>
      </c>
      <c r="BV198" s="110">
        <f>BV196/BU196-1</f>
        <v>0.26082346801644807</v>
      </c>
      <c r="BW198" s="110">
        <f>BW196/BV196-1</f>
        <v>0.16447602769936753</v>
      </c>
      <c r="BX198" s="250">
        <f>BX196/BS196-1</f>
        <v>1.3142363942712723</v>
      </c>
      <c r="BY198" s="366">
        <f>BY196/BX196-1</f>
        <v>0.26137647103278461</v>
      </c>
      <c r="BZ198" s="110">
        <f>BZ196/BY196-1</f>
        <v>0.11746010691949893</v>
      </c>
      <c r="CA198" s="110">
        <f>CA196/BZ196-1</f>
        <v>-6.6373784329364138E-2</v>
      </c>
      <c r="CB198" s="110">
        <f>CB196/CA196-1</f>
        <v>0.36071953428263348</v>
      </c>
      <c r="CC198" s="250">
        <f>CC196/BX196-1</f>
        <v>0.79068176445375693</v>
      </c>
      <c r="CD198" s="366">
        <f>CD196/CC196-1</f>
        <v>-8.5993001464139018E-2</v>
      </c>
      <c r="CE198" s="110">
        <f>CE196/CD196-1</f>
        <v>-8.6299030158069057E-2</v>
      </c>
      <c r="CF198" s="110">
        <f>CF196/CE196-1</f>
        <v>9.2258856267825928E-2</v>
      </c>
      <c r="CG198" s="110">
        <f>CG196/CF196-1</f>
        <v>0.12970821303393909</v>
      </c>
      <c r="CH198" s="250">
        <f>CH196/CC196-1</f>
        <v>3.0494000986338587E-2</v>
      </c>
      <c r="CI198" s="366">
        <f>CI196/CH196-1</f>
        <v>-3.9652986408384994E-2</v>
      </c>
      <c r="CJ198" s="110">
        <f>CJ196/CI196-1</f>
        <v>-0.25164342155924302</v>
      </c>
      <c r="CK198" s="110">
        <f>CK196/CJ196-1</f>
        <v>8.0428453554739709E-2</v>
      </c>
      <c r="CL198" s="110">
        <f>CL196/CK196-1</f>
        <v>0.24974597942718546</v>
      </c>
      <c r="CM198" s="250">
        <f>CM196/CH196-1</f>
        <v>-2.959163367972184E-2</v>
      </c>
      <c r="CN198" s="366">
        <f>CN196/CM196-1</f>
        <v>-6.566366747324659E-2</v>
      </c>
      <c r="CO198" s="110">
        <f>CO196/CN196-1</f>
        <v>0.16927758518400582</v>
      </c>
      <c r="CP198" s="110">
        <f>CP196/CO196-1</f>
        <v>-0.10271684748230214</v>
      </c>
      <c r="CQ198" s="110">
        <f>CQ196/CP196-1</f>
        <v>0.16134379256143538</v>
      </c>
      <c r="CR198" s="250">
        <f>CR196/CM196-1</f>
        <v>0.13844270348997556</v>
      </c>
      <c r="CS198" s="366">
        <f>CS196/CM196-1</f>
        <v>-6.566366747324659E-2</v>
      </c>
      <c r="CT198" s="110">
        <f>CT196/CS196-1</f>
        <v>0.16927758518400582</v>
      </c>
      <c r="CU198" s="110">
        <f>CU196/CT196-1</f>
        <v>-0.10271684748230214</v>
      </c>
      <c r="CV198" s="110">
        <f>CV196/CU196-1</f>
        <v>0.16134379256143538</v>
      </c>
      <c r="CW198" s="250">
        <f>CW196/CM196-1</f>
        <v>0.13844270348997556</v>
      </c>
      <c r="CX198" s="366">
        <f>CX196/CV196-1</f>
        <v>-2.1249999999999991E-2</v>
      </c>
      <c r="CY198" s="122">
        <v>0.03</v>
      </c>
      <c r="CZ198" s="122">
        <v>0.03</v>
      </c>
      <c r="DA198" s="122">
        <v>0.03</v>
      </c>
      <c r="DB198" s="250">
        <f>DB196/CW196-1</f>
        <v>6.9506551250000159E-2</v>
      </c>
      <c r="DC198" s="43"/>
      <c r="DD198" s="43"/>
      <c r="DE198" s="43"/>
      <c r="DF198" s="43"/>
      <c r="DG198" s="305">
        <v>0.1</v>
      </c>
      <c r="DH198" s="43"/>
      <c r="DI198" s="43"/>
      <c r="DJ198" s="43"/>
      <c r="DK198" s="43"/>
      <c r="DL198" s="305">
        <v>0.1</v>
      </c>
      <c r="DM198" s="43"/>
      <c r="DN198" s="534"/>
      <c r="DO198" s="486"/>
      <c r="DP198" s="411"/>
      <c r="DQ198" s="411"/>
      <c r="DR198" s="411"/>
      <c r="DS198" s="569"/>
      <c r="DT198" s="569"/>
      <c r="DU198" s="474"/>
      <c r="DV198" s="569"/>
      <c r="DW198" s="569"/>
      <c r="DX198" s="569"/>
      <c r="DY198" s="569"/>
      <c r="DZ198" s="460"/>
      <c r="EA198" s="534"/>
      <c r="EH198" s="8"/>
    </row>
    <row r="199" spans="1:138" ht="12.75" customHeight="1" x14ac:dyDescent="0.2">
      <c r="A199" s="632" t="s">
        <v>331</v>
      </c>
      <c r="B199" s="880"/>
      <c r="C199" s="880"/>
      <c r="D199" s="880"/>
      <c r="E199" s="880"/>
      <c r="F199" s="243"/>
      <c r="G199" s="880"/>
      <c r="H199" s="880"/>
      <c r="I199" s="880"/>
      <c r="J199" s="880"/>
      <c r="K199" s="243"/>
      <c r="L199" s="880"/>
      <c r="M199" s="880"/>
      <c r="N199" s="880"/>
      <c r="O199" s="880"/>
      <c r="P199" s="243"/>
      <c r="Q199" s="880"/>
      <c r="R199" s="880"/>
      <c r="S199" s="880"/>
      <c r="T199" s="880"/>
      <c r="U199" s="243"/>
      <c r="V199" s="880"/>
      <c r="W199" s="880"/>
      <c r="X199" s="880"/>
      <c r="Y199" s="880"/>
      <c r="Z199" s="243"/>
      <c r="AA199" s="880"/>
      <c r="AB199" s="880"/>
      <c r="AC199" s="880"/>
      <c r="AD199" s="880"/>
      <c r="AE199" s="243"/>
      <c r="AF199" s="880"/>
      <c r="AG199" s="880"/>
      <c r="AH199" s="880"/>
      <c r="AI199" s="880"/>
      <c r="AJ199" s="243"/>
      <c r="AK199" s="880"/>
      <c r="AL199" s="880"/>
      <c r="AM199" s="880"/>
      <c r="AN199" s="880"/>
      <c r="AO199" s="243"/>
      <c r="AP199" s="880"/>
      <c r="AQ199" s="880"/>
      <c r="AR199" s="880"/>
      <c r="AS199" s="880"/>
      <c r="AT199" s="250"/>
      <c r="AU199" s="880"/>
      <c r="AV199" s="880"/>
      <c r="AW199" s="880"/>
      <c r="AX199" s="880"/>
      <c r="AY199" s="250"/>
      <c r="AZ199" s="880"/>
      <c r="BA199" s="880"/>
      <c r="BB199" s="880"/>
      <c r="BC199" s="880"/>
      <c r="BD199" s="250"/>
      <c r="BE199" s="880"/>
      <c r="BF199" s="880"/>
      <c r="BG199" s="880"/>
      <c r="BH199" s="880"/>
      <c r="BI199" s="250"/>
      <c r="BJ199" s="880"/>
      <c r="BK199" s="880"/>
      <c r="BL199" s="880"/>
      <c r="BM199" s="880"/>
      <c r="BN199" s="250"/>
      <c r="BO199" s="880"/>
      <c r="BP199" s="880"/>
      <c r="BQ199" s="880"/>
      <c r="BR199" s="880"/>
      <c r="BS199" s="250"/>
      <c r="BT199" s="880"/>
      <c r="BU199" s="880"/>
      <c r="BV199" s="880">
        <v>0.06</v>
      </c>
      <c r="BW199" s="880">
        <v>0.06</v>
      </c>
      <c r="BX199" s="262">
        <f>SUM(BT199:BW199)</f>
        <v>0.12</v>
      </c>
      <c r="BY199" s="880">
        <v>0.06</v>
      </c>
      <c r="BZ199" s="880">
        <v>0.06</v>
      </c>
      <c r="CA199" s="880">
        <v>0.09</v>
      </c>
      <c r="CB199" s="880">
        <v>0.09</v>
      </c>
      <c r="CC199" s="262">
        <f>SUM(BY199:CB199)</f>
        <v>0.3</v>
      </c>
      <c r="CD199" s="880">
        <v>0.09</v>
      </c>
      <c r="CE199" s="880">
        <v>0.09</v>
      </c>
      <c r="CF199" s="880">
        <v>0.13500000000000001</v>
      </c>
      <c r="CG199" s="880">
        <v>0.13500000000000001</v>
      </c>
      <c r="CH199" s="262">
        <f>SUM(CD199:CG199)</f>
        <v>0.45</v>
      </c>
      <c r="CI199" s="880">
        <v>0.13500000000000001</v>
      </c>
      <c r="CJ199" s="880">
        <v>0.13500000000000001</v>
      </c>
      <c r="CK199" s="880">
        <v>0.20250000000000001</v>
      </c>
      <c r="CL199" s="880">
        <v>0.20250000000000001</v>
      </c>
      <c r="CM199" s="262">
        <f>SUM(CI199:CL199)</f>
        <v>0.67500000000000004</v>
      </c>
      <c r="CN199" s="880">
        <v>0.20250000000000001</v>
      </c>
      <c r="CO199" s="880">
        <v>0.20250000000000001</v>
      </c>
      <c r="CP199" s="880">
        <v>0.30499999999999999</v>
      </c>
      <c r="CQ199" s="880">
        <v>0.30499999999999999</v>
      </c>
      <c r="CR199" s="262">
        <f>SUM(CN199:CQ199)</f>
        <v>1.0149999999999999</v>
      </c>
      <c r="CS199" s="880">
        <v>0.20250000000000001</v>
      </c>
      <c r="CT199" s="880">
        <v>0.20250000000000001</v>
      </c>
      <c r="CU199" s="880">
        <v>0.30499999999999999</v>
      </c>
      <c r="CV199" s="880">
        <v>0.30499999999999999</v>
      </c>
      <c r="CW199" s="262">
        <f>SUM(CS199:CV199)</f>
        <v>1.0149999999999999</v>
      </c>
      <c r="CX199" s="880">
        <v>0.30499999999999999</v>
      </c>
      <c r="CY199" s="132">
        <v>0.30499999999999999</v>
      </c>
      <c r="CZ199" s="132">
        <v>0.30499999999999999</v>
      </c>
      <c r="DA199" s="132">
        <v>0.30499999999999999</v>
      </c>
      <c r="DB199" s="262">
        <f>SUM(CX199:DA199)</f>
        <v>1.22</v>
      </c>
      <c r="DC199" s="132">
        <f>+DA199</f>
        <v>0.30499999999999999</v>
      </c>
      <c r="DD199" s="132">
        <f>+DC199</f>
        <v>0.30499999999999999</v>
      </c>
      <c r="DE199" s="132">
        <f>+DD199*1.25</f>
        <v>0.38124999999999998</v>
      </c>
      <c r="DF199" s="132">
        <f>+DE199</f>
        <v>0.38124999999999998</v>
      </c>
      <c r="DG199" s="262">
        <f>SUM(DC199:DF199)</f>
        <v>1.3725000000000001</v>
      </c>
      <c r="DH199" s="132">
        <f>+DF199</f>
        <v>0.38124999999999998</v>
      </c>
      <c r="DI199" s="132">
        <f>+DF199</f>
        <v>0.38124999999999998</v>
      </c>
      <c r="DJ199" s="132">
        <f>+DI199*1.25</f>
        <v>0.4765625</v>
      </c>
      <c r="DK199" s="132">
        <f>+DJ199</f>
        <v>0.4765625</v>
      </c>
      <c r="DL199" s="262">
        <f>SUM(DH199:DK199)</f>
        <v>1.715625</v>
      </c>
      <c r="DM199" s="43"/>
      <c r="DN199" s="534"/>
      <c r="DO199" s="486"/>
      <c r="DP199" s="411"/>
      <c r="DQ199" s="411"/>
      <c r="DR199" s="411"/>
      <c r="DS199" s="569"/>
      <c r="DT199" s="569"/>
      <c r="DU199" s="474"/>
      <c r="DV199" s="569"/>
      <c r="DW199" s="569"/>
      <c r="DX199" s="569"/>
      <c r="DY199" s="569"/>
      <c r="DZ199" s="460"/>
      <c r="EA199" s="534"/>
      <c r="EH199" s="8"/>
    </row>
    <row r="200" spans="1:138" ht="12.75" customHeight="1" x14ac:dyDescent="0.2">
      <c r="A200" s="121" t="s">
        <v>422</v>
      </c>
      <c r="B200" s="110"/>
      <c r="C200" s="110"/>
      <c r="D200" s="110"/>
      <c r="E200" s="110"/>
      <c r="F200" s="243"/>
      <c r="G200" s="110"/>
      <c r="H200" s="110"/>
      <c r="I200" s="110"/>
      <c r="J200" s="110"/>
      <c r="K200" s="243"/>
      <c r="L200" s="110"/>
      <c r="M200" s="110"/>
      <c r="N200" s="110"/>
      <c r="O200" s="110"/>
      <c r="P200" s="243"/>
      <c r="Q200" s="110"/>
      <c r="R200" s="110"/>
      <c r="S200" s="110"/>
      <c r="T200" s="110"/>
      <c r="U200" s="243"/>
      <c r="V200" s="110"/>
      <c r="W200" s="110"/>
      <c r="X200" s="110"/>
      <c r="Y200" s="110"/>
      <c r="Z200" s="243"/>
      <c r="AA200" s="110"/>
      <c r="AB200" s="110"/>
      <c r="AC200" s="110"/>
      <c r="AD200" s="110"/>
      <c r="AE200" s="243"/>
      <c r="AF200" s="110"/>
      <c r="AG200" s="110"/>
      <c r="AH200" s="110"/>
      <c r="AI200" s="110"/>
      <c r="AJ200" s="243"/>
      <c r="AK200" s="110"/>
      <c r="AL200" s="110"/>
      <c r="AM200" s="110"/>
      <c r="AN200" s="110"/>
      <c r="AO200" s="243"/>
      <c r="AP200" s="110"/>
      <c r="AQ200" s="110"/>
      <c r="AR200" s="110"/>
      <c r="AS200" s="110"/>
      <c r="AT200" s="631"/>
      <c r="AU200" s="110"/>
      <c r="AV200" s="110"/>
      <c r="AW200" s="110"/>
      <c r="AX200" s="110"/>
      <c r="AY200" s="261"/>
      <c r="AZ200" s="110"/>
      <c r="BA200" s="110"/>
      <c r="BB200" s="110"/>
      <c r="BC200" s="110"/>
      <c r="BD200" s="250"/>
      <c r="BE200" s="110"/>
      <c r="BF200" s="110"/>
      <c r="BG200" s="110"/>
      <c r="BH200" s="110"/>
      <c r="BI200" s="250"/>
      <c r="BJ200" s="110"/>
      <c r="BK200" s="110"/>
      <c r="BL200" s="110"/>
      <c r="BM200" s="110"/>
      <c r="BN200" s="250"/>
      <c r="BO200" s="110"/>
      <c r="BP200" s="110"/>
      <c r="BQ200" s="110"/>
      <c r="BR200" s="110"/>
      <c r="BS200" s="250"/>
      <c r="BT200" s="110"/>
      <c r="BU200" s="110"/>
      <c r="BV200" s="110"/>
      <c r="BW200" s="110"/>
      <c r="BX200" s="250"/>
      <c r="BY200" s="110"/>
      <c r="BZ200" s="110"/>
      <c r="CA200" s="110">
        <f t="shared" ref="CA200:CK200" si="722">CA199/BV199-1</f>
        <v>0.5</v>
      </c>
      <c r="CB200" s="110">
        <f t="shared" si="722"/>
        <v>0.5</v>
      </c>
      <c r="CC200" s="250"/>
      <c r="CD200" s="110">
        <f t="shared" si="722"/>
        <v>0.5</v>
      </c>
      <c r="CE200" s="110">
        <f t="shared" si="722"/>
        <v>0.5</v>
      </c>
      <c r="CF200" s="110">
        <f t="shared" si="722"/>
        <v>0.50000000000000022</v>
      </c>
      <c r="CG200" s="110">
        <f>CG199/CB199-1</f>
        <v>0.50000000000000022</v>
      </c>
      <c r="CH200" s="250"/>
      <c r="CI200" s="110">
        <f t="shared" si="722"/>
        <v>0.50000000000000022</v>
      </c>
      <c r="CJ200" s="110">
        <f t="shared" si="722"/>
        <v>0.50000000000000022</v>
      </c>
      <c r="CK200" s="110">
        <f t="shared" si="722"/>
        <v>0.5</v>
      </c>
      <c r="CL200" s="110">
        <f>CL199/CG199-1</f>
        <v>0.5</v>
      </c>
      <c r="CM200" s="250"/>
      <c r="CN200" s="110">
        <f t="shared" ref="CN200:CP200" si="723">CN199/CI199-1</f>
        <v>0.5</v>
      </c>
      <c r="CO200" s="110">
        <f t="shared" si="723"/>
        <v>0.5</v>
      </c>
      <c r="CP200" s="110">
        <f t="shared" si="723"/>
        <v>0.50617283950617264</v>
      </c>
      <c r="CQ200" s="110">
        <f>CQ199/CL199-1</f>
        <v>0.50617283950617264</v>
      </c>
      <c r="CR200" s="250"/>
      <c r="CS200" s="110">
        <f>CS199/CI199-1</f>
        <v>0.5</v>
      </c>
      <c r="CT200" s="110">
        <f>CT199/CJ199-1</f>
        <v>0.5</v>
      </c>
      <c r="CU200" s="110">
        <f>CU199/CK199-1</f>
        <v>0.50617283950617264</v>
      </c>
      <c r="CV200" s="110">
        <f>CV199/CL199-1</f>
        <v>0.50617283950617264</v>
      </c>
      <c r="CW200" s="250"/>
      <c r="CX200" s="110">
        <f>CX199/CS199-1</f>
        <v>0.50617283950617264</v>
      </c>
      <c r="CY200" s="110">
        <f>CY199/CT199-1</f>
        <v>0.50617283950617264</v>
      </c>
      <c r="CZ200" s="110">
        <f>CZ199/CU199-1</f>
        <v>0</v>
      </c>
      <c r="DA200" s="110">
        <f>DA199/CV199-1</f>
        <v>0</v>
      </c>
      <c r="DB200" s="250">
        <f>DB199/CW199-1</f>
        <v>0.20197044334975378</v>
      </c>
      <c r="DC200" s="110">
        <f t="shared" ref="DC200:DL200" si="724">DC199/CX199-1</f>
        <v>0</v>
      </c>
      <c r="DD200" s="110">
        <f t="shared" si="724"/>
        <v>0</v>
      </c>
      <c r="DE200" s="110">
        <f t="shared" si="724"/>
        <v>0.25</v>
      </c>
      <c r="DF200" s="110">
        <f t="shared" si="724"/>
        <v>0.25</v>
      </c>
      <c r="DG200" s="250">
        <f t="shared" si="724"/>
        <v>0.125</v>
      </c>
      <c r="DH200" s="110">
        <f t="shared" si="724"/>
        <v>0.25</v>
      </c>
      <c r="DI200" s="110">
        <f t="shared" si="724"/>
        <v>0.25</v>
      </c>
      <c r="DJ200" s="110">
        <f t="shared" si="724"/>
        <v>0.25</v>
      </c>
      <c r="DK200" s="110">
        <f t="shared" si="724"/>
        <v>0.25</v>
      </c>
      <c r="DL200" s="250">
        <f t="shared" si="724"/>
        <v>0.25</v>
      </c>
      <c r="DM200" s="43"/>
      <c r="DN200" s="534"/>
      <c r="DO200" s="486"/>
      <c r="DP200" s="411"/>
      <c r="DQ200" s="411"/>
      <c r="DR200" s="411"/>
      <c r="DS200" s="569"/>
      <c r="DT200" s="569"/>
      <c r="DU200" s="474"/>
      <c r="DV200" s="569"/>
      <c r="DW200" s="569"/>
      <c r="DX200" s="569"/>
      <c r="DY200" s="569"/>
      <c r="DZ200" s="460"/>
      <c r="EA200" s="534"/>
      <c r="EH200" s="8"/>
    </row>
    <row r="201" spans="1:138" ht="12.75" customHeight="1" x14ac:dyDescent="0.2">
      <c r="A201" s="121" t="s">
        <v>38</v>
      </c>
      <c r="B201" s="110"/>
      <c r="C201" s="110"/>
      <c r="D201" s="110"/>
      <c r="E201" s="110"/>
      <c r="F201" s="243"/>
      <c r="G201" s="110"/>
      <c r="H201" s="110"/>
      <c r="I201" s="110"/>
      <c r="J201" s="110"/>
      <c r="K201" s="243"/>
      <c r="L201" s="110"/>
      <c r="M201" s="110"/>
      <c r="N201" s="110"/>
      <c r="O201" s="110"/>
      <c r="P201" s="243"/>
      <c r="Q201" s="110"/>
      <c r="R201" s="110"/>
      <c r="S201" s="110"/>
      <c r="T201" s="110"/>
      <c r="U201" s="243"/>
      <c r="V201" s="110"/>
      <c r="W201" s="110"/>
      <c r="X201" s="110"/>
      <c r="Y201" s="110"/>
      <c r="Z201" s="243"/>
      <c r="AA201" s="110"/>
      <c r="AB201" s="110"/>
      <c r="AC201" s="110"/>
      <c r="AD201" s="110"/>
      <c r="AE201" s="243"/>
      <c r="AF201" s="110"/>
      <c r="AG201" s="110"/>
      <c r="AH201" s="110"/>
      <c r="AI201" s="110"/>
      <c r="AJ201" s="243"/>
      <c r="AK201" s="110"/>
      <c r="AL201" s="110"/>
      <c r="AM201" s="110"/>
      <c r="AN201" s="110"/>
      <c r="AO201" s="243"/>
      <c r="AP201" s="110"/>
      <c r="AQ201" s="110"/>
      <c r="AR201" s="110"/>
      <c r="AS201" s="110"/>
      <c r="AT201" s="631"/>
      <c r="AU201" s="110"/>
      <c r="AV201" s="110"/>
      <c r="AW201" s="110"/>
      <c r="AX201" s="110"/>
      <c r="AY201" s="261"/>
      <c r="AZ201" s="110"/>
      <c r="BA201" s="110"/>
      <c r="BB201" s="110"/>
      <c r="BC201" s="110"/>
      <c r="BD201" s="250"/>
      <c r="BE201" s="110"/>
      <c r="BF201" s="110"/>
      <c r="BG201" s="110"/>
      <c r="BH201" s="110"/>
      <c r="BI201" s="250"/>
      <c r="BJ201" s="110"/>
      <c r="BK201" s="110"/>
      <c r="BL201" s="110"/>
      <c r="BM201" s="110"/>
      <c r="BN201" s="250"/>
      <c r="BO201" s="110"/>
      <c r="BP201" s="110"/>
      <c r="BQ201" s="110"/>
      <c r="BR201" s="110"/>
      <c r="BS201" s="250"/>
      <c r="BT201" s="110"/>
      <c r="BU201" s="110"/>
      <c r="BV201" s="110"/>
      <c r="BW201" s="110"/>
      <c r="BX201" s="250"/>
      <c r="BY201" s="110"/>
      <c r="BZ201" s="110"/>
      <c r="CA201" s="110">
        <f>CA199/CA186</f>
        <v>7.4822485207100595E-2</v>
      </c>
      <c r="CB201" s="110">
        <f>CB199/CB186</f>
        <v>0.11579352850539291</v>
      </c>
      <c r="CC201" s="250"/>
      <c r="CD201" s="110">
        <f t="shared" ref="CD201:CF201" si="725">CD199/CD186</f>
        <v>0.19983870967741935</v>
      </c>
      <c r="CE201" s="110">
        <f t="shared" si="725"/>
        <v>7.1071080817916257E-2</v>
      </c>
      <c r="CF201" s="110">
        <f t="shared" si="725"/>
        <v>7.7546965317919075E-2</v>
      </c>
      <c r="CG201" s="110">
        <f>CG199/CG186</f>
        <v>0.11444384449244062</v>
      </c>
      <c r="CH201" s="250"/>
      <c r="CI201" s="110">
        <f>CI199/CI186</f>
        <v>0.10263157894736843</v>
      </c>
      <c r="CJ201" s="110">
        <f t="shared" ref="CJ201:CK201" si="726">CJ199/CJ186</f>
        <v>9.1641459074733103E-2</v>
      </c>
      <c r="CK201" s="110">
        <f t="shared" si="726"/>
        <v>0.11928741092636581</v>
      </c>
      <c r="CL201" s="110">
        <f>CL199/CL186</f>
        <v>0.24709023178807948</v>
      </c>
      <c r="CM201" s="250"/>
      <c r="CN201" s="110">
        <f>CN199/CN186</f>
        <v>0.26433482142857145</v>
      </c>
      <c r="CO201" s="110">
        <f t="shared" ref="CO201:CP201" si="727">CO199/CO186</f>
        <v>0.12325353871773523</v>
      </c>
      <c r="CP201" s="110">
        <f t="shared" si="727"/>
        <v>0.1945829636202307</v>
      </c>
      <c r="CQ201" s="110">
        <f>CQ199/CQ186</f>
        <v>0.32201908957415565</v>
      </c>
      <c r="CR201" s="250"/>
      <c r="CS201" s="110">
        <f>CS199/CS186</f>
        <v>0.28576737451737455</v>
      </c>
      <c r="CT201" s="110">
        <f t="shared" ref="CT201:CU201" si="728">CT199/CT186</f>
        <v>0.12728073946689597</v>
      </c>
      <c r="CU201" s="110">
        <f t="shared" si="728"/>
        <v>0.19791967509025268</v>
      </c>
      <c r="CV201" s="110">
        <f>CV199/CV186</f>
        <v>0.33634202453987727</v>
      </c>
      <c r="CW201" s="250"/>
      <c r="CX201" s="110">
        <f>CX199/CX186</f>
        <v>0.41172084130019115</v>
      </c>
      <c r="CY201" s="110">
        <f t="shared" ref="CY201:DB201" si="729">CY199/CY186</f>
        <v>0.15921142555445789</v>
      </c>
      <c r="CZ201" s="110">
        <f t="shared" si="729"/>
        <v>0.16488183130190862</v>
      </c>
      <c r="DA201" s="110">
        <f t="shared" si="729"/>
        <v>0.20597046113419989</v>
      </c>
      <c r="DB201" s="655">
        <f t="shared" si="729"/>
        <v>0.2040496390966651</v>
      </c>
      <c r="DC201" s="110" t="e">
        <f t="shared" ref="DC201:DL201" si="730">DC199/DC186</f>
        <v>#DIV/0!</v>
      </c>
      <c r="DD201" s="110" t="e">
        <f t="shared" si="730"/>
        <v>#DIV/0!</v>
      </c>
      <c r="DE201" s="110" t="e">
        <f t="shared" si="730"/>
        <v>#DIV/0!</v>
      </c>
      <c r="DF201" s="110" t="e">
        <f t="shared" si="730"/>
        <v>#DIV/0!</v>
      </c>
      <c r="DG201" s="250">
        <f t="shared" si="730"/>
        <v>0.20288103027278839</v>
      </c>
      <c r="DH201" s="110" t="e">
        <f t="shared" si="730"/>
        <v>#DIV/0!</v>
      </c>
      <c r="DI201" s="110" t="e">
        <f t="shared" si="730"/>
        <v>#DIV/0!</v>
      </c>
      <c r="DJ201" s="110" t="e">
        <f t="shared" si="730"/>
        <v>#DIV/0!</v>
      </c>
      <c r="DK201" s="110" t="e">
        <f t="shared" si="730"/>
        <v>#DIV/0!</v>
      </c>
      <c r="DL201" s="250">
        <f t="shared" si="730"/>
        <v>0.22212413322375255</v>
      </c>
      <c r="DM201" s="43"/>
      <c r="DN201" s="534"/>
      <c r="DO201" s="486"/>
      <c r="DP201" s="411"/>
      <c r="DQ201" s="411"/>
      <c r="DR201" s="411"/>
      <c r="DS201" s="569"/>
      <c r="DT201" s="569"/>
      <c r="DU201" s="474"/>
      <c r="DV201" s="569"/>
      <c r="DW201" s="569"/>
      <c r="DX201" s="569"/>
      <c r="DY201" s="569"/>
      <c r="DZ201" s="460"/>
      <c r="EA201" s="534"/>
      <c r="EH201" s="8"/>
    </row>
    <row r="202" spans="1:138" ht="12.75" customHeight="1" x14ac:dyDescent="0.2">
      <c r="A202" s="30" t="s">
        <v>60</v>
      </c>
      <c r="B202" s="30"/>
      <c r="C202" s="30"/>
      <c r="D202" s="30"/>
      <c r="E202" s="30"/>
      <c r="F202" s="614"/>
      <c r="G202" s="30"/>
      <c r="H202" s="30"/>
      <c r="I202" s="30"/>
      <c r="J202" s="30"/>
      <c r="K202" s="614"/>
      <c r="L202" s="30"/>
      <c r="M202" s="30"/>
      <c r="N202" s="30"/>
      <c r="O202" s="30"/>
      <c r="P202" s="614"/>
      <c r="Q202" s="30"/>
      <c r="R202" s="30"/>
      <c r="S202" s="30"/>
      <c r="T202" s="30"/>
      <c r="U202" s="614"/>
      <c r="V202" s="30"/>
      <c r="W202" s="30"/>
      <c r="X202" s="30"/>
      <c r="Y202" s="30"/>
      <c r="Z202" s="614"/>
      <c r="AA202" s="30"/>
      <c r="AB202" s="30"/>
      <c r="AC202" s="30"/>
      <c r="AD202" s="30"/>
      <c r="AE202" s="614"/>
      <c r="AF202" s="30"/>
      <c r="AG202" s="30"/>
      <c r="AH202" s="30"/>
      <c r="AI202" s="30"/>
      <c r="AJ202" s="614"/>
      <c r="AK202" s="30"/>
      <c r="AL202" s="30"/>
      <c r="AM202" s="30"/>
      <c r="AN202" s="30"/>
      <c r="AO202" s="614"/>
      <c r="AP202" s="30"/>
      <c r="AQ202" s="30"/>
      <c r="AR202" s="30"/>
      <c r="AS202" s="30"/>
      <c r="AT202" s="614"/>
      <c r="AU202" s="30"/>
      <c r="AV202" s="30"/>
      <c r="AW202" s="30"/>
      <c r="AX202" s="30"/>
      <c r="AY202" s="614"/>
      <c r="AZ202" s="30"/>
      <c r="BA202" s="30"/>
      <c r="BB202" s="30"/>
      <c r="BC202" s="30"/>
      <c r="BD202" s="614"/>
      <c r="BE202" s="30"/>
      <c r="BF202" s="30"/>
      <c r="BG202" s="30"/>
      <c r="BH202" s="30"/>
      <c r="BI202" s="614"/>
      <c r="BJ202" s="30"/>
      <c r="BK202" s="30"/>
      <c r="BL202" s="30"/>
      <c r="BM202" s="30"/>
      <c r="BN202" s="614"/>
      <c r="BO202" s="30"/>
      <c r="BP202" s="30"/>
      <c r="BQ202" s="30"/>
      <c r="BR202" s="30"/>
      <c r="BS202" s="249"/>
      <c r="BT202" s="30"/>
      <c r="BU202" s="30"/>
      <c r="BV202" s="30"/>
      <c r="BW202" s="30"/>
      <c r="BX202" s="614"/>
      <c r="BY202" s="30"/>
      <c r="BZ202" s="30"/>
      <c r="CA202" s="30"/>
      <c r="CB202" s="30"/>
      <c r="CC202" s="614"/>
      <c r="CD202" s="30"/>
      <c r="CE202" s="30"/>
      <c r="CF202" s="30"/>
      <c r="CG202" s="30"/>
      <c r="CH202" s="614"/>
      <c r="CI202" s="30"/>
      <c r="CJ202" s="30"/>
      <c r="CK202" s="30"/>
      <c r="CL202" s="30"/>
      <c r="CM202" s="614"/>
      <c r="CN202" s="30"/>
      <c r="CO202" s="30"/>
      <c r="CP202" s="30"/>
      <c r="CQ202" s="30"/>
      <c r="CR202" s="614"/>
      <c r="CS202" s="30"/>
      <c r="CT202" s="30"/>
      <c r="CU202" s="30"/>
      <c r="CV202" s="30"/>
      <c r="CW202" s="614"/>
      <c r="CX202" s="30"/>
      <c r="CY202" s="30"/>
      <c r="CZ202" s="30"/>
      <c r="DA202" s="30"/>
      <c r="DB202" s="614"/>
      <c r="DC202" s="30"/>
      <c r="DD202" s="30"/>
      <c r="DE202" s="30"/>
      <c r="DF202" s="30"/>
      <c r="DG202" s="614"/>
      <c r="DH202" s="30"/>
      <c r="DI202" s="30"/>
      <c r="DJ202" s="30"/>
      <c r="DK202" s="30"/>
      <c r="DL202" s="614"/>
      <c r="DM202" s="7"/>
      <c r="DN202" s="494"/>
      <c r="DO202" s="491"/>
      <c r="DP202" s="7"/>
      <c r="DQ202" s="7"/>
      <c r="DR202" s="7"/>
      <c r="DS202" s="569"/>
      <c r="DT202" s="569"/>
      <c r="DU202" s="474"/>
      <c r="DV202" s="569"/>
      <c r="DW202" s="569"/>
      <c r="DX202" s="569"/>
      <c r="DY202" s="569"/>
      <c r="DZ202" s="460"/>
      <c r="EA202" s="494"/>
      <c r="EH202" s="30"/>
    </row>
    <row r="203" spans="1:138" ht="12.75" customHeight="1" x14ac:dyDescent="0.2">
      <c r="A203" s="21" t="s">
        <v>438</v>
      </c>
      <c r="B203" s="675">
        <v>0.37</v>
      </c>
      <c r="C203" s="19">
        <v>0.37</v>
      </c>
      <c r="D203" s="19">
        <v>0.37</v>
      </c>
      <c r="E203" s="19">
        <v>0.37</v>
      </c>
      <c r="F203" s="201">
        <v>0.37</v>
      </c>
      <c r="G203" s="675">
        <v>0.37</v>
      </c>
      <c r="H203" s="19">
        <v>0.37</v>
      </c>
      <c r="I203" s="19">
        <v>0.37</v>
      </c>
      <c r="J203" s="19">
        <v>0.37</v>
      </c>
      <c r="K203" s="201">
        <v>0.37</v>
      </c>
      <c r="L203" s="675">
        <v>0.37</v>
      </c>
      <c r="M203" s="19">
        <v>0.37</v>
      </c>
      <c r="N203" s="19">
        <v>0.37</v>
      </c>
      <c r="O203" s="19">
        <v>0.37</v>
      </c>
      <c r="P203" s="201">
        <v>0.37</v>
      </c>
      <c r="Q203" s="675">
        <v>0.37</v>
      </c>
      <c r="R203" s="19">
        <v>0.37</v>
      </c>
      <c r="S203" s="19">
        <v>0.37</v>
      </c>
      <c r="T203" s="19">
        <v>0.37</v>
      </c>
      <c r="U203" s="201">
        <v>0.37</v>
      </c>
      <c r="V203" s="675">
        <v>0.37</v>
      </c>
      <c r="W203" s="19">
        <v>0.37</v>
      </c>
      <c r="X203" s="19">
        <v>0.37</v>
      </c>
      <c r="Y203" s="19">
        <v>0.37</v>
      </c>
      <c r="Z203" s="201">
        <v>0.37</v>
      </c>
      <c r="AA203" s="675">
        <v>0.37</v>
      </c>
      <c r="AB203" s="19">
        <v>0.37</v>
      </c>
      <c r="AC203" s="19">
        <v>0.37</v>
      </c>
      <c r="AD203" s="19">
        <v>0.37</v>
      </c>
      <c r="AE203" s="201">
        <v>0.37</v>
      </c>
      <c r="AF203" s="675">
        <v>0.37</v>
      </c>
      <c r="AG203" s="19">
        <v>0.37</v>
      </c>
      <c r="AH203" s="19">
        <v>0.37</v>
      </c>
      <c r="AI203" s="19">
        <v>0.37</v>
      </c>
      <c r="AJ203" s="201">
        <v>0.37</v>
      </c>
      <c r="AK203" s="675">
        <v>0.37</v>
      </c>
      <c r="AL203" s="19">
        <v>0.37</v>
      </c>
      <c r="AM203" s="19">
        <v>0.37</v>
      </c>
      <c r="AN203" s="19">
        <v>0.37</v>
      </c>
      <c r="AO203" s="201">
        <v>0.37</v>
      </c>
      <c r="AP203" s="675"/>
      <c r="AQ203" s="19"/>
      <c r="AR203" s="19"/>
      <c r="AS203" s="19"/>
      <c r="AT203" s="199"/>
      <c r="AU203" s="675">
        <v>0.37</v>
      </c>
      <c r="AV203" s="19">
        <v>0.37</v>
      </c>
      <c r="AW203" s="19">
        <v>0.37</v>
      </c>
      <c r="AX203" s="19">
        <v>0.37</v>
      </c>
      <c r="AY203" s="199">
        <v>0.37</v>
      </c>
      <c r="AZ203" s="675">
        <v>0.37</v>
      </c>
      <c r="BA203" s="19">
        <v>0.37</v>
      </c>
      <c r="BB203" s="19">
        <v>0.37</v>
      </c>
      <c r="BC203" s="19">
        <v>0.37</v>
      </c>
      <c r="BD203" s="199">
        <v>0.37</v>
      </c>
      <c r="BE203" s="675">
        <v>0.37</v>
      </c>
      <c r="BF203" s="19">
        <v>0.37</v>
      </c>
      <c r="BG203" s="19">
        <v>0.37</v>
      </c>
      <c r="BH203" s="19">
        <v>0.37</v>
      </c>
      <c r="BI203" s="199">
        <v>0.37</v>
      </c>
      <c r="BJ203" s="675">
        <v>0.37</v>
      </c>
      <c r="BK203" s="19">
        <v>0.37</v>
      </c>
      <c r="BL203" s="19">
        <v>0.37</v>
      </c>
      <c r="BM203" s="19">
        <v>0.37</v>
      </c>
      <c r="BN203" s="341">
        <v>0.37</v>
      </c>
      <c r="BO203" s="675">
        <v>0.37</v>
      </c>
      <c r="BP203" s="19">
        <v>0.37</v>
      </c>
      <c r="BQ203" s="19">
        <v>0.37</v>
      </c>
      <c r="BR203" s="19">
        <v>0.37</v>
      </c>
      <c r="BS203" s="199">
        <v>0.37</v>
      </c>
      <c r="BT203" s="675">
        <v>0.37</v>
      </c>
      <c r="BU203" s="19">
        <v>0.37</v>
      </c>
      <c r="BV203" s="19">
        <v>0.37</v>
      </c>
      <c r="BW203" s="19">
        <v>0.37</v>
      </c>
      <c r="BX203" s="199">
        <v>0.37</v>
      </c>
      <c r="BY203" s="675">
        <v>0.37</v>
      </c>
      <c r="BZ203" s="19">
        <v>0.37</v>
      </c>
      <c r="CA203" s="19">
        <v>0.37</v>
      </c>
      <c r="CB203" s="19">
        <v>0.37</v>
      </c>
      <c r="CC203" s="199">
        <v>0.37</v>
      </c>
      <c r="CD203" s="675">
        <v>0.37</v>
      </c>
      <c r="CE203" s="19">
        <v>0.37</v>
      </c>
      <c r="CF203" s="19">
        <v>0.37</v>
      </c>
      <c r="CG203" s="19">
        <v>0.37</v>
      </c>
      <c r="CH203" s="199">
        <v>0.37</v>
      </c>
      <c r="CI203" s="675">
        <v>0.37</v>
      </c>
      <c r="CJ203" s="19">
        <v>0.37</v>
      </c>
      <c r="CK203" s="19">
        <v>0.37</v>
      </c>
      <c r="CL203" s="19">
        <v>0.37</v>
      </c>
      <c r="CM203" s="199">
        <v>0.37</v>
      </c>
      <c r="CN203" s="675">
        <v>0.37</v>
      </c>
      <c r="CO203" s="19">
        <v>0.37</v>
      </c>
      <c r="CP203" s="19">
        <v>0.37</v>
      </c>
      <c r="CQ203" s="19">
        <v>0.37</v>
      </c>
      <c r="CR203" s="199">
        <v>0.37</v>
      </c>
      <c r="CS203" s="675">
        <v>0.37</v>
      </c>
      <c r="CT203" s="19">
        <v>0.37</v>
      </c>
      <c r="CU203" s="19">
        <v>0.37</v>
      </c>
      <c r="CV203" s="19">
        <v>0.37</v>
      </c>
      <c r="CW203" s="199">
        <v>0.37</v>
      </c>
      <c r="CX203" s="21">
        <v>0.37</v>
      </c>
      <c r="CY203" s="116">
        <v>0.21</v>
      </c>
      <c r="CZ203" s="116">
        <v>0.21</v>
      </c>
      <c r="DA203" s="116">
        <v>0.21</v>
      </c>
      <c r="DB203" s="451">
        <v>0.21</v>
      </c>
      <c r="DC203" s="19"/>
      <c r="DD203" s="19"/>
      <c r="DE203" s="19"/>
      <c r="DF203" s="19"/>
      <c r="DG203" s="451">
        <v>0.21</v>
      </c>
      <c r="DH203" s="19"/>
      <c r="DI203" s="19"/>
      <c r="DJ203" s="19"/>
      <c r="DK203" s="19"/>
      <c r="DL203" s="451">
        <v>0.21</v>
      </c>
      <c r="DM203" s="19"/>
      <c r="DN203" s="527"/>
      <c r="DO203" s="486"/>
      <c r="DP203" s="411"/>
      <c r="DQ203" s="411"/>
      <c r="DR203" s="411"/>
      <c r="DS203" s="432"/>
      <c r="DT203" s="432"/>
      <c r="DU203" s="474"/>
      <c r="DV203" s="569"/>
      <c r="DW203" s="569"/>
      <c r="DX203" s="569"/>
      <c r="DY203" s="569"/>
      <c r="DZ203" s="460"/>
      <c r="EA203" s="527"/>
      <c r="EH203" s="8"/>
    </row>
    <row r="204" spans="1:138" ht="12.75" customHeight="1" x14ac:dyDescent="0.2">
      <c r="A204" s="87" t="s">
        <v>106</v>
      </c>
      <c r="B204" s="676">
        <v>73</v>
      </c>
      <c r="C204" s="676">
        <v>81.834000000000003</v>
      </c>
      <c r="D204" s="676">
        <v>-141</v>
      </c>
      <c r="E204" s="676">
        <v>-60</v>
      </c>
      <c r="F204" s="234">
        <f>SUM(B204:E204)</f>
        <v>-46.165999999999997</v>
      </c>
      <c r="G204" s="676">
        <v>-17</v>
      </c>
      <c r="H204" s="676">
        <f>112-60</f>
        <v>52</v>
      </c>
      <c r="I204" s="676">
        <f>104-42-33+7</f>
        <v>36</v>
      </c>
      <c r="J204" s="676">
        <v>-247.72646999999995</v>
      </c>
      <c r="K204" s="234">
        <f>SUM(G204:J204)</f>
        <v>-176.72646999999995</v>
      </c>
      <c r="L204" s="676">
        <f>(-40-28)*(1-0.36)</f>
        <v>-43.52</v>
      </c>
      <c r="M204" s="676">
        <f>-15-9</f>
        <v>-24</v>
      </c>
      <c r="N204" s="676">
        <f>6+22-139-11+8</f>
        <v>-114</v>
      </c>
      <c r="O204" s="676">
        <v>-133</v>
      </c>
      <c r="P204" s="234">
        <f t="shared" ref="P204:P209" si="731">SUM(L204:O204)</f>
        <v>-314.52</v>
      </c>
      <c r="Q204" s="676">
        <f>-27-9-4</f>
        <v>-40</v>
      </c>
      <c r="R204" s="676">
        <f>(251+176-6)</f>
        <v>421</v>
      </c>
      <c r="S204" s="676">
        <f>9-1</f>
        <v>8</v>
      </c>
      <c r="T204" s="676">
        <v>-120</v>
      </c>
      <c r="U204" s="234">
        <f t="shared" ref="U204:U209" si="732">SUM(Q204:T204)</f>
        <v>269</v>
      </c>
      <c r="V204" s="676">
        <v>0</v>
      </c>
      <c r="W204" s="676">
        <v>-117</v>
      </c>
      <c r="X204" s="676">
        <v>-54</v>
      </c>
      <c r="Y204" s="676">
        <f>Z204-SUM(V204:X204)</f>
        <v>-1663</v>
      </c>
      <c r="Z204" s="234">
        <f>41-1875</f>
        <v>-1834</v>
      </c>
      <c r="AA204" s="676">
        <v>-531</v>
      </c>
      <c r="AB204" s="676">
        <v>-96</v>
      </c>
      <c r="AC204" s="676">
        <f>-85-607</f>
        <v>-692</v>
      </c>
      <c r="AD204" s="676">
        <f>AE204-SUM(AA204:AC204)</f>
        <v>-453</v>
      </c>
      <c r="AE204" s="234">
        <f>-888-884</f>
        <v>-1772</v>
      </c>
      <c r="AF204" s="676">
        <f>-9-1403</f>
        <v>-1412</v>
      </c>
      <c r="AG204" s="676">
        <f>-10-2380</f>
        <v>-2390</v>
      </c>
      <c r="AH204" s="676">
        <f>-2+98</f>
        <v>96</v>
      </c>
      <c r="AI204" s="676">
        <f>4-2521</f>
        <v>-2517</v>
      </c>
      <c r="AJ204" s="234">
        <f>SUM(AF204:AI204)+17</f>
        <v>-6206</v>
      </c>
      <c r="AK204" s="676">
        <f>-124</f>
        <v>-124</v>
      </c>
      <c r="AL204" s="676">
        <v>1318</v>
      </c>
      <c r="AM204" s="676">
        <v>0</v>
      </c>
      <c r="AN204" s="676">
        <v>0</v>
      </c>
      <c r="AO204" s="234">
        <f t="shared" ref="AO204:AO209" si="733">SUM(AK204:AN204)</f>
        <v>1194</v>
      </c>
      <c r="AP204" s="676"/>
      <c r="AQ204" s="676"/>
      <c r="AR204" s="676"/>
      <c r="AS204" s="676"/>
      <c r="AT204" s="234"/>
      <c r="AU204" s="676">
        <f>(-16*(1-AU180))</f>
        <v>-16</v>
      </c>
      <c r="AV204" s="676">
        <v>0</v>
      </c>
      <c r="AW204" s="676">
        <f>(-24*(1-AW180))</f>
        <v>-25.180327868852459</v>
      </c>
      <c r="AX204" s="676">
        <f>(-24*(1-AX180))</f>
        <v>-24</v>
      </c>
      <c r="AY204" s="234">
        <f>SUM(AU204:AX204)</f>
        <v>-65.180327868852459</v>
      </c>
      <c r="AZ204" s="676">
        <v>-99</v>
      </c>
      <c r="BA204" s="676">
        <v>-58</v>
      </c>
      <c r="BB204" s="676">
        <f>-129-83</f>
        <v>-212</v>
      </c>
      <c r="BC204" s="676">
        <f>-121+321</f>
        <v>200</v>
      </c>
      <c r="BD204" s="234">
        <f t="shared" ref="BD204:BD209" si="734">SUM(AZ204:BC204)</f>
        <v>-169</v>
      </c>
      <c r="BE204" s="676">
        <f>-54-10</f>
        <v>-64</v>
      </c>
      <c r="BF204" s="676">
        <v>-82</v>
      </c>
      <c r="BG204" s="676">
        <f>-206-360</f>
        <v>-566</v>
      </c>
      <c r="BH204" s="676">
        <f>-108-31</f>
        <v>-139</v>
      </c>
      <c r="BI204" s="234">
        <f t="shared" ref="BI204:BI209" si="735">SUM(BE204:BH204)</f>
        <v>-851</v>
      </c>
      <c r="BJ204" s="676">
        <f>29-7-20</f>
        <v>2</v>
      </c>
      <c r="BK204" s="676">
        <f>-144-13-11</f>
        <v>-168</v>
      </c>
      <c r="BL204" s="676">
        <f>-208-3-5</f>
        <v>-216</v>
      </c>
      <c r="BM204" s="676">
        <v>46</v>
      </c>
      <c r="BN204" s="322">
        <f t="shared" ref="BN204:BN209" si="736">SUM(BJ204:BM204)</f>
        <v>-336</v>
      </c>
      <c r="BO204" s="676">
        <v>163</v>
      </c>
      <c r="BP204" s="676">
        <v>-754</v>
      </c>
      <c r="BQ204" s="676">
        <f>440-149-12</f>
        <v>279</v>
      </c>
      <c r="BR204" s="676">
        <f>-3-122-106</f>
        <v>-231</v>
      </c>
      <c r="BS204" s="207">
        <f t="shared" ref="BS204:BS209" si="737">SUM(BO204:BR204)</f>
        <v>-543</v>
      </c>
      <c r="BT204" s="676">
        <f>-102+24</f>
        <v>-78</v>
      </c>
      <c r="BU204" s="676">
        <f>-125-34</f>
        <v>-159</v>
      </c>
      <c r="BV204" s="676">
        <f>285-106-22</f>
        <v>157</v>
      </c>
      <c r="BW204" s="676">
        <f>7989-160+92</f>
        <v>7921</v>
      </c>
      <c r="BX204" s="207">
        <f>SUM(BT204:BW204)</f>
        <v>7841</v>
      </c>
      <c r="BY204" s="676">
        <v>-68</v>
      </c>
      <c r="BZ204" s="676">
        <f>1-20-69</f>
        <v>-88</v>
      </c>
      <c r="CA204" s="676">
        <f>-215-355-87</f>
        <v>-657</v>
      </c>
      <c r="CB204" s="676">
        <f>-1241-42-3-75</f>
        <v>-1361</v>
      </c>
      <c r="CC204" s="207">
        <f>SUM(BY204:CB204)</f>
        <v>-2174</v>
      </c>
      <c r="CD204" s="676">
        <f>372-6+8</f>
        <v>374</v>
      </c>
      <c r="CE204" s="676">
        <v>0</v>
      </c>
      <c r="CF204" s="676">
        <v>0</v>
      </c>
      <c r="CG204" s="676">
        <v>54</v>
      </c>
      <c r="CH204" s="207">
        <f>SUM(CD204:CG204)</f>
        <v>428</v>
      </c>
      <c r="CI204" s="676">
        <f>946-1026</f>
        <v>-80</v>
      </c>
      <c r="CJ204" s="676">
        <v>0</v>
      </c>
      <c r="CK204" s="676">
        <v>0</v>
      </c>
      <c r="CL204" s="676">
        <v>0</v>
      </c>
      <c r="CM204" s="207">
        <f>SUM(CI204:CL204)</f>
        <v>-80</v>
      </c>
      <c r="CN204" s="676">
        <v>43</v>
      </c>
      <c r="CO204" s="676">
        <v>23.49</v>
      </c>
      <c r="CP204" s="676">
        <v>51</v>
      </c>
      <c r="CQ204" s="676">
        <v>-109</v>
      </c>
      <c r="CR204" s="207">
        <f>SUM(CN204:CQ204)</f>
        <v>8.4899999999999949</v>
      </c>
      <c r="CS204" s="894">
        <v>43</v>
      </c>
      <c r="CT204" s="894">
        <v>23.49</v>
      </c>
      <c r="CU204" s="894">
        <v>51</v>
      </c>
      <c r="CV204" s="894">
        <v>-109</v>
      </c>
      <c r="CW204" s="207">
        <f>SUM(CS204:CV204)</f>
        <v>8.4899999999999949</v>
      </c>
      <c r="CX204" s="894">
        <f>547-CX183</f>
        <v>24</v>
      </c>
      <c r="CY204" s="88">
        <v>0</v>
      </c>
      <c r="CZ204" s="88">
        <v>0</v>
      </c>
      <c r="DA204" s="88">
        <v>0</v>
      </c>
      <c r="DB204" s="207">
        <f>SUM(CX204:DA204)</f>
        <v>24</v>
      </c>
      <c r="DC204" s="87"/>
      <c r="DD204" s="101"/>
      <c r="DE204" s="88"/>
      <c r="DF204" s="88"/>
      <c r="DG204" s="303">
        <v>0</v>
      </c>
      <c r="DH204" s="87"/>
      <c r="DI204" s="101"/>
      <c r="DJ204" s="88"/>
      <c r="DK204" s="88"/>
      <c r="DL204" s="303">
        <v>0</v>
      </c>
      <c r="DM204" s="87"/>
      <c r="DN204" s="536"/>
      <c r="DO204" s="486"/>
      <c r="DP204" s="411"/>
      <c r="DQ204" s="411"/>
      <c r="DR204" s="411"/>
      <c r="DS204" s="480"/>
      <c r="DT204" s="480"/>
      <c r="DU204" s="474"/>
      <c r="DV204" s="569"/>
      <c r="DW204" s="569"/>
      <c r="DX204" s="569"/>
      <c r="DY204" s="569"/>
      <c r="DZ204" s="460"/>
      <c r="EA204" s="536"/>
      <c r="EH204" s="8"/>
    </row>
    <row r="205" spans="1:138" ht="12.75" customHeight="1" x14ac:dyDescent="0.2">
      <c r="A205" s="102" t="s">
        <v>224</v>
      </c>
      <c r="B205" s="87"/>
      <c r="C205" s="87"/>
      <c r="D205" s="87"/>
      <c r="E205" s="87"/>
      <c r="F205" s="244"/>
      <c r="G205" s="87"/>
      <c r="H205" s="87"/>
      <c r="I205" s="87"/>
      <c r="J205" s="87"/>
      <c r="K205" s="244"/>
      <c r="L205" s="87">
        <v>0</v>
      </c>
      <c r="M205" s="87">
        <v>0</v>
      </c>
      <c r="N205" s="87">
        <v>-139</v>
      </c>
      <c r="O205" s="87">
        <v>-23</v>
      </c>
      <c r="P205" s="244">
        <f t="shared" si="731"/>
        <v>-162</v>
      </c>
      <c r="Q205" s="87">
        <v>0</v>
      </c>
      <c r="R205" s="87">
        <v>0</v>
      </c>
      <c r="S205" s="87">
        <v>0</v>
      </c>
      <c r="T205" s="87">
        <v>0</v>
      </c>
      <c r="U205" s="244">
        <f t="shared" si="732"/>
        <v>0</v>
      </c>
      <c r="V205" s="87"/>
      <c r="W205" s="87"/>
      <c r="X205" s="87">
        <v>0</v>
      </c>
      <c r="Y205" s="87">
        <v>1875</v>
      </c>
      <c r="Z205" s="244">
        <f>SUM(V205:Y205)</f>
        <v>1875</v>
      </c>
      <c r="AA205" s="87"/>
      <c r="AB205" s="87"/>
      <c r="AC205" s="87">
        <v>0</v>
      </c>
      <c r="AD205" s="87">
        <v>1875</v>
      </c>
      <c r="AE205" s="244">
        <f>SUM(AA205:AD205)</f>
        <v>1875</v>
      </c>
      <c r="AF205" s="87"/>
      <c r="AG205" s="87"/>
      <c r="AH205" s="87">
        <v>0</v>
      </c>
      <c r="AI205" s="87">
        <v>1875</v>
      </c>
      <c r="AJ205" s="244">
        <f>SUM(AF205:AI205)</f>
        <v>1875</v>
      </c>
      <c r="AK205" s="87">
        <v>0</v>
      </c>
      <c r="AL205" s="87">
        <v>0</v>
      </c>
      <c r="AM205" s="87">
        <v>0</v>
      </c>
      <c r="AN205" s="87">
        <v>0</v>
      </c>
      <c r="AO205" s="244">
        <f t="shared" si="733"/>
        <v>0</v>
      </c>
      <c r="AP205" s="87"/>
      <c r="AQ205" s="87"/>
      <c r="AR205" s="87"/>
      <c r="AS205" s="87"/>
      <c r="AT205" s="234"/>
      <c r="AU205" s="87"/>
      <c r="AV205" s="87"/>
      <c r="AW205" s="87"/>
      <c r="AX205" s="87"/>
      <c r="AY205" s="234">
        <f>SUM(AU205:AX205)</f>
        <v>0</v>
      </c>
      <c r="AZ205" s="87">
        <v>0</v>
      </c>
      <c r="BA205" s="87">
        <v>0</v>
      </c>
      <c r="BB205" s="87">
        <v>0</v>
      </c>
      <c r="BC205" s="87">
        <v>0</v>
      </c>
      <c r="BD205" s="234">
        <f t="shared" si="734"/>
        <v>0</v>
      </c>
      <c r="BE205" s="87">
        <v>0</v>
      </c>
      <c r="BF205" s="87">
        <v>0</v>
      </c>
      <c r="BG205" s="87">
        <v>0</v>
      </c>
      <c r="BH205" s="87">
        <v>0</v>
      </c>
      <c r="BI205" s="234">
        <f t="shared" si="735"/>
        <v>0</v>
      </c>
      <c r="BJ205" s="87">
        <v>0</v>
      </c>
      <c r="BK205" s="87">
        <v>0</v>
      </c>
      <c r="BL205" s="87">
        <v>0</v>
      </c>
      <c r="BM205" s="87">
        <v>0</v>
      </c>
      <c r="BN205" s="360">
        <f t="shared" si="736"/>
        <v>0</v>
      </c>
      <c r="BO205" s="87"/>
      <c r="BP205" s="87"/>
      <c r="BQ205" s="87"/>
      <c r="BR205" s="87"/>
      <c r="BS205" s="234">
        <f t="shared" si="737"/>
        <v>0</v>
      </c>
      <c r="BT205" s="87"/>
      <c r="BU205" s="87"/>
      <c r="BV205" s="87"/>
      <c r="BW205" s="87"/>
      <c r="BX205" s="234"/>
      <c r="BY205" s="87"/>
      <c r="BZ205" s="87"/>
      <c r="CA205" s="87"/>
      <c r="CB205" s="87"/>
      <c r="CC205" s="234"/>
      <c r="CD205" s="87"/>
      <c r="CE205" s="87"/>
      <c r="CF205" s="87"/>
      <c r="CG205" s="87"/>
      <c r="CH205" s="234"/>
      <c r="CI205" s="87"/>
      <c r="CJ205" s="87"/>
      <c r="CK205" s="87"/>
      <c r="CL205" s="87"/>
      <c r="CM205" s="234"/>
      <c r="CN205" s="87"/>
      <c r="CO205" s="87"/>
      <c r="CP205" s="87"/>
      <c r="CQ205" s="87"/>
      <c r="CR205" s="234"/>
      <c r="CS205" s="87"/>
      <c r="CT205" s="87"/>
      <c r="CU205" s="87"/>
      <c r="CV205" s="87"/>
      <c r="CW205" s="234"/>
      <c r="CX205" s="87"/>
      <c r="CY205" s="87"/>
      <c r="CZ205" s="87"/>
      <c r="DA205" s="87"/>
      <c r="DB205" s="234"/>
      <c r="DC205" s="103"/>
      <c r="DD205" s="87"/>
      <c r="DE205" s="87"/>
      <c r="DF205" s="87"/>
      <c r="DG205" s="234"/>
      <c r="DH205" s="103"/>
      <c r="DI205" s="87"/>
      <c r="DJ205" s="87"/>
      <c r="DK205" s="87"/>
      <c r="DL205" s="234"/>
      <c r="DM205" s="87"/>
      <c r="DN205" s="536"/>
      <c r="DO205" s="486"/>
      <c r="DP205" s="411"/>
      <c r="DQ205" s="411"/>
      <c r="DR205" s="411"/>
      <c r="DS205" s="561"/>
      <c r="DT205" s="561"/>
      <c r="DU205" s="474"/>
      <c r="DV205" s="569"/>
      <c r="DW205" s="569"/>
      <c r="DX205" s="569"/>
      <c r="DY205" s="569"/>
      <c r="DZ205" s="460"/>
      <c r="EA205" s="536"/>
      <c r="EH205" s="8"/>
    </row>
    <row r="206" spans="1:138" ht="12.75" customHeight="1" x14ac:dyDescent="0.2">
      <c r="A206" s="102" t="s">
        <v>430</v>
      </c>
      <c r="B206" s="87"/>
      <c r="C206" s="87"/>
      <c r="D206" s="87"/>
      <c r="E206" s="87"/>
      <c r="F206" s="244"/>
      <c r="G206" s="87"/>
      <c r="H206" s="87"/>
      <c r="I206" s="87"/>
      <c r="J206" s="87"/>
      <c r="K206" s="244"/>
      <c r="L206" s="87">
        <v>0</v>
      </c>
      <c r="M206" s="87">
        <v>0</v>
      </c>
      <c r="N206" s="87">
        <v>0</v>
      </c>
      <c r="O206" s="87">
        <v>0</v>
      </c>
      <c r="P206" s="244">
        <f t="shared" si="731"/>
        <v>0</v>
      </c>
      <c r="Q206" s="87">
        <v>0</v>
      </c>
      <c r="R206" s="87">
        <v>0</v>
      </c>
      <c r="S206" s="87">
        <v>0</v>
      </c>
      <c r="T206" s="87">
        <f>-26+21</f>
        <v>-5</v>
      </c>
      <c r="U206" s="244">
        <f t="shared" si="732"/>
        <v>-5</v>
      </c>
      <c r="V206" s="87"/>
      <c r="W206" s="87"/>
      <c r="X206" s="87">
        <v>0</v>
      </c>
      <c r="Y206" s="87">
        <v>-123</v>
      </c>
      <c r="Z206" s="244">
        <f>SUM(V206:Y206)</f>
        <v>-123</v>
      </c>
      <c r="AA206" s="87"/>
      <c r="AB206" s="87"/>
      <c r="AC206" s="87">
        <v>0</v>
      </c>
      <c r="AD206" s="87">
        <v>-123</v>
      </c>
      <c r="AE206" s="244">
        <f>SUM(AA206:AD206)</f>
        <v>-123</v>
      </c>
      <c r="AF206" s="87"/>
      <c r="AG206" s="87"/>
      <c r="AH206" s="87">
        <v>0</v>
      </c>
      <c r="AI206" s="87">
        <v>-123</v>
      </c>
      <c r="AJ206" s="244">
        <f>SUM(AF206:AI206)</f>
        <v>-123</v>
      </c>
      <c r="AK206" s="87">
        <v>0</v>
      </c>
      <c r="AL206" s="87">
        <v>0</v>
      </c>
      <c r="AM206" s="87">
        <v>0</v>
      </c>
      <c r="AN206" s="87">
        <v>0</v>
      </c>
      <c r="AO206" s="244">
        <f t="shared" si="733"/>
        <v>0</v>
      </c>
      <c r="AP206" s="87"/>
      <c r="AQ206" s="87"/>
      <c r="AR206" s="87"/>
      <c r="AS206" s="87"/>
      <c r="AT206" s="234"/>
      <c r="AU206" s="87"/>
      <c r="AV206" s="87"/>
      <c r="AW206" s="87"/>
      <c r="AX206" s="87"/>
      <c r="AY206" s="234">
        <f>SUM(AU206:AX206)</f>
        <v>0</v>
      </c>
      <c r="AZ206" s="87">
        <v>0</v>
      </c>
      <c r="BA206" s="87">
        <v>0</v>
      </c>
      <c r="BB206" s="87">
        <v>0</v>
      </c>
      <c r="BC206" s="87">
        <v>0</v>
      </c>
      <c r="BD206" s="234">
        <f t="shared" si="734"/>
        <v>0</v>
      </c>
      <c r="BE206" s="87">
        <v>0</v>
      </c>
      <c r="BF206" s="87">
        <v>0</v>
      </c>
      <c r="BG206" s="87">
        <v>0</v>
      </c>
      <c r="BH206" s="87">
        <v>0</v>
      </c>
      <c r="BI206" s="234">
        <f t="shared" si="735"/>
        <v>0</v>
      </c>
      <c r="BJ206" s="87">
        <v>0</v>
      </c>
      <c r="BK206" s="87">
        <v>0</v>
      </c>
      <c r="BL206" s="87">
        <v>0</v>
      </c>
      <c r="BM206" s="87">
        <v>0</v>
      </c>
      <c r="BN206" s="360">
        <f t="shared" si="736"/>
        <v>0</v>
      </c>
      <c r="BO206" s="87"/>
      <c r="BP206" s="87"/>
      <c r="BQ206" s="87"/>
      <c r="BR206" s="87"/>
      <c r="BS206" s="234">
        <f t="shared" si="737"/>
        <v>0</v>
      </c>
      <c r="BT206" s="87"/>
      <c r="BU206" s="87"/>
      <c r="BV206" s="87"/>
      <c r="BW206" s="87"/>
      <c r="BX206" s="234"/>
      <c r="BY206" s="87"/>
      <c r="BZ206" s="87"/>
      <c r="CA206" s="87"/>
      <c r="CB206" s="87"/>
      <c r="CC206" s="234"/>
      <c r="CD206" s="87"/>
      <c r="CE206" s="87"/>
      <c r="CF206" s="87"/>
      <c r="CG206" s="87"/>
      <c r="CH206" s="234"/>
      <c r="CI206" s="87"/>
      <c r="CJ206" s="87"/>
      <c r="CK206" s="87"/>
      <c r="CL206" s="87"/>
      <c r="CM206" s="234"/>
      <c r="CN206" s="87"/>
      <c r="CO206" s="87"/>
      <c r="CP206" s="87"/>
      <c r="CQ206" s="87"/>
      <c r="CR206" s="234"/>
      <c r="CS206" s="87"/>
      <c r="CT206" s="87"/>
      <c r="CU206" s="87"/>
      <c r="CV206" s="87"/>
      <c r="CW206" s="234"/>
      <c r="CX206" s="87"/>
      <c r="CY206" s="87"/>
      <c r="CZ206" s="87"/>
      <c r="DA206" s="87"/>
      <c r="DB206" s="234"/>
      <c r="DC206" s="103"/>
      <c r="DD206" s="87"/>
      <c r="DE206" s="87"/>
      <c r="DF206" s="87"/>
      <c r="DG206" s="234"/>
      <c r="DH206" s="103"/>
      <c r="DI206" s="87"/>
      <c r="DJ206" s="87"/>
      <c r="DK206" s="87"/>
      <c r="DL206" s="234"/>
      <c r="DM206" s="87"/>
      <c r="DN206" s="536"/>
      <c r="DO206" s="486"/>
      <c r="DP206" s="411"/>
      <c r="DQ206" s="411"/>
      <c r="DR206" s="411"/>
      <c r="DS206" s="561"/>
      <c r="DT206" s="561"/>
      <c r="DU206" s="474"/>
      <c r="DV206" s="569"/>
      <c r="DW206" s="569"/>
      <c r="DX206" s="569"/>
      <c r="DY206" s="569"/>
      <c r="DZ206" s="460"/>
      <c r="EA206" s="536"/>
      <c r="EH206" s="8"/>
    </row>
    <row r="207" spans="1:138" ht="12.75" customHeight="1" x14ac:dyDescent="0.2">
      <c r="A207" s="102" t="s">
        <v>211</v>
      </c>
      <c r="B207" s="87"/>
      <c r="C207" s="87"/>
      <c r="D207" s="87"/>
      <c r="E207" s="87"/>
      <c r="F207" s="244"/>
      <c r="G207" s="87"/>
      <c r="H207" s="87"/>
      <c r="I207" s="87"/>
      <c r="J207" s="87"/>
      <c r="K207" s="244"/>
      <c r="L207" s="87">
        <v>0</v>
      </c>
      <c r="M207" s="87">
        <v>0</v>
      </c>
      <c r="N207" s="87">
        <v>0</v>
      </c>
      <c r="O207" s="87">
        <v>0</v>
      </c>
      <c r="P207" s="244">
        <f t="shared" si="731"/>
        <v>0</v>
      </c>
      <c r="Q207" s="87">
        <v>0</v>
      </c>
      <c r="R207" s="87">
        <v>0</v>
      </c>
      <c r="S207" s="87">
        <v>0</v>
      </c>
      <c r="T207" s="87">
        <v>0</v>
      </c>
      <c r="U207" s="244">
        <f t="shared" si="732"/>
        <v>0</v>
      </c>
      <c r="V207" s="87"/>
      <c r="W207" s="87"/>
      <c r="X207" s="87">
        <v>0</v>
      </c>
      <c r="Y207" s="87">
        <v>-212</v>
      </c>
      <c r="Z207" s="244">
        <f>SUM(V207:Y207)</f>
        <v>-212</v>
      </c>
      <c r="AA207" s="87"/>
      <c r="AB207" s="87"/>
      <c r="AC207" s="87">
        <v>0</v>
      </c>
      <c r="AD207" s="87">
        <v>-212</v>
      </c>
      <c r="AE207" s="244">
        <f>SUM(AA207:AD207)</f>
        <v>-212</v>
      </c>
      <c r="AF207" s="87"/>
      <c r="AG207" s="87"/>
      <c r="AH207" s="87">
        <v>0</v>
      </c>
      <c r="AI207" s="87">
        <v>-212</v>
      </c>
      <c r="AJ207" s="244">
        <f>SUM(AF207:AI207)</f>
        <v>-212</v>
      </c>
      <c r="AK207" s="87">
        <v>0</v>
      </c>
      <c r="AL207" s="87">
        <v>0</v>
      </c>
      <c r="AM207" s="87">
        <v>0</v>
      </c>
      <c r="AN207" s="87">
        <v>0</v>
      </c>
      <c r="AO207" s="244">
        <f t="shared" si="733"/>
        <v>0</v>
      </c>
      <c r="AP207" s="87"/>
      <c r="AQ207" s="87"/>
      <c r="AR207" s="87"/>
      <c r="AS207" s="87"/>
      <c r="AT207" s="234"/>
      <c r="AU207" s="87"/>
      <c r="AV207" s="87"/>
      <c r="AW207" s="87"/>
      <c r="AX207" s="87"/>
      <c r="AY207" s="234">
        <v>0</v>
      </c>
      <c r="AZ207" s="87">
        <v>0</v>
      </c>
      <c r="BA207" s="87">
        <v>0</v>
      </c>
      <c r="BB207" s="87">
        <v>0</v>
      </c>
      <c r="BC207" s="87">
        <v>0</v>
      </c>
      <c r="BD207" s="234">
        <f t="shared" si="734"/>
        <v>0</v>
      </c>
      <c r="BE207" s="87">
        <v>0</v>
      </c>
      <c r="BF207" s="87">
        <v>0</v>
      </c>
      <c r="BG207" s="87">
        <v>0</v>
      </c>
      <c r="BH207" s="87">
        <v>0</v>
      </c>
      <c r="BI207" s="234">
        <f t="shared" si="735"/>
        <v>0</v>
      </c>
      <c r="BJ207" s="87">
        <v>0</v>
      </c>
      <c r="BK207" s="87">
        <v>0</v>
      </c>
      <c r="BL207" s="87">
        <v>0</v>
      </c>
      <c r="BM207" s="87">
        <v>0</v>
      </c>
      <c r="BN207" s="360">
        <f t="shared" si="736"/>
        <v>0</v>
      </c>
      <c r="BO207" s="87"/>
      <c r="BP207" s="87"/>
      <c r="BQ207" s="87"/>
      <c r="BR207" s="87"/>
      <c r="BS207" s="234">
        <f t="shared" si="737"/>
        <v>0</v>
      </c>
      <c r="BT207" s="87"/>
      <c r="BU207" s="87"/>
      <c r="BV207" s="87"/>
      <c r="BW207" s="87"/>
      <c r="BX207" s="234"/>
      <c r="BY207" s="87"/>
      <c r="BZ207" s="87"/>
      <c r="CA207" s="87"/>
      <c r="CB207" s="87"/>
      <c r="CC207" s="234"/>
      <c r="CD207" s="87"/>
      <c r="CE207" s="87"/>
      <c r="CF207" s="87"/>
      <c r="CG207" s="87"/>
      <c r="CH207" s="234"/>
      <c r="CI207" s="87"/>
      <c r="CJ207" s="87"/>
      <c r="CK207" s="87"/>
      <c r="CL207" s="87"/>
      <c r="CM207" s="234"/>
      <c r="CN207" s="87"/>
      <c r="CO207" s="87"/>
      <c r="CP207" s="87"/>
      <c r="CQ207" s="87"/>
      <c r="CR207" s="234"/>
      <c r="CS207" s="87"/>
      <c r="CT207" s="87"/>
      <c r="CU207" s="87"/>
      <c r="CV207" s="87"/>
      <c r="CW207" s="234"/>
      <c r="CX207" s="87"/>
      <c r="CY207" s="87"/>
      <c r="CZ207" s="87"/>
      <c r="DA207" s="87"/>
      <c r="DB207" s="234"/>
      <c r="DC207" s="103"/>
      <c r="DD207" s="87"/>
      <c r="DE207" s="87"/>
      <c r="DF207" s="87"/>
      <c r="DG207" s="234"/>
      <c r="DH207" s="103"/>
      <c r="DI207" s="87"/>
      <c r="DJ207" s="87"/>
      <c r="DK207" s="87"/>
      <c r="DL207" s="234"/>
      <c r="DM207" s="87"/>
      <c r="DN207" s="536"/>
      <c r="DO207" s="486"/>
      <c r="DP207" s="411"/>
      <c r="DQ207" s="411"/>
      <c r="DR207" s="411"/>
      <c r="DS207" s="561"/>
      <c r="DT207" s="561"/>
      <c r="DU207" s="674"/>
      <c r="DV207" s="569"/>
      <c r="DW207" s="569"/>
      <c r="DX207" s="569"/>
      <c r="DY207" s="569"/>
      <c r="DZ207" s="465"/>
      <c r="EA207" s="536"/>
      <c r="EH207" s="8"/>
    </row>
    <row r="208" spans="1:138" ht="12.75" customHeight="1" x14ac:dyDescent="0.2">
      <c r="A208" s="102" t="s">
        <v>392</v>
      </c>
      <c r="B208" s="87"/>
      <c r="C208" s="87"/>
      <c r="D208" s="87"/>
      <c r="E208" s="87"/>
      <c r="F208" s="244"/>
      <c r="G208" s="87"/>
      <c r="H208" s="87"/>
      <c r="I208" s="87"/>
      <c r="J208" s="87"/>
      <c r="K208" s="244"/>
      <c r="L208" s="87">
        <f>(-40-28)*(1-0.35)</f>
        <v>-44.2</v>
      </c>
      <c r="M208" s="87">
        <f>-15-9</f>
        <v>-24</v>
      </c>
      <c r="N208" s="87">
        <f>6+22-11+8</f>
        <v>25</v>
      </c>
      <c r="O208" s="87">
        <f>-80-26-19-8-4-8+35</f>
        <v>-110</v>
      </c>
      <c r="P208" s="244">
        <f t="shared" si="731"/>
        <v>-153.19999999999999</v>
      </c>
      <c r="Q208" s="87">
        <f>-27-9-4</f>
        <v>-40</v>
      </c>
      <c r="R208" s="87">
        <f>(251+176-6)</f>
        <v>421</v>
      </c>
      <c r="S208" s="87">
        <f>(9-1)</f>
        <v>8</v>
      </c>
      <c r="T208" s="87">
        <f>-134+14+5</f>
        <v>-115</v>
      </c>
      <c r="U208" s="244">
        <f t="shared" si="732"/>
        <v>274</v>
      </c>
      <c r="V208" s="87">
        <v>0</v>
      </c>
      <c r="W208" s="87">
        <f>-1530-117</f>
        <v>-1647</v>
      </c>
      <c r="X208" s="87">
        <v>-53</v>
      </c>
      <c r="Y208" s="87">
        <f>-114</f>
        <v>-114</v>
      </c>
      <c r="Z208" s="244">
        <f>SUM(V208:Y208)</f>
        <v>-1814</v>
      </c>
      <c r="AA208" s="87">
        <v>0</v>
      </c>
      <c r="AB208" s="87">
        <f>-1530-117</f>
        <v>-1647</v>
      </c>
      <c r="AC208" s="87">
        <v>-53</v>
      </c>
      <c r="AD208" s="87">
        <f>-114</f>
        <v>-114</v>
      </c>
      <c r="AE208" s="244">
        <f>SUM(AA208:AD208)</f>
        <v>-1814</v>
      </c>
      <c r="AF208" s="87">
        <v>0</v>
      </c>
      <c r="AG208" s="87">
        <f>-1530-117</f>
        <v>-1647</v>
      </c>
      <c r="AH208" s="87">
        <v>-53</v>
      </c>
      <c r="AI208" s="87">
        <f>-114</f>
        <v>-114</v>
      </c>
      <c r="AJ208" s="244">
        <f>SUM(AF208:AI208)</f>
        <v>-1814</v>
      </c>
      <c r="AK208" s="87">
        <v>0</v>
      </c>
      <c r="AL208" s="87">
        <v>0</v>
      </c>
      <c r="AM208" s="87">
        <v>0</v>
      </c>
      <c r="AN208" s="87">
        <v>0</v>
      </c>
      <c r="AO208" s="244">
        <f t="shared" si="733"/>
        <v>0</v>
      </c>
      <c r="AP208" s="87"/>
      <c r="AQ208" s="87"/>
      <c r="AR208" s="87"/>
      <c r="AS208" s="87"/>
      <c r="AT208" s="234"/>
      <c r="AU208" s="87"/>
      <c r="AV208" s="87"/>
      <c r="AW208" s="87"/>
      <c r="AX208" s="87">
        <v>-8000.0285714286729</v>
      </c>
      <c r="AY208" s="234">
        <f>AX208</f>
        <v>-8000.0285714286729</v>
      </c>
      <c r="AZ208" s="87">
        <v>0</v>
      </c>
      <c r="BA208" s="87">
        <v>0</v>
      </c>
      <c r="BB208" s="87">
        <v>0</v>
      </c>
      <c r="BC208" s="87">
        <v>0</v>
      </c>
      <c r="BD208" s="234">
        <f t="shared" si="734"/>
        <v>0</v>
      </c>
      <c r="BE208" s="87">
        <v>0</v>
      </c>
      <c r="BF208" s="87">
        <v>0</v>
      </c>
      <c r="BG208" s="87">
        <v>0</v>
      </c>
      <c r="BH208" s="87">
        <v>0</v>
      </c>
      <c r="BI208" s="234">
        <f t="shared" si="735"/>
        <v>0</v>
      </c>
      <c r="BJ208" s="87">
        <v>0</v>
      </c>
      <c r="BK208" s="87">
        <v>0</v>
      </c>
      <c r="BL208" s="87">
        <v>0</v>
      </c>
      <c r="BM208" s="87">
        <v>0</v>
      </c>
      <c r="BN208" s="360">
        <f t="shared" si="736"/>
        <v>0</v>
      </c>
      <c r="BO208" s="87"/>
      <c r="BP208" s="87"/>
      <c r="BQ208" s="87"/>
      <c r="BR208" s="87"/>
      <c r="BS208" s="234">
        <f t="shared" si="737"/>
        <v>0</v>
      </c>
      <c r="BT208" s="87"/>
      <c r="BU208" s="87"/>
      <c r="BV208" s="87"/>
      <c r="BW208" s="87"/>
      <c r="BX208" s="234"/>
      <c r="BY208" s="87"/>
      <c r="BZ208" s="87"/>
      <c r="CA208" s="87"/>
      <c r="CB208" s="87"/>
      <c r="CC208" s="234"/>
      <c r="CD208" s="87"/>
      <c r="CE208" s="87"/>
      <c r="CF208" s="87"/>
      <c r="CG208" s="87"/>
      <c r="CH208" s="234"/>
      <c r="CI208" s="87"/>
      <c r="CJ208" s="87"/>
      <c r="CK208" s="87"/>
      <c r="CL208" s="87"/>
      <c r="CM208" s="234"/>
      <c r="CN208" s="87"/>
      <c r="CO208" s="87"/>
      <c r="CP208" s="87"/>
      <c r="CQ208" s="87"/>
      <c r="CR208" s="234"/>
      <c r="CS208" s="87"/>
      <c r="CT208" s="87"/>
      <c r="CU208" s="87"/>
      <c r="CV208" s="87"/>
      <c r="CW208" s="234"/>
      <c r="CX208" s="87"/>
      <c r="CY208" s="87"/>
      <c r="CZ208" s="87"/>
      <c r="DA208" s="87"/>
      <c r="DB208" s="234"/>
      <c r="DC208" s="103"/>
      <c r="DD208" s="87"/>
      <c r="DE208" s="87"/>
      <c r="DF208" s="87"/>
      <c r="DG208" s="234"/>
      <c r="DH208" s="103"/>
      <c r="DI208" s="87"/>
      <c r="DJ208" s="87"/>
      <c r="DK208" s="87"/>
      <c r="DL208" s="234"/>
      <c r="DM208" s="87"/>
      <c r="DN208" s="536"/>
      <c r="DO208" s="486"/>
      <c r="DP208" s="411"/>
      <c r="DQ208" s="411"/>
      <c r="DR208" s="411"/>
      <c r="DS208" s="561"/>
      <c r="DT208" s="561"/>
      <c r="DU208" s="674"/>
      <c r="DV208" s="672"/>
      <c r="DW208" s="674"/>
      <c r="DX208" s="673"/>
      <c r="DY208" s="465"/>
      <c r="DZ208" s="465"/>
      <c r="EA208" s="536"/>
      <c r="EH208" s="8"/>
    </row>
    <row r="209" spans="1:138" ht="12.75" customHeight="1" x14ac:dyDescent="0.2">
      <c r="A209" s="104" t="s">
        <v>115</v>
      </c>
      <c r="B209" s="105"/>
      <c r="C209" s="105"/>
      <c r="D209" s="105"/>
      <c r="E209" s="105"/>
      <c r="F209" s="245"/>
      <c r="G209" s="105"/>
      <c r="H209" s="105"/>
      <c r="I209" s="105"/>
      <c r="J209" s="105"/>
      <c r="K209" s="245"/>
      <c r="L209" s="105">
        <f>SUM(L205:L208)</f>
        <v>-44.2</v>
      </c>
      <c r="M209" s="105">
        <f>SUM(M205:M208)</f>
        <v>-24</v>
      </c>
      <c r="N209" s="105">
        <f>SUM(N205:N208)</f>
        <v>-114</v>
      </c>
      <c r="O209" s="105">
        <f>SUM(O205:O208)</f>
        <v>-133</v>
      </c>
      <c r="P209" s="245">
        <f t="shared" si="731"/>
        <v>-315.2</v>
      </c>
      <c r="Q209" s="105">
        <f>SUM(Q205:Q208)</f>
        <v>-40</v>
      </c>
      <c r="R209" s="105">
        <f>SUM(R205:R208)</f>
        <v>421</v>
      </c>
      <c r="S209" s="105">
        <f>SUM(S205:S208)</f>
        <v>8</v>
      </c>
      <c r="T209" s="105">
        <f>SUM(T205:T208)</f>
        <v>-120</v>
      </c>
      <c r="U209" s="245">
        <f t="shared" si="732"/>
        <v>269</v>
      </c>
      <c r="V209" s="105">
        <f>SUM(V205:V208)</f>
        <v>0</v>
      </c>
      <c r="W209" s="105">
        <f>SUM(W205:W208)</f>
        <v>-1647</v>
      </c>
      <c r="X209" s="105">
        <f>SUM(X205:X208)</f>
        <v>-53</v>
      </c>
      <c r="Y209" s="105">
        <f>SUM(Y205:Y208)</f>
        <v>1426</v>
      </c>
      <c r="Z209" s="245">
        <f>SUM(Z205:Z208)</f>
        <v>-274</v>
      </c>
      <c r="AA209" s="105">
        <f t="shared" ref="AA209:AN209" si="738">SUM(AA205:AA208)</f>
        <v>0</v>
      </c>
      <c r="AB209" s="105">
        <f t="shared" si="738"/>
        <v>-1647</v>
      </c>
      <c r="AC209" s="105">
        <f t="shared" si="738"/>
        <v>-53</v>
      </c>
      <c r="AD209" s="105">
        <f t="shared" si="738"/>
        <v>1426</v>
      </c>
      <c r="AE209" s="245">
        <f t="shared" si="738"/>
        <v>-274</v>
      </c>
      <c r="AF209" s="105">
        <f t="shared" si="738"/>
        <v>0</v>
      </c>
      <c r="AG209" s="105">
        <f t="shared" si="738"/>
        <v>-1647</v>
      </c>
      <c r="AH209" s="105">
        <f t="shared" si="738"/>
        <v>-53</v>
      </c>
      <c r="AI209" s="105">
        <f t="shared" si="738"/>
        <v>1426</v>
      </c>
      <c r="AJ209" s="245">
        <f>SUM(AF209:AI209)</f>
        <v>-274</v>
      </c>
      <c r="AK209" s="105">
        <f t="shared" si="738"/>
        <v>0</v>
      </c>
      <c r="AL209" s="105">
        <f t="shared" si="738"/>
        <v>0</v>
      </c>
      <c r="AM209" s="105">
        <f t="shared" si="738"/>
        <v>0</v>
      </c>
      <c r="AN209" s="105">
        <f t="shared" si="738"/>
        <v>0</v>
      </c>
      <c r="AO209" s="245">
        <f t="shared" si="733"/>
        <v>0</v>
      </c>
      <c r="AP209" s="105"/>
      <c r="AQ209" s="105"/>
      <c r="AR209" s="105"/>
      <c r="AS209" s="105"/>
      <c r="AT209" s="296"/>
      <c r="AU209" s="105">
        <f t="shared" ref="AU209:BC209" si="739">SUM(AU205:AU208)</f>
        <v>0</v>
      </c>
      <c r="AV209" s="105">
        <f t="shared" si="739"/>
        <v>0</v>
      </c>
      <c r="AW209" s="105">
        <f t="shared" si="739"/>
        <v>0</v>
      </c>
      <c r="AX209" s="105">
        <f t="shared" si="739"/>
        <v>-8000.0285714286729</v>
      </c>
      <c r="AY209" s="296">
        <f t="shared" si="739"/>
        <v>-8000.0285714286729</v>
      </c>
      <c r="AZ209" s="105">
        <f t="shared" si="739"/>
        <v>0</v>
      </c>
      <c r="BA209" s="105">
        <f t="shared" si="739"/>
        <v>0</v>
      </c>
      <c r="BB209" s="105">
        <f t="shared" si="739"/>
        <v>0</v>
      </c>
      <c r="BC209" s="105">
        <f t="shared" si="739"/>
        <v>0</v>
      </c>
      <c r="BD209" s="296">
        <f t="shared" si="734"/>
        <v>0</v>
      </c>
      <c r="BE209" s="105">
        <f>SUM(BE205:BE208)</f>
        <v>0</v>
      </c>
      <c r="BF209" s="105">
        <f>SUM(BF205:BF208)</f>
        <v>0</v>
      </c>
      <c r="BG209" s="105">
        <f>SUM(BG205:BG208)</f>
        <v>0</v>
      </c>
      <c r="BH209" s="105">
        <f>SUM(BH205:BH208)</f>
        <v>0</v>
      </c>
      <c r="BI209" s="296">
        <f t="shared" si="735"/>
        <v>0</v>
      </c>
      <c r="BJ209" s="105">
        <f>SUM(BJ205:BJ208)</f>
        <v>0</v>
      </c>
      <c r="BK209" s="105">
        <f>SUM(BK205:BK208)</f>
        <v>0</v>
      </c>
      <c r="BL209" s="105">
        <f>SUM(BL205:BL208)</f>
        <v>0</v>
      </c>
      <c r="BM209" s="105">
        <f>SUM(BM205:BM208)</f>
        <v>0</v>
      </c>
      <c r="BN209" s="361">
        <f t="shared" si="736"/>
        <v>0</v>
      </c>
      <c r="BO209" s="105">
        <f t="shared" ref="BO209:BY209" si="740">SUM(BO205:BO208)</f>
        <v>0</v>
      </c>
      <c r="BP209" s="105">
        <f t="shared" si="740"/>
        <v>0</v>
      </c>
      <c r="BQ209" s="105">
        <f t="shared" si="740"/>
        <v>0</v>
      </c>
      <c r="BR209" s="105">
        <f t="shared" si="740"/>
        <v>0</v>
      </c>
      <c r="BS209" s="296">
        <f t="shared" si="737"/>
        <v>0</v>
      </c>
      <c r="BT209" s="105">
        <f t="shared" si="740"/>
        <v>0</v>
      </c>
      <c r="BU209" s="105">
        <f t="shared" si="740"/>
        <v>0</v>
      </c>
      <c r="BV209" s="105">
        <f t="shared" si="740"/>
        <v>0</v>
      </c>
      <c r="BW209" s="105">
        <f t="shared" si="740"/>
        <v>0</v>
      </c>
      <c r="BX209" s="296">
        <f t="shared" si="740"/>
        <v>0</v>
      </c>
      <c r="BY209" s="105">
        <f t="shared" si="740"/>
        <v>0</v>
      </c>
      <c r="BZ209" s="105">
        <f t="shared" ref="BZ209:CF209" si="741">SUM(BZ205:BZ208)</f>
        <v>0</v>
      </c>
      <c r="CA209" s="105">
        <f t="shared" si="741"/>
        <v>0</v>
      </c>
      <c r="CB209" s="105">
        <f t="shared" si="741"/>
        <v>0</v>
      </c>
      <c r="CC209" s="296">
        <f t="shared" si="741"/>
        <v>0</v>
      </c>
      <c r="CD209" s="105">
        <f t="shared" si="741"/>
        <v>0</v>
      </c>
      <c r="CE209" s="105">
        <f t="shared" si="741"/>
        <v>0</v>
      </c>
      <c r="CF209" s="105">
        <f t="shared" si="741"/>
        <v>0</v>
      </c>
      <c r="CG209" s="105">
        <f t="shared" ref="CG209:CK209" si="742">SUM(CG205:CG208)</f>
        <v>0</v>
      </c>
      <c r="CH209" s="296">
        <f t="shared" si="742"/>
        <v>0</v>
      </c>
      <c r="CI209" s="105">
        <f t="shared" si="742"/>
        <v>0</v>
      </c>
      <c r="CJ209" s="105">
        <f t="shared" si="742"/>
        <v>0</v>
      </c>
      <c r="CK209" s="105">
        <f t="shared" si="742"/>
        <v>0</v>
      </c>
      <c r="CL209" s="105">
        <f t="shared" ref="CL209:CP209" si="743">SUM(CL205:CL208)</f>
        <v>0</v>
      </c>
      <c r="CM209" s="296">
        <f t="shared" si="743"/>
        <v>0</v>
      </c>
      <c r="CN209" s="105">
        <f t="shared" si="743"/>
        <v>0</v>
      </c>
      <c r="CO209" s="105">
        <f t="shared" si="743"/>
        <v>0</v>
      </c>
      <c r="CP209" s="105">
        <f t="shared" si="743"/>
        <v>0</v>
      </c>
      <c r="CQ209" s="105">
        <f t="shared" ref="CQ209:CU209" si="744">SUM(CQ205:CQ208)</f>
        <v>0</v>
      </c>
      <c r="CR209" s="296">
        <f t="shared" si="744"/>
        <v>0</v>
      </c>
      <c r="CS209" s="105">
        <f t="shared" si="744"/>
        <v>0</v>
      </c>
      <c r="CT209" s="105">
        <f t="shared" si="744"/>
        <v>0</v>
      </c>
      <c r="CU209" s="105">
        <f t="shared" si="744"/>
        <v>0</v>
      </c>
      <c r="CV209" s="105">
        <f t="shared" ref="CV209:CX209" si="745">SUM(CV205:CV208)</f>
        <v>0</v>
      </c>
      <c r="CW209" s="296">
        <f t="shared" si="745"/>
        <v>0</v>
      </c>
      <c r="CX209" s="105">
        <f t="shared" si="745"/>
        <v>0</v>
      </c>
      <c r="CY209" s="105">
        <f t="shared" ref="CY209:DA209" si="746">SUM(CY205:CY208)</f>
        <v>0</v>
      </c>
      <c r="CZ209" s="105">
        <f t="shared" si="746"/>
        <v>0</v>
      </c>
      <c r="DA209" s="105">
        <f t="shared" si="746"/>
        <v>0</v>
      </c>
      <c r="DB209" s="296">
        <f>SUM(DB205:DB208)</f>
        <v>0</v>
      </c>
      <c r="DC209" s="105"/>
      <c r="DD209" s="105"/>
      <c r="DE209" s="105"/>
      <c r="DF209" s="105"/>
      <c r="DG209" s="296">
        <f>SUM(DG205:DG208)</f>
        <v>0</v>
      </c>
      <c r="DH209" s="105"/>
      <c r="DI209" s="105"/>
      <c r="DJ209" s="105"/>
      <c r="DK209" s="105"/>
      <c r="DL209" s="296">
        <f>SUM(DL205:DL208)</f>
        <v>0</v>
      </c>
      <c r="DM209" s="87"/>
      <c r="DN209" s="536"/>
      <c r="DO209" s="486"/>
      <c r="DP209" s="411"/>
      <c r="DQ209" s="411"/>
      <c r="DR209" s="411"/>
      <c r="DS209" s="561"/>
      <c r="DT209" s="561"/>
      <c r="DU209" s="674"/>
      <c r="DV209" s="674"/>
      <c r="DW209" s="674"/>
      <c r="DX209" s="674"/>
      <c r="DY209" s="674"/>
      <c r="DZ209" s="465"/>
      <c r="EA209" s="536"/>
      <c r="EH209" s="8"/>
    </row>
    <row r="210" spans="1:138" ht="12.75" customHeight="1" x14ac:dyDescent="0.2">
      <c r="A210" s="106" t="s">
        <v>157</v>
      </c>
      <c r="B210" s="107"/>
      <c r="C210" s="107"/>
      <c r="D210" s="107"/>
      <c r="E210" s="107"/>
      <c r="F210" s="246"/>
      <c r="G210" s="107"/>
      <c r="H210" s="107"/>
      <c r="I210" s="107"/>
      <c r="J210" s="107"/>
      <c r="K210" s="246"/>
      <c r="L210" s="107"/>
      <c r="M210" s="107"/>
      <c r="N210" s="107"/>
      <c r="O210" s="107"/>
      <c r="P210" s="246"/>
      <c r="Q210" s="107"/>
      <c r="R210" s="107"/>
      <c r="S210" s="107"/>
      <c r="T210" s="107"/>
      <c r="U210" s="246"/>
      <c r="V210" s="107"/>
      <c r="W210" s="107"/>
      <c r="X210" s="107"/>
      <c r="Y210" s="107"/>
      <c r="Z210" s="246"/>
      <c r="AA210" s="107"/>
      <c r="AB210" s="107"/>
      <c r="AC210" s="107"/>
      <c r="AD210" s="107"/>
      <c r="AE210" s="246"/>
      <c r="AF210" s="107"/>
      <c r="AG210" s="107"/>
      <c r="AH210" s="107"/>
      <c r="AI210" s="107"/>
      <c r="AJ210" s="246"/>
      <c r="AK210" s="107"/>
      <c r="AL210" s="107"/>
      <c r="AM210" s="107"/>
      <c r="AN210" s="107"/>
      <c r="AO210" s="246"/>
      <c r="AP210" s="107"/>
      <c r="AQ210" s="107"/>
      <c r="AR210" s="107"/>
      <c r="AS210" s="107"/>
      <c r="AT210" s="297"/>
      <c r="AU210" s="107"/>
      <c r="AV210" s="107"/>
      <c r="AW210" s="107"/>
      <c r="AX210" s="107"/>
      <c r="AY210" s="297"/>
      <c r="AZ210" s="107"/>
      <c r="BA210" s="107"/>
      <c r="BB210" s="107"/>
      <c r="BC210" s="107"/>
      <c r="BD210" s="297"/>
      <c r="BE210" s="107"/>
      <c r="BF210" s="107"/>
      <c r="BG210" s="107"/>
      <c r="BH210" s="107"/>
      <c r="BI210" s="297"/>
      <c r="BJ210" s="107"/>
      <c r="BK210" s="107"/>
      <c r="BL210" s="107"/>
      <c r="BM210" s="107"/>
      <c r="BN210" s="362"/>
      <c r="BO210" s="107"/>
      <c r="BP210" s="107"/>
      <c r="BQ210" s="107"/>
      <c r="BR210" s="107"/>
      <c r="BS210" s="297"/>
      <c r="BT210" s="107"/>
      <c r="BU210" s="107"/>
      <c r="BV210" s="107"/>
      <c r="BW210" s="107"/>
      <c r="BX210" s="297"/>
      <c r="BY210" s="107"/>
      <c r="BZ210" s="107"/>
      <c r="CA210" s="107"/>
      <c r="CB210" s="107"/>
      <c r="CC210" s="297"/>
      <c r="CD210" s="107"/>
      <c r="CE210" s="107"/>
      <c r="CF210" s="107"/>
      <c r="CG210" s="107"/>
      <c r="CH210" s="297"/>
      <c r="CI210" s="107"/>
      <c r="CJ210" s="107"/>
      <c r="CK210" s="107"/>
      <c r="CL210" s="107"/>
      <c r="CM210" s="297"/>
      <c r="CN210" s="107"/>
      <c r="CO210" s="107"/>
      <c r="CP210" s="107"/>
      <c r="CQ210" s="107"/>
      <c r="CR210" s="297"/>
      <c r="CS210" s="107"/>
      <c r="CT210" s="107"/>
      <c r="CU210" s="107"/>
      <c r="CV210" s="107"/>
      <c r="CW210" s="297"/>
      <c r="CX210" s="107"/>
      <c r="CY210" s="107"/>
      <c r="CZ210" s="107"/>
      <c r="DA210" s="107"/>
      <c r="DB210" s="297"/>
      <c r="DC210" s="107"/>
      <c r="DD210" s="107"/>
      <c r="DE210" s="107"/>
      <c r="DF210" s="107"/>
      <c r="DG210" s="297"/>
      <c r="DH210" s="107"/>
      <c r="DI210" s="107"/>
      <c r="DJ210" s="107"/>
      <c r="DK210" s="107"/>
      <c r="DL210" s="297"/>
      <c r="DM210" s="107"/>
      <c r="DN210" s="537"/>
      <c r="DO210" s="486"/>
      <c r="DP210" s="411"/>
      <c r="DQ210" s="411"/>
      <c r="DR210" s="411"/>
      <c r="DS210" s="561"/>
      <c r="DT210" s="561"/>
      <c r="DU210" s="674"/>
      <c r="DV210" s="674"/>
      <c r="DW210" s="674"/>
      <c r="DX210" s="674"/>
      <c r="DY210" s="674"/>
      <c r="DZ210" s="807"/>
      <c r="EA210" s="537"/>
      <c r="EH210" s="8"/>
    </row>
    <row r="211" spans="1:138" ht="12.75" customHeight="1" x14ac:dyDescent="0.2">
      <c r="A211" s="102" t="s">
        <v>431</v>
      </c>
      <c r="B211" s="87"/>
      <c r="C211" s="87"/>
      <c r="D211" s="87"/>
      <c r="E211" s="87"/>
      <c r="F211" s="244">
        <f>F204+F183</f>
        <v>842.73605999999995</v>
      </c>
      <c r="G211" s="87"/>
      <c r="H211" s="87"/>
      <c r="I211" s="87"/>
      <c r="J211" s="87"/>
      <c r="K211" s="244">
        <f>K204+K183</f>
        <v>-1217.6120599999999</v>
      </c>
      <c r="L211" s="87">
        <f>L209+L184</f>
        <v>-47.095069942552989</v>
      </c>
      <c r="M211" s="87">
        <f t="shared" ref="M211:AJ211" si="747">M209+M183</f>
        <v>-189.24908823599998</v>
      </c>
      <c r="N211" s="87">
        <f t="shared" si="747"/>
        <v>-329.75400000000002</v>
      </c>
      <c r="O211" s="87">
        <f t="shared" si="747"/>
        <v>-367.38019999999995</v>
      </c>
      <c r="P211" s="244">
        <f t="shared" si="747"/>
        <v>-1287.383288236</v>
      </c>
      <c r="Q211" s="87">
        <f t="shared" si="747"/>
        <v>-469.94159999999999</v>
      </c>
      <c r="R211" s="87">
        <f t="shared" si="747"/>
        <v>180.20062500000017</v>
      </c>
      <c r="S211" s="87">
        <f t="shared" si="747"/>
        <v>-168.74800000000005</v>
      </c>
      <c r="T211" s="87">
        <f t="shared" si="747"/>
        <v>-331.14053999999999</v>
      </c>
      <c r="U211" s="244">
        <f t="shared" si="747"/>
        <v>-789.62951499999986</v>
      </c>
      <c r="V211" s="87">
        <f t="shared" si="747"/>
        <v>-387</v>
      </c>
      <c r="W211" s="87">
        <f t="shared" si="747"/>
        <v>-3498</v>
      </c>
      <c r="X211" s="87">
        <f t="shared" si="747"/>
        <v>-650</v>
      </c>
      <c r="Y211" s="87">
        <f t="shared" si="747"/>
        <v>878</v>
      </c>
      <c r="Z211" s="244">
        <f t="shared" si="747"/>
        <v>-3657</v>
      </c>
      <c r="AA211" s="87">
        <f t="shared" si="747"/>
        <v>-545</v>
      </c>
      <c r="AB211" s="87">
        <f t="shared" si="747"/>
        <v>-1939</v>
      </c>
      <c r="AC211" s="87">
        <f t="shared" si="747"/>
        <v>-495</v>
      </c>
      <c r="AD211" s="87">
        <f t="shared" si="747"/>
        <v>641</v>
      </c>
      <c r="AE211" s="244">
        <f t="shared" si="747"/>
        <v>-2338</v>
      </c>
      <c r="AF211" s="87">
        <f t="shared" si="747"/>
        <v>-668</v>
      </c>
      <c r="AG211" s="87">
        <f t="shared" si="747"/>
        <v>-1472</v>
      </c>
      <c r="AH211" s="87">
        <f t="shared" si="747"/>
        <v>-103</v>
      </c>
      <c r="AI211" s="87">
        <f t="shared" si="747"/>
        <v>1966</v>
      </c>
      <c r="AJ211" s="244">
        <f t="shared" si="747"/>
        <v>-277</v>
      </c>
      <c r="AK211" s="87">
        <f>AK204+AK183</f>
        <v>-130</v>
      </c>
      <c r="AL211" s="87">
        <f>AL204+AL183</f>
        <v>1605</v>
      </c>
      <c r="AM211" s="87">
        <f>AM209+AM183</f>
        <v>220</v>
      </c>
      <c r="AN211" s="87">
        <f>AN209+AN183</f>
        <v>-70</v>
      </c>
      <c r="AO211" s="244">
        <f>AO204+AO183</f>
        <v>1625</v>
      </c>
      <c r="AP211" s="87"/>
      <c r="AQ211" s="87"/>
      <c r="AR211" s="87"/>
      <c r="AS211" s="87"/>
      <c r="AT211" s="234"/>
      <c r="AU211" s="87">
        <f>AU183+AU182+AU204</f>
        <v>-489</v>
      </c>
      <c r="AV211" s="87">
        <f>AV183+AV182+AV204</f>
        <v>83</v>
      </c>
      <c r="AW211" s="87">
        <f>AW183+AW182+AW204</f>
        <v>-89.180327868852459</v>
      </c>
      <c r="AX211" s="87">
        <f>AX183+AX182+AX204</f>
        <v>-534</v>
      </c>
      <c r="AY211" s="234">
        <f>AY183+AY182+AY204+AY209</f>
        <v>-9029.2088992975259</v>
      </c>
      <c r="AZ211" s="87">
        <f t="shared" ref="AZ211:BN211" si="748">AZ183+AZ182+AZ204</f>
        <v>-792</v>
      </c>
      <c r="BA211" s="87">
        <f t="shared" si="748"/>
        <v>-257</v>
      </c>
      <c r="BB211" s="87">
        <f t="shared" si="748"/>
        <v>-161</v>
      </c>
      <c r="BC211" s="87">
        <f t="shared" si="748"/>
        <v>-25</v>
      </c>
      <c r="BD211" s="234">
        <f t="shared" si="748"/>
        <v>-1235</v>
      </c>
      <c r="BE211" s="87">
        <f t="shared" si="748"/>
        <v>-256</v>
      </c>
      <c r="BF211" s="87">
        <f t="shared" si="748"/>
        <v>469.05999999999949</v>
      </c>
      <c r="BG211" s="87">
        <f t="shared" si="748"/>
        <v>363</v>
      </c>
      <c r="BH211" s="87">
        <f t="shared" si="748"/>
        <v>19</v>
      </c>
      <c r="BI211" s="234">
        <f t="shared" si="748"/>
        <v>595.05999999999949</v>
      </c>
      <c r="BJ211" s="87">
        <f t="shared" si="748"/>
        <v>-318</v>
      </c>
      <c r="BK211" s="87">
        <f t="shared" si="748"/>
        <v>198</v>
      </c>
      <c r="BL211" s="87">
        <f>BL183+BL182+BL204</f>
        <v>549</v>
      </c>
      <c r="BM211" s="87">
        <f>BM183+BM182+BM204</f>
        <v>425</v>
      </c>
      <c r="BN211" s="360">
        <f t="shared" si="748"/>
        <v>854</v>
      </c>
      <c r="BO211" s="87">
        <f t="shared" ref="BO211:BX211" si="749">BO183+BO182+BO204</f>
        <v>124</v>
      </c>
      <c r="BP211" s="87">
        <f t="shared" si="749"/>
        <v>-168</v>
      </c>
      <c r="BQ211" s="87">
        <f t="shared" si="749"/>
        <v>1047</v>
      </c>
      <c r="BR211" s="87">
        <f>BR183+BR182+BR204</f>
        <v>7.2479338842975096</v>
      </c>
      <c r="BS211" s="234">
        <f t="shared" si="749"/>
        <v>1010.2479338842975</v>
      </c>
      <c r="BT211" s="87">
        <f>BT183+BT182+BT204</f>
        <v>7</v>
      </c>
      <c r="BU211" s="87">
        <f>BU183+BU182+BU204</f>
        <v>685</v>
      </c>
      <c r="BV211" s="87">
        <f t="shared" si="749"/>
        <v>1369</v>
      </c>
      <c r="BW211" s="87">
        <f>BW183+BW182+BW204</f>
        <v>8479</v>
      </c>
      <c r="BX211" s="234">
        <f t="shared" si="749"/>
        <v>10540</v>
      </c>
      <c r="BY211" s="87">
        <f t="shared" ref="BY211:CF211" si="750">BY183+BY182+BY204</f>
        <v>213</v>
      </c>
      <c r="BZ211" s="87">
        <f t="shared" si="750"/>
        <v>801</v>
      </c>
      <c r="CA211" s="87">
        <f t="shared" si="750"/>
        <v>357</v>
      </c>
      <c r="CB211" s="87">
        <f>CB183+CB182+CB204</f>
        <v>-712</v>
      </c>
      <c r="CC211" s="234">
        <f>CC183+CC182+CC204</f>
        <v>659</v>
      </c>
      <c r="CD211" s="87">
        <f t="shared" si="750"/>
        <v>746</v>
      </c>
      <c r="CE211" s="87">
        <f t="shared" si="750"/>
        <v>1027</v>
      </c>
      <c r="CF211" s="87">
        <f t="shared" si="750"/>
        <v>1384</v>
      </c>
      <c r="CG211" s="87">
        <f>CG183+CG182+CG204</f>
        <v>980</v>
      </c>
      <c r="CH211" s="234">
        <f t="shared" ref="CH211:CK211" si="751">CH183+CH182+CH204</f>
        <v>4137</v>
      </c>
      <c r="CI211" s="87">
        <f t="shared" si="751"/>
        <v>946</v>
      </c>
      <c r="CJ211" s="87">
        <f t="shared" si="751"/>
        <v>1124</v>
      </c>
      <c r="CK211" s="87">
        <f t="shared" si="751"/>
        <v>1263</v>
      </c>
      <c r="CL211" s="87">
        <f>CL183+CL182+CL204</f>
        <v>604</v>
      </c>
      <c r="CM211" s="234">
        <f t="shared" ref="CM211:CP211" si="752">CM183+CM182+CM204</f>
        <v>3937</v>
      </c>
      <c r="CN211" s="87">
        <f t="shared" si="752"/>
        <v>603</v>
      </c>
      <c r="CO211" s="87">
        <f t="shared" si="752"/>
        <v>1224.49</v>
      </c>
      <c r="CP211" s="87">
        <f t="shared" si="752"/>
        <v>1178</v>
      </c>
      <c r="CQ211" s="87">
        <f>CQ183+CQ182+CQ204</f>
        <v>572</v>
      </c>
      <c r="CR211" s="234">
        <f t="shared" ref="CR211:CU211" si="753">CR183+CR182+CR204</f>
        <v>3577.49</v>
      </c>
      <c r="CS211" s="87">
        <f t="shared" si="753"/>
        <v>561</v>
      </c>
      <c r="CT211" s="87">
        <f t="shared" si="753"/>
        <v>1186.49</v>
      </c>
      <c r="CU211" s="87">
        <f t="shared" si="753"/>
        <v>1159</v>
      </c>
      <c r="CV211" s="87">
        <f>CV183+CV182+CV204</f>
        <v>543</v>
      </c>
      <c r="CW211" s="234">
        <f t="shared" ref="CW211:CX211" si="754">CW183+CW182+CW204</f>
        <v>3449.49</v>
      </c>
      <c r="CX211" s="87">
        <f t="shared" si="754"/>
        <v>547</v>
      </c>
      <c r="CY211" s="87">
        <f t="shared" ref="CY211:DA211" si="755">CY183+CY182+CY204</f>
        <v>1342.3347241300801</v>
      </c>
      <c r="CZ211" s="87">
        <f t="shared" si="755"/>
        <v>1286.4495780866832</v>
      </c>
      <c r="DA211" s="87">
        <f t="shared" si="755"/>
        <v>1022.0947214270267</v>
      </c>
      <c r="DB211" s="234">
        <f>DB183+DB182+DB204</f>
        <v>4197.8790236437899</v>
      </c>
      <c r="DC211" s="87"/>
      <c r="DD211" s="87"/>
      <c r="DE211" s="87"/>
      <c r="DF211" s="87"/>
      <c r="DG211" s="234">
        <f>DG183+DG182+DG204</f>
        <v>4486.5279155809185</v>
      </c>
      <c r="DH211" s="87"/>
      <c r="DI211" s="87"/>
      <c r="DJ211" s="87"/>
      <c r="DK211" s="87"/>
      <c r="DL211" s="234">
        <f>DL183+DL182+DL204</f>
        <v>4917.420143323794</v>
      </c>
      <c r="DM211" s="87"/>
      <c r="DN211" s="536"/>
      <c r="DO211" s="486"/>
      <c r="DP211" s="411"/>
      <c r="DQ211" s="411"/>
      <c r="DR211" s="411"/>
      <c r="DS211" s="570"/>
      <c r="DT211" s="561"/>
      <c r="DU211" s="674"/>
      <c r="DV211" s="674"/>
      <c r="DW211" s="674"/>
      <c r="DX211" s="674"/>
      <c r="DY211" s="674"/>
      <c r="DZ211" s="808"/>
      <c r="EA211" s="536"/>
      <c r="EH211" s="8"/>
    </row>
    <row r="212" spans="1:138" ht="12.75" customHeight="1" x14ac:dyDescent="0.2">
      <c r="A212" s="108" t="s">
        <v>432</v>
      </c>
      <c r="B212" s="109"/>
      <c r="C212" s="109"/>
      <c r="D212" s="109"/>
      <c r="E212" s="109"/>
      <c r="F212" s="247">
        <f>F211/F189</f>
        <v>6.4468353330174528</v>
      </c>
      <c r="G212" s="109"/>
      <c r="H212" s="109"/>
      <c r="I212" s="109"/>
      <c r="J212" s="109"/>
      <c r="K212" s="247">
        <f t="shared" ref="K212:AO212" si="756">K211/K189</f>
        <v>-9.8846808965815338</v>
      </c>
      <c r="L212" s="109">
        <f t="shared" si="756"/>
        <v>-0.38212870356814926</v>
      </c>
      <c r="M212" s="109">
        <f t="shared" si="756"/>
        <v>-1.5355767730094203</v>
      </c>
      <c r="N212" s="109">
        <f t="shared" si="756"/>
        <v>-2.6746642008954646</v>
      </c>
      <c r="O212" s="109">
        <f t="shared" si="756"/>
        <v>-2.9781627458292119</v>
      </c>
      <c r="P212" s="247">
        <f t="shared" si="756"/>
        <v>-10.448085527794314</v>
      </c>
      <c r="Q212" s="109">
        <f t="shared" si="756"/>
        <v>-3.8095136186770429</v>
      </c>
      <c r="R212" s="109">
        <f t="shared" si="756"/>
        <v>1.4591143724696369</v>
      </c>
      <c r="S212" s="109">
        <f t="shared" si="756"/>
        <v>-1.3652750809061494</v>
      </c>
      <c r="T212" s="109">
        <f t="shared" si="756"/>
        <v>-2.681864522085621</v>
      </c>
      <c r="U212" s="247">
        <f t="shared" si="756"/>
        <v>-6.399803843273725</v>
      </c>
      <c r="V212" s="109">
        <f t="shared" si="756"/>
        <v>-3.1240141091778515</v>
      </c>
      <c r="W212" s="109">
        <f t="shared" si="756"/>
        <v>-28.053404796748872</v>
      </c>
      <c r="X212" s="109">
        <f t="shared" si="756"/>
        <v>-5.1525748355807428</v>
      </c>
      <c r="Y212" s="109">
        <f t="shared" si="756"/>
        <v>6.5841769778777657</v>
      </c>
      <c r="Z212" s="247">
        <f t="shared" si="756"/>
        <v>-28.795275590551181</v>
      </c>
      <c r="AA212" s="109">
        <f t="shared" si="756"/>
        <v>-3.8673325820726387</v>
      </c>
      <c r="AB212" s="109">
        <f t="shared" si="756"/>
        <v>-13.206613864049862</v>
      </c>
      <c r="AC212" s="109">
        <f t="shared" si="756"/>
        <v>-2.9388389847642391</v>
      </c>
      <c r="AD212" s="109">
        <f t="shared" si="756"/>
        <v>3.380801687763713</v>
      </c>
      <c r="AE212" s="247">
        <f t="shared" si="756"/>
        <v>-14.476780185758514</v>
      </c>
      <c r="AF212" s="109">
        <f t="shared" si="756"/>
        <v>-3.4450747808148527</v>
      </c>
      <c r="AG212" s="109">
        <f t="shared" si="756"/>
        <v>-7.4607197161682715</v>
      </c>
      <c r="AH212" s="109">
        <f t="shared" si="756"/>
        <v>-0.52204764318297003</v>
      </c>
      <c r="AI212" s="109">
        <f t="shared" si="756"/>
        <v>9.9645210339584391</v>
      </c>
      <c r="AJ212" s="247">
        <f t="shared" si="756"/>
        <v>-1.4100279969457878</v>
      </c>
      <c r="AK212" s="109">
        <f t="shared" si="756"/>
        <v>-0.33011681056373793</v>
      </c>
      <c r="AL212" s="109">
        <f t="shared" si="756"/>
        <v>4.0756729304215336</v>
      </c>
      <c r="AM212" s="109">
        <f t="shared" si="756"/>
        <v>0.55865921787709494</v>
      </c>
      <c r="AN212" s="109">
        <f t="shared" si="756"/>
        <v>-0.17725713698956988</v>
      </c>
      <c r="AO212" s="247">
        <f t="shared" si="756"/>
        <v>4.1235634674544031</v>
      </c>
      <c r="AP212" s="109"/>
      <c r="AQ212" s="109"/>
      <c r="AR212" s="109"/>
      <c r="AS212" s="109"/>
      <c r="AT212" s="298"/>
      <c r="AU212" s="109"/>
      <c r="AV212" s="109"/>
      <c r="AW212" s="109"/>
      <c r="AX212" s="109"/>
      <c r="AY212" s="298">
        <f t="shared" ref="AY212:BN212" si="757">AY211/AY189</f>
        <v>-11.133426509614706</v>
      </c>
      <c r="AZ212" s="109">
        <f t="shared" si="757"/>
        <v>-0.96</v>
      </c>
      <c r="BA212" s="109">
        <f t="shared" si="757"/>
        <v>-0.31076178960096734</v>
      </c>
      <c r="BB212" s="109">
        <f t="shared" si="757"/>
        <v>-0.19444444444444445</v>
      </c>
      <c r="BC212" s="109">
        <f t="shared" si="757"/>
        <v>-3.0120481927710843E-2</v>
      </c>
      <c r="BD212" s="298">
        <f t="shared" si="757"/>
        <v>-1.4924471299093656</v>
      </c>
      <c r="BE212" s="109">
        <f t="shared" si="757"/>
        <v>-0.30754444978375783</v>
      </c>
      <c r="BF212" s="109">
        <f t="shared" si="757"/>
        <v>0.55707838479809912</v>
      </c>
      <c r="BG212" s="109">
        <f t="shared" si="757"/>
        <v>0.43111638954869358</v>
      </c>
      <c r="BH212" s="109">
        <f t="shared" si="757"/>
        <v>2.2485207100591716E-2</v>
      </c>
      <c r="BI212" s="298">
        <f t="shared" si="757"/>
        <v>0.70810971618968221</v>
      </c>
      <c r="BJ212" s="109">
        <f t="shared" si="757"/>
        <v>-0.37992831541218636</v>
      </c>
      <c r="BK212" s="109">
        <f t="shared" si="757"/>
        <v>0.23459715639810427</v>
      </c>
      <c r="BL212" s="109">
        <f t="shared" si="757"/>
        <v>0.65047393364928907</v>
      </c>
      <c r="BM212" s="109">
        <f t="shared" si="757"/>
        <v>0.50295857988165682</v>
      </c>
      <c r="BN212" s="363">
        <f t="shared" si="757"/>
        <v>1.0136498516320476</v>
      </c>
      <c r="BO212" s="109">
        <f t="shared" ref="BO212:BY212" si="758">BO211/BO189</f>
        <v>0.14639905548996457</v>
      </c>
      <c r="BP212" s="109">
        <f t="shared" si="758"/>
        <v>-0.19881656804733727</v>
      </c>
      <c r="BQ212" s="109">
        <f t="shared" si="758"/>
        <v>1.2317647058823529</v>
      </c>
      <c r="BR212" s="109">
        <f t="shared" si="758"/>
        <v>8.5069646529313502E-3</v>
      </c>
      <c r="BS212" s="298">
        <f t="shared" si="758"/>
        <v>1.1906280894334678</v>
      </c>
      <c r="BT212" s="109">
        <f t="shared" si="758"/>
        <v>8.1871345029239772E-3</v>
      </c>
      <c r="BU212" s="109">
        <f t="shared" si="758"/>
        <v>0.79743888242142025</v>
      </c>
      <c r="BV212" s="109">
        <f t="shared" si="758"/>
        <v>1.5900116144018583</v>
      </c>
      <c r="BW212" s="109">
        <f t="shared" si="758"/>
        <v>9.8822843822843822</v>
      </c>
      <c r="BX212" s="298">
        <f t="shared" si="758"/>
        <v>12.280803961549665</v>
      </c>
      <c r="BY212" s="109">
        <f t="shared" si="758"/>
        <v>0.25058823529411767</v>
      </c>
      <c r="BZ212" s="109">
        <f t="shared" ref="BZ212:CF212" si="759">BZ211/BZ189</f>
        <v>0.94235294117647062</v>
      </c>
      <c r="CA212" s="109">
        <f t="shared" si="759"/>
        <v>0.42348754448398579</v>
      </c>
      <c r="CB212" s="109">
        <f t="shared" si="759"/>
        <v>-0.85269461077844311</v>
      </c>
      <c r="CC212" s="298">
        <f t="shared" si="759"/>
        <v>0.78034339846062761</v>
      </c>
      <c r="CD212" s="109">
        <f t="shared" si="759"/>
        <v>0.90314769975786924</v>
      </c>
      <c r="CE212" s="109">
        <f t="shared" si="759"/>
        <v>1.2663378545006165</v>
      </c>
      <c r="CF212" s="109">
        <f t="shared" si="759"/>
        <v>1.7408805031446541</v>
      </c>
      <c r="CG212" s="109">
        <f t="shared" ref="CG212:CK212" si="760">CG211/CG189</f>
        <v>1.2484076433121019</v>
      </c>
      <c r="CH212" s="298">
        <f t="shared" si="760"/>
        <v>5.1439229095430523</v>
      </c>
      <c r="CI212" s="109">
        <f t="shared" si="760"/>
        <v>1.2128205128205127</v>
      </c>
      <c r="CJ212" s="109">
        <f t="shared" si="760"/>
        <v>1.473132372214941</v>
      </c>
      <c r="CK212" s="109">
        <f t="shared" si="760"/>
        <v>1.6975806451612903</v>
      </c>
      <c r="CL212" s="109">
        <f t="shared" ref="CL212:CP212" si="761">CL211/CL189</f>
        <v>0.81953867028493899</v>
      </c>
      <c r="CM212" s="298">
        <f t="shared" si="761"/>
        <v>5.2076719576719572</v>
      </c>
      <c r="CN212" s="109">
        <f t="shared" si="761"/>
        <v>0.82489740082079344</v>
      </c>
      <c r="CO212" s="109">
        <f t="shared" si="761"/>
        <v>1.6750889192886458</v>
      </c>
      <c r="CP212" s="109">
        <f t="shared" si="761"/>
        <v>1.6383866481223923</v>
      </c>
      <c r="CQ212" s="109">
        <f t="shared" ref="CQ212:CU212" si="762">CQ211/CQ189</f>
        <v>0.79554937413073712</v>
      </c>
      <c r="CR212" s="298">
        <f t="shared" si="762"/>
        <v>4.9344689655172411</v>
      </c>
      <c r="CS212" s="109">
        <f t="shared" si="762"/>
        <v>0.76744186046511631</v>
      </c>
      <c r="CT212" s="109">
        <f t="shared" si="762"/>
        <v>1.6231053351573188</v>
      </c>
      <c r="CU212" s="109">
        <f t="shared" si="762"/>
        <v>1.611961057023644</v>
      </c>
      <c r="CV212" s="109">
        <f t="shared" ref="CV212:CX212" si="763">CV211/CV189</f>
        <v>0.75521557719054244</v>
      </c>
      <c r="CW212" s="298">
        <f t="shared" si="763"/>
        <v>4.7579172413793103</v>
      </c>
      <c r="CX212" s="109">
        <f t="shared" si="763"/>
        <v>0.77478753541076484</v>
      </c>
      <c r="CY212" s="109">
        <f t="shared" ref="CY212:DA212" si="764">CY211/CY189</f>
        <v>1.9156916593003903</v>
      </c>
      <c r="CZ212" s="109">
        <f t="shared" si="764"/>
        <v>1.8498096339161016</v>
      </c>
      <c r="DA212" s="109">
        <f t="shared" si="764"/>
        <v>1.4807948592263309</v>
      </c>
      <c r="DB212" s="298">
        <f>DB211/DB189</f>
        <v>6.0133164783278268</v>
      </c>
      <c r="DC212" s="109"/>
      <c r="DD212" s="109"/>
      <c r="DE212" s="109"/>
      <c r="DF212" s="109"/>
      <c r="DG212" s="298">
        <f>DG211/DG189</f>
        <v>6.7650484530494222</v>
      </c>
      <c r="DH212" s="109"/>
      <c r="DI212" s="109"/>
      <c r="DJ212" s="109"/>
      <c r="DK212" s="109"/>
      <c r="DL212" s="298">
        <f>DL211/DL189</f>
        <v>7.7237217545911481</v>
      </c>
      <c r="DM212" s="427"/>
      <c r="DN212" s="538"/>
      <c r="DO212" s="486"/>
      <c r="DP212" s="411"/>
      <c r="DQ212" s="411"/>
      <c r="DR212" s="411"/>
      <c r="DS212" s="561"/>
      <c r="DT212" s="561"/>
      <c r="DU212" s="674"/>
      <c r="DV212" s="674"/>
      <c r="DW212" s="674"/>
      <c r="DX212" s="674"/>
      <c r="DY212" s="674"/>
      <c r="DZ212" s="808"/>
      <c r="EA212" s="538"/>
      <c r="EH212" s="8"/>
    </row>
    <row r="213" spans="1:138" ht="12.75" hidden="1" customHeight="1" x14ac:dyDescent="0.2">
      <c r="A213" s="4" t="s">
        <v>301</v>
      </c>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231"/>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231"/>
      <c r="BT213" s="4"/>
      <c r="BU213" s="4"/>
      <c r="BV213" s="4"/>
      <c r="BW213" s="4"/>
      <c r="BX213" s="231"/>
      <c r="BY213" s="4"/>
      <c r="BZ213" s="4"/>
      <c r="CA213" s="4"/>
      <c r="CB213" s="4"/>
      <c r="CC213" s="433"/>
      <c r="CD213" s="4"/>
      <c r="CE213" s="4"/>
      <c r="CF213" s="4"/>
      <c r="CG213" s="4"/>
      <c r="CH213" s="433"/>
      <c r="CI213" s="4"/>
      <c r="CJ213" s="4"/>
      <c r="CK213" s="4"/>
      <c r="CL213" s="4"/>
      <c r="CM213" s="433"/>
      <c r="CN213" s="4"/>
      <c r="CO213" s="4"/>
      <c r="CP213" s="4"/>
      <c r="CQ213" s="4"/>
      <c r="CR213" s="433"/>
      <c r="CS213" s="4"/>
      <c r="CT213" s="4"/>
      <c r="CU213" s="4"/>
      <c r="CV213" s="4"/>
      <c r="CW213" s="433"/>
      <c r="CX213" s="4"/>
      <c r="CY213" s="4"/>
      <c r="CZ213" s="4"/>
      <c r="DA213" s="4"/>
      <c r="DB213" s="433"/>
      <c r="DC213" s="4"/>
      <c r="DD213" s="4"/>
      <c r="DE213" s="4"/>
      <c r="DF213" s="4"/>
      <c r="DG213" s="433"/>
      <c r="DH213" s="4"/>
      <c r="DI213" s="4"/>
      <c r="DJ213" s="4"/>
      <c r="DK213" s="4"/>
      <c r="DL213" s="433"/>
      <c r="DM213" s="413"/>
      <c r="DN213" s="4"/>
      <c r="DO213" s="487"/>
      <c r="DP213" s="413"/>
      <c r="DQ213" s="413"/>
      <c r="DR213" s="413"/>
      <c r="DS213" s="568"/>
      <c r="DT213" s="561"/>
      <c r="DU213" s="457"/>
      <c r="DV213" s="770">
        <v>2017</v>
      </c>
      <c r="DW213" s="673">
        <v>2018</v>
      </c>
      <c r="DX213" s="673">
        <v>2019</v>
      </c>
      <c r="DY213" s="673">
        <v>2020</v>
      </c>
      <c r="DZ213" s="809"/>
      <c r="EA213" s="4"/>
      <c r="EH213" s="4"/>
    </row>
    <row r="214" spans="1:138" ht="12.75" hidden="1" customHeight="1" x14ac:dyDescent="0.2">
      <c r="A214" s="5" t="s">
        <v>302</v>
      </c>
      <c r="B214" s="5"/>
      <c r="C214" s="5"/>
      <c r="D214" s="5"/>
      <c r="E214" s="5"/>
      <c r="F214" s="197"/>
      <c r="G214" s="5"/>
      <c r="H214" s="5"/>
      <c r="I214" s="5"/>
      <c r="J214" s="5"/>
      <c r="K214" s="197"/>
      <c r="L214" s="5"/>
      <c r="M214" s="5"/>
      <c r="N214" s="5"/>
      <c r="O214" s="5"/>
      <c r="P214" s="197"/>
      <c r="Q214" s="5"/>
      <c r="R214" s="5"/>
      <c r="S214" s="5"/>
      <c r="T214" s="5"/>
      <c r="U214" s="197"/>
      <c r="V214" s="5"/>
      <c r="W214" s="5"/>
      <c r="X214" s="5"/>
      <c r="Y214" s="5"/>
      <c r="Z214" s="197"/>
      <c r="AA214" s="5"/>
      <c r="AB214" s="5"/>
      <c r="AC214" s="5"/>
      <c r="AD214" s="5"/>
      <c r="AE214" s="197"/>
      <c r="AF214" s="5"/>
      <c r="AG214" s="5"/>
      <c r="AH214" s="5"/>
      <c r="AI214" s="5"/>
      <c r="AJ214" s="197"/>
      <c r="AK214" s="5"/>
      <c r="AL214" s="5"/>
      <c r="AM214" s="5"/>
      <c r="AN214" s="5"/>
      <c r="AO214" s="197"/>
      <c r="AP214" s="5"/>
      <c r="AQ214" s="5"/>
      <c r="AR214" s="5"/>
      <c r="AS214" s="5"/>
      <c r="AT214" s="197"/>
      <c r="AU214" s="5"/>
      <c r="AV214" s="5"/>
      <c r="AW214" s="5"/>
      <c r="AX214" s="5"/>
      <c r="AY214" s="197"/>
      <c r="AZ214" s="5"/>
      <c r="BA214" s="5"/>
      <c r="BB214" s="5"/>
      <c r="BC214" s="5"/>
      <c r="BD214" s="197"/>
      <c r="BE214" s="5"/>
      <c r="BF214" s="5"/>
      <c r="BG214" s="5"/>
      <c r="BH214" s="5"/>
      <c r="BI214" s="197"/>
      <c r="BJ214" s="5"/>
      <c r="BK214" s="5"/>
      <c r="BL214" s="5"/>
      <c r="BM214" s="5"/>
      <c r="BN214" s="315"/>
      <c r="BO214" s="5"/>
      <c r="BP214" s="5"/>
      <c r="BQ214" s="5"/>
      <c r="BR214" s="5"/>
      <c r="BS214" s="197"/>
      <c r="BT214" s="5"/>
      <c r="BU214" s="5"/>
      <c r="BV214" s="5"/>
      <c r="BW214" s="5"/>
      <c r="BX214" s="197"/>
      <c r="BY214" s="5"/>
      <c r="BZ214" s="5"/>
      <c r="CA214" s="5"/>
      <c r="CB214" s="5"/>
      <c r="CC214" s="197"/>
      <c r="CD214" s="5"/>
      <c r="CE214" s="5"/>
      <c r="CF214" s="5"/>
      <c r="CG214" s="5"/>
      <c r="CH214" s="197"/>
      <c r="CI214" s="5"/>
      <c r="CJ214" s="5"/>
      <c r="CK214" s="5"/>
      <c r="CL214" s="5"/>
      <c r="CM214" s="197"/>
      <c r="CN214" s="5"/>
      <c r="CO214" s="5"/>
      <c r="CP214" s="5"/>
      <c r="CQ214" s="5"/>
      <c r="CR214" s="197"/>
      <c r="CS214" s="5"/>
      <c r="CT214" s="5"/>
      <c r="CU214" s="5"/>
      <c r="CV214" s="5"/>
      <c r="CW214" s="197"/>
      <c r="CX214" s="5"/>
      <c r="CY214" s="5"/>
      <c r="CZ214" s="5"/>
      <c r="DA214" s="5"/>
      <c r="DB214" s="197"/>
      <c r="DC214" s="5"/>
      <c r="DD214" s="5"/>
      <c r="DE214" s="5"/>
      <c r="DF214" s="5"/>
      <c r="DG214" s="197"/>
      <c r="DH214" s="5"/>
      <c r="DI214" s="5"/>
      <c r="DJ214" s="5"/>
      <c r="DK214" s="5"/>
      <c r="DL214" s="197"/>
      <c r="DM214" s="413"/>
      <c r="DN214" s="4"/>
      <c r="DO214" s="487"/>
      <c r="DP214" s="413"/>
      <c r="DQ214" s="413"/>
      <c r="DR214" s="413"/>
      <c r="DS214" s="577"/>
      <c r="DT214" s="561"/>
      <c r="DU214" s="457" t="s">
        <v>475</v>
      </c>
      <c r="DV214" s="864">
        <f>+CR181</f>
        <v>1881</v>
      </c>
      <c r="DW214" s="864">
        <f>+DB181</f>
        <v>1243.5223057637295</v>
      </c>
      <c r="DX214" s="864">
        <f>+DG181</f>
        <v>1340.1317150436512</v>
      </c>
      <c r="DY214" s="864">
        <f>+DL181</f>
        <v>1468.8397830707438</v>
      </c>
      <c r="DZ214" s="809"/>
      <c r="EA214" s="4"/>
      <c r="EH214" s="5"/>
    </row>
    <row r="215" spans="1:138" ht="12.75" hidden="1" customHeight="1" x14ac:dyDescent="0.2">
      <c r="A215" s="144" t="s">
        <v>347</v>
      </c>
      <c r="B215" s="184"/>
      <c r="C215" s="184"/>
      <c r="D215" s="184"/>
      <c r="E215" s="184"/>
      <c r="F215" s="185"/>
      <c r="G215" s="184"/>
      <c r="H215" s="184"/>
      <c r="I215" s="184"/>
      <c r="J215" s="184"/>
      <c r="K215" s="185"/>
      <c r="L215" s="184"/>
      <c r="M215" s="184"/>
      <c r="N215" s="184"/>
      <c r="O215" s="184"/>
      <c r="P215" s="185"/>
      <c r="Q215" s="184"/>
      <c r="R215" s="184"/>
      <c r="S215" s="184"/>
      <c r="T215" s="184"/>
      <c r="U215" s="185"/>
      <c r="V215" s="184"/>
      <c r="W215" s="184"/>
      <c r="X215" s="184"/>
      <c r="Y215" s="184"/>
      <c r="Z215" s="185"/>
      <c r="AA215" s="184"/>
      <c r="AB215" s="184"/>
      <c r="AC215" s="184"/>
      <c r="AD215" s="184"/>
      <c r="AE215" s="185"/>
      <c r="AF215" s="184"/>
      <c r="AG215" s="184"/>
      <c r="AH215" s="184"/>
      <c r="AI215" s="184"/>
      <c r="AJ215" s="185"/>
      <c r="AK215" s="184"/>
      <c r="AL215" s="184"/>
      <c r="AM215" s="184"/>
      <c r="AN215" s="184"/>
      <c r="AO215" s="185"/>
      <c r="AP215" s="184"/>
      <c r="AQ215" s="184"/>
      <c r="AR215" s="184"/>
      <c r="AS215" s="184"/>
      <c r="AT215" s="185"/>
      <c r="AU215" s="184"/>
      <c r="AV215" s="184"/>
      <c r="AW215" s="184"/>
      <c r="AX215" s="184"/>
      <c r="AY215" s="185"/>
      <c r="AZ215" s="184"/>
      <c r="BA215" s="184"/>
      <c r="BB215" s="184"/>
      <c r="BC215" s="184"/>
      <c r="BD215" s="185"/>
      <c r="BE215" s="184"/>
      <c r="BF215" s="184"/>
      <c r="BG215" s="184"/>
      <c r="BH215" s="184"/>
      <c r="BI215" s="185"/>
      <c r="BJ215" s="184"/>
      <c r="BK215" s="184"/>
      <c r="BL215" s="184"/>
      <c r="BM215" s="184"/>
      <c r="BN215" s="318"/>
      <c r="BO215" s="184"/>
      <c r="BP215" s="184"/>
      <c r="BQ215" s="184"/>
      <c r="BR215" s="184"/>
      <c r="BS215" s="185"/>
      <c r="BT215" s="184"/>
      <c r="BU215" s="184"/>
      <c r="BV215" s="184"/>
      <c r="BW215" s="184"/>
      <c r="BX215" s="185"/>
      <c r="BY215" s="184"/>
      <c r="BZ215" s="184"/>
      <c r="CA215" s="184"/>
      <c r="CB215" s="184"/>
      <c r="CC215" s="185"/>
      <c r="CD215" s="184"/>
      <c r="CE215" s="184"/>
      <c r="CF215" s="184"/>
      <c r="CG215" s="184"/>
      <c r="CH215" s="185"/>
      <c r="CI215" s="184"/>
      <c r="CJ215" s="184"/>
      <c r="CK215" s="184"/>
      <c r="CL215" s="184"/>
      <c r="CM215" s="185"/>
      <c r="CN215" s="184"/>
      <c r="CO215" s="184"/>
      <c r="CP215" s="184"/>
      <c r="CQ215" s="184"/>
      <c r="CR215" s="185"/>
      <c r="CS215" s="184"/>
      <c r="CT215" s="184"/>
      <c r="CU215" s="184"/>
      <c r="CV215" s="184"/>
      <c r="CW215" s="185"/>
      <c r="CX215" s="184"/>
      <c r="CY215" s="184"/>
      <c r="CZ215" s="184"/>
      <c r="DA215" s="184"/>
      <c r="DB215" s="185"/>
      <c r="DC215" s="184"/>
      <c r="DD215" s="184"/>
      <c r="DE215" s="184"/>
      <c r="DF215" s="184"/>
      <c r="DG215" s="185"/>
      <c r="DH215" s="184"/>
      <c r="DI215" s="184"/>
      <c r="DJ215" s="184"/>
      <c r="DK215" s="184"/>
      <c r="DL215" s="185"/>
      <c r="DM215" s="414"/>
      <c r="DN215" s="502"/>
      <c r="DO215" s="489"/>
      <c r="DP215" s="414"/>
      <c r="DQ215" s="414"/>
      <c r="DR215" s="414"/>
      <c r="DS215" s="577"/>
      <c r="DT215" s="561"/>
      <c r="DU215" s="457"/>
      <c r="DV215" s="463"/>
      <c r="DW215" s="184"/>
      <c r="DX215" s="184"/>
      <c r="DY215" s="184"/>
      <c r="DZ215" s="810"/>
      <c r="EA215" s="502"/>
      <c r="EH215" s="318"/>
    </row>
    <row r="216" spans="1:138" ht="12.75" hidden="1" customHeight="1" x14ac:dyDescent="0.2">
      <c r="A216" s="23" t="s">
        <v>52</v>
      </c>
      <c r="B216" s="66"/>
      <c r="C216" s="66"/>
      <c r="D216" s="66"/>
      <c r="E216" s="66"/>
      <c r="F216" s="248">
        <f>F152</f>
        <v>16791</v>
      </c>
      <c r="G216" s="66">
        <f>G152+E152+D152+C152</f>
        <v>16673</v>
      </c>
      <c r="H216" s="66">
        <f>H152+G152+E152+D152</f>
        <v>15980</v>
      </c>
      <c r="I216" s="66">
        <f>I152+G152+H152+E152</f>
        <v>15033</v>
      </c>
      <c r="J216" s="66">
        <f>J152+H152+G152+I152</f>
        <v>13879</v>
      </c>
      <c r="K216" s="248">
        <f>K152</f>
        <v>13879</v>
      </c>
      <c r="L216" s="66">
        <f>L152+J152+I152+H152</f>
        <v>13140</v>
      </c>
      <c r="M216" s="66">
        <f>M152+L152+J152+I152</f>
        <v>12838</v>
      </c>
      <c r="N216" s="66">
        <f>N152+L152+M152+J152</f>
        <v>12860</v>
      </c>
      <c r="O216" s="66">
        <f>O152+M152+L152+N152</f>
        <v>13305</v>
      </c>
      <c r="P216" s="248">
        <f>P152</f>
        <v>13305</v>
      </c>
      <c r="Q216" s="66">
        <f>Q152+O152+N152+M152</f>
        <v>13357</v>
      </c>
      <c r="R216" s="66">
        <f>R152+Q152+O152+N152</f>
        <v>13190</v>
      </c>
      <c r="S216" s="66">
        <f>S152+Q152+R152+O152</f>
        <v>13213</v>
      </c>
      <c r="T216" s="66">
        <f>T152+R152+Q152+S152</f>
        <v>13303</v>
      </c>
      <c r="U216" s="248">
        <f>U152</f>
        <v>13303</v>
      </c>
      <c r="V216" s="66">
        <f>V152+T152+S152+R152</f>
        <v>13677</v>
      </c>
      <c r="W216" s="66">
        <f>W152+V152+T152+S152</f>
        <v>14331</v>
      </c>
      <c r="X216" s="66">
        <f>X152+V152+W152+T152</f>
        <v>14759</v>
      </c>
      <c r="Y216" s="66">
        <f>Y152+W152+V152+X152</f>
        <v>15235</v>
      </c>
      <c r="Z216" s="248">
        <f>Z152</f>
        <v>15235</v>
      </c>
      <c r="AA216" s="66">
        <f>AA152+Y152+X152+W152</f>
        <v>15353</v>
      </c>
      <c r="AB216" s="66">
        <f>AB152+AA152+Y152+X152</f>
        <v>15577</v>
      </c>
      <c r="AC216" s="66">
        <f>AC152+AA152+AB152+Y152</f>
        <v>15922</v>
      </c>
      <c r="AD216" s="66">
        <f>AD152+AB152+AA152+AC152</f>
        <v>16191</v>
      </c>
      <c r="AE216" s="248">
        <f>AE152</f>
        <v>16191</v>
      </c>
      <c r="AF216" s="66">
        <f>AF152+AD152+AC152+AB152</f>
        <v>16338</v>
      </c>
      <c r="AG216" s="66">
        <f>AG152+AF152+AD152+AC152</f>
        <v>16894</v>
      </c>
      <c r="AH216" s="66">
        <f>AH152+AF152+AG152+AD152</f>
        <v>17429</v>
      </c>
      <c r="AI216" s="66">
        <f>AI152+AG152+AF152+AH152</f>
        <v>17532</v>
      </c>
      <c r="AJ216" s="248">
        <f>AJ152</f>
        <v>17532</v>
      </c>
      <c r="AK216" s="66">
        <f>AK152+AI152+AH152+AG152</f>
        <v>17979</v>
      </c>
      <c r="AL216" s="66">
        <f>AL152+AK152+AI152+AH152</f>
        <v>18241</v>
      </c>
      <c r="AM216" s="66">
        <f>AM152+AK152+AL152+AI152</f>
        <v>18717</v>
      </c>
      <c r="AN216" s="66">
        <f>AN152+AL152+AK152+AM152</f>
        <v>19154</v>
      </c>
      <c r="AO216" s="248">
        <f>AO152</f>
        <v>19154</v>
      </c>
      <c r="AP216" s="350"/>
      <c r="AQ216" s="66"/>
      <c r="AR216" s="66"/>
      <c r="AS216" s="66"/>
      <c r="AT216" s="202"/>
      <c r="AU216" s="66">
        <f>AU152+AN152+AM152+AL152</f>
        <v>22813</v>
      </c>
      <c r="AV216" s="66">
        <f>AV152+AU152+AN151+AM152</f>
        <v>22215</v>
      </c>
      <c r="AW216" s="66">
        <f>AW152+AU152+AV152+AN152</f>
        <v>31203</v>
      </c>
      <c r="AX216" s="66">
        <f>AX152+AV152+AU152+AW152</f>
        <v>34288</v>
      </c>
      <c r="AY216" s="248">
        <f>AY152</f>
        <v>34288</v>
      </c>
      <c r="AZ216" s="350">
        <f>AZ152+AX152+AW152+AV152</f>
        <v>33072</v>
      </c>
      <c r="BA216" s="66">
        <f>BA152+AZ152+AX152+AW152</f>
        <v>30984</v>
      </c>
      <c r="BB216" s="66">
        <f>BB152+AZ152+BA152+AX152</f>
        <v>29026</v>
      </c>
      <c r="BC216" s="66">
        <f>BC152+BA152+AZ152+BB152</f>
        <v>28063</v>
      </c>
      <c r="BD216" s="248">
        <f>BD152</f>
        <v>28063</v>
      </c>
      <c r="BE216" s="350">
        <f>BE152+BC152+BB152+BA152</f>
        <v>28227</v>
      </c>
      <c r="BF216" s="66">
        <f>BF152+BE152+BC152+BB152</f>
        <v>29395.059999999998</v>
      </c>
      <c r="BG216" s="66">
        <f>BG152+BE152+BF152+BC152</f>
        <v>30771.059999999998</v>
      </c>
      <c r="BH216" s="66">
        <f>BH152+BF152+BE152+BG152</f>
        <v>31755.059999999998</v>
      </c>
      <c r="BI216" s="248">
        <f>BI152</f>
        <v>31755.059999999998</v>
      </c>
      <c r="BJ216" s="350">
        <f>BJ152+BH152+BG152+BF152</f>
        <v>32654.059999999998</v>
      </c>
      <c r="BK216" s="66">
        <f>BK152+BJ152+BH152+BG152</f>
        <v>33639</v>
      </c>
      <c r="BL216" s="66">
        <f>BL152+BJ152+BK152+BH152</f>
        <v>34505</v>
      </c>
      <c r="BM216" s="66">
        <f>BM152+BK152+BJ152+BL152</f>
        <v>35115</v>
      </c>
      <c r="BN216" s="350">
        <f>BN152</f>
        <v>35115</v>
      </c>
      <c r="BO216" s="350">
        <f>BO152+BM152+BL152+BK152</f>
        <v>35781</v>
      </c>
      <c r="BP216" s="66">
        <f>BP152+BO152+BM152+BL152</f>
        <v>36360</v>
      </c>
      <c r="BQ216" s="66">
        <f>BQ152+BO152+BP152+BM152</f>
        <v>36467</v>
      </c>
      <c r="BR216" s="66">
        <f>BR152+BP152+BO152+BQ152</f>
        <v>36670</v>
      </c>
      <c r="BS216" s="248">
        <f>BS152</f>
        <v>36670</v>
      </c>
      <c r="BT216" s="350">
        <f>BT152+BR152+BQ152+BP152</f>
        <v>36757</v>
      </c>
      <c r="BU216" s="66">
        <f>BU152+BT152+BR152+BQ152</f>
        <v>36732</v>
      </c>
      <c r="BV216" s="66">
        <f>BV152+BT152+BU152+BR152</f>
        <v>37299</v>
      </c>
      <c r="BW216" s="66">
        <f>BW152+BU152+BT152+BV152</f>
        <v>37773</v>
      </c>
      <c r="BX216" s="248">
        <f>BX152</f>
        <v>37773</v>
      </c>
      <c r="BY216" s="350">
        <f>BY152+BW152+BV152+BU152</f>
        <v>38189</v>
      </c>
      <c r="BZ216" s="66">
        <f>BZ152+BY152+BW152+BV152</f>
        <v>39103</v>
      </c>
      <c r="CA216" s="66">
        <f>CA152+BY152+BZ152+BW152</f>
        <v>39791</v>
      </c>
      <c r="CB216" s="66">
        <f>CB152+BZ152+BY152+CA152</f>
        <v>40362</v>
      </c>
      <c r="CC216" s="248">
        <f>CC152</f>
        <v>40362</v>
      </c>
      <c r="CD216" s="350">
        <f>CD152+CB152+CA152+BZ152</f>
        <v>40834</v>
      </c>
      <c r="CE216" s="66">
        <f>CE152+CD152+CB152+CA152</f>
        <v>40920</v>
      </c>
      <c r="CF216" s="66">
        <f>CF152+CD152+CE152+CB152</f>
        <v>40849</v>
      </c>
      <c r="CG216" s="66">
        <f>CG152+CE152+CD152+CF152</f>
        <v>40704</v>
      </c>
      <c r="CH216" s="248">
        <f>CH152</f>
        <v>40704</v>
      </c>
      <c r="CI216" s="350">
        <f>CI152+CG152+CF152+CE152</f>
        <v>40567</v>
      </c>
      <c r="CJ216" s="66">
        <f>CJ152+CI152+CG152+CF152</f>
        <v>40307</v>
      </c>
      <c r="CK216" s="66">
        <f>CK152+CI152+CJ152+CG152</f>
        <v>39683</v>
      </c>
      <c r="CL216" s="66">
        <f>CL152+CJ152+CI152+CK152</f>
        <v>39639</v>
      </c>
      <c r="CM216" s="248">
        <f>CM152</f>
        <v>39639</v>
      </c>
      <c r="CN216" s="350">
        <f>CN152+CL152+CK152+CJ152</f>
        <v>39536</v>
      </c>
      <c r="CO216" s="66">
        <f>CO152+CN152+CL152+CK152</f>
        <v>39880</v>
      </c>
      <c r="CP216" s="66">
        <f>CP152+CN152+CO152+CL152</f>
        <v>40457</v>
      </c>
      <c r="CQ216" s="66">
        <f t="shared" ref="CQ216:DA216" si="765">CQ152+CO152+CN152+CP152</f>
        <v>41244</v>
      </c>
      <c r="CR216" s="248">
        <f>CR152</f>
        <v>41244</v>
      </c>
      <c r="CS216" s="350">
        <f>CS152+CQ152+CP152+CO152</f>
        <v>41136</v>
      </c>
      <c r="CT216" s="66">
        <f>CT152+CS152+CQ152+CP152</f>
        <v>41025.773000000001</v>
      </c>
      <c r="CU216" s="66">
        <f>CU152+CS152+CT152+CQ152</f>
        <v>40900.472399999999</v>
      </c>
      <c r="CV216" s="66">
        <f t="shared" ref="CV216" si="766">CV152+CT152+CS152+CU152</f>
        <v>40638.2264</v>
      </c>
      <c r="CW216" s="248">
        <f>CW152</f>
        <v>40638.2264</v>
      </c>
      <c r="CX216" s="66">
        <f>CX152+CQ152+CP152+CO152</f>
        <v>41851</v>
      </c>
      <c r="CY216" s="66">
        <f>CY152+CP152+CQ152+CX152</f>
        <v>42553.699399999998</v>
      </c>
      <c r="CZ216" s="66">
        <f>CZ152+CX152+CQ152+CY152</f>
        <v>43093.656419999999</v>
      </c>
      <c r="DA216" s="66">
        <f t="shared" si="765"/>
        <v>43348.27362</v>
      </c>
      <c r="DB216" s="248">
        <f>DB152</f>
        <v>43348.27362</v>
      </c>
      <c r="DC216" s="66"/>
      <c r="DD216" s="66"/>
      <c r="DE216" s="66"/>
      <c r="DF216" s="66"/>
      <c r="DG216" s="248">
        <f>DG152</f>
        <v>44780.565573752501</v>
      </c>
      <c r="DH216" s="66"/>
      <c r="DI216" s="66"/>
      <c r="DJ216" s="66"/>
      <c r="DK216" s="66"/>
      <c r="DL216" s="248">
        <f>DL152</f>
        <v>46199.592826018037</v>
      </c>
      <c r="DM216" s="23"/>
      <c r="DN216" s="539"/>
      <c r="DO216" s="486"/>
      <c r="DP216" s="411"/>
      <c r="DQ216" s="411"/>
      <c r="DR216" s="411"/>
      <c r="DS216" s="557"/>
      <c r="DT216" s="561"/>
      <c r="DU216" s="457"/>
      <c r="DV216" s="463"/>
      <c r="DW216" s="472"/>
      <c r="DX216" s="472"/>
      <c r="DY216" s="472"/>
      <c r="DZ216" s="808"/>
      <c r="EA216" s="539"/>
      <c r="EH216" s="8"/>
    </row>
    <row r="217" spans="1:138" ht="12.75" hidden="1" customHeight="1" x14ac:dyDescent="0.2">
      <c r="A217" s="23" t="s">
        <v>207</v>
      </c>
      <c r="B217" s="66"/>
      <c r="C217" s="66"/>
      <c r="D217" s="66"/>
      <c r="E217" s="66"/>
      <c r="F217" s="207">
        <f>F29</f>
        <v>15580</v>
      </c>
      <c r="G217" s="66">
        <f>G29+E29+D29+C29</f>
        <v>15589</v>
      </c>
      <c r="H217" s="66">
        <f>H29+G29+E29+D29</f>
        <v>14936</v>
      </c>
      <c r="I217" s="66">
        <f>I29+G29+H29+E29</f>
        <v>14076</v>
      </c>
      <c r="J217" s="66">
        <f>J29+H29+G29+I29</f>
        <v>12964</v>
      </c>
      <c r="K217" s="207">
        <f>K29</f>
        <v>12964</v>
      </c>
      <c r="L217" s="66">
        <f>L29+J29+I29+H29</f>
        <v>12244</v>
      </c>
      <c r="M217" s="66">
        <f>M29+L29+J29+I29</f>
        <v>11924</v>
      </c>
      <c r="N217" s="66">
        <f>N29+L29+M29+J29</f>
        <v>11899</v>
      </c>
      <c r="O217" s="66">
        <f>O29+M29+L29+N29</f>
        <v>12321</v>
      </c>
      <c r="P217" s="207">
        <f>P29</f>
        <v>12321</v>
      </c>
      <c r="Q217" s="66">
        <f>Q29+O29+N29+M29</f>
        <v>12374</v>
      </c>
      <c r="R217" s="66">
        <f>R29+Q29+O29+N29</f>
        <v>12206</v>
      </c>
      <c r="S217" s="66">
        <f>S29+Q29+R29+O29</f>
        <v>12242</v>
      </c>
      <c r="T217" s="66">
        <f>T29+R29+Q29+S29</f>
        <v>12323</v>
      </c>
      <c r="U217" s="207">
        <f>U29</f>
        <v>12323</v>
      </c>
      <c r="V217" s="66">
        <f>V29+T29+S29+R29</f>
        <v>12633</v>
      </c>
      <c r="W217" s="66">
        <f>W29+V29+T29+S29</f>
        <v>13240</v>
      </c>
      <c r="X217" s="66">
        <f>X29+V29+W29+T29</f>
        <v>13603</v>
      </c>
      <c r="Y217" s="66">
        <f>Y29+W29+V29+X29</f>
        <v>13790</v>
      </c>
      <c r="Z217" s="207">
        <f>Z29</f>
        <v>13790</v>
      </c>
      <c r="AA217" s="66">
        <f>AA29+Y29+X29+W29</f>
        <v>13888</v>
      </c>
      <c r="AB217" s="66">
        <f>AB29+AA29+Y29+X29</f>
        <v>14107</v>
      </c>
      <c r="AC217" s="66">
        <f>AC29+AA29+AB29+Y29</f>
        <v>14434</v>
      </c>
      <c r="AD217" s="66">
        <f>AD29+AB29+AA29+AC29</f>
        <v>14624</v>
      </c>
      <c r="AE217" s="207">
        <f>AE29</f>
        <v>14624</v>
      </c>
      <c r="AF217" s="66">
        <f>AF29+AD29+AC29+AB29</f>
        <v>14636</v>
      </c>
      <c r="AG217" s="66">
        <f>AG29+AF29+AD29+AC29</f>
        <v>14972</v>
      </c>
      <c r="AH217" s="66">
        <f>AH29+AF29+AG29+AD29</f>
        <v>15304</v>
      </c>
      <c r="AI217" s="66">
        <f>AI29+AG29+AF29+AH29</f>
        <v>15493</v>
      </c>
      <c r="AJ217" s="207">
        <f>AJ29</f>
        <v>15493</v>
      </c>
      <c r="AK217" s="66">
        <f>AK29+AI29+AH29+AG29</f>
        <v>15872</v>
      </c>
      <c r="AL217" s="66">
        <f>AL29+AK29+AI29+AH29</f>
        <v>16154</v>
      </c>
      <c r="AM217" s="66">
        <f>AM29+AK29+AL29+AI29</f>
        <v>16569</v>
      </c>
      <c r="AN217" s="66">
        <f>AN29+AL29+AK29+AM29</f>
        <v>16928</v>
      </c>
      <c r="AO217" s="207">
        <f>AO29</f>
        <v>16928</v>
      </c>
      <c r="AP217" s="350"/>
      <c r="AQ217" s="66"/>
      <c r="AR217" s="66"/>
      <c r="AS217" s="66"/>
      <c r="AT217" s="202"/>
      <c r="AU217" s="66">
        <f>AU29+AN29+AM29+AL29</f>
        <v>20006</v>
      </c>
      <c r="AV217" s="66">
        <f>AV29+AU29+AN152+AM29</f>
        <v>24043</v>
      </c>
      <c r="AW217" s="66">
        <f>AW29+AU29+AV29+AN29</f>
        <v>27118</v>
      </c>
      <c r="AX217" s="66">
        <f>AX29+AV29+AU29+AW29</f>
        <v>29708</v>
      </c>
      <c r="AY217" s="248">
        <f>AY29</f>
        <v>29708</v>
      </c>
      <c r="AZ217" s="350">
        <f>AZ29+AX29+AW29+AV29</f>
        <v>28501</v>
      </c>
      <c r="BA217" s="66">
        <f>BA29+AZ29+AX29+AW29</f>
        <v>26490</v>
      </c>
      <c r="BB217" s="66">
        <f>BB29+AZ29+BA29+AX29</f>
        <v>24685</v>
      </c>
      <c r="BC217" s="66">
        <f>BC29+BA29+AZ29+BB29</f>
        <v>23807</v>
      </c>
      <c r="BD217" s="248">
        <f>BD29</f>
        <v>23807</v>
      </c>
      <c r="BE217" s="350">
        <f>BE29+BC29+BB29+BA29</f>
        <v>24012</v>
      </c>
      <c r="BF217" s="66">
        <f>BF29+BE29+BC29+BB29</f>
        <v>25118</v>
      </c>
      <c r="BG217" s="66">
        <f>BG29+BE29+BF29+BC29</f>
        <v>26369</v>
      </c>
      <c r="BH217" s="66">
        <f>BH29+BF29+BE29+BG29</f>
        <v>27258</v>
      </c>
      <c r="BI217" s="248">
        <f>BI29</f>
        <v>27258</v>
      </c>
      <c r="BJ217" s="350">
        <f>BJ29+BH29+BG29+BF29</f>
        <v>28027</v>
      </c>
      <c r="BK217" s="66">
        <f>BK29+BJ29+BH29+BG29</f>
        <v>28909</v>
      </c>
      <c r="BL217" s="66">
        <f>BL29+BJ29+BK29+BH29</f>
        <v>29702</v>
      </c>
      <c r="BM217" s="66">
        <f>BM29+BK29+BJ29+BL29</f>
        <v>30257</v>
      </c>
      <c r="BN217" s="350">
        <f>BN29</f>
        <v>30257</v>
      </c>
      <c r="BO217" s="350">
        <f>BO29+BM29+BL29+BK29</f>
        <v>30908</v>
      </c>
      <c r="BP217" s="66">
        <f>BP29+BO29+BM29+BL29</f>
        <v>31468</v>
      </c>
      <c r="BQ217" s="66">
        <f>BQ29+BO29+BP29+BM29</f>
        <v>31592</v>
      </c>
      <c r="BR217" s="66">
        <f>BR29+BP29+BO29+BQ29</f>
        <v>31807</v>
      </c>
      <c r="BS217" s="248">
        <f>BS29</f>
        <v>31807</v>
      </c>
      <c r="BT217" s="350">
        <f>BT29+BR29+BQ29+BP29</f>
        <v>31914</v>
      </c>
      <c r="BU217" s="66">
        <f>BU29+BT29+BR29+BQ29</f>
        <v>31957</v>
      </c>
      <c r="BV217" s="66">
        <f>BV29+BT29+BU29+BR29</f>
        <v>32519</v>
      </c>
      <c r="BW217" s="66">
        <f>BW29+BU29+BT29+BV29</f>
        <v>32955</v>
      </c>
      <c r="BX217" s="248">
        <f>BX29</f>
        <v>32955</v>
      </c>
      <c r="BY217" s="350">
        <f>BY29+BW29+BV29+BU29</f>
        <v>33299</v>
      </c>
      <c r="BZ217" s="66">
        <f>BZ29+BY29+BW29+BV29</f>
        <v>34071</v>
      </c>
      <c r="CA217" s="66">
        <f>CA29+BY29+BZ29+BW29</f>
        <v>34593</v>
      </c>
      <c r="CB217" s="66">
        <f>CB29+BZ29+BY29+CA29</f>
        <v>34954</v>
      </c>
      <c r="CC217" s="248">
        <f>CC29</f>
        <v>34954</v>
      </c>
      <c r="CD217" s="350">
        <f>CD29+CB29+CA29+BZ29</f>
        <v>35200</v>
      </c>
      <c r="CE217" s="66">
        <f>CE29+CD29+CB29+CA29</f>
        <v>35073</v>
      </c>
      <c r="CF217" s="66">
        <f>CF29+CD29+CE29+CB29</f>
        <v>34892</v>
      </c>
      <c r="CG217" s="66">
        <f>CG29+CE29+CD29+CF29</f>
        <v>34782</v>
      </c>
      <c r="CH217" s="248">
        <f>CH29</f>
        <v>34782</v>
      </c>
      <c r="CI217" s="350">
        <f>CI29+CG29+CF29+CE29</f>
        <v>34621</v>
      </c>
      <c r="CJ217" s="66">
        <f>CJ29+CI29+CG29+CF29</f>
        <v>34452</v>
      </c>
      <c r="CK217" s="66">
        <f>CK29+CI29+CJ29+CG29</f>
        <v>33928</v>
      </c>
      <c r="CL217" s="66">
        <f>CL29+CJ29+CI29+CK29</f>
        <v>33777</v>
      </c>
      <c r="CM217" s="248">
        <f>CM29</f>
        <v>33777</v>
      </c>
      <c r="CN217" s="350">
        <f>CN29+CL29+CK29+CJ29</f>
        <v>33703</v>
      </c>
      <c r="CO217" s="66">
        <f>CO29+CN29+CL29+CK29</f>
        <v>33964</v>
      </c>
      <c r="CP217" s="66">
        <f>CP29+CN29+CO29+CL29</f>
        <v>34292</v>
      </c>
      <c r="CQ217" s="66">
        <f>CQ29+CO29+CN29+CP29</f>
        <v>34819</v>
      </c>
      <c r="CR217" s="248">
        <f>CR29</f>
        <v>34819</v>
      </c>
      <c r="CS217" s="350">
        <f>CS29+CQ29+CP29+CO29</f>
        <v>35309</v>
      </c>
      <c r="CT217" s="66">
        <f>CT29+CS29+CQ29+CP29</f>
        <v>35846</v>
      </c>
      <c r="CU217" s="66">
        <f>CU29+CS29+CT29+CQ29</f>
        <v>36426</v>
      </c>
      <c r="CV217" s="66">
        <f>CV29+CT29+CS29+CU29</f>
        <v>36947</v>
      </c>
      <c r="CW217" s="248">
        <f>CW29</f>
        <v>36947</v>
      </c>
      <c r="CX217" s="66">
        <f>CX29+CQ29+CP29+CO29</f>
        <v>35896</v>
      </c>
      <c r="CY217" s="66">
        <f>CY29+CP29+CQ29+CX29</f>
        <v>37078.176399999997</v>
      </c>
      <c r="CZ217" s="66">
        <f>CZ29+CX29+CQ29+CY29</f>
        <v>38224.784020000006</v>
      </c>
      <c r="DA217" s="66">
        <f>DA29+CY29+CX29+CZ29</f>
        <v>39202.29722</v>
      </c>
      <c r="DB217" s="248">
        <f>DB29</f>
        <v>39202.29722</v>
      </c>
      <c r="DC217" s="66"/>
      <c r="DD217" s="66"/>
      <c r="DE217" s="66"/>
      <c r="DF217" s="66"/>
      <c r="DG217" s="248">
        <f>DG29</f>
        <v>40383.266423752502</v>
      </c>
      <c r="DH217" s="66"/>
      <c r="DI217" s="66"/>
      <c r="DJ217" s="66"/>
      <c r="DK217" s="66"/>
      <c r="DL217" s="248">
        <f>DL29</f>
        <v>41599.812324768041</v>
      </c>
      <c r="DM217" s="23"/>
      <c r="DN217" s="539"/>
      <c r="DO217" s="486"/>
      <c r="DP217" s="411"/>
      <c r="DQ217" s="411"/>
      <c r="DR217" s="411"/>
      <c r="DS217" s="553"/>
      <c r="DT217" s="561"/>
      <c r="DU217" s="457"/>
      <c r="DV217" s="463"/>
      <c r="DW217" s="472"/>
      <c r="DX217" s="472"/>
      <c r="DY217" s="472"/>
      <c r="DZ217" s="808"/>
      <c r="EA217" s="539"/>
      <c r="EH217" s="8"/>
    </row>
    <row r="218" spans="1:138" ht="12.75" hidden="1" customHeight="1" x14ac:dyDescent="0.2">
      <c r="A218" s="23" t="s">
        <v>53</v>
      </c>
      <c r="B218" s="66"/>
      <c r="C218" s="66"/>
      <c r="D218" s="66"/>
      <c r="E218" s="66"/>
      <c r="F218" s="248">
        <f>F154</f>
        <v>15034</v>
      </c>
      <c r="G218" s="66">
        <f>G154+E154+D154+C154</f>
        <v>15386</v>
      </c>
      <c r="H218" s="66">
        <f>H154+G154+E154+D154</f>
        <v>15439</v>
      </c>
      <c r="I218" s="66">
        <f>I154+G154+H154+E154</f>
        <v>15378</v>
      </c>
      <c r="J218" s="66">
        <f>J154+H154+G154+I154</f>
        <v>14996</v>
      </c>
      <c r="K218" s="248">
        <f>K154</f>
        <v>14996</v>
      </c>
      <c r="L218" s="66">
        <f>L154+J154+I154+H154</f>
        <v>14537</v>
      </c>
      <c r="M218" s="66">
        <f>M154+L154+J154+I154</f>
        <v>14285</v>
      </c>
      <c r="N218" s="66">
        <f>N154+L154+M154+J154</f>
        <v>14147</v>
      </c>
      <c r="O218" s="66">
        <f>O154+M154+L154+N154</f>
        <v>14209</v>
      </c>
      <c r="P218" s="248">
        <f>P154</f>
        <v>14209</v>
      </c>
      <c r="Q218" s="66">
        <f>Q154+O154+N154+M154</f>
        <v>14358</v>
      </c>
      <c r="R218" s="66">
        <f>R154+Q154+O154+N154</f>
        <v>14289.45</v>
      </c>
      <c r="S218" s="66">
        <f>S154+Q154+R154+O154</f>
        <v>14199.45</v>
      </c>
      <c r="T218" s="66">
        <f>T154+R154+Q154+S154</f>
        <v>14212.45</v>
      </c>
      <c r="U218" s="248">
        <f>U154</f>
        <v>14212.45</v>
      </c>
      <c r="V218" s="66">
        <f>V154+T154+S154+R154</f>
        <v>14482.45</v>
      </c>
      <c r="W218" s="66">
        <f>W154+V154+T154+S154</f>
        <v>15058</v>
      </c>
      <c r="X218" s="66">
        <f>X154+V154+W154+T154</f>
        <v>15774</v>
      </c>
      <c r="Y218" s="66">
        <f>Y154+W154+V154+X154</f>
        <v>16709</v>
      </c>
      <c r="Z218" s="248">
        <f>Z154</f>
        <v>16709</v>
      </c>
      <c r="AA218" s="66">
        <f>AA154+Y154+X154+W154</f>
        <v>16865</v>
      </c>
      <c r="AB218" s="66">
        <f>AB154+AA154+Y154+X154</f>
        <v>16998</v>
      </c>
      <c r="AC218" s="66">
        <f>AC154+AA154+AB154+Y154</f>
        <v>17129</v>
      </c>
      <c r="AD218" s="66">
        <f>AD154+AB154+AA154+AC154</f>
        <v>17304</v>
      </c>
      <c r="AE218" s="248">
        <f>AE154</f>
        <v>17304</v>
      </c>
      <c r="AF218" s="66">
        <f>AF154+AD154+AC154+AB154</f>
        <v>17510</v>
      </c>
      <c r="AG218" s="66">
        <f>AG154+AF154+AD154+AC154</f>
        <v>17664</v>
      </c>
      <c r="AH218" s="66">
        <f>AH154+AF154+AG154+AD154</f>
        <v>17876</v>
      </c>
      <c r="AI218" s="66">
        <f>AI154+AG154+AF154+AH154</f>
        <v>17474</v>
      </c>
      <c r="AJ218" s="248">
        <f>AJ154</f>
        <v>17474</v>
      </c>
      <c r="AK218" s="66">
        <f>AK154+AI154+AH154+AG154</f>
        <v>17281</v>
      </c>
      <c r="AL218" s="66">
        <f>AL154+AK154+AI154+AH154</f>
        <v>17400</v>
      </c>
      <c r="AM218" s="66">
        <f>AM154+AK154+AL154+AI154</f>
        <v>17591</v>
      </c>
      <c r="AN218" s="66">
        <f>AN154+AL154+AK154+AM154</f>
        <v>18036</v>
      </c>
      <c r="AO218" s="248">
        <f>AO154</f>
        <v>18036</v>
      </c>
      <c r="AP218" s="350"/>
      <c r="AQ218" s="66"/>
      <c r="AR218" s="66"/>
      <c r="AS218" s="66"/>
      <c r="AT218" s="202"/>
      <c r="AU218" s="66">
        <f>AU154+AN154+AM154+AL154</f>
        <v>22108</v>
      </c>
      <c r="AV218" s="66">
        <f>AV154+AU154+AN153+AM154</f>
        <v>21782.102920395668</v>
      </c>
      <c r="AW218" s="66">
        <f>AW154+AU154+AV154+AN154</f>
        <v>31009</v>
      </c>
      <c r="AX218" s="66">
        <f>AX154+AV154+AU154+AW154</f>
        <v>34238</v>
      </c>
      <c r="AY218" s="248">
        <f>AY154</f>
        <v>34238</v>
      </c>
      <c r="AZ218" s="350">
        <f>AZ154+AX154+AW154+AV154</f>
        <v>33146</v>
      </c>
      <c r="BA218" s="66">
        <f>BA154+AZ154+AX154+AW154</f>
        <v>31237</v>
      </c>
      <c r="BB218" s="66">
        <f>BB154+AZ154+BA154+AX154</f>
        <v>29162</v>
      </c>
      <c r="BC218" s="66">
        <f>BC154+BA154+AZ154+BB154</f>
        <v>27978</v>
      </c>
      <c r="BD218" s="248">
        <f>BD154</f>
        <v>27978</v>
      </c>
      <c r="BE218" s="350">
        <f>BE154+BC154+BB154+BA154</f>
        <v>27638</v>
      </c>
      <c r="BF218" s="66">
        <f>BF154+BE154+BC154+BB154</f>
        <v>27931</v>
      </c>
      <c r="BG218" s="66">
        <f>BG154+BE154+BF154+BC154</f>
        <v>28431</v>
      </c>
      <c r="BH218" s="66">
        <f>BH154+BF154+BE154+BG154</f>
        <v>29088</v>
      </c>
      <c r="BI218" s="248">
        <f>BI154</f>
        <v>29088</v>
      </c>
      <c r="BJ218" s="350">
        <f>BJ154+BH154+BG154+BF154</f>
        <v>30223</v>
      </c>
      <c r="BK218" s="66">
        <f>BK154+BJ154+BH154+BG154</f>
        <v>31506</v>
      </c>
      <c r="BL218" s="66">
        <f>BL154+BJ154+BK154+BH154</f>
        <v>32510</v>
      </c>
      <c r="BM218" s="66">
        <f>BM154+BK154+BJ154+BL154</f>
        <v>32872</v>
      </c>
      <c r="BN218" s="350">
        <f>BN154</f>
        <v>32872</v>
      </c>
      <c r="BO218" s="350">
        <f>BO154+BM154+BL154+BK154</f>
        <v>33205</v>
      </c>
      <c r="BP218" s="66">
        <f>BP154+BO154+BM154+BL154</f>
        <v>33532</v>
      </c>
      <c r="BQ218" s="66">
        <f>BQ154+BO154+BP154+BM154</f>
        <v>33693</v>
      </c>
      <c r="BR218" s="66">
        <f>BR154+BP154+BO154+BQ154</f>
        <v>34069</v>
      </c>
      <c r="BS218" s="248">
        <f>BS154</f>
        <v>34069</v>
      </c>
      <c r="BT218" s="350">
        <f>BT154+BR154+BQ154+BP154</f>
        <v>34075</v>
      </c>
      <c r="BU218" s="66">
        <f>BU154+BT154+BR154+BQ154</f>
        <v>33865</v>
      </c>
      <c r="BV218" s="66">
        <f>BV154+BT154+BU154+BR154</f>
        <v>34065</v>
      </c>
      <c r="BW218" s="66">
        <f>BW154+BU154+BT154+BV154</f>
        <v>34247</v>
      </c>
      <c r="BX218" s="248">
        <f>BX154</f>
        <v>34247</v>
      </c>
      <c r="BY218" s="350">
        <f>BY154+BW154+BV154+BU154</f>
        <v>34260</v>
      </c>
      <c r="BZ218" s="66">
        <f>BZ154+BY154+BW154+BV154</f>
        <v>34639</v>
      </c>
      <c r="CA218" s="66">
        <f>CA154+BY154+BZ154+BW154</f>
        <v>34959</v>
      </c>
      <c r="CB218" s="66">
        <f>CB154+BZ154+BY154+CA154</f>
        <v>35094</v>
      </c>
      <c r="CC218" s="248">
        <f>CC154</f>
        <v>35094</v>
      </c>
      <c r="CD218" s="350">
        <f>CD154+CB154+CA154+BZ154</f>
        <v>35450</v>
      </c>
      <c r="CE218" s="66">
        <f>CE154+CD154+CB154+CA154</f>
        <v>35365</v>
      </c>
      <c r="CF218" s="66">
        <f>CF154+CD154+CE154+CB154</f>
        <v>34734</v>
      </c>
      <c r="CG218" s="66">
        <f>CG154+CE154+CD154+CF154</f>
        <v>34168</v>
      </c>
      <c r="CH218" s="248">
        <f>CH154</f>
        <v>34168</v>
      </c>
      <c r="CI218" s="350">
        <f>CI154+CG154+CF154+CE154</f>
        <v>33155</v>
      </c>
      <c r="CJ218" s="66">
        <f>CJ154+CI154+CG154+CF154</f>
        <v>32868</v>
      </c>
      <c r="CK218" s="66">
        <f>CK154+CI154+CJ154+CG154</f>
        <v>32564</v>
      </c>
      <c r="CL218" s="66">
        <f>CL154+CJ154+CI154+CK154</f>
        <v>33137</v>
      </c>
      <c r="CM218" s="248">
        <f>CM154</f>
        <v>33137</v>
      </c>
      <c r="CN218" s="350">
        <f>CN154+CL154+CK154+CJ154</f>
        <v>33760</v>
      </c>
      <c r="CO218" s="66">
        <f>CO154+CN154+CL154+CK154</f>
        <v>33934</v>
      </c>
      <c r="CP218" s="66">
        <f>CP154+CN154+CO154+CL154</f>
        <v>34738</v>
      </c>
      <c r="CQ218" s="66">
        <f t="shared" ref="CQ218:DA218" si="767">CQ154+CO154+CN154+CP154</f>
        <v>35390</v>
      </c>
      <c r="CR218" s="248">
        <f>CR154</f>
        <v>35390</v>
      </c>
      <c r="CS218" s="350">
        <f>CS154+CQ154+CP154+CO154</f>
        <v>35336</v>
      </c>
      <c r="CT218" s="66">
        <f>CT154+CS154+CQ154+CP154</f>
        <v>35271.773000000001</v>
      </c>
      <c r="CU218" s="66">
        <f>CU154+CS154+CT154+CQ154</f>
        <v>35162.472399999999</v>
      </c>
      <c r="CV218" s="66">
        <f t="shared" ref="CV218" si="768">CV154+CT154+CS154+CU154</f>
        <v>34931.2264</v>
      </c>
      <c r="CW218" s="248">
        <f>CW154</f>
        <v>34931.2264</v>
      </c>
      <c r="CX218" s="66">
        <f>CX154+CQ154+CP154+CO154</f>
        <v>36153</v>
      </c>
      <c r="CY218" s="66">
        <f>CY154+CP154+CQ154+CX154</f>
        <v>37049.407550480413</v>
      </c>
      <c r="CZ218" s="66">
        <f>CZ154+CX154+CQ154+CY154</f>
        <v>37648.650832705498</v>
      </c>
      <c r="DA218" s="66">
        <f t="shared" si="767"/>
        <v>37689.872290592481</v>
      </c>
      <c r="DB218" s="248">
        <f>DB154</f>
        <v>37689.872290592481</v>
      </c>
      <c r="DC218" s="66"/>
      <c r="DD218" s="66"/>
      <c r="DE218" s="66"/>
      <c r="DF218" s="66"/>
      <c r="DG218" s="248">
        <f>DG154</f>
        <v>38643.905943127931</v>
      </c>
      <c r="DH218" s="66"/>
      <c r="DI218" s="66"/>
      <c r="DJ218" s="66"/>
      <c r="DK218" s="66"/>
      <c r="DL218" s="248">
        <f>DL154</f>
        <v>39580.3328996235</v>
      </c>
      <c r="DM218" s="23"/>
      <c r="DN218" s="539"/>
      <c r="DO218" s="486"/>
      <c r="DP218" s="411"/>
      <c r="DQ218" s="411"/>
      <c r="DR218" s="411"/>
      <c r="DS218" s="553"/>
      <c r="DT218" s="561"/>
      <c r="DU218" s="457"/>
      <c r="DV218" s="463"/>
      <c r="DW218" s="472"/>
      <c r="DX218" s="472"/>
      <c r="DY218" s="472"/>
      <c r="DZ218" s="808"/>
      <c r="EA218" s="539"/>
      <c r="EH218" s="8"/>
    </row>
    <row r="219" spans="1:138" ht="12.75" hidden="1" customHeight="1" x14ac:dyDescent="0.2">
      <c r="A219" s="23" t="s">
        <v>119</v>
      </c>
      <c r="B219" s="66"/>
      <c r="C219" s="66"/>
      <c r="D219" s="66"/>
      <c r="E219" s="66"/>
      <c r="F219" s="248">
        <f>F94</f>
        <v>1969</v>
      </c>
      <c r="G219" s="66">
        <f>G94+E94+D94+C94</f>
        <v>2049</v>
      </c>
      <c r="H219" s="66">
        <f>H94+G94+E94+D94</f>
        <v>2050</v>
      </c>
      <c r="I219" s="66">
        <f>I94+G94+H94+E94</f>
        <v>1989</v>
      </c>
      <c r="J219" s="66">
        <f>J94+H94+G94+I94</f>
        <v>1817</v>
      </c>
      <c r="K219" s="248">
        <f>K94</f>
        <v>1817</v>
      </c>
      <c r="L219" s="66">
        <f>L94+J94+I94+H94</f>
        <v>1642</v>
      </c>
      <c r="M219" s="66">
        <f>M94+L94+J94+I94</f>
        <v>1580</v>
      </c>
      <c r="N219" s="66">
        <f>N94+L94+M94+J94</f>
        <v>1576</v>
      </c>
      <c r="O219" s="66">
        <f>O94+M94+L94+N94</f>
        <v>1683</v>
      </c>
      <c r="P219" s="248">
        <f>P94</f>
        <v>1683</v>
      </c>
      <c r="Q219" s="66">
        <f>Q94+O94+N94+M94</f>
        <v>1855</v>
      </c>
      <c r="R219" s="66">
        <f>R94+Q94+O94+N94</f>
        <v>1889.45</v>
      </c>
      <c r="S219" s="66">
        <f>S94+Q94+R94+O94</f>
        <v>1903.45</v>
      </c>
      <c r="T219" s="66">
        <f>T94+R94+Q94+S94</f>
        <v>1938.45</v>
      </c>
      <c r="U219" s="248">
        <f>U94</f>
        <v>1938.45</v>
      </c>
      <c r="V219" s="66">
        <f>V94+T94+S94+R94</f>
        <v>2001.45</v>
      </c>
      <c r="W219" s="66">
        <f>W94+V94+T94+S94</f>
        <v>2235</v>
      </c>
      <c r="X219" s="66">
        <f>X94+V94+W94+T94</f>
        <v>2539</v>
      </c>
      <c r="Y219" s="66">
        <f>Y94+W94+V94+X94</f>
        <v>2924</v>
      </c>
      <c r="Z219" s="248">
        <f>Z94</f>
        <v>2924</v>
      </c>
      <c r="AA219" s="66">
        <f>AA94+Y94+X94+W94</f>
        <v>3234</v>
      </c>
      <c r="AB219" s="66">
        <f>AB94+AA94+Y94+X94</f>
        <v>3619</v>
      </c>
      <c r="AC219" s="66">
        <f>AC94+AA94+AB94+Y94</f>
        <v>4036</v>
      </c>
      <c r="AD219" s="66">
        <f>AD94+AB94+AA94+AC94</f>
        <v>4271</v>
      </c>
      <c r="AE219" s="248">
        <f>AE94</f>
        <v>4271</v>
      </c>
      <c r="AF219" s="66">
        <f>AF94+AD94+AC94+AB94</f>
        <v>4346</v>
      </c>
      <c r="AG219" s="66">
        <f>AG94+AF94+AD94+AC94</f>
        <v>4434</v>
      </c>
      <c r="AH219" s="66">
        <f>AH94+AF94+AG94+AD94</f>
        <v>4507</v>
      </c>
      <c r="AI219" s="66">
        <f>AI94+AG94+AF94+AH94</f>
        <v>4433</v>
      </c>
      <c r="AJ219" s="248">
        <f>AJ94</f>
        <v>4433</v>
      </c>
      <c r="AK219" s="66">
        <f>AK94+AI94+AH94+AG94</f>
        <v>4422</v>
      </c>
      <c r="AL219" s="66">
        <f>AL94+AK94+AI94+AH94</f>
        <v>4392</v>
      </c>
      <c r="AM219" s="66">
        <f>AM94+AK94+AL94+AI94</f>
        <v>4386</v>
      </c>
      <c r="AN219" s="66">
        <f>AN94+AL94+AK94+AM94</f>
        <v>4686</v>
      </c>
      <c r="AO219" s="248">
        <f>AO94</f>
        <v>4686</v>
      </c>
      <c r="AP219" s="350"/>
      <c r="AQ219" s="66"/>
      <c r="AR219" s="66"/>
      <c r="AS219" s="66"/>
      <c r="AT219" s="202"/>
      <c r="AU219" s="66">
        <f>AU94+AN94+AM94+AL94</f>
        <v>6275</v>
      </c>
      <c r="AV219" s="66">
        <f>AV94+AU94+AN153+AM94</f>
        <v>6923.1029203956668</v>
      </c>
      <c r="AW219" s="66">
        <f>AW94+AU94+AV94+AN94</f>
        <v>10657</v>
      </c>
      <c r="AX219" s="66">
        <f>AX94+AV94+AU94+AW94</f>
        <v>12044</v>
      </c>
      <c r="AY219" s="248">
        <f>AY94</f>
        <v>12044</v>
      </c>
      <c r="AZ219" s="350">
        <f>AZ94+AX94+AW94+AV94</f>
        <v>11398</v>
      </c>
      <c r="BA219" s="66">
        <f>BA94+AZ94+AX94+AW94</f>
        <v>10094</v>
      </c>
      <c r="BB219" s="66">
        <f>BB94+AZ94+BA94+AX94</f>
        <v>8419</v>
      </c>
      <c r="BC219" s="66">
        <f>BC94+BA94+AZ94+BB94</f>
        <v>7382</v>
      </c>
      <c r="BD219" s="248">
        <f>BD94</f>
        <v>7382</v>
      </c>
      <c r="BE219" s="350">
        <f>BE94+BC94+BB94+BA94</f>
        <v>7174</v>
      </c>
      <c r="BF219" s="66">
        <f>BF94+BE94+BC94+BB94</f>
        <v>7322</v>
      </c>
      <c r="BG219" s="66">
        <f>BG94+BE94+BF94+BC94</f>
        <v>7372</v>
      </c>
      <c r="BH219" s="66">
        <f>BH94+BF94+BE94+BG94</f>
        <v>7594</v>
      </c>
      <c r="BI219" s="248">
        <f>BI94</f>
        <v>7594</v>
      </c>
      <c r="BJ219" s="350">
        <f>BJ94+BH94+BG94+BF94</f>
        <v>8106</v>
      </c>
      <c r="BK219" s="66">
        <f>BK94+BJ94+BH94+BG94</f>
        <v>8798</v>
      </c>
      <c r="BL219" s="66">
        <f>BL94+BJ94+BK94+BH94</f>
        <v>9448</v>
      </c>
      <c r="BM219" s="66">
        <f>BM94+BK94+BJ94+BL94</f>
        <v>9704</v>
      </c>
      <c r="BN219" s="350">
        <f>BN94</f>
        <v>9704</v>
      </c>
      <c r="BO219" s="350">
        <f>BO94+BM94+BL94+BK94</f>
        <v>9893</v>
      </c>
      <c r="BP219" s="66">
        <f>BP94+BO94+BM94+BL94</f>
        <v>9985</v>
      </c>
      <c r="BQ219" s="66">
        <f>BQ94+BO94+BP94+BM94</f>
        <v>9973</v>
      </c>
      <c r="BR219" s="66">
        <f>BR94+BP94+BO94+BQ94</f>
        <v>10176</v>
      </c>
      <c r="BS219" s="248">
        <f>BS94</f>
        <v>10176</v>
      </c>
      <c r="BT219" s="350">
        <f>BT94+BR94+BQ94+BP94</f>
        <v>10105</v>
      </c>
      <c r="BU219" s="66">
        <f>BU94+BT94+BR94+BQ94</f>
        <v>9831</v>
      </c>
      <c r="BV219" s="66">
        <f>BV94+BT94+BU94+BR94</f>
        <v>9746</v>
      </c>
      <c r="BW219" s="66">
        <f>BW94+BU94+BT94+BV94</f>
        <v>9673</v>
      </c>
      <c r="BX219" s="248">
        <f>BX94</f>
        <v>9673</v>
      </c>
      <c r="BY219" s="350">
        <f>BY94+BW94+BV94+BU94</f>
        <v>9552</v>
      </c>
      <c r="BZ219" s="66">
        <f>BZ94+BY94+BW94+BV94</f>
        <v>9517</v>
      </c>
      <c r="CA219" s="66">
        <f>CA94+BY94+BZ94+BW94</f>
        <v>9546</v>
      </c>
      <c r="CB219" s="66">
        <f>CB94+BZ94+BY94+CA94</f>
        <v>9322</v>
      </c>
      <c r="CC219" s="248">
        <f>CC94</f>
        <v>9322</v>
      </c>
      <c r="CD219" s="350">
        <f>CD94+CB94+CA94+BZ94</f>
        <v>9554</v>
      </c>
      <c r="CE219" s="66">
        <f>CE94+CD94+CB94+CA94</f>
        <v>9296</v>
      </c>
      <c r="CF219" s="66">
        <f>CF94+CD94+CE94+CB94</f>
        <v>8411</v>
      </c>
      <c r="CG219" s="66">
        <f>CG94+CE94+CD94+CF94</f>
        <v>7845</v>
      </c>
      <c r="CH219" s="248">
        <f>CH94</f>
        <v>7845</v>
      </c>
      <c r="CI219" s="350">
        <f>CI94+CG94+CF94+CE94</f>
        <v>6493</v>
      </c>
      <c r="CJ219" s="66">
        <f>CJ94+CI94+CG94+CF94</f>
        <v>6161</v>
      </c>
      <c r="CK219" s="66">
        <f>CK94+CI94+CJ94+CG94</f>
        <v>5840</v>
      </c>
      <c r="CL219" s="66">
        <f>CL94+CJ94+CI94+CK94</f>
        <v>5583</v>
      </c>
      <c r="CM219" s="248">
        <f>CM94</f>
        <v>5583</v>
      </c>
      <c r="CN219" s="350">
        <f>CN94+CL94+CK94+CJ94</f>
        <v>5835</v>
      </c>
      <c r="CO219" s="66">
        <f>CO94+CN94+CL94+CK94</f>
        <v>5490</v>
      </c>
      <c r="CP219" s="66">
        <f>CP94+CN94+CO94+CL94</f>
        <v>5684</v>
      </c>
      <c r="CQ219" s="66">
        <f>CQ94+CO94+CN94+CP94</f>
        <v>5992</v>
      </c>
      <c r="CR219" s="248">
        <f>CR94</f>
        <v>5992</v>
      </c>
      <c r="CS219" s="350">
        <f>CS94+CQ94+CP94+CO94</f>
        <v>6150</v>
      </c>
      <c r="CT219" s="66">
        <f>CT94+CS94+CQ94+CP94</f>
        <v>6337</v>
      </c>
      <c r="CU219" s="66">
        <f>CU94+CS94+CT94+CQ94</f>
        <v>6529</v>
      </c>
      <c r="CV219" s="66">
        <f>CV94+CT94+CS94+CU94</f>
        <v>6756</v>
      </c>
      <c r="CW219" s="248">
        <f>CW94</f>
        <v>6756</v>
      </c>
      <c r="CX219" s="66">
        <f>CX94+CQ94+CP94+CO94</f>
        <v>6524</v>
      </c>
      <c r="CY219" s="66">
        <f>CY94+CP94+CQ94+CX94</f>
        <v>7248.8315494999997</v>
      </c>
      <c r="CZ219" s="66">
        <f>CZ94+CX94+CQ94+CY94</f>
        <v>7959.7125694999995</v>
      </c>
      <c r="DA219" s="66">
        <f>DA94+CY94+CX94+CZ94</f>
        <v>8368.6018632499981</v>
      </c>
      <c r="DB219" s="248">
        <f>DB94</f>
        <v>8368.6018632499981</v>
      </c>
      <c r="DC219" s="66"/>
      <c r="DD219" s="66"/>
      <c r="DE219" s="66"/>
      <c r="DF219" s="66"/>
      <c r="DG219" s="248">
        <f>DG94</f>
        <v>8131.7571119606246</v>
      </c>
      <c r="DH219" s="66"/>
      <c r="DI219" s="66"/>
      <c r="DJ219" s="66"/>
      <c r="DK219" s="66"/>
      <c r="DL219" s="248">
        <f>DL94</f>
        <v>7866.7243820884923</v>
      </c>
      <c r="DM219" s="23"/>
      <c r="DN219" s="539"/>
      <c r="DO219" s="486"/>
      <c r="DP219" s="411"/>
      <c r="DQ219" s="411"/>
      <c r="DR219" s="411"/>
      <c r="DS219" s="553"/>
      <c r="DT219" s="561"/>
      <c r="DU219" s="457"/>
      <c r="DV219" s="463"/>
      <c r="DW219" s="472"/>
      <c r="DX219" s="472"/>
      <c r="DY219" s="472"/>
      <c r="DZ219" s="808"/>
      <c r="EA219" s="539"/>
      <c r="EH219" s="8"/>
    </row>
    <row r="220" spans="1:138" ht="12.75" hidden="1" customHeight="1" x14ac:dyDescent="0.2">
      <c r="A220" s="110" t="s">
        <v>231</v>
      </c>
      <c r="B220" s="66"/>
      <c r="C220" s="66"/>
      <c r="D220" s="66"/>
      <c r="E220" s="66"/>
      <c r="F220" s="248">
        <f>F218-F219</f>
        <v>13065</v>
      </c>
      <c r="G220" s="66">
        <f t="shared" ref="G220:BX220" si="769">G218-G219</f>
        <v>13337</v>
      </c>
      <c r="H220" s="66">
        <f t="shared" si="769"/>
        <v>13389</v>
      </c>
      <c r="I220" s="66">
        <f t="shared" si="769"/>
        <v>13389</v>
      </c>
      <c r="J220" s="66">
        <f t="shared" si="769"/>
        <v>13179</v>
      </c>
      <c r="K220" s="248">
        <f t="shared" si="769"/>
        <v>13179</v>
      </c>
      <c r="L220" s="66">
        <f t="shared" si="769"/>
        <v>12895</v>
      </c>
      <c r="M220" s="66">
        <f t="shared" si="769"/>
        <v>12705</v>
      </c>
      <c r="N220" s="66">
        <f t="shared" si="769"/>
        <v>12571</v>
      </c>
      <c r="O220" s="66">
        <f t="shared" si="769"/>
        <v>12526</v>
      </c>
      <c r="P220" s="248">
        <f t="shared" si="769"/>
        <v>12526</v>
      </c>
      <c r="Q220" s="66">
        <f t="shared" si="769"/>
        <v>12503</v>
      </c>
      <c r="R220" s="66">
        <f t="shared" si="769"/>
        <v>12400</v>
      </c>
      <c r="S220" s="66">
        <f t="shared" si="769"/>
        <v>12296</v>
      </c>
      <c r="T220" s="66">
        <f t="shared" si="769"/>
        <v>12274</v>
      </c>
      <c r="U220" s="248">
        <f t="shared" si="769"/>
        <v>12274</v>
      </c>
      <c r="V220" s="66">
        <f t="shared" si="769"/>
        <v>12481</v>
      </c>
      <c r="W220" s="66">
        <f t="shared" si="769"/>
        <v>12823</v>
      </c>
      <c r="X220" s="66">
        <f t="shared" si="769"/>
        <v>13235</v>
      </c>
      <c r="Y220" s="66">
        <f t="shared" si="769"/>
        <v>13785</v>
      </c>
      <c r="Z220" s="248">
        <f t="shared" si="769"/>
        <v>13785</v>
      </c>
      <c r="AA220" s="66">
        <f t="shared" si="769"/>
        <v>13631</v>
      </c>
      <c r="AB220" s="66">
        <f t="shared" si="769"/>
        <v>13379</v>
      </c>
      <c r="AC220" s="66">
        <f t="shared" si="769"/>
        <v>13093</v>
      </c>
      <c r="AD220" s="66">
        <f t="shared" si="769"/>
        <v>13033</v>
      </c>
      <c r="AE220" s="248">
        <f t="shared" si="769"/>
        <v>13033</v>
      </c>
      <c r="AF220" s="66">
        <f t="shared" si="769"/>
        <v>13164</v>
      </c>
      <c r="AG220" s="66">
        <f t="shared" si="769"/>
        <v>13230</v>
      </c>
      <c r="AH220" s="66">
        <f t="shared" si="769"/>
        <v>13369</v>
      </c>
      <c r="AI220" s="66">
        <f t="shared" si="769"/>
        <v>13041</v>
      </c>
      <c r="AJ220" s="248">
        <f t="shared" si="769"/>
        <v>13041</v>
      </c>
      <c r="AK220" s="66">
        <f t="shared" si="769"/>
        <v>12859</v>
      </c>
      <c r="AL220" s="66">
        <f t="shared" si="769"/>
        <v>13008</v>
      </c>
      <c r="AM220" s="66">
        <f t="shared" si="769"/>
        <v>13205</v>
      </c>
      <c r="AN220" s="66">
        <f t="shared" si="769"/>
        <v>13350</v>
      </c>
      <c r="AO220" s="248">
        <f t="shared" si="769"/>
        <v>13350</v>
      </c>
      <c r="AP220" s="350"/>
      <c r="AQ220" s="66"/>
      <c r="AR220" s="66"/>
      <c r="AS220" s="66"/>
      <c r="AT220" s="248"/>
      <c r="AU220" s="66">
        <f t="shared" si="769"/>
        <v>15833</v>
      </c>
      <c r="AV220" s="66">
        <f t="shared" si="769"/>
        <v>14859</v>
      </c>
      <c r="AW220" s="66">
        <f t="shared" si="769"/>
        <v>20352</v>
      </c>
      <c r="AX220" s="66">
        <f t="shared" si="769"/>
        <v>22194</v>
      </c>
      <c r="AY220" s="248">
        <f t="shared" si="769"/>
        <v>22194</v>
      </c>
      <c r="AZ220" s="350">
        <f t="shared" si="769"/>
        <v>21748</v>
      </c>
      <c r="BA220" s="66">
        <f t="shared" si="769"/>
        <v>21143</v>
      </c>
      <c r="BB220" s="66">
        <f t="shared" si="769"/>
        <v>20743</v>
      </c>
      <c r="BC220" s="66">
        <f t="shared" si="769"/>
        <v>20596</v>
      </c>
      <c r="BD220" s="248">
        <f t="shared" si="769"/>
        <v>20596</v>
      </c>
      <c r="BE220" s="350">
        <f t="shared" ref="BE220:BP220" si="770">BE218-BE219</f>
        <v>20464</v>
      </c>
      <c r="BF220" s="66">
        <f t="shared" si="770"/>
        <v>20609</v>
      </c>
      <c r="BG220" s="66">
        <f t="shared" si="770"/>
        <v>21059</v>
      </c>
      <c r="BH220" s="66">
        <f t="shared" si="770"/>
        <v>21494</v>
      </c>
      <c r="BI220" s="248">
        <f t="shared" si="770"/>
        <v>21494</v>
      </c>
      <c r="BJ220" s="350">
        <f t="shared" si="770"/>
        <v>22117</v>
      </c>
      <c r="BK220" s="66">
        <f t="shared" si="770"/>
        <v>22708</v>
      </c>
      <c r="BL220" s="66">
        <f t="shared" si="770"/>
        <v>23062</v>
      </c>
      <c r="BM220" s="66">
        <f t="shared" si="770"/>
        <v>23168</v>
      </c>
      <c r="BN220" s="350">
        <f t="shared" si="770"/>
        <v>23168</v>
      </c>
      <c r="BO220" s="350">
        <f>BO218-BO219</f>
        <v>23312</v>
      </c>
      <c r="BP220" s="66">
        <f t="shared" si="770"/>
        <v>23547</v>
      </c>
      <c r="BQ220" s="66">
        <f t="shared" ref="BQ220:BW220" si="771">BQ218-BQ219</f>
        <v>23720</v>
      </c>
      <c r="BR220" s="66">
        <f t="shared" si="771"/>
        <v>23893</v>
      </c>
      <c r="BS220" s="248">
        <f t="shared" si="771"/>
        <v>23893</v>
      </c>
      <c r="BT220" s="350">
        <f>BT218-BT219</f>
        <v>23970</v>
      </c>
      <c r="BU220" s="66">
        <f>BU218-BU219</f>
        <v>24034</v>
      </c>
      <c r="BV220" s="66">
        <f>BV218-BV219</f>
        <v>24319</v>
      </c>
      <c r="BW220" s="66">
        <f t="shared" si="771"/>
        <v>24574</v>
      </c>
      <c r="BX220" s="248">
        <f t="shared" si="769"/>
        <v>24574</v>
      </c>
      <c r="BY220" s="350">
        <f t="shared" ref="BY220:CH220" si="772">BY218-BY219</f>
        <v>24708</v>
      </c>
      <c r="BZ220" s="66">
        <f t="shared" si="772"/>
        <v>25122</v>
      </c>
      <c r="CA220" s="66">
        <f t="shared" si="772"/>
        <v>25413</v>
      </c>
      <c r="CB220" s="66">
        <f t="shared" si="772"/>
        <v>25772</v>
      </c>
      <c r="CC220" s="248">
        <f t="shared" si="772"/>
        <v>25772</v>
      </c>
      <c r="CD220" s="350">
        <f t="shared" si="772"/>
        <v>25896</v>
      </c>
      <c r="CE220" s="66">
        <f t="shared" si="772"/>
        <v>26069</v>
      </c>
      <c r="CF220" s="66">
        <f t="shared" si="772"/>
        <v>26323</v>
      </c>
      <c r="CG220" s="66">
        <f t="shared" si="772"/>
        <v>26323</v>
      </c>
      <c r="CH220" s="248">
        <f t="shared" si="772"/>
        <v>26323</v>
      </c>
      <c r="CI220" s="350">
        <f t="shared" ref="CI220:CP220" si="773">CI218-CI219</f>
        <v>26662</v>
      </c>
      <c r="CJ220" s="66">
        <f t="shared" si="773"/>
        <v>26707</v>
      </c>
      <c r="CK220" s="66">
        <f t="shared" si="773"/>
        <v>26724</v>
      </c>
      <c r="CL220" s="66">
        <f t="shared" si="773"/>
        <v>27554</v>
      </c>
      <c r="CM220" s="248">
        <f t="shared" si="773"/>
        <v>27554</v>
      </c>
      <c r="CN220" s="350">
        <f t="shared" si="773"/>
        <v>27925</v>
      </c>
      <c r="CO220" s="66">
        <f t="shared" si="773"/>
        <v>28444</v>
      </c>
      <c r="CP220" s="66">
        <f t="shared" si="773"/>
        <v>29054</v>
      </c>
      <c r="CQ220" s="66">
        <f t="shared" ref="CQ220:CX220" si="774">CQ218-CQ219</f>
        <v>29398</v>
      </c>
      <c r="CR220" s="248">
        <f>CR218-CR219</f>
        <v>29398</v>
      </c>
      <c r="CS220" s="350">
        <f t="shared" ref="CS220:CV220" si="775">CS218-CS219</f>
        <v>29186</v>
      </c>
      <c r="CT220" s="66">
        <f t="shared" si="775"/>
        <v>28934.773000000001</v>
      </c>
      <c r="CU220" s="66">
        <f t="shared" si="775"/>
        <v>28633.472399999999</v>
      </c>
      <c r="CV220" s="66">
        <f t="shared" si="775"/>
        <v>28175.2264</v>
      </c>
      <c r="CW220" s="248">
        <f>CW218-CW219</f>
        <v>28175.2264</v>
      </c>
      <c r="CX220" s="66">
        <f t="shared" si="774"/>
        <v>29629</v>
      </c>
      <c r="CY220" s="66">
        <f t="shared" ref="CY220:DA220" si="776">CY218-CY219</f>
        <v>29800.576000980414</v>
      </c>
      <c r="CZ220" s="66">
        <f t="shared" si="776"/>
        <v>29688.938263205499</v>
      </c>
      <c r="DA220" s="66">
        <f t="shared" si="776"/>
        <v>29321.270427342482</v>
      </c>
      <c r="DB220" s="248">
        <f>DB218-DB219</f>
        <v>29321.270427342482</v>
      </c>
      <c r="DC220" s="66"/>
      <c r="DD220" s="66"/>
      <c r="DE220" s="66"/>
      <c r="DF220" s="66"/>
      <c r="DG220" s="248">
        <f>DG218-DG219</f>
        <v>30512.148831167306</v>
      </c>
      <c r="DH220" s="66"/>
      <c r="DI220" s="66"/>
      <c r="DJ220" s="66"/>
      <c r="DK220" s="66"/>
      <c r="DL220" s="248">
        <f>DL218-DL219</f>
        <v>31713.608517535009</v>
      </c>
      <c r="DM220" s="66"/>
      <c r="DN220" s="526"/>
      <c r="DO220" s="486"/>
      <c r="DP220" s="411"/>
      <c r="DQ220" s="411"/>
      <c r="DR220" s="411"/>
      <c r="DS220" s="553"/>
      <c r="DT220" s="561"/>
      <c r="DU220" s="457"/>
      <c r="DV220" s="463"/>
      <c r="DW220" s="472"/>
      <c r="DX220" s="472"/>
      <c r="DY220" s="472"/>
      <c r="DZ220" s="808"/>
      <c r="EA220" s="526"/>
      <c r="EH220" s="8"/>
    </row>
    <row r="221" spans="1:138" ht="12.75" hidden="1" customHeight="1" x14ac:dyDescent="0.2">
      <c r="A221" s="110" t="s">
        <v>80</v>
      </c>
      <c r="B221" s="66"/>
      <c r="C221" s="66"/>
      <c r="D221" s="66"/>
      <c r="E221" s="66"/>
      <c r="F221" s="248">
        <f>F131</f>
        <v>741</v>
      </c>
      <c r="G221" s="66">
        <f>G131+E131+D131+C131</f>
        <v>744</v>
      </c>
      <c r="H221" s="66">
        <f>H131+G131+E131+D131</f>
        <v>744</v>
      </c>
      <c r="I221" s="66">
        <f>I131+G131+H131+E131</f>
        <v>744</v>
      </c>
      <c r="J221" s="66">
        <f>J131+H131+G131+I131</f>
        <v>737</v>
      </c>
      <c r="K221" s="248">
        <f>K131</f>
        <v>737</v>
      </c>
      <c r="L221" s="66">
        <f>L131+J131+I131+H131</f>
        <v>727</v>
      </c>
      <c r="M221" s="66">
        <f>M131+L131+J131+I131</f>
        <v>720</v>
      </c>
      <c r="N221" s="66">
        <f>N131+L131+M131+J131</f>
        <v>712</v>
      </c>
      <c r="O221" s="66">
        <f>O131+M131+L131+N131</f>
        <v>709</v>
      </c>
      <c r="P221" s="248">
        <f>P131</f>
        <v>709</v>
      </c>
      <c r="Q221" s="66">
        <f>Q131+O131+N131+M131</f>
        <v>714</v>
      </c>
      <c r="R221" s="66">
        <f>R131+Q131+O131+N131</f>
        <v>714</v>
      </c>
      <c r="S221" s="66">
        <f>S131+Q131+R131+O131</f>
        <v>721</v>
      </c>
      <c r="T221" s="66">
        <f>T131+R131+Q131+S131</f>
        <v>727</v>
      </c>
      <c r="U221" s="248">
        <f>U131</f>
        <v>727</v>
      </c>
      <c r="V221" s="66">
        <f>V131+T131+S131+R131</f>
        <v>725</v>
      </c>
      <c r="W221" s="66">
        <f>W131+V131+T131+S131</f>
        <v>728</v>
      </c>
      <c r="X221" s="66">
        <f>X131+V131+W131+T131</f>
        <v>727</v>
      </c>
      <c r="Y221" s="66">
        <f>Y131+W131+V131+X131</f>
        <v>716</v>
      </c>
      <c r="Z221" s="248">
        <f>Z131</f>
        <v>716</v>
      </c>
      <c r="AA221" s="66">
        <f>AA131+Y131+X131+W131</f>
        <v>678</v>
      </c>
      <c r="AB221" s="66">
        <f>AB131+AA131+Y131+X131</f>
        <v>647</v>
      </c>
      <c r="AC221" s="66">
        <f>AC131+AA131+AB131+Y131</f>
        <v>607</v>
      </c>
      <c r="AD221" s="66">
        <f>AD131+AB131+AA131+AC131</f>
        <v>541</v>
      </c>
      <c r="AE221" s="248">
        <f>AE131</f>
        <v>541</v>
      </c>
      <c r="AF221" s="66">
        <f>AF131+AD131+AC131+AB131</f>
        <v>493</v>
      </c>
      <c r="AG221" s="66">
        <f>AG131+AF131+AD131+AC131</f>
        <v>415</v>
      </c>
      <c r="AH221" s="66">
        <f>AH131+AF131+AG131+AD131</f>
        <v>344</v>
      </c>
      <c r="AI221" s="66">
        <f>AI131+AG131+AF131+AH131</f>
        <v>316</v>
      </c>
      <c r="AJ221" s="248">
        <f>AJ131</f>
        <v>316</v>
      </c>
      <c r="AK221" s="66">
        <f>AK131+AI131+AH131+AG131</f>
        <v>291</v>
      </c>
      <c r="AL221" s="66">
        <f>AL131+AK131+AI131+AH131</f>
        <v>274</v>
      </c>
      <c r="AM221" s="66">
        <f>AM131+AK131+AL131+AI131</f>
        <v>264</v>
      </c>
      <c r="AN221" s="66">
        <f>AN131+AL131+AK131+AM131</f>
        <v>246</v>
      </c>
      <c r="AO221" s="248">
        <f>AO131</f>
        <v>246</v>
      </c>
      <c r="AP221" s="350"/>
      <c r="AQ221" s="66"/>
      <c r="AR221" s="66"/>
      <c r="AS221" s="66"/>
      <c r="AT221" s="202"/>
      <c r="AU221" s="66">
        <f>AU131+AN131+AM131+AL131</f>
        <v>294</v>
      </c>
      <c r="AV221" s="66">
        <f>AV131+AU131+AN155+AM131</f>
        <v>301.10495283018867</v>
      </c>
      <c r="AW221" s="66">
        <f>AW131+AU131+AV131+AN131</f>
        <v>428</v>
      </c>
      <c r="AX221" s="66">
        <f>AX131+AV131+AU131+AW131</f>
        <v>491</v>
      </c>
      <c r="AY221" s="248">
        <f>AY131</f>
        <v>491</v>
      </c>
      <c r="AZ221" s="350">
        <f>AZ131+AX131+AW131+AV131</f>
        <v>494</v>
      </c>
      <c r="BA221" s="66">
        <f>BA131+AZ131+AX131+AW131</f>
        <v>490</v>
      </c>
      <c r="BB221" s="66">
        <f>BB131+AZ131+BA131+AX131</f>
        <v>486</v>
      </c>
      <c r="BC221" s="66">
        <f>BC131+BA131+AZ131+BB131</f>
        <v>480</v>
      </c>
      <c r="BD221" s="248">
        <f>BD131</f>
        <v>480</v>
      </c>
      <c r="BE221" s="350">
        <f>BE131+BC131+BB131+BA131</f>
        <v>471</v>
      </c>
      <c r="BF221" s="66">
        <f>BF131+BE131+BC131+BB131</f>
        <v>453</v>
      </c>
      <c r="BG221" s="66">
        <f>BG131+BE131+BF131+BC131</f>
        <v>422</v>
      </c>
      <c r="BH221" s="66">
        <f>BH131+BF131+BE131+BG131</f>
        <v>387</v>
      </c>
      <c r="BI221" s="248">
        <f>BI131</f>
        <v>387</v>
      </c>
      <c r="BJ221" s="350">
        <f>BJ131+BH131+BG131+BF131</f>
        <v>353</v>
      </c>
      <c r="BK221" s="66">
        <f>BK131+BJ131+BH131+BG131</f>
        <v>326</v>
      </c>
      <c r="BL221" s="66">
        <f>BL131+BJ131+BK131+BH131</f>
        <v>306</v>
      </c>
      <c r="BM221" s="66">
        <f>BM131+BK131+BJ131+BL131</f>
        <v>298</v>
      </c>
      <c r="BN221" s="350">
        <f>BN131</f>
        <v>298</v>
      </c>
      <c r="BO221" s="350">
        <f>BO131+BM131+BL131+BK131</f>
        <v>295</v>
      </c>
      <c r="BP221" s="66">
        <f>BP131+BO131+BM131+BL131</f>
        <v>289</v>
      </c>
      <c r="BQ221" s="66">
        <f>BQ131+BO131+BP131+BM131</f>
        <v>282</v>
      </c>
      <c r="BR221" s="66">
        <f>BR131+BP131+BO131+BQ131</f>
        <v>272</v>
      </c>
      <c r="BS221" s="248">
        <f>BS131</f>
        <v>272</v>
      </c>
      <c r="BT221" s="350">
        <f>BT131+BR131+BQ131+BP131</f>
        <v>257</v>
      </c>
      <c r="BU221" s="66">
        <f>BU131+BT131+BR131+BQ131</f>
        <v>244</v>
      </c>
      <c r="BV221" s="66">
        <f>BV131+BT131+BU131+BR131</f>
        <v>226</v>
      </c>
      <c r="BW221" s="66">
        <f>BW131+BU131+BT131+BV131</f>
        <v>209</v>
      </c>
      <c r="BX221" s="248">
        <f>BX131</f>
        <v>209</v>
      </c>
      <c r="BY221" s="350">
        <f>BY131+BW131+BV131+BU131</f>
        <v>200</v>
      </c>
      <c r="BZ221" s="66">
        <f>BZ131+BY131+BW131+BV131</f>
        <v>201</v>
      </c>
      <c r="CA221" s="66">
        <f>CA131+BY131+BZ131+BW131</f>
        <v>219</v>
      </c>
      <c r="CB221" s="66">
        <f>CB131+BZ131+BY131+CA131</f>
        <v>233</v>
      </c>
      <c r="CC221" s="248">
        <f>CC131</f>
        <v>233</v>
      </c>
      <c r="CD221" s="350">
        <f>CD131+CB131+CA131+BZ131</f>
        <v>242</v>
      </c>
      <c r="CE221" s="66">
        <f>CE131+CD131+CB131+CA131</f>
        <v>246</v>
      </c>
      <c r="CF221" s="66">
        <f>CF131+CD131+CE131+CB131</f>
        <v>244</v>
      </c>
      <c r="CG221" s="66">
        <f>CG131+CE131+CD131+CF131</f>
        <v>250</v>
      </c>
      <c r="CH221" s="248">
        <f>CH131</f>
        <v>250</v>
      </c>
      <c r="CI221" s="350">
        <f>CI131+CG131+CF131+CE131</f>
        <v>256</v>
      </c>
      <c r="CJ221" s="66">
        <f>CJ131+CI131+CG131+CF131</f>
        <v>262</v>
      </c>
      <c r="CK221" s="66">
        <f>CK131+CI131+CJ131+CG131</f>
        <v>271</v>
      </c>
      <c r="CL221" s="66">
        <f>CL131+CJ131+CI131+CK131</f>
        <v>285</v>
      </c>
      <c r="CM221" s="248">
        <f>CM131</f>
        <v>285</v>
      </c>
      <c r="CN221" s="350">
        <f>CN131+CL131+CK131+CJ131</f>
        <v>303</v>
      </c>
      <c r="CO221" s="66">
        <f>CO131+CN131+CL131+CK131</f>
        <v>323</v>
      </c>
      <c r="CP221" s="66">
        <f>CP131+CN131+CO131+CL131</f>
        <v>340</v>
      </c>
      <c r="CQ221" s="66">
        <f>CQ131+CO131+CN131+CP131</f>
        <v>351</v>
      </c>
      <c r="CR221" s="248">
        <f>CR131</f>
        <v>351</v>
      </c>
      <c r="CS221" s="350">
        <f>CS131+CQ131+CP131+CO131</f>
        <v>351</v>
      </c>
      <c r="CT221" s="66">
        <f>CT131+CS131+CQ131+CP131</f>
        <v>351</v>
      </c>
      <c r="CU221" s="66">
        <f>CU131+CS131+CT131+CQ131</f>
        <v>351</v>
      </c>
      <c r="CV221" s="66">
        <f>CV131+CT131+CS131+CU131</f>
        <v>351</v>
      </c>
      <c r="CW221" s="248">
        <f>CW131</f>
        <v>351</v>
      </c>
      <c r="CX221" s="66">
        <f>CX131+CQ131+CP131+CO131</f>
        <v>361</v>
      </c>
      <c r="CY221" s="66">
        <f>CY131+CP131+CQ131+CX131</f>
        <v>371.0101358535145</v>
      </c>
      <c r="CZ221" s="66">
        <f>CZ131+CX131+CQ131+CY131</f>
        <v>381.63372740281022</v>
      </c>
      <c r="DA221" s="66">
        <f>DA131+CY131+CX131+CZ131</f>
        <v>392.07435787566493</v>
      </c>
      <c r="DB221" s="248">
        <f>DB131</f>
        <v>392.07435787566487</v>
      </c>
      <c r="DC221" s="66"/>
      <c r="DD221" s="66"/>
      <c r="DE221" s="66"/>
      <c r="DF221" s="66"/>
      <c r="DG221" s="248">
        <f>DG131</f>
        <v>406.41476764544109</v>
      </c>
      <c r="DH221" s="66"/>
      <c r="DI221" s="66"/>
      <c r="DJ221" s="66"/>
      <c r="DK221" s="66"/>
      <c r="DL221" s="248">
        <f>DL131</f>
        <v>418.60721067480432</v>
      </c>
      <c r="DM221" s="66"/>
      <c r="DN221" s="526"/>
      <c r="DO221" s="486"/>
      <c r="DP221" s="411"/>
      <c r="DQ221" s="411"/>
      <c r="DR221" s="411"/>
      <c r="DS221" s="478"/>
      <c r="DT221" s="561"/>
      <c r="DU221" s="457"/>
      <c r="DV221" s="463"/>
      <c r="DW221" s="472"/>
      <c r="DX221" s="472"/>
      <c r="DY221" s="472"/>
      <c r="DZ221" s="808"/>
      <c r="EA221" s="526"/>
      <c r="EH221" s="8"/>
    </row>
    <row r="222" spans="1:138" ht="12.75" hidden="1" customHeight="1" x14ac:dyDescent="0.2">
      <c r="A222" s="110" t="s">
        <v>280</v>
      </c>
      <c r="B222" s="66"/>
      <c r="C222" s="66"/>
      <c r="D222" s="66"/>
      <c r="E222" s="66"/>
      <c r="F222" s="248">
        <f>F126</f>
        <v>0</v>
      </c>
      <c r="G222" s="66">
        <f>G126+E126+D126+C126</f>
        <v>0</v>
      </c>
      <c r="H222" s="66">
        <f>H126+G126+E126+D126</f>
        <v>0</v>
      </c>
      <c r="I222" s="66">
        <f>I126+G126+H126+E126</f>
        <v>0</v>
      </c>
      <c r="J222" s="66">
        <f>J126+H126+G126+I126</f>
        <v>0</v>
      </c>
      <c r="K222" s="248">
        <f>K126</f>
        <v>0</v>
      </c>
      <c r="L222" s="66">
        <f>L126+J126+I126+H126</f>
        <v>0</v>
      </c>
      <c r="M222" s="66">
        <f>M126+L126+J126+I126</f>
        <v>0</v>
      </c>
      <c r="N222" s="66">
        <f>N126+L126+M126+J126</f>
        <v>0</v>
      </c>
      <c r="O222" s="66">
        <f>O126+M126+L126+N126</f>
        <v>0</v>
      </c>
      <c r="P222" s="248">
        <f>P126</f>
        <v>0</v>
      </c>
      <c r="Q222" s="66">
        <f>Q126+O126+N126+M126</f>
        <v>0</v>
      </c>
      <c r="R222" s="66">
        <f>R126+Q126+O126+N126</f>
        <v>0</v>
      </c>
      <c r="S222" s="66">
        <f>S126+Q126+R126+O126</f>
        <v>0</v>
      </c>
      <c r="T222" s="66">
        <f>T126+R126+Q126+S126</f>
        <v>0</v>
      </c>
      <c r="U222" s="248">
        <f>U126</f>
        <v>0</v>
      </c>
      <c r="V222" s="66">
        <f>V126+T126+S126+R126</f>
        <v>0</v>
      </c>
      <c r="W222" s="66">
        <f>W126+V126+T126+S126</f>
        <v>0</v>
      </c>
      <c r="X222" s="66">
        <f>X126+V126+W126+T126</f>
        <v>0</v>
      </c>
      <c r="Y222" s="66">
        <f>Y126+W126+V126+X126</f>
        <v>0</v>
      </c>
      <c r="Z222" s="248">
        <f>Z126</f>
        <v>0</v>
      </c>
      <c r="AA222" s="66">
        <f>AA126+Y126+X126+W126</f>
        <v>0</v>
      </c>
      <c r="AB222" s="66">
        <f>AB126+AA126+Y126+X126</f>
        <v>0</v>
      </c>
      <c r="AC222" s="66">
        <f>AC126+AA126+AB126+Y126</f>
        <v>0</v>
      </c>
      <c r="AD222" s="66">
        <f>AD126+AB126+AA126+AC126</f>
        <v>0</v>
      </c>
      <c r="AE222" s="248">
        <f>AE126</f>
        <v>0</v>
      </c>
      <c r="AF222" s="66">
        <f>AF126+AD126+AC126+AB126</f>
        <v>0</v>
      </c>
      <c r="AG222" s="66">
        <f>AG126+AF126+AD126+AC126</f>
        <v>0</v>
      </c>
      <c r="AH222" s="66">
        <f>AH126+AF126+AG126+AD126</f>
        <v>0</v>
      </c>
      <c r="AI222" s="66">
        <f>AI126+AG126+AF126+AH126</f>
        <v>0</v>
      </c>
      <c r="AJ222" s="248">
        <f>AJ126</f>
        <v>0</v>
      </c>
      <c r="AK222" s="66">
        <f>AK126+AI126+AH126+AG126</f>
        <v>0</v>
      </c>
      <c r="AL222" s="66">
        <f>AL126+AK126+AI126+AH126</f>
        <v>0</v>
      </c>
      <c r="AM222" s="66">
        <f>AM126+AK126+AL126+AI126</f>
        <v>0</v>
      </c>
      <c r="AN222" s="66">
        <f>AN126+AL126+AK126+AM126</f>
        <v>0</v>
      </c>
      <c r="AO222" s="248">
        <f>AO126</f>
        <v>0</v>
      </c>
      <c r="AP222" s="350"/>
      <c r="AQ222" s="66"/>
      <c r="AR222" s="66"/>
      <c r="AS222" s="66"/>
      <c r="AT222" s="202"/>
      <c r="AU222" s="66">
        <f>AU126+AN126+AM126+AL126</f>
        <v>154.96</v>
      </c>
      <c r="AV222" s="66">
        <f>AV126+AU126+AN156+AM126</f>
        <v>315.20000000000005</v>
      </c>
      <c r="AW222" s="66">
        <f>AW126+AU126+AV126+AN126</f>
        <v>475.28000000000003</v>
      </c>
      <c r="AX222" s="66">
        <f>AX126+AV126+AU126+AW126</f>
        <v>606.71</v>
      </c>
      <c r="AY222" s="248">
        <f>AY126</f>
        <v>606.71</v>
      </c>
      <c r="AZ222" s="350">
        <f>AZ126+AX126+AW126+AV126</f>
        <v>569.79000000000008</v>
      </c>
      <c r="BA222" s="66">
        <f>BA126+AZ126+AX126+AW126</f>
        <v>533</v>
      </c>
      <c r="BB222" s="66">
        <f>BB126+AZ126+BA126+AX126</f>
        <v>506.09000000000003</v>
      </c>
      <c r="BC222" s="66">
        <f>BC126+BA126+AZ126+BB126</f>
        <v>496.99</v>
      </c>
      <c r="BD222" s="248">
        <f>BD126</f>
        <v>496.99</v>
      </c>
      <c r="BE222" s="350">
        <f>BE126+BC126+BB126+BA126</f>
        <v>498.16</v>
      </c>
      <c r="BF222" s="66">
        <f>BF126+BE126+BC126+BB126</f>
        <v>499.07</v>
      </c>
      <c r="BG222" s="66">
        <f>BG126+BE126+BF126+BC126</f>
        <v>528.58000000000004</v>
      </c>
      <c r="BH222" s="66">
        <f>BH126+BF126+BE126+BG126</f>
        <v>559.65000000000009</v>
      </c>
      <c r="BI222" s="248">
        <f>BI126</f>
        <v>559.65</v>
      </c>
      <c r="BJ222" s="350">
        <f>BJ126+BH126+BG126+BF126</f>
        <v>609.43999999999994</v>
      </c>
      <c r="BK222" s="66">
        <f>BK126+BJ126+BH126+BG126</f>
        <v>666.38000000000011</v>
      </c>
      <c r="BL222" s="66">
        <f>BL126+BJ126+BK126+BH126</f>
        <v>691.86</v>
      </c>
      <c r="BM222" s="66">
        <f>BM126+BK126+BJ126+BL126</f>
        <v>711.1</v>
      </c>
      <c r="BN222" s="350">
        <f>BN126</f>
        <v>711.1</v>
      </c>
      <c r="BO222" s="350">
        <f>BO126+BM126+BL126+BK126</f>
        <v>720.84999999999991</v>
      </c>
      <c r="BP222" s="66">
        <f>BP126+BO126+BM126+BL126</f>
        <v>721.63</v>
      </c>
      <c r="BQ222" s="66">
        <f>BQ126+BO126+BP126+BM126</f>
        <v>723.58</v>
      </c>
      <c r="BR222" s="66">
        <f>BR126+BP126+BO126+BQ126</f>
        <v>734.11</v>
      </c>
      <c r="BS222" s="248">
        <f>BS126</f>
        <v>734.11</v>
      </c>
      <c r="BT222" s="350">
        <f>BT126+BR126+BQ126+BP126</f>
        <v>737.23000000000013</v>
      </c>
      <c r="BU222" s="66">
        <f>BU126+BT126+BR126+BQ126</f>
        <v>740.87</v>
      </c>
      <c r="BV222" s="66">
        <f>BV126+BT126+BU126+BR126</f>
        <v>742.43000000000006</v>
      </c>
      <c r="BW222" s="66">
        <f>BW126+BU126+BT126+BV126</f>
        <v>736.97</v>
      </c>
      <c r="BX222" s="248">
        <f>BX126</f>
        <v>736.97</v>
      </c>
      <c r="BY222" s="350">
        <f>BY126+BW126+BV126+BU126</f>
        <v>726.57</v>
      </c>
      <c r="BZ222" s="66">
        <f>BZ126+BY126+BW126+BV126</f>
        <v>715.78</v>
      </c>
      <c r="CA222" s="66">
        <f>CA126+BY126+BZ126+BW126</f>
        <v>702</v>
      </c>
      <c r="CB222" s="66">
        <f>CB126+BZ126+BY126+CA126</f>
        <v>680.81000000000006</v>
      </c>
      <c r="CC222" s="248">
        <f>CC126</f>
        <v>680.81000000000006</v>
      </c>
      <c r="CD222" s="350">
        <f>CD126+CB126+CA126+BZ126</f>
        <v>646.23</v>
      </c>
      <c r="CE222" s="66">
        <f>CE126+CD126+CB126+CA126</f>
        <v>611.91</v>
      </c>
      <c r="CF222" s="66">
        <f>CF126+CD126+CE126+CB126</f>
        <v>575.51</v>
      </c>
      <c r="CG222" s="66">
        <f>CG126+CE126+CD126+CF126</f>
        <v>551.33000000000004</v>
      </c>
      <c r="CH222" s="248">
        <f>CH126</f>
        <v>551.33000000000004</v>
      </c>
      <c r="CI222" s="350">
        <f>CI126+CG126+CF126+CE126</f>
        <v>545.22</v>
      </c>
      <c r="CJ222" s="66">
        <f>CJ126+CI126+CG126+CF126</f>
        <v>545.09</v>
      </c>
      <c r="CK222" s="66">
        <f>CK126+CI126+CJ126+CG126</f>
        <v>551.07000000000005</v>
      </c>
      <c r="CL222" s="66">
        <f>CL126+CJ126+CI126+CK126</f>
        <v>560.43000000000006</v>
      </c>
      <c r="CM222" s="248">
        <f>CM126</f>
        <v>560.43000000000006</v>
      </c>
      <c r="CN222" s="350">
        <f>CN126+CL126+CK126+CJ126</f>
        <v>573.95000000000005</v>
      </c>
      <c r="CO222" s="66">
        <f>CO126+CN126+CL126+CK126</f>
        <v>572.00000000000011</v>
      </c>
      <c r="CP222" s="66">
        <f>CP126+CN126+CO126+CL126</f>
        <v>576.81000000000006</v>
      </c>
      <c r="CQ222" s="66">
        <f>CQ126+CO126+CN126+CP126</f>
        <v>585.39</v>
      </c>
      <c r="CR222" s="248">
        <f>CR126</f>
        <v>585.39</v>
      </c>
      <c r="CS222" s="350">
        <f>CS126+CQ126+CP126+CO126</f>
        <v>553.41</v>
      </c>
      <c r="CT222" s="66">
        <f>CT126+CS126+CQ126+CP126</f>
        <v>521.81999999999994</v>
      </c>
      <c r="CU222" s="66">
        <f>CU126+CS126+CT126+CQ126</f>
        <v>486.85</v>
      </c>
      <c r="CV222" s="66">
        <f>CV126+CT126+CS126+CU126</f>
        <v>450.58</v>
      </c>
      <c r="CW222" s="248">
        <f>CW126</f>
        <v>450.58000000000004</v>
      </c>
      <c r="CX222" s="66">
        <f>CX126+CQ126+CP126+CO126</f>
        <v>552.37</v>
      </c>
      <c r="CY222" s="66">
        <f>CY126+CP126+CQ126+CX126</f>
        <v>529.10301600000003</v>
      </c>
      <c r="CZ222" s="66">
        <f>CZ126+CX126+CQ126+CY126</f>
        <v>494.36279492750998</v>
      </c>
      <c r="DA222" s="66">
        <f>DA126+CY126+CX126+CZ126</f>
        <v>454.36246386775622</v>
      </c>
      <c r="DB222" s="248">
        <f>DB126</f>
        <v>454.36246386775616</v>
      </c>
      <c r="DC222" s="66"/>
      <c r="DD222" s="66"/>
      <c r="DE222" s="66"/>
      <c r="DF222" s="66"/>
      <c r="DG222" s="248">
        <f>DG126</f>
        <v>455.49539466075748</v>
      </c>
      <c r="DH222" s="66"/>
      <c r="DI222" s="66"/>
      <c r="DJ222" s="66"/>
      <c r="DK222" s="66"/>
      <c r="DL222" s="248">
        <f>DL126</f>
        <v>455.46647390673212</v>
      </c>
      <c r="DM222" s="66"/>
      <c r="DN222" s="526"/>
      <c r="DO222" s="486"/>
      <c r="DP222" s="411"/>
      <c r="DQ222" s="411"/>
      <c r="DR222" s="411"/>
      <c r="DS222" s="478"/>
      <c r="DT222" s="561"/>
      <c r="DU222" s="457"/>
      <c r="DV222" s="463"/>
      <c r="DW222" s="472"/>
      <c r="DX222" s="472"/>
      <c r="DY222" s="472"/>
      <c r="DZ222" s="808"/>
      <c r="EA222" s="526"/>
      <c r="EH222" s="8"/>
    </row>
    <row r="223" spans="1:138" ht="12.75" hidden="1" customHeight="1" x14ac:dyDescent="0.2">
      <c r="A223" s="110" t="s">
        <v>358</v>
      </c>
      <c r="B223" s="66"/>
      <c r="C223" s="66"/>
      <c r="D223" s="66"/>
      <c r="E223" s="66"/>
      <c r="F223" s="248">
        <f>F127</f>
        <v>1186</v>
      </c>
      <c r="G223" s="66">
        <f>G127+E127+D127+C127</f>
        <v>1213</v>
      </c>
      <c r="H223" s="66">
        <f>H127+G127+E127+D127</f>
        <v>1243</v>
      </c>
      <c r="I223" s="66">
        <f>I127+G127+H127+E127</f>
        <v>1280</v>
      </c>
      <c r="J223" s="66">
        <f>J127+H127+G127+I127</f>
        <v>1283</v>
      </c>
      <c r="K223" s="248">
        <f>K127</f>
        <v>1283</v>
      </c>
      <c r="L223" s="66">
        <f>L127+J127+I127+H127</f>
        <v>1240</v>
      </c>
      <c r="M223" s="66">
        <f>M127+L127+J127+I127</f>
        <v>1200</v>
      </c>
      <c r="N223" s="66">
        <f>N127+L127+M127+J127</f>
        <v>1171</v>
      </c>
      <c r="O223" s="66">
        <f>O127+M127+L127+N127</f>
        <v>1148</v>
      </c>
      <c r="P223" s="248">
        <f>P127</f>
        <v>1148</v>
      </c>
      <c r="Q223" s="66">
        <f>Q127+O127+N127+M127</f>
        <v>1165</v>
      </c>
      <c r="R223" s="66">
        <f>R127+Q127+O127+N127</f>
        <v>1173</v>
      </c>
      <c r="S223" s="66">
        <f>S127+Q127+R127+O127</f>
        <v>1182</v>
      </c>
      <c r="T223" s="66">
        <f>T127+R127+Q127+S127</f>
        <v>1202</v>
      </c>
      <c r="U223" s="248">
        <f>U127</f>
        <v>1202</v>
      </c>
      <c r="V223" s="66">
        <f>V127+T127+S127+R127</f>
        <v>1211</v>
      </c>
      <c r="W223" s="66">
        <f>W127+V127+T127+S127</f>
        <v>1223</v>
      </c>
      <c r="X223" s="66">
        <f>X127+V127+W127+T127</f>
        <v>1236</v>
      </c>
      <c r="Y223" s="66">
        <f>Y127+W127+V127+X127</f>
        <v>1244</v>
      </c>
      <c r="Z223" s="248">
        <f>Z127</f>
        <v>1244</v>
      </c>
      <c r="AA223" s="66">
        <f>AA127+Y127+X127+W127</f>
        <v>1250</v>
      </c>
      <c r="AB223" s="66">
        <f>AB127+AA127+Y127+X127</f>
        <v>1265</v>
      </c>
      <c r="AC223" s="66">
        <f>AC127+AA127+AB127+Y127</f>
        <v>1271</v>
      </c>
      <c r="AD223" s="66">
        <f>AD127+AB127+AA127+AC127</f>
        <v>1273</v>
      </c>
      <c r="AE223" s="248">
        <f>AE127</f>
        <v>1273</v>
      </c>
      <c r="AF223" s="66">
        <f>AF127+AD127+AC127+AB127</f>
        <v>1261</v>
      </c>
      <c r="AG223" s="66">
        <f>AG127+AF127+AD127+AC127</f>
        <v>1253</v>
      </c>
      <c r="AH223" s="66">
        <f>AH127+AF127+AG127+AD127</f>
        <v>1229</v>
      </c>
      <c r="AI223" s="66">
        <f>AI127+AG127+AF127+AH127</f>
        <v>1276</v>
      </c>
      <c r="AJ223" s="248">
        <f>AJ127</f>
        <v>1276</v>
      </c>
      <c r="AK223" s="66">
        <f>AK127+AI127+AH127+AG127</f>
        <v>1266</v>
      </c>
      <c r="AL223" s="66">
        <f>AL127+AK127+AI127+AH127</f>
        <v>1236</v>
      </c>
      <c r="AM223" s="66">
        <f>AM127+AK127+AL127+AI127</f>
        <v>1240</v>
      </c>
      <c r="AN223" s="66">
        <f>AN127+AL127+AK127+AM127</f>
        <v>1164</v>
      </c>
      <c r="AO223" s="248">
        <f>AO127</f>
        <v>1164</v>
      </c>
      <c r="AP223" s="350"/>
      <c r="AQ223" s="66"/>
      <c r="AR223" s="66"/>
      <c r="AS223" s="66"/>
      <c r="AT223" s="202"/>
      <c r="AU223" s="66">
        <f>AU127+AN127+AM127+AL127</f>
        <v>1301</v>
      </c>
      <c r="AV223" s="66">
        <f>AV127+AU127+AN157+AM127</f>
        <v>1494</v>
      </c>
      <c r="AW223" s="66">
        <f>AW127+AU127+AV127+AN127</f>
        <v>1554</v>
      </c>
      <c r="AX223" s="66">
        <f>AX127+AV127+AU127+AW127</f>
        <v>1679</v>
      </c>
      <c r="AY223" s="248">
        <f>AY127</f>
        <v>1679</v>
      </c>
      <c r="AZ223" s="350">
        <f>AZ127+AX127+AW127+AV127</f>
        <v>1635</v>
      </c>
      <c r="BA223" s="66">
        <f>BA127+AZ127+AX127+AW127</f>
        <v>1595</v>
      </c>
      <c r="BB223" s="66">
        <f>BB127+AZ127+BA127+AX127</f>
        <v>1565</v>
      </c>
      <c r="BC223" s="66">
        <f>BC127+BA127+AZ127+BB127</f>
        <v>1536</v>
      </c>
      <c r="BD223" s="248">
        <f>BD127</f>
        <v>1536</v>
      </c>
      <c r="BE223" s="350">
        <f>BE127+BC127+BB127+BA127</f>
        <v>1537</v>
      </c>
      <c r="BF223" s="66">
        <f>BF127+BE127+BC127+BB127</f>
        <v>1533</v>
      </c>
      <c r="BG223" s="66">
        <f>BG127+BE127+BF127+BC127</f>
        <v>1523</v>
      </c>
      <c r="BH223" s="66">
        <f>BH127+BF127+BE127+BG127</f>
        <v>1511</v>
      </c>
      <c r="BI223" s="248">
        <f>BI127</f>
        <v>1511</v>
      </c>
      <c r="BJ223" s="350">
        <f>BJ127+BH127+BG127+BF127</f>
        <v>1502</v>
      </c>
      <c r="BK223" s="66">
        <f>BK127+BJ127+BH127+BG127</f>
        <v>1504</v>
      </c>
      <c r="BL223" s="66">
        <f>BL127+BJ127+BK127+BH127</f>
        <v>1513</v>
      </c>
      <c r="BM223" s="66">
        <f>BM127+BK127+BJ127+BL127</f>
        <v>1523</v>
      </c>
      <c r="BN223" s="350">
        <f>BN127</f>
        <v>1523</v>
      </c>
      <c r="BO223" s="350">
        <f>BO127+BM127+BL127+BK127</f>
        <v>1533</v>
      </c>
      <c r="BP223" s="66">
        <f>BP127+BO127+BM127+BL127</f>
        <v>1540</v>
      </c>
      <c r="BQ223" s="66">
        <f>BQ127+BO127+BP127+BM127</f>
        <v>1548</v>
      </c>
      <c r="BR223" s="66">
        <f>BR127+BP127+BO127+BQ127</f>
        <v>1565</v>
      </c>
      <c r="BS223" s="248">
        <f>BS127</f>
        <v>1565</v>
      </c>
      <c r="BT223" s="350">
        <f>BT127+BR127+BQ127+BP127</f>
        <v>1584</v>
      </c>
      <c r="BU223" s="66">
        <f>BU127+BT127+BR127+BQ127</f>
        <v>1611</v>
      </c>
      <c r="BV223" s="66">
        <f>BV127+BT127+BU127+BR127</f>
        <v>1637</v>
      </c>
      <c r="BW223" s="66">
        <f>BW127+BU127+BT127+BV127</f>
        <v>1658</v>
      </c>
      <c r="BX223" s="248">
        <f>BX127</f>
        <v>1658</v>
      </c>
      <c r="BY223" s="350">
        <f>BY127+BW127+BV127+BU127</f>
        <v>1695</v>
      </c>
      <c r="BZ223" s="66">
        <f>BZ127+BY127+BW127+BV127</f>
        <v>1731</v>
      </c>
      <c r="CA223" s="66">
        <f>CA127+BY127+BZ127+BW127</f>
        <v>1753</v>
      </c>
      <c r="CB223" s="66">
        <f>CB127+BZ127+BY127+CA127</f>
        <v>1771</v>
      </c>
      <c r="CC223" s="248">
        <f>CC127</f>
        <v>1771</v>
      </c>
      <c r="CD223" s="350">
        <f>CD127+CB127+CA127+BZ127</f>
        <v>1799</v>
      </c>
      <c r="CE223" s="66">
        <f>CE127+CD127+CB127+CA127</f>
        <v>1796</v>
      </c>
      <c r="CF223" s="66">
        <f>CF127+CD127+CE127+CB127</f>
        <v>1822</v>
      </c>
      <c r="CG223" s="66">
        <f>CG127+CE127+CD127+CF127</f>
        <v>1835</v>
      </c>
      <c r="CH223" s="248">
        <f>CH127</f>
        <v>1835</v>
      </c>
      <c r="CI223" s="350">
        <f>CI127+CG127+CF127+CE127</f>
        <v>1851</v>
      </c>
      <c r="CJ223" s="66">
        <f>CJ127+CI127+CG127+CF127</f>
        <v>1873</v>
      </c>
      <c r="CK223" s="66">
        <f>CK127+CI127+CJ127+CG127</f>
        <v>1881</v>
      </c>
      <c r="CL223" s="66">
        <f>CL127+CJ127+CI127+CK127</f>
        <v>1902</v>
      </c>
      <c r="CM223" s="248">
        <f>CM127</f>
        <v>1902</v>
      </c>
      <c r="CN223" s="350">
        <f>CN127+CL127+CK127+CJ127</f>
        <v>1956</v>
      </c>
      <c r="CO223" s="66">
        <f>CO127+CN127+CL127+CK127</f>
        <v>2021</v>
      </c>
      <c r="CP223" s="66">
        <f>CP127+CN127+CO127+CL127</f>
        <v>2121</v>
      </c>
      <c r="CQ223" s="66">
        <f>CQ127+CO127+CN127+CP127</f>
        <v>2235</v>
      </c>
      <c r="CR223" s="248">
        <f>CR127</f>
        <v>2235</v>
      </c>
      <c r="CS223" s="350">
        <f>CS127+CQ127+CP127+CO127</f>
        <v>2232</v>
      </c>
      <c r="CT223" s="66">
        <f>CT127+CS127+CQ127+CP127</f>
        <v>2228</v>
      </c>
      <c r="CU223" s="66">
        <f>CU127+CS127+CT127+CQ127</f>
        <v>2225</v>
      </c>
      <c r="CV223" s="66">
        <f>CV127+CT127+CS127+CU127</f>
        <v>2222</v>
      </c>
      <c r="CW223" s="248">
        <f>CW127</f>
        <v>2222</v>
      </c>
      <c r="CX223" s="66">
        <f>CX127+CQ127+CP127+CO127</f>
        <v>2305</v>
      </c>
      <c r="CY223" s="66">
        <f>CY127+CP127+CQ127+CX127</f>
        <v>2370.0299999999997</v>
      </c>
      <c r="CZ223" s="66">
        <f>CZ127+CX127+CQ127+CY127</f>
        <v>2401.29</v>
      </c>
      <c r="DA223" s="66">
        <f>DA127+CY127+CX127+CZ127</f>
        <v>2415.7799999999997</v>
      </c>
      <c r="DB223" s="248">
        <f>DB127</f>
        <v>2415.7799999999997</v>
      </c>
      <c r="DC223" s="66"/>
      <c r="DD223" s="66"/>
      <c r="DE223" s="66"/>
      <c r="DF223" s="66"/>
      <c r="DG223" s="248">
        <f>DG127</f>
        <v>2500.3322999999996</v>
      </c>
      <c r="DH223" s="66"/>
      <c r="DI223" s="66"/>
      <c r="DJ223" s="66"/>
      <c r="DK223" s="66"/>
      <c r="DL223" s="248">
        <f>DL127</f>
        <v>2562.8406074999994</v>
      </c>
      <c r="DM223" s="66"/>
      <c r="DN223" s="526"/>
      <c r="DO223" s="486"/>
      <c r="DP223" s="411"/>
      <c r="DQ223" s="411"/>
      <c r="DR223" s="411"/>
      <c r="DS223" s="478"/>
      <c r="DT223" s="561"/>
      <c r="DU223" s="457"/>
      <c r="DV223" s="463"/>
      <c r="DW223" s="472"/>
      <c r="DX223" s="472"/>
      <c r="DY223" s="472"/>
      <c r="DZ223" s="808"/>
      <c r="EA223" s="526"/>
      <c r="EH223" s="8"/>
    </row>
    <row r="224" spans="1:138" ht="12.75" hidden="1" customHeight="1" x14ac:dyDescent="0.2">
      <c r="A224" s="66" t="s">
        <v>129</v>
      </c>
      <c r="B224" s="66"/>
      <c r="C224" s="66"/>
      <c r="D224" s="66"/>
      <c r="E224" s="66"/>
      <c r="F224" s="248">
        <f>F156</f>
        <v>1757</v>
      </c>
      <c r="G224" s="66">
        <f>G156+E156+D156+C156</f>
        <v>1287</v>
      </c>
      <c r="H224" s="66">
        <f>H156+G156+E156+D156</f>
        <v>541</v>
      </c>
      <c r="I224" s="66">
        <f>I156+G156+H156+E156</f>
        <v>-345</v>
      </c>
      <c r="J224" s="66">
        <f>J156+H156+G156+I156</f>
        <v>-1117</v>
      </c>
      <c r="K224" s="248">
        <f>K156</f>
        <v>-1117</v>
      </c>
      <c r="L224" s="66">
        <f>L156+J156+I156+H156</f>
        <v>-1397</v>
      </c>
      <c r="M224" s="66">
        <f>M156+L156+J156+I156</f>
        <v>-1447</v>
      </c>
      <c r="N224" s="66">
        <f>N156+L156+M156+J156</f>
        <v>-1287</v>
      </c>
      <c r="O224" s="66">
        <f>O156+M156+L156+N156</f>
        <v>-904</v>
      </c>
      <c r="P224" s="248">
        <f>P156</f>
        <v>-904</v>
      </c>
      <c r="Q224" s="66">
        <f>Q156+O156+N156+M156</f>
        <v>-1001</v>
      </c>
      <c r="R224" s="66">
        <f>R156+Q156+O156+N156</f>
        <v>-1099.4499999999998</v>
      </c>
      <c r="S224" s="66">
        <f>S156+Q156+R156+O156</f>
        <v>-986.44999999999982</v>
      </c>
      <c r="T224" s="66">
        <f>T156+R156+Q156+S156</f>
        <v>-909.44999999999982</v>
      </c>
      <c r="U224" s="248">
        <f>U156</f>
        <v>-909.45000000000073</v>
      </c>
      <c r="V224" s="66">
        <f>V156+T156+S156+R156</f>
        <v>-805.44999999999982</v>
      </c>
      <c r="W224" s="66">
        <f>W156+V156+T156+S156</f>
        <v>-727</v>
      </c>
      <c r="X224" s="66">
        <f>X156+V156+W156+T156</f>
        <v>-1015</v>
      </c>
      <c r="Y224" s="66">
        <f>Y156+W156+V156+X156</f>
        <v>-1474</v>
      </c>
      <c r="Z224" s="248">
        <f>Z156</f>
        <v>-1474</v>
      </c>
      <c r="AA224" s="66">
        <f>AA156+Y156+X156+W156</f>
        <v>-1512</v>
      </c>
      <c r="AB224" s="66">
        <f>AB156+AA156+Y156+X156</f>
        <v>-1421</v>
      </c>
      <c r="AC224" s="66">
        <f>AC156+AA156+AB156+Y156</f>
        <v>-1207</v>
      </c>
      <c r="AD224" s="66">
        <f>AD156+AB156+AA156+AC156</f>
        <v>-1113</v>
      </c>
      <c r="AE224" s="248">
        <f>AE156</f>
        <v>-1113</v>
      </c>
      <c r="AF224" s="66">
        <f>AF156+AD156+AC156+AB156</f>
        <v>-1172</v>
      </c>
      <c r="AG224" s="66">
        <f>AG156+AF156+AD156+AC156</f>
        <v>-770</v>
      </c>
      <c r="AH224" s="66">
        <f>AH156+AF156+AG156+AD156</f>
        <v>-447</v>
      </c>
      <c r="AI224" s="66">
        <f>AI156+AG156+AF156+AH156</f>
        <v>58</v>
      </c>
      <c r="AJ224" s="248">
        <f>AJ156</f>
        <v>58</v>
      </c>
      <c r="AK224" s="66">
        <f>AK156+AI156+AH156+AG156</f>
        <v>698</v>
      </c>
      <c r="AL224" s="66">
        <f>AL156+AK156+AI156+AH156</f>
        <v>841</v>
      </c>
      <c r="AM224" s="66">
        <f>AM156+AK156+AL156+AI156</f>
        <v>1126</v>
      </c>
      <c r="AN224" s="66">
        <f>AN156+AL156+AK156+AM156</f>
        <v>1118</v>
      </c>
      <c r="AO224" s="248">
        <f>AO156</f>
        <v>1118</v>
      </c>
      <c r="AP224" s="350"/>
      <c r="AQ224" s="66"/>
      <c r="AR224" s="66"/>
      <c r="AS224" s="66"/>
      <c r="AT224" s="248"/>
      <c r="AU224" s="66">
        <f>AU156+AS156+AR156+AQ156</f>
        <v>-258</v>
      </c>
      <c r="AV224" s="66">
        <f>AV156+AU156+AS156+AR156</f>
        <v>-20</v>
      </c>
      <c r="AW224" s="66">
        <f>AW156+AU156+AV156+AS156</f>
        <v>196</v>
      </c>
      <c r="AX224" s="66">
        <f>AX156+AV156+AU156+AW156</f>
        <v>50</v>
      </c>
      <c r="AY224" s="248">
        <f>AY156</f>
        <v>50</v>
      </c>
      <c r="AZ224" s="350">
        <f>AZ156+AX156+AW156+AV156</f>
        <v>-74</v>
      </c>
      <c r="BA224" s="66">
        <f>BA156+AZ156+AX156+AW156</f>
        <v>-253</v>
      </c>
      <c r="BB224" s="66">
        <f>BB156+AZ156+BA156+AX156</f>
        <v>-136</v>
      </c>
      <c r="BC224" s="66">
        <f>BC156+BA156+AZ156+BB156</f>
        <v>85</v>
      </c>
      <c r="BD224" s="248">
        <f>BD156</f>
        <v>85</v>
      </c>
      <c r="BE224" s="350">
        <f>BE156+BC156+BB156+BA156</f>
        <v>589</v>
      </c>
      <c r="BF224" s="66">
        <f>BF156+BE156+BC156+BB156</f>
        <v>1464.0599999999995</v>
      </c>
      <c r="BG224" s="66">
        <f>BG156+BE156+BF156+BC156</f>
        <v>2340.0599999999995</v>
      </c>
      <c r="BH224" s="66">
        <f>BH156+BF156+BE156+BG156</f>
        <v>2667.0599999999995</v>
      </c>
      <c r="BI224" s="248">
        <f>BI156</f>
        <v>2667.0599999999995</v>
      </c>
      <c r="BJ224" s="350">
        <f>BJ156+BH156+BG156+BF156</f>
        <v>2431.0599999999995</v>
      </c>
      <c r="BK224" s="66">
        <f>BK156+BJ156+BH156+BG156</f>
        <v>2133</v>
      </c>
      <c r="BL224" s="66">
        <f>BL156+BJ156+BK156+BH156</f>
        <v>1995</v>
      </c>
      <c r="BM224" s="66">
        <f>BM156+BK156+BJ156+BL156</f>
        <v>2243</v>
      </c>
      <c r="BN224" s="350">
        <f>BN156</f>
        <v>2243</v>
      </c>
      <c r="BO224" s="350">
        <f>BO156+BM156+BL156+BK156</f>
        <v>2576</v>
      </c>
      <c r="BP224" s="66">
        <f>BP156+BO156+BM156+BL156</f>
        <v>2828</v>
      </c>
      <c r="BQ224" s="66">
        <f>BQ156+BO156+BP156+BM156</f>
        <v>2774</v>
      </c>
      <c r="BR224" s="66">
        <f>BR156+BP156+BO156+BQ156</f>
        <v>2601</v>
      </c>
      <c r="BS224" s="248">
        <f>BS156</f>
        <v>2601</v>
      </c>
      <c r="BT224" s="350">
        <f>BT156+BR156+BQ156+BP156</f>
        <v>2682</v>
      </c>
      <c r="BU224" s="66">
        <f>BU156+BT156+BR156+BQ156</f>
        <v>2867</v>
      </c>
      <c r="BV224" s="66">
        <f>BV156+BT156+BU156+BR156</f>
        <v>3234</v>
      </c>
      <c r="BW224" s="66">
        <f>BW156+BU156+BT156+BV156</f>
        <v>3526</v>
      </c>
      <c r="BX224" s="248">
        <f>BX156</f>
        <v>3526</v>
      </c>
      <c r="BY224" s="350">
        <f>BY156+BW156+BV156+BU156</f>
        <v>3929</v>
      </c>
      <c r="BZ224" s="66">
        <f>BZ156+BY156+BW156+BV156</f>
        <v>4464</v>
      </c>
      <c r="CA224" s="66">
        <f>CA156+BY156+BZ156+BW156</f>
        <v>4832</v>
      </c>
      <c r="CB224" s="66">
        <f>CB156+BZ156+BY156+CA156</f>
        <v>5268</v>
      </c>
      <c r="CC224" s="248">
        <f>CC156</f>
        <v>5268</v>
      </c>
      <c r="CD224" s="350">
        <f>CD156+CB156+CA156+BZ156</f>
        <v>5384</v>
      </c>
      <c r="CE224" s="66">
        <f>CE156+CD156+CB156+CA156</f>
        <v>5555</v>
      </c>
      <c r="CF224" s="66">
        <f>CF156+CD156+CE156+CB156</f>
        <v>6115</v>
      </c>
      <c r="CG224" s="66">
        <f>CG156+CE156+CD156+CF156</f>
        <v>6536</v>
      </c>
      <c r="CH224" s="248">
        <f>CH156</f>
        <v>6536</v>
      </c>
      <c r="CI224" s="350">
        <f>CI156+CG156+CF156+CE156</f>
        <v>7412</v>
      </c>
      <c r="CJ224" s="66">
        <f>CJ156+CI156+CG156+CF156</f>
        <v>7439</v>
      </c>
      <c r="CK224" s="66">
        <f>CK156+CI156+CJ156+CG156</f>
        <v>7119</v>
      </c>
      <c r="CL224" s="66">
        <f>CL156+CJ156+CI156+CK156</f>
        <v>6502</v>
      </c>
      <c r="CM224" s="248">
        <f>CM156</f>
        <v>6502</v>
      </c>
      <c r="CN224" s="350">
        <f>CN156+CL156+CK156+CJ156</f>
        <v>5776</v>
      </c>
      <c r="CO224" s="66">
        <f>CO156+CN156+CL156+CK156</f>
        <v>5946</v>
      </c>
      <c r="CP224" s="66">
        <f>CP156+CN156+CO156+CL156</f>
        <v>5719</v>
      </c>
      <c r="CQ224" s="66">
        <f t="shared" ref="CQ224:DA224" si="777">CQ156+CO156+CN156+CP156</f>
        <v>5854</v>
      </c>
      <c r="CR224" s="248">
        <f>CR156</f>
        <v>5854</v>
      </c>
      <c r="CS224" s="350">
        <f>CS156+CQ156+CP156+CO156</f>
        <v>5800</v>
      </c>
      <c r="CT224" s="66">
        <f>CT156+CS156+CQ156+CP156</f>
        <v>5754</v>
      </c>
      <c r="CU224" s="66">
        <f>CU156+CS156+CT156+CQ156</f>
        <v>5738</v>
      </c>
      <c r="CV224" s="66">
        <f t="shared" ref="CV224:CV225" si="778">CV156+CT156+CS156+CU156</f>
        <v>5707</v>
      </c>
      <c r="CW224" s="248">
        <f>CW156</f>
        <v>5707</v>
      </c>
      <c r="CX224" s="66">
        <f>CX156+CQ156+CP156+CO156</f>
        <v>5698</v>
      </c>
      <c r="CY224" s="66">
        <f>CY156+CP156+CQ156+CX156</f>
        <v>5504.2918495195845</v>
      </c>
      <c r="CZ224" s="66">
        <f>CZ156+CX156+CQ156+CY156</f>
        <v>5445.0055872944977</v>
      </c>
      <c r="DA224" s="66">
        <f t="shared" si="777"/>
        <v>5658.4013294075194</v>
      </c>
      <c r="DB224" s="248">
        <f>DB156</f>
        <v>5658.4013294075194</v>
      </c>
      <c r="DC224" s="66"/>
      <c r="DD224" s="66"/>
      <c r="DE224" s="66"/>
      <c r="DF224" s="66"/>
      <c r="DG224" s="248">
        <f>DG156</f>
        <v>6136.6596306245701</v>
      </c>
      <c r="DH224" s="66"/>
      <c r="DI224" s="66"/>
      <c r="DJ224" s="66"/>
      <c r="DK224" s="66"/>
      <c r="DL224" s="248">
        <f>DL156</f>
        <v>6619.2599263945376</v>
      </c>
      <c r="DM224" s="66"/>
      <c r="DN224" s="526"/>
      <c r="DO224" s="486"/>
      <c r="DP224" s="411"/>
      <c r="DQ224" s="411"/>
      <c r="DR224" s="411"/>
      <c r="DS224" s="478"/>
      <c r="DT224" s="561"/>
      <c r="DU224" s="457"/>
      <c r="DV224" s="463"/>
      <c r="DW224" s="472"/>
      <c r="DX224" s="472"/>
      <c r="DY224" s="472"/>
      <c r="DZ224" s="808"/>
      <c r="EA224" s="526"/>
      <c r="EH224" s="8"/>
    </row>
    <row r="225" spans="1:138" ht="12.75" hidden="1" customHeight="1" x14ac:dyDescent="0.2">
      <c r="A225" s="66" t="s">
        <v>131</v>
      </c>
      <c r="B225" s="66"/>
      <c r="C225" s="66"/>
      <c r="D225" s="66"/>
      <c r="E225" s="66"/>
      <c r="F225" s="248">
        <f>F157</f>
        <v>3684</v>
      </c>
      <c r="G225" s="66">
        <f>G157+E157+D157+C157</f>
        <v>3244</v>
      </c>
      <c r="H225" s="66">
        <f>H157+G157+E157+D157</f>
        <v>2528</v>
      </c>
      <c r="I225" s="66">
        <f>I157+G157+H157+E157</f>
        <v>1679</v>
      </c>
      <c r="J225" s="66">
        <f>J157+H157+G157+I157</f>
        <v>903</v>
      </c>
      <c r="K225" s="248">
        <f>K157</f>
        <v>903</v>
      </c>
      <c r="L225" s="66">
        <f>L157+J157+I157+H157</f>
        <v>570</v>
      </c>
      <c r="M225" s="66">
        <f>M157+L157+J157+I157</f>
        <v>473</v>
      </c>
      <c r="N225" s="66">
        <f>N157+L157+M157+J157</f>
        <v>596</v>
      </c>
      <c r="O225" s="66">
        <f>O157+M157+L157+N157</f>
        <v>953</v>
      </c>
      <c r="P225" s="248">
        <f>P157</f>
        <v>953</v>
      </c>
      <c r="Q225" s="66">
        <f>Q157+O157+N157+M157</f>
        <v>878</v>
      </c>
      <c r="R225" s="66">
        <f>R157+Q157+O157+N157</f>
        <v>787.55000000000018</v>
      </c>
      <c r="S225" s="66">
        <f>S157+Q157+R157+O157</f>
        <v>916.55000000000018</v>
      </c>
      <c r="T225" s="66">
        <f>T157+R157+Q157+S157</f>
        <v>1019.5500000000002</v>
      </c>
      <c r="U225" s="248">
        <f>U157</f>
        <v>1019.5499999999993</v>
      </c>
      <c r="V225" s="66">
        <f>V157+T157+S157+R157</f>
        <v>1130.5500000000002</v>
      </c>
      <c r="W225" s="66">
        <f>W157+V157+T157+S157</f>
        <v>1224</v>
      </c>
      <c r="X225" s="66">
        <f>X157+V157+W157+T157</f>
        <v>948</v>
      </c>
      <c r="Y225" s="66">
        <f>Y157+W157+V157+X157</f>
        <v>486</v>
      </c>
      <c r="Z225" s="248">
        <f>Z157</f>
        <v>486</v>
      </c>
      <c r="AA225" s="66">
        <f>AA157+Y157+X157+W157</f>
        <v>416</v>
      </c>
      <c r="AB225" s="66">
        <f>AB157+AA157+Y157+X157</f>
        <v>491</v>
      </c>
      <c r="AC225" s="66">
        <f>AC157+AA157+AB157+Y157</f>
        <v>671</v>
      </c>
      <c r="AD225" s="66">
        <f>AD157+AB157+AA157+AC157</f>
        <v>701</v>
      </c>
      <c r="AE225" s="248">
        <f>AE157</f>
        <v>701</v>
      </c>
      <c r="AF225" s="66">
        <f>AF157+AD157+AC157+AB157</f>
        <v>582</v>
      </c>
      <c r="AG225" s="66">
        <f>AG157+AF157+AD157+AC157</f>
        <v>898</v>
      </c>
      <c r="AH225" s="66">
        <f>AH157+AF157+AG157+AD157</f>
        <v>1126</v>
      </c>
      <c r="AI225" s="66">
        <f>AI157+AG157+AF157+AH157</f>
        <v>1650</v>
      </c>
      <c r="AJ225" s="248">
        <f>AJ157</f>
        <v>1650</v>
      </c>
      <c r="AK225" s="66">
        <f>AK157+AI157+AH157+AG157</f>
        <v>2255</v>
      </c>
      <c r="AL225" s="66">
        <f>AL157+AK157+AI157+AH157</f>
        <v>2351</v>
      </c>
      <c r="AM225" s="66">
        <f>AM157+AK157+AL157+AI157</f>
        <v>2630</v>
      </c>
      <c r="AN225" s="66">
        <f>AN157+AL157+AK157+AM157</f>
        <v>2528</v>
      </c>
      <c r="AO225" s="248">
        <f>AO157</f>
        <v>2528</v>
      </c>
      <c r="AP225" s="350"/>
      <c r="AQ225" s="66"/>
      <c r="AR225" s="66"/>
      <c r="AS225" s="66"/>
      <c r="AT225" s="248"/>
      <c r="AU225" s="66">
        <f>AU157+AS157+AR157+AQ157</f>
        <v>288</v>
      </c>
      <c r="AV225" s="66">
        <f>AV157+AU157+AS157+AR157</f>
        <v>1072</v>
      </c>
      <c r="AW225" s="66">
        <f>AW157+AU157+AV157+AS157</f>
        <v>1830</v>
      </c>
      <c r="AX225" s="66">
        <f>AX157+AV157+AU157+AW157</f>
        <v>2220</v>
      </c>
      <c r="AY225" s="248">
        <f>AY157</f>
        <v>2220</v>
      </c>
      <c r="AZ225" s="350">
        <f>AZ157+AX157+AW157+AV157</f>
        <v>2055</v>
      </c>
      <c r="BA225" s="66">
        <f>BA157+AZ157+AX157+AW157</f>
        <v>1832</v>
      </c>
      <c r="BB225" s="66">
        <f>BB157+AZ157+BA157+AX157</f>
        <v>1915</v>
      </c>
      <c r="BC225" s="66">
        <f>BC157+BA157+AZ157+BB157</f>
        <v>2101</v>
      </c>
      <c r="BD225" s="248">
        <f>BD157</f>
        <v>2101</v>
      </c>
      <c r="BE225" s="350">
        <f>BE157+BC157+BB157+BA157</f>
        <v>2597</v>
      </c>
      <c r="BF225" s="66">
        <f>BF157+BE157+BC157+BB157</f>
        <v>3450.0599999999995</v>
      </c>
      <c r="BG225" s="66">
        <f>BG157+BE157+BF157+BC157</f>
        <v>4285.0599999999995</v>
      </c>
      <c r="BH225" s="66">
        <f>BH157+BF157+BE157+BG157</f>
        <v>4565.0599999999995</v>
      </c>
      <c r="BI225" s="248">
        <f>BI157</f>
        <v>4565.0599999999995</v>
      </c>
      <c r="BJ225" s="350">
        <f>BJ157+BH157+BG157+BF157</f>
        <v>4286.0599999999995</v>
      </c>
      <c r="BK225" s="66">
        <f>BK157+BJ157+BH157+BG157</f>
        <v>3963</v>
      </c>
      <c r="BL225" s="66">
        <f>BL157+BJ157+BK157+BH157</f>
        <v>3814</v>
      </c>
      <c r="BM225" s="66">
        <f>BM157+BK157+BJ157+BL157</f>
        <v>4064</v>
      </c>
      <c r="BN225" s="350">
        <f>BN157</f>
        <v>4064</v>
      </c>
      <c r="BO225" s="350">
        <f>BO157+BM157+BL157+BK157</f>
        <v>4404</v>
      </c>
      <c r="BP225" s="66">
        <f>BP157+BO157+BM157+BL157</f>
        <v>4657</v>
      </c>
      <c r="BQ225" s="66">
        <f>BQ157+BO157+BP157+BM157</f>
        <v>4604</v>
      </c>
      <c r="BR225" s="66">
        <f>BR157+BP157+BO157+BQ157</f>
        <v>4438</v>
      </c>
      <c r="BS225" s="248">
        <f>BS157</f>
        <v>4438</v>
      </c>
      <c r="BT225" s="350">
        <f>BT157+BR157+BQ157+BP157</f>
        <v>4523</v>
      </c>
      <c r="BU225" s="66">
        <f>BU157+BT157+BR157+BQ157</f>
        <v>4722</v>
      </c>
      <c r="BV225" s="66">
        <f>BV157+BT157+BU157+BR157</f>
        <v>5097</v>
      </c>
      <c r="BW225" s="66">
        <f>BW157+BU157+BT157+BV157</f>
        <v>5393</v>
      </c>
      <c r="BX225" s="248">
        <f>BX157</f>
        <v>5393</v>
      </c>
      <c r="BY225" s="350">
        <f>BY157+BW157+BV157+BU157</f>
        <v>5824</v>
      </c>
      <c r="BZ225" s="66">
        <f>BZ157+BY157+BW157+BV157</f>
        <v>6396</v>
      </c>
      <c r="CA225" s="66">
        <f>CA157+BY157+BZ157+BW157</f>
        <v>6804</v>
      </c>
      <c r="CB225" s="66">
        <f>CB157+BZ157+BY157+CA157</f>
        <v>7272</v>
      </c>
      <c r="CC225" s="248">
        <f>CC157</f>
        <v>7272</v>
      </c>
      <c r="CD225" s="350">
        <f>CD157+CB157+CA157+BZ157</f>
        <v>7425</v>
      </c>
      <c r="CE225" s="66">
        <f>CE157+CD157+CB157+CA157</f>
        <v>7597</v>
      </c>
      <c r="CF225" s="66">
        <f>CF157+CD157+CE157+CB157</f>
        <v>8181</v>
      </c>
      <c r="CG225" s="66">
        <f>CG157+CE157+CD157+CF157</f>
        <v>8621</v>
      </c>
      <c r="CH225" s="248">
        <f>CH157</f>
        <v>8621</v>
      </c>
      <c r="CI225" s="350">
        <f>CI157+CG157+CF157+CE157</f>
        <v>9519</v>
      </c>
      <c r="CJ225" s="66">
        <f>CJ157+CI157+CG157+CF157</f>
        <v>9574</v>
      </c>
      <c r="CK225" s="66">
        <f>CK157+CI157+CJ157+CG157</f>
        <v>9271</v>
      </c>
      <c r="CL225" s="66">
        <f>CL157+CJ157+CI157+CK157</f>
        <v>8689</v>
      </c>
      <c r="CM225" s="248">
        <f>CM157</f>
        <v>8689</v>
      </c>
      <c r="CN225" s="350">
        <f>CN157+CL157+CK157+CJ157</f>
        <v>8035</v>
      </c>
      <c r="CO225" s="66">
        <f>CO157+CN157+CL157+CK157</f>
        <v>8290</v>
      </c>
      <c r="CP225" s="66">
        <f>CP157+CN157+CO157+CL157</f>
        <v>8180</v>
      </c>
      <c r="CQ225" s="66">
        <f t="shared" ref="CQ225:DA225" si="779">CQ157+CO157+CN157+CP157</f>
        <v>8440</v>
      </c>
      <c r="CR225" s="248">
        <f>CR157</f>
        <v>8440</v>
      </c>
      <c r="CS225" s="350">
        <f>CS157+CQ157+CP157+CO157</f>
        <v>8383</v>
      </c>
      <c r="CT225" s="66">
        <f>CT157+CS157+CQ157+CP157</f>
        <v>8333</v>
      </c>
      <c r="CU225" s="66">
        <f>CU157+CS157+CT157+CQ157</f>
        <v>8314</v>
      </c>
      <c r="CV225" s="66">
        <f t="shared" si="778"/>
        <v>8280</v>
      </c>
      <c r="CW225" s="248">
        <f>CW157</f>
        <v>8280</v>
      </c>
      <c r="CX225" s="66">
        <f>CX157+CQ157+CP157+CO157</f>
        <v>8364</v>
      </c>
      <c r="CY225" s="66">
        <f>CY157+CP157+CQ157+CX157</f>
        <v>8245.3319853730991</v>
      </c>
      <c r="CZ225" s="66">
        <f>CZ157+CX157+CQ157+CY157</f>
        <v>8227.9293146973087</v>
      </c>
      <c r="DA225" s="66">
        <f t="shared" si="779"/>
        <v>8466.2556872831847</v>
      </c>
      <c r="DB225" s="248">
        <f>DB157</f>
        <v>8466.2556872831847</v>
      </c>
      <c r="DC225" s="66"/>
      <c r="DD225" s="66"/>
      <c r="DE225" s="66"/>
      <c r="DF225" s="66"/>
      <c r="DG225" s="248">
        <f>DG157</f>
        <v>9043.4066982700115</v>
      </c>
      <c r="DH225" s="66"/>
      <c r="DI225" s="66"/>
      <c r="DJ225" s="66"/>
      <c r="DK225" s="66"/>
      <c r="DL225" s="248">
        <f>DL157</f>
        <v>9600.7077445693412</v>
      </c>
      <c r="DM225" s="66"/>
      <c r="DN225" s="526"/>
      <c r="DO225" s="486"/>
      <c r="DP225" s="411"/>
      <c r="DQ225" s="411"/>
      <c r="DR225" s="411"/>
      <c r="DS225" s="478"/>
      <c r="DT225" s="561"/>
      <c r="DU225" s="457"/>
      <c r="DV225" s="463"/>
      <c r="DW225" s="472"/>
      <c r="DX225" s="472"/>
      <c r="DY225" s="472"/>
      <c r="DZ225" s="808"/>
      <c r="EA225" s="526"/>
      <c r="EH225" s="8"/>
    </row>
    <row r="226" spans="1:138" ht="12.75" hidden="1" customHeight="1" x14ac:dyDescent="0.2">
      <c r="A226" s="66" t="s">
        <v>132</v>
      </c>
      <c r="B226" s="66"/>
      <c r="C226" s="66"/>
      <c r="D226" s="66"/>
      <c r="E226" s="66"/>
      <c r="F226" s="248" t="e">
        <f>#REF!</f>
        <v>#REF!</v>
      </c>
      <c r="G226" s="66" t="e">
        <f>#REF!+#REF!+#REF!+#REF!</f>
        <v>#REF!</v>
      </c>
      <c r="H226" s="66" t="e">
        <f>#REF!+#REF!+#REF!+#REF!</f>
        <v>#REF!</v>
      </c>
      <c r="I226" s="66" t="e">
        <f>#REF!+#REF!+#REF!+#REF!</f>
        <v>#REF!</v>
      </c>
      <c r="J226" s="66" t="e">
        <f>#REF!+#REF!+#REF!+#REF!</f>
        <v>#REF!</v>
      </c>
      <c r="K226" s="248" t="e">
        <f>#REF!</f>
        <v>#REF!</v>
      </c>
      <c r="L226" s="66" t="e">
        <f>#REF!+#REF!+#REF!+#REF!</f>
        <v>#REF!</v>
      </c>
      <c r="M226" s="66" t="e">
        <f>#REF!+#REF!+#REF!+#REF!</f>
        <v>#REF!</v>
      </c>
      <c r="N226" s="66" t="e">
        <f>#REF!+#REF!+#REF!+#REF!</f>
        <v>#REF!</v>
      </c>
      <c r="O226" s="66" t="e">
        <f>#REF!+#REF!+#REF!+#REF!</f>
        <v>#REF!</v>
      </c>
      <c r="P226" s="248" t="e">
        <f>#REF!</f>
        <v>#REF!</v>
      </c>
      <c r="Q226" s="66" t="e">
        <f>#REF!+#REF!+#REF!+#REF!</f>
        <v>#REF!</v>
      </c>
      <c r="R226" s="66" t="e">
        <f>#REF!+#REF!+#REF!+#REF!</f>
        <v>#REF!</v>
      </c>
      <c r="S226" s="66" t="e">
        <f>#REF!+#REF!+#REF!+#REF!</f>
        <v>#REF!</v>
      </c>
      <c r="T226" s="66" t="e">
        <f>#REF!+#REF!+#REF!+#REF!</f>
        <v>#REF!</v>
      </c>
      <c r="U226" s="248" t="e">
        <f>#REF!</f>
        <v>#REF!</v>
      </c>
      <c r="V226" s="66" t="e">
        <f>#REF!+#REF!+#REF!+#REF!</f>
        <v>#REF!</v>
      </c>
      <c r="W226" s="66" t="e">
        <f>#REF!+#REF!+#REF!+#REF!</f>
        <v>#REF!</v>
      </c>
      <c r="X226" s="66" t="e">
        <f>#REF!+#REF!+#REF!+#REF!</f>
        <v>#REF!</v>
      </c>
      <c r="Y226" s="66" t="e">
        <f>#REF!+#REF!+#REF!+#REF!</f>
        <v>#REF!</v>
      </c>
      <c r="Z226" s="248" t="e">
        <f>#REF!</f>
        <v>#REF!</v>
      </c>
      <c r="AA226" s="66" t="e">
        <f>#REF!+#REF!+#REF!+#REF!</f>
        <v>#REF!</v>
      </c>
      <c r="AB226" s="66" t="e">
        <f>#REF!+#REF!+#REF!+#REF!</f>
        <v>#REF!</v>
      </c>
      <c r="AC226" s="66" t="e">
        <f>#REF!+#REF!+#REF!+#REF!</f>
        <v>#REF!</v>
      </c>
      <c r="AD226" s="66" t="e">
        <f>#REF!+#REF!+#REF!+#REF!</f>
        <v>#REF!</v>
      </c>
      <c r="AE226" s="248" t="e">
        <f>#REF!</f>
        <v>#REF!</v>
      </c>
      <c r="AF226" s="66" t="e">
        <f>#REF!+#REF!+#REF!+#REF!</f>
        <v>#REF!</v>
      </c>
      <c r="AG226" s="66" t="e">
        <f>#REF!+#REF!+#REF!+#REF!</f>
        <v>#REF!</v>
      </c>
      <c r="AH226" s="66" t="e">
        <f>#REF!+#REF!+#REF!+#REF!</f>
        <v>#REF!</v>
      </c>
      <c r="AI226" s="66" t="e">
        <f>#REF!+#REF!+#REF!+#REF!</f>
        <v>#REF!</v>
      </c>
      <c r="AJ226" s="248" t="e">
        <f>#REF!</f>
        <v>#REF!</v>
      </c>
      <c r="AK226" s="66" t="e">
        <f>#REF!+#REF!+#REF!+#REF!</f>
        <v>#REF!</v>
      </c>
      <c r="AL226" s="66" t="e">
        <f>#REF!+#REF!+#REF!+#REF!</f>
        <v>#REF!</v>
      </c>
      <c r="AM226" s="66" t="e">
        <f>#REF!+#REF!+#REF!+#REF!</f>
        <v>#REF!</v>
      </c>
      <c r="AN226" s="66" t="e">
        <f>#REF!+#REF!+#REF!+#REF!</f>
        <v>#REF!</v>
      </c>
      <c r="AO226" s="248" t="e">
        <f>#REF!</f>
        <v>#REF!</v>
      </c>
      <c r="AP226" s="350"/>
      <c r="AQ226" s="66"/>
      <c r="AR226" s="66"/>
      <c r="AS226" s="66"/>
      <c r="AT226" s="248"/>
      <c r="AU226" s="66" t="e">
        <f>#REF!+#REF!+#REF!+#REF!</f>
        <v>#REF!</v>
      </c>
      <c r="AV226" s="66" t="e">
        <f>#REF!+#REF!+#REF!+#REF!</f>
        <v>#REF!</v>
      </c>
      <c r="AW226" s="66" t="e">
        <f>#REF!+#REF!+#REF!+#REF!</f>
        <v>#REF!</v>
      </c>
      <c r="AX226" s="66" t="e">
        <f>#REF!+#REF!+#REF!+#REF!</f>
        <v>#REF!</v>
      </c>
      <c r="AY226" s="248"/>
      <c r="AZ226" s="350"/>
      <c r="BA226" s="66"/>
      <c r="BB226" s="66"/>
      <c r="BC226" s="66"/>
      <c r="BD226" s="248"/>
      <c r="BE226" s="350"/>
      <c r="BF226" s="66"/>
      <c r="BG226" s="66"/>
      <c r="BH226" s="66"/>
      <c r="BI226" s="248"/>
      <c r="BJ226" s="350"/>
      <c r="BK226" s="66"/>
      <c r="BL226" s="66"/>
      <c r="BM226" s="66"/>
      <c r="BN226" s="350"/>
      <c r="BO226" s="350"/>
      <c r="BP226" s="66"/>
      <c r="BQ226" s="66"/>
      <c r="BR226" s="66"/>
      <c r="BS226" s="248"/>
      <c r="BT226" s="350"/>
      <c r="BU226" s="66"/>
      <c r="BV226" s="66"/>
      <c r="BW226" s="66"/>
      <c r="BX226" s="248"/>
      <c r="BY226" s="350"/>
      <c r="BZ226" s="66"/>
      <c r="CA226" s="66"/>
      <c r="CB226" s="66"/>
      <c r="CC226" s="248"/>
      <c r="CD226" s="350"/>
      <c r="CE226" s="66"/>
      <c r="CF226" s="66"/>
      <c r="CG226" s="66"/>
      <c r="CH226" s="248"/>
      <c r="CI226" s="350"/>
      <c r="CJ226" s="66"/>
      <c r="CK226" s="66"/>
      <c r="CL226" s="66"/>
      <c r="CM226" s="248"/>
      <c r="CN226" s="350"/>
      <c r="CO226" s="66"/>
      <c r="CP226" s="66"/>
      <c r="CQ226" s="66"/>
      <c r="CR226" s="248"/>
      <c r="CS226" s="350"/>
      <c r="CT226" s="66"/>
      <c r="CU226" s="66"/>
      <c r="CV226" s="66"/>
      <c r="CW226" s="248"/>
      <c r="CX226" s="66"/>
      <c r="CY226" s="66"/>
      <c r="CZ226" s="66"/>
      <c r="DA226" s="66"/>
      <c r="DB226" s="248"/>
      <c r="DC226" s="66"/>
      <c r="DD226" s="66"/>
      <c r="DE226" s="66"/>
      <c r="DF226" s="66"/>
      <c r="DG226" s="248"/>
      <c r="DH226" s="66"/>
      <c r="DI226" s="66"/>
      <c r="DJ226" s="66"/>
      <c r="DK226" s="66"/>
      <c r="DL226" s="248"/>
      <c r="DM226" s="66"/>
      <c r="DN226" s="526"/>
      <c r="DO226" s="486"/>
      <c r="DP226" s="411"/>
      <c r="DQ226" s="411"/>
      <c r="DR226" s="411"/>
      <c r="DS226" s="478"/>
      <c r="DT226" s="561"/>
      <c r="DU226" s="457"/>
      <c r="DV226" s="463"/>
      <c r="DW226" s="472"/>
      <c r="DX226" s="472"/>
      <c r="DY226" s="472"/>
      <c r="DZ226" s="808"/>
      <c r="EA226" s="526"/>
      <c r="EH226" s="8"/>
    </row>
    <row r="227" spans="1:138" ht="12.75" hidden="1" customHeight="1" x14ac:dyDescent="0.2">
      <c r="A227" s="66" t="s">
        <v>133</v>
      </c>
      <c r="B227" s="66"/>
      <c r="C227" s="66"/>
      <c r="D227" s="66"/>
      <c r="E227" s="66"/>
      <c r="F227" s="248"/>
      <c r="G227" s="66"/>
      <c r="H227" s="66"/>
      <c r="I227" s="66"/>
      <c r="J227" s="66"/>
      <c r="K227" s="248"/>
      <c r="L227" s="66"/>
      <c r="M227" s="66"/>
      <c r="N227" s="66"/>
      <c r="O227" s="66"/>
      <c r="P227" s="248"/>
      <c r="Q227" s="66"/>
      <c r="R227" s="66"/>
      <c r="S227" s="66"/>
      <c r="T227" s="66"/>
      <c r="U227" s="248"/>
      <c r="V227" s="66"/>
      <c r="W227" s="66"/>
      <c r="X227" s="66"/>
      <c r="Y227" s="66">
        <f>Y169+X169+W169+V169</f>
        <v>37</v>
      </c>
      <c r="Z227" s="248">
        <f>Z169</f>
        <v>37</v>
      </c>
      <c r="AA227" s="66">
        <f>AA169+Y169+X169+W169</f>
        <v>38</v>
      </c>
      <c r="AB227" s="66">
        <f>AB169+AA169+Y169+X169</f>
        <v>44</v>
      </c>
      <c r="AC227" s="66">
        <f>AC169+AB169+AA169+Y169</f>
        <v>55</v>
      </c>
      <c r="AD227" s="66">
        <f>AD169+AC169+AB169+AA169</f>
        <v>59</v>
      </c>
      <c r="AE227" s="248">
        <f>AE169</f>
        <v>59</v>
      </c>
      <c r="AF227" s="66">
        <f>AF169+AD169+AC169+AB169</f>
        <v>57</v>
      </c>
      <c r="AG227" s="66">
        <f>AG169+AF169+AD169+AC169</f>
        <v>61</v>
      </c>
      <c r="AH227" s="66">
        <f>AH169+AG169+AF169+AD169</f>
        <v>60</v>
      </c>
      <c r="AI227" s="66">
        <f>AI169+AH169+AG169+AF169</f>
        <v>69</v>
      </c>
      <c r="AJ227" s="248">
        <f>AJ169</f>
        <v>69</v>
      </c>
      <c r="AK227" s="66">
        <f>AK169+AI169+AH169+AG169</f>
        <v>67</v>
      </c>
      <c r="AL227" s="66">
        <f>AL169+AK169+AI169+AH169</f>
        <v>86</v>
      </c>
      <c r="AM227" s="66">
        <f>AM169+AL169+AK169+AI169</f>
        <v>112</v>
      </c>
      <c r="AN227" s="66">
        <f>AN169+AM169+AL169+AK169</f>
        <v>128</v>
      </c>
      <c r="AO227" s="248">
        <f>AO169</f>
        <v>128</v>
      </c>
      <c r="AP227" s="350"/>
      <c r="AQ227" s="66"/>
      <c r="AR227" s="66"/>
      <c r="AS227" s="66"/>
      <c r="AT227" s="248"/>
      <c r="AU227" s="66">
        <f>AU169+AS169+AR169+AQ169</f>
        <v>63</v>
      </c>
      <c r="AV227" s="66">
        <f>AV169+AU169+AS169+AR169</f>
        <v>112</v>
      </c>
      <c r="AW227" s="66">
        <f>AW169+AV169+AU169+AS169</f>
        <v>154</v>
      </c>
      <c r="AX227" s="66">
        <f>AX169+AW169+AV169+AU169</f>
        <v>178</v>
      </c>
      <c r="AY227" s="248">
        <f>AY169</f>
        <v>178</v>
      </c>
      <c r="AZ227" s="350">
        <f>AZ169+AX169+AW169+AV169</f>
        <v>125</v>
      </c>
      <c r="BA227" s="66">
        <f>BA169+AZ169+AX169+AW169</f>
        <v>85</v>
      </c>
      <c r="BB227" s="66">
        <f>BB169+BA169+AZ169+AX169</f>
        <v>47</v>
      </c>
      <c r="BC227" s="66">
        <f>BC169+BB169+BA169+AZ169</f>
        <v>27</v>
      </c>
      <c r="BD227" s="248">
        <f>BD169</f>
        <v>27</v>
      </c>
      <c r="BE227" s="350">
        <f>BE169+BC169+BB169+BA169</f>
        <v>37</v>
      </c>
      <c r="BF227" s="66">
        <f>BF169+BE169+BC169+BB169</f>
        <v>31</v>
      </c>
      <c r="BG227" s="66">
        <f>BG169+BF169+BE169+BC169</f>
        <v>34</v>
      </c>
      <c r="BH227" s="66">
        <f>BH169+BG169+BF169+BE169</f>
        <v>35</v>
      </c>
      <c r="BI227" s="248">
        <f>BI169</f>
        <v>35</v>
      </c>
      <c r="BJ227" s="350">
        <f>BJ169+BH169+BG169+BF169</f>
        <v>20</v>
      </c>
      <c r="BK227" s="66">
        <f>BK169+BJ169+BH169+BG169</f>
        <v>20</v>
      </c>
      <c r="BL227" s="66">
        <f>BL169+BK169+BJ169+BH169</f>
        <v>20</v>
      </c>
      <c r="BM227" s="66">
        <f>BM169+BL169+BK169+BJ169</f>
        <v>22.649122807017562</v>
      </c>
      <c r="BN227" s="350">
        <f>BN169</f>
        <v>22.649122807017562</v>
      </c>
      <c r="BO227" s="350">
        <f>BO169+BM169+BL169+BK169</f>
        <v>24.149122807017534</v>
      </c>
      <c r="BP227" s="66">
        <f>BP169+BO169+BM169+BL169</f>
        <v>27.720551378446117</v>
      </c>
      <c r="BQ227" s="66">
        <f>BQ169+BP169+BO169+BM169</f>
        <v>28.720551378446117</v>
      </c>
      <c r="BR227" s="66">
        <f>BR169+BQ169+BP169+BO169</f>
        <v>27.319362455726065</v>
      </c>
      <c r="BS227" s="248">
        <f>BS169</f>
        <v>27.319362455726065</v>
      </c>
      <c r="BT227" s="350">
        <f>BT169+BR169+BQ169+BP169</f>
        <v>25.587219598583232</v>
      </c>
      <c r="BU227" s="66">
        <f>BU169+BT169+BR169+BQ169</f>
        <v>25.130623563039791</v>
      </c>
      <c r="BV227" s="66">
        <f>BV169+BU169+BT169+BR169</f>
        <v>24.770623563039806</v>
      </c>
      <c r="BW227" s="66">
        <f>BW169+BV169+BU169+BT169</f>
        <v>27.653810588466143</v>
      </c>
      <c r="BX227" s="248">
        <f>BX169</f>
        <v>27.653810588466143</v>
      </c>
      <c r="BY227" s="350">
        <f>BY169+BW169+BV169+BU169</f>
        <v>31.18405332487427</v>
      </c>
      <c r="BZ227" s="66">
        <f>BZ169+BY169+BW169+BV169</f>
        <v>33.614287926565851</v>
      </c>
      <c r="CA227" s="66">
        <f>CA169+BZ169+BY169+BW169</f>
        <v>33.807266136011151</v>
      </c>
      <c r="CB227" s="66">
        <f>CB169+CA169+BZ169+BY169</f>
        <v>32.340066352075524</v>
      </c>
      <c r="CC227" s="248">
        <f>CC169</f>
        <v>32.340066352075524</v>
      </c>
      <c r="CD227" s="350">
        <f>CD169+CB169+CA169+BZ169</f>
        <v>31.764840838027624</v>
      </c>
      <c r="CE227" s="66">
        <f>CE169+CD169+CB169+CA169</f>
        <v>31.325600513530304</v>
      </c>
      <c r="CF227" s="66">
        <f>CF169+CE169+CD169+CB169</f>
        <v>31.875571401372213</v>
      </c>
      <c r="CG227" s="66">
        <f>CG169+CF169+CE169+CD169</f>
        <v>31.914900797415484</v>
      </c>
      <c r="CH227" s="248">
        <f>CH169</f>
        <v>31.914900797415484</v>
      </c>
      <c r="CI227" s="350">
        <f>CI169+CG169+CF169+CE169</f>
        <v>33.151241713023879</v>
      </c>
      <c r="CJ227" s="66">
        <f>CJ169+CI169+CG169+CF169</f>
        <v>33.63517800424134</v>
      </c>
      <c r="CK227" s="66">
        <f>CK169+CJ169+CI169+CG169</f>
        <v>34.525268621820061</v>
      </c>
      <c r="CL227" s="66">
        <f>CL169+CK169+CJ169+CI169</f>
        <v>36.404159138683383</v>
      </c>
      <c r="CM227" s="248">
        <f>CM169</f>
        <v>36.404159138683383</v>
      </c>
      <c r="CN227" s="350">
        <f>CN169+CL169+CK169+CJ169</f>
        <v>37.235392310437092</v>
      </c>
      <c r="CO227" s="66">
        <f>CO169+CN169+CL169+CK169</f>
        <v>37.982816156285466</v>
      </c>
      <c r="CP227" s="66">
        <f>CP169+CO169+CN169+CL169</f>
        <v>38.046963391564773</v>
      </c>
      <c r="CQ227" s="66">
        <f t="shared" ref="CQ227:DA227" si="780">CQ169+CP169+CO169+CN169</f>
        <v>37.708637433513758</v>
      </c>
      <c r="CR227" s="248">
        <f>CR169</f>
        <v>37.708637433513758</v>
      </c>
      <c r="CS227" s="350">
        <f>CS169+CQ169+CP169+CO169</f>
        <v>37.708637433513758</v>
      </c>
      <c r="CT227" s="66">
        <f>CT169+CS169+CQ169+CP169</f>
        <v>37.708637433513758</v>
      </c>
      <c r="CU227" s="66">
        <f>CU169+CT169+CS169+CQ169</f>
        <v>37.708637433513758</v>
      </c>
      <c r="CV227" s="66">
        <f t="shared" ref="CV227" si="781">CV169+CU169+CT169+CS169</f>
        <v>37.708637433513758</v>
      </c>
      <c r="CW227" s="248">
        <f>CW169</f>
        <v>37.708637433513758</v>
      </c>
      <c r="CX227" s="66">
        <f>CX169+CO169+CQ169+CP169</f>
        <v>37.918188980934289</v>
      </c>
      <c r="CY227" s="66">
        <f>CY169+CX169+CP169+CQ169</f>
        <v>39.581002030789051</v>
      </c>
      <c r="CZ227" s="66">
        <f>CZ169+CY169+CX169+CQ169</f>
        <v>42.243815080643799</v>
      </c>
      <c r="DA227" s="66">
        <f t="shared" si="780"/>
        <v>46</v>
      </c>
      <c r="DB227" s="248">
        <f>DB169</f>
        <v>46</v>
      </c>
      <c r="DC227" s="66"/>
      <c r="DD227" s="66"/>
      <c r="DE227" s="66"/>
      <c r="DF227" s="66"/>
      <c r="DG227" s="248">
        <f>DG169</f>
        <v>39</v>
      </c>
      <c r="DH227" s="66"/>
      <c r="DI227" s="66"/>
      <c r="DJ227" s="66"/>
      <c r="DK227" s="66"/>
      <c r="DL227" s="248">
        <f>DL169</f>
        <v>39</v>
      </c>
      <c r="DM227" s="66"/>
      <c r="DN227" s="526"/>
      <c r="DO227" s="486"/>
      <c r="DP227" s="411"/>
      <c r="DQ227" s="411"/>
      <c r="DR227" s="411"/>
      <c r="DS227" s="478"/>
      <c r="DT227" s="561"/>
      <c r="DU227" s="457"/>
      <c r="DV227" s="463"/>
      <c r="DW227" s="472"/>
      <c r="DX227" s="472"/>
      <c r="DY227" s="472"/>
      <c r="DZ227" s="808"/>
      <c r="EA227" s="526"/>
      <c r="EH227" s="8"/>
    </row>
    <row r="228" spans="1:138" ht="12.75" hidden="1" customHeight="1" x14ac:dyDescent="0.2">
      <c r="A228" s="66" t="s">
        <v>134</v>
      </c>
      <c r="B228" s="66"/>
      <c r="C228" s="66"/>
      <c r="D228" s="66"/>
      <c r="E228" s="66"/>
      <c r="F228" s="248"/>
      <c r="G228" s="66"/>
      <c r="H228" s="66"/>
      <c r="I228" s="66"/>
      <c r="J228" s="66"/>
      <c r="K228" s="248"/>
      <c r="L228" s="66"/>
      <c r="M228" s="66"/>
      <c r="N228" s="66"/>
      <c r="O228" s="66"/>
      <c r="P228" s="248"/>
      <c r="Q228" s="66"/>
      <c r="R228" s="66"/>
      <c r="S228" s="66"/>
      <c r="T228" s="66"/>
      <c r="U228" s="248"/>
      <c r="V228" s="66"/>
      <c r="W228" s="66"/>
      <c r="X228" s="66"/>
      <c r="Y228" s="66">
        <f>Y173+X173+W173+V173</f>
        <v>824</v>
      </c>
      <c r="Z228" s="248">
        <f>Z173</f>
        <v>824</v>
      </c>
      <c r="AA228" s="66">
        <f>AA173+Y173+X173+W173</f>
        <v>898</v>
      </c>
      <c r="AB228" s="66">
        <f>AB173+AA173+Y173+X173</f>
        <v>989</v>
      </c>
      <c r="AC228" s="66">
        <f>AC173+AB173+AA173+Y173</f>
        <v>1056</v>
      </c>
      <c r="AD228" s="66">
        <f>AD173+AC173+AB173+AA173</f>
        <v>1032</v>
      </c>
      <c r="AE228" s="248">
        <f>AE173</f>
        <v>1032</v>
      </c>
      <c r="AF228" s="66">
        <f>AF173+AD173+AC173+AB173</f>
        <v>978</v>
      </c>
      <c r="AG228" s="66">
        <f>AG173+AF173+AD173+AC173</f>
        <v>917</v>
      </c>
      <c r="AH228" s="66">
        <f>AH173+AG173+AF173+AD173</f>
        <v>862</v>
      </c>
      <c r="AI228" s="66">
        <f>AI173+AH173+AG173+AF173</f>
        <v>870</v>
      </c>
      <c r="AJ228" s="248">
        <f>AJ173</f>
        <v>870</v>
      </c>
      <c r="AK228" s="66">
        <f>AK173+AI173+AH173+AG173</f>
        <v>856</v>
      </c>
      <c r="AL228" s="66">
        <f>AL173+AK173+AI173+AH173</f>
        <v>799</v>
      </c>
      <c r="AM228" s="66">
        <f>AM173+AL173+AK173+AI173</f>
        <v>709</v>
      </c>
      <c r="AN228" s="66">
        <f>AN173+AM173+AL173+AK173</f>
        <v>640</v>
      </c>
      <c r="AO228" s="248">
        <f>AO173</f>
        <v>640</v>
      </c>
      <c r="AP228" s="350"/>
      <c r="AQ228" s="66"/>
      <c r="AR228" s="66"/>
      <c r="AS228" s="66"/>
      <c r="AT228" s="248"/>
      <c r="AU228" s="66">
        <f>AU173+AS173+AR173+AQ173</f>
        <v>261</v>
      </c>
      <c r="AV228" s="66">
        <f>AV173+AU173+AS173+AR173</f>
        <v>510</v>
      </c>
      <c r="AW228" s="66">
        <f>AW173+AV173+AU173+AS173</f>
        <v>762</v>
      </c>
      <c r="AX228" s="66">
        <f>AX173+AW173+AV173+AU173</f>
        <v>1078</v>
      </c>
      <c r="AY228" s="248">
        <f>AY173</f>
        <v>1078</v>
      </c>
      <c r="AZ228" s="350">
        <f>AZ173+AX173+AW173+AV173</f>
        <v>1125</v>
      </c>
      <c r="BA228" s="66">
        <f>BA173+AZ173+AX173+AW173</f>
        <v>1200</v>
      </c>
      <c r="BB228" s="66">
        <f>BB173+BA173+AZ173+AX173</f>
        <v>1267</v>
      </c>
      <c r="BC228" s="66">
        <f>BC173+BB173+BA173+AZ173</f>
        <v>1278</v>
      </c>
      <c r="BD228" s="248">
        <f>BD173</f>
        <v>1278</v>
      </c>
      <c r="BE228" s="350">
        <f>BE173+BC173+BB173+BA173</f>
        <v>1296</v>
      </c>
      <c r="BF228" s="66">
        <f>BF173+BE173+BC173+BB173</f>
        <v>1287</v>
      </c>
      <c r="BG228" s="66">
        <f>BG173+BF173+BE173+BC173</f>
        <v>1277</v>
      </c>
      <c r="BH228" s="66">
        <f>BH173+BG173+BF173+BE173</f>
        <v>1220</v>
      </c>
      <c r="BI228" s="248">
        <f>BI173</f>
        <v>1220</v>
      </c>
      <c r="BJ228" s="350">
        <f>BJ173+BH173+BG173+BF173</f>
        <v>1167</v>
      </c>
      <c r="BK228" s="66">
        <f>BK173+BJ173+BH173+BG173</f>
        <v>1134</v>
      </c>
      <c r="BL228" s="66">
        <f>BL173+BK173+BJ173+BH173</f>
        <v>1109</v>
      </c>
      <c r="BM228" s="66">
        <f>BM173+BL173+BK173+BJ173</f>
        <v>1116.6491228070176</v>
      </c>
      <c r="BN228" s="350">
        <f>BN173</f>
        <v>1116.6491228070176</v>
      </c>
      <c r="BO228" s="350">
        <f>BO173+BM173+BL173+BK173</f>
        <v>1122.1491228070176</v>
      </c>
      <c r="BP228" s="66">
        <f>BP173+BO173+BM173+BL173</f>
        <v>1102.7205513784461</v>
      </c>
      <c r="BQ228" s="66">
        <f>BQ173+BP173+BO173+BM173</f>
        <v>1069.7205513784461</v>
      </c>
      <c r="BR228" s="66">
        <f>BR173+BQ173+BP173+BO173</f>
        <v>1032.0714285714284</v>
      </c>
      <c r="BS228" s="248">
        <f>BS173</f>
        <v>1032.0714285714284</v>
      </c>
      <c r="BT228" s="350">
        <f>BT173+BR173+BQ173+BP173</f>
        <v>978.33928571428567</v>
      </c>
      <c r="BU228" s="66">
        <f>BU173+BT173+BR173+BQ173</f>
        <v>934.88268967874228</v>
      </c>
      <c r="BV228" s="66">
        <f>BV173+BU173+BT173+BR173</f>
        <v>904.52268967874227</v>
      </c>
      <c r="BW228" s="66">
        <f>BW173+BV173+BU173+BT173</f>
        <v>879.65381058846606</v>
      </c>
      <c r="BX228" s="248">
        <f>BX173</f>
        <v>879.65381058846606</v>
      </c>
      <c r="BY228" s="350">
        <f>BY173+BW173+BV173+BU173</f>
        <v>841.1840533248743</v>
      </c>
      <c r="BZ228" s="66">
        <f>BZ173+BY173+BW173+BV173</f>
        <v>803.61428792656591</v>
      </c>
      <c r="CA228" s="66">
        <f>CA173+BZ173+BY173+BW173</f>
        <v>744.80726613601109</v>
      </c>
      <c r="CB228" s="66">
        <f>CB173+CA173+BZ173+BY173</f>
        <v>679.3400663520755</v>
      </c>
      <c r="CC228" s="248">
        <f>CC173</f>
        <v>679.3400663520755</v>
      </c>
      <c r="CD228" s="350">
        <f>CD173+CB173+CA173+BZ173</f>
        <v>631.76484083802757</v>
      </c>
      <c r="CE228" s="66">
        <f>CE173+CD173+CB173+CA173</f>
        <v>585.32560051353028</v>
      </c>
      <c r="CF228" s="66">
        <f>CF173+CE173+CD173+CB173</f>
        <v>552.87557140137221</v>
      </c>
      <c r="CG228" s="66">
        <f>CG173+CF173+CE173+CD173</f>
        <v>512.91490079741538</v>
      </c>
      <c r="CH228" s="248">
        <f>CH173</f>
        <v>512.9149007974155</v>
      </c>
      <c r="CI228" s="350">
        <f>CI173+CG173+CF173+CE173</f>
        <v>490.15124171302386</v>
      </c>
      <c r="CJ228" s="66">
        <f>CJ173+CI173+CG173+CF173</f>
        <v>456.63517800424131</v>
      </c>
      <c r="CK228" s="66">
        <f>CK173+CJ173+CI173+CG173</f>
        <v>431.52526862182003</v>
      </c>
      <c r="CL228" s="66">
        <f>CL173+CK173+CJ173+CI173</f>
        <v>424.40415913868344</v>
      </c>
      <c r="CM228" s="248">
        <f>CM173</f>
        <v>424.40415913868338</v>
      </c>
      <c r="CN228" s="350">
        <f>CN173+CL173+CK173+CJ173</f>
        <v>412.23539231043713</v>
      </c>
      <c r="CO228" s="66">
        <f>CO173+CN173+CL173+CK173</f>
        <v>422.98281615628548</v>
      </c>
      <c r="CP228" s="66">
        <f>CP173+CO173+CN173+CL173</f>
        <v>428.04696339156482</v>
      </c>
      <c r="CQ228" s="66">
        <f t="shared" ref="CQ228:DA228" si="782">CQ173+CP173+CO173+CN173</f>
        <v>433.70863743351379</v>
      </c>
      <c r="CR228" s="248">
        <f>CR173</f>
        <v>433.70863743351379</v>
      </c>
      <c r="CS228" s="350">
        <f>CS173+CQ173+CP173+CO173</f>
        <v>433.70863743351379</v>
      </c>
      <c r="CT228" s="66">
        <f>CT173+CS173+CQ173+CP173</f>
        <v>433.70863743351379</v>
      </c>
      <c r="CU228" s="66">
        <f>CU173+CT173+CS173+CQ173</f>
        <v>433.70863743351379</v>
      </c>
      <c r="CV228" s="66">
        <f t="shared" ref="CV228:CV229" si="783">CV173+CU173+CT173+CS173</f>
        <v>433.70863743351379</v>
      </c>
      <c r="CW228" s="248">
        <f>CW173</f>
        <v>433.70863743351379</v>
      </c>
      <c r="CX228" s="66">
        <f>CX173+CO173+CQ173+CP173</f>
        <v>441.91818898093425</v>
      </c>
      <c r="CY228" s="66">
        <f>CY173+CX173+CP173+CQ173</f>
        <v>439.58100203078902</v>
      </c>
      <c r="CZ228" s="66">
        <f>CZ173+CY173+CX173+CQ173</f>
        <v>437.2438150806438</v>
      </c>
      <c r="DA228" s="66">
        <f t="shared" si="782"/>
        <v>432</v>
      </c>
      <c r="DB228" s="248">
        <f>DB173</f>
        <v>432</v>
      </c>
      <c r="DC228" s="66"/>
      <c r="DD228" s="66"/>
      <c r="DE228" s="66"/>
      <c r="DF228" s="66"/>
      <c r="DG228" s="248">
        <f>DG173</f>
        <v>349</v>
      </c>
      <c r="DH228" s="66"/>
      <c r="DI228" s="66"/>
      <c r="DJ228" s="66"/>
      <c r="DK228" s="66"/>
      <c r="DL228" s="248">
        <f>DL173</f>
        <v>272</v>
      </c>
      <c r="DM228" s="66"/>
      <c r="DN228" s="526"/>
      <c r="DO228" s="486"/>
      <c r="DP228" s="411"/>
      <c r="DQ228" s="411"/>
      <c r="DR228" s="411"/>
      <c r="DS228" s="478"/>
      <c r="DT228" s="561"/>
      <c r="DU228" s="457"/>
      <c r="DV228" s="463"/>
      <c r="DW228" s="472"/>
      <c r="DX228" s="472"/>
      <c r="DY228" s="472"/>
      <c r="DZ228" s="808"/>
      <c r="EA228" s="526"/>
      <c r="EH228" s="8"/>
    </row>
    <row r="229" spans="1:138" ht="12.75" hidden="1" customHeight="1" x14ac:dyDescent="0.2">
      <c r="A229" s="66" t="s">
        <v>189</v>
      </c>
      <c r="B229" s="66"/>
      <c r="C229" s="66"/>
      <c r="D229" s="66"/>
      <c r="E229" s="66"/>
      <c r="F229" s="248">
        <f>F174</f>
        <v>264.43</v>
      </c>
      <c r="G229" s="66">
        <f>G174+E174+D174+C174</f>
        <v>281.43</v>
      </c>
      <c r="H229" s="66">
        <f>H174+G174+E174+D174</f>
        <v>305.43</v>
      </c>
      <c r="I229" s="66">
        <f>I174+H174+G174+E174</f>
        <v>346.43</v>
      </c>
      <c r="J229" s="66">
        <f>J174+I174+H174+G174</f>
        <v>410</v>
      </c>
      <c r="K229" s="248">
        <f>K174</f>
        <v>410</v>
      </c>
      <c r="L229" s="66">
        <f>L174+J174+I174+H174</f>
        <v>465</v>
      </c>
      <c r="M229" s="66">
        <f>M174+L174+J174+I174</f>
        <v>529</v>
      </c>
      <c r="N229" s="66">
        <f>N174+M174+L174+J174</f>
        <v>580</v>
      </c>
      <c r="O229" s="66">
        <f>O174+N174+M174+L174</f>
        <v>610</v>
      </c>
      <c r="P229" s="248">
        <f>P174</f>
        <v>610</v>
      </c>
      <c r="Q229" s="66">
        <f>Q174+O174+N174+M174</f>
        <v>630</v>
      </c>
      <c r="R229" s="66">
        <f>R174+Q174+O174+N174</f>
        <v>652</v>
      </c>
      <c r="S229" s="66">
        <f>S174+R174+Q174+O174</f>
        <v>673</v>
      </c>
      <c r="T229" s="66">
        <f>T174+S174+R174+Q174</f>
        <v>696</v>
      </c>
      <c r="U229" s="248">
        <f>U174</f>
        <v>696</v>
      </c>
      <c r="V229" s="66">
        <f>V174+T174+S174+R174</f>
        <v>716</v>
      </c>
      <c r="W229" s="66">
        <f>W174+V174+T174+S174</f>
        <v>728</v>
      </c>
      <c r="X229" s="66">
        <f>X174+W174+V174+T174</f>
        <v>755</v>
      </c>
      <c r="Y229" s="66">
        <f>Y174+X174+W174+V174</f>
        <v>787</v>
      </c>
      <c r="Z229" s="248">
        <f>Z174</f>
        <v>787</v>
      </c>
      <c r="AA229" s="66">
        <f>AA174+Y174+X174+W174</f>
        <v>860</v>
      </c>
      <c r="AB229" s="66">
        <f>AB174+AA174+Y174+X174</f>
        <v>945</v>
      </c>
      <c r="AC229" s="66">
        <f>AC174+AB174+AA174+Y174</f>
        <v>1001</v>
      </c>
      <c r="AD229" s="66">
        <f>AD174+AC174+AB174+AA174</f>
        <v>973</v>
      </c>
      <c r="AE229" s="248">
        <f>AE174</f>
        <v>973</v>
      </c>
      <c r="AF229" s="66">
        <f>AF174+AD174+AC174+AB174</f>
        <v>921</v>
      </c>
      <c r="AG229" s="66">
        <f>AG174+AF174+AD174+AC174</f>
        <v>856</v>
      </c>
      <c r="AH229" s="66">
        <f>AH174+AG174+AF174+AD174</f>
        <v>802</v>
      </c>
      <c r="AI229" s="66">
        <f>AI174+AH174+AG174+AF174</f>
        <v>801</v>
      </c>
      <c r="AJ229" s="248">
        <f>AJ174</f>
        <v>801</v>
      </c>
      <c r="AK229" s="66">
        <f>AK174+AI174+AH174+AG174</f>
        <v>789</v>
      </c>
      <c r="AL229" s="66">
        <f>AL174+AK174+AI174+AH174</f>
        <v>713</v>
      </c>
      <c r="AM229" s="66">
        <f>AM174+AL174+AK174+AI174</f>
        <v>597</v>
      </c>
      <c r="AN229" s="66">
        <f>AN174+AM174+AL174+AK174</f>
        <v>512</v>
      </c>
      <c r="AO229" s="248">
        <f>AO174</f>
        <v>512</v>
      </c>
      <c r="AP229" s="350"/>
      <c r="AQ229" s="66"/>
      <c r="AR229" s="66"/>
      <c r="AS229" s="66"/>
      <c r="AT229" s="248"/>
      <c r="AU229" s="66">
        <f>AU174+AS174+AR174+AQ174</f>
        <v>198</v>
      </c>
      <c r="AV229" s="66">
        <f>AV174+AU174+AS174+AR174</f>
        <v>398</v>
      </c>
      <c r="AW229" s="66">
        <f>AW174+AV174+AU174+AS174</f>
        <v>608</v>
      </c>
      <c r="AX229" s="66">
        <f>AX174+AW174+AV174+AU174</f>
        <v>900</v>
      </c>
      <c r="AY229" s="248">
        <f>AY174</f>
        <v>900</v>
      </c>
      <c r="AZ229" s="350">
        <f>AZ174+AX174+AW174+AV174</f>
        <v>1000</v>
      </c>
      <c r="BA229" s="66">
        <f>BA174+AZ174+AX174+AW174</f>
        <v>1115</v>
      </c>
      <c r="BB229" s="66">
        <f>BB174+BA174+AZ174+AX174</f>
        <v>1220</v>
      </c>
      <c r="BC229" s="66">
        <f>BC174+BB174+BA174+AZ174</f>
        <v>1251</v>
      </c>
      <c r="BD229" s="248">
        <f>BD174</f>
        <v>1251</v>
      </c>
      <c r="BE229" s="350">
        <f>BE174+BC174+BB174+BA174</f>
        <v>1259</v>
      </c>
      <c r="BF229" s="66">
        <f>BF174+BE174+BC174+BB174</f>
        <v>1256</v>
      </c>
      <c r="BG229" s="66">
        <f>BG174+BF174+BE174+BC174</f>
        <v>1243</v>
      </c>
      <c r="BH229" s="66">
        <f>BH174+BG174+BF174+BE174</f>
        <v>1185</v>
      </c>
      <c r="BI229" s="248">
        <f>BI174</f>
        <v>1185</v>
      </c>
      <c r="BJ229" s="350">
        <f>BJ174+BH174+BG174+BF174</f>
        <v>1147</v>
      </c>
      <c r="BK229" s="66">
        <f>BK174+BJ174+BH174+BG174</f>
        <v>1114</v>
      </c>
      <c r="BL229" s="66">
        <f>BL174+BK174+BJ174+BH174</f>
        <v>1089</v>
      </c>
      <c r="BM229" s="66">
        <f>BM174+BL174+BK174+BJ174</f>
        <v>1094</v>
      </c>
      <c r="BN229" s="350">
        <f>BN174</f>
        <v>1094</v>
      </c>
      <c r="BO229" s="350">
        <f>BO174+BM174+BL174+BK174</f>
        <v>1098</v>
      </c>
      <c r="BP229" s="66">
        <f>BP174+BO174+BM174+BL174</f>
        <v>1075</v>
      </c>
      <c r="BQ229" s="66">
        <f>BQ174+BP174+BO174+BM174</f>
        <v>1041</v>
      </c>
      <c r="BR229" s="66">
        <f>BR174+BQ174+BP174+BO174</f>
        <v>1004.7520661157025</v>
      </c>
      <c r="BS229" s="248">
        <f>BS174</f>
        <v>1004.7520661157025</v>
      </c>
      <c r="BT229" s="350">
        <f>BT174+BR174+BQ174+BP174</f>
        <v>952.75206611570252</v>
      </c>
      <c r="BU229" s="66">
        <f>BU174+BT174+BR174+BQ174</f>
        <v>909.75206611570252</v>
      </c>
      <c r="BV229" s="66">
        <f>BV174+BU174+BT174+BR174</f>
        <v>879.75206611570252</v>
      </c>
      <c r="BW229" s="66">
        <f>BW174+BV174+BU174+BT174</f>
        <v>852</v>
      </c>
      <c r="BX229" s="248">
        <f>BX174</f>
        <v>851.99999999999989</v>
      </c>
      <c r="BY229" s="350">
        <f>BY174+BW174+BV174+BU174</f>
        <v>810</v>
      </c>
      <c r="BZ229" s="66">
        <f>BZ174+BY174+BW174+BV174</f>
        <v>770</v>
      </c>
      <c r="CA229" s="66">
        <f>CA174+BZ174+BY174+BW174</f>
        <v>711</v>
      </c>
      <c r="CB229" s="66">
        <f>CB174+CA174+BZ174+BY174</f>
        <v>647</v>
      </c>
      <c r="CC229" s="248">
        <f>CC174</f>
        <v>647</v>
      </c>
      <c r="CD229" s="350">
        <f>CD174+CB174+CA174+BZ174</f>
        <v>600</v>
      </c>
      <c r="CE229" s="66">
        <f>CE174+CD174+CB174+CA174</f>
        <v>554</v>
      </c>
      <c r="CF229" s="66">
        <f>CF174+CE174+CD174+CB174</f>
        <v>521</v>
      </c>
      <c r="CG229" s="66">
        <f>CG174+CF174+CE174+CD174</f>
        <v>481</v>
      </c>
      <c r="CH229" s="248">
        <f>CH174</f>
        <v>481</v>
      </c>
      <c r="CI229" s="350">
        <f>CI174+CG174+CF174+CE174</f>
        <v>457</v>
      </c>
      <c r="CJ229" s="66">
        <f>CJ174+CI174+CG174+CF174</f>
        <v>423</v>
      </c>
      <c r="CK229" s="66">
        <f>CK174+CJ174+CI174+CG174</f>
        <v>397</v>
      </c>
      <c r="CL229" s="66">
        <f>CL174+CK174+CJ174+CI174</f>
        <v>388</v>
      </c>
      <c r="CM229" s="248">
        <f>CM174</f>
        <v>388</v>
      </c>
      <c r="CN229" s="350">
        <f>CN174+CL174+CK174+CJ174</f>
        <v>375</v>
      </c>
      <c r="CO229" s="66">
        <f>CO174+CN174+CL174+CK174</f>
        <v>385</v>
      </c>
      <c r="CP229" s="66">
        <f>CP174+CO174+CN174+CL174</f>
        <v>390</v>
      </c>
      <c r="CQ229" s="66">
        <f t="shared" ref="CQ229:DA229" si="784">CQ174+CP174+CO174+CN174</f>
        <v>396</v>
      </c>
      <c r="CR229" s="248">
        <f>CR174</f>
        <v>396</v>
      </c>
      <c r="CS229" s="350">
        <f>CS174+CQ174+CP174+CO174</f>
        <v>396</v>
      </c>
      <c r="CT229" s="66">
        <f>CT174+CS174+CQ174+CP174</f>
        <v>396</v>
      </c>
      <c r="CU229" s="66">
        <f>CU174+CT174+CS174+CQ174</f>
        <v>396</v>
      </c>
      <c r="CV229" s="66">
        <f t="shared" si="783"/>
        <v>396</v>
      </c>
      <c r="CW229" s="248">
        <f>CW174</f>
        <v>396</v>
      </c>
      <c r="CX229" s="66">
        <f>CX174+CO174+CQ174+CP174</f>
        <v>404</v>
      </c>
      <c r="CY229" s="66">
        <f>CY174+CX174+CP174+CQ174</f>
        <v>400</v>
      </c>
      <c r="CZ229" s="66">
        <f>CZ174+CY174+CX174+CQ174</f>
        <v>395</v>
      </c>
      <c r="DA229" s="66">
        <f t="shared" si="784"/>
        <v>386</v>
      </c>
      <c r="DB229" s="248">
        <f>DB174</f>
        <v>386</v>
      </c>
      <c r="DC229" s="66"/>
      <c r="DD229" s="66"/>
      <c r="DE229" s="66"/>
      <c r="DF229" s="66"/>
      <c r="DG229" s="248">
        <f>DG174</f>
        <v>310</v>
      </c>
      <c r="DH229" s="66"/>
      <c r="DI229" s="66"/>
      <c r="DJ229" s="66"/>
      <c r="DK229" s="66"/>
      <c r="DL229" s="248">
        <f>DL174</f>
        <v>233</v>
      </c>
      <c r="DM229" s="66"/>
      <c r="DN229" s="526"/>
      <c r="DO229" s="486"/>
      <c r="DP229" s="411"/>
      <c r="DQ229" s="411"/>
      <c r="DR229" s="411"/>
      <c r="DS229" s="478"/>
      <c r="DT229" s="561"/>
      <c r="DU229" s="457"/>
      <c r="DV229" s="463"/>
      <c r="DW229" s="472"/>
      <c r="DX229" s="472"/>
      <c r="DY229" s="472"/>
      <c r="DZ229" s="808"/>
      <c r="EA229" s="526"/>
      <c r="EH229" s="8"/>
    </row>
    <row r="230" spans="1:138" ht="12.75" hidden="1" customHeight="1" x14ac:dyDescent="0.2">
      <c r="A230" s="66" t="s">
        <v>289</v>
      </c>
      <c r="B230" s="66"/>
      <c r="C230" s="66"/>
      <c r="D230" s="66"/>
      <c r="E230" s="66"/>
      <c r="F230" s="248">
        <f>F178</f>
        <v>1532.57</v>
      </c>
      <c r="G230" s="66">
        <f>G178+E178+D178+C178</f>
        <v>1024.57</v>
      </c>
      <c r="H230" s="66">
        <f>H178+G178+E178+D178</f>
        <v>240.57</v>
      </c>
      <c r="I230" s="66">
        <f>I178+H178+G178+E178</f>
        <v>-699.43000000000006</v>
      </c>
      <c r="J230" s="66">
        <f>J178+I178+H178+G178</f>
        <v>-1531</v>
      </c>
      <c r="K230" s="248">
        <f>K178</f>
        <v>-1531</v>
      </c>
      <c r="L230" s="66">
        <f>L178+J178+I178+H178</f>
        <v>-1860</v>
      </c>
      <c r="M230" s="66">
        <f>M178+L178+J178+I178</f>
        <v>-1958</v>
      </c>
      <c r="N230" s="66">
        <f>N178+M178+L178+J178</f>
        <v>-1844</v>
      </c>
      <c r="O230" s="66">
        <f>O178+N178+M178+L178</f>
        <v>-1522</v>
      </c>
      <c r="P230" s="248">
        <f>P178</f>
        <v>-1522</v>
      </c>
      <c r="Q230" s="66">
        <f>Q178+O178+N178+M178</f>
        <v>-1649.4</v>
      </c>
      <c r="R230" s="66">
        <f>R178+Q178+O178+N178</f>
        <v>-1771.85</v>
      </c>
      <c r="S230" s="66">
        <f>S178+R178+Q178+O178</f>
        <v>-1693.85</v>
      </c>
      <c r="T230" s="66">
        <f>T178+S178+R178+Q178</f>
        <v>-1624.85</v>
      </c>
      <c r="U230" s="248">
        <f>U178</f>
        <v>-1624.85</v>
      </c>
      <c r="V230" s="66">
        <f>V178+T178+S178+R178</f>
        <v>-1561.4499999999998</v>
      </c>
      <c r="W230" s="66">
        <f>W178+V178+T178+S178</f>
        <v>-1502</v>
      </c>
      <c r="X230" s="66">
        <f>X178+W178+V178+T178</f>
        <v>-1832</v>
      </c>
      <c r="Y230" s="66">
        <f>Y178+X178+W178+V178</f>
        <v>-2158</v>
      </c>
      <c r="Z230" s="248">
        <f>Z178</f>
        <v>-2158</v>
      </c>
      <c r="AA230" s="66">
        <f>AA178+Y178+X178+W178</f>
        <v>-2244</v>
      </c>
      <c r="AB230" s="66">
        <f>AB178+AA178+Y178+X178</f>
        <v>-2236</v>
      </c>
      <c r="AC230" s="66">
        <f>AC178+AB178+AA178+Y178</f>
        <v>-2053</v>
      </c>
      <c r="AD230" s="66">
        <f>AD178+AC178+AB178+AA178</f>
        <v>-2087</v>
      </c>
      <c r="AE230" s="248">
        <f>AE178</f>
        <v>-2087</v>
      </c>
      <c r="AF230" s="66">
        <f>AF178+AD178+AC178+AB178</f>
        <v>-2090</v>
      </c>
      <c r="AG230" s="66">
        <f>AG178+AF178+AD178+AC178</f>
        <v>-1607</v>
      </c>
      <c r="AH230" s="66">
        <f>AH178+AG178+AF178+AD178</f>
        <v>-1261</v>
      </c>
      <c r="AI230" s="66">
        <f>AI178+AH178+AG178+AF178</f>
        <v>-762</v>
      </c>
      <c r="AJ230" s="248">
        <f>AJ178</f>
        <v>-762</v>
      </c>
      <c r="AK230" s="66">
        <f>AK178+AI178+AH178+AG178</f>
        <v>-81</v>
      </c>
      <c r="AL230" s="66">
        <f>AL178+AK178+AI178+AH178</f>
        <v>126</v>
      </c>
      <c r="AM230" s="66">
        <f>AM178+AL178+AK178+AI178</f>
        <v>558</v>
      </c>
      <c r="AN230" s="66">
        <f>AN178+AM178+AL178+AK178</f>
        <v>638</v>
      </c>
      <c r="AO230" s="248">
        <f>AO178</f>
        <v>638</v>
      </c>
      <c r="AP230" s="350"/>
      <c r="AQ230" s="66"/>
      <c r="AR230" s="66"/>
      <c r="AS230" s="66"/>
      <c r="AT230" s="248"/>
      <c r="AU230" s="66">
        <f>AU178+AS178+AR178+AQ178</f>
        <v>-473</v>
      </c>
      <c r="AV230" s="66">
        <f>AV178+AU178+AS178+AR178</f>
        <v>-390</v>
      </c>
      <c r="AW230" s="66">
        <f>AW178+AV178+AU178+AS178</f>
        <v>-451</v>
      </c>
      <c r="AX230" s="66">
        <f>AX178+AW178+AV178+AU178</f>
        <v>-961</v>
      </c>
      <c r="AY230" s="248">
        <f>AY178</f>
        <v>-961</v>
      </c>
      <c r="AZ230" s="350">
        <f>AZ178+AX178+AW178+AV178</f>
        <v>-1181</v>
      </c>
      <c r="BA230" s="66">
        <f>BA178+AZ178+AX178+AW178</f>
        <v>-1459</v>
      </c>
      <c r="BB230" s="66">
        <f>BB178+BA178+AZ178+AX178</f>
        <v>-1365</v>
      </c>
      <c r="BC230" s="66">
        <f>BC178+BB178+BA178+AZ178</f>
        <v>-1089</v>
      </c>
      <c r="BD230" s="248">
        <f>BD178</f>
        <v>-1089</v>
      </c>
      <c r="BE230" s="350">
        <f>BE178+BC178+BB178+BA178</f>
        <v>-578</v>
      </c>
      <c r="BF230" s="66">
        <f>BF178+BE178+BC178+BB178</f>
        <v>167.05999999999949</v>
      </c>
      <c r="BG230" s="66">
        <f>BG178+BF178+BE178+BC178</f>
        <v>1066.0599999999995</v>
      </c>
      <c r="BH230" s="66">
        <f>BH178+BG178+BF178+BE178</f>
        <v>1460.0599999999995</v>
      </c>
      <c r="BI230" s="248">
        <f>BI178</f>
        <v>1460.0599999999995</v>
      </c>
      <c r="BJ230" s="350">
        <f>BJ178+BH178+BG178+BF178</f>
        <v>1251.0599999999995</v>
      </c>
      <c r="BK230" s="66">
        <f>BK178+BJ178+BH178+BG178</f>
        <v>1064</v>
      </c>
      <c r="BL230" s="66">
        <f>BL178+BK178+BJ178+BH178</f>
        <v>895</v>
      </c>
      <c r="BM230" s="66">
        <f>BM178+BL178+BK178+BJ178</f>
        <v>1106</v>
      </c>
      <c r="BN230" s="350">
        <f>BN178</f>
        <v>1106</v>
      </c>
      <c r="BO230" s="350">
        <f>BO178+BM178+BL178+BK178</f>
        <v>1461</v>
      </c>
      <c r="BP230" s="66">
        <f>BP178+BO178+BM178+BL178</f>
        <v>1688</v>
      </c>
      <c r="BQ230" s="66">
        <f>BQ178+BP178+BO178+BM178</f>
        <v>1698</v>
      </c>
      <c r="BR230" s="66">
        <f>BR178+BQ178+BP178+BO178</f>
        <v>1568.2479338842975</v>
      </c>
      <c r="BS230" s="248">
        <f>BS178</f>
        <v>1568.2479338842975</v>
      </c>
      <c r="BT230" s="350">
        <f>BT178+BR178+BQ178+BP178</f>
        <v>1685.2479338842975</v>
      </c>
      <c r="BU230" s="66">
        <f>BU178+BT178+BR178+BQ178</f>
        <v>1940.2479338842975</v>
      </c>
      <c r="BV230" s="66">
        <f>BV178+BU178+BT178+BR178</f>
        <v>2373.2479338842977</v>
      </c>
      <c r="BW230" s="66">
        <f>BW178+BV178+BU178+BT178</f>
        <v>2675</v>
      </c>
      <c r="BX230" s="248">
        <f>BX178</f>
        <v>2675</v>
      </c>
      <c r="BY230" s="350">
        <f>BY178+BW178+BV178+BU178</f>
        <v>3038</v>
      </c>
      <c r="BZ230" s="66">
        <f>BZ178+BY178+BW178+BV178</f>
        <v>3631</v>
      </c>
      <c r="CA230" s="66">
        <f>CA178+BZ178+BY178+BW178</f>
        <v>4062</v>
      </c>
      <c r="CB230" s="66">
        <f>CB178+CA178+BZ178+BY178</f>
        <v>4536</v>
      </c>
      <c r="CC230" s="248">
        <f>CC178</f>
        <v>4536</v>
      </c>
      <c r="CD230" s="350">
        <f>CD178+CB178+CA178+BZ178</f>
        <v>4686</v>
      </c>
      <c r="CE230" s="66">
        <f>CE178+CD178+CB178+CA178</f>
        <v>4888</v>
      </c>
      <c r="CF230" s="66">
        <f>CF178+CE178+CD178+CB178</f>
        <v>5435</v>
      </c>
      <c r="CG230" s="66">
        <f>CG178+CF178+CE178+CD178</f>
        <v>5865</v>
      </c>
      <c r="CH230" s="248">
        <f>CH178</f>
        <v>5865</v>
      </c>
      <c r="CI230" s="350">
        <f>CI178+CG178+CF178+CE178</f>
        <v>6831</v>
      </c>
      <c r="CJ230" s="66">
        <f>CJ178+CI178+CG178+CF178</f>
        <v>6873</v>
      </c>
      <c r="CK230" s="66">
        <f>CK178+CJ178+CI178+CG178</f>
        <v>6595</v>
      </c>
      <c r="CL230" s="66">
        <f>CL178+CK178+CJ178+CI178</f>
        <v>6071</v>
      </c>
      <c r="CM230" s="248">
        <f>CM178</f>
        <v>6071</v>
      </c>
      <c r="CN230" s="350">
        <f>CN178+CL178+CK178+CJ178</f>
        <v>5358</v>
      </c>
      <c r="CO230" s="66">
        <f>CO178+CN178+CL178+CK178</f>
        <v>5530</v>
      </c>
      <c r="CP230" s="66">
        <f>CP178+CO178+CN178+CL178</f>
        <v>5348</v>
      </c>
      <c r="CQ230" s="66">
        <f t="shared" ref="CQ230:DA230" si="785">CQ178+CP178+CO178+CN178</f>
        <v>5450</v>
      </c>
      <c r="CR230" s="248">
        <f>CR178</f>
        <v>5450</v>
      </c>
      <c r="CS230" s="350">
        <f>CS178+CQ178+CP178+CO178</f>
        <v>5384</v>
      </c>
      <c r="CT230" s="66">
        <f>CT178+CS178+CQ178+CP178</f>
        <v>5324</v>
      </c>
      <c r="CU230" s="66">
        <f>CU178+CT178+CS178+CQ178</f>
        <v>5295</v>
      </c>
      <c r="CV230" s="66">
        <f t="shared" ref="CV230" si="786">CV178+CU178+CT178+CS178</f>
        <v>5250</v>
      </c>
      <c r="CW230" s="248">
        <f>CW178</f>
        <v>5250</v>
      </c>
      <c r="CX230" s="66">
        <f>CX178+CO178+CQ178+CP178</f>
        <v>5279</v>
      </c>
      <c r="CY230" s="66">
        <f>CY178+CX178+CP178+CQ178</f>
        <v>5168.2918495195845</v>
      </c>
      <c r="CZ230" s="66">
        <f>CZ178+CY178+CX178+CQ178</f>
        <v>5115.0055872944977</v>
      </c>
      <c r="DA230" s="66">
        <f t="shared" si="785"/>
        <v>5417.4013294075194</v>
      </c>
      <c r="DB230" s="248">
        <f>DB178</f>
        <v>5417.4013294075194</v>
      </c>
      <c r="DC230" s="66"/>
      <c r="DD230" s="66"/>
      <c r="DE230" s="66"/>
      <c r="DF230" s="66"/>
      <c r="DG230" s="248">
        <f>DG178</f>
        <v>5826.6596306245701</v>
      </c>
      <c r="DH230" s="66"/>
      <c r="DI230" s="66"/>
      <c r="DJ230" s="66"/>
      <c r="DK230" s="66"/>
      <c r="DL230" s="248">
        <f>DL178</f>
        <v>6386.2599263945376</v>
      </c>
      <c r="DM230" s="66"/>
      <c r="DN230" s="526"/>
      <c r="DO230" s="486"/>
      <c r="DP230" s="411"/>
      <c r="DQ230" s="411"/>
      <c r="DR230" s="411"/>
      <c r="DS230" s="478"/>
      <c r="DT230" s="561"/>
      <c r="DU230" s="457"/>
      <c r="DV230" s="463"/>
      <c r="DW230" s="472"/>
      <c r="DX230" s="472"/>
      <c r="DY230" s="472"/>
      <c r="DZ230" s="808"/>
      <c r="EA230" s="526"/>
      <c r="EH230" s="8"/>
    </row>
    <row r="231" spans="1:138" ht="12.75" hidden="1" customHeight="1" x14ac:dyDescent="0.2">
      <c r="A231" s="66" t="s">
        <v>290</v>
      </c>
      <c r="B231" s="66"/>
      <c r="C231" s="66"/>
      <c r="D231" s="66"/>
      <c r="E231" s="66"/>
      <c r="F231" s="248">
        <f>F183</f>
        <v>888.90206000000001</v>
      </c>
      <c r="G231" s="66">
        <f>G183+E183+D183+C183</f>
        <v>593.39706000000001</v>
      </c>
      <c r="H231" s="66">
        <f>H183+G183+E183+D183</f>
        <v>93.71156000000002</v>
      </c>
      <c r="I231" s="66">
        <f>I183+H183+G183+E183</f>
        <v>-476.59500000000003</v>
      </c>
      <c r="J231" s="66">
        <f>J183+I183+H183+G183</f>
        <v>-1040.8855900000001</v>
      </c>
      <c r="K231" s="248">
        <f>K183</f>
        <v>-1040.8855899999999</v>
      </c>
      <c r="L231" s="66">
        <f>L183+J183+I183+H183</f>
        <v>-1271.89059</v>
      </c>
      <c r="M231" s="66">
        <f>M183+L183+J183+I183</f>
        <v>-1310.139678236</v>
      </c>
      <c r="N231" s="66">
        <f>N183+M183+L183+J183</f>
        <v>-1227.093678236</v>
      </c>
      <c r="O231" s="66">
        <f>O183+N183+M183+L183</f>
        <v>-972.18328823599995</v>
      </c>
      <c r="P231" s="248">
        <f>P183</f>
        <v>-972.18328823599995</v>
      </c>
      <c r="Q231" s="66">
        <f>Q183+O183+N183+M183</f>
        <v>-1045.3248882359999</v>
      </c>
      <c r="R231" s="66">
        <f>R183+Q183+O183+N183</f>
        <v>-1120.8751749999997</v>
      </c>
      <c r="S231" s="66">
        <f>S183+R183+Q183+O183</f>
        <v>-1081.8691749999998</v>
      </c>
      <c r="T231" s="66">
        <f>T183+S183+R183+Q183</f>
        <v>-1058.6295149999999</v>
      </c>
      <c r="U231" s="248">
        <f>U183</f>
        <v>-1058.6295149999999</v>
      </c>
      <c r="V231" s="66">
        <f>V183+T183+S183+R183</f>
        <v>-1015.6879149999999</v>
      </c>
      <c r="W231" s="66">
        <f>W183+V183+T183+S183</f>
        <v>-2625.8885399999999</v>
      </c>
      <c r="X231" s="66">
        <f>X183+W183+V183+T183</f>
        <v>-3046.1405399999999</v>
      </c>
      <c r="Y231" s="66">
        <f>Y183+X183+W183+V183</f>
        <v>-3383</v>
      </c>
      <c r="Z231" s="248">
        <f>Z183</f>
        <v>-3383</v>
      </c>
      <c r="AA231" s="66">
        <f>AA183+Y183+X183+W183</f>
        <v>-3541</v>
      </c>
      <c r="AB231" s="66">
        <f>AB183+AA183+Y183+X183</f>
        <v>-1982</v>
      </c>
      <c r="AC231" s="66">
        <f>AC183+AB183+AA183+Y183</f>
        <v>-1827</v>
      </c>
      <c r="AD231" s="66">
        <f>AD183+AC183+AB183+AA183</f>
        <v>-2064</v>
      </c>
      <c r="AE231" s="248">
        <f>AE183</f>
        <v>-2064</v>
      </c>
      <c r="AF231" s="66">
        <f>AF183+AD183+AC183+AB183</f>
        <v>-2187</v>
      </c>
      <c r="AG231" s="66">
        <f>AG183+AF183+AD183+AC183</f>
        <v>-1720</v>
      </c>
      <c r="AH231" s="66">
        <f>AH183+AG183+AF183+AD183</f>
        <v>-1328</v>
      </c>
      <c r="AI231" s="66">
        <f>AI183+AH183+AG183+AF183</f>
        <v>-3</v>
      </c>
      <c r="AJ231" s="248">
        <f>AJ183</f>
        <v>-3</v>
      </c>
      <c r="AK231" s="66">
        <f>AK183+AI183+AH183+AG183</f>
        <v>659</v>
      </c>
      <c r="AL231" s="66">
        <f>AL183+AK183+AI183+AH183</f>
        <v>771</v>
      </c>
      <c r="AM231" s="66">
        <f>AM183+AL183+AK183+AI183</f>
        <v>1041</v>
      </c>
      <c r="AN231" s="66">
        <f>AN183+AM183+AL183+AK183</f>
        <v>431</v>
      </c>
      <c r="AO231" s="248">
        <f>AO183</f>
        <v>431</v>
      </c>
      <c r="AP231" s="350"/>
      <c r="AQ231" s="66"/>
      <c r="AR231" s="66"/>
      <c r="AS231" s="66"/>
      <c r="AT231" s="248"/>
      <c r="AU231" s="66">
        <f>AU183+AS183+AR183+AQ183</f>
        <v>-473</v>
      </c>
      <c r="AV231" s="66">
        <f>AV183+AU183+AS183+AR183</f>
        <v>-390</v>
      </c>
      <c r="AW231" s="66">
        <f>AW183+AV183+AU183+AS183</f>
        <v>-454</v>
      </c>
      <c r="AX231" s="66">
        <f>AX183+AW183+AV183+AU183</f>
        <v>-964</v>
      </c>
      <c r="AY231" s="248">
        <f>AY183</f>
        <v>-964</v>
      </c>
      <c r="AZ231" s="350">
        <f>AZ183+AX183+AW183+AV183</f>
        <v>-1184</v>
      </c>
      <c r="BA231" s="66">
        <f>BA183+AZ183+AX183+AW183</f>
        <v>-1466</v>
      </c>
      <c r="BB231" s="66">
        <f>BB183+BA183+AZ183+AX183</f>
        <v>-1351</v>
      </c>
      <c r="BC231" s="66">
        <f>BC183+BB183+BA183+AZ183</f>
        <v>-1066</v>
      </c>
      <c r="BD231" s="248">
        <f>BD183</f>
        <v>-1066</v>
      </c>
      <c r="BE231" s="350">
        <f>BE183+BC183+BB183+BA183</f>
        <v>-565</v>
      </c>
      <c r="BF231" s="66">
        <f>BF183+BE183+BC183+BB183</f>
        <v>185.05999999999949</v>
      </c>
      <c r="BG231" s="66">
        <f>BG183+BF183+BE183+BC183</f>
        <v>1063.0599999999995</v>
      </c>
      <c r="BH231" s="66">
        <f>BH183+BG183+BF183+BE183</f>
        <v>1446.0599999999995</v>
      </c>
      <c r="BI231" s="248">
        <f>BI183</f>
        <v>1446.0599999999995</v>
      </c>
      <c r="BJ231" s="350">
        <f>BJ183+BH183+BG183+BF183</f>
        <v>1318.0599999999995</v>
      </c>
      <c r="BK231" s="66">
        <f>BK183+BJ183+BH183+BG183</f>
        <v>1133</v>
      </c>
      <c r="BL231" s="66">
        <f>BL183+BK183+BJ183+BH183</f>
        <v>969</v>
      </c>
      <c r="BM231" s="66">
        <f>BM183+BL183+BK183+BJ183</f>
        <v>1190</v>
      </c>
      <c r="BN231" s="350">
        <f>BN183</f>
        <v>1190</v>
      </c>
      <c r="BO231" s="350">
        <f>BO183+BM183+BL183+BK183</f>
        <v>1471</v>
      </c>
      <c r="BP231" s="66">
        <f>BP183+BO183+BM183+BL183</f>
        <v>1691</v>
      </c>
      <c r="BQ231" s="66">
        <f>BQ183+BP183+BO183+BM183</f>
        <v>1694</v>
      </c>
      <c r="BR231" s="66">
        <f>BR183+BQ183+BP183+BO183</f>
        <v>1553.2479338842975</v>
      </c>
      <c r="BS231" s="248">
        <f>BS183</f>
        <v>1553.2479338842975</v>
      </c>
      <c r="BT231" s="350">
        <f>BT183+BR183+BQ183+BP183</f>
        <v>1677.2479338842975</v>
      </c>
      <c r="BU231" s="66">
        <f>BU183+BT183+BR183+BQ183</f>
        <v>1935.2479338842975</v>
      </c>
      <c r="BV231" s="66">
        <f>BV183+BU183+BT183+BR183</f>
        <v>2379.2479338842977</v>
      </c>
      <c r="BW231" s="66">
        <f>BW183+BV183+BU183+BT183</f>
        <v>2699</v>
      </c>
      <c r="BX231" s="248">
        <f>BX183</f>
        <v>2699</v>
      </c>
      <c r="BY231" s="350">
        <f>BY183+BW183+BV183+BU183</f>
        <v>2895</v>
      </c>
      <c r="BZ231" s="66">
        <f>BZ183+BY183+BW183+BV183</f>
        <v>2940</v>
      </c>
      <c r="CA231" s="66">
        <f>CA183+BZ183+BY183+BW183</f>
        <v>2742</v>
      </c>
      <c r="CB231" s="66">
        <f>CB183+CA183+BZ183+BY183</f>
        <v>2833</v>
      </c>
      <c r="CC231" s="248">
        <f>CC183</f>
        <v>2833</v>
      </c>
      <c r="CD231" s="350">
        <f>CD183+CB183+CA183+BZ183</f>
        <v>2924</v>
      </c>
      <c r="CE231" s="66">
        <f>CE183+CD183+CB183+CA183</f>
        <v>3062</v>
      </c>
      <c r="CF231" s="66">
        <f>CF183+CE183+CD183+CB183</f>
        <v>3432</v>
      </c>
      <c r="CG231" s="66">
        <f>CG183+CF183+CE183+CD183</f>
        <v>3709</v>
      </c>
      <c r="CH231" s="248">
        <f>CH183</f>
        <v>3709</v>
      </c>
      <c r="CI231" s="350">
        <f>CI183+CG183+CF183+CE183</f>
        <v>4363</v>
      </c>
      <c r="CJ231" s="66">
        <f>CJ183+CI183+CG183+CF183</f>
        <v>4460</v>
      </c>
      <c r="CK231" s="66">
        <f>CK183+CJ183+CI183+CG183</f>
        <v>4339</v>
      </c>
      <c r="CL231" s="66">
        <f>CL183+CK183+CJ183+CI183</f>
        <v>4017</v>
      </c>
      <c r="CM231" s="248">
        <f>CM183</f>
        <v>4017</v>
      </c>
      <c r="CN231" s="350">
        <f>CN183+CL183+CK183+CJ183</f>
        <v>3551</v>
      </c>
      <c r="CO231" s="66">
        <f>CO183+CN183+CL183+CK183</f>
        <v>3628</v>
      </c>
      <c r="CP231" s="66">
        <f>CP183+CO183+CN183+CL183</f>
        <v>3492</v>
      </c>
      <c r="CQ231" s="66">
        <f t="shared" ref="CQ231:DA231" si="787">CQ183+CP183+CO183+CN183</f>
        <v>3569</v>
      </c>
      <c r="CR231" s="248">
        <f>CR183</f>
        <v>3569</v>
      </c>
      <c r="CS231" s="350">
        <f>CS183+CQ183+CP183+CO183</f>
        <v>3527</v>
      </c>
      <c r="CT231" s="66">
        <f>CT183+CS183+CQ183+CP183</f>
        <v>3489</v>
      </c>
      <c r="CU231" s="66">
        <f>CU183+CT183+CS183+CQ183</f>
        <v>3470</v>
      </c>
      <c r="CV231" s="66">
        <f t="shared" ref="CV231" si="788">CV183+CU183+CT183+CS183</f>
        <v>3441</v>
      </c>
      <c r="CW231" s="248">
        <f>CW183</f>
        <v>3441</v>
      </c>
      <c r="CX231" s="66">
        <f>CX183+CO183+CQ183+CP183</f>
        <v>3532</v>
      </c>
      <c r="CY231" s="66">
        <f>CY183+CX183+CP183+CQ183</f>
        <v>3673.3347241300798</v>
      </c>
      <c r="CZ231" s="66">
        <f>CZ183+CY183+CX183+CQ183</f>
        <v>3832.7843022167635</v>
      </c>
      <c r="DA231" s="66">
        <f t="shared" si="787"/>
        <v>4173.8790236437899</v>
      </c>
      <c r="DB231" s="248">
        <f>DB183</f>
        <v>4173.8790236437899</v>
      </c>
      <c r="DC231" s="66"/>
      <c r="DD231" s="66"/>
      <c r="DE231" s="66"/>
      <c r="DF231" s="66"/>
      <c r="DG231" s="248">
        <f>DG183</f>
        <v>4486.5279155809185</v>
      </c>
      <c r="DH231" s="66"/>
      <c r="DI231" s="66"/>
      <c r="DJ231" s="66"/>
      <c r="DK231" s="66"/>
      <c r="DL231" s="248">
        <f>DL183</f>
        <v>4917.420143323794</v>
      </c>
      <c r="DM231" s="66"/>
      <c r="DN231" s="526"/>
      <c r="DO231" s="486"/>
      <c r="DP231" s="411"/>
      <c r="DQ231" s="411"/>
      <c r="DR231" s="411"/>
      <c r="DS231" s="478"/>
      <c r="DT231" s="561"/>
      <c r="DU231" s="457"/>
      <c r="DV231" s="463"/>
      <c r="DW231" s="472"/>
      <c r="DX231" s="472"/>
      <c r="DY231" s="472"/>
      <c r="DZ231" s="808"/>
      <c r="EA231" s="526"/>
      <c r="EH231" s="8"/>
    </row>
    <row r="232" spans="1:138" ht="12.75" hidden="1" customHeight="1" x14ac:dyDescent="0.2">
      <c r="A232" s="144" t="s">
        <v>348</v>
      </c>
      <c r="B232" s="184"/>
      <c r="C232" s="184"/>
      <c r="D232" s="184"/>
      <c r="E232" s="184"/>
      <c r="F232" s="185"/>
      <c r="G232" s="184"/>
      <c r="H232" s="184"/>
      <c r="I232" s="184"/>
      <c r="J232" s="184"/>
      <c r="K232" s="185"/>
      <c r="L232" s="184"/>
      <c r="M232" s="184"/>
      <c r="N232" s="184"/>
      <c r="O232" s="184"/>
      <c r="P232" s="185"/>
      <c r="Q232" s="184"/>
      <c r="R232" s="184"/>
      <c r="S232" s="184"/>
      <c r="T232" s="184"/>
      <c r="U232" s="185"/>
      <c r="V232" s="184"/>
      <c r="W232" s="184"/>
      <c r="X232" s="184"/>
      <c r="Y232" s="184"/>
      <c r="Z232" s="185"/>
      <c r="AA232" s="184"/>
      <c r="AB232" s="184"/>
      <c r="AC232" s="184"/>
      <c r="AD232" s="184"/>
      <c r="AE232" s="185"/>
      <c r="AF232" s="184"/>
      <c r="AG232" s="184"/>
      <c r="AH232" s="184"/>
      <c r="AI232" s="184"/>
      <c r="AJ232" s="185"/>
      <c r="AK232" s="184"/>
      <c r="AL232" s="184"/>
      <c r="AM232" s="184"/>
      <c r="AN232" s="184"/>
      <c r="AO232" s="185"/>
      <c r="AP232" s="184"/>
      <c r="AQ232" s="184"/>
      <c r="AR232" s="184"/>
      <c r="AS232" s="184"/>
      <c r="AT232" s="185"/>
      <c r="AU232" s="184"/>
      <c r="AV232" s="184"/>
      <c r="AW232" s="184"/>
      <c r="AX232" s="184"/>
      <c r="AY232" s="185"/>
      <c r="AZ232" s="184"/>
      <c r="BA232" s="184"/>
      <c r="BB232" s="184"/>
      <c r="BC232" s="184"/>
      <c r="BD232" s="185"/>
      <c r="BE232" s="184"/>
      <c r="BF232" s="184"/>
      <c r="BG232" s="184"/>
      <c r="BH232" s="184"/>
      <c r="BI232" s="185"/>
      <c r="BJ232" s="184"/>
      <c r="BK232" s="184"/>
      <c r="BL232" s="184"/>
      <c r="BM232" s="184"/>
      <c r="BN232" s="318"/>
      <c r="BO232" s="184"/>
      <c r="BP232" s="184"/>
      <c r="BQ232" s="184"/>
      <c r="BR232" s="184"/>
      <c r="BS232" s="185"/>
      <c r="BT232" s="184"/>
      <c r="BU232" s="184"/>
      <c r="BV232" s="184"/>
      <c r="BW232" s="184"/>
      <c r="BX232" s="185"/>
      <c r="BY232" s="184"/>
      <c r="BZ232" s="184"/>
      <c r="CA232" s="184"/>
      <c r="CB232" s="184"/>
      <c r="CC232" s="185"/>
      <c r="CD232" s="184"/>
      <c r="CE232" s="184"/>
      <c r="CF232" s="184"/>
      <c r="CG232" s="184"/>
      <c r="CH232" s="185"/>
      <c r="CI232" s="184"/>
      <c r="CJ232" s="184"/>
      <c r="CK232" s="184"/>
      <c r="CL232" s="184"/>
      <c r="CM232" s="185"/>
      <c r="CN232" s="184"/>
      <c r="CO232" s="184"/>
      <c r="CP232" s="184"/>
      <c r="CQ232" s="184"/>
      <c r="CR232" s="185"/>
      <c r="CS232" s="184"/>
      <c r="CT232" s="184"/>
      <c r="CU232" s="184"/>
      <c r="CV232" s="184"/>
      <c r="CW232" s="185"/>
      <c r="CX232" s="184"/>
      <c r="CY232" s="184"/>
      <c r="CZ232" s="184"/>
      <c r="DA232" s="184"/>
      <c r="DB232" s="185"/>
      <c r="DC232" s="184"/>
      <c r="DD232" s="184"/>
      <c r="DE232" s="184"/>
      <c r="DF232" s="184"/>
      <c r="DG232" s="185"/>
      <c r="DH232" s="184"/>
      <c r="DI232" s="184"/>
      <c r="DJ232" s="184"/>
      <c r="DK232" s="184"/>
      <c r="DL232" s="185"/>
      <c r="DM232" s="414"/>
      <c r="DN232" s="502"/>
      <c r="DO232" s="489"/>
      <c r="DP232" s="414"/>
      <c r="DQ232" s="414"/>
      <c r="DR232" s="414"/>
      <c r="DS232" s="478"/>
      <c r="DT232" s="561"/>
      <c r="DU232" s="457"/>
      <c r="DV232" s="463"/>
      <c r="DW232" s="184"/>
      <c r="DX232" s="184"/>
      <c r="DY232" s="184"/>
      <c r="DZ232" s="810"/>
      <c r="EA232" s="502"/>
      <c r="EH232" s="318"/>
    </row>
    <row r="233" spans="1:138" ht="12.75" hidden="1" customHeight="1" x14ac:dyDescent="0.2">
      <c r="A233" s="110" t="s">
        <v>52</v>
      </c>
      <c r="B233" s="19"/>
      <c r="C233" s="19"/>
      <c r="D233" s="19"/>
      <c r="E233" s="19"/>
      <c r="F233" s="199">
        <f t="shared" ref="F233:AO233" si="789">F216/F$216</f>
        <v>1</v>
      </c>
      <c r="G233" s="19">
        <f t="shared" si="789"/>
        <v>1</v>
      </c>
      <c r="H233" s="19">
        <f t="shared" si="789"/>
        <v>1</v>
      </c>
      <c r="I233" s="19">
        <f t="shared" si="789"/>
        <v>1</v>
      </c>
      <c r="J233" s="19">
        <f t="shared" si="789"/>
        <v>1</v>
      </c>
      <c r="K233" s="199">
        <f t="shared" si="789"/>
        <v>1</v>
      </c>
      <c r="L233" s="19">
        <f t="shared" si="789"/>
        <v>1</v>
      </c>
      <c r="M233" s="19">
        <f t="shared" si="789"/>
        <v>1</v>
      </c>
      <c r="N233" s="19">
        <f t="shared" si="789"/>
        <v>1</v>
      </c>
      <c r="O233" s="19">
        <f t="shared" si="789"/>
        <v>1</v>
      </c>
      <c r="P233" s="199">
        <f t="shared" si="789"/>
        <v>1</v>
      </c>
      <c r="Q233" s="19">
        <f t="shared" si="789"/>
        <v>1</v>
      </c>
      <c r="R233" s="19">
        <f t="shared" si="789"/>
        <v>1</v>
      </c>
      <c r="S233" s="19">
        <f t="shared" si="789"/>
        <v>1</v>
      </c>
      <c r="T233" s="19">
        <f t="shared" si="789"/>
        <v>1</v>
      </c>
      <c r="U233" s="199">
        <f t="shared" si="789"/>
        <v>1</v>
      </c>
      <c r="V233" s="19">
        <f t="shared" si="789"/>
        <v>1</v>
      </c>
      <c r="W233" s="19">
        <f t="shared" si="789"/>
        <v>1</v>
      </c>
      <c r="X233" s="19">
        <f t="shared" si="789"/>
        <v>1</v>
      </c>
      <c r="Y233" s="19">
        <f t="shared" si="789"/>
        <v>1</v>
      </c>
      <c r="Z233" s="199">
        <f t="shared" si="789"/>
        <v>1</v>
      </c>
      <c r="AA233" s="19">
        <f t="shared" si="789"/>
        <v>1</v>
      </c>
      <c r="AB233" s="19">
        <f t="shared" si="789"/>
        <v>1</v>
      </c>
      <c r="AC233" s="19">
        <f t="shared" si="789"/>
        <v>1</v>
      </c>
      <c r="AD233" s="19">
        <f t="shared" si="789"/>
        <v>1</v>
      </c>
      <c r="AE233" s="199">
        <f t="shared" si="789"/>
        <v>1</v>
      </c>
      <c r="AF233" s="19">
        <f t="shared" si="789"/>
        <v>1</v>
      </c>
      <c r="AG233" s="19">
        <f t="shared" si="789"/>
        <v>1</v>
      </c>
      <c r="AH233" s="19">
        <f t="shared" si="789"/>
        <v>1</v>
      </c>
      <c r="AI233" s="19">
        <f t="shared" si="789"/>
        <v>1</v>
      </c>
      <c r="AJ233" s="199">
        <f t="shared" si="789"/>
        <v>1</v>
      </c>
      <c r="AK233" s="19">
        <f t="shared" si="789"/>
        <v>1</v>
      </c>
      <c r="AL233" s="19">
        <f t="shared" si="789"/>
        <v>1</v>
      </c>
      <c r="AM233" s="19">
        <f t="shared" si="789"/>
        <v>1</v>
      </c>
      <c r="AN233" s="19">
        <f t="shared" si="789"/>
        <v>1</v>
      </c>
      <c r="AO233" s="199">
        <f t="shared" si="789"/>
        <v>1</v>
      </c>
      <c r="AP233" s="341"/>
      <c r="AQ233" s="19"/>
      <c r="AR233" s="19"/>
      <c r="AS233" s="19"/>
      <c r="AT233" s="199"/>
      <c r="AU233" s="19">
        <f t="shared" ref="AU233:BD233" si="790">AU216/AU$216</f>
        <v>1</v>
      </c>
      <c r="AV233" s="19">
        <f t="shared" si="790"/>
        <v>1</v>
      </c>
      <c r="AW233" s="19">
        <f t="shared" si="790"/>
        <v>1</v>
      </c>
      <c r="AX233" s="19">
        <f t="shared" si="790"/>
        <v>1</v>
      </c>
      <c r="AY233" s="199">
        <f t="shared" si="790"/>
        <v>1</v>
      </c>
      <c r="AZ233" s="341">
        <f t="shared" si="790"/>
        <v>1</v>
      </c>
      <c r="BA233" s="19">
        <f t="shared" si="790"/>
        <v>1</v>
      </c>
      <c r="BB233" s="19">
        <f t="shared" si="790"/>
        <v>1</v>
      </c>
      <c r="BC233" s="19">
        <f t="shared" si="790"/>
        <v>1</v>
      </c>
      <c r="BD233" s="199">
        <f t="shared" si="790"/>
        <v>1</v>
      </c>
      <c r="BE233" s="341">
        <f t="shared" ref="BE233:BS233" si="791">BE216/BE$216</f>
        <v>1</v>
      </c>
      <c r="BF233" s="19">
        <f t="shared" si="791"/>
        <v>1</v>
      </c>
      <c r="BG233" s="19">
        <f t="shared" si="791"/>
        <v>1</v>
      </c>
      <c r="BH233" s="19">
        <f t="shared" si="791"/>
        <v>1</v>
      </c>
      <c r="BI233" s="199">
        <f t="shared" si="791"/>
        <v>1</v>
      </c>
      <c r="BJ233" s="341">
        <f t="shared" si="791"/>
        <v>1</v>
      </c>
      <c r="BK233" s="19">
        <f t="shared" si="791"/>
        <v>1</v>
      </c>
      <c r="BL233" s="19">
        <f t="shared" si="791"/>
        <v>1</v>
      </c>
      <c r="BM233" s="19">
        <f t="shared" si="791"/>
        <v>1</v>
      </c>
      <c r="BN233" s="341">
        <f t="shared" si="791"/>
        <v>1</v>
      </c>
      <c r="BO233" s="341">
        <f t="shared" si="791"/>
        <v>1</v>
      </c>
      <c r="BP233" s="19">
        <f t="shared" si="791"/>
        <v>1</v>
      </c>
      <c r="BQ233" s="19">
        <f t="shared" si="791"/>
        <v>1</v>
      </c>
      <c r="BR233" s="19">
        <f t="shared" si="791"/>
        <v>1</v>
      </c>
      <c r="BS233" s="199">
        <f t="shared" si="791"/>
        <v>1</v>
      </c>
      <c r="BT233" s="341">
        <f t="shared" ref="BT233:BT239" si="792">BT216/BT$216</f>
        <v>1</v>
      </c>
      <c r="BU233" s="19">
        <f t="shared" ref="BU233:CB239" si="793">BU216/BU$216</f>
        <v>1</v>
      </c>
      <c r="BV233" s="19">
        <f t="shared" si="793"/>
        <v>1</v>
      </c>
      <c r="BW233" s="19">
        <f t="shared" si="793"/>
        <v>1</v>
      </c>
      <c r="BX233" s="199">
        <f t="shared" si="793"/>
        <v>1</v>
      </c>
      <c r="BY233" s="341">
        <f t="shared" si="793"/>
        <v>1</v>
      </c>
      <c r="BZ233" s="19">
        <f>BZ216/BZ$216</f>
        <v>1</v>
      </c>
      <c r="CA233" s="19">
        <f>CA216/CA$216</f>
        <v>1</v>
      </c>
      <c r="CB233" s="19">
        <f>CB216/CB$216</f>
        <v>1</v>
      </c>
      <c r="CC233" s="199">
        <f t="shared" ref="CC233:CG239" si="794">CC216/CC$216</f>
        <v>1</v>
      </c>
      <c r="CD233" s="341">
        <f t="shared" si="794"/>
        <v>1</v>
      </c>
      <c r="CE233" s="19">
        <f t="shared" ref="CE233:CM239" si="795">CE216/CE$216</f>
        <v>1</v>
      </c>
      <c r="CF233" s="19">
        <f t="shared" si="795"/>
        <v>1</v>
      </c>
      <c r="CG233" s="19">
        <f t="shared" si="795"/>
        <v>1</v>
      </c>
      <c r="CH233" s="199">
        <f t="shared" si="795"/>
        <v>1</v>
      </c>
      <c r="CI233" s="341">
        <f t="shared" si="795"/>
        <v>1</v>
      </c>
      <c r="CJ233" s="19">
        <f t="shared" si="795"/>
        <v>1</v>
      </c>
      <c r="CK233" s="19">
        <f t="shared" si="795"/>
        <v>1</v>
      </c>
      <c r="CL233" s="19">
        <f t="shared" si="795"/>
        <v>1</v>
      </c>
      <c r="CM233" s="199">
        <f t="shared" si="795"/>
        <v>1</v>
      </c>
      <c r="CN233" s="341">
        <f t="shared" ref="CN233:CP233" si="796">CN216/CN$216</f>
        <v>1</v>
      </c>
      <c r="CO233" s="19">
        <f t="shared" si="796"/>
        <v>1</v>
      </c>
      <c r="CP233" s="19">
        <f t="shared" si="796"/>
        <v>1</v>
      </c>
      <c r="CQ233" s="19">
        <f t="shared" ref="CQ233:CX233" si="797">CQ216/CQ$216</f>
        <v>1</v>
      </c>
      <c r="CR233" s="199">
        <f t="shared" ref="CR233:DA239" si="798">CR216/CR$216</f>
        <v>1</v>
      </c>
      <c r="CS233" s="341">
        <f t="shared" si="798"/>
        <v>1</v>
      </c>
      <c r="CT233" s="19">
        <f t="shared" si="798"/>
        <v>1</v>
      </c>
      <c r="CU233" s="19">
        <f t="shared" si="798"/>
        <v>1</v>
      </c>
      <c r="CV233" s="19">
        <f t="shared" si="798"/>
        <v>1</v>
      </c>
      <c r="CW233" s="199">
        <f t="shared" ref="CW233" si="799">CW216/CW$216</f>
        <v>1</v>
      </c>
      <c r="CX233" s="19">
        <f t="shared" si="797"/>
        <v>1</v>
      </c>
      <c r="CY233" s="19">
        <f t="shared" ref="CY233:DA233" si="800">CY216/CY$216</f>
        <v>1</v>
      </c>
      <c r="CZ233" s="19">
        <f t="shared" si="800"/>
        <v>1</v>
      </c>
      <c r="DA233" s="19">
        <f t="shared" si="800"/>
        <v>1</v>
      </c>
      <c r="DB233" s="199">
        <f t="shared" ref="DB233:DB239" si="801">DB216/DB$216</f>
        <v>1</v>
      </c>
      <c r="DC233" s="19"/>
      <c r="DD233" s="19"/>
      <c r="DE233" s="19"/>
      <c r="DF233" s="19"/>
      <c r="DG233" s="199">
        <f t="shared" ref="DG233:DG239" si="802">DG216/DG$216</f>
        <v>1</v>
      </c>
      <c r="DH233" s="19"/>
      <c r="DI233" s="19"/>
      <c r="DJ233" s="19"/>
      <c r="DK233" s="19"/>
      <c r="DL233" s="199">
        <f t="shared" ref="DL233:DL239" si="803">DL216/DL$216</f>
        <v>1</v>
      </c>
      <c r="DM233" s="110"/>
      <c r="DN233" s="540"/>
      <c r="DO233" s="486"/>
      <c r="DP233" s="411"/>
      <c r="DQ233" s="411"/>
      <c r="DR233" s="411"/>
      <c r="DS233" s="557"/>
      <c r="DT233" s="561"/>
      <c r="DU233" s="457"/>
      <c r="DV233" s="463"/>
      <c r="DW233" s="460"/>
      <c r="DX233" s="460"/>
      <c r="DY233" s="460"/>
      <c r="DZ233" s="808"/>
      <c r="EA233" s="540"/>
      <c r="EH233" s="8"/>
    </row>
    <row r="234" spans="1:138" ht="12.75" hidden="1" customHeight="1" x14ac:dyDescent="0.2">
      <c r="A234" s="110" t="s">
        <v>207</v>
      </c>
      <c r="B234" s="19"/>
      <c r="C234" s="19"/>
      <c r="D234" s="19"/>
      <c r="E234" s="19"/>
      <c r="F234" s="199">
        <f>F217/F$216</f>
        <v>0.92787802989696866</v>
      </c>
      <c r="G234" s="19">
        <f t="shared" ref="G234:U234" si="804">G217/G$216</f>
        <v>0.93498470581179149</v>
      </c>
      <c r="H234" s="19">
        <f t="shared" si="804"/>
        <v>0.93466833541927408</v>
      </c>
      <c r="I234" s="19">
        <f t="shared" si="804"/>
        <v>0.93634005188585112</v>
      </c>
      <c r="J234" s="19">
        <f t="shared" si="804"/>
        <v>0.93407306001873336</v>
      </c>
      <c r="K234" s="199">
        <f t="shared" si="804"/>
        <v>0.93407306001873336</v>
      </c>
      <c r="L234" s="19">
        <f t="shared" si="804"/>
        <v>0.93181126331811259</v>
      </c>
      <c r="M234" s="19">
        <f t="shared" si="804"/>
        <v>0.9288051098301916</v>
      </c>
      <c r="N234" s="19">
        <f t="shared" si="804"/>
        <v>0.92527216174183513</v>
      </c>
      <c r="O234" s="19">
        <f t="shared" si="804"/>
        <v>0.92604284103720402</v>
      </c>
      <c r="P234" s="199">
        <f t="shared" si="804"/>
        <v>0.92604284103720402</v>
      </c>
      <c r="Q234" s="19">
        <f t="shared" si="804"/>
        <v>0.92640563000673803</v>
      </c>
      <c r="R234" s="19">
        <f t="shared" si="804"/>
        <v>0.92539802880970434</v>
      </c>
      <c r="S234" s="19">
        <f t="shared" si="804"/>
        <v>0.92651176871263152</v>
      </c>
      <c r="T234" s="19">
        <f t="shared" si="804"/>
        <v>0.92633240622415991</v>
      </c>
      <c r="U234" s="199">
        <f t="shared" si="804"/>
        <v>0.92633240622415991</v>
      </c>
      <c r="V234" s="19">
        <f t="shared" ref="V234:AO234" si="805">V217/V$216</f>
        <v>0.92366747093660895</v>
      </c>
      <c r="W234" s="19">
        <f t="shared" si="805"/>
        <v>0.92387132789058679</v>
      </c>
      <c r="X234" s="19">
        <f t="shared" si="805"/>
        <v>0.92167491022426995</v>
      </c>
      <c r="Y234" s="19">
        <f t="shared" si="805"/>
        <v>0.9051526091237283</v>
      </c>
      <c r="Z234" s="199">
        <f t="shared" si="805"/>
        <v>0.9051526091237283</v>
      </c>
      <c r="AA234" s="19">
        <f t="shared" si="805"/>
        <v>0.90457890965934995</v>
      </c>
      <c r="AB234" s="19">
        <f t="shared" si="805"/>
        <v>0.90563009565384867</v>
      </c>
      <c r="AC234" s="19">
        <f t="shared" si="805"/>
        <v>0.90654440396935054</v>
      </c>
      <c r="AD234" s="19">
        <f t="shared" si="805"/>
        <v>0.90321783706997716</v>
      </c>
      <c r="AE234" s="199">
        <f t="shared" si="805"/>
        <v>0.90321783706997716</v>
      </c>
      <c r="AF234" s="19">
        <f t="shared" si="805"/>
        <v>0.89582568245807326</v>
      </c>
      <c r="AG234" s="19">
        <f t="shared" si="805"/>
        <v>0.88623179827157572</v>
      </c>
      <c r="AH234" s="19">
        <f t="shared" si="805"/>
        <v>0.87807676860405071</v>
      </c>
      <c r="AI234" s="19">
        <f t="shared" si="805"/>
        <v>0.88369838010495094</v>
      </c>
      <c r="AJ234" s="199">
        <f t="shared" si="805"/>
        <v>0.88369838010495094</v>
      </c>
      <c r="AK234" s="19">
        <f t="shared" si="805"/>
        <v>0.88280772011791531</v>
      </c>
      <c r="AL234" s="19">
        <f t="shared" si="805"/>
        <v>0.88558741297078014</v>
      </c>
      <c r="AM234" s="19">
        <f t="shared" si="805"/>
        <v>0.88523801891328735</v>
      </c>
      <c r="AN234" s="19">
        <f t="shared" si="805"/>
        <v>0.88378406599143777</v>
      </c>
      <c r="AO234" s="199">
        <f t="shared" si="805"/>
        <v>0.88378406599143777</v>
      </c>
      <c r="AP234" s="341"/>
      <c r="AQ234" s="19"/>
      <c r="AR234" s="19"/>
      <c r="AS234" s="19"/>
      <c r="AT234" s="199"/>
      <c r="AU234" s="19">
        <f t="shared" ref="AU234:BD234" si="806">AU217/AU$216</f>
        <v>0.87695612150966551</v>
      </c>
      <c r="AV234" s="19">
        <f t="shared" si="806"/>
        <v>1.0822867431915373</v>
      </c>
      <c r="AW234" s="19">
        <f t="shared" si="806"/>
        <v>0.86908310098387975</v>
      </c>
      <c r="AX234" s="19">
        <f t="shared" si="806"/>
        <v>0.86642557162855804</v>
      </c>
      <c r="AY234" s="199">
        <f t="shared" si="806"/>
        <v>0.86642557162855804</v>
      </c>
      <c r="AZ234" s="341">
        <f t="shared" si="806"/>
        <v>0.86178640541848084</v>
      </c>
      <c r="BA234" s="19">
        <f t="shared" si="806"/>
        <v>0.85495739736638265</v>
      </c>
      <c r="BB234" s="19">
        <f t="shared" si="806"/>
        <v>0.85044442913250184</v>
      </c>
      <c r="BC234" s="19">
        <f t="shared" si="806"/>
        <v>0.84834123222748814</v>
      </c>
      <c r="BD234" s="199">
        <f t="shared" si="806"/>
        <v>0.84834123222748814</v>
      </c>
      <c r="BE234" s="341">
        <f t="shared" ref="BE234:BX234" si="807">BE217/BE$216</f>
        <v>0.85067488574768835</v>
      </c>
      <c r="BF234" s="19">
        <f t="shared" si="807"/>
        <v>0.85449732029803649</v>
      </c>
      <c r="BG234" s="19">
        <f t="shared" si="807"/>
        <v>0.8569415548245658</v>
      </c>
      <c r="BH234" s="19">
        <f t="shared" si="807"/>
        <v>0.85838288449147948</v>
      </c>
      <c r="BI234" s="199">
        <f t="shared" si="807"/>
        <v>0.85838288449147948</v>
      </c>
      <c r="BJ234" s="341">
        <f t="shared" si="807"/>
        <v>0.85830062172973287</v>
      </c>
      <c r="BK234" s="19">
        <f t="shared" si="807"/>
        <v>0.85938939920925117</v>
      </c>
      <c r="BL234" s="19">
        <f t="shared" si="807"/>
        <v>0.86080278220547746</v>
      </c>
      <c r="BM234" s="19">
        <f t="shared" si="807"/>
        <v>0.86165456357681902</v>
      </c>
      <c r="BN234" s="341">
        <f t="shared" si="807"/>
        <v>0.86165456357681902</v>
      </c>
      <c r="BO234" s="341">
        <f t="shared" si="807"/>
        <v>0.86381040216874883</v>
      </c>
      <c r="BP234" s="19">
        <f t="shared" si="807"/>
        <v>0.86545654565456542</v>
      </c>
      <c r="BQ234" s="19">
        <f t="shared" si="807"/>
        <v>0.86631749252749057</v>
      </c>
      <c r="BR234" s="19">
        <f t="shared" si="807"/>
        <v>0.86738478320152712</v>
      </c>
      <c r="BS234" s="199">
        <f t="shared" si="807"/>
        <v>0.86738478320152712</v>
      </c>
      <c r="BT234" s="341">
        <f t="shared" si="792"/>
        <v>0.86824278368746088</v>
      </c>
      <c r="BU234" s="19">
        <f t="shared" si="807"/>
        <v>0.87000435587498637</v>
      </c>
      <c r="BV234" s="19">
        <f t="shared" si="807"/>
        <v>0.87184643019920105</v>
      </c>
      <c r="BW234" s="19">
        <f t="shared" si="807"/>
        <v>0.8724485743785243</v>
      </c>
      <c r="BX234" s="199">
        <f t="shared" si="807"/>
        <v>0.8724485743785243</v>
      </c>
      <c r="BY234" s="341">
        <f t="shared" si="793"/>
        <v>0.87195265652413001</v>
      </c>
      <c r="BZ234" s="19">
        <f t="shared" si="793"/>
        <v>0.87131422141523673</v>
      </c>
      <c r="CA234" s="19">
        <f t="shared" si="793"/>
        <v>0.86936744489960038</v>
      </c>
      <c r="CB234" s="19">
        <f t="shared" si="793"/>
        <v>0.86601258609583276</v>
      </c>
      <c r="CC234" s="199">
        <f t="shared" si="794"/>
        <v>0.86601258609583276</v>
      </c>
      <c r="CD234" s="341">
        <f t="shared" si="794"/>
        <v>0.8620267424205319</v>
      </c>
      <c r="CE234" s="19">
        <f t="shared" si="794"/>
        <v>0.85711143695014658</v>
      </c>
      <c r="CF234" s="19">
        <f t="shared" si="794"/>
        <v>0.85417023672550119</v>
      </c>
      <c r="CG234" s="19">
        <f t="shared" si="794"/>
        <v>0.85451061320754718</v>
      </c>
      <c r="CH234" s="199">
        <f t="shared" ref="CH234:CK239" si="808">CH217/CH$216</f>
        <v>0.85451061320754718</v>
      </c>
      <c r="CI234" s="341">
        <f t="shared" si="808"/>
        <v>0.85342766287869454</v>
      </c>
      <c r="CJ234" s="19">
        <f t="shared" si="808"/>
        <v>0.85473987148634234</v>
      </c>
      <c r="CK234" s="19">
        <f t="shared" si="808"/>
        <v>0.85497568228208554</v>
      </c>
      <c r="CL234" s="19">
        <f t="shared" si="795"/>
        <v>0.85211534095209263</v>
      </c>
      <c r="CM234" s="199">
        <f t="shared" ref="CM234:CQ239" si="809">CM217/CM$216</f>
        <v>0.85211534095209263</v>
      </c>
      <c r="CN234" s="341">
        <f t="shared" si="809"/>
        <v>0.85246357749898827</v>
      </c>
      <c r="CO234" s="19">
        <f t="shared" si="809"/>
        <v>0.85165496489468406</v>
      </c>
      <c r="CP234" s="19">
        <f t="shared" si="809"/>
        <v>0.8476159873445881</v>
      </c>
      <c r="CQ234" s="19">
        <f t="shared" si="809"/>
        <v>0.84421976529919507</v>
      </c>
      <c r="CR234" s="199">
        <f t="shared" si="798"/>
        <v>0.84421976529919507</v>
      </c>
      <c r="CS234" s="341">
        <f t="shared" si="798"/>
        <v>0.85834791909762742</v>
      </c>
      <c r="CT234" s="19">
        <f t="shared" si="798"/>
        <v>0.87374343927657372</v>
      </c>
      <c r="CU234" s="19">
        <f t="shared" si="798"/>
        <v>0.89060096039379733</v>
      </c>
      <c r="CV234" s="19">
        <f t="shared" si="798"/>
        <v>0.9091686147011574</v>
      </c>
      <c r="CW234" s="199">
        <f t="shared" ref="CW234" si="810">CW217/CW$216</f>
        <v>0.9091686147011574</v>
      </c>
      <c r="CX234" s="19">
        <f t="shared" si="798"/>
        <v>0.85770949320207401</v>
      </c>
      <c r="CY234" s="19">
        <f t="shared" si="798"/>
        <v>0.87132674533110033</v>
      </c>
      <c r="CZ234" s="19">
        <f t="shared" si="798"/>
        <v>0.88701649373757196</v>
      </c>
      <c r="DA234" s="19">
        <f t="shared" si="798"/>
        <v>0.90435659707363447</v>
      </c>
      <c r="DB234" s="199">
        <f t="shared" si="801"/>
        <v>0.90435659707363447</v>
      </c>
      <c r="DC234" s="19"/>
      <c r="DD234" s="19"/>
      <c r="DE234" s="19"/>
      <c r="DF234" s="19"/>
      <c r="DG234" s="199">
        <f t="shared" si="802"/>
        <v>0.90180340302406958</v>
      </c>
      <c r="DH234" s="19"/>
      <c r="DI234" s="19"/>
      <c r="DJ234" s="19"/>
      <c r="DK234" s="19"/>
      <c r="DL234" s="199">
        <f t="shared" si="803"/>
        <v>0.90043677400854594</v>
      </c>
      <c r="DM234" s="110"/>
      <c r="DN234" s="540"/>
      <c r="DO234" s="486"/>
      <c r="DP234" s="411"/>
      <c r="DQ234" s="411"/>
      <c r="DR234" s="411"/>
      <c r="DS234" s="570"/>
      <c r="DT234" s="561"/>
      <c r="DU234" s="457"/>
      <c r="DV234" s="463"/>
      <c r="DW234" s="460"/>
      <c r="DX234" s="460"/>
      <c r="DY234" s="460"/>
      <c r="DZ234" s="808"/>
      <c r="EA234" s="540"/>
      <c r="EH234" s="8"/>
    </row>
    <row r="235" spans="1:138" ht="12.75" hidden="1" customHeight="1" x14ac:dyDescent="0.2">
      <c r="A235" s="110" t="s">
        <v>53</v>
      </c>
      <c r="B235" s="19"/>
      <c r="C235" s="19"/>
      <c r="D235" s="19"/>
      <c r="E235" s="19"/>
      <c r="F235" s="199">
        <f>F218/F$216</f>
        <v>0.89536060985051513</v>
      </c>
      <c r="G235" s="19">
        <f t="shared" ref="G235:U235" si="811">G218/G$216</f>
        <v>0.92280933245366759</v>
      </c>
      <c r="H235" s="19">
        <f t="shared" si="811"/>
        <v>0.96614518147684603</v>
      </c>
      <c r="I235" s="19">
        <f t="shared" si="811"/>
        <v>1.0229495110756337</v>
      </c>
      <c r="J235" s="19">
        <f t="shared" si="811"/>
        <v>1.0804813026875135</v>
      </c>
      <c r="K235" s="199">
        <f t="shared" si="811"/>
        <v>1.0804813026875135</v>
      </c>
      <c r="L235" s="19">
        <f t="shared" si="811"/>
        <v>1.106316590563166</v>
      </c>
      <c r="M235" s="19">
        <f t="shared" si="811"/>
        <v>1.1127122604767097</v>
      </c>
      <c r="N235" s="19">
        <f t="shared" si="811"/>
        <v>1.1000777604976673</v>
      </c>
      <c r="O235" s="19">
        <f t="shared" si="811"/>
        <v>1.0679443818113492</v>
      </c>
      <c r="P235" s="199">
        <f t="shared" si="811"/>
        <v>1.0679443818113492</v>
      </c>
      <c r="Q235" s="19">
        <f t="shared" si="811"/>
        <v>1.0749419779890694</v>
      </c>
      <c r="R235" s="19">
        <f t="shared" si="811"/>
        <v>1.0833548142532221</v>
      </c>
      <c r="S235" s="19">
        <f t="shared" si="811"/>
        <v>1.0746575342465754</v>
      </c>
      <c r="T235" s="19">
        <f t="shared" si="811"/>
        <v>1.0683642787341201</v>
      </c>
      <c r="U235" s="199">
        <f t="shared" si="811"/>
        <v>1.0683642787341201</v>
      </c>
      <c r="V235" s="19">
        <f t="shared" ref="V235:AO235" si="812">V218/V$216</f>
        <v>1.0588908386342035</v>
      </c>
      <c r="W235" s="19">
        <f t="shared" si="812"/>
        <v>1.050729188472542</v>
      </c>
      <c r="X235" s="19">
        <f t="shared" si="812"/>
        <v>1.068771596991666</v>
      </c>
      <c r="Y235" s="19">
        <f t="shared" si="812"/>
        <v>1.0967509025270759</v>
      </c>
      <c r="Z235" s="199">
        <f t="shared" si="812"/>
        <v>1.0967509025270759</v>
      </c>
      <c r="AA235" s="19">
        <f t="shared" si="812"/>
        <v>1.0984823812935582</v>
      </c>
      <c r="AB235" s="19">
        <f t="shared" si="812"/>
        <v>1.0912242408679462</v>
      </c>
      <c r="AC235" s="19">
        <f t="shared" si="812"/>
        <v>1.0758070594146465</v>
      </c>
      <c r="AD235" s="19">
        <f t="shared" si="812"/>
        <v>1.0687418936446174</v>
      </c>
      <c r="AE235" s="199">
        <f t="shared" si="812"/>
        <v>1.0687418936446174</v>
      </c>
      <c r="AF235" s="19">
        <f t="shared" si="812"/>
        <v>1.0717346064389766</v>
      </c>
      <c r="AG235" s="19">
        <f t="shared" si="812"/>
        <v>1.0455783118266839</v>
      </c>
      <c r="AH235" s="19">
        <f t="shared" si="812"/>
        <v>1.0256469103218773</v>
      </c>
      <c r="AI235" s="19">
        <f t="shared" si="812"/>
        <v>0.99669176363221534</v>
      </c>
      <c r="AJ235" s="199">
        <f t="shared" si="812"/>
        <v>0.99669176363221534</v>
      </c>
      <c r="AK235" s="19">
        <f t="shared" si="812"/>
        <v>0.96117692863896764</v>
      </c>
      <c r="AL235" s="19">
        <f t="shared" si="812"/>
        <v>0.95389507154213038</v>
      </c>
      <c r="AM235" s="19">
        <f t="shared" si="812"/>
        <v>0.93984078645082014</v>
      </c>
      <c r="AN235" s="19">
        <f t="shared" si="812"/>
        <v>0.94163099091573566</v>
      </c>
      <c r="AO235" s="199">
        <f t="shared" si="812"/>
        <v>0.94163099091573566</v>
      </c>
      <c r="AP235" s="341"/>
      <c r="AQ235" s="19"/>
      <c r="AR235" s="19"/>
      <c r="AS235" s="19"/>
      <c r="AT235" s="199"/>
      <c r="AU235" s="19">
        <f t="shared" ref="AU235:BD235" si="813">AU218/AU$216</f>
        <v>0.96909656774646036</v>
      </c>
      <c r="AV235" s="19">
        <f t="shared" si="813"/>
        <v>0.98051329823973299</v>
      </c>
      <c r="AW235" s="19">
        <f t="shared" si="813"/>
        <v>0.99378264910425285</v>
      </c>
      <c r="AX235" s="19">
        <f t="shared" si="813"/>
        <v>0.99854176388240778</v>
      </c>
      <c r="AY235" s="199">
        <f t="shared" si="813"/>
        <v>0.99854176388240778</v>
      </c>
      <c r="AZ235" s="341">
        <f t="shared" si="813"/>
        <v>1.0022375423318819</v>
      </c>
      <c r="BA235" s="19">
        <f t="shared" si="813"/>
        <v>1.0081655047766589</v>
      </c>
      <c r="BB235" s="19">
        <f t="shared" si="813"/>
        <v>1.0046854544201751</v>
      </c>
      <c r="BC235" s="19">
        <f t="shared" si="813"/>
        <v>0.99697110073762607</v>
      </c>
      <c r="BD235" s="199">
        <f t="shared" si="813"/>
        <v>0.99697110073762607</v>
      </c>
      <c r="BE235" s="341">
        <f t="shared" ref="BE235:BX235" si="814">BE218/BE$216</f>
        <v>0.97913345378538275</v>
      </c>
      <c r="BF235" s="19">
        <f t="shared" si="814"/>
        <v>0.95019367199794802</v>
      </c>
      <c r="BG235" s="19">
        <f t="shared" si="814"/>
        <v>0.923952571019653</v>
      </c>
      <c r="BH235" s="19">
        <f t="shared" si="814"/>
        <v>0.91601149549079741</v>
      </c>
      <c r="BI235" s="199">
        <f t="shared" si="814"/>
        <v>0.91601149549079741</v>
      </c>
      <c r="BJ235" s="341">
        <f t="shared" si="814"/>
        <v>0.92555106470680837</v>
      </c>
      <c r="BK235" s="19">
        <f t="shared" si="814"/>
        <v>0.93659145634531349</v>
      </c>
      <c r="BL235" s="19">
        <f t="shared" si="814"/>
        <v>0.94218229242138818</v>
      </c>
      <c r="BM235" s="19">
        <f t="shared" si="814"/>
        <v>0.93612416346290761</v>
      </c>
      <c r="BN235" s="341">
        <f t="shared" si="814"/>
        <v>0.93612416346290761</v>
      </c>
      <c r="BO235" s="341">
        <f t="shared" si="814"/>
        <v>0.92800648388809703</v>
      </c>
      <c r="BP235" s="19">
        <f t="shared" si="814"/>
        <v>0.92222222222222228</v>
      </c>
      <c r="BQ235" s="19">
        <f t="shared" si="814"/>
        <v>0.92393122549154028</v>
      </c>
      <c r="BR235" s="19">
        <f t="shared" si="814"/>
        <v>0.92907008453776929</v>
      </c>
      <c r="BS235" s="199">
        <f t="shared" si="814"/>
        <v>0.92907008453776929</v>
      </c>
      <c r="BT235" s="341">
        <f t="shared" si="792"/>
        <v>0.92703430639061946</v>
      </c>
      <c r="BU235" s="19">
        <f t="shared" si="814"/>
        <v>0.92194816508766197</v>
      </c>
      <c r="BV235" s="19">
        <f t="shared" si="814"/>
        <v>0.91329526260757665</v>
      </c>
      <c r="BW235" s="19">
        <f t="shared" si="814"/>
        <v>0.90665290021973366</v>
      </c>
      <c r="BX235" s="199">
        <f t="shared" si="814"/>
        <v>0.90665290021973366</v>
      </c>
      <c r="BY235" s="341">
        <f t="shared" si="793"/>
        <v>0.89711697085548192</v>
      </c>
      <c r="BZ235" s="19">
        <f t="shared" si="793"/>
        <v>0.88583996112830221</v>
      </c>
      <c r="CA235" s="19">
        <f t="shared" si="793"/>
        <v>0.87856550476238349</v>
      </c>
      <c r="CB235" s="19">
        <f t="shared" si="793"/>
        <v>0.86948119518358857</v>
      </c>
      <c r="CC235" s="199">
        <f t="shared" si="794"/>
        <v>0.86948119518358857</v>
      </c>
      <c r="CD235" s="341">
        <f t="shared" si="794"/>
        <v>0.86814909144340502</v>
      </c>
      <c r="CE235" s="19">
        <f t="shared" si="794"/>
        <v>0.864247311827957</v>
      </c>
      <c r="CF235" s="19">
        <f t="shared" si="794"/>
        <v>0.85030233298244751</v>
      </c>
      <c r="CG235" s="19">
        <f t="shared" si="794"/>
        <v>0.83942610062893086</v>
      </c>
      <c r="CH235" s="199">
        <f t="shared" si="808"/>
        <v>0.83942610062893086</v>
      </c>
      <c r="CI235" s="341">
        <f t="shared" si="808"/>
        <v>0.81728991544851726</v>
      </c>
      <c r="CJ235" s="19">
        <f t="shared" si="808"/>
        <v>0.81544148659041849</v>
      </c>
      <c r="CK235" s="19">
        <f t="shared" si="808"/>
        <v>0.82060328100194035</v>
      </c>
      <c r="CL235" s="19">
        <f t="shared" si="795"/>
        <v>0.83596962587350843</v>
      </c>
      <c r="CM235" s="199">
        <f t="shared" si="809"/>
        <v>0.83596962587350843</v>
      </c>
      <c r="CN235" s="341">
        <f t="shared" si="809"/>
        <v>0.85390530149736954</v>
      </c>
      <c r="CO235" s="19">
        <f t="shared" si="809"/>
        <v>0.85090270812437308</v>
      </c>
      <c r="CP235" s="19">
        <f t="shared" si="809"/>
        <v>0.85864003757075413</v>
      </c>
      <c r="CQ235" s="19">
        <f t="shared" si="809"/>
        <v>0.85806420327805255</v>
      </c>
      <c r="CR235" s="199">
        <f t="shared" si="798"/>
        <v>0.85806420327805255</v>
      </c>
      <c r="CS235" s="341">
        <f t="shared" si="798"/>
        <v>0.85900427849085959</v>
      </c>
      <c r="CT235" s="19">
        <f t="shared" si="798"/>
        <v>0.85974670117733065</v>
      </c>
      <c r="CU235" s="19">
        <f t="shared" si="798"/>
        <v>0.85970822185418083</v>
      </c>
      <c r="CV235" s="19">
        <f t="shared" si="798"/>
        <v>0.85956572159851941</v>
      </c>
      <c r="CW235" s="199">
        <f t="shared" ref="CW235" si="815">CW218/CW$216</f>
        <v>0.85956572159851941</v>
      </c>
      <c r="CX235" s="19">
        <f t="shared" si="798"/>
        <v>0.86385032615708113</v>
      </c>
      <c r="CY235" s="19">
        <f t="shared" si="798"/>
        <v>0.87065068543677349</v>
      </c>
      <c r="CZ235" s="19">
        <f t="shared" si="798"/>
        <v>0.87364716666819098</v>
      </c>
      <c r="DA235" s="19">
        <f t="shared" si="798"/>
        <v>0.86946651257648122</v>
      </c>
      <c r="DB235" s="199">
        <f t="shared" si="801"/>
        <v>0.86946651257648122</v>
      </c>
      <c r="DC235" s="19"/>
      <c r="DD235" s="19"/>
      <c r="DE235" s="19"/>
      <c r="DF235" s="19"/>
      <c r="DG235" s="199">
        <f t="shared" si="802"/>
        <v>0.86296154253528479</v>
      </c>
      <c r="DH235" s="19"/>
      <c r="DI235" s="19"/>
      <c r="DJ235" s="19"/>
      <c r="DK235" s="19"/>
      <c r="DL235" s="199">
        <f t="shared" si="803"/>
        <v>0.85672471289256047</v>
      </c>
      <c r="DM235" s="110"/>
      <c r="DN235" s="540"/>
      <c r="DO235" s="486"/>
      <c r="DP235" s="411"/>
      <c r="DQ235" s="411"/>
      <c r="DR235" s="411"/>
      <c r="DS235" s="570"/>
      <c r="DT235" s="561"/>
      <c r="DU235" s="457"/>
      <c r="DV235" s="463"/>
      <c r="DW235" s="460"/>
      <c r="DX235" s="460"/>
      <c r="DY235" s="460"/>
      <c r="DZ235" s="808"/>
      <c r="EA235" s="540"/>
      <c r="EH235" s="8"/>
    </row>
    <row r="236" spans="1:138" ht="12.75" hidden="1" customHeight="1" x14ac:dyDescent="0.2">
      <c r="A236" s="110" t="s">
        <v>119</v>
      </c>
      <c r="B236" s="19"/>
      <c r="C236" s="19"/>
      <c r="D236" s="19"/>
      <c r="E236" s="19"/>
      <c r="F236" s="199">
        <f>F219/F$216</f>
        <v>0.11726520159609315</v>
      </c>
      <c r="G236" s="19">
        <f t="shared" ref="G236:U236" si="816">G219/G$216</f>
        <v>0.1228933005457926</v>
      </c>
      <c r="H236" s="19">
        <f t="shared" si="816"/>
        <v>0.12828535669586985</v>
      </c>
      <c r="I236" s="19">
        <f t="shared" si="816"/>
        <v>0.13230892037517461</v>
      </c>
      <c r="J236" s="19">
        <f t="shared" si="816"/>
        <v>0.13091721305569565</v>
      </c>
      <c r="K236" s="199">
        <f t="shared" si="816"/>
        <v>0.13091721305569565</v>
      </c>
      <c r="L236" s="19">
        <f t="shared" si="816"/>
        <v>0.12496194824961948</v>
      </c>
      <c r="M236" s="19">
        <f t="shared" si="816"/>
        <v>0.12307212961520486</v>
      </c>
      <c r="N236" s="19">
        <f t="shared" si="816"/>
        <v>0.12255054432348367</v>
      </c>
      <c r="O236" s="19">
        <f t="shared" si="816"/>
        <v>0.12649379932356258</v>
      </c>
      <c r="P236" s="199">
        <f t="shared" si="816"/>
        <v>0.12649379932356258</v>
      </c>
      <c r="Q236" s="19">
        <f t="shared" si="816"/>
        <v>0.1388784906790447</v>
      </c>
      <c r="R236" s="19">
        <f t="shared" si="816"/>
        <v>0.14324867323730098</v>
      </c>
      <c r="S236" s="19">
        <f t="shared" si="816"/>
        <v>0.14405888140467721</v>
      </c>
      <c r="T236" s="19">
        <f t="shared" si="816"/>
        <v>0.14571525219875217</v>
      </c>
      <c r="U236" s="199">
        <f t="shared" si="816"/>
        <v>0.14571525219875217</v>
      </c>
      <c r="V236" s="19">
        <f t="shared" ref="V236:AO236" si="817">V219/V$216</f>
        <v>0.14633691599034876</v>
      </c>
      <c r="W236" s="19">
        <f t="shared" si="817"/>
        <v>0.15595562068243668</v>
      </c>
      <c r="X236" s="19">
        <f t="shared" si="817"/>
        <v>0.17203062538112338</v>
      </c>
      <c r="Y236" s="19">
        <f t="shared" si="817"/>
        <v>0.1919264850672793</v>
      </c>
      <c r="Z236" s="199">
        <f t="shared" si="817"/>
        <v>0.1919264850672793</v>
      </c>
      <c r="AA236" s="19">
        <f t="shared" si="817"/>
        <v>0.21064287110011073</v>
      </c>
      <c r="AB236" s="19">
        <f t="shared" si="817"/>
        <v>0.23232971689028697</v>
      </c>
      <c r="AC236" s="19">
        <f t="shared" si="817"/>
        <v>0.25348574299711091</v>
      </c>
      <c r="AD236" s="19">
        <f t="shared" si="817"/>
        <v>0.2637885244889136</v>
      </c>
      <c r="AE236" s="199">
        <f t="shared" si="817"/>
        <v>0.2637885244889136</v>
      </c>
      <c r="AF236" s="19">
        <f t="shared" si="817"/>
        <v>0.26600563104419145</v>
      </c>
      <c r="AG236" s="19">
        <f t="shared" si="817"/>
        <v>0.2624600449863857</v>
      </c>
      <c r="AH236" s="19">
        <f t="shared" si="817"/>
        <v>0.25859200183602044</v>
      </c>
      <c r="AI236" s="19">
        <f t="shared" si="817"/>
        <v>0.25285192790326261</v>
      </c>
      <c r="AJ236" s="199">
        <f t="shared" si="817"/>
        <v>0.25285192790326261</v>
      </c>
      <c r="AK236" s="19">
        <f t="shared" si="817"/>
        <v>0.24595361254797263</v>
      </c>
      <c r="AL236" s="19">
        <f t="shared" si="817"/>
        <v>0.24077627323063427</v>
      </c>
      <c r="AM236" s="19">
        <f t="shared" si="817"/>
        <v>0.23433242506811988</v>
      </c>
      <c r="AN236" s="19">
        <f t="shared" si="817"/>
        <v>0.24464863736034248</v>
      </c>
      <c r="AO236" s="199">
        <f t="shared" si="817"/>
        <v>0.24464863736034248</v>
      </c>
      <c r="AP236" s="341"/>
      <c r="AQ236" s="19"/>
      <c r="AR236" s="19"/>
      <c r="AS236" s="19"/>
      <c r="AT236" s="199"/>
      <c r="AU236" s="19">
        <f t="shared" ref="AU236:BD236" si="818">AU219/AU$216</f>
        <v>0.27506246438434229</v>
      </c>
      <c r="AV236" s="19">
        <f t="shared" si="818"/>
        <v>0.31164091471508742</v>
      </c>
      <c r="AW236" s="19">
        <f t="shared" si="818"/>
        <v>0.34153767265968016</v>
      </c>
      <c r="AX236" s="19">
        <f t="shared" si="818"/>
        <v>0.35125991600559964</v>
      </c>
      <c r="AY236" s="199">
        <f t="shared" si="818"/>
        <v>0.35125991600559964</v>
      </c>
      <c r="AZ236" s="341">
        <f t="shared" si="818"/>
        <v>0.34464199322689887</v>
      </c>
      <c r="BA236" s="19">
        <f t="shared" si="818"/>
        <v>0.32578104828298476</v>
      </c>
      <c r="BB236" s="19">
        <f t="shared" si="818"/>
        <v>0.29005029973127539</v>
      </c>
      <c r="BC236" s="19">
        <f t="shared" si="818"/>
        <v>0.26305099240993479</v>
      </c>
      <c r="BD236" s="199">
        <f t="shared" si="818"/>
        <v>0.26305099240993479</v>
      </c>
      <c r="BE236" s="341">
        <f t="shared" ref="BE236:BX236" si="819">BE219/BE$216</f>
        <v>0.25415382435257022</v>
      </c>
      <c r="BF236" s="19">
        <f t="shared" si="819"/>
        <v>0.24908947285700389</v>
      </c>
      <c r="BG236" s="19">
        <f t="shared" si="819"/>
        <v>0.23957575722123323</v>
      </c>
      <c r="BH236" s="19">
        <f t="shared" si="819"/>
        <v>0.23914299012503837</v>
      </c>
      <c r="BI236" s="199">
        <f t="shared" si="819"/>
        <v>0.23914299012503837</v>
      </c>
      <c r="BJ236" s="341">
        <f t="shared" si="819"/>
        <v>0.24823865700007902</v>
      </c>
      <c r="BK236" s="19">
        <f t="shared" si="819"/>
        <v>0.26154166295074172</v>
      </c>
      <c r="BL236" s="19">
        <f t="shared" si="819"/>
        <v>0.27381538907404723</v>
      </c>
      <c r="BM236" s="19">
        <f t="shared" si="819"/>
        <v>0.27634913854478144</v>
      </c>
      <c r="BN236" s="341">
        <f t="shared" si="819"/>
        <v>0.27634913854478144</v>
      </c>
      <c r="BO236" s="341">
        <f t="shared" si="819"/>
        <v>0.27648752131019255</v>
      </c>
      <c r="BP236" s="19">
        <f t="shared" si="819"/>
        <v>0.27461496149614961</v>
      </c>
      <c r="BQ236" s="19">
        <f t="shared" si="819"/>
        <v>0.27348013272273564</v>
      </c>
      <c r="BR236" s="19">
        <f t="shared" si="819"/>
        <v>0.27750204526861194</v>
      </c>
      <c r="BS236" s="199">
        <f t="shared" si="819"/>
        <v>0.27750204526861194</v>
      </c>
      <c r="BT236" s="341">
        <f t="shared" si="792"/>
        <v>0.27491362189514923</v>
      </c>
      <c r="BU236" s="19">
        <f t="shared" si="819"/>
        <v>0.26764129369487094</v>
      </c>
      <c r="BV236" s="19">
        <f t="shared" si="819"/>
        <v>0.26129386846832353</v>
      </c>
      <c r="BW236" s="19">
        <f t="shared" si="819"/>
        <v>0.25608238689010671</v>
      </c>
      <c r="BX236" s="199">
        <f t="shared" si="819"/>
        <v>0.25608238689010671</v>
      </c>
      <c r="BY236" s="341">
        <f t="shared" si="793"/>
        <v>0.25012438136636206</v>
      </c>
      <c r="BZ236" s="19">
        <f t="shared" si="793"/>
        <v>0.243382860650078</v>
      </c>
      <c r="CA236" s="19">
        <f t="shared" si="793"/>
        <v>0.23990349576537409</v>
      </c>
      <c r="CB236" s="19">
        <f t="shared" si="793"/>
        <v>0.23095981368614044</v>
      </c>
      <c r="CC236" s="199">
        <f t="shared" si="794"/>
        <v>0.23095981368614044</v>
      </c>
      <c r="CD236" s="341">
        <f t="shared" si="794"/>
        <v>0.23397169025811823</v>
      </c>
      <c r="CE236" s="19">
        <f t="shared" si="794"/>
        <v>0.22717497556207233</v>
      </c>
      <c r="CF236" s="19">
        <f t="shared" si="794"/>
        <v>0.20590467330901613</v>
      </c>
      <c r="CG236" s="19">
        <f t="shared" si="794"/>
        <v>0.19273290094339623</v>
      </c>
      <c r="CH236" s="199">
        <f t="shared" si="808"/>
        <v>0.19273290094339623</v>
      </c>
      <c r="CI236" s="341">
        <f t="shared" si="808"/>
        <v>0.1600562033179678</v>
      </c>
      <c r="CJ236" s="19">
        <f t="shared" si="808"/>
        <v>0.15285186195946113</v>
      </c>
      <c r="CK236" s="19">
        <f t="shared" si="808"/>
        <v>0.14716629287100269</v>
      </c>
      <c r="CL236" s="19">
        <f t="shared" si="795"/>
        <v>0.14084613638083707</v>
      </c>
      <c r="CM236" s="199">
        <f t="shared" si="809"/>
        <v>0.14084613638083707</v>
      </c>
      <c r="CN236" s="341">
        <f t="shared" si="809"/>
        <v>0.14758700930797247</v>
      </c>
      <c r="CO236" s="19">
        <f t="shared" si="809"/>
        <v>0.13766298896690071</v>
      </c>
      <c r="CP236" s="19">
        <f t="shared" si="809"/>
        <v>0.14049484638010729</v>
      </c>
      <c r="CQ236" s="19">
        <f t="shared" si="809"/>
        <v>0.1452817379497624</v>
      </c>
      <c r="CR236" s="199">
        <f t="shared" si="798"/>
        <v>0.1452817379497624</v>
      </c>
      <c r="CS236" s="341">
        <f t="shared" si="798"/>
        <v>0.14950408401400234</v>
      </c>
      <c r="CT236" s="19">
        <f t="shared" si="798"/>
        <v>0.1544638781090121</v>
      </c>
      <c r="CU236" s="19">
        <f t="shared" si="798"/>
        <v>0.15963140807146278</v>
      </c>
      <c r="CV236" s="19">
        <f t="shared" si="798"/>
        <v>0.16624741280539743</v>
      </c>
      <c r="CW236" s="199">
        <f t="shared" ref="CW236" si="820">CW219/CW$216</f>
        <v>0.16624741280539743</v>
      </c>
      <c r="CX236" s="19">
        <f t="shared" si="798"/>
        <v>0.15588635874889489</v>
      </c>
      <c r="CY236" s="19">
        <f t="shared" si="798"/>
        <v>0.17034550818629884</v>
      </c>
      <c r="CZ236" s="19">
        <f t="shared" si="798"/>
        <v>0.18470729176292067</v>
      </c>
      <c r="DA236" s="19">
        <f t="shared" si="798"/>
        <v>0.19305502075148151</v>
      </c>
      <c r="DB236" s="199">
        <f t="shared" si="801"/>
        <v>0.19305502075148151</v>
      </c>
      <c r="DC236" s="19"/>
      <c r="DD236" s="19"/>
      <c r="DE236" s="19"/>
      <c r="DF236" s="19"/>
      <c r="DG236" s="199">
        <f t="shared" si="802"/>
        <v>0.18159121055690597</v>
      </c>
      <c r="DH236" s="19"/>
      <c r="DI236" s="19"/>
      <c r="DJ236" s="19"/>
      <c r="DK236" s="19"/>
      <c r="DL236" s="199">
        <f t="shared" si="803"/>
        <v>0.17027692022554408</v>
      </c>
      <c r="DM236" s="110"/>
      <c r="DN236" s="540"/>
      <c r="DO236" s="486"/>
      <c r="DP236" s="411"/>
      <c r="DQ236" s="411"/>
      <c r="DR236" s="411"/>
      <c r="DS236" s="570"/>
      <c r="DT236" s="561"/>
      <c r="DU236" s="457"/>
      <c r="DV236" s="463"/>
      <c r="DW236" s="460"/>
      <c r="DX236" s="460"/>
      <c r="DY236" s="460"/>
      <c r="DZ236" s="808"/>
      <c r="EA236" s="540"/>
      <c r="EH236" s="8"/>
    </row>
    <row r="237" spans="1:138" ht="12.75" hidden="1" customHeight="1" x14ac:dyDescent="0.2">
      <c r="A237" s="110" t="s">
        <v>231</v>
      </c>
      <c r="B237" s="19"/>
      <c r="C237" s="19"/>
      <c r="D237" s="19"/>
      <c r="E237" s="19"/>
      <c r="F237" s="199">
        <f>F220/F$216</f>
        <v>0.77809540825442203</v>
      </c>
      <c r="G237" s="19">
        <f t="shared" ref="G237:U237" si="821">G220/G$216</f>
        <v>0.79991603190787497</v>
      </c>
      <c r="H237" s="19">
        <f t="shared" si="821"/>
        <v>0.8378598247809762</v>
      </c>
      <c r="I237" s="19">
        <f t="shared" si="821"/>
        <v>0.89064059070045898</v>
      </c>
      <c r="J237" s="19">
        <f t="shared" si="821"/>
        <v>0.94956408963181782</v>
      </c>
      <c r="K237" s="199">
        <f t="shared" si="821"/>
        <v>0.94956408963181782</v>
      </c>
      <c r="L237" s="19">
        <f t="shared" si="821"/>
        <v>0.98135464231354641</v>
      </c>
      <c r="M237" s="19">
        <f t="shared" si="821"/>
        <v>0.98964013086150493</v>
      </c>
      <c r="N237" s="19">
        <f t="shared" si="821"/>
        <v>0.97752721617418348</v>
      </c>
      <c r="O237" s="19">
        <f t="shared" si="821"/>
        <v>0.94145058248778657</v>
      </c>
      <c r="P237" s="199">
        <f t="shared" si="821"/>
        <v>0.94145058248778657</v>
      </c>
      <c r="Q237" s="19">
        <f t="shared" si="821"/>
        <v>0.93606348731002476</v>
      </c>
      <c r="R237" s="19">
        <f t="shared" si="821"/>
        <v>0.94010614101592116</v>
      </c>
      <c r="S237" s="19">
        <f t="shared" si="821"/>
        <v>0.93059865284189813</v>
      </c>
      <c r="T237" s="19">
        <f t="shared" si="821"/>
        <v>0.92264902653536796</v>
      </c>
      <c r="U237" s="199">
        <f t="shared" si="821"/>
        <v>0.92264902653536796</v>
      </c>
      <c r="V237" s="19">
        <f t="shared" ref="V237:AO237" si="822">V220/V$216</f>
        <v>0.9125539226438546</v>
      </c>
      <c r="W237" s="19">
        <f t="shared" si="822"/>
        <v>0.89477356779010542</v>
      </c>
      <c r="X237" s="19">
        <f t="shared" si="822"/>
        <v>0.89674097161054267</v>
      </c>
      <c r="Y237" s="19">
        <f t="shared" si="822"/>
        <v>0.90482441745979647</v>
      </c>
      <c r="Z237" s="199">
        <f t="shared" si="822"/>
        <v>0.90482441745979647</v>
      </c>
      <c r="AA237" s="19">
        <f t="shared" si="822"/>
        <v>0.88783951019344753</v>
      </c>
      <c r="AB237" s="19">
        <f t="shared" si="822"/>
        <v>0.85889452397765942</v>
      </c>
      <c r="AC237" s="19">
        <f t="shared" si="822"/>
        <v>0.82232131641753548</v>
      </c>
      <c r="AD237" s="19">
        <f t="shared" si="822"/>
        <v>0.80495336915570381</v>
      </c>
      <c r="AE237" s="199">
        <f t="shared" si="822"/>
        <v>0.80495336915570381</v>
      </c>
      <c r="AF237" s="19">
        <f t="shared" si="822"/>
        <v>0.80572897539478516</v>
      </c>
      <c r="AG237" s="19">
        <f t="shared" si="822"/>
        <v>0.78311826684029828</v>
      </c>
      <c r="AH237" s="19">
        <f t="shared" si="822"/>
        <v>0.76705490848585689</v>
      </c>
      <c r="AI237" s="19">
        <f t="shared" si="822"/>
        <v>0.74383983572895274</v>
      </c>
      <c r="AJ237" s="199">
        <f t="shared" si="822"/>
        <v>0.74383983572895274</v>
      </c>
      <c r="AK237" s="19">
        <f t="shared" si="822"/>
        <v>0.7152233160909951</v>
      </c>
      <c r="AL237" s="19">
        <f t="shared" si="822"/>
        <v>0.71311879831149605</v>
      </c>
      <c r="AM237" s="19">
        <f t="shared" si="822"/>
        <v>0.70550836138270023</v>
      </c>
      <c r="AN237" s="19">
        <f t="shared" si="822"/>
        <v>0.69698235355539317</v>
      </c>
      <c r="AO237" s="199">
        <f t="shared" si="822"/>
        <v>0.69698235355539317</v>
      </c>
      <c r="AP237" s="341"/>
      <c r="AQ237" s="19"/>
      <c r="AR237" s="19"/>
      <c r="AS237" s="19"/>
      <c r="AT237" s="199"/>
      <c r="AU237" s="19">
        <f t="shared" ref="AU237:BD237" si="823">AU220/AU$216</f>
        <v>0.69403410336211813</v>
      </c>
      <c r="AV237" s="19">
        <f t="shared" si="823"/>
        <v>0.66887238352464551</v>
      </c>
      <c r="AW237" s="19">
        <f t="shared" si="823"/>
        <v>0.65224497644457269</v>
      </c>
      <c r="AX237" s="19">
        <f t="shared" si="823"/>
        <v>0.6472818478768082</v>
      </c>
      <c r="AY237" s="199">
        <f t="shared" si="823"/>
        <v>0.6472818478768082</v>
      </c>
      <c r="AZ237" s="341">
        <f t="shared" si="823"/>
        <v>0.65759554910498308</v>
      </c>
      <c r="BA237" s="19">
        <f t="shared" si="823"/>
        <v>0.68238445649367419</v>
      </c>
      <c r="BB237" s="19">
        <f t="shared" si="823"/>
        <v>0.7146351546888996</v>
      </c>
      <c r="BC237" s="19">
        <f t="shared" si="823"/>
        <v>0.73392010832769128</v>
      </c>
      <c r="BD237" s="199">
        <f t="shared" si="823"/>
        <v>0.73392010832769128</v>
      </c>
      <c r="BE237" s="341">
        <f t="shared" ref="BE237:BX237" si="824">BE220/BE$216</f>
        <v>0.72497962943281258</v>
      </c>
      <c r="BF237" s="19">
        <f t="shared" si="824"/>
        <v>0.70110419914094413</v>
      </c>
      <c r="BG237" s="19">
        <f t="shared" si="824"/>
        <v>0.68437681379841975</v>
      </c>
      <c r="BH237" s="19">
        <f t="shared" si="824"/>
        <v>0.67686850536575904</v>
      </c>
      <c r="BI237" s="199">
        <f t="shared" si="824"/>
        <v>0.67686850536575904</v>
      </c>
      <c r="BJ237" s="341">
        <f t="shared" si="824"/>
        <v>0.67731240770672929</v>
      </c>
      <c r="BK237" s="19">
        <f t="shared" si="824"/>
        <v>0.67504979339457183</v>
      </c>
      <c r="BL237" s="19">
        <f t="shared" si="824"/>
        <v>0.66836690334734095</v>
      </c>
      <c r="BM237" s="19">
        <f t="shared" si="824"/>
        <v>0.65977502491812612</v>
      </c>
      <c r="BN237" s="341">
        <f t="shared" si="824"/>
        <v>0.65977502491812612</v>
      </c>
      <c r="BO237" s="341">
        <f t="shared" si="824"/>
        <v>0.65151896257790443</v>
      </c>
      <c r="BP237" s="19">
        <f t="shared" si="824"/>
        <v>0.64760726072607255</v>
      </c>
      <c r="BQ237" s="19">
        <f t="shared" si="824"/>
        <v>0.65045109276880464</v>
      </c>
      <c r="BR237" s="19">
        <f t="shared" si="824"/>
        <v>0.6515680392691573</v>
      </c>
      <c r="BS237" s="199">
        <f t="shared" si="824"/>
        <v>0.6515680392691573</v>
      </c>
      <c r="BT237" s="341">
        <f t="shared" si="792"/>
        <v>0.65212068449547023</v>
      </c>
      <c r="BU237" s="19">
        <f t="shared" si="824"/>
        <v>0.65430687139279098</v>
      </c>
      <c r="BV237" s="19">
        <f t="shared" si="824"/>
        <v>0.65200139413925307</v>
      </c>
      <c r="BW237" s="19">
        <f t="shared" si="824"/>
        <v>0.65057051332962701</v>
      </c>
      <c r="BX237" s="199">
        <f t="shared" si="824"/>
        <v>0.65057051332962701</v>
      </c>
      <c r="BY237" s="341">
        <f t="shared" si="793"/>
        <v>0.64699258948911986</v>
      </c>
      <c r="BZ237" s="19">
        <f t="shared" si="793"/>
        <v>0.64245710047822413</v>
      </c>
      <c r="CA237" s="19">
        <f t="shared" si="793"/>
        <v>0.63866200899700942</v>
      </c>
      <c r="CB237" s="19">
        <f t="shared" si="793"/>
        <v>0.63852138149744808</v>
      </c>
      <c r="CC237" s="199">
        <f t="shared" si="794"/>
        <v>0.63852138149744808</v>
      </c>
      <c r="CD237" s="341">
        <f t="shared" si="794"/>
        <v>0.63417740118528676</v>
      </c>
      <c r="CE237" s="19">
        <f t="shared" si="794"/>
        <v>0.63707233626588466</v>
      </c>
      <c r="CF237" s="19">
        <f t="shared" si="794"/>
        <v>0.64439765967343143</v>
      </c>
      <c r="CG237" s="19">
        <f t="shared" si="794"/>
        <v>0.64669319968553463</v>
      </c>
      <c r="CH237" s="199">
        <f t="shared" si="808"/>
        <v>0.64669319968553463</v>
      </c>
      <c r="CI237" s="341">
        <f t="shared" si="808"/>
        <v>0.65723371213054949</v>
      </c>
      <c r="CJ237" s="19">
        <f t="shared" si="808"/>
        <v>0.66258962463095739</v>
      </c>
      <c r="CK237" s="19">
        <f t="shared" si="808"/>
        <v>0.67343698813093766</v>
      </c>
      <c r="CL237" s="19">
        <f t="shared" si="795"/>
        <v>0.69512348949267133</v>
      </c>
      <c r="CM237" s="199">
        <f t="shared" si="809"/>
        <v>0.69512348949267133</v>
      </c>
      <c r="CN237" s="341">
        <f t="shared" si="809"/>
        <v>0.70631829218939701</v>
      </c>
      <c r="CO237" s="19">
        <f t="shared" si="809"/>
        <v>0.71323971915747242</v>
      </c>
      <c r="CP237" s="19">
        <f t="shared" si="809"/>
        <v>0.7181451911906469</v>
      </c>
      <c r="CQ237" s="19">
        <f t="shared" si="809"/>
        <v>0.71278246532829015</v>
      </c>
      <c r="CR237" s="199">
        <f t="shared" si="798"/>
        <v>0.71278246532829015</v>
      </c>
      <c r="CS237" s="341">
        <f t="shared" si="798"/>
        <v>0.7095001944768573</v>
      </c>
      <c r="CT237" s="19">
        <f t="shared" si="798"/>
        <v>0.70528282306831858</v>
      </c>
      <c r="CU237" s="19">
        <f t="shared" si="798"/>
        <v>0.70007681378271802</v>
      </c>
      <c r="CV237" s="19">
        <f t="shared" si="798"/>
        <v>0.69331830879312195</v>
      </c>
      <c r="CW237" s="199">
        <f t="shared" ref="CW237" si="825">CW220/CW$216</f>
        <v>0.69331830879312195</v>
      </c>
      <c r="CX237" s="19">
        <f t="shared" si="798"/>
        <v>0.70796396740818623</v>
      </c>
      <c r="CY237" s="19">
        <f t="shared" si="798"/>
        <v>0.70030517725047459</v>
      </c>
      <c r="CZ237" s="19">
        <f t="shared" si="798"/>
        <v>0.68893987490527031</v>
      </c>
      <c r="DA237" s="19">
        <f t="shared" si="798"/>
        <v>0.67641149182499971</v>
      </c>
      <c r="DB237" s="199">
        <f t="shared" si="801"/>
        <v>0.67641149182499971</v>
      </c>
      <c r="DC237" s="19"/>
      <c r="DD237" s="19"/>
      <c r="DE237" s="19"/>
      <c r="DF237" s="19"/>
      <c r="DG237" s="199">
        <f t="shared" si="802"/>
        <v>0.68137033197837882</v>
      </c>
      <c r="DH237" s="19"/>
      <c r="DI237" s="19"/>
      <c r="DJ237" s="19"/>
      <c r="DK237" s="19"/>
      <c r="DL237" s="199">
        <f t="shared" si="803"/>
        <v>0.68644779266701639</v>
      </c>
      <c r="DM237" s="110"/>
      <c r="DN237" s="540"/>
      <c r="DO237" s="486"/>
      <c r="DP237" s="411"/>
      <c r="DQ237" s="411"/>
      <c r="DR237" s="411"/>
      <c r="DS237" s="570"/>
      <c r="DT237" s="561"/>
      <c r="DU237" s="457"/>
      <c r="DV237" s="463"/>
      <c r="DW237" s="460"/>
      <c r="DX237" s="460"/>
      <c r="DY237" s="460"/>
      <c r="DZ237" s="808"/>
      <c r="EA237" s="540"/>
      <c r="EH237" s="8"/>
    </row>
    <row r="238" spans="1:138" ht="12.75" hidden="1" customHeight="1" x14ac:dyDescent="0.2">
      <c r="A238" s="110" t="s">
        <v>80</v>
      </c>
      <c r="B238" s="19"/>
      <c r="C238" s="19"/>
      <c r="D238" s="19"/>
      <c r="E238" s="19"/>
      <c r="F238" s="199">
        <f t="shared" ref="F238:U238" si="826">F221/F$216</f>
        <v>4.4130784348758265E-2</v>
      </c>
      <c r="G238" s="19">
        <f t="shared" si="826"/>
        <v>4.4623043243567445E-2</v>
      </c>
      <c r="H238" s="19">
        <f t="shared" si="826"/>
        <v>4.6558197747183977E-2</v>
      </c>
      <c r="I238" s="19">
        <f t="shared" si="826"/>
        <v>4.9491119537018562E-2</v>
      </c>
      <c r="J238" s="19">
        <f t="shared" si="826"/>
        <v>5.3101808487643204E-2</v>
      </c>
      <c r="K238" s="199">
        <f t="shared" si="826"/>
        <v>5.3101808487643204E-2</v>
      </c>
      <c r="L238" s="19">
        <f t="shared" si="826"/>
        <v>5.5327245053272453E-2</v>
      </c>
      <c r="M238" s="19">
        <f t="shared" si="826"/>
        <v>5.608350210313133E-2</v>
      </c>
      <c r="N238" s="19">
        <f t="shared" si="826"/>
        <v>5.536547433903577E-2</v>
      </c>
      <c r="O238" s="19">
        <f t="shared" si="826"/>
        <v>5.328823750469748E-2</v>
      </c>
      <c r="P238" s="199">
        <f t="shared" si="826"/>
        <v>5.328823750469748E-2</v>
      </c>
      <c r="Q238" s="19">
        <f t="shared" si="826"/>
        <v>5.3455117167028526E-2</v>
      </c>
      <c r="R238" s="19">
        <f t="shared" si="826"/>
        <v>5.4131918119787716E-2</v>
      </c>
      <c r="S238" s="19">
        <f t="shared" si="826"/>
        <v>5.4567471429652611E-2</v>
      </c>
      <c r="T238" s="19">
        <f t="shared" si="826"/>
        <v>5.4649327219424192E-2</v>
      </c>
      <c r="U238" s="199">
        <f t="shared" si="826"/>
        <v>5.4649327219424192E-2</v>
      </c>
      <c r="V238" s="19">
        <f t="shared" ref="V238:AK238" si="827">V221/V$216</f>
        <v>5.3008700738466037E-2</v>
      </c>
      <c r="W238" s="19">
        <f t="shared" si="827"/>
        <v>5.0798967273742238E-2</v>
      </c>
      <c r="X238" s="19">
        <f t="shared" si="827"/>
        <v>4.9258079815705673E-2</v>
      </c>
      <c r="Y238" s="19">
        <f t="shared" si="827"/>
        <v>4.6997046275024615E-2</v>
      </c>
      <c r="Z238" s="199">
        <f t="shared" si="827"/>
        <v>4.6997046275024615E-2</v>
      </c>
      <c r="AA238" s="19">
        <f t="shared" si="827"/>
        <v>4.4160750341952715E-2</v>
      </c>
      <c r="AB238" s="19">
        <f t="shared" si="827"/>
        <v>4.153559735507479E-2</v>
      </c>
      <c r="AC238" s="19">
        <f t="shared" si="827"/>
        <v>3.8123351337771637E-2</v>
      </c>
      <c r="AD238" s="19">
        <f t="shared" si="827"/>
        <v>3.3413624853313569E-2</v>
      </c>
      <c r="AE238" s="199">
        <f t="shared" si="827"/>
        <v>3.3413624853313569E-2</v>
      </c>
      <c r="AF238" s="19">
        <f t="shared" si="827"/>
        <v>3.0175052025951769E-2</v>
      </c>
      <c r="AG238" s="19">
        <f t="shared" si="827"/>
        <v>2.4564934296199836E-2</v>
      </c>
      <c r="AH238" s="19">
        <f t="shared" si="827"/>
        <v>1.973721957656779E-2</v>
      </c>
      <c r="AI238" s="19">
        <f t="shared" si="827"/>
        <v>1.8024184348619667E-2</v>
      </c>
      <c r="AJ238" s="199">
        <f t="shared" si="827"/>
        <v>1.8024184348619667E-2</v>
      </c>
      <c r="AK238" s="19">
        <f t="shared" si="827"/>
        <v>1.6185549808109462E-2</v>
      </c>
      <c r="AL238" s="19">
        <f>AL221/AL$216</f>
        <v>1.5021106298996766E-2</v>
      </c>
      <c r="AM238" s="19">
        <f>AM221/AM$216</f>
        <v>1.4104824491104343E-2</v>
      </c>
      <c r="AN238" s="19">
        <f>AN221/AN$216</f>
        <v>1.2843270335178032E-2</v>
      </c>
      <c r="AO238" s="199">
        <f>AO221/AO$216</f>
        <v>1.2843270335178032E-2</v>
      </c>
      <c r="AP238" s="341"/>
      <c r="AQ238" s="19"/>
      <c r="AR238" s="19"/>
      <c r="AS238" s="19"/>
      <c r="AT238" s="199"/>
      <c r="AU238" s="19">
        <f t="shared" ref="AU238:BD238" si="828">AU221/AU$216</f>
        <v>1.2887388769561215E-2</v>
      </c>
      <c r="AV238" s="19">
        <f t="shared" si="828"/>
        <v>1.3554127968948398E-2</v>
      </c>
      <c r="AW238" s="19">
        <f t="shared" si="828"/>
        <v>1.3716629811236098E-2</v>
      </c>
      <c r="AX238" s="19">
        <f t="shared" si="828"/>
        <v>1.4319878674755017E-2</v>
      </c>
      <c r="AY238" s="199">
        <f t="shared" si="828"/>
        <v>1.4319878674755017E-2</v>
      </c>
      <c r="AZ238" s="341">
        <f t="shared" si="828"/>
        <v>1.4937106918238994E-2</v>
      </c>
      <c r="BA238" s="19">
        <f t="shared" si="828"/>
        <v>1.5814613994319649E-2</v>
      </c>
      <c r="BB238" s="19">
        <f t="shared" si="828"/>
        <v>1.6743609177978364E-2</v>
      </c>
      <c r="BC238" s="19">
        <f t="shared" si="828"/>
        <v>1.710437230517051E-2</v>
      </c>
      <c r="BD238" s="199">
        <f t="shared" si="828"/>
        <v>1.710437230517051E-2</v>
      </c>
      <c r="BE238" s="341">
        <f t="shared" ref="BE238:BX238" si="829">BE221/BE$216</f>
        <v>1.6686151557019874E-2</v>
      </c>
      <c r="BF238" s="19">
        <f t="shared" si="829"/>
        <v>1.5410752691098437E-2</v>
      </c>
      <c r="BG238" s="19">
        <f t="shared" si="829"/>
        <v>1.3714184691720078E-2</v>
      </c>
      <c r="BH238" s="19">
        <f t="shared" si="829"/>
        <v>1.2187034129363951E-2</v>
      </c>
      <c r="BI238" s="199">
        <f t="shared" si="829"/>
        <v>1.2187034129363951E-2</v>
      </c>
      <c r="BJ238" s="341">
        <f t="shared" si="829"/>
        <v>1.0810294340121871E-2</v>
      </c>
      <c r="BK238" s="19">
        <f t="shared" si="829"/>
        <v>9.6911323166562618E-3</v>
      </c>
      <c r="BL238" s="19">
        <f t="shared" si="829"/>
        <v>8.8682799594261702E-3</v>
      </c>
      <c r="BM238" s="19">
        <f t="shared" si="829"/>
        <v>8.4864018225829421E-3</v>
      </c>
      <c r="BN238" s="341">
        <f t="shared" si="829"/>
        <v>8.4864018225829421E-3</v>
      </c>
      <c r="BO238" s="341">
        <f t="shared" si="829"/>
        <v>8.244599088901931E-3</v>
      </c>
      <c r="BP238" s="19">
        <f t="shared" si="829"/>
        <v>7.9482948294829475E-3</v>
      </c>
      <c r="BQ238" s="19">
        <f t="shared" si="829"/>
        <v>7.7330188937943896E-3</v>
      </c>
      <c r="BR238" s="19">
        <f t="shared" si="829"/>
        <v>7.4175074993182441E-3</v>
      </c>
      <c r="BS238" s="199">
        <f t="shared" si="829"/>
        <v>7.4175074993182441E-3</v>
      </c>
      <c r="BT238" s="341">
        <f t="shared" si="792"/>
        <v>6.9918654950077534E-3</v>
      </c>
      <c r="BU238" s="19">
        <f t="shared" si="829"/>
        <v>6.6427093542415329E-3</v>
      </c>
      <c r="BV238" s="19">
        <f t="shared" si="829"/>
        <v>6.0591436767741761E-3</v>
      </c>
      <c r="BW238" s="19">
        <f t="shared" si="829"/>
        <v>5.5330527096073912E-3</v>
      </c>
      <c r="BX238" s="199">
        <f t="shared" si="829"/>
        <v>5.5330527096073912E-3</v>
      </c>
      <c r="BY238" s="341">
        <f t="shared" si="793"/>
        <v>5.2371101626122706E-3</v>
      </c>
      <c r="BZ238" s="19">
        <f t="shared" si="793"/>
        <v>5.1402705674756409E-3</v>
      </c>
      <c r="CA238" s="19">
        <f t="shared" si="793"/>
        <v>5.503757131009525E-3</v>
      </c>
      <c r="CB238" s="19">
        <f t="shared" si="793"/>
        <v>5.7727565531935981E-3</v>
      </c>
      <c r="CC238" s="199">
        <f t="shared" si="794"/>
        <v>5.7727565531935981E-3</v>
      </c>
      <c r="CD238" s="341">
        <f t="shared" si="794"/>
        <v>5.9264338541411572E-3</v>
      </c>
      <c r="CE238" s="19">
        <f t="shared" si="794"/>
        <v>6.0117302052785926E-3</v>
      </c>
      <c r="CF238" s="19">
        <f t="shared" si="794"/>
        <v>5.973218438639869E-3</v>
      </c>
      <c r="CG238" s="19">
        <f t="shared" si="794"/>
        <v>6.1419025157232708E-3</v>
      </c>
      <c r="CH238" s="199">
        <f t="shared" si="808"/>
        <v>6.1419025157232708E-3</v>
      </c>
      <c r="CI238" s="341">
        <f t="shared" si="808"/>
        <v>6.3105479823501861E-3</v>
      </c>
      <c r="CJ238" s="19">
        <f t="shared" si="808"/>
        <v>6.5001116431389087E-3</v>
      </c>
      <c r="CK238" s="19">
        <f t="shared" si="808"/>
        <v>6.8291207821989264E-3</v>
      </c>
      <c r="CL238" s="19">
        <f t="shared" si="795"/>
        <v>7.1898887459320368E-3</v>
      </c>
      <c r="CM238" s="199">
        <f t="shared" si="809"/>
        <v>7.1898887459320368E-3</v>
      </c>
      <c r="CN238" s="341">
        <f t="shared" si="809"/>
        <v>7.6639012545528127E-3</v>
      </c>
      <c r="CO238" s="19">
        <f t="shared" si="809"/>
        <v>8.0992978936810425E-3</v>
      </c>
      <c r="CP238" s="19">
        <f t="shared" si="809"/>
        <v>8.4039844773463185E-3</v>
      </c>
      <c r="CQ238" s="19">
        <f t="shared" si="809"/>
        <v>8.510328775094559E-3</v>
      </c>
      <c r="CR238" s="199">
        <f t="shared" si="798"/>
        <v>8.510328775094559E-3</v>
      </c>
      <c r="CS238" s="341">
        <f t="shared" si="798"/>
        <v>8.5326721120186702E-3</v>
      </c>
      <c r="CT238" s="19">
        <f t="shared" si="798"/>
        <v>8.5555974777123643E-3</v>
      </c>
      <c r="CU238" s="19">
        <f t="shared" si="798"/>
        <v>8.5818079695333793E-3</v>
      </c>
      <c r="CV238" s="19">
        <f t="shared" si="798"/>
        <v>8.6371879654669175E-3</v>
      </c>
      <c r="CW238" s="199">
        <f t="shared" ref="CW238" si="830">CW221/CW$216</f>
        <v>8.6371879654669175E-3</v>
      </c>
      <c r="CX238" s="19">
        <f t="shared" si="798"/>
        <v>8.6258392869943377E-3</v>
      </c>
      <c r="CY238" s="19">
        <f t="shared" si="798"/>
        <v>8.7186341278125048E-3</v>
      </c>
      <c r="CZ238" s="19">
        <f t="shared" si="798"/>
        <v>8.855914283144745E-3</v>
      </c>
      <c r="DA238" s="19">
        <f t="shared" si="798"/>
        <v>9.0447513853186053E-3</v>
      </c>
      <c r="DB238" s="199">
        <f t="shared" si="801"/>
        <v>9.0447513853186036E-3</v>
      </c>
      <c r="DC238" s="19"/>
      <c r="DD238" s="19"/>
      <c r="DE238" s="19"/>
      <c r="DF238" s="19"/>
      <c r="DG238" s="199">
        <f t="shared" si="802"/>
        <v>9.0756952807147084E-3</v>
      </c>
      <c r="DH238" s="19"/>
      <c r="DI238" s="19"/>
      <c r="DJ238" s="19"/>
      <c r="DK238" s="19"/>
      <c r="DL238" s="199">
        <f t="shared" si="803"/>
        <v>9.0608419916432467E-3</v>
      </c>
      <c r="DM238" s="110"/>
      <c r="DN238" s="540"/>
      <c r="DO238" s="486"/>
      <c r="DP238" s="411"/>
      <c r="DQ238" s="411"/>
      <c r="DR238" s="411"/>
      <c r="DS238" s="570"/>
      <c r="DT238" s="561"/>
      <c r="DU238" s="457"/>
      <c r="DV238" s="463"/>
      <c r="DW238" s="460"/>
      <c r="DX238" s="460"/>
      <c r="DY238" s="460"/>
      <c r="DZ238" s="808"/>
      <c r="EA238" s="540"/>
      <c r="EH238" s="8"/>
    </row>
    <row r="239" spans="1:138" ht="12.75" hidden="1" customHeight="1" x14ac:dyDescent="0.2">
      <c r="A239" s="110" t="s">
        <v>280</v>
      </c>
      <c r="B239" s="19"/>
      <c r="C239" s="19"/>
      <c r="D239" s="19"/>
      <c r="E239" s="19"/>
      <c r="F239" s="199">
        <f t="shared" ref="F239:AO239" si="831">F222/F$216</f>
        <v>0</v>
      </c>
      <c r="G239" s="19">
        <f t="shared" si="831"/>
        <v>0</v>
      </c>
      <c r="H239" s="19">
        <f t="shared" si="831"/>
        <v>0</v>
      </c>
      <c r="I239" s="19">
        <f t="shared" si="831"/>
        <v>0</v>
      </c>
      <c r="J239" s="19">
        <f t="shared" si="831"/>
        <v>0</v>
      </c>
      <c r="K239" s="199">
        <f t="shared" si="831"/>
        <v>0</v>
      </c>
      <c r="L239" s="19">
        <f t="shared" si="831"/>
        <v>0</v>
      </c>
      <c r="M239" s="19">
        <f t="shared" si="831"/>
        <v>0</v>
      </c>
      <c r="N239" s="19">
        <f t="shared" si="831"/>
        <v>0</v>
      </c>
      <c r="O239" s="19">
        <f t="shared" si="831"/>
        <v>0</v>
      </c>
      <c r="P239" s="199">
        <f t="shared" si="831"/>
        <v>0</v>
      </c>
      <c r="Q239" s="19">
        <f t="shared" si="831"/>
        <v>0</v>
      </c>
      <c r="R239" s="19">
        <f t="shared" si="831"/>
        <v>0</v>
      </c>
      <c r="S239" s="19">
        <f t="shared" si="831"/>
        <v>0</v>
      </c>
      <c r="T239" s="19">
        <f t="shared" si="831"/>
        <v>0</v>
      </c>
      <c r="U239" s="199">
        <f t="shared" si="831"/>
        <v>0</v>
      </c>
      <c r="V239" s="19">
        <f t="shared" si="831"/>
        <v>0</v>
      </c>
      <c r="W239" s="19">
        <f t="shared" si="831"/>
        <v>0</v>
      </c>
      <c r="X239" s="19">
        <f t="shared" si="831"/>
        <v>0</v>
      </c>
      <c r="Y239" s="19">
        <f t="shared" si="831"/>
        <v>0</v>
      </c>
      <c r="Z239" s="199">
        <f t="shared" si="831"/>
        <v>0</v>
      </c>
      <c r="AA239" s="19">
        <f t="shared" si="831"/>
        <v>0</v>
      </c>
      <c r="AB239" s="19">
        <f t="shared" si="831"/>
        <v>0</v>
      </c>
      <c r="AC239" s="19">
        <f t="shared" si="831"/>
        <v>0</v>
      </c>
      <c r="AD239" s="19">
        <f t="shared" si="831"/>
        <v>0</v>
      </c>
      <c r="AE239" s="199">
        <f t="shared" si="831"/>
        <v>0</v>
      </c>
      <c r="AF239" s="19">
        <f t="shared" si="831"/>
        <v>0</v>
      </c>
      <c r="AG239" s="19">
        <f t="shared" si="831"/>
        <v>0</v>
      </c>
      <c r="AH239" s="19">
        <f t="shared" si="831"/>
        <v>0</v>
      </c>
      <c r="AI239" s="19">
        <f t="shared" si="831"/>
        <v>0</v>
      </c>
      <c r="AJ239" s="199">
        <f t="shared" si="831"/>
        <v>0</v>
      </c>
      <c r="AK239" s="19">
        <f t="shared" si="831"/>
        <v>0</v>
      </c>
      <c r="AL239" s="19">
        <f t="shared" si="831"/>
        <v>0</v>
      </c>
      <c r="AM239" s="19">
        <f t="shared" si="831"/>
        <v>0</v>
      </c>
      <c r="AN239" s="19">
        <f t="shared" si="831"/>
        <v>0</v>
      </c>
      <c r="AO239" s="199">
        <f t="shared" si="831"/>
        <v>0</v>
      </c>
      <c r="AP239" s="341"/>
      <c r="AQ239" s="19"/>
      <c r="AR239" s="19"/>
      <c r="AS239" s="19"/>
      <c r="AT239" s="199"/>
      <c r="AU239" s="19">
        <f t="shared" ref="AU239:BD239" si="832">AU222/AU$216</f>
        <v>6.7926182439836938E-3</v>
      </c>
      <c r="AV239" s="19">
        <f t="shared" si="832"/>
        <v>1.418861129867207E-2</v>
      </c>
      <c r="AW239" s="19">
        <f t="shared" si="832"/>
        <v>1.523186873057078E-2</v>
      </c>
      <c r="AX239" s="19">
        <f t="shared" si="832"/>
        <v>1.7694528698086794E-2</v>
      </c>
      <c r="AY239" s="199">
        <f t="shared" si="832"/>
        <v>1.7694528698086794E-2</v>
      </c>
      <c r="AZ239" s="341">
        <f t="shared" si="832"/>
        <v>1.7228773584905661E-2</v>
      </c>
      <c r="BA239" s="19">
        <f t="shared" si="832"/>
        <v>1.7202427059127293E-2</v>
      </c>
      <c r="BB239" s="19">
        <f t="shared" si="832"/>
        <v>1.7435747261076277E-2</v>
      </c>
      <c r="BC239" s="19">
        <f t="shared" si="832"/>
        <v>1.7709795816555608E-2</v>
      </c>
      <c r="BD239" s="199">
        <f t="shared" si="832"/>
        <v>1.7709795816555608E-2</v>
      </c>
      <c r="BE239" s="341">
        <f t="shared" ref="BE239:BX239" si="833">BE222/BE$216</f>
        <v>1.7648350869734653E-2</v>
      </c>
      <c r="BF239" s="19">
        <f t="shared" si="833"/>
        <v>1.6978022837850985E-2</v>
      </c>
      <c r="BG239" s="19">
        <f t="shared" si="833"/>
        <v>1.7177828778079145E-2</v>
      </c>
      <c r="BH239" s="19">
        <f t="shared" si="833"/>
        <v>1.7623962921184847E-2</v>
      </c>
      <c r="BI239" s="199">
        <f t="shared" si="833"/>
        <v>1.7623962921184844E-2</v>
      </c>
      <c r="BJ239" s="341">
        <f t="shared" si="833"/>
        <v>1.8663529129302758E-2</v>
      </c>
      <c r="BK239" s="19">
        <f t="shared" si="833"/>
        <v>1.98097446416362E-2</v>
      </c>
      <c r="BL239" s="19">
        <f t="shared" si="833"/>
        <v>2.005100710042023E-2</v>
      </c>
      <c r="BM239" s="19">
        <f t="shared" si="833"/>
        <v>2.0250605154492382E-2</v>
      </c>
      <c r="BN239" s="341">
        <f t="shared" si="833"/>
        <v>2.0250605154492382E-2</v>
      </c>
      <c r="BO239" s="341">
        <f t="shared" si="833"/>
        <v>2.0146166960118495E-2</v>
      </c>
      <c r="BP239" s="19">
        <f t="shared" si="833"/>
        <v>1.9846809680968098E-2</v>
      </c>
      <c r="BQ239" s="19">
        <f t="shared" si="833"/>
        <v>1.9842048975786328E-2</v>
      </c>
      <c r="BR239" s="19">
        <f t="shared" si="833"/>
        <v>2.0019361876193072E-2</v>
      </c>
      <c r="BS239" s="199">
        <f t="shared" si="833"/>
        <v>2.0019361876193072E-2</v>
      </c>
      <c r="BT239" s="341">
        <f t="shared" si="792"/>
        <v>2.0056859917838784E-2</v>
      </c>
      <c r="BU239" s="19">
        <f t="shared" si="833"/>
        <v>2.0169606882282479E-2</v>
      </c>
      <c r="BV239" s="19">
        <f t="shared" si="833"/>
        <v>1.9904823185608194E-2</v>
      </c>
      <c r="BW239" s="19">
        <f t="shared" si="833"/>
        <v>1.9510496915786411E-2</v>
      </c>
      <c r="BX239" s="199">
        <f t="shared" si="833"/>
        <v>1.9510496915786411E-2</v>
      </c>
      <c r="BY239" s="341">
        <f t="shared" si="793"/>
        <v>1.902563565424599E-2</v>
      </c>
      <c r="BZ239" s="19">
        <f t="shared" si="793"/>
        <v>1.8304989387003555E-2</v>
      </c>
      <c r="CA239" s="19">
        <f t="shared" si="793"/>
        <v>1.7642180392551079E-2</v>
      </c>
      <c r="CB239" s="19">
        <f t="shared" si="793"/>
        <v>1.6867598235964523E-2</v>
      </c>
      <c r="CC239" s="199">
        <f t="shared" si="794"/>
        <v>1.6867598235964523E-2</v>
      </c>
      <c r="CD239" s="341">
        <f t="shared" si="794"/>
        <v>1.5825782436205124E-2</v>
      </c>
      <c r="CE239" s="19">
        <f t="shared" si="794"/>
        <v>1.4953812316715541E-2</v>
      </c>
      <c r="CF239" s="19">
        <f t="shared" si="794"/>
        <v>1.4088716982055865E-2</v>
      </c>
      <c r="CG239" s="19">
        <f t="shared" si="794"/>
        <v>1.3544860455974844E-2</v>
      </c>
      <c r="CH239" s="199">
        <f t="shared" si="808"/>
        <v>1.3544860455974844E-2</v>
      </c>
      <c r="CI239" s="341">
        <f t="shared" si="808"/>
        <v>1.3439988167722534E-2</v>
      </c>
      <c r="CJ239" s="19">
        <f t="shared" si="808"/>
        <v>1.3523457463964076E-2</v>
      </c>
      <c r="CK239" s="19">
        <f t="shared" si="808"/>
        <v>1.3886802913086209E-2</v>
      </c>
      <c r="CL239" s="19">
        <f t="shared" si="795"/>
        <v>1.413834859607962E-2</v>
      </c>
      <c r="CM239" s="199">
        <f t="shared" si="809"/>
        <v>1.413834859607962E-2</v>
      </c>
      <c r="CN239" s="341">
        <f t="shared" si="809"/>
        <v>1.4517148927559693E-2</v>
      </c>
      <c r="CO239" s="19">
        <f t="shared" si="809"/>
        <v>1.4343029087261788E-2</v>
      </c>
      <c r="CP239" s="19">
        <f t="shared" si="809"/>
        <v>1.425735966581803E-2</v>
      </c>
      <c r="CQ239" s="19">
        <f t="shared" si="809"/>
        <v>1.4193337212685481E-2</v>
      </c>
      <c r="CR239" s="199">
        <f t="shared" si="798"/>
        <v>1.4193337212685481E-2</v>
      </c>
      <c r="CS239" s="341">
        <f t="shared" si="798"/>
        <v>1.3453179696616102E-2</v>
      </c>
      <c r="CT239" s="19">
        <f t="shared" si="798"/>
        <v>1.2719321583532379E-2</v>
      </c>
      <c r="CU239" s="19">
        <f t="shared" si="798"/>
        <v>1.1903285498482409E-2</v>
      </c>
      <c r="CV239" s="19">
        <f t="shared" si="798"/>
        <v>1.108759018085494E-2</v>
      </c>
      <c r="CW239" s="199">
        <f t="shared" ref="CW239" si="834">CW222/CW$216</f>
        <v>1.1087590180854942E-2</v>
      </c>
      <c r="CX239" s="19">
        <f t="shared" si="798"/>
        <v>1.3198489880767484E-2</v>
      </c>
      <c r="CY239" s="19">
        <f t="shared" si="798"/>
        <v>1.2433772467735204E-2</v>
      </c>
      <c r="CZ239" s="19">
        <f t="shared" si="798"/>
        <v>1.1471822908442588E-2</v>
      </c>
      <c r="DA239" s="19">
        <f t="shared" si="798"/>
        <v>1.048167379976403E-2</v>
      </c>
      <c r="DB239" s="199">
        <f t="shared" si="801"/>
        <v>1.0481673799764028E-2</v>
      </c>
      <c r="DC239" s="19"/>
      <c r="DD239" s="19"/>
      <c r="DE239" s="19"/>
      <c r="DF239" s="19"/>
      <c r="DG239" s="199">
        <f t="shared" si="802"/>
        <v>1.0171720451153473E-2</v>
      </c>
      <c r="DH239" s="19"/>
      <c r="DI239" s="19"/>
      <c r="DJ239" s="19"/>
      <c r="DK239" s="19"/>
      <c r="DL239" s="199">
        <f t="shared" si="803"/>
        <v>9.8586685735946346E-3</v>
      </c>
      <c r="DM239" s="110"/>
      <c r="DN239" s="540"/>
      <c r="DO239" s="486"/>
      <c r="DP239" s="411"/>
      <c r="DQ239" s="411"/>
      <c r="DR239" s="411"/>
      <c r="DS239" s="570"/>
      <c r="DT239" s="561"/>
      <c r="DU239" s="457"/>
      <c r="DV239" s="463"/>
      <c r="DW239" s="460"/>
      <c r="DX239" s="460"/>
      <c r="DY239" s="460"/>
      <c r="DZ239" s="808"/>
      <c r="EA239" s="540"/>
      <c r="EH239" s="8"/>
    </row>
    <row r="240" spans="1:138" ht="12.75" hidden="1" customHeight="1" x14ac:dyDescent="0.2">
      <c r="A240" s="110" t="s">
        <v>129</v>
      </c>
      <c r="B240" s="19"/>
      <c r="C240" s="19"/>
      <c r="D240" s="19"/>
      <c r="E240" s="19"/>
      <c r="F240" s="199">
        <f>F224/F$216</f>
        <v>0.10463939014948484</v>
      </c>
      <c r="G240" s="19">
        <f t="shared" ref="G240:P240" si="835">G224/G$216</f>
        <v>7.71906675463324E-2</v>
      </c>
      <c r="H240" s="19">
        <f t="shared" si="835"/>
        <v>3.3854818523153946E-2</v>
      </c>
      <c r="I240" s="19">
        <f t="shared" si="835"/>
        <v>-2.2949511075633606E-2</v>
      </c>
      <c r="J240" s="19">
        <f t="shared" si="835"/>
        <v>-8.0481302687513509E-2</v>
      </c>
      <c r="K240" s="199">
        <f t="shared" si="835"/>
        <v>-8.0481302687513509E-2</v>
      </c>
      <c r="L240" s="19">
        <f t="shared" si="835"/>
        <v>-0.10631659056316591</v>
      </c>
      <c r="M240" s="19">
        <f t="shared" si="835"/>
        <v>-0.11271226047670976</v>
      </c>
      <c r="N240" s="19">
        <f t="shared" si="835"/>
        <v>-0.10007776049766719</v>
      </c>
      <c r="O240" s="19">
        <f t="shared" si="835"/>
        <v>-6.7944381811349111E-2</v>
      </c>
      <c r="P240" s="199">
        <f t="shared" si="835"/>
        <v>-6.7944381811349111E-2</v>
      </c>
      <c r="Q240" s="19">
        <f t="shared" ref="Q240:AO240" si="836">Q224/Q$216</f>
        <v>-7.4941977989069403E-2</v>
      </c>
      <c r="R240" s="19">
        <f t="shared" si="836"/>
        <v>-8.3354814253222123E-2</v>
      </c>
      <c r="S240" s="19">
        <f t="shared" si="836"/>
        <v>-7.4657534246575327E-2</v>
      </c>
      <c r="T240" s="19">
        <f t="shared" si="836"/>
        <v>-6.8364278734120112E-2</v>
      </c>
      <c r="U240" s="199">
        <f t="shared" si="836"/>
        <v>-6.8364278734120182E-2</v>
      </c>
      <c r="V240" s="19">
        <f t="shared" si="836"/>
        <v>-5.8890838634203392E-2</v>
      </c>
      <c r="W240" s="19">
        <f t="shared" si="836"/>
        <v>-5.0729188472542042E-2</v>
      </c>
      <c r="X240" s="19">
        <f t="shared" si="836"/>
        <v>-6.8771596991666101E-2</v>
      </c>
      <c r="Y240" s="19">
        <f t="shared" si="836"/>
        <v>-9.6750902527075813E-2</v>
      </c>
      <c r="Z240" s="199">
        <f t="shared" si="836"/>
        <v>-9.6750902527075813E-2</v>
      </c>
      <c r="AA240" s="19">
        <f t="shared" si="836"/>
        <v>-9.8482381293558269E-2</v>
      </c>
      <c r="AB240" s="19">
        <f t="shared" si="836"/>
        <v>-9.1224240867946338E-2</v>
      </c>
      <c r="AC240" s="19">
        <f t="shared" si="836"/>
        <v>-7.5807059414646397E-2</v>
      </c>
      <c r="AD240" s="19">
        <f t="shared" si="836"/>
        <v>-6.8741893644617386E-2</v>
      </c>
      <c r="AE240" s="199">
        <f t="shared" si="836"/>
        <v>-6.8741893644617386E-2</v>
      </c>
      <c r="AF240" s="19">
        <f t="shared" si="836"/>
        <v>-7.1734606438976625E-2</v>
      </c>
      <c r="AG240" s="19">
        <f t="shared" si="836"/>
        <v>-4.557831182668403E-2</v>
      </c>
      <c r="AH240" s="19">
        <f t="shared" si="836"/>
        <v>-2.5646910321877332E-2</v>
      </c>
      <c r="AI240" s="19">
        <f t="shared" si="836"/>
        <v>3.3082363677846222E-3</v>
      </c>
      <c r="AJ240" s="199">
        <f t="shared" si="836"/>
        <v>3.3082363677846222E-3</v>
      </c>
      <c r="AK240" s="19">
        <f t="shared" si="836"/>
        <v>3.8823071361032316E-2</v>
      </c>
      <c r="AL240" s="19">
        <f t="shared" si="836"/>
        <v>4.6104928457869634E-2</v>
      </c>
      <c r="AM240" s="19">
        <f t="shared" si="836"/>
        <v>6.0159213549179892E-2</v>
      </c>
      <c r="AN240" s="19">
        <f t="shared" si="836"/>
        <v>5.8369009084264387E-2</v>
      </c>
      <c r="AO240" s="199">
        <f t="shared" si="836"/>
        <v>5.8369009084264387E-2</v>
      </c>
      <c r="AP240" s="341"/>
      <c r="AQ240" s="19"/>
      <c r="AR240" s="19"/>
      <c r="AS240" s="19"/>
      <c r="AT240" s="199"/>
      <c r="AU240" s="19">
        <f t="shared" ref="AU240:BX240" si="837">AU224/AU$216</f>
        <v>-1.1309341165125148E-2</v>
      </c>
      <c r="AV240" s="19">
        <f t="shared" si="837"/>
        <v>-9.0029259509340535E-4</v>
      </c>
      <c r="AW240" s="19">
        <f t="shared" si="837"/>
        <v>6.2814472967342881E-3</v>
      </c>
      <c r="AX240" s="19">
        <f t="shared" si="837"/>
        <v>1.4582361175921605E-3</v>
      </c>
      <c r="AY240" s="199">
        <f t="shared" si="837"/>
        <v>1.4582361175921605E-3</v>
      </c>
      <c r="AZ240" s="341">
        <f t="shared" si="837"/>
        <v>-2.2375423318819546E-3</v>
      </c>
      <c r="BA240" s="19">
        <f t="shared" si="837"/>
        <v>-8.16550477665892E-3</v>
      </c>
      <c r="BB240" s="19">
        <f t="shared" si="837"/>
        <v>-4.6854544201750158E-3</v>
      </c>
      <c r="BC240" s="19">
        <f t="shared" si="837"/>
        <v>3.0288992623739444E-3</v>
      </c>
      <c r="BD240" s="199">
        <f t="shared" si="837"/>
        <v>3.0288992623739444E-3</v>
      </c>
      <c r="BE240" s="341">
        <f t="shared" si="837"/>
        <v>2.0866546214617209E-2</v>
      </c>
      <c r="BF240" s="19">
        <f t="shared" si="837"/>
        <v>4.9806328002052029E-2</v>
      </c>
      <c r="BG240" s="19">
        <f t="shared" si="837"/>
        <v>7.6047428980347109E-2</v>
      </c>
      <c r="BH240" s="19">
        <f t="shared" si="837"/>
        <v>8.3988504509202616E-2</v>
      </c>
      <c r="BI240" s="199">
        <f t="shared" si="837"/>
        <v>8.3988504509202616E-2</v>
      </c>
      <c r="BJ240" s="341">
        <f t="shared" si="837"/>
        <v>7.4448935293191715E-2</v>
      </c>
      <c r="BK240" s="19">
        <f t="shared" si="837"/>
        <v>6.3408543654686525E-2</v>
      </c>
      <c r="BL240" s="19">
        <f t="shared" si="837"/>
        <v>5.7817707578611793E-2</v>
      </c>
      <c r="BM240" s="19">
        <f t="shared" si="837"/>
        <v>6.3875836537092417E-2</v>
      </c>
      <c r="BN240" s="341">
        <f t="shared" si="837"/>
        <v>6.3875836537092417E-2</v>
      </c>
      <c r="BO240" s="341">
        <f t="shared" si="837"/>
        <v>7.1993516111902967E-2</v>
      </c>
      <c r="BP240" s="19">
        <f t="shared" si="837"/>
        <v>7.7777777777777779E-2</v>
      </c>
      <c r="BQ240" s="19">
        <f t="shared" si="837"/>
        <v>7.6068774508459697E-2</v>
      </c>
      <c r="BR240" s="19">
        <f t="shared" si="837"/>
        <v>7.0929915462230708E-2</v>
      </c>
      <c r="BS240" s="199">
        <f t="shared" si="837"/>
        <v>7.0929915462230708E-2</v>
      </c>
      <c r="BT240" s="341">
        <f>BT224/BT$216</f>
        <v>7.296569360938053E-2</v>
      </c>
      <c r="BU240" s="19">
        <f t="shared" si="837"/>
        <v>7.8051834912338011E-2</v>
      </c>
      <c r="BV240" s="19">
        <f t="shared" si="837"/>
        <v>8.6704737392423389E-2</v>
      </c>
      <c r="BW240" s="19">
        <f t="shared" si="837"/>
        <v>9.3347099780266327E-2</v>
      </c>
      <c r="BX240" s="199">
        <f t="shared" si="837"/>
        <v>9.3347099780266327E-2</v>
      </c>
      <c r="BY240" s="341">
        <f t="shared" ref="BY240:CH240" si="838">BY224/BY$216</f>
        <v>0.10288302914451805</v>
      </c>
      <c r="BZ240" s="19">
        <f t="shared" si="838"/>
        <v>0.11416003887169783</v>
      </c>
      <c r="CA240" s="19">
        <f t="shared" si="838"/>
        <v>0.12143449523761654</v>
      </c>
      <c r="CB240" s="19">
        <f t="shared" si="838"/>
        <v>0.13051880481641148</v>
      </c>
      <c r="CC240" s="199">
        <f t="shared" si="838"/>
        <v>0.13051880481641148</v>
      </c>
      <c r="CD240" s="341">
        <f t="shared" si="838"/>
        <v>0.13185090855659498</v>
      </c>
      <c r="CE240" s="19">
        <f t="shared" si="838"/>
        <v>0.135752688172043</v>
      </c>
      <c r="CF240" s="19">
        <f t="shared" si="838"/>
        <v>0.14969766701755244</v>
      </c>
      <c r="CG240" s="19">
        <f t="shared" si="838"/>
        <v>0.1605738993710692</v>
      </c>
      <c r="CH240" s="199">
        <f t="shared" si="838"/>
        <v>0.1605738993710692</v>
      </c>
      <c r="CI240" s="341">
        <f t="shared" ref="CI240:CM241" si="839">CI224/CI$216</f>
        <v>0.18271008455148274</v>
      </c>
      <c r="CJ240" s="19">
        <f t="shared" si="839"/>
        <v>0.18455851340958146</v>
      </c>
      <c r="CK240" s="19">
        <f t="shared" si="839"/>
        <v>0.17939671899805962</v>
      </c>
      <c r="CL240" s="19">
        <f t="shared" si="839"/>
        <v>0.16403037412649157</v>
      </c>
      <c r="CM240" s="199">
        <f t="shared" si="839"/>
        <v>0.16403037412649157</v>
      </c>
      <c r="CN240" s="341">
        <f t="shared" ref="CN240:CP240" si="840">CN224/CN$216</f>
        <v>0.14609469850263052</v>
      </c>
      <c r="CO240" s="19">
        <f t="shared" si="840"/>
        <v>0.14909729187562687</v>
      </c>
      <c r="CP240" s="19">
        <f t="shared" si="840"/>
        <v>0.14135996242924587</v>
      </c>
      <c r="CQ240" s="19">
        <f t="shared" ref="CQ240:CX240" si="841">CQ224/CQ$216</f>
        <v>0.14193579672194742</v>
      </c>
      <c r="CR240" s="199">
        <f>CR224/CR$216</f>
        <v>0.14193579672194742</v>
      </c>
      <c r="CS240" s="341">
        <f t="shared" ref="CS240:CV240" si="842">CS224/CS$216</f>
        <v>0.14099572150914041</v>
      </c>
      <c r="CT240" s="19">
        <f t="shared" si="842"/>
        <v>0.14025329882266935</v>
      </c>
      <c r="CU240" s="19">
        <f t="shared" si="842"/>
        <v>0.14029177814581917</v>
      </c>
      <c r="CV240" s="19">
        <f t="shared" si="842"/>
        <v>0.14043427840148062</v>
      </c>
      <c r="CW240" s="199">
        <f>CW224/CW$216</f>
        <v>0.14043427840148062</v>
      </c>
      <c r="CX240" s="19">
        <f t="shared" si="841"/>
        <v>0.13614967384291893</v>
      </c>
      <c r="CY240" s="19">
        <f t="shared" ref="CY240:DA240" si="843">CY224/CY$216</f>
        <v>0.12934931456322654</v>
      </c>
      <c r="CZ240" s="19">
        <f t="shared" si="843"/>
        <v>0.12635283333180894</v>
      </c>
      <c r="DA240" s="19">
        <f t="shared" si="843"/>
        <v>0.13053348742351875</v>
      </c>
      <c r="DB240" s="199">
        <f>DB224/DB$216</f>
        <v>0.13053348742351875</v>
      </c>
      <c r="DC240" s="19"/>
      <c r="DD240" s="19"/>
      <c r="DE240" s="19"/>
      <c r="DF240" s="19"/>
      <c r="DG240" s="199">
        <f>DG224/DG$216</f>
        <v>0.13703845746471516</v>
      </c>
      <c r="DH240" s="19"/>
      <c r="DI240" s="19"/>
      <c r="DJ240" s="19"/>
      <c r="DK240" s="19"/>
      <c r="DL240" s="199">
        <f>DL224/DL$216</f>
        <v>0.14327528710743953</v>
      </c>
      <c r="DM240" s="110"/>
      <c r="DN240" s="540"/>
      <c r="DO240" s="486"/>
      <c r="DP240" s="411"/>
      <c r="DQ240" s="411"/>
      <c r="DR240" s="411"/>
      <c r="DS240" s="570"/>
      <c r="DT240" s="561"/>
      <c r="DU240" s="457"/>
      <c r="DV240" s="463"/>
      <c r="DW240" s="460"/>
      <c r="DX240" s="460"/>
      <c r="DY240" s="460"/>
      <c r="DZ240" s="808"/>
      <c r="EA240" s="540"/>
      <c r="EH240" s="8"/>
    </row>
    <row r="241" spans="1:138" ht="12.75" hidden="1" customHeight="1" x14ac:dyDescent="0.2">
      <c r="A241" s="110" t="s">
        <v>131</v>
      </c>
      <c r="B241" s="19"/>
      <c r="C241" s="19"/>
      <c r="D241" s="19"/>
      <c r="E241" s="19"/>
      <c r="F241" s="199">
        <f>F225/F$216</f>
        <v>0.21940325174200465</v>
      </c>
      <c r="G241" s="19">
        <f t="shared" ref="G241:BD243" si="844">G225/G$216</f>
        <v>0.19456606489533976</v>
      </c>
      <c r="H241" s="19">
        <f t="shared" si="844"/>
        <v>0.15819774718397997</v>
      </c>
      <c r="I241" s="19">
        <f t="shared" si="844"/>
        <v>0.11168762056808355</v>
      </c>
      <c r="J241" s="19">
        <f t="shared" si="844"/>
        <v>6.5062324374954975E-2</v>
      </c>
      <c r="K241" s="199">
        <f t="shared" si="844"/>
        <v>6.5062324374954975E-2</v>
      </c>
      <c r="L241" s="19">
        <f t="shared" si="844"/>
        <v>4.3378995433789952E-2</v>
      </c>
      <c r="M241" s="19">
        <f t="shared" si="844"/>
        <v>3.6843745131640446E-2</v>
      </c>
      <c r="N241" s="19">
        <f t="shared" si="844"/>
        <v>4.6345256609642303E-2</v>
      </c>
      <c r="O241" s="19">
        <f t="shared" si="844"/>
        <v>7.1627207816610292E-2</v>
      </c>
      <c r="P241" s="199">
        <f t="shared" si="844"/>
        <v>7.1627207816610292E-2</v>
      </c>
      <c r="Q241" s="19">
        <f t="shared" si="844"/>
        <v>6.5733323351051878E-2</v>
      </c>
      <c r="R241" s="19">
        <f t="shared" si="844"/>
        <v>5.9708112206216843E-2</v>
      </c>
      <c r="S241" s="19">
        <f t="shared" si="844"/>
        <v>6.9367289790358E-2</v>
      </c>
      <c r="T241" s="19">
        <f t="shared" si="844"/>
        <v>7.6640607381793596E-2</v>
      </c>
      <c r="U241" s="199">
        <f t="shared" si="844"/>
        <v>7.6640607381793527E-2</v>
      </c>
      <c r="V241" s="19">
        <f t="shared" si="844"/>
        <v>8.2660671199824537E-2</v>
      </c>
      <c r="W241" s="19">
        <f t="shared" si="844"/>
        <v>8.5409252669039148E-2</v>
      </c>
      <c r="X241" s="19">
        <f t="shared" si="844"/>
        <v>6.4231994037536419E-2</v>
      </c>
      <c r="Y241" s="19">
        <f t="shared" si="844"/>
        <v>3.1900229734164752E-2</v>
      </c>
      <c r="Z241" s="199">
        <f t="shared" si="844"/>
        <v>3.1900229734164752E-2</v>
      </c>
      <c r="AA241" s="19">
        <f t="shared" si="844"/>
        <v>2.7095681625740897E-2</v>
      </c>
      <c r="AB241" s="19">
        <f t="shared" si="844"/>
        <v>3.1520831995891375E-2</v>
      </c>
      <c r="AC241" s="19">
        <f t="shared" si="844"/>
        <v>4.2142946865971614E-2</v>
      </c>
      <c r="AD241" s="19">
        <f t="shared" si="844"/>
        <v>4.3295658081650298E-2</v>
      </c>
      <c r="AE241" s="199">
        <f t="shared" si="844"/>
        <v>4.3295658081650298E-2</v>
      </c>
      <c r="AF241" s="19">
        <f t="shared" si="844"/>
        <v>3.5622475211164156E-2</v>
      </c>
      <c r="AG241" s="19">
        <f t="shared" si="844"/>
        <v>5.3154966260210726E-2</v>
      </c>
      <c r="AH241" s="19">
        <f t="shared" si="844"/>
        <v>6.4604968730277129E-2</v>
      </c>
      <c r="AI241" s="19">
        <f t="shared" si="844"/>
        <v>9.4113620807665985E-2</v>
      </c>
      <c r="AJ241" s="199">
        <f t="shared" si="844"/>
        <v>9.4113620807665985E-2</v>
      </c>
      <c r="AK241" s="19">
        <f t="shared" si="844"/>
        <v>0.12542410590132932</v>
      </c>
      <c r="AL241" s="19">
        <f t="shared" si="844"/>
        <v>0.12888547776985912</v>
      </c>
      <c r="AM241" s="19">
        <f t="shared" si="844"/>
        <v>0.14051397125607737</v>
      </c>
      <c r="AN241" s="19">
        <f t="shared" si="844"/>
        <v>0.1319828756395531</v>
      </c>
      <c r="AO241" s="199">
        <f t="shared" si="844"/>
        <v>0.1319828756395531</v>
      </c>
      <c r="AP241" s="341"/>
      <c r="AQ241" s="19"/>
      <c r="AR241" s="19"/>
      <c r="AS241" s="19"/>
      <c r="AT241" s="199"/>
      <c r="AU241" s="19">
        <f t="shared" si="844"/>
        <v>1.2624380835488537E-2</v>
      </c>
      <c r="AV241" s="19">
        <f t="shared" si="844"/>
        <v>4.8255683097006528E-2</v>
      </c>
      <c r="AW241" s="19">
        <f t="shared" si="844"/>
        <v>5.8648206903182384E-2</v>
      </c>
      <c r="AX241" s="19">
        <f t="shared" si="844"/>
        <v>6.4745683621091926E-2</v>
      </c>
      <c r="AY241" s="199">
        <f t="shared" si="844"/>
        <v>6.4745683621091926E-2</v>
      </c>
      <c r="AZ241" s="341">
        <f t="shared" si="844"/>
        <v>6.2137155297532658E-2</v>
      </c>
      <c r="BA241" s="19">
        <f t="shared" si="844"/>
        <v>5.9127291505293056E-2</v>
      </c>
      <c r="BB241" s="19">
        <f t="shared" si="844"/>
        <v>6.5975332460552608E-2</v>
      </c>
      <c r="BC241" s="19">
        <f t="shared" si="844"/>
        <v>7.4867262944090088E-2</v>
      </c>
      <c r="BD241" s="199">
        <f t="shared" si="844"/>
        <v>7.4867262944090088E-2</v>
      </c>
      <c r="BE241" s="341">
        <f t="shared" ref="BE241:BI245" si="845">BE225/BE$216</f>
        <v>9.2004109540510859E-2</v>
      </c>
      <c r="BF241" s="19">
        <f t="shared" si="845"/>
        <v>0.11736870072726505</v>
      </c>
      <c r="BG241" s="19">
        <f t="shared" si="845"/>
        <v>0.13925617122062092</v>
      </c>
      <c r="BH241" s="19">
        <f t="shared" si="845"/>
        <v>0.14375850651833125</v>
      </c>
      <c r="BI241" s="199">
        <f t="shared" si="845"/>
        <v>0.14375850651833125</v>
      </c>
      <c r="BJ241" s="341">
        <f t="shared" ref="BJ241:BN245" si="846">BJ225/BJ$216</f>
        <v>0.13125657268958285</v>
      </c>
      <c r="BK241" s="19">
        <f t="shared" si="846"/>
        <v>0.11780968518683671</v>
      </c>
      <c r="BL241" s="19">
        <f t="shared" si="846"/>
        <v>0.11053470511520069</v>
      </c>
      <c r="BM241" s="19">
        <f t="shared" si="846"/>
        <v>0.1157340168019365</v>
      </c>
      <c r="BN241" s="341">
        <f t="shared" si="846"/>
        <v>0.1157340168019365</v>
      </c>
      <c r="BO241" s="341">
        <f t="shared" ref="BO241:BR247" si="847">BO225/BO$216</f>
        <v>0.12308208266957324</v>
      </c>
      <c r="BP241" s="19">
        <f t="shared" si="847"/>
        <v>0.12808030803080309</v>
      </c>
      <c r="BQ241" s="19">
        <f t="shared" si="847"/>
        <v>0.12625113115967862</v>
      </c>
      <c r="BR241" s="19">
        <f t="shared" si="847"/>
        <v>0.12102536133078812</v>
      </c>
      <c r="BS241" s="199">
        <f t="shared" ref="BS241:BT247" si="848">BS225/BS$216</f>
        <v>0.12102536133078812</v>
      </c>
      <c r="BT241" s="341">
        <f t="shared" si="848"/>
        <v>0.12305139157167343</v>
      </c>
      <c r="BU241" s="19">
        <f t="shared" ref="BU241:BW247" si="849">BU225/BU$216</f>
        <v>0.12855276053577264</v>
      </c>
      <c r="BV241" s="19">
        <f t="shared" si="849"/>
        <v>0.13665245717043353</v>
      </c>
      <c r="BW241" s="19">
        <f t="shared" si="849"/>
        <v>0.14277393905699839</v>
      </c>
      <c r="BX241" s="199">
        <f t="shared" ref="BX241:CB247" si="850">BX225/BX$216</f>
        <v>0.14277393905699839</v>
      </c>
      <c r="BY241" s="341">
        <f t="shared" si="850"/>
        <v>0.15250464793526933</v>
      </c>
      <c r="BZ241" s="19">
        <f t="shared" si="850"/>
        <v>0.16356801268444876</v>
      </c>
      <c r="CA241" s="19">
        <f t="shared" si="850"/>
        <v>0.17099344072780276</v>
      </c>
      <c r="CB241" s="19">
        <f t="shared" si="850"/>
        <v>0.18016946632971606</v>
      </c>
      <c r="CC241" s="199">
        <f t="shared" ref="CC241:CG247" si="851">CC225/CC$216</f>
        <v>0.18016946632971606</v>
      </c>
      <c r="CD241" s="341">
        <f t="shared" si="851"/>
        <v>0.18183376597933096</v>
      </c>
      <c r="CE241" s="19">
        <f t="shared" si="851"/>
        <v>0.18565493646138809</v>
      </c>
      <c r="CF241" s="19">
        <f t="shared" si="851"/>
        <v>0.20027418051849494</v>
      </c>
      <c r="CG241" s="19">
        <f t="shared" si="851"/>
        <v>0.21179736635220126</v>
      </c>
      <c r="CH241" s="199">
        <f>CH225/CH$216</f>
        <v>0.21179736635220126</v>
      </c>
      <c r="CI241" s="341">
        <f t="shared" si="839"/>
        <v>0.23464885251559148</v>
      </c>
      <c r="CJ241" s="19">
        <f t="shared" si="839"/>
        <v>0.23752698042523632</v>
      </c>
      <c r="CK241" s="19">
        <f t="shared" si="839"/>
        <v>0.23362648993271679</v>
      </c>
      <c r="CL241" s="19">
        <f t="shared" si="839"/>
        <v>0.21920330987159112</v>
      </c>
      <c r="CM241" s="199">
        <f t="shared" si="839"/>
        <v>0.21920330987159112</v>
      </c>
      <c r="CN241" s="341">
        <f t="shared" ref="CN241:CP241" si="852">CN225/CN$216</f>
        <v>0.20323249696479159</v>
      </c>
      <c r="CO241" s="19">
        <f t="shared" si="852"/>
        <v>0.20787362086258776</v>
      </c>
      <c r="CP241" s="19">
        <f t="shared" si="852"/>
        <v>0.20218997948439082</v>
      </c>
      <c r="CQ241" s="19">
        <f t="shared" ref="CQ241:CX241" si="853">CQ225/CQ$216</f>
        <v>0.20463582581708856</v>
      </c>
      <c r="CR241" s="199">
        <f t="shared" ref="CR241:CV247" si="854">CR225/CR$216</f>
        <v>0.20463582581708856</v>
      </c>
      <c r="CS241" s="341">
        <f t="shared" si="854"/>
        <v>0.2037874367950214</v>
      </c>
      <c r="CT241" s="19">
        <f t="shared" si="854"/>
        <v>0.20311622160050463</v>
      </c>
      <c r="CU241" s="19">
        <f t="shared" si="854"/>
        <v>0.20327393577977354</v>
      </c>
      <c r="CV241" s="19">
        <f t="shared" si="854"/>
        <v>0.20374904944178371</v>
      </c>
      <c r="CW241" s="199">
        <f t="shared" ref="CW241" si="855">CW225/CW$216</f>
        <v>0.20374904944178371</v>
      </c>
      <c r="CX241" s="19">
        <f t="shared" si="853"/>
        <v>0.19985185539174691</v>
      </c>
      <c r="CY241" s="19">
        <f t="shared" ref="CY241:DA241" si="856">CY225/CY$216</f>
        <v>0.19376298892060839</v>
      </c>
      <c r="CZ241" s="19">
        <f t="shared" si="856"/>
        <v>0.1909313341737853</v>
      </c>
      <c r="DA241" s="19">
        <f t="shared" si="856"/>
        <v>0.19530779383511662</v>
      </c>
      <c r="DB241" s="199">
        <f t="shared" ref="DB241:DB247" si="857">DB225/DB$216</f>
        <v>0.19530779383511662</v>
      </c>
      <c r="DC241" s="19"/>
      <c r="DD241" s="19"/>
      <c r="DE241" s="19"/>
      <c r="DF241" s="19"/>
      <c r="DG241" s="199">
        <f t="shared" ref="DG241:DG247" si="858">DG225/DG$216</f>
        <v>0.20194936313110518</v>
      </c>
      <c r="DH241" s="19"/>
      <c r="DI241" s="19"/>
      <c r="DJ241" s="19"/>
      <c r="DK241" s="19"/>
      <c r="DL241" s="199">
        <f t="shared" ref="DL241:DL247" si="859">DL225/DL$216</f>
        <v>0.20780935842279868</v>
      </c>
      <c r="DM241" s="110"/>
      <c r="DN241" s="540"/>
      <c r="DO241" s="486"/>
      <c r="DP241" s="411"/>
      <c r="DQ241" s="411"/>
      <c r="DR241" s="411"/>
      <c r="DS241" s="570"/>
      <c r="DT241" s="561"/>
      <c r="DU241" s="457"/>
      <c r="DV241" s="463"/>
      <c r="DW241" s="460"/>
      <c r="DX241" s="460"/>
      <c r="DY241" s="460"/>
      <c r="DZ241" s="808"/>
      <c r="EA241" s="540"/>
      <c r="EH241" s="8"/>
    </row>
    <row r="242" spans="1:138" ht="12.75" hidden="1" customHeight="1" x14ac:dyDescent="0.2">
      <c r="A242" s="110" t="s">
        <v>132</v>
      </c>
      <c r="B242" s="19"/>
      <c r="C242" s="19"/>
      <c r="D242" s="19"/>
      <c r="E242" s="19"/>
      <c r="F242" s="199" t="e">
        <f>F226/F$216</f>
        <v>#REF!</v>
      </c>
      <c r="G242" s="19" t="e">
        <f t="shared" si="844"/>
        <v>#REF!</v>
      </c>
      <c r="H242" s="19" t="e">
        <f t="shared" si="844"/>
        <v>#REF!</v>
      </c>
      <c r="I242" s="19" t="e">
        <f t="shared" si="844"/>
        <v>#REF!</v>
      </c>
      <c r="J242" s="19" t="e">
        <f t="shared" si="844"/>
        <v>#REF!</v>
      </c>
      <c r="K242" s="199" t="e">
        <f t="shared" si="844"/>
        <v>#REF!</v>
      </c>
      <c r="L242" s="19" t="e">
        <f t="shared" si="844"/>
        <v>#REF!</v>
      </c>
      <c r="M242" s="19" t="e">
        <f t="shared" si="844"/>
        <v>#REF!</v>
      </c>
      <c r="N242" s="19" t="e">
        <f t="shared" si="844"/>
        <v>#REF!</v>
      </c>
      <c r="O242" s="19" t="e">
        <f t="shared" si="844"/>
        <v>#REF!</v>
      </c>
      <c r="P242" s="199" t="e">
        <f t="shared" si="844"/>
        <v>#REF!</v>
      </c>
      <c r="Q242" s="19" t="e">
        <f t="shared" si="844"/>
        <v>#REF!</v>
      </c>
      <c r="R242" s="19" t="e">
        <f t="shared" si="844"/>
        <v>#REF!</v>
      </c>
      <c r="S242" s="19" t="e">
        <f t="shared" si="844"/>
        <v>#REF!</v>
      </c>
      <c r="T242" s="19" t="e">
        <f t="shared" si="844"/>
        <v>#REF!</v>
      </c>
      <c r="U242" s="199" t="e">
        <f t="shared" si="844"/>
        <v>#REF!</v>
      </c>
      <c r="V242" s="19" t="e">
        <f t="shared" si="844"/>
        <v>#REF!</v>
      </c>
      <c r="W242" s="19" t="e">
        <f t="shared" si="844"/>
        <v>#REF!</v>
      </c>
      <c r="X242" s="19" t="e">
        <f t="shared" si="844"/>
        <v>#REF!</v>
      </c>
      <c r="Y242" s="19" t="e">
        <f t="shared" si="844"/>
        <v>#REF!</v>
      </c>
      <c r="Z242" s="199" t="e">
        <f t="shared" si="844"/>
        <v>#REF!</v>
      </c>
      <c r="AA242" s="19" t="e">
        <f t="shared" si="844"/>
        <v>#REF!</v>
      </c>
      <c r="AB242" s="19" t="e">
        <f t="shared" si="844"/>
        <v>#REF!</v>
      </c>
      <c r="AC242" s="19" t="e">
        <f t="shared" si="844"/>
        <v>#REF!</v>
      </c>
      <c r="AD242" s="19" t="e">
        <f t="shared" si="844"/>
        <v>#REF!</v>
      </c>
      <c r="AE242" s="199" t="e">
        <f t="shared" si="844"/>
        <v>#REF!</v>
      </c>
      <c r="AF242" s="19" t="e">
        <f t="shared" si="844"/>
        <v>#REF!</v>
      </c>
      <c r="AG242" s="19" t="e">
        <f t="shared" si="844"/>
        <v>#REF!</v>
      </c>
      <c r="AH242" s="19" t="e">
        <f t="shared" si="844"/>
        <v>#REF!</v>
      </c>
      <c r="AI242" s="19" t="e">
        <f t="shared" si="844"/>
        <v>#REF!</v>
      </c>
      <c r="AJ242" s="199" t="e">
        <f t="shared" si="844"/>
        <v>#REF!</v>
      </c>
      <c r="AK242" s="19" t="e">
        <f t="shared" si="844"/>
        <v>#REF!</v>
      </c>
      <c r="AL242" s="19" t="e">
        <f t="shared" si="844"/>
        <v>#REF!</v>
      </c>
      <c r="AM242" s="19" t="e">
        <f t="shared" si="844"/>
        <v>#REF!</v>
      </c>
      <c r="AN242" s="19" t="e">
        <f t="shared" si="844"/>
        <v>#REF!</v>
      </c>
      <c r="AO242" s="199" t="e">
        <f t="shared" si="844"/>
        <v>#REF!</v>
      </c>
      <c r="AP242" s="341"/>
      <c r="AQ242" s="19"/>
      <c r="AR242" s="19"/>
      <c r="AS242" s="19"/>
      <c r="AT242" s="199"/>
      <c r="AU242" s="19" t="e">
        <f t="shared" si="844"/>
        <v>#REF!</v>
      </c>
      <c r="AV242" s="19" t="e">
        <f t="shared" si="844"/>
        <v>#REF!</v>
      </c>
      <c r="AW242" s="19" t="e">
        <f t="shared" si="844"/>
        <v>#REF!</v>
      </c>
      <c r="AX242" s="19" t="e">
        <f t="shared" si="844"/>
        <v>#REF!</v>
      </c>
      <c r="AY242" s="199"/>
      <c r="AZ242" s="341"/>
      <c r="BA242" s="19"/>
      <c r="BB242" s="19"/>
      <c r="BC242" s="19"/>
      <c r="BD242" s="199"/>
      <c r="BE242" s="341"/>
      <c r="BF242" s="19"/>
      <c r="BG242" s="19"/>
      <c r="BH242" s="19"/>
      <c r="BI242" s="199"/>
      <c r="BJ242" s="341"/>
      <c r="BK242" s="19"/>
      <c r="BL242" s="19"/>
      <c r="BM242" s="19"/>
      <c r="BN242" s="341"/>
      <c r="BO242" s="341"/>
      <c r="BP242" s="19"/>
      <c r="BQ242" s="19"/>
      <c r="BR242" s="19"/>
      <c r="BS242" s="199"/>
      <c r="BT242" s="341"/>
      <c r="BU242" s="19"/>
      <c r="BV242" s="19"/>
      <c r="BW242" s="19"/>
      <c r="BX242" s="199"/>
      <c r="BY242" s="341"/>
      <c r="BZ242" s="19"/>
      <c r="CA242" s="19"/>
      <c r="CB242" s="19"/>
      <c r="CC242" s="199"/>
      <c r="CD242" s="341"/>
      <c r="CE242" s="19"/>
      <c r="CF242" s="19"/>
      <c r="CG242" s="19"/>
      <c r="CH242" s="199"/>
      <c r="CI242" s="341"/>
      <c r="CJ242" s="19"/>
      <c r="CK242" s="19"/>
      <c r="CL242" s="19"/>
      <c r="CM242" s="199"/>
      <c r="CN242" s="341"/>
      <c r="CO242" s="19"/>
      <c r="CP242" s="19"/>
      <c r="CQ242" s="19"/>
      <c r="CR242" s="199"/>
      <c r="CS242" s="341"/>
      <c r="CT242" s="19"/>
      <c r="CU242" s="19"/>
      <c r="CV242" s="19"/>
      <c r="CW242" s="199"/>
      <c r="CX242" s="19"/>
      <c r="CY242" s="19"/>
      <c r="CZ242" s="19"/>
      <c r="DA242" s="19"/>
      <c r="DB242" s="199"/>
      <c r="DC242" s="19"/>
      <c r="DD242" s="19"/>
      <c r="DE242" s="19"/>
      <c r="DF242" s="19"/>
      <c r="DG242" s="199"/>
      <c r="DH242" s="19"/>
      <c r="DI242" s="19"/>
      <c r="DJ242" s="19"/>
      <c r="DK242" s="19"/>
      <c r="DL242" s="199"/>
      <c r="DM242" s="110"/>
      <c r="DN242" s="540"/>
      <c r="DO242" s="486"/>
      <c r="DP242" s="411"/>
      <c r="DQ242" s="411"/>
      <c r="DR242" s="411"/>
      <c r="DS242" s="570"/>
      <c r="DT242" s="561"/>
      <c r="DU242" s="457"/>
      <c r="DV242" s="463"/>
      <c r="DW242" s="460"/>
      <c r="DX242" s="460"/>
      <c r="DY242" s="460"/>
      <c r="DZ242" s="808"/>
      <c r="EA242" s="540"/>
      <c r="EH242" s="8"/>
    </row>
    <row r="243" spans="1:138" ht="12.75" hidden="1" customHeight="1" x14ac:dyDescent="0.2">
      <c r="A243" s="110" t="s">
        <v>133</v>
      </c>
      <c r="B243" s="19"/>
      <c r="C243" s="19"/>
      <c r="D243" s="19"/>
      <c r="E243" s="19"/>
      <c r="F243" s="199"/>
      <c r="G243" s="19"/>
      <c r="H243" s="19"/>
      <c r="I243" s="19"/>
      <c r="J243" s="19"/>
      <c r="K243" s="199"/>
      <c r="L243" s="19"/>
      <c r="M243" s="19"/>
      <c r="N243" s="19"/>
      <c r="O243" s="19"/>
      <c r="P243" s="199"/>
      <c r="Q243" s="19"/>
      <c r="R243" s="19"/>
      <c r="S243" s="19"/>
      <c r="T243" s="19"/>
      <c r="U243" s="199"/>
      <c r="V243" s="19">
        <f t="shared" si="844"/>
        <v>0</v>
      </c>
      <c r="W243" s="19">
        <f t="shared" si="844"/>
        <v>0</v>
      </c>
      <c r="X243" s="19">
        <f t="shared" si="844"/>
        <v>0</v>
      </c>
      <c r="Y243" s="19">
        <f t="shared" si="844"/>
        <v>2.4286183130948474E-3</v>
      </c>
      <c r="Z243" s="199">
        <f t="shared" si="844"/>
        <v>2.4286183130948474E-3</v>
      </c>
      <c r="AA243" s="19">
        <f t="shared" si="844"/>
        <v>2.4750863023513319E-3</v>
      </c>
      <c r="AB243" s="19">
        <f t="shared" si="844"/>
        <v>2.8246774090004492E-3</v>
      </c>
      <c r="AC243" s="19">
        <f t="shared" si="844"/>
        <v>3.4543399070468533E-3</v>
      </c>
      <c r="AD243" s="19">
        <f t="shared" si="844"/>
        <v>3.6439997529491694E-3</v>
      </c>
      <c r="AE243" s="199">
        <f t="shared" si="844"/>
        <v>3.6439997529491694E-3</v>
      </c>
      <c r="AF243" s="19">
        <f t="shared" si="844"/>
        <v>3.4887991186191699E-3</v>
      </c>
      <c r="AG243" s="19">
        <f t="shared" si="844"/>
        <v>3.610749378477566E-3</v>
      </c>
      <c r="AH243" s="19">
        <f t="shared" si="844"/>
        <v>3.4425382982385677E-3</v>
      </c>
      <c r="AI243" s="19">
        <f t="shared" si="844"/>
        <v>3.9356605065023953E-3</v>
      </c>
      <c r="AJ243" s="199">
        <f t="shared" si="844"/>
        <v>3.9356605065023953E-3</v>
      </c>
      <c r="AK243" s="19">
        <f t="shared" si="844"/>
        <v>3.7265698870904943E-3</v>
      </c>
      <c r="AL243" s="19">
        <f t="shared" si="844"/>
        <v>4.7146538018748973E-3</v>
      </c>
      <c r="AM243" s="19">
        <f t="shared" si="844"/>
        <v>5.9838649356200244E-3</v>
      </c>
      <c r="AN243" s="19">
        <f t="shared" si="844"/>
        <v>6.6826772475723087E-3</v>
      </c>
      <c r="AO243" s="199">
        <f t="shared" si="844"/>
        <v>6.6826772475723087E-3</v>
      </c>
      <c r="AP243" s="341"/>
      <c r="AQ243" s="19"/>
      <c r="AR243" s="19"/>
      <c r="AS243" s="19"/>
      <c r="AT243" s="199"/>
      <c r="AU243" s="19">
        <f t="shared" si="844"/>
        <v>2.7615833077631177E-3</v>
      </c>
      <c r="AV243" s="19">
        <f t="shared" si="844"/>
        <v>5.0416385325230701E-3</v>
      </c>
      <c r="AW243" s="19">
        <f t="shared" si="844"/>
        <v>4.9354228760055121E-3</v>
      </c>
      <c r="AX243" s="19">
        <f t="shared" si="844"/>
        <v>5.1913205786280918E-3</v>
      </c>
      <c r="AY243" s="199">
        <f t="shared" si="844"/>
        <v>5.1913205786280918E-3</v>
      </c>
      <c r="AZ243" s="341">
        <f t="shared" si="844"/>
        <v>3.7796323173681663E-3</v>
      </c>
      <c r="BA243" s="19">
        <f t="shared" si="844"/>
        <v>2.7433514071778984E-3</v>
      </c>
      <c r="BB243" s="19">
        <f t="shared" si="844"/>
        <v>1.6192379246193068E-3</v>
      </c>
      <c r="BC243" s="19">
        <f t="shared" si="844"/>
        <v>9.6212094216584112E-4</v>
      </c>
      <c r="BD243" s="199">
        <f t="shared" si="844"/>
        <v>9.6212094216584112E-4</v>
      </c>
      <c r="BE243" s="341">
        <f t="shared" si="845"/>
        <v>1.310801714670351E-3</v>
      </c>
      <c r="BF243" s="19">
        <f t="shared" si="845"/>
        <v>1.054598970031019E-3</v>
      </c>
      <c r="BG243" s="19">
        <f t="shared" si="845"/>
        <v>1.1049343116551723E-3</v>
      </c>
      <c r="BH243" s="19">
        <f t="shared" si="845"/>
        <v>1.1021865491672824E-3</v>
      </c>
      <c r="BI243" s="199">
        <f t="shared" si="845"/>
        <v>1.1021865491672824E-3</v>
      </c>
      <c r="BJ243" s="341">
        <f t="shared" si="846"/>
        <v>6.124812657292845E-4</v>
      </c>
      <c r="BK243" s="19">
        <f t="shared" si="846"/>
        <v>5.9454799488688724E-4</v>
      </c>
      <c r="BL243" s="19">
        <f t="shared" si="846"/>
        <v>5.7962614113896539E-4</v>
      </c>
      <c r="BM243" s="19">
        <f t="shared" si="846"/>
        <v>6.4499851365563325E-4</v>
      </c>
      <c r="BN243" s="341">
        <f t="shared" si="846"/>
        <v>6.4499851365563325E-4</v>
      </c>
      <c r="BO243" s="341">
        <f t="shared" si="847"/>
        <v>6.7491469794073763E-4</v>
      </c>
      <c r="BP243" s="19">
        <f t="shared" si="847"/>
        <v>7.6239140204747296E-4</v>
      </c>
      <c r="BQ243" s="19">
        <f t="shared" si="847"/>
        <v>7.8757647677204373E-4</v>
      </c>
      <c r="BR243" s="19">
        <f t="shared" si="847"/>
        <v>7.450057937203726E-4</v>
      </c>
      <c r="BS243" s="199">
        <f t="shared" si="848"/>
        <v>7.450057937203726E-4</v>
      </c>
      <c r="BT243" s="341">
        <f t="shared" si="848"/>
        <v>6.9611827947284137E-4</v>
      </c>
      <c r="BU243" s="19">
        <f t="shared" si="849"/>
        <v>6.8416159106609469E-4</v>
      </c>
      <c r="BV243" s="19">
        <f t="shared" si="849"/>
        <v>6.6410958907852236E-4</v>
      </c>
      <c r="BW243" s="19">
        <f t="shared" si="849"/>
        <v>7.3210522300230698E-4</v>
      </c>
      <c r="BX243" s="199">
        <f t="shared" si="850"/>
        <v>7.3210522300230698E-4</v>
      </c>
      <c r="BY243" s="341">
        <f t="shared" si="850"/>
        <v>8.1657161289570997E-4</v>
      </c>
      <c r="BZ243" s="19">
        <f t="shared" si="850"/>
        <v>8.5963450186854842E-4</v>
      </c>
      <c r="CA243" s="19">
        <f t="shared" si="850"/>
        <v>8.4962092272149864E-4</v>
      </c>
      <c r="CB243" s="19">
        <f t="shared" si="850"/>
        <v>8.0125034319596458E-4</v>
      </c>
      <c r="CC243" s="199">
        <f t="shared" si="851"/>
        <v>8.0125034319596458E-4</v>
      </c>
      <c r="CD243" s="341">
        <f t="shared" si="851"/>
        <v>7.7790176906567139E-4</v>
      </c>
      <c r="CE243" s="19">
        <f t="shared" si="851"/>
        <v>7.655327593726858E-4</v>
      </c>
      <c r="CF243" s="19">
        <f t="shared" si="851"/>
        <v>7.8032684769204169E-4</v>
      </c>
      <c r="CG243" s="19">
        <f t="shared" si="851"/>
        <v>7.8407283798681907E-4</v>
      </c>
      <c r="CH243" s="199">
        <f t="shared" ref="CH243:CM247" si="860">CH227/CH$216</f>
        <v>7.8407283798681907E-4</v>
      </c>
      <c r="CI243" s="341">
        <f t="shared" si="860"/>
        <v>8.171972715020553E-4</v>
      </c>
      <c r="CJ243" s="19">
        <f t="shared" si="860"/>
        <v>8.3447485558938491E-4</v>
      </c>
      <c r="CK243" s="19">
        <f t="shared" si="860"/>
        <v>8.7002667696041284E-4</v>
      </c>
      <c r="CL243" s="19">
        <f t="shared" si="860"/>
        <v>9.1839247051346865E-4</v>
      </c>
      <c r="CM243" s="199">
        <f t="shared" si="860"/>
        <v>9.1839247051346865E-4</v>
      </c>
      <c r="CN243" s="341">
        <f t="shared" ref="CN243:CP243" si="861">CN227/CN$216</f>
        <v>9.4180980145783819E-4</v>
      </c>
      <c r="CO243" s="19">
        <f t="shared" si="861"/>
        <v>9.5242768696804077E-4</v>
      </c>
      <c r="CP243" s="19">
        <f t="shared" si="861"/>
        <v>9.4042967574374699E-4</v>
      </c>
      <c r="CQ243" s="19">
        <f t="shared" ref="CQ243:CX243" si="862">CQ227/CQ$216</f>
        <v>9.1428177270666663E-4</v>
      </c>
      <c r="CR243" s="199">
        <f t="shared" si="854"/>
        <v>9.1428177270666663E-4</v>
      </c>
      <c r="CS243" s="341">
        <f t="shared" si="854"/>
        <v>9.1668216242497466E-4</v>
      </c>
      <c r="CT243" s="19">
        <f t="shared" si="854"/>
        <v>9.1914508066706646E-4</v>
      </c>
      <c r="CU243" s="19">
        <f t="shared" si="854"/>
        <v>9.2196092663012267E-4</v>
      </c>
      <c r="CV243" s="19">
        <f t="shared" si="854"/>
        <v>9.2791051121054232E-4</v>
      </c>
      <c r="CW243" s="199">
        <f t="shared" ref="CW243" si="863">CW227/CW$216</f>
        <v>9.2791051121054232E-4</v>
      </c>
      <c r="CX243" s="19">
        <f t="shared" si="862"/>
        <v>9.0602826649146466E-4</v>
      </c>
      <c r="CY243" s="19">
        <f t="shared" ref="CY243:DA243" si="864">CY227/CY$216</f>
        <v>9.3014244563632592E-4</v>
      </c>
      <c r="CZ243" s="19">
        <f t="shared" si="864"/>
        <v>9.8027920093218682E-4</v>
      </c>
      <c r="DA243" s="19">
        <f t="shared" si="864"/>
        <v>1.0611725948591537E-3</v>
      </c>
      <c r="DB243" s="199">
        <f t="shared" si="857"/>
        <v>1.0611725948591537E-3</v>
      </c>
      <c r="DC243" s="19"/>
      <c r="DD243" s="19"/>
      <c r="DE243" s="19"/>
      <c r="DF243" s="19"/>
      <c r="DG243" s="199">
        <f t="shared" si="858"/>
        <v>8.7091352019143102E-4</v>
      </c>
      <c r="DH243" s="19"/>
      <c r="DI243" s="19"/>
      <c r="DJ243" s="19"/>
      <c r="DK243" s="19"/>
      <c r="DL243" s="199">
        <f t="shared" si="859"/>
        <v>8.4416328401138048E-4</v>
      </c>
      <c r="DM243" s="110"/>
      <c r="DN243" s="540"/>
      <c r="DO243" s="486"/>
      <c r="DP243" s="411"/>
      <c r="DQ243" s="411"/>
      <c r="DR243" s="411"/>
      <c r="DS243" s="570"/>
      <c r="DT243" s="561"/>
      <c r="DU243" s="457"/>
      <c r="DV243" s="463"/>
      <c r="DW243" s="460"/>
      <c r="DX243" s="460"/>
      <c r="DY243" s="460"/>
      <c r="DZ243" s="808"/>
      <c r="EA243" s="540"/>
      <c r="EH243" s="8"/>
    </row>
    <row r="244" spans="1:138" ht="12.75" hidden="1" customHeight="1" x14ac:dyDescent="0.2">
      <c r="A244" s="110" t="s">
        <v>134</v>
      </c>
      <c r="B244" s="19"/>
      <c r="C244" s="19"/>
      <c r="D244" s="19"/>
      <c r="E244" s="19"/>
      <c r="F244" s="199"/>
      <c r="G244" s="19"/>
      <c r="H244" s="19"/>
      <c r="I244" s="19"/>
      <c r="J244" s="19"/>
      <c r="K244" s="199"/>
      <c r="L244" s="19"/>
      <c r="M244" s="19"/>
      <c r="N244" s="19"/>
      <c r="O244" s="19"/>
      <c r="P244" s="199"/>
      <c r="Q244" s="19"/>
      <c r="R244" s="19"/>
      <c r="S244" s="19"/>
      <c r="T244" s="19"/>
      <c r="U244" s="199"/>
      <c r="V244" s="19">
        <f t="shared" ref="V244:AO244" si="865">V228/V$216</f>
        <v>0</v>
      </c>
      <c r="W244" s="19">
        <f t="shared" si="865"/>
        <v>0</v>
      </c>
      <c r="X244" s="19">
        <f t="shared" si="865"/>
        <v>0</v>
      </c>
      <c r="Y244" s="19">
        <f t="shared" si="865"/>
        <v>5.4085986215950115E-2</v>
      </c>
      <c r="Z244" s="199">
        <f t="shared" si="865"/>
        <v>5.4085986215950115E-2</v>
      </c>
      <c r="AA244" s="19">
        <f t="shared" si="865"/>
        <v>5.8490197355565689E-2</v>
      </c>
      <c r="AB244" s="19">
        <f t="shared" si="865"/>
        <v>6.3491044488669185E-2</v>
      </c>
      <c r="AC244" s="19">
        <f t="shared" si="865"/>
        <v>6.6323326215299586E-2</v>
      </c>
      <c r="AD244" s="19">
        <f t="shared" si="865"/>
        <v>6.3739114322771906E-2</v>
      </c>
      <c r="AE244" s="199">
        <f t="shared" si="865"/>
        <v>6.3739114322771906E-2</v>
      </c>
      <c r="AF244" s="19">
        <f t="shared" si="865"/>
        <v>5.9860448035255233E-2</v>
      </c>
      <c r="AG244" s="19">
        <f t="shared" si="865"/>
        <v>5.4279625902687346E-2</v>
      </c>
      <c r="AH244" s="19">
        <f t="shared" si="865"/>
        <v>4.9457800218027426E-2</v>
      </c>
      <c r="AI244" s="19">
        <f t="shared" si="865"/>
        <v>4.9623545516769334E-2</v>
      </c>
      <c r="AJ244" s="199">
        <f t="shared" si="865"/>
        <v>4.9623545516769334E-2</v>
      </c>
      <c r="AK244" s="19">
        <f t="shared" si="865"/>
        <v>4.7611101841036764E-2</v>
      </c>
      <c r="AL244" s="19">
        <f t="shared" si="865"/>
        <v>4.3802423112767941E-2</v>
      </c>
      <c r="AM244" s="19">
        <f t="shared" si="865"/>
        <v>3.7880002137094623E-2</v>
      </c>
      <c r="AN244" s="19">
        <f t="shared" si="865"/>
        <v>3.3413386237861546E-2</v>
      </c>
      <c r="AO244" s="199">
        <f t="shared" si="865"/>
        <v>3.3413386237861546E-2</v>
      </c>
      <c r="AP244" s="341"/>
      <c r="AQ244" s="19"/>
      <c r="AR244" s="19"/>
      <c r="AS244" s="19"/>
      <c r="AT244" s="199"/>
      <c r="AU244" s="19">
        <f t="shared" ref="AU244:BD244" si="866">AU228/AU$216</f>
        <v>1.1440845132161486E-2</v>
      </c>
      <c r="AV244" s="19">
        <f t="shared" si="866"/>
        <v>2.2957461174881837E-2</v>
      </c>
      <c r="AW244" s="19">
        <f t="shared" si="866"/>
        <v>2.4420728776079224E-2</v>
      </c>
      <c r="AX244" s="19">
        <f t="shared" si="866"/>
        <v>3.1439570695286981E-2</v>
      </c>
      <c r="AY244" s="199">
        <f t="shared" si="866"/>
        <v>3.1439570695286981E-2</v>
      </c>
      <c r="AZ244" s="341">
        <f t="shared" si="866"/>
        <v>3.4016690856313495E-2</v>
      </c>
      <c r="BA244" s="19">
        <f t="shared" si="866"/>
        <v>3.8729666924864445E-2</v>
      </c>
      <c r="BB244" s="19">
        <f t="shared" si="866"/>
        <v>4.365052022324812E-2</v>
      </c>
      <c r="BC244" s="19">
        <f t="shared" si="866"/>
        <v>4.554039126251648E-2</v>
      </c>
      <c r="BD244" s="199">
        <f t="shared" si="866"/>
        <v>4.554039126251648E-2</v>
      </c>
      <c r="BE244" s="341">
        <f t="shared" si="845"/>
        <v>4.591348708683176E-2</v>
      </c>
      <c r="BF244" s="19">
        <f t="shared" si="845"/>
        <v>4.3782866917094238E-2</v>
      </c>
      <c r="BG244" s="19">
        <f t="shared" si="845"/>
        <v>4.150003282304867E-2</v>
      </c>
      <c r="BH244" s="19">
        <f t="shared" si="845"/>
        <v>3.8419073999545271E-2</v>
      </c>
      <c r="BI244" s="199">
        <f t="shared" si="845"/>
        <v>3.8419073999545271E-2</v>
      </c>
      <c r="BJ244" s="341">
        <f t="shared" si="846"/>
        <v>3.5738281855303755E-2</v>
      </c>
      <c r="BK244" s="19">
        <f t="shared" si="846"/>
        <v>3.3710871310086508E-2</v>
      </c>
      <c r="BL244" s="19">
        <f t="shared" si="846"/>
        <v>3.2140269526155632E-2</v>
      </c>
      <c r="BM244" s="19">
        <f t="shared" si="846"/>
        <v>3.1799775674413146E-2</v>
      </c>
      <c r="BN244" s="341">
        <f t="shared" si="846"/>
        <v>3.1799775674413146E-2</v>
      </c>
      <c r="BO244" s="341">
        <f t="shared" si="847"/>
        <v>3.1361591984768948E-2</v>
      </c>
      <c r="BP244" s="19">
        <f t="shared" si="847"/>
        <v>3.0327847947702036E-2</v>
      </c>
      <c r="BQ244" s="19">
        <f t="shared" si="847"/>
        <v>2.9333933457055587E-2</v>
      </c>
      <c r="BR244" s="19">
        <f t="shared" si="847"/>
        <v>2.8144843975223027E-2</v>
      </c>
      <c r="BS244" s="199">
        <f t="shared" si="848"/>
        <v>2.8144843975223027E-2</v>
      </c>
      <c r="BT244" s="341">
        <f t="shared" si="848"/>
        <v>2.661640737041341E-2</v>
      </c>
      <c r="BU244" s="19">
        <f t="shared" si="849"/>
        <v>2.5451450769866664E-2</v>
      </c>
      <c r="BV244" s="19">
        <f t="shared" si="849"/>
        <v>2.4250588210910272E-2</v>
      </c>
      <c r="BW244" s="19">
        <f t="shared" si="849"/>
        <v>2.3287899043985545E-2</v>
      </c>
      <c r="BX244" s="199">
        <f t="shared" si="850"/>
        <v>2.3287899043985545E-2</v>
      </c>
      <c r="BY244" s="341">
        <f t="shared" si="850"/>
        <v>2.2026867771475406E-2</v>
      </c>
      <c r="BZ244" s="19">
        <f t="shared" si="850"/>
        <v>2.0551218267820012E-2</v>
      </c>
      <c r="CA244" s="19">
        <f t="shared" si="850"/>
        <v>1.8717983115177077E-2</v>
      </c>
      <c r="CB244" s="19">
        <f t="shared" si="850"/>
        <v>1.6831179484467457E-2</v>
      </c>
      <c r="CC244" s="199">
        <f t="shared" si="851"/>
        <v>1.6831179484467457E-2</v>
      </c>
      <c r="CD244" s="341">
        <f t="shared" si="851"/>
        <v>1.54715394239611E-2</v>
      </c>
      <c r="CE244" s="19">
        <f t="shared" si="851"/>
        <v>1.4304144685081385E-2</v>
      </c>
      <c r="CF244" s="19">
        <f t="shared" si="851"/>
        <v>1.3534617038394384E-2</v>
      </c>
      <c r="CG244" s="19">
        <f t="shared" si="851"/>
        <v>1.260109327823839E-2</v>
      </c>
      <c r="CH244" s="199">
        <f t="shared" si="860"/>
        <v>1.2601093278238391E-2</v>
      </c>
      <c r="CI244" s="341">
        <f t="shared" si="860"/>
        <v>1.2082511443119379E-2</v>
      </c>
      <c r="CJ244" s="19">
        <f t="shared" si="860"/>
        <v>1.1328929913023577E-2</v>
      </c>
      <c r="CK244" s="19">
        <f t="shared" si="860"/>
        <v>1.0874310627266589E-2</v>
      </c>
      <c r="CL244" s="19">
        <f t="shared" si="860"/>
        <v>1.0706732236905155E-2</v>
      </c>
      <c r="CM244" s="199">
        <f t="shared" si="860"/>
        <v>1.0706732236905154E-2</v>
      </c>
      <c r="CN244" s="341">
        <f t="shared" ref="CN244:CP244" si="867">CN228/CN$216</f>
        <v>1.0426836106597458E-2</v>
      </c>
      <c r="CO244" s="19">
        <f t="shared" si="867"/>
        <v>1.0606389572625012E-2</v>
      </c>
      <c r="CP244" s="19">
        <f t="shared" si="867"/>
        <v>1.0580294223288055E-2</v>
      </c>
      <c r="CQ244" s="19">
        <f t="shared" ref="CQ244:CX244" si="868">CQ228/CQ$216</f>
        <v>1.0515678339480016E-2</v>
      </c>
      <c r="CR244" s="199">
        <f t="shared" si="854"/>
        <v>1.0515678339480016E-2</v>
      </c>
      <c r="CS244" s="341">
        <f t="shared" si="854"/>
        <v>1.0543286596497321E-2</v>
      </c>
      <c r="CT244" s="19">
        <f t="shared" si="854"/>
        <v>1.0571614029881016E-2</v>
      </c>
      <c r="CU244" s="19">
        <f t="shared" si="854"/>
        <v>1.0604000687129321E-2</v>
      </c>
      <c r="CV244" s="19">
        <f t="shared" si="854"/>
        <v>1.0672430267121938E-2</v>
      </c>
      <c r="CW244" s="199">
        <f t="shared" ref="CW244" si="869">CW228/CW$216</f>
        <v>1.0672430267121938E-2</v>
      </c>
      <c r="CX244" s="19">
        <f t="shared" si="868"/>
        <v>1.055932209459593E-2</v>
      </c>
      <c r="CY244" s="19">
        <f t="shared" ref="CY244:DA244" si="870">CY228/CY$216</f>
        <v>1.0330030249515487E-2</v>
      </c>
      <c r="CZ244" s="19">
        <f t="shared" si="870"/>
        <v>1.0146361469520524E-2</v>
      </c>
      <c r="DA244" s="19">
        <f t="shared" si="870"/>
        <v>9.9657948038946609E-3</v>
      </c>
      <c r="DB244" s="199">
        <f t="shared" si="857"/>
        <v>9.9657948038946609E-3</v>
      </c>
      <c r="DC244" s="19"/>
      <c r="DD244" s="19"/>
      <c r="DE244" s="19"/>
      <c r="DF244" s="19"/>
      <c r="DG244" s="199">
        <f t="shared" si="858"/>
        <v>7.7935594499181906E-3</v>
      </c>
      <c r="DH244" s="19"/>
      <c r="DI244" s="19"/>
      <c r="DJ244" s="19"/>
      <c r="DK244" s="19"/>
      <c r="DL244" s="199">
        <f t="shared" si="859"/>
        <v>5.8874977756691151E-3</v>
      </c>
      <c r="DM244" s="110"/>
      <c r="DN244" s="540"/>
      <c r="DO244" s="486"/>
      <c r="DP244" s="411"/>
      <c r="DQ244" s="411"/>
      <c r="DR244" s="411"/>
      <c r="DS244" s="570"/>
      <c r="DT244" s="561"/>
      <c r="DU244" s="457"/>
      <c r="DV244" s="463"/>
      <c r="DW244" s="460"/>
      <c r="DX244" s="460"/>
      <c r="DY244" s="460"/>
      <c r="DZ244" s="808"/>
      <c r="EA244" s="540"/>
      <c r="EH244" s="8"/>
    </row>
    <row r="245" spans="1:138" ht="12.75" hidden="1" customHeight="1" x14ac:dyDescent="0.2">
      <c r="A245" s="110" t="s">
        <v>189</v>
      </c>
      <c r="B245" s="19"/>
      <c r="C245" s="19"/>
      <c r="D245" s="19"/>
      <c r="E245" s="19"/>
      <c r="F245" s="199">
        <f t="shared" ref="F245:U245" si="871">F229/F$216</f>
        <v>1.5748317551069025E-2</v>
      </c>
      <c r="G245" s="19">
        <f t="shared" si="871"/>
        <v>1.6879385833383314E-2</v>
      </c>
      <c r="H245" s="19">
        <f t="shared" si="871"/>
        <v>1.9113266583229038E-2</v>
      </c>
      <c r="I245" s="19">
        <f t="shared" si="871"/>
        <v>2.304463513603406E-2</v>
      </c>
      <c r="J245" s="19">
        <f t="shared" si="871"/>
        <v>2.9541033215649541E-2</v>
      </c>
      <c r="K245" s="199">
        <f t="shared" si="871"/>
        <v>2.9541033215649541E-2</v>
      </c>
      <c r="L245" s="19">
        <f t="shared" si="871"/>
        <v>3.5388127853881277E-2</v>
      </c>
      <c r="M245" s="19">
        <f t="shared" si="871"/>
        <v>4.1205795295217326E-2</v>
      </c>
      <c r="N245" s="19">
        <f t="shared" si="871"/>
        <v>4.5101088646967338E-2</v>
      </c>
      <c r="O245" s="19">
        <f t="shared" si="871"/>
        <v>4.5847425779782035E-2</v>
      </c>
      <c r="P245" s="199">
        <f t="shared" si="871"/>
        <v>4.5847425779782035E-2</v>
      </c>
      <c r="Q245" s="19">
        <f t="shared" si="871"/>
        <v>4.7166279853260461E-2</v>
      </c>
      <c r="R245" s="19">
        <f t="shared" si="871"/>
        <v>4.9431387414708115E-2</v>
      </c>
      <c r="S245" s="19">
        <f t="shared" si="871"/>
        <v>5.0934685536971162E-2</v>
      </c>
      <c r="T245" s="19">
        <f t="shared" si="871"/>
        <v>5.2319025783657824E-2</v>
      </c>
      <c r="U245" s="199">
        <f t="shared" si="871"/>
        <v>5.2319025783657824E-2</v>
      </c>
      <c r="V245" s="19">
        <f t="shared" ref="V245:AO245" si="872">V229/V$216</f>
        <v>5.2350661694816114E-2</v>
      </c>
      <c r="W245" s="19">
        <f t="shared" si="872"/>
        <v>5.0798967273742238E-2</v>
      </c>
      <c r="X245" s="19">
        <f t="shared" si="872"/>
        <v>5.1155227318924044E-2</v>
      </c>
      <c r="Y245" s="19">
        <f t="shared" si="872"/>
        <v>5.1657367902855265E-2</v>
      </c>
      <c r="Z245" s="199">
        <f t="shared" si="872"/>
        <v>5.1657367902855265E-2</v>
      </c>
      <c r="AA245" s="19">
        <f t="shared" si="872"/>
        <v>5.6015111053214356E-2</v>
      </c>
      <c r="AB245" s="19">
        <f t="shared" si="872"/>
        <v>6.0666367079668743E-2</v>
      </c>
      <c r="AC245" s="19">
        <f t="shared" si="872"/>
        <v>6.2868986308252731E-2</v>
      </c>
      <c r="AD245" s="19">
        <f t="shared" si="872"/>
        <v>6.0095114569822743E-2</v>
      </c>
      <c r="AE245" s="199">
        <f t="shared" si="872"/>
        <v>6.0095114569822743E-2</v>
      </c>
      <c r="AF245" s="19">
        <f t="shared" si="872"/>
        <v>5.6371648916636062E-2</v>
      </c>
      <c r="AG245" s="19">
        <f t="shared" si="872"/>
        <v>5.0668876524209781E-2</v>
      </c>
      <c r="AH245" s="19">
        <f t="shared" si="872"/>
        <v>4.6015261919788858E-2</v>
      </c>
      <c r="AI245" s="19">
        <f t="shared" si="872"/>
        <v>4.5687885010266938E-2</v>
      </c>
      <c r="AJ245" s="199">
        <f t="shared" si="872"/>
        <v>4.5687885010266938E-2</v>
      </c>
      <c r="AK245" s="19">
        <f t="shared" si="872"/>
        <v>4.3884531953946274E-2</v>
      </c>
      <c r="AL245" s="19">
        <f t="shared" si="872"/>
        <v>3.9087769310893042E-2</v>
      </c>
      <c r="AM245" s="19">
        <f t="shared" si="872"/>
        <v>3.1896137201474592E-2</v>
      </c>
      <c r="AN245" s="19">
        <f t="shared" si="872"/>
        <v>2.6730708990289235E-2</v>
      </c>
      <c r="AO245" s="199">
        <f t="shared" si="872"/>
        <v>2.6730708990289235E-2</v>
      </c>
      <c r="AP245" s="341"/>
      <c r="AQ245" s="19"/>
      <c r="AR245" s="19"/>
      <c r="AS245" s="19"/>
      <c r="AT245" s="199"/>
      <c r="AU245" s="19">
        <f t="shared" ref="AU245:BD245" si="873">AU229/AU$216</f>
        <v>8.6792618243983696E-3</v>
      </c>
      <c r="AV245" s="19">
        <f t="shared" si="873"/>
        <v>1.7915822642358768E-2</v>
      </c>
      <c r="AW245" s="19">
        <f t="shared" si="873"/>
        <v>1.9485305900073711E-2</v>
      </c>
      <c r="AX245" s="19">
        <f t="shared" si="873"/>
        <v>2.6248250116658888E-2</v>
      </c>
      <c r="AY245" s="199">
        <f t="shared" si="873"/>
        <v>2.6248250116658888E-2</v>
      </c>
      <c r="AZ245" s="341">
        <f t="shared" si="873"/>
        <v>3.023705853894533E-2</v>
      </c>
      <c r="BA245" s="19">
        <f t="shared" si="873"/>
        <v>3.5986315517686551E-2</v>
      </c>
      <c r="BB245" s="19">
        <f t="shared" si="873"/>
        <v>4.2031282298628812E-2</v>
      </c>
      <c r="BC245" s="19">
        <f t="shared" si="873"/>
        <v>4.4578270320350638E-2</v>
      </c>
      <c r="BD245" s="199">
        <f t="shared" si="873"/>
        <v>4.4578270320350638E-2</v>
      </c>
      <c r="BE245" s="341">
        <f t="shared" si="845"/>
        <v>4.4602685372161409E-2</v>
      </c>
      <c r="BF245" s="19">
        <f t="shared" si="845"/>
        <v>4.272826794706322E-2</v>
      </c>
      <c r="BG245" s="19">
        <f t="shared" si="845"/>
        <v>4.0395098511393501E-2</v>
      </c>
      <c r="BH245" s="19">
        <f t="shared" si="845"/>
        <v>3.7316887450377992E-2</v>
      </c>
      <c r="BI245" s="199">
        <f t="shared" si="845"/>
        <v>3.7316887450377992E-2</v>
      </c>
      <c r="BJ245" s="341">
        <f t="shared" si="846"/>
        <v>3.5125800589574471E-2</v>
      </c>
      <c r="BK245" s="19">
        <f t="shared" si="846"/>
        <v>3.3116323315199619E-2</v>
      </c>
      <c r="BL245" s="19">
        <f t="shared" si="846"/>
        <v>3.1560643385016664E-2</v>
      </c>
      <c r="BM245" s="19">
        <f t="shared" si="846"/>
        <v>3.115477716075751E-2</v>
      </c>
      <c r="BN245" s="341">
        <f t="shared" si="846"/>
        <v>3.115477716075751E-2</v>
      </c>
      <c r="BO245" s="341">
        <f t="shared" si="847"/>
        <v>3.0686677286828206E-2</v>
      </c>
      <c r="BP245" s="19">
        <f t="shared" si="847"/>
        <v>2.9565456545654567E-2</v>
      </c>
      <c r="BQ245" s="19">
        <f t="shared" si="847"/>
        <v>2.8546356980283544E-2</v>
      </c>
      <c r="BR245" s="19">
        <f t="shared" si="847"/>
        <v>2.7399838181502659E-2</v>
      </c>
      <c r="BS245" s="199">
        <f t="shared" si="848"/>
        <v>2.7399838181502659E-2</v>
      </c>
      <c r="BT245" s="341">
        <f t="shared" si="848"/>
        <v>2.592028909094057E-2</v>
      </c>
      <c r="BU245" s="19">
        <f t="shared" si="849"/>
        <v>2.4767289178800569E-2</v>
      </c>
      <c r="BV245" s="19">
        <f t="shared" si="849"/>
        <v>2.3586478621831754E-2</v>
      </c>
      <c r="BW245" s="19">
        <f t="shared" si="849"/>
        <v>2.2555793820983241E-2</v>
      </c>
      <c r="BX245" s="199">
        <f t="shared" si="850"/>
        <v>2.2555793820983237E-2</v>
      </c>
      <c r="BY245" s="341">
        <f t="shared" si="850"/>
        <v>2.1210296158579695E-2</v>
      </c>
      <c r="BZ245" s="19">
        <f t="shared" si="850"/>
        <v>1.9691583765951461E-2</v>
      </c>
      <c r="CA245" s="19">
        <f t="shared" si="850"/>
        <v>1.7868362192455581E-2</v>
      </c>
      <c r="CB245" s="19">
        <f t="shared" si="850"/>
        <v>1.6029929141271493E-2</v>
      </c>
      <c r="CC245" s="199">
        <f t="shared" si="851"/>
        <v>1.6029929141271493E-2</v>
      </c>
      <c r="CD245" s="341">
        <f t="shared" si="851"/>
        <v>1.469363765489543E-2</v>
      </c>
      <c r="CE245" s="19">
        <f t="shared" si="851"/>
        <v>1.35386119257087E-2</v>
      </c>
      <c r="CF245" s="19">
        <f t="shared" si="851"/>
        <v>1.2754290190702343E-2</v>
      </c>
      <c r="CG245" s="19">
        <f t="shared" si="851"/>
        <v>1.1817020440251572E-2</v>
      </c>
      <c r="CH245" s="199">
        <f t="shared" si="860"/>
        <v>1.1817020440251572E-2</v>
      </c>
      <c r="CI245" s="341">
        <f t="shared" si="860"/>
        <v>1.1265314171617325E-2</v>
      </c>
      <c r="CJ245" s="19">
        <f t="shared" si="860"/>
        <v>1.0494455057434193E-2</v>
      </c>
      <c r="CK245" s="19">
        <f t="shared" si="860"/>
        <v>1.0004283950306177E-2</v>
      </c>
      <c r="CL245" s="19">
        <f t="shared" si="860"/>
        <v>9.7883397663916846E-3</v>
      </c>
      <c r="CM245" s="199">
        <f t="shared" si="860"/>
        <v>9.7883397663916846E-3</v>
      </c>
      <c r="CN245" s="341">
        <f t="shared" ref="CN245:CP245" si="874">CN229/CN$216</f>
        <v>9.485026305139619E-3</v>
      </c>
      <c r="CO245" s="19">
        <f t="shared" si="874"/>
        <v>9.6539618856569705E-3</v>
      </c>
      <c r="CP245" s="19">
        <f t="shared" si="874"/>
        <v>9.6398645475443065E-3</v>
      </c>
      <c r="CQ245" s="19">
        <f t="shared" ref="CQ245:CX245" si="875">CQ229/CQ$216</f>
        <v>9.6013965667733486E-3</v>
      </c>
      <c r="CR245" s="199">
        <f t="shared" si="854"/>
        <v>9.6013965667733486E-3</v>
      </c>
      <c r="CS245" s="341">
        <f t="shared" si="854"/>
        <v>9.6266044340723462E-3</v>
      </c>
      <c r="CT245" s="19">
        <f t="shared" si="854"/>
        <v>9.6524689492139496E-3</v>
      </c>
      <c r="CU245" s="19">
        <f t="shared" si="854"/>
        <v>9.6820397604991965E-3</v>
      </c>
      <c r="CV245" s="19">
        <f t="shared" si="854"/>
        <v>9.7445197559113943E-3</v>
      </c>
      <c r="CW245" s="199">
        <f t="shared" ref="CW245" si="876">CW229/CW$216</f>
        <v>9.7445197559113943E-3</v>
      </c>
      <c r="CX245" s="19">
        <f t="shared" si="875"/>
        <v>9.6532938281044655E-3</v>
      </c>
      <c r="CY245" s="19">
        <f t="shared" ref="CY245:DA245" si="877">CY229/CY$216</f>
        <v>9.399887803879162E-3</v>
      </c>
      <c r="CZ245" s="19">
        <f t="shared" si="877"/>
        <v>9.1660822685883381E-3</v>
      </c>
      <c r="DA245" s="19">
        <f t="shared" si="877"/>
        <v>8.9046222090355068E-3</v>
      </c>
      <c r="DB245" s="199">
        <f t="shared" si="857"/>
        <v>8.9046222090355068E-3</v>
      </c>
      <c r="DC245" s="19"/>
      <c r="DD245" s="19"/>
      <c r="DE245" s="19"/>
      <c r="DF245" s="19"/>
      <c r="DG245" s="199">
        <f t="shared" si="858"/>
        <v>6.9226459297267598E-3</v>
      </c>
      <c r="DH245" s="19"/>
      <c r="DI245" s="19"/>
      <c r="DJ245" s="19"/>
      <c r="DK245" s="19"/>
      <c r="DL245" s="199">
        <f t="shared" si="859"/>
        <v>5.0433344916577345E-3</v>
      </c>
      <c r="DM245" s="110"/>
      <c r="DN245" s="540"/>
      <c r="DO245" s="486"/>
      <c r="DP245" s="411"/>
      <c r="DQ245" s="411"/>
      <c r="DR245" s="411"/>
      <c r="DS245" s="570"/>
      <c r="DT245" s="561"/>
      <c r="DU245" s="457"/>
      <c r="DV245" s="463"/>
      <c r="DW245" s="460"/>
      <c r="DX245" s="460"/>
      <c r="DY245" s="460"/>
      <c r="DZ245" s="808"/>
      <c r="EA245" s="540"/>
      <c r="EH245" s="8"/>
    </row>
    <row r="246" spans="1:138" ht="12.75" hidden="1" customHeight="1" x14ac:dyDescent="0.2">
      <c r="A246" s="66" t="s">
        <v>289</v>
      </c>
      <c r="B246" s="19"/>
      <c r="C246" s="19"/>
      <c r="D246" s="19"/>
      <c r="E246" s="19"/>
      <c r="F246" s="199">
        <f t="shared" ref="F246:BA246" si="878">F230/F$216</f>
        <v>9.127330117324757E-2</v>
      </c>
      <c r="G246" s="19">
        <f t="shared" si="878"/>
        <v>6.1450848677502543E-2</v>
      </c>
      <c r="H246" s="19">
        <f t="shared" si="878"/>
        <v>1.5054443053817271E-2</v>
      </c>
      <c r="I246" s="19">
        <f t="shared" si="878"/>
        <v>-4.6526308787334533E-2</v>
      </c>
      <c r="J246" s="19">
        <f t="shared" si="878"/>
        <v>-0.11031054110526695</v>
      </c>
      <c r="K246" s="199">
        <f t="shared" si="878"/>
        <v>-0.11031054110526695</v>
      </c>
      <c r="L246" s="19">
        <f t="shared" si="878"/>
        <v>-0.14155251141552511</v>
      </c>
      <c r="M246" s="19">
        <f t="shared" si="878"/>
        <v>-0.15251596821934882</v>
      </c>
      <c r="N246" s="19">
        <f t="shared" si="878"/>
        <v>-0.14339035769828926</v>
      </c>
      <c r="O246" s="19">
        <f t="shared" si="878"/>
        <v>-0.11439308530627583</v>
      </c>
      <c r="P246" s="199">
        <f t="shared" si="878"/>
        <v>-0.11439308530627583</v>
      </c>
      <c r="Q246" s="19">
        <f t="shared" si="878"/>
        <v>-0.12348581268248859</v>
      </c>
      <c r="R246" s="19">
        <f t="shared" si="878"/>
        <v>-0.13433282789992418</v>
      </c>
      <c r="S246" s="19">
        <f t="shared" si="878"/>
        <v>-0.12819571633996821</v>
      </c>
      <c r="T246" s="19">
        <f t="shared" si="878"/>
        <v>-0.12214162219048334</v>
      </c>
      <c r="U246" s="199">
        <f t="shared" si="878"/>
        <v>-0.12214162219048334</v>
      </c>
      <c r="V246" s="19">
        <f t="shared" si="878"/>
        <v>-0.11416611830079694</v>
      </c>
      <c r="W246" s="19">
        <f t="shared" si="878"/>
        <v>-0.10480775940269346</v>
      </c>
      <c r="X246" s="19">
        <f t="shared" si="878"/>
        <v>-0.1241276509248594</v>
      </c>
      <c r="Y246" s="19">
        <f t="shared" si="878"/>
        <v>-0.14164752215293733</v>
      </c>
      <c r="Z246" s="199">
        <f t="shared" si="878"/>
        <v>-0.14164752215293733</v>
      </c>
      <c r="AA246" s="19">
        <f t="shared" si="878"/>
        <v>-0.14616035953885234</v>
      </c>
      <c r="AB246" s="19">
        <f t="shared" si="878"/>
        <v>-0.14354497014829556</v>
      </c>
      <c r="AC246" s="19">
        <f t="shared" si="878"/>
        <v>-0.12894108780303981</v>
      </c>
      <c r="AD246" s="19">
        <f t="shared" si="878"/>
        <v>-0.12889877092211721</v>
      </c>
      <c r="AE246" s="199">
        <f t="shared" si="878"/>
        <v>-0.12889877092211721</v>
      </c>
      <c r="AF246" s="19">
        <f t="shared" si="878"/>
        <v>-0.12792263434936957</v>
      </c>
      <c r="AG246" s="19">
        <f t="shared" si="878"/>
        <v>-9.5122528708417184E-2</v>
      </c>
      <c r="AH246" s="19">
        <f t="shared" si="878"/>
        <v>-7.23506799013139E-2</v>
      </c>
      <c r="AI246" s="19">
        <f t="shared" si="878"/>
        <v>-4.3463381245722105E-2</v>
      </c>
      <c r="AJ246" s="199">
        <f t="shared" si="878"/>
        <v>-4.3463381245722105E-2</v>
      </c>
      <c r="AK246" s="19">
        <f t="shared" si="878"/>
        <v>-4.50525613215418E-3</v>
      </c>
      <c r="AL246" s="19">
        <f t="shared" si="878"/>
        <v>6.9075160353050816E-3</v>
      </c>
      <c r="AM246" s="19">
        <f t="shared" si="878"/>
        <v>2.9812469947106908E-2</v>
      </c>
      <c r="AN246" s="19">
        <f t="shared" si="878"/>
        <v>3.3308969405868229E-2</v>
      </c>
      <c r="AO246" s="199">
        <f t="shared" si="878"/>
        <v>3.3308969405868229E-2</v>
      </c>
      <c r="AP246" s="341" t="e">
        <f t="shared" si="878"/>
        <v>#DIV/0!</v>
      </c>
      <c r="AQ246" s="19" t="e">
        <f t="shared" si="878"/>
        <v>#DIV/0!</v>
      </c>
      <c r="AR246" s="19" t="e">
        <f t="shared" si="878"/>
        <v>#DIV/0!</v>
      </c>
      <c r="AS246" s="19" t="e">
        <f t="shared" si="878"/>
        <v>#DIV/0!</v>
      </c>
      <c r="AT246" s="199" t="e">
        <f t="shared" si="878"/>
        <v>#DIV/0!</v>
      </c>
      <c r="AU246" s="19">
        <f t="shared" si="878"/>
        <v>-2.073379213606277E-2</v>
      </c>
      <c r="AV246" s="19">
        <f t="shared" si="878"/>
        <v>-1.7555705604321403E-2</v>
      </c>
      <c r="AW246" s="19">
        <f t="shared" si="878"/>
        <v>-1.4453738422587572E-2</v>
      </c>
      <c r="AX246" s="19">
        <f t="shared" si="878"/>
        <v>-2.8027298180121327E-2</v>
      </c>
      <c r="AY246" s="199">
        <f t="shared" si="878"/>
        <v>-2.8027298180121327E-2</v>
      </c>
      <c r="AZ246" s="341">
        <f t="shared" si="878"/>
        <v>-3.5709966134494439E-2</v>
      </c>
      <c r="BA246" s="19">
        <f t="shared" si="878"/>
        <v>-4.7088820036147692E-2</v>
      </c>
      <c r="BB246" s="19">
        <f t="shared" ref="BB246:BF247" si="879">BB230/BB$216</f>
        <v>-4.702680355543306E-2</v>
      </c>
      <c r="BC246" s="19">
        <f t="shared" si="879"/>
        <v>-3.8805544667355592E-2</v>
      </c>
      <c r="BD246" s="199">
        <f t="shared" si="879"/>
        <v>-3.8805544667355592E-2</v>
      </c>
      <c r="BE246" s="341">
        <f t="shared" si="879"/>
        <v>-2.0476848407553053E-2</v>
      </c>
      <c r="BF246" s="19">
        <f t="shared" si="879"/>
        <v>5.683267868818757E-3</v>
      </c>
      <c r="BG246" s="19">
        <f t="shared" ref="BG246:BK247" si="880">BG230/BG$216</f>
        <v>3.4644890361268006E-2</v>
      </c>
      <c r="BH246" s="19">
        <f t="shared" si="880"/>
        <v>4.5978814085062339E-2</v>
      </c>
      <c r="BI246" s="199">
        <f t="shared" si="880"/>
        <v>4.5978814085062339E-2</v>
      </c>
      <c r="BJ246" s="341">
        <f t="shared" si="880"/>
        <v>3.8312540615163919E-2</v>
      </c>
      <c r="BK246" s="19">
        <f t="shared" si="880"/>
        <v>3.1629953327982401E-2</v>
      </c>
      <c r="BL246" s="19">
        <f t="shared" ref="BL246:BN247" si="881">BL230/BL$216</f>
        <v>2.5938269815968699E-2</v>
      </c>
      <c r="BM246" s="19">
        <f t="shared" si="881"/>
        <v>3.1496511462338034E-2</v>
      </c>
      <c r="BN246" s="341">
        <f t="shared" si="881"/>
        <v>3.1496511462338034E-2</v>
      </c>
      <c r="BO246" s="341">
        <f t="shared" si="847"/>
        <v>4.0831726335205834E-2</v>
      </c>
      <c r="BP246" s="19">
        <f t="shared" si="847"/>
        <v>4.6424642464246428E-2</v>
      </c>
      <c r="BQ246" s="19">
        <f t="shared" si="847"/>
        <v>4.6562645679655582E-2</v>
      </c>
      <c r="BR246" s="19">
        <f t="shared" si="847"/>
        <v>4.2766510332268817E-2</v>
      </c>
      <c r="BS246" s="199">
        <f t="shared" si="848"/>
        <v>4.2766510332268817E-2</v>
      </c>
      <c r="BT246" s="341">
        <f t="shared" si="848"/>
        <v>4.5848353616570928E-2</v>
      </c>
      <c r="BU246" s="19">
        <f t="shared" si="849"/>
        <v>5.2821734016233732E-2</v>
      </c>
      <c r="BV246" s="19">
        <f t="shared" si="849"/>
        <v>6.3627655805364697E-2</v>
      </c>
      <c r="BW246" s="19">
        <f t="shared" si="849"/>
        <v>7.0817779895692684E-2</v>
      </c>
      <c r="BX246" s="199">
        <f t="shared" si="850"/>
        <v>7.0817779895692684E-2</v>
      </c>
      <c r="BY246" s="341">
        <f t="shared" si="850"/>
        <v>7.9551703370080384E-2</v>
      </c>
      <c r="BZ246" s="19">
        <f t="shared" si="850"/>
        <v>9.2857325524895784E-2</v>
      </c>
      <c r="CA246" s="19">
        <f t="shared" si="850"/>
        <v>0.10208338569023145</v>
      </c>
      <c r="CB246" s="19">
        <f t="shared" si="850"/>
        <v>0.11238293444328824</v>
      </c>
      <c r="CC246" s="199">
        <f t="shared" si="851"/>
        <v>0.11238293444328824</v>
      </c>
      <c r="CD246" s="341">
        <f t="shared" si="851"/>
        <v>0.1147573100847333</v>
      </c>
      <c r="CE246" s="19">
        <f t="shared" si="851"/>
        <v>0.11945259042033235</v>
      </c>
      <c r="CF246" s="19">
        <f t="shared" si="851"/>
        <v>0.13305099268035936</v>
      </c>
      <c r="CG246" s="19">
        <f t="shared" si="851"/>
        <v>0.14408903301886791</v>
      </c>
      <c r="CH246" s="199">
        <f t="shared" si="860"/>
        <v>0.14408903301886791</v>
      </c>
      <c r="CI246" s="341">
        <f t="shared" si="860"/>
        <v>0.16838809870091453</v>
      </c>
      <c r="CJ246" s="19">
        <f t="shared" si="860"/>
        <v>0.17051628749348749</v>
      </c>
      <c r="CK246" s="19">
        <f t="shared" si="860"/>
        <v>0.1661920721719628</v>
      </c>
      <c r="CL246" s="19">
        <f t="shared" si="860"/>
        <v>0.15315724412825751</v>
      </c>
      <c r="CM246" s="199">
        <f t="shared" si="860"/>
        <v>0.15315724412825751</v>
      </c>
      <c r="CN246" s="341">
        <f t="shared" ref="CN246:CP246" si="882">CN230/CN$216</f>
        <v>0.13552205584783489</v>
      </c>
      <c r="CO246" s="19">
        <f t="shared" si="882"/>
        <v>0.13866599799398194</v>
      </c>
      <c r="CP246" s="19">
        <f t="shared" si="882"/>
        <v>0.1321897323083768</v>
      </c>
      <c r="CQ246" s="19">
        <f t="shared" ref="CQ246:CX246" si="883">CQ230/CQ$216</f>
        <v>0.13214043254776453</v>
      </c>
      <c r="CR246" s="199">
        <f t="shared" si="854"/>
        <v>0.13214043254776453</v>
      </c>
      <c r="CS246" s="341">
        <f t="shared" si="854"/>
        <v>0.1308829249319331</v>
      </c>
      <c r="CT246" s="19">
        <f t="shared" si="854"/>
        <v>0.12977208253943198</v>
      </c>
      <c r="CU246" s="19">
        <f t="shared" si="854"/>
        <v>0.12946060740364457</v>
      </c>
      <c r="CV246" s="19">
        <f t="shared" si="854"/>
        <v>0.12918870888518894</v>
      </c>
      <c r="CW246" s="199">
        <f t="shared" ref="CW246" si="884">CW230/CW$216</f>
        <v>0.12918870888518894</v>
      </c>
      <c r="CX246" s="19">
        <f t="shared" si="883"/>
        <v>0.12613796564000859</v>
      </c>
      <c r="CY246" s="19">
        <f t="shared" ref="CY246:DA246" si="885">CY230/CY$216</f>
        <v>0.12145340880796805</v>
      </c>
      <c r="CZ246" s="19">
        <f t="shared" si="885"/>
        <v>0.11869509371501361</v>
      </c>
      <c r="DA246" s="19">
        <f t="shared" si="885"/>
        <v>0.12497386578523492</v>
      </c>
      <c r="DB246" s="199">
        <f t="shared" si="857"/>
        <v>0.12497386578523492</v>
      </c>
      <c r="DC246" s="19"/>
      <c r="DD246" s="19"/>
      <c r="DE246" s="19"/>
      <c r="DF246" s="19"/>
      <c r="DG246" s="199">
        <f t="shared" si="858"/>
        <v>0.13011581153498841</v>
      </c>
      <c r="DH246" s="19"/>
      <c r="DI246" s="19"/>
      <c r="DJ246" s="19"/>
      <c r="DK246" s="19"/>
      <c r="DL246" s="199">
        <f t="shared" si="859"/>
        <v>0.13823195261578178</v>
      </c>
      <c r="DM246" s="110"/>
      <c r="DN246" s="540"/>
      <c r="DO246" s="486"/>
      <c r="DP246" s="411"/>
      <c r="DQ246" s="411"/>
      <c r="DR246" s="411"/>
      <c r="DS246" s="570"/>
      <c r="DT246" s="561"/>
      <c r="DU246" s="457"/>
      <c r="DV246" s="463"/>
      <c r="DW246" s="460"/>
      <c r="DX246" s="460"/>
      <c r="DY246" s="460"/>
      <c r="DZ246" s="808"/>
      <c r="EA246" s="540"/>
      <c r="EH246" s="8"/>
    </row>
    <row r="247" spans="1:138" ht="12.75" hidden="1" customHeight="1" x14ac:dyDescent="0.2">
      <c r="A247" s="66" t="s">
        <v>290</v>
      </c>
      <c r="B247" s="19"/>
      <c r="C247" s="19"/>
      <c r="D247" s="19"/>
      <c r="E247" s="19"/>
      <c r="F247" s="199">
        <f t="shared" ref="F247:BA247" si="886">F231/F$216</f>
        <v>5.2939197188970284E-2</v>
      </c>
      <c r="G247" s="19">
        <f t="shared" si="886"/>
        <v>3.5590299286271221E-2</v>
      </c>
      <c r="H247" s="19">
        <f t="shared" si="886"/>
        <v>5.8643028785982489E-3</v>
      </c>
      <c r="I247" s="19">
        <f t="shared" si="886"/>
        <v>-3.1703252843743764E-2</v>
      </c>
      <c r="J247" s="19">
        <f t="shared" si="886"/>
        <v>-7.4997160458246281E-2</v>
      </c>
      <c r="K247" s="199">
        <f t="shared" si="886"/>
        <v>-7.4997160458246268E-2</v>
      </c>
      <c r="L247" s="19">
        <f t="shared" si="886"/>
        <v>-9.6795326484018257E-2</v>
      </c>
      <c r="M247" s="19">
        <f t="shared" si="886"/>
        <v>-0.10205169638853404</v>
      </c>
      <c r="N247" s="19">
        <f t="shared" si="886"/>
        <v>-9.5419415103888017E-2</v>
      </c>
      <c r="O247" s="19">
        <f t="shared" si="886"/>
        <v>-7.3069018281548284E-2</v>
      </c>
      <c r="P247" s="199">
        <f t="shared" si="886"/>
        <v>-7.3069018281548284E-2</v>
      </c>
      <c r="Q247" s="19">
        <f t="shared" si="886"/>
        <v>-7.8260454311297439E-2</v>
      </c>
      <c r="R247" s="19">
        <f t="shared" si="886"/>
        <v>-8.4979164139499602E-2</v>
      </c>
      <c r="S247" s="19">
        <f t="shared" si="886"/>
        <v>-8.1879147430560795E-2</v>
      </c>
      <c r="T247" s="19">
        <f t="shared" si="886"/>
        <v>-7.957825415319851E-2</v>
      </c>
      <c r="U247" s="199">
        <f t="shared" si="886"/>
        <v>-7.957825415319851E-2</v>
      </c>
      <c r="V247" s="19">
        <f t="shared" si="886"/>
        <v>-7.4262478248153824E-2</v>
      </c>
      <c r="W247" s="19">
        <f t="shared" si="886"/>
        <v>-0.18323135440653129</v>
      </c>
      <c r="X247" s="19">
        <f t="shared" si="886"/>
        <v>-0.20639206856833117</v>
      </c>
      <c r="Y247" s="19">
        <f t="shared" si="886"/>
        <v>-0.22205447981621268</v>
      </c>
      <c r="Z247" s="199">
        <f t="shared" si="886"/>
        <v>-0.22205447981621268</v>
      </c>
      <c r="AA247" s="19">
        <f t="shared" si="886"/>
        <v>-0.23063896306910703</v>
      </c>
      <c r="AB247" s="19">
        <f t="shared" si="886"/>
        <v>-0.12723887783270207</v>
      </c>
      <c r="AC247" s="19">
        <f t="shared" si="886"/>
        <v>-0.11474689109408366</v>
      </c>
      <c r="AD247" s="19">
        <f t="shared" si="886"/>
        <v>-0.12747822864554381</v>
      </c>
      <c r="AE247" s="199">
        <f t="shared" si="886"/>
        <v>-0.12747822864554381</v>
      </c>
      <c r="AF247" s="19">
        <f t="shared" si="886"/>
        <v>-0.13385971355123025</v>
      </c>
      <c r="AG247" s="19">
        <f t="shared" si="886"/>
        <v>-0.10181129395051497</v>
      </c>
      <c r="AH247" s="19">
        <f t="shared" si="886"/>
        <v>-7.6194847667680296E-2</v>
      </c>
      <c r="AI247" s="19">
        <f t="shared" si="886"/>
        <v>-1.7111567419575633E-4</v>
      </c>
      <c r="AJ247" s="199">
        <f t="shared" si="886"/>
        <v>-1.7111567419575633E-4</v>
      </c>
      <c r="AK247" s="19">
        <f t="shared" si="886"/>
        <v>3.6653873964069189E-2</v>
      </c>
      <c r="AL247" s="19">
        <f t="shared" si="886"/>
        <v>4.226741954936681E-2</v>
      </c>
      <c r="AM247" s="19">
        <f t="shared" si="886"/>
        <v>5.5617887481968262E-2</v>
      </c>
      <c r="AN247" s="19">
        <f t="shared" si="886"/>
        <v>2.2501827294559882E-2</v>
      </c>
      <c r="AO247" s="199">
        <f t="shared" si="886"/>
        <v>2.2501827294559882E-2</v>
      </c>
      <c r="AP247" s="341" t="e">
        <f t="shared" si="886"/>
        <v>#DIV/0!</v>
      </c>
      <c r="AQ247" s="19" t="e">
        <f t="shared" si="886"/>
        <v>#DIV/0!</v>
      </c>
      <c r="AR247" s="19" t="e">
        <f t="shared" si="886"/>
        <v>#DIV/0!</v>
      </c>
      <c r="AS247" s="19" t="e">
        <f t="shared" si="886"/>
        <v>#DIV/0!</v>
      </c>
      <c r="AT247" s="199" t="e">
        <f t="shared" si="886"/>
        <v>#DIV/0!</v>
      </c>
      <c r="AU247" s="19">
        <f t="shared" si="886"/>
        <v>-2.073379213606277E-2</v>
      </c>
      <c r="AV247" s="19">
        <f t="shared" si="886"/>
        <v>-1.7555705604321403E-2</v>
      </c>
      <c r="AW247" s="19">
        <f t="shared" si="886"/>
        <v>-1.4549883024068198E-2</v>
      </c>
      <c r="AX247" s="19">
        <f t="shared" si="886"/>
        <v>-2.8114792347176856E-2</v>
      </c>
      <c r="AY247" s="199">
        <f t="shared" si="886"/>
        <v>-2.8114792347176856E-2</v>
      </c>
      <c r="AZ247" s="341">
        <f t="shared" si="886"/>
        <v>-3.5800677310111273E-2</v>
      </c>
      <c r="BA247" s="19">
        <f t="shared" si="886"/>
        <v>-4.7314743093209398E-2</v>
      </c>
      <c r="BB247" s="19">
        <f t="shared" si="879"/>
        <v>-4.6544477365120927E-2</v>
      </c>
      <c r="BC247" s="19">
        <f t="shared" si="879"/>
        <v>-3.7985960161066173E-2</v>
      </c>
      <c r="BD247" s="199">
        <f t="shared" si="879"/>
        <v>-3.7985960161066173E-2</v>
      </c>
      <c r="BE247" s="341">
        <f t="shared" si="879"/>
        <v>-2.0016296453749957E-2</v>
      </c>
      <c r="BF247" s="19">
        <f t="shared" si="879"/>
        <v>6.2956156578690267E-3</v>
      </c>
      <c r="BG247" s="19">
        <f t="shared" si="880"/>
        <v>3.4547396157298432E-2</v>
      </c>
      <c r="BH247" s="19">
        <f t="shared" si="880"/>
        <v>4.5537939465395423E-2</v>
      </c>
      <c r="BI247" s="199">
        <f t="shared" si="880"/>
        <v>4.5537939465395423E-2</v>
      </c>
      <c r="BJ247" s="341">
        <f t="shared" si="880"/>
        <v>4.0364352855357027E-2</v>
      </c>
      <c r="BK247" s="19">
        <f t="shared" si="880"/>
        <v>3.3681143910342159E-2</v>
      </c>
      <c r="BL247" s="19">
        <f t="shared" si="881"/>
        <v>2.8082886538182871E-2</v>
      </c>
      <c r="BM247" s="19">
        <f t="shared" si="881"/>
        <v>3.3888651573401679E-2</v>
      </c>
      <c r="BN247" s="341">
        <f t="shared" si="881"/>
        <v>3.3888651573401679E-2</v>
      </c>
      <c r="BO247" s="341">
        <f t="shared" si="847"/>
        <v>4.1111204270422849E-2</v>
      </c>
      <c r="BP247" s="19">
        <f t="shared" si="847"/>
        <v>4.6507150715071506E-2</v>
      </c>
      <c r="BQ247" s="19">
        <f t="shared" si="847"/>
        <v>4.6452957468396082E-2</v>
      </c>
      <c r="BR247" s="19">
        <f t="shared" si="847"/>
        <v>4.235745660987994E-2</v>
      </c>
      <c r="BS247" s="199">
        <f t="shared" si="848"/>
        <v>4.235745660987994E-2</v>
      </c>
      <c r="BT247" s="341">
        <f t="shared" si="848"/>
        <v>4.5630707998049282E-2</v>
      </c>
      <c r="BU247" s="19">
        <f t="shared" si="849"/>
        <v>5.268561292290911E-2</v>
      </c>
      <c r="BV247" s="19">
        <f t="shared" si="849"/>
        <v>6.3788518026871979E-2</v>
      </c>
      <c r="BW247" s="19">
        <f t="shared" si="849"/>
        <v>7.1453154369523209E-2</v>
      </c>
      <c r="BX247" s="199">
        <f t="shared" si="850"/>
        <v>7.1453154369523209E-2</v>
      </c>
      <c r="BY247" s="341">
        <f t="shared" si="850"/>
        <v>7.5807169603812619E-2</v>
      </c>
      <c r="BZ247" s="19">
        <f t="shared" si="850"/>
        <v>7.5186047106360121E-2</v>
      </c>
      <c r="CA247" s="19">
        <f t="shared" si="850"/>
        <v>6.8910055037571305E-2</v>
      </c>
      <c r="CB247" s="19">
        <f t="shared" si="850"/>
        <v>7.0189782468658646E-2</v>
      </c>
      <c r="CC247" s="199">
        <f t="shared" si="851"/>
        <v>7.0189782468658646E-2</v>
      </c>
      <c r="CD247" s="341">
        <f t="shared" si="851"/>
        <v>7.1606994171523733E-2</v>
      </c>
      <c r="CE247" s="19">
        <f t="shared" si="851"/>
        <v>7.4828934506353861E-2</v>
      </c>
      <c r="CF247" s="19">
        <f t="shared" si="851"/>
        <v>8.4016744595950946E-2</v>
      </c>
      <c r="CG247" s="19">
        <f t="shared" si="851"/>
        <v>9.1121265723270436E-2</v>
      </c>
      <c r="CH247" s="199">
        <f t="shared" si="860"/>
        <v>9.1121265723270436E-2</v>
      </c>
      <c r="CI247" s="341">
        <f t="shared" si="860"/>
        <v>0.10755047205856977</v>
      </c>
      <c r="CJ247" s="19">
        <f t="shared" si="860"/>
        <v>0.11065075545190661</v>
      </c>
      <c r="CK247" s="19">
        <f t="shared" si="860"/>
        <v>0.109341531638233</v>
      </c>
      <c r="CL247" s="19">
        <f t="shared" si="860"/>
        <v>0.10133958979792629</v>
      </c>
      <c r="CM247" s="199">
        <f t="shared" si="860"/>
        <v>0.10133958979792629</v>
      </c>
      <c r="CN247" s="341">
        <f t="shared" ref="CN247:CP247" si="887">CN231/CN$216</f>
        <v>8.9816875758802109E-2</v>
      </c>
      <c r="CO247" s="19">
        <f t="shared" si="887"/>
        <v>9.0972918756268811E-2</v>
      </c>
      <c r="CP247" s="19">
        <f t="shared" si="887"/>
        <v>8.631386410262748E-2</v>
      </c>
      <c r="CQ247" s="19">
        <f t="shared" ref="CQ247:CX247" si="888">CQ231/CQ$216</f>
        <v>8.6533798855591121E-2</v>
      </c>
      <c r="CR247" s="199">
        <f t="shared" si="854"/>
        <v>8.6533798855591121E-2</v>
      </c>
      <c r="CS247" s="341">
        <f t="shared" si="854"/>
        <v>8.5739984441851422E-2</v>
      </c>
      <c r="CT247" s="19">
        <f t="shared" si="854"/>
        <v>8.5044101423756235E-2</v>
      </c>
      <c r="CU247" s="19">
        <f t="shared" si="854"/>
        <v>8.4840095881141955E-2</v>
      </c>
      <c r="CV247" s="19">
        <f t="shared" si="854"/>
        <v>8.4673970909320981E-2</v>
      </c>
      <c r="CW247" s="199">
        <f t="shared" ref="CW247" si="889">CW231/CW$216</f>
        <v>8.4673970909320981E-2</v>
      </c>
      <c r="CX247" s="19">
        <f t="shared" si="888"/>
        <v>8.4394638120952908E-2</v>
      </c>
      <c r="CY247" s="19">
        <f t="shared" ref="CY247:DA247" si="890">CY231/CY$216</f>
        <v>8.6322335682290405E-2</v>
      </c>
      <c r="CZ247" s="19">
        <f t="shared" si="890"/>
        <v>8.8940800587019753E-2</v>
      </c>
      <c r="DA247" s="19">
        <f t="shared" si="890"/>
        <v>9.6287087698875465E-2</v>
      </c>
      <c r="DB247" s="199">
        <f t="shared" si="857"/>
        <v>9.6287087698875465E-2</v>
      </c>
      <c r="DC247" s="19"/>
      <c r="DD247" s="19"/>
      <c r="DE247" s="19"/>
      <c r="DF247" s="19"/>
      <c r="DG247" s="199">
        <f t="shared" si="858"/>
        <v>0.10018917488194105</v>
      </c>
      <c r="DH247" s="19"/>
      <c r="DI247" s="19"/>
      <c r="DJ247" s="19"/>
      <c r="DK247" s="19"/>
      <c r="DL247" s="199">
        <f t="shared" si="859"/>
        <v>0.10643860351415198</v>
      </c>
      <c r="DM247" s="110"/>
      <c r="DN247" s="540"/>
      <c r="DO247" s="486"/>
      <c r="DP247" s="411"/>
      <c r="DQ247" s="411"/>
      <c r="DR247" s="411"/>
      <c r="DS247" s="570"/>
      <c r="DT247" s="561"/>
      <c r="DU247" s="457"/>
      <c r="DV247" s="463"/>
      <c r="DW247" s="460"/>
      <c r="DX247" s="460"/>
      <c r="DY247" s="460"/>
      <c r="DZ247" s="808"/>
      <c r="EA247" s="540"/>
      <c r="EH247" s="8"/>
    </row>
    <row r="248" spans="1:138" ht="12.75" customHeight="1" x14ac:dyDescent="0.2">
      <c r="A248" s="4" t="s">
        <v>303</v>
      </c>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231"/>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231"/>
      <c r="BT248" s="4"/>
      <c r="BU248" s="4"/>
      <c r="BV248" s="4"/>
      <c r="BW248" s="4"/>
      <c r="BX248" s="231"/>
      <c r="BY248" s="4"/>
      <c r="BZ248" s="4"/>
      <c r="CA248" s="4"/>
      <c r="CB248" s="4"/>
      <c r="CC248" s="433"/>
      <c r="CD248" s="4"/>
      <c r="CE248" s="4"/>
      <c r="CF248" s="4"/>
      <c r="CG248" s="4"/>
      <c r="CH248" s="433"/>
      <c r="CI248" s="4"/>
      <c r="CJ248" s="4"/>
      <c r="CK248" s="4"/>
      <c r="CL248" s="4"/>
      <c r="CM248" s="433"/>
      <c r="CN248" s="4"/>
      <c r="CO248" s="4"/>
      <c r="CP248" s="4"/>
      <c r="CQ248" s="4"/>
      <c r="CR248" s="433"/>
      <c r="CS248" s="4"/>
      <c r="CT248" s="4"/>
      <c r="CU248" s="4"/>
      <c r="CV248" s="4"/>
      <c r="CW248" s="433"/>
      <c r="CX248" s="4"/>
      <c r="CY248" s="4"/>
      <c r="CZ248" s="4"/>
      <c r="DA248" s="4"/>
      <c r="DB248" s="433"/>
      <c r="DC248" s="4"/>
      <c r="DD248" s="4"/>
      <c r="DE248" s="4"/>
      <c r="DF248" s="4"/>
      <c r="DG248" s="433"/>
      <c r="DH248" s="4"/>
      <c r="DI248" s="4"/>
      <c r="DJ248" s="4"/>
      <c r="DK248" s="4"/>
      <c r="DL248" s="433"/>
      <c r="DM248" s="413"/>
      <c r="DN248" s="4"/>
      <c r="DO248" s="487"/>
      <c r="DP248" s="413"/>
      <c r="DQ248" s="413"/>
      <c r="DR248" s="413"/>
      <c r="DS248" s="570"/>
      <c r="DT248" s="561"/>
      <c r="DU248" s="457" t="s">
        <v>565</v>
      </c>
      <c r="DV248" s="865">
        <f>-CR259*0.5*CR180+400</f>
        <v>1071.6377981651376</v>
      </c>
      <c r="DW248" s="865">
        <f>-DB259*100%*DB180</f>
        <v>918.16886374170758</v>
      </c>
      <c r="DX248" s="865">
        <f>-DG259*100%*DG180</f>
        <v>920</v>
      </c>
      <c r="DY248" s="865">
        <f>-DL259*100%*DL180</f>
        <v>920</v>
      </c>
      <c r="DZ248" s="809"/>
      <c r="EA248" s="4"/>
      <c r="EH248" s="4"/>
    </row>
    <row r="249" spans="1:138" ht="12.75" customHeight="1" x14ac:dyDescent="0.2">
      <c r="A249" s="5" t="s">
        <v>345</v>
      </c>
      <c r="B249" s="5"/>
      <c r="C249" s="5"/>
      <c r="D249" s="5"/>
      <c r="E249" s="5"/>
      <c r="F249" s="197"/>
      <c r="G249" s="5"/>
      <c r="H249" s="5"/>
      <c r="I249" s="5"/>
      <c r="J249" s="5"/>
      <c r="K249" s="197"/>
      <c r="L249" s="5"/>
      <c r="M249" s="5"/>
      <c r="N249" s="5"/>
      <c r="O249" s="5"/>
      <c r="P249" s="197"/>
      <c r="Q249" s="5"/>
      <c r="R249" s="5"/>
      <c r="S249" s="5"/>
      <c r="T249" s="5"/>
      <c r="U249" s="197"/>
      <c r="V249" s="5"/>
      <c r="W249" s="5"/>
      <c r="X249" s="5"/>
      <c r="Y249" s="5"/>
      <c r="Z249" s="197"/>
      <c r="AA249" s="5"/>
      <c r="AB249" s="5"/>
      <c r="AC249" s="5"/>
      <c r="AD249" s="5"/>
      <c r="AE249" s="197"/>
      <c r="AF249" s="5"/>
      <c r="AG249" s="5"/>
      <c r="AH249" s="5"/>
      <c r="AI249" s="5"/>
      <c r="AJ249" s="197"/>
      <c r="AK249" s="5"/>
      <c r="AL249" s="5"/>
      <c r="AM249" s="5"/>
      <c r="AN249" s="5"/>
      <c r="AO249" s="197"/>
      <c r="AP249" s="5"/>
      <c r="AQ249" s="5"/>
      <c r="AR249" s="5"/>
      <c r="AS249" s="5"/>
      <c r="AT249" s="197"/>
      <c r="AU249" s="5"/>
      <c r="AV249" s="5"/>
      <c r="AW249" s="5"/>
      <c r="AX249" s="5"/>
      <c r="AY249" s="197"/>
      <c r="AZ249" s="5"/>
      <c r="BA249" s="5"/>
      <c r="BB249" s="5"/>
      <c r="BC249" s="5"/>
      <c r="BD249" s="197"/>
      <c r="BE249" s="5"/>
      <c r="BF249" s="5"/>
      <c r="BG249" s="5"/>
      <c r="BH249" s="5"/>
      <c r="BI249" s="197"/>
      <c r="BJ249" s="5"/>
      <c r="BK249" s="5"/>
      <c r="BL249" s="5"/>
      <c r="BM249" s="5"/>
      <c r="BN249" s="315"/>
      <c r="BO249" s="5"/>
      <c r="BP249" s="5"/>
      <c r="BQ249" s="5"/>
      <c r="BR249" s="5"/>
      <c r="BS249" s="197"/>
      <c r="BT249" s="5"/>
      <c r="BU249" s="5"/>
      <c r="BV249" s="5"/>
      <c r="BW249" s="5"/>
      <c r="BX249" s="197"/>
      <c r="BY249" s="5"/>
      <c r="BZ249" s="5"/>
      <c r="CA249" s="5"/>
      <c r="CB249" s="5"/>
      <c r="CC249" s="197"/>
      <c r="CD249" s="5"/>
      <c r="CE249" s="5"/>
      <c r="CF249" s="5"/>
      <c r="CG249" s="5"/>
      <c r="CH249" s="197"/>
      <c r="CI249" s="5"/>
      <c r="CJ249" s="5"/>
      <c r="CK249" s="5"/>
      <c r="CL249" s="5"/>
      <c r="CM249" s="197"/>
      <c r="CN249" s="5"/>
      <c r="CO249" s="5"/>
      <c r="CP249" s="5"/>
      <c r="CQ249" s="5"/>
      <c r="CR249" s="197"/>
      <c r="CS249" s="5"/>
      <c r="CT249" s="5"/>
      <c r="CU249" s="5"/>
      <c r="CV249" s="5"/>
      <c r="CW249" s="197"/>
      <c r="CX249" s="5"/>
      <c r="CY249" s="5"/>
      <c r="CZ249" s="5"/>
      <c r="DA249" s="5"/>
      <c r="DB249" s="197"/>
      <c r="DC249" s="5"/>
      <c r="DD249" s="5"/>
      <c r="DE249" s="5"/>
      <c r="DF249" s="5"/>
      <c r="DG249" s="197"/>
      <c r="DH249" s="5"/>
      <c r="DI249" s="5"/>
      <c r="DJ249" s="5"/>
      <c r="DK249" s="5"/>
      <c r="DL249" s="197"/>
      <c r="DM249" s="413"/>
      <c r="DN249" s="4"/>
      <c r="DO249" s="487"/>
      <c r="DP249" s="413"/>
      <c r="DQ249" s="413"/>
      <c r="DR249" s="413"/>
      <c r="DS249" s="554"/>
      <c r="DT249" s="561"/>
      <c r="DU249" s="457" t="s">
        <v>563</v>
      </c>
      <c r="DV249" s="866">
        <f>+DV214-DV248</f>
        <v>809.36220183486239</v>
      </c>
      <c r="DW249" s="866">
        <f>+DW214-DW248</f>
        <v>325.35344202202191</v>
      </c>
      <c r="DX249" s="866">
        <f>+DX214-DX248</f>
        <v>420.13171504365118</v>
      </c>
      <c r="DY249" s="866">
        <f>+DY214-DY248</f>
        <v>548.83978307074381</v>
      </c>
      <c r="DZ249" s="809"/>
      <c r="EA249" s="4"/>
      <c r="EH249" s="5"/>
    </row>
    <row r="250" spans="1:138" ht="12.75" customHeight="1" x14ac:dyDescent="0.2">
      <c r="A250" s="79" t="s">
        <v>367</v>
      </c>
      <c r="B250" s="79"/>
      <c r="C250" s="79"/>
      <c r="D250" s="79"/>
      <c r="E250" s="79"/>
      <c r="F250" s="227">
        <f>F211</f>
        <v>842.73605999999995</v>
      </c>
      <c r="G250" s="79"/>
      <c r="H250" s="79"/>
      <c r="I250" s="79"/>
      <c r="J250" s="79"/>
      <c r="K250" s="227">
        <f>K211</f>
        <v>-1217.6120599999999</v>
      </c>
      <c r="L250" s="79"/>
      <c r="M250" s="79"/>
      <c r="N250" s="79"/>
      <c r="O250" s="79"/>
      <c r="P250" s="227">
        <f>P211</f>
        <v>-1287.383288236</v>
      </c>
      <c r="Q250" s="79"/>
      <c r="R250" s="79"/>
      <c r="S250" s="79"/>
      <c r="T250" s="79"/>
      <c r="U250" s="227">
        <f>U211</f>
        <v>-789.62951499999986</v>
      </c>
      <c r="V250" s="79"/>
      <c r="W250" s="79"/>
      <c r="X250" s="79"/>
      <c r="Y250" s="79"/>
      <c r="Z250" s="227">
        <f>Z211</f>
        <v>-3657</v>
      </c>
      <c r="AA250" s="79"/>
      <c r="AB250" s="79"/>
      <c r="AC250" s="79"/>
      <c r="AD250" s="79"/>
      <c r="AE250" s="227">
        <f t="shared" ref="AE250:AO250" si="891">AE211</f>
        <v>-2338</v>
      </c>
      <c r="AF250" s="79">
        <f t="shared" si="891"/>
        <v>-668</v>
      </c>
      <c r="AG250" s="79">
        <f t="shared" si="891"/>
        <v>-1472</v>
      </c>
      <c r="AH250" s="79">
        <f t="shared" si="891"/>
        <v>-103</v>
      </c>
      <c r="AI250" s="79">
        <f t="shared" si="891"/>
        <v>1966</v>
      </c>
      <c r="AJ250" s="227">
        <f t="shared" si="891"/>
        <v>-277</v>
      </c>
      <c r="AK250" s="79">
        <f t="shared" si="891"/>
        <v>-130</v>
      </c>
      <c r="AL250" s="79">
        <f t="shared" si="891"/>
        <v>1605</v>
      </c>
      <c r="AM250" s="79">
        <f t="shared" si="891"/>
        <v>220</v>
      </c>
      <c r="AN250" s="79">
        <f t="shared" si="891"/>
        <v>-70</v>
      </c>
      <c r="AO250" s="227">
        <f t="shared" si="891"/>
        <v>1625</v>
      </c>
      <c r="AP250" s="79"/>
      <c r="AQ250" s="79"/>
      <c r="AR250" s="79"/>
      <c r="AS250" s="79"/>
      <c r="AT250" s="227"/>
      <c r="AU250" s="79"/>
      <c r="AV250" s="79"/>
      <c r="AW250" s="79"/>
      <c r="AX250" s="79"/>
      <c r="AY250" s="253">
        <f>AY211</f>
        <v>-9029.2088992975259</v>
      </c>
      <c r="AZ250" s="79">
        <f>AZ211</f>
        <v>-792</v>
      </c>
      <c r="BA250" s="79">
        <f>BA211</f>
        <v>-257</v>
      </c>
      <c r="BB250" s="79">
        <f>BB211</f>
        <v>-161</v>
      </c>
      <c r="BC250" s="79">
        <f>BC211</f>
        <v>-25</v>
      </c>
      <c r="BD250" s="227">
        <f>SUM(AZ250:BC250)</f>
        <v>-1235</v>
      </c>
      <c r="BE250" s="79">
        <f>BE211</f>
        <v>-256</v>
      </c>
      <c r="BF250" s="79">
        <f>BF211</f>
        <v>469.05999999999949</v>
      </c>
      <c r="BG250" s="79">
        <f>BG211</f>
        <v>363</v>
      </c>
      <c r="BH250" s="79">
        <f>BH211</f>
        <v>19</v>
      </c>
      <c r="BI250" s="227">
        <f t="shared" ref="BI250:BI257" si="892">SUM(BE250:BH250)</f>
        <v>595.05999999999949</v>
      </c>
      <c r="BJ250" s="79">
        <f t="shared" ref="BJ250:BS250" si="893">BJ211</f>
        <v>-318</v>
      </c>
      <c r="BK250" s="79">
        <f t="shared" si="893"/>
        <v>198</v>
      </c>
      <c r="BL250" s="79">
        <f t="shared" si="893"/>
        <v>549</v>
      </c>
      <c r="BM250" s="79">
        <f t="shared" si="893"/>
        <v>425</v>
      </c>
      <c r="BN250" s="342">
        <f>BN211</f>
        <v>854</v>
      </c>
      <c r="BO250" s="79">
        <f t="shared" si="893"/>
        <v>124</v>
      </c>
      <c r="BP250" s="79">
        <f>BP211</f>
        <v>-168</v>
      </c>
      <c r="BQ250" s="79">
        <f t="shared" si="893"/>
        <v>1047</v>
      </c>
      <c r="BR250" s="79">
        <f>BR211</f>
        <v>7.2479338842975096</v>
      </c>
      <c r="BS250" s="227">
        <f t="shared" si="893"/>
        <v>1010.2479338842975</v>
      </c>
      <c r="BT250" s="79">
        <f t="shared" ref="BT250:CB250" si="894">BT211</f>
        <v>7</v>
      </c>
      <c r="BU250" s="79">
        <f t="shared" si="894"/>
        <v>685</v>
      </c>
      <c r="BV250" s="79">
        <f t="shared" si="894"/>
        <v>1369</v>
      </c>
      <c r="BW250" s="79">
        <f t="shared" si="894"/>
        <v>8479</v>
      </c>
      <c r="BX250" s="227">
        <f t="shared" si="894"/>
        <v>10540</v>
      </c>
      <c r="BY250" s="79">
        <f t="shared" si="894"/>
        <v>213</v>
      </c>
      <c r="BZ250" s="79">
        <f t="shared" si="894"/>
        <v>801</v>
      </c>
      <c r="CA250" s="79">
        <f t="shared" si="894"/>
        <v>357</v>
      </c>
      <c r="CB250" s="79">
        <f t="shared" si="894"/>
        <v>-712</v>
      </c>
      <c r="CC250" s="227">
        <f t="shared" ref="CC250:CH250" si="895">CC211</f>
        <v>659</v>
      </c>
      <c r="CD250" s="79">
        <f t="shared" si="895"/>
        <v>746</v>
      </c>
      <c r="CE250" s="79">
        <f t="shared" si="895"/>
        <v>1027</v>
      </c>
      <c r="CF250" s="79">
        <f t="shared" si="895"/>
        <v>1384</v>
      </c>
      <c r="CG250" s="79">
        <f t="shared" si="895"/>
        <v>980</v>
      </c>
      <c r="CH250" s="227">
        <f t="shared" si="895"/>
        <v>4137</v>
      </c>
      <c r="CI250" s="79">
        <f>CI211</f>
        <v>946</v>
      </c>
      <c r="CJ250" s="79">
        <f>CJ211</f>
        <v>1124</v>
      </c>
      <c r="CK250" s="79">
        <f>CK211</f>
        <v>1263</v>
      </c>
      <c r="CL250" s="79">
        <f>CL211</f>
        <v>604</v>
      </c>
      <c r="CM250" s="227">
        <f>CM211</f>
        <v>3937</v>
      </c>
      <c r="CN250" s="79">
        <f t="shared" ref="CN250:CQ250" si="896">CN211</f>
        <v>603</v>
      </c>
      <c r="CO250" s="79">
        <f t="shared" si="896"/>
        <v>1224.49</v>
      </c>
      <c r="CP250" s="79">
        <f t="shared" si="896"/>
        <v>1178</v>
      </c>
      <c r="CQ250" s="79">
        <f t="shared" si="896"/>
        <v>572</v>
      </c>
      <c r="CR250" s="227">
        <f>CR211</f>
        <v>3577.49</v>
      </c>
      <c r="CS250" s="79">
        <f t="shared" ref="CS250:CV250" si="897">CS211</f>
        <v>561</v>
      </c>
      <c r="CT250" s="79">
        <f t="shared" si="897"/>
        <v>1186.49</v>
      </c>
      <c r="CU250" s="79">
        <f t="shared" si="897"/>
        <v>1159</v>
      </c>
      <c r="CV250" s="79">
        <f t="shared" si="897"/>
        <v>543</v>
      </c>
      <c r="CW250" s="227">
        <f>CW211</f>
        <v>3449.49</v>
      </c>
      <c r="CX250" s="79">
        <f t="shared" ref="CX250:DA250" si="898">CX211</f>
        <v>547</v>
      </c>
      <c r="CY250" s="79">
        <f t="shared" si="898"/>
        <v>1342.3347241300801</v>
      </c>
      <c r="CZ250" s="79">
        <f t="shared" si="898"/>
        <v>1286.4495780866832</v>
      </c>
      <c r="DA250" s="79">
        <f t="shared" si="898"/>
        <v>1022.0947214270267</v>
      </c>
      <c r="DB250" s="227">
        <f>DB211</f>
        <v>4197.8790236437899</v>
      </c>
      <c r="DC250" s="79"/>
      <c r="DD250" s="79"/>
      <c r="DE250" s="79"/>
      <c r="DF250" s="79"/>
      <c r="DG250" s="227">
        <f>DG211</f>
        <v>4486.5279155809185</v>
      </c>
      <c r="DH250" s="79"/>
      <c r="DI250" s="79"/>
      <c r="DJ250" s="79"/>
      <c r="DK250" s="79"/>
      <c r="DL250" s="227">
        <f>DL211</f>
        <v>4917.420143323794</v>
      </c>
      <c r="DM250" s="79"/>
      <c r="DN250" s="522"/>
      <c r="DO250" s="486"/>
      <c r="DP250" s="411"/>
      <c r="DQ250" s="411"/>
      <c r="DR250" s="411"/>
      <c r="DS250" s="478"/>
      <c r="DT250" s="554"/>
      <c r="DU250" s="457" t="s">
        <v>564</v>
      </c>
      <c r="DV250" s="866">
        <f>IF(5900-DV249&lt;0, 0, 5900-DV249)</f>
        <v>5090.6377981651376</v>
      </c>
      <c r="DW250" s="866">
        <f>IF(DV250-DW249&lt;0, 0, DV250-DW249)</f>
        <v>4765.2843561431155</v>
      </c>
      <c r="DX250" s="866">
        <f>IF(DW250-DX249&lt;0, 0, DW250-DX249)</f>
        <v>4345.1526410994647</v>
      </c>
      <c r="DY250" s="866">
        <f>IF(DX250-DY249&lt;0, 0, DX250-DY249)</f>
        <v>3796.3128580287212</v>
      </c>
      <c r="DZ250" s="808"/>
      <c r="EA250" s="522"/>
      <c r="EH250" s="8"/>
    </row>
    <row r="251" spans="1:138" ht="12.75" customHeight="1" x14ac:dyDescent="0.2">
      <c r="A251" s="66" t="s">
        <v>169</v>
      </c>
      <c r="B251" s="66"/>
      <c r="C251" s="66"/>
      <c r="D251" s="66"/>
      <c r="E251" s="66"/>
      <c r="F251" s="248">
        <f>F253-F252</f>
        <v>1127</v>
      </c>
      <c r="G251" s="66"/>
      <c r="H251" s="66"/>
      <c r="I251" s="66"/>
      <c r="J251" s="66"/>
      <c r="K251" s="248">
        <f>K253-K252</f>
        <v>1283</v>
      </c>
      <c r="L251" s="66"/>
      <c r="M251" s="66"/>
      <c r="N251" s="66"/>
      <c r="O251" s="66"/>
      <c r="P251" s="248">
        <f>P253-P252</f>
        <v>1148</v>
      </c>
      <c r="Q251" s="66"/>
      <c r="R251" s="66"/>
      <c r="S251" s="66"/>
      <c r="T251" s="66"/>
      <c r="U251" s="248">
        <f>U253-U252</f>
        <v>1202</v>
      </c>
      <c r="V251" s="66"/>
      <c r="W251" s="66"/>
      <c r="X251" s="66"/>
      <c r="Y251" s="66"/>
      <c r="Z251" s="248">
        <f>Z253-Z252</f>
        <v>1244</v>
      </c>
      <c r="AA251" s="66"/>
      <c r="AB251" s="66"/>
      <c r="AC251" s="66"/>
      <c r="AD251" s="66"/>
      <c r="AE251" s="248">
        <f t="shared" ref="AE251:AO251" si="899">AE253-AE252</f>
        <v>1273</v>
      </c>
      <c r="AF251" s="66">
        <f t="shared" si="899"/>
        <v>301</v>
      </c>
      <c r="AG251" s="66">
        <f t="shared" si="899"/>
        <v>318</v>
      </c>
      <c r="AH251" s="66">
        <f t="shared" si="899"/>
        <v>293</v>
      </c>
      <c r="AI251" s="66">
        <f t="shared" si="899"/>
        <v>364</v>
      </c>
      <c r="AJ251" s="248">
        <f t="shared" si="899"/>
        <v>1276</v>
      </c>
      <c r="AK251" s="66">
        <f t="shared" si="899"/>
        <v>291</v>
      </c>
      <c r="AL251" s="66">
        <f t="shared" si="899"/>
        <v>288</v>
      </c>
      <c r="AM251" s="66">
        <f t="shared" si="899"/>
        <v>297</v>
      </c>
      <c r="AN251" s="66">
        <f t="shared" si="899"/>
        <v>288</v>
      </c>
      <c r="AO251" s="248">
        <f t="shared" si="899"/>
        <v>1164</v>
      </c>
      <c r="AP251" s="66"/>
      <c r="AQ251" s="66"/>
      <c r="AR251" s="66"/>
      <c r="AS251" s="66"/>
      <c r="AT251" s="248"/>
      <c r="AU251" s="66">
        <f t="shared" ref="AU251:AZ251" si="900">AU253-AU252</f>
        <v>428</v>
      </c>
      <c r="AV251" s="66">
        <f t="shared" si="900"/>
        <v>423</v>
      </c>
      <c r="AW251" s="66">
        <f t="shared" si="900"/>
        <v>415</v>
      </c>
      <c r="AX251" s="66">
        <f t="shared" si="900"/>
        <v>413</v>
      </c>
      <c r="AY251" s="248">
        <f t="shared" si="900"/>
        <v>1679</v>
      </c>
      <c r="AZ251" s="66">
        <f t="shared" si="900"/>
        <v>384</v>
      </c>
      <c r="BA251" s="66">
        <f>BA253-BA252</f>
        <v>383</v>
      </c>
      <c r="BB251" s="66">
        <f>BB253-BB252</f>
        <v>385</v>
      </c>
      <c r="BC251" s="66">
        <f>BC253-BC252</f>
        <v>384</v>
      </c>
      <c r="BD251" s="248">
        <f>SUM(AZ251:BC251)</f>
        <v>1536</v>
      </c>
      <c r="BE251" s="66">
        <f>BE253-BE252</f>
        <v>385</v>
      </c>
      <c r="BF251" s="66">
        <f>BF253-BF252</f>
        <v>379</v>
      </c>
      <c r="BG251" s="66">
        <f>BG253-BG252</f>
        <v>375</v>
      </c>
      <c r="BH251" s="66">
        <f>BH253-BH252</f>
        <v>372</v>
      </c>
      <c r="BI251" s="248">
        <f t="shared" si="892"/>
        <v>1511</v>
      </c>
      <c r="BJ251" s="66">
        <f>BJ253-BJ252</f>
        <v>376</v>
      </c>
      <c r="BK251" s="66">
        <f>BK253-BK252</f>
        <v>381</v>
      </c>
      <c r="BL251" s="66">
        <f>BL253-BL252</f>
        <v>384</v>
      </c>
      <c r="BM251" s="66">
        <v>382</v>
      </c>
      <c r="BN251" s="350">
        <f t="shared" ref="BN251:BN256" si="901">SUM(BJ251:BM251)</f>
        <v>1523</v>
      </c>
      <c r="BO251" s="66">
        <f>BO127</f>
        <v>386</v>
      </c>
      <c r="BP251" s="66">
        <f>BP127</f>
        <v>388</v>
      </c>
      <c r="BQ251" s="66">
        <f>BQ127</f>
        <v>392</v>
      </c>
      <c r="BR251" s="66">
        <f>BR127</f>
        <v>399</v>
      </c>
      <c r="BS251" s="248">
        <f t="shared" ref="BS251:BS256" si="902">SUM(BO251:BR251)</f>
        <v>1565</v>
      </c>
      <c r="BT251" s="66">
        <f>BT127</f>
        <v>405</v>
      </c>
      <c r="BU251" s="66">
        <f>BU127</f>
        <v>415</v>
      </c>
      <c r="BV251" s="66">
        <f>BV127</f>
        <v>418</v>
      </c>
      <c r="BW251" s="66">
        <f>BW127</f>
        <v>420</v>
      </c>
      <c r="BX251" s="248">
        <f t="shared" ref="BX251:BX256" si="903">SUM(BT251:BW251)</f>
        <v>1658</v>
      </c>
      <c r="BY251" s="66">
        <f>BY127</f>
        <v>442</v>
      </c>
      <c r="BZ251" s="66">
        <f>BZ127</f>
        <v>451</v>
      </c>
      <c r="CA251" s="66">
        <f>CA127</f>
        <v>440</v>
      </c>
      <c r="CB251" s="66">
        <f>CB127</f>
        <v>438</v>
      </c>
      <c r="CC251" s="248">
        <f t="shared" ref="CC251:CC256" si="904">SUM(BY251:CB251)</f>
        <v>1771</v>
      </c>
      <c r="CD251" s="66">
        <f>CD127</f>
        <v>470</v>
      </c>
      <c r="CE251" s="66">
        <f>CE127</f>
        <v>448</v>
      </c>
      <c r="CF251" s="66">
        <f>CF127</f>
        <v>466</v>
      </c>
      <c r="CG251" s="66">
        <f>CG127</f>
        <v>451</v>
      </c>
      <c r="CH251" s="248">
        <f t="shared" ref="CH251:CH256" si="905">SUM(CD251:CG251)</f>
        <v>1835</v>
      </c>
      <c r="CI251" s="66">
        <f>CI127</f>
        <v>486</v>
      </c>
      <c r="CJ251" s="66">
        <f>CJ127</f>
        <v>470</v>
      </c>
      <c r="CK251" s="66">
        <f>CK127</f>
        <v>474</v>
      </c>
      <c r="CL251" s="66">
        <f>CL127</f>
        <v>472</v>
      </c>
      <c r="CM251" s="248">
        <f t="shared" ref="CM251:CM256" si="906">SUM(CI251:CL251)</f>
        <v>1902</v>
      </c>
      <c r="CN251" s="66">
        <f>CN127</f>
        <v>540</v>
      </c>
      <c r="CO251" s="66">
        <f>CO127</f>
        <v>535</v>
      </c>
      <c r="CP251" s="66">
        <f>CP127</f>
        <v>574</v>
      </c>
      <c r="CQ251" s="66">
        <f>CQ127</f>
        <v>586</v>
      </c>
      <c r="CR251" s="248">
        <f t="shared" ref="CR251:CR256" si="907">SUM(CN251:CQ251)</f>
        <v>2235</v>
      </c>
      <c r="CS251" s="66">
        <f>CS127</f>
        <v>537</v>
      </c>
      <c r="CT251" s="66">
        <f>CT127</f>
        <v>531</v>
      </c>
      <c r="CU251" s="66">
        <f>CU127</f>
        <v>571</v>
      </c>
      <c r="CV251" s="66">
        <f>CV127</f>
        <v>583</v>
      </c>
      <c r="CW251" s="248">
        <f t="shared" ref="CW251:CW253" si="908">SUM(CS251:CV251)</f>
        <v>2222</v>
      </c>
      <c r="CX251" s="66">
        <f>CX127</f>
        <v>610</v>
      </c>
      <c r="CY251" s="66">
        <f>CY127</f>
        <v>600.03</v>
      </c>
      <c r="CZ251" s="66">
        <f>CZ127</f>
        <v>605.26</v>
      </c>
      <c r="DA251" s="66">
        <f>DA127</f>
        <v>600.49</v>
      </c>
      <c r="DB251" s="248">
        <f t="shared" ref="DB251:DB255" si="909">SUM(CX251:DA251)</f>
        <v>2415.7799999999997</v>
      </c>
      <c r="DC251" s="66"/>
      <c r="DD251" s="66"/>
      <c r="DE251" s="66"/>
      <c r="DF251" s="66"/>
      <c r="DG251" s="248">
        <f>DG127</f>
        <v>2500.3322999999996</v>
      </c>
      <c r="DH251" s="66"/>
      <c r="DI251" s="66"/>
      <c r="DJ251" s="66"/>
      <c r="DK251" s="66"/>
      <c r="DL251" s="248">
        <f>DL127</f>
        <v>2562.8406074999994</v>
      </c>
      <c r="DM251" s="66"/>
      <c r="DN251" s="526"/>
      <c r="DO251" s="486"/>
      <c r="DP251" s="411"/>
      <c r="DQ251" s="411"/>
      <c r="DR251" s="411"/>
      <c r="DS251" s="478"/>
      <c r="DT251" s="554"/>
      <c r="DU251" s="458"/>
      <c r="DV251" s="810"/>
      <c r="DW251" s="810"/>
      <c r="DX251" s="809"/>
      <c r="DY251" s="808"/>
      <c r="DZ251" s="808"/>
      <c r="EA251" s="526"/>
      <c r="EH251" s="8"/>
    </row>
    <row r="252" spans="1:138" ht="12.75" customHeight="1" x14ac:dyDescent="0.2">
      <c r="A252" s="66" t="s">
        <v>122</v>
      </c>
      <c r="B252" s="881"/>
      <c r="C252" s="881"/>
      <c r="D252" s="881"/>
      <c r="E252" s="881"/>
      <c r="F252" s="905">
        <v>59</v>
      </c>
      <c r="G252" s="881"/>
      <c r="H252" s="881"/>
      <c r="I252" s="881"/>
      <c r="J252" s="881"/>
      <c r="K252" s="905">
        <v>0</v>
      </c>
      <c r="L252" s="881"/>
      <c r="M252" s="881"/>
      <c r="N252" s="881"/>
      <c r="O252" s="881"/>
      <c r="P252" s="905">
        <v>0</v>
      </c>
      <c r="Q252" s="881"/>
      <c r="R252" s="881"/>
      <c r="S252" s="881"/>
      <c r="T252" s="881"/>
      <c r="U252" s="905">
        <v>0</v>
      </c>
      <c r="V252" s="881"/>
      <c r="W252" s="881"/>
      <c r="X252" s="881"/>
      <c r="Y252" s="881"/>
      <c r="Z252" s="905">
        <v>0</v>
      </c>
      <c r="AA252" s="881"/>
      <c r="AB252" s="881"/>
      <c r="AC252" s="881"/>
      <c r="AD252" s="881"/>
      <c r="AE252" s="905">
        <v>0</v>
      </c>
      <c r="AF252" s="881">
        <v>0</v>
      </c>
      <c r="AG252" s="881">
        <v>0</v>
      </c>
      <c r="AH252" s="881">
        <v>0</v>
      </c>
      <c r="AI252" s="881">
        <v>0</v>
      </c>
      <c r="AJ252" s="248">
        <v>0</v>
      </c>
      <c r="AK252" s="881">
        <v>0</v>
      </c>
      <c r="AL252" s="881">
        <v>0</v>
      </c>
      <c r="AM252" s="881">
        <v>0</v>
      </c>
      <c r="AN252" s="881">
        <v>0</v>
      </c>
      <c r="AO252" s="248">
        <v>0</v>
      </c>
      <c r="AP252" s="881"/>
      <c r="AQ252" s="881"/>
      <c r="AR252" s="881"/>
      <c r="AS252" s="881"/>
      <c r="AT252" s="248"/>
      <c r="AU252" s="881">
        <v>0</v>
      </c>
      <c r="AV252" s="881">
        <v>0</v>
      </c>
      <c r="AW252" s="881">
        <v>0</v>
      </c>
      <c r="AX252" s="881">
        <v>0</v>
      </c>
      <c r="AY252" s="248">
        <v>0</v>
      </c>
      <c r="AZ252" s="881">
        <v>0</v>
      </c>
      <c r="BA252" s="881">
        <v>0</v>
      </c>
      <c r="BB252" s="881">
        <v>0</v>
      </c>
      <c r="BC252" s="881">
        <v>0</v>
      </c>
      <c r="BD252" s="248">
        <f>SUM(AZ252:BC252)</f>
        <v>0</v>
      </c>
      <c r="BE252" s="881">
        <v>0</v>
      </c>
      <c r="BF252" s="881">
        <v>0</v>
      </c>
      <c r="BG252" s="881">
        <v>0</v>
      </c>
      <c r="BH252" s="881">
        <v>0</v>
      </c>
      <c r="BI252" s="248">
        <f t="shared" si="892"/>
        <v>0</v>
      </c>
      <c r="BJ252" s="881">
        <v>0</v>
      </c>
      <c r="BK252" s="881">
        <v>0</v>
      </c>
      <c r="BL252" s="881">
        <v>0</v>
      </c>
      <c r="BM252" s="881">
        <v>0</v>
      </c>
      <c r="BN252" s="350">
        <f t="shared" si="901"/>
        <v>0</v>
      </c>
      <c r="BO252" s="881">
        <v>0</v>
      </c>
      <c r="BP252" s="881">
        <v>0</v>
      </c>
      <c r="BQ252" s="881">
        <v>0</v>
      </c>
      <c r="BR252" s="881">
        <v>0</v>
      </c>
      <c r="BS252" s="248">
        <f t="shared" si="902"/>
        <v>0</v>
      </c>
      <c r="BT252" s="881">
        <v>0</v>
      </c>
      <c r="BU252" s="881">
        <v>0</v>
      </c>
      <c r="BV252" s="881">
        <v>0</v>
      </c>
      <c r="BW252" s="881">
        <v>0</v>
      </c>
      <c r="BX252" s="248">
        <f t="shared" si="903"/>
        <v>0</v>
      </c>
      <c r="BY252" s="881">
        <v>0</v>
      </c>
      <c r="BZ252" s="881">
        <v>0</v>
      </c>
      <c r="CA252" s="881">
        <v>0</v>
      </c>
      <c r="CB252" s="881">
        <v>0</v>
      </c>
      <c r="CC252" s="248">
        <f t="shared" si="904"/>
        <v>0</v>
      </c>
      <c r="CD252" s="881">
        <v>0</v>
      </c>
      <c r="CE252" s="881">
        <v>0</v>
      </c>
      <c r="CF252" s="881">
        <v>0</v>
      </c>
      <c r="CG252" s="881">
        <v>0</v>
      </c>
      <c r="CH252" s="248">
        <f t="shared" si="905"/>
        <v>0</v>
      </c>
      <c r="CI252" s="881">
        <v>0</v>
      </c>
      <c r="CJ252" s="881">
        <v>0</v>
      </c>
      <c r="CK252" s="881">
        <v>0</v>
      </c>
      <c r="CL252" s="881">
        <v>0</v>
      </c>
      <c r="CM252" s="248">
        <f t="shared" si="906"/>
        <v>0</v>
      </c>
      <c r="CN252" s="881">
        <v>0</v>
      </c>
      <c r="CO252" s="881">
        <v>0</v>
      </c>
      <c r="CP252" s="881">
        <v>0</v>
      </c>
      <c r="CQ252" s="881">
        <v>0</v>
      </c>
      <c r="CR252" s="248">
        <f t="shared" si="907"/>
        <v>0</v>
      </c>
      <c r="CS252" s="881">
        <v>0</v>
      </c>
      <c r="CT252" s="881">
        <v>0</v>
      </c>
      <c r="CU252" s="881">
        <v>0</v>
      </c>
      <c r="CV252" s="881">
        <v>0</v>
      </c>
      <c r="CW252" s="248">
        <f t="shared" si="908"/>
        <v>0</v>
      </c>
      <c r="CX252" s="881">
        <v>0</v>
      </c>
      <c r="CY252" s="91">
        <v>0</v>
      </c>
      <c r="CZ252" s="91">
        <v>0</v>
      </c>
      <c r="DA252" s="91">
        <v>0</v>
      </c>
      <c r="DB252" s="248">
        <f>SUM(CX252:DA252)</f>
        <v>0</v>
      </c>
      <c r="DC252" s="66"/>
      <c r="DD252" s="66"/>
      <c r="DE252" s="91"/>
      <c r="DF252" s="91"/>
      <c r="DG252" s="302">
        <v>0</v>
      </c>
      <c r="DH252" s="66"/>
      <c r="DI252" s="66"/>
      <c r="DJ252" s="91"/>
      <c r="DK252" s="91"/>
      <c r="DL252" s="302">
        <v>0</v>
      </c>
      <c r="DM252" s="66"/>
      <c r="DN252" s="526"/>
      <c r="DO252" s="486"/>
      <c r="DP252" s="411"/>
      <c r="DQ252" s="411"/>
      <c r="DR252" s="411"/>
      <c r="DS252" s="478" t="s">
        <v>561</v>
      </c>
      <c r="DT252" s="554"/>
      <c r="DU252" s="795"/>
      <c r="DV252" s="811"/>
      <c r="DW252" s="811"/>
      <c r="DX252" s="811"/>
      <c r="DY252" s="812"/>
      <c r="DZ252" s="812"/>
      <c r="EA252" s="526"/>
      <c r="EH252" s="8"/>
    </row>
    <row r="253" spans="1:138" ht="12.75" customHeight="1" x14ac:dyDescent="0.2">
      <c r="A253" s="79" t="s">
        <v>142</v>
      </c>
      <c r="B253" s="79"/>
      <c r="C253" s="79"/>
      <c r="D253" s="79"/>
      <c r="E253" s="79"/>
      <c r="F253" s="227">
        <f>F127</f>
        <v>1186</v>
      </c>
      <c r="G253" s="79"/>
      <c r="H253" s="79"/>
      <c r="I253" s="79"/>
      <c r="J253" s="79"/>
      <c r="K253" s="227">
        <f>K127</f>
        <v>1283</v>
      </c>
      <c r="L253" s="79"/>
      <c r="M253" s="79"/>
      <c r="N253" s="79"/>
      <c r="O253" s="79"/>
      <c r="P253" s="227">
        <f>P127</f>
        <v>1148</v>
      </c>
      <c r="Q253" s="79"/>
      <c r="R253" s="79"/>
      <c r="S253" s="79"/>
      <c r="T253" s="79"/>
      <c r="U253" s="227">
        <f>U127</f>
        <v>1202</v>
      </c>
      <c r="V253" s="79"/>
      <c r="W253" s="79"/>
      <c r="X253" s="79"/>
      <c r="Y253" s="79"/>
      <c r="Z253" s="227">
        <f>Z127</f>
        <v>1244</v>
      </c>
      <c r="AA253" s="79"/>
      <c r="AB253" s="79"/>
      <c r="AC253" s="79"/>
      <c r="AD253" s="79"/>
      <c r="AE253" s="227">
        <f t="shared" ref="AE253:AO253" si="910">AE127</f>
        <v>1273</v>
      </c>
      <c r="AF253" s="79">
        <f t="shared" si="910"/>
        <v>301</v>
      </c>
      <c r="AG253" s="79">
        <f t="shared" si="910"/>
        <v>318</v>
      </c>
      <c r="AH253" s="79">
        <f t="shared" si="910"/>
        <v>293</v>
      </c>
      <c r="AI253" s="79">
        <f t="shared" si="910"/>
        <v>364</v>
      </c>
      <c r="AJ253" s="227">
        <f t="shared" si="910"/>
        <v>1276</v>
      </c>
      <c r="AK253" s="79">
        <f t="shared" si="910"/>
        <v>291</v>
      </c>
      <c r="AL253" s="79">
        <f t="shared" si="910"/>
        <v>288</v>
      </c>
      <c r="AM253" s="79">
        <f t="shared" si="910"/>
        <v>297</v>
      </c>
      <c r="AN253" s="79">
        <f t="shared" si="910"/>
        <v>288</v>
      </c>
      <c r="AO253" s="227">
        <f t="shared" si="910"/>
        <v>1164</v>
      </c>
      <c r="AP253" s="79"/>
      <c r="AQ253" s="79"/>
      <c r="AR253" s="79"/>
      <c r="AS253" s="79"/>
      <c r="AT253" s="227"/>
      <c r="AU253" s="79">
        <f t="shared" ref="AU253:BC253" si="911">AU127</f>
        <v>428</v>
      </c>
      <c r="AV253" s="79">
        <f t="shared" si="911"/>
        <v>423</v>
      </c>
      <c r="AW253" s="79">
        <f t="shared" si="911"/>
        <v>415</v>
      </c>
      <c r="AX253" s="79">
        <f t="shared" si="911"/>
        <v>413</v>
      </c>
      <c r="AY253" s="227">
        <f t="shared" si="911"/>
        <v>1679</v>
      </c>
      <c r="AZ253" s="79">
        <f t="shared" si="911"/>
        <v>384</v>
      </c>
      <c r="BA253" s="79">
        <f t="shared" si="911"/>
        <v>383</v>
      </c>
      <c r="BB253" s="79">
        <f t="shared" si="911"/>
        <v>385</v>
      </c>
      <c r="BC253" s="79">
        <f t="shared" si="911"/>
        <v>384</v>
      </c>
      <c r="BD253" s="227">
        <f>SUM(AZ253:BC253)</f>
        <v>1536</v>
      </c>
      <c r="BE253" s="79">
        <f>BE127</f>
        <v>385</v>
      </c>
      <c r="BF253" s="79">
        <f>BF127</f>
        <v>379</v>
      </c>
      <c r="BG253" s="79">
        <f>BG127</f>
        <v>375</v>
      </c>
      <c r="BH253" s="79">
        <f>BH127</f>
        <v>372</v>
      </c>
      <c r="BI253" s="227">
        <f t="shared" si="892"/>
        <v>1511</v>
      </c>
      <c r="BJ253" s="79">
        <f>BJ127</f>
        <v>376</v>
      </c>
      <c r="BK253" s="79">
        <f>BK127</f>
        <v>381</v>
      </c>
      <c r="BL253" s="79">
        <f>BL127</f>
        <v>384</v>
      </c>
      <c r="BM253" s="79">
        <f>BM252+BM251</f>
        <v>382</v>
      </c>
      <c r="BN253" s="342">
        <f t="shared" si="901"/>
        <v>1523</v>
      </c>
      <c r="BO253" s="79">
        <f>BO252+BO251</f>
        <v>386</v>
      </c>
      <c r="BP253" s="79">
        <f>BP252+BP251</f>
        <v>388</v>
      </c>
      <c r="BQ253" s="79">
        <f>BQ252+BQ251</f>
        <v>392</v>
      </c>
      <c r="BR253" s="79">
        <f>BR252+BR251</f>
        <v>399</v>
      </c>
      <c r="BS253" s="227">
        <f t="shared" si="902"/>
        <v>1565</v>
      </c>
      <c r="BT253" s="79">
        <f>BT252+BT251</f>
        <v>405</v>
      </c>
      <c r="BU253" s="79">
        <f>BU252+BU251</f>
        <v>415</v>
      </c>
      <c r="BV253" s="79">
        <f>BV252+BV251</f>
        <v>418</v>
      </c>
      <c r="BW253" s="79">
        <f>BW252+BW251</f>
        <v>420</v>
      </c>
      <c r="BX253" s="227">
        <f t="shared" si="903"/>
        <v>1658</v>
      </c>
      <c r="BY253" s="79">
        <f>BY252+BY251</f>
        <v>442</v>
      </c>
      <c r="BZ253" s="79">
        <f>BZ252+BZ251</f>
        <v>451</v>
      </c>
      <c r="CA253" s="79">
        <f>CA252+CA251</f>
        <v>440</v>
      </c>
      <c r="CB253" s="79">
        <f>CB252+CB251</f>
        <v>438</v>
      </c>
      <c r="CC253" s="227">
        <f t="shared" si="904"/>
        <v>1771</v>
      </c>
      <c r="CD253" s="79">
        <f>CD252+CD251</f>
        <v>470</v>
      </c>
      <c r="CE253" s="79">
        <f>CE252+CE251</f>
        <v>448</v>
      </c>
      <c r="CF253" s="79">
        <f>CF252+CF251</f>
        <v>466</v>
      </c>
      <c r="CG253" s="79">
        <f>CG252+CG251</f>
        <v>451</v>
      </c>
      <c r="CH253" s="227">
        <f t="shared" si="905"/>
        <v>1835</v>
      </c>
      <c r="CI253" s="79">
        <f>CI252+CI251</f>
        <v>486</v>
      </c>
      <c r="CJ253" s="79">
        <f>CJ252+CJ251</f>
        <v>470</v>
      </c>
      <c r="CK253" s="79">
        <f>CK252+CK251</f>
        <v>474</v>
      </c>
      <c r="CL253" s="79">
        <f>CL252+CL251</f>
        <v>472</v>
      </c>
      <c r="CM253" s="227">
        <f t="shared" si="906"/>
        <v>1902</v>
      </c>
      <c r="CN253" s="79">
        <f t="shared" ref="CN253:CQ253" si="912">CN252+CN251</f>
        <v>540</v>
      </c>
      <c r="CO253" s="79">
        <f t="shared" si="912"/>
        <v>535</v>
      </c>
      <c r="CP253" s="79">
        <f t="shared" si="912"/>
        <v>574</v>
      </c>
      <c r="CQ253" s="79">
        <f t="shared" si="912"/>
        <v>586</v>
      </c>
      <c r="CR253" s="227">
        <f t="shared" si="907"/>
        <v>2235</v>
      </c>
      <c r="CS253" s="79">
        <f t="shared" ref="CS253:CV253" si="913">CS252+CS251</f>
        <v>537</v>
      </c>
      <c r="CT253" s="79">
        <f t="shared" si="913"/>
        <v>531</v>
      </c>
      <c r="CU253" s="79">
        <f t="shared" si="913"/>
        <v>571</v>
      </c>
      <c r="CV253" s="79">
        <f t="shared" si="913"/>
        <v>583</v>
      </c>
      <c r="CW253" s="227">
        <f t="shared" si="908"/>
        <v>2222</v>
      </c>
      <c r="CX253" s="79">
        <f t="shared" ref="CX253:DA253" si="914">CX252+CX251</f>
        <v>610</v>
      </c>
      <c r="CY253" s="79">
        <f t="shared" si="914"/>
        <v>600.03</v>
      </c>
      <c r="CZ253" s="79">
        <f t="shared" si="914"/>
        <v>605.26</v>
      </c>
      <c r="DA253" s="79">
        <f t="shared" si="914"/>
        <v>600.49</v>
      </c>
      <c r="DB253" s="227">
        <f t="shared" si="909"/>
        <v>2415.7799999999997</v>
      </c>
      <c r="DC253" s="79"/>
      <c r="DD253" s="79"/>
      <c r="DE253" s="79"/>
      <c r="DF253" s="79"/>
      <c r="DG253" s="227">
        <f>DG252+DG251</f>
        <v>2500.3322999999996</v>
      </c>
      <c r="DH253" s="79"/>
      <c r="DI253" s="79"/>
      <c r="DJ253" s="79"/>
      <c r="DK253" s="79"/>
      <c r="DL253" s="227">
        <f>DL252+DL251</f>
        <v>2562.8406074999994</v>
      </c>
      <c r="DM253" s="79"/>
      <c r="DN253" s="522"/>
      <c r="DO253" s="486"/>
      <c r="DP253" s="411"/>
      <c r="DQ253" s="411"/>
      <c r="DR253" s="411"/>
      <c r="DS253" s="863" t="s">
        <v>560</v>
      </c>
      <c r="DT253" s="554"/>
      <c r="DU253" s="799"/>
      <c r="DV253" s="799"/>
      <c r="DW253" s="799"/>
      <c r="DX253" s="799"/>
      <c r="DY253" s="472"/>
      <c r="DZ253" s="472"/>
      <c r="EA253" s="522"/>
      <c r="EH253" s="8"/>
    </row>
    <row r="254" spans="1:138" ht="12.75" customHeight="1" x14ac:dyDescent="0.2">
      <c r="A254" s="66" t="s">
        <v>342</v>
      </c>
      <c r="B254" s="881"/>
      <c r="C254" s="881"/>
      <c r="D254" s="881"/>
      <c r="E254" s="881"/>
      <c r="F254" s="905">
        <v>396</v>
      </c>
      <c r="G254" s="881"/>
      <c r="H254" s="881"/>
      <c r="I254" s="881"/>
      <c r="J254" s="881"/>
      <c r="K254" s="905">
        <v>-648</v>
      </c>
      <c r="L254" s="881"/>
      <c r="M254" s="881"/>
      <c r="N254" s="881"/>
      <c r="O254" s="881"/>
      <c r="P254" s="905">
        <v>-411</v>
      </c>
      <c r="Q254" s="881"/>
      <c r="R254" s="881"/>
      <c r="S254" s="881"/>
      <c r="T254" s="881"/>
      <c r="U254" s="905">
        <v>-416</v>
      </c>
      <c r="V254" s="881"/>
      <c r="W254" s="881"/>
      <c r="X254" s="881"/>
      <c r="Y254" s="881"/>
      <c r="Z254" s="905">
        <v>-1206</v>
      </c>
      <c r="AA254" s="881"/>
      <c r="AB254" s="881"/>
      <c r="AC254" s="881"/>
      <c r="AD254" s="881"/>
      <c r="AE254" s="905">
        <v>-41</v>
      </c>
      <c r="AF254" s="881"/>
      <c r="AG254" s="881"/>
      <c r="AH254" s="881"/>
      <c r="AI254" s="881"/>
      <c r="AJ254" s="248">
        <v>-765</v>
      </c>
      <c r="AK254" s="881"/>
      <c r="AL254" s="881"/>
      <c r="AM254" s="881"/>
      <c r="AN254" s="881"/>
      <c r="AO254" s="248">
        <v>207</v>
      </c>
      <c r="AP254" s="881"/>
      <c r="AQ254" s="881"/>
      <c r="AR254" s="881"/>
      <c r="AS254" s="881"/>
      <c r="AT254" s="248"/>
      <c r="AU254" s="881"/>
      <c r="AV254" s="881"/>
      <c r="AW254" s="881"/>
      <c r="AX254" s="881"/>
      <c r="AY254" s="248">
        <v>-119</v>
      </c>
      <c r="AZ254" s="881">
        <f>AZ181</f>
        <v>0</v>
      </c>
      <c r="BA254" s="881">
        <f>BA181</f>
        <v>4</v>
      </c>
      <c r="BB254" s="881">
        <f>BB181</f>
        <v>-18</v>
      </c>
      <c r="BC254" s="881">
        <f>BC181</f>
        <v>-9</v>
      </c>
      <c r="BD254" s="248">
        <f>SUM(AZ254:BC254)</f>
        <v>-23</v>
      </c>
      <c r="BE254" s="881">
        <f>BE181</f>
        <v>10</v>
      </c>
      <c r="BF254" s="881">
        <f>BF181</f>
        <v>-1</v>
      </c>
      <c r="BG254" s="881">
        <f>BG181</f>
        <v>3</v>
      </c>
      <c r="BH254" s="881">
        <f>BH181</f>
        <v>2</v>
      </c>
      <c r="BI254" s="248">
        <f t="shared" si="892"/>
        <v>14</v>
      </c>
      <c r="BJ254" s="881">
        <f>BJ181</f>
        <v>-71</v>
      </c>
      <c r="BK254" s="881">
        <f>BK181</f>
        <v>-3</v>
      </c>
      <c r="BL254" s="881">
        <f>BL181</f>
        <v>-2</v>
      </c>
      <c r="BM254" s="881">
        <v>68</v>
      </c>
      <c r="BN254" s="350">
        <f t="shared" si="901"/>
        <v>-8</v>
      </c>
      <c r="BO254" s="881">
        <f>BO181</f>
        <v>3</v>
      </c>
      <c r="BP254" s="881">
        <f>BP181</f>
        <v>4</v>
      </c>
      <c r="BQ254" s="881">
        <f>BQ181</f>
        <v>5</v>
      </c>
      <c r="BR254" s="881">
        <f>BR181</f>
        <v>3</v>
      </c>
      <c r="BS254" s="248">
        <f t="shared" si="902"/>
        <v>15</v>
      </c>
      <c r="BT254" s="881">
        <f>BT181</f>
        <v>-4</v>
      </c>
      <c r="BU254" s="881">
        <f>BU181</f>
        <v>1</v>
      </c>
      <c r="BV254" s="881">
        <f>BV181</f>
        <v>-6</v>
      </c>
      <c r="BW254" s="881">
        <f>BW181</f>
        <v>-15</v>
      </c>
      <c r="BX254" s="248">
        <f t="shared" si="903"/>
        <v>-24</v>
      </c>
      <c r="BY254" s="881">
        <f>BY181</f>
        <v>163</v>
      </c>
      <c r="BZ254" s="881">
        <f>BZ181</f>
        <v>549</v>
      </c>
      <c r="CA254" s="881">
        <f>CA181</f>
        <v>623</v>
      </c>
      <c r="CB254" s="881">
        <f>CB181</f>
        <v>368</v>
      </c>
      <c r="CC254" s="248">
        <f t="shared" si="904"/>
        <v>1703</v>
      </c>
      <c r="CD254" s="881">
        <v>435</v>
      </c>
      <c r="CE254" s="881">
        <v>868</v>
      </c>
      <c r="CF254" s="881">
        <f>CF181</f>
        <v>800</v>
      </c>
      <c r="CG254" s="881">
        <v>558</v>
      </c>
      <c r="CH254" s="248">
        <f t="shared" si="905"/>
        <v>2661</v>
      </c>
      <c r="CI254" s="881">
        <v>475</v>
      </c>
      <c r="CJ254" s="881">
        <v>791</v>
      </c>
      <c r="CK254" s="881">
        <v>625</v>
      </c>
      <c r="CL254" s="881">
        <f>2223-CK254-CJ254-CI254</f>
        <v>332</v>
      </c>
      <c r="CM254" s="248">
        <f t="shared" si="906"/>
        <v>2223</v>
      </c>
      <c r="CN254" s="881">
        <v>301</v>
      </c>
      <c r="CO254" s="881">
        <v>651</v>
      </c>
      <c r="CP254" s="881">
        <v>622</v>
      </c>
      <c r="CQ254" s="881">
        <v>497</v>
      </c>
      <c r="CR254" s="248">
        <f>SUM(CN254:CQ254)</f>
        <v>2071</v>
      </c>
      <c r="CS254" s="881">
        <v>276</v>
      </c>
      <c r="CT254" s="881">
        <v>651</v>
      </c>
      <c r="CU254" s="881">
        <v>622</v>
      </c>
      <c r="CV254" s="881">
        <v>497</v>
      </c>
      <c r="CW254" s="248">
        <f>SUM(CS254:CV254)</f>
        <v>2046</v>
      </c>
      <c r="CX254" s="881">
        <v>165</v>
      </c>
      <c r="CY254" s="66">
        <f t="shared" ref="CY254:DA254" si="915">CY181</f>
        <v>400.95712538950443</v>
      </c>
      <c r="CZ254" s="66">
        <f t="shared" si="915"/>
        <v>384.26415968823005</v>
      </c>
      <c r="DA254" s="66">
        <f t="shared" si="915"/>
        <v>305.30102068599501</v>
      </c>
      <c r="DB254" s="248">
        <f t="shared" si="909"/>
        <v>1255.5223057637295</v>
      </c>
      <c r="DC254" s="91"/>
      <c r="DD254" s="91"/>
      <c r="DE254" s="91"/>
      <c r="DF254" s="91"/>
      <c r="DG254" s="792">
        <f>DG181</f>
        <v>1340.1317150436512</v>
      </c>
      <c r="DH254" s="91"/>
      <c r="DI254" s="91"/>
      <c r="DJ254" s="91"/>
      <c r="DK254" s="91"/>
      <c r="DL254" s="792">
        <f>DL181</f>
        <v>1468.8397830707438</v>
      </c>
      <c r="DM254" s="66"/>
      <c r="DN254" s="526"/>
      <c r="DO254" s="486"/>
      <c r="DP254" s="411"/>
      <c r="DQ254" s="411"/>
      <c r="DR254" s="411"/>
      <c r="DS254" s="863" t="s">
        <v>562</v>
      </c>
      <c r="DT254" s="554"/>
      <c r="DU254" s="458"/>
      <c r="DV254" s="184"/>
      <c r="DW254" s="184"/>
      <c r="DX254" s="458"/>
      <c r="DY254" s="478"/>
      <c r="DZ254" s="478"/>
      <c r="EA254" s="526"/>
      <c r="EH254" s="8"/>
    </row>
    <row r="255" spans="1:138" ht="12.75" customHeight="1" x14ac:dyDescent="0.2">
      <c r="A255" s="66" t="s">
        <v>346</v>
      </c>
      <c r="B255" s="881"/>
      <c r="C255" s="881"/>
      <c r="D255" s="881"/>
      <c r="E255" s="881"/>
      <c r="F255" s="905">
        <v>0</v>
      </c>
      <c r="G255" s="881"/>
      <c r="H255" s="881"/>
      <c r="I255" s="881"/>
      <c r="J255" s="881"/>
      <c r="K255" s="905">
        <v>0</v>
      </c>
      <c r="L255" s="881"/>
      <c r="M255" s="881"/>
      <c r="N255" s="881"/>
      <c r="O255" s="881"/>
      <c r="P255" s="905">
        <v>0</v>
      </c>
      <c r="Q255" s="881"/>
      <c r="R255" s="881"/>
      <c r="S255" s="881"/>
      <c r="T255" s="881"/>
      <c r="U255" s="905">
        <v>0</v>
      </c>
      <c r="V255" s="881"/>
      <c r="W255" s="881"/>
      <c r="X255" s="881"/>
      <c r="Y255" s="881"/>
      <c r="Z255" s="905">
        <v>0</v>
      </c>
      <c r="AA255" s="881"/>
      <c r="AB255" s="881"/>
      <c r="AC255" s="881"/>
      <c r="AD255" s="881"/>
      <c r="AE255" s="905">
        <v>0</v>
      </c>
      <c r="AF255" s="881"/>
      <c r="AG255" s="881"/>
      <c r="AH255" s="881"/>
      <c r="AI255" s="881"/>
      <c r="AJ255" s="248">
        <v>0</v>
      </c>
      <c r="AK255" s="881"/>
      <c r="AL255" s="881"/>
      <c r="AM255" s="881"/>
      <c r="AN255" s="881"/>
      <c r="AO255" s="248">
        <v>0</v>
      </c>
      <c r="AP255" s="881"/>
      <c r="AQ255" s="881"/>
      <c r="AR255" s="881"/>
      <c r="AS255" s="881"/>
      <c r="AT255" s="248"/>
      <c r="AU255" s="881"/>
      <c r="AV255" s="881"/>
      <c r="AW255" s="881"/>
      <c r="AX255" s="881"/>
      <c r="AY255" s="248">
        <v>0</v>
      </c>
      <c r="AZ255" s="881"/>
      <c r="BA255" s="881"/>
      <c r="BB255" s="881"/>
      <c r="BC255" s="881"/>
      <c r="BD255" s="248">
        <v>0</v>
      </c>
      <c r="BE255" s="881"/>
      <c r="BF255" s="881"/>
      <c r="BG255" s="881"/>
      <c r="BH255" s="881"/>
      <c r="BI255" s="248">
        <f t="shared" si="892"/>
        <v>0</v>
      </c>
      <c r="BJ255" s="881"/>
      <c r="BK255" s="881"/>
      <c r="BL255" s="881"/>
      <c r="BM255" s="881"/>
      <c r="BN255" s="350">
        <f t="shared" si="901"/>
        <v>0</v>
      </c>
      <c r="BO255" s="881"/>
      <c r="BP255" s="881"/>
      <c r="BQ255" s="881"/>
      <c r="BR255" s="881"/>
      <c r="BS255" s="248">
        <f t="shared" si="902"/>
        <v>0</v>
      </c>
      <c r="BT255" s="881"/>
      <c r="BU255" s="881"/>
      <c r="BV255" s="881"/>
      <c r="BW255" s="881"/>
      <c r="BX255" s="248">
        <f t="shared" si="903"/>
        <v>0</v>
      </c>
      <c r="BY255" s="881">
        <v>-562</v>
      </c>
      <c r="BZ255" s="881"/>
      <c r="CA255" s="881"/>
      <c r="CB255" s="881"/>
      <c r="CC255" s="248">
        <f t="shared" si="904"/>
        <v>-562</v>
      </c>
      <c r="CD255" s="881">
        <v>-905</v>
      </c>
      <c r="CE255" s="881">
        <v>-245</v>
      </c>
      <c r="CF255" s="881"/>
      <c r="CG255" s="881"/>
      <c r="CH255" s="248">
        <f t="shared" si="905"/>
        <v>-1150</v>
      </c>
      <c r="CI255" s="881">
        <v>-760</v>
      </c>
      <c r="CJ255" s="881">
        <v>-61</v>
      </c>
      <c r="CK255" s="881">
        <v>71</v>
      </c>
      <c r="CL255" s="881">
        <f>-717-CK255-CJ255-CI255</f>
        <v>33</v>
      </c>
      <c r="CM255" s="248">
        <f t="shared" si="906"/>
        <v>-717</v>
      </c>
      <c r="CN255" s="881">
        <v>-2676</v>
      </c>
      <c r="CO255" s="881">
        <v>-602</v>
      </c>
      <c r="CP255" s="881">
        <v>0</v>
      </c>
      <c r="CQ255" s="881">
        <v>0</v>
      </c>
      <c r="CR255" s="248">
        <f t="shared" si="907"/>
        <v>-3278</v>
      </c>
      <c r="CS255" s="881">
        <v>-2676</v>
      </c>
      <c r="CT255" s="881">
        <v>-602</v>
      </c>
      <c r="CU255" s="881">
        <v>0</v>
      </c>
      <c r="CV255" s="881">
        <v>0</v>
      </c>
      <c r="CW255" s="248">
        <f t="shared" ref="CW255:CW256" si="916">SUM(CS255:CV255)</f>
        <v>-3278</v>
      </c>
      <c r="CX255" s="881">
        <v>-551</v>
      </c>
      <c r="CY255" s="91">
        <v>-146.43629767499982</v>
      </c>
      <c r="CZ255" s="91">
        <v>-146.43629767499982</v>
      </c>
      <c r="DA255" s="91">
        <v>-146.43629767499982</v>
      </c>
      <c r="DB255" s="248">
        <f t="shared" si="909"/>
        <v>-990.30889302499963</v>
      </c>
      <c r="DC255" s="91"/>
      <c r="DD255" s="91"/>
      <c r="DE255" s="91"/>
      <c r="DF255" s="91"/>
      <c r="DG255" s="302">
        <v>-596.20558561905455</v>
      </c>
      <c r="DH255" s="91"/>
      <c r="DI255" s="91"/>
      <c r="DJ255" s="91"/>
      <c r="DK255" s="91"/>
      <c r="DL255" s="302">
        <v>-600.83694539000521</v>
      </c>
      <c r="DM255" s="66"/>
      <c r="DN255" s="526"/>
      <c r="DO255" s="486"/>
      <c r="DP255" s="411"/>
      <c r="DQ255" s="411"/>
      <c r="DR255" s="411"/>
      <c r="DS255" s="478" t="s">
        <v>566</v>
      </c>
      <c r="DT255" s="554"/>
      <c r="DU255" s="458"/>
      <c r="DV255" s="184"/>
      <c r="DW255" s="184"/>
      <c r="DX255" s="458"/>
      <c r="DY255" s="478"/>
      <c r="DZ255" s="478"/>
      <c r="EA255" s="526"/>
      <c r="EH255" s="8"/>
    </row>
    <row r="256" spans="1:138" ht="12.75" customHeight="1" x14ac:dyDescent="0.2">
      <c r="A256" s="172" t="s">
        <v>343</v>
      </c>
      <c r="B256" s="79"/>
      <c r="C256" s="79"/>
      <c r="D256" s="79"/>
      <c r="E256" s="79"/>
      <c r="F256" s="227">
        <f>F257-F255-F254-F253-F250</f>
        <v>473.26394000000005</v>
      </c>
      <c r="G256" s="79"/>
      <c r="H256" s="79"/>
      <c r="I256" s="79"/>
      <c r="J256" s="79"/>
      <c r="K256" s="227">
        <f>K257-K255-K254-K253-K250</f>
        <v>818.61205999999993</v>
      </c>
      <c r="L256" s="79"/>
      <c r="M256" s="79"/>
      <c r="N256" s="79"/>
      <c r="O256" s="79"/>
      <c r="P256" s="227">
        <f>P257-P255-P254-P253-P250</f>
        <v>835.383288236</v>
      </c>
      <c r="Q256" s="79"/>
      <c r="R256" s="79"/>
      <c r="S256" s="79"/>
      <c r="T256" s="79"/>
      <c r="U256" s="227">
        <f>U257-U255-U254-U253-U250</f>
        <v>145.62951499999986</v>
      </c>
      <c r="V256" s="79"/>
      <c r="W256" s="79"/>
      <c r="X256" s="79"/>
      <c r="Y256" s="79"/>
      <c r="Z256" s="227">
        <f>Z257-Z255-Z254-Z253-Z250</f>
        <v>2611</v>
      </c>
      <c r="AA256" s="79"/>
      <c r="AB256" s="79"/>
      <c r="AC256" s="79"/>
      <c r="AD256" s="79"/>
      <c r="AE256" s="227">
        <f>AE257-AE255-AE254-AE253-AE250</f>
        <v>799</v>
      </c>
      <c r="AF256" s="79"/>
      <c r="AG256" s="79"/>
      <c r="AH256" s="79"/>
      <c r="AI256" s="79"/>
      <c r="AJ256" s="227">
        <f>AJ257-AJ255-AJ254-AJ253-AJ250</f>
        <v>759</v>
      </c>
      <c r="AK256" s="79"/>
      <c r="AL256" s="79"/>
      <c r="AM256" s="79"/>
      <c r="AN256" s="79"/>
      <c r="AO256" s="227">
        <f>AO257-AO255-AO254-AO253-AO250</f>
        <v>-1637</v>
      </c>
      <c r="AP256" s="79"/>
      <c r="AQ256" s="79"/>
      <c r="AR256" s="79"/>
      <c r="AS256" s="79"/>
      <c r="AT256" s="227"/>
      <c r="AU256" s="79"/>
      <c r="AV256" s="79"/>
      <c r="AW256" s="79"/>
      <c r="AX256" s="79"/>
      <c r="AY256" s="227">
        <f>AY257-AY255-AY254-AY253-AY250</f>
        <v>5762.2088992975259</v>
      </c>
      <c r="AZ256" s="79">
        <f>AZ257-AZ255-AZ254-AZ253-AZ250</f>
        <v>1051</v>
      </c>
      <c r="BA256" s="79">
        <f>BA257-BA255-BA254-BA253-BA250</f>
        <v>704</v>
      </c>
      <c r="BB256" s="79">
        <f>BB257-BB255-BB254-BB253-BB250</f>
        <v>-231</v>
      </c>
      <c r="BC256" s="79">
        <f>BC257-BC255-BC254-BC253-BC250</f>
        <v>-423</v>
      </c>
      <c r="BD256" s="227">
        <f>SUM(AZ256:BC256)</f>
        <v>1101</v>
      </c>
      <c r="BE256" s="79">
        <f>BE257-BE255-BE254-BE253-BE250</f>
        <v>827</v>
      </c>
      <c r="BF256" s="79">
        <f>BF257-BF255-BF254-BF253-BF250</f>
        <v>186.94000000000051</v>
      </c>
      <c r="BG256" s="79">
        <f>BG257-BG255-BG254-BG253-BG250</f>
        <v>-227</v>
      </c>
      <c r="BH256" s="79">
        <f>BH257-BH255-BH254-BH253-BH250</f>
        <v>-75</v>
      </c>
      <c r="BI256" s="227">
        <f t="shared" si="892"/>
        <v>711.94000000000051</v>
      </c>
      <c r="BJ256" s="79">
        <f>BJ257-BJ255-BJ254-BJ253-BJ250</f>
        <v>801</v>
      </c>
      <c r="BK256" s="79">
        <f>BK257-BK255-BK254-BK253-BK250</f>
        <v>410</v>
      </c>
      <c r="BL256" s="79">
        <f>BL257-BL255-BL254-BL253-BL250</f>
        <v>-1029</v>
      </c>
      <c r="BM256" s="79">
        <f>BM257-BM255-BM254-BM253-BM250</f>
        <v>283</v>
      </c>
      <c r="BN256" s="342">
        <f t="shared" si="901"/>
        <v>465</v>
      </c>
      <c r="BO256" s="79">
        <f>BO257-BO255-BO254-BO253-BO250</f>
        <v>318</v>
      </c>
      <c r="BP256" s="79">
        <f>BP257-BP255-BP254-BP253-BP250</f>
        <v>408</v>
      </c>
      <c r="BQ256" s="79">
        <f>BQ257-BQ255-BQ254-BQ253-BQ250</f>
        <v>-981</v>
      </c>
      <c r="BR256" s="79">
        <f>BR257-BR255-BR254-BR253-BR250</f>
        <v>140.75206611570249</v>
      </c>
      <c r="BS256" s="227">
        <f t="shared" si="902"/>
        <v>-114.24793388429751</v>
      </c>
      <c r="BT256" s="79">
        <f>BT257-BT255-BT254-BT253-BT250</f>
        <v>596</v>
      </c>
      <c r="BU256" s="79">
        <f>BU257-BU255-BU254-BU253-BU250</f>
        <v>107</v>
      </c>
      <c r="BV256" s="79">
        <f>BV257-BV255-BV254-BV253-BV250</f>
        <v>-620</v>
      </c>
      <c r="BW256" s="79">
        <f>BW257-BW255-BW254-BW253-BW250</f>
        <v>-7753</v>
      </c>
      <c r="BX256" s="227">
        <f t="shared" si="903"/>
        <v>-7670</v>
      </c>
      <c r="BY256" s="79">
        <f>BY257-BY255-BY254-BY253-BY250</f>
        <v>695</v>
      </c>
      <c r="BZ256" s="79">
        <f>BZ257-BZ255-BZ254-BZ253-BZ250</f>
        <v>255</v>
      </c>
      <c r="CA256" s="79">
        <f>CA257-CA255-CA254-CA253-CA250</f>
        <v>-62</v>
      </c>
      <c r="CB256" s="79">
        <f>CB257-CB255-CB254-CB253-CB250</f>
        <v>488</v>
      </c>
      <c r="CC256" s="227">
        <f t="shared" si="904"/>
        <v>1376</v>
      </c>
      <c r="CD256" s="79">
        <f>CD257-CD255-CD254-CD253-CD250</f>
        <v>890</v>
      </c>
      <c r="CE256" s="79">
        <f>CE257-CE255-CE254-CE253-CE250</f>
        <v>647</v>
      </c>
      <c r="CF256" s="79">
        <f>CF257-CF255-CF254-CF253-CF250</f>
        <v>-583</v>
      </c>
      <c r="CG256" s="79">
        <f>CG257-CG255-CG254-CG253-CG250</f>
        <v>-510</v>
      </c>
      <c r="CH256" s="227">
        <f t="shared" si="905"/>
        <v>444</v>
      </c>
      <c r="CI256" s="79">
        <f>CI257-CI255-CI254-CI253-CI250</f>
        <v>-136</v>
      </c>
      <c r="CJ256" s="79">
        <f>CJ257-CJ255-CJ254-CJ253-CJ250</f>
        <v>891</v>
      </c>
      <c r="CK256" s="79">
        <f>CK257-CK255-CK254-CK253-CK250</f>
        <v>-579</v>
      </c>
      <c r="CL256" s="79">
        <f>CL257-CL255-CL254-CL253-CL250</f>
        <v>-316</v>
      </c>
      <c r="CM256" s="227">
        <f t="shared" si="906"/>
        <v>-140</v>
      </c>
      <c r="CN256" s="79">
        <f>CN257-CN255-CN254-CN253-CN250</f>
        <v>431</v>
      </c>
      <c r="CO256" s="79">
        <f>CO257-CO255-CO254-CO253-CO250</f>
        <v>577.51</v>
      </c>
      <c r="CP256" s="79">
        <f>CP257-CP255-CP254-CP253-CP250</f>
        <v>-729</v>
      </c>
      <c r="CQ256" s="79">
        <f>CQ257-CQ255-CQ254-CQ253-CQ250</f>
        <v>262</v>
      </c>
      <c r="CR256" s="227">
        <f t="shared" si="907"/>
        <v>541.51</v>
      </c>
      <c r="CS256" s="79">
        <f>CS257-CS255-CS254-CS253-CS250</f>
        <v>472</v>
      </c>
      <c r="CT256" s="79">
        <f>CT257-CT255-CT254-CT253-CT250</f>
        <v>619.51</v>
      </c>
      <c r="CU256" s="79">
        <f>CU257-CU255-CU254-CU253-CU250</f>
        <v>-707</v>
      </c>
      <c r="CV256" s="79">
        <f>CV257-CV255-CV254-CV253-CV250</f>
        <v>294</v>
      </c>
      <c r="CW256" s="227">
        <f t="shared" si="916"/>
        <v>678.51</v>
      </c>
      <c r="CX256" s="79">
        <f>CX257-CX255-CX254-CX253-CX250</f>
        <v>572</v>
      </c>
      <c r="CY256" s="79">
        <f>CX297-CY297+CY312-CX312+CY318-CX318+CX293-CY293</f>
        <v>-324.66366395678051</v>
      </c>
      <c r="CZ256" s="79">
        <f>CY297-CZ297+CZ312-CY312+CZ318-CY318+CY293-CZ293</f>
        <v>-479.68781482954728</v>
      </c>
      <c r="DA256" s="79">
        <f>CZ297-DA297+DA312-CZ312+DA318-CZ318+CZ293-DA293</f>
        <v>735.08622659536923</v>
      </c>
      <c r="DB256" s="227">
        <f>SUM(CX256:DA256)</f>
        <v>502.73474780904144</v>
      </c>
      <c r="DC256" s="79"/>
      <c r="DD256" s="79"/>
      <c r="DE256" s="79"/>
      <c r="DF256" s="79"/>
      <c r="DG256" s="227">
        <f>DB297-DG297+DG312-DB312+DG318-DB318+DB293-DG293</f>
        <v>434.44944876931913</v>
      </c>
      <c r="DH256" s="79"/>
      <c r="DI256" s="79"/>
      <c r="DJ256" s="79"/>
      <c r="DK256" s="79"/>
      <c r="DL256" s="227">
        <f>DG297-DL297+DL312-DG312+DL318-DG318+DG293-DL293</f>
        <v>441.272388171903</v>
      </c>
      <c r="DM256" s="79"/>
      <c r="DN256" s="522"/>
      <c r="DO256" s="490"/>
      <c r="DP256" s="415"/>
      <c r="DQ256" s="415"/>
      <c r="DR256" s="415"/>
      <c r="DS256" s="478"/>
      <c r="DT256" s="478"/>
      <c r="DU256" s="478"/>
      <c r="DV256" s="472"/>
      <c r="DW256" s="472"/>
      <c r="DX256" s="472"/>
      <c r="DY256" s="472"/>
      <c r="DZ256" s="472"/>
      <c r="EA256" s="522"/>
      <c r="EH256" s="162"/>
    </row>
    <row r="257" spans="1:138" ht="12.75" customHeight="1" x14ac:dyDescent="0.2">
      <c r="A257" s="165" t="s">
        <v>411</v>
      </c>
      <c r="B257" s="882"/>
      <c r="C257" s="882"/>
      <c r="D257" s="882"/>
      <c r="E257" s="882"/>
      <c r="F257" s="906">
        <v>2898</v>
      </c>
      <c r="G257" s="882"/>
      <c r="H257" s="882"/>
      <c r="I257" s="882"/>
      <c r="J257" s="882"/>
      <c r="K257" s="906">
        <v>236</v>
      </c>
      <c r="L257" s="882"/>
      <c r="M257" s="882"/>
      <c r="N257" s="882"/>
      <c r="O257" s="882"/>
      <c r="P257" s="906">
        <v>285</v>
      </c>
      <c r="Q257" s="882"/>
      <c r="R257" s="882"/>
      <c r="S257" s="882"/>
      <c r="T257" s="882"/>
      <c r="U257" s="906">
        <v>142</v>
      </c>
      <c r="V257" s="882"/>
      <c r="W257" s="882"/>
      <c r="X257" s="882"/>
      <c r="Y257" s="882"/>
      <c r="Z257" s="906">
        <v>-1008</v>
      </c>
      <c r="AA257" s="882"/>
      <c r="AB257" s="882"/>
      <c r="AC257" s="882"/>
      <c r="AD257" s="882"/>
      <c r="AE257" s="906">
        <v>-307</v>
      </c>
      <c r="AF257" s="882">
        <v>631</v>
      </c>
      <c r="AG257" s="882">
        <f>770-AF257</f>
        <v>139</v>
      </c>
      <c r="AH257" s="882">
        <f>992-AG257-AF257</f>
        <v>222</v>
      </c>
      <c r="AI257" s="882">
        <f>993-AH257-AG257-AF257</f>
        <v>1</v>
      </c>
      <c r="AJ257" s="249">
        <f>SUM(AF257:AI257)</f>
        <v>993</v>
      </c>
      <c r="AK257" s="882">
        <v>360</v>
      </c>
      <c r="AL257" s="882">
        <f>815-AK257</f>
        <v>455</v>
      </c>
      <c r="AM257" s="882">
        <f>827-AL257-AK257</f>
        <v>12</v>
      </c>
      <c r="AN257" s="882">
        <f>1359-AM257-AL257-AK257</f>
        <v>532</v>
      </c>
      <c r="AO257" s="249">
        <v>1359</v>
      </c>
      <c r="AP257" s="882"/>
      <c r="AQ257" s="882"/>
      <c r="AR257" s="882"/>
      <c r="AS257" s="882"/>
      <c r="AT257" s="249"/>
      <c r="AU257" s="882"/>
      <c r="AV257" s="882"/>
      <c r="AW257" s="882"/>
      <c r="AX257" s="882"/>
      <c r="AY257" s="249">
        <v>-1707</v>
      </c>
      <c r="AZ257" s="882">
        <v>643</v>
      </c>
      <c r="BA257" s="882">
        <f>1477-AZ257</f>
        <v>834</v>
      </c>
      <c r="BB257" s="882">
        <f>1452-BA257-AZ257</f>
        <v>-25</v>
      </c>
      <c r="BC257" s="882">
        <f>1379-BB257-BA257-AZ257</f>
        <v>-73</v>
      </c>
      <c r="BD257" s="249">
        <f>SUM(AZ257:BC257)</f>
        <v>1379</v>
      </c>
      <c r="BE257" s="882">
        <v>966</v>
      </c>
      <c r="BF257" s="882">
        <f>2000-BE257</f>
        <v>1034</v>
      </c>
      <c r="BG257" s="882">
        <f>2514-BF257-BE257</f>
        <v>514</v>
      </c>
      <c r="BH257" s="882">
        <f>2832-BG257-BF257-BE257</f>
        <v>318</v>
      </c>
      <c r="BI257" s="249">
        <f t="shared" si="892"/>
        <v>2832</v>
      </c>
      <c r="BJ257" s="882">
        <v>788</v>
      </c>
      <c r="BK257" s="882">
        <f>1774-BJ257</f>
        <v>986</v>
      </c>
      <c r="BL257" s="882">
        <f>1676-BK257-BJ257</f>
        <v>-98</v>
      </c>
      <c r="BM257" s="882">
        <v>1158</v>
      </c>
      <c r="BN257" s="364">
        <f>BN256+BN255+BN254+BN253+BN250</f>
        <v>2834</v>
      </c>
      <c r="BO257" s="882">
        <v>831</v>
      </c>
      <c r="BP257" s="882">
        <f>1463-BO257</f>
        <v>632</v>
      </c>
      <c r="BQ257" s="882">
        <f>1926-BP257-BO257</f>
        <v>463</v>
      </c>
      <c r="BR257" s="882">
        <f>2476-BQ257-BP257-BO257</f>
        <v>550</v>
      </c>
      <c r="BS257" s="249">
        <f>BS256+BS255+BS254+BS253+BS250</f>
        <v>2476</v>
      </c>
      <c r="BT257" s="882">
        <v>1004</v>
      </c>
      <c r="BU257" s="882">
        <f>2212-BT257</f>
        <v>1208</v>
      </c>
      <c r="BV257" s="882">
        <f>3373-BU257-BT257</f>
        <v>1161</v>
      </c>
      <c r="BW257" s="882">
        <f>4504-BV257-BU257-BT257</f>
        <v>1131</v>
      </c>
      <c r="BX257" s="249">
        <f>BX256+BX255+BX254+BX253+BX250</f>
        <v>4504</v>
      </c>
      <c r="BY257" s="882">
        <v>951</v>
      </c>
      <c r="BZ257" s="882">
        <f>3007-BY257</f>
        <v>2056</v>
      </c>
      <c r="CA257" s="882">
        <f>4365-BZ257-BY257</f>
        <v>1358</v>
      </c>
      <c r="CB257" s="882">
        <f>4947-SUM(BY257:CA257)</f>
        <v>582</v>
      </c>
      <c r="CC257" s="249">
        <f>CC256+CC255+CC254+CC253+CC250</f>
        <v>4947</v>
      </c>
      <c r="CD257" s="882">
        <v>1636</v>
      </c>
      <c r="CE257" s="882">
        <v>2745</v>
      </c>
      <c r="CF257" s="882">
        <f>6448-CE257-CD257</f>
        <v>2067</v>
      </c>
      <c r="CG257" s="882">
        <v>1479</v>
      </c>
      <c r="CH257" s="249">
        <f t="shared" ref="CH257:CM257" si="917">CH256+CH255+CH254+CH253+CH250</f>
        <v>7927</v>
      </c>
      <c r="CI257" s="882">
        <v>1011</v>
      </c>
      <c r="CJ257" s="882">
        <v>3215</v>
      </c>
      <c r="CK257" s="882">
        <v>1854</v>
      </c>
      <c r="CL257" s="882">
        <f>7205-CK257-CJ257-CI257</f>
        <v>1125</v>
      </c>
      <c r="CM257" s="249">
        <f t="shared" si="917"/>
        <v>7205</v>
      </c>
      <c r="CN257" s="882">
        <v>-801</v>
      </c>
      <c r="CO257" s="882">
        <v>2386</v>
      </c>
      <c r="CP257" s="882">
        <v>1645</v>
      </c>
      <c r="CQ257" s="882">
        <v>1917</v>
      </c>
      <c r="CR257" s="249">
        <f>CR256+CR255+CR254+CR253+CR250</f>
        <v>5147</v>
      </c>
      <c r="CS257" s="882">
        <v>-830</v>
      </c>
      <c r="CT257" s="882">
        <v>2386</v>
      </c>
      <c r="CU257" s="882">
        <v>1645</v>
      </c>
      <c r="CV257" s="882">
        <v>1917</v>
      </c>
      <c r="CW257" s="249">
        <f>CW256+CW255+CW254+CW253+CW250</f>
        <v>5118</v>
      </c>
      <c r="CX257" s="882">
        <v>1343</v>
      </c>
      <c r="CY257" s="187">
        <f>CY256+CY255+CY254+CY253+CY250</f>
        <v>1872.2218878878041</v>
      </c>
      <c r="CZ257" s="187">
        <f t="shared" ref="CZ257:DB257" si="918">CZ256+CZ255+CZ254+CZ253+CZ250</f>
        <v>1649.8496252703662</v>
      </c>
      <c r="DA257" s="187">
        <f t="shared" si="918"/>
        <v>2516.5356710333913</v>
      </c>
      <c r="DB257" s="249">
        <f t="shared" si="918"/>
        <v>7381.6071841915609</v>
      </c>
      <c r="DC257" s="187"/>
      <c r="DD257" s="187"/>
      <c r="DE257" s="187"/>
      <c r="DF257" s="187"/>
      <c r="DG257" s="249">
        <f>DG256+DG255+DG254+DG253+DG250</f>
        <v>8165.2357937748338</v>
      </c>
      <c r="DH257" s="187"/>
      <c r="DI257" s="187"/>
      <c r="DJ257" s="187"/>
      <c r="DK257" s="187"/>
      <c r="DL257" s="249">
        <f>DL256+DL255+DL254+DL253+DL250</f>
        <v>8789.5359766764341</v>
      </c>
      <c r="DM257" s="79"/>
      <c r="DN257" s="522"/>
      <c r="DO257" s="486"/>
      <c r="DP257" s="411"/>
      <c r="DQ257" s="411"/>
      <c r="DR257" s="411"/>
      <c r="DS257" s="478" t="s">
        <v>548</v>
      </c>
      <c r="DT257" s="478"/>
      <c r="DU257" s="472"/>
      <c r="DV257" s="472"/>
      <c r="DW257" s="472"/>
      <c r="DX257" s="472"/>
      <c r="DY257" s="472"/>
      <c r="DZ257" s="472"/>
      <c r="EA257" s="522"/>
      <c r="EH257" s="406"/>
    </row>
    <row r="258" spans="1:138" ht="12.75" customHeight="1" x14ac:dyDescent="0.2">
      <c r="A258" s="5" t="s">
        <v>370</v>
      </c>
      <c r="B258" s="5"/>
      <c r="C258" s="663"/>
      <c r="D258" s="663"/>
      <c r="E258" s="663"/>
      <c r="F258" s="197"/>
      <c r="G258" s="5"/>
      <c r="H258" s="663"/>
      <c r="I258" s="663"/>
      <c r="J258" s="663"/>
      <c r="K258" s="197"/>
      <c r="L258" s="5"/>
      <c r="M258" s="663"/>
      <c r="N258" s="663"/>
      <c r="O258" s="663"/>
      <c r="P258" s="197"/>
      <c r="Q258" s="5"/>
      <c r="R258" s="663"/>
      <c r="S258" s="663"/>
      <c r="T258" s="663"/>
      <c r="U258" s="197"/>
      <c r="V258" s="5"/>
      <c r="W258" s="663"/>
      <c r="X258" s="663"/>
      <c r="Y258" s="663"/>
      <c r="Z258" s="197"/>
      <c r="AA258" s="5"/>
      <c r="AB258" s="663"/>
      <c r="AC258" s="663"/>
      <c r="AD258" s="663"/>
      <c r="AE258" s="197"/>
      <c r="AF258" s="5"/>
      <c r="AG258" s="663"/>
      <c r="AH258" s="663"/>
      <c r="AI258" s="663"/>
      <c r="AJ258" s="197"/>
      <c r="AK258" s="5"/>
      <c r="AL258" s="663"/>
      <c r="AM258" s="663"/>
      <c r="AN258" s="663"/>
      <c r="AO258" s="197"/>
      <c r="AP258" s="5"/>
      <c r="AQ258" s="663"/>
      <c r="AR258" s="663"/>
      <c r="AS258" s="663"/>
      <c r="AT258" s="197"/>
      <c r="AU258" s="5"/>
      <c r="AV258" s="663"/>
      <c r="AW258" s="663"/>
      <c r="AX258" s="663"/>
      <c r="AY258" s="197"/>
      <c r="AZ258" s="5"/>
      <c r="BA258" s="663"/>
      <c r="BB258" s="663"/>
      <c r="BC258" s="663"/>
      <c r="BD258" s="197"/>
      <c r="BE258" s="5"/>
      <c r="BF258" s="663"/>
      <c r="BG258" s="663"/>
      <c r="BH258" s="663"/>
      <c r="BI258" s="197"/>
      <c r="BJ258" s="5"/>
      <c r="BK258" s="663"/>
      <c r="BL258" s="663"/>
      <c r="BM258" s="663"/>
      <c r="BN258" s="315"/>
      <c r="BO258" s="5"/>
      <c r="BP258" s="663"/>
      <c r="BQ258" s="663"/>
      <c r="BR258" s="663"/>
      <c r="BS258" s="197"/>
      <c r="BT258" s="5"/>
      <c r="BU258" s="663"/>
      <c r="BV258" s="663"/>
      <c r="BW258" s="663"/>
      <c r="BX258" s="197"/>
      <c r="BY258" s="5"/>
      <c r="BZ258" s="663"/>
      <c r="CA258" s="663"/>
      <c r="CB258" s="663"/>
      <c r="CC258" s="197"/>
      <c r="CD258" s="5"/>
      <c r="CE258" s="663"/>
      <c r="CF258" s="663"/>
      <c r="CG258" s="663"/>
      <c r="CH258" s="197"/>
      <c r="CI258" s="5"/>
      <c r="CJ258" s="663"/>
      <c r="CK258" s="663"/>
      <c r="CL258" s="663"/>
      <c r="CM258" s="197"/>
      <c r="CN258" s="5"/>
      <c r="CO258" s="663"/>
      <c r="CP258" s="663"/>
      <c r="CQ258" s="663"/>
      <c r="CR258" s="769"/>
      <c r="CS258" s="5"/>
      <c r="CT258" s="663"/>
      <c r="CU258" s="663"/>
      <c r="CV258" s="663"/>
      <c r="CW258" s="769"/>
      <c r="CX258" s="5"/>
      <c r="CY258" s="5"/>
      <c r="CZ258" s="5"/>
      <c r="DA258" s="5"/>
      <c r="DB258" s="867"/>
      <c r="DC258" s="5"/>
      <c r="DD258" s="5"/>
      <c r="DE258" s="5"/>
      <c r="DF258" s="5"/>
      <c r="DG258" s="858"/>
      <c r="DH258" s="5"/>
      <c r="DI258" s="5"/>
      <c r="DJ258" s="5"/>
      <c r="DK258" s="5"/>
      <c r="DL258" s="858"/>
      <c r="DM258" s="413"/>
      <c r="DN258" s="4"/>
      <c r="DO258" s="487"/>
      <c r="DP258" s="413"/>
      <c r="DQ258" s="413"/>
      <c r="DR258" s="413"/>
      <c r="DS258" s="556"/>
      <c r="DT258" s="478"/>
      <c r="DU258" s="472"/>
      <c r="DV258" s="458"/>
      <c r="DW258" s="458"/>
      <c r="DX258" s="458"/>
      <c r="DY258" s="458"/>
      <c r="DZ258" s="458"/>
      <c r="EA258" s="4"/>
      <c r="EH258" s="5"/>
    </row>
    <row r="259" spans="1:138" ht="12.75" customHeight="1" x14ac:dyDescent="0.2">
      <c r="A259" s="79" t="s">
        <v>344</v>
      </c>
      <c r="B259" s="883"/>
      <c r="C259" s="883"/>
      <c r="D259" s="883"/>
      <c r="E259" s="883"/>
      <c r="F259" s="907">
        <v>-4060</v>
      </c>
      <c r="G259" s="883"/>
      <c r="H259" s="883"/>
      <c r="I259" s="883"/>
      <c r="J259" s="883"/>
      <c r="K259" s="907">
        <v>-2793</v>
      </c>
      <c r="L259" s="883"/>
      <c r="M259" s="883"/>
      <c r="N259" s="883"/>
      <c r="O259" s="883"/>
      <c r="P259" s="907">
        <v>-1286</v>
      </c>
      <c r="Q259" s="883"/>
      <c r="R259" s="883"/>
      <c r="S259" s="883"/>
      <c r="T259" s="883"/>
      <c r="U259" s="907">
        <v>-744</v>
      </c>
      <c r="V259" s="883"/>
      <c r="W259" s="883"/>
      <c r="X259" s="883"/>
      <c r="Y259" s="883"/>
      <c r="Z259" s="907">
        <v>-760</v>
      </c>
      <c r="AA259" s="883"/>
      <c r="AB259" s="883"/>
      <c r="AC259" s="883"/>
      <c r="AD259" s="883"/>
      <c r="AE259" s="907">
        <v>-814</v>
      </c>
      <c r="AF259" s="883">
        <v>-92</v>
      </c>
      <c r="AG259" s="883">
        <v>-72</v>
      </c>
      <c r="AH259" s="883">
        <v>-95</v>
      </c>
      <c r="AI259" s="883">
        <v>-154</v>
      </c>
      <c r="AJ259" s="227">
        <f>SUM(AF259:AI259)</f>
        <v>-413</v>
      </c>
      <c r="AK259" s="883">
        <v>-155</v>
      </c>
      <c r="AL259" s="883">
        <v>-173</v>
      </c>
      <c r="AM259" s="883">
        <v>-301</v>
      </c>
      <c r="AN259" s="883">
        <v>-407</v>
      </c>
      <c r="AO259" s="227">
        <f>SUM(AK259:AN259)</f>
        <v>-1036</v>
      </c>
      <c r="AP259" s="883"/>
      <c r="AQ259" s="883"/>
      <c r="AR259" s="883"/>
      <c r="AS259" s="883"/>
      <c r="AT259" s="227"/>
      <c r="AU259" s="883">
        <f>AY259/4</f>
        <v>-380.5</v>
      </c>
      <c r="AV259" s="883">
        <f>AY259/4</f>
        <v>-380.5</v>
      </c>
      <c r="AW259" s="883">
        <f>AY259/4</f>
        <v>-380.5</v>
      </c>
      <c r="AX259" s="883">
        <f>AY259/4</f>
        <v>-380.5</v>
      </c>
      <c r="AY259" s="227">
        <v>-1522</v>
      </c>
      <c r="AZ259" s="883">
        <f>-386+-49</f>
        <v>-435</v>
      </c>
      <c r="BA259" s="883">
        <f>-498-113-AZ259</f>
        <v>-176</v>
      </c>
      <c r="BB259" s="883">
        <f>-547-185-BA259-AZ259</f>
        <v>-121</v>
      </c>
      <c r="BC259" s="883">
        <f>-951+-251-BB259-BA259-AZ259</f>
        <v>-470</v>
      </c>
      <c r="BD259" s="227">
        <f>SUM(AZ259:BC259)</f>
        <v>-1202</v>
      </c>
      <c r="BE259" s="883">
        <f>-286+-42</f>
        <v>-328</v>
      </c>
      <c r="BF259" s="883">
        <f>-449-75-BE259</f>
        <v>-196</v>
      </c>
      <c r="BG259" s="883">
        <f>-753-168-BF259-BE259</f>
        <v>-397</v>
      </c>
      <c r="BH259" s="883">
        <f>-1055-287-BG259-BF259-BE259</f>
        <v>-421</v>
      </c>
      <c r="BI259" s="227">
        <f>SUM(BE259:BH259)</f>
        <v>-1342</v>
      </c>
      <c r="BJ259" s="883">
        <f>-274-66</f>
        <v>-340</v>
      </c>
      <c r="BK259" s="883">
        <f>-481-172-BJ259</f>
        <v>-313</v>
      </c>
      <c r="BL259" s="883">
        <f>-676-210-BK259-BJ259</f>
        <v>-233</v>
      </c>
      <c r="BM259" s="883">
        <f>(-1254-BK259-BJ259-BL259)</f>
        <v>-368</v>
      </c>
      <c r="BN259" s="342">
        <f>SUM(BJ259:BM259)</f>
        <v>-1254</v>
      </c>
      <c r="BO259" s="883">
        <v>-407</v>
      </c>
      <c r="BP259" s="883">
        <f>-609-395-BO259</f>
        <v>-597</v>
      </c>
      <c r="BQ259" s="883">
        <f>-885-545-BP259-BO259</f>
        <v>-426</v>
      </c>
      <c r="BR259" s="883">
        <f>-1196-772-BQ259-BP259-BO259</f>
        <v>-538</v>
      </c>
      <c r="BS259" s="227">
        <f>SUM(BO259:BR259)</f>
        <v>-1968</v>
      </c>
      <c r="BT259" s="883">
        <f>-527-120</f>
        <v>-647</v>
      </c>
      <c r="BU259" s="883">
        <f>-765-220-360-BT259</f>
        <v>-698</v>
      </c>
      <c r="BV259" s="883">
        <f>-1276-340-360-BU259-BT259</f>
        <v>-631</v>
      </c>
      <c r="BW259" s="883">
        <f>-2117-451-BV259-BU259-BT259</f>
        <v>-592</v>
      </c>
      <c r="BX259" s="227">
        <f>SUM(BT259:BW259)</f>
        <v>-2568</v>
      </c>
      <c r="BY259" s="883">
        <f>-514-100</f>
        <v>-614</v>
      </c>
      <c r="BZ259" s="883">
        <f>-857-275-BY259</f>
        <v>-518</v>
      </c>
      <c r="CA259" s="883">
        <f>-1179-410-BZ259-BY259</f>
        <v>-457</v>
      </c>
      <c r="CB259" s="883">
        <f>-1662-587-SUM(BY259:CA259)</f>
        <v>-660</v>
      </c>
      <c r="CC259" s="227">
        <f>SUM(BY259:CB259)</f>
        <v>-2249</v>
      </c>
      <c r="CD259" s="883">
        <f>-451-135</f>
        <v>-586</v>
      </c>
      <c r="CE259" s="883">
        <f>-1177-328-CD259</f>
        <v>-919</v>
      </c>
      <c r="CF259" s="883">
        <f>-1583-484-CE259-CD259</f>
        <v>-562</v>
      </c>
      <c r="CG259" s="883">
        <f>-2223-722-CF259-CE259-CD259</f>
        <v>-878</v>
      </c>
      <c r="CH259" s="227">
        <f>SUM(CD259:CG259)</f>
        <v>-2945</v>
      </c>
      <c r="CI259" s="883">
        <f>-764-107</f>
        <v>-871</v>
      </c>
      <c r="CJ259" s="883">
        <f>-880-166</f>
        <v>-1046</v>
      </c>
      <c r="CK259" s="883">
        <f>-505-175</f>
        <v>-680</v>
      </c>
      <c r="CL259" s="883">
        <f>-2617-774-CK259-CJ259-CI259</f>
        <v>-794</v>
      </c>
      <c r="CM259" s="227">
        <f>SUM(CI259:CL259)</f>
        <v>-3391</v>
      </c>
      <c r="CN259" s="883">
        <f>-595-207</f>
        <v>-802</v>
      </c>
      <c r="CO259" s="883">
        <f>-697-291</f>
        <v>-988</v>
      </c>
      <c r="CP259" s="883">
        <f>-614-328</f>
        <v>-942</v>
      </c>
      <c r="CQ259" s="883">
        <f>-798-362</f>
        <v>-1160</v>
      </c>
      <c r="CR259" s="227">
        <f>+SUM(CN259:CQ259)</f>
        <v>-3892</v>
      </c>
      <c r="CS259" s="883">
        <f>-595-207</f>
        <v>-802</v>
      </c>
      <c r="CT259" s="883">
        <f>-697-291</f>
        <v>-988</v>
      </c>
      <c r="CU259" s="883">
        <f>-614-328</f>
        <v>-942</v>
      </c>
      <c r="CV259" s="883">
        <f>-798-362</f>
        <v>-1160</v>
      </c>
      <c r="CW259" s="227">
        <f>+SUM(CS259:CV259)</f>
        <v>-3892</v>
      </c>
      <c r="CX259" s="883">
        <f>-991-274</f>
        <v>-1265</v>
      </c>
      <c r="CY259" s="91">
        <f>+$DB$259/4</f>
        <v>-1000</v>
      </c>
      <c r="CZ259" s="91">
        <f>+$DB$259/4</f>
        <v>-1000</v>
      </c>
      <c r="DA259" s="91">
        <f>+DB259-SUM(CX259:CZ259)</f>
        <v>-735</v>
      </c>
      <c r="DB259" s="435">
        <v>-4000</v>
      </c>
      <c r="DC259" s="79"/>
      <c r="DD259" s="79"/>
      <c r="DE259" s="112"/>
      <c r="DF259" s="79"/>
      <c r="DG259" s="435">
        <v>-4000</v>
      </c>
      <c r="DH259" s="79"/>
      <c r="DI259" s="79"/>
      <c r="DJ259" s="112"/>
      <c r="DK259" s="79"/>
      <c r="DL259" s="435">
        <v>-4000</v>
      </c>
      <c r="DM259" s="79"/>
      <c r="DN259" s="522"/>
      <c r="DO259" s="486"/>
      <c r="DP259" s="411"/>
      <c r="DQ259" s="411"/>
      <c r="DR259" s="411"/>
      <c r="DS259" s="478" t="s">
        <v>571</v>
      </c>
      <c r="DT259" s="556"/>
      <c r="DU259" s="472"/>
      <c r="DV259" s="461"/>
      <c r="DW259" s="461"/>
      <c r="DX259" s="461"/>
      <c r="DY259" s="461"/>
      <c r="DZ259" s="472"/>
      <c r="EA259" s="522"/>
      <c r="EH259" s="113"/>
    </row>
    <row r="260" spans="1:138" ht="12.75" customHeight="1" x14ac:dyDescent="0.2">
      <c r="A260" s="163" t="s">
        <v>406</v>
      </c>
      <c r="B260" s="91"/>
      <c r="C260" s="91"/>
      <c r="D260" s="91"/>
      <c r="E260" s="91"/>
      <c r="F260" s="248"/>
      <c r="G260" s="91"/>
      <c r="H260" s="91"/>
      <c r="I260" s="91"/>
      <c r="J260" s="91"/>
      <c r="K260" s="248"/>
      <c r="L260" s="91"/>
      <c r="M260" s="91"/>
      <c r="N260" s="91"/>
      <c r="O260" s="91"/>
      <c r="P260" s="248"/>
      <c r="Q260" s="91"/>
      <c r="R260" s="91"/>
      <c r="S260" s="91"/>
      <c r="T260" s="91"/>
      <c r="U260" s="248"/>
      <c r="V260" s="91"/>
      <c r="W260" s="91"/>
      <c r="X260" s="91"/>
      <c r="Y260" s="91"/>
      <c r="Z260" s="248"/>
      <c r="AA260" s="91"/>
      <c r="AB260" s="91"/>
      <c r="AC260" s="91"/>
      <c r="AD260" s="91"/>
      <c r="AE260" s="248"/>
      <c r="AF260" s="91"/>
      <c r="AG260" s="91"/>
      <c r="AH260" s="91"/>
      <c r="AI260" s="91"/>
      <c r="AJ260" s="248"/>
      <c r="AK260" s="91"/>
      <c r="AL260" s="91"/>
      <c r="AM260" s="91"/>
      <c r="AN260" s="91"/>
      <c r="AO260" s="248"/>
      <c r="AP260" s="91"/>
      <c r="AQ260" s="91"/>
      <c r="AR260" s="91"/>
      <c r="AS260" s="91"/>
      <c r="AT260" s="248"/>
      <c r="AU260" s="91"/>
      <c r="AV260" s="91"/>
      <c r="AW260" s="91"/>
      <c r="AX260" s="91"/>
      <c r="AY260" s="248"/>
      <c r="AZ260" s="91"/>
      <c r="BA260" s="91"/>
      <c r="BB260" s="91"/>
      <c r="BC260" s="91"/>
      <c r="BD260" s="302"/>
      <c r="BE260" s="91"/>
      <c r="BF260" s="91"/>
      <c r="BG260" s="91"/>
      <c r="BH260" s="91"/>
      <c r="BI260" s="302"/>
      <c r="BJ260" s="91"/>
      <c r="BK260" s="91"/>
      <c r="BL260" s="91"/>
      <c r="BM260" s="91"/>
      <c r="BN260" s="365"/>
      <c r="BO260" s="91"/>
      <c r="BP260" s="91"/>
      <c r="BQ260" s="91"/>
      <c r="BR260" s="91"/>
      <c r="BS260" s="302"/>
      <c r="BT260" s="91"/>
      <c r="BU260" s="91"/>
      <c r="BV260" s="91"/>
      <c r="BW260" s="91"/>
      <c r="BX260" s="302"/>
      <c r="BY260" s="91"/>
      <c r="BZ260" s="91"/>
      <c r="CA260" s="91"/>
      <c r="CB260" s="91"/>
      <c r="CC260" s="302"/>
      <c r="CD260" s="91"/>
      <c r="CE260" s="91"/>
      <c r="CF260" s="91"/>
      <c r="CG260" s="91"/>
      <c r="CH260" s="302"/>
      <c r="CI260" s="91"/>
      <c r="CJ260" s="91"/>
      <c r="CK260" s="91"/>
      <c r="CL260" s="91"/>
      <c r="CM260" s="302"/>
      <c r="CN260" s="91"/>
      <c r="CO260" s="91"/>
      <c r="CP260" s="91"/>
      <c r="CQ260" s="91"/>
      <c r="CR260" s="302">
        <v>0</v>
      </c>
      <c r="CS260" s="91"/>
      <c r="CT260" s="91"/>
      <c r="CU260" s="91"/>
      <c r="CV260" s="91"/>
      <c r="CW260" s="302">
        <v>0</v>
      </c>
      <c r="CX260" s="846"/>
      <c r="CY260" s="846">
        <f>+CY259*0.3</f>
        <v>-300</v>
      </c>
      <c r="CZ260" s="846">
        <f>+CZ259*0.3</f>
        <v>-300</v>
      </c>
      <c r="DA260" s="846">
        <f>+DA259*0.3</f>
        <v>-220.5</v>
      </c>
      <c r="DB260" s="248">
        <f>+SUM(CX260:DA260)</f>
        <v>-820.5</v>
      </c>
      <c r="DC260" s="91"/>
      <c r="DD260" s="91"/>
      <c r="DE260" s="91"/>
      <c r="DF260" s="91"/>
      <c r="DG260" s="302">
        <v>0</v>
      </c>
      <c r="DH260" s="91">
        <f t="shared" ref="DH260" si="919">+DH259*0.3</f>
        <v>0</v>
      </c>
      <c r="DI260" s="91">
        <f t="shared" ref="DI260" si="920">+DI259*0.3</f>
        <v>0</v>
      </c>
      <c r="DJ260" s="91">
        <f t="shared" ref="DJ260" si="921">+DJ259*0.3</f>
        <v>0</v>
      </c>
      <c r="DK260" s="91">
        <f t="shared" ref="DK260" si="922">+DK259*0.3</f>
        <v>0</v>
      </c>
      <c r="DL260" s="302">
        <v>0</v>
      </c>
      <c r="DM260" s="66"/>
      <c r="DN260" s="526"/>
      <c r="DO260" s="486"/>
      <c r="DP260" s="411"/>
      <c r="DQ260" s="411"/>
      <c r="DR260" s="411"/>
      <c r="DS260" s="478"/>
      <c r="DT260" s="554"/>
      <c r="DU260" s="458"/>
      <c r="DV260" s="472"/>
      <c r="DW260" s="472"/>
      <c r="DX260" s="472"/>
      <c r="DY260" s="472"/>
      <c r="DZ260" s="472"/>
      <c r="EA260" s="526"/>
      <c r="EH260" s="8"/>
    </row>
    <row r="261" spans="1:138" ht="12.75" customHeight="1" x14ac:dyDescent="0.2">
      <c r="A261" s="164" t="s">
        <v>407</v>
      </c>
      <c r="B261" s="110"/>
      <c r="C261" s="110"/>
      <c r="D261" s="110"/>
      <c r="E261" s="110"/>
      <c r="F261" s="250"/>
      <c r="G261" s="110"/>
      <c r="H261" s="110"/>
      <c r="I261" s="110"/>
      <c r="J261" s="110"/>
      <c r="K261" s="250"/>
      <c r="L261" s="110"/>
      <c r="M261" s="110"/>
      <c r="N261" s="110"/>
      <c r="O261" s="110"/>
      <c r="P261" s="250"/>
      <c r="Q261" s="110"/>
      <c r="R261" s="110"/>
      <c r="S261" s="110"/>
      <c r="T261" s="110"/>
      <c r="U261" s="250"/>
      <c r="V261" s="110"/>
      <c r="W261" s="110"/>
      <c r="X261" s="110"/>
      <c r="Y261" s="110"/>
      <c r="Z261" s="250"/>
      <c r="AA261" s="110"/>
      <c r="AB261" s="110"/>
      <c r="AC261" s="110"/>
      <c r="AD261" s="110"/>
      <c r="AE261" s="250"/>
      <c r="AF261" s="110"/>
      <c r="AG261" s="110"/>
      <c r="AH261" s="110"/>
      <c r="AI261" s="110"/>
      <c r="AJ261" s="250"/>
      <c r="AK261" s="110"/>
      <c r="AL261" s="110"/>
      <c r="AM261" s="110"/>
      <c r="AN261" s="110"/>
      <c r="AO261" s="250"/>
      <c r="AP261" s="110"/>
      <c r="AQ261" s="110"/>
      <c r="AR261" s="110"/>
      <c r="AS261" s="110"/>
      <c r="AT261" s="250"/>
      <c r="AU261" s="110"/>
      <c r="AV261" s="110"/>
      <c r="AW261" s="110"/>
      <c r="AX261" s="110"/>
      <c r="AY261" s="250"/>
      <c r="AZ261" s="110"/>
      <c r="BA261" s="110"/>
      <c r="BB261" s="110"/>
      <c r="BC261" s="110"/>
      <c r="BD261" s="250"/>
      <c r="BE261" s="110"/>
      <c r="BF261" s="110"/>
      <c r="BG261" s="110"/>
      <c r="BH261" s="110"/>
      <c r="BI261" s="250"/>
      <c r="BJ261" s="110"/>
      <c r="BK261" s="110"/>
      <c r="BL261" s="110"/>
      <c r="BM261" s="110"/>
      <c r="BN261" s="366"/>
      <c r="BO261" s="110"/>
      <c r="BP261" s="110"/>
      <c r="BQ261" s="110"/>
      <c r="BR261" s="110"/>
      <c r="BS261" s="250"/>
      <c r="BT261" s="110"/>
      <c r="BU261" s="110"/>
      <c r="BV261" s="110"/>
      <c r="BW261" s="110"/>
      <c r="BX261" s="250"/>
      <c r="BY261" s="110"/>
      <c r="BZ261" s="110"/>
      <c r="CA261" s="110"/>
      <c r="CB261" s="110"/>
      <c r="CC261" s="250">
        <f>CC260/CC259</f>
        <v>0</v>
      </c>
      <c r="CD261" s="110"/>
      <c r="CE261" s="110"/>
      <c r="CF261" s="110"/>
      <c r="CG261" s="110"/>
      <c r="CH261" s="250">
        <f>CH260/CH259</f>
        <v>0</v>
      </c>
      <c r="CI261" s="110"/>
      <c r="CJ261" s="110"/>
      <c r="CK261" s="110"/>
      <c r="CL261" s="110"/>
      <c r="CM261" s="250">
        <f>CM260/CM259</f>
        <v>0</v>
      </c>
      <c r="CN261" s="110"/>
      <c r="CO261" s="110"/>
      <c r="CP261" s="110"/>
      <c r="CQ261" s="110"/>
      <c r="CR261" s="250">
        <f>CR260/CR259</f>
        <v>0</v>
      </c>
      <c r="CS261" s="110"/>
      <c r="CT261" s="110"/>
      <c r="CU261" s="110"/>
      <c r="CV261" s="110"/>
      <c r="CW261" s="250">
        <f>CW260/CW259</f>
        <v>0</v>
      </c>
      <c r="CX261" s="110"/>
      <c r="CY261" s="110">
        <f t="shared" ref="CY261:DA261" si="923">CY260/CY259</f>
        <v>0.3</v>
      </c>
      <c r="CZ261" s="110">
        <f t="shared" si="923"/>
        <v>0.3</v>
      </c>
      <c r="DA261" s="110">
        <f t="shared" si="923"/>
        <v>0.3</v>
      </c>
      <c r="DB261" s="250">
        <f>DB260/DB259</f>
        <v>0.205125</v>
      </c>
      <c r="DC261" s="110"/>
      <c r="DD261" s="110"/>
      <c r="DE261" s="110"/>
      <c r="DF261" s="110"/>
      <c r="DG261" s="250">
        <f>DG260/DG259</f>
        <v>0</v>
      </c>
      <c r="DH261" s="110"/>
      <c r="DI261" s="110"/>
      <c r="DJ261" s="110"/>
      <c r="DK261" s="110"/>
      <c r="DL261" s="250">
        <f>DL260/DL259</f>
        <v>0</v>
      </c>
      <c r="DM261" s="110"/>
      <c r="DN261" s="540"/>
      <c r="DO261" s="486"/>
      <c r="DP261" s="411"/>
      <c r="DQ261" s="411"/>
      <c r="DR261" s="411"/>
      <c r="DS261" s="478"/>
      <c r="DT261" s="570"/>
      <c r="DU261" s="472"/>
      <c r="DV261" s="477"/>
      <c r="DW261" s="477"/>
      <c r="DX261" s="477"/>
      <c r="DY261" s="477"/>
      <c r="DZ261" s="477"/>
      <c r="EA261" s="540"/>
      <c r="EH261" s="8"/>
    </row>
    <row r="262" spans="1:138" ht="12.75" customHeight="1" x14ac:dyDescent="0.2">
      <c r="A262" s="164" t="s">
        <v>408</v>
      </c>
      <c r="B262" s="110"/>
      <c r="C262" s="110"/>
      <c r="D262" s="110"/>
      <c r="E262" s="110"/>
      <c r="F262" s="250">
        <f>-F259/F152</f>
        <v>0.24179620034542315</v>
      </c>
      <c r="G262" s="110"/>
      <c r="H262" s="110"/>
      <c r="I262" s="110"/>
      <c r="J262" s="110"/>
      <c r="K262" s="250">
        <f>-K259/K152</f>
        <v>0.20123928236904676</v>
      </c>
      <c r="L262" s="110"/>
      <c r="M262" s="110"/>
      <c r="N262" s="110"/>
      <c r="O262" s="110"/>
      <c r="P262" s="250">
        <f>-P259/P152</f>
        <v>9.6655392709507709E-2</v>
      </c>
      <c r="Q262" s="110"/>
      <c r="R262" s="110"/>
      <c r="S262" s="110"/>
      <c r="T262" s="110"/>
      <c r="U262" s="250">
        <f>-U259/U152</f>
        <v>5.5927234458392844E-2</v>
      </c>
      <c r="V262" s="110"/>
      <c r="W262" s="110"/>
      <c r="X262" s="110"/>
      <c r="Y262" s="110"/>
      <c r="Z262" s="250">
        <f>-Z259/Z152</f>
        <v>4.9885132917623892E-2</v>
      </c>
      <c r="AA262" s="110"/>
      <c r="AB262" s="110"/>
      <c r="AC262" s="110"/>
      <c r="AD262" s="110"/>
      <c r="AE262" s="250">
        <f>-AE259/AE152</f>
        <v>5.0274844049163117E-2</v>
      </c>
      <c r="AF262" s="110"/>
      <c r="AG262" s="110"/>
      <c r="AH262" s="110"/>
      <c r="AI262" s="110"/>
      <c r="AJ262" s="250">
        <f>-AJ259/AJ152</f>
        <v>2.3556924480949121E-2</v>
      </c>
      <c r="AK262" s="110"/>
      <c r="AL262" s="110"/>
      <c r="AM262" s="110"/>
      <c r="AN262" s="110"/>
      <c r="AO262" s="250">
        <f>-AO259/AO152</f>
        <v>5.4087918972538375E-2</v>
      </c>
      <c r="AP262" s="110"/>
      <c r="AQ262" s="110"/>
      <c r="AR262" s="110"/>
      <c r="AS262" s="110"/>
      <c r="AT262" s="250"/>
      <c r="AU262" s="110">
        <f t="shared" ref="AU262:CL262" si="924">-AU259/AU152</f>
        <v>4.8164556962025318E-2</v>
      </c>
      <c r="AV262" s="110">
        <f t="shared" si="924"/>
        <v>4.1868397887323945E-2</v>
      </c>
      <c r="AW262" s="110">
        <f t="shared" si="924"/>
        <v>3.9918170373478806E-2</v>
      </c>
      <c r="AX262" s="110">
        <f t="shared" si="924"/>
        <v>4.8983007209062825E-2</v>
      </c>
      <c r="AY262" s="250">
        <f t="shared" si="924"/>
        <v>4.4388707419505367E-2</v>
      </c>
      <c r="AZ262" s="110">
        <f t="shared" si="924"/>
        <v>6.5080789946140041E-2</v>
      </c>
      <c r="BA262" s="110">
        <f t="shared" si="924"/>
        <v>2.5142857142857144E-2</v>
      </c>
      <c r="BB262" s="110">
        <f t="shared" si="924"/>
        <v>1.5975706363876418E-2</v>
      </c>
      <c r="BC262" s="110">
        <f t="shared" si="924"/>
        <v>6.906686260102865E-2</v>
      </c>
      <c r="BD262" s="250">
        <f t="shared" si="924"/>
        <v>4.2832198980864482E-2</v>
      </c>
      <c r="BE262" s="110">
        <f t="shared" si="924"/>
        <v>4.7897196261682241E-2</v>
      </c>
      <c r="BF262" s="110">
        <f t="shared" si="924"/>
        <v>2.3995906004608193E-2</v>
      </c>
      <c r="BG262" s="110">
        <f t="shared" si="924"/>
        <v>4.4357541899441341E-2</v>
      </c>
      <c r="BH262" s="110">
        <f t="shared" si="924"/>
        <v>5.4050584157144692E-2</v>
      </c>
      <c r="BI262" s="250">
        <f t="shared" si="924"/>
        <v>4.2260981399499797E-2</v>
      </c>
      <c r="BJ262" s="110">
        <f t="shared" si="924"/>
        <v>4.388795662837227E-2</v>
      </c>
      <c r="BK262" s="110">
        <f t="shared" si="924"/>
        <v>3.4196438326231836E-2</v>
      </c>
      <c r="BL262" s="110">
        <f t="shared" si="924"/>
        <v>2.3736756316218417E-2</v>
      </c>
      <c r="BM262" s="110">
        <f t="shared" si="924"/>
        <v>4.3814739849982139E-2</v>
      </c>
      <c r="BN262" s="366">
        <f t="shared" si="924"/>
        <v>3.5711234515164461E-2</v>
      </c>
      <c r="BO262" s="110">
        <f t="shared" si="924"/>
        <v>4.8377510994888864E-2</v>
      </c>
      <c r="BP262" s="110">
        <f t="shared" si="924"/>
        <v>6.1344019728729965E-2</v>
      </c>
      <c r="BQ262" s="110">
        <f t="shared" si="924"/>
        <v>4.2930565353219791E-2</v>
      </c>
      <c r="BR262" s="110">
        <f t="shared" si="924"/>
        <v>6.2543594512903977E-2</v>
      </c>
      <c r="BS262" s="250">
        <f t="shared" si="924"/>
        <v>5.3667848377420231E-2</v>
      </c>
      <c r="BT262" s="110">
        <f t="shared" si="924"/>
        <v>7.6117647058823526E-2</v>
      </c>
      <c r="BU262" s="110">
        <f t="shared" si="924"/>
        <v>7.1906871329968064E-2</v>
      </c>
      <c r="BV262" s="110">
        <f t="shared" si="924"/>
        <v>6.0152526215443279E-2</v>
      </c>
      <c r="BW262" s="110">
        <f t="shared" si="924"/>
        <v>6.5226972234464525E-2</v>
      </c>
      <c r="BX262" s="250">
        <f t="shared" si="924"/>
        <v>6.7985068699864981E-2</v>
      </c>
      <c r="BY262" s="110">
        <f t="shared" si="924"/>
        <v>6.8864961866307764E-2</v>
      </c>
      <c r="BZ262" s="110">
        <f t="shared" si="924"/>
        <v>4.8771302137275208E-2</v>
      </c>
      <c r="CA262" s="110">
        <f t="shared" si="924"/>
        <v>4.0883879048130255E-2</v>
      </c>
      <c r="CB262" s="110">
        <f t="shared" si="924"/>
        <v>6.8415051311288486E-2</v>
      </c>
      <c r="CC262" s="250">
        <f t="shared" si="924"/>
        <v>5.572072741687726E-2</v>
      </c>
      <c r="CD262" s="110">
        <f t="shared" si="924"/>
        <v>6.242011077971879E-2</v>
      </c>
      <c r="CE262" s="110">
        <f t="shared" si="924"/>
        <v>8.5831698888577571E-2</v>
      </c>
      <c r="CF262" s="110">
        <f t="shared" si="924"/>
        <v>5.0598721526964978E-2</v>
      </c>
      <c r="CG262" s="110">
        <f t="shared" si="924"/>
        <v>9.2401599663228792E-2</v>
      </c>
      <c r="CH262" s="250">
        <f t="shared" si="924"/>
        <v>7.2351611635220123E-2</v>
      </c>
      <c r="CI262" s="110">
        <f t="shared" si="924"/>
        <v>9.4151983569343858E-2</v>
      </c>
      <c r="CJ262" s="110">
        <f t="shared" si="924"/>
        <v>0.10012443763759932</v>
      </c>
      <c r="CK262" s="110">
        <f t="shared" si="924"/>
        <v>6.4866927406276823E-2</v>
      </c>
      <c r="CL262" s="110">
        <f t="shared" si="924"/>
        <v>8.3950095157538596E-2</v>
      </c>
      <c r="CM262" s="250">
        <f t="shared" ref="CM262" si="925">-CM259/CM152</f>
        <v>8.5547062236686094E-2</v>
      </c>
      <c r="CN262" s="110">
        <f t="shared" ref="CN262:CQ262" si="926">-CN259/CN152</f>
        <v>8.7669435942282464E-2</v>
      </c>
      <c r="CO262" s="110">
        <f t="shared" si="926"/>
        <v>9.1557779631174133E-2</v>
      </c>
      <c r="CP262" s="110">
        <f t="shared" si="926"/>
        <v>8.5171790235081368E-2</v>
      </c>
      <c r="CQ262" s="110">
        <f t="shared" si="926"/>
        <v>0.11322596388482187</v>
      </c>
      <c r="CR262" s="250">
        <f>-CR259/CR152</f>
        <v>9.4365241004752201E-2</v>
      </c>
      <c r="CS262" s="110">
        <f t="shared" ref="CS262:CV262" si="927">-CS259/CS152</f>
        <v>8.8716814159292029E-2</v>
      </c>
      <c r="CT262" s="110">
        <f t="shared" si="927"/>
        <v>9.2502668112130093E-2</v>
      </c>
      <c r="CU262" s="110">
        <f t="shared" si="927"/>
        <v>8.6147772841382364E-2</v>
      </c>
      <c r="CV262" s="110">
        <f t="shared" si="927"/>
        <v>0.11620039920847493</v>
      </c>
      <c r="CW262" s="250">
        <f>-CW259/CW152</f>
        <v>9.5771896186886737E-2</v>
      </c>
      <c r="CX262" s="110">
        <f t="shared" ref="CX262:DA262" si="928">-CX259/CX152</f>
        <v>0.12967708867247565</v>
      </c>
      <c r="CY262" s="110">
        <f t="shared" si="928"/>
        <v>8.7004189443130903E-2</v>
      </c>
      <c r="CZ262" s="110">
        <f t="shared" si="928"/>
        <v>8.6207215964322598E-2</v>
      </c>
      <c r="DA262" s="110">
        <f t="shared" si="928"/>
        <v>7.0002552093042E-2</v>
      </c>
      <c r="DB262" s="250">
        <f>-DB259/DB152</f>
        <v>9.2275877813839446E-2</v>
      </c>
      <c r="DC262" s="110"/>
      <c r="DD262" s="110"/>
      <c r="DE262" s="110"/>
      <c r="DF262" s="110"/>
      <c r="DG262" s="250">
        <f>-DG259/DG152</f>
        <v>8.9324463609377541E-2</v>
      </c>
      <c r="DH262" s="110"/>
      <c r="DI262" s="110"/>
      <c r="DJ262" s="110"/>
      <c r="DK262" s="110"/>
      <c r="DL262" s="250">
        <f>-DL259/DL152</f>
        <v>8.658084964219287E-2</v>
      </c>
      <c r="DM262" s="110"/>
      <c r="DN262" s="540"/>
      <c r="DO262" s="486"/>
      <c r="DP262" s="411"/>
      <c r="DQ262" s="411"/>
      <c r="DR262" s="411"/>
      <c r="DS262" s="478"/>
      <c r="DT262" s="570"/>
      <c r="DU262" s="477"/>
      <c r="DV262" s="477"/>
      <c r="DW262" s="477"/>
      <c r="DX262" s="477"/>
      <c r="DY262" s="477"/>
      <c r="DZ262" s="477"/>
      <c r="EA262" s="540"/>
      <c r="EH262" s="8"/>
    </row>
    <row r="263" spans="1:138" ht="12.75" customHeight="1" x14ac:dyDescent="0.2">
      <c r="A263" s="164" t="s">
        <v>409</v>
      </c>
      <c r="B263" s="110"/>
      <c r="C263" s="110"/>
      <c r="D263" s="110"/>
      <c r="E263" s="110"/>
      <c r="F263" s="250">
        <f>-F259/F251</f>
        <v>3.6024844720496896</v>
      </c>
      <c r="G263" s="110"/>
      <c r="H263" s="110"/>
      <c r="I263" s="110"/>
      <c r="J263" s="110"/>
      <c r="K263" s="250">
        <f>-K259/K251</f>
        <v>2.1769290724863599</v>
      </c>
      <c r="L263" s="110"/>
      <c r="M263" s="110"/>
      <c r="N263" s="110"/>
      <c r="O263" s="110"/>
      <c r="P263" s="250">
        <f>-P259/P251</f>
        <v>1.1202090592334495</v>
      </c>
      <c r="Q263" s="110"/>
      <c r="R263" s="110"/>
      <c r="S263" s="110"/>
      <c r="T263" s="110"/>
      <c r="U263" s="250">
        <f>-U259/U251</f>
        <v>0.61896838602329451</v>
      </c>
      <c r="V263" s="110"/>
      <c r="W263" s="110"/>
      <c r="X263" s="110"/>
      <c r="Y263" s="110"/>
      <c r="Z263" s="250">
        <f>-Z259/Z251</f>
        <v>0.61093247588424437</v>
      </c>
      <c r="AA263" s="110"/>
      <c r="AB263" s="110"/>
      <c r="AC263" s="110"/>
      <c r="AD263" s="110"/>
      <c r="AE263" s="250">
        <f>-AE259/AE251</f>
        <v>0.6394344069128044</v>
      </c>
      <c r="AF263" s="110"/>
      <c r="AG263" s="110"/>
      <c r="AH263" s="110"/>
      <c r="AI263" s="110"/>
      <c r="AJ263" s="250">
        <f>-AJ259/AJ251</f>
        <v>0.32366771159874608</v>
      </c>
      <c r="AK263" s="110"/>
      <c r="AL263" s="110"/>
      <c r="AM263" s="110"/>
      <c r="AN263" s="110"/>
      <c r="AO263" s="250">
        <f>-AO259/AO251</f>
        <v>0.89003436426116833</v>
      </c>
      <c r="AP263" s="110"/>
      <c r="AQ263" s="110"/>
      <c r="AR263" s="110"/>
      <c r="AS263" s="110"/>
      <c r="AT263" s="250"/>
      <c r="AU263" s="110">
        <f t="shared" ref="AU263:CL263" si="929">-AU259/AU251</f>
        <v>0.88901869158878499</v>
      </c>
      <c r="AV263" s="110">
        <f t="shared" si="929"/>
        <v>0.89952718676122934</v>
      </c>
      <c r="AW263" s="110">
        <f t="shared" si="929"/>
        <v>0.91686746987951806</v>
      </c>
      <c r="AX263" s="110">
        <f t="shared" si="929"/>
        <v>0.92130750605326872</v>
      </c>
      <c r="AY263" s="250">
        <f t="shared" si="929"/>
        <v>0.90649195949970218</v>
      </c>
      <c r="AZ263" s="110">
        <f t="shared" si="929"/>
        <v>1.1328125</v>
      </c>
      <c r="BA263" s="110">
        <f t="shared" si="929"/>
        <v>0.45953002610966059</v>
      </c>
      <c r="BB263" s="110">
        <f t="shared" si="929"/>
        <v>0.31428571428571428</v>
      </c>
      <c r="BC263" s="110">
        <f t="shared" si="929"/>
        <v>1.2239583333333333</v>
      </c>
      <c r="BD263" s="250">
        <f t="shared" si="929"/>
        <v>0.78255208333333337</v>
      </c>
      <c r="BE263" s="110">
        <f t="shared" si="929"/>
        <v>0.8519480519480519</v>
      </c>
      <c r="BF263" s="110">
        <f t="shared" si="929"/>
        <v>0.51715039577836408</v>
      </c>
      <c r="BG263" s="110">
        <f t="shared" si="929"/>
        <v>1.0586666666666666</v>
      </c>
      <c r="BH263" s="110">
        <f t="shared" si="929"/>
        <v>1.131720430107527</v>
      </c>
      <c r="BI263" s="250">
        <f t="shared" si="929"/>
        <v>0.88815354070152219</v>
      </c>
      <c r="BJ263" s="110">
        <f t="shared" si="929"/>
        <v>0.9042553191489362</v>
      </c>
      <c r="BK263" s="110">
        <f t="shared" si="929"/>
        <v>0.82152230971128604</v>
      </c>
      <c r="BL263" s="110">
        <f t="shared" si="929"/>
        <v>0.60677083333333337</v>
      </c>
      <c r="BM263" s="110">
        <f t="shared" si="929"/>
        <v>0.96335078534031415</v>
      </c>
      <c r="BN263" s="366">
        <f t="shared" si="929"/>
        <v>0.82337491792514772</v>
      </c>
      <c r="BO263" s="110">
        <f t="shared" si="929"/>
        <v>1.0544041450777202</v>
      </c>
      <c r="BP263" s="110">
        <f t="shared" si="929"/>
        <v>1.5386597938144331</v>
      </c>
      <c r="BQ263" s="110">
        <f t="shared" si="929"/>
        <v>1.0867346938775511</v>
      </c>
      <c r="BR263" s="110">
        <f t="shared" si="929"/>
        <v>1.3483709273182958</v>
      </c>
      <c r="BS263" s="250">
        <f t="shared" si="929"/>
        <v>1.2575079872204473</v>
      </c>
      <c r="BT263" s="110">
        <f t="shared" si="929"/>
        <v>1.5975308641975308</v>
      </c>
      <c r="BU263" s="110">
        <f t="shared" si="929"/>
        <v>1.6819277108433734</v>
      </c>
      <c r="BV263" s="110">
        <f t="shared" si="929"/>
        <v>1.5095693779904307</v>
      </c>
      <c r="BW263" s="110">
        <f t="shared" si="929"/>
        <v>1.4095238095238096</v>
      </c>
      <c r="BX263" s="250">
        <f t="shared" si="929"/>
        <v>1.548854041013269</v>
      </c>
      <c r="BY263" s="110">
        <f t="shared" si="929"/>
        <v>1.3891402714932126</v>
      </c>
      <c r="BZ263" s="110">
        <f t="shared" si="929"/>
        <v>1.1485587583148558</v>
      </c>
      <c r="CA263" s="110">
        <f t="shared" si="929"/>
        <v>1.0386363636363636</v>
      </c>
      <c r="CB263" s="110">
        <f t="shared" si="929"/>
        <v>1.5068493150684932</v>
      </c>
      <c r="CC263" s="250">
        <f t="shared" si="929"/>
        <v>1.2699040090344438</v>
      </c>
      <c r="CD263" s="110">
        <f t="shared" si="929"/>
        <v>1.2468085106382978</v>
      </c>
      <c r="CE263" s="110">
        <f t="shared" si="929"/>
        <v>2.0513392857142856</v>
      </c>
      <c r="CF263" s="110">
        <f t="shared" si="929"/>
        <v>1.2060085836909871</v>
      </c>
      <c r="CG263" s="110">
        <f t="shared" si="929"/>
        <v>1.9467849223946785</v>
      </c>
      <c r="CH263" s="250">
        <f t="shared" si="929"/>
        <v>1.6049046321525886</v>
      </c>
      <c r="CI263" s="110">
        <f t="shared" si="929"/>
        <v>1.7921810699588476</v>
      </c>
      <c r="CJ263" s="110">
        <f t="shared" si="929"/>
        <v>2.225531914893617</v>
      </c>
      <c r="CK263" s="110">
        <f t="shared" si="929"/>
        <v>1.4345991561181435</v>
      </c>
      <c r="CL263" s="110">
        <f t="shared" si="929"/>
        <v>1.6822033898305084</v>
      </c>
      <c r="CM263" s="250">
        <f t="shared" ref="CM263" si="930">-CM259/CM251</f>
        <v>1.7828601472134595</v>
      </c>
      <c r="CN263" s="110">
        <f t="shared" ref="CN263:CQ263" si="931">-CN259/CN251</f>
        <v>1.4851851851851852</v>
      </c>
      <c r="CO263" s="110">
        <f t="shared" si="931"/>
        <v>1.8467289719626168</v>
      </c>
      <c r="CP263" s="110">
        <f t="shared" si="931"/>
        <v>1.6411149825783973</v>
      </c>
      <c r="CQ263" s="110">
        <f t="shared" si="931"/>
        <v>1.9795221843003412</v>
      </c>
      <c r="CR263" s="250">
        <f>-CR259/CR251</f>
        <v>1.741387024608501</v>
      </c>
      <c r="CS263" s="110">
        <f t="shared" ref="CS263:CV263" si="932">-CS259/CS251</f>
        <v>1.4934823091247673</v>
      </c>
      <c r="CT263" s="110">
        <f t="shared" si="932"/>
        <v>1.8606403013182675</v>
      </c>
      <c r="CU263" s="110">
        <f t="shared" si="932"/>
        <v>1.6497373029772329</v>
      </c>
      <c r="CV263" s="110">
        <f t="shared" si="932"/>
        <v>1.9897084048027445</v>
      </c>
      <c r="CW263" s="250">
        <f>-CW259/CW251</f>
        <v>1.7515751575157517</v>
      </c>
      <c r="CX263" s="110">
        <f t="shared" ref="CX263:DA263" si="933">-CX259/CX251</f>
        <v>2.0737704918032787</v>
      </c>
      <c r="CY263" s="110">
        <f t="shared" si="933"/>
        <v>1.6665833374997918</v>
      </c>
      <c r="CZ263" s="110">
        <f t="shared" si="933"/>
        <v>1.6521825331262598</v>
      </c>
      <c r="DA263" s="110">
        <f t="shared" si="933"/>
        <v>1.2240003996736</v>
      </c>
      <c r="DB263" s="250">
        <f>-DB259/DB251</f>
        <v>1.6557799137338667</v>
      </c>
      <c r="DC263" s="110"/>
      <c r="DD263" s="110"/>
      <c r="DE263" s="110"/>
      <c r="DF263" s="110"/>
      <c r="DG263" s="250">
        <f>-DG259/DG251</f>
        <v>1.5997873562646057</v>
      </c>
      <c r="DH263" s="110"/>
      <c r="DI263" s="110"/>
      <c r="DJ263" s="110"/>
      <c r="DK263" s="110"/>
      <c r="DL263" s="250">
        <f>-DL259/DL251</f>
        <v>1.5607681524532739</v>
      </c>
      <c r="DM263" s="110"/>
      <c r="DN263" s="540"/>
      <c r="DO263" s="486"/>
      <c r="DP263" s="411"/>
      <c r="DQ263" s="411"/>
      <c r="DR263" s="411"/>
      <c r="DS263" s="478"/>
      <c r="DT263" s="556"/>
      <c r="DU263" s="477"/>
      <c r="DV263" s="477"/>
      <c r="DW263" s="477"/>
      <c r="DX263" s="477"/>
      <c r="DY263" s="477"/>
      <c r="DZ263" s="477"/>
      <c r="EA263" s="540"/>
      <c r="EH263" s="8"/>
    </row>
    <row r="264" spans="1:138" ht="12.75" customHeight="1" x14ac:dyDescent="0.2">
      <c r="A264" s="166" t="s">
        <v>371</v>
      </c>
      <c r="B264" s="183"/>
      <c r="C264" s="183"/>
      <c r="D264" s="183"/>
      <c r="E264" s="183"/>
      <c r="F264" s="251">
        <f>F257+F259</f>
        <v>-1162</v>
      </c>
      <c r="G264" s="183"/>
      <c r="H264" s="183"/>
      <c r="I264" s="183"/>
      <c r="J264" s="183"/>
      <c r="K264" s="251">
        <f>K257+K259</f>
        <v>-2557</v>
      </c>
      <c r="L264" s="183"/>
      <c r="M264" s="183"/>
      <c r="N264" s="183"/>
      <c r="O264" s="183"/>
      <c r="P264" s="251">
        <f>P257+P259</f>
        <v>-1001</v>
      </c>
      <c r="Q264" s="183"/>
      <c r="R264" s="183"/>
      <c r="S264" s="183"/>
      <c r="T264" s="183"/>
      <c r="U264" s="251">
        <f>U257+U259</f>
        <v>-602</v>
      </c>
      <c r="V264" s="183"/>
      <c r="W264" s="183"/>
      <c r="X264" s="183"/>
      <c r="Y264" s="183"/>
      <c r="Z264" s="251">
        <f>Z257+Z259</f>
        <v>-1768</v>
      </c>
      <c r="AA264" s="183"/>
      <c r="AB264" s="183"/>
      <c r="AC264" s="183"/>
      <c r="AD264" s="183"/>
      <c r="AE264" s="251">
        <f t="shared" ref="AE264:AO264" si="934">AE257+AE259</f>
        <v>-1121</v>
      </c>
      <c r="AF264" s="183">
        <f t="shared" si="934"/>
        <v>539</v>
      </c>
      <c r="AG264" s="183">
        <f t="shared" si="934"/>
        <v>67</v>
      </c>
      <c r="AH264" s="183">
        <f t="shared" si="934"/>
        <v>127</v>
      </c>
      <c r="AI264" s="183">
        <f t="shared" si="934"/>
        <v>-153</v>
      </c>
      <c r="AJ264" s="251">
        <f t="shared" si="934"/>
        <v>580</v>
      </c>
      <c r="AK264" s="183">
        <f t="shared" si="934"/>
        <v>205</v>
      </c>
      <c r="AL264" s="183">
        <f t="shared" si="934"/>
        <v>282</v>
      </c>
      <c r="AM264" s="183">
        <f t="shared" si="934"/>
        <v>-289</v>
      </c>
      <c r="AN264" s="183">
        <f t="shared" si="934"/>
        <v>125</v>
      </c>
      <c r="AO264" s="251">
        <f t="shared" si="934"/>
        <v>323</v>
      </c>
      <c r="AP264" s="183"/>
      <c r="AQ264" s="183"/>
      <c r="AR264" s="183"/>
      <c r="AS264" s="183"/>
      <c r="AT264" s="251"/>
      <c r="AU264" s="183"/>
      <c r="AV264" s="183"/>
      <c r="AW264" s="183"/>
      <c r="AX264" s="183"/>
      <c r="AY264" s="251">
        <f>AY257+AY259</f>
        <v>-3229</v>
      </c>
      <c r="AZ264" s="183">
        <f>AZ257+AZ259</f>
        <v>208</v>
      </c>
      <c r="BA264" s="183">
        <f>BA257+BA259</f>
        <v>658</v>
      </c>
      <c r="BB264" s="183">
        <f>BB257+BB259</f>
        <v>-146</v>
      </c>
      <c r="BC264" s="183">
        <f>BC257+BC259</f>
        <v>-543</v>
      </c>
      <c r="BD264" s="251">
        <f>SUM(AZ264:BC264)</f>
        <v>177</v>
      </c>
      <c r="BE264" s="183">
        <f>BE257+BE259</f>
        <v>638</v>
      </c>
      <c r="BF264" s="183">
        <f>BF257+BF259</f>
        <v>838</v>
      </c>
      <c r="BG264" s="183">
        <f>BG257+BG259</f>
        <v>117</v>
      </c>
      <c r="BH264" s="183">
        <f>BH257+BH259</f>
        <v>-103</v>
      </c>
      <c r="BI264" s="251">
        <f>SUM(BE264:BH264)</f>
        <v>1490</v>
      </c>
      <c r="BJ264" s="183">
        <f t="shared" ref="BJ264:BQ264" si="935">BJ257+BJ259</f>
        <v>448</v>
      </c>
      <c r="BK264" s="183">
        <f t="shared" si="935"/>
        <v>673</v>
      </c>
      <c r="BL264" s="183">
        <f t="shared" si="935"/>
        <v>-331</v>
      </c>
      <c r="BM264" s="183">
        <f>BM257+BM259</f>
        <v>790</v>
      </c>
      <c r="BN264" s="367">
        <f>SUM(BJ264:BM264)</f>
        <v>1580</v>
      </c>
      <c r="BO264" s="183">
        <f t="shared" si="935"/>
        <v>424</v>
      </c>
      <c r="BP264" s="183">
        <f>BP257+BP259</f>
        <v>35</v>
      </c>
      <c r="BQ264" s="183">
        <f t="shared" si="935"/>
        <v>37</v>
      </c>
      <c r="BR264" s="183">
        <f>BR257+BR259</f>
        <v>12</v>
      </c>
      <c r="BS264" s="251">
        <f>SUM(BO264:BR264)</f>
        <v>508</v>
      </c>
      <c r="BT264" s="183">
        <f>BT257+BT259</f>
        <v>357</v>
      </c>
      <c r="BU264" s="183">
        <f>BU257+BU259</f>
        <v>510</v>
      </c>
      <c r="BV264" s="183">
        <f>BV257+BV259</f>
        <v>530</v>
      </c>
      <c r="BW264" s="183">
        <f>BW257+BW259</f>
        <v>539</v>
      </c>
      <c r="BX264" s="251">
        <f>SUM(BT264:BW264)</f>
        <v>1936</v>
      </c>
      <c r="BY264" s="183">
        <f>BY257+BY259</f>
        <v>337</v>
      </c>
      <c r="BZ264" s="183">
        <f>BZ257+BZ259</f>
        <v>1538</v>
      </c>
      <c r="CA264" s="183">
        <f>CA257+CA259</f>
        <v>901</v>
      </c>
      <c r="CB264" s="183">
        <f>CB257+CB259</f>
        <v>-78</v>
      </c>
      <c r="CC264" s="251">
        <f t="shared" ref="CC264:CH264" si="936">CC257+CC259</f>
        <v>2698</v>
      </c>
      <c r="CD264" s="183">
        <f t="shared" si="936"/>
        <v>1050</v>
      </c>
      <c r="CE264" s="183">
        <f t="shared" si="936"/>
        <v>1826</v>
      </c>
      <c r="CF264" s="183">
        <f t="shared" si="936"/>
        <v>1505</v>
      </c>
      <c r="CG264" s="183">
        <f t="shared" si="936"/>
        <v>601</v>
      </c>
      <c r="CH264" s="251">
        <f t="shared" si="936"/>
        <v>4982</v>
      </c>
      <c r="CI264" s="183">
        <f>CI257+CI259</f>
        <v>140</v>
      </c>
      <c r="CJ264" s="183">
        <f>CJ257+CJ259</f>
        <v>2169</v>
      </c>
      <c r="CK264" s="183">
        <f>CK257+CK259</f>
        <v>1174</v>
      </c>
      <c r="CL264" s="183">
        <f>CL257+CL259</f>
        <v>331</v>
      </c>
      <c r="CM264" s="251">
        <f>CM257+CM259</f>
        <v>3814</v>
      </c>
      <c r="CN264" s="183">
        <f t="shared" ref="CN264:CQ264" si="937">CN257+CN259</f>
        <v>-1603</v>
      </c>
      <c r="CO264" s="183">
        <f t="shared" si="937"/>
        <v>1398</v>
      </c>
      <c r="CP264" s="183">
        <f t="shared" si="937"/>
        <v>703</v>
      </c>
      <c r="CQ264" s="183">
        <f t="shared" si="937"/>
        <v>757</v>
      </c>
      <c r="CR264" s="251">
        <f>CR257+CR259</f>
        <v>1255</v>
      </c>
      <c r="CS264" s="183">
        <f t="shared" ref="CS264:CV264" si="938">CS257+CS259</f>
        <v>-1632</v>
      </c>
      <c r="CT264" s="183">
        <f t="shared" si="938"/>
        <v>1398</v>
      </c>
      <c r="CU264" s="183">
        <f t="shared" si="938"/>
        <v>703</v>
      </c>
      <c r="CV264" s="183">
        <f t="shared" si="938"/>
        <v>757</v>
      </c>
      <c r="CW264" s="251">
        <f>CW257+CW259</f>
        <v>1226</v>
      </c>
      <c r="CX264" s="183">
        <f t="shared" ref="CX264:DA264" si="939">CX257+CX259</f>
        <v>78</v>
      </c>
      <c r="CY264" s="183">
        <f t="shared" si="939"/>
        <v>872.22188788780409</v>
      </c>
      <c r="CZ264" s="183">
        <f t="shared" si="939"/>
        <v>649.84962527036623</v>
      </c>
      <c r="DA264" s="183">
        <f t="shared" si="939"/>
        <v>1781.5356710333913</v>
      </c>
      <c r="DB264" s="251">
        <f>DB257+DB259</f>
        <v>3381.6071841915609</v>
      </c>
      <c r="DC264" s="183"/>
      <c r="DD264" s="183"/>
      <c r="DE264" s="183"/>
      <c r="DF264" s="183"/>
      <c r="DG264" s="251">
        <f>DG257+DG259</f>
        <v>4165.2357937748338</v>
      </c>
      <c r="DH264" s="183"/>
      <c r="DI264" s="183"/>
      <c r="DJ264" s="183"/>
      <c r="DK264" s="183"/>
      <c r="DL264" s="251">
        <f>DL257+DL259</f>
        <v>4789.5359766764341</v>
      </c>
      <c r="DM264" s="79"/>
      <c r="DN264" s="522"/>
      <c r="DO264" s="486"/>
      <c r="DP264" s="411"/>
      <c r="DQ264" s="411"/>
      <c r="DR264" s="411"/>
      <c r="DS264" s="556" t="s">
        <v>549</v>
      </c>
      <c r="DT264" s="570"/>
      <c r="DU264" s="570"/>
      <c r="DV264" s="478"/>
      <c r="DW264" s="570"/>
      <c r="DX264" s="570"/>
      <c r="DY264" s="472"/>
      <c r="DZ264" s="472"/>
      <c r="EA264" s="522"/>
      <c r="EH264" s="141"/>
    </row>
    <row r="265" spans="1:138" ht="12.75" customHeight="1" x14ac:dyDescent="0.2">
      <c r="A265" s="403" t="s">
        <v>372</v>
      </c>
      <c r="B265" s="881"/>
      <c r="C265" s="881"/>
      <c r="D265" s="881"/>
      <c r="E265" s="881"/>
      <c r="F265" s="905">
        <v>384</v>
      </c>
      <c r="G265" s="881"/>
      <c r="H265" s="881"/>
      <c r="I265" s="881"/>
      <c r="J265" s="881"/>
      <c r="K265" s="905">
        <v>66</v>
      </c>
      <c r="L265" s="881"/>
      <c r="M265" s="881"/>
      <c r="N265" s="881"/>
      <c r="O265" s="881"/>
      <c r="P265" s="905">
        <v>100</v>
      </c>
      <c r="Q265" s="881"/>
      <c r="R265" s="881"/>
      <c r="S265" s="881"/>
      <c r="T265" s="881"/>
      <c r="U265" s="905">
        <v>15</v>
      </c>
      <c r="V265" s="881"/>
      <c r="W265" s="881"/>
      <c r="X265" s="881"/>
      <c r="Y265" s="881"/>
      <c r="Z265" s="905">
        <v>380</v>
      </c>
      <c r="AA265" s="881"/>
      <c r="AB265" s="881"/>
      <c r="AC265" s="881"/>
      <c r="AD265" s="881"/>
      <c r="AE265" s="905">
        <v>843</v>
      </c>
      <c r="AF265" s="881">
        <v>19</v>
      </c>
      <c r="AG265" s="881">
        <v>7</v>
      </c>
      <c r="AH265" s="881">
        <v>8</v>
      </c>
      <c r="AI265" s="881">
        <v>6</v>
      </c>
      <c r="AJ265" s="248">
        <f>SUM(AF265:AI265)</f>
        <v>40</v>
      </c>
      <c r="AK265" s="881">
        <v>18</v>
      </c>
      <c r="AL265" s="881">
        <v>9</v>
      </c>
      <c r="AM265" s="881">
        <v>18</v>
      </c>
      <c r="AN265" s="881">
        <v>177</v>
      </c>
      <c r="AO265" s="248">
        <f>SUM(AK265:AN265)</f>
        <v>222</v>
      </c>
      <c r="AP265" s="881"/>
      <c r="AQ265" s="881"/>
      <c r="AR265" s="881"/>
      <c r="AS265" s="881"/>
      <c r="AT265" s="248"/>
      <c r="AU265" s="881"/>
      <c r="AV265" s="881"/>
      <c r="AW265" s="881"/>
      <c r="AX265" s="881"/>
      <c r="AY265" s="248">
        <v>162</v>
      </c>
      <c r="AZ265" s="881">
        <v>74</v>
      </c>
      <c r="BA265" s="881">
        <f>76-AZ265</f>
        <v>2</v>
      </c>
      <c r="BB265" s="881">
        <f>86-BA265-AZ265</f>
        <v>10</v>
      </c>
      <c r="BC265" s="881">
        <f>100-BB265-BA265-AZ265</f>
        <v>14</v>
      </c>
      <c r="BD265" s="248">
        <f>SUM(AZ265:BC265)</f>
        <v>100</v>
      </c>
      <c r="BE265" s="881">
        <v>-1.7000000000000001E-2</v>
      </c>
      <c r="BF265" s="881">
        <f>10-BE265</f>
        <v>10.016999999999999</v>
      </c>
      <c r="BG265" s="881">
        <f>28+21-18-BF265-BE265</f>
        <v>21</v>
      </c>
      <c r="BH265" s="881">
        <f>36-BG265-BF265-BE265</f>
        <v>5.0000000000000009</v>
      </c>
      <c r="BI265" s="248">
        <f>SUM(BE265:BH265)</f>
        <v>36</v>
      </c>
      <c r="BJ265" s="881">
        <v>0</v>
      </c>
      <c r="BK265" s="881">
        <v>0</v>
      </c>
      <c r="BL265" s="881">
        <v>0</v>
      </c>
      <c r="BM265" s="881">
        <f>36-BL265-BK265-BJ265</f>
        <v>36</v>
      </c>
      <c r="BN265" s="350">
        <f>SUM(BJ265:BM265)</f>
        <v>36</v>
      </c>
      <c r="BO265" s="881">
        <v>0</v>
      </c>
      <c r="BP265" s="881">
        <v>0</v>
      </c>
      <c r="BQ265" s="881">
        <v>0</v>
      </c>
      <c r="BR265" s="881">
        <v>0</v>
      </c>
      <c r="BS265" s="248">
        <f>SUM(BO265:BR265)</f>
        <v>0</v>
      </c>
      <c r="BT265" s="881">
        <v>0</v>
      </c>
      <c r="BU265" s="881">
        <v>0</v>
      </c>
      <c r="BV265" s="881">
        <v>0</v>
      </c>
      <c r="BW265" s="881">
        <v>0</v>
      </c>
      <c r="BX265" s="248">
        <f>SUM(BT265:BW265)</f>
        <v>0</v>
      </c>
      <c r="BY265" s="881">
        <v>0</v>
      </c>
      <c r="BZ265" s="881">
        <v>0</v>
      </c>
      <c r="CA265" s="881">
        <v>0</v>
      </c>
      <c r="CB265" s="881">
        <v>0</v>
      </c>
      <c r="CC265" s="248">
        <f>SUM(BY265:CB265)</f>
        <v>0</v>
      </c>
      <c r="CD265" s="881">
        <v>0</v>
      </c>
      <c r="CE265" s="881">
        <v>0</v>
      </c>
      <c r="CF265" s="881">
        <v>-500</v>
      </c>
      <c r="CG265" s="881">
        <v>0</v>
      </c>
      <c r="CH265" s="248">
        <f>SUM(CD265:CG265)</f>
        <v>-500</v>
      </c>
      <c r="CI265" s="881">
        <v>0</v>
      </c>
      <c r="CJ265" s="881">
        <v>0</v>
      </c>
      <c r="CK265" s="881">
        <v>0</v>
      </c>
      <c r="CL265" s="881">
        <v>0</v>
      </c>
      <c r="CM265" s="248">
        <f>SUM(CI265:CL265)</f>
        <v>0</v>
      </c>
      <c r="CN265" s="881">
        <v>-622</v>
      </c>
      <c r="CO265" s="881">
        <v>0</v>
      </c>
      <c r="CP265" s="881">
        <v>-213</v>
      </c>
      <c r="CQ265" s="881">
        <v>-450</v>
      </c>
      <c r="CR265" s="248">
        <f>SUM(CN265:CQ265)</f>
        <v>-1285</v>
      </c>
      <c r="CS265" s="881">
        <v>-622</v>
      </c>
      <c r="CT265" s="881">
        <v>0</v>
      </c>
      <c r="CU265" s="881">
        <v>-213</v>
      </c>
      <c r="CV265" s="881">
        <v>-450</v>
      </c>
      <c r="CW265" s="248">
        <f>SUM(CS265:CV265)</f>
        <v>-1285</v>
      </c>
      <c r="CX265" s="881">
        <v>0</v>
      </c>
      <c r="CY265" s="91">
        <v>0</v>
      </c>
      <c r="CZ265" s="91">
        <v>0</v>
      </c>
      <c r="DA265" s="91">
        <v>0</v>
      </c>
      <c r="DB265" s="248">
        <f>SUM(CX265:DA265)</f>
        <v>0</v>
      </c>
      <c r="DC265" s="66"/>
      <c r="DD265" s="66"/>
      <c r="DE265" s="91"/>
      <c r="DF265" s="91"/>
      <c r="DG265" s="302">
        <v>0</v>
      </c>
      <c r="DH265" s="66"/>
      <c r="DI265" s="66"/>
      <c r="DJ265" s="91"/>
      <c r="DK265" s="91"/>
      <c r="DL265" s="302">
        <v>0</v>
      </c>
      <c r="DM265" s="66"/>
      <c r="DN265" s="526"/>
      <c r="DO265" s="486"/>
      <c r="DP265" s="411"/>
      <c r="DQ265" s="411"/>
      <c r="DR265" s="411"/>
      <c r="DS265" s="556"/>
      <c r="DT265" s="556"/>
      <c r="DU265" s="472"/>
      <c r="DV265" s="478"/>
      <c r="DW265" s="478"/>
      <c r="DX265" s="478"/>
      <c r="DY265" s="478"/>
      <c r="DZ265" s="478"/>
      <c r="EA265" s="526"/>
      <c r="EH265" s="8"/>
    </row>
    <row r="266" spans="1:138" ht="12.75" customHeight="1" x14ac:dyDescent="0.2">
      <c r="A266" s="403" t="s">
        <v>373</v>
      </c>
      <c r="B266" s="66"/>
      <c r="C266" s="66"/>
      <c r="D266" s="66"/>
      <c r="E266" s="66"/>
      <c r="F266" s="248">
        <f>F267-F265-F259</f>
        <v>280</v>
      </c>
      <c r="G266" s="66"/>
      <c r="H266" s="66"/>
      <c r="I266" s="66"/>
      <c r="J266" s="66"/>
      <c r="K266" s="248">
        <f>K267-K265-K259</f>
        <v>31</v>
      </c>
      <c r="L266" s="66"/>
      <c r="M266" s="66"/>
      <c r="N266" s="66"/>
      <c r="O266" s="66"/>
      <c r="P266" s="248">
        <f>P267-P265-P259</f>
        <v>77</v>
      </c>
      <c r="Q266" s="66"/>
      <c r="R266" s="66"/>
      <c r="S266" s="66"/>
      <c r="T266" s="66"/>
      <c r="U266" s="248">
        <f>U267-U265-U259</f>
        <v>469</v>
      </c>
      <c r="V266" s="66"/>
      <c r="W266" s="66"/>
      <c r="X266" s="66"/>
      <c r="Y266" s="66"/>
      <c r="Z266" s="248">
        <f>Z267-Z265-Z259</f>
        <v>45</v>
      </c>
      <c r="AA266" s="66"/>
      <c r="AB266" s="66"/>
      <c r="AC266" s="66"/>
      <c r="AD266" s="66"/>
      <c r="AE266" s="248">
        <f>AE267-AE265-AE259</f>
        <v>-7</v>
      </c>
      <c r="AF266" s="66">
        <v>11</v>
      </c>
      <c r="AG266" s="66">
        <v>2</v>
      </c>
      <c r="AH266" s="66">
        <v>-102</v>
      </c>
      <c r="AI266" s="66">
        <v>101</v>
      </c>
      <c r="AJ266" s="248">
        <f>SUM(AF266:AI266)</f>
        <v>12</v>
      </c>
      <c r="AK266" s="66">
        <v>62</v>
      </c>
      <c r="AL266" s="66">
        <v>86</v>
      </c>
      <c r="AM266" s="66">
        <v>1</v>
      </c>
      <c r="AN266" s="66">
        <v>40</v>
      </c>
      <c r="AO266" s="248">
        <f>SUM(AK266:AN266)</f>
        <v>189</v>
      </c>
      <c r="AP266" s="66"/>
      <c r="AQ266" s="66"/>
      <c r="AR266" s="66"/>
      <c r="AS266" s="66"/>
      <c r="AT266" s="248"/>
      <c r="AU266" s="66"/>
      <c r="AV266" s="66"/>
      <c r="AW266" s="66"/>
      <c r="AX266" s="66"/>
      <c r="AY266" s="248">
        <v>2958</v>
      </c>
      <c r="AZ266" s="66">
        <f>AZ267-AZ265-AZ259</f>
        <v>89</v>
      </c>
      <c r="BA266" s="66">
        <f>BA267-BA265-BA259</f>
        <v>42</v>
      </c>
      <c r="BB266" s="66">
        <f>BB267-BB265-BB259</f>
        <v>-134</v>
      </c>
      <c r="BC266" s="66">
        <f>BC267-BC265-BC259</f>
        <v>97</v>
      </c>
      <c r="BD266" s="248">
        <f>SUM(AZ266:BC266)</f>
        <v>94</v>
      </c>
      <c r="BE266" s="66">
        <f>BE267-BE265-BE259</f>
        <v>35.016999999999996</v>
      </c>
      <c r="BF266" s="66">
        <f>BF267-BF265-BF259</f>
        <v>-76.016999999999996</v>
      </c>
      <c r="BG266" s="66">
        <f>BG267-BG265-BG259</f>
        <v>-426</v>
      </c>
      <c r="BH266" s="66">
        <f>BH267-BH265-BH259</f>
        <v>-253</v>
      </c>
      <c r="BI266" s="248">
        <f>SUM(BE266:BH266)</f>
        <v>-720</v>
      </c>
      <c r="BJ266" s="66">
        <f>BJ267-BJ265-BJ259</f>
        <v>-236</v>
      </c>
      <c r="BK266" s="66">
        <f>BK267-BK265-BK259</f>
        <v>15</v>
      </c>
      <c r="BL266" s="66">
        <f>BL267-BL265-BL259</f>
        <v>21</v>
      </c>
      <c r="BM266" s="66">
        <f>BM267-BM265-BM259</f>
        <v>-80</v>
      </c>
      <c r="BN266" s="350">
        <f>SUM(BJ266:BM266)</f>
        <v>-280</v>
      </c>
      <c r="BO266" s="66">
        <f>BO267-BO265-BO259</f>
        <v>58</v>
      </c>
      <c r="BP266" s="66">
        <f>BP267-BP265-BP259</f>
        <v>-55</v>
      </c>
      <c r="BQ266" s="66">
        <f>BQ267-BQ265-BQ259</f>
        <v>-2</v>
      </c>
      <c r="BR266" s="66">
        <f>BR267-BR265-BR259</f>
        <v>5</v>
      </c>
      <c r="BS266" s="248">
        <f>SUM(BO266:BR266)</f>
        <v>6</v>
      </c>
      <c r="BT266" s="66">
        <f>BT267-BT265-BT259</f>
        <v>17</v>
      </c>
      <c r="BU266" s="66">
        <f>BU267-BU265-BU259</f>
        <v>137</v>
      </c>
      <c r="BV266" s="66">
        <f>BV267-BV265-BV259</f>
        <v>14</v>
      </c>
      <c r="BW266" s="66">
        <f>BW267-BW265-BW259</f>
        <v>-356</v>
      </c>
      <c r="BX266" s="248">
        <f>SUM(BT266:BW266)</f>
        <v>-188</v>
      </c>
      <c r="BY266" s="66">
        <f>BY267-BY265-BY259</f>
        <v>51</v>
      </c>
      <c r="BZ266" s="66">
        <f>BZ267-BZ265-BZ259</f>
        <v>239</v>
      </c>
      <c r="CA266" s="66">
        <f>CA267-CA265-CA259</f>
        <v>-1126</v>
      </c>
      <c r="CB266" s="66">
        <f>CB267-CB265-CB259</f>
        <v>622</v>
      </c>
      <c r="CC266" s="248">
        <f>SUM(BY266:CB266)</f>
        <v>-214</v>
      </c>
      <c r="CD266" s="66">
        <f>CD267-CD265-CD259</f>
        <v>-226</v>
      </c>
      <c r="CE266" s="66">
        <f>CE267-CE265-CE259</f>
        <v>-36</v>
      </c>
      <c r="CF266" s="66">
        <f>CF267-CF265-CF259</f>
        <v>53</v>
      </c>
      <c r="CG266" s="66">
        <f>CG267-CG265-CG259</f>
        <v>-301</v>
      </c>
      <c r="CH266" s="248">
        <f>SUM(CD266:CG266)</f>
        <v>-510</v>
      </c>
      <c r="CI266" s="66">
        <f>CI267-CI265-CI259</f>
        <v>270</v>
      </c>
      <c r="CJ266" s="66">
        <f>CJ267-CJ265-CJ259</f>
        <v>-66</v>
      </c>
      <c r="CK266" s="66">
        <f>CK267-CK265-CK259</f>
        <v>-207</v>
      </c>
      <c r="CL266" s="66">
        <f>CL267-CL265-CL259</f>
        <v>1239</v>
      </c>
      <c r="CM266" s="248">
        <f>SUM(CI266:CL266)</f>
        <v>1236</v>
      </c>
      <c r="CN266" s="66">
        <f>CN267-CN265-CN259</f>
        <v>-310</v>
      </c>
      <c r="CO266" s="66">
        <f>CO267-CO265-CO259</f>
        <v>10</v>
      </c>
      <c r="CP266" s="66">
        <f>CP267-CP265-CP259</f>
        <v>-167</v>
      </c>
      <c r="CQ266" s="66">
        <f>CQ267-CQ265-CQ259</f>
        <v>278</v>
      </c>
      <c r="CR266" s="248">
        <f>SUM(CN266:CQ266)</f>
        <v>-189</v>
      </c>
      <c r="CS266" s="66">
        <f>CS267-CS265-CS259</f>
        <v>-284</v>
      </c>
      <c r="CT266" s="66">
        <f>CT267-CT265-CT259</f>
        <v>10</v>
      </c>
      <c r="CU266" s="66">
        <f>CU267-CU265-CU259</f>
        <v>-167</v>
      </c>
      <c r="CV266" s="66">
        <f>CV267-CV265-CV259</f>
        <v>278</v>
      </c>
      <c r="CW266" s="248">
        <f>SUM(CS266:CV266)</f>
        <v>-163</v>
      </c>
      <c r="CX266" s="66">
        <f>CX267-CX265-CX259</f>
        <v>338</v>
      </c>
      <c r="CY266" s="454">
        <f t="shared" ref="CY266:DA266" si="940">IF(CX286=0,0,IF(CY264&gt;0,0,IF(CX286&gt;-(CY264+CY276+CY272+CY265),IF(-(CY264+CY276+CY272+CY265)&lt;0,0,IF(-(CY264+CY276+CY272+CY265)&gt;0,-(CY264+CY276+CY272+CY265))),CX286)))</f>
        <v>0</v>
      </c>
      <c r="CZ266" s="454">
        <f t="shared" si="940"/>
        <v>0</v>
      </c>
      <c r="DA266" s="454">
        <f t="shared" si="940"/>
        <v>0</v>
      </c>
      <c r="DB266" s="248">
        <f>SUM(CX266:DA266)</f>
        <v>338</v>
      </c>
      <c r="DC266" s="66"/>
      <c r="DD266" s="66"/>
      <c r="DE266" s="454"/>
      <c r="DF266" s="454"/>
      <c r="DG266" s="248">
        <f>IF(DB286=0,0,IF(DG264&gt;0,0,IF(DB286&gt;-(DG264+DG276+DG272+DG265),IF(-(DG264+DG276+DG272+DG265)&lt;0,0,IF(-(DG264+DG276+DG272+DG265)&gt;0,-(DG264+DG276+DG272+DG265))),DB286)))</f>
        <v>0</v>
      </c>
      <c r="DH266" s="66"/>
      <c r="DI266" s="66"/>
      <c r="DJ266" s="454"/>
      <c r="DK266" s="454"/>
      <c r="DL266" s="248">
        <f>IF(DG286=0,0,IF(DL264&gt;0,0,IF(DG286&gt;-(DL264+DL276+DL272+DL265),IF(-(DL264+DL276+DL272+DL265)&lt;0,0,IF(-(DL264+DL276+DL272+DL265)&gt;0,-(DL264+DL276+DL272+DL265))),DG286)))</f>
        <v>0</v>
      </c>
      <c r="DM266" s="66"/>
      <c r="DN266" s="526"/>
      <c r="DO266" s="486"/>
      <c r="DP266" s="411"/>
      <c r="DQ266" s="411"/>
      <c r="DR266" s="411"/>
      <c r="DS266" s="478" t="s">
        <v>554</v>
      </c>
      <c r="DT266" s="478"/>
      <c r="DU266" s="478"/>
      <c r="DV266" s="478"/>
      <c r="DW266" s="478"/>
      <c r="DX266" s="478"/>
      <c r="DY266" s="478"/>
      <c r="DZ266" s="478"/>
      <c r="EA266" s="526"/>
      <c r="EH266" s="8"/>
    </row>
    <row r="267" spans="1:138" ht="12.75" customHeight="1" x14ac:dyDescent="0.2">
      <c r="A267" s="165" t="s">
        <v>374</v>
      </c>
      <c r="B267" s="882"/>
      <c r="C267" s="882"/>
      <c r="D267" s="882"/>
      <c r="E267" s="882"/>
      <c r="F267" s="906">
        <v>-3396</v>
      </c>
      <c r="G267" s="882"/>
      <c r="H267" s="882"/>
      <c r="I267" s="882"/>
      <c r="J267" s="882"/>
      <c r="K267" s="906">
        <v>-2696</v>
      </c>
      <c r="L267" s="882"/>
      <c r="M267" s="882"/>
      <c r="N267" s="882"/>
      <c r="O267" s="882"/>
      <c r="P267" s="906">
        <v>-1109</v>
      </c>
      <c r="Q267" s="882"/>
      <c r="R267" s="882"/>
      <c r="S267" s="882"/>
      <c r="T267" s="882"/>
      <c r="U267" s="906">
        <v>-260</v>
      </c>
      <c r="V267" s="882"/>
      <c r="W267" s="882"/>
      <c r="X267" s="882"/>
      <c r="Y267" s="882"/>
      <c r="Z267" s="906">
        <v>-335</v>
      </c>
      <c r="AA267" s="882"/>
      <c r="AB267" s="882"/>
      <c r="AC267" s="882"/>
      <c r="AD267" s="882"/>
      <c r="AE267" s="906">
        <v>22</v>
      </c>
      <c r="AF267" s="882">
        <f>AF259+AF265+AF266</f>
        <v>-62</v>
      </c>
      <c r="AG267" s="882">
        <f>AG259+AG265+AG266</f>
        <v>-63</v>
      </c>
      <c r="AH267" s="882">
        <f>AH259+AH265+AH266</f>
        <v>-189</v>
      </c>
      <c r="AI267" s="882">
        <f>AI259+AI265+AI266</f>
        <v>-47</v>
      </c>
      <c r="AJ267" s="249">
        <v>-361</v>
      </c>
      <c r="AK267" s="882">
        <f>AK259+AK265+AK266</f>
        <v>-75</v>
      </c>
      <c r="AL267" s="882">
        <f>AL259+AL265+AL266</f>
        <v>-78</v>
      </c>
      <c r="AM267" s="882">
        <f>AM259+AM265+AM266</f>
        <v>-282</v>
      </c>
      <c r="AN267" s="882">
        <f>AN259+AN265+AN266</f>
        <v>-190</v>
      </c>
      <c r="AO267" s="249">
        <v>-625</v>
      </c>
      <c r="AP267" s="882"/>
      <c r="AQ267" s="882"/>
      <c r="AR267" s="882"/>
      <c r="AS267" s="882"/>
      <c r="AT267" s="249"/>
      <c r="AU267" s="882"/>
      <c r="AV267" s="882"/>
      <c r="AW267" s="882"/>
      <c r="AX267" s="882"/>
      <c r="AY267" s="249">
        <f>AY259+AY265+AY266</f>
        <v>1598</v>
      </c>
      <c r="AZ267" s="882">
        <v>-272</v>
      </c>
      <c r="BA267" s="882">
        <f>-404-AZ267</f>
        <v>-132</v>
      </c>
      <c r="BB267" s="882">
        <f>-649-BA267-AZ267</f>
        <v>-245</v>
      </c>
      <c r="BC267" s="882">
        <f>-1008-BB267-BA267-AZ267</f>
        <v>-359</v>
      </c>
      <c r="BD267" s="249">
        <f>SUM(AZ267:BC267)</f>
        <v>-1008</v>
      </c>
      <c r="BE267" s="882">
        <v>-293</v>
      </c>
      <c r="BF267" s="882">
        <f>-555-BE267</f>
        <v>-262</v>
      </c>
      <c r="BG267" s="882">
        <f>-1357-BF267-BE267</f>
        <v>-802</v>
      </c>
      <c r="BH267" s="882">
        <f>-2026-BG267-BF267-BE267</f>
        <v>-669</v>
      </c>
      <c r="BI267" s="249">
        <f>SUM(BE267:BH267)</f>
        <v>-2026</v>
      </c>
      <c r="BJ267" s="882">
        <v>-576</v>
      </c>
      <c r="BK267" s="882">
        <f>-874-BJ267</f>
        <v>-298</v>
      </c>
      <c r="BL267" s="882">
        <f>-1086-BK267-BJ267</f>
        <v>-212</v>
      </c>
      <c r="BM267" s="882">
        <v>-412</v>
      </c>
      <c r="BN267" s="364">
        <f>BN259+BN265+BN266</f>
        <v>-1498</v>
      </c>
      <c r="BO267" s="882">
        <v>-349</v>
      </c>
      <c r="BP267" s="882">
        <f>-1001-BO267</f>
        <v>-652</v>
      </c>
      <c r="BQ267" s="882">
        <f>-1429-BP267-BO267</f>
        <v>-428</v>
      </c>
      <c r="BR267" s="882">
        <f>-1962-BQ267-BP267-BO267</f>
        <v>-533</v>
      </c>
      <c r="BS267" s="249">
        <f>BS259+BS265+BS266</f>
        <v>-1962</v>
      </c>
      <c r="BT267" s="882">
        <v>-630</v>
      </c>
      <c r="BU267" s="882">
        <f>-1191-BT267</f>
        <v>-561</v>
      </c>
      <c r="BV267" s="882">
        <f>-1808-BU267-BT267</f>
        <v>-617</v>
      </c>
      <c r="BW267" s="882">
        <f>-2756-BV267-BU267-BT267</f>
        <v>-948</v>
      </c>
      <c r="BX267" s="249">
        <f>BX259+BX265+BX266</f>
        <v>-2756</v>
      </c>
      <c r="BY267" s="882">
        <v>-563</v>
      </c>
      <c r="BZ267" s="882">
        <f>-842-BY267</f>
        <v>-279</v>
      </c>
      <c r="CA267" s="882">
        <f>-2425-BZ267-BY267</f>
        <v>-1583</v>
      </c>
      <c r="CB267" s="882">
        <f>-2463-SUM(BY267:CA267)</f>
        <v>-38</v>
      </c>
      <c r="CC267" s="249">
        <f>CC259+CC265+CC266</f>
        <v>-2463</v>
      </c>
      <c r="CD267" s="882">
        <v>-812</v>
      </c>
      <c r="CE267" s="882">
        <v>-955</v>
      </c>
      <c r="CF267" s="882">
        <f>-2776-CE267-CD267</f>
        <v>-1009</v>
      </c>
      <c r="CG267" s="882">
        <v>-1179</v>
      </c>
      <c r="CH267" s="249">
        <f t="shared" ref="CH267:CM267" si="941">CH259+CH265+CH266</f>
        <v>-3955</v>
      </c>
      <c r="CI267" s="882">
        <v>-601</v>
      </c>
      <c r="CJ267" s="882">
        <v>-1112</v>
      </c>
      <c r="CK267" s="882">
        <v>-887</v>
      </c>
      <c r="CL267" s="882">
        <f>-2155-CK267-CJ267-CI267</f>
        <v>445</v>
      </c>
      <c r="CM267" s="249">
        <f t="shared" si="941"/>
        <v>-2155</v>
      </c>
      <c r="CN267" s="882">
        <v>-1734</v>
      </c>
      <c r="CO267" s="882">
        <v>-978</v>
      </c>
      <c r="CP267" s="882">
        <v>-1322</v>
      </c>
      <c r="CQ267" s="882">
        <v>-1332</v>
      </c>
      <c r="CR267" s="249">
        <f>CR259+CR265+CR266</f>
        <v>-5366</v>
      </c>
      <c r="CS267" s="882">
        <v>-1708</v>
      </c>
      <c r="CT267" s="882">
        <v>-978</v>
      </c>
      <c r="CU267" s="882">
        <v>-1322</v>
      </c>
      <c r="CV267" s="882">
        <v>-1332</v>
      </c>
      <c r="CW267" s="249">
        <f>CW259+CW265+CW266</f>
        <v>-5340</v>
      </c>
      <c r="CX267" s="882">
        <v>-927</v>
      </c>
      <c r="CY267" s="187">
        <f t="shared" ref="CY267:DA267" si="942">CY259+CY265+CY266</f>
        <v>-1000</v>
      </c>
      <c r="CZ267" s="187">
        <f t="shared" si="942"/>
        <v>-1000</v>
      </c>
      <c r="DA267" s="187">
        <f t="shared" si="942"/>
        <v>-735</v>
      </c>
      <c r="DB267" s="249">
        <f>DB259+DB265+DB266</f>
        <v>-3662</v>
      </c>
      <c r="DC267" s="187"/>
      <c r="DD267" s="187"/>
      <c r="DE267" s="187"/>
      <c r="DF267" s="187"/>
      <c r="DG267" s="249">
        <f>DG259+DG265+DG266</f>
        <v>-4000</v>
      </c>
      <c r="DH267" s="187"/>
      <c r="DI267" s="187"/>
      <c r="DJ267" s="187"/>
      <c r="DK267" s="187"/>
      <c r="DL267" s="249">
        <f>DL259+DL265+DL266</f>
        <v>-4000</v>
      </c>
      <c r="DM267" s="79"/>
      <c r="DN267" s="522"/>
      <c r="DO267" s="486"/>
      <c r="DP267" s="411"/>
      <c r="DQ267" s="411"/>
      <c r="DR267" s="411"/>
      <c r="DS267" s="478" t="s">
        <v>544</v>
      </c>
      <c r="DT267" s="478"/>
      <c r="DU267" s="478"/>
      <c r="DV267" s="472"/>
      <c r="DW267" s="472"/>
      <c r="DX267" s="472"/>
      <c r="DY267" s="472"/>
      <c r="DZ267" s="472"/>
      <c r="EA267" s="522"/>
      <c r="EH267" s="406"/>
    </row>
    <row r="268" spans="1:138" ht="12.75" customHeight="1" x14ac:dyDescent="0.2">
      <c r="A268" s="5" t="s">
        <v>375</v>
      </c>
      <c r="B268" s="5"/>
      <c r="C268" s="663"/>
      <c r="D268" s="663"/>
      <c r="E268" s="663"/>
      <c r="F268" s="197"/>
      <c r="G268" s="5"/>
      <c r="H268" s="663"/>
      <c r="I268" s="663"/>
      <c r="J268" s="663"/>
      <c r="K268" s="197"/>
      <c r="L268" s="5"/>
      <c r="M268" s="663"/>
      <c r="N268" s="663"/>
      <c r="O268" s="663"/>
      <c r="P268" s="197"/>
      <c r="Q268" s="5"/>
      <c r="R268" s="663"/>
      <c r="S268" s="663"/>
      <c r="T268" s="663"/>
      <c r="U268" s="197"/>
      <c r="V268" s="5"/>
      <c r="W268" s="663"/>
      <c r="X268" s="663"/>
      <c r="Y268" s="663"/>
      <c r="Z268" s="197"/>
      <c r="AA268" s="5"/>
      <c r="AB268" s="663"/>
      <c r="AC268" s="663"/>
      <c r="AD268" s="663"/>
      <c r="AE268" s="197"/>
      <c r="AF268" s="5"/>
      <c r="AG268" s="663"/>
      <c r="AH268" s="663"/>
      <c r="AI268" s="663"/>
      <c r="AJ268" s="197"/>
      <c r="AK268" s="5"/>
      <c r="AL268" s="663"/>
      <c r="AM268" s="663"/>
      <c r="AN268" s="663"/>
      <c r="AO268" s="197"/>
      <c r="AP268" s="5"/>
      <c r="AQ268" s="663"/>
      <c r="AR268" s="663"/>
      <c r="AS268" s="663"/>
      <c r="AT268" s="197"/>
      <c r="AU268" s="5"/>
      <c r="AV268" s="663"/>
      <c r="AW268" s="663"/>
      <c r="AX268" s="663"/>
      <c r="AY268" s="197"/>
      <c r="AZ268" s="5"/>
      <c r="BA268" s="663"/>
      <c r="BB268" s="663"/>
      <c r="BC268" s="663"/>
      <c r="BD268" s="197"/>
      <c r="BE268" s="5"/>
      <c r="BF268" s="663"/>
      <c r="BG268" s="663"/>
      <c r="BH268" s="663"/>
      <c r="BI268" s="197"/>
      <c r="BJ268" s="5"/>
      <c r="BK268" s="663"/>
      <c r="BL268" s="663"/>
      <c r="BM268" s="663"/>
      <c r="BN268" s="315"/>
      <c r="BO268" s="5"/>
      <c r="BP268" s="663"/>
      <c r="BQ268" s="663"/>
      <c r="BR268" s="663"/>
      <c r="BS268" s="197"/>
      <c r="BT268" s="5"/>
      <c r="BU268" s="663"/>
      <c r="BV268" s="663"/>
      <c r="BW268" s="663"/>
      <c r="BX268" s="197"/>
      <c r="BY268" s="5"/>
      <c r="BZ268" s="663"/>
      <c r="CA268" s="663"/>
      <c r="CB268" s="663"/>
      <c r="CC268" s="197"/>
      <c r="CD268" s="5"/>
      <c r="CE268" s="663"/>
      <c r="CF268" s="663"/>
      <c r="CG268" s="663"/>
      <c r="CH268" s="197"/>
      <c r="CI268" s="5"/>
      <c r="CJ268" s="663"/>
      <c r="CK268" s="663"/>
      <c r="CL268" s="663"/>
      <c r="CM268" s="197"/>
      <c r="CN268" s="5"/>
      <c r="CO268" s="663"/>
      <c r="CP268" s="663"/>
      <c r="CQ268" s="663"/>
      <c r="CR268" s="197"/>
      <c r="CS268" s="5"/>
      <c r="CT268" s="663"/>
      <c r="CU268" s="663"/>
      <c r="CV268" s="663"/>
      <c r="CW268" s="197"/>
      <c r="CX268" s="5"/>
      <c r="CY268" s="5"/>
      <c r="CZ268" s="5"/>
      <c r="DA268" s="5"/>
      <c r="DB268" s="197"/>
      <c r="DC268" s="5"/>
      <c r="DD268" s="5"/>
      <c r="DE268" s="5"/>
      <c r="DF268" s="5"/>
      <c r="DG268" s="197"/>
      <c r="DH268" s="5"/>
      <c r="DI268" s="5"/>
      <c r="DJ268" s="5"/>
      <c r="DK268" s="5"/>
      <c r="DL268" s="197"/>
      <c r="DM268" s="413"/>
      <c r="DN268" s="4"/>
      <c r="DO268" s="487"/>
      <c r="DP268" s="413"/>
      <c r="DQ268" s="413"/>
      <c r="DR268" s="413"/>
      <c r="DS268" s="478"/>
      <c r="DT268" s="478"/>
      <c r="DU268" s="472"/>
      <c r="DV268" s="680">
        <v>2016</v>
      </c>
      <c r="DW268" s="680">
        <f>DV268+1</f>
        <v>2017</v>
      </c>
      <c r="DX268" s="680">
        <f>DW268+1</f>
        <v>2018</v>
      </c>
      <c r="DY268" s="680">
        <f>DX268+1</f>
        <v>2019</v>
      </c>
      <c r="DZ268" s="680">
        <f>DY268+1</f>
        <v>2020</v>
      </c>
      <c r="EA268" s="4"/>
      <c r="EH268" s="5"/>
    </row>
    <row r="269" spans="1:138" ht="12.75" customHeight="1" x14ac:dyDescent="0.2">
      <c r="A269" s="23" t="s">
        <v>376</v>
      </c>
      <c r="B269" s="881"/>
      <c r="C269" s="881"/>
      <c r="D269" s="881"/>
      <c r="E269" s="881"/>
      <c r="F269" s="905">
        <v>-40</v>
      </c>
      <c r="G269" s="881"/>
      <c r="H269" s="881"/>
      <c r="I269" s="881"/>
      <c r="J269" s="881"/>
      <c r="K269" s="905">
        <v>-40</v>
      </c>
      <c r="L269" s="881"/>
      <c r="M269" s="881"/>
      <c r="N269" s="881"/>
      <c r="O269" s="881"/>
      <c r="P269" s="905">
        <v>-39</v>
      </c>
      <c r="Q269" s="881"/>
      <c r="R269" s="881"/>
      <c r="S269" s="881"/>
      <c r="T269" s="881"/>
      <c r="U269" s="905">
        <v>-19</v>
      </c>
      <c r="V269" s="881"/>
      <c r="W269" s="881"/>
      <c r="X269" s="881"/>
      <c r="Y269" s="881"/>
      <c r="Z269" s="905">
        <v>0</v>
      </c>
      <c r="AA269" s="881"/>
      <c r="AB269" s="881"/>
      <c r="AC269" s="881"/>
      <c r="AD269" s="881"/>
      <c r="AE269" s="905">
        <v>0</v>
      </c>
      <c r="AF269" s="881">
        <v>0</v>
      </c>
      <c r="AG269" s="881">
        <v>0</v>
      </c>
      <c r="AH269" s="881">
        <v>0</v>
      </c>
      <c r="AI269" s="881">
        <v>0</v>
      </c>
      <c r="AJ269" s="248">
        <v>0</v>
      </c>
      <c r="AK269" s="881">
        <v>0</v>
      </c>
      <c r="AL269" s="881">
        <v>0</v>
      </c>
      <c r="AM269" s="881">
        <v>0</v>
      </c>
      <c r="AN269" s="881">
        <v>0</v>
      </c>
      <c r="AO269" s="248">
        <v>0</v>
      </c>
      <c r="AP269" s="881"/>
      <c r="AQ269" s="881"/>
      <c r="AR269" s="881"/>
      <c r="AS269" s="881"/>
      <c r="AT269" s="248"/>
      <c r="AU269" s="881"/>
      <c r="AV269" s="881"/>
      <c r="AW269" s="881"/>
      <c r="AX269" s="881"/>
      <c r="AY269" s="248">
        <v>0</v>
      </c>
      <c r="AZ269" s="881">
        <v>0</v>
      </c>
      <c r="BA269" s="881">
        <v>0</v>
      </c>
      <c r="BB269" s="881">
        <v>0</v>
      </c>
      <c r="BC269" s="881">
        <v>0</v>
      </c>
      <c r="BD269" s="248">
        <f>SUM(AZ269:BC269)</f>
        <v>0</v>
      </c>
      <c r="BE269" s="881">
        <v>0</v>
      </c>
      <c r="BF269" s="881">
        <v>0</v>
      </c>
      <c r="BG269" s="881">
        <v>0</v>
      </c>
      <c r="BH269" s="881">
        <v>0</v>
      </c>
      <c r="BI269" s="248">
        <f>SUM(BE269:BH269)</f>
        <v>0</v>
      </c>
      <c r="BJ269" s="881">
        <v>0</v>
      </c>
      <c r="BK269" s="881">
        <v>0</v>
      </c>
      <c r="BL269" s="881">
        <v>0</v>
      </c>
      <c r="BM269" s="881">
        <v>0</v>
      </c>
      <c r="BN269" s="350">
        <f>SUM(BJ269:BM269)</f>
        <v>0</v>
      </c>
      <c r="BO269" s="881">
        <v>0</v>
      </c>
      <c r="BP269" s="881">
        <v>0</v>
      </c>
      <c r="BQ269" s="881">
        <v>0</v>
      </c>
      <c r="BR269" s="881">
        <v>0</v>
      </c>
      <c r="BS269" s="248">
        <f>SUM(BO269:BR269)</f>
        <v>0</v>
      </c>
      <c r="BT269" s="881">
        <v>0</v>
      </c>
      <c r="BU269" s="881">
        <v>0</v>
      </c>
      <c r="BV269" s="881">
        <v>-51</v>
      </c>
      <c r="BW269" s="881">
        <f>-102-BV269-BU269-BT269</f>
        <v>-51</v>
      </c>
      <c r="BX269" s="248">
        <f>SUM(BT269:BW269)</f>
        <v>-102</v>
      </c>
      <c r="BY269" s="881">
        <v>-51</v>
      </c>
      <c r="BZ269" s="881">
        <f>-101-BY269</f>
        <v>-50</v>
      </c>
      <c r="CA269" s="881">
        <f>-176-BZ269-BY269</f>
        <v>-75</v>
      </c>
      <c r="CB269" s="881">
        <f>-251-SUM(BY269:CA269)</f>
        <v>-75</v>
      </c>
      <c r="CC269" s="248">
        <f>SUM(BY269:CB269)</f>
        <v>-251</v>
      </c>
      <c r="CD269" s="881">
        <v>-75</v>
      </c>
      <c r="CE269" s="881">
        <v>-72</v>
      </c>
      <c r="CF269" s="881">
        <f>-254-CE269-CD269</f>
        <v>-107</v>
      </c>
      <c r="CG269" s="881">
        <v>-105</v>
      </c>
      <c r="CH269" s="248">
        <f>SUM(CD269:CG269)</f>
        <v>-359</v>
      </c>
      <c r="CI269" s="881">
        <v>-107</v>
      </c>
      <c r="CJ269" s="881">
        <v>-103</v>
      </c>
      <c r="CK269" s="881">
        <v>-150</v>
      </c>
      <c r="CL269" s="881">
        <f>-509-CK269-CJ269-CI269</f>
        <v>-149</v>
      </c>
      <c r="CM269" s="248">
        <f>SUM(CI269:CL269)</f>
        <v>-509</v>
      </c>
      <c r="CN269" s="881">
        <v>-149</v>
      </c>
      <c r="CO269" s="881">
        <v>-148</v>
      </c>
      <c r="CP269" s="881">
        <v>-219</v>
      </c>
      <c r="CQ269" s="881">
        <v>-216</v>
      </c>
      <c r="CR269" s="248">
        <f>SUM(CN269:CQ269)</f>
        <v>-732</v>
      </c>
      <c r="CS269" s="881">
        <v>-149</v>
      </c>
      <c r="CT269" s="881">
        <v>-148</v>
      </c>
      <c r="CU269" s="881">
        <v>-219</v>
      </c>
      <c r="CV269" s="881">
        <v>-216</v>
      </c>
      <c r="CW269" s="248">
        <f>SUM(CS269:CV269)</f>
        <v>-732</v>
      </c>
      <c r="CX269" s="881">
        <v>-217</v>
      </c>
      <c r="CY269" s="66">
        <f t="shared" ref="CY269:DA269" si="943">-(CY189*CY199)</f>
        <v>-213.715025</v>
      </c>
      <c r="CZ269" s="66">
        <f t="shared" si="943"/>
        <v>-212.1121623125</v>
      </c>
      <c r="DA269" s="66">
        <f t="shared" si="943"/>
        <v>-210.52132109515628</v>
      </c>
      <c r="DB269" s="248">
        <f>SUM(CX269:DA269)</f>
        <v>-853.34850840765625</v>
      </c>
      <c r="DC269" s="66"/>
      <c r="DD269" s="66"/>
      <c r="DE269" s="66"/>
      <c r="DF269" s="66"/>
      <c r="DG269" s="248">
        <f>-(DG189*DG199)</f>
        <v>-910.23140586068246</v>
      </c>
      <c r="DH269" s="66"/>
      <c r="DI269" s="66"/>
      <c r="DJ269" s="66"/>
      <c r="DK269" s="66"/>
      <c r="DL269" s="248">
        <f>-(DL189*DL199)</f>
        <v>-1092.2776870328189</v>
      </c>
      <c r="DM269" s="66"/>
      <c r="DN269" s="526"/>
      <c r="DO269" s="486"/>
      <c r="DP269" s="411"/>
      <c r="DQ269" s="411"/>
      <c r="DR269" s="411"/>
      <c r="DS269" s="478" t="s">
        <v>445</v>
      </c>
      <c r="DT269" s="478"/>
      <c r="DU269" s="463"/>
      <c r="DV269" s="643">
        <f>-SUM(CM269:CM270)/CM264</f>
        <v>0.81541688515993704</v>
      </c>
      <c r="DW269" s="643">
        <f>-SUM(CR269:CR270)/CR264</f>
        <v>1.9179282868525895</v>
      </c>
      <c r="DX269" s="643">
        <f>-SUM(DB269:DB270)/DB264</f>
        <v>0.6156528676678813</v>
      </c>
      <c r="DY269" s="643">
        <f>-SUM(DG269:DG270)/DG264</f>
        <v>0.74552625096859337</v>
      </c>
      <c r="DZ269" s="643">
        <f>-SUM(DL269:DL270)/DL264</f>
        <v>0.61119675916445526</v>
      </c>
      <c r="EA269" s="526"/>
      <c r="EH269" s="8"/>
    </row>
    <row r="270" spans="1:138" ht="12.75" customHeight="1" x14ac:dyDescent="0.2">
      <c r="A270" s="23" t="s">
        <v>377</v>
      </c>
      <c r="B270" s="881"/>
      <c r="C270" s="881"/>
      <c r="D270" s="881"/>
      <c r="E270" s="881"/>
      <c r="F270" s="905">
        <v>-469</v>
      </c>
      <c r="G270" s="881"/>
      <c r="H270" s="881"/>
      <c r="I270" s="881"/>
      <c r="J270" s="881"/>
      <c r="K270" s="905">
        <v>2</v>
      </c>
      <c r="L270" s="881"/>
      <c r="M270" s="881"/>
      <c r="N270" s="881"/>
      <c r="O270" s="881"/>
      <c r="P270" s="905">
        <v>0</v>
      </c>
      <c r="Q270" s="881"/>
      <c r="R270" s="881"/>
      <c r="S270" s="881"/>
      <c r="T270" s="881"/>
      <c r="U270" s="905">
        <v>0</v>
      </c>
      <c r="V270" s="881"/>
      <c r="W270" s="881"/>
      <c r="X270" s="881"/>
      <c r="Y270" s="881"/>
      <c r="Z270" s="905">
        <v>0</v>
      </c>
      <c r="AA270" s="881"/>
      <c r="AB270" s="881"/>
      <c r="AC270" s="881"/>
      <c r="AD270" s="881"/>
      <c r="AE270" s="905">
        <v>0</v>
      </c>
      <c r="AF270" s="881">
        <v>0</v>
      </c>
      <c r="AG270" s="881">
        <v>0</v>
      </c>
      <c r="AH270" s="881">
        <v>0</v>
      </c>
      <c r="AI270" s="881">
        <v>0</v>
      </c>
      <c r="AJ270" s="248">
        <v>0</v>
      </c>
      <c r="AK270" s="881">
        <v>0</v>
      </c>
      <c r="AL270" s="881">
        <v>0</v>
      </c>
      <c r="AM270" s="881">
        <v>0</v>
      </c>
      <c r="AN270" s="881">
        <v>0</v>
      </c>
      <c r="AO270" s="248">
        <v>0</v>
      </c>
      <c r="AP270" s="881"/>
      <c r="AQ270" s="881"/>
      <c r="AR270" s="881"/>
      <c r="AS270" s="881"/>
      <c r="AT270" s="248"/>
      <c r="AU270" s="881"/>
      <c r="AV270" s="881"/>
      <c r="AW270" s="881"/>
      <c r="AX270" s="881"/>
      <c r="AY270" s="248">
        <v>0</v>
      </c>
      <c r="AZ270" s="881">
        <v>0</v>
      </c>
      <c r="BA270" s="881">
        <v>0</v>
      </c>
      <c r="BB270" s="881">
        <v>0</v>
      </c>
      <c r="BC270" s="881">
        <v>0</v>
      </c>
      <c r="BD270" s="248">
        <f>SUM(AZ270:BC270)</f>
        <v>0</v>
      </c>
      <c r="BE270" s="881">
        <v>0</v>
      </c>
      <c r="BF270" s="881">
        <v>0</v>
      </c>
      <c r="BG270" s="881">
        <v>0</v>
      </c>
      <c r="BH270" s="881">
        <v>0</v>
      </c>
      <c r="BI270" s="248">
        <f>SUM(BE270:BH270)</f>
        <v>0</v>
      </c>
      <c r="BJ270" s="881">
        <v>0</v>
      </c>
      <c r="BK270" s="881">
        <v>0</v>
      </c>
      <c r="BL270" s="881">
        <v>0</v>
      </c>
      <c r="BM270" s="881">
        <v>0</v>
      </c>
      <c r="BN270" s="350">
        <f>SUM(BJ270:BM270)</f>
        <v>0</v>
      </c>
      <c r="BO270" s="881">
        <v>0</v>
      </c>
      <c r="BP270" s="881">
        <v>0</v>
      </c>
      <c r="BQ270" s="881">
        <v>0</v>
      </c>
      <c r="BR270" s="881">
        <v>0</v>
      </c>
      <c r="BS270" s="248">
        <f>SUM(BO270:BR270)</f>
        <v>0</v>
      </c>
      <c r="BT270" s="881">
        <v>0</v>
      </c>
      <c r="BU270" s="881">
        <v>0</v>
      </c>
      <c r="BV270" s="881">
        <v>-93</v>
      </c>
      <c r="BW270" s="881">
        <f>-250-BV270-BU270-BT270</f>
        <v>-157</v>
      </c>
      <c r="BX270" s="248">
        <f>SUM(BT270:BW270)</f>
        <v>-250</v>
      </c>
      <c r="BY270" s="881">
        <v>-125</v>
      </c>
      <c r="BZ270" s="881">
        <f>-350-BY270</f>
        <v>-225</v>
      </c>
      <c r="CA270" s="881">
        <f>-600-BZ270-BY270</f>
        <v>-250</v>
      </c>
      <c r="CB270" s="881">
        <f>-1100-SUM(BY270:CA270)</f>
        <v>-500</v>
      </c>
      <c r="CC270" s="248">
        <f>SUM(BY270:CB270)</f>
        <v>-1100</v>
      </c>
      <c r="CD270" s="881">
        <v>-425</v>
      </c>
      <c r="CE270" s="881">
        <v>-925</v>
      </c>
      <c r="CF270" s="881">
        <f>-1775-CE270-CD270</f>
        <v>-425</v>
      </c>
      <c r="CG270" s="881">
        <v>-425</v>
      </c>
      <c r="CH270" s="248">
        <f>SUM(CD270:CG270)</f>
        <v>-2200</v>
      </c>
      <c r="CI270" s="881">
        <v>-775</v>
      </c>
      <c r="CJ270" s="881">
        <v>-1026</v>
      </c>
      <c r="CK270" s="881">
        <v>-500</v>
      </c>
      <c r="CL270" s="881">
        <f>-2601-CK270-CJ270-CI270</f>
        <v>-300</v>
      </c>
      <c r="CM270" s="248">
        <f>SUM(CI270:CL270)</f>
        <v>-2601</v>
      </c>
      <c r="CN270" s="881">
        <v>-200</v>
      </c>
      <c r="CO270" s="881">
        <v>-600</v>
      </c>
      <c r="CP270" s="881">
        <v>-550</v>
      </c>
      <c r="CQ270" s="881">
        <v>-325</v>
      </c>
      <c r="CR270" s="248">
        <f>SUM(CN270:CQ270)</f>
        <v>-1675</v>
      </c>
      <c r="CS270" s="881">
        <v>-200</v>
      </c>
      <c r="CT270" s="881">
        <v>-600</v>
      </c>
      <c r="CU270" s="881">
        <v>-550</v>
      </c>
      <c r="CV270" s="881">
        <v>-325</v>
      </c>
      <c r="CW270" s="248">
        <f>SUM(CS270:CV270)</f>
        <v>-1675</v>
      </c>
      <c r="CX270" s="881">
        <v>-325</v>
      </c>
      <c r="CY270" s="66">
        <f t="shared" ref="CY270:DA270" si="944">CY193*(CY189-CX189)</f>
        <v>-294.57223424999773</v>
      </c>
      <c r="CZ270" s="66">
        <f t="shared" si="944"/>
        <v>-301.13383076791928</v>
      </c>
      <c r="DA270" s="66">
        <f t="shared" si="944"/>
        <v>-307.84158684827031</v>
      </c>
      <c r="DB270" s="248">
        <f>SUM(CX270:DA270)</f>
        <v>-1228.5476518661874</v>
      </c>
      <c r="DC270" s="66"/>
      <c r="DD270" s="66"/>
      <c r="DE270" s="91"/>
      <c r="DF270" s="91"/>
      <c r="DG270" s="248">
        <f>DG193*(DG189-DB189)</f>
        <v>-2195.0612198724625</v>
      </c>
      <c r="DH270" s="66"/>
      <c r="DI270" s="66"/>
      <c r="DJ270" s="91"/>
      <c r="DK270" s="91"/>
      <c r="DL270" s="248">
        <f>DL193*(DL189-DG189)</f>
        <v>-1835.0711798133816</v>
      </c>
      <c r="DM270" s="66"/>
      <c r="DN270" s="526"/>
      <c r="DO270" s="486"/>
      <c r="DP270" s="411"/>
      <c r="DQ270" s="411"/>
      <c r="DR270" s="411"/>
      <c r="DS270" s="570" t="s">
        <v>525</v>
      </c>
      <c r="DT270" s="472"/>
      <c r="DU270" s="472"/>
      <c r="DV270" s="463"/>
      <c r="DW270" s="463"/>
      <c r="DX270" s="458"/>
      <c r="DY270" s="644"/>
      <c r="DZ270" s="643"/>
      <c r="EA270" s="526"/>
      <c r="EH270" s="8"/>
    </row>
    <row r="271" spans="1:138" ht="12.75" customHeight="1" x14ac:dyDescent="0.2">
      <c r="A271" s="23" t="s">
        <v>378</v>
      </c>
      <c r="B271" s="881"/>
      <c r="C271" s="881"/>
      <c r="D271" s="881"/>
      <c r="E271" s="881"/>
      <c r="F271" s="905">
        <v>0</v>
      </c>
      <c r="G271" s="881"/>
      <c r="H271" s="881"/>
      <c r="I271" s="881"/>
      <c r="J271" s="881"/>
      <c r="K271" s="905">
        <v>0</v>
      </c>
      <c r="L271" s="881"/>
      <c r="M271" s="881"/>
      <c r="N271" s="881"/>
      <c r="O271" s="881"/>
      <c r="P271" s="905">
        <v>0</v>
      </c>
      <c r="Q271" s="881"/>
      <c r="R271" s="881"/>
      <c r="S271" s="881"/>
      <c r="T271" s="881"/>
      <c r="U271" s="905">
        <v>0</v>
      </c>
      <c r="V271" s="881"/>
      <c r="W271" s="881"/>
      <c r="X271" s="881"/>
      <c r="Y271" s="881"/>
      <c r="Z271" s="905">
        <v>0</v>
      </c>
      <c r="AA271" s="881"/>
      <c r="AB271" s="881"/>
      <c r="AC271" s="881"/>
      <c r="AD271" s="881"/>
      <c r="AE271" s="905">
        <v>0</v>
      </c>
      <c r="AF271" s="881">
        <v>0</v>
      </c>
      <c r="AG271" s="881">
        <v>0</v>
      </c>
      <c r="AH271" s="881">
        <v>0</v>
      </c>
      <c r="AI271" s="881">
        <v>0</v>
      </c>
      <c r="AJ271" s="248">
        <v>0</v>
      </c>
      <c r="AK271" s="881">
        <v>0</v>
      </c>
      <c r="AL271" s="881">
        <v>0</v>
      </c>
      <c r="AM271" s="881">
        <v>0</v>
      </c>
      <c r="AN271" s="881">
        <v>0</v>
      </c>
      <c r="AO271" s="248">
        <v>0</v>
      </c>
      <c r="AP271" s="881"/>
      <c r="AQ271" s="881"/>
      <c r="AR271" s="881"/>
      <c r="AS271" s="881"/>
      <c r="AT271" s="248"/>
      <c r="AU271" s="881"/>
      <c r="AV271" s="881"/>
      <c r="AW271" s="881"/>
      <c r="AX271" s="881"/>
      <c r="AY271" s="248">
        <v>192</v>
      </c>
      <c r="AZ271" s="881">
        <v>0</v>
      </c>
      <c r="BA271" s="881">
        <v>0</v>
      </c>
      <c r="BB271" s="881">
        <v>0</v>
      </c>
      <c r="BC271" s="881">
        <v>0</v>
      </c>
      <c r="BD271" s="248">
        <f>SUM(AZ271:BC271)</f>
        <v>0</v>
      </c>
      <c r="BE271" s="881">
        <v>0</v>
      </c>
      <c r="BF271" s="881">
        <v>0</v>
      </c>
      <c r="BG271" s="881">
        <v>0</v>
      </c>
      <c r="BH271" s="881">
        <v>0</v>
      </c>
      <c r="BI271" s="248">
        <f>SUM(BE271:BH271)</f>
        <v>0</v>
      </c>
      <c r="BJ271" s="881">
        <v>0</v>
      </c>
      <c r="BK271" s="881">
        <v>0</v>
      </c>
      <c r="BL271" s="881">
        <v>0</v>
      </c>
      <c r="BM271" s="881">
        <v>0</v>
      </c>
      <c r="BN271" s="350">
        <f>SUM(BJ271:BM271)</f>
        <v>0</v>
      </c>
      <c r="BO271" s="881">
        <v>0</v>
      </c>
      <c r="BP271" s="881">
        <v>0</v>
      </c>
      <c r="BQ271" s="881">
        <v>0</v>
      </c>
      <c r="BR271" s="881">
        <v>0</v>
      </c>
      <c r="BS271" s="248">
        <f>SUM(BO271:BR271)</f>
        <v>0</v>
      </c>
      <c r="BT271" s="881">
        <v>0</v>
      </c>
      <c r="BU271" s="881">
        <v>0</v>
      </c>
      <c r="BV271" s="881">
        <v>0</v>
      </c>
      <c r="BW271" s="881">
        <v>0</v>
      </c>
      <c r="BX271" s="248">
        <f>SUM(BT271:BW271)</f>
        <v>0</v>
      </c>
      <c r="BY271" s="881">
        <v>0</v>
      </c>
      <c r="BZ271" s="881">
        <v>0</v>
      </c>
      <c r="CA271" s="881">
        <v>0</v>
      </c>
      <c r="CB271" s="881">
        <v>0</v>
      </c>
      <c r="CC271" s="248">
        <f>SUM(BY271:CB271)</f>
        <v>0</v>
      </c>
      <c r="CD271" s="881">
        <v>0</v>
      </c>
      <c r="CE271" s="881">
        <v>0</v>
      </c>
      <c r="CF271" s="881">
        <v>0</v>
      </c>
      <c r="CG271" s="881">
        <v>0</v>
      </c>
      <c r="CH271" s="248">
        <f>SUM(CD271:CG271)</f>
        <v>0</v>
      </c>
      <c r="CI271" s="881">
        <v>0</v>
      </c>
      <c r="CJ271" s="881">
        <v>0</v>
      </c>
      <c r="CK271" s="881">
        <v>0</v>
      </c>
      <c r="CL271" s="881">
        <v>0</v>
      </c>
      <c r="CM271" s="248">
        <f>SUM(CI271:CL271)</f>
        <v>0</v>
      </c>
      <c r="CN271" s="881">
        <v>0</v>
      </c>
      <c r="CO271" s="881">
        <v>0</v>
      </c>
      <c r="CP271" s="881">
        <v>0</v>
      </c>
      <c r="CQ271" s="881">
        <v>0</v>
      </c>
      <c r="CR271" s="248">
        <f>SUM(CN271:CQ271)</f>
        <v>0</v>
      </c>
      <c r="CS271" s="881">
        <v>0</v>
      </c>
      <c r="CT271" s="881">
        <v>0</v>
      </c>
      <c r="CU271" s="881">
        <v>0</v>
      </c>
      <c r="CV271" s="881">
        <v>0</v>
      </c>
      <c r="CW271" s="248">
        <f>SUM(CS271:CV271)</f>
        <v>0</v>
      </c>
      <c r="CX271" s="881">
        <v>0</v>
      </c>
      <c r="CY271" s="91">
        <v>0</v>
      </c>
      <c r="CZ271" s="91">
        <v>0</v>
      </c>
      <c r="DA271" s="91">
        <v>0</v>
      </c>
      <c r="DB271" s="248">
        <f>SUM(CX271:DA271)</f>
        <v>0</v>
      </c>
      <c r="DC271" s="66"/>
      <c r="DD271" s="66"/>
      <c r="DE271" s="91"/>
      <c r="DF271" s="91"/>
      <c r="DG271" s="302">
        <v>0</v>
      </c>
      <c r="DH271" s="66"/>
      <c r="DI271" s="66"/>
      <c r="DJ271" s="91"/>
      <c r="DK271" s="91"/>
      <c r="DL271" s="302">
        <v>0</v>
      </c>
      <c r="DM271" s="66"/>
      <c r="DN271" s="526"/>
      <c r="DO271" s="486"/>
      <c r="DP271" s="411"/>
      <c r="DQ271" s="411"/>
      <c r="DR271" s="411"/>
      <c r="DS271" s="478"/>
      <c r="DT271" s="556"/>
      <c r="DU271" s="472"/>
      <c r="DV271" s="463"/>
      <c r="DW271" s="463"/>
      <c r="DX271" s="472"/>
      <c r="DY271" s="644"/>
      <c r="DZ271" s="644"/>
      <c r="EA271" s="526"/>
      <c r="EH271" s="8"/>
    </row>
    <row r="272" spans="1:138" ht="12.75" customHeight="1" x14ac:dyDescent="0.2">
      <c r="A272" s="167" t="s">
        <v>379</v>
      </c>
      <c r="B272" s="79"/>
      <c r="C272" s="79"/>
      <c r="D272" s="79"/>
      <c r="E272" s="79"/>
      <c r="F272" s="227">
        <f>F271+F270+F269</f>
        <v>-509</v>
      </c>
      <c r="G272" s="79"/>
      <c r="H272" s="79"/>
      <c r="I272" s="79"/>
      <c r="J272" s="79"/>
      <c r="K272" s="227">
        <f>K271+K270+K269</f>
        <v>-38</v>
      </c>
      <c r="L272" s="79"/>
      <c r="M272" s="79"/>
      <c r="N272" s="79"/>
      <c r="O272" s="79"/>
      <c r="P272" s="227">
        <f>P271+P270+P269</f>
        <v>-39</v>
      </c>
      <c r="Q272" s="79"/>
      <c r="R272" s="79"/>
      <c r="S272" s="79"/>
      <c r="T272" s="79"/>
      <c r="U272" s="227">
        <f>U271+U270+U269</f>
        <v>-19</v>
      </c>
      <c r="V272" s="79"/>
      <c r="W272" s="79"/>
      <c r="X272" s="79"/>
      <c r="Y272" s="79"/>
      <c r="Z272" s="227">
        <f>Z271+Z270+Z269</f>
        <v>0</v>
      </c>
      <c r="AA272" s="79"/>
      <c r="AB272" s="79"/>
      <c r="AC272" s="79"/>
      <c r="AD272" s="79"/>
      <c r="AE272" s="227">
        <f t="shared" ref="AE272:AO272" si="945">AE271+AE270+AE269</f>
        <v>0</v>
      </c>
      <c r="AF272" s="79">
        <f t="shared" si="945"/>
        <v>0</v>
      </c>
      <c r="AG272" s="79">
        <f t="shared" si="945"/>
        <v>0</v>
      </c>
      <c r="AH272" s="79">
        <f t="shared" si="945"/>
        <v>0</v>
      </c>
      <c r="AI272" s="79">
        <f t="shared" si="945"/>
        <v>0</v>
      </c>
      <c r="AJ272" s="227">
        <f t="shared" si="945"/>
        <v>0</v>
      </c>
      <c r="AK272" s="79">
        <f t="shared" si="945"/>
        <v>0</v>
      </c>
      <c r="AL272" s="79">
        <f t="shared" si="945"/>
        <v>0</v>
      </c>
      <c r="AM272" s="79">
        <f t="shared" si="945"/>
        <v>0</v>
      </c>
      <c r="AN272" s="79">
        <f t="shared" si="945"/>
        <v>0</v>
      </c>
      <c r="AO272" s="227">
        <f t="shared" si="945"/>
        <v>0</v>
      </c>
      <c r="AP272" s="79"/>
      <c r="AQ272" s="79"/>
      <c r="AR272" s="79"/>
      <c r="AS272" s="79"/>
      <c r="AT272" s="227"/>
      <c r="AU272" s="79"/>
      <c r="AV272" s="79"/>
      <c r="AW272" s="79"/>
      <c r="AX272" s="79"/>
      <c r="AY272" s="227">
        <f>AY271+AY270+AY269</f>
        <v>192</v>
      </c>
      <c r="AZ272" s="79">
        <f>AZ271+AZ270+AZ269</f>
        <v>0</v>
      </c>
      <c r="BA272" s="79">
        <f>BA271+BA270+BA269</f>
        <v>0</v>
      </c>
      <c r="BB272" s="79">
        <f>BB271+BB270+BB269</f>
        <v>0</v>
      </c>
      <c r="BC272" s="79">
        <f>BC271+BC270+BC269</f>
        <v>0</v>
      </c>
      <c r="BD272" s="227">
        <f>SUM(AZ272:BC272)</f>
        <v>0</v>
      </c>
      <c r="BE272" s="79">
        <f>BE271+BE270+BE269</f>
        <v>0</v>
      </c>
      <c r="BF272" s="79">
        <f>BF271+BF270+BF269</f>
        <v>0</v>
      </c>
      <c r="BG272" s="79">
        <f>BG271+BG270+BG269</f>
        <v>0</v>
      </c>
      <c r="BH272" s="79">
        <f>BH271+BH270+BH269</f>
        <v>0</v>
      </c>
      <c r="BI272" s="227">
        <f>SUM(BE272:BH272)</f>
        <v>0</v>
      </c>
      <c r="BJ272" s="79">
        <f t="shared" ref="BJ272:BV272" si="946">BJ271+BJ270+BJ269</f>
        <v>0</v>
      </c>
      <c r="BK272" s="79">
        <f t="shared" si="946"/>
        <v>0</v>
      </c>
      <c r="BL272" s="79">
        <f t="shared" si="946"/>
        <v>0</v>
      </c>
      <c r="BM272" s="79">
        <f t="shared" si="946"/>
        <v>0</v>
      </c>
      <c r="BN272" s="342">
        <f>SUM(BJ272:BM272)</f>
        <v>0</v>
      </c>
      <c r="BO272" s="79">
        <f t="shared" si="946"/>
        <v>0</v>
      </c>
      <c r="BP272" s="79">
        <f t="shared" si="946"/>
        <v>0</v>
      </c>
      <c r="BQ272" s="79">
        <f t="shared" si="946"/>
        <v>0</v>
      </c>
      <c r="BR272" s="79">
        <f t="shared" si="946"/>
        <v>0</v>
      </c>
      <c r="BS272" s="227">
        <f>SUM(BO272:BR272)</f>
        <v>0</v>
      </c>
      <c r="BT272" s="79">
        <f t="shared" si="946"/>
        <v>0</v>
      </c>
      <c r="BU272" s="79">
        <f t="shared" si="946"/>
        <v>0</v>
      </c>
      <c r="BV272" s="79">
        <f t="shared" si="946"/>
        <v>-144</v>
      </c>
      <c r="BW272" s="79">
        <f>BW271+BW270+BW269</f>
        <v>-208</v>
      </c>
      <c r="BX272" s="227">
        <f>SUM(BT272:BW272)</f>
        <v>-352</v>
      </c>
      <c r="BY272" s="79">
        <f t="shared" ref="BY272:CG272" si="947">BY271+BY270+BY269</f>
        <v>-176</v>
      </c>
      <c r="BZ272" s="79">
        <f t="shared" si="947"/>
        <v>-275</v>
      </c>
      <c r="CA272" s="79">
        <f t="shared" si="947"/>
        <v>-325</v>
      </c>
      <c r="CB272" s="79">
        <f t="shared" si="947"/>
        <v>-575</v>
      </c>
      <c r="CC272" s="227">
        <f t="shared" si="947"/>
        <v>-1351</v>
      </c>
      <c r="CD272" s="79">
        <f>CD271+CD270+CD269</f>
        <v>-500</v>
      </c>
      <c r="CE272" s="79">
        <f t="shared" si="947"/>
        <v>-997</v>
      </c>
      <c r="CF272" s="79">
        <f t="shared" si="947"/>
        <v>-532</v>
      </c>
      <c r="CG272" s="79">
        <f t="shared" si="947"/>
        <v>-530</v>
      </c>
      <c r="CH272" s="227">
        <f t="shared" ref="CH272:CM272" si="948">CH271+CH270+CH269</f>
        <v>-2559</v>
      </c>
      <c r="CI272" s="79">
        <f t="shared" si="948"/>
        <v>-882</v>
      </c>
      <c r="CJ272" s="79">
        <f t="shared" si="948"/>
        <v>-1129</v>
      </c>
      <c r="CK272" s="79">
        <f t="shared" si="948"/>
        <v>-650</v>
      </c>
      <c r="CL272" s="79">
        <f t="shared" si="948"/>
        <v>-449</v>
      </c>
      <c r="CM272" s="227">
        <f t="shared" si="948"/>
        <v>-3110</v>
      </c>
      <c r="CN272" s="79">
        <f t="shared" ref="CN272:CR272" si="949">CN271+CN270+CN269</f>
        <v>-349</v>
      </c>
      <c r="CO272" s="79">
        <f t="shared" si="949"/>
        <v>-748</v>
      </c>
      <c r="CP272" s="79">
        <f t="shared" si="949"/>
        <v>-769</v>
      </c>
      <c r="CQ272" s="79">
        <f t="shared" si="949"/>
        <v>-541</v>
      </c>
      <c r="CR272" s="227">
        <f t="shared" si="949"/>
        <v>-2407</v>
      </c>
      <c r="CS272" s="79">
        <f t="shared" ref="CS272:CW272" si="950">CS271+CS270+CS269</f>
        <v>-349</v>
      </c>
      <c r="CT272" s="79">
        <f t="shared" si="950"/>
        <v>-748</v>
      </c>
      <c r="CU272" s="79">
        <f t="shared" si="950"/>
        <v>-769</v>
      </c>
      <c r="CV272" s="79">
        <f t="shared" si="950"/>
        <v>-541</v>
      </c>
      <c r="CW272" s="227">
        <f t="shared" si="950"/>
        <v>-2407</v>
      </c>
      <c r="CX272" s="79">
        <f t="shared" ref="CX272:DB272" si="951">CX271+CX270+CX269</f>
        <v>-542</v>
      </c>
      <c r="CY272" s="79">
        <f t="shared" si="951"/>
        <v>-508.28725924999776</v>
      </c>
      <c r="CZ272" s="79">
        <f t="shared" si="951"/>
        <v>-513.24599308041934</v>
      </c>
      <c r="DA272" s="79">
        <f t="shared" si="951"/>
        <v>-518.36290794342653</v>
      </c>
      <c r="DB272" s="227">
        <f t="shared" si="951"/>
        <v>-2081.8961602738436</v>
      </c>
      <c r="DC272" s="79"/>
      <c r="DD272" s="79"/>
      <c r="DE272" s="79"/>
      <c r="DF272" s="79"/>
      <c r="DG272" s="227">
        <f>DG271+DG270+DG269</f>
        <v>-3105.2926257331451</v>
      </c>
      <c r="DH272" s="79"/>
      <c r="DI272" s="79"/>
      <c r="DJ272" s="79"/>
      <c r="DK272" s="79"/>
      <c r="DL272" s="227">
        <f>DL271+DL270+DL269</f>
        <v>-2927.3488668462005</v>
      </c>
      <c r="DM272" s="79"/>
      <c r="DN272" s="522"/>
      <c r="DO272" s="486"/>
      <c r="DP272" s="411"/>
      <c r="DQ272" s="411"/>
      <c r="DR272" s="411"/>
      <c r="DS272" s="478"/>
      <c r="DT272" s="556"/>
      <c r="DU272" s="478"/>
      <c r="DV272" s="472"/>
      <c r="DW272" s="472"/>
      <c r="DX272" s="472"/>
      <c r="DY272" s="472"/>
      <c r="DZ272" s="472"/>
      <c r="EA272" s="522"/>
      <c r="EH272" s="8"/>
    </row>
    <row r="273" spans="1:138" ht="12.75" customHeight="1" x14ac:dyDescent="0.2">
      <c r="A273" s="23" t="s">
        <v>383</v>
      </c>
      <c r="B273" s="38"/>
      <c r="C273" s="38"/>
      <c r="D273" s="38"/>
      <c r="E273" s="38"/>
      <c r="F273" s="252"/>
      <c r="G273" s="38"/>
      <c r="H273" s="38"/>
      <c r="I273" s="38"/>
      <c r="J273" s="38"/>
      <c r="K273" s="252"/>
      <c r="L273" s="38"/>
      <c r="M273" s="38"/>
      <c r="N273" s="38"/>
      <c r="O273" s="38"/>
      <c r="P273" s="252"/>
      <c r="Q273" s="38"/>
      <c r="R273" s="38"/>
      <c r="S273" s="38"/>
      <c r="T273" s="38"/>
      <c r="U273" s="252"/>
      <c r="V273" s="38"/>
      <c r="W273" s="38"/>
      <c r="X273" s="38"/>
      <c r="Y273" s="38"/>
      <c r="Z273" s="252"/>
      <c r="AA273" s="38"/>
      <c r="AB273" s="38"/>
      <c r="AC273" s="38"/>
      <c r="AD273" s="38"/>
      <c r="AE273" s="252"/>
      <c r="AF273" s="38"/>
      <c r="AG273" s="38"/>
      <c r="AH273" s="38"/>
      <c r="AI273" s="38"/>
      <c r="AJ273" s="252"/>
      <c r="AK273" s="38"/>
      <c r="AL273" s="38"/>
      <c r="AM273" s="38"/>
      <c r="AN273" s="38"/>
      <c r="AO273" s="252"/>
      <c r="AP273" s="38"/>
      <c r="AQ273" s="38"/>
      <c r="AR273" s="38"/>
      <c r="AS273" s="38"/>
      <c r="AT273" s="252"/>
      <c r="AU273" s="38"/>
      <c r="AV273" s="38"/>
      <c r="AW273" s="38"/>
      <c r="AX273" s="38"/>
      <c r="AY273" s="252"/>
      <c r="AZ273" s="38"/>
      <c r="BA273" s="38"/>
      <c r="BB273" s="38"/>
      <c r="BC273" s="38"/>
      <c r="BD273" s="252"/>
      <c r="BE273" s="38"/>
      <c r="BF273" s="38"/>
      <c r="BG273" s="38"/>
      <c r="BH273" s="38"/>
      <c r="BI273" s="252"/>
      <c r="BJ273" s="38"/>
      <c r="BK273" s="38"/>
      <c r="BL273" s="38"/>
      <c r="BM273" s="38"/>
      <c r="BN273" s="321"/>
      <c r="BO273" s="38"/>
      <c r="BP273" s="38"/>
      <c r="BQ273" s="38"/>
      <c r="BR273" s="38"/>
      <c r="BS273" s="252"/>
      <c r="BT273" s="38"/>
      <c r="BU273" s="38"/>
      <c r="BV273" s="38"/>
      <c r="BW273" s="38"/>
      <c r="BX273" s="252"/>
      <c r="BY273" s="38"/>
      <c r="BZ273" s="38"/>
      <c r="CA273" s="38"/>
      <c r="CB273" s="38"/>
      <c r="CC273" s="252"/>
      <c r="CD273" s="38"/>
      <c r="CE273" s="38"/>
      <c r="CF273" s="38"/>
      <c r="CG273" s="38"/>
      <c r="CH273" s="252"/>
      <c r="CI273" s="38"/>
      <c r="CJ273" s="38"/>
      <c r="CK273" s="38"/>
      <c r="CL273" s="38"/>
      <c r="CM273" s="252"/>
      <c r="CN273" s="38"/>
      <c r="CO273" s="38"/>
      <c r="CP273" s="38"/>
      <c r="CQ273" s="38"/>
      <c r="CR273" s="252"/>
      <c r="CS273" s="38"/>
      <c r="CT273" s="38"/>
      <c r="CU273" s="38"/>
      <c r="CV273" s="38"/>
      <c r="CW273" s="252"/>
      <c r="CX273" s="38"/>
      <c r="CY273" s="38">
        <f t="shared" ref="CY273:DB273" si="952">-CY260</f>
        <v>300</v>
      </c>
      <c r="CZ273" s="38">
        <f t="shared" si="952"/>
        <v>300</v>
      </c>
      <c r="DA273" s="38">
        <f t="shared" si="952"/>
        <v>220.5</v>
      </c>
      <c r="DB273" s="252">
        <f t="shared" si="952"/>
        <v>820.5</v>
      </c>
      <c r="DC273" s="38"/>
      <c r="DD273" s="38"/>
      <c r="DE273" s="38"/>
      <c r="DF273" s="38"/>
      <c r="DG273" s="252">
        <f>-DG260</f>
        <v>0</v>
      </c>
      <c r="DH273" s="38"/>
      <c r="DI273" s="38"/>
      <c r="DJ273" s="38"/>
      <c r="DK273" s="38"/>
      <c r="DL273" s="252">
        <f>-DL260</f>
        <v>0</v>
      </c>
      <c r="DM273" s="37"/>
      <c r="DN273" s="506"/>
      <c r="DO273" s="486"/>
      <c r="DP273" s="411"/>
      <c r="DQ273" s="411"/>
      <c r="DR273" s="411"/>
      <c r="DS273" s="478"/>
      <c r="DT273" s="556"/>
      <c r="DU273" s="472"/>
      <c r="DV273" s="465"/>
      <c r="DW273" s="465"/>
      <c r="DX273" s="465"/>
      <c r="DY273" s="465"/>
      <c r="DZ273" s="465"/>
      <c r="EA273" s="506"/>
      <c r="EH273" s="8"/>
    </row>
    <row r="274" spans="1:138" ht="12.75" customHeight="1" x14ac:dyDescent="0.2">
      <c r="A274" s="23" t="s">
        <v>439</v>
      </c>
      <c r="B274" s="91"/>
      <c r="C274" s="91"/>
      <c r="D274" s="91"/>
      <c r="E274" s="91"/>
      <c r="F274" s="248"/>
      <c r="G274" s="91"/>
      <c r="H274" s="91"/>
      <c r="I274" s="91"/>
      <c r="J274" s="91"/>
      <c r="K274" s="248"/>
      <c r="L274" s="91"/>
      <c r="M274" s="91"/>
      <c r="N274" s="91"/>
      <c r="O274" s="91"/>
      <c r="P274" s="248"/>
      <c r="Q274" s="91"/>
      <c r="R274" s="91"/>
      <c r="S274" s="91"/>
      <c r="T274" s="91"/>
      <c r="U274" s="248"/>
      <c r="V274" s="91"/>
      <c r="W274" s="91"/>
      <c r="X274" s="91"/>
      <c r="Y274" s="91"/>
      <c r="Z274" s="248"/>
      <c r="AA274" s="91"/>
      <c r="AB274" s="91"/>
      <c r="AC274" s="91"/>
      <c r="AD274" s="91"/>
      <c r="AE274" s="248"/>
      <c r="AF274" s="91"/>
      <c r="AG274" s="91"/>
      <c r="AH274" s="91"/>
      <c r="AI274" s="91"/>
      <c r="AJ274" s="248"/>
      <c r="AK274" s="91"/>
      <c r="AL274" s="91"/>
      <c r="AM274" s="91"/>
      <c r="AN274" s="91"/>
      <c r="AO274" s="248"/>
      <c r="AP274" s="91"/>
      <c r="AQ274" s="91"/>
      <c r="AR274" s="91"/>
      <c r="AS274" s="91"/>
      <c r="AT274" s="248"/>
      <c r="AU274" s="91"/>
      <c r="AV274" s="91"/>
      <c r="AW274" s="91"/>
      <c r="AX274" s="91"/>
      <c r="AY274" s="248"/>
      <c r="AZ274" s="91"/>
      <c r="BA274" s="91"/>
      <c r="BB274" s="91"/>
      <c r="BC274" s="91"/>
      <c r="BD274" s="302"/>
      <c r="BE274" s="91"/>
      <c r="BF274" s="91"/>
      <c r="BG274" s="91"/>
      <c r="BH274" s="91"/>
      <c r="BI274" s="302"/>
      <c r="BJ274" s="91"/>
      <c r="BK274" s="91"/>
      <c r="BL274" s="91"/>
      <c r="BM274" s="91"/>
      <c r="BN274" s="365"/>
      <c r="BO274" s="91"/>
      <c r="BP274" s="91"/>
      <c r="BQ274" s="91"/>
      <c r="BR274" s="91"/>
      <c r="BS274" s="302"/>
      <c r="BT274" s="91"/>
      <c r="BU274" s="91"/>
      <c r="BV274" s="91"/>
      <c r="BW274" s="91"/>
      <c r="BX274" s="302"/>
      <c r="BY274" s="91"/>
      <c r="BZ274" s="91"/>
      <c r="CA274" s="91"/>
      <c r="CB274" s="91"/>
      <c r="CC274" s="302"/>
      <c r="CD274" s="91"/>
      <c r="CE274" s="91"/>
      <c r="CF274" s="91"/>
      <c r="CG274" s="91"/>
      <c r="CH274" s="302"/>
      <c r="CI274" s="91"/>
      <c r="CJ274" s="91"/>
      <c r="CK274" s="91"/>
      <c r="CL274" s="91"/>
      <c r="CM274" s="302"/>
      <c r="CN274" s="91"/>
      <c r="CO274" s="91"/>
      <c r="CP274" s="91"/>
      <c r="CQ274" s="91"/>
      <c r="CR274" s="679"/>
      <c r="CS274" s="91"/>
      <c r="CT274" s="91"/>
      <c r="CU274" s="91"/>
      <c r="CV274" s="91"/>
      <c r="CW274" s="679"/>
      <c r="CX274" s="881">
        <v>-244</v>
      </c>
      <c r="CY274" s="66">
        <f>+$DB$274/3</f>
        <v>-886.66666666666663</v>
      </c>
      <c r="CZ274" s="66">
        <f>+$DB$274/3</f>
        <v>-886.66666666666663</v>
      </c>
      <c r="DA274" s="66">
        <f>+DB274-SUM(CX274:CZ274)</f>
        <v>-642.66666666666697</v>
      </c>
      <c r="DB274" s="679">
        <f>-2160-500</f>
        <v>-2660</v>
      </c>
      <c r="DC274" s="91"/>
      <c r="DD274" s="91"/>
      <c r="DE274" s="91"/>
      <c r="DF274" s="91"/>
      <c r="DG274" s="679">
        <f>-1289</f>
        <v>-1289</v>
      </c>
      <c r="DH274" s="91"/>
      <c r="DI274" s="91"/>
      <c r="DJ274" s="91"/>
      <c r="DK274" s="91"/>
      <c r="DL274" s="679">
        <f>-527-1000</f>
        <v>-1527</v>
      </c>
      <c r="DM274" s="37"/>
      <c r="DN274" s="506"/>
      <c r="DO274" s="486"/>
      <c r="DP274" s="411"/>
      <c r="DQ274" s="411"/>
      <c r="DR274" s="411"/>
      <c r="DS274" s="561" t="s">
        <v>547</v>
      </c>
      <c r="DT274" s="561"/>
      <c r="DU274" s="465"/>
      <c r="DV274" s="465"/>
      <c r="DW274" s="465"/>
      <c r="DX274" s="465"/>
      <c r="DY274" s="465"/>
      <c r="DZ274" s="465"/>
      <c r="EA274" s="506"/>
      <c r="EH274" s="113"/>
    </row>
    <row r="275" spans="1:138" ht="12.75" customHeight="1" x14ac:dyDescent="0.2">
      <c r="A275" s="23" t="s">
        <v>384</v>
      </c>
      <c r="B275" s="88"/>
      <c r="C275" s="88"/>
      <c r="D275" s="88"/>
      <c r="E275" s="88"/>
      <c r="F275" s="252"/>
      <c r="G275" s="88"/>
      <c r="H275" s="88"/>
      <c r="I275" s="88"/>
      <c r="J275" s="88"/>
      <c r="K275" s="252"/>
      <c r="L275" s="88"/>
      <c r="M275" s="88"/>
      <c r="N275" s="88"/>
      <c r="O275" s="88"/>
      <c r="P275" s="252"/>
      <c r="Q275" s="88"/>
      <c r="R275" s="88"/>
      <c r="S275" s="88"/>
      <c r="T275" s="88"/>
      <c r="U275" s="252"/>
      <c r="V275" s="88"/>
      <c r="W275" s="88"/>
      <c r="X275" s="88"/>
      <c r="Y275" s="88"/>
      <c r="Z275" s="252"/>
      <c r="AA275" s="88"/>
      <c r="AB275" s="88"/>
      <c r="AC275" s="88"/>
      <c r="AD275" s="88"/>
      <c r="AE275" s="252"/>
      <c r="AF275" s="88"/>
      <c r="AG275" s="88"/>
      <c r="AH275" s="88"/>
      <c r="AI275" s="88"/>
      <c r="AJ275" s="252"/>
      <c r="AK275" s="88"/>
      <c r="AL275" s="88"/>
      <c r="AM275" s="88"/>
      <c r="AN275" s="88"/>
      <c r="AO275" s="252"/>
      <c r="AP275" s="88"/>
      <c r="AQ275" s="88"/>
      <c r="AR275" s="88"/>
      <c r="AS275" s="88"/>
      <c r="AT275" s="252"/>
      <c r="AU275" s="88"/>
      <c r="AV275" s="88"/>
      <c r="AW275" s="88"/>
      <c r="AX275" s="88"/>
      <c r="AY275" s="252"/>
      <c r="AZ275" s="88"/>
      <c r="BA275" s="88"/>
      <c r="BB275" s="88"/>
      <c r="BC275" s="88"/>
      <c r="BD275" s="304"/>
      <c r="BE275" s="88"/>
      <c r="BF275" s="88"/>
      <c r="BG275" s="88"/>
      <c r="BH275" s="88"/>
      <c r="BI275" s="304"/>
      <c r="BJ275" s="88"/>
      <c r="BK275" s="88"/>
      <c r="BL275" s="88"/>
      <c r="BM275" s="88"/>
      <c r="BN275" s="368"/>
      <c r="BO275" s="88"/>
      <c r="BP275" s="88"/>
      <c r="BQ275" s="88"/>
      <c r="BR275" s="88"/>
      <c r="BS275" s="304"/>
      <c r="BT275" s="88"/>
      <c r="BU275" s="88"/>
      <c r="BV275" s="88"/>
      <c r="BW275" s="88"/>
      <c r="BX275" s="304"/>
      <c r="BY275" s="88"/>
      <c r="BZ275" s="88"/>
      <c r="CA275" s="88"/>
      <c r="CB275" s="88"/>
      <c r="CC275" s="304"/>
      <c r="CD275" s="88"/>
      <c r="CE275" s="88"/>
      <c r="CF275" s="88"/>
      <c r="CG275" s="88"/>
      <c r="CH275" s="304"/>
      <c r="CI275" s="88"/>
      <c r="CJ275" s="88"/>
      <c r="CK275" s="88"/>
      <c r="CL275" s="88"/>
      <c r="CM275" s="304"/>
      <c r="CN275" s="88"/>
      <c r="CO275" s="88"/>
      <c r="CP275" s="88"/>
      <c r="CQ275" s="88"/>
      <c r="CR275" s="304"/>
      <c r="CS275" s="88"/>
      <c r="CT275" s="88"/>
      <c r="CU275" s="88"/>
      <c r="CV275" s="88"/>
      <c r="CW275" s="304"/>
      <c r="CX275" s="88"/>
      <c r="CY275" s="88"/>
      <c r="CZ275" s="88"/>
      <c r="DA275" s="88"/>
      <c r="DB275" s="304">
        <v>0</v>
      </c>
      <c r="DC275" s="88"/>
      <c r="DD275" s="88"/>
      <c r="DE275" s="88"/>
      <c r="DF275" s="88"/>
      <c r="DG275" s="304">
        <v>0</v>
      </c>
      <c r="DH275" s="88"/>
      <c r="DI275" s="88"/>
      <c r="DJ275" s="88"/>
      <c r="DK275" s="88"/>
      <c r="DL275" s="304">
        <v>0</v>
      </c>
      <c r="DM275" s="37"/>
      <c r="DN275" s="506"/>
      <c r="DO275" s="486"/>
      <c r="DP275" s="411"/>
      <c r="DQ275" s="411"/>
      <c r="DR275" s="411"/>
      <c r="DS275" s="561"/>
      <c r="DT275" s="478" t="s">
        <v>568</v>
      </c>
      <c r="DU275" s="465"/>
      <c r="DV275" s="465"/>
      <c r="DW275" s="465"/>
      <c r="DX275" s="465"/>
      <c r="DY275" s="465"/>
      <c r="DZ275" s="465"/>
      <c r="EA275" s="506"/>
      <c r="EH275" s="8"/>
    </row>
    <row r="276" spans="1:138" ht="12.75" customHeight="1" x14ac:dyDescent="0.2">
      <c r="A276" s="167" t="s">
        <v>385</v>
      </c>
      <c r="B276" s="883"/>
      <c r="C276" s="883"/>
      <c r="D276" s="883"/>
      <c r="E276" s="883"/>
      <c r="F276" s="907">
        <v>748</v>
      </c>
      <c r="G276" s="883"/>
      <c r="H276" s="883"/>
      <c r="I276" s="883"/>
      <c r="J276" s="883"/>
      <c r="K276" s="907">
        <v>3361</v>
      </c>
      <c r="L276" s="883"/>
      <c r="M276" s="883"/>
      <c r="N276" s="883"/>
      <c r="O276" s="883"/>
      <c r="P276" s="907">
        <v>676</v>
      </c>
      <c r="Q276" s="883"/>
      <c r="R276" s="883"/>
      <c r="S276" s="883"/>
      <c r="T276" s="883"/>
      <c r="U276" s="907">
        <v>972</v>
      </c>
      <c r="V276" s="883"/>
      <c r="W276" s="883"/>
      <c r="X276" s="883"/>
      <c r="Y276" s="883"/>
      <c r="Z276" s="907">
        <v>671</v>
      </c>
      <c r="AA276" s="883"/>
      <c r="AB276" s="883"/>
      <c r="AC276" s="883"/>
      <c r="AD276" s="883"/>
      <c r="AE276" s="907">
        <v>880</v>
      </c>
      <c r="AF276" s="883">
        <v>-143</v>
      </c>
      <c r="AG276" s="883">
        <v>-74</v>
      </c>
      <c r="AH276" s="883">
        <v>-181</v>
      </c>
      <c r="AI276" s="883">
        <v>-202</v>
      </c>
      <c r="AJ276" s="227">
        <f>SUM(AF276:AI276)</f>
        <v>-600</v>
      </c>
      <c r="AK276" s="883">
        <v>-226</v>
      </c>
      <c r="AL276" s="883">
        <v>-590</v>
      </c>
      <c r="AM276" s="883">
        <v>66</v>
      </c>
      <c r="AN276" s="883">
        <v>699</v>
      </c>
      <c r="AO276" s="227">
        <f>SUM(AK276:AN276)</f>
        <v>-51</v>
      </c>
      <c r="AP276" s="883"/>
      <c r="AQ276" s="883"/>
      <c r="AR276" s="883"/>
      <c r="AS276" s="883"/>
      <c r="AT276" s="227"/>
      <c r="AU276" s="883"/>
      <c r="AV276" s="883"/>
      <c r="AW276" s="883"/>
      <c r="AX276" s="883"/>
      <c r="AY276" s="227">
        <f>-300+2132-1296</f>
        <v>536</v>
      </c>
      <c r="AZ276" s="883">
        <f>-538+356</f>
        <v>-182</v>
      </c>
      <c r="BA276" s="883">
        <f>-853+390-AZ276</f>
        <v>-281</v>
      </c>
      <c r="BB276" s="883">
        <f>-2056+2472-BA276-AZ276</f>
        <v>879</v>
      </c>
      <c r="BC276" s="883">
        <f>-2891+2966</f>
        <v>75</v>
      </c>
      <c r="BD276" s="227">
        <f>SUM(AZ276:BC276)</f>
        <v>491</v>
      </c>
      <c r="BE276" s="883">
        <v>-368</v>
      </c>
      <c r="BF276" s="883">
        <f>-1622-BE276</f>
        <v>-1254</v>
      </c>
      <c r="BG276" s="883">
        <f>-2546+223-BF276-BE276</f>
        <v>-701</v>
      </c>
      <c r="BH276" s="883">
        <f>-3722+1130-BG276-BF276-BE276</f>
        <v>-269</v>
      </c>
      <c r="BI276" s="227">
        <f>SUM(BE276:BH276)</f>
        <v>-2592</v>
      </c>
      <c r="BJ276" s="883">
        <f>-460+245</f>
        <v>-215</v>
      </c>
      <c r="BK276" s="883">
        <f>-2394+1599-BJ276</f>
        <v>-580</v>
      </c>
      <c r="BL276" s="883">
        <f>-3426+2380-BK276-BJ276</f>
        <v>-251</v>
      </c>
      <c r="BM276" s="883">
        <f>(BN276-BL276-BK276-BJ276)</f>
        <v>-731</v>
      </c>
      <c r="BN276" s="342">
        <f>-4172+2395</f>
        <v>-1777</v>
      </c>
      <c r="BO276" s="883">
        <v>-367</v>
      </c>
      <c r="BP276" s="883">
        <f>-741-BO276</f>
        <v>-374</v>
      </c>
      <c r="BQ276" s="883">
        <f>-1410+480-BP276-BO276</f>
        <v>-189</v>
      </c>
      <c r="BR276" s="883">
        <f>-2864+1965-BQ276-BP276-BO276</f>
        <v>31</v>
      </c>
      <c r="BS276" s="227">
        <f>SUM(BO276:BR276)</f>
        <v>-899</v>
      </c>
      <c r="BT276" s="883">
        <v>-299</v>
      </c>
      <c r="BU276" s="883">
        <f>-621-BT276</f>
        <v>-322</v>
      </c>
      <c r="BV276" s="883">
        <f>-968+68-BU276-BT276</f>
        <v>-279</v>
      </c>
      <c r="BW276" s="883">
        <f>-1461+268-BV276-BU276-BT276</f>
        <v>-293</v>
      </c>
      <c r="BX276" s="227">
        <f>SUM(BT276:BW276)</f>
        <v>-1193</v>
      </c>
      <c r="BY276" s="883">
        <v>-412</v>
      </c>
      <c r="BZ276" s="883">
        <f>-1477+273-BY276</f>
        <v>-792</v>
      </c>
      <c r="CA276" s="883">
        <f>-2485+980-BZ276-BY276</f>
        <v>-301</v>
      </c>
      <c r="CB276" s="883">
        <f>-2928+1020-SUM(BY276:CA276)</f>
        <v>-403</v>
      </c>
      <c r="CC276" s="227">
        <f>SUM(BY276:CB276)</f>
        <v>-1908</v>
      </c>
      <c r="CD276" s="883">
        <v>-301</v>
      </c>
      <c r="CE276" s="883">
        <v>-333</v>
      </c>
      <c r="CF276" s="883">
        <f>-2151+1038-CE276-CD276</f>
        <v>-479</v>
      </c>
      <c r="CG276" s="883">
        <v>-407</v>
      </c>
      <c r="CH276" s="227">
        <f>SUM(CD276:CG276)</f>
        <v>-1520</v>
      </c>
      <c r="CI276" s="883">
        <f>-459+68+450</f>
        <v>59</v>
      </c>
      <c r="CJ276" s="883">
        <v>-690</v>
      </c>
      <c r="CK276" s="883">
        <v>-254</v>
      </c>
      <c r="CL276" s="883">
        <f>-1709-CK276-CJ276-CI276+450</f>
        <v>-374</v>
      </c>
      <c r="CM276" s="227">
        <f>SUM(CI276:CL276)</f>
        <v>-1259</v>
      </c>
      <c r="CN276" s="883">
        <f>2004-288</f>
        <v>1716</v>
      </c>
      <c r="CO276" s="883">
        <v>-276</v>
      </c>
      <c r="CP276" s="883">
        <v>-255</v>
      </c>
      <c r="CQ276" s="883">
        <f>-439+450</f>
        <v>11</v>
      </c>
      <c r="CR276" s="227">
        <f>+SUM(CN276:CQ276)</f>
        <v>1196</v>
      </c>
      <c r="CS276" s="883">
        <f>2004-288</f>
        <v>1716</v>
      </c>
      <c r="CT276" s="883">
        <v>-276</v>
      </c>
      <c r="CU276" s="883">
        <v>-255</v>
      </c>
      <c r="CV276" s="883">
        <f>-439+450</f>
        <v>11</v>
      </c>
      <c r="CW276" s="227">
        <f>+SUM(CS276:CV276)</f>
        <v>1196</v>
      </c>
      <c r="CX276" s="79">
        <f t="shared" ref="CX276:DB276" si="953">CX274+CX273+CX275</f>
        <v>-244</v>
      </c>
      <c r="CY276" s="79">
        <f t="shared" si="953"/>
        <v>-586.66666666666663</v>
      </c>
      <c r="CZ276" s="79">
        <f t="shared" si="953"/>
        <v>-586.66666666666663</v>
      </c>
      <c r="DA276" s="79">
        <f t="shared" si="953"/>
        <v>-422.16666666666697</v>
      </c>
      <c r="DB276" s="227">
        <f t="shared" si="953"/>
        <v>-1839.5</v>
      </c>
      <c r="DC276" s="80"/>
      <c r="DD276" s="79"/>
      <c r="DE276" s="80"/>
      <c r="DF276" s="80"/>
      <c r="DG276" s="227">
        <f>DG274+DG273+DG275</f>
        <v>-1289</v>
      </c>
      <c r="DH276" s="80"/>
      <c r="DI276" s="79"/>
      <c r="DJ276" s="80"/>
      <c r="DK276" s="80"/>
      <c r="DL276" s="227">
        <f>DL274+DL273+DL275</f>
        <v>-1527</v>
      </c>
      <c r="DM276" s="79"/>
      <c r="DN276" s="522"/>
      <c r="DO276" s="486"/>
      <c r="DP276" s="411"/>
      <c r="DQ276" s="411"/>
      <c r="DR276" s="411"/>
      <c r="DS276" s="561"/>
      <c r="DT276" s="561"/>
      <c r="DU276" s="465"/>
      <c r="DV276" s="472"/>
      <c r="DW276" s="472"/>
      <c r="DX276" s="472"/>
      <c r="DY276" s="472"/>
      <c r="DZ276" s="472"/>
      <c r="EA276" s="522"/>
      <c r="EH276" s="8"/>
    </row>
    <row r="277" spans="1:138" ht="12.75" customHeight="1" x14ac:dyDescent="0.2">
      <c r="A277" s="7" t="s">
        <v>386</v>
      </c>
      <c r="B277" s="79"/>
      <c r="C277" s="79"/>
      <c r="D277" s="79"/>
      <c r="E277" s="79"/>
      <c r="F277" s="227">
        <f>F278-F276-F272</f>
        <v>0</v>
      </c>
      <c r="G277" s="79"/>
      <c r="H277" s="79"/>
      <c r="I277" s="79"/>
      <c r="J277" s="79"/>
      <c r="K277" s="227">
        <f>K278-K276-K272</f>
        <v>6</v>
      </c>
      <c r="L277" s="79"/>
      <c r="M277" s="79"/>
      <c r="N277" s="79"/>
      <c r="O277" s="79"/>
      <c r="P277" s="227">
        <f>P278-P276-P272</f>
        <v>-54</v>
      </c>
      <c r="Q277" s="79"/>
      <c r="R277" s="79"/>
      <c r="S277" s="79"/>
      <c r="T277" s="79"/>
      <c r="U277" s="227">
        <f>U278-U276-U272</f>
        <v>-405</v>
      </c>
      <c r="V277" s="79"/>
      <c r="W277" s="79"/>
      <c r="X277" s="79"/>
      <c r="Y277" s="79"/>
      <c r="Z277" s="227">
        <f>Z278-Z276-Z272</f>
        <v>-35</v>
      </c>
      <c r="AA277" s="79"/>
      <c r="AB277" s="79"/>
      <c r="AC277" s="79"/>
      <c r="AD277" s="79"/>
      <c r="AE277" s="227">
        <f>AE278-AE276-AE272</f>
        <v>-50</v>
      </c>
      <c r="AF277" s="79">
        <v>-5</v>
      </c>
      <c r="AG277" s="79">
        <v>0</v>
      </c>
      <c r="AH277" s="79">
        <v>0</v>
      </c>
      <c r="AI277" s="79">
        <v>-1</v>
      </c>
      <c r="AJ277" s="227">
        <f>AJ278-AJ276-AJ272</f>
        <v>-6</v>
      </c>
      <c r="AK277" s="79">
        <v>0</v>
      </c>
      <c r="AL277" s="79">
        <v>-50</v>
      </c>
      <c r="AM277" s="79">
        <v>-3</v>
      </c>
      <c r="AN277" s="79">
        <v>-16</v>
      </c>
      <c r="AO277" s="227">
        <f>AO278-AO276-AO272</f>
        <v>-69</v>
      </c>
      <c r="AP277" s="79"/>
      <c r="AQ277" s="79"/>
      <c r="AR277" s="79"/>
      <c r="AS277" s="79"/>
      <c r="AT277" s="227"/>
      <c r="AU277" s="79"/>
      <c r="AV277" s="79"/>
      <c r="AW277" s="79"/>
      <c r="AX277" s="79"/>
      <c r="AY277" s="227">
        <f>AY278-AY276-AY272</f>
        <v>988</v>
      </c>
      <c r="AZ277" s="79">
        <f>AZ278-AZ276-AZ272</f>
        <v>-3</v>
      </c>
      <c r="BA277" s="79">
        <f>BA278-BA276-BA272</f>
        <v>-11</v>
      </c>
      <c r="BB277" s="79">
        <f>BB278-BB276-BB272</f>
        <v>-64</v>
      </c>
      <c r="BC277" s="79">
        <f>BC278-BC276-BC272</f>
        <v>-432</v>
      </c>
      <c r="BD277" s="227">
        <f>SUM(AZ277:BC277)</f>
        <v>-510</v>
      </c>
      <c r="BE277" s="79">
        <f>BE278-BE276-BE272</f>
        <v>1</v>
      </c>
      <c r="BF277" s="79">
        <f>BF278-BF276-BF272</f>
        <v>3</v>
      </c>
      <c r="BG277" s="79">
        <f>BG278-BG276-BG272</f>
        <v>-9</v>
      </c>
      <c r="BH277" s="79">
        <f>BH278-BH276-BH272</f>
        <v>76</v>
      </c>
      <c r="BI277" s="227">
        <f>SUM(BE277:BH277)</f>
        <v>71</v>
      </c>
      <c r="BJ277" s="79">
        <f>BJ278-BJ276-BJ272</f>
        <v>-8</v>
      </c>
      <c r="BK277" s="79">
        <f>BK278-BK276-BK272</f>
        <v>-134</v>
      </c>
      <c r="BL277" s="79">
        <f>BL278-BL276-BL272</f>
        <v>13</v>
      </c>
      <c r="BM277" s="79">
        <f>BM278-BM276-BM272</f>
        <v>335</v>
      </c>
      <c r="BN277" s="342">
        <f>SUM(BJ277:BM277)</f>
        <v>206</v>
      </c>
      <c r="BO277" s="79">
        <f>BO278-BO276-BO272</f>
        <v>139</v>
      </c>
      <c r="BP277" s="79">
        <f>BP278-BP276-BP272</f>
        <v>22</v>
      </c>
      <c r="BQ277" s="79">
        <f>BQ278-BQ276-BQ272</f>
        <v>-111</v>
      </c>
      <c r="BR277" s="79">
        <f>BR278-BR276-BR272</f>
        <v>94</v>
      </c>
      <c r="BS277" s="227">
        <f>SUM(BO277:BR277)</f>
        <v>144</v>
      </c>
      <c r="BT277" s="79">
        <f>BT278-BT276-BT272</f>
        <v>145</v>
      </c>
      <c r="BU277" s="79">
        <f>BU278-BU276-BU272</f>
        <v>4</v>
      </c>
      <c r="BV277" s="79">
        <f>BV278-BV276-BV272</f>
        <v>-68</v>
      </c>
      <c r="BW277" s="79">
        <f>BW278-BW276-BW272</f>
        <v>144</v>
      </c>
      <c r="BX277" s="227">
        <f>SUM(BT277:BW277)</f>
        <v>225</v>
      </c>
      <c r="BY277" s="79">
        <f>BY278-BY276-BY272</f>
        <v>55</v>
      </c>
      <c r="BZ277" s="79">
        <f>BZ278-BZ276-BZ272</f>
        <v>-47</v>
      </c>
      <c r="CA277" s="79">
        <f>CA278-CA276-CA272</f>
        <v>-1</v>
      </c>
      <c r="CB277" s="79">
        <f>CB278-CB276-CB272</f>
        <v>12</v>
      </c>
      <c r="CC277" s="227">
        <f>SUM(BY277:CB277)</f>
        <v>19</v>
      </c>
      <c r="CD277" s="79">
        <f>CD278-CD276-CD272</f>
        <v>11</v>
      </c>
      <c r="CE277" s="79">
        <f>CE278-CE276-CE272</f>
        <v>-289</v>
      </c>
      <c r="CF277" s="79">
        <f>CF278-CF276-CF272</f>
        <v>29</v>
      </c>
      <c r="CG277" s="79">
        <f>CG278-CG276-CG272</f>
        <v>240</v>
      </c>
      <c r="CH277" s="227">
        <f>SUM(CD277:CG277)</f>
        <v>-9</v>
      </c>
      <c r="CI277" s="79">
        <f>CI278-CI276-CI272</f>
        <v>149</v>
      </c>
      <c r="CJ277" s="79">
        <f>CJ278-CJ276-CJ272</f>
        <v>-330</v>
      </c>
      <c r="CK277" s="79">
        <f>CK278-CK276-CK272</f>
        <v>-87</v>
      </c>
      <c r="CL277" s="79">
        <f>CL278-CL276-CL272</f>
        <v>377</v>
      </c>
      <c r="CM277" s="227">
        <f>SUM(CI277:CL277)</f>
        <v>109</v>
      </c>
      <c r="CN277" s="79">
        <f>CN278-CN276-CN272</f>
        <v>313</v>
      </c>
      <c r="CO277" s="79">
        <f>CO278-CO276-CO272</f>
        <v>-50</v>
      </c>
      <c r="CP277" s="79">
        <f>CP278-CP276-CP272</f>
        <v>-62</v>
      </c>
      <c r="CQ277" s="79">
        <f>CQ278-CQ276-CQ272</f>
        <v>281</v>
      </c>
      <c r="CR277" s="227">
        <f>SUM(CN277:CQ277)</f>
        <v>482</v>
      </c>
      <c r="CS277" s="79">
        <f>CS278-CS276-CS272</f>
        <v>313</v>
      </c>
      <c r="CT277" s="79">
        <f>CT278-CT276-CT272</f>
        <v>-50</v>
      </c>
      <c r="CU277" s="79">
        <f>CU278-CU276-CU272</f>
        <v>-62</v>
      </c>
      <c r="CV277" s="79">
        <f>CV278-CV276-CV272</f>
        <v>281</v>
      </c>
      <c r="CW277" s="227">
        <f>SUM(CS277:CV277)</f>
        <v>482</v>
      </c>
      <c r="CX277" s="79">
        <v>-1</v>
      </c>
      <c r="CY277" s="112">
        <v>0</v>
      </c>
      <c r="CZ277" s="112">
        <v>0</v>
      </c>
      <c r="DA277" s="112">
        <v>0</v>
      </c>
      <c r="DB277" s="227">
        <f>SUM(CX277:DA277)</f>
        <v>-1</v>
      </c>
      <c r="DC277" s="79"/>
      <c r="DD277" s="79"/>
      <c r="DE277" s="112"/>
      <c r="DF277" s="112"/>
      <c r="DG277" s="435">
        <v>0</v>
      </c>
      <c r="DH277" s="79"/>
      <c r="DI277" s="79"/>
      <c r="DJ277" s="112"/>
      <c r="DK277" s="112"/>
      <c r="DL277" s="435">
        <v>0</v>
      </c>
      <c r="DM277" s="79"/>
      <c r="DN277" s="522"/>
      <c r="DO277" s="486"/>
      <c r="DP277" s="411"/>
      <c r="DQ277" s="411"/>
      <c r="DR277" s="411"/>
      <c r="DS277" s="478"/>
      <c r="DT277" s="478"/>
      <c r="DU277" s="472"/>
      <c r="DV277" s="472"/>
      <c r="DW277" s="472"/>
      <c r="DX277" s="472"/>
      <c r="DY277" s="472"/>
      <c r="DZ277" s="472"/>
      <c r="EA277" s="522"/>
      <c r="EH277" s="8"/>
    </row>
    <row r="278" spans="1:138" ht="12.75" customHeight="1" x14ac:dyDescent="0.2">
      <c r="A278" s="165" t="s">
        <v>387</v>
      </c>
      <c r="B278" s="882"/>
      <c r="C278" s="882"/>
      <c r="D278" s="882"/>
      <c r="E278" s="882"/>
      <c r="F278" s="906">
        <v>239</v>
      </c>
      <c r="G278" s="882"/>
      <c r="H278" s="882"/>
      <c r="I278" s="882"/>
      <c r="J278" s="882"/>
      <c r="K278" s="906">
        <v>3329</v>
      </c>
      <c r="L278" s="882"/>
      <c r="M278" s="882"/>
      <c r="N278" s="882"/>
      <c r="O278" s="882"/>
      <c r="P278" s="906">
        <v>583</v>
      </c>
      <c r="Q278" s="882"/>
      <c r="R278" s="882"/>
      <c r="S278" s="882"/>
      <c r="T278" s="882"/>
      <c r="U278" s="906">
        <v>548</v>
      </c>
      <c r="V278" s="882"/>
      <c r="W278" s="882"/>
      <c r="X278" s="882"/>
      <c r="Y278" s="882"/>
      <c r="Z278" s="906">
        <v>636</v>
      </c>
      <c r="AA278" s="882"/>
      <c r="AB278" s="882"/>
      <c r="AC278" s="882"/>
      <c r="AD278" s="882"/>
      <c r="AE278" s="906">
        <v>830</v>
      </c>
      <c r="AF278" s="882">
        <f>AF277+AF276+AF272</f>
        <v>-148</v>
      </c>
      <c r="AG278" s="882">
        <f>AG277+AG276+AG272</f>
        <v>-74</v>
      </c>
      <c r="AH278" s="882">
        <f>AH277+AH276+AH272</f>
        <v>-181</v>
      </c>
      <c r="AI278" s="882">
        <f>AI277+AI276+AI272</f>
        <v>-203</v>
      </c>
      <c r="AJ278" s="249">
        <v>-606</v>
      </c>
      <c r="AK278" s="882">
        <f>AK277+AK276+AK272</f>
        <v>-226</v>
      </c>
      <c r="AL278" s="882">
        <f>AL277+AL276+AL272</f>
        <v>-640</v>
      </c>
      <c r="AM278" s="882">
        <f>AM277+AM276+AM272</f>
        <v>63</v>
      </c>
      <c r="AN278" s="882">
        <f>AN277+AN276+AN272</f>
        <v>683</v>
      </c>
      <c r="AO278" s="249">
        <v>-120</v>
      </c>
      <c r="AP278" s="882"/>
      <c r="AQ278" s="882"/>
      <c r="AR278" s="882"/>
      <c r="AS278" s="882"/>
      <c r="AT278" s="249"/>
      <c r="AU278" s="882"/>
      <c r="AV278" s="882"/>
      <c r="AW278" s="882"/>
      <c r="AX278" s="882"/>
      <c r="AY278" s="249">
        <v>1716</v>
      </c>
      <c r="AZ278" s="882">
        <v>-185</v>
      </c>
      <c r="BA278" s="882">
        <f>-477-AZ278</f>
        <v>-292</v>
      </c>
      <c r="BB278" s="882">
        <f>338-BA278-AZ278</f>
        <v>815</v>
      </c>
      <c r="BC278" s="882">
        <f>-19-BB278-BA278-AZ278</f>
        <v>-357</v>
      </c>
      <c r="BD278" s="249">
        <f>SUM(AZ278:BC278)</f>
        <v>-19</v>
      </c>
      <c r="BE278" s="882">
        <v>-367</v>
      </c>
      <c r="BF278" s="882">
        <f>-1618-BE278</f>
        <v>-1251</v>
      </c>
      <c r="BG278" s="882">
        <f>-2328-BF278-BE278</f>
        <v>-710</v>
      </c>
      <c r="BH278" s="882">
        <f>-2521-BG278-BF278-BE278</f>
        <v>-193</v>
      </c>
      <c r="BI278" s="249">
        <f>SUM(BE278:BH278)</f>
        <v>-2521</v>
      </c>
      <c r="BJ278" s="882">
        <v>-223</v>
      </c>
      <c r="BK278" s="882">
        <f>-937-BJ278</f>
        <v>-714</v>
      </c>
      <c r="BL278" s="882">
        <f>-1175-BK278-BJ278</f>
        <v>-238</v>
      </c>
      <c r="BM278" s="882">
        <v>-396</v>
      </c>
      <c r="BN278" s="364">
        <f>BN277+BN276+BN272</f>
        <v>-1571</v>
      </c>
      <c r="BO278" s="882">
        <v>-228</v>
      </c>
      <c r="BP278" s="882">
        <f>-580-BO278</f>
        <v>-352</v>
      </c>
      <c r="BQ278" s="882">
        <f>-880-BP278-BO278</f>
        <v>-300</v>
      </c>
      <c r="BR278" s="882">
        <f>-755-BQ278-BP278-BO278</f>
        <v>125</v>
      </c>
      <c r="BS278" s="249">
        <f>BS277+BS276+BS272</f>
        <v>-755</v>
      </c>
      <c r="BT278" s="882">
        <v>-154</v>
      </c>
      <c r="BU278" s="882">
        <f>-472-BT278</f>
        <v>-318</v>
      </c>
      <c r="BV278" s="882">
        <f>-963-BU278-BT278</f>
        <v>-491</v>
      </c>
      <c r="BW278" s="882">
        <f>-1320-BV278-BU278-BT278</f>
        <v>-357</v>
      </c>
      <c r="BX278" s="249">
        <f>BX277+BX276+BX272</f>
        <v>-1320</v>
      </c>
      <c r="BY278" s="882">
        <v>-533</v>
      </c>
      <c r="BZ278" s="882">
        <f>-1647-BY278</f>
        <v>-1114</v>
      </c>
      <c r="CA278" s="882">
        <f>-2274-BZ278-BY278</f>
        <v>-627</v>
      </c>
      <c r="CB278" s="882">
        <f>-3240-SUM(BY278:CA278)</f>
        <v>-966</v>
      </c>
      <c r="CC278" s="249">
        <f>CC277+CC276+CC272</f>
        <v>-3240</v>
      </c>
      <c r="CD278" s="882">
        <v>-790</v>
      </c>
      <c r="CE278" s="882">
        <v>-1619</v>
      </c>
      <c r="CF278" s="882">
        <f>-3391-CE278-CD278</f>
        <v>-982</v>
      </c>
      <c r="CG278" s="882">
        <v>-697</v>
      </c>
      <c r="CH278" s="249">
        <f t="shared" ref="CH278:CM278" si="954">CH277+CH276+CH272</f>
        <v>-4088</v>
      </c>
      <c r="CI278" s="882">
        <v>-674</v>
      </c>
      <c r="CJ278" s="882">
        <v>-2149</v>
      </c>
      <c r="CK278" s="882">
        <v>-991</v>
      </c>
      <c r="CL278" s="882">
        <f>-4260-CK278-CJ278-CI278</f>
        <v>-446</v>
      </c>
      <c r="CM278" s="249">
        <f t="shared" si="954"/>
        <v>-4260</v>
      </c>
      <c r="CN278" s="882">
        <v>1680</v>
      </c>
      <c r="CO278" s="882">
        <v>-1074</v>
      </c>
      <c r="CP278" s="882">
        <v>-1086</v>
      </c>
      <c r="CQ278" s="882">
        <v>-249</v>
      </c>
      <c r="CR278" s="249">
        <f>CR277+CR276+CR272</f>
        <v>-729</v>
      </c>
      <c r="CS278" s="882">
        <v>1680</v>
      </c>
      <c r="CT278" s="882">
        <v>-1074</v>
      </c>
      <c r="CU278" s="882">
        <v>-1086</v>
      </c>
      <c r="CV278" s="882">
        <v>-249</v>
      </c>
      <c r="CW278" s="249">
        <f>CW277+CW276+CW272</f>
        <v>-729</v>
      </c>
      <c r="CX278" s="882">
        <f t="shared" ref="CX278" si="955">CX277+CX276+CX272</f>
        <v>-787</v>
      </c>
      <c r="CY278" s="187">
        <f t="shared" ref="CY278:DA278" si="956">CY277+CY276+CY272</f>
        <v>-1094.9539259166645</v>
      </c>
      <c r="CZ278" s="187">
        <f t="shared" si="956"/>
        <v>-1099.9126597470859</v>
      </c>
      <c r="DA278" s="187">
        <f t="shared" si="956"/>
        <v>-940.5295746100935</v>
      </c>
      <c r="DB278" s="249">
        <f>DB277+DB276+DB272</f>
        <v>-3922.3961602738436</v>
      </c>
      <c r="DC278" s="187"/>
      <c r="DD278" s="187"/>
      <c r="DE278" s="187"/>
      <c r="DF278" s="187"/>
      <c r="DG278" s="249">
        <f>DG277+DG276+DG272</f>
        <v>-4394.2926257331455</v>
      </c>
      <c r="DH278" s="187"/>
      <c r="DI278" s="187"/>
      <c r="DJ278" s="187"/>
      <c r="DK278" s="187"/>
      <c r="DL278" s="249">
        <f>DL277+DL276+DL272</f>
        <v>-4454.3488668462005</v>
      </c>
      <c r="DM278" s="79"/>
      <c r="DN278" s="522"/>
      <c r="DO278" s="486"/>
      <c r="DP278" s="411"/>
      <c r="DQ278" s="411"/>
      <c r="DR278" s="411"/>
      <c r="DS278" s="478"/>
      <c r="DT278" s="478"/>
      <c r="DU278" s="472"/>
      <c r="DV278" s="472"/>
      <c r="DW278" s="472"/>
      <c r="DX278" s="472"/>
      <c r="DY278" s="472"/>
      <c r="DZ278" s="472"/>
      <c r="EA278" s="522"/>
      <c r="EH278" s="157"/>
    </row>
    <row r="279" spans="1:138" ht="12.75" customHeight="1" x14ac:dyDescent="0.2">
      <c r="A279" s="168" t="s">
        <v>116</v>
      </c>
      <c r="B279" s="66"/>
      <c r="C279" s="66"/>
      <c r="D279" s="66"/>
      <c r="E279" s="66"/>
      <c r="F279" s="248">
        <f>F278+F267+F257</f>
        <v>-259</v>
      </c>
      <c r="G279" s="66"/>
      <c r="H279" s="66"/>
      <c r="I279" s="66"/>
      <c r="J279" s="66"/>
      <c r="K279" s="248">
        <f>K278+K267+K257</f>
        <v>869</v>
      </c>
      <c r="L279" s="66"/>
      <c r="M279" s="66"/>
      <c r="N279" s="66"/>
      <c r="O279" s="66"/>
      <c r="P279" s="248">
        <f>P278+P267+P257</f>
        <v>-241</v>
      </c>
      <c r="Q279" s="66"/>
      <c r="R279" s="66"/>
      <c r="S279" s="66"/>
      <c r="T279" s="66"/>
      <c r="U279" s="248">
        <f>U278+U267+U257</f>
        <v>430</v>
      </c>
      <c r="V279" s="66"/>
      <c r="W279" s="66"/>
      <c r="X279" s="66"/>
      <c r="Y279" s="66"/>
      <c r="Z279" s="248">
        <f>Z278+Z267+Z257</f>
        <v>-707</v>
      </c>
      <c r="AA279" s="66"/>
      <c r="AB279" s="66"/>
      <c r="AC279" s="66"/>
      <c r="AD279" s="66"/>
      <c r="AE279" s="248">
        <f t="shared" ref="AE279:AO279" si="957">AE278+AE267+AE257</f>
        <v>545</v>
      </c>
      <c r="AF279" s="66">
        <f t="shared" si="957"/>
        <v>421</v>
      </c>
      <c r="AG279" s="66">
        <f t="shared" si="957"/>
        <v>2</v>
      </c>
      <c r="AH279" s="66">
        <f t="shared" si="957"/>
        <v>-148</v>
      </c>
      <c r="AI279" s="66">
        <f t="shared" si="957"/>
        <v>-249</v>
      </c>
      <c r="AJ279" s="248">
        <f t="shared" si="957"/>
        <v>26</v>
      </c>
      <c r="AK279" s="66">
        <f t="shared" si="957"/>
        <v>59</v>
      </c>
      <c r="AL279" s="66">
        <f t="shared" si="957"/>
        <v>-263</v>
      </c>
      <c r="AM279" s="66">
        <f t="shared" si="957"/>
        <v>-207</v>
      </c>
      <c r="AN279" s="66">
        <f t="shared" si="957"/>
        <v>1025</v>
      </c>
      <c r="AO279" s="248">
        <f t="shared" si="957"/>
        <v>614</v>
      </c>
      <c r="AP279" s="66"/>
      <c r="AQ279" s="66"/>
      <c r="AR279" s="66"/>
      <c r="AS279" s="66"/>
      <c r="AT279" s="248"/>
      <c r="AU279" s="66"/>
      <c r="AV279" s="66"/>
      <c r="AW279" s="66"/>
      <c r="AX279" s="66"/>
      <c r="AY279" s="248">
        <f>AY278+AY267+AY257</f>
        <v>1607</v>
      </c>
      <c r="AZ279" s="66">
        <f>AZ278+AZ267+AZ257</f>
        <v>186</v>
      </c>
      <c r="BA279" s="66">
        <f>BA278+BA267+BA257</f>
        <v>410</v>
      </c>
      <c r="BB279" s="66">
        <f>BB278+BB267+BB257</f>
        <v>545</v>
      </c>
      <c r="BC279" s="66">
        <f>BC278+BC267+BC257</f>
        <v>-789</v>
      </c>
      <c r="BD279" s="248">
        <f>SUM(AZ279:BC279)</f>
        <v>352</v>
      </c>
      <c r="BE279" s="66">
        <f>BE278+BE267+BE257</f>
        <v>306</v>
      </c>
      <c r="BF279" s="66">
        <f>BF278+BF267+BF257</f>
        <v>-479</v>
      </c>
      <c r="BG279" s="66">
        <f>BG278+BG267+BG257</f>
        <v>-998</v>
      </c>
      <c r="BH279" s="66">
        <f>BH278+BH267+BH257</f>
        <v>-544</v>
      </c>
      <c r="BI279" s="248">
        <f>SUM(BE279:BH279)</f>
        <v>-1715</v>
      </c>
      <c r="BJ279" s="66">
        <f>BJ278+BJ267+BJ257</f>
        <v>-11</v>
      </c>
      <c r="BK279" s="66">
        <f>BK278+BK267+BK257</f>
        <v>-26</v>
      </c>
      <c r="BL279" s="66">
        <f>BL278+BL267+BL257</f>
        <v>-548</v>
      </c>
      <c r="BM279" s="66">
        <f>BM278+BM267+BM257</f>
        <v>350</v>
      </c>
      <c r="BN279" s="350">
        <f>SUM(BJ279:BM279)</f>
        <v>-235</v>
      </c>
      <c r="BO279" s="66">
        <f>BO278+BO267+BO257</f>
        <v>254</v>
      </c>
      <c r="BP279" s="66">
        <f>BP278+BP267+BP257</f>
        <v>-372</v>
      </c>
      <c r="BQ279" s="66">
        <f>BQ278+BQ267+BQ257</f>
        <v>-265</v>
      </c>
      <c r="BR279" s="66">
        <f>BR278+BR267+BR257</f>
        <v>142</v>
      </c>
      <c r="BS279" s="248">
        <f>SUM(BO279:BR279)</f>
        <v>-241</v>
      </c>
      <c r="BT279" s="66">
        <f>BT278+BT267+BT257</f>
        <v>220</v>
      </c>
      <c r="BU279" s="66">
        <f>BU278+BU267+BU257</f>
        <v>329</v>
      </c>
      <c r="BV279" s="66">
        <f>BV278+BV267+BV257</f>
        <v>53</v>
      </c>
      <c r="BW279" s="66">
        <f>BW278+BW267+BW257</f>
        <v>-174</v>
      </c>
      <c r="BX279" s="248">
        <f>SUM(BT279:BW279)</f>
        <v>428</v>
      </c>
      <c r="BY279" s="66">
        <f>BY278+BY267+BY257</f>
        <v>-145</v>
      </c>
      <c r="BZ279" s="66">
        <f>BZ278+BZ267+BZ257</f>
        <v>663</v>
      </c>
      <c r="CA279" s="66">
        <f>CA278+CA267+CA257</f>
        <v>-852</v>
      </c>
      <c r="CB279" s="66">
        <f>CB278+CB267+CB257</f>
        <v>-422</v>
      </c>
      <c r="CC279" s="248">
        <f>SUM(BY279:CB279)</f>
        <v>-756</v>
      </c>
      <c r="CD279" s="66">
        <f t="shared" ref="CD279:CM279" si="958">CD278+CD267+CD257</f>
        <v>34</v>
      </c>
      <c r="CE279" s="66">
        <f t="shared" si="958"/>
        <v>171</v>
      </c>
      <c r="CF279" s="66">
        <f t="shared" si="958"/>
        <v>76</v>
      </c>
      <c r="CG279" s="66">
        <f t="shared" si="958"/>
        <v>-397</v>
      </c>
      <c r="CH279" s="248">
        <f t="shared" si="958"/>
        <v>-116</v>
      </c>
      <c r="CI279" s="66">
        <f t="shared" si="958"/>
        <v>-264</v>
      </c>
      <c r="CJ279" s="66">
        <f t="shared" si="958"/>
        <v>-46</v>
      </c>
      <c r="CK279" s="66">
        <f t="shared" si="958"/>
        <v>-24</v>
      </c>
      <c r="CL279" s="66">
        <f t="shared" si="958"/>
        <v>1124</v>
      </c>
      <c r="CM279" s="248">
        <f t="shared" si="958"/>
        <v>790</v>
      </c>
      <c r="CN279" s="66">
        <f t="shared" ref="CN279:CQ279" si="959">CN278+CN267+CN257</f>
        <v>-855</v>
      </c>
      <c r="CO279" s="66">
        <f t="shared" si="959"/>
        <v>334</v>
      </c>
      <c r="CP279" s="66">
        <f>CP278+CP267+CP257</f>
        <v>-763</v>
      </c>
      <c r="CQ279" s="66">
        <f t="shared" si="959"/>
        <v>336</v>
      </c>
      <c r="CR279" s="248">
        <f>CR278+CR267+CR257</f>
        <v>-948</v>
      </c>
      <c r="CS279" s="66">
        <f t="shared" ref="CS279:CT279" si="960">CS278+CS267+CS257</f>
        <v>-858</v>
      </c>
      <c r="CT279" s="66">
        <f t="shared" si="960"/>
        <v>334</v>
      </c>
      <c r="CU279" s="66">
        <f>CU278+CU267+CU257</f>
        <v>-763</v>
      </c>
      <c r="CV279" s="66">
        <f t="shared" ref="CV279" si="961">CV278+CV267+CV257</f>
        <v>336</v>
      </c>
      <c r="CW279" s="248">
        <f>CW278+CW267+CW257</f>
        <v>-951</v>
      </c>
      <c r="CX279" s="66">
        <f t="shared" ref="CX279:CY279" si="962">CX278+CX267+CX257</f>
        <v>-371</v>
      </c>
      <c r="CY279" s="66">
        <f t="shared" si="962"/>
        <v>-222.73203802886042</v>
      </c>
      <c r="CZ279" s="66">
        <f>CZ278+CZ267+CZ257</f>
        <v>-450.06303447671962</v>
      </c>
      <c r="DA279" s="66">
        <f t="shared" ref="DA279" si="963">DA278+DA267+DA257</f>
        <v>841.00609642329778</v>
      </c>
      <c r="DB279" s="248">
        <f>DB278+DB267+DB257</f>
        <v>-202.78897608228272</v>
      </c>
      <c r="DC279" s="66"/>
      <c r="DD279" s="66"/>
      <c r="DE279" s="66"/>
      <c r="DF279" s="66"/>
      <c r="DG279" s="248">
        <f>DG278+DG267+DG257</f>
        <v>-229.0568319583117</v>
      </c>
      <c r="DH279" s="66"/>
      <c r="DI279" s="66"/>
      <c r="DJ279" s="66"/>
      <c r="DK279" s="66"/>
      <c r="DL279" s="248">
        <f>DL278+DL267+DL257</f>
        <v>335.18710983023266</v>
      </c>
      <c r="DM279" s="66"/>
      <c r="DN279" s="526"/>
      <c r="DO279" s="486"/>
      <c r="DP279" s="411"/>
      <c r="DQ279" s="411"/>
      <c r="DR279" s="411"/>
      <c r="DS279" s="478"/>
      <c r="DT279" s="478"/>
      <c r="DU279" s="472"/>
      <c r="DV279" s="472"/>
      <c r="DW279" s="472"/>
      <c r="DX279" s="472"/>
      <c r="DY279" s="472"/>
      <c r="DZ279" s="472"/>
      <c r="EA279" s="526"/>
      <c r="EH279" s="8"/>
    </row>
    <row r="280" spans="1:138" ht="12.75" customHeight="1" x14ac:dyDescent="0.2">
      <c r="A280" s="168" t="s">
        <v>393</v>
      </c>
      <c r="B280" s="881"/>
      <c r="C280" s="881"/>
      <c r="D280" s="881"/>
      <c r="E280" s="881"/>
      <c r="F280" s="905">
        <v>0</v>
      </c>
      <c r="G280" s="881"/>
      <c r="H280" s="881"/>
      <c r="I280" s="881"/>
      <c r="J280" s="881"/>
      <c r="K280" s="905">
        <v>0</v>
      </c>
      <c r="L280" s="881"/>
      <c r="M280" s="881"/>
      <c r="N280" s="881"/>
      <c r="O280" s="881"/>
      <c r="P280" s="905">
        <v>0</v>
      </c>
      <c r="Q280" s="881"/>
      <c r="R280" s="881"/>
      <c r="S280" s="881"/>
      <c r="T280" s="881"/>
      <c r="U280" s="905">
        <v>0</v>
      </c>
      <c r="V280" s="881"/>
      <c r="W280" s="881"/>
      <c r="X280" s="881"/>
      <c r="Y280" s="881"/>
      <c r="Z280" s="905">
        <v>0</v>
      </c>
      <c r="AA280" s="881"/>
      <c r="AB280" s="881"/>
      <c r="AC280" s="881"/>
      <c r="AD280" s="881"/>
      <c r="AE280" s="905">
        <v>0</v>
      </c>
      <c r="AF280" s="881">
        <v>0</v>
      </c>
      <c r="AG280" s="881">
        <v>0</v>
      </c>
      <c r="AH280" s="881">
        <v>0</v>
      </c>
      <c r="AI280" s="881">
        <v>0</v>
      </c>
      <c r="AJ280" s="248">
        <v>0</v>
      </c>
      <c r="AK280" s="881">
        <v>0</v>
      </c>
      <c r="AL280" s="881">
        <v>0</v>
      </c>
      <c r="AM280" s="881">
        <v>0</v>
      </c>
      <c r="AN280" s="881">
        <v>0</v>
      </c>
      <c r="AO280" s="248">
        <v>0</v>
      </c>
      <c r="AP280" s="881"/>
      <c r="AQ280" s="881"/>
      <c r="AR280" s="881"/>
      <c r="AS280" s="881"/>
      <c r="AT280" s="248"/>
      <c r="AU280" s="881"/>
      <c r="AV280" s="881"/>
      <c r="AW280" s="881"/>
      <c r="AX280" s="881"/>
      <c r="AY280" s="248">
        <v>0</v>
      </c>
      <c r="AZ280" s="881">
        <v>0</v>
      </c>
      <c r="BA280" s="881">
        <v>0</v>
      </c>
      <c r="BB280" s="881">
        <v>0</v>
      </c>
      <c r="BC280" s="881">
        <v>0</v>
      </c>
      <c r="BD280" s="248">
        <f>SUM(AZ280:BC280)</f>
        <v>0</v>
      </c>
      <c r="BE280" s="881">
        <v>0</v>
      </c>
      <c r="BF280" s="881">
        <v>0</v>
      </c>
      <c r="BG280" s="881">
        <v>0</v>
      </c>
      <c r="BH280" s="881">
        <v>0</v>
      </c>
      <c r="BI280" s="248">
        <f>SUM(BE280:BH280)</f>
        <v>0</v>
      </c>
      <c r="BJ280" s="881">
        <v>0</v>
      </c>
      <c r="BK280" s="881">
        <v>0</v>
      </c>
      <c r="BL280" s="881">
        <v>0</v>
      </c>
      <c r="BM280" s="881">
        <v>0</v>
      </c>
      <c r="BN280" s="350">
        <f>SUM(BJ280:BM280)</f>
        <v>0</v>
      </c>
      <c r="BO280" s="881">
        <v>0</v>
      </c>
      <c r="BP280" s="881">
        <v>0</v>
      </c>
      <c r="BQ280" s="881">
        <v>0</v>
      </c>
      <c r="BR280" s="881">
        <v>0</v>
      </c>
      <c r="BS280" s="248">
        <f>SUM(BO280:BR280)</f>
        <v>0</v>
      </c>
      <c r="BT280" s="881">
        <v>0</v>
      </c>
      <c r="BU280" s="881">
        <v>0</v>
      </c>
      <c r="BV280" s="881">
        <v>0</v>
      </c>
      <c r="BW280" s="881">
        <v>0</v>
      </c>
      <c r="BX280" s="248">
        <f>SUM(BT280:BW280)</f>
        <v>0</v>
      </c>
      <c r="BY280" s="881">
        <v>0</v>
      </c>
      <c r="BZ280" s="881">
        <v>0</v>
      </c>
      <c r="CA280" s="881">
        <v>0</v>
      </c>
      <c r="CB280" s="881">
        <v>0</v>
      </c>
      <c r="CC280" s="248">
        <f>SUM(BY280:CB280)</f>
        <v>0</v>
      </c>
      <c r="CD280" s="881">
        <v>0</v>
      </c>
      <c r="CE280" s="881">
        <v>0</v>
      </c>
      <c r="CF280" s="881">
        <v>0</v>
      </c>
      <c r="CG280" s="881">
        <v>0</v>
      </c>
      <c r="CH280" s="248">
        <f>SUM(CD280:CG280)</f>
        <v>0</v>
      </c>
      <c r="CI280" s="881">
        <v>0</v>
      </c>
      <c r="CJ280" s="881">
        <v>0</v>
      </c>
      <c r="CK280" s="881">
        <v>0</v>
      </c>
      <c r="CL280" s="881">
        <v>0</v>
      </c>
      <c r="CM280" s="248">
        <v>0</v>
      </c>
      <c r="CN280" s="881">
        <v>0</v>
      </c>
      <c r="CO280" s="881">
        <v>0</v>
      </c>
      <c r="CP280" s="881">
        <v>0</v>
      </c>
      <c r="CQ280" s="881">
        <v>0</v>
      </c>
      <c r="CR280" s="302">
        <v>0</v>
      </c>
      <c r="CS280" s="881">
        <v>0</v>
      </c>
      <c r="CT280" s="881">
        <v>0</v>
      </c>
      <c r="CU280" s="881">
        <v>0</v>
      </c>
      <c r="CV280" s="881">
        <v>0</v>
      </c>
      <c r="CW280" s="302">
        <v>0</v>
      </c>
      <c r="CX280" s="881">
        <v>0</v>
      </c>
      <c r="CY280" s="91">
        <v>0</v>
      </c>
      <c r="CZ280" s="91">
        <v>0</v>
      </c>
      <c r="DA280" s="91">
        <v>0</v>
      </c>
      <c r="DB280" s="302">
        <v>0</v>
      </c>
      <c r="DC280" s="66"/>
      <c r="DD280" s="66"/>
      <c r="DE280" s="66"/>
      <c r="DF280" s="66"/>
      <c r="DG280" s="302">
        <v>0</v>
      </c>
      <c r="DH280" s="66"/>
      <c r="DI280" s="66"/>
      <c r="DJ280" s="66"/>
      <c r="DK280" s="66"/>
      <c r="DL280" s="302">
        <v>0</v>
      </c>
      <c r="DM280" s="66"/>
      <c r="DN280" s="526"/>
      <c r="DO280" s="486"/>
      <c r="DP280" s="411"/>
      <c r="DQ280" s="411"/>
      <c r="DR280" s="411"/>
      <c r="DS280" s="478"/>
      <c r="DT280" s="478"/>
      <c r="DU280" s="472"/>
      <c r="DV280" s="472"/>
      <c r="DW280" s="472"/>
      <c r="DX280" s="472"/>
      <c r="DY280" s="472"/>
      <c r="DZ280" s="472"/>
      <c r="EA280" s="526"/>
      <c r="EH280" s="8"/>
    </row>
    <row r="281" spans="1:138" ht="12.75" customHeight="1" x14ac:dyDescent="0.2">
      <c r="A281" s="169" t="s">
        <v>221</v>
      </c>
      <c r="B281" s="45"/>
      <c r="C281" s="45"/>
      <c r="D281" s="45"/>
      <c r="E281" s="45"/>
      <c r="F281" s="910">
        <v>1623</v>
      </c>
      <c r="G281" s="45"/>
      <c r="H281" s="45"/>
      <c r="I281" s="45"/>
      <c r="J281" s="45"/>
      <c r="K281" s="211">
        <f>F282</f>
        <v>1364</v>
      </c>
      <c r="L281" s="45"/>
      <c r="M281" s="45"/>
      <c r="N281" s="45"/>
      <c r="O281" s="45"/>
      <c r="P281" s="211">
        <f>K282</f>
        <v>2233</v>
      </c>
      <c r="Q281" s="45"/>
      <c r="R281" s="45"/>
      <c r="S281" s="45"/>
      <c r="T281" s="45"/>
      <c r="U281" s="211">
        <f>P282</f>
        <v>1992</v>
      </c>
      <c r="V281" s="45"/>
      <c r="W281" s="45"/>
      <c r="X281" s="45"/>
      <c r="Y281" s="45"/>
      <c r="Z281" s="211">
        <f>U282-252</f>
        <v>2170</v>
      </c>
      <c r="AA281" s="45"/>
      <c r="AB281" s="45"/>
      <c r="AC281" s="45"/>
      <c r="AD281" s="45"/>
      <c r="AE281" s="211">
        <f>Z282</f>
        <v>1463</v>
      </c>
      <c r="AF281" s="45">
        <f>AE282</f>
        <v>2008</v>
      </c>
      <c r="AG281" s="45">
        <f>AF282</f>
        <v>2429</v>
      </c>
      <c r="AH281" s="45">
        <f>AG282</f>
        <v>2431</v>
      </c>
      <c r="AI281" s="45">
        <f>AH282</f>
        <v>2283</v>
      </c>
      <c r="AJ281" s="211">
        <f>AE282</f>
        <v>2008</v>
      </c>
      <c r="AK281" s="45">
        <f>AJ282</f>
        <v>2034</v>
      </c>
      <c r="AL281" s="45">
        <f>AK282</f>
        <v>2093</v>
      </c>
      <c r="AM281" s="45">
        <f>AL282</f>
        <v>1830</v>
      </c>
      <c r="AN281" s="45">
        <f>AM282</f>
        <v>1623</v>
      </c>
      <c r="AO281" s="211">
        <f>AJ282</f>
        <v>2034</v>
      </c>
      <c r="AP281" s="45"/>
      <c r="AQ281" s="45"/>
      <c r="AR281" s="45"/>
      <c r="AS281" s="45"/>
      <c r="AT281" s="211"/>
      <c r="AU281" s="45"/>
      <c r="AV281" s="45"/>
      <c r="AW281" s="45"/>
      <c r="AX281" s="45"/>
      <c r="AY281" s="211">
        <f>AO282</f>
        <v>2648</v>
      </c>
      <c r="AZ281" s="45">
        <f>AY282</f>
        <v>4255</v>
      </c>
      <c r="BA281" s="45">
        <f>AZ282</f>
        <v>4441</v>
      </c>
      <c r="BB281" s="45">
        <f>BA282</f>
        <v>4851</v>
      </c>
      <c r="BC281" s="45">
        <f>BB282</f>
        <v>5396</v>
      </c>
      <c r="BD281" s="211">
        <f>AY282</f>
        <v>4255</v>
      </c>
      <c r="BE281" s="45">
        <f>BD282</f>
        <v>4607</v>
      </c>
      <c r="BF281" s="45">
        <f>BE282</f>
        <v>4913</v>
      </c>
      <c r="BG281" s="45">
        <f>BF282</f>
        <v>4434</v>
      </c>
      <c r="BH281" s="45">
        <f>BG282</f>
        <v>3436</v>
      </c>
      <c r="BI281" s="211">
        <f>BD282</f>
        <v>4607</v>
      </c>
      <c r="BJ281" s="45">
        <f>BI282</f>
        <v>2892</v>
      </c>
      <c r="BK281" s="45">
        <f>BJ282</f>
        <v>2881</v>
      </c>
      <c r="BL281" s="45">
        <f>BK282</f>
        <v>2855</v>
      </c>
      <c r="BM281" s="45">
        <f>BL282</f>
        <v>2307</v>
      </c>
      <c r="BN281" s="578">
        <f>BI282</f>
        <v>2892</v>
      </c>
      <c r="BO281" s="45">
        <f>BN282</f>
        <v>2657</v>
      </c>
      <c r="BP281" s="45">
        <f>BO282</f>
        <v>2911</v>
      </c>
      <c r="BQ281" s="45">
        <f>BP282</f>
        <v>2539</v>
      </c>
      <c r="BR281" s="45">
        <f>BQ282</f>
        <v>2274</v>
      </c>
      <c r="BS281" s="211">
        <f>BN282</f>
        <v>2657</v>
      </c>
      <c r="BT281" s="45">
        <f>BS282</f>
        <v>2416</v>
      </c>
      <c r="BU281" s="45">
        <f>BT282</f>
        <v>2636</v>
      </c>
      <c r="BV281" s="45">
        <f>BU282</f>
        <v>2965</v>
      </c>
      <c r="BW281" s="45">
        <f>BV282</f>
        <v>3018</v>
      </c>
      <c r="BX281" s="211">
        <f>BS282</f>
        <v>2416</v>
      </c>
      <c r="BY281" s="45">
        <f>BX282</f>
        <v>2844</v>
      </c>
      <c r="BZ281" s="45">
        <f>BY282</f>
        <v>2699</v>
      </c>
      <c r="CA281" s="45">
        <f>BZ282</f>
        <v>3362</v>
      </c>
      <c r="CB281" s="45">
        <f>CA282</f>
        <v>2510</v>
      </c>
      <c r="CC281" s="211">
        <f>BX282</f>
        <v>2844</v>
      </c>
      <c r="CD281" s="45">
        <f>CC282</f>
        <v>2088</v>
      </c>
      <c r="CE281" s="45">
        <f>CD282</f>
        <v>2122</v>
      </c>
      <c r="CF281" s="45">
        <f>CE282</f>
        <v>2293</v>
      </c>
      <c r="CG281" s="45">
        <f>CF282</f>
        <v>2369</v>
      </c>
      <c r="CH281" s="211">
        <f>CC282</f>
        <v>2088</v>
      </c>
      <c r="CI281" s="45">
        <f>CH282</f>
        <v>1972</v>
      </c>
      <c r="CJ281" s="45">
        <f>CI282</f>
        <v>1708</v>
      </c>
      <c r="CK281" s="45">
        <f>CJ282</f>
        <v>1662</v>
      </c>
      <c r="CL281" s="45">
        <f>CK282</f>
        <v>1638</v>
      </c>
      <c r="CM281" s="211">
        <f>CH282</f>
        <v>1972</v>
      </c>
      <c r="CN281" s="45">
        <f t="shared" ref="CN281:CQ281" si="964">CM282</f>
        <v>2762</v>
      </c>
      <c r="CO281" s="45">
        <f t="shared" si="964"/>
        <v>1907</v>
      </c>
      <c r="CP281" s="45">
        <f t="shared" si="964"/>
        <v>2241</v>
      </c>
      <c r="CQ281" s="45">
        <f t="shared" si="964"/>
        <v>1478</v>
      </c>
      <c r="CR281" s="211">
        <f>CM282</f>
        <v>2762</v>
      </c>
      <c r="CS281" s="45">
        <f>CM282</f>
        <v>2762</v>
      </c>
      <c r="CT281" s="45">
        <f t="shared" ref="CT281" si="965">CS282</f>
        <v>1904</v>
      </c>
      <c r="CU281" s="45">
        <f t="shared" ref="CU281" si="966">CT282</f>
        <v>2238</v>
      </c>
      <c r="CV281" s="45">
        <f t="shared" ref="CV281" si="967">CU282</f>
        <v>1475</v>
      </c>
      <c r="CW281" s="211">
        <f>CM282</f>
        <v>2762</v>
      </c>
      <c r="CX281" s="45">
        <f>CW282</f>
        <v>1811</v>
      </c>
      <c r="CY281" s="45">
        <f>CX282</f>
        <v>1440</v>
      </c>
      <c r="CZ281" s="45">
        <f>CY282</f>
        <v>1217.2679619711396</v>
      </c>
      <c r="DA281" s="45">
        <f>CZ282</f>
        <v>767.20492749441996</v>
      </c>
      <c r="DB281" s="211">
        <f>CW282</f>
        <v>1811</v>
      </c>
      <c r="DC281" s="45"/>
      <c r="DD281" s="45"/>
      <c r="DE281" s="45"/>
      <c r="DF281" s="45"/>
      <c r="DG281" s="211">
        <f>DB282</f>
        <v>1608.2110239177173</v>
      </c>
      <c r="DH281" s="45"/>
      <c r="DI281" s="45"/>
      <c r="DJ281" s="45"/>
      <c r="DK281" s="45"/>
      <c r="DL281" s="211">
        <f>DG282</f>
        <v>1379.1541919594056</v>
      </c>
      <c r="DM281" s="66"/>
      <c r="DN281" s="526"/>
      <c r="DO281" s="486"/>
      <c r="DP281" s="411"/>
      <c r="DQ281" s="411"/>
      <c r="DR281" s="411"/>
      <c r="DS281" s="478"/>
      <c r="DT281" s="478"/>
      <c r="DU281" s="472"/>
      <c r="DV281" s="478"/>
      <c r="DW281" s="478"/>
      <c r="DX281" s="478"/>
      <c r="DY281" s="478"/>
      <c r="DZ281" s="478"/>
      <c r="EA281" s="526"/>
      <c r="EH281" s="189"/>
    </row>
    <row r="282" spans="1:138" ht="12.75" customHeight="1" x14ac:dyDescent="0.2">
      <c r="A282" s="170" t="s">
        <v>323</v>
      </c>
      <c r="B282" s="186"/>
      <c r="C282" s="186"/>
      <c r="D282" s="186"/>
      <c r="E282" s="186"/>
      <c r="F282" s="254">
        <f>F281+F279</f>
        <v>1364</v>
      </c>
      <c r="G282" s="186"/>
      <c r="H282" s="186"/>
      <c r="I282" s="186"/>
      <c r="J282" s="186"/>
      <c r="K282" s="254">
        <f>K281+K279</f>
        <v>2233</v>
      </c>
      <c r="L282" s="186"/>
      <c r="M282" s="186"/>
      <c r="N282" s="186"/>
      <c r="O282" s="186"/>
      <c r="P282" s="254">
        <f>P281+P279</f>
        <v>1992</v>
      </c>
      <c r="Q282" s="186"/>
      <c r="R282" s="186"/>
      <c r="S282" s="186"/>
      <c r="T282" s="186"/>
      <c r="U282" s="254">
        <f>U281+U279</f>
        <v>2422</v>
      </c>
      <c r="V282" s="186"/>
      <c r="W282" s="186"/>
      <c r="X282" s="186"/>
      <c r="Y282" s="186"/>
      <c r="Z282" s="254">
        <f>Z281+Z279</f>
        <v>1463</v>
      </c>
      <c r="AA282" s="186"/>
      <c r="AB282" s="186"/>
      <c r="AC282" s="186"/>
      <c r="AD282" s="186"/>
      <c r="AE282" s="254">
        <f t="shared" ref="AE282:AO282" si="968">AE281+AE279</f>
        <v>2008</v>
      </c>
      <c r="AF282" s="186">
        <f t="shared" si="968"/>
        <v>2429</v>
      </c>
      <c r="AG282" s="186">
        <f t="shared" si="968"/>
        <v>2431</v>
      </c>
      <c r="AH282" s="186">
        <f t="shared" si="968"/>
        <v>2283</v>
      </c>
      <c r="AI282" s="186">
        <f t="shared" si="968"/>
        <v>2034</v>
      </c>
      <c r="AJ282" s="254">
        <f t="shared" si="968"/>
        <v>2034</v>
      </c>
      <c r="AK282" s="186">
        <f t="shared" si="968"/>
        <v>2093</v>
      </c>
      <c r="AL282" s="186">
        <f t="shared" si="968"/>
        <v>1830</v>
      </c>
      <c r="AM282" s="186">
        <f t="shared" si="968"/>
        <v>1623</v>
      </c>
      <c r="AN282" s="186">
        <f t="shared" si="968"/>
        <v>2648</v>
      </c>
      <c r="AO282" s="254">
        <f t="shared" si="968"/>
        <v>2648</v>
      </c>
      <c r="AP282" s="186"/>
      <c r="AQ282" s="186"/>
      <c r="AR282" s="186"/>
      <c r="AS282" s="186"/>
      <c r="AT282" s="254"/>
      <c r="AU282" s="186"/>
      <c r="AV282" s="186"/>
      <c r="AW282" s="186"/>
      <c r="AX282" s="186"/>
      <c r="AY282" s="254">
        <f t="shared" ref="AY282:BN282" si="969">AY281+AY279</f>
        <v>4255</v>
      </c>
      <c r="AZ282" s="186">
        <f t="shared" si="969"/>
        <v>4441</v>
      </c>
      <c r="BA282" s="186">
        <f t="shared" si="969"/>
        <v>4851</v>
      </c>
      <c r="BB282" s="186">
        <f t="shared" si="969"/>
        <v>5396</v>
      </c>
      <c r="BC282" s="186">
        <f t="shared" si="969"/>
        <v>4607</v>
      </c>
      <c r="BD282" s="254">
        <f t="shared" si="969"/>
        <v>4607</v>
      </c>
      <c r="BE282" s="186">
        <f t="shared" si="969"/>
        <v>4913</v>
      </c>
      <c r="BF282" s="186">
        <f t="shared" si="969"/>
        <v>4434</v>
      </c>
      <c r="BG282" s="186">
        <f t="shared" si="969"/>
        <v>3436</v>
      </c>
      <c r="BH282" s="186">
        <f t="shared" si="969"/>
        <v>2892</v>
      </c>
      <c r="BI282" s="254">
        <f t="shared" si="969"/>
        <v>2892</v>
      </c>
      <c r="BJ282" s="186">
        <f t="shared" si="969"/>
        <v>2881</v>
      </c>
      <c r="BK282" s="186">
        <f t="shared" si="969"/>
        <v>2855</v>
      </c>
      <c r="BL282" s="186">
        <f t="shared" si="969"/>
        <v>2307</v>
      </c>
      <c r="BM282" s="186">
        <f t="shared" si="969"/>
        <v>2657</v>
      </c>
      <c r="BN282" s="369">
        <f t="shared" si="969"/>
        <v>2657</v>
      </c>
      <c r="BO282" s="186">
        <f t="shared" ref="BO282:BV282" si="970">BO281+BO279</f>
        <v>2911</v>
      </c>
      <c r="BP282" s="186">
        <f t="shared" si="970"/>
        <v>2539</v>
      </c>
      <c r="BQ282" s="186">
        <f t="shared" si="970"/>
        <v>2274</v>
      </c>
      <c r="BR282" s="186">
        <f t="shared" si="970"/>
        <v>2416</v>
      </c>
      <c r="BS282" s="254">
        <f t="shared" si="970"/>
        <v>2416</v>
      </c>
      <c r="BT282" s="186">
        <f t="shared" si="970"/>
        <v>2636</v>
      </c>
      <c r="BU282" s="186">
        <f t="shared" si="970"/>
        <v>2965</v>
      </c>
      <c r="BV282" s="186">
        <f t="shared" si="970"/>
        <v>3018</v>
      </c>
      <c r="BW282" s="186">
        <f t="shared" ref="BW282:CC282" si="971">BW281+BW279</f>
        <v>2844</v>
      </c>
      <c r="BX282" s="254">
        <f t="shared" si="971"/>
        <v>2844</v>
      </c>
      <c r="BY282" s="186">
        <f t="shared" si="971"/>
        <v>2699</v>
      </c>
      <c r="BZ282" s="186">
        <f t="shared" si="971"/>
        <v>3362</v>
      </c>
      <c r="CA282" s="186">
        <f t="shared" si="971"/>
        <v>2510</v>
      </c>
      <c r="CB282" s="186">
        <f t="shared" si="971"/>
        <v>2088</v>
      </c>
      <c r="CC282" s="254">
        <f t="shared" si="971"/>
        <v>2088</v>
      </c>
      <c r="CD282" s="186">
        <f t="shared" ref="CD282:CM282" si="972">CD281+CD279</f>
        <v>2122</v>
      </c>
      <c r="CE282" s="186">
        <f t="shared" si="972"/>
        <v>2293</v>
      </c>
      <c r="CF282" s="186">
        <f t="shared" si="972"/>
        <v>2369</v>
      </c>
      <c r="CG282" s="186">
        <f t="shared" si="972"/>
        <v>1972</v>
      </c>
      <c r="CH282" s="254">
        <f t="shared" si="972"/>
        <v>1972</v>
      </c>
      <c r="CI282" s="186">
        <f t="shared" si="972"/>
        <v>1708</v>
      </c>
      <c r="CJ282" s="186">
        <f t="shared" si="972"/>
        <v>1662</v>
      </c>
      <c r="CK282" s="186">
        <f t="shared" si="972"/>
        <v>1638</v>
      </c>
      <c r="CL282" s="186">
        <f t="shared" si="972"/>
        <v>2762</v>
      </c>
      <c r="CM282" s="254">
        <f t="shared" si="972"/>
        <v>2762</v>
      </c>
      <c r="CN282" s="186">
        <f t="shared" ref="CN282:CQ282" si="973">CN281+CN279</f>
        <v>1907</v>
      </c>
      <c r="CO282" s="186">
        <f t="shared" si="973"/>
        <v>2241</v>
      </c>
      <c r="CP282" s="186">
        <f>CP281+CP279</f>
        <v>1478</v>
      </c>
      <c r="CQ282" s="186">
        <f t="shared" si="973"/>
        <v>1814</v>
      </c>
      <c r="CR282" s="254">
        <f>CR281+CR279</f>
        <v>1814</v>
      </c>
      <c r="CS282" s="186">
        <f t="shared" ref="CS282:CT282" si="974">CS281+CS279</f>
        <v>1904</v>
      </c>
      <c r="CT282" s="186">
        <f t="shared" si="974"/>
        <v>2238</v>
      </c>
      <c r="CU282" s="186">
        <f>CU281+CU279</f>
        <v>1475</v>
      </c>
      <c r="CV282" s="186">
        <f t="shared" ref="CV282" si="975">CV281+CV279</f>
        <v>1811</v>
      </c>
      <c r="CW282" s="254">
        <f>CW281+CW279</f>
        <v>1811</v>
      </c>
      <c r="CX282" s="186">
        <f t="shared" ref="CX282:DA282" si="976">CX281+CX279</f>
        <v>1440</v>
      </c>
      <c r="CY282" s="186">
        <f t="shared" si="976"/>
        <v>1217.2679619711396</v>
      </c>
      <c r="CZ282" s="186">
        <f t="shared" si="976"/>
        <v>767.20492749441996</v>
      </c>
      <c r="DA282" s="186">
        <f t="shared" si="976"/>
        <v>1608.2110239177177</v>
      </c>
      <c r="DB282" s="254">
        <f>DB281+DB279</f>
        <v>1608.2110239177173</v>
      </c>
      <c r="DC282" s="186"/>
      <c r="DD282" s="186"/>
      <c r="DE282" s="186"/>
      <c r="DF282" s="186"/>
      <c r="DG282" s="254">
        <f>DG281+DG279</f>
        <v>1379.1541919594056</v>
      </c>
      <c r="DH282" s="186"/>
      <c r="DI282" s="186"/>
      <c r="DJ282" s="186"/>
      <c r="DK282" s="186"/>
      <c r="DL282" s="254">
        <f>DL281+DL279</f>
        <v>1714.3413017896382</v>
      </c>
      <c r="DM282" s="79"/>
      <c r="DN282" s="522"/>
      <c r="DO282" s="486"/>
      <c r="DP282" s="411"/>
      <c r="DQ282" s="411"/>
      <c r="DR282" s="411"/>
      <c r="DS282" s="478"/>
      <c r="DT282" s="478"/>
      <c r="DU282" s="478"/>
      <c r="DV282" s="472"/>
      <c r="DW282" s="472"/>
      <c r="DX282" s="472"/>
      <c r="DY282" s="472"/>
      <c r="DZ282" s="472"/>
      <c r="EA282" s="522"/>
      <c r="EH282" s="407"/>
    </row>
    <row r="283" spans="1:138" ht="12.75" customHeight="1" x14ac:dyDescent="0.2">
      <c r="A283" s="4" t="s">
        <v>191</v>
      </c>
      <c r="B283" s="4"/>
      <c r="C283" s="633"/>
      <c r="D283" s="633"/>
      <c r="E283" s="633"/>
      <c r="F283" s="4"/>
      <c r="G283" s="4"/>
      <c r="H283" s="633"/>
      <c r="I283" s="633"/>
      <c r="J283" s="633"/>
      <c r="K283" s="4"/>
      <c r="L283" s="4"/>
      <c r="M283" s="633"/>
      <c r="N283" s="633"/>
      <c r="O283" s="633"/>
      <c r="P283" s="4"/>
      <c r="Q283" s="4"/>
      <c r="R283" s="633"/>
      <c r="S283" s="633"/>
      <c r="T283" s="633"/>
      <c r="U283" s="4"/>
      <c r="V283" s="4"/>
      <c r="W283" s="633"/>
      <c r="X283" s="633"/>
      <c r="Y283" s="633"/>
      <c r="Z283" s="4"/>
      <c r="AA283" s="4"/>
      <c r="AB283" s="633"/>
      <c r="AC283" s="633"/>
      <c r="AD283" s="633"/>
      <c r="AE283" s="4"/>
      <c r="AF283" s="4"/>
      <c r="AG283" s="633"/>
      <c r="AH283" s="633"/>
      <c r="AI283" s="633"/>
      <c r="AJ283" s="4"/>
      <c r="AK283" s="4"/>
      <c r="AL283" s="633"/>
      <c r="AM283" s="633"/>
      <c r="AN283" s="633"/>
      <c r="AO283" s="4"/>
      <c r="AP283" s="4"/>
      <c r="AQ283" s="633"/>
      <c r="AR283" s="633"/>
      <c r="AS283" s="633"/>
      <c r="AT283" s="231"/>
      <c r="AU283" s="4"/>
      <c r="AV283" s="633"/>
      <c r="AW283" s="633"/>
      <c r="AX283" s="633"/>
      <c r="AY283" s="4"/>
      <c r="AZ283" s="4"/>
      <c r="BA283" s="633"/>
      <c r="BB283" s="633"/>
      <c r="BC283" s="633"/>
      <c r="BD283" s="4"/>
      <c r="BE283" s="4"/>
      <c r="BF283" s="633"/>
      <c r="BG283" s="633"/>
      <c r="BH283" s="633"/>
      <c r="BI283" s="4"/>
      <c r="BJ283" s="4"/>
      <c r="BK283" s="633"/>
      <c r="BL283" s="633"/>
      <c r="BM283" s="633"/>
      <c r="BN283" s="4"/>
      <c r="BO283" s="4"/>
      <c r="BP283" s="633"/>
      <c r="BQ283" s="633"/>
      <c r="BR283" s="633"/>
      <c r="BS283" s="231"/>
      <c r="BT283" s="4"/>
      <c r="BU283" s="633"/>
      <c r="BV283" s="633"/>
      <c r="BW283" s="633"/>
      <c r="BX283" s="634"/>
      <c r="BY283" s="4"/>
      <c r="BZ283" s="633"/>
      <c r="CA283" s="633"/>
      <c r="CB283" s="633"/>
      <c r="CC283" s="433"/>
      <c r="CD283" s="4"/>
      <c r="CE283" s="633"/>
      <c r="CF283" s="633"/>
      <c r="CG283" s="633"/>
      <c r="CH283" s="433"/>
      <c r="CI283" s="4"/>
      <c r="CJ283" s="633"/>
      <c r="CK283" s="633"/>
      <c r="CL283" s="633"/>
      <c r="CM283" s="433"/>
      <c r="CN283" s="4"/>
      <c r="CO283" s="633"/>
      <c r="CP283" s="633"/>
      <c r="CQ283" s="633"/>
      <c r="CR283" s="433"/>
      <c r="CS283" s="4"/>
      <c r="CT283" s="633"/>
      <c r="CU283" s="633"/>
      <c r="CV283" s="633"/>
      <c r="CW283" s="433"/>
      <c r="CX283" s="4"/>
      <c r="CY283" s="4"/>
      <c r="CZ283" s="4"/>
      <c r="DA283" s="4"/>
      <c r="DB283" s="433"/>
      <c r="DC283" s="4"/>
      <c r="DD283" s="4"/>
      <c r="DE283" s="4"/>
      <c r="DF283" s="4"/>
      <c r="DG283" s="433"/>
      <c r="DH283" s="4"/>
      <c r="DI283" s="4"/>
      <c r="DJ283" s="4"/>
      <c r="DK283" s="4"/>
      <c r="DL283" s="433"/>
      <c r="DM283" s="413"/>
      <c r="DN283" s="4"/>
      <c r="DO283" s="487"/>
      <c r="DP283" s="413"/>
      <c r="DQ283" s="413"/>
      <c r="DR283" s="413"/>
      <c r="DS283" s="478"/>
      <c r="DT283" s="478"/>
      <c r="DU283" s="472"/>
      <c r="DV283" s="458"/>
      <c r="DW283" s="458"/>
      <c r="DX283" s="458"/>
      <c r="DY283" s="458"/>
      <c r="DZ283" s="458"/>
      <c r="EA283" s="4"/>
      <c r="EH283" s="4"/>
    </row>
    <row r="284" spans="1:138" ht="12.75" customHeight="1" x14ac:dyDescent="0.2">
      <c r="A284" s="5" t="s">
        <v>192</v>
      </c>
      <c r="B284" s="5"/>
      <c r="C284" s="5"/>
      <c r="D284" s="5"/>
      <c r="E284" s="5"/>
      <c r="F284" s="197"/>
      <c r="G284" s="5"/>
      <c r="H284" s="5"/>
      <c r="I284" s="5"/>
      <c r="J284" s="5"/>
      <c r="K284" s="197"/>
      <c r="L284" s="5"/>
      <c r="M284" s="5"/>
      <c r="N284" s="5"/>
      <c r="O284" s="5"/>
      <c r="P284" s="197"/>
      <c r="Q284" s="5"/>
      <c r="R284" s="5"/>
      <c r="S284" s="5"/>
      <c r="T284" s="5"/>
      <c r="U284" s="197"/>
      <c r="V284" s="5"/>
      <c r="W284" s="5"/>
      <c r="X284" s="5"/>
      <c r="Y284" s="5"/>
      <c r="Z284" s="197"/>
      <c r="AA284" s="5"/>
      <c r="AB284" s="5"/>
      <c r="AC284" s="5"/>
      <c r="AD284" s="5"/>
      <c r="AE284" s="197"/>
      <c r="AF284" s="5"/>
      <c r="AG284" s="5"/>
      <c r="AH284" s="5"/>
      <c r="AI284" s="5"/>
      <c r="AJ284" s="197"/>
      <c r="AK284" s="5"/>
      <c r="AL284" s="5"/>
      <c r="AM284" s="5"/>
      <c r="AN284" s="5"/>
      <c r="AO284" s="197"/>
      <c r="AP284" s="5"/>
      <c r="AQ284" s="5"/>
      <c r="AR284" s="5"/>
      <c r="AS284" s="5"/>
      <c r="AT284" s="197"/>
      <c r="AU284" s="5" t="s">
        <v>267</v>
      </c>
      <c r="AV284" s="5"/>
      <c r="AW284" s="5"/>
      <c r="AX284" s="5"/>
      <c r="AY284" s="197" t="s">
        <v>320</v>
      </c>
      <c r="AZ284" s="5"/>
      <c r="BA284" s="5"/>
      <c r="BB284" s="5"/>
      <c r="BC284" s="5"/>
      <c r="BD284" s="197"/>
      <c r="BE284" s="5"/>
      <c r="BF284" s="5"/>
      <c r="BG284" s="5"/>
      <c r="BH284" s="5"/>
      <c r="BI284" s="197"/>
      <c r="BJ284" s="5"/>
      <c r="BK284" s="5"/>
      <c r="BL284" s="5"/>
      <c r="BM284" s="5"/>
      <c r="BN284" s="315"/>
      <c r="BO284" s="5"/>
      <c r="BP284" s="5"/>
      <c r="BQ284" s="5"/>
      <c r="BR284" s="5"/>
      <c r="BS284" s="197"/>
      <c r="BT284" s="5"/>
      <c r="BU284" s="5"/>
      <c r="BV284" s="5"/>
      <c r="BW284" s="5"/>
      <c r="BX284" s="197"/>
      <c r="BY284" s="5"/>
      <c r="BZ284" s="5"/>
      <c r="CA284" s="5"/>
      <c r="CB284" s="5"/>
      <c r="CC284" s="197"/>
      <c r="CD284" s="5"/>
      <c r="CE284" s="5"/>
      <c r="CF284" s="5"/>
      <c r="CG284" s="5"/>
      <c r="CH284" s="197"/>
      <c r="CI284" s="5"/>
      <c r="CJ284" s="5"/>
      <c r="CK284" s="5"/>
      <c r="CL284" s="5"/>
      <c r="CM284" s="197"/>
      <c r="CN284" s="5"/>
      <c r="CO284" s="5"/>
      <c r="CP284" s="5"/>
      <c r="CQ284" s="5"/>
      <c r="CR284" s="197"/>
      <c r="CS284" s="5"/>
      <c r="CT284" s="5"/>
      <c r="CU284" s="5"/>
      <c r="CV284" s="5"/>
      <c r="CW284" s="197"/>
      <c r="CX284" s="5"/>
      <c r="CY284" s="5"/>
      <c r="CZ284" s="5"/>
      <c r="DA284" s="5"/>
      <c r="DB284" s="197"/>
      <c r="DC284" s="5"/>
      <c r="DD284" s="5"/>
      <c r="DE284" s="5"/>
      <c r="DF284" s="5"/>
      <c r="DG284" s="197"/>
      <c r="DH284" s="5"/>
      <c r="DI284" s="5"/>
      <c r="DJ284" s="5"/>
      <c r="DK284" s="5"/>
      <c r="DL284" s="197"/>
      <c r="DM284" s="413"/>
      <c r="DN284" s="4"/>
      <c r="DO284" s="487"/>
      <c r="DP284" s="413"/>
      <c r="DQ284" s="413"/>
      <c r="DR284" s="413"/>
      <c r="DS284" s="554"/>
      <c r="DT284" s="554"/>
      <c r="DU284" s="458"/>
      <c r="DV284" s="458"/>
      <c r="DW284" s="458"/>
      <c r="DX284" s="458"/>
      <c r="DY284" s="458"/>
      <c r="DZ284" s="458"/>
      <c r="EA284" s="4"/>
      <c r="EH284" s="5"/>
    </row>
    <row r="285" spans="1:138" ht="12.75" customHeight="1" x14ac:dyDescent="0.2">
      <c r="A285" s="171" t="s">
        <v>360</v>
      </c>
      <c r="B285" s="66"/>
      <c r="C285" s="66"/>
      <c r="D285" s="66"/>
      <c r="E285" s="66"/>
      <c r="F285" s="248">
        <f>F282</f>
        <v>1364</v>
      </c>
      <c r="G285" s="66"/>
      <c r="H285" s="66"/>
      <c r="I285" s="66"/>
      <c r="J285" s="66"/>
      <c r="K285" s="248">
        <f>K282</f>
        <v>2233</v>
      </c>
      <c r="L285" s="66"/>
      <c r="M285" s="66"/>
      <c r="N285" s="66"/>
      <c r="O285" s="66"/>
      <c r="P285" s="248">
        <f>P282</f>
        <v>1992</v>
      </c>
      <c r="Q285" s="66"/>
      <c r="R285" s="66"/>
      <c r="S285" s="66"/>
      <c r="T285" s="66"/>
      <c r="U285" s="248">
        <f>U282</f>
        <v>2422</v>
      </c>
      <c r="V285" s="66"/>
      <c r="W285" s="66"/>
      <c r="X285" s="66"/>
      <c r="Y285" s="66"/>
      <c r="Z285" s="248">
        <f>Z282</f>
        <v>1463</v>
      </c>
      <c r="AA285" s="66"/>
      <c r="AB285" s="66"/>
      <c r="AC285" s="66"/>
      <c r="AD285" s="66"/>
      <c r="AE285" s="248">
        <f>AE282</f>
        <v>2008</v>
      </c>
      <c r="AF285" s="66">
        <f>AF282</f>
        <v>2429</v>
      </c>
      <c r="AG285" s="66">
        <f>AG282</f>
        <v>2431</v>
      </c>
      <c r="AH285" s="66">
        <f>AH282</f>
        <v>2283</v>
      </c>
      <c r="AI285" s="66">
        <f>AI282</f>
        <v>2034</v>
      </c>
      <c r="AJ285" s="248">
        <v>2034</v>
      </c>
      <c r="AK285" s="66">
        <f>AK282</f>
        <v>2093</v>
      </c>
      <c r="AL285" s="66">
        <f>AL282</f>
        <v>1830</v>
      </c>
      <c r="AM285" s="66">
        <f>AM282</f>
        <v>1623</v>
      </c>
      <c r="AN285" s="66">
        <f>AN282</f>
        <v>2648</v>
      </c>
      <c r="AO285" s="248">
        <v>2648</v>
      </c>
      <c r="AP285" s="66"/>
      <c r="AQ285" s="66"/>
      <c r="AR285" s="66"/>
      <c r="AS285" s="66"/>
      <c r="AT285" s="248"/>
      <c r="AU285" s="66">
        <v>2492</v>
      </c>
      <c r="AV285" s="66">
        <v>3239</v>
      </c>
      <c r="AW285" s="66">
        <v>2160</v>
      </c>
      <c r="AX285" s="66">
        <v>4255</v>
      </c>
      <c r="AY285" s="248">
        <v>4255</v>
      </c>
      <c r="AZ285" s="66">
        <f t="shared" ref="AZ285:BN285" si="977">AZ282</f>
        <v>4441</v>
      </c>
      <c r="BA285" s="66">
        <f t="shared" si="977"/>
        <v>4851</v>
      </c>
      <c r="BB285" s="66">
        <f t="shared" si="977"/>
        <v>5396</v>
      </c>
      <c r="BC285" s="66">
        <f t="shared" si="977"/>
        <v>4607</v>
      </c>
      <c r="BD285" s="248">
        <f t="shared" si="977"/>
        <v>4607</v>
      </c>
      <c r="BE285" s="66">
        <f t="shared" si="977"/>
        <v>4913</v>
      </c>
      <c r="BF285" s="66">
        <f t="shared" si="977"/>
        <v>4434</v>
      </c>
      <c r="BG285" s="66">
        <f t="shared" si="977"/>
        <v>3436</v>
      </c>
      <c r="BH285" s="66">
        <f t="shared" si="977"/>
        <v>2892</v>
      </c>
      <c r="BI285" s="248">
        <f t="shared" si="977"/>
        <v>2892</v>
      </c>
      <c r="BJ285" s="66">
        <f t="shared" si="977"/>
        <v>2881</v>
      </c>
      <c r="BK285" s="66">
        <f>BK282</f>
        <v>2855</v>
      </c>
      <c r="BL285" s="66">
        <f>BL282</f>
        <v>2307</v>
      </c>
      <c r="BM285" s="66">
        <f>BM282</f>
        <v>2657</v>
      </c>
      <c r="BN285" s="350">
        <f t="shared" si="977"/>
        <v>2657</v>
      </c>
      <c r="BO285" s="66">
        <f t="shared" ref="BO285:BV285" si="978">BO282</f>
        <v>2911</v>
      </c>
      <c r="BP285" s="66">
        <f t="shared" si="978"/>
        <v>2539</v>
      </c>
      <c r="BQ285" s="66">
        <f t="shared" si="978"/>
        <v>2274</v>
      </c>
      <c r="BR285" s="66">
        <f t="shared" si="978"/>
        <v>2416</v>
      </c>
      <c r="BS285" s="248">
        <f t="shared" si="978"/>
        <v>2416</v>
      </c>
      <c r="BT285" s="66">
        <f t="shared" si="978"/>
        <v>2636</v>
      </c>
      <c r="BU285" s="66">
        <f t="shared" si="978"/>
        <v>2965</v>
      </c>
      <c r="BV285" s="66">
        <f t="shared" si="978"/>
        <v>3018</v>
      </c>
      <c r="BW285" s="66">
        <f t="shared" ref="BW285:CC285" si="979">BW282</f>
        <v>2844</v>
      </c>
      <c r="BX285" s="248">
        <f t="shared" si="979"/>
        <v>2844</v>
      </c>
      <c r="BY285" s="66">
        <f>BY282</f>
        <v>2699</v>
      </c>
      <c r="BZ285" s="66">
        <f>BZ282</f>
        <v>3362</v>
      </c>
      <c r="CA285" s="66">
        <f>CA282</f>
        <v>2510</v>
      </c>
      <c r="CB285" s="66">
        <f t="shared" si="979"/>
        <v>2088</v>
      </c>
      <c r="CC285" s="248">
        <f t="shared" si="979"/>
        <v>2088</v>
      </c>
      <c r="CD285" s="66">
        <f t="shared" ref="CD285:CM285" si="980">CD282</f>
        <v>2122</v>
      </c>
      <c r="CE285" s="66">
        <f t="shared" si="980"/>
        <v>2293</v>
      </c>
      <c r="CF285" s="66">
        <f t="shared" si="980"/>
        <v>2369</v>
      </c>
      <c r="CG285" s="66">
        <f t="shared" si="980"/>
        <v>1972</v>
      </c>
      <c r="CH285" s="248">
        <f t="shared" si="980"/>
        <v>1972</v>
      </c>
      <c r="CI285" s="66">
        <f t="shared" si="980"/>
        <v>1708</v>
      </c>
      <c r="CJ285" s="66">
        <f t="shared" si="980"/>
        <v>1662</v>
      </c>
      <c r="CK285" s="66">
        <f t="shared" si="980"/>
        <v>1638</v>
      </c>
      <c r="CL285" s="66">
        <f t="shared" si="980"/>
        <v>2762</v>
      </c>
      <c r="CM285" s="248">
        <f t="shared" si="980"/>
        <v>2762</v>
      </c>
      <c r="CN285" s="66">
        <f t="shared" ref="CN285:CR285" si="981">CN282</f>
        <v>1907</v>
      </c>
      <c r="CO285" s="66">
        <f t="shared" si="981"/>
        <v>2241</v>
      </c>
      <c r="CP285" s="66">
        <f t="shared" si="981"/>
        <v>1478</v>
      </c>
      <c r="CQ285" s="66">
        <f t="shared" si="981"/>
        <v>1814</v>
      </c>
      <c r="CR285" s="248">
        <f t="shared" si="981"/>
        <v>1814</v>
      </c>
      <c r="CS285" s="66">
        <f t="shared" ref="CS285:CX285" si="982">CS282</f>
        <v>1904</v>
      </c>
      <c r="CT285" s="66">
        <f t="shared" si="982"/>
        <v>2238</v>
      </c>
      <c r="CU285" s="66">
        <f t="shared" si="982"/>
        <v>1475</v>
      </c>
      <c r="CV285" s="66">
        <f t="shared" si="982"/>
        <v>1811</v>
      </c>
      <c r="CW285" s="248">
        <f t="shared" si="982"/>
        <v>1811</v>
      </c>
      <c r="CX285" s="66">
        <f t="shared" si="982"/>
        <v>1440</v>
      </c>
      <c r="CY285" s="66">
        <f t="shared" ref="CY285:DB285" si="983">CY282</f>
        <v>1217.2679619711396</v>
      </c>
      <c r="CZ285" s="66">
        <f t="shared" si="983"/>
        <v>767.20492749441996</v>
      </c>
      <c r="DA285" s="444">
        <f t="shared" si="983"/>
        <v>1608.2110239177177</v>
      </c>
      <c r="DB285" s="248">
        <f t="shared" si="983"/>
        <v>1608.2110239177173</v>
      </c>
      <c r="DC285" s="66"/>
      <c r="DD285" s="66"/>
      <c r="DE285" s="66"/>
      <c r="DF285" s="66"/>
      <c r="DG285" s="248">
        <f>DG282</f>
        <v>1379.1541919594056</v>
      </c>
      <c r="DH285" s="66"/>
      <c r="DI285" s="66"/>
      <c r="DJ285" s="66"/>
      <c r="DK285" s="66"/>
      <c r="DL285" s="248">
        <f>DL282</f>
        <v>1714.3413017896382</v>
      </c>
      <c r="DM285" s="66"/>
      <c r="DN285" s="526"/>
      <c r="DO285" s="486"/>
      <c r="DP285" s="411"/>
      <c r="DQ285" s="411"/>
      <c r="DR285" s="411"/>
      <c r="DS285" s="554"/>
      <c r="DT285" s="554"/>
      <c r="DU285" s="857"/>
      <c r="DV285" s="478"/>
      <c r="DW285" s="478"/>
      <c r="DX285" s="478"/>
      <c r="DY285" s="478"/>
      <c r="DZ285" s="478"/>
      <c r="EA285" s="526"/>
      <c r="EH285" s="8"/>
    </row>
    <row r="286" spans="1:138" ht="12.75" customHeight="1" x14ac:dyDescent="0.2">
      <c r="A286" s="171" t="s">
        <v>361</v>
      </c>
      <c r="B286" s="881"/>
      <c r="C286" s="881"/>
      <c r="D286" s="881"/>
      <c r="E286" s="881"/>
      <c r="F286" s="905">
        <v>0</v>
      </c>
      <c r="G286" s="881"/>
      <c r="H286" s="881"/>
      <c r="I286" s="881"/>
      <c r="J286" s="881"/>
      <c r="K286" s="905">
        <v>0</v>
      </c>
      <c r="L286" s="881"/>
      <c r="M286" s="881"/>
      <c r="N286" s="881"/>
      <c r="O286" s="881"/>
      <c r="P286" s="905">
        <v>0</v>
      </c>
      <c r="Q286" s="881"/>
      <c r="R286" s="881"/>
      <c r="S286" s="881"/>
      <c r="T286" s="881"/>
      <c r="U286" s="905">
        <v>0</v>
      </c>
      <c r="V286" s="881"/>
      <c r="W286" s="881"/>
      <c r="X286" s="881"/>
      <c r="Y286" s="881"/>
      <c r="Z286" s="905">
        <v>0</v>
      </c>
      <c r="AA286" s="881"/>
      <c r="AB286" s="881"/>
      <c r="AC286" s="881"/>
      <c r="AD286" s="881"/>
      <c r="AE286" s="905">
        <v>0</v>
      </c>
      <c r="AF286" s="881">
        <v>0</v>
      </c>
      <c r="AG286" s="881">
        <v>464</v>
      </c>
      <c r="AH286" s="881">
        <v>525</v>
      </c>
      <c r="AI286" s="881">
        <v>614</v>
      </c>
      <c r="AJ286" s="248">
        <v>614</v>
      </c>
      <c r="AK286" s="881">
        <v>790</v>
      </c>
      <c r="AL286" s="881">
        <v>1549</v>
      </c>
      <c r="AM286" s="881">
        <v>767</v>
      </c>
      <c r="AN286" s="881">
        <v>138</v>
      </c>
      <c r="AO286" s="248">
        <v>138</v>
      </c>
      <c r="AP286" s="881"/>
      <c r="AQ286" s="881"/>
      <c r="AR286" s="881"/>
      <c r="AS286" s="881"/>
      <c r="AT286" s="248"/>
      <c r="AU286" s="881">
        <v>103</v>
      </c>
      <c r="AV286" s="881">
        <v>103</v>
      </c>
      <c r="AW286" s="881">
        <v>921</v>
      </c>
      <c r="AX286" s="881">
        <v>212</v>
      </c>
      <c r="AY286" s="248">
        <f>AX286</f>
        <v>212</v>
      </c>
      <c r="AZ286" s="881">
        <v>67</v>
      </c>
      <c r="BA286" s="881">
        <v>91</v>
      </c>
      <c r="BB286" s="881">
        <v>92</v>
      </c>
      <c r="BC286" s="881">
        <v>71</v>
      </c>
      <c r="BD286" s="248">
        <f>BC286</f>
        <v>71</v>
      </c>
      <c r="BE286" s="881">
        <v>0</v>
      </c>
      <c r="BF286" s="881">
        <v>0</v>
      </c>
      <c r="BG286" s="881">
        <v>439</v>
      </c>
      <c r="BH286" s="881">
        <v>718</v>
      </c>
      <c r="BI286" s="248">
        <f>BH286</f>
        <v>718</v>
      </c>
      <c r="BJ286" s="881">
        <v>958</v>
      </c>
      <c r="BK286" s="881">
        <v>967</v>
      </c>
      <c r="BL286" s="881">
        <v>958</v>
      </c>
      <c r="BM286" s="881">
        <v>958</v>
      </c>
      <c r="BN286" s="350">
        <f>BM286</f>
        <v>958</v>
      </c>
      <c r="BO286" s="881">
        <v>959</v>
      </c>
      <c r="BP286" s="881">
        <v>959</v>
      </c>
      <c r="BQ286" s="881">
        <v>959</v>
      </c>
      <c r="BR286" s="881">
        <v>958</v>
      </c>
      <c r="BS286" s="248">
        <f>BR286</f>
        <v>958</v>
      </c>
      <c r="BT286" s="881">
        <v>958</v>
      </c>
      <c r="BU286" s="881">
        <v>958</v>
      </c>
      <c r="BV286" s="881">
        <v>959</v>
      </c>
      <c r="BW286" s="881">
        <v>959</v>
      </c>
      <c r="BX286" s="248">
        <f>BW286</f>
        <v>959</v>
      </c>
      <c r="BY286" s="881">
        <v>959</v>
      </c>
      <c r="BZ286" s="881">
        <v>719</v>
      </c>
      <c r="CA286" s="881">
        <v>1852</v>
      </c>
      <c r="CB286" s="881">
        <v>1217</v>
      </c>
      <c r="CC286" s="248">
        <f>CB286</f>
        <v>1217</v>
      </c>
      <c r="CD286" s="881">
        <v>1447</v>
      </c>
      <c r="CE286" s="881">
        <v>1494</v>
      </c>
      <c r="CF286" s="881">
        <v>1442</v>
      </c>
      <c r="CG286" s="881">
        <v>1465</v>
      </c>
      <c r="CH286" s="248">
        <f>CG286</f>
        <v>1465</v>
      </c>
      <c r="CI286" s="881">
        <v>1206</v>
      </c>
      <c r="CJ286" s="881">
        <v>1289</v>
      </c>
      <c r="CK286" s="881">
        <v>1514</v>
      </c>
      <c r="CL286" s="881">
        <v>487</v>
      </c>
      <c r="CM286" s="248">
        <f>CL286</f>
        <v>487</v>
      </c>
      <c r="CN286" s="881">
        <v>743</v>
      </c>
      <c r="CO286" s="881">
        <v>747</v>
      </c>
      <c r="CP286" s="881">
        <v>960</v>
      </c>
      <c r="CQ286" s="881">
        <v>825</v>
      </c>
      <c r="CR286" s="248">
        <f>CQ286</f>
        <v>825</v>
      </c>
      <c r="CS286" s="881">
        <v>743</v>
      </c>
      <c r="CT286" s="881">
        <v>747</v>
      </c>
      <c r="CU286" s="881">
        <v>960</v>
      </c>
      <c r="CV286" s="881">
        <v>825</v>
      </c>
      <c r="CW286" s="248">
        <f>CV286</f>
        <v>825</v>
      </c>
      <c r="CX286" s="881">
        <v>523</v>
      </c>
      <c r="CY286" s="91">
        <f>CX286-CY266</f>
        <v>523</v>
      </c>
      <c r="CZ286" s="91">
        <f>CY286-CZ266</f>
        <v>523</v>
      </c>
      <c r="DA286" s="656">
        <f>CZ286-DA266</f>
        <v>523</v>
      </c>
      <c r="DB286" s="248">
        <f>DA286</f>
        <v>523</v>
      </c>
      <c r="DC286" s="91"/>
      <c r="DD286" s="91"/>
      <c r="DE286" s="91"/>
      <c r="DF286" s="91"/>
      <c r="DG286" s="302">
        <f>DB286-DG266</f>
        <v>523</v>
      </c>
      <c r="DH286" s="91"/>
      <c r="DI286" s="91"/>
      <c r="DJ286" s="91"/>
      <c r="DK286" s="91"/>
      <c r="DL286" s="302">
        <f>DG286-DL266</f>
        <v>523</v>
      </c>
      <c r="DM286" s="66"/>
      <c r="DN286" s="526"/>
      <c r="DO286" s="486"/>
      <c r="DP286" s="411"/>
      <c r="DQ286" s="411"/>
      <c r="DR286" s="411"/>
      <c r="DS286" s="478"/>
      <c r="DT286" s="478"/>
      <c r="DU286" s="857"/>
      <c r="DV286" s="478"/>
      <c r="DW286" s="478"/>
      <c r="DX286" s="478"/>
      <c r="DY286" s="478"/>
      <c r="DZ286" s="478"/>
      <c r="EA286" s="526"/>
      <c r="EH286" s="8"/>
    </row>
    <row r="287" spans="1:138" ht="12.75" customHeight="1" x14ac:dyDescent="0.2">
      <c r="A287" s="172" t="s">
        <v>257</v>
      </c>
      <c r="B287" s="79"/>
      <c r="C287" s="79"/>
      <c r="D287" s="79"/>
      <c r="E287" s="79"/>
      <c r="F287" s="227">
        <f>F286+F285</f>
        <v>1364</v>
      </c>
      <c r="G287" s="79"/>
      <c r="H287" s="79"/>
      <c r="I287" s="79"/>
      <c r="J287" s="79"/>
      <c r="K287" s="227">
        <f>K286+K285</f>
        <v>2233</v>
      </c>
      <c r="L287" s="79"/>
      <c r="M287" s="79"/>
      <c r="N287" s="79"/>
      <c r="O287" s="79"/>
      <c r="P287" s="227">
        <f>P286+P285</f>
        <v>1992</v>
      </c>
      <c r="Q287" s="79"/>
      <c r="R287" s="79"/>
      <c r="S287" s="79"/>
      <c r="T287" s="79"/>
      <c r="U287" s="227">
        <f>U286+U285</f>
        <v>2422</v>
      </c>
      <c r="V287" s="79"/>
      <c r="W287" s="79"/>
      <c r="X287" s="79"/>
      <c r="Y287" s="79"/>
      <c r="Z287" s="227">
        <f>Z286+Z285</f>
        <v>1463</v>
      </c>
      <c r="AA287" s="79"/>
      <c r="AB287" s="79"/>
      <c r="AC287" s="79"/>
      <c r="AD287" s="79"/>
      <c r="AE287" s="227">
        <f t="shared" ref="AE287:AO287" si="984">AE286+AE285</f>
        <v>2008</v>
      </c>
      <c r="AF287" s="79">
        <f t="shared" si="984"/>
        <v>2429</v>
      </c>
      <c r="AG287" s="79">
        <f t="shared" si="984"/>
        <v>2895</v>
      </c>
      <c r="AH287" s="79">
        <f t="shared" si="984"/>
        <v>2808</v>
      </c>
      <c r="AI287" s="79">
        <f t="shared" si="984"/>
        <v>2648</v>
      </c>
      <c r="AJ287" s="227">
        <f t="shared" si="984"/>
        <v>2648</v>
      </c>
      <c r="AK287" s="79">
        <f t="shared" si="984"/>
        <v>2883</v>
      </c>
      <c r="AL287" s="79">
        <f t="shared" si="984"/>
        <v>3379</v>
      </c>
      <c r="AM287" s="79">
        <f t="shared" si="984"/>
        <v>2390</v>
      </c>
      <c r="AN287" s="79">
        <f t="shared" si="984"/>
        <v>2786</v>
      </c>
      <c r="AO287" s="227">
        <f t="shared" si="984"/>
        <v>2786</v>
      </c>
      <c r="AP287" s="79"/>
      <c r="AQ287" s="79"/>
      <c r="AR287" s="79"/>
      <c r="AS287" s="79"/>
      <c r="AT287" s="227"/>
      <c r="AU287" s="79">
        <f t="shared" ref="AU287:BA287" si="985">AU286+AU285</f>
        <v>2595</v>
      </c>
      <c r="AV287" s="79">
        <f t="shared" si="985"/>
        <v>3342</v>
      </c>
      <c r="AW287" s="79">
        <f t="shared" si="985"/>
        <v>3081</v>
      </c>
      <c r="AX287" s="79">
        <f t="shared" si="985"/>
        <v>4467</v>
      </c>
      <c r="AY287" s="227">
        <f t="shared" si="985"/>
        <v>4467</v>
      </c>
      <c r="AZ287" s="79">
        <f t="shared" si="985"/>
        <v>4508</v>
      </c>
      <c r="BA287" s="79">
        <f t="shared" si="985"/>
        <v>4942</v>
      </c>
      <c r="BB287" s="79">
        <f t="shared" ref="BB287:BV287" si="986">BB286+BB285</f>
        <v>5488</v>
      </c>
      <c r="BC287" s="79">
        <f t="shared" si="986"/>
        <v>4678</v>
      </c>
      <c r="BD287" s="227">
        <f t="shared" si="986"/>
        <v>4678</v>
      </c>
      <c r="BE287" s="79">
        <f t="shared" si="986"/>
        <v>4913</v>
      </c>
      <c r="BF287" s="79">
        <f t="shared" si="986"/>
        <v>4434</v>
      </c>
      <c r="BG287" s="79">
        <f t="shared" si="986"/>
        <v>3875</v>
      </c>
      <c r="BH287" s="79">
        <f t="shared" si="986"/>
        <v>3610</v>
      </c>
      <c r="BI287" s="227">
        <f t="shared" si="986"/>
        <v>3610</v>
      </c>
      <c r="BJ287" s="79">
        <f t="shared" si="986"/>
        <v>3839</v>
      </c>
      <c r="BK287" s="79">
        <f t="shared" si="986"/>
        <v>3822</v>
      </c>
      <c r="BL287" s="79">
        <f t="shared" si="986"/>
        <v>3265</v>
      </c>
      <c r="BM287" s="79">
        <f t="shared" si="986"/>
        <v>3615</v>
      </c>
      <c r="BN287" s="342">
        <f t="shared" si="986"/>
        <v>3615</v>
      </c>
      <c r="BO287" s="79">
        <f t="shared" si="986"/>
        <v>3870</v>
      </c>
      <c r="BP287" s="79">
        <f t="shared" si="986"/>
        <v>3498</v>
      </c>
      <c r="BQ287" s="79">
        <f>BQ286+BQ285</f>
        <v>3233</v>
      </c>
      <c r="BR287" s="79">
        <f>BR286+BR285</f>
        <v>3374</v>
      </c>
      <c r="BS287" s="227">
        <f t="shared" si="986"/>
        <v>3374</v>
      </c>
      <c r="BT287" s="79">
        <f t="shared" si="986"/>
        <v>3594</v>
      </c>
      <c r="BU287" s="79">
        <f t="shared" si="986"/>
        <v>3923</v>
      </c>
      <c r="BV287" s="79">
        <f t="shared" si="986"/>
        <v>3977</v>
      </c>
      <c r="BW287" s="79">
        <f t="shared" ref="BW287:CC287" si="987">BW286+BW285</f>
        <v>3803</v>
      </c>
      <c r="BX287" s="227">
        <f t="shared" si="987"/>
        <v>3803</v>
      </c>
      <c r="BY287" s="79">
        <f t="shared" si="987"/>
        <v>3658</v>
      </c>
      <c r="BZ287" s="79">
        <f>BZ286+BZ285</f>
        <v>4081</v>
      </c>
      <c r="CA287" s="79">
        <f>CA286+CA285</f>
        <v>4362</v>
      </c>
      <c r="CB287" s="79">
        <f t="shared" si="987"/>
        <v>3305</v>
      </c>
      <c r="CC287" s="227">
        <f t="shared" si="987"/>
        <v>3305</v>
      </c>
      <c r="CD287" s="79">
        <f t="shared" ref="CD287:CM287" si="988">CD286+CD285</f>
        <v>3569</v>
      </c>
      <c r="CE287" s="79">
        <f t="shared" si="988"/>
        <v>3787</v>
      </c>
      <c r="CF287" s="79">
        <f t="shared" si="988"/>
        <v>3811</v>
      </c>
      <c r="CG287" s="79">
        <f t="shared" si="988"/>
        <v>3437</v>
      </c>
      <c r="CH287" s="227">
        <f t="shared" si="988"/>
        <v>3437</v>
      </c>
      <c r="CI287" s="79">
        <f t="shared" si="988"/>
        <v>2914</v>
      </c>
      <c r="CJ287" s="79">
        <f t="shared" si="988"/>
        <v>2951</v>
      </c>
      <c r="CK287" s="79">
        <f t="shared" si="988"/>
        <v>3152</v>
      </c>
      <c r="CL287" s="79">
        <f t="shared" si="988"/>
        <v>3249</v>
      </c>
      <c r="CM287" s="227">
        <f t="shared" si="988"/>
        <v>3249</v>
      </c>
      <c r="CN287" s="79">
        <f t="shared" ref="CN287:CR287" si="989">CN286+CN285</f>
        <v>2650</v>
      </c>
      <c r="CO287" s="79">
        <f t="shared" si="989"/>
        <v>2988</v>
      </c>
      <c r="CP287" s="79">
        <f t="shared" si="989"/>
        <v>2438</v>
      </c>
      <c r="CQ287" s="79">
        <f t="shared" si="989"/>
        <v>2639</v>
      </c>
      <c r="CR287" s="227">
        <f t="shared" si="989"/>
        <v>2639</v>
      </c>
      <c r="CS287" s="79">
        <f t="shared" ref="CS287:CX287" si="990">CS286+CS285</f>
        <v>2647</v>
      </c>
      <c r="CT287" s="79">
        <f t="shared" si="990"/>
        <v>2985</v>
      </c>
      <c r="CU287" s="79">
        <f t="shared" si="990"/>
        <v>2435</v>
      </c>
      <c r="CV287" s="79">
        <f t="shared" si="990"/>
        <v>2636</v>
      </c>
      <c r="CW287" s="227">
        <f t="shared" si="990"/>
        <v>2636</v>
      </c>
      <c r="CX287" s="79">
        <f t="shared" si="990"/>
        <v>1963</v>
      </c>
      <c r="CY287" s="79">
        <f t="shared" ref="CY287:DB287" si="991">CY286+CY285</f>
        <v>1740.2679619711396</v>
      </c>
      <c r="CZ287" s="79">
        <f t="shared" si="991"/>
        <v>1290.20492749442</v>
      </c>
      <c r="DA287" s="657">
        <f t="shared" si="991"/>
        <v>2131.2110239177177</v>
      </c>
      <c r="DB287" s="227">
        <f t="shared" si="991"/>
        <v>2131.2110239177173</v>
      </c>
      <c r="DC287" s="79"/>
      <c r="DD287" s="79"/>
      <c r="DE287" s="79"/>
      <c r="DF287" s="79"/>
      <c r="DG287" s="227">
        <f>DG286+DG285</f>
        <v>1902.1541919594056</v>
      </c>
      <c r="DH287" s="79"/>
      <c r="DI287" s="79"/>
      <c r="DJ287" s="79"/>
      <c r="DK287" s="79"/>
      <c r="DL287" s="227">
        <f>DL286+DL285</f>
        <v>2237.3413017896382</v>
      </c>
      <c r="DM287" s="79"/>
      <c r="DN287" s="522"/>
      <c r="DO287" s="486"/>
      <c r="DP287" s="411"/>
      <c r="DQ287" s="411"/>
      <c r="DR287" s="411"/>
      <c r="DS287" s="480"/>
      <c r="DT287" s="478"/>
      <c r="DU287" s="857"/>
      <c r="DV287" s="478"/>
      <c r="DW287" s="478"/>
      <c r="DX287" s="472"/>
      <c r="DY287" s="472"/>
      <c r="DZ287" s="472"/>
      <c r="EA287" s="522"/>
      <c r="EH287" s="8"/>
    </row>
    <row r="288" spans="1:138" ht="12.75" customHeight="1" x14ac:dyDescent="0.2">
      <c r="A288" s="114" t="s">
        <v>333</v>
      </c>
      <c r="B288" s="19"/>
      <c r="C288" s="19"/>
      <c r="D288" s="19"/>
      <c r="E288" s="19"/>
      <c r="F288" s="199">
        <f>F287/F216</f>
        <v>8.1233994401762849E-2</v>
      </c>
      <c r="G288" s="19"/>
      <c r="H288" s="19"/>
      <c r="I288" s="19"/>
      <c r="J288" s="19"/>
      <c r="K288" s="199">
        <f>K287/K216</f>
        <v>0.16089055407450104</v>
      </c>
      <c r="L288" s="19"/>
      <c r="M288" s="19"/>
      <c r="N288" s="19"/>
      <c r="O288" s="19"/>
      <c r="P288" s="199">
        <f>P287/P216</f>
        <v>0.14971815107102593</v>
      </c>
      <c r="Q288" s="19"/>
      <c r="R288" s="19"/>
      <c r="S288" s="19"/>
      <c r="T288" s="19"/>
      <c r="U288" s="199">
        <f>U287/U216</f>
        <v>0.18206419604600466</v>
      </c>
      <c r="V288" s="19"/>
      <c r="W288" s="19"/>
      <c r="X288" s="19"/>
      <c r="Y288" s="19"/>
      <c r="Z288" s="199">
        <f>Z287/Z216</f>
        <v>9.6028880866425997E-2</v>
      </c>
      <c r="AA288" s="19"/>
      <c r="AB288" s="19"/>
      <c r="AC288" s="19"/>
      <c r="AD288" s="19"/>
      <c r="AE288" s="199">
        <f t="shared" ref="AE288:AO288" si="992">AE287/AE216</f>
        <v>0.12401951701562597</v>
      </c>
      <c r="AF288" s="19">
        <f t="shared" si="992"/>
        <v>0.14867180805484148</v>
      </c>
      <c r="AG288" s="19">
        <f t="shared" si="992"/>
        <v>0.17136261394577956</v>
      </c>
      <c r="AH288" s="19">
        <f t="shared" si="992"/>
        <v>0.16111079235756498</v>
      </c>
      <c r="AI288" s="19">
        <f t="shared" si="992"/>
        <v>0.15103810175678758</v>
      </c>
      <c r="AJ288" s="199">
        <f t="shared" si="992"/>
        <v>0.15103810175678758</v>
      </c>
      <c r="AK288" s="19">
        <f t="shared" si="992"/>
        <v>0.16035374603704322</v>
      </c>
      <c r="AL288" s="19">
        <f t="shared" si="992"/>
        <v>0.18524203716901486</v>
      </c>
      <c r="AM288" s="19">
        <f t="shared" si="992"/>
        <v>0.1276914035368916</v>
      </c>
      <c r="AN288" s="19">
        <f t="shared" si="992"/>
        <v>0.14545264696669102</v>
      </c>
      <c r="AO288" s="199">
        <f t="shared" si="992"/>
        <v>0.14545264696669102</v>
      </c>
      <c r="AP288" s="19"/>
      <c r="AQ288" s="19"/>
      <c r="AR288" s="19"/>
      <c r="AS288" s="19"/>
      <c r="AT288" s="199"/>
      <c r="AU288" s="19">
        <f t="shared" ref="AU288:CL288" si="993">AU287/AU216</f>
        <v>0.11375093148643317</v>
      </c>
      <c r="AV288" s="19">
        <f t="shared" si="993"/>
        <v>0.15043889264010804</v>
      </c>
      <c r="AW288" s="19">
        <f t="shared" si="993"/>
        <v>9.8740505720603791E-2</v>
      </c>
      <c r="AX288" s="19">
        <f t="shared" si="993"/>
        <v>0.13027881474568362</v>
      </c>
      <c r="AY288" s="199">
        <f t="shared" si="993"/>
        <v>0.13027881474568362</v>
      </c>
      <c r="AZ288" s="19">
        <f t="shared" si="993"/>
        <v>0.13630865989356555</v>
      </c>
      <c r="BA288" s="19">
        <f t="shared" si="993"/>
        <v>0.15950167828556674</v>
      </c>
      <c r="BB288" s="19">
        <f t="shared" si="993"/>
        <v>0.1890718666023565</v>
      </c>
      <c r="BC288" s="19">
        <f t="shared" si="993"/>
        <v>0.16669636175747427</v>
      </c>
      <c r="BD288" s="199">
        <f t="shared" si="993"/>
        <v>0.16669636175747427</v>
      </c>
      <c r="BE288" s="19">
        <f t="shared" si="993"/>
        <v>0.17405321146420094</v>
      </c>
      <c r="BF288" s="19">
        <f t="shared" si="993"/>
        <v>0.15084167203604962</v>
      </c>
      <c r="BG288" s="19">
        <f t="shared" si="993"/>
        <v>0.12593001346069976</v>
      </c>
      <c r="BH288" s="19">
        <f t="shared" si="993"/>
        <v>0.1136826697855397</v>
      </c>
      <c r="BI288" s="199">
        <f t="shared" si="993"/>
        <v>0.1136826697855397</v>
      </c>
      <c r="BJ288" s="19">
        <f t="shared" si="993"/>
        <v>0.11756577895673617</v>
      </c>
      <c r="BK288" s="19">
        <f t="shared" si="993"/>
        <v>0.11361812182288415</v>
      </c>
      <c r="BL288" s="19">
        <f t="shared" si="993"/>
        <v>9.4623967540936091E-2</v>
      </c>
      <c r="BM288" s="19">
        <f t="shared" si="993"/>
        <v>0.10294745835113199</v>
      </c>
      <c r="BN288" s="341">
        <f t="shared" si="993"/>
        <v>0.10294745835113199</v>
      </c>
      <c r="BO288" s="19">
        <f t="shared" si="993"/>
        <v>0.10815796092898465</v>
      </c>
      <c r="BP288" s="19">
        <f t="shared" si="993"/>
        <v>9.6204620462046211E-2</v>
      </c>
      <c r="BQ288" s="19">
        <f t="shared" si="993"/>
        <v>8.8655496750486742E-2</v>
      </c>
      <c r="BR288" s="19">
        <f t="shared" si="993"/>
        <v>9.2009817289337339E-2</v>
      </c>
      <c r="BS288" s="199">
        <f t="shared" si="993"/>
        <v>9.2009817289337339E-2</v>
      </c>
      <c r="BT288" s="19">
        <f t="shared" si="993"/>
        <v>9.7777294120847735E-2</v>
      </c>
      <c r="BU288" s="19">
        <f t="shared" si="993"/>
        <v>0.10680060982249809</v>
      </c>
      <c r="BV288" s="19">
        <f t="shared" si="993"/>
        <v>0.10662484248907478</v>
      </c>
      <c r="BW288" s="19">
        <f t="shared" si="993"/>
        <v>0.10068038016572685</v>
      </c>
      <c r="BX288" s="199">
        <f t="shared" si="993"/>
        <v>0.10068038016572685</v>
      </c>
      <c r="BY288" s="19">
        <f t="shared" si="993"/>
        <v>9.5786744874178431E-2</v>
      </c>
      <c r="BZ288" s="19">
        <f t="shared" si="993"/>
        <v>0.10436539395954275</v>
      </c>
      <c r="CA288" s="19">
        <f t="shared" si="993"/>
        <v>0.10962277902038149</v>
      </c>
      <c r="CB288" s="19">
        <f t="shared" si="993"/>
        <v>8.1883950250235371E-2</v>
      </c>
      <c r="CC288" s="199">
        <f t="shared" si="993"/>
        <v>8.1883950250235371E-2</v>
      </c>
      <c r="CD288" s="19">
        <f t="shared" si="993"/>
        <v>8.7402654650536316E-2</v>
      </c>
      <c r="CE288" s="19">
        <f t="shared" si="993"/>
        <v>9.2546432062561093E-2</v>
      </c>
      <c r="CF288" s="19">
        <f t="shared" si="993"/>
        <v>9.3294817498592378E-2</v>
      </c>
      <c r="CG288" s="19">
        <f t="shared" si="993"/>
        <v>8.443887578616352E-2</v>
      </c>
      <c r="CH288" s="199">
        <f t="shared" si="993"/>
        <v>8.443887578616352E-2</v>
      </c>
      <c r="CI288" s="19">
        <f t="shared" si="993"/>
        <v>7.1831784455345479E-2</v>
      </c>
      <c r="CJ288" s="19">
        <f>CJ287/CJ216</f>
        <v>7.3213089537797399E-2</v>
      </c>
      <c r="CK288" s="19">
        <f t="shared" si="993"/>
        <v>7.9429478618048027E-2</v>
      </c>
      <c r="CL288" s="19">
        <f t="shared" si="993"/>
        <v>8.1964731703625213E-2</v>
      </c>
      <c r="CM288" s="199">
        <f>CM287/CM216</f>
        <v>8.1964731703625213E-2</v>
      </c>
      <c r="CN288" s="19">
        <f t="shared" ref="CN288:CQ288" si="994">CN287/CN216</f>
        <v>6.7027519222986651E-2</v>
      </c>
      <c r="CO288" s="19">
        <f t="shared" si="994"/>
        <v>7.4924774322968901E-2</v>
      </c>
      <c r="CP288" s="19">
        <f t="shared" si="994"/>
        <v>6.0261512222853891E-2</v>
      </c>
      <c r="CQ288" s="19">
        <f t="shared" si="994"/>
        <v>6.3985064494229457E-2</v>
      </c>
      <c r="CR288" s="199">
        <f>CR287/CR216</f>
        <v>6.3985064494229457E-2</v>
      </c>
      <c r="CS288" s="19">
        <f t="shared" ref="CS288:CX288" si="995">CS287/CS216</f>
        <v>6.4347530143912868E-2</v>
      </c>
      <c r="CT288" s="19">
        <f t="shared" si="995"/>
        <v>7.2759140942938477E-2</v>
      </c>
      <c r="CU288" s="19">
        <f t="shared" si="995"/>
        <v>5.9534764688928141E-2</v>
      </c>
      <c r="CV288" s="19">
        <f t="shared" si="995"/>
        <v>6.486503554692534E-2</v>
      </c>
      <c r="CW288" s="199">
        <f>CW287/CW216</f>
        <v>6.486503554692534E-2</v>
      </c>
      <c r="CX288" s="19">
        <f t="shared" si="995"/>
        <v>4.6904494516260067E-2</v>
      </c>
      <c r="CY288" s="19">
        <f t="shared" ref="CY288:DA288" si="996">CY287/CY216</f>
        <v>4.0895808978035401E-2</v>
      </c>
      <c r="CZ288" s="19">
        <f t="shared" si="996"/>
        <v>2.9939555718359254E-2</v>
      </c>
      <c r="DA288" s="658">
        <f t="shared" si="996"/>
        <v>4.9164842009634752E-2</v>
      </c>
      <c r="DB288" s="199">
        <f>DB287/DB216</f>
        <v>4.9164842009634738E-2</v>
      </c>
      <c r="DC288" s="19"/>
      <c r="DD288" s="19"/>
      <c r="DE288" s="19"/>
      <c r="DF288" s="19"/>
      <c r="DG288" s="199">
        <f>DG287/DG216</f>
        <v>4.2477225724775719E-2</v>
      </c>
      <c r="DH288" s="19"/>
      <c r="DI288" s="19"/>
      <c r="DJ288" s="19"/>
      <c r="DK288" s="19"/>
      <c r="DL288" s="199">
        <f>DL287/DL216</f>
        <v>4.8427727712129179E-2</v>
      </c>
      <c r="DM288" s="19"/>
      <c r="DN288" s="527"/>
      <c r="DO288" s="486"/>
      <c r="DP288" s="411"/>
      <c r="DQ288" s="411"/>
      <c r="DR288" s="411"/>
      <c r="DS288" s="478"/>
      <c r="DT288" s="478"/>
      <c r="DU288" s="857"/>
      <c r="DV288" s="478"/>
      <c r="DW288" s="478"/>
      <c r="DX288" s="460"/>
      <c r="DY288" s="460"/>
      <c r="DZ288" s="460"/>
      <c r="EA288" s="527"/>
      <c r="EH288" s="8"/>
    </row>
    <row r="289" spans="1:138" ht="12.75" customHeight="1" x14ac:dyDescent="0.2">
      <c r="A289" s="171" t="s">
        <v>99</v>
      </c>
      <c r="B289" s="881"/>
      <c r="C289" s="881"/>
      <c r="D289" s="881"/>
      <c r="E289" s="881"/>
      <c r="F289" s="905">
        <v>0</v>
      </c>
      <c r="G289" s="881"/>
      <c r="H289" s="881"/>
      <c r="I289" s="881"/>
      <c r="J289" s="881"/>
      <c r="K289" s="905">
        <v>0</v>
      </c>
      <c r="L289" s="881"/>
      <c r="M289" s="881"/>
      <c r="N289" s="881"/>
      <c r="O289" s="881"/>
      <c r="P289" s="905">
        <v>0</v>
      </c>
      <c r="Q289" s="881"/>
      <c r="R289" s="881"/>
      <c r="S289" s="881"/>
      <c r="T289" s="881"/>
      <c r="U289" s="905">
        <v>0</v>
      </c>
      <c r="V289" s="881"/>
      <c r="W289" s="881"/>
      <c r="X289" s="881"/>
      <c r="Y289" s="881"/>
      <c r="Z289" s="905">
        <v>0</v>
      </c>
      <c r="AA289" s="881"/>
      <c r="AB289" s="881"/>
      <c r="AC289" s="881"/>
      <c r="AD289" s="881"/>
      <c r="AE289" s="905">
        <v>870</v>
      </c>
      <c r="AF289" s="881">
        <v>933</v>
      </c>
      <c r="AG289" s="881">
        <v>1046</v>
      </c>
      <c r="AH289" s="881">
        <v>1021</v>
      </c>
      <c r="AI289" s="881">
        <v>750</v>
      </c>
      <c r="AJ289" s="248">
        <v>750</v>
      </c>
      <c r="AK289" s="881">
        <v>1046</v>
      </c>
      <c r="AL289" s="881">
        <v>333</v>
      </c>
      <c r="AM289" s="881">
        <v>579</v>
      </c>
      <c r="AN289" s="881">
        <v>520</v>
      </c>
      <c r="AO289" s="248">
        <v>520</v>
      </c>
      <c r="AP289" s="881"/>
      <c r="AQ289" s="881"/>
      <c r="AR289" s="881"/>
      <c r="AS289" s="881"/>
      <c r="AT289" s="248"/>
      <c r="AU289" s="881">
        <v>218</v>
      </c>
      <c r="AV289" s="881">
        <v>517</v>
      </c>
      <c r="AW289" s="881">
        <f>228+109</f>
        <v>337</v>
      </c>
      <c r="AX289" s="881">
        <f>429+1139</f>
        <v>1568</v>
      </c>
      <c r="AY289" s="248">
        <f>AX289</f>
        <v>1568</v>
      </c>
      <c r="AZ289" s="881">
        <f>387+404</f>
        <v>791</v>
      </c>
      <c r="BA289" s="881">
        <v>361</v>
      </c>
      <c r="BB289" s="881">
        <v>478</v>
      </c>
      <c r="BC289" s="881">
        <v>423</v>
      </c>
      <c r="BD289" s="248">
        <f>BC289</f>
        <v>423</v>
      </c>
      <c r="BE289" s="881">
        <v>456</v>
      </c>
      <c r="BF289" s="881">
        <v>409</v>
      </c>
      <c r="BG289" s="881">
        <v>418</v>
      </c>
      <c r="BH289" s="881">
        <v>409</v>
      </c>
      <c r="BI289" s="248">
        <f>BH289</f>
        <v>409</v>
      </c>
      <c r="BJ289" s="881">
        <v>390</v>
      </c>
      <c r="BK289" s="881">
        <v>432</v>
      </c>
      <c r="BL289" s="881">
        <v>405</v>
      </c>
      <c r="BM289" s="881">
        <v>305</v>
      </c>
      <c r="BN289" s="350">
        <f>BM289</f>
        <v>305</v>
      </c>
      <c r="BO289" s="881">
        <v>375</v>
      </c>
      <c r="BP289" s="881">
        <v>368</v>
      </c>
      <c r="BQ289" s="881">
        <v>401</v>
      </c>
      <c r="BR289" s="881">
        <v>375</v>
      </c>
      <c r="BS289" s="248">
        <f>BR289</f>
        <v>375</v>
      </c>
      <c r="BT289" s="881">
        <v>291</v>
      </c>
      <c r="BU289" s="881">
        <v>173</v>
      </c>
      <c r="BV289" s="881">
        <v>213</v>
      </c>
      <c r="BW289" s="881">
        <v>122</v>
      </c>
      <c r="BX289" s="248">
        <f>BW289</f>
        <v>122</v>
      </c>
      <c r="BY289" s="881">
        <v>125</v>
      </c>
      <c r="BZ289" s="881">
        <v>121</v>
      </c>
      <c r="CA289" s="881">
        <v>149</v>
      </c>
      <c r="CB289" s="881">
        <v>37</v>
      </c>
      <c r="CC289" s="248">
        <f>CB289</f>
        <v>37</v>
      </c>
      <c r="CD289" s="881">
        <v>0</v>
      </c>
      <c r="CE289" s="881">
        <v>0</v>
      </c>
      <c r="CF289" s="881">
        <v>0</v>
      </c>
      <c r="CG289" s="881">
        <v>0</v>
      </c>
      <c r="CH289" s="248">
        <f>CG289</f>
        <v>0</v>
      </c>
      <c r="CI289" s="881">
        <v>0</v>
      </c>
      <c r="CJ289" s="881">
        <v>0</v>
      </c>
      <c r="CK289" s="881">
        <v>0</v>
      </c>
      <c r="CL289" s="881">
        <v>0</v>
      </c>
      <c r="CM289" s="248">
        <f>CL289</f>
        <v>0</v>
      </c>
      <c r="CN289" s="881">
        <v>0</v>
      </c>
      <c r="CO289" s="881">
        <v>0</v>
      </c>
      <c r="CP289" s="881">
        <v>0</v>
      </c>
      <c r="CQ289" s="881">
        <v>0</v>
      </c>
      <c r="CR289" s="248">
        <f>CQ289</f>
        <v>0</v>
      </c>
      <c r="CS289" s="881">
        <v>0</v>
      </c>
      <c r="CT289" s="881">
        <v>0</v>
      </c>
      <c r="CU289" s="881">
        <v>0</v>
      </c>
      <c r="CV289" s="881">
        <v>0</v>
      </c>
      <c r="CW289" s="248">
        <f>CV289</f>
        <v>0</v>
      </c>
      <c r="CX289" s="881">
        <v>0</v>
      </c>
      <c r="CY289" s="66">
        <f t="shared" ref="CY289:DA289" si="997">CY290*CY217</f>
        <v>0</v>
      </c>
      <c r="CZ289" s="66">
        <f t="shared" si="997"/>
        <v>0</v>
      </c>
      <c r="DA289" s="444">
        <f t="shared" si="997"/>
        <v>0</v>
      </c>
      <c r="DB289" s="248">
        <f>DA289</f>
        <v>0</v>
      </c>
      <c r="DC289" s="66"/>
      <c r="DD289" s="66"/>
      <c r="DE289" s="66"/>
      <c r="DF289" s="66"/>
      <c r="DG289" s="248">
        <f>DG290*DG217</f>
        <v>0</v>
      </c>
      <c r="DH289" s="66"/>
      <c r="DI289" s="66"/>
      <c r="DJ289" s="66"/>
      <c r="DK289" s="66"/>
      <c r="DL289" s="248">
        <f>DL290*DL217</f>
        <v>0</v>
      </c>
      <c r="DM289" s="66"/>
      <c r="DN289" s="526"/>
      <c r="DO289" s="486"/>
      <c r="DP289" s="411"/>
      <c r="DQ289" s="411"/>
      <c r="DR289" s="411"/>
      <c r="DS289" s="480"/>
      <c r="DT289" s="480"/>
      <c r="DU289" s="857"/>
      <c r="DV289" s="478"/>
      <c r="DW289" s="478"/>
      <c r="DX289" s="478"/>
      <c r="DY289" s="478"/>
      <c r="DZ289" s="478"/>
      <c r="EA289" s="526"/>
      <c r="EH289" s="8"/>
    </row>
    <row r="290" spans="1:138" ht="12.75" customHeight="1" x14ac:dyDescent="0.2">
      <c r="A290" s="115" t="s">
        <v>332</v>
      </c>
      <c r="B290" s="19"/>
      <c r="C290" s="19"/>
      <c r="D290" s="19"/>
      <c r="E290" s="19"/>
      <c r="F290" s="199">
        <f>F289/F217</f>
        <v>0</v>
      </c>
      <c r="G290" s="19"/>
      <c r="H290" s="19"/>
      <c r="I290" s="19"/>
      <c r="J290" s="19"/>
      <c r="K290" s="199">
        <f>K289/K217</f>
        <v>0</v>
      </c>
      <c r="L290" s="19"/>
      <c r="M290" s="19"/>
      <c r="N290" s="19"/>
      <c r="O290" s="19"/>
      <c r="P290" s="199">
        <f>P289/P217</f>
        <v>0</v>
      </c>
      <c r="Q290" s="19"/>
      <c r="R290" s="19"/>
      <c r="S290" s="19"/>
      <c r="T290" s="19"/>
      <c r="U290" s="199">
        <f>U289/U217</f>
        <v>0</v>
      </c>
      <c r="V290" s="19"/>
      <c r="W290" s="19"/>
      <c r="X290" s="19"/>
      <c r="Y290" s="19"/>
      <c r="Z290" s="199">
        <f>Z289/Z217</f>
        <v>0</v>
      </c>
      <c r="AA290" s="19"/>
      <c r="AB290" s="19"/>
      <c r="AC290" s="19"/>
      <c r="AD290" s="19"/>
      <c r="AE290" s="199">
        <f t="shared" ref="AE290:AO290" si="998">AE289/AE217</f>
        <v>5.9491247264770238E-2</v>
      </c>
      <c r="AF290" s="19">
        <f t="shared" si="998"/>
        <v>6.3746925389450676E-2</v>
      </c>
      <c r="AG290" s="19">
        <f t="shared" si="998"/>
        <v>6.9863745658562654E-2</v>
      </c>
      <c r="AH290" s="19">
        <f t="shared" si="998"/>
        <v>6.6714584422373241E-2</v>
      </c>
      <c r="AI290" s="19">
        <f t="shared" si="998"/>
        <v>4.8408958884657585E-2</v>
      </c>
      <c r="AJ290" s="199">
        <f t="shared" si="998"/>
        <v>4.8408958884657585E-2</v>
      </c>
      <c r="AK290" s="19">
        <f t="shared" si="998"/>
        <v>6.5902217741935484E-2</v>
      </c>
      <c r="AL290" s="19">
        <f t="shared" si="998"/>
        <v>2.0614089389624862E-2</v>
      </c>
      <c r="AM290" s="19">
        <f t="shared" si="998"/>
        <v>3.4944776389643308E-2</v>
      </c>
      <c r="AN290" s="19">
        <f t="shared" si="998"/>
        <v>3.0718336483931945E-2</v>
      </c>
      <c r="AO290" s="199">
        <f t="shared" si="998"/>
        <v>3.0718336483931945E-2</v>
      </c>
      <c r="AP290" s="19"/>
      <c r="AQ290" s="19"/>
      <c r="AR290" s="19"/>
      <c r="AS290" s="19"/>
      <c r="AT290" s="199"/>
      <c r="AU290" s="19">
        <f t="shared" ref="AU290:CQ290" si="999">AU289/AU217</f>
        <v>1.0896730980705788E-2</v>
      </c>
      <c r="AV290" s="19">
        <f t="shared" si="999"/>
        <v>2.1503140207128894E-2</v>
      </c>
      <c r="AW290" s="19">
        <f t="shared" si="999"/>
        <v>1.2427170145290951E-2</v>
      </c>
      <c r="AX290" s="19">
        <f t="shared" si="999"/>
        <v>5.2780395852968898E-2</v>
      </c>
      <c r="AY290" s="199">
        <f t="shared" si="999"/>
        <v>5.2780395852968898E-2</v>
      </c>
      <c r="AZ290" s="19">
        <f t="shared" si="999"/>
        <v>2.7753412160976806E-2</v>
      </c>
      <c r="BA290" s="19">
        <f t="shared" si="999"/>
        <v>1.3627784069460174E-2</v>
      </c>
      <c r="BB290" s="19">
        <f t="shared" si="999"/>
        <v>1.9363986226453311E-2</v>
      </c>
      <c r="BC290" s="19">
        <f t="shared" si="999"/>
        <v>1.7767883395639939E-2</v>
      </c>
      <c r="BD290" s="199">
        <f t="shared" si="999"/>
        <v>1.7767883395639939E-2</v>
      </c>
      <c r="BE290" s="19">
        <f t="shared" si="999"/>
        <v>1.8990504747626188E-2</v>
      </c>
      <c r="BF290" s="19">
        <f t="shared" si="999"/>
        <v>1.6283143562385541E-2</v>
      </c>
      <c r="BG290" s="19">
        <f t="shared" si="999"/>
        <v>1.5851947362433162E-2</v>
      </c>
      <c r="BH290" s="19">
        <f t="shared" si="999"/>
        <v>1.5004769242057377E-2</v>
      </c>
      <c r="BI290" s="199">
        <f t="shared" si="999"/>
        <v>1.5004769242057377E-2</v>
      </c>
      <c r="BJ290" s="19">
        <f t="shared" si="999"/>
        <v>1.3915153245085096E-2</v>
      </c>
      <c r="BK290" s="19">
        <f t="shared" si="999"/>
        <v>1.49434432183749E-2</v>
      </c>
      <c r="BL290" s="19">
        <f t="shared" si="999"/>
        <v>1.3635445424550535E-2</v>
      </c>
      <c r="BM290" s="19">
        <f t="shared" si="999"/>
        <v>1.0080311993918763E-2</v>
      </c>
      <c r="BN290" s="341">
        <f t="shared" si="999"/>
        <v>1.0080311993918763E-2</v>
      </c>
      <c r="BO290" s="19">
        <f t="shared" si="999"/>
        <v>1.2132781156982011E-2</v>
      </c>
      <c r="BP290" s="19">
        <f t="shared" si="999"/>
        <v>1.1694419727977629E-2</v>
      </c>
      <c r="BQ290" s="19">
        <f t="shared" si="999"/>
        <v>1.2693086857432262E-2</v>
      </c>
      <c r="BR290" s="19">
        <f t="shared" si="999"/>
        <v>1.1789857578520451E-2</v>
      </c>
      <c r="BS290" s="199">
        <f t="shared" si="999"/>
        <v>1.1789857578520451E-2</v>
      </c>
      <c r="BT290" s="19">
        <f t="shared" si="999"/>
        <v>9.1182553111487114E-3</v>
      </c>
      <c r="BU290" s="19">
        <f t="shared" si="999"/>
        <v>5.4135244234440032E-3</v>
      </c>
      <c r="BV290" s="19">
        <f t="shared" si="999"/>
        <v>6.5500169131892123E-3</v>
      </c>
      <c r="BW290" s="19">
        <f t="shared" si="999"/>
        <v>3.7020179032013351E-3</v>
      </c>
      <c r="BX290" s="199">
        <f t="shared" si="999"/>
        <v>3.7020179032013351E-3</v>
      </c>
      <c r="BY290" s="19">
        <f t="shared" si="999"/>
        <v>3.7538664824769514E-3</v>
      </c>
      <c r="BZ290" s="19">
        <f t="shared" si="999"/>
        <v>3.5514073552287868E-3</v>
      </c>
      <c r="CA290" s="19">
        <f t="shared" si="999"/>
        <v>4.307229786372966E-3</v>
      </c>
      <c r="CB290" s="19">
        <f t="shared" si="999"/>
        <v>1.0585340733535503E-3</v>
      </c>
      <c r="CC290" s="199">
        <f t="shared" si="999"/>
        <v>1.0585340733535503E-3</v>
      </c>
      <c r="CD290" s="19">
        <f t="shared" si="999"/>
        <v>0</v>
      </c>
      <c r="CE290" s="19">
        <f t="shared" si="999"/>
        <v>0</v>
      </c>
      <c r="CF290" s="19">
        <f t="shared" si="999"/>
        <v>0</v>
      </c>
      <c r="CG290" s="19">
        <f t="shared" si="999"/>
        <v>0</v>
      </c>
      <c r="CH290" s="199">
        <f>CH289/CH217</f>
        <v>0</v>
      </c>
      <c r="CI290" s="19">
        <f t="shared" si="999"/>
        <v>0</v>
      </c>
      <c r="CJ290" s="19">
        <f t="shared" si="999"/>
        <v>0</v>
      </c>
      <c r="CK290" s="19">
        <f t="shared" si="999"/>
        <v>0</v>
      </c>
      <c r="CL290" s="19">
        <f t="shared" si="999"/>
        <v>0</v>
      </c>
      <c r="CM290" s="199">
        <f>CM289/CM217</f>
        <v>0</v>
      </c>
      <c r="CN290" s="19">
        <f t="shared" si="999"/>
        <v>0</v>
      </c>
      <c r="CO290" s="19">
        <f t="shared" si="999"/>
        <v>0</v>
      </c>
      <c r="CP290" s="19">
        <f t="shared" si="999"/>
        <v>0</v>
      </c>
      <c r="CQ290" s="19">
        <f t="shared" si="999"/>
        <v>0</v>
      </c>
      <c r="CR290" s="199">
        <f>CR289/CR217</f>
        <v>0</v>
      </c>
      <c r="CS290" s="19">
        <f t="shared" ref="CS290:CX290" si="1000">CS289/CS217</f>
        <v>0</v>
      </c>
      <c r="CT290" s="19">
        <f t="shared" si="1000"/>
        <v>0</v>
      </c>
      <c r="CU290" s="19">
        <f t="shared" si="1000"/>
        <v>0</v>
      </c>
      <c r="CV290" s="19">
        <f t="shared" si="1000"/>
        <v>0</v>
      </c>
      <c r="CW290" s="199">
        <f>CW289/CW217</f>
        <v>0</v>
      </c>
      <c r="CX290" s="19">
        <f t="shared" si="1000"/>
        <v>0</v>
      </c>
      <c r="CY290" s="447">
        <f>+CO290</f>
        <v>0</v>
      </c>
      <c r="CZ290" s="447">
        <f>+CP290</f>
        <v>0</v>
      </c>
      <c r="DA290" s="447">
        <f>+CQ290</f>
        <v>0</v>
      </c>
      <c r="DB290" s="199">
        <f>DB289/DB217</f>
        <v>0</v>
      </c>
      <c r="DC290" s="19"/>
      <c r="DD290" s="19"/>
      <c r="DE290" s="116"/>
      <c r="DF290" s="116"/>
      <c r="DG290" s="451">
        <f>DB290</f>
        <v>0</v>
      </c>
      <c r="DH290" s="19"/>
      <c r="DI290" s="19"/>
      <c r="DJ290" s="116"/>
      <c r="DK290" s="116"/>
      <c r="DL290" s="451">
        <f>DG290</f>
        <v>0</v>
      </c>
      <c r="DM290" s="19"/>
      <c r="DN290" s="527"/>
      <c r="DO290" s="486"/>
      <c r="DP290" s="411"/>
      <c r="DQ290" s="411"/>
      <c r="DR290" s="411"/>
      <c r="DS290" s="478"/>
      <c r="DT290" s="478"/>
      <c r="DU290" s="857"/>
      <c r="DV290" s="478"/>
      <c r="DW290" s="478"/>
      <c r="DX290" s="460"/>
      <c r="DY290" s="460"/>
      <c r="DZ290" s="460"/>
      <c r="EA290" s="527"/>
      <c r="EH290" s="8"/>
    </row>
    <row r="291" spans="1:138" ht="12.75" customHeight="1" x14ac:dyDescent="0.2">
      <c r="A291" s="172" t="s">
        <v>271</v>
      </c>
      <c r="B291" s="79"/>
      <c r="C291" s="79"/>
      <c r="D291" s="79"/>
      <c r="E291" s="79"/>
      <c r="F291" s="227">
        <f>F289+F287</f>
        <v>1364</v>
      </c>
      <c r="G291" s="79"/>
      <c r="H291" s="79"/>
      <c r="I291" s="79"/>
      <c r="J291" s="79"/>
      <c r="K291" s="227">
        <f>K289+K287</f>
        <v>2233</v>
      </c>
      <c r="L291" s="79"/>
      <c r="M291" s="79"/>
      <c r="N291" s="79"/>
      <c r="O291" s="79"/>
      <c r="P291" s="227">
        <f>P289+P287</f>
        <v>1992</v>
      </c>
      <c r="Q291" s="79"/>
      <c r="R291" s="79"/>
      <c r="S291" s="79"/>
      <c r="T291" s="79"/>
      <c r="U291" s="227">
        <f>U289+U287</f>
        <v>2422</v>
      </c>
      <c r="V291" s="79"/>
      <c r="W291" s="79"/>
      <c r="X291" s="79"/>
      <c r="Y291" s="79"/>
      <c r="Z291" s="227">
        <f>Z289+Z287</f>
        <v>1463</v>
      </c>
      <c r="AA291" s="79"/>
      <c r="AB291" s="79"/>
      <c r="AC291" s="79"/>
      <c r="AD291" s="79"/>
      <c r="AE291" s="227">
        <f>AE289+AE287</f>
        <v>2878</v>
      </c>
      <c r="AF291" s="79">
        <f t="shared" ref="AF291:AN291" si="1001">AF289+AF287</f>
        <v>3362</v>
      </c>
      <c r="AG291" s="79">
        <f t="shared" si="1001"/>
        <v>3941</v>
      </c>
      <c r="AH291" s="79">
        <f t="shared" si="1001"/>
        <v>3829</v>
      </c>
      <c r="AI291" s="79">
        <f t="shared" si="1001"/>
        <v>3398</v>
      </c>
      <c r="AJ291" s="227">
        <f>AJ289+AJ287</f>
        <v>3398</v>
      </c>
      <c r="AK291" s="79">
        <f t="shared" si="1001"/>
        <v>3929</v>
      </c>
      <c r="AL291" s="79">
        <f t="shared" si="1001"/>
        <v>3712</v>
      </c>
      <c r="AM291" s="79">
        <f t="shared" si="1001"/>
        <v>2969</v>
      </c>
      <c r="AN291" s="79">
        <f t="shared" si="1001"/>
        <v>3306</v>
      </c>
      <c r="AO291" s="227">
        <f>AO289+AO287</f>
        <v>3306</v>
      </c>
      <c r="AP291" s="79"/>
      <c r="AQ291" s="79"/>
      <c r="AR291" s="79"/>
      <c r="AS291" s="79"/>
      <c r="AT291" s="227"/>
      <c r="AU291" s="79">
        <f t="shared" ref="AU291:BN291" si="1002">AU289+AU287</f>
        <v>2813</v>
      </c>
      <c r="AV291" s="79">
        <f t="shared" si="1002"/>
        <v>3859</v>
      </c>
      <c r="AW291" s="79">
        <f t="shared" si="1002"/>
        <v>3418</v>
      </c>
      <c r="AX291" s="79">
        <f t="shared" si="1002"/>
        <v>6035</v>
      </c>
      <c r="AY291" s="227">
        <f t="shared" si="1002"/>
        <v>6035</v>
      </c>
      <c r="AZ291" s="79">
        <f t="shared" si="1002"/>
        <v>5299</v>
      </c>
      <c r="BA291" s="79">
        <f t="shared" si="1002"/>
        <v>5303</v>
      </c>
      <c r="BB291" s="79">
        <f t="shared" si="1002"/>
        <v>5966</v>
      </c>
      <c r="BC291" s="79">
        <f t="shared" si="1002"/>
        <v>5101</v>
      </c>
      <c r="BD291" s="227">
        <f t="shared" si="1002"/>
        <v>5101</v>
      </c>
      <c r="BE291" s="79">
        <f t="shared" si="1002"/>
        <v>5369</v>
      </c>
      <c r="BF291" s="79">
        <f t="shared" si="1002"/>
        <v>4843</v>
      </c>
      <c r="BG291" s="79">
        <f t="shared" si="1002"/>
        <v>4293</v>
      </c>
      <c r="BH291" s="79">
        <f t="shared" si="1002"/>
        <v>4019</v>
      </c>
      <c r="BI291" s="227">
        <f t="shared" si="1002"/>
        <v>4019</v>
      </c>
      <c r="BJ291" s="79">
        <f t="shared" si="1002"/>
        <v>4229</v>
      </c>
      <c r="BK291" s="79">
        <f>BK289+BK287</f>
        <v>4254</v>
      </c>
      <c r="BL291" s="79">
        <f>BL289+BL287</f>
        <v>3670</v>
      </c>
      <c r="BM291" s="79">
        <f>BM289+BM287</f>
        <v>3920</v>
      </c>
      <c r="BN291" s="342">
        <f t="shared" si="1002"/>
        <v>3920</v>
      </c>
      <c r="BO291" s="79">
        <f t="shared" ref="BO291:BV291" si="1003">BO289+BO287</f>
        <v>4245</v>
      </c>
      <c r="BP291" s="79">
        <f t="shared" si="1003"/>
        <v>3866</v>
      </c>
      <c r="BQ291" s="79">
        <f t="shared" si="1003"/>
        <v>3634</v>
      </c>
      <c r="BR291" s="79">
        <f t="shared" si="1003"/>
        <v>3749</v>
      </c>
      <c r="BS291" s="227">
        <f t="shared" si="1003"/>
        <v>3749</v>
      </c>
      <c r="BT291" s="79">
        <f t="shared" si="1003"/>
        <v>3885</v>
      </c>
      <c r="BU291" s="79">
        <f t="shared" si="1003"/>
        <v>4096</v>
      </c>
      <c r="BV291" s="79">
        <f t="shared" si="1003"/>
        <v>4190</v>
      </c>
      <c r="BW291" s="79">
        <f t="shared" ref="BW291:CC291" si="1004">BW289+BW287</f>
        <v>3925</v>
      </c>
      <c r="BX291" s="227">
        <f t="shared" si="1004"/>
        <v>3925</v>
      </c>
      <c r="BY291" s="79">
        <f>BY289+BY287</f>
        <v>3783</v>
      </c>
      <c r="BZ291" s="79">
        <f>BZ289+BZ287</f>
        <v>4202</v>
      </c>
      <c r="CA291" s="79">
        <f>CA289+CA287</f>
        <v>4511</v>
      </c>
      <c r="CB291" s="79">
        <f t="shared" si="1004"/>
        <v>3342</v>
      </c>
      <c r="CC291" s="227">
        <f t="shared" si="1004"/>
        <v>3342</v>
      </c>
      <c r="CD291" s="79">
        <f t="shared" ref="CD291:CM291" si="1005">CD289+CD287</f>
        <v>3569</v>
      </c>
      <c r="CE291" s="79">
        <f t="shared" si="1005"/>
        <v>3787</v>
      </c>
      <c r="CF291" s="79">
        <f t="shared" si="1005"/>
        <v>3811</v>
      </c>
      <c r="CG291" s="79">
        <f t="shared" si="1005"/>
        <v>3437</v>
      </c>
      <c r="CH291" s="227">
        <f t="shared" si="1005"/>
        <v>3437</v>
      </c>
      <c r="CI291" s="79">
        <f t="shared" si="1005"/>
        <v>2914</v>
      </c>
      <c r="CJ291" s="79">
        <f t="shared" si="1005"/>
        <v>2951</v>
      </c>
      <c r="CK291" s="79">
        <f t="shared" si="1005"/>
        <v>3152</v>
      </c>
      <c r="CL291" s="79">
        <f t="shared" si="1005"/>
        <v>3249</v>
      </c>
      <c r="CM291" s="227">
        <f t="shared" si="1005"/>
        <v>3249</v>
      </c>
      <c r="CN291" s="79">
        <f t="shared" ref="CN291:CR291" si="1006">CN289+CN287</f>
        <v>2650</v>
      </c>
      <c r="CO291" s="79">
        <f t="shared" si="1006"/>
        <v>2988</v>
      </c>
      <c r="CP291" s="79">
        <f t="shared" si="1006"/>
        <v>2438</v>
      </c>
      <c r="CQ291" s="79">
        <f t="shared" si="1006"/>
        <v>2639</v>
      </c>
      <c r="CR291" s="227">
        <f t="shared" si="1006"/>
        <v>2639</v>
      </c>
      <c r="CS291" s="79">
        <f t="shared" ref="CS291:CX291" si="1007">CS289+CS287</f>
        <v>2647</v>
      </c>
      <c r="CT291" s="79">
        <f t="shared" si="1007"/>
        <v>2985</v>
      </c>
      <c r="CU291" s="79">
        <f t="shared" si="1007"/>
        <v>2435</v>
      </c>
      <c r="CV291" s="79">
        <f t="shared" si="1007"/>
        <v>2636</v>
      </c>
      <c r="CW291" s="227">
        <f t="shared" si="1007"/>
        <v>2636</v>
      </c>
      <c r="CX291" s="79">
        <f t="shared" si="1007"/>
        <v>1963</v>
      </c>
      <c r="CY291" s="79">
        <f t="shared" ref="CY291:DB291" si="1008">CY289+CY287</f>
        <v>1740.2679619711396</v>
      </c>
      <c r="CZ291" s="79">
        <f t="shared" si="1008"/>
        <v>1290.20492749442</v>
      </c>
      <c r="DA291" s="657">
        <f t="shared" si="1008"/>
        <v>2131.2110239177177</v>
      </c>
      <c r="DB291" s="227">
        <f t="shared" si="1008"/>
        <v>2131.2110239177173</v>
      </c>
      <c r="DC291" s="79"/>
      <c r="DD291" s="79"/>
      <c r="DE291" s="79"/>
      <c r="DF291" s="79"/>
      <c r="DG291" s="227">
        <f>DG289+DG287</f>
        <v>1902.1541919594056</v>
      </c>
      <c r="DH291" s="79"/>
      <c r="DI291" s="79"/>
      <c r="DJ291" s="79"/>
      <c r="DK291" s="79"/>
      <c r="DL291" s="227">
        <f>DL289+DL287</f>
        <v>2237.3413017896382</v>
      </c>
      <c r="DM291" s="79"/>
      <c r="DN291" s="522"/>
      <c r="DO291" s="486"/>
      <c r="DP291" s="411"/>
      <c r="DQ291" s="411"/>
      <c r="DR291" s="411"/>
      <c r="DS291" s="480"/>
      <c r="DT291" s="480"/>
      <c r="DU291" s="857"/>
      <c r="DV291" s="478"/>
      <c r="DW291" s="478"/>
      <c r="DX291" s="472"/>
      <c r="DY291" s="472"/>
      <c r="DZ291" s="472"/>
      <c r="EA291" s="522"/>
      <c r="EH291" s="8"/>
    </row>
    <row r="292" spans="1:138" ht="12.75" customHeight="1" x14ac:dyDescent="0.2">
      <c r="A292" s="171" t="s">
        <v>109</v>
      </c>
      <c r="B292" s="881"/>
      <c r="C292" s="881"/>
      <c r="D292" s="881"/>
      <c r="E292" s="881"/>
      <c r="F292" s="905">
        <v>345</v>
      </c>
      <c r="G292" s="881"/>
      <c r="H292" s="881"/>
      <c r="I292" s="881"/>
      <c r="J292" s="881"/>
      <c r="K292" s="905">
        <v>518</v>
      </c>
      <c r="L292" s="881"/>
      <c r="M292" s="881"/>
      <c r="N292" s="881"/>
      <c r="O292" s="881"/>
      <c r="P292" s="905">
        <v>668</v>
      </c>
      <c r="Q292" s="881"/>
      <c r="R292" s="881"/>
      <c r="S292" s="881"/>
      <c r="T292" s="881"/>
      <c r="U292" s="905">
        <v>710</v>
      </c>
      <c r="V292" s="881"/>
      <c r="W292" s="881"/>
      <c r="X292" s="881"/>
      <c r="Y292" s="881"/>
      <c r="Z292" s="905">
        <v>35</v>
      </c>
      <c r="AA292" s="881"/>
      <c r="AB292" s="881"/>
      <c r="AC292" s="881"/>
      <c r="AD292" s="881"/>
      <c r="AE292" s="905">
        <v>99</v>
      </c>
      <c r="AF292" s="881">
        <v>0</v>
      </c>
      <c r="AG292" s="881">
        <v>0</v>
      </c>
      <c r="AH292" s="881">
        <v>0</v>
      </c>
      <c r="AI292" s="881">
        <v>402</v>
      </c>
      <c r="AJ292" s="248">
        <v>402</v>
      </c>
      <c r="AK292" s="881">
        <v>463</v>
      </c>
      <c r="AL292" s="881">
        <v>731</v>
      </c>
      <c r="AM292" s="881">
        <v>807</v>
      </c>
      <c r="AN292" s="881">
        <v>142</v>
      </c>
      <c r="AO292" s="248">
        <v>142</v>
      </c>
      <c r="AP292" s="881"/>
      <c r="AQ292" s="881"/>
      <c r="AR292" s="881"/>
      <c r="AS292" s="881"/>
      <c r="AT292" s="248"/>
      <c r="AU292" s="881">
        <v>154</v>
      </c>
      <c r="AV292" s="881">
        <v>196</v>
      </c>
      <c r="AW292" s="881">
        <v>99</v>
      </c>
      <c r="AX292" s="881">
        <v>401</v>
      </c>
      <c r="AY292" s="248">
        <f>AX292</f>
        <v>401</v>
      </c>
      <c r="AZ292" s="881">
        <v>332</v>
      </c>
      <c r="BA292" s="881">
        <v>316</v>
      </c>
      <c r="BB292" s="881">
        <v>291</v>
      </c>
      <c r="BC292" s="881">
        <v>107</v>
      </c>
      <c r="BD292" s="248">
        <f>BC292</f>
        <v>107</v>
      </c>
      <c r="BE292" s="881">
        <v>164</v>
      </c>
      <c r="BF292" s="881">
        <v>236</v>
      </c>
      <c r="BG292" s="881">
        <v>167</v>
      </c>
      <c r="BH292" s="881">
        <v>355</v>
      </c>
      <c r="BI292" s="248">
        <f>BH292</f>
        <v>355</v>
      </c>
      <c r="BJ292" s="881">
        <v>281</v>
      </c>
      <c r="BK292" s="881">
        <v>342</v>
      </c>
      <c r="BL292" s="881">
        <v>396</v>
      </c>
      <c r="BM292" s="881">
        <v>461</v>
      </c>
      <c r="BN292" s="350">
        <f>BM292</f>
        <v>461</v>
      </c>
      <c r="BO292" s="881">
        <v>408</v>
      </c>
      <c r="BP292" s="881">
        <v>488</v>
      </c>
      <c r="BQ292" s="881">
        <v>465</v>
      </c>
      <c r="BR292" s="881">
        <v>463</v>
      </c>
      <c r="BS292" s="248">
        <f>BR292</f>
        <v>463</v>
      </c>
      <c r="BT292" s="881">
        <v>463</v>
      </c>
      <c r="BU292" s="881">
        <v>451</v>
      </c>
      <c r="BV292" s="881">
        <v>405</v>
      </c>
      <c r="BW292" s="881">
        <v>1736</v>
      </c>
      <c r="BX292" s="248">
        <f>BW292</f>
        <v>1736</v>
      </c>
      <c r="BY292" s="881">
        <v>1764</v>
      </c>
      <c r="BZ292" s="881">
        <v>2029</v>
      </c>
      <c r="CA292" s="881">
        <v>2187</v>
      </c>
      <c r="CB292" s="881">
        <v>3275</v>
      </c>
      <c r="CC292" s="248">
        <f>CB292</f>
        <v>3275</v>
      </c>
      <c r="CD292" s="881">
        <v>3091</v>
      </c>
      <c r="CE292" s="881">
        <v>2892</v>
      </c>
      <c r="CF292" s="881">
        <v>2710</v>
      </c>
      <c r="CG292" s="881">
        <v>0</v>
      </c>
      <c r="CH292" s="248">
        <f>CG292</f>
        <v>0</v>
      </c>
      <c r="CI292" s="881">
        <v>0</v>
      </c>
      <c r="CJ292" s="881">
        <v>0</v>
      </c>
      <c r="CK292" s="881">
        <v>0</v>
      </c>
      <c r="CL292" s="881">
        <v>0</v>
      </c>
      <c r="CM292" s="248">
        <f>CL292</f>
        <v>0</v>
      </c>
      <c r="CN292" s="881">
        <v>0</v>
      </c>
      <c r="CO292" s="881">
        <v>0</v>
      </c>
      <c r="CP292" s="881">
        <v>0</v>
      </c>
      <c r="CQ292" s="881">
        <v>0</v>
      </c>
      <c r="CR292" s="248">
        <f>CQ292</f>
        <v>0</v>
      </c>
      <c r="CS292" s="881">
        <v>0</v>
      </c>
      <c r="CT292" s="881">
        <v>0</v>
      </c>
      <c r="CU292" s="881">
        <v>0</v>
      </c>
      <c r="CV292" s="881">
        <v>0</v>
      </c>
      <c r="CW292" s="248">
        <f>CV292</f>
        <v>0</v>
      </c>
      <c r="CX292" s="881">
        <v>0</v>
      </c>
      <c r="CY292" s="66">
        <f>+CX292</f>
        <v>0</v>
      </c>
      <c r="CZ292" s="66">
        <f t="shared" ref="CZ292:DA292" si="1009">+CY292</f>
        <v>0</v>
      </c>
      <c r="DA292" s="66">
        <f t="shared" si="1009"/>
        <v>0</v>
      </c>
      <c r="DB292" s="248">
        <f>DA292</f>
        <v>0</v>
      </c>
      <c r="DC292" s="66"/>
      <c r="DD292" s="66"/>
      <c r="DE292" s="66"/>
      <c r="DF292" s="66"/>
      <c r="DG292" s="248">
        <v>0</v>
      </c>
      <c r="DH292" s="66"/>
      <c r="DI292" s="66"/>
      <c r="DJ292" s="66"/>
      <c r="DK292" s="66"/>
      <c r="DL292" s="248">
        <v>0</v>
      </c>
      <c r="DM292" s="66"/>
      <c r="DN292" s="526"/>
      <c r="DO292" s="486"/>
      <c r="DP292" s="411"/>
      <c r="DQ292" s="411"/>
      <c r="DR292" s="411"/>
      <c r="DS292" s="478"/>
      <c r="DT292" s="478"/>
      <c r="DU292" s="857"/>
      <c r="DV292" s="478"/>
      <c r="DW292" s="478"/>
      <c r="DX292" s="478"/>
      <c r="DY292" s="478"/>
      <c r="DZ292" s="478"/>
      <c r="EA292" s="526"/>
      <c r="EH292" s="8"/>
    </row>
    <row r="293" spans="1:138" ht="12.75" customHeight="1" x14ac:dyDescent="0.2">
      <c r="A293" s="171" t="s">
        <v>444</v>
      </c>
      <c r="B293" s="881"/>
      <c r="C293" s="881"/>
      <c r="D293" s="881"/>
      <c r="E293" s="881"/>
      <c r="F293" s="248"/>
      <c r="G293" s="881"/>
      <c r="H293" s="881"/>
      <c r="I293" s="881"/>
      <c r="J293" s="881"/>
      <c r="K293" s="248"/>
      <c r="L293" s="881"/>
      <c r="M293" s="881"/>
      <c r="N293" s="881"/>
      <c r="O293" s="881"/>
      <c r="P293" s="248"/>
      <c r="Q293" s="881"/>
      <c r="R293" s="881"/>
      <c r="S293" s="881"/>
      <c r="T293" s="881"/>
      <c r="U293" s="248"/>
      <c r="V293" s="881"/>
      <c r="W293" s="881"/>
      <c r="X293" s="881"/>
      <c r="Y293" s="881"/>
      <c r="Z293" s="248"/>
      <c r="AA293" s="881"/>
      <c r="AB293" s="881"/>
      <c r="AC293" s="881"/>
      <c r="AD293" s="881"/>
      <c r="AE293" s="248"/>
      <c r="AF293" s="881"/>
      <c r="AG293" s="881"/>
      <c r="AH293" s="881"/>
      <c r="AI293" s="881"/>
      <c r="AJ293" s="248"/>
      <c r="AK293" s="881"/>
      <c r="AL293" s="881"/>
      <c r="AM293" s="881"/>
      <c r="AN293" s="881"/>
      <c r="AO293" s="248"/>
      <c r="AP293" s="881"/>
      <c r="AQ293" s="881"/>
      <c r="AR293" s="881"/>
      <c r="AS293" s="881"/>
      <c r="AT293" s="248"/>
      <c r="AU293" s="881"/>
      <c r="AV293" s="881"/>
      <c r="AW293" s="881"/>
      <c r="AX293" s="881"/>
      <c r="AY293" s="248"/>
      <c r="AZ293" s="881"/>
      <c r="BA293" s="881"/>
      <c r="BB293" s="881"/>
      <c r="BC293" s="881"/>
      <c r="BD293" s="248"/>
      <c r="BE293" s="881"/>
      <c r="BF293" s="881"/>
      <c r="BG293" s="881"/>
      <c r="BH293" s="881"/>
      <c r="BI293" s="248"/>
      <c r="BJ293" s="881"/>
      <c r="BK293" s="881"/>
      <c r="BL293" s="881"/>
      <c r="BM293" s="881"/>
      <c r="BN293" s="350"/>
      <c r="BO293" s="881"/>
      <c r="BP293" s="881"/>
      <c r="BQ293" s="881"/>
      <c r="BR293" s="881"/>
      <c r="BS293" s="248"/>
      <c r="BT293" s="881"/>
      <c r="BU293" s="881"/>
      <c r="BV293" s="881"/>
      <c r="BW293" s="881">
        <v>3</v>
      </c>
      <c r="BX293" s="248">
        <f>BW293</f>
        <v>3</v>
      </c>
      <c r="BY293" s="881"/>
      <c r="BZ293" s="881"/>
      <c r="CA293" s="881"/>
      <c r="CB293" s="881">
        <v>925</v>
      </c>
      <c r="CC293" s="248">
        <f>CB293</f>
        <v>925</v>
      </c>
      <c r="CD293" s="881">
        <v>383</v>
      </c>
      <c r="CE293" s="881">
        <v>134</v>
      </c>
      <c r="CF293" s="881">
        <v>381</v>
      </c>
      <c r="CG293" s="881">
        <v>119</v>
      </c>
      <c r="CH293" s="248">
        <f>CG293</f>
        <v>119</v>
      </c>
      <c r="CI293" s="881">
        <v>454</v>
      </c>
      <c r="CJ293" s="881">
        <v>0</v>
      </c>
      <c r="CK293" s="881">
        <v>0</v>
      </c>
      <c r="CL293" s="881">
        <v>0</v>
      </c>
      <c r="CM293" s="248">
        <f>CL293</f>
        <v>0</v>
      </c>
      <c r="CN293" s="881">
        <v>0</v>
      </c>
      <c r="CO293" s="881">
        <v>0</v>
      </c>
      <c r="CP293" s="881">
        <v>0</v>
      </c>
      <c r="CQ293" s="881">
        <v>0</v>
      </c>
      <c r="CR293" s="248">
        <f>CQ293</f>
        <v>0</v>
      </c>
      <c r="CS293" s="881">
        <v>0</v>
      </c>
      <c r="CT293" s="881">
        <v>0</v>
      </c>
      <c r="CU293" s="881">
        <v>0</v>
      </c>
      <c r="CV293" s="881">
        <v>0</v>
      </c>
      <c r="CW293" s="248">
        <f>CV293</f>
        <v>0</v>
      </c>
      <c r="CX293" s="881">
        <v>0</v>
      </c>
      <c r="CY293" s="66">
        <v>0</v>
      </c>
      <c r="CZ293" s="66">
        <v>0</v>
      </c>
      <c r="DA293" s="66">
        <v>0</v>
      </c>
      <c r="DB293" s="248">
        <f>DA293</f>
        <v>0</v>
      </c>
      <c r="DC293" s="66"/>
      <c r="DD293" s="66"/>
      <c r="DE293" s="66"/>
      <c r="DF293" s="66"/>
      <c r="DG293" s="248">
        <f>DB293</f>
        <v>0</v>
      </c>
      <c r="DH293" s="66"/>
      <c r="DI293" s="66"/>
      <c r="DJ293" s="66"/>
      <c r="DK293" s="66"/>
      <c r="DL293" s="248">
        <f>DG293</f>
        <v>0</v>
      </c>
      <c r="DM293" s="66"/>
      <c r="DN293" s="526"/>
      <c r="DO293" s="486"/>
      <c r="DP293" s="411"/>
      <c r="DQ293" s="411"/>
      <c r="DR293" s="411"/>
      <c r="DS293" s="478"/>
      <c r="DT293" s="478"/>
      <c r="DU293" s="857"/>
      <c r="DV293" s="478"/>
      <c r="DW293" s="478"/>
      <c r="DX293" s="478"/>
      <c r="DY293" s="478"/>
      <c r="DZ293" s="478"/>
      <c r="EA293" s="526"/>
      <c r="EH293" s="8"/>
    </row>
    <row r="294" spans="1:138" ht="12.75" customHeight="1" x14ac:dyDescent="0.2">
      <c r="A294" s="172" t="s">
        <v>110</v>
      </c>
      <c r="B294" s="79"/>
      <c r="C294" s="79"/>
      <c r="D294" s="79"/>
      <c r="E294" s="79"/>
      <c r="F294" s="227">
        <f>F296-F292-F291</f>
        <v>1496</v>
      </c>
      <c r="G294" s="79"/>
      <c r="H294" s="79"/>
      <c r="I294" s="79"/>
      <c r="J294" s="79"/>
      <c r="K294" s="227">
        <f t="shared" ref="K294:BC294" si="1010">K296-K292-K291</f>
        <v>816</v>
      </c>
      <c r="L294" s="79"/>
      <c r="M294" s="79"/>
      <c r="N294" s="79"/>
      <c r="O294" s="79"/>
      <c r="P294" s="227">
        <f t="shared" si="1010"/>
        <v>1242</v>
      </c>
      <c r="Q294" s="79"/>
      <c r="R294" s="79"/>
      <c r="S294" s="79"/>
      <c r="T294" s="79"/>
      <c r="U294" s="227">
        <f t="shared" si="1010"/>
        <v>1835</v>
      </c>
      <c r="V294" s="79"/>
      <c r="W294" s="79"/>
      <c r="X294" s="79"/>
      <c r="Y294" s="79"/>
      <c r="Z294" s="227">
        <f t="shared" si="1010"/>
        <v>2108</v>
      </c>
      <c r="AA294" s="79"/>
      <c r="AB294" s="79"/>
      <c r="AC294" s="79"/>
      <c r="AD294" s="79"/>
      <c r="AE294" s="227">
        <f t="shared" si="1010"/>
        <v>1503</v>
      </c>
      <c r="AF294" s="79">
        <f t="shared" si="1010"/>
        <v>1745</v>
      </c>
      <c r="AG294" s="79">
        <f t="shared" si="1010"/>
        <v>1961</v>
      </c>
      <c r="AH294" s="79">
        <f t="shared" si="1010"/>
        <v>2052</v>
      </c>
      <c r="AI294" s="79">
        <f t="shared" si="1010"/>
        <v>1585</v>
      </c>
      <c r="AJ294" s="227">
        <f t="shared" si="1010"/>
        <v>1585</v>
      </c>
      <c r="AK294" s="79">
        <f t="shared" si="1010"/>
        <v>1742</v>
      </c>
      <c r="AL294" s="79">
        <f t="shared" si="1010"/>
        <v>1806</v>
      </c>
      <c r="AM294" s="79">
        <f t="shared" si="1010"/>
        <v>1869</v>
      </c>
      <c r="AN294" s="79">
        <f t="shared" si="1010"/>
        <v>1792</v>
      </c>
      <c r="AO294" s="227">
        <f t="shared" si="1010"/>
        <v>1792</v>
      </c>
      <c r="AP294" s="79">
        <f t="shared" si="1010"/>
        <v>0</v>
      </c>
      <c r="AQ294" s="79">
        <f t="shared" si="1010"/>
        <v>0</v>
      </c>
      <c r="AR294" s="79">
        <f t="shared" si="1010"/>
        <v>0</v>
      </c>
      <c r="AS294" s="79">
        <f t="shared" si="1010"/>
        <v>0</v>
      </c>
      <c r="AT294" s="227">
        <f t="shared" si="1010"/>
        <v>0</v>
      </c>
      <c r="AU294" s="79">
        <f t="shared" si="1010"/>
        <v>2362</v>
      </c>
      <c r="AV294" s="79">
        <f t="shared" si="1010"/>
        <v>3112</v>
      </c>
      <c r="AW294" s="79">
        <f t="shared" si="1010"/>
        <v>1971</v>
      </c>
      <c r="AX294" s="79">
        <f t="shared" si="1010"/>
        <v>2468</v>
      </c>
      <c r="AY294" s="227">
        <f t="shared" si="1010"/>
        <v>2468</v>
      </c>
      <c r="AZ294" s="79">
        <f t="shared" si="1010"/>
        <v>2426</v>
      </c>
      <c r="BA294" s="79">
        <f t="shared" si="1010"/>
        <v>2680</v>
      </c>
      <c r="BB294" s="79">
        <f t="shared" si="1010"/>
        <v>2605</v>
      </c>
      <c r="BC294" s="79">
        <f t="shared" si="1010"/>
        <v>2533</v>
      </c>
      <c r="BD294" s="227">
        <f>BC294</f>
        <v>2533</v>
      </c>
      <c r="BE294" s="79">
        <f>BE296-BE292-BE291</f>
        <v>2828</v>
      </c>
      <c r="BF294" s="79">
        <f>BF296-BF292-BF291</f>
        <v>2789</v>
      </c>
      <c r="BG294" s="79">
        <f>BG296-BG292-BG291</f>
        <v>2861</v>
      </c>
      <c r="BH294" s="79">
        <f>BH296-BH292-BH291</f>
        <v>2933</v>
      </c>
      <c r="BI294" s="227">
        <f>BH294</f>
        <v>2933</v>
      </c>
      <c r="BJ294" s="79">
        <f>BJ296-BJ292-BJ291</f>
        <v>3483</v>
      </c>
      <c r="BK294" s="79">
        <f>BK296-BK292-BK291</f>
        <v>3467</v>
      </c>
      <c r="BL294" s="79">
        <f>BL296-BL292-BL291</f>
        <v>3263</v>
      </c>
      <c r="BM294" s="79">
        <f>BM296-BM292-BM291</f>
        <v>3348</v>
      </c>
      <c r="BN294" s="342">
        <f>BM294</f>
        <v>3348</v>
      </c>
      <c r="BO294" s="79">
        <f>BO296-BO292-BO291</f>
        <v>3646</v>
      </c>
      <c r="BP294" s="79">
        <f>BP296-BP292-BP291</f>
        <v>4103</v>
      </c>
      <c r="BQ294" s="79">
        <f>BQ296-BQ292-BQ291</f>
        <v>4064</v>
      </c>
      <c r="BR294" s="79">
        <f>BR296-BR292-BR291</f>
        <v>4060</v>
      </c>
      <c r="BS294" s="227">
        <f>BR294</f>
        <v>4060</v>
      </c>
      <c r="BT294" s="79">
        <f>BT296-BT292-BT291-BT293</f>
        <v>4293</v>
      </c>
      <c r="BU294" s="79">
        <f>BU296-BU292-BU291-BU293</f>
        <v>4348</v>
      </c>
      <c r="BV294" s="79">
        <f>BV296-BV292-BV291-BV293</f>
        <v>4356</v>
      </c>
      <c r="BW294" s="79">
        <f>BW296-BW292-BW291-BW293</f>
        <v>3987</v>
      </c>
      <c r="BX294" s="227">
        <f>BW294</f>
        <v>3987</v>
      </c>
      <c r="BY294" s="79">
        <f>BY296-BY292-BY291-BY293</f>
        <v>4199</v>
      </c>
      <c r="BZ294" s="79">
        <f>BZ296-BZ292-BZ291-BZ293</f>
        <v>4286</v>
      </c>
      <c r="CA294" s="79">
        <f>CA296-CA292-CA291-CA293</f>
        <v>4297</v>
      </c>
      <c r="CB294" s="79">
        <f>CB296-CB292-CB291-CB293</f>
        <v>4923</v>
      </c>
      <c r="CC294" s="227">
        <f>CB294</f>
        <v>4923</v>
      </c>
      <c r="CD294" s="79">
        <f>CD296-CD292-CD291-CD293</f>
        <v>5223</v>
      </c>
      <c r="CE294" s="79">
        <f>CE296-CE292-CE291-CE293</f>
        <v>4628</v>
      </c>
      <c r="CF294" s="79">
        <f>CF296-CF292-CF291-CF293</f>
        <v>5071</v>
      </c>
      <c r="CG294" s="79">
        <f>CG296-CG292-CG291-CG293</f>
        <v>5500</v>
      </c>
      <c r="CH294" s="227">
        <f>CG294</f>
        <v>5500</v>
      </c>
      <c r="CI294" s="79">
        <f>CI296-CI292-CI291-CI293</f>
        <v>5938</v>
      </c>
      <c r="CJ294" s="79">
        <f>CJ296-CJ292-CJ291-CJ293</f>
        <v>4687</v>
      </c>
      <c r="CK294" s="79">
        <f>CK296-CK292-CK291-CK293</f>
        <v>4177</v>
      </c>
      <c r="CL294" s="79">
        <f>CL296-CL292-CL291-CL293</f>
        <v>4202</v>
      </c>
      <c r="CM294" s="227">
        <f>CL294</f>
        <v>4202</v>
      </c>
      <c r="CN294" s="79">
        <f>CN296-CN292-CN291-CN293</f>
        <v>4230</v>
      </c>
      <c r="CO294" s="79">
        <f>CO296-CO292-CO291-CO293</f>
        <v>4189</v>
      </c>
      <c r="CP294" s="79">
        <f>CP296-CP292-CP291-CP293</f>
        <v>4645</v>
      </c>
      <c r="CQ294" s="79">
        <f>CQ296-CQ292-CQ291-CQ293</f>
        <v>5205</v>
      </c>
      <c r="CR294" s="227">
        <f>CQ294</f>
        <v>5205</v>
      </c>
      <c r="CS294" s="79">
        <f>CS296-CS292-CS291-CS293</f>
        <v>4233</v>
      </c>
      <c r="CT294" s="79">
        <f>CT296-CT292-CT291-CT293</f>
        <v>4192</v>
      </c>
      <c r="CU294" s="79">
        <f>CU296-CU292-CU291-CU293</f>
        <v>4648</v>
      </c>
      <c r="CV294" s="79">
        <f>CV296-CV292-CV291-CV293</f>
        <v>5208</v>
      </c>
      <c r="CW294" s="227">
        <f>CV294</f>
        <v>5208</v>
      </c>
      <c r="CX294" s="79">
        <f>CX296-CX292-CX291-CX293</f>
        <v>5761</v>
      </c>
      <c r="CY294" s="79">
        <f t="shared" ref="CY294:DA294" si="1011">CY295*CY220</f>
        <v>4388.7854334167823</v>
      </c>
      <c r="CZ294" s="79">
        <f t="shared" si="1011"/>
        <v>4746.5105745367082</v>
      </c>
      <c r="DA294" s="657">
        <f t="shared" si="1011"/>
        <v>5191.4148096577183</v>
      </c>
      <c r="DB294" s="227">
        <f>DA294</f>
        <v>5191.4148096577183</v>
      </c>
      <c r="DC294" s="79"/>
      <c r="DD294" s="79"/>
      <c r="DE294" s="79"/>
      <c r="DF294" s="79"/>
      <c r="DG294" s="227">
        <f>DG295*DG220</f>
        <v>5402.2632378469898</v>
      </c>
      <c r="DH294" s="79"/>
      <c r="DI294" s="79"/>
      <c r="DJ294" s="79"/>
      <c r="DK294" s="79"/>
      <c r="DL294" s="227">
        <f>DL295*DL220</f>
        <v>5614.9851123807639</v>
      </c>
      <c r="DM294" s="79"/>
      <c r="DN294" s="522"/>
      <c r="DO294" s="486"/>
      <c r="DP294" s="411"/>
      <c r="DQ294" s="411"/>
      <c r="DR294" s="411"/>
      <c r="DS294" s="478"/>
      <c r="DT294" s="478"/>
      <c r="DU294" s="857"/>
      <c r="DV294" s="478"/>
      <c r="DW294" s="478"/>
      <c r="DX294" s="472"/>
      <c r="DY294" s="472"/>
      <c r="DZ294" s="472"/>
      <c r="EA294" s="522"/>
      <c r="EH294" s="8"/>
    </row>
    <row r="295" spans="1:138" ht="12.75" customHeight="1" x14ac:dyDescent="0.2">
      <c r="A295" s="115" t="s">
        <v>242</v>
      </c>
      <c r="B295" s="19"/>
      <c r="C295" s="19"/>
      <c r="D295" s="19"/>
      <c r="E295" s="19"/>
      <c r="F295" s="199">
        <f>F294/F220</f>
        <v>0.11450440107156525</v>
      </c>
      <c r="G295" s="19"/>
      <c r="H295" s="19"/>
      <c r="I295" s="19"/>
      <c r="J295" s="19"/>
      <c r="K295" s="199">
        <f>K294/K220</f>
        <v>6.191668563623947E-2</v>
      </c>
      <c r="L295" s="19"/>
      <c r="M295" s="19"/>
      <c r="N295" s="19"/>
      <c r="O295" s="19"/>
      <c r="P295" s="199">
        <f>P294/P220</f>
        <v>9.9153760178828043E-2</v>
      </c>
      <c r="Q295" s="19"/>
      <c r="R295" s="19"/>
      <c r="S295" s="19"/>
      <c r="T295" s="19"/>
      <c r="U295" s="199">
        <f>U294/U220</f>
        <v>0.14950301450219977</v>
      </c>
      <c r="V295" s="19"/>
      <c r="W295" s="19"/>
      <c r="X295" s="19"/>
      <c r="Y295" s="19"/>
      <c r="Z295" s="199">
        <f>Z294/Z220</f>
        <v>0.15291984040623866</v>
      </c>
      <c r="AA295" s="19"/>
      <c r="AB295" s="19"/>
      <c r="AC295" s="19"/>
      <c r="AD295" s="19"/>
      <c r="AE295" s="199">
        <f t="shared" ref="AE295:AO295" si="1012">AE294/AE220</f>
        <v>0.11532264252282667</v>
      </c>
      <c r="AF295" s="19">
        <f t="shared" si="1012"/>
        <v>0.13255849285931329</v>
      </c>
      <c r="AG295" s="19">
        <f t="shared" si="1012"/>
        <v>0.14822373393801966</v>
      </c>
      <c r="AH295" s="19">
        <f t="shared" si="1012"/>
        <v>0.15348941581270104</v>
      </c>
      <c r="AI295" s="19">
        <f t="shared" si="1012"/>
        <v>0.12153975922091864</v>
      </c>
      <c r="AJ295" s="199">
        <f t="shared" si="1012"/>
        <v>0.12153975922091864</v>
      </c>
      <c r="AK295" s="19">
        <f t="shared" si="1012"/>
        <v>0.13546932109806362</v>
      </c>
      <c r="AL295" s="19">
        <f t="shared" si="1012"/>
        <v>0.13883763837638377</v>
      </c>
      <c r="AM295" s="19">
        <f t="shared" si="1012"/>
        <v>0.14153729647860658</v>
      </c>
      <c r="AN295" s="19">
        <f t="shared" si="1012"/>
        <v>0.13423220973782771</v>
      </c>
      <c r="AO295" s="199">
        <f t="shared" si="1012"/>
        <v>0.13423220973782771</v>
      </c>
      <c r="AP295" s="19"/>
      <c r="AQ295" s="19"/>
      <c r="AR295" s="19"/>
      <c r="AS295" s="19"/>
      <c r="AT295" s="199"/>
      <c r="AU295" s="19">
        <f t="shared" ref="AU295:CF295" si="1013">AU294/AU220</f>
        <v>0.14918208804395883</v>
      </c>
      <c r="AV295" s="19">
        <f t="shared" si="1013"/>
        <v>0.20943535904165825</v>
      </c>
      <c r="AW295" s="19">
        <f t="shared" si="1013"/>
        <v>9.6845518867924529E-2</v>
      </c>
      <c r="AX295" s="19">
        <f t="shared" si="1013"/>
        <v>0.1112012255564567</v>
      </c>
      <c r="AY295" s="199">
        <f t="shared" si="1013"/>
        <v>0.1112012255564567</v>
      </c>
      <c r="AZ295" s="19">
        <f t="shared" si="1013"/>
        <v>0.11155048740114033</v>
      </c>
      <c r="BA295" s="19">
        <f t="shared" si="1013"/>
        <v>0.12675590029797096</v>
      </c>
      <c r="BB295" s="19">
        <f t="shared" si="1013"/>
        <v>0.12558453454177312</v>
      </c>
      <c r="BC295" s="19">
        <f t="shared" si="1013"/>
        <v>0.12298504563993008</v>
      </c>
      <c r="BD295" s="199">
        <f t="shared" si="1013"/>
        <v>0.12298504563993008</v>
      </c>
      <c r="BE295" s="19">
        <f t="shared" si="1013"/>
        <v>0.13819390148553556</v>
      </c>
      <c r="BF295" s="19">
        <f t="shared" si="1013"/>
        <v>0.13532922509583192</v>
      </c>
      <c r="BG295" s="19">
        <f t="shared" si="1013"/>
        <v>0.13585640343796002</v>
      </c>
      <c r="BH295" s="19">
        <f t="shared" si="1013"/>
        <v>0.13645668558667534</v>
      </c>
      <c r="BI295" s="199">
        <f t="shared" si="1013"/>
        <v>0.13645668558667534</v>
      </c>
      <c r="BJ295" s="19">
        <f t="shared" si="1013"/>
        <v>0.15748067097707646</v>
      </c>
      <c r="BK295" s="19">
        <f t="shared" si="1013"/>
        <v>0.15267747049497973</v>
      </c>
      <c r="BL295" s="19">
        <f t="shared" si="1013"/>
        <v>0.1414881623449831</v>
      </c>
      <c r="BM295" s="19">
        <f t="shared" si="1013"/>
        <v>0.14450966850828728</v>
      </c>
      <c r="BN295" s="341">
        <f t="shared" si="1013"/>
        <v>0.14450966850828728</v>
      </c>
      <c r="BO295" s="19">
        <f t="shared" si="1013"/>
        <v>0.15640013726835963</v>
      </c>
      <c r="BP295" s="19">
        <f t="shared" si="1013"/>
        <v>0.17424725018049009</v>
      </c>
      <c r="BQ295" s="19">
        <f t="shared" si="1013"/>
        <v>0.17133220910623945</v>
      </c>
      <c r="BR295" s="19">
        <f t="shared" si="1013"/>
        <v>0.16992424559494412</v>
      </c>
      <c r="BS295" s="199">
        <f t="shared" si="1013"/>
        <v>0.16992424559494412</v>
      </c>
      <c r="BT295" s="19">
        <f t="shared" si="1013"/>
        <v>0.17909887359198998</v>
      </c>
      <c r="BU295" s="19">
        <f t="shared" si="1013"/>
        <v>0.18091037696596488</v>
      </c>
      <c r="BV295" s="19">
        <f t="shared" si="1013"/>
        <v>0.1791192072042436</v>
      </c>
      <c r="BW295" s="19">
        <f t="shared" si="1013"/>
        <v>0.1622446488158216</v>
      </c>
      <c r="BX295" s="199">
        <f t="shared" si="1013"/>
        <v>0.1622446488158216</v>
      </c>
      <c r="BY295" s="19">
        <f t="shared" si="1013"/>
        <v>0.16994495709891533</v>
      </c>
      <c r="BZ295" s="19">
        <f t="shared" si="1013"/>
        <v>0.17060743571371706</v>
      </c>
      <c r="CA295" s="19">
        <f t="shared" si="1013"/>
        <v>0.16908668791563372</v>
      </c>
      <c r="CB295" s="19">
        <f t="shared" si="1013"/>
        <v>0.19102126338662115</v>
      </c>
      <c r="CC295" s="199">
        <f t="shared" si="1013"/>
        <v>0.19102126338662115</v>
      </c>
      <c r="CD295" s="19">
        <f t="shared" si="1013"/>
        <v>0.20169138090824837</v>
      </c>
      <c r="CE295" s="19">
        <f t="shared" si="1013"/>
        <v>0.1775288657025586</v>
      </c>
      <c r="CF295" s="19">
        <f t="shared" si="1013"/>
        <v>0.19264521521103217</v>
      </c>
      <c r="CG295" s="19">
        <f>+CB295</f>
        <v>0.19102126338662115</v>
      </c>
      <c r="CH295" s="199">
        <f t="shared" ref="CH295:CQ295" si="1014">CH294/CH220</f>
        <v>0.20894274968658588</v>
      </c>
      <c r="CI295" s="19">
        <f t="shared" si="1014"/>
        <v>0.22271397494561548</v>
      </c>
      <c r="CJ295" s="19">
        <f t="shared" si="1014"/>
        <v>0.17549706069569776</v>
      </c>
      <c r="CK295" s="19">
        <f t="shared" si="1014"/>
        <v>0.15630145187846131</v>
      </c>
      <c r="CL295" s="19">
        <f t="shared" si="1014"/>
        <v>0.15250054438557015</v>
      </c>
      <c r="CM295" s="199">
        <f t="shared" si="1014"/>
        <v>0.15250054438557015</v>
      </c>
      <c r="CN295" s="19">
        <f t="shared" si="1014"/>
        <v>0.1514771709937332</v>
      </c>
      <c r="CO295" s="19">
        <f t="shared" si="1014"/>
        <v>0.14727183237238081</v>
      </c>
      <c r="CP295" s="19">
        <f t="shared" si="1014"/>
        <v>0.15987471604598333</v>
      </c>
      <c r="CQ295" s="19">
        <f t="shared" si="1014"/>
        <v>0.17705286073882576</v>
      </c>
      <c r="CR295" s="199">
        <f>CR294/CR220</f>
        <v>0.17705286073882576</v>
      </c>
      <c r="CS295" s="19">
        <f t="shared" ref="CS295:CV295" si="1015">CS294/CS220</f>
        <v>0.14503529089289385</v>
      </c>
      <c r="CT295" s="19">
        <f t="shared" si="1015"/>
        <v>0.14487758379856652</v>
      </c>
      <c r="CU295" s="19">
        <f t="shared" si="1015"/>
        <v>0.16232750031393328</v>
      </c>
      <c r="CV295" s="19">
        <f t="shared" si="1015"/>
        <v>0.18484323519047216</v>
      </c>
      <c r="CW295" s="199">
        <f>CW294/CW220</f>
        <v>0.18484323519047216</v>
      </c>
      <c r="CX295" s="19">
        <f t="shared" ref="CX295" si="1016">CX294/CX220</f>
        <v>0.19443788180498836</v>
      </c>
      <c r="CY295" s="447">
        <f>+CO295</f>
        <v>0.14727183237238081</v>
      </c>
      <c r="CZ295" s="447">
        <f>+CP295</f>
        <v>0.15987471604598333</v>
      </c>
      <c r="DA295" s="447">
        <f>+CQ295</f>
        <v>0.17705286073882576</v>
      </c>
      <c r="DB295" s="199">
        <f>DB294/DB220</f>
        <v>0.17705286073882576</v>
      </c>
      <c r="DC295" s="116"/>
      <c r="DD295" s="116"/>
      <c r="DE295" s="116"/>
      <c r="DF295" s="116"/>
      <c r="DG295" s="451">
        <f>DB295</f>
        <v>0.17705286073882576</v>
      </c>
      <c r="DH295" s="116"/>
      <c r="DI295" s="116"/>
      <c r="DJ295" s="116"/>
      <c r="DK295" s="116"/>
      <c r="DL295" s="451">
        <f>DG295</f>
        <v>0.17705286073882576</v>
      </c>
      <c r="DM295" s="19"/>
      <c r="DN295" s="527"/>
      <c r="DO295" s="486"/>
      <c r="DP295" s="411"/>
      <c r="DQ295" s="411"/>
      <c r="DR295" s="411"/>
      <c r="DS295" s="478"/>
      <c r="DT295" s="478"/>
      <c r="DU295" s="857"/>
      <c r="DV295" s="478"/>
      <c r="DW295" s="478"/>
      <c r="DX295" s="460"/>
      <c r="DY295" s="460"/>
      <c r="DZ295" s="460"/>
      <c r="EA295" s="527"/>
      <c r="EH295" s="8"/>
    </row>
    <row r="296" spans="1:138" ht="12.75" customHeight="1" x14ac:dyDescent="0.2">
      <c r="A296" s="117" t="s">
        <v>158</v>
      </c>
      <c r="B296" s="884"/>
      <c r="C296" s="884"/>
      <c r="D296" s="884"/>
      <c r="E296" s="884"/>
      <c r="F296" s="908">
        <v>3205</v>
      </c>
      <c r="G296" s="884"/>
      <c r="H296" s="884"/>
      <c r="I296" s="884"/>
      <c r="J296" s="884"/>
      <c r="K296" s="908">
        <v>3567</v>
      </c>
      <c r="L296" s="884"/>
      <c r="M296" s="884"/>
      <c r="N296" s="884"/>
      <c r="O296" s="884"/>
      <c r="P296" s="908">
        <v>3902</v>
      </c>
      <c r="Q296" s="884"/>
      <c r="R296" s="884"/>
      <c r="S296" s="884"/>
      <c r="T296" s="884"/>
      <c r="U296" s="908">
        <v>4967</v>
      </c>
      <c r="V296" s="884"/>
      <c r="W296" s="884"/>
      <c r="X296" s="884"/>
      <c r="Y296" s="884"/>
      <c r="Z296" s="908">
        <v>3606</v>
      </c>
      <c r="AA296" s="884"/>
      <c r="AB296" s="884"/>
      <c r="AC296" s="884"/>
      <c r="AD296" s="884"/>
      <c r="AE296" s="908">
        <v>4480</v>
      </c>
      <c r="AF296" s="884">
        <v>5107</v>
      </c>
      <c r="AG296" s="884">
        <v>5902</v>
      </c>
      <c r="AH296" s="884">
        <v>5881</v>
      </c>
      <c r="AI296" s="884">
        <v>5385</v>
      </c>
      <c r="AJ296" s="255">
        <v>5385</v>
      </c>
      <c r="AK296" s="884">
        <v>6134</v>
      </c>
      <c r="AL296" s="884">
        <v>6249</v>
      </c>
      <c r="AM296" s="884">
        <v>5645</v>
      </c>
      <c r="AN296" s="884">
        <v>5240</v>
      </c>
      <c r="AO296" s="255">
        <v>5240</v>
      </c>
      <c r="AP296" s="884"/>
      <c r="AQ296" s="884"/>
      <c r="AR296" s="884"/>
      <c r="AS296" s="884"/>
      <c r="AT296" s="255"/>
      <c r="AU296" s="884">
        <v>5329</v>
      </c>
      <c r="AV296" s="884">
        <v>7167</v>
      </c>
      <c r="AW296" s="884">
        <v>5488</v>
      </c>
      <c r="AX296" s="884">
        <v>8904</v>
      </c>
      <c r="AY296" s="255">
        <f>AX296</f>
        <v>8904</v>
      </c>
      <c r="AZ296" s="884">
        <v>8057</v>
      </c>
      <c r="BA296" s="884">
        <v>8299</v>
      </c>
      <c r="BB296" s="884">
        <v>8862</v>
      </c>
      <c r="BC296" s="884">
        <v>7741</v>
      </c>
      <c r="BD296" s="255">
        <f>BD294+BD292+BD291</f>
        <v>7741</v>
      </c>
      <c r="BE296" s="884">
        <v>8361</v>
      </c>
      <c r="BF296" s="884">
        <v>7868</v>
      </c>
      <c r="BG296" s="884">
        <v>7321</v>
      </c>
      <c r="BH296" s="884">
        <v>7307</v>
      </c>
      <c r="BI296" s="255">
        <f>BI294+BI292+BI291</f>
        <v>7307</v>
      </c>
      <c r="BJ296" s="884">
        <v>7993</v>
      </c>
      <c r="BK296" s="884">
        <v>8063</v>
      </c>
      <c r="BL296" s="884">
        <v>7329</v>
      </c>
      <c r="BM296" s="884">
        <v>7729</v>
      </c>
      <c r="BN296" s="371">
        <f>BM296</f>
        <v>7729</v>
      </c>
      <c r="BO296" s="884">
        <v>8299</v>
      </c>
      <c r="BP296" s="884">
        <v>8457</v>
      </c>
      <c r="BQ296" s="884">
        <v>8163</v>
      </c>
      <c r="BR296" s="884">
        <v>8272</v>
      </c>
      <c r="BS296" s="255">
        <f>BR296</f>
        <v>8272</v>
      </c>
      <c r="BT296" s="884">
        <v>8641</v>
      </c>
      <c r="BU296" s="884">
        <v>8895</v>
      </c>
      <c r="BV296" s="884">
        <v>8951</v>
      </c>
      <c r="BW296" s="884">
        <v>9651</v>
      </c>
      <c r="BX296" s="255">
        <f>BW296</f>
        <v>9651</v>
      </c>
      <c r="BY296" s="884">
        <v>9746</v>
      </c>
      <c r="BZ296" s="884">
        <v>10517</v>
      </c>
      <c r="CA296" s="884">
        <v>10995</v>
      </c>
      <c r="CB296" s="884">
        <v>12465</v>
      </c>
      <c r="CC296" s="255">
        <f>CB296</f>
        <v>12465</v>
      </c>
      <c r="CD296" s="884">
        <v>12266</v>
      </c>
      <c r="CE296" s="884">
        <v>11441</v>
      </c>
      <c r="CF296" s="884">
        <v>11973</v>
      </c>
      <c r="CG296" s="884">
        <v>9056</v>
      </c>
      <c r="CH296" s="255">
        <f t="shared" ref="CH296:CM296" si="1017">CH294+CH292+CH291+CH293</f>
        <v>9056</v>
      </c>
      <c r="CI296" s="884">
        <v>9306</v>
      </c>
      <c r="CJ296" s="884">
        <v>7638</v>
      </c>
      <c r="CK296" s="884">
        <v>7329</v>
      </c>
      <c r="CL296" s="884">
        <v>7451</v>
      </c>
      <c r="CM296" s="255">
        <f t="shared" si="1017"/>
        <v>7451</v>
      </c>
      <c r="CN296" s="884">
        <v>6880</v>
      </c>
      <c r="CO296" s="884">
        <v>7177</v>
      </c>
      <c r="CP296" s="884">
        <v>7083</v>
      </c>
      <c r="CQ296" s="884">
        <v>7844</v>
      </c>
      <c r="CR296" s="255">
        <f t="shared" ref="CR296" si="1018">CR294+CR292+CR291+CR293</f>
        <v>7844</v>
      </c>
      <c r="CS296" s="884">
        <v>6880</v>
      </c>
      <c r="CT296" s="884">
        <v>7177</v>
      </c>
      <c r="CU296" s="884">
        <v>7083</v>
      </c>
      <c r="CV296" s="884">
        <v>7844</v>
      </c>
      <c r="CW296" s="255">
        <f t="shared" ref="CW296" si="1019">CW294+CW292+CW291+CW293</f>
        <v>7844</v>
      </c>
      <c r="CX296" s="884">
        <v>7724</v>
      </c>
      <c r="CY296" s="117">
        <f t="shared" ref="CY296:DB296" si="1020">CY294+CY292+CY291+CY293</f>
        <v>6129.0533953879221</v>
      </c>
      <c r="CZ296" s="117">
        <f t="shared" si="1020"/>
        <v>6036.7155020311284</v>
      </c>
      <c r="DA296" s="443">
        <f t="shared" si="1020"/>
        <v>7322.6258335754355</v>
      </c>
      <c r="DB296" s="255">
        <f t="shared" si="1020"/>
        <v>7322.6258335754355</v>
      </c>
      <c r="DC296" s="117"/>
      <c r="DD296" s="117"/>
      <c r="DE296" s="117"/>
      <c r="DF296" s="117"/>
      <c r="DG296" s="255">
        <f t="shared" ref="DG296" si="1021">DG294+DG292+DG291+DG293</f>
        <v>7304.4174298063954</v>
      </c>
      <c r="DH296" s="117">
        <f t="shared" ref="DH296:DL296" si="1022">DH294+DH292+DH291+DH293</f>
        <v>0</v>
      </c>
      <c r="DI296" s="117">
        <f t="shared" si="1022"/>
        <v>0</v>
      </c>
      <c r="DJ296" s="117">
        <f t="shared" si="1022"/>
        <v>0</v>
      </c>
      <c r="DK296" s="117">
        <f t="shared" si="1022"/>
        <v>0</v>
      </c>
      <c r="DL296" s="443">
        <f t="shared" si="1022"/>
        <v>7852.3264141704021</v>
      </c>
      <c r="DM296" s="79"/>
      <c r="DN296" s="522"/>
      <c r="DO296" s="486"/>
      <c r="DP296" s="411"/>
      <c r="DQ296" s="411"/>
      <c r="DR296" s="411"/>
      <c r="DS296" s="480"/>
      <c r="DT296" s="480"/>
      <c r="DU296" s="857"/>
      <c r="DV296" s="478"/>
      <c r="DW296" s="478"/>
      <c r="DX296" s="472"/>
      <c r="DY296" s="472"/>
      <c r="DZ296" s="472"/>
      <c r="EA296" s="522"/>
      <c r="EH296" s="8"/>
    </row>
    <row r="297" spans="1:138" ht="12.75" customHeight="1" x14ac:dyDescent="0.2">
      <c r="A297" s="173" t="s">
        <v>435</v>
      </c>
      <c r="B297" s="174"/>
      <c r="C297" s="174"/>
      <c r="D297" s="174"/>
      <c r="E297" s="174"/>
      <c r="F297" s="256">
        <f t="shared" ref="F297:AK297" si="1023">F294+F289</f>
        <v>1496</v>
      </c>
      <c r="G297" s="174"/>
      <c r="H297" s="174"/>
      <c r="I297" s="174"/>
      <c r="J297" s="174"/>
      <c r="K297" s="256">
        <f t="shared" si="1023"/>
        <v>816</v>
      </c>
      <c r="L297" s="174"/>
      <c r="M297" s="174"/>
      <c r="N297" s="174"/>
      <c r="O297" s="174"/>
      <c r="P297" s="256">
        <f t="shared" si="1023"/>
        <v>1242</v>
      </c>
      <c r="Q297" s="174"/>
      <c r="R297" s="174"/>
      <c r="S297" s="174"/>
      <c r="T297" s="174"/>
      <c r="U297" s="256">
        <f t="shared" si="1023"/>
        <v>1835</v>
      </c>
      <c r="V297" s="174"/>
      <c r="W297" s="174"/>
      <c r="X297" s="174"/>
      <c r="Y297" s="174"/>
      <c r="Z297" s="256">
        <f t="shared" si="1023"/>
        <v>2108</v>
      </c>
      <c r="AA297" s="174"/>
      <c r="AB297" s="174"/>
      <c r="AC297" s="174"/>
      <c r="AD297" s="174"/>
      <c r="AE297" s="256">
        <f t="shared" si="1023"/>
        <v>2373</v>
      </c>
      <c r="AF297" s="174">
        <f t="shared" si="1023"/>
        <v>2678</v>
      </c>
      <c r="AG297" s="174">
        <f t="shared" si="1023"/>
        <v>3007</v>
      </c>
      <c r="AH297" s="174">
        <f t="shared" si="1023"/>
        <v>3073</v>
      </c>
      <c r="AI297" s="174">
        <f t="shared" si="1023"/>
        <v>2335</v>
      </c>
      <c r="AJ297" s="256">
        <f t="shared" si="1023"/>
        <v>2335</v>
      </c>
      <c r="AK297" s="174">
        <f t="shared" si="1023"/>
        <v>2788</v>
      </c>
      <c r="AL297" s="174">
        <f t="shared" ref="AL297:BQ297" si="1024">AL294+AL289</f>
        <v>2139</v>
      </c>
      <c r="AM297" s="174">
        <f t="shared" si="1024"/>
        <v>2448</v>
      </c>
      <c r="AN297" s="174">
        <f t="shared" si="1024"/>
        <v>2312</v>
      </c>
      <c r="AO297" s="256">
        <f t="shared" si="1024"/>
        <v>2312</v>
      </c>
      <c r="AP297" s="174">
        <f t="shared" si="1024"/>
        <v>0</v>
      </c>
      <c r="AQ297" s="174">
        <f t="shared" si="1024"/>
        <v>0</v>
      </c>
      <c r="AR297" s="174">
        <f t="shared" si="1024"/>
        <v>0</v>
      </c>
      <c r="AS297" s="174">
        <f t="shared" si="1024"/>
        <v>0</v>
      </c>
      <c r="AT297" s="256">
        <f t="shared" si="1024"/>
        <v>0</v>
      </c>
      <c r="AU297" s="174">
        <f t="shared" si="1024"/>
        <v>2580</v>
      </c>
      <c r="AV297" s="174">
        <f t="shared" si="1024"/>
        <v>3629</v>
      </c>
      <c r="AW297" s="174">
        <f t="shared" si="1024"/>
        <v>2308</v>
      </c>
      <c r="AX297" s="174">
        <f t="shared" si="1024"/>
        <v>4036</v>
      </c>
      <c r="AY297" s="256">
        <f t="shared" si="1024"/>
        <v>4036</v>
      </c>
      <c r="AZ297" s="174">
        <f t="shared" si="1024"/>
        <v>3217</v>
      </c>
      <c r="BA297" s="174">
        <f t="shared" si="1024"/>
        <v>3041</v>
      </c>
      <c r="BB297" s="174">
        <f t="shared" si="1024"/>
        <v>3083</v>
      </c>
      <c r="BC297" s="174">
        <f t="shared" si="1024"/>
        <v>2956</v>
      </c>
      <c r="BD297" s="256">
        <f t="shared" si="1024"/>
        <v>2956</v>
      </c>
      <c r="BE297" s="174">
        <f t="shared" si="1024"/>
        <v>3284</v>
      </c>
      <c r="BF297" s="174">
        <f t="shared" si="1024"/>
        <v>3198</v>
      </c>
      <c r="BG297" s="174">
        <f t="shared" si="1024"/>
        <v>3279</v>
      </c>
      <c r="BH297" s="174">
        <f t="shared" si="1024"/>
        <v>3342</v>
      </c>
      <c r="BI297" s="256">
        <f t="shared" si="1024"/>
        <v>3342</v>
      </c>
      <c r="BJ297" s="174">
        <f t="shared" si="1024"/>
        <v>3873</v>
      </c>
      <c r="BK297" s="174">
        <f t="shared" si="1024"/>
        <v>3899</v>
      </c>
      <c r="BL297" s="174">
        <f t="shared" si="1024"/>
        <v>3668</v>
      </c>
      <c r="BM297" s="174">
        <f t="shared" si="1024"/>
        <v>3653</v>
      </c>
      <c r="BN297" s="581">
        <f t="shared" si="1024"/>
        <v>3653</v>
      </c>
      <c r="BO297" s="174">
        <f t="shared" si="1024"/>
        <v>4021</v>
      </c>
      <c r="BP297" s="174">
        <f t="shared" si="1024"/>
        <v>4471</v>
      </c>
      <c r="BQ297" s="174">
        <f t="shared" si="1024"/>
        <v>4465</v>
      </c>
      <c r="BR297" s="174">
        <f t="shared" ref="BR297:CM297" si="1025">BR294+BR289</f>
        <v>4435</v>
      </c>
      <c r="BS297" s="575">
        <f t="shared" si="1025"/>
        <v>4435</v>
      </c>
      <c r="BT297" s="174">
        <f t="shared" si="1025"/>
        <v>4584</v>
      </c>
      <c r="BU297" s="174">
        <f t="shared" si="1025"/>
        <v>4521</v>
      </c>
      <c r="BV297" s="174">
        <f t="shared" si="1025"/>
        <v>4569</v>
      </c>
      <c r="BW297" s="174">
        <f t="shared" si="1025"/>
        <v>4109</v>
      </c>
      <c r="BX297" s="575">
        <f t="shared" si="1025"/>
        <v>4109</v>
      </c>
      <c r="BY297" s="174">
        <f t="shared" si="1025"/>
        <v>4324</v>
      </c>
      <c r="BZ297" s="174">
        <f t="shared" si="1025"/>
        <v>4407</v>
      </c>
      <c r="CA297" s="174">
        <f t="shared" si="1025"/>
        <v>4446</v>
      </c>
      <c r="CB297" s="174">
        <f t="shared" si="1025"/>
        <v>4960</v>
      </c>
      <c r="CC297" s="665">
        <f t="shared" si="1025"/>
        <v>4960</v>
      </c>
      <c r="CD297" s="174">
        <f t="shared" si="1025"/>
        <v>5223</v>
      </c>
      <c r="CE297" s="174">
        <f t="shared" si="1025"/>
        <v>4628</v>
      </c>
      <c r="CF297" s="174">
        <f t="shared" si="1025"/>
        <v>5071</v>
      </c>
      <c r="CG297" s="174">
        <f t="shared" si="1025"/>
        <v>5500</v>
      </c>
      <c r="CH297" s="575">
        <f t="shared" si="1025"/>
        <v>5500</v>
      </c>
      <c r="CI297" s="174">
        <f t="shared" si="1025"/>
        <v>5938</v>
      </c>
      <c r="CJ297" s="174">
        <f t="shared" si="1025"/>
        <v>4687</v>
      </c>
      <c r="CK297" s="174">
        <f t="shared" si="1025"/>
        <v>4177</v>
      </c>
      <c r="CL297" s="174">
        <f t="shared" si="1025"/>
        <v>4202</v>
      </c>
      <c r="CM297" s="575">
        <f t="shared" si="1025"/>
        <v>4202</v>
      </c>
      <c r="CN297" s="174">
        <f t="shared" ref="CN297:CR297" si="1026">CN294+CN289</f>
        <v>4230</v>
      </c>
      <c r="CO297" s="174">
        <f t="shared" si="1026"/>
        <v>4189</v>
      </c>
      <c r="CP297" s="174">
        <f t="shared" si="1026"/>
        <v>4645</v>
      </c>
      <c r="CQ297" s="174">
        <f t="shared" si="1026"/>
        <v>5205</v>
      </c>
      <c r="CR297" s="575">
        <f t="shared" si="1026"/>
        <v>5205</v>
      </c>
      <c r="CS297" s="174">
        <f t="shared" ref="CS297:CW297" si="1027">CS294+CS289</f>
        <v>4233</v>
      </c>
      <c r="CT297" s="174">
        <f t="shared" si="1027"/>
        <v>4192</v>
      </c>
      <c r="CU297" s="174">
        <f t="shared" si="1027"/>
        <v>4648</v>
      </c>
      <c r="CV297" s="174">
        <f t="shared" si="1027"/>
        <v>5208</v>
      </c>
      <c r="CW297" s="575">
        <f t="shared" si="1027"/>
        <v>5208</v>
      </c>
      <c r="CX297" s="174">
        <f t="shared" ref="CX297" si="1028">CX294+CX289</f>
        <v>5761</v>
      </c>
      <c r="CY297" s="174">
        <f t="shared" ref="CY297:DB297" si="1029">CY294+CY289</f>
        <v>4388.7854334167823</v>
      </c>
      <c r="CZ297" s="174">
        <f t="shared" si="1029"/>
        <v>4746.5105745367082</v>
      </c>
      <c r="DA297" s="442">
        <f t="shared" si="1029"/>
        <v>5191.4148096577183</v>
      </c>
      <c r="DB297" s="575">
        <f t="shared" si="1029"/>
        <v>5191.4148096577183</v>
      </c>
      <c r="DC297" s="174"/>
      <c r="DD297" s="174"/>
      <c r="DE297" s="174"/>
      <c r="DF297" s="174"/>
      <c r="DG297" s="256">
        <f>DG294+DG289</f>
        <v>5402.2632378469898</v>
      </c>
      <c r="DH297" s="174"/>
      <c r="DI297" s="174"/>
      <c r="DJ297" s="174"/>
      <c r="DK297" s="174"/>
      <c r="DL297" s="442">
        <f>DL294+DL289</f>
        <v>5614.9851123807639</v>
      </c>
      <c r="DM297" s="174"/>
      <c r="DN297" s="541"/>
      <c r="DO297" s="492"/>
      <c r="DP297" s="416"/>
      <c r="DQ297" s="416"/>
      <c r="DR297" s="416"/>
      <c r="DS297" s="478"/>
      <c r="DT297" s="478"/>
      <c r="DU297" s="857"/>
      <c r="DV297" s="478"/>
      <c r="DW297" s="478"/>
      <c r="DX297" s="479"/>
      <c r="DY297" s="479"/>
      <c r="DZ297" s="479"/>
      <c r="EA297" s="541"/>
      <c r="EH297" s="175"/>
    </row>
    <row r="298" spans="1:138" ht="12.75" customHeight="1" x14ac:dyDescent="0.2">
      <c r="A298" s="176" t="s">
        <v>15</v>
      </c>
      <c r="B298" s="66"/>
      <c r="C298" s="66"/>
      <c r="D298" s="66"/>
      <c r="E298" s="66"/>
      <c r="F298" s="905">
        <v>22616</v>
      </c>
      <c r="G298" s="66"/>
      <c r="H298" s="66"/>
      <c r="I298" s="66"/>
      <c r="J298" s="66"/>
      <c r="K298" s="905">
        <v>24444</v>
      </c>
      <c r="L298" s="66"/>
      <c r="M298" s="66"/>
      <c r="N298" s="66"/>
      <c r="O298" s="66"/>
      <c r="P298" s="905">
        <v>25136</v>
      </c>
      <c r="Q298" s="66"/>
      <c r="R298" s="66"/>
      <c r="S298" s="66"/>
      <c r="T298" s="66"/>
      <c r="U298" s="905">
        <v>26010</v>
      </c>
      <c r="V298" s="66"/>
      <c r="W298" s="66"/>
      <c r="X298" s="66"/>
      <c r="Y298" s="66"/>
      <c r="Z298" s="905">
        <v>26238</v>
      </c>
      <c r="AA298" s="66"/>
      <c r="AB298" s="66"/>
      <c r="AC298" s="66"/>
      <c r="AD298" s="66"/>
      <c r="AE298" s="905">
        <v>23961</v>
      </c>
      <c r="AF298" s="66">
        <v>23522</v>
      </c>
      <c r="AG298" s="66">
        <v>23197</v>
      </c>
      <c r="AH298" s="66">
        <v>23007</v>
      </c>
      <c r="AI298" s="66">
        <v>22747</v>
      </c>
      <c r="AJ298" s="248">
        <v>22747</v>
      </c>
      <c r="AK298" s="66">
        <v>22270</v>
      </c>
      <c r="AL298" s="66">
        <v>11623</v>
      </c>
      <c r="AM298" s="66">
        <v>11947</v>
      </c>
      <c r="AN298" s="66">
        <v>12309</v>
      </c>
      <c r="AO298" s="248">
        <v>12309</v>
      </c>
      <c r="AP298" s="66"/>
      <c r="AQ298" s="66"/>
      <c r="AR298" s="66"/>
      <c r="AS298" s="66"/>
      <c r="AT298" s="248"/>
      <c r="AU298" s="66">
        <v>12781</v>
      </c>
      <c r="AV298" s="66">
        <v>13053</v>
      </c>
      <c r="AW298" s="66">
        <v>13329</v>
      </c>
      <c r="AX298" s="66">
        <v>22185</v>
      </c>
      <c r="AY298" s="248">
        <v>22185</v>
      </c>
      <c r="AZ298" s="66">
        <f>AZ300-AZ299</f>
        <v>22794</v>
      </c>
      <c r="BA298" s="66">
        <f>BA300-BA299</f>
        <v>23159</v>
      </c>
      <c r="BB298" s="66">
        <f>BB300-BB299</f>
        <v>23242</v>
      </c>
      <c r="BC298" s="66">
        <f>BC300-BC299</f>
        <v>23357</v>
      </c>
      <c r="BD298" s="248">
        <f>BC298</f>
        <v>23357</v>
      </c>
      <c r="BE298" s="66">
        <f>BE300-BE299</f>
        <v>23728</v>
      </c>
      <c r="BF298" s="66">
        <f>BF300-BF299</f>
        <v>23938</v>
      </c>
      <c r="BG298" s="66">
        <f>BG300-BG299</f>
        <v>24020</v>
      </c>
      <c r="BH298" s="66">
        <f>BH300-BH299</f>
        <v>24471</v>
      </c>
      <c r="BI298" s="248">
        <f>BH298</f>
        <v>24471</v>
      </c>
      <c r="BJ298" s="66">
        <f>BJ300-BJ299</f>
        <v>24832</v>
      </c>
      <c r="BK298" s="66">
        <f>BK300-BK299</f>
        <v>25135</v>
      </c>
      <c r="BL298" s="66">
        <f>BL300-BL299</f>
        <v>25428</v>
      </c>
      <c r="BM298" s="66">
        <f>BM300-BM299</f>
        <v>25695</v>
      </c>
      <c r="BN298" s="350">
        <f>BM298</f>
        <v>25695</v>
      </c>
      <c r="BO298" s="66">
        <f>BO300-BO299</f>
        <v>26129</v>
      </c>
      <c r="BP298" s="66">
        <f>BP300-BP299</f>
        <v>26750</v>
      </c>
      <c r="BQ298" s="66">
        <f>BQ300-BQ299</f>
        <v>26936</v>
      </c>
      <c r="BR298" s="66">
        <f>BR300-BR299</f>
        <v>27369</v>
      </c>
      <c r="BS298" s="248">
        <f>BR298</f>
        <v>27369</v>
      </c>
      <c r="BT298" s="66">
        <f>BT300-BT299</f>
        <v>27731</v>
      </c>
      <c r="BU298" s="66">
        <f>BU300-BU299</f>
        <v>28335</v>
      </c>
      <c r="BV298" s="66">
        <f>BV300-BV299</f>
        <v>28775</v>
      </c>
      <c r="BW298" s="66">
        <f>BW300-BW299</f>
        <v>29646</v>
      </c>
      <c r="BX298" s="248">
        <f>BW298</f>
        <v>29646</v>
      </c>
      <c r="BY298" s="66">
        <f>BY300-BY299</f>
        <v>30139</v>
      </c>
      <c r="BZ298" s="66">
        <f>BZ300-BZ299</f>
        <v>30596</v>
      </c>
      <c r="CA298" s="66">
        <f>CA300-CA299</f>
        <v>30681</v>
      </c>
      <c r="CB298" s="66">
        <f>CB300-CB299</f>
        <v>31269</v>
      </c>
      <c r="CC298" s="248">
        <f>CB298</f>
        <v>31269</v>
      </c>
      <c r="CD298" s="66">
        <f>CD300-CD299</f>
        <v>31833</v>
      </c>
      <c r="CE298" s="66">
        <f>CE300-CE299</f>
        <v>32752</v>
      </c>
      <c r="CF298" s="66">
        <f>CF300-CF299</f>
        <v>33171</v>
      </c>
      <c r="CG298" s="66">
        <f>CG300-CG299</f>
        <v>33910</v>
      </c>
      <c r="CH298" s="248">
        <f>CG298</f>
        <v>33910</v>
      </c>
      <c r="CI298" s="66">
        <f>CI300-CI299</f>
        <v>34736</v>
      </c>
      <c r="CJ298" s="66">
        <f>CJ300-CJ299</f>
        <v>35686</v>
      </c>
      <c r="CK298" s="66">
        <f>CK300-CK299</f>
        <v>36211</v>
      </c>
      <c r="CL298" s="66">
        <f>CL300-CL299</f>
        <v>36831</v>
      </c>
      <c r="CM298" s="248">
        <f>CL298</f>
        <v>36831</v>
      </c>
      <c r="CN298" s="66">
        <f>CN300-CN299</f>
        <v>37749</v>
      </c>
      <c r="CO298" s="66">
        <f>CO300-CO299</f>
        <v>38703</v>
      </c>
      <c r="CP298" s="66">
        <f>CP300-CP299</f>
        <v>39666</v>
      </c>
      <c r="CQ298" s="66">
        <f>CQ300-CQ299</f>
        <v>40915</v>
      </c>
      <c r="CR298" s="248">
        <f>CQ298</f>
        <v>40915</v>
      </c>
      <c r="CS298" s="66">
        <f>CS300-CS299</f>
        <v>37749</v>
      </c>
      <c r="CT298" s="66">
        <f>CT300-CT299</f>
        <v>38703</v>
      </c>
      <c r="CU298" s="66">
        <f>CU300-CU299</f>
        <v>39666</v>
      </c>
      <c r="CV298" s="66">
        <f>CV300-CV299</f>
        <v>40912</v>
      </c>
      <c r="CW298" s="248">
        <f>CV298</f>
        <v>40912</v>
      </c>
      <c r="CX298" s="66">
        <f>CX300-CX299</f>
        <v>40028</v>
      </c>
      <c r="CY298" s="66">
        <f t="shared" ref="CY298:DA298" si="1030">CX298-CY259</f>
        <v>41028</v>
      </c>
      <c r="CZ298" s="66">
        <f t="shared" si="1030"/>
        <v>42028</v>
      </c>
      <c r="DA298" s="444">
        <f t="shared" si="1030"/>
        <v>42763</v>
      </c>
      <c r="DB298" s="248">
        <f>DA298</f>
        <v>42763</v>
      </c>
      <c r="DC298" s="45"/>
      <c r="DD298" s="45"/>
      <c r="DE298" s="66"/>
      <c r="DF298" s="66"/>
      <c r="DG298" s="248">
        <f>DB298-DG259</f>
        <v>46763</v>
      </c>
      <c r="DH298" s="45"/>
      <c r="DI298" s="45"/>
      <c r="DJ298" s="66"/>
      <c r="DK298" s="66"/>
      <c r="DL298" s="444">
        <f>DG298-DL259</f>
        <v>50763</v>
      </c>
      <c r="DM298" s="66"/>
      <c r="DN298" s="526"/>
      <c r="DO298" s="486"/>
      <c r="DP298" s="411"/>
      <c r="DQ298" s="411"/>
      <c r="DR298" s="411"/>
      <c r="DS298" s="571"/>
      <c r="DT298" s="571"/>
      <c r="DU298" s="857"/>
      <c r="DV298" s="478"/>
      <c r="DW298" s="478"/>
      <c r="DX298" s="472"/>
      <c r="DY298" s="472"/>
      <c r="DZ298" s="472"/>
      <c r="EA298" s="526"/>
      <c r="EH298" s="8"/>
    </row>
    <row r="299" spans="1:138" ht="12.75" customHeight="1" x14ac:dyDescent="0.2">
      <c r="A299" s="176" t="s">
        <v>167</v>
      </c>
      <c r="B299" s="881"/>
      <c r="C299" s="881"/>
      <c r="D299" s="881"/>
      <c r="E299" s="881"/>
      <c r="F299" s="905">
        <v>-7776</v>
      </c>
      <c r="G299" s="881"/>
      <c r="H299" s="881"/>
      <c r="I299" s="881"/>
      <c r="J299" s="881"/>
      <c r="K299" s="905">
        <v>-8347</v>
      </c>
      <c r="L299" s="881"/>
      <c r="M299" s="881"/>
      <c r="N299" s="881"/>
      <c r="O299" s="881"/>
      <c r="P299" s="905">
        <v>-8612</v>
      </c>
      <c r="Q299" s="881"/>
      <c r="R299" s="881"/>
      <c r="S299" s="881"/>
      <c r="T299" s="881"/>
      <c r="U299" s="905">
        <v>-9258</v>
      </c>
      <c r="V299" s="881"/>
      <c r="W299" s="881"/>
      <c r="X299" s="881"/>
      <c r="Y299" s="881"/>
      <c r="Z299" s="905">
        <v>-9682</v>
      </c>
      <c r="AA299" s="881"/>
      <c r="AB299" s="881"/>
      <c r="AC299" s="881"/>
      <c r="AD299" s="881"/>
      <c r="AE299" s="905">
        <v>-9681</v>
      </c>
      <c r="AF299" s="881">
        <v>-9496</v>
      </c>
      <c r="AG299" s="881">
        <v>-9582</v>
      </c>
      <c r="AH299" s="881">
        <v>-9636</v>
      </c>
      <c r="AI299" s="881">
        <v>-9774</v>
      </c>
      <c r="AJ299" s="248">
        <v>-9774</v>
      </c>
      <c r="AK299" s="881">
        <v>-9742</v>
      </c>
      <c r="AL299" s="881">
        <v>-154</v>
      </c>
      <c r="AM299" s="881">
        <v>-389</v>
      </c>
      <c r="AN299" s="881">
        <v>-608</v>
      </c>
      <c r="AO299" s="248">
        <v>-608</v>
      </c>
      <c r="AP299" s="881"/>
      <c r="AQ299" s="881"/>
      <c r="AR299" s="881"/>
      <c r="AS299" s="881"/>
      <c r="AT299" s="248"/>
      <c r="AU299" s="881">
        <v>-836</v>
      </c>
      <c r="AV299" s="881">
        <v>-1054</v>
      </c>
      <c r="AW299" s="881">
        <v>-1269</v>
      </c>
      <c r="AX299" s="881">
        <v>-1558</v>
      </c>
      <c r="AY299" s="248">
        <v>-1558</v>
      </c>
      <c r="AZ299" s="881">
        <v>-1898</v>
      </c>
      <c r="BA299" s="881">
        <v>-2243</v>
      </c>
      <c r="BB299" s="881">
        <v>-2584</v>
      </c>
      <c r="BC299" s="881">
        <v>-2924</v>
      </c>
      <c r="BD299" s="248">
        <f>BC299</f>
        <v>-2924</v>
      </c>
      <c r="BE299" s="881">
        <v>-3247</v>
      </c>
      <c r="BF299" s="881">
        <v>-3542</v>
      </c>
      <c r="BG299" s="881">
        <v>-3836</v>
      </c>
      <c r="BH299" s="881">
        <v>-4164</v>
      </c>
      <c r="BI299" s="248">
        <f>BH299</f>
        <v>-4164</v>
      </c>
      <c r="BJ299" s="881">
        <v>-4499</v>
      </c>
      <c r="BK299" s="881">
        <v>-4820</v>
      </c>
      <c r="BL299" s="881">
        <v>-5172</v>
      </c>
      <c r="BM299" s="881">
        <v>-5472</v>
      </c>
      <c r="BN299" s="350">
        <f>BM299</f>
        <v>-5472</v>
      </c>
      <c r="BO299" s="881">
        <v>-5797</v>
      </c>
      <c r="BP299" s="881">
        <v>-6141</v>
      </c>
      <c r="BQ299" s="881">
        <v>-6337</v>
      </c>
      <c r="BR299" s="881">
        <v>-6656</v>
      </c>
      <c r="BS299" s="248">
        <f>BR299</f>
        <v>-6656</v>
      </c>
      <c r="BT299" s="881">
        <v>-6938</v>
      </c>
      <c r="BU299" s="881">
        <v>-7286</v>
      </c>
      <c r="BV299" s="881">
        <v>-7478</v>
      </c>
      <c r="BW299" s="881">
        <v>-7792</v>
      </c>
      <c r="BX299" s="248">
        <f>BW299</f>
        <v>-7792</v>
      </c>
      <c r="BY299" s="881">
        <v>-8167</v>
      </c>
      <c r="BZ299" s="881">
        <v>-8548</v>
      </c>
      <c r="CA299" s="881">
        <v>-8959</v>
      </c>
      <c r="CB299" s="881">
        <v>-9340</v>
      </c>
      <c r="CC299" s="248">
        <f>CB299</f>
        <v>-9340</v>
      </c>
      <c r="CD299" s="881">
        <v>-9810</v>
      </c>
      <c r="CE299" s="881">
        <v>-10272</v>
      </c>
      <c r="CF299" s="881">
        <v>-10563</v>
      </c>
      <c r="CG299" s="881">
        <v>-10871</v>
      </c>
      <c r="CH299" s="248">
        <f>CG299</f>
        <v>-10871</v>
      </c>
      <c r="CI299" s="881">
        <v>-11314</v>
      </c>
      <c r="CJ299" s="881">
        <v>-11711</v>
      </c>
      <c r="CK299" s="881">
        <v>-12106</v>
      </c>
      <c r="CL299" s="881">
        <v>-12456</v>
      </c>
      <c r="CM299" s="248">
        <f>CL299</f>
        <v>-12456</v>
      </c>
      <c r="CN299" s="881">
        <v>-12932</v>
      </c>
      <c r="CO299" s="881">
        <v>-13336</v>
      </c>
      <c r="CP299" s="881">
        <v>-13766</v>
      </c>
      <c r="CQ299" s="881">
        <f>CP299-CQ127</f>
        <v>-14352</v>
      </c>
      <c r="CR299" s="248">
        <f>CQ299</f>
        <v>-14352</v>
      </c>
      <c r="CS299" s="881">
        <v>-12932</v>
      </c>
      <c r="CT299" s="881">
        <v>-13336</v>
      </c>
      <c r="CU299" s="881">
        <v>-13766</v>
      </c>
      <c r="CV299" s="881">
        <f>CU299-CV127</f>
        <v>-14349</v>
      </c>
      <c r="CW299" s="248">
        <f>CV299</f>
        <v>-14349</v>
      </c>
      <c r="CX299" s="938">
        <v>-12932</v>
      </c>
      <c r="CY299" s="66">
        <f>CX299-CY127</f>
        <v>-13532.03</v>
      </c>
      <c r="CZ299" s="66">
        <f>CY299-CZ127</f>
        <v>-14137.29</v>
      </c>
      <c r="DA299" s="444">
        <f>CZ299-DA127</f>
        <v>-14737.78</v>
      </c>
      <c r="DB299" s="248">
        <f>DA299</f>
        <v>-14737.78</v>
      </c>
      <c r="DC299" s="66"/>
      <c r="DD299" s="66"/>
      <c r="DE299" s="66"/>
      <c r="DF299" s="66"/>
      <c r="DG299" s="248">
        <f>DB299-DG127</f>
        <v>-17238.112300000001</v>
      </c>
      <c r="DH299" s="66"/>
      <c r="DI299" s="66"/>
      <c r="DJ299" s="66"/>
      <c r="DK299" s="66"/>
      <c r="DL299" s="444">
        <f>DG299-DL127</f>
        <v>-19800.952907499999</v>
      </c>
      <c r="DM299" s="66"/>
      <c r="DN299" s="526"/>
      <c r="DO299" s="486"/>
      <c r="DP299" s="411"/>
      <c r="DQ299" s="411"/>
      <c r="DR299" s="411"/>
      <c r="DS299" s="478"/>
      <c r="DT299" s="478"/>
      <c r="DU299" s="857"/>
      <c r="DV299" s="478"/>
      <c r="DW299" s="478"/>
      <c r="DX299" s="472"/>
      <c r="DY299" s="472"/>
      <c r="DZ299" s="472"/>
      <c r="EA299" s="526"/>
      <c r="EH299" s="8"/>
    </row>
    <row r="300" spans="1:138" ht="12.75" customHeight="1" x14ac:dyDescent="0.2">
      <c r="A300" s="111" t="s">
        <v>232</v>
      </c>
      <c r="B300" s="883"/>
      <c r="C300" s="883"/>
      <c r="D300" s="883"/>
      <c r="E300" s="883"/>
      <c r="F300" s="227">
        <f>F299+F298</f>
        <v>14840</v>
      </c>
      <c r="G300" s="883"/>
      <c r="H300" s="883"/>
      <c r="I300" s="883"/>
      <c r="J300" s="883"/>
      <c r="K300" s="227">
        <f>K299+K298</f>
        <v>16097</v>
      </c>
      <c r="L300" s="883"/>
      <c r="M300" s="883"/>
      <c r="N300" s="883"/>
      <c r="O300" s="883"/>
      <c r="P300" s="227">
        <f>P299+P298</f>
        <v>16524</v>
      </c>
      <c r="Q300" s="883"/>
      <c r="R300" s="883"/>
      <c r="S300" s="883"/>
      <c r="T300" s="883"/>
      <c r="U300" s="227">
        <f>U299+U298</f>
        <v>16752</v>
      </c>
      <c r="V300" s="883"/>
      <c r="W300" s="883"/>
      <c r="X300" s="883"/>
      <c r="Y300" s="883"/>
      <c r="Z300" s="227">
        <f>Z299+Z298</f>
        <v>16556</v>
      </c>
      <c r="AA300" s="883"/>
      <c r="AB300" s="883"/>
      <c r="AC300" s="883"/>
      <c r="AD300" s="883"/>
      <c r="AE300" s="227">
        <f t="shared" ref="AE300:AO300" si="1031">AE299+AE298</f>
        <v>14280</v>
      </c>
      <c r="AF300" s="883">
        <f t="shared" si="1031"/>
        <v>14026</v>
      </c>
      <c r="AG300" s="883">
        <f t="shared" si="1031"/>
        <v>13615</v>
      </c>
      <c r="AH300" s="883">
        <f t="shared" si="1031"/>
        <v>13371</v>
      </c>
      <c r="AI300" s="883">
        <f t="shared" si="1031"/>
        <v>12973</v>
      </c>
      <c r="AJ300" s="227">
        <f t="shared" si="1031"/>
        <v>12973</v>
      </c>
      <c r="AK300" s="883">
        <f t="shared" si="1031"/>
        <v>12528</v>
      </c>
      <c r="AL300" s="883">
        <f t="shared" si="1031"/>
        <v>11469</v>
      </c>
      <c r="AM300" s="883">
        <f t="shared" si="1031"/>
        <v>11558</v>
      </c>
      <c r="AN300" s="883">
        <f t="shared" si="1031"/>
        <v>11701</v>
      </c>
      <c r="AO300" s="227">
        <f t="shared" si="1031"/>
        <v>11701</v>
      </c>
      <c r="AP300" s="883"/>
      <c r="AQ300" s="883"/>
      <c r="AR300" s="883"/>
      <c r="AS300" s="883"/>
      <c r="AT300" s="227"/>
      <c r="AU300" s="883">
        <f>AU299+AU298</f>
        <v>11945</v>
      </c>
      <c r="AV300" s="883">
        <f>AV299+AV298</f>
        <v>11999</v>
      </c>
      <c r="AW300" s="883">
        <f>AW299+AW298</f>
        <v>12060</v>
      </c>
      <c r="AX300" s="883">
        <f>AX299+AX298</f>
        <v>20627</v>
      </c>
      <c r="AY300" s="227">
        <f>AY299+AY298</f>
        <v>20627</v>
      </c>
      <c r="AZ300" s="883">
        <v>20896</v>
      </c>
      <c r="BA300" s="883">
        <v>20916</v>
      </c>
      <c r="BB300" s="883">
        <v>20658</v>
      </c>
      <c r="BC300" s="883">
        <v>20433</v>
      </c>
      <c r="BD300" s="227">
        <f>BD298+BD299</f>
        <v>20433</v>
      </c>
      <c r="BE300" s="883">
        <v>20481</v>
      </c>
      <c r="BF300" s="883">
        <v>20396</v>
      </c>
      <c r="BG300" s="883">
        <v>20184</v>
      </c>
      <c r="BH300" s="883">
        <v>20307</v>
      </c>
      <c r="BI300" s="227">
        <f>BI298+BI299</f>
        <v>20307</v>
      </c>
      <c r="BJ300" s="883">
        <v>20333</v>
      </c>
      <c r="BK300" s="883">
        <v>20315</v>
      </c>
      <c r="BL300" s="883">
        <v>20256</v>
      </c>
      <c r="BM300" s="883">
        <v>20223</v>
      </c>
      <c r="BN300" s="342">
        <f>BN298+BN299</f>
        <v>20223</v>
      </c>
      <c r="BO300" s="883">
        <v>20332</v>
      </c>
      <c r="BP300" s="883">
        <v>20609</v>
      </c>
      <c r="BQ300" s="883">
        <v>20599</v>
      </c>
      <c r="BR300" s="883">
        <v>20713</v>
      </c>
      <c r="BS300" s="227">
        <f>BS298+BS299</f>
        <v>20713</v>
      </c>
      <c r="BT300" s="883">
        <v>20793</v>
      </c>
      <c r="BU300" s="883">
        <v>21049</v>
      </c>
      <c r="BV300" s="883">
        <v>21297</v>
      </c>
      <c r="BW300" s="883">
        <v>21854</v>
      </c>
      <c r="BX300" s="227">
        <f>BX298+BX299</f>
        <v>21854</v>
      </c>
      <c r="BY300" s="883">
        <v>21972</v>
      </c>
      <c r="BZ300" s="883">
        <v>22048</v>
      </c>
      <c r="CA300" s="883">
        <v>21722</v>
      </c>
      <c r="CB300" s="883">
        <v>21929</v>
      </c>
      <c r="CC300" s="227">
        <f>CC298+CC299</f>
        <v>21929</v>
      </c>
      <c r="CD300" s="883">
        <v>22023</v>
      </c>
      <c r="CE300" s="883">
        <v>22480</v>
      </c>
      <c r="CF300" s="883">
        <v>22608</v>
      </c>
      <c r="CG300" s="883">
        <v>23039</v>
      </c>
      <c r="CH300" s="227">
        <f t="shared" ref="CH300:CM300" si="1032">CH298+CH299</f>
        <v>23039</v>
      </c>
      <c r="CI300" s="883">
        <v>23422</v>
      </c>
      <c r="CJ300" s="883">
        <v>23975</v>
      </c>
      <c r="CK300" s="883">
        <v>24105</v>
      </c>
      <c r="CL300" s="883">
        <v>24375</v>
      </c>
      <c r="CM300" s="227">
        <f t="shared" si="1032"/>
        <v>24375</v>
      </c>
      <c r="CN300" s="883">
        <v>24817</v>
      </c>
      <c r="CO300" s="883">
        <v>25367</v>
      </c>
      <c r="CP300" s="883">
        <v>25900</v>
      </c>
      <c r="CQ300" s="883">
        <v>26563</v>
      </c>
      <c r="CR300" s="227">
        <f t="shared" ref="CR300" si="1033">CR298+CR299</f>
        <v>26563</v>
      </c>
      <c r="CS300" s="883">
        <v>24817</v>
      </c>
      <c r="CT300" s="883">
        <v>25367</v>
      </c>
      <c r="CU300" s="883">
        <v>25900</v>
      </c>
      <c r="CV300" s="883">
        <v>26563</v>
      </c>
      <c r="CW300" s="227">
        <f t="shared" ref="CW300" si="1034">CW298+CW299</f>
        <v>26563</v>
      </c>
      <c r="CX300" s="883">
        <v>27096</v>
      </c>
      <c r="CY300" s="79">
        <f t="shared" ref="CY300:DB300" si="1035">CY298+CY299</f>
        <v>27495.97</v>
      </c>
      <c r="CZ300" s="79">
        <f t="shared" si="1035"/>
        <v>27890.71</v>
      </c>
      <c r="DA300" s="657">
        <f t="shared" si="1035"/>
        <v>28025.22</v>
      </c>
      <c r="DB300" s="227">
        <f t="shared" si="1035"/>
        <v>28025.22</v>
      </c>
      <c r="DC300" s="79"/>
      <c r="DD300" s="79"/>
      <c r="DE300" s="79"/>
      <c r="DF300" s="79"/>
      <c r="DG300" s="227">
        <f>DG298+DG299</f>
        <v>29524.887699999999</v>
      </c>
      <c r="DH300" s="79"/>
      <c r="DI300" s="79"/>
      <c r="DJ300" s="79"/>
      <c r="DK300" s="79"/>
      <c r="DL300" s="227">
        <f>DL298+DL299</f>
        <v>30962.047092500001</v>
      </c>
      <c r="DM300" s="79"/>
      <c r="DN300" s="522"/>
      <c r="DO300" s="486"/>
      <c r="DP300" s="411"/>
      <c r="DQ300" s="411"/>
      <c r="DR300" s="411"/>
      <c r="DS300" s="478"/>
      <c r="DT300" s="478"/>
      <c r="DU300" s="857"/>
      <c r="DV300" s="478"/>
      <c r="DW300" s="478"/>
      <c r="DX300" s="472"/>
      <c r="DY300" s="472"/>
      <c r="DZ300" s="472"/>
      <c r="EA300" s="522"/>
      <c r="EH300" s="8"/>
    </row>
    <row r="301" spans="1:138" ht="12.75" customHeight="1" x14ac:dyDescent="0.2">
      <c r="A301" s="171" t="s">
        <v>121</v>
      </c>
      <c r="B301" s="881"/>
      <c r="C301" s="881"/>
      <c r="D301" s="881"/>
      <c r="E301" s="881"/>
      <c r="F301" s="905">
        <v>2345</v>
      </c>
      <c r="G301" s="881"/>
      <c r="H301" s="881"/>
      <c r="I301" s="881"/>
      <c r="J301" s="881"/>
      <c r="K301" s="905">
        <f>7+2345</f>
        <v>2352</v>
      </c>
      <c r="L301" s="881"/>
      <c r="M301" s="881"/>
      <c r="N301" s="881"/>
      <c r="O301" s="881"/>
      <c r="P301" s="905">
        <f>333+2092</f>
        <v>2425</v>
      </c>
      <c r="Q301" s="881"/>
      <c r="R301" s="881"/>
      <c r="S301" s="881"/>
      <c r="T301" s="881"/>
      <c r="U301" s="905">
        <f>227+2092</f>
        <v>2319</v>
      </c>
      <c r="V301" s="881"/>
      <c r="W301" s="881"/>
      <c r="X301" s="881"/>
      <c r="Y301" s="881"/>
      <c r="Z301" s="905">
        <f>178+227</f>
        <v>405</v>
      </c>
      <c r="AA301" s="881"/>
      <c r="AB301" s="881"/>
      <c r="AC301" s="881"/>
      <c r="AD301" s="881"/>
      <c r="AE301" s="905">
        <f>227+7</f>
        <v>234</v>
      </c>
      <c r="AF301" s="881">
        <v>227</v>
      </c>
      <c r="AG301" s="881">
        <v>227</v>
      </c>
      <c r="AH301" s="881">
        <v>227</v>
      </c>
      <c r="AI301" s="881">
        <v>227</v>
      </c>
      <c r="AJ301" s="248">
        <v>227</v>
      </c>
      <c r="AK301" s="881">
        <v>227</v>
      </c>
      <c r="AL301" s="881">
        <v>12373</v>
      </c>
      <c r="AM301" s="881">
        <v>12169</v>
      </c>
      <c r="AN301" s="881">
        <v>12104</v>
      </c>
      <c r="AO301" s="248">
        <v>12104</v>
      </c>
      <c r="AP301" s="881"/>
      <c r="AQ301" s="881"/>
      <c r="AR301" s="881"/>
      <c r="AS301" s="881"/>
      <c r="AT301" s="248"/>
      <c r="AU301" s="881">
        <f>AU304-AU302-AU300</f>
        <v>6010</v>
      </c>
      <c r="AV301" s="881">
        <f>AV304-AV302-AV300</f>
        <v>5519</v>
      </c>
      <c r="AW301" s="881">
        <f>AW304-AW302-AW300</f>
        <v>5168</v>
      </c>
      <c r="AX301" s="881">
        <f>AX304-AX302-AX300</f>
        <v>9731</v>
      </c>
      <c r="AY301" s="248">
        <v>9731</v>
      </c>
      <c r="AZ301" s="881">
        <v>9729</v>
      </c>
      <c r="BA301" s="881">
        <v>9737</v>
      </c>
      <c r="BB301" s="881">
        <v>9778</v>
      </c>
      <c r="BC301" s="881">
        <v>9787</v>
      </c>
      <c r="BD301" s="248">
        <f>BC301</f>
        <v>9787</v>
      </c>
      <c r="BE301" s="881">
        <v>9794</v>
      </c>
      <c r="BF301" s="881">
        <v>9794</v>
      </c>
      <c r="BG301" s="881">
        <v>9794</v>
      </c>
      <c r="BH301" s="881">
        <v>9794</v>
      </c>
      <c r="BI301" s="248">
        <f>BH301</f>
        <v>9794</v>
      </c>
      <c r="BJ301" s="881">
        <v>9794</v>
      </c>
      <c r="BK301" s="881">
        <v>9794</v>
      </c>
      <c r="BL301" s="881">
        <v>9794</v>
      </c>
      <c r="BM301" s="881">
        <v>9794</v>
      </c>
      <c r="BN301" s="350">
        <f>BM301</f>
        <v>9794</v>
      </c>
      <c r="BO301" s="881">
        <v>9794</v>
      </c>
      <c r="BP301" s="881">
        <v>9794</v>
      </c>
      <c r="BQ301" s="881">
        <v>9794</v>
      </c>
      <c r="BR301" s="881">
        <v>9794</v>
      </c>
      <c r="BS301" s="248">
        <f>BR301</f>
        <v>9794</v>
      </c>
      <c r="BT301" s="881">
        <v>9794</v>
      </c>
      <c r="BU301" s="881">
        <v>9794</v>
      </c>
      <c r="BV301" s="881">
        <v>9794</v>
      </c>
      <c r="BW301" s="881">
        <v>9794</v>
      </c>
      <c r="BX301" s="248">
        <f>BW301</f>
        <v>9794</v>
      </c>
      <c r="BY301" s="881">
        <v>9794</v>
      </c>
      <c r="BZ301" s="881">
        <v>9794</v>
      </c>
      <c r="CA301" s="881">
        <v>9794</v>
      </c>
      <c r="CB301" s="881">
        <v>9794</v>
      </c>
      <c r="CC301" s="248">
        <f>CB301</f>
        <v>9794</v>
      </c>
      <c r="CD301" s="881">
        <v>9794</v>
      </c>
      <c r="CE301" s="881">
        <v>9794</v>
      </c>
      <c r="CF301" s="881">
        <v>9794</v>
      </c>
      <c r="CG301" s="881">
        <v>9794</v>
      </c>
      <c r="CH301" s="248">
        <f t="shared" ref="CH301:CM302" si="1036">CG301</f>
        <v>9794</v>
      </c>
      <c r="CI301" s="881">
        <v>9794</v>
      </c>
      <c r="CJ301" s="881">
        <v>9794</v>
      </c>
      <c r="CK301" s="881">
        <v>9794</v>
      </c>
      <c r="CL301" s="881">
        <v>9794</v>
      </c>
      <c r="CM301" s="248">
        <f t="shared" si="1036"/>
        <v>9794</v>
      </c>
      <c r="CN301" s="881">
        <v>9794</v>
      </c>
      <c r="CO301" s="881">
        <v>9794</v>
      </c>
      <c r="CP301" s="881">
        <v>9794</v>
      </c>
      <c r="CQ301" s="881">
        <v>9794</v>
      </c>
      <c r="CR301" s="248">
        <f t="shared" ref="CR301:DB302" si="1037">CQ301</f>
        <v>9794</v>
      </c>
      <c r="CS301" s="881">
        <v>9794</v>
      </c>
      <c r="CT301" s="881">
        <v>9794</v>
      </c>
      <c r="CU301" s="881">
        <v>9794</v>
      </c>
      <c r="CV301" s="881">
        <v>9794</v>
      </c>
      <c r="CW301" s="248">
        <f t="shared" ref="CW301:CW302" si="1038">CV301</f>
        <v>9794</v>
      </c>
      <c r="CX301" s="881">
        <v>9794</v>
      </c>
      <c r="CY301" s="66">
        <f>CX301</f>
        <v>9794</v>
      </c>
      <c r="CZ301" s="66">
        <f t="shared" si="1037"/>
        <v>9794</v>
      </c>
      <c r="DA301" s="444">
        <f t="shared" si="1037"/>
        <v>9794</v>
      </c>
      <c r="DB301" s="248">
        <f t="shared" si="1037"/>
        <v>9794</v>
      </c>
      <c r="DC301" s="66"/>
      <c r="DD301" s="66"/>
      <c r="DE301" s="66"/>
      <c r="DF301" s="66"/>
      <c r="DG301" s="248">
        <f>DB301</f>
        <v>9794</v>
      </c>
      <c r="DH301" s="66"/>
      <c r="DI301" s="66"/>
      <c r="DJ301" s="66"/>
      <c r="DK301" s="66"/>
      <c r="DL301" s="248">
        <f>DG301</f>
        <v>9794</v>
      </c>
      <c r="DM301" s="66"/>
      <c r="DN301" s="526"/>
      <c r="DO301" s="486"/>
      <c r="DP301" s="411"/>
      <c r="DQ301" s="411"/>
      <c r="DR301" s="411"/>
      <c r="DS301" s="478"/>
      <c r="DT301" s="478"/>
      <c r="DU301" s="857"/>
      <c r="DV301" s="478"/>
      <c r="DW301" s="478"/>
      <c r="DX301" s="478"/>
      <c r="DY301" s="478"/>
      <c r="DZ301" s="478"/>
      <c r="EA301" s="526"/>
      <c r="EH301" s="8"/>
    </row>
    <row r="302" spans="1:138" ht="12.75" customHeight="1" x14ac:dyDescent="0.2">
      <c r="A302" s="172" t="s">
        <v>123</v>
      </c>
      <c r="B302" s="79"/>
      <c r="C302" s="79"/>
      <c r="D302" s="79"/>
      <c r="E302" s="79"/>
      <c r="F302" s="907">
        <f>3886-2345</f>
        <v>1541</v>
      </c>
      <c r="G302" s="79"/>
      <c r="H302" s="79"/>
      <c r="I302" s="79"/>
      <c r="J302" s="79"/>
      <c r="K302" s="907">
        <f>3934-2345</f>
        <v>1589</v>
      </c>
      <c r="L302" s="79"/>
      <c r="M302" s="79"/>
      <c r="N302" s="79"/>
      <c r="O302" s="79"/>
      <c r="P302" s="907">
        <f>3961-2092</f>
        <v>1869</v>
      </c>
      <c r="Q302" s="79"/>
      <c r="R302" s="79"/>
      <c r="S302" s="79"/>
      <c r="T302" s="79"/>
      <c r="U302" s="907">
        <f>4410-2092</f>
        <v>2318</v>
      </c>
      <c r="V302" s="79"/>
      <c r="W302" s="79"/>
      <c r="X302" s="79"/>
      <c r="Y302" s="79"/>
      <c r="Z302" s="907">
        <f>1461-227</f>
        <v>1234</v>
      </c>
      <c r="AA302" s="79"/>
      <c r="AB302" s="79"/>
      <c r="AC302" s="79"/>
      <c r="AD302" s="79"/>
      <c r="AE302" s="907">
        <f>1272-227</f>
        <v>1045</v>
      </c>
      <c r="AF302" s="883">
        <v>1198</v>
      </c>
      <c r="AG302" s="883">
        <v>993</v>
      </c>
      <c r="AH302" s="883">
        <v>1202</v>
      </c>
      <c r="AI302" s="883">
        <v>1037</v>
      </c>
      <c r="AJ302" s="227">
        <f>1264-227</f>
        <v>1037</v>
      </c>
      <c r="AK302" s="883">
        <v>922</v>
      </c>
      <c r="AL302" s="883">
        <v>3643</v>
      </c>
      <c r="AM302" s="883">
        <v>3401</v>
      </c>
      <c r="AN302" s="883">
        <v>3378</v>
      </c>
      <c r="AO302" s="227">
        <f>15482-12104</f>
        <v>3378</v>
      </c>
      <c r="AP302" s="79"/>
      <c r="AQ302" s="79"/>
      <c r="AR302" s="79"/>
      <c r="AS302" s="79"/>
      <c r="AT302" s="227"/>
      <c r="AU302" s="883">
        <v>3471</v>
      </c>
      <c r="AV302" s="883">
        <v>2966</v>
      </c>
      <c r="AW302" s="883">
        <v>2882</v>
      </c>
      <c r="AX302" s="883">
        <v>5752</v>
      </c>
      <c r="AY302" s="227">
        <f>AY304-AY301-AY300</f>
        <v>5752</v>
      </c>
      <c r="AZ302" s="79">
        <f>AZ304-AZ300-AZ301</f>
        <v>5713</v>
      </c>
      <c r="BA302" s="79">
        <f>BA304-BA300-BA301</f>
        <v>5528</v>
      </c>
      <c r="BB302" s="79">
        <f>BB304-BB300-BB301</f>
        <v>5555</v>
      </c>
      <c r="BC302" s="79">
        <f>BC304-BC300-BC301</f>
        <v>5578</v>
      </c>
      <c r="BD302" s="227">
        <f>BC302</f>
        <v>5578</v>
      </c>
      <c r="BE302" s="79">
        <f>BE304-BE300-BE301</f>
        <v>5703</v>
      </c>
      <c r="BF302" s="79">
        <f>BF304-BF300-BF301</f>
        <v>5751</v>
      </c>
      <c r="BG302" s="79">
        <f>BG304-BG300-BG301</f>
        <v>5854</v>
      </c>
      <c r="BH302" s="79">
        <f>BH304-BH300-BH301</f>
        <v>5780</v>
      </c>
      <c r="BI302" s="227">
        <f>BH302</f>
        <v>5780</v>
      </c>
      <c r="BJ302" s="79">
        <f>BJ304-BJ300-BJ301</f>
        <v>5761</v>
      </c>
      <c r="BK302" s="79">
        <f>BK304-BK300-BK301</f>
        <v>5706</v>
      </c>
      <c r="BL302" s="79">
        <f>BL304-BL300-BL301</f>
        <v>5657</v>
      </c>
      <c r="BM302" s="79">
        <f>BM304-BM300-BM301</f>
        <v>5753</v>
      </c>
      <c r="BN302" s="342">
        <f>BM302</f>
        <v>5753</v>
      </c>
      <c r="BO302" s="79">
        <f>BO304-BO300-BO301</f>
        <v>5764</v>
      </c>
      <c r="BP302" s="79">
        <f>BP304-BP300-BP301</f>
        <v>5860</v>
      </c>
      <c r="BQ302" s="79">
        <f>BQ304-BQ300-BQ301</f>
        <v>5796</v>
      </c>
      <c r="BR302" s="79">
        <f>BR304-BR300-BR301</f>
        <v>5771</v>
      </c>
      <c r="BS302" s="227">
        <f>BR302</f>
        <v>5771</v>
      </c>
      <c r="BT302" s="79">
        <f>BT304-BT300-BT301</f>
        <v>5840</v>
      </c>
      <c r="BU302" s="79">
        <f>BU304-BU300-BU301</f>
        <v>6034</v>
      </c>
      <c r="BV302" s="79">
        <f>BV304-BV300-BV301</f>
        <v>5955</v>
      </c>
      <c r="BW302" s="79">
        <f>BW304-BW300-BW301</f>
        <v>10953</v>
      </c>
      <c r="BX302" s="227">
        <f>BW302</f>
        <v>10953</v>
      </c>
      <c r="BY302" s="79">
        <f>BY304-BY300-BY301</f>
        <v>10655</v>
      </c>
      <c r="BZ302" s="79">
        <f>BZ304-BZ300-BZ301</f>
        <v>9832</v>
      </c>
      <c r="CA302" s="79">
        <f>CA304-CA300-CA301</f>
        <v>9429</v>
      </c>
      <c r="CB302" s="79">
        <f>CB304-CB300-CB301</f>
        <v>9933</v>
      </c>
      <c r="CC302" s="253">
        <f>CB302</f>
        <v>9933</v>
      </c>
      <c r="CD302" s="79">
        <f>CD304-CD300-CD301</f>
        <v>9669</v>
      </c>
      <c r="CE302" s="79">
        <f>CE304-CE300-CE301</f>
        <v>9066</v>
      </c>
      <c r="CF302" s="79">
        <f>CF304-CF300-CF301</f>
        <v>9271</v>
      </c>
      <c r="CG302" s="79">
        <f>CG304-CG300-CG301</f>
        <v>11245</v>
      </c>
      <c r="CH302" s="227">
        <f t="shared" si="1036"/>
        <v>11245</v>
      </c>
      <c r="CI302" s="79">
        <f>CI304-CI300-CI301</f>
        <v>10820</v>
      </c>
      <c r="CJ302" s="79">
        <f>CJ304-CJ300-CJ301</f>
        <v>10227</v>
      </c>
      <c r="CK302" s="79">
        <f>CK304-CK300-CK301</f>
        <v>9720</v>
      </c>
      <c r="CL302" s="79">
        <f>CL304-CL300-CL301</f>
        <v>9641</v>
      </c>
      <c r="CM302" s="227">
        <f t="shared" si="1036"/>
        <v>9641</v>
      </c>
      <c r="CN302" s="79">
        <f>CN304-CN300-CN301</f>
        <v>9968</v>
      </c>
      <c r="CO302" s="79">
        <f>CO304-CO300-CO301</f>
        <v>9477</v>
      </c>
      <c r="CP302" s="79">
        <f>CP304-CP300-CP301</f>
        <v>9151</v>
      </c>
      <c r="CQ302" s="79">
        <f>CQ304-CQ300-CQ301</f>
        <v>9097</v>
      </c>
      <c r="CR302" s="227">
        <f t="shared" si="1037"/>
        <v>9097</v>
      </c>
      <c r="CS302" s="79">
        <f>CS304-CS300-CS301</f>
        <v>9968</v>
      </c>
      <c r="CT302" s="79">
        <f>CT304-CT300-CT301</f>
        <v>9477</v>
      </c>
      <c r="CU302" s="79">
        <f>CU304-CU300-CU301</f>
        <v>9151</v>
      </c>
      <c r="CV302" s="79">
        <f>CV304-CV300-CV301</f>
        <v>9097</v>
      </c>
      <c r="CW302" s="227">
        <f t="shared" si="1038"/>
        <v>9097</v>
      </c>
      <c r="CX302" s="79">
        <f>CX304-CX300-CX301</f>
        <v>9464</v>
      </c>
      <c r="CY302" s="79">
        <f t="shared" ref="CY302:DA302" si="1039">CX302-CY265</f>
        <v>9464</v>
      </c>
      <c r="CZ302" s="79">
        <f t="shared" si="1039"/>
        <v>9464</v>
      </c>
      <c r="DA302" s="79">
        <f t="shared" si="1039"/>
        <v>9464</v>
      </c>
      <c r="DB302" s="227">
        <f t="shared" si="1037"/>
        <v>9464</v>
      </c>
      <c r="DC302" s="79"/>
      <c r="DD302" s="79"/>
      <c r="DE302" s="79"/>
      <c r="DF302" s="79"/>
      <c r="DG302" s="227">
        <f>DB302-DG265</f>
        <v>9464</v>
      </c>
      <c r="DH302" s="79"/>
      <c r="DI302" s="79"/>
      <c r="DJ302" s="79"/>
      <c r="DK302" s="79"/>
      <c r="DL302" s="227">
        <f>DG302-DL265</f>
        <v>9464</v>
      </c>
      <c r="DM302" s="79"/>
      <c r="DN302" s="522"/>
      <c r="DO302" s="486"/>
      <c r="DP302" s="411"/>
      <c r="DQ302" s="411"/>
      <c r="DR302" s="411"/>
      <c r="DS302" s="478"/>
      <c r="DT302" s="478"/>
      <c r="DU302" s="857"/>
      <c r="DV302" s="478"/>
      <c r="DW302" s="478"/>
      <c r="DX302" s="472"/>
      <c r="DY302" s="472"/>
      <c r="DZ302" s="472"/>
      <c r="EA302" s="522"/>
      <c r="EH302" s="8"/>
    </row>
    <row r="303" spans="1:138" ht="12.75" customHeight="1" x14ac:dyDescent="0.2">
      <c r="A303" s="115" t="s">
        <v>242</v>
      </c>
      <c r="B303" s="19"/>
      <c r="C303" s="19"/>
      <c r="D303" s="19"/>
      <c r="E303" s="19"/>
      <c r="F303" s="199">
        <f>F302/F220</f>
        <v>0.11794871794871795</v>
      </c>
      <c r="G303" s="19"/>
      <c r="H303" s="19"/>
      <c r="I303" s="19"/>
      <c r="J303" s="19"/>
      <c r="K303" s="199">
        <f>K302/K220</f>
        <v>0.12057060474998103</v>
      </c>
      <c r="L303" s="19"/>
      <c r="M303" s="19"/>
      <c r="N303" s="19"/>
      <c r="O303" s="19"/>
      <c r="P303" s="199">
        <f>P302/P220</f>
        <v>0.14920964394060354</v>
      </c>
      <c r="Q303" s="19"/>
      <c r="R303" s="19"/>
      <c r="S303" s="19"/>
      <c r="T303" s="19"/>
      <c r="U303" s="199">
        <f>U302/U220</f>
        <v>0.18885448916408668</v>
      </c>
      <c r="V303" s="19"/>
      <c r="W303" s="19"/>
      <c r="X303" s="19"/>
      <c r="Y303" s="19"/>
      <c r="Z303" s="199">
        <f>Z302/Z220</f>
        <v>8.9517591585056219E-2</v>
      </c>
      <c r="AA303" s="19"/>
      <c r="AB303" s="19"/>
      <c r="AC303" s="19"/>
      <c r="AD303" s="19"/>
      <c r="AE303" s="199">
        <f t="shared" ref="AE303:AO303" si="1040">AE302/AE220</f>
        <v>8.0181078799969302E-2</v>
      </c>
      <c r="AF303" s="19">
        <f t="shared" si="1040"/>
        <v>9.100577332117897E-2</v>
      </c>
      <c r="AG303" s="19">
        <f t="shared" si="1040"/>
        <v>7.5056689342403629E-2</v>
      </c>
      <c r="AH303" s="19">
        <f t="shared" si="1040"/>
        <v>8.9909492108609476E-2</v>
      </c>
      <c r="AI303" s="19">
        <f t="shared" si="1040"/>
        <v>7.9518441837282419E-2</v>
      </c>
      <c r="AJ303" s="199">
        <f t="shared" si="1040"/>
        <v>7.9518441837282419E-2</v>
      </c>
      <c r="AK303" s="19">
        <f t="shared" si="1040"/>
        <v>7.1700754335484868E-2</v>
      </c>
      <c r="AL303" s="19">
        <f t="shared" si="1040"/>
        <v>0.28005842558425587</v>
      </c>
      <c r="AM303" s="19">
        <f t="shared" si="1040"/>
        <v>0.25755395683453236</v>
      </c>
      <c r="AN303" s="19">
        <f t="shared" si="1040"/>
        <v>0.25303370786516854</v>
      </c>
      <c r="AO303" s="199">
        <f t="shared" si="1040"/>
        <v>0.25303370786516854</v>
      </c>
      <c r="AP303" s="19"/>
      <c r="AQ303" s="19"/>
      <c r="AR303" s="19"/>
      <c r="AS303" s="19"/>
      <c r="AT303" s="199"/>
      <c r="AU303" s="19">
        <f t="shared" ref="AU303:CM303" si="1041">AU302/AU220</f>
        <v>0.21922566790879808</v>
      </c>
      <c r="AV303" s="19">
        <f t="shared" si="1041"/>
        <v>0.19960966417659332</v>
      </c>
      <c r="AW303" s="19">
        <f t="shared" si="1041"/>
        <v>0.14160770440251572</v>
      </c>
      <c r="AX303" s="19">
        <f t="shared" si="1041"/>
        <v>0.25916914481391368</v>
      </c>
      <c r="AY303" s="199">
        <f t="shared" si="1041"/>
        <v>0.25916914481391368</v>
      </c>
      <c r="AZ303" s="19">
        <f t="shared" si="1041"/>
        <v>0.26269082214456502</v>
      </c>
      <c r="BA303" s="19">
        <f t="shared" si="1041"/>
        <v>0.26145769285342668</v>
      </c>
      <c r="BB303" s="19">
        <f t="shared" si="1041"/>
        <v>0.26780118594224556</v>
      </c>
      <c r="BC303" s="19">
        <f t="shared" si="1041"/>
        <v>0.2708292872402408</v>
      </c>
      <c r="BD303" s="199">
        <f t="shared" si="1041"/>
        <v>0.2708292872402408</v>
      </c>
      <c r="BE303" s="19">
        <f t="shared" si="1041"/>
        <v>0.27868451915559028</v>
      </c>
      <c r="BF303" s="19">
        <f t="shared" si="1041"/>
        <v>0.27905284099179972</v>
      </c>
      <c r="BG303" s="19">
        <f t="shared" si="1041"/>
        <v>0.27798091077449072</v>
      </c>
      <c r="BH303" s="19">
        <f t="shared" si="1041"/>
        <v>0.26891225458267426</v>
      </c>
      <c r="BI303" s="199">
        <f t="shared" si="1041"/>
        <v>0.26891225458267426</v>
      </c>
      <c r="BJ303" s="19">
        <f t="shared" si="1041"/>
        <v>0.26047836505855226</v>
      </c>
      <c r="BK303" s="19">
        <f t="shared" si="1041"/>
        <v>0.25127708296635548</v>
      </c>
      <c r="BL303" s="19">
        <f t="shared" si="1041"/>
        <v>0.24529529095481745</v>
      </c>
      <c r="BM303" s="19">
        <f t="shared" si="1041"/>
        <v>0.24831664364640885</v>
      </c>
      <c r="BN303" s="582">
        <f t="shared" si="1041"/>
        <v>0.24831664364640885</v>
      </c>
      <c r="BO303" s="19">
        <f t="shared" si="1041"/>
        <v>0.24725463280713794</v>
      </c>
      <c r="BP303" s="19">
        <f t="shared" si="1041"/>
        <v>0.24886397417930098</v>
      </c>
      <c r="BQ303" s="19">
        <f t="shared" si="1041"/>
        <v>0.24435075885328836</v>
      </c>
      <c r="BR303" s="19">
        <f t="shared" si="1041"/>
        <v>0.24153517766709914</v>
      </c>
      <c r="BS303" s="602">
        <f t="shared" si="1041"/>
        <v>0.24153517766709914</v>
      </c>
      <c r="BT303" s="19">
        <f t="shared" si="1041"/>
        <v>0.24363788068418857</v>
      </c>
      <c r="BU303" s="19">
        <f t="shared" si="1041"/>
        <v>0.25106099692102857</v>
      </c>
      <c r="BV303" s="19">
        <f t="shared" si="1041"/>
        <v>0.24487026604712364</v>
      </c>
      <c r="BW303" s="19">
        <f t="shared" si="1041"/>
        <v>0.44571498331569953</v>
      </c>
      <c r="BX303" s="602">
        <f t="shared" si="1041"/>
        <v>0.44571498331569953</v>
      </c>
      <c r="BY303" s="19">
        <f t="shared" si="1041"/>
        <v>0.4312368463655496</v>
      </c>
      <c r="BZ303" s="19">
        <f t="shared" si="1041"/>
        <v>0.39137011384443915</v>
      </c>
      <c r="CA303" s="19">
        <f t="shared" si="1041"/>
        <v>0.37103057490260888</v>
      </c>
      <c r="CB303" s="19">
        <f t="shared" si="1041"/>
        <v>0.38541828340835016</v>
      </c>
      <c r="CC303" s="602">
        <f t="shared" si="1041"/>
        <v>0.38541828340835016</v>
      </c>
      <c r="CD303" s="19">
        <f t="shared" si="1041"/>
        <v>0.37337812789620017</v>
      </c>
      <c r="CE303" s="19">
        <f t="shared" si="1041"/>
        <v>0.34776938125743218</v>
      </c>
      <c r="CF303" s="19">
        <f t="shared" si="1041"/>
        <v>0.35220149678987955</v>
      </c>
      <c r="CG303" s="19">
        <f t="shared" si="1041"/>
        <v>0.42719294913193784</v>
      </c>
      <c r="CH303" s="602">
        <f t="shared" si="1041"/>
        <v>0.42719294913193784</v>
      </c>
      <c r="CI303" s="19">
        <f t="shared" si="1041"/>
        <v>0.4058210186782687</v>
      </c>
      <c r="CJ303" s="19">
        <f t="shared" si="1041"/>
        <v>0.38293331336353764</v>
      </c>
      <c r="CK303" s="19">
        <f t="shared" si="1041"/>
        <v>0.36371800628648404</v>
      </c>
      <c r="CL303" s="19">
        <f t="shared" si="1041"/>
        <v>0.34989475212310372</v>
      </c>
      <c r="CM303" s="602">
        <f t="shared" si="1041"/>
        <v>0.34989475212310372</v>
      </c>
      <c r="CN303" s="19">
        <f t="shared" ref="CN303:CR303" si="1042">CN302/CN220</f>
        <v>0.35695613249776187</v>
      </c>
      <c r="CO303" s="19">
        <f t="shared" si="1042"/>
        <v>0.33318098720292505</v>
      </c>
      <c r="CP303" s="19">
        <f t="shared" si="1042"/>
        <v>0.31496523714462726</v>
      </c>
      <c r="CQ303" s="19">
        <f t="shared" si="1042"/>
        <v>0.30944281923940403</v>
      </c>
      <c r="CR303" s="602">
        <f t="shared" si="1042"/>
        <v>0.30944281923940403</v>
      </c>
      <c r="CS303" s="19">
        <f t="shared" ref="CS303:CW303" si="1043">CS302/CS220</f>
        <v>0.34153361200575616</v>
      </c>
      <c r="CT303" s="19">
        <f t="shared" si="1043"/>
        <v>0.32752978570110086</v>
      </c>
      <c r="CU303" s="19">
        <f t="shared" si="1043"/>
        <v>0.31959099728330542</v>
      </c>
      <c r="CV303" s="19">
        <f t="shared" si="1043"/>
        <v>0.32287229464818074</v>
      </c>
      <c r="CW303" s="602">
        <f t="shared" si="1043"/>
        <v>0.32287229464818074</v>
      </c>
      <c r="CX303" s="19">
        <f t="shared" ref="CX303:DB303" si="1044">CX302/CX220</f>
        <v>0.31941678760673664</v>
      </c>
      <c r="CY303" s="19">
        <f t="shared" si="1044"/>
        <v>0.31757775419134993</v>
      </c>
      <c r="CZ303" s="19">
        <f t="shared" si="1044"/>
        <v>0.31877192495391637</v>
      </c>
      <c r="DA303" s="658">
        <f t="shared" si="1044"/>
        <v>0.32276909772554369</v>
      </c>
      <c r="DB303" s="602">
        <f t="shared" si="1044"/>
        <v>0.32276909772554369</v>
      </c>
      <c r="DC303" s="116"/>
      <c r="DD303" s="116"/>
      <c r="DE303" s="116"/>
      <c r="DF303" s="116"/>
      <c r="DG303" s="602">
        <f>DG302/DG220</f>
        <v>0.31017153371816242</v>
      </c>
      <c r="DH303" s="116"/>
      <c r="DI303" s="116"/>
      <c r="DJ303" s="116"/>
      <c r="DK303" s="116"/>
      <c r="DL303" s="602">
        <f>DL302/DL220</f>
        <v>0.29842078660860016</v>
      </c>
      <c r="DM303" s="19"/>
      <c r="DN303" s="527"/>
      <c r="DO303" s="486"/>
      <c r="DP303" s="411"/>
      <c r="DQ303" s="411"/>
      <c r="DR303" s="411"/>
      <c r="DS303" s="478"/>
      <c r="DT303" s="478"/>
      <c r="DU303" s="857"/>
      <c r="DV303" s="478"/>
      <c r="DW303" s="478"/>
      <c r="DX303" s="460"/>
      <c r="DY303" s="460"/>
      <c r="DZ303" s="460"/>
      <c r="EA303" s="527"/>
      <c r="EH303" s="8"/>
    </row>
    <row r="304" spans="1:138" ht="12.75" customHeight="1" x14ac:dyDescent="0.2">
      <c r="A304" s="408" t="s">
        <v>124</v>
      </c>
      <c r="B304" s="408"/>
      <c r="C304" s="408"/>
      <c r="D304" s="408"/>
      <c r="E304" s="408"/>
      <c r="F304" s="409">
        <f>F302+F301+F300</f>
        <v>18726</v>
      </c>
      <c r="G304" s="408"/>
      <c r="H304" s="408"/>
      <c r="I304" s="408"/>
      <c r="J304" s="408"/>
      <c r="K304" s="409">
        <f>K302+K301+K300</f>
        <v>20038</v>
      </c>
      <c r="L304" s="408"/>
      <c r="M304" s="408"/>
      <c r="N304" s="408"/>
      <c r="O304" s="408"/>
      <c r="P304" s="409">
        <f>P302+P301+P300</f>
        <v>20818</v>
      </c>
      <c r="Q304" s="408"/>
      <c r="R304" s="408"/>
      <c r="S304" s="408"/>
      <c r="T304" s="408"/>
      <c r="U304" s="409">
        <f>U302+U301+U300</f>
        <v>21389</v>
      </c>
      <c r="V304" s="408"/>
      <c r="W304" s="408"/>
      <c r="X304" s="408"/>
      <c r="Y304" s="408"/>
      <c r="Z304" s="409">
        <f>Z302+Z301+Z300</f>
        <v>18195</v>
      </c>
      <c r="AA304" s="408"/>
      <c r="AB304" s="408"/>
      <c r="AC304" s="408"/>
      <c r="AD304" s="408"/>
      <c r="AE304" s="409">
        <f t="shared" ref="AE304:AO304" si="1045">AE302+AE301+AE300</f>
        <v>15559</v>
      </c>
      <c r="AF304" s="408">
        <f t="shared" si="1045"/>
        <v>15451</v>
      </c>
      <c r="AG304" s="408">
        <f t="shared" si="1045"/>
        <v>14835</v>
      </c>
      <c r="AH304" s="408">
        <f t="shared" si="1045"/>
        <v>14800</v>
      </c>
      <c r="AI304" s="408">
        <f t="shared" si="1045"/>
        <v>14237</v>
      </c>
      <c r="AJ304" s="409">
        <f t="shared" si="1045"/>
        <v>14237</v>
      </c>
      <c r="AK304" s="408">
        <f t="shared" si="1045"/>
        <v>13677</v>
      </c>
      <c r="AL304" s="408">
        <f t="shared" si="1045"/>
        <v>27485</v>
      </c>
      <c r="AM304" s="408">
        <f t="shared" si="1045"/>
        <v>27128</v>
      </c>
      <c r="AN304" s="408">
        <f t="shared" si="1045"/>
        <v>27183</v>
      </c>
      <c r="AO304" s="409">
        <f t="shared" si="1045"/>
        <v>27183</v>
      </c>
      <c r="AP304" s="408"/>
      <c r="AQ304" s="408"/>
      <c r="AR304" s="408"/>
      <c r="AS304" s="408"/>
      <c r="AT304" s="409"/>
      <c r="AU304" s="408">
        <f t="shared" ref="AU304:BC304" si="1046">AU305-AU296</f>
        <v>21426</v>
      </c>
      <c r="AV304" s="408">
        <f t="shared" si="1046"/>
        <v>20484</v>
      </c>
      <c r="AW304" s="408">
        <f t="shared" si="1046"/>
        <v>20110</v>
      </c>
      <c r="AX304" s="408">
        <f t="shared" si="1046"/>
        <v>36110</v>
      </c>
      <c r="AY304" s="409">
        <f t="shared" si="1046"/>
        <v>36110</v>
      </c>
      <c r="AZ304" s="408">
        <f t="shared" si="1046"/>
        <v>36338</v>
      </c>
      <c r="BA304" s="408">
        <f t="shared" si="1046"/>
        <v>36181</v>
      </c>
      <c r="BB304" s="408">
        <f t="shared" si="1046"/>
        <v>35991</v>
      </c>
      <c r="BC304" s="408">
        <f t="shared" si="1046"/>
        <v>35798</v>
      </c>
      <c r="BD304" s="409">
        <f>BD302+BD301+BD300</f>
        <v>35798</v>
      </c>
      <c r="BE304" s="408">
        <f>BE305-BE296</f>
        <v>35978</v>
      </c>
      <c r="BF304" s="408">
        <f>BF305-BF296</f>
        <v>35941</v>
      </c>
      <c r="BG304" s="408">
        <f>BG305-BG296</f>
        <v>35832</v>
      </c>
      <c r="BH304" s="408">
        <f>BH305-BH296</f>
        <v>35881</v>
      </c>
      <c r="BI304" s="409">
        <f>BI302+BI301+BI300</f>
        <v>35881</v>
      </c>
      <c r="BJ304" s="408">
        <f>BJ305-BJ296</f>
        <v>35888</v>
      </c>
      <c r="BK304" s="408">
        <f>BK305-BK296</f>
        <v>35815</v>
      </c>
      <c r="BL304" s="408">
        <f>BL305-BL296</f>
        <v>35707</v>
      </c>
      <c r="BM304" s="408">
        <f>BM305-BM296</f>
        <v>35770</v>
      </c>
      <c r="BN304" s="410">
        <f>BN302+BN301+BN300</f>
        <v>35770</v>
      </c>
      <c r="BO304" s="408">
        <f>BO305-BO296</f>
        <v>35890</v>
      </c>
      <c r="BP304" s="408">
        <f>BP305-BP296</f>
        <v>36263</v>
      </c>
      <c r="BQ304" s="408">
        <f>BQ305-BQ296</f>
        <v>36189</v>
      </c>
      <c r="BR304" s="408">
        <f>BR305-BR296</f>
        <v>36278</v>
      </c>
      <c r="BS304" s="409">
        <f>BS302+BS301+BS300</f>
        <v>36278</v>
      </c>
      <c r="BT304" s="408">
        <f>BT305-BT296</f>
        <v>36427</v>
      </c>
      <c r="BU304" s="408">
        <f>BU305-BU296</f>
        <v>36877</v>
      </c>
      <c r="BV304" s="408">
        <f>BV305-BV296</f>
        <v>37046</v>
      </c>
      <c r="BW304" s="408">
        <f>BW305-BW296</f>
        <v>42601</v>
      </c>
      <c r="BX304" s="409">
        <f>BX302+BX301+BX300</f>
        <v>42601</v>
      </c>
      <c r="BY304" s="408">
        <f>BY305-BY296</f>
        <v>42421</v>
      </c>
      <c r="BZ304" s="408">
        <f>BZ305-BZ296</f>
        <v>41674</v>
      </c>
      <c r="CA304" s="408">
        <f>CA305-CA296</f>
        <v>40945</v>
      </c>
      <c r="CB304" s="408">
        <f>CB305-CB296</f>
        <v>41656</v>
      </c>
      <c r="CC304" s="409">
        <f>CC302+CC301+CC300</f>
        <v>41656</v>
      </c>
      <c r="CD304" s="408">
        <f>CD305-CD296</f>
        <v>41486</v>
      </c>
      <c r="CE304" s="408">
        <f>CE305-CE296</f>
        <v>41340</v>
      </c>
      <c r="CF304" s="408">
        <f>CF305-CF296</f>
        <v>41673</v>
      </c>
      <c r="CG304" s="408">
        <f>CG305-CG296</f>
        <v>44078</v>
      </c>
      <c r="CH304" s="409">
        <f t="shared" ref="CH304:CM304" si="1047">CH302+CH301+CH300</f>
        <v>44078</v>
      </c>
      <c r="CI304" s="408">
        <f>CI305-CI296</f>
        <v>44036</v>
      </c>
      <c r="CJ304" s="408">
        <f>CJ305-CJ296</f>
        <v>43996</v>
      </c>
      <c r="CK304" s="408">
        <f>CK305-CK296</f>
        <v>43619</v>
      </c>
      <c r="CL304" s="408">
        <f>CL305-CL296</f>
        <v>43810</v>
      </c>
      <c r="CM304" s="409">
        <f t="shared" si="1047"/>
        <v>43810</v>
      </c>
      <c r="CN304" s="408">
        <f>CN305-CN296</f>
        <v>44579</v>
      </c>
      <c r="CO304" s="408">
        <f>CO305-CO296</f>
        <v>44638</v>
      </c>
      <c r="CP304" s="408">
        <f>CP305-CP296</f>
        <v>44845</v>
      </c>
      <c r="CQ304" s="408">
        <f>CQ305-CQ296</f>
        <v>45454</v>
      </c>
      <c r="CR304" s="409">
        <f t="shared" ref="CR304" si="1048">CR302+CR301+CR300</f>
        <v>45454</v>
      </c>
      <c r="CS304" s="408">
        <f>CS305-CS296</f>
        <v>44579</v>
      </c>
      <c r="CT304" s="408">
        <f>CT305-CT296</f>
        <v>44638</v>
      </c>
      <c r="CU304" s="408">
        <f>CU305-CU296</f>
        <v>44845</v>
      </c>
      <c r="CV304" s="408">
        <f>CV305-CV296</f>
        <v>45454</v>
      </c>
      <c r="CW304" s="409">
        <f t="shared" ref="CW304" si="1049">CW302+CW301+CW300</f>
        <v>45454</v>
      </c>
      <c r="CX304" s="408">
        <f>CX305-CX296</f>
        <v>46354</v>
      </c>
      <c r="CY304" s="408">
        <f t="shared" ref="CY304:DB304" si="1050">CY302+CY301+CY300</f>
        <v>46753.97</v>
      </c>
      <c r="CZ304" s="408">
        <f t="shared" si="1050"/>
        <v>47148.71</v>
      </c>
      <c r="DA304" s="659">
        <f t="shared" si="1050"/>
        <v>47283.22</v>
      </c>
      <c r="DB304" s="409">
        <f t="shared" si="1050"/>
        <v>47283.22</v>
      </c>
      <c r="DC304" s="408"/>
      <c r="DD304" s="408"/>
      <c r="DE304" s="408"/>
      <c r="DF304" s="408"/>
      <c r="DG304" s="409">
        <f>DG302+DG301+DG300</f>
        <v>48782.887699999999</v>
      </c>
      <c r="DH304" s="408"/>
      <c r="DI304" s="408"/>
      <c r="DJ304" s="408"/>
      <c r="DK304" s="408"/>
      <c r="DL304" s="409">
        <f>DL302+DL301+DL300</f>
        <v>50220.047092499997</v>
      </c>
      <c r="DM304" s="79"/>
      <c r="DN304" s="522"/>
      <c r="DO304" s="486"/>
      <c r="DP304" s="411"/>
      <c r="DQ304" s="411"/>
      <c r="DR304" s="411"/>
      <c r="DS304" s="480"/>
      <c r="DT304" s="480"/>
      <c r="DU304" s="857"/>
      <c r="DV304" s="478"/>
      <c r="DW304" s="478"/>
      <c r="DX304" s="472"/>
      <c r="DY304" s="472"/>
      <c r="DZ304" s="472"/>
      <c r="EA304" s="522"/>
      <c r="EH304" s="8"/>
    </row>
    <row r="305" spans="1:138" ht="12.75" customHeight="1" x14ac:dyDescent="0.2">
      <c r="A305" s="165" t="s">
        <v>209</v>
      </c>
      <c r="B305" s="882"/>
      <c r="C305" s="882"/>
      <c r="D305" s="882"/>
      <c r="E305" s="882"/>
      <c r="F305" s="249">
        <f>F304+F296</f>
        <v>21931</v>
      </c>
      <c r="G305" s="882"/>
      <c r="H305" s="882"/>
      <c r="I305" s="882"/>
      <c r="J305" s="882"/>
      <c r="K305" s="249">
        <f>K304+K296</f>
        <v>23605</v>
      </c>
      <c r="L305" s="882"/>
      <c r="M305" s="882"/>
      <c r="N305" s="882"/>
      <c r="O305" s="882"/>
      <c r="P305" s="249">
        <f>P304+P296</f>
        <v>24720</v>
      </c>
      <c r="Q305" s="882"/>
      <c r="R305" s="882"/>
      <c r="S305" s="882"/>
      <c r="T305" s="882"/>
      <c r="U305" s="249">
        <f>U304+U296</f>
        <v>26356</v>
      </c>
      <c r="V305" s="882"/>
      <c r="W305" s="882"/>
      <c r="X305" s="882"/>
      <c r="Y305" s="882"/>
      <c r="Z305" s="249">
        <f>Z304+Z296</f>
        <v>21801</v>
      </c>
      <c r="AA305" s="882"/>
      <c r="AB305" s="882"/>
      <c r="AC305" s="882"/>
      <c r="AD305" s="882"/>
      <c r="AE305" s="249">
        <f>AE304+AE296</f>
        <v>20039</v>
      </c>
      <c r="AF305" s="882">
        <v>20558</v>
      </c>
      <c r="AG305" s="882">
        <v>20737</v>
      </c>
      <c r="AH305" s="882">
        <v>20681</v>
      </c>
      <c r="AI305" s="882">
        <v>19622</v>
      </c>
      <c r="AJ305" s="249">
        <f>AJ304+AJ296</f>
        <v>19622</v>
      </c>
      <c r="AK305" s="882">
        <v>19811</v>
      </c>
      <c r="AL305" s="882">
        <v>33734</v>
      </c>
      <c r="AM305" s="882">
        <v>32773</v>
      </c>
      <c r="AN305" s="882">
        <v>32423</v>
      </c>
      <c r="AO305" s="249">
        <f>AO304+AO296</f>
        <v>32423</v>
      </c>
      <c r="AP305" s="882"/>
      <c r="AQ305" s="882"/>
      <c r="AR305" s="882"/>
      <c r="AS305" s="882"/>
      <c r="AT305" s="249"/>
      <c r="AU305" s="882">
        <v>26755</v>
      </c>
      <c r="AV305" s="882">
        <v>27651</v>
      </c>
      <c r="AW305" s="882">
        <v>25598</v>
      </c>
      <c r="AX305" s="882">
        <v>45014</v>
      </c>
      <c r="AY305" s="249">
        <v>45014</v>
      </c>
      <c r="AZ305" s="882">
        <v>44395</v>
      </c>
      <c r="BA305" s="882">
        <v>44480</v>
      </c>
      <c r="BB305" s="882">
        <v>44853</v>
      </c>
      <c r="BC305" s="882">
        <v>43539</v>
      </c>
      <c r="BD305" s="249">
        <f>BD304+BD296</f>
        <v>43539</v>
      </c>
      <c r="BE305" s="882">
        <v>44339</v>
      </c>
      <c r="BF305" s="882">
        <v>43809</v>
      </c>
      <c r="BG305" s="882">
        <v>43153</v>
      </c>
      <c r="BH305" s="882">
        <v>43188</v>
      </c>
      <c r="BI305" s="249">
        <f>BI304+BI296</f>
        <v>43188</v>
      </c>
      <c r="BJ305" s="882">
        <v>43881</v>
      </c>
      <c r="BK305" s="882">
        <v>43878</v>
      </c>
      <c r="BL305" s="882">
        <v>43036</v>
      </c>
      <c r="BM305" s="882">
        <v>43499</v>
      </c>
      <c r="BN305" s="364">
        <f>BN304+BN296</f>
        <v>43499</v>
      </c>
      <c r="BO305" s="882">
        <v>44189</v>
      </c>
      <c r="BP305" s="882">
        <v>44720</v>
      </c>
      <c r="BQ305" s="882">
        <v>44352</v>
      </c>
      <c r="BR305" s="882">
        <v>44550</v>
      </c>
      <c r="BS305" s="249">
        <f>BS304+BS296</f>
        <v>44550</v>
      </c>
      <c r="BT305" s="882">
        <v>45068</v>
      </c>
      <c r="BU305" s="882">
        <v>45772</v>
      </c>
      <c r="BV305" s="882">
        <v>45997</v>
      </c>
      <c r="BW305" s="882">
        <v>52252</v>
      </c>
      <c r="BX305" s="249">
        <f>BX304+BX296</f>
        <v>52252</v>
      </c>
      <c r="BY305" s="882">
        <v>52167</v>
      </c>
      <c r="BZ305" s="882">
        <v>52191</v>
      </c>
      <c r="CA305" s="882">
        <v>51940</v>
      </c>
      <c r="CB305" s="882">
        <v>54121</v>
      </c>
      <c r="CC305" s="249">
        <f>CC304+CC296</f>
        <v>54121</v>
      </c>
      <c r="CD305" s="882">
        <v>53752</v>
      </c>
      <c r="CE305" s="882">
        <v>52781</v>
      </c>
      <c r="CF305" s="882">
        <v>53646</v>
      </c>
      <c r="CG305" s="882">
        <v>53134</v>
      </c>
      <c r="CH305" s="249">
        <f t="shared" ref="CH305:CM305" si="1051">CH304+CH296</f>
        <v>53134</v>
      </c>
      <c r="CI305" s="882">
        <v>53342</v>
      </c>
      <c r="CJ305" s="882">
        <v>51634</v>
      </c>
      <c r="CK305" s="882">
        <v>50948</v>
      </c>
      <c r="CL305" s="882">
        <v>51261</v>
      </c>
      <c r="CM305" s="249">
        <f t="shared" si="1051"/>
        <v>51261</v>
      </c>
      <c r="CN305" s="882">
        <v>51459</v>
      </c>
      <c r="CO305" s="882">
        <v>51815</v>
      </c>
      <c r="CP305" s="882">
        <v>51928</v>
      </c>
      <c r="CQ305" s="882">
        <v>53298</v>
      </c>
      <c r="CR305" s="249">
        <f t="shared" ref="CR305" si="1052">CR304+CR296</f>
        <v>53298</v>
      </c>
      <c r="CS305" s="882">
        <v>51459</v>
      </c>
      <c r="CT305" s="882">
        <v>51815</v>
      </c>
      <c r="CU305" s="882">
        <v>51928</v>
      </c>
      <c r="CV305" s="882">
        <v>53298</v>
      </c>
      <c r="CW305" s="249">
        <f t="shared" ref="CW305" si="1053">CW304+CW296</f>
        <v>53298</v>
      </c>
      <c r="CX305" s="882">
        <v>54078</v>
      </c>
      <c r="CY305" s="187">
        <f t="shared" ref="CY305:DB305" si="1054">CY304+CY296</f>
        <v>52883.023395387921</v>
      </c>
      <c r="CZ305" s="187">
        <f t="shared" si="1054"/>
        <v>53185.425502031125</v>
      </c>
      <c r="DA305" s="660">
        <f t="shared" si="1054"/>
        <v>54605.84583357544</v>
      </c>
      <c r="DB305" s="249">
        <f t="shared" si="1054"/>
        <v>54605.84583357544</v>
      </c>
      <c r="DC305" s="187"/>
      <c r="DD305" s="187"/>
      <c r="DE305" s="187"/>
      <c r="DF305" s="187"/>
      <c r="DG305" s="249">
        <f>DG304+DG296</f>
        <v>56087.305129806395</v>
      </c>
      <c r="DH305" s="187"/>
      <c r="DI305" s="187"/>
      <c r="DJ305" s="187"/>
      <c r="DK305" s="187"/>
      <c r="DL305" s="249">
        <f>DL304+DL296</f>
        <v>58072.373506670396</v>
      </c>
      <c r="DM305" s="79"/>
      <c r="DN305" s="522"/>
      <c r="DO305" s="486"/>
      <c r="DP305" s="411"/>
      <c r="DQ305" s="411"/>
      <c r="DR305" s="411"/>
      <c r="DS305" s="478"/>
      <c r="DT305" s="478"/>
      <c r="DU305" s="857"/>
      <c r="DV305" s="478"/>
      <c r="DW305" s="478"/>
      <c r="DX305" s="472"/>
      <c r="DY305" s="472"/>
      <c r="DZ305" s="472"/>
      <c r="EA305" s="522"/>
      <c r="EH305" s="406"/>
    </row>
    <row r="306" spans="1:138" ht="12.75" customHeight="1" x14ac:dyDescent="0.2">
      <c r="A306" s="5" t="s">
        <v>233</v>
      </c>
      <c r="B306" s="5"/>
      <c r="C306" s="5"/>
      <c r="D306" s="5"/>
      <c r="E306" s="5"/>
      <c r="F306" s="197"/>
      <c r="G306" s="5"/>
      <c r="H306" s="5"/>
      <c r="I306" s="5"/>
      <c r="J306" s="5"/>
      <c r="K306" s="197"/>
      <c r="L306" s="5"/>
      <c r="M306" s="5"/>
      <c r="N306" s="5"/>
      <c r="O306" s="5"/>
      <c r="P306" s="197"/>
      <c r="Q306" s="5"/>
      <c r="R306" s="5"/>
      <c r="S306" s="5"/>
      <c r="T306" s="5"/>
      <c r="U306" s="197"/>
      <c r="V306" s="5"/>
      <c r="W306" s="5"/>
      <c r="X306" s="5"/>
      <c r="Y306" s="5"/>
      <c r="Z306" s="197"/>
      <c r="AA306" s="5"/>
      <c r="AB306" s="5"/>
      <c r="AC306" s="5"/>
      <c r="AD306" s="5"/>
      <c r="AE306" s="197"/>
      <c r="AF306" s="5"/>
      <c r="AG306" s="5"/>
      <c r="AH306" s="5"/>
      <c r="AI306" s="5"/>
      <c r="AJ306" s="197"/>
      <c r="AK306" s="5"/>
      <c r="AL306" s="5"/>
      <c r="AM306" s="5"/>
      <c r="AN306" s="5"/>
      <c r="AO306" s="197"/>
      <c r="AP306" s="5"/>
      <c r="AQ306" s="5"/>
      <c r="AR306" s="5"/>
      <c r="AS306" s="5"/>
      <c r="AT306" s="197"/>
      <c r="AU306" s="5"/>
      <c r="AV306" s="5"/>
      <c r="AW306" s="5"/>
      <c r="AX306" s="5"/>
      <c r="AY306" s="197"/>
      <c r="AZ306" s="5"/>
      <c r="BA306" s="5"/>
      <c r="BB306" s="5"/>
      <c r="BC306" s="5"/>
      <c r="BD306" s="197"/>
      <c r="BE306" s="5"/>
      <c r="BF306" s="5"/>
      <c r="BG306" s="5"/>
      <c r="BH306" s="5"/>
      <c r="BI306" s="197"/>
      <c r="BJ306" s="5"/>
      <c r="BK306" s="5"/>
      <c r="BL306" s="5"/>
      <c r="BM306" s="5"/>
      <c r="BN306" s="315"/>
      <c r="BO306" s="5"/>
      <c r="BP306" s="5"/>
      <c r="BQ306" s="5"/>
      <c r="BR306" s="5"/>
      <c r="BS306" s="197"/>
      <c r="BT306" s="5"/>
      <c r="BU306" s="5"/>
      <c r="BV306" s="5"/>
      <c r="BW306" s="5"/>
      <c r="BX306" s="197"/>
      <c r="BY306" s="5"/>
      <c r="BZ306" s="5"/>
      <c r="CA306" s="5"/>
      <c r="CB306" s="5"/>
      <c r="CC306" s="197"/>
      <c r="CD306" s="5"/>
      <c r="CE306" s="5"/>
      <c r="CF306" s="5"/>
      <c r="CG306" s="5"/>
      <c r="CH306" s="197"/>
      <c r="CI306" s="5"/>
      <c r="CJ306" s="5"/>
      <c r="CK306" s="5"/>
      <c r="CL306" s="5"/>
      <c r="CM306" s="197"/>
      <c r="CN306" s="5"/>
      <c r="CO306" s="5"/>
      <c r="CP306" s="5"/>
      <c r="CQ306" s="5"/>
      <c r="CR306" s="197"/>
      <c r="CS306" s="5"/>
      <c r="CT306" s="5"/>
      <c r="CU306" s="5"/>
      <c r="CV306" s="5"/>
      <c r="CW306" s="197"/>
      <c r="CX306" s="5"/>
      <c r="CY306" s="5"/>
      <c r="CZ306" s="5"/>
      <c r="DA306" s="5"/>
      <c r="DB306" s="197"/>
      <c r="DC306" s="5"/>
      <c r="DD306" s="5"/>
      <c r="DE306" s="5"/>
      <c r="DF306" s="5"/>
      <c r="DG306" s="197"/>
      <c r="DH306" s="5"/>
      <c r="DI306" s="5"/>
      <c r="DJ306" s="5"/>
      <c r="DK306" s="5"/>
      <c r="DL306" s="197"/>
      <c r="DM306" s="413"/>
      <c r="DN306" s="4"/>
      <c r="DO306" s="487"/>
      <c r="DP306" s="413"/>
      <c r="DQ306" s="413"/>
      <c r="DR306" s="413"/>
      <c r="DS306" s="478"/>
      <c r="DT306" s="478"/>
      <c r="DU306" s="857"/>
      <c r="DV306" s="478"/>
      <c r="DW306" s="478"/>
      <c r="DX306" s="458"/>
      <c r="DY306" s="458"/>
      <c r="DZ306" s="458"/>
      <c r="EA306" s="4"/>
      <c r="EH306" s="5"/>
    </row>
    <row r="307" spans="1:138" ht="12.75" customHeight="1" x14ac:dyDescent="0.2">
      <c r="A307" s="171" t="s">
        <v>125</v>
      </c>
      <c r="B307" s="885"/>
      <c r="C307" s="885"/>
      <c r="D307" s="885"/>
      <c r="E307" s="885"/>
      <c r="F307" s="909">
        <f>102</f>
        <v>102</v>
      </c>
      <c r="G307" s="885"/>
      <c r="H307" s="885"/>
      <c r="I307" s="885"/>
      <c r="J307" s="885"/>
      <c r="K307" s="909">
        <f>765+291</f>
        <v>1056</v>
      </c>
      <c r="L307" s="885"/>
      <c r="M307" s="885"/>
      <c r="N307" s="885"/>
      <c r="O307" s="885"/>
      <c r="P307" s="909">
        <v>693</v>
      </c>
      <c r="Q307" s="885"/>
      <c r="R307" s="885"/>
      <c r="S307" s="885"/>
      <c r="T307" s="885"/>
      <c r="U307" s="909">
        <v>1021</v>
      </c>
      <c r="V307" s="885"/>
      <c r="W307" s="885"/>
      <c r="X307" s="885"/>
      <c r="Y307" s="885"/>
      <c r="Z307" s="909">
        <v>893</v>
      </c>
      <c r="AA307" s="885"/>
      <c r="AB307" s="885"/>
      <c r="AC307" s="885"/>
      <c r="AD307" s="885"/>
      <c r="AE307" s="909">
        <v>1186</v>
      </c>
      <c r="AF307" s="885">
        <v>1302</v>
      </c>
      <c r="AG307" s="885">
        <v>1399</v>
      </c>
      <c r="AH307" s="885">
        <v>1359</v>
      </c>
      <c r="AI307" s="885">
        <v>1503</v>
      </c>
      <c r="AJ307" s="306">
        <v>1503</v>
      </c>
      <c r="AK307" s="885">
        <v>3219</v>
      </c>
      <c r="AL307" s="885">
        <v>1386</v>
      </c>
      <c r="AM307" s="885">
        <v>904</v>
      </c>
      <c r="AN307" s="885">
        <v>1014</v>
      </c>
      <c r="AO307" s="306">
        <v>1014</v>
      </c>
      <c r="AP307" s="885"/>
      <c r="AQ307" s="885"/>
      <c r="AR307" s="885"/>
      <c r="AS307" s="885"/>
      <c r="AT307" s="306"/>
      <c r="AU307" s="885">
        <v>732</v>
      </c>
      <c r="AV307" s="885">
        <v>796</v>
      </c>
      <c r="AW307" s="885">
        <v>865</v>
      </c>
      <c r="AX307" s="885">
        <v>1160</v>
      </c>
      <c r="AY307" s="306">
        <v>1160</v>
      </c>
      <c r="AZ307" s="885">
        <v>1853</v>
      </c>
      <c r="BA307" s="885">
        <v>1824</v>
      </c>
      <c r="BB307" s="885">
        <f>1029</f>
        <v>1029</v>
      </c>
      <c r="BC307" s="885">
        <v>1533</v>
      </c>
      <c r="BD307" s="306">
        <f>BC307</f>
        <v>1533</v>
      </c>
      <c r="BE307" s="885">
        <v>1665</v>
      </c>
      <c r="BF307" s="885">
        <v>1555</v>
      </c>
      <c r="BG307" s="885">
        <v>2302</v>
      </c>
      <c r="BH307" s="885">
        <v>2073</v>
      </c>
      <c r="BI307" s="306">
        <f>BH307</f>
        <v>2073</v>
      </c>
      <c r="BJ307" s="885">
        <v>1723</v>
      </c>
      <c r="BK307" s="885">
        <v>1635</v>
      </c>
      <c r="BL307" s="885">
        <v>1937</v>
      </c>
      <c r="BM307" s="885">
        <v>1944</v>
      </c>
      <c r="BN307" s="374">
        <f>BM307</f>
        <v>1944</v>
      </c>
      <c r="BO307" s="885">
        <v>1855</v>
      </c>
      <c r="BP307" s="885">
        <v>1779</v>
      </c>
      <c r="BQ307" s="885">
        <v>1546</v>
      </c>
      <c r="BR307" s="885">
        <v>1627</v>
      </c>
      <c r="BS307" s="306">
        <f>BR307</f>
        <v>1627</v>
      </c>
      <c r="BT307" s="885">
        <v>1593</v>
      </c>
      <c r="BU307" s="885">
        <v>1695</v>
      </c>
      <c r="BV307" s="885">
        <v>1823</v>
      </c>
      <c r="BW307" s="885">
        <v>1547</v>
      </c>
      <c r="BX307" s="306">
        <f>BW307</f>
        <v>1547</v>
      </c>
      <c r="BY307" s="885">
        <v>1578</v>
      </c>
      <c r="BZ307" s="885">
        <v>1233</v>
      </c>
      <c r="CA307" s="885">
        <v>1169</v>
      </c>
      <c r="CB307" s="885">
        <v>1216</v>
      </c>
      <c r="CC307" s="306">
        <f t="shared" ref="CC307:CM307" si="1055">CB307</f>
        <v>1216</v>
      </c>
      <c r="CD307" s="885">
        <v>1216</v>
      </c>
      <c r="CE307" s="885">
        <v>1659</v>
      </c>
      <c r="CF307" s="885">
        <v>1705</v>
      </c>
      <c r="CG307" s="885">
        <v>1563</v>
      </c>
      <c r="CH307" s="306">
        <f t="shared" si="1055"/>
        <v>1563</v>
      </c>
      <c r="CI307" s="885">
        <v>1531</v>
      </c>
      <c r="CJ307" s="885">
        <v>1115</v>
      </c>
      <c r="CK307" s="885">
        <v>1092</v>
      </c>
      <c r="CL307" s="885">
        <v>1131</v>
      </c>
      <c r="CM307" s="306">
        <f t="shared" si="1055"/>
        <v>1131</v>
      </c>
      <c r="CN307" s="885">
        <v>1040</v>
      </c>
      <c r="CO307" s="885">
        <v>1098</v>
      </c>
      <c r="CP307" s="885">
        <v>1224</v>
      </c>
      <c r="CQ307" s="885">
        <v>2242</v>
      </c>
      <c r="CR307" s="306">
        <f t="shared" ref="CR307:DB307" si="1056">CQ307</f>
        <v>2242</v>
      </c>
      <c r="CS307" s="885">
        <v>1040</v>
      </c>
      <c r="CT307" s="885">
        <v>1098</v>
      </c>
      <c r="CU307" s="885">
        <v>1224</v>
      </c>
      <c r="CV307" s="885">
        <v>2242</v>
      </c>
      <c r="CW307" s="306">
        <f t="shared" ref="CW307" si="1057">CV307</f>
        <v>2242</v>
      </c>
      <c r="CX307" s="885">
        <v>2289</v>
      </c>
      <c r="CY307" s="445">
        <f t="shared" si="1056"/>
        <v>2289</v>
      </c>
      <c r="CZ307" s="445">
        <f t="shared" si="1056"/>
        <v>2289</v>
      </c>
      <c r="DA307" s="445">
        <f t="shared" si="1056"/>
        <v>2289</v>
      </c>
      <c r="DB307" s="306">
        <f t="shared" si="1056"/>
        <v>2289</v>
      </c>
      <c r="DC307" s="123"/>
      <c r="DD307" s="123"/>
      <c r="DE307" s="445"/>
      <c r="DF307" s="445"/>
      <c r="DG307" s="306">
        <f>DB307</f>
        <v>2289</v>
      </c>
      <c r="DH307" s="123"/>
      <c r="DI307" s="123"/>
      <c r="DJ307" s="445"/>
      <c r="DK307" s="445"/>
      <c r="DL307" s="306">
        <f>DG307</f>
        <v>2289</v>
      </c>
      <c r="DM307" s="171"/>
      <c r="DN307" s="542"/>
      <c r="DO307" s="493"/>
      <c r="DP307" s="417"/>
      <c r="DQ307" s="417"/>
      <c r="DR307" s="417"/>
      <c r="DS307" s="554"/>
      <c r="DT307" s="554"/>
      <c r="DU307" s="857"/>
      <c r="DV307" s="478"/>
      <c r="DW307" s="478"/>
      <c r="DX307" s="478"/>
      <c r="DY307" s="478"/>
      <c r="DZ307" s="478"/>
      <c r="EA307" s="542"/>
      <c r="EH307" s="177"/>
    </row>
    <row r="308" spans="1:138" ht="12.75" customHeight="1" x14ac:dyDescent="0.2">
      <c r="A308" s="171" t="s">
        <v>276</v>
      </c>
      <c r="B308" s="885"/>
      <c r="C308" s="885"/>
      <c r="D308" s="885"/>
      <c r="E308" s="885"/>
      <c r="F308" s="909">
        <v>1442</v>
      </c>
      <c r="G308" s="885"/>
      <c r="H308" s="885"/>
      <c r="I308" s="885"/>
      <c r="J308" s="885"/>
      <c r="K308" s="909">
        <v>1224</v>
      </c>
      <c r="L308" s="885"/>
      <c r="M308" s="885"/>
      <c r="N308" s="885"/>
      <c r="O308" s="885"/>
      <c r="P308" s="909">
        <v>1270</v>
      </c>
      <c r="Q308" s="885"/>
      <c r="R308" s="885"/>
      <c r="S308" s="885"/>
      <c r="T308" s="885"/>
      <c r="U308" s="909">
        <v>1308</v>
      </c>
      <c r="V308" s="885"/>
      <c r="W308" s="885"/>
      <c r="X308" s="885"/>
      <c r="Y308" s="885"/>
      <c r="Z308" s="909">
        <v>1567</v>
      </c>
      <c r="AA308" s="885"/>
      <c r="AB308" s="885"/>
      <c r="AC308" s="885"/>
      <c r="AD308" s="885"/>
      <c r="AE308" s="909">
        <v>1712</v>
      </c>
      <c r="AF308" s="885">
        <v>2347</v>
      </c>
      <c r="AG308" s="885">
        <v>2470</v>
      </c>
      <c r="AH308" s="885">
        <v>2053</v>
      </c>
      <c r="AI308" s="885">
        <v>1797</v>
      </c>
      <c r="AJ308" s="306">
        <v>1797</v>
      </c>
      <c r="AK308" s="885">
        <v>2437</v>
      </c>
      <c r="AL308" s="885">
        <v>2684</v>
      </c>
      <c r="AM308" s="885">
        <v>2206</v>
      </c>
      <c r="AN308" s="885">
        <v>1982</v>
      </c>
      <c r="AO308" s="306">
        <v>1982</v>
      </c>
      <c r="AP308" s="885"/>
      <c r="AQ308" s="885"/>
      <c r="AR308" s="885"/>
      <c r="AS308" s="885"/>
      <c r="AT308" s="306"/>
      <c r="AU308" s="885">
        <v>2734</v>
      </c>
      <c r="AV308" s="885">
        <v>3064</v>
      </c>
      <c r="AW308" s="885">
        <v>2460</v>
      </c>
      <c r="AX308" s="885">
        <v>3315</v>
      </c>
      <c r="AY308" s="306">
        <v>3315</v>
      </c>
      <c r="AZ308" s="885">
        <v>3625</v>
      </c>
      <c r="BA308" s="885">
        <v>3852</v>
      </c>
      <c r="BB308" s="885">
        <v>3363</v>
      </c>
      <c r="BC308" s="885">
        <v>3074</v>
      </c>
      <c r="BD308" s="306">
        <f>BC308</f>
        <v>3074</v>
      </c>
      <c r="BE308" s="885">
        <v>3992</v>
      </c>
      <c r="BF308" s="885">
        <v>4557</v>
      </c>
      <c r="BG308" s="885">
        <v>3767</v>
      </c>
      <c r="BH308" s="885">
        <v>3306</v>
      </c>
      <c r="BI308" s="306">
        <f>BH308</f>
        <v>3306</v>
      </c>
      <c r="BJ308" s="885">
        <v>4541</v>
      </c>
      <c r="BK308" s="885">
        <v>5001</v>
      </c>
      <c r="BL308" s="885">
        <v>4072</v>
      </c>
      <c r="BM308" s="885">
        <v>3480</v>
      </c>
      <c r="BN308" s="374">
        <f>BM308</f>
        <v>3480</v>
      </c>
      <c r="BO308" s="885">
        <v>4729</v>
      </c>
      <c r="BP308" s="885">
        <v>5006</v>
      </c>
      <c r="BQ308" s="885">
        <v>4262</v>
      </c>
      <c r="BR308" s="885">
        <v>3696</v>
      </c>
      <c r="BS308" s="306">
        <f>BR308</f>
        <v>3696</v>
      </c>
      <c r="BT308" s="885">
        <v>4920</v>
      </c>
      <c r="BU308" s="885">
        <v>5310</v>
      </c>
      <c r="BV308" s="885">
        <v>4583</v>
      </c>
      <c r="BW308" s="885">
        <v>4122</v>
      </c>
      <c r="BX308" s="306">
        <f>BW308</f>
        <v>4122</v>
      </c>
      <c r="BY308" s="885">
        <v>5643</v>
      </c>
      <c r="BZ308" s="885">
        <v>5803</v>
      </c>
      <c r="CA308" s="885">
        <v>4992</v>
      </c>
      <c r="CB308" s="885">
        <v>4296</v>
      </c>
      <c r="CC308" s="306">
        <f>CB308</f>
        <v>4296</v>
      </c>
      <c r="CD308" s="885">
        <v>5866</v>
      </c>
      <c r="CE308" s="885">
        <v>6039</v>
      </c>
      <c r="CF308" s="885">
        <v>5231</v>
      </c>
      <c r="CG308" s="885">
        <v>4503</v>
      </c>
      <c r="CH308" s="306">
        <f>CG308</f>
        <v>4503</v>
      </c>
      <c r="CI308" s="885">
        <v>5988</v>
      </c>
      <c r="CJ308" s="885">
        <v>5955</v>
      </c>
      <c r="CK308" s="885">
        <v>5142</v>
      </c>
      <c r="CL308" s="885">
        <v>4626</v>
      </c>
      <c r="CM308" s="306">
        <f>CL308</f>
        <v>4626</v>
      </c>
      <c r="CN308" s="885">
        <v>6410</v>
      </c>
      <c r="CO308" s="885">
        <v>6365</v>
      </c>
      <c r="CP308" s="885">
        <v>5528</v>
      </c>
      <c r="CQ308" s="885">
        <v>4888</v>
      </c>
      <c r="CR308" s="306">
        <f>CQ308</f>
        <v>4888</v>
      </c>
      <c r="CS308" s="885">
        <v>6410</v>
      </c>
      <c r="CT308" s="885">
        <v>6365</v>
      </c>
      <c r="CU308" s="885">
        <v>5528</v>
      </c>
      <c r="CV308" s="885">
        <v>4364</v>
      </c>
      <c r="CW308" s="306">
        <f>CV308</f>
        <v>4364</v>
      </c>
      <c r="CX308" s="885">
        <v>6233</v>
      </c>
      <c r="CY308" s="123">
        <f t="shared" ref="CY308:DA308" si="1058">CY309*CY217</f>
        <v>6583.7915746805775</v>
      </c>
      <c r="CZ308" s="123">
        <f t="shared" si="1058"/>
        <v>5800.9829809081439</v>
      </c>
      <c r="DA308" s="123">
        <f t="shared" si="1058"/>
        <v>4630.3847421463179</v>
      </c>
      <c r="DB308" s="306">
        <f>DA308</f>
        <v>4630.3847421463179</v>
      </c>
      <c r="DC308" s="123"/>
      <c r="DD308" s="123"/>
      <c r="DE308" s="123"/>
      <c r="DF308" s="123"/>
      <c r="DG308" s="306">
        <f>DG309*DG217</f>
        <v>4769.8750825034758</v>
      </c>
      <c r="DH308" s="123"/>
      <c r="DI308" s="123"/>
      <c r="DJ308" s="123"/>
      <c r="DK308" s="123"/>
      <c r="DL308" s="306">
        <f>DL309*DL217</f>
        <v>4913.5675693638923</v>
      </c>
      <c r="DM308" s="171"/>
      <c r="DN308" s="542"/>
      <c r="DO308" s="493"/>
      <c r="DP308" s="417"/>
      <c r="DQ308" s="417"/>
      <c r="DR308" s="417"/>
      <c r="DS308" s="478"/>
      <c r="DT308" s="478"/>
      <c r="DU308" s="857"/>
      <c r="DV308" s="478"/>
      <c r="DW308" s="478"/>
      <c r="DX308" s="478"/>
      <c r="DY308" s="478"/>
      <c r="DZ308" s="478"/>
      <c r="EA308" s="542"/>
      <c r="EH308" s="177"/>
    </row>
    <row r="309" spans="1:138" ht="12.75" customHeight="1" x14ac:dyDescent="0.2">
      <c r="A309" s="115" t="s">
        <v>390</v>
      </c>
      <c r="B309" s="139"/>
      <c r="C309" s="139"/>
      <c r="D309" s="139"/>
      <c r="E309" s="139"/>
      <c r="F309" s="446">
        <f>F308/F217</f>
        <v>9.2554557124518613E-2</v>
      </c>
      <c r="G309" s="139"/>
      <c r="H309" s="139"/>
      <c r="I309" s="139"/>
      <c r="J309" s="139"/>
      <c r="K309" s="446">
        <f>K308/K217</f>
        <v>9.4415303918543664E-2</v>
      </c>
      <c r="L309" s="139"/>
      <c r="M309" s="139"/>
      <c r="N309" s="139"/>
      <c r="O309" s="139"/>
      <c r="P309" s="446">
        <f>P308/P217</f>
        <v>0.10307604902199496</v>
      </c>
      <c r="Q309" s="139"/>
      <c r="R309" s="139"/>
      <c r="S309" s="139"/>
      <c r="T309" s="139"/>
      <c r="U309" s="446">
        <f>U308/U217</f>
        <v>0.10614298466282561</v>
      </c>
      <c r="V309" s="139"/>
      <c r="W309" s="139"/>
      <c r="X309" s="139"/>
      <c r="Y309" s="139"/>
      <c r="Z309" s="446">
        <f>Z308/Z217</f>
        <v>0.11363306744017404</v>
      </c>
      <c r="AA309" s="139"/>
      <c r="AB309" s="139"/>
      <c r="AC309" s="139"/>
      <c r="AD309" s="139"/>
      <c r="AE309" s="446">
        <f t="shared" ref="AE309:AO309" si="1059">AE308/AE217</f>
        <v>0.11706783369803063</v>
      </c>
      <c r="AF309" s="139">
        <f t="shared" si="1059"/>
        <v>0.16035802131729981</v>
      </c>
      <c r="AG309" s="139">
        <f t="shared" si="1059"/>
        <v>0.1649746192893401</v>
      </c>
      <c r="AH309" s="139">
        <f t="shared" si="1059"/>
        <v>0.13414793518034501</v>
      </c>
      <c r="AI309" s="139">
        <f t="shared" si="1059"/>
        <v>0.11598786548763958</v>
      </c>
      <c r="AJ309" s="446">
        <f t="shared" si="1059"/>
        <v>0.11598786548763958</v>
      </c>
      <c r="AK309" s="139">
        <f t="shared" si="1059"/>
        <v>0.15354082661290322</v>
      </c>
      <c r="AL309" s="139">
        <f t="shared" si="1059"/>
        <v>0.1661507985638232</v>
      </c>
      <c r="AM309" s="139">
        <f t="shared" si="1059"/>
        <v>0.13314020158126622</v>
      </c>
      <c r="AN309" s="139">
        <f t="shared" si="1059"/>
        <v>0.11708412098298676</v>
      </c>
      <c r="AO309" s="446">
        <f t="shared" si="1059"/>
        <v>0.11708412098298676</v>
      </c>
      <c r="AP309" s="139"/>
      <c r="AQ309" s="139"/>
      <c r="AR309" s="139"/>
      <c r="AS309" s="139"/>
      <c r="AT309" s="446"/>
      <c r="AU309" s="139">
        <f t="shared" ref="AU309:CQ309" si="1060">AU308/AU217</f>
        <v>0.13665900229931022</v>
      </c>
      <c r="AV309" s="139">
        <f t="shared" si="1060"/>
        <v>0.12743833964147569</v>
      </c>
      <c r="AW309" s="139">
        <f t="shared" si="1060"/>
        <v>9.0714654473043735E-2</v>
      </c>
      <c r="AX309" s="139">
        <f t="shared" si="1060"/>
        <v>0.1115861047529285</v>
      </c>
      <c r="AY309" s="446">
        <f t="shared" si="1060"/>
        <v>0.1115861047529285</v>
      </c>
      <c r="AZ309" s="139">
        <f t="shared" si="1060"/>
        <v>0.12718851970106312</v>
      </c>
      <c r="BA309" s="139">
        <f t="shared" si="1060"/>
        <v>0.14541336353340883</v>
      </c>
      <c r="BB309" s="139">
        <f t="shared" si="1060"/>
        <v>0.13623658091958679</v>
      </c>
      <c r="BC309" s="139">
        <f t="shared" si="1060"/>
        <v>0.12912168689881126</v>
      </c>
      <c r="BD309" s="446">
        <f t="shared" si="1060"/>
        <v>0.12912168689881126</v>
      </c>
      <c r="BE309" s="139">
        <f t="shared" si="1060"/>
        <v>0.16625020822921874</v>
      </c>
      <c r="BF309" s="139">
        <f t="shared" si="1060"/>
        <v>0.18142368022931762</v>
      </c>
      <c r="BG309" s="139">
        <f t="shared" si="1060"/>
        <v>0.14285714285714285</v>
      </c>
      <c r="BH309" s="139">
        <f t="shared" si="1060"/>
        <v>0.1212854941668501</v>
      </c>
      <c r="BI309" s="446">
        <f t="shared" si="1060"/>
        <v>0.1212854941668501</v>
      </c>
      <c r="BJ309" s="139">
        <f t="shared" si="1060"/>
        <v>0.16202233560495236</v>
      </c>
      <c r="BK309" s="139">
        <f t="shared" si="1060"/>
        <v>0.17299111003493722</v>
      </c>
      <c r="BL309" s="139">
        <f t="shared" si="1060"/>
        <v>0.13709514510807352</v>
      </c>
      <c r="BM309" s="139">
        <f t="shared" si="1060"/>
        <v>0.11501470734045015</v>
      </c>
      <c r="BN309" s="448">
        <f t="shared" si="1060"/>
        <v>0.11501470734045015</v>
      </c>
      <c r="BO309" s="139">
        <f t="shared" si="1060"/>
        <v>0.15300245891031447</v>
      </c>
      <c r="BP309" s="139">
        <f t="shared" si="1060"/>
        <v>0.15908224227786957</v>
      </c>
      <c r="BQ309" s="139">
        <f t="shared" si="1060"/>
        <v>0.13490757153709801</v>
      </c>
      <c r="BR309" s="139">
        <f t="shared" si="1060"/>
        <v>0.11620083629389757</v>
      </c>
      <c r="BS309" s="446">
        <f t="shared" si="1060"/>
        <v>0.11620083629389757</v>
      </c>
      <c r="BT309" s="139">
        <f t="shared" si="1060"/>
        <v>0.15416431660086483</v>
      </c>
      <c r="BU309" s="139">
        <f t="shared" si="1060"/>
        <v>0.16616077854617142</v>
      </c>
      <c r="BV309" s="139">
        <f t="shared" si="1060"/>
        <v>0.14093299301946555</v>
      </c>
      <c r="BW309" s="139">
        <f t="shared" si="1060"/>
        <v>0.12507965407373692</v>
      </c>
      <c r="BX309" s="446">
        <f t="shared" si="1060"/>
        <v>0.12507965407373692</v>
      </c>
      <c r="BY309" s="139">
        <f t="shared" si="1060"/>
        <v>0.1694645484849395</v>
      </c>
      <c r="BZ309" s="139">
        <f t="shared" si="1060"/>
        <v>0.170320800680931</v>
      </c>
      <c r="CA309" s="139">
        <f t="shared" si="1060"/>
        <v>0.14430665163472378</v>
      </c>
      <c r="CB309" s="139">
        <f t="shared" si="1060"/>
        <v>0.12290438862505007</v>
      </c>
      <c r="CC309" s="446">
        <f t="shared" si="1060"/>
        <v>0.12290438862505007</v>
      </c>
      <c r="CD309" s="139">
        <f t="shared" si="1060"/>
        <v>0.16664772727272728</v>
      </c>
      <c r="CE309" s="139">
        <f t="shared" si="1060"/>
        <v>0.17218373107518603</v>
      </c>
      <c r="CF309" s="139">
        <f t="shared" si="1060"/>
        <v>0.14991975237876878</v>
      </c>
      <c r="CG309" s="139">
        <f t="shared" si="1060"/>
        <v>0.12946351561152319</v>
      </c>
      <c r="CH309" s="446">
        <f>CH308/CH217</f>
        <v>0.12946351561152319</v>
      </c>
      <c r="CI309" s="139">
        <f t="shared" si="1060"/>
        <v>0.17295860893677248</v>
      </c>
      <c r="CJ309" s="139">
        <f t="shared" si="1060"/>
        <v>0.17284918146987113</v>
      </c>
      <c r="CK309" s="139">
        <f t="shared" si="1060"/>
        <v>0.15155623673661872</v>
      </c>
      <c r="CL309" s="139">
        <f t="shared" si="1060"/>
        <v>0.13695710098587796</v>
      </c>
      <c r="CM309" s="446">
        <f>CM308/CM217</f>
        <v>0.13695710098587796</v>
      </c>
      <c r="CN309" s="139">
        <f t="shared" si="1060"/>
        <v>0.19019078420318666</v>
      </c>
      <c r="CO309" s="139">
        <f t="shared" si="1060"/>
        <v>0.18740431044635497</v>
      </c>
      <c r="CP309" s="139">
        <f t="shared" si="1060"/>
        <v>0.16120377930712704</v>
      </c>
      <c r="CQ309" s="139">
        <f t="shared" si="1060"/>
        <v>0.14038312415635143</v>
      </c>
      <c r="CR309" s="446">
        <f>CR308/CR217</f>
        <v>0.14038312415635143</v>
      </c>
      <c r="CS309" s="139">
        <f t="shared" ref="CS309:CX309" si="1061">CS308/CS217</f>
        <v>0.18154011725055935</v>
      </c>
      <c r="CT309" s="139">
        <f t="shared" si="1061"/>
        <v>0.17756513976454835</v>
      </c>
      <c r="CU309" s="139">
        <f t="shared" si="1061"/>
        <v>0.15175973205951793</v>
      </c>
      <c r="CV309" s="139">
        <f t="shared" si="1061"/>
        <v>0.11811513790023548</v>
      </c>
      <c r="CW309" s="446">
        <f>CW308/CW217</f>
        <v>0.11811513790023548</v>
      </c>
      <c r="CX309" s="139">
        <f t="shared" si="1061"/>
        <v>0.1736405170492534</v>
      </c>
      <c r="CY309" s="447">
        <f>+CT309</f>
        <v>0.17756513976454835</v>
      </c>
      <c r="CZ309" s="447">
        <f>+CU309</f>
        <v>0.15175973205951793</v>
      </c>
      <c r="DA309" s="447">
        <f>+CV309</f>
        <v>0.11811513790023548</v>
      </c>
      <c r="DB309" s="446">
        <f>DB308/DB217</f>
        <v>0.11811513790023548</v>
      </c>
      <c r="DC309" s="447"/>
      <c r="DD309" s="447"/>
      <c r="DE309" s="447"/>
      <c r="DF309" s="447"/>
      <c r="DG309" s="484">
        <f>DB309</f>
        <v>0.11811513790023548</v>
      </c>
      <c r="DH309" s="447"/>
      <c r="DI309" s="447"/>
      <c r="DJ309" s="447"/>
      <c r="DK309" s="447"/>
      <c r="DL309" s="484">
        <f>DG309</f>
        <v>0.11811513790023548</v>
      </c>
      <c r="DM309" s="178"/>
      <c r="DN309" s="543"/>
      <c r="DO309" s="493"/>
      <c r="DP309" s="417"/>
      <c r="DQ309" s="417"/>
      <c r="DR309" s="417"/>
      <c r="DS309" s="478"/>
      <c r="DT309" s="478"/>
      <c r="DU309" s="857"/>
      <c r="DV309" s="478"/>
      <c r="DW309" s="478"/>
      <c r="DX309" s="480"/>
      <c r="DY309" s="480"/>
      <c r="DZ309" s="480"/>
      <c r="EA309" s="543"/>
      <c r="EH309" s="177"/>
    </row>
    <row r="310" spans="1:138" ht="12.75" customHeight="1" x14ac:dyDescent="0.2">
      <c r="A310" s="172" t="s">
        <v>6</v>
      </c>
      <c r="B310" s="124"/>
      <c r="C310" s="124"/>
      <c r="D310" s="124"/>
      <c r="E310" s="124"/>
      <c r="F310" s="307">
        <f t="shared" ref="F310:AK310" si="1062">F312-F308-F307</f>
        <v>3701</v>
      </c>
      <c r="G310" s="124"/>
      <c r="H310" s="124"/>
      <c r="I310" s="124"/>
      <c r="J310" s="124"/>
      <c r="K310" s="307">
        <f t="shared" si="1062"/>
        <v>4123</v>
      </c>
      <c r="L310" s="124"/>
      <c r="M310" s="124"/>
      <c r="N310" s="124"/>
      <c r="O310" s="124"/>
      <c r="P310" s="307">
        <f t="shared" si="1062"/>
        <v>4492</v>
      </c>
      <c r="Q310" s="124"/>
      <c r="R310" s="124"/>
      <c r="S310" s="124"/>
      <c r="T310" s="124"/>
      <c r="U310" s="307">
        <f t="shared" si="1062"/>
        <v>4295</v>
      </c>
      <c r="V310" s="124"/>
      <c r="W310" s="124"/>
      <c r="X310" s="124"/>
      <c r="Y310" s="124"/>
      <c r="Z310" s="307">
        <f t="shared" si="1062"/>
        <v>3481</v>
      </c>
      <c r="AA310" s="124"/>
      <c r="AB310" s="124"/>
      <c r="AC310" s="124"/>
      <c r="AD310" s="124"/>
      <c r="AE310" s="307">
        <f t="shared" si="1062"/>
        <v>2367</v>
      </c>
      <c r="AF310" s="124">
        <f t="shared" si="1062"/>
        <v>2665</v>
      </c>
      <c r="AG310" s="124">
        <f t="shared" si="1062"/>
        <v>2601</v>
      </c>
      <c r="AH310" s="124">
        <f t="shared" si="1062"/>
        <v>2701</v>
      </c>
      <c r="AI310" s="124">
        <f t="shared" si="1062"/>
        <v>2469</v>
      </c>
      <c r="AJ310" s="307">
        <f t="shared" si="1062"/>
        <v>2469</v>
      </c>
      <c r="AK310" s="124">
        <f t="shared" si="1062"/>
        <v>2343</v>
      </c>
      <c r="AL310" s="124">
        <f t="shared" ref="AL310:BC310" si="1063">AL312-AL308-AL307</f>
        <v>3661</v>
      </c>
      <c r="AM310" s="124">
        <f t="shared" si="1063"/>
        <v>3594</v>
      </c>
      <c r="AN310" s="124">
        <f t="shared" si="1063"/>
        <v>3609</v>
      </c>
      <c r="AO310" s="307">
        <f t="shared" si="1063"/>
        <v>3609</v>
      </c>
      <c r="AP310" s="124">
        <f t="shared" si="1063"/>
        <v>0</v>
      </c>
      <c r="AQ310" s="124">
        <f t="shared" si="1063"/>
        <v>0</v>
      </c>
      <c r="AR310" s="124">
        <f t="shared" si="1063"/>
        <v>0</v>
      </c>
      <c r="AS310" s="124">
        <f t="shared" si="1063"/>
        <v>0</v>
      </c>
      <c r="AT310" s="307">
        <f t="shared" si="1063"/>
        <v>0</v>
      </c>
      <c r="AU310" s="124">
        <f t="shared" si="1063"/>
        <v>3205</v>
      </c>
      <c r="AV310" s="124">
        <f t="shared" si="1063"/>
        <v>4272</v>
      </c>
      <c r="AW310" s="124">
        <f t="shared" si="1063"/>
        <v>3463</v>
      </c>
      <c r="AX310" s="124">
        <f t="shared" si="1063"/>
        <v>6547</v>
      </c>
      <c r="AY310" s="307">
        <f t="shared" si="1063"/>
        <v>6547</v>
      </c>
      <c r="AZ310" s="124">
        <f t="shared" si="1063"/>
        <v>6049</v>
      </c>
      <c r="BA310" s="124">
        <f t="shared" si="1063"/>
        <v>5473</v>
      </c>
      <c r="BB310" s="124">
        <f t="shared" si="1063"/>
        <v>5202</v>
      </c>
      <c r="BC310" s="124">
        <f t="shared" si="1063"/>
        <v>5190</v>
      </c>
      <c r="BD310" s="307">
        <f>BC310</f>
        <v>5190</v>
      </c>
      <c r="BE310" s="124">
        <f>BE312-BE308-BE307</f>
        <v>5567</v>
      </c>
      <c r="BF310" s="124">
        <f>BF312-BF308-BF307</f>
        <v>5780</v>
      </c>
      <c r="BG310" s="124">
        <f>BG312-BG308-BG307</f>
        <v>5751</v>
      </c>
      <c r="BH310" s="124">
        <f>BH312-BH308-BH307</f>
        <v>6006</v>
      </c>
      <c r="BI310" s="307">
        <f>BH310</f>
        <v>6006</v>
      </c>
      <c r="BJ310" s="124">
        <f>BJ312-BJ308-BJ307</f>
        <v>5996</v>
      </c>
      <c r="BK310" s="124">
        <f>BK312-BK308-BK307</f>
        <v>6166</v>
      </c>
      <c r="BL310" s="124">
        <f>BL312-BL308-BL307</f>
        <v>6003</v>
      </c>
      <c r="BM310" s="124">
        <f>BM312-BM308-BM307</f>
        <v>7277</v>
      </c>
      <c r="BN310" s="375">
        <f>BM310</f>
        <v>7277</v>
      </c>
      <c r="BO310" s="124">
        <f>BO312-BO308-BO307</f>
        <v>7062</v>
      </c>
      <c r="BP310" s="124">
        <f>BP312-BP308-BP307</f>
        <v>7908</v>
      </c>
      <c r="BQ310" s="124">
        <f>BQ312-BQ308-BQ307</f>
        <v>7416</v>
      </c>
      <c r="BR310" s="124">
        <f>BR312-BR308-BR307</f>
        <v>7947</v>
      </c>
      <c r="BS310" s="307">
        <f>BR310</f>
        <v>7947</v>
      </c>
      <c r="BT310" s="124">
        <f>BT312-BT308-BT307</f>
        <v>7555</v>
      </c>
      <c r="BU310" s="124">
        <f>BU312-BU308-BU307</f>
        <v>7770</v>
      </c>
      <c r="BV310" s="124">
        <f>BV312-BV308-BV307</f>
        <v>7728</v>
      </c>
      <c r="BW310" s="124">
        <f>BW312-BW308-BW307</f>
        <v>8483</v>
      </c>
      <c r="BX310" s="307">
        <f>BW310</f>
        <v>8483</v>
      </c>
      <c r="BY310" s="124">
        <f>BY312-BY308-BY307</f>
        <v>7789</v>
      </c>
      <c r="BZ310" s="124">
        <f>BZ312-BZ308-BZ307</f>
        <v>8173</v>
      </c>
      <c r="CA310" s="124">
        <f>CA312-CA308-CA307</f>
        <v>8652</v>
      </c>
      <c r="CB310" s="124">
        <f>CB312-CB308-CB307</f>
        <v>11367</v>
      </c>
      <c r="CC310" s="307">
        <f>CB310</f>
        <v>11367</v>
      </c>
      <c r="CD310" s="124">
        <f>CD312-CD308-CD307</f>
        <v>10237</v>
      </c>
      <c r="CE310" s="124">
        <f>CE312-CE308-CE307</f>
        <v>9384</v>
      </c>
      <c r="CF310" s="124">
        <f>CF312-CF308-CF307</f>
        <v>10672</v>
      </c>
      <c r="CG310" s="124">
        <f>CG312-CG308-CG307</f>
        <v>11460</v>
      </c>
      <c r="CH310" s="307">
        <f>CG310</f>
        <v>11460</v>
      </c>
      <c r="CI310" s="124">
        <f>CI312-CI308-CI307</f>
        <v>10589</v>
      </c>
      <c r="CJ310" s="124">
        <f>CJ312-CJ308-CJ307</f>
        <v>9180</v>
      </c>
      <c r="CK310" s="124">
        <f>CK312-CK308-CK307</f>
        <v>8913</v>
      </c>
      <c r="CL310" s="124">
        <f>CL312-CL308-CL307</f>
        <v>9482</v>
      </c>
      <c r="CM310" s="307">
        <f>CL310</f>
        <v>9482</v>
      </c>
      <c r="CN310" s="124">
        <f>CN312-CN308-CN307</f>
        <v>8503</v>
      </c>
      <c r="CO310" s="124">
        <f>CO312-CO308-CO307</f>
        <v>9168</v>
      </c>
      <c r="CP310" s="124">
        <f>CP312-CP308-CP307</f>
        <v>9744</v>
      </c>
      <c r="CQ310" s="124">
        <f>CQ312-CQ308-CQ307</f>
        <v>11443</v>
      </c>
      <c r="CR310" s="307">
        <f>CQ310</f>
        <v>11443</v>
      </c>
      <c r="CS310" s="124">
        <f>CS312-CS308-CS307</f>
        <v>8503</v>
      </c>
      <c r="CT310" s="124">
        <f>CT312-CT308-CT307</f>
        <v>9168</v>
      </c>
      <c r="CU310" s="124">
        <f>CU312-CU308-CU307</f>
        <v>9744</v>
      </c>
      <c r="CV310" s="124">
        <f>CV312-CV308-CV307</f>
        <v>11967</v>
      </c>
      <c r="CW310" s="307">
        <f>CV310</f>
        <v>11967</v>
      </c>
      <c r="CX310" s="124">
        <f>CX312-CX308-CX307</f>
        <v>11490</v>
      </c>
      <c r="CY310" s="124">
        <f t="shared" ref="CY310:DA310" si="1064">CY311*CY220</f>
        <v>9442.3301947794243</v>
      </c>
      <c r="CZ310" s="124">
        <f t="shared" si="1064"/>
        <v>10103.176114842236</v>
      </c>
      <c r="DA310" s="124">
        <f t="shared" si="1064"/>
        <v>12453.764815320437</v>
      </c>
      <c r="DB310" s="307">
        <f>DA310</f>
        <v>12453.764815320437</v>
      </c>
      <c r="DC310" s="124"/>
      <c r="DD310" s="124"/>
      <c r="DE310" s="124"/>
      <c r="DF310" s="124"/>
      <c r="DG310" s="307">
        <f>DG311*DG220</f>
        <v>12959.57235192187</v>
      </c>
      <c r="DH310" s="124"/>
      <c r="DI310" s="124"/>
      <c r="DJ310" s="124"/>
      <c r="DK310" s="124"/>
      <c r="DL310" s="307">
        <f>DL311*DL220</f>
        <v>13469.874127767132</v>
      </c>
      <c r="DM310" s="172"/>
      <c r="DN310" s="544"/>
      <c r="DO310" s="493"/>
      <c r="DP310" s="417"/>
      <c r="DQ310" s="417"/>
      <c r="DR310" s="417"/>
      <c r="DS310" s="480"/>
      <c r="DT310" s="480"/>
      <c r="DU310" s="857"/>
      <c r="DV310" s="478"/>
      <c r="DW310" s="478"/>
      <c r="DX310" s="472"/>
      <c r="DY310" s="472"/>
      <c r="DZ310" s="472"/>
      <c r="EA310" s="544"/>
      <c r="EH310" s="177"/>
    </row>
    <row r="311" spans="1:138" ht="12.75" customHeight="1" x14ac:dyDescent="0.2">
      <c r="A311" s="115" t="s">
        <v>242</v>
      </c>
      <c r="B311" s="139"/>
      <c r="C311" s="139"/>
      <c r="D311" s="139"/>
      <c r="E311" s="139"/>
      <c r="F311" s="446">
        <f>F310/F220</f>
        <v>0.28327592805204743</v>
      </c>
      <c r="G311" s="139"/>
      <c r="H311" s="139"/>
      <c r="I311" s="139"/>
      <c r="J311" s="139"/>
      <c r="K311" s="446">
        <f>K310/K220</f>
        <v>0.31284619470369529</v>
      </c>
      <c r="L311" s="139"/>
      <c r="M311" s="139"/>
      <c r="N311" s="139"/>
      <c r="O311" s="139"/>
      <c r="P311" s="446">
        <f>P310/P220</f>
        <v>0.35861408270796741</v>
      </c>
      <c r="Q311" s="139"/>
      <c r="R311" s="139"/>
      <c r="S311" s="139"/>
      <c r="T311" s="139"/>
      <c r="U311" s="446">
        <f>U310/U220</f>
        <v>0.34992667427081636</v>
      </c>
      <c r="V311" s="139"/>
      <c r="W311" s="139"/>
      <c r="X311" s="139"/>
      <c r="Y311" s="139"/>
      <c r="Z311" s="446">
        <f>Z310/Z220</f>
        <v>0.25252085600290169</v>
      </c>
      <c r="AA311" s="139"/>
      <c r="AB311" s="139"/>
      <c r="AC311" s="139"/>
      <c r="AD311" s="139"/>
      <c r="AE311" s="446">
        <f t="shared" ref="AE311:AO311" si="1065">AE310/AE220</f>
        <v>0.18161589810481085</v>
      </c>
      <c r="AF311" s="139">
        <f t="shared" si="1065"/>
        <v>0.20244606502582801</v>
      </c>
      <c r="AG311" s="139">
        <f t="shared" si="1065"/>
        <v>0.19659863945578232</v>
      </c>
      <c r="AH311" s="139">
        <f t="shared" si="1065"/>
        <v>0.20203455755853092</v>
      </c>
      <c r="AI311" s="139">
        <f t="shared" si="1065"/>
        <v>0.18932597193466758</v>
      </c>
      <c r="AJ311" s="446">
        <f t="shared" si="1065"/>
        <v>0.18932597193466758</v>
      </c>
      <c r="AK311" s="139">
        <f t="shared" si="1065"/>
        <v>0.18220701454234389</v>
      </c>
      <c r="AL311" s="139">
        <f t="shared" si="1065"/>
        <v>0.2814421894218942</v>
      </c>
      <c r="AM311" s="139">
        <f t="shared" si="1065"/>
        <v>0.2721696327148807</v>
      </c>
      <c r="AN311" s="139">
        <f t="shared" si="1065"/>
        <v>0.27033707865168538</v>
      </c>
      <c r="AO311" s="446">
        <f t="shared" si="1065"/>
        <v>0.27033707865168538</v>
      </c>
      <c r="AP311" s="139"/>
      <c r="AQ311" s="139"/>
      <c r="AR311" s="139"/>
      <c r="AS311" s="139"/>
      <c r="AT311" s="446"/>
      <c r="AU311" s="139">
        <f t="shared" ref="AU311:CQ311" si="1066">AU310/AU220</f>
        <v>0.20242531421714141</v>
      </c>
      <c r="AV311" s="139">
        <f t="shared" si="1066"/>
        <v>0.28750252372299617</v>
      </c>
      <c r="AW311" s="139">
        <f t="shared" si="1066"/>
        <v>0.17015526729559749</v>
      </c>
      <c r="AX311" s="139">
        <f t="shared" si="1066"/>
        <v>0.29498963683878526</v>
      </c>
      <c r="AY311" s="446">
        <f t="shared" si="1066"/>
        <v>0.29498963683878526</v>
      </c>
      <c r="AZ311" s="139">
        <f t="shared" si="1066"/>
        <v>0.2781405186683833</v>
      </c>
      <c r="BA311" s="139">
        <f t="shared" si="1066"/>
        <v>0.2588563590786549</v>
      </c>
      <c r="BB311" s="139">
        <f t="shared" si="1066"/>
        <v>0.25078339680856193</v>
      </c>
      <c r="BC311" s="139">
        <f t="shared" si="1066"/>
        <v>0.25199067780151485</v>
      </c>
      <c r="BD311" s="446">
        <f t="shared" si="1066"/>
        <v>0.25199067780151485</v>
      </c>
      <c r="BE311" s="139">
        <f t="shared" si="1066"/>
        <v>0.27203870211102421</v>
      </c>
      <c r="BF311" s="139">
        <f t="shared" si="1066"/>
        <v>0.28045999320685139</v>
      </c>
      <c r="BG311" s="139">
        <f t="shared" si="1066"/>
        <v>0.27308989030818176</v>
      </c>
      <c r="BH311" s="139">
        <f t="shared" si="1066"/>
        <v>0.27942681678607983</v>
      </c>
      <c r="BI311" s="446">
        <f t="shared" si="1066"/>
        <v>0.27942681678607983</v>
      </c>
      <c r="BJ311" s="139">
        <f t="shared" si="1066"/>
        <v>0.27110367590541212</v>
      </c>
      <c r="BK311" s="139">
        <f t="shared" si="1066"/>
        <v>0.27153426105337325</v>
      </c>
      <c r="BL311" s="139">
        <f t="shared" si="1066"/>
        <v>0.26029832625097565</v>
      </c>
      <c r="BM311" s="139">
        <f t="shared" si="1066"/>
        <v>0.31409703038674031</v>
      </c>
      <c r="BN311" s="448">
        <f t="shared" si="1066"/>
        <v>0.31409703038674031</v>
      </c>
      <c r="BO311" s="139">
        <f t="shared" si="1066"/>
        <v>0.30293411118737129</v>
      </c>
      <c r="BP311" s="139">
        <f t="shared" si="1066"/>
        <v>0.33583896037711808</v>
      </c>
      <c r="BQ311" s="139">
        <f t="shared" si="1066"/>
        <v>0.31264755480607082</v>
      </c>
      <c r="BR311" s="139">
        <f t="shared" si="1066"/>
        <v>0.33260787678399534</v>
      </c>
      <c r="BS311" s="446">
        <f t="shared" si="1066"/>
        <v>0.33260787678399534</v>
      </c>
      <c r="BT311" s="139">
        <f t="shared" si="1066"/>
        <v>0.31518564872757615</v>
      </c>
      <c r="BU311" s="139">
        <f t="shared" si="1066"/>
        <v>0.323292002995756</v>
      </c>
      <c r="BV311" s="139">
        <f t="shared" si="1066"/>
        <v>0.31777622435133024</v>
      </c>
      <c r="BW311" s="139">
        <f t="shared" si="1066"/>
        <v>0.34520224627655244</v>
      </c>
      <c r="BX311" s="446">
        <f t="shared" si="1066"/>
        <v>0.34520224627655244</v>
      </c>
      <c r="BY311" s="139">
        <f t="shared" si="1066"/>
        <v>0.31524202687388703</v>
      </c>
      <c r="BZ311" s="139">
        <f t="shared" si="1066"/>
        <v>0.32533237799538256</v>
      </c>
      <c r="CA311" s="139">
        <f t="shared" si="1066"/>
        <v>0.34045567229370793</v>
      </c>
      <c r="CB311" s="139">
        <f t="shared" si="1066"/>
        <v>0.44106006518702467</v>
      </c>
      <c r="CC311" s="446">
        <f t="shared" si="1066"/>
        <v>0.44106006518702467</v>
      </c>
      <c r="CD311" s="139">
        <f t="shared" si="1066"/>
        <v>0.39531201729996912</v>
      </c>
      <c r="CE311" s="139">
        <f t="shared" si="1066"/>
        <v>0.35996777782039968</v>
      </c>
      <c r="CF311" s="139">
        <f t="shared" si="1066"/>
        <v>0.40542491357368082</v>
      </c>
      <c r="CG311" s="139">
        <f t="shared" si="1066"/>
        <v>0.43536071116514075</v>
      </c>
      <c r="CH311" s="446">
        <f>CH310/CH220</f>
        <v>0.43536071116514075</v>
      </c>
      <c r="CI311" s="139">
        <f t="shared" si="1066"/>
        <v>0.39715700247543317</v>
      </c>
      <c r="CJ311" s="139">
        <f t="shared" si="1066"/>
        <v>0.34373010821133038</v>
      </c>
      <c r="CK311" s="139">
        <f t="shared" si="1066"/>
        <v>0.33352043107319262</v>
      </c>
      <c r="CL311" s="139">
        <f t="shared" si="1066"/>
        <v>0.3441242650794803</v>
      </c>
      <c r="CM311" s="446">
        <f>CM310/CM220</f>
        <v>0.3441242650794803</v>
      </c>
      <c r="CN311" s="139">
        <f t="shared" si="1066"/>
        <v>0.30449418084153984</v>
      </c>
      <c r="CO311" s="139">
        <f t="shared" si="1066"/>
        <v>0.32231753621150333</v>
      </c>
      <c r="CP311" s="139">
        <f t="shared" si="1066"/>
        <v>0.33537550767536312</v>
      </c>
      <c r="CQ311" s="139">
        <f t="shared" si="1066"/>
        <v>0.38924416626981428</v>
      </c>
      <c r="CR311" s="446">
        <f>CR310/CR220</f>
        <v>0.38924416626981428</v>
      </c>
      <c r="CS311" s="139">
        <f t="shared" ref="CS311:CX311" si="1067">CS310/CS220</f>
        <v>0.29133831288974166</v>
      </c>
      <c r="CT311" s="139">
        <f t="shared" si="1067"/>
        <v>0.31685059357472756</v>
      </c>
      <c r="CU311" s="139">
        <f t="shared" si="1067"/>
        <v>0.34030102475451074</v>
      </c>
      <c r="CV311" s="139">
        <f t="shared" si="1067"/>
        <v>0.42473483016981189</v>
      </c>
      <c r="CW311" s="446">
        <f>CW310/CW220</f>
        <v>0.42473483016981189</v>
      </c>
      <c r="CX311" s="139">
        <f t="shared" si="1067"/>
        <v>0.38779574065948902</v>
      </c>
      <c r="CY311" s="447">
        <f>+CT311</f>
        <v>0.31685059357472756</v>
      </c>
      <c r="CZ311" s="447">
        <f>+CU311</f>
        <v>0.34030102475451074</v>
      </c>
      <c r="DA311" s="447">
        <f>+CV311</f>
        <v>0.42473483016981189</v>
      </c>
      <c r="DB311" s="446">
        <f>DB310/DB220</f>
        <v>0.42473483016981189</v>
      </c>
      <c r="DC311" s="447"/>
      <c r="DD311" s="447"/>
      <c r="DE311" s="447"/>
      <c r="DF311" s="447"/>
      <c r="DG311" s="484">
        <f>+DB311</f>
        <v>0.42473483016981189</v>
      </c>
      <c r="DH311" s="447"/>
      <c r="DI311" s="447"/>
      <c r="DJ311" s="447"/>
      <c r="DK311" s="447"/>
      <c r="DL311" s="484">
        <f>+DG311</f>
        <v>0.42473483016981189</v>
      </c>
      <c r="DM311" s="178"/>
      <c r="DN311" s="543"/>
      <c r="DO311" s="493"/>
      <c r="DP311" s="417"/>
      <c r="DQ311" s="417"/>
      <c r="DR311" s="417"/>
      <c r="DS311" s="478"/>
      <c r="DT311" s="478"/>
      <c r="DU311" s="857"/>
      <c r="DV311" s="478"/>
      <c r="DW311" s="478"/>
      <c r="DX311" s="460"/>
      <c r="DY311" s="460"/>
      <c r="DZ311" s="460"/>
      <c r="EA311" s="543"/>
      <c r="EH311" s="177"/>
    </row>
    <row r="312" spans="1:138" ht="12.75" customHeight="1" x14ac:dyDescent="0.2">
      <c r="A312" s="117" t="s">
        <v>7</v>
      </c>
      <c r="B312" s="884"/>
      <c r="C312" s="884"/>
      <c r="D312" s="884"/>
      <c r="E312" s="884"/>
      <c r="F312" s="908">
        <v>5245</v>
      </c>
      <c r="G312" s="884"/>
      <c r="H312" s="884"/>
      <c r="I312" s="884"/>
      <c r="J312" s="884"/>
      <c r="K312" s="908">
        <v>6403</v>
      </c>
      <c r="L312" s="884"/>
      <c r="M312" s="884"/>
      <c r="N312" s="884"/>
      <c r="O312" s="884"/>
      <c r="P312" s="908">
        <v>6455</v>
      </c>
      <c r="Q312" s="884"/>
      <c r="R312" s="884"/>
      <c r="S312" s="884"/>
      <c r="T312" s="884"/>
      <c r="U312" s="908">
        <v>6624</v>
      </c>
      <c r="V312" s="884"/>
      <c r="W312" s="884"/>
      <c r="X312" s="884"/>
      <c r="Y312" s="884"/>
      <c r="Z312" s="908">
        <v>5941</v>
      </c>
      <c r="AA312" s="884"/>
      <c r="AB312" s="884"/>
      <c r="AC312" s="884"/>
      <c r="AD312" s="884"/>
      <c r="AE312" s="908">
        <v>5265</v>
      </c>
      <c r="AF312" s="884">
        <v>6314</v>
      </c>
      <c r="AG312" s="884">
        <v>6470</v>
      </c>
      <c r="AH312" s="884">
        <v>6113</v>
      </c>
      <c r="AI312" s="884">
        <v>5769</v>
      </c>
      <c r="AJ312" s="255">
        <v>5769</v>
      </c>
      <c r="AK312" s="884">
        <v>7999</v>
      </c>
      <c r="AL312" s="884">
        <v>7731</v>
      </c>
      <c r="AM312" s="884">
        <v>6704</v>
      </c>
      <c r="AN312" s="884">
        <v>6605</v>
      </c>
      <c r="AO312" s="255">
        <v>6605</v>
      </c>
      <c r="AP312" s="884"/>
      <c r="AQ312" s="884"/>
      <c r="AR312" s="884"/>
      <c r="AS312" s="884"/>
      <c r="AT312" s="255"/>
      <c r="AU312" s="884">
        <v>6671</v>
      </c>
      <c r="AV312" s="884">
        <v>8132</v>
      </c>
      <c r="AW312" s="884">
        <v>6788</v>
      </c>
      <c r="AX312" s="884">
        <v>11022</v>
      </c>
      <c r="AY312" s="255">
        <v>11022</v>
      </c>
      <c r="AZ312" s="884">
        <v>11527</v>
      </c>
      <c r="BA312" s="884">
        <v>11149</v>
      </c>
      <c r="BB312" s="884">
        <v>9594</v>
      </c>
      <c r="BC312" s="884">
        <v>9797</v>
      </c>
      <c r="BD312" s="255">
        <f>BD310+BD308+BD307</f>
        <v>9797</v>
      </c>
      <c r="BE312" s="884">
        <v>11224</v>
      </c>
      <c r="BF312" s="884">
        <v>11892</v>
      </c>
      <c r="BG312" s="884">
        <v>11820</v>
      </c>
      <c r="BH312" s="884">
        <v>11385</v>
      </c>
      <c r="BI312" s="255">
        <f>BI310+BI308+BI307</f>
        <v>11385</v>
      </c>
      <c r="BJ312" s="884">
        <v>12260</v>
      </c>
      <c r="BK312" s="884">
        <v>12802</v>
      </c>
      <c r="BL312" s="884">
        <v>12012</v>
      </c>
      <c r="BM312" s="884">
        <v>12701</v>
      </c>
      <c r="BN312" s="371">
        <f>BN310+BN308+BN307</f>
        <v>12701</v>
      </c>
      <c r="BO312" s="884">
        <v>13646</v>
      </c>
      <c r="BP312" s="884">
        <v>14693</v>
      </c>
      <c r="BQ312" s="884">
        <v>13224</v>
      </c>
      <c r="BR312" s="884">
        <v>13270</v>
      </c>
      <c r="BS312" s="255">
        <f>BS310+BS308+BS307</f>
        <v>13270</v>
      </c>
      <c r="BT312" s="884">
        <v>14068</v>
      </c>
      <c r="BU312" s="884">
        <v>14775</v>
      </c>
      <c r="BV312" s="884">
        <v>14134</v>
      </c>
      <c r="BW312" s="884">
        <v>14152</v>
      </c>
      <c r="BX312" s="255">
        <f>BX310+BX308+BX307</f>
        <v>14152</v>
      </c>
      <c r="BY312" s="884">
        <v>15010</v>
      </c>
      <c r="BZ312" s="884">
        <v>15209</v>
      </c>
      <c r="CA312" s="884">
        <v>14813</v>
      </c>
      <c r="CB312" s="884">
        <v>16879</v>
      </c>
      <c r="CC312" s="251">
        <f>CC310+CC308+CC307</f>
        <v>16879</v>
      </c>
      <c r="CD312" s="884">
        <v>17319</v>
      </c>
      <c r="CE312" s="884">
        <v>17082</v>
      </c>
      <c r="CF312" s="884">
        <v>17608</v>
      </c>
      <c r="CG312" s="884">
        <v>17526</v>
      </c>
      <c r="CH312" s="255">
        <f t="shared" ref="CH312:CM312" si="1068">CH310+CH308+CH307</f>
        <v>17526</v>
      </c>
      <c r="CI312" s="884">
        <v>18108</v>
      </c>
      <c r="CJ312" s="884">
        <v>16250</v>
      </c>
      <c r="CK312" s="884">
        <v>15147</v>
      </c>
      <c r="CL312" s="884">
        <v>15239</v>
      </c>
      <c r="CM312" s="255">
        <f t="shared" si="1068"/>
        <v>15239</v>
      </c>
      <c r="CN312" s="884">
        <v>15953</v>
      </c>
      <c r="CO312" s="884">
        <v>16631</v>
      </c>
      <c r="CP312" s="884">
        <v>16496</v>
      </c>
      <c r="CQ312" s="884">
        <v>18573</v>
      </c>
      <c r="CR312" s="255">
        <f t="shared" ref="CR312" si="1069">CR310+CR308+CR307</f>
        <v>18573</v>
      </c>
      <c r="CS312" s="884">
        <v>15953</v>
      </c>
      <c r="CT312" s="884">
        <v>16631</v>
      </c>
      <c r="CU312" s="884">
        <v>16496</v>
      </c>
      <c r="CV312" s="884">
        <v>18573</v>
      </c>
      <c r="CW312" s="255">
        <f t="shared" ref="CW312" si="1070">CW310+CW308+CW307</f>
        <v>18573</v>
      </c>
      <c r="CX312" s="884">
        <v>20012</v>
      </c>
      <c r="CY312" s="117">
        <f t="shared" ref="CY312:DB312" si="1071">CY310+CY308+CY307</f>
        <v>18315.121769460002</v>
      </c>
      <c r="CZ312" s="117">
        <f t="shared" si="1071"/>
        <v>18193.159095750379</v>
      </c>
      <c r="DA312" s="117">
        <f t="shared" si="1071"/>
        <v>19373.149557466757</v>
      </c>
      <c r="DB312" s="255">
        <f t="shared" si="1071"/>
        <v>19373.149557466757</v>
      </c>
      <c r="DC312" s="117"/>
      <c r="DD312" s="117"/>
      <c r="DE312" s="117"/>
      <c r="DF312" s="117"/>
      <c r="DG312" s="255">
        <f>DG310+DG308+DG307</f>
        <v>20018.447434425347</v>
      </c>
      <c r="DH312" s="117"/>
      <c r="DI312" s="117"/>
      <c r="DJ312" s="117"/>
      <c r="DK312" s="117"/>
      <c r="DL312" s="255">
        <f>DL310+DL308+DL307</f>
        <v>20672.441697131024</v>
      </c>
      <c r="DM312" s="79"/>
      <c r="DN312" s="522"/>
      <c r="DO312" s="486"/>
      <c r="DP312" s="411"/>
      <c r="DQ312" s="411"/>
      <c r="DR312" s="411"/>
      <c r="DS312" s="480"/>
      <c r="DT312" s="480"/>
      <c r="DU312" s="857"/>
      <c r="DV312" s="478"/>
      <c r="DW312" s="478"/>
      <c r="DX312" s="472"/>
      <c r="DY312" s="472"/>
      <c r="DZ312" s="472"/>
      <c r="EA312" s="522"/>
      <c r="EH312" s="8"/>
    </row>
    <row r="313" spans="1:138" ht="12.75" customHeight="1" x14ac:dyDescent="0.2">
      <c r="A313" s="171" t="s">
        <v>8</v>
      </c>
      <c r="B313" s="881"/>
      <c r="C313" s="881"/>
      <c r="D313" s="881"/>
      <c r="E313" s="881"/>
      <c r="F313" s="905">
        <v>5896</v>
      </c>
      <c r="G313" s="881"/>
      <c r="H313" s="881"/>
      <c r="I313" s="881"/>
      <c r="J313" s="881"/>
      <c r="K313" s="905">
        <v>8347</v>
      </c>
      <c r="L313" s="881"/>
      <c r="M313" s="881"/>
      <c r="N313" s="881"/>
      <c r="O313" s="881"/>
      <c r="P313" s="905">
        <v>10174</v>
      </c>
      <c r="Q313" s="881"/>
      <c r="R313" s="881"/>
      <c r="S313" s="881"/>
      <c r="T313" s="881"/>
      <c r="U313" s="905">
        <v>11538</v>
      </c>
      <c r="V313" s="881"/>
      <c r="W313" s="881"/>
      <c r="X313" s="881"/>
      <c r="Y313" s="881"/>
      <c r="Z313" s="905">
        <v>13005</v>
      </c>
      <c r="AA313" s="881"/>
      <c r="AB313" s="881"/>
      <c r="AC313" s="881"/>
      <c r="AD313" s="881"/>
      <c r="AE313" s="905">
        <v>6557</v>
      </c>
      <c r="AF313" s="881">
        <v>6654</v>
      </c>
      <c r="AG313" s="881">
        <v>6508</v>
      </c>
      <c r="AH313" s="881">
        <v>6422</v>
      </c>
      <c r="AI313" s="881">
        <v>6509</v>
      </c>
      <c r="AJ313" s="248">
        <v>6509</v>
      </c>
      <c r="AK313" s="881">
        <v>4792</v>
      </c>
      <c r="AL313" s="881">
        <v>7553</v>
      </c>
      <c r="AM313" s="881">
        <v>7430</v>
      </c>
      <c r="AN313" s="881">
        <v>7986</v>
      </c>
      <c r="AO313" s="248">
        <v>7986</v>
      </c>
      <c r="AP313" s="881"/>
      <c r="AQ313" s="881"/>
      <c r="AR313" s="881"/>
      <c r="AS313" s="881"/>
      <c r="AT313" s="248"/>
      <c r="AU313" s="881">
        <v>8387</v>
      </c>
      <c r="AV313" s="881">
        <v>8338</v>
      </c>
      <c r="AW313" s="881">
        <v>9274</v>
      </c>
      <c r="AX313" s="881">
        <v>15411</v>
      </c>
      <c r="AY313" s="248">
        <v>15411</v>
      </c>
      <c r="AZ313" s="881">
        <v>14743</v>
      </c>
      <c r="BA313" s="881">
        <v>14774</v>
      </c>
      <c r="BB313" s="881">
        <v>16655</v>
      </c>
      <c r="BC313" s="881">
        <v>15665</v>
      </c>
      <c r="BD313" s="248">
        <f>BC313</f>
        <v>15665</v>
      </c>
      <c r="BE313" s="881">
        <v>15251</v>
      </c>
      <c r="BF313" s="881">
        <v>14228</v>
      </c>
      <c r="BG313" s="881">
        <v>13063</v>
      </c>
      <c r="BH313" s="881">
        <v>13179</v>
      </c>
      <c r="BI313" s="248">
        <f>BH313</f>
        <v>13179</v>
      </c>
      <c r="BJ313" s="881">
        <v>13446</v>
      </c>
      <c r="BK313" s="881">
        <v>13026</v>
      </c>
      <c r="BL313" s="881">
        <v>12557</v>
      </c>
      <c r="BM313" s="881">
        <v>11847</v>
      </c>
      <c r="BN313" s="350">
        <f t="shared" ref="BN313:BN318" si="1072">BM313</f>
        <v>11847</v>
      </c>
      <c r="BO313" s="881">
        <v>11521</v>
      </c>
      <c r="BP313" s="881">
        <v>11221</v>
      </c>
      <c r="BQ313" s="881">
        <v>11111</v>
      </c>
      <c r="BR313" s="881">
        <v>11082</v>
      </c>
      <c r="BS313" s="248">
        <f t="shared" ref="BS313:BS318" si="1073">BR313</f>
        <v>11082</v>
      </c>
      <c r="BT313" s="881">
        <v>10721</v>
      </c>
      <c r="BU313" s="881">
        <v>10526</v>
      </c>
      <c r="BV313" s="881">
        <v>10077</v>
      </c>
      <c r="BW313" s="881">
        <v>9795</v>
      </c>
      <c r="BX313" s="248">
        <f t="shared" ref="BX313:BX318" si="1074">BW313</f>
        <v>9795</v>
      </c>
      <c r="BY313" s="881">
        <v>9466</v>
      </c>
      <c r="BZ313" s="881">
        <v>9089</v>
      </c>
      <c r="CA313" s="881">
        <v>8970</v>
      </c>
      <c r="CB313" s="881">
        <v>8561</v>
      </c>
      <c r="CC313" s="248">
        <f t="shared" ref="CC313:CC318" si="1075">CB313</f>
        <v>8561</v>
      </c>
      <c r="CD313" s="881">
        <v>8305</v>
      </c>
      <c r="CE313" s="881">
        <v>7598</v>
      </c>
      <c r="CF313" s="881">
        <v>7096</v>
      </c>
      <c r="CG313" s="881">
        <v>6766</v>
      </c>
      <c r="CH313" s="248">
        <f t="shared" ref="CH313:CH318" si="1076">CG313</f>
        <v>6766</v>
      </c>
      <c r="CI313" s="881">
        <v>6920</v>
      </c>
      <c r="CJ313" s="881">
        <v>6689</v>
      </c>
      <c r="CK313" s="881">
        <v>6473</v>
      </c>
      <c r="CL313" s="881">
        <v>6201</v>
      </c>
      <c r="CM313" s="248">
        <f t="shared" ref="CM313:CM318" si="1077">CL313</f>
        <v>6201</v>
      </c>
      <c r="CN313" s="881">
        <v>8187</v>
      </c>
      <c r="CO313" s="881">
        <v>7916</v>
      </c>
      <c r="CP313" s="881">
        <v>7584</v>
      </c>
      <c r="CQ313" s="881">
        <v>6592</v>
      </c>
      <c r="CR313" s="248">
        <f t="shared" ref="CR313:CR318" si="1078">CQ313</f>
        <v>6592</v>
      </c>
      <c r="CS313" s="881">
        <v>8187</v>
      </c>
      <c r="CT313" s="881">
        <v>7916</v>
      </c>
      <c r="CU313" s="881">
        <v>7584</v>
      </c>
      <c r="CV313" s="881">
        <v>6592</v>
      </c>
      <c r="CW313" s="248">
        <f t="shared" ref="CW313:CW318" si="1079">CV313</f>
        <v>6592</v>
      </c>
      <c r="CX313" s="881">
        <v>6360</v>
      </c>
      <c r="CY313" s="66">
        <f>CX313+CY276</f>
        <v>5773.333333333333</v>
      </c>
      <c r="CZ313" s="66">
        <f t="shared" ref="CZ313" si="1080">CY313+CZ276</f>
        <v>5186.6666666666661</v>
      </c>
      <c r="DA313" s="66">
        <f>CZ313+DA276</f>
        <v>4764.4999999999991</v>
      </c>
      <c r="DB313" s="248">
        <f t="shared" ref="DB313:DB318" si="1081">DA313</f>
        <v>4764.4999999999991</v>
      </c>
      <c r="DC313" s="66"/>
      <c r="DD313" s="66"/>
      <c r="DE313" s="66"/>
      <c r="DF313" s="66"/>
      <c r="DG313" s="248">
        <f>DB313+DG276</f>
        <v>3475.4999999999991</v>
      </c>
      <c r="DH313" s="66"/>
      <c r="DI313" s="66"/>
      <c r="DJ313" s="66"/>
      <c r="DK313" s="66"/>
      <c r="DL313" s="248">
        <f>DG313+DL276</f>
        <v>1948.4999999999991</v>
      </c>
      <c r="DM313" s="66"/>
      <c r="DN313" s="526"/>
      <c r="DO313" s="486"/>
      <c r="DP313" s="411"/>
      <c r="DQ313" s="411"/>
      <c r="DR313" s="411"/>
      <c r="DS313" s="478"/>
      <c r="DT313" s="478"/>
      <c r="DU313" s="857"/>
      <c r="DV313" s="478"/>
      <c r="DW313" s="478"/>
      <c r="DX313" s="478"/>
      <c r="DY313" s="478"/>
      <c r="DZ313" s="478"/>
      <c r="EA313" s="526"/>
      <c r="EH313" s="8">
        <v>4371</v>
      </c>
    </row>
    <row r="314" spans="1:138" ht="12.75" customHeight="1" x14ac:dyDescent="0.2">
      <c r="A314" s="637" t="s">
        <v>213</v>
      </c>
      <c r="B314" s="639"/>
      <c r="C314" s="639"/>
      <c r="D314" s="639"/>
      <c r="E314" s="639"/>
      <c r="F314" s="256"/>
      <c r="G314" s="639"/>
      <c r="H314" s="639"/>
      <c r="I314" s="639"/>
      <c r="J314" s="639"/>
      <c r="K314" s="256"/>
      <c r="L314" s="639"/>
      <c r="M314" s="639"/>
      <c r="N314" s="639"/>
      <c r="O314" s="639"/>
      <c r="P314" s="256"/>
      <c r="Q314" s="639"/>
      <c r="R314" s="639"/>
      <c r="S314" s="639"/>
      <c r="T314" s="639"/>
      <c r="U314" s="256"/>
      <c r="V314" s="639"/>
      <c r="W314" s="639"/>
      <c r="X314" s="639"/>
      <c r="Y314" s="639"/>
      <c r="Z314" s="256"/>
      <c r="AA314" s="639"/>
      <c r="AB314" s="639"/>
      <c r="AC314" s="639"/>
      <c r="AD314" s="639"/>
      <c r="AE314" s="256"/>
      <c r="AF314" s="639"/>
      <c r="AG314" s="639"/>
      <c r="AH314" s="639"/>
      <c r="AI314" s="639"/>
      <c r="AJ314" s="256"/>
      <c r="AK314" s="639"/>
      <c r="AL314" s="639"/>
      <c r="AM314" s="639"/>
      <c r="AN314" s="639"/>
      <c r="AO314" s="256"/>
      <c r="AP314" s="639"/>
      <c r="AQ314" s="639"/>
      <c r="AR314" s="639"/>
      <c r="AS314" s="639"/>
      <c r="AT314" s="256"/>
      <c r="AU314" s="639"/>
      <c r="AV314" s="639"/>
      <c r="AW314" s="639"/>
      <c r="AX314" s="639"/>
      <c r="AY314" s="256"/>
      <c r="AZ314" s="639"/>
      <c r="BA314" s="639"/>
      <c r="BB314" s="639"/>
      <c r="BC314" s="639"/>
      <c r="BD314" s="638">
        <v>1100</v>
      </c>
      <c r="BE314" s="639"/>
      <c r="BF314" s="639"/>
      <c r="BG314" s="639"/>
      <c r="BH314" s="639"/>
      <c r="BI314" s="256"/>
      <c r="BJ314" s="639">
        <v>600</v>
      </c>
      <c r="BK314" s="639">
        <v>600</v>
      </c>
      <c r="BL314" s="639">
        <v>600</v>
      </c>
      <c r="BM314" s="639">
        <v>600</v>
      </c>
      <c r="BN314" s="256">
        <f t="shared" si="1072"/>
        <v>600</v>
      </c>
      <c r="BO314" s="639">
        <v>600</v>
      </c>
      <c r="BP314" s="639">
        <v>600</v>
      </c>
      <c r="BQ314" s="639">
        <v>500</v>
      </c>
      <c r="BR314" s="639">
        <v>500</v>
      </c>
      <c r="BS314" s="256">
        <f t="shared" si="1073"/>
        <v>500</v>
      </c>
      <c r="BT314" s="639">
        <v>500</v>
      </c>
      <c r="BU314" s="639">
        <f>400-200</f>
        <v>200</v>
      </c>
      <c r="BV314" s="639">
        <f>400</f>
        <v>400</v>
      </c>
      <c r="BW314" s="639">
        <v>400</v>
      </c>
      <c r="BX314" s="256">
        <f t="shared" si="1074"/>
        <v>400</v>
      </c>
      <c r="BY314" s="639">
        <v>400</v>
      </c>
      <c r="BZ314" s="639">
        <v>300</v>
      </c>
      <c r="CA314" s="639">
        <v>200</v>
      </c>
      <c r="CB314" s="639">
        <v>100</v>
      </c>
      <c r="CC314" s="256">
        <f t="shared" si="1075"/>
        <v>100</v>
      </c>
      <c r="CD314" s="639">
        <v>100</v>
      </c>
      <c r="CE314" s="639">
        <f>CD314</f>
        <v>100</v>
      </c>
      <c r="CF314" s="639">
        <f>CE314</f>
        <v>100</v>
      </c>
      <c r="CG314" s="639">
        <f>CF314</f>
        <v>100</v>
      </c>
      <c r="CH314" s="256">
        <f t="shared" si="1076"/>
        <v>100</v>
      </c>
      <c r="CI314" s="639">
        <f>CH314</f>
        <v>100</v>
      </c>
      <c r="CJ314" s="639">
        <f>CI314</f>
        <v>100</v>
      </c>
      <c r="CK314" s="639">
        <f>CJ314</f>
        <v>100</v>
      </c>
      <c r="CL314" s="639">
        <f>CK314</f>
        <v>100</v>
      </c>
      <c r="CM314" s="256">
        <f t="shared" si="1077"/>
        <v>100</v>
      </c>
      <c r="CN314" s="639">
        <f>CM314</f>
        <v>100</v>
      </c>
      <c r="CO314" s="639">
        <f>CN314</f>
        <v>100</v>
      </c>
      <c r="CP314" s="639">
        <f>CO314</f>
        <v>100</v>
      </c>
      <c r="CQ314" s="639">
        <f>CP314</f>
        <v>100</v>
      </c>
      <c r="CR314" s="256">
        <f t="shared" si="1078"/>
        <v>100</v>
      </c>
      <c r="CS314" s="639">
        <f>CR314</f>
        <v>100</v>
      </c>
      <c r="CT314" s="639">
        <f>CS314</f>
        <v>100</v>
      </c>
      <c r="CU314" s="639">
        <f>CT314</f>
        <v>100</v>
      </c>
      <c r="CV314" s="639">
        <f>CU314</f>
        <v>100</v>
      </c>
      <c r="CW314" s="256">
        <f t="shared" si="1079"/>
        <v>100</v>
      </c>
      <c r="CX314" s="639">
        <f>CW314</f>
        <v>100</v>
      </c>
      <c r="CY314" s="174">
        <f t="shared" ref="CY314:DA314" si="1082">CX314</f>
        <v>100</v>
      </c>
      <c r="CZ314" s="174">
        <f t="shared" si="1082"/>
        <v>100</v>
      </c>
      <c r="DA314" s="174">
        <f t="shared" si="1082"/>
        <v>100</v>
      </c>
      <c r="DB314" s="256">
        <f t="shared" si="1081"/>
        <v>100</v>
      </c>
      <c r="DC314" s="174"/>
      <c r="DD314" s="174"/>
      <c r="DE314" s="174"/>
      <c r="DF314" s="174"/>
      <c r="DG314" s="256">
        <f>DB314</f>
        <v>100</v>
      </c>
      <c r="DH314" s="174"/>
      <c r="DI314" s="174"/>
      <c r="DJ314" s="174"/>
      <c r="DK314" s="174"/>
      <c r="DL314" s="256">
        <f>DG314</f>
        <v>100</v>
      </c>
      <c r="DM314" s="174"/>
      <c r="DN314" s="541"/>
      <c r="DO314" s="492"/>
      <c r="DP314" s="416"/>
      <c r="DQ314" s="416"/>
      <c r="DR314" s="416"/>
      <c r="DS314" s="571"/>
      <c r="DT314" s="571"/>
      <c r="DU314" s="857"/>
      <c r="DV314" s="478"/>
      <c r="DW314" s="478"/>
      <c r="DX314" s="571"/>
      <c r="DY314" s="571"/>
      <c r="DZ314" s="571"/>
      <c r="EA314" s="541"/>
      <c r="EH314" s="175"/>
    </row>
    <row r="315" spans="1:138" ht="12.75" customHeight="1" x14ac:dyDescent="0.2">
      <c r="A315" s="637" t="s">
        <v>214</v>
      </c>
      <c r="B315" s="174"/>
      <c r="C315" s="174"/>
      <c r="D315" s="174"/>
      <c r="E315" s="174"/>
      <c r="F315" s="256"/>
      <c r="G315" s="174"/>
      <c r="H315" s="174"/>
      <c r="I315" s="174"/>
      <c r="J315" s="174"/>
      <c r="K315" s="256"/>
      <c r="L315" s="174"/>
      <c r="M315" s="174"/>
      <c r="N315" s="174"/>
      <c r="O315" s="174"/>
      <c r="P315" s="256"/>
      <c r="Q315" s="174"/>
      <c r="R315" s="174"/>
      <c r="S315" s="174"/>
      <c r="T315" s="174"/>
      <c r="U315" s="256"/>
      <c r="V315" s="174"/>
      <c r="W315" s="174"/>
      <c r="X315" s="174"/>
      <c r="Y315" s="174"/>
      <c r="Z315" s="256"/>
      <c r="AA315" s="174"/>
      <c r="AB315" s="174"/>
      <c r="AC315" s="174"/>
      <c r="AD315" s="174"/>
      <c r="AE315" s="256"/>
      <c r="AF315" s="174"/>
      <c r="AG315" s="174"/>
      <c r="AH315" s="174"/>
      <c r="AI315" s="174"/>
      <c r="AJ315" s="256"/>
      <c r="AK315" s="174"/>
      <c r="AL315" s="174"/>
      <c r="AM315" s="174"/>
      <c r="AN315" s="174"/>
      <c r="AO315" s="256"/>
      <c r="AP315" s="174"/>
      <c r="AQ315" s="174"/>
      <c r="AR315" s="174"/>
      <c r="AS315" s="174"/>
      <c r="AT315" s="256"/>
      <c r="AU315" s="174"/>
      <c r="AV315" s="174"/>
      <c r="AW315" s="174"/>
      <c r="AX315" s="174"/>
      <c r="AY315" s="256"/>
      <c r="AZ315" s="174"/>
      <c r="BA315" s="174"/>
      <c r="BB315" s="174"/>
      <c r="BC315" s="174"/>
      <c r="BD315" s="256">
        <f>BD313+BD307-BD287+(7*BD221)+BD314</f>
        <v>16980</v>
      </c>
      <c r="BE315" s="174"/>
      <c r="BF315" s="174"/>
      <c r="BG315" s="174"/>
      <c r="BH315" s="174"/>
      <c r="BI315" s="256"/>
      <c r="BJ315" s="174">
        <f>BJ313+BJ307-BJ287+(7*BJ221)+BJ314</f>
        <v>14401</v>
      </c>
      <c r="BK315" s="174">
        <f>BK313+BK307-BK287+(7*BK221)+BK314</f>
        <v>13721</v>
      </c>
      <c r="BL315" s="174">
        <f>BL313+BL307-BL287+(7*BL221)+BL314</f>
        <v>13971</v>
      </c>
      <c r="BM315" s="174">
        <f>BM313+BM307-BM287+(7*BM221)+BM314</f>
        <v>12862</v>
      </c>
      <c r="BN315" s="256">
        <f t="shared" si="1072"/>
        <v>12862</v>
      </c>
      <c r="BO315" s="174">
        <f>BO313+BO307-BO287+(7*BO221)+BO314</f>
        <v>12171</v>
      </c>
      <c r="BP315" s="174">
        <f>BP313+BP307-BP287+(7*BP221)+BP314</f>
        <v>12125</v>
      </c>
      <c r="BQ315" s="174">
        <f>BQ313+BQ307-BQ287+(7*BQ221)+BQ314</f>
        <v>11898</v>
      </c>
      <c r="BR315" s="174">
        <f>BR313+BR307-BR287+(7*BR221)+BR314</f>
        <v>11739</v>
      </c>
      <c r="BS315" s="256">
        <f t="shared" si="1073"/>
        <v>11739</v>
      </c>
      <c r="BT315" s="174">
        <f>BT313+BT307-BT287+(7*BT221)+BT314</f>
        <v>11019</v>
      </c>
      <c r="BU315" s="174">
        <f>BU313+BU307-BU287+(7*BU221)+BU314</f>
        <v>10206</v>
      </c>
      <c r="BV315" s="174">
        <f>BV313+BV307-BV287+(7*BV221)+BV314</f>
        <v>9905</v>
      </c>
      <c r="BW315" s="174">
        <f>BW313+BW307-BW287+(7*BW221)+BW314</f>
        <v>9402</v>
      </c>
      <c r="BX315" s="256">
        <f t="shared" si="1074"/>
        <v>9402</v>
      </c>
      <c r="BY315" s="174">
        <f>BY313+BY307-BY287+(7*BY221)+BY314-BY293</f>
        <v>9186</v>
      </c>
      <c r="BZ315" s="174">
        <f>BZ313+BZ307-BZ287+(7*BZ221)+BZ314-BZ293</f>
        <v>7948</v>
      </c>
      <c r="CA315" s="174">
        <f>CA313+CA307-CA287+(7*CA221)+CA314-CA293</f>
        <v>7510</v>
      </c>
      <c r="CB315" s="174">
        <f>CB313+CB307-CB287+(7*CB221)+CB314-CB293</f>
        <v>7278</v>
      </c>
      <c r="CC315" s="256">
        <f t="shared" si="1075"/>
        <v>7278</v>
      </c>
      <c r="CD315" s="174">
        <f>CD313+CD307-CD287+(7*CD221)+CD314-CD293</f>
        <v>7363</v>
      </c>
      <c r="CE315" s="174">
        <f>CE313+CE307-CE287+(7*CE221)+CE314-CE293</f>
        <v>7158</v>
      </c>
      <c r="CF315" s="174">
        <f>CF313+CF307-CF287+(7*CF221)+CF314-CF293</f>
        <v>6417</v>
      </c>
      <c r="CG315" s="174">
        <f>CG313+CG307-CG287+(7*CG221)+CG314-CG293</f>
        <v>6623</v>
      </c>
      <c r="CH315" s="256">
        <f t="shared" si="1076"/>
        <v>6623</v>
      </c>
      <c r="CI315" s="174">
        <f>CI313+CI307-CI287+(7*CI221)+CI314-CI293</f>
        <v>6975</v>
      </c>
      <c r="CJ315" s="174">
        <f>CJ313+CJ307-CJ287+(7*CJ221)+CJ314-CJ293</f>
        <v>6787</v>
      </c>
      <c r="CK315" s="174">
        <f>CK313+CK307-CK287+(7*CK221)+CK314-CK293</f>
        <v>6410</v>
      </c>
      <c r="CL315" s="174">
        <f>CL313+CL307-CL287+(7*CL221)+CL314-CL293</f>
        <v>6178</v>
      </c>
      <c r="CM315" s="256">
        <f t="shared" si="1077"/>
        <v>6178</v>
      </c>
      <c r="CN315" s="174">
        <f t="shared" ref="CN315:CQ315" si="1083">CN313+CN307-CN287+(7*CN221)+CN314-CN293</f>
        <v>8798</v>
      </c>
      <c r="CO315" s="174">
        <f t="shared" si="1083"/>
        <v>8387</v>
      </c>
      <c r="CP315" s="174">
        <f t="shared" si="1083"/>
        <v>8850</v>
      </c>
      <c r="CQ315" s="174">
        <f t="shared" si="1083"/>
        <v>8752</v>
      </c>
      <c r="CR315" s="256">
        <f t="shared" si="1078"/>
        <v>8752</v>
      </c>
      <c r="CS315" s="174">
        <f t="shared" ref="CS315:CX315" si="1084">CS313+CS307-CS287+(7*CS221)+CS314-CS293</f>
        <v>9137</v>
      </c>
      <c r="CT315" s="174">
        <f t="shared" si="1084"/>
        <v>8586</v>
      </c>
      <c r="CU315" s="174">
        <f t="shared" si="1084"/>
        <v>8930</v>
      </c>
      <c r="CV315" s="174">
        <f t="shared" si="1084"/>
        <v>8755</v>
      </c>
      <c r="CW315" s="256">
        <f t="shared" si="1079"/>
        <v>8755</v>
      </c>
      <c r="CX315" s="174">
        <f t="shared" si="1084"/>
        <v>9313</v>
      </c>
      <c r="CY315" s="174">
        <f t="shared" ref="CY315:DA315" si="1085">CY313+CY307-CY287+(7*CY221)+CY314-CY293</f>
        <v>9019.1363223367953</v>
      </c>
      <c r="CZ315" s="174">
        <f t="shared" si="1085"/>
        <v>8956.8978309919185</v>
      </c>
      <c r="DA315" s="174">
        <f t="shared" si="1085"/>
        <v>7766.8094812119361</v>
      </c>
      <c r="DB315" s="256">
        <f t="shared" si="1081"/>
        <v>7766.8094812119361</v>
      </c>
      <c r="DC315" s="174"/>
      <c r="DD315" s="174"/>
      <c r="DE315" s="174"/>
      <c r="DF315" s="174"/>
      <c r="DG315" s="256">
        <f>DG313+DG307-DG287+(7*DG221)+DG314-DG293</f>
        <v>6807.2491815586809</v>
      </c>
      <c r="DH315" s="174"/>
      <c r="DI315" s="174"/>
      <c r="DJ315" s="174"/>
      <c r="DK315" s="174"/>
      <c r="DL315" s="256">
        <f>DL313+DL307-DL287+(7*DL221)+DL314-DL293</f>
        <v>5030.4091729339907</v>
      </c>
      <c r="DM315" s="66"/>
      <c r="DN315" s="526"/>
      <c r="DO315" s="486"/>
      <c r="DP315" s="411"/>
      <c r="DQ315" s="411"/>
      <c r="DR315" s="411"/>
      <c r="DS315" s="478" t="s">
        <v>550</v>
      </c>
      <c r="DT315" s="478"/>
      <c r="DU315" s="857"/>
      <c r="DV315" s="478"/>
      <c r="DW315" s="478"/>
      <c r="DX315" s="478"/>
      <c r="DY315" s="478"/>
      <c r="DZ315" s="478"/>
      <c r="EA315" s="526"/>
      <c r="EH315" s="8"/>
    </row>
    <row r="316" spans="1:138" ht="12.75" customHeight="1" x14ac:dyDescent="0.2">
      <c r="A316" s="171" t="s">
        <v>109</v>
      </c>
      <c r="B316" s="881"/>
      <c r="C316" s="881"/>
      <c r="D316" s="881"/>
      <c r="E316" s="881"/>
      <c r="F316" s="905">
        <v>1220</v>
      </c>
      <c r="G316" s="881"/>
      <c r="H316" s="881"/>
      <c r="I316" s="881"/>
      <c r="J316" s="881"/>
      <c r="K316" s="905">
        <v>465</v>
      </c>
      <c r="L316" s="881"/>
      <c r="M316" s="881"/>
      <c r="N316" s="881"/>
      <c r="O316" s="881"/>
      <c r="P316" s="905">
        <v>0</v>
      </c>
      <c r="Q316" s="881"/>
      <c r="R316" s="881"/>
      <c r="S316" s="881"/>
      <c r="T316" s="881"/>
      <c r="U316" s="905">
        <v>0</v>
      </c>
      <c r="V316" s="881"/>
      <c r="W316" s="881"/>
      <c r="X316" s="881"/>
      <c r="Y316" s="881"/>
      <c r="Z316" s="905">
        <v>0</v>
      </c>
      <c r="AA316" s="881"/>
      <c r="AB316" s="881"/>
      <c r="AC316" s="881"/>
      <c r="AD316" s="881"/>
      <c r="AE316" s="905">
        <v>132</v>
      </c>
      <c r="AF316" s="881">
        <v>0</v>
      </c>
      <c r="AG316" s="881">
        <v>0</v>
      </c>
      <c r="AH316" s="881">
        <v>0</v>
      </c>
      <c r="AI316" s="881">
        <v>406</v>
      </c>
      <c r="AJ316" s="248">
        <v>406</v>
      </c>
      <c r="AK316" s="881">
        <v>385</v>
      </c>
      <c r="AL316" s="881">
        <v>1502</v>
      </c>
      <c r="AM316" s="881">
        <v>1524</v>
      </c>
      <c r="AN316" s="881">
        <v>855</v>
      </c>
      <c r="AO316" s="248">
        <v>855</v>
      </c>
      <c r="AP316" s="881"/>
      <c r="AQ316" s="881"/>
      <c r="AR316" s="881"/>
      <c r="AS316" s="881"/>
      <c r="AT316" s="248"/>
      <c r="AU316" s="881">
        <v>881</v>
      </c>
      <c r="AV316" s="881">
        <v>811</v>
      </c>
      <c r="AW316" s="881">
        <v>714</v>
      </c>
      <c r="AX316" s="881">
        <v>1981</v>
      </c>
      <c r="AY316" s="248">
        <v>1981</v>
      </c>
      <c r="AZ316" s="881">
        <v>1901</v>
      </c>
      <c r="BA316" s="881">
        <v>1886</v>
      </c>
      <c r="BB316" s="881">
        <v>1861</v>
      </c>
      <c r="BC316" s="881">
        <v>1667</v>
      </c>
      <c r="BD316" s="248">
        <f>BC316</f>
        <v>1667</v>
      </c>
      <c r="BE316" s="881">
        <v>1731</v>
      </c>
      <c r="BF316" s="881">
        <v>1803</v>
      </c>
      <c r="BG316" s="881">
        <v>1734</v>
      </c>
      <c r="BH316" s="881">
        <v>1924</v>
      </c>
      <c r="BI316" s="248">
        <f>BH316</f>
        <v>1924</v>
      </c>
      <c r="BJ316" s="881">
        <v>1851</v>
      </c>
      <c r="BK316" s="881">
        <v>1913</v>
      </c>
      <c r="BL316" s="881">
        <v>1967</v>
      </c>
      <c r="BM316" s="881">
        <v>2028</v>
      </c>
      <c r="BN316" s="350">
        <f t="shared" si="1072"/>
        <v>2028</v>
      </c>
      <c r="BO316" s="881">
        <v>1959</v>
      </c>
      <c r="BP316" s="881">
        <v>2071</v>
      </c>
      <c r="BQ316" s="881">
        <v>2049</v>
      </c>
      <c r="BR316" s="881">
        <v>2047</v>
      </c>
      <c r="BS316" s="248">
        <f t="shared" si="1073"/>
        <v>2047</v>
      </c>
      <c r="BT316" s="881">
        <v>2047</v>
      </c>
      <c r="BU316" s="881">
        <v>2037</v>
      </c>
      <c r="BV316" s="881">
        <v>1993</v>
      </c>
      <c r="BW316" s="881">
        <v>0</v>
      </c>
      <c r="BX316" s="248">
        <f t="shared" si="1074"/>
        <v>0</v>
      </c>
      <c r="BY316" s="881">
        <v>0</v>
      </c>
      <c r="BZ316" s="881">
        <v>0</v>
      </c>
      <c r="CA316" s="881">
        <v>0</v>
      </c>
      <c r="CB316" s="881">
        <v>0</v>
      </c>
      <c r="CC316" s="248">
        <f t="shared" si="1075"/>
        <v>0</v>
      </c>
      <c r="CD316" s="881">
        <v>0</v>
      </c>
      <c r="CE316" s="881">
        <v>0</v>
      </c>
      <c r="CF316" s="881">
        <v>0</v>
      </c>
      <c r="CG316" s="881">
        <v>0</v>
      </c>
      <c r="CH316" s="248">
        <f t="shared" si="1076"/>
        <v>0</v>
      </c>
      <c r="CI316" s="881">
        <v>0</v>
      </c>
      <c r="CJ316" s="881">
        <v>0</v>
      </c>
      <c r="CK316" s="881">
        <v>0</v>
      </c>
      <c r="CL316" s="881">
        <v>0</v>
      </c>
      <c r="CM316" s="248">
        <f t="shared" si="1077"/>
        <v>0</v>
      </c>
      <c r="CN316" s="881">
        <v>0</v>
      </c>
      <c r="CO316" s="881">
        <v>0</v>
      </c>
      <c r="CP316" s="881">
        <v>0</v>
      </c>
      <c r="CQ316" s="881">
        <v>0</v>
      </c>
      <c r="CR316" s="248">
        <f t="shared" si="1078"/>
        <v>0</v>
      </c>
      <c r="CS316" s="881">
        <v>0</v>
      </c>
      <c r="CT316" s="881">
        <v>0</v>
      </c>
      <c r="CU316" s="881">
        <v>0</v>
      </c>
      <c r="CV316" s="881">
        <v>0</v>
      </c>
      <c r="CW316" s="248">
        <f t="shared" si="1079"/>
        <v>0</v>
      </c>
      <c r="CX316" s="881">
        <v>0</v>
      </c>
      <c r="CY316" s="66">
        <f t="shared" ref="CY316:DA316" si="1086">IF(CY292=0,CX316+CY254-(CX292),CX316+CY254)</f>
        <v>400.95712538950443</v>
      </c>
      <c r="CZ316" s="66">
        <f t="shared" si="1086"/>
        <v>785.22128507773448</v>
      </c>
      <c r="DA316" s="66">
        <f t="shared" si="1086"/>
        <v>1090.5223057637295</v>
      </c>
      <c r="DB316" s="248">
        <f t="shared" si="1081"/>
        <v>1090.5223057637295</v>
      </c>
      <c r="DC316" s="66"/>
      <c r="DD316" s="66"/>
      <c r="DE316" s="66"/>
      <c r="DF316" s="66"/>
      <c r="DG316" s="248">
        <v>2912.5904435995235</v>
      </c>
      <c r="DH316" s="66"/>
      <c r="DI316" s="66"/>
      <c r="DJ316" s="66"/>
      <c r="DK316" s="66"/>
      <c r="DL316" s="248">
        <v>4864.4548064072542</v>
      </c>
      <c r="DM316" s="66"/>
      <c r="DN316" s="526"/>
      <c r="DO316" s="486"/>
      <c r="DP316" s="411"/>
      <c r="DQ316" s="411"/>
      <c r="DR316" s="411"/>
      <c r="DS316" s="478"/>
      <c r="DT316" s="478"/>
      <c r="DU316" s="857"/>
      <c r="DV316" s="478"/>
      <c r="DW316" s="478"/>
      <c r="DX316" s="478"/>
      <c r="DY316" s="478"/>
      <c r="DZ316" s="478"/>
      <c r="EA316" s="526"/>
      <c r="EH316" s="8"/>
    </row>
    <row r="317" spans="1:138" ht="12.75" customHeight="1" x14ac:dyDescent="0.2">
      <c r="A317" s="171" t="s">
        <v>218</v>
      </c>
      <c r="B317" s="881"/>
      <c r="C317" s="881"/>
      <c r="D317" s="881"/>
      <c r="E317" s="881"/>
      <c r="F317" s="905"/>
      <c r="G317" s="881"/>
      <c r="H317" s="881"/>
      <c r="I317" s="881"/>
      <c r="J317" s="881"/>
      <c r="K317" s="905">
        <v>419</v>
      </c>
      <c r="L317" s="881"/>
      <c r="M317" s="881"/>
      <c r="N317" s="881"/>
      <c r="O317" s="881"/>
      <c r="P317" s="905">
        <v>3370</v>
      </c>
      <c r="Q317" s="881"/>
      <c r="R317" s="881"/>
      <c r="S317" s="881"/>
      <c r="T317" s="881"/>
      <c r="U317" s="905">
        <v>5231</v>
      </c>
      <c r="V317" s="881"/>
      <c r="W317" s="881"/>
      <c r="X317" s="881"/>
      <c r="Y317" s="881"/>
      <c r="Z317" s="905">
        <v>5199</v>
      </c>
      <c r="AA317" s="881"/>
      <c r="AB317" s="881"/>
      <c r="AC317" s="881"/>
      <c r="AD317" s="881"/>
      <c r="AE317" s="905">
        <v>6331</v>
      </c>
      <c r="AF317" s="881">
        <v>0</v>
      </c>
      <c r="AG317" s="881">
        <v>0</v>
      </c>
      <c r="AH317" s="881">
        <v>0</v>
      </c>
      <c r="AI317" s="881">
        <v>0</v>
      </c>
      <c r="AJ317" s="248">
        <v>0</v>
      </c>
      <c r="AK317" s="881">
        <v>0</v>
      </c>
      <c r="AL317" s="881">
        <v>4277</v>
      </c>
      <c r="AM317" s="881">
        <v>4252</v>
      </c>
      <c r="AN317" s="881">
        <v>3867</v>
      </c>
      <c r="AO317" s="248">
        <v>3867</v>
      </c>
      <c r="AP317" s="881"/>
      <c r="AQ317" s="881"/>
      <c r="AR317" s="881"/>
      <c r="AS317" s="881"/>
      <c r="AT317" s="248"/>
      <c r="AU317" s="881">
        <v>3861</v>
      </c>
      <c r="AV317" s="881">
        <v>3851</v>
      </c>
      <c r="AW317" s="881">
        <v>3836</v>
      </c>
      <c r="AX317" s="881">
        <v>10895</v>
      </c>
      <c r="AY317" s="248">
        <v>10895</v>
      </c>
      <c r="AZ317" s="881">
        <v>11005</v>
      </c>
      <c r="BA317" s="881">
        <v>11101</v>
      </c>
      <c r="BB317" s="881">
        <v>11217</v>
      </c>
      <c r="BC317" s="881">
        <v>11745</v>
      </c>
      <c r="BD317" s="248">
        <f>BC317</f>
        <v>11745</v>
      </c>
      <c r="BE317" s="881">
        <v>11614</v>
      </c>
      <c r="BF317" s="881">
        <v>11320</v>
      </c>
      <c r="BG317" s="881">
        <v>11383</v>
      </c>
      <c r="BH317" s="881">
        <v>11493</v>
      </c>
      <c r="BI317" s="248">
        <f>BH317</f>
        <v>11493</v>
      </c>
      <c r="BJ317" s="881">
        <v>11487</v>
      </c>
      <c r="BK317" s="881">
        <v>11307</v>
      </c>
      <c r="BL317" s="881">
        <v>11250</v>
      </c>
      <c r="BM317" s="881">
        <v>14200</v>
      </c>
      <c r="BN317" s="350">
        <f t="shared" si="1072"/>
        <v>14200</v>
      </c>
      <c r="BO317" s="881">
        <v>13905</v>
      </c>
      <c r="BP317" s="881">
        <v>13613</v>
      </c>
      <c r="BQ317" s="881">
        <v>13688</v>
      </c>
      <c r="BR317" s="881">
        <v>16005</v>
      </c>
      <c r="BS317" s="248">
        <f t="shared" si="1073"/>
        <v>16005</v>
      </c>
      <c r="BT317" s="881">
        <v>15865</v>
      </c>
      <c r="BU317" s="881">
        <v>15356</v>
      </c>
      <c r="BV317" s="881">
        <v>15379</v>
      </c>
      <c r="BW317" s="881">
        <v>12392</v>
      </c>
      <c r="BX317" s="248">
        <f t="shared" si="1074"/>
        <v>12392</v>
      </c>
      <c r="BY317" s="881">
        <v>11811</v>
      </c>
      <c r="BZ317" s="881">
        <v>11523</v>
      </c>
      <c r="CA317" s="881">
        <v>11529</v>
      </c>
      <c r="CB317" s="881">
        <v>15138</v>
      </c>
      <c r="CC317" s="248">
        <f t="shared" si="1075"/>
        <v>15138</v>
      </c>
      <c r="CD317" s="881">
        <v>14170</v>
      </c>
      <c r="CE317" s="881">
        <v>13869</v>
      </c>
      <c r="CF317" s="881">
        <v>13867</v>
      </c>
      <c r="CG317" s="881">
        <v>13855</v>
      </c>
      <c r="CH317" s="248">
        <f t="shared" si="1076"/>
        <v>13855</v>
      </c>
      <c r="CI317" s="881">
        <v>12695</v>
      </c>
      <c r="CJ317" s="881">
        <v>12576</v>
      </c>
      <c r="CK317" s="881">
        <v>12587</v>
      </c>
      <c r="CL317" s="881">
        <v>13378</v>
      </c>
      <c r="CM317" s="248">
        <f t="shared" si="1077"/>
        <v>13378</v>
      </c>
      <c r="CN317" s="881">
        <v>10291</v>
      </c>
      <c r="CO317" s="881">
        <v>9623</v>
      </c>
      <c r="CP317" s="881">
        <v>9565</v>
      </c>
      <c r="CQ317" s="881">
        <v>9837</v>
      </c>
      <c r="CR317" s="248">
        <f t="shared" si="1078"/>
        <v>9837</v>
      </c>
      <c r="CS317" s="881">
        <v>10291</v>
      </c>
      <c r="CT317" s="881">
        <v>9623</v>
      </c>
      <c r="CU317" s="881">
        <v>9565</v>
      </c>
      <c r="CV317" s="881">
        <v>9837</v>
      </c>
      <c r="CW317" s="248">
        <f t="shared" si="1079"/>
        <v>9837</v>
      </c>
      <c r="CX317" s="881">
        <v>9193</v>
      </c>
      <c r="CY317" s="66">
        <v>9046.5637023250001</v>
      </c>
      <c r="CZ317" s="66">
        <v>8900.1274046500002</v>
      </c>
      <c r="DA317" s="66">
        <v>8753.6911069750004</v>
      </c>
      <c r="DB317" s="248">
        <f t="shared" si="1081"/>
        <v>8753.6911069750004</v>
      </c>
      <c r="DC317" s="66"/>
      <c r="DD317" s="66"/>
      <c r="DE317" s="66"/>
      <c r="DF317" s="66"/>
      <c r="DG317" s="248">
        <v>7675.5490985638044</v>
      </c>
      <c r="DH317" s="66"/>
      <c r="DI317" s="66"/>
      <c r="DJ317" s="66"/>
      <c r="DK317" s="66"/>
      <c r="DL317" s="248">
        <v>6591.6875734368114</v>
      </c>
      <c r="DM317" s="66"/>
      <c r="DN317" s="526"/>
      <c r="DO317" s="486"/>
      <c r="DP317" s="411"/>
      <c r="DQ317" s="411"/>
      <c r="DR317" s="411"/>
      <c r="DS317" s="478"/>
      <c r="DT317" s="478"/>
      <c r="DU317" s="857"/>
      <c r="DV317" s="478"/>
      <c r="DW317" s="478"/>
      <c r="DX317" s="478"/>
      <c r="DY317" s="478"/>
      <c r="DZ317" s="478"/>
      <c r="EA317" s="526"/>
      <c r="EH317" s="8"/>
    </row>
    <row r="318" spans="1:138" ht="12.75" customHeight="1" x14ac:dyDescent="0.2">
      <c r="A318" s="172" t="s">
        <v>219</v>
      </c>
      <c r="B318" s="79"/>
      <c r="C318" s="79"/>
      <c r="D318" s="79"/>
      <c r="E318" s="79"/>
      <c r="F318" s="907">
        <v>4227</v>
      </c>
      <c r="G318" s="79"/>
      <c r="H318" s="79"/>
      <c r="I318" s="79"/>
      <c r="J318" s="79"/>
      <c r="K318" s="907">
        <v>4202</v>
      </c>
      <c r="L318" s="79"/>
      <c r="M318" s="79"/>
      <c r="N318" s="79"/>
      <c r="O318" s="79"/>
      <c r="P318" s="907">
        <v>3828</v>
      </c>
      <c r="Q318" s="79"/>
      <c r="R318" s="79"/>
      <c r="S318" s="79"/>
      <c r="T318" s="79"/>
      <c r="U318" s="907">
        <v>3622</v>
      </c>
      <c r="V318" s="79"/>
      <c r="W318" s="79"/>
      <c r="X318" s="79"/>
      <c r="Y318" s="79"/>
      <c r="Z318" s="907">
        <v>3175</v>
      </c>
      <c r="AA318" s="79"/>
      <c r="AB318" s="79"/>
      <c r="AC318" s="79"/>
      <c r="AD318" s="79"/>
      <c r="AE318" s="907">
        <v>11402</v>
      </c>
      <c r="AF318" s="79">
        <v>19253</v>
      </c>
      <c r="AG318" s="79">
        <v>21625</v>
      </c>
      <c r="AH318" s="79">
        <v>22017</v>
      </c>
      <c r="AI318" s="79">
        <v>20531</v>
      </c>
      <c r="AJ318" s="227">
        <v>20531</v>
      </c>
      <c r="AK318" s="79">
        <v>20311</v>
      </c>
      <c r="AL318" s="79">
        <v>3199</v>
      </c>
      <c r="AM318" s="79">
        <v>3115</v>
      </c>
      <c r="AN318" s="79">
        <v>2997</v>
      </c>
      <c r="AO318" s="227">
        <v>2997</v>
      </c>
      <c r="AP318" s="79"/>
      <c r="AQ318" s="79"/>
      <c r="AR318" s="79"/>
      <c r="AS318" s="79"/>
      <c r="AT318" s="227"/>
      <c r="AU318" s="79">
        <v>3004</v>
      </c>
      <c r="AV318" s="79">
        <v>2798</v>
      </c>
      <c r="AW318" s="79">
        <v>2595</v>
      </c>
      <c r="AX318" s="79">
        <v>4831</v>
      </c>
      <c r="AY318" s="227">
        <f>AY320-AY317-AY316-AY313</f>
        <v>4831</v>
      </c>
      <c r="AZ318" s="79">
        <f>AZ320-AZ317-AZ316-AZ313</f>
        <v>4700</v>
      </c>
      <c r="BA318" s="79">
        <f>BA320-BA317-BA316-BA313</f>
        <v>4590</v>
      </c>
      <c r="BB318" s="79">
        <f>BB320-BB317-BB316-BB313</f>
        <v>4626</v>
      </c>
      <c r="BC318" s="79">
        <f>BC320-BC317-BC316-BC313</f>
        <v>4420</v>
      </c>
      <c r="BD318" s="227">
        <f>BC318</f>
        <v>4420</v>
      </c>
      <c r="BE318" s="79">
        <f>BE320-BE317-BE316-BE313</f>
        <v>4447</v>
      </c>
      <c r="BF318" s="79">
        <f>BF320-BF317-BF316-BF313</f>
        <v>4367</v>
      </c>
      <c r="BG318" s="79">
        <f>BG320-BG317-BG316-BG313</f>
        <v>4438</v>
      </c>
      <c r="BH318" s="79">
        <f>BH320-BH317-BH316-BH313</f>
        <v>4310</v>
      </c>
      <c r="BI318" s="227">
        <f>BH318</f>
        <v>4310</v>
      </c>
      <c r="BJ318" s="79">
        <f>BJ320-BJ317-BJ316-BJ313</f>
        <v>4079</v>
      </c>
      <c r="BK318" s="79">
        <f>BK320-BK317-BK316-BK313</f>
        <v>4045</v>
      </c>
      <c r="BL318" s="79">
        <f>BL320-BL317-BL316-BL313</f>
        <v>4028</v>
      </c>
      <c r="BM318" s="79">
        <f>BM320-BM317-BM316-BM313</f>
        <v>4119</v>
      </c>
      <c r="BN318" s="342">
        <f t="shared" si="1072"/>
        <v>4119</v>
      </c>
      <c r="BO318" s="79">
        <f>BO320-BO317-BO316-BO313</f>
        <v>4169</v>
      </c>
      <c r="BP318" s="79">
        <f>BP320-BP317-BP316-BP313</f>
        <v>4257</v>
      </c>
      <c r="BQ318" s="79">
        <f>BQ320-BQ317-BQ316-BQ313</f>
        <v>4328</v>
      </c>
      <c r="BR318" s="79">
        <f>BR320-BR317-BR316-BR313</f>
        <v>4277</v>
      </c>
      <c r="BS318" s="227">
        <f t="shared" si="1073"/>
        <v>4277</v>
      </c>
      <c r="BT318" s="79">
        <f>BT320-BT317-BT316-BT313</f>
        <v>4310</v>
      </c>
      <c r="BU318" s="79">
        <f>BU320-BU317-BU316-BU313</f>
        <v>4262</v>
      </c>
      <c r="BV318" s="79">
        <f>BV320-BV317-BV316-BV313</f>
        <v>4277</v>
      </c>
      <c r="BW318" s="79">
        <f>BW320-BW317-BW316-BW313</f>
        <v>4270</v>
      </c>
      <c r="BX318" s="227">
        <f t="shared" si="1074"/>
        <v>4270</v>
      </c>
      <c r="BY318" s="79">
        <f>BY320-BY317-BY316-BY313</f>
        <v>4239</v>
      </c>
      <c r="BZ318" s="79">
        <f>BZ320-BZ317-BZ316-BZ313</f>
        <v>4167</v>
      </c>
      <c r="CA318" s="79">
        <f>CA320-CA317-CA316-CA313</f>
        <v>4332</v>
      </c>
      <c r="CB318" s="79">
        <f>CB320-CB317-CB316-CB313</f>
        <v>4730</v>
      </c>
      <c r="CC318" s="253">
        <f t="shared" si="1075"/>
        <v>4730</v>
      </c>
      <c r="CD318" s="79">
        <f>CD320-CD317-CD316-CD313</f>
        <v>4912</v>
      </c>
      <c r="CE318" s="79">
        <f>CE320-CE317-CE316-CE313</f>
        <v>4669</v>
      </c>
      <c r="CF318" s="79">
        <f>CF320-CF317-CF316-CF313</f>
        <v>4730</v>
      </c>
      <c r="CG318" s="79">
        <f>CG320-CG317-CG316-CG313</f>
        <v>4137</v>
      </c>
      <c r="CH318" s="227">
        <f t="shared" si="1076"/>
        <v>4137</v>
      </c>
      <c r="CI318" s="79">
        <f>CI320-CI317-CI316-CI313</f>
        <v>4367</v>
      </c>
      <c r="CJ318" s="79">
        <f>CJ320-CJ317-CJ316-CJ313</f>
        <v>4309</v>
      </c>
      <c r="CK318" s="79">
        <f>CK320-CK317-CK316-CK313</f>
        <v>4231</v>
      </c>
      <c r="CL318" s="79">
        <f>CL320-CL317-CL316-CL313</f>
        <v>4156</v>
      </c>
      <c r="CM318" s="227">
        <f t="shared" si="1077"/>
        <v>4156</v>
      </c>
      <c r="CN318" s="79">
        <f>CN320-CN317-CN316-CN313</f>
        <v>4083</v>
      </c>
      <c r="CO318" s="79">
        <f>CO320-CO317-CO316-CO313</f>
        <v>4166</v>
      </c>
      <c r="CP318" s="79">
        <f>CP320-CP317-CP316-CP313</f>
        <v>4282</v>
      </c>
      <c r="CQ318" s="79">
        <f>CQ320-CQ317-CQ316-CQ313</f>
        <v>4407</v>
      </c>
      <c r="CR318" s="227">
        <f t="shared" si="1078"/>
        <v>4407</v>
      </c>
      <c r="CS318" s="79">
        <f>CS320-CS317-CS316-CS313</f>
        <v>4083</v>
      </c>
      <c r="CT318" s="79">
        <f>CT320-CT317-CT316-CT313</f>
        <v>4166</v>
      </c>
      <c r="CU318" s="79">
        <f>CU320-CU317-CU316-CU313</f>
        <v>4282</v>
      </c>
      <c r="CV318" s="79">
        <f>CV320-CV317-CV316-CV313</f>
        <v>4407</v>
      </c>
      <c r="CW318" s="227">
        <f t="shared" si="1079"/>
        <v>4407</v>
      </c>
      <c r="CX318" s="79">
        <f>CX320-CX317-CX316-CX313</f>
        <v>5956</v>
      </c>
      <c r="CY318" s="79">
        <f>CX318</f>
        <v>5956</v>
      </c>
      <c r="CZ318" s="79">
        <f t="shared" ref="CZ318:DA318" si="1087">CY318</f>
        <v>5956</v>
      </c>
      <c r="DA318" s="79">
        <f t="shared" si="1087"/>
        <v>5956</v>
      </c>
      <c r="DB318" s="227">
        <f t="shared" si="1081"/>
        <v>5956</v>
      </c>
      <c r="DC318" s="79"/>
      <c r="DD318" s="79"/>
      <c r="DE318" s="79"/>
      <c r="DF318" s="79"/>
      <c r="DG318" s="227">
        <f>DB318</f>
        <v>5956</v>
      </c>
      <c r="DH318" s="79"/>
      <c r="DI318" s="79"/>
      <c r="DJ318" s="79"/>
      <c r="DK318" s="79"/>
      <c r="DL318" s="227">
        <f>DG318</f>
        <v>5956</v>
      </c>
      <c r="DM318" s="79"/>
      <c r="DN318" s="522"/>
      <c r="DO318" s="486"/>
      <c r="DP318" s="411"/>
      <c r="DQ318" s="411"/>
      <c r="DR318" s="411"/>
      <c r="DS318" s="478"/>
      <c r="DT318" s="478"/>
      <c r="DU318" s="857"/>
      <c r="DV318" s="478"/>
      <c r="DW318" s="478"/>
      <c r="DX318" s="472"/>
      <c r="DY318" s="472"/>
      <c r="DZ318" s="472"/>
      <c r="EA318" s="522"/>
      <c r="EH318" s="8"/>
    </row>
    <row r="319" spans="1:138" ht="12.75" customHeight="1" x14ac:dyDescent="0.2">
      <c r="A319" s="115" t="s">
        <v>242</v>
      </c>
      <c r="B319" s="19"/>
      <c r="C319" s="19"/>
      <c r="D319" s="19"/>
      <c r="E319" s="19"/>
      <c r="F319" s="199">
        <f>F318/F220</f>
        <v>0.32353616532721008</v>
      </c>
      <c r="G319" s="19"/>
      <c r="H319" s="19"/>
      <c r="I319" s="19"/>
      <c r="J319" s="19"/>
      <c r="K319" s="199">
        <f>K318/K220</f>
        <v>0.3188405797101449</v>
      </c>
      <c r="L319" s="19"/>
      <c r="M319" s="19"/>
      <c r="N319" s="19"/>
      <c r="O319" s="19"/>
      <c r="P319" s="199">
        <f>P318/P220</f>
        <v>0.30560434296662942</v>
      </c>
      <c r="Q319" s="19"/>
      <c r="R319" s="19"/>
      <c r="S319" s="19"/>
      <c r="T319" s="19"/>
      <c r="U319" s="199">
        <f>U318/U220</f>
        <v>0.29509532344793871</v>
      </c>
      <c r="V319" s="19"/>
      <c r="W319" s="19"/>
      <c r="X319" s="19"/>
      <c r="Y319" s="19"/>
      <c r="Z319" s="199">
        <f>Z318/Z220</f>
        <v>0.23032281465360899</v>
      </c>
      <c r="AA319" s="19"/>
      <c r="AB319" s="19"/>
      <c r="AC319" s="19"/>
      <c r="AD319" s="19"/>
      <c r="AE319" s="199">
        <f t="shared" ref="AE319:AO319" si="1088">AE318/AE220</f>
        <v>0.87485613442799048</v>
      </c>
      <c r="AF319" s="19">
        <f t="shared" si="1088"/>
        <v>1.4625493770890308</v>
      </c>
      <c r="AG319" s="19">
        <f t="shared" si="1088"/>
        <v>1.6345427059712774</v>
      </c>
      <c r="AH319" s="19">
        <f t="shared" si="1088"/>
        <v>1.6468696237564515</v>
      </c>
      <c r="AI319" s="19">
        <f t="shared" si="1088"/>
        <v>1.5743424584004295</v>
      </c>
      <c r="AJ319" s="199">
        <f t="shared" si="1088"/>
        <v>1.5743424584004295</v>
      </c>
      <c r="AK319" s="19">
        <f t="shared" si="1088"/>
        <v>1.5795162920911423</v>
      </c>
      <c r="AL319" s="19">
        <f t="shared" si="1088"/>
        <v>0.24592558425584257</v>
      </c>
      <c r="AM319" s="19">
        <f t="shared" si="1088"/>
        <v>0.23589549413101099</v>
      </c>
      <c r="AN319" s="19">
        <f t="shared" si="1088"/>
        <v>0.22449438202247191</v>
      </c>
      <c r="AO319" s="199">
        <f t="shared" si="1088"/>
        <v>0.22449438202247191</v>
      </c>
      <c r="AP319" s="19"/>
      <c r="AQ319" s="19"/>
      <c r="AR319" s="19"/>
      <c r="AS319" s="19"/>
      <c r="AT319" s="199"/>
      <c r="AU319" s="19">
        <f t="shared" ref="AU319:BZ319" si="1089">AU318/AU220</f>
        <v>0.18973031011179184</v>
      </c>
      <c r="AV319" s="19">
        <f t="shared" si="1089"/>
        <v>0.18830338515377887</v>
      </c>
      <c r="AW319" s="19">
        <f t="shared" si="1089"/>
        <v>0.12750589622641509</v>
      </c>
      <c r="AX319" s="19">
        <f t="shared" si="1089"/>
        <v>0.21767144273226999</v>
      </c>
      <c r="AY319" s="199">
        <f t="shared" si="1089"/>
        <v>0.21767144273226999</v>
      </c>
      <c r="AZ319" s="19">
        <f t="shared" si="1089"/>
        <v>0.21611182637483906</v>
      </c>
      <c r="BA319" s="19">
        <f t="shared" si="1089"/>
        <v>0.21709312774913683</v>
      </c>
      <c r="BB319" s="19">
        <f t="shared" si="1089"/>
        <v>0.22301499300969002</v>
      </c>
      <c r="BC319" s="19">
        <f t="shared" si="1089"/>
        <v>0.21460477762672364</v>
      </c>
      <c r="BD319" s="199">
        <f t="shared" si="1089"/>
        <v>0.21460477762672364</v>
      </c>
      <c r="BE319" s="19">
        <f t="shared" si="1089"/>
        <v>0.21730844409695074</v>
      </c>
      <c r="BF319" s="19">
        <f t="shared" si="1089"/>
        <v>0.2118977145907128</v>
      </c>
      <c r="BG319" s="19">
        <f t="shared" si="1089"/>
        <v>0.21074125077164158</v>
      </c>
      <c r="BH319" s="19">
        <f t="shared" si="1089"/>
        <v>0.20052107564901833</v>
      </c>
      <c r="BI319" s="199">
        <f t="shared" si="1089"/>
        <v>0.20052107564901833</v>
      </c>
      <c r="BJ319" s="19">
        <f t="shared" si="1089"/>
        <v>0.18442826784826152</v>
      </c>
      <c r="BK319" s="19">
        <f t="shared" si="1089"/>
        <v>0.17813105513475427</v>
      </c>
      <c r="BL319" s="19">
        <f t="shared" si="1089"/>
        <v>0.17465961321654669</v>
      </c>
      <c r="BM319" s="19">
        <f t="shared" si="1089"/>
        <v>0.17778832872928177</v>
      </c>
      <c r="BN319" s="199">
        <f t="shared" si="1089"/>
        <v>0.17778832872928177</v>
      </c>
      <c r="BO319" s="19">
        <f t="shared" si="1089"/>
        <v>0.17883493479752918</v>
      </c>
      <c r="BP319" s="19">
        <f t="shared" si="1089"/>
        <v>0.18078736144731813</v>
      </c>
      <c r="BQ319" s="19">
        <f t="shared" si="1089"/>
        <v>0.1824620573355818</v>
      </c>
      <c r="BR319" s="19">
        <f t="shared" si="1089"/>
        <v>0.17900640354915665</v>
      </c>
      <c r="BS319" s="199">
        <f t="shared" si="1089"/>
        <v>0.17900640354915665</v>
      </c>
      <c r="BT319" s="19">
        <f t="shared" si="1089"/>
        <v>0.17980809345014601</v>
      </c>
      <c r="BU319" s="19">
        <f t="shared" si="1089"/>
        <v>0.17733211284014314</v>
      </c>
      <c r="BV319" s="19">
        <f t="shared" si="1089"/>
        <v>0.17587071836835397</v>
      </c>
      <c r="BW319" s="19">
        <f t="shared" si="1089"/>
        <v>0.17376088548872792</v>
      </c>
      <c r="BX319" s="199">
        <f t="shared" si="1089"/>
        <v>0.17376088548872792</v>
      </c>
      <c r="BY319" s="19">
        <f t="shared" si="1089"/>
        <v>0.17156386595434678</v>
      </c>
      <c r="BZ319" s="19">
        <f t="shared" si="1089"/>
        <v>0.1658705517076666</v>
      </c>
      <c r="CA319" s="19">
        <f t="shared" ref="CA319:CR319" si="1090">CA318/CA220</f>
        <v>0.17046393578089955</v>
      </c>
      <c r="CB319" s="19">
        <f t="shared" si="1090"/>
        <v>0.18353251590873818</v>
      </c>
      <c r="CC319" s="199">
        <f t="shared" si="1090"/>
        <v>0.18353251590873818</v>
      </c>
      <c r="CD319" s="19">
        <f t="shared" si="1090"/>
        <v>0.18968180413963545</v>
      </c>
      <c r="CE319" s="19">
        <f t="shared" si="1090"/>
        <v>0.17910161494495377</v>
      </c>
      <c r="CF319" s="19">
        <f t="shared" si="1090"/>
        <v>0.17969076473046386</v>
      </c>
      <c r="CG319" s="19">
        <f t="shared" si="1090"/>
        <v>0.15716293735516468</v>
      </c>
      <c r="CH319" s="199">
        <f t="shared" si="1090"/>
        <v>0.15716293735516468</v>
      </c>
      <c r="CI319" s="19">
        <f t="shared" si="1090"/>
        <v>0.16379116345360439</v>
      </c>
      <c r="CJ319" s="19">
        <f t="shared" si="1090"/>
        <v>0.16134346800464297</v>
      </c>
      <c r="CK319" s="19">
        <f t="shared" si="1090"/>
        <v>0.15832210746894176</v>
      </c>
      <c r="CL319" s="19">
        <f t="shared" si="1090"/>
        <v>0.15083109530376715</v>
      </c>
      <c r="CM319" s="199">
        <f t="shared" si="1090"/>
        <v>0.15083109530376715</v>
      </c>
      <c r="CN319" s="19">
        <f t="shared" si="1090"/>
        <v>0.14621307072515666</v>
      </c>
      <c r="CO319" s="19">
        <f t="shared" si="1090"/>
        <v>0.14646322598790606</v>
      </c>
      <c r="CP319" s="19">
        <f t="shared" si="1090"/>
        <v>0.14738073931300338</v>
      </c>
      <c r="CQ319" s="19">
        <f t="shared" si="1090"/>
        <v>0.14990815701748419</v>
      </c>
      <c r="CR319" s="199">
        <f t="shared" si="1090"/>
        <v>0.14990815701748419</v>
      </c>
      <c r="CS319" s="19">
        <f t="shared" ref="CS319:CX319" si="1091">CS318/CS220</f>
        <v>0.13989584047145892</v>
      </c>
      <c r="CT319" s="19">
        <f t="shared" si="1091"/>
        <v>0.14397901099828914</v>
      </c>
      <c r="CU319" s="19">
        <f t="shared" si="1091"/>
        <v>0.14954525738904095</v>
      </c>
      <c r="CV319" s="19">
        <f t="shared" si="1091"/>
        <v>0.15641400489332005</v>
      </c>
      <c r="CW319" s="199">
        <f t="shared" si="1091"/>
        <v>0.15641400489332005</v>
      </c>
      <c r="CX319" s="19">
        <f t="shared" si="1091"/>
        <v>0.20101927165952277</v>
      </c>
      <c r="CY319" s="19">
        <f t="shared" ref="CY319:DB319" si="1092">CY318/CY220</f>
        <v>0.19986190870284026</v>
      </c>
      <c r="CZ319" s="19">
        <f t="shared" si="1092"/>
        <v>0.20061343882349175</v>
      </c>
      <c r="DA319" s="19">
        <f t="shared" si="1092"/>
        <v>0.20312898838264351</v>
      </c>
      <c r="DB319" s="199">
        <f t="shared" si="1092"/>
        <v>0.20312898838264351</v>
      </c>
      <c r="DC319" s="116"/>
      <c r="DD319" s="116"/>
      <c r="DE319" s="119"/>
      <c r="DF319" s="119"/>
      <c r="DG319" s="199">
        <f>DG318/DG220</f>
        <v>0.19520093563243612</v>
      </c>
      <c r="DH319" s="116"/>
      <c r="DI319" s="116"/>
      <c r="DJ319" s="119"/>
      <c r="DK319" s="119"/>
      <c r="DL319" s="199">
        <f>DL318/DL220</f>
        <v>0.18780581202882743</v>
      </c>
      <c r="DM319" s="19"/>
      <c r="DN319" s="527"/>
      <c r="DO319" s="486"/>
      <c r="DP319" s="411"/>
      <c r="DQ319" s="411"/>
      <c r="DR319" s="411"/>
      <c r="DS319" s="478"/>
      <c r="DT319" s="478"/>
      <c r="DU319" s="857"/>
      <c r="DV319" s="478"/>
      <c r="DW319" s="478"/>
      <c r="DX319" s="460"/>
      <c r="DY319" s="460"/>
      <c r="DZ319" s="460"/>
      <c r="EA319" s="527"/>
      <c r="EH319" s="8"/>
    </row>
    <row r="320" spans="1:138" ht="12.75" customHeight="1" x14ac:dyDescent="0.2">
      <c r="A320" s="408" t="s">
        <v>220</v>
      </c>
      <c r="B320" s="886"/>
      <c r="C320" s="886"/>
      <c r="D320" s="886"/>
      <c r="E320" s="886"/>
      <c r="F320" s="409">
        <f>F318+F316+F313+F317</f>
        <v>11343</v>
      </c>
      <c r="G320" s="886"/>
      <c r="H320" s="886"/>
      <c r="I320" s="886"/>
      <c r="J320" s="886"/>
      <c r="K320" s="409">
        <f>K318+K316+K313+K317</f>
        <v>13433</v>
      </c>
      <c r="L320" s="886"/>
      <c r="M320" s="886"/>
      <c r="N320" s="886"/>
      <c r="O320" s="886"/>
      <c r="P320" s="409">
        <f>P318+P316+P313+P317</f>
        <v>17372</v>
      </c>
      <c r="Q320" s="886"/>
      <c r="R320" s="886"/>
      <c r="S320" s="886"/>
      <c r="T320" s="886"/>
      <c r="U320" s="409">
        <f>U318+U316+U313+U317</f>
        <v>20391</v>
      </c>
      <c r="V320" s="886"/>
      <c r="W320" s="886"/>
      <c r="X320" s="886"/>
      <c r="Y320" s="886"/>
      <c r="Z320" s="409">
        <f>Z318+Z316+Z313+Z317</f>
        <v>21379</v>
      </c>
      <c r="AA320" s="886"/>
      <c r="AB320" s="886"/>
      <c r="AC320" s="886"/>
      <c r="AD320" s="886"/>
      <c r="AE320" s="409">
        <f t="shared" ref="AE320:AO320" si="1093">AE318+AE316+AE313+AE317</f>
        <v>24422</v>
      </c>
      <c r="AF320" s="886">
        <f t="shared" si="1093"/>
        <v>25907</v>
      </c>
      <c r="AG320" s="886">
        <f t="shared" si="1093"/>
        <v>28133</v>
      </c>
      <c r="AH320" s="886">
        <f t="shared" si="1093"/>
        <v>28439</v>
      </c>
      <c r="AI320" s="886">
        <f t="shared" si="1093"/>
        <v>27446</v>
      </c>
      <c r="AJ320" s="409">
        <f t="shared" si="1093"/>
        <v>27446</v>
      </c>
      <c r="AK320" s="886">
        <f t="shared" si="1093"/>
        <v>25488</v>
      </c>
      <c r="AL320" s="886">
        <f t="shared" si="1093"/>
        <v>16531</v>
      </c>
      <c r="AM320" s="886">
        <f t="shared" si="1093"/>
        <v>16321</v>
      </c>
      <c r="AN320" s="886">
        <f t="shared" si="1093"/>
        <v>15705</v>
      </c>
      <c r="AO320" s="409">
        <f t="shared" si="1093"/>
        <v>15705</v>
      </c>
      <c r="AP320" s="886"/>
      <c r="AQ320" s="886"/>
      <c r="AR320" s="886"/>
      <c r="AS320" s="886"/>
      <c r="AT320" s="409"/>
      <c r="AU320" s="886">
        <f>AU318+AU316+AU313+AU317</f>
        <v>16133</v>
      </c>
      <c r="AV320" s="886">
        <f>AV318+AV316+AV313+AV317</f>
        <v>15798</v>
      </c>
      <c r="AW320" s="886">
        <f>AW318+AW316+AW313+AW317</f>
        <v>16419</v>
      </c>
      <c r="AX320" s="886">
        <f>AX318+AX316+AX313+AX317</f>
        <v>33118</v>
      </c>
      <c r="AY320" s="409">
        <f>AY321-AY312</f>
        <v>33118</v>
      </c>
      <c r="AZ320" s="886">
        <v>32349</v>
      </c>
      <c r="BA320" s="886">
        <v>32351</v>
      </c>
      <c r="BB320" s="886">
        <f>34359</f>
        <v>34359</v>
      </c>
      <c r="BC320" s="886">
        <v>33497</v>
      </c>
      <c r="BD320" s="409">
        <f>BD318+BD317+BD316+BD313</f>
        <v>33497</v>
      </c>
      <c r="BE320" s="886">
        <v>33043</v>
      </c>
      <c r="BF320" s="886">
        <v>31718</v>
      </c>
      <c r="BG320" s="886">
        <v>30618</v>
      </c>
      <c r="BH320" s="886">
        <v>30906</v>
      </c>
      <c r="BI320" s="409">
        <f>BI318+BI317+BI316+BI313</f>
        <v>30906</v>
      </c>
      <c r="BJ320" s="886">
        <v>30863</v>
      </c>
      <c r="BK320" s="886">
        <v>30291</v>
      </c>
      <c r="BL320" s="886">
        <v>29802</v>
      </c>
      <c r="BM320" s="886">
        <v>32194</v>
      </c>
      <c r="BN320" s="410">
        <f>BN318+BN317+BN316+BN313</f>
        <v>32194</v>
      </c>
      <c r="BO320" s="886">
        <v>31554</v>
      </c>
      <c r="BP320" s="886">
        <v>31162</v>
      </c>
      <c r="BQ320" s="886">
        <v>31176</v>
      </c>
      <c r="BR320" s="886">
        <v>33411</v>
      </c>
      <c r="BS320" s="409">
        <f>BS318+BS317+BS316+BS313</f>
        <v>33411</v>
      </c>
      <c r="BT320" s="886">
        <v>32943</v>
      </c>
      <c r="BU320" s="886">
        <v>32181</v>
      </c>
      <c r="BV320" s="886">
        <v>31726</v>
      </c>
      <c r="BW320" s="886">
        <v>26457</v>
      </c>
      <c r="BX320" s="409">
        <f>BX318+BX317+BX316+BX313</f>
        <v>26457</v>
      </c>
      <c r="BY320" s="886">
        <v>25516</v>
      </c>
      <c r="BZ320" s="886">
        <v>24779</v>
      </c>
      <c r="CA320" s="886">
        <v>24831</v>
      </c>
      <c r="CB320" s="886">
        <v>28429</v>
      </c>
      <c r="CC320" s="409">
        <f>CC318+CC317+CC316+CC313</f>
        <v>28429</v>
      </c>
      <c r="CD320" s="886">
        <v>27387</v>
      </c>
      <c r="CE320" s="886">
        <v>26136</v>
      </c>
      <c r="CF320" s="886">
        <v>25693</v>
      </c>
      <c r="CG320" s="886">
        <v>24758</v>
      </c>
      <c r="CH320" s="409">
        <f>CH318+CH317+CH316+CH313</f>
        <v>24758</v>
      </c>
      <c r="CI320" s="886">
        <v>23982</v>
      </c>
      <c r="CJ320" s="886">
        <v>23574</v>
      </c>
      <c r="CK320" s="886">
        <v>23291</v>
      </c>
      <c r="CL320" s="886">
        <v>23735</v>
      </c>
      <c r="CM320" s="409">
        <f>CM318+CM317+CM316+CM313</f>
        <v>23735</v>
      </c>
      <c r="CN320" s="886">
        <v>22561</v>
      </c>
      <c r="CO320" s="886">
        <v>21705</v>
      </c>
      <c r="CP320" s="886">
        <v>21431</v>
      </c>
      <c r="CQ320" s="886">
        <v>20836</v>
      </c>
      <c r="CR320" s="409">
        <f t="shared" ref="CR320:DB320" si="1094">CR318+CR317+CR316+CR313</f>
        <v>20836</v>
      </c>
      <c r="CS320" s="886">
        <v>22561</v>
      </c>
      <c r="CT320" s="886">
        <v>21705</v>
      </c>
      <c r="CU320" s="886">
        <v>21431</v>
      </c>
      <c r="CV320" s="886">
        <v>20836</v>
      </c>
      <c r="CW320" s="409">
        <f t="shared" ref="CW320" si="1095">CW318+CW317+CW316+CW313</f>
        <v>20836</v>
      </c>
      <c r="CX320" s="886">
        <v>21509</v>
      </c>
      <c r="CY320" s="408">
        <f t="shared" si="1094"/>
        <v>21176.854161047839</v>
      </c>
      <c r="CZ320" s="408">
        <f t="shared" si="1094"/>
        <v>20828.0153563944</v>
      </c>
      <c r="DA320" s="408">
        <f t="shared" si="1094"/>
        <v>20564.713412738729</v>
      </c>
      <c r="DB320" s="409">
        <f t="shared" si="1094"/>
        <v>20564.713412738729</v>
      </c>
      <c r="DC320" s="408"/>
      <c r="DD320" s="408"/>
      <c r="DE320" s="408"/>
      <c r="DF320" s="408"/>
      <c r="DG320" s="409">
        <f t="shared" ref="DG320" si="1096">DG318+DG317+DG316+DG313</f>
        <v>20019.639542163328</v>
      </c>
      <c r="DH320" s="408"/>
      <c r="DI320" s="408"/>
      <c r="DJ320" s="408"/>
      <c r="DK320" s="408"/>
      <c r="DL320" s="409">
        <f t="shared" ref="DL320" si="1097">DL318+DL317+DL316+DL313</f>
        <v>19360.642379844066</v>
      </c>
      <c r="DM320" s="79"/>
      <c r="DN320" s="522"/>
      <c r="DO320" s="486"/>
      <c r="DP320" s="411"/>
      <c r="DQ320" s="411"/>
      <c r="DR320" s="411"/>
      <c r="DS320" s="480"/>
      <c r="DT320" s="480"/>
      <c r="DU320" s="857"/>
      <c r="DV320" s="478"/>
      <c r="DW320" s="478"/>
      <c r="DX320" s="472"/>
      <c r="DY320" s="472"/>
      <c r="DZ320" s="472"/>
      <c r="EA320" s="522"/>
      <c r="EH320" s="8"/>
    </row>
    <row r="321" spans="1:138" ht="12.75" customHeight="1" x14ac:dyDescent="0.2">
      <c r="A321" s="165" t="s">
        <v>203</v>
      </c>
      <c r="B321" s="187"/>
      <c r="C321" s="187"/>
      <c r="D321" s="187"/>
      <c r="E321" s="187"/>
      <c r="F321" s="249">
        <f>F320+F312</f>
        <v>16588</v>
      </c>
      <c r="G321" s="187"/>
      <c r="H321" s="187"/>
      <c r="I321" s="187"/>
      <c r="J321" s="187"/>
      <c r="K321" s="249">
        <f>K320+K312</f>
        <v>19836</v>
      </c>
      <c r="L321" s="187"/>
      <c r="M321" s="187"/>
      <c r="N321" s="187"/>
      <c r="O321" s="187"/>
      <c r="P321" s="249">
        <f>P320+P312</f>
        <v>23827</v>
      </c>
      <c r="Q321" s="187"/>
      <c r="R321" s="187"/>
      <c r="S321" s="187"/>
      <c r="T321" s="187"/>
      <c r="U321" s="249">
        <f>U320+U312</f>
        <v>27015</v>
      </c>
      <c r="V321" s="187"/>
      <c r="W321" s="187"/>
      <c r="X321" s="187"/>
      <c r="Y321" s="187"/>
      <c r="Z321" s="249">
        <f>Z320+Z312</f>
        <v>27320</v>
      </c>
      <c r="AA321" s="187"/>
      <c r="AB321" s="187"/>
      <c r="AC321" s="187"/>
      <c r="AD321" s="187"/>
      <c r="AE321" s="249">
        <f>AE320+AE312</f>
        <v>29687</v>
      </c>
      <c r="AF321" s="187">
        <v>32221</v>
      </c>
      <c r="AG321" s="187">
        <v>34603</v>
      </c>
      <c r="AH321" s="187">
        <v>34552</v>
      </c>
      <c r="AI321" s="187">
        <v>33215</v>
      </c>
      <c r="AJ321" s="249">
        <f>AJ320+AJ312</f>
        <v>33215</v>
      </c>
      <c r="AK321" s="187">
        <v>33487</v>
      </c>
      <c r="AL321" s="187">
        <v>24262</v>
      </c>
      <c r="AM321" s="187">
        <v>23025</v>
      </c>
      <c r="AN321" s="187">
        <v>22310</v>
      </c>
      <c r="AO321" s="249">
        <f>AO320+AO312</f>
        <v>22310</v>
      </c>
      <c r="AP321" s="187"/>
      <c r="AQ321" s="187"/>
      <c r="AR321" s="187"/>
      <c r="AS321" s="187"/>
      <c r="AT321" s="249"/>
      <c r="AU321" s="187">
        <f>AU320+AU312</f>
        <v>22804</v>
      </c>
      <c r="AV321" s="187">
        <f>AV320+AV312</f>
        <v>23930</v>
      </c>
      <c r="AW321" s="187">
        <f>AW320+AW312</f>
        <v>23207</v>
      </c>
      <c r="AX321" s="187">
        <f>AX320+AX312</f>
        <v>44140</v>
      </c>
      <c r="AY321" s="249">
        <v>44140</v>
      </c>
      <c r="AZ321" s="187">
        <f t="shared" ref="AZ321:CR321" si="1098">AZ320+AZ312</f>
        <v>43876</v>
      </c>
      <c r="BA321" s="187">
        <f t="shared" si="1098"/>
        <v>43500</v>
      </c>
      <c r="BB321" s="187">
        <f t="shared" si="1098"/>
        <v>43953</v>
      </c>
      <c r="BC321" s="187">
        <f t="shared" si="1098"/>
        <v>43294</v>
      </c>
      <c r="BD321" s="249">
        <f t="shared" si="1098"/>
        <v>43294</v>
      </c>
      <c r="BE321" s="187">
        <f t="shared" si="1098"/>
        <v>44267</v>
      </c>
      <c r="BF321" s="187">
        <f t="shared" si="1098"/>
        <v>43610</v>
      </c>
      <c r="BG321" s="187">
        <f t="shared" si="1098"/>
        <v>42438</v>
      </c>
      <c r="BH321" s="187">
        <f t="shared" si="1098"/>
        <v>42291</v>
      </c>
      <c r="BI321" s="249">
        <f t="shared" si="1098"/>
        <v>42291</v>
      </c>
      <c r="BJ321" s="187">
        <f t="shared" si="1098"/>
        <v>43123</v>
      </c>
      <c r="BK321" s="187">
        <f t="shared" si="1098"/>
        <v>43093</v>
      </c>
      <c r="BL321" s="187">
        <f t="shared" si="1098"/>
        <v>41814</v>
      </c>
      <c r="BM321" s="187">
        <f t="shared" si="1098"/>
        <v>44895</v>
      </c>
      <c r="BN321" s="364">
        <f t="shared" si="1098"/>
        <v>44895</v>
      </c>
      <c r="BO321" s="187">
        <f t="shared" si="1098"/>
        <v>45200</v>
      </c>
      <c r="BP321" s="187">
        <f t="shared" si="1098"/>
        <v>45855</v>
      </c>
      <c r="BQ321" s="187">
        <f t="shared" si="1098"/>
        <v>44400</v>
      </c>
      <c r="BR321" s="187">
        <f t="shared" si="1098"/>
        <v>46681</v>
      </c>
      <c r="BS321" s="249">
        <f t="shared" si="1098"/>
        <v>46681</v>
      </c>
      <c r="BT321" s="187">
        <f t="shared" si="1098"/>
        <v>47011</v>
      </c>
      <c r="BU321" s="187">
        <f t="shared" si="1098"/>
        <v>46956</v>
      </c>
      <c r="BV321" s="187">
        <f t="shared" si="1098"/>
        <v>45860</v>
      </c>
      <c r="BW321" s="187">
        <f t="shared" si="1098"/>
        <v>40609</v>
      </c>
      <c r="BX321" s="249">
        <f t="shared" si="1098"/>
        <v>40609</v>
      </c>
      <c r="BY321" s="187">
        <f t="shared" si="1098"/>
        <v>40526</v>
      </c>
      <c r="BZ321" s="187">
        <f t="shared" si="1098"/>
        <v>39988</v>
      </c>
      <c r="CA321" s="187">
        <f t="shared" si="1098"/>
        <v>39644</v>
      </c>
      <c r="CB321" s="187">
        <f t="shared" si="1098"/>
        <v>45308</v>
      </c>
      <c r="CC321" s="249">
        <f t="shared" si="1098"/>
        <v>45308</v>
      </c>
      <c r="CD321" s="187">
        <f t="shared" si="1098"/>
        <v>44706</v>
      </c>
      <c r="CE321" s="187">
        <f t="shared" si="1098"/>
        <v>43218</v>
      </c>
      <c r="CF321" s="187">
        <f t="shared" si="1098"/>
        <v>43301</v>
      </c>
      <c r="CG321" s="187">
        <f t="shared" si="1098"/>
        <v>42284</v>
      </c>
      <c r="CH321" s="249">
        <f t="shared" si="1098"/>
        <v>42284</v>
      </c>
      <c r="CI321" s="187">
        <f t="shared" si="1098"/>
        <v>42090</v>
      </c>
      <c r="CJ321" s="187">
        <f t="shared" si="1098"/>
        <v>39824</v>
      </c>
      <c r="CK321" s="187">
        <f t="shared" si="1098"/>
        <v>38438</v>
      </c>
      <c r="CL321" s="187">
        <f t="shared" si="1098"/>
        <v>38974</v>
      </c>
      <c r="CM321" s="249">
        <f t="shared" si="1098"/>
        <v>38974</v>
      </c>
      <c r="CN321" s="187">
        <f t="shared" si="1098"/>
        <v>38514</v>
      </c>
      <c r="CO321" s="187">
        <f t="shared" si="1098"/>
        <v>38336</v>
      </c>
      <c r="CP321" s="187">
        <f t="shared" si="1098"/>
        <v>37927</v>
      </c>
      <c r="CQ321" s="187">
        <f t="shared" si="1098"/>
        <v>39409</v>
      </c>
      <c r="CR321" s="249">
        <f t="shared" si="1098"/>
        <v>39409</v>
      </c>
      <c r="CS321" s="187">
        <f t="shared" ref="CS321:CW321" si="1099">CS320+CS312</f>
        <v>38514</v>
      </c>
      <c r="CT321" s="187">
        <f t="shared" si="1099"/>
        <v>38336</v>
      </c>
      <c r="CU321" s="187">
        <f t="shared" si="1099"/>
        <v>37927</v>
      </c>
      <c r="CV321" s="187">
        <f t="shared" si="1099"/>
        <v>39409</v>
      </c>
      <c r="CW321" s="249">
        <f t="shared" si="1099"/>
        <v>39409</v>
      </c>
      <c r="CX321" s="187">
        <f t="shared" ref="CX321:DB321" si="1100">CX320+CX312</f>
        <v>41521</v>
      </c>
      <c r="CY321" s="187">
        <f t="shared" si="1100"/>
        <v>39491.975930507841</v>
      </c>
      <c r="CZ321" s="187">
        <f t="shared" si="1100"/>
        <v>39021.174452144784</v>
      </c>
      <c r="DA321" s="187">
        <f t="shared" si="1100"/>
        <v>39937.86297020549</v>
      </c>
      <c r="DB321" s="249">
        <f t="shared" si="1100"/>
        <v>39937.86297020549</v>
      </c>
      <c r="DC321" s="187"/>
      <c r="DD321" s="187"/>
      <c r="DE321" s="187"/>
      <c r="DF321" s="187"/>
      <c r="DG321" s="249">
        <f>DG320+DG312</f>
        <v>40038.086976588675</v>
      </c>
      <c r="DH321" s="187"/>
      <c r="DI321" s="187"/>
      <c r="DJ321" s="187"/>
      <c r="DK321" s="187"/>
      <c r="DL321" s="249">
        <f>DL320+DL312</f>
        <v>40033.084076975094</v>
      </c>
      <c r="DM321" s="79"/>
      <c r="DN321" s="522"/>
      <c r="DO321" s="486"/>
      <c r="DP321" s="411"/>
      <c r="DQ321" s="411"/>
      <c r="DR321" s="411"/>
      <c r="DS321" s="478"/>
      <c r="DT321" s="478"/>
      <c r="DU321" s="857"/>
      <c r="DV321" s="478"/>
      <c r="DW321" s="478"/>
      <c r="DX321" s="472"/>
      <c r="DY321" s="472"/>
      <c r="DZ321" s="472"/>
      <c r="EA321" s="522"/>
      <c r="EH321" s="406"/>
    </row>
    <row r="322" spans="1:138" ht="12.75" customHeight="1" x14ac:dyDescent="0.2">
      <c r="A322" s="5" t="s">
        <v>234</v>
      </c>
      <c r="B322" s="5"/>
      <c r="C322" s="5"/>
      <c r="D322" s="5"/>
      <c r="E322" s="5"/>
      <c r="F322" s="197"/>
      <c r="G322" s="5"/>
      <c r="H322" s="5"/>
      <c r="I322" s="5"/>
      <c r="J322" s="5"/>
      <c r="K322" s="197"/>
      <c r="L322" s="5"/>
      <c r="M322" s="5"/>
      <c r="N322" s="5"/>
      <c r="O322" s="5"/>
      <c r="P322" s="197"/>
      <c r="Q322" s="5"/>
      <c r="R322" s="5"/>
      <c r="S322" s="5"/>
      <c r="T322" s="5"/>
      <c r="U322" s="197"/>
      <c r="V322" s="5"/>
      <c r="W322" s="5"/>
      <c r="X322" s="5"/>
      <c r="Y322" s="5"/>
      <c r="Z322" s="197"/>
      <c r="AA322" s="5"/>
      <c r="AB322" s="5"/>
      <c r="AC322" s="5"/>
      <c r="AD322" s="5"/>
      <c r="AE322" s="197"/>
      <c r="AF322" s="5"/>
      <c r="AG322" s="5"/>
      <c r="AH322" s="5"/>
      <c r="AI322" s="5"/>
      <c r="AJ322" s="197"/>
      <c r="AK322" s="5"/>
      <c r="AL322" s="5"/>
      <c r="AM322" s="5"/>
      <c r="AN322" s="5"/>
      <c r="AO322" s="197"/>
      <c r="AP322" s="5"/>
      <c r="AQ322" s="5"/>
      <c r="AR322" s="5"/>
      <c r="AS322" s="5"/>
      <c r="AT322" s="197"/>
      <c r="AU322" s="5"/>
      <c r="AV322" s="5"/>
      <c r="AW322" s="5"/>
      <c r="AX322" s="5"/>
      <c r="AY322" s="197"/>
      <c r="AZ322" s="5"/>
      <c r="BA322" s="5"/>
      <c r="BB322" s="5"/>
      <c r="BC322" s="5"/>
      <c r="BD322" s="197"/>
      <c r="BE322" s="5"/>
      <c r="BF322" s="5"/>
      <c r="BG322" s="5"/>
      <c r="BH322" s="5"/>
      <c r="BI322" s="197"/>
      <c r="BJ322" s="5"/>
      <c r="BK322" s="5"/>
      <c r="BL322" s="5"/>
      <c r="BM322" s="5"/>
      <c r="BN322" s="315"/>
      <c r="BO322" s="5"/>
      <c r="BP322" s="5"/>
      <c r="BQ322" s="5"/>
      <c r="BR322" s="5"/>
      <c r="BS322" s="197"/>
      <c r="BT322" s="5"/>
      <c r="BU322" s="5"/>
      <c r="BV322" s="5"/>
      <c r="BW322" s="5"/>
      <c r="BX322" s="197"/>
      <c r="BY322" s="5"/>
      <c r="BZ322" s="5"/>
      <c r="CA322" s="5"/>
      <c r="CB322" s="5"/>
      <c r="CC322" s="197"/>
      <c r="CD322" s="5"/>
      <c r="CE322" s="5"/>
      <c r="CF322" s="5"/>
      <c r="CG322" s="5"/>
      <c r="CH322" s="197"/>
      <c r="CI322" s="5"/>
      <c r="CJ322" s="5"/>
      <c r="CK322" s="5"/>
      <c r="CL322" s="5"/>
      <c r="CM322" s="197"/>
      <c r="CN322" s="5"/>
      <c r="CO322" s="5"/>
      <c r="CP322" s="5"/>
      <c r="CQ322" s="5"/>
      <c r="CR322" s="197"/>
      <c r="CS322" s="5"/>
      <c r="CT322" s="5"/>
      <c r="CU322" s="5"/>
      <c r="CV322" s="5"/>
      <c r="CW322" s="197"/>
      <c r="CX322" s="5"/>
      <c r="CY322" s="5"/>
      <c r="CZ322" s="5"/>
      <c r="DA322" s="5"/>
      <c r="DB322" s="197"/>
      <c r="DC322" s="5"/>
      <c r="DD322" s="5"/>
      <c r="DE322" s="5"/>
      <c r="DF322" s="5"/>
      <c r="DG322" s="197"/>
      <c r="DH322" s="5"/>
      <c r="DI322" s="5"/>
      <c r="DJ322" s="5"/>
      <c r="DK322" s="5"/>
      <c r="DL322" s="197"/>
      <c r="DM322" s="413"/>
      <c r="DN322" s="4"/>
      <c r="DO322" s="487"/>
      <c r="DP322" s="413"/>
      <c r="DQ322" s="413"/>
      <c r="DR322" s="413"/>
      <c r="DS322" s="478"/>
      <c r="DT322" s="478"/>
      <c r="DU322" s="857"/>
      <c r="DV322" s="478"/>
      <c r="DW322" s="478"/>
      <c r="DX322" s="458"/>
      <c r="DY322" s="458"/>
      <c r="DZ322" s="458"/>
      <c r="EA322" s="4"/>
      <c r="EH322" s="5"/>
    </row>
    <row r="323" spans="1:138" ht="12.75" customHeight="1" x14ac:dyDescent="0.2">
      <c r="A323" s="171" t="s">
        <v>114</v>
      </c>
      <c r="B323" s="881"/>
      <c r="C323" s="881"/>
      <c r="D323" s="881"/>
      <c r="E323" s="881"/>
      <c r="F323" s="905">
        <v>271</v>
      </c>
      <c r="G323" s="881"/>
      <c r="H323" s="881"/>
      <c r="I323" s="881"/>
      <c r="J323" s="881"/>
      <c r="K323" s="905">
        <v>271</v>
      </c>
      <c r="L323" s="881"/>
      <c r="M323" s="881"/>
      <c r="N323" s="881"/>
      <c r="O323" s="881"/>
      <c r="P323" s="905">
        <v>271</v>
      </c>
      <c r="Q323" s="881"/>
      <c r="R323" s="881"/>
      <c r="S323" s="881"/>
      <c r="T323" s="881"/>
      <c r="U323" s="905">
        <v>271</v>
      </c>
      <c r="V323" s="881"/>
      <c r="W323" s="881"/>
      <c r="X323" s="881"/>
      <c r="Y323" s="881"/>
      <c r="Z323" s="905">
        <v>286</v>
      </c>
      <c r="AA323" s="881"/>
      <c r="AB323" s="881"/>
      <c r="AC323" s="881"/>
      <c r="AD323" s="881"/>
      <c r="AE323" s="905">
        <v>2</v>
      </c>
      <c r="AF323" s="881">
        <v>2</v>
      </c>
      <c r="AG323" s="881">
        <v>2</v>
      </c>
      <c r="AH323" s="881">
        <v>2</v>
      </c>
      <c r="AI323" s="881">
        <v>2</v>
      </c>
      <c r="AJ323" s="248">
        <v>2</v>
      </c>
      <c r="AK323" s="881">
        <v>2</v>
      </c>
      <c r="AL323" s="881">
        <v>0</v>
      </c>
      <c r="AM323" s="881">
        <v>0</v>
      </c>
      <c r="AN323" s="881">
        <v>0</v>
      </c>
      <c r="AO323" s="248">
        <v>0</v>
      </c>
      <c r="AP323" s="881"/>
      <c r="AQ323" s="881"/>
      <c r="AR323" s="881"/>
      <c r="AS323" s="881"/>
      <c r="AT323" s="248"/>
      <c r="AU323" s="881">
        <v>0</v>
      </c>
      <c r="AV323" s="881">
        <v>0</v>
      </c>
      <c r="AW323" s="881">
        <v>0</v>
      </c>
      <c r="AX323" s="881">
        <v>0</v>
      </c>
      <c r="AY323" s="248">
        <v>0</v>
      </c>
      <c r="AZ323" s="881">
        <v>0</v>
      </c>
      <c r="BA323" s="881">
        <v>0</v>
      </c>
      <c r="BB323" s="881">
        <v>0</v>
      </c>
      <c r="BC323" s="881">
        <v>0</v>
      </c>
      <c r="BD323" s="248">
        <f>BC323</f>
        <v>0</v>
      </c>
      <c r="BE323" s="881">
        <v>0</v>
      </c>
      <c r="BF323" s="881">
        <v>0</v>
      </c>
      <c r="BG323" s="881">
        <v>0</v>
      </c>
      <c r="BH323" s="881">
        <v>0</v>
      </c>
      <c r="BI323" s="248">
        <f>BH323</f>
        <v>0</v>
      </c>
      <c r="BJ323" s="881">
        <v>0</v>
      </c>
      <c r="BK323" s="881">
        <v>0</v>
      </c>
      <c r="BL323" s="881">
        <v>0</v>
      </c>
      <c r="BM323" s="881">
        <v>0</v>
      </c>
      <c r="BN323" s="350">
        <f>BM323</f>
        <v>0</v>
      </c>
      <c r="BO323" s="881">
        <v>0</v>
      </c>
      <c r="BP323" s="881">
        <v>0</v>
      </c>
      <c r="BQ323" s="881">
        <v>0</v>
      </c>
      <c r="BR323" s="881">
        <v>0</v>
      </c>
      <c r="BS323" s="248">
        <f>BR323</f>
        <v>0</v>
      </c>
      <c r="BT323" s="881">
        <v>0</v>
      </c>
      <c r="BU323" s="881">
        <v>0</v>
      </c>
      <c r="BV323" s="881">
        <v>0</v>
      </c>
      <c r="BW323" s="881">
        <v>0</v>
      </c>
      <c r="BX323" s="248">
        <f>BW323</f>
        <v>0</v>
      </c>
      <c r="BY323" s="881">
        <v>0</v>
      </c>
      <c r="BZ323" s="881">
        <v>0</v>
      </c>
      <c r="CA323" s="881">
        <v>0</v>
      </c>
      <c r="CB323" s="881">
        <v>0</v>
      </c>
      <c r="CC323" s="248">
        <f>CB323</f>
        <v>0</v>
      </c>
      <c r="CD323" s="881">
        <v>0</v>
      </c>
      <c r="CE323" s="881">
        <v>0</v>
      </c>
      <c r="CF323" s="881">
        <v>0</v>
      </c>
      <c r="CG323" s="881">
        <v>0</v>
      </c>
      <c r="CH323" s="248">
        <f t="shared" ref="CH323:CM324" si="1101">CG323</f>
        <v>0</v>
      </c>
      <c r="CI323" s="881">
        <v>0</v>
      </c>
      <c r="CJ323" s="881">
        <v>0</v>
      </c>
      <c r="CK323" s="881">
        <v>0</v>
      </c>
      <c r="CL323" s="881">
        <v>0</v>
      </c>
      <c r="CM323" s="248">
        <f t="shared" si="1101"/>
        <v>0</v>
      </c>
      <c r="CN323" s="881">
        <v>0</v>
      </c>
      <c r="CO323" s="881">
        <v>0</v>
      </c>
      <c r="CP323" s="881">
        <v>0</v>
      </c>
      <c r="CQ323" s="881">
        <v>0</v>
      </c>
      <c r="CR323" s="248">
        <f t="shared" ref="CR323:DB324" si="1102">CQ323</f>
        <v>0</v>
      </c>
      <c r="CS323" s="881">
        <v>0</v>
      </c>
      <c r="CT323" s="881">
        <v>0</v>
      </c>
      <c r="CU323" s="881">
        <v>0</v>
      </c>
      <c r="CV323" s="881">
        <v>0</v>
      </c>
      <c r="CW323" s="248">
        <f t="shared" ref="CW323:CW324" si="1103">CV323</f>
        <v>0</v>
      </c>
      <c r="CX323" s="938">
        <v>0</v>
      </c>
      <c r="CY323" s="66">
        <f t="shared" si="1102"/>
        <v>0</v>
      </c>
      <c r="CZ323" s="66">
        <f t="shared" si="1102"/>
        <v>0</v>
      </c>
      <c r="DA323" s="66">
        <f t="shared" si="1102"/>
        <v>0</v>
      </c>
      <c r="DB323" s="248">
        <f t="shared" si="1102"/>
        <v>0</v>
      </c>
      <c r="DC323" s="66"/>
      <c r="DD323" s="66"/>
      <c r="DE323" s="66"/>
      <c r="DF323" s="66"/>
      <c r="DG323" s="248">
        <f>DB323</f>
        <v>0</v>
      </c>
      <c r="DH323" s="66"/>
      <c r="DI323" s="66"/>
      <c r="DJ323" s="66"/>
      <c r="DK323" s="66"/>
      <c r="DL323" s="248">
        <f>DG323</f>
        <v>0</v>
      </c>
      <c r="DM323" s="66"/>
      <c r="DN323" s="526"/>
      <c r="DO323" s="486"/>
      <c r="DP323" s="411"/>
      <c r="DQ323" s="411"/>
      <c r="DR323" s="411"/>
      <c r="DS323" s="554"/>
      <c r="DT323" s="554"/>
      <c r="DU323" s="857"/>
      <c r="DV323" s="478"/>
      <c r="DW323" s="478"/>
      <c r="DX323" s="472"/>
      <c r="DY323" s="472"/>
      <c r="DZ323" s="472"/>
      <c r="EA323" s="526"/>
      <c r="EH323" s="8"/>
    </row>
    <row r="324" spans="1:138" ht="12.75" customHeight="1" x14ac:dyDescent="0.2">
      <c r="A324" s="171" t="s">
        <v>349</v>
      </c>
      <c r="B324" s="881"/>
      <c r="C324" s="881"/>
      <c r="D324" s="881"/>
      <c r="E324" s="881"/>
      <c r="F324" s="905">
        <v>0</v>
      </c>
      <c r="G324" s="881"/>
      <c r="H324" s="881"/>
      <c r="I324" s="881"/>
      <c r="J324" s="881"/>
      <c r="K324" s="905">
        <v>0</v>
      </c>
      <c r="L324" s="881"/>
      <c r="M324" s="881"/>
      <c r="N324" s="881"/>
      <c r="O324" s="881"/>
      <c r="P324" s="905">
        <v>0</v>
      </c>
      <c r="Q324" s="881"/>
      <c r="R324" s="881"/>
      <c r="S324" s="881"/>
      <c r="T324" s="881"/>
      <c r="U324" s="905">
        <v>0</v>
      </c>
      <c r="V324" s="881"/>
      <c r="W324" s="881"/>
      <c r="X324" s="881"/>
      <c r="Y324" s="881"/>
      <c r="Z324" s="905">
        <v>277</v>
      </c>
      <c r="AA324" s="881"/>
      <c r="AB324" s="881"/>
      <c r="AC324" s="881"/>
      <c r="AD324" s="881"/>
      <c r="AE324" s="905">
        <v>247</v>
      </c>
      <c r="AF324" s="881">
        <v>0</v>
      </c>
      <c r="AG324" s="881">
        <v>0</v>
      </c>
      <c r="AH324" s="881">
        <v>0</v>
      </c>
      <c r="AI324" s="881">
        <v>0</v>
      </c>
      <c r="AJ324" s="248">
        <v>0</v>
      </c>
      <c r="AK324" s="881">
        <v>0</v>
      </c>
      <c r="AL324" s="881">
        <v>0</v>
      </c>
      <c r="AM324" s="881">
        <v>0</v>
      </c>
      <c r="AN324" s="881">
        <v>0</v>
      </c>
      <c r="AO324" s="248">
        <v>0</v>
      </c>
      <c r="AP324" s="881"/>
      <c r="AQ324" s="881"/>
      <c r="AR324" s="881"/>
      <c r="AS324" s="881"/>
      <c r="AT324" s="248"/>
      <c r="AU324" s="881">
        <v>0</v>
      </c>
      <c r="AV324" s="881">
        <v>0</v>
      </c>
      <c r="AW324" s="881">
        <v>0</v>
      </c>
      <c r="AX324" s="881">
        <v>0</v>
      </c>
      <c r="AY324" s="248">
        <v>0</v>
      </c>
      <c r="AZ324" s="881">
        <v>0</v>
      </c>
      <c r="BA324" s="881">
        <v>0</v>
      </c>
      <c r="BB324" s="881">
        <v>0</v>
      </c>
      <c r="BC324" s="881">
        <v>0</v>
      </c>
      <c r="BD324" s="248">
        <f>BC324</f>
        <v>0</v>
      </c>
      <c r="BE324" s="881">
        <v>0</v>
      </c>
      <c r="BF324" s="881">
        <v>0</v>
      </c>
      <c r="BG324" s="881">
        <v>0</v>
      </c>
      <c r="BH324" s="881">
        <v>0</v>
      </c>
      <c r="BI324" s="248">
        <f>BH324</f>
        <v>0</v>
      </c>
      <c r="BJ324" s="881">
        <v>0</v>
      </c>
      <c r="BK324" s="881">
        <v>0</v>
      </c>
      <c r="BL324" s="881">
        <v>0</v>
      </c>
      <c r="BM324" s="881">
        <v>0</v>
      </c>
      <c r="BN324" s="350">
        <f>BM324</f>
        <v>0</v>
      </c>
      <c r="BO324" s="881">
        <v>0</v>
      </c>
      <c r="BP324" s="881">
        <v>0</v>
      </c>
      <c r="BQ324" s="881">
        <v>0</v>
      </c>
      <c r="BR324" s="881">
        <v>0</v>
      </c>
      <c r="BS324" s="248">
        <f>BR324</f>
        <v>0</v>
      </c>
      <c r="BT324" s="881">
        <v>0</v>
      </c>
      <c r="BU324" s="881">
        <v>0</v>
      </c>
      <c r="BV324" s="881">
        <v>0</v>
      </c>
      <c r="BW324" s="881">
        <v>0</v>
      </c>
      <c r="BX324" s="248">
        <f>BW324</f>
        <v>0</v>
      </c>
      <c r="BY324" s="881">
        <v>0</v>
      </c>
      <c r="BZ324" s="881">
        <v>0</v>
      </c>
      <c r="CA324" s="881">
        <v>0</v>
      </c>
      <c r="CB324" s="881">
        <v>0</v>
      </c>
      <c r="CC324" s="248">
        <f>CB324</f>
        <v>0</v>
      </c>
      <c r="CD324" s="881">
        <v>0</v>
      </c>
      <c r="CE324" s="881">
        <v>0</v>
      </c>
      <c r="CF324" s="881">
        <v>0</v>
      </c>
      <c r="CG324" s="881">
        <v>0</v>
      </c>
      <c r="CH324" s="248">
        <f t="shared" si="1101"/>
        <v>0</v>
      </c>
      <c r="CI324" s="881">
        <v>0</v>
      </c>
      <c r="CJ324" s="881">
        <v>0</v>
      </c>
      <c r="CK324" s="881">
        <v>0</v>
      </c>
      <c r="CL324" s="881">
        <v>0</v>
      </c>
      <c r="CM324" s="248">
        <f t="shared" si="1101"/>
        <v>0</v>
      </c>
      <c r="CN324" s="881">
        <v>0</v>
      </c>
      <c r="CO324" s="881">
        <v>0</v>
      </c>
      <c r="CP324" s="881">
        <v>0</v>
      </c>
      <c r="CQ324" s="881">
        <v>0</v>
      </c>
      <c r="CR324" s="248">
        <f t="shared" si="1102"/>
        <v>0</v>
      </c>
      <c r="CS324" s="881">
        <v>0</v>
      </c>
      <c r="CT324" s="881">
        <v>0</v>
      </c>
      <c r="CU324" s="881">
        <v>0</v>
      </c>
      <c r="CV324" s="881">
        <v>0</v>
      </c>
      <c r="CW324" s="248">
        <f t="shared" si="1103"/>
        <v>0</v>
      </c>
      <c r="CX324" s="938">
        <v>0</v>
      </c>
      <c r="CY324" s="66">
        <f t="shared" si="1102"/>
        <v>0</v>
      </c>
      <c r="CZ324" s="66">
        <f t="shared" si="1102"/>
        <v>0</v>
      </c>
      <c r="DA324" s="66">
        <f t="shared" si="1102"/>
        <v>0</v>
      </c>
      <c r="DB324" s="248">
        <f t="shared" si="1102"/>
        <v>0</v>
      </c>
      <c r="DC324" s="66"/>
      <c r="DD324" s="66"/>
      <c r="DE324" s="66"/>
      <c r="DF324" s="66"/>
      <c r="DG324" s="248">
        <f>DB324</f>
        <v>0</v>
      </c>
      <c r="DH324" s="66"/>
      <c r="DI324" s="66"/>
      <c r="DJ324" s="66"/>
      <c r="DK324" s="66"/>
      <c r="DL324" s="248">
        <f>DG324</f>
        <v>0</v>
      </c>
      <c r="DM324" s="66"/>
      <c r="DN324" s="526"/>
      <c r="DO324" s="486"/>
      <c r="DP324" s="411"/>
      <c r="DQ324" s="411"/>
      <c r="DR324" s="411"/>
      <c r="DS324" s="478"/>
      <c r="DT324" s="478"/>
      <c r="DU324" s="857"/>
      <c r="DV324" s="478"/>
      <c r="DW324" s="478"/>
      <c r="DX324" s="472"/>
      <c r="DY324" s="472"/>
      <c r="DZ324" s="472"/>
      <c r="EA324" s="526"/>
      <c r="EH324" s="8"/>
    </row>
    <row r="325" spans="1:138" ht="12.75" customHeight="1" x14ac:dyDescent="0.2">
      <c r="A325" s="171" t="s">
        <v>103</v>
      </c>
      <c r="B325" s="881"/>
      <c r="C325" s="881"/>
      <c r="D325" s="881"/>
      <c r="E325" s="881"/>
      <c r="F325" s="905">
        <v>3264</v>
      </c>
      <c r="G325" s="881"/>
      <c r="H325" s="881"/>
      <c r="I325" s="881"/>
      <c r="J325" s="881"/>
      <c r="K325" s="905">
        <v>3267</v>
      </c>
      <c r="L325" s="881"/>
      <c r="M325" s="881"/>
      <c r="N325" s="881"/>
      <c r="O325" s="881"/>
      <c r="P325" s="905">
        <v>3263</v>
      </c>
      <c r="Q325" s="881"/>
      <c r="R325" s="881"/>
      <c r="S325" s="881"/>
      <c r="T325" s="881"/>
      <c r="U325" s="905">
        <v>3272</v>
      </c>
      <c r="V325" s="881"/>
      <c r="W325" s="881"/>
      <c r="X325" s="881"/>
      <c r="Y325" s="881"/>
      <c r="Z325" s="905">
        <v>3052</v>
      </c>
      <c r="AA325" s="881"/>
      <c r="AB325" s="881"/>
      <c r="AC325" s="881"/>
      <c r="AD325" s="881"/>
      <c r="AE325" s="905">
        <v>1635</v>
      </c>
      <c r="AF325" s="881">
        <v>1560</v>
      </c>
      <c r="AG325" s="881">
        <v>1561</v>
      </c>
      <c r="AH325" s="881">
        <v>1561</v>
      </c>
      <c r="AI325" s="881">
        <v>1561</v>
      </c>
      <c r="AJ325" s="248">
        <v>1561</v>
      </c>
      <c r="AK325" s="881">
        <v>1561</v>
      </c>
      <c r="AL325" s="881">
        <v>9428</v>
      </c>
      <c r="AM325" s="881">
        <v>9479</v>
      </c>
      <c r="AN325" s="881">
        <v>9512</v>
      </c>
      <c r="AO325" s="248">
        <v>9512</v>
      </c>
      <c r="AP325" s="881"/>
      <c r="AQ325" s="881"/>
      <c r="AR325" s="881"/>
      <c r="AS325" s="881"/>
      <c r="AT325" s="248"/>
      <c r="AU325" s="881">
        <v>9528</v>
      </c>
      <c r="AV325" s="881">
        <v>9541</v>
      </c>
      <c r="AW325" s="881">
        <v>9561</v>
      </c>
      <c r="AX325" s="881">
        <v>13714</v>
      </c>
      <c r="AY325" s="248">
        <v>13714</v>
      </c>
      <c r="AZ325" s="881">
        <v>13738</v>
      </c>
      <c r="BA325" s="881">
        <v>13765</v>
      </c>
      <c r="BB325" s="881">
        <v>13791</v>
      </c>
      <c r="BC325" s="881">
        <v>13827</v>
      </c>
      <c r="BD325" s="248">
        <f>BC325</f>
        <v>13827</v>
      </c>
      <c r="BE325" s="881">
        <v>13856</v>
      </c>
      <c r="BF325" s="881">
        <v>13884</v>
      </c>
      <c r="BG325" s="881">
        <v>13900</v>
      </c>
      <c r="BH325" s="881">
        <v>13926</v>
      </c>
      <c r="BI325" s="248">
        <f>BH325</f>
        <v>13926</v>
      </c>
      <c r="BJ325" s="881">
        <v>13945</v>
      </c>
      <c r="BK325" s="881">
        <v>13964</v>
      </c>
      <c r="BL325" s="881">
        <v>13983</v>
      </c>
      <c r="BM325" s="881">
        <v>13999</v>
      </c>
      <c r="BN325" s="350">
        <f>BM325</f>
        <v>13999</v>
      </c>
      <c r="BO325" s="881">
        <v>14015</v>
      </c>
      <c r="BP325" s="881">
        <v>14031</v>
      </c>
      <c r="BQ325" s="881">
        <v>14045</v>
      </c>
      <c r="BR325" s="881">
        <v>14069</v>
      </c>
      <c r="BS325" s="248">
        <f>BR325</f>
        <v>14069</v>
      </c>
      <c r="BT325" s="881">
        <v>14120</v>
      </c>
      <c r="BU325" s="881">
        <v>14150</v>
      </c>
      <c r="BV325" s="881">
        <v>14096</v>
      </c>
      <c r="BW325" s="881">
        <v>13982</v>
      </c>
      <c r="BX325" s="248">
        <f>BW325</f>
        <v>13982</v>
      </c>
      <c r="BY325" s="881">
        <v>13876</v>
      </c>
      <c r="BZ325" s="881">
        <v>13687</v>
      </c>
      <c r="CA325" s="881">
        <v>13464</v>
      </c>
      <c r="CB325" s="881">
        <v>12981</v>
      </c>
      <c r="CC325" s="248">
        <f>CB325</f>
        <v>12981</v>
      </c>
      <c r="CD325" s="881">
        <v>12578</v>
      </c>
      <c r="CE325" s="881">
        <v>11681</v>
      </c>
      <c r="CF325" s="881">
        <v>11285</v>
      </c>
      <c r="CG325" s="881">
        <v>10875</v>
      </c>
      <c r="CH325" s="248">
        <f>CG325</f>
        <v>10875</v>
      </c>
      <c r="CI325" s="881">
        <v>10339</v>
      </c>
      <c r="CJ325" s="881">
        <v>9361</v>
      </c>
      <c r="CK325" s="881">
        <v>8887</v>
      </c>
      <c r="CL325" s="881">
        <v>12294</v>
      </c>
      <c r="CM325" s="248">
        <f>CL325</f>
        <v>12294</v>
      </c>
      <c r="CN325" s="881">
        <v>12443</v>
      </c>
      <c r="CO325" s="881">
        <v>12279</v>
      </c>
      <c r="CP325" s="881">
        <v>12133</v>
      </c>
      <c r="CQ325" s="887">
        <f>CP325-424</f>
        <v>11709</v>
      </c>
      <c r="CR325" s="248">
        <f>CQ325</f>
        <v>11709</v>
      </c>
      <c r="CS325" s="881">
        <v>12443</v>
      </c>
      <c r="CT325" s="881">
        <v>12279</v>
      </c>
      <c r="CU325" s="881">
        <v>12133</v>
      </c>
      <c r="CV325" s="938">
        <f>CU325-424</f>
        <v>11709</v>
      </c>
      <c r="CW325" s="248">
        <f>CV325</f>
        <v>11709</v>
      </c>
      <c r="CX325" s="938">
        <v>11967</v>
      </c>
      <c r="CY325" s="66">
        <f>CX325+CY271</f>
        <v>11967</v>
      </c>
      <c r="CZ325" s="66">
        <f>CY325+CZ271</f>
        <v>11967</v>
      </c>
      <c r="DA325" s="66">
        <f>CZ325+DA271</f>
        <v>11967</v>
      </c>
      <c r="DB325" s="248">
        <f>DA325</f>
        <v>11967</v>
      </c>
      <c r="DC325" s="66"/>
      <c r="DD325" s="66"/>
      <c r="DE325" s="66"/>
      <c r="DF325" s="66"/>
      <c r="DG325" s="248">
        <f>DB325+DG271</f>
        <v>11967</v>
      </c>
      <c r="DH325" s="66"/>
      <c r="DI325" s="66"/>
      <c r="DJ325" s="66"/>
      <c r="DK325" s="66"/>
      <c r="DL325" s="248">
        <f>DG325+DL271</f>
        <v>11967</v>
      </c>
      <c r="DM325" s="66"/>
      <c r="DN325" s="526"/>
      <c r="DO325" s="486"/>
      <c r="DP325" s="411"/>
      <c r="DQ325" s="411"/>
      <c r="DR325" s="411"/>
      <c r="DS325" s="478"/>
      <c r="DT325" s="478"/>
      <c r="DU325" s="857"/>
      <c r="DV325" s="478"/>
      <c r="DW325" s="478"/>
      <c r="DX325" s="472"/>
      <c r="DY325" s="472"/>
      <c r="DZ325" s="472"/>
      <c r="EA325" s="526"/>
      <c r="EH325" s="8"/>
    </row>
    <row r="326" spans="1:138" ht="12.75" customHeight="1" x14ac:dyDescent="0.2">
      <c r="A326" s="171" t="s">
        <v>237</v>
      </c>
      <c r="B326" s="881"/>
      <c r="C326" s="881"/>
      <c r="D326" s="881"/>
      <c r="E326" s="881"/>
      <c r="F326" s="905">
        <v>4176</v>
      </c>
      <c r="G326" s="881"/>
      <c r="H326" s="881"/>
      <c r="I326" s="881"/>
      <c r="J326" s="881"/>
      <c r="K326" s="905">
        <v>2930</v>
      </c>
      <c r="L326" s="881"/>
      <c r="M326" s="881"/>
      <c r="N326" s="881"/>
      <c r="O326" s="881"/>
      <c r="P326" s="905">
        <v>1639</v>
      </c>
      <c r="Q326" s="881"/>
      <c r="R326" s="881"/>
      <c r="S326" s="881"/>
      <c r="T326" s="881"/>
      <c r="U326" s="905">
        <v>844</v>
      </c>
      <c r="V326" s="881"/>
      <c r="W326" s="881"/>
      <c r="X326" s="881"/>
      <c r="Y326" s="881"/>
      <c r="Z326" s="905">
        <v>-4373</v>
      </c>
      <c r="AA326" s="881"/>
      <c r="AB326" s="881"/>
      <c r="AC326" s="881"/>
      <c r="AD326" s="881"/>
      <c r="AE326" s="905">
        <v>-8209</v>
      </c>
      <c r="AF326" s="881">
        <v>-10280</v>
      </c>
      <c r="AG326" s="881">
        <v>-12485</v>
      </c>
      <c r="AH326" s="881">
        <v>-12433</v>
      </c>
      <c r="AI326" s="881">
        <v>-14414</v>
      </c>
      <c r="AJ326" s="248">
        <v>-14414</v>
      </c>
      <c r="AK326" s="881">
        <v>-14574</v>
      </c>
      <c r="AL326" s="881">
        <v>164</v>
      </c>
      <c r="AM326" s="881">
        <v>384</v>
      </c>
      <c r="AN326" s="881">
        <v>314</v>
      </c>
      <c r="AO326" s="248">
        <v>314</v>
      </c>
      <c r="AP326" s="881"/>
      <c r="AQ326" s="881"/>
      <c r="AR326" s="881"/>
      <c r="AS326" s="881"/>
      <c r="AT326" s="248"/>
      <c r="AU326" s="881">
        <v>-6076</v>
      </c>
      <c r="AV326" s="881">
        <v>-7120</v>
      </c>
      <c r="AW326" s="881">
        <v>-7170</v>
      </c>
      <c r="AX326" s="881">
        <v>-8608</v>
      </c>
      <c r="AY326" s="248">
        <v>-8608</v>
      </c>
      <c r="AZ326" s="881">
        <v>-9402</v>
      </c>
      <c r="BA326" s="881">
        <v>-9659</v>
      </c>
      <c r="BB326" s="881">
        <v>-9820</v>
      </c>
      <c r="BC326" s="881">
        <v>-9845</v>
      </c>
      <c r="BD326" s="248">
        <f>BC326</f>
        <v>-9845</v>
      </c>
      <c r="BE326" s="881">
        <v>-10101</v>
      </c>
      <c r="BF326" s="881">
        <v>-9634</v>
      </c>
      <c r="BG326" s="881">
        <v>-9271</v>
      </c>
      <c r="BH326" s="881">
        <v>-9252</v>
      </c>
      <c r="BI326" s="248">
        <f>BH326</f>
        <v>-9252</v>
      </c>
      <c r="BJ326" s="881">
        <v>-9570</v>
      </c>
      <c r="BK326" s="881">
        <v>-9372</v>
      </c>
      <c r="BL326" s="881">
        <v>-8823</v>
      </c>
      <c r="BM326" s="881">
        <v>-8398</v>
      </c>
      <c r="BN326" s="350">
        <f>BM326</f>
        <v>-8398</v>
      </c>
      <c r="BO326" s="881">
        <v>-8274</v>
      </c>
      <c r="BP326" s="881">
        <v>-8442</v>
      </c>
      <c r="BQ326" s="881">
        <v>-7395</v>
      </c>
      <c r="BR326" s="881">
        <v>-7389</v>
      </c>
      <c r="BS326" s="248">
        <f>BR326</f>
        <v>-7389</v>
      </c>
      <c r="BT326" s="881">
        <v>-7382</v>
      </c>
      <c r="BU326" s="881">
        <v>-6748</v>
      </c>
      <c r="BV326" s="881">
        <v>-5379</v>
      </c>
      <c r="BW326" s="881">
        <v>3049</v>
      </c>
      <c r="BX326" s="248">
        <f>BW326</f>
        <v>3049</v>
      </c>
      <c r="BY326" s="881">
        <v>3211</v>
      </c>
      <c r="BZ326" s="881">
        <v>3962</v>
      </c>
      <c r="CA326" s="881">
        <v>4244</v>
      </c>
      <c r="CB326" s="881">
        <v>3456</v>
      </c>
      <c r="CC326" s="248">
        <f>CB326</f>
        <v>3456</v>
      </c>
      <c r="CD326" s="881">
        <v>4127</v>
      </c>
      <c r="CE326" s="881">
        <v>5540</v>
      </c>
      <c r="CF326" s="881">
        <v>6748</v>
      </c>
      <c r="CG326" s="881">
        <v>7623</v>
      </c>
      <c r="CH326" s="248">
        <f>CG326</f>
        <v>7623</v>
      </c>
      <c r="CI326" s="881">
        <v>8462</v>
      </c>
      <c r="CJ326" s="881">
        <v>10000</v>
      </c>
      <c r="CK326" s="881">
        <v>11109</v>
      </c>
      <c r="CL326" s="881">
        <v>7903</v>
      </c>
      <c r="CM326" s="248">
        <f>CL326</f>
        <v>7903</v>
      </c>
      <c r="CN326" s="881">
        <v>8226</v>
      </c>
      <c r="CO326" s="881">
        <v>8905</v>
      </c>
      <c r="CP326" s="881">
        <v>9502</v>
      </c>
      <c r="CQ326" s="881">
        <f>CP326+CQ269+CQ250</f>
        <v>9858</v>
      </c>
      <c r="CR326" s="248">
        <f>CQ326</f>
        <v>9858</v>
      </c>
      <c r="CS326" s="881">
        <v>8226</v>
      </c>
      <c r="CT326" s="881">
        <v>8905</v>
      </c>
      <c r="CU326" s="881">
        <v>9502</v>
      </c>
      <c r="CV326" s="881">
        <v>9858</v>
      </c>
      <c r="CW326" s="248">
        <f>CV326</f>
        <v>9858</v>
      </c>
      <c r="CX326" s="938">
        <v>8465</v>
      </c>
      <c r="CY326" s="66">
        <f>CX326+CY269+CY250</f>
        <v>9593.6196991300803</v>
      </c>
      <c r="CZ326" s="66">
        <f>CY326+CZ269+CZ250</f>
        <v>10667.957114904264</v>
      </c>
      <c r="DA326" s="66">
        <f>CZ326+DA269+DA250</f>
        <v>11479.530515236134</v>
      </c>
      <c r="DB326" s="248">
        <f>DA326</f>
        <v>11479.530515236134</v>
      </c>
      <c r="DC326" s="66"/>
      <c r="DD326" s="66"/>
      <c r="DE326" s="66"/>
      <c r="DF326" s="66"/>
      <c r="DG326" s="248">
        <f>DB326+DG269+DG250</f>
        <v>15055.82702495637</v>
      </c>
      <c r="DH326" s="66"/>
      <c r="DI326" s="66"/>
      <c r="DJ326" s="66"/>
      <c r="DK326" s="66"/>
      <c r="DL326" s="248">
        <f>DG326+DL269+DL250</f>
        <v>18880.969481247346</v>
      </c>
      <c r="DM326" s="66"/>
      <c r="DN326" s="526"/>
      <c r="DO326" s="486"/>
      <c r="DP326" s="411"/>
      <c r="DQ326" s="411"/>
      <c r="DR326" s="411"/>
      <c r="DS326" s="478"/>
      <c r="DT326" s="478"/>
      <c r="DU326" s="857"/>
      <c r="DV326" s="478"/>
      <c r="DW326" s="478"/>
      <c r="DX326" s="472"/>
      <c r="DY326" s="472"/>
      <c r="DZ326" s="472"/>
      <c r="EA326" s="526"/>
      <c r="EH326" s="8"/>
    </row>
    <row r="327" spans="1:138" ht="12.75" customHeight="1" x14ac:dyDescent="0.2">
      <c r="A327" s="171" t="s">
        <v>104</v>
      </c>
      <c r="B327" s="881"/>
      <c r="C327" s="881"/>
      <c r="D327" s="881"/>
      <c r="E327" s="881"/>
      <c r="F327" s="905">
        <v>-5096</v>
      </c>
      <c r="G327" s="881"/>
      <c r="H327" s="881"/>
      <c r="I327" s="881"/>
      <c r="J327" s="881"/>
      <c r="K327" s="905">
        <v>25</v>
      </c>
      <c r="L327" s="881"/>
      <c r="M327" s="881"/>
      <c r="N327" s="881"/>
      <c r="O327" s="881"/>
      <c r="P327" s="905">
        <v>-1562</v>
      </c>
      <c r="Q327" s="881"/>
      <c r="R327" s="881"/>
      <c r="S327" s="881"/>
      <c r="T327" s="881"/>
      <c r="U327" s="905">
        <v>-2338</v>
      </c>
      <c r="V327" s="881"/>
      <c r="W327" s="881"/>
      <c r="X327" s="881"/>
      <c r="Y327" s="881"/>
      <c r="Z327" s="905">
        <v>-2358</v>
      </c>
      <c r="AA327" s="881"/>
      <c r="AB327" s="881"/>
      <c r="AC327" s="881"/>
      <c r="AD327" s="881"/>
      <c r="AE327" s="905">
        <v>-2722</v>
      </c>
      <c r="AF327" s="881">
        <v>-2721</v>
      </c>
      <c r="AG327" s="881">
        <v>-2720</v>
      </c>
      <c r="AH327" s="881">
        <v>-2777</v>
      </c>
      <c r="AI327" s="881">
        <v>-518</v>
      </c>
      <c r="AJ327" s="248">
        <v>-518</v>
      </c>
      <c r="AK327" s="881">
        <v>-441</v>
      </c>
      <c r="AL327" s="881">
        <v>8</v>
      </c>
      <c r="AM327" s="881">
        <v>15</v>
      </c>
      <c r="AN327" s="881">
        <v>435</v>
      </c>
      <c r="AO327" s="248">
        <v>435</v>
      </c>
      <c r="AP327" s="881"/>
      <c r="AQ327" s="881"/>
      <c r="AR327" s="881"/>
      <c r="AS327" s="881"/>
      <c r="AT327" s="248"/>
      <c r="AU327" s="881">
        <v>650</v>
      </c>
      <c r="AV327" s="881">
        <v>1451</v>
      </c>
      <c r="AW327" s="881">
        <v>152</v>
      </c>
      <c r="AX327" s="881">
        <v>-4080</v>
      </c>
      <c r="AY327" s="248">
        <v>-4080</v>
      </c>
      <c r="AZ327" s="881">
        <v>-3663</v>
      </c>
      <c r="BA327" s="881">
        <v>-2963</v>
      </c>
      <c r="BB327" s="881">
        <v>-2907</v>
      </c>
      <c r="BC327" s="881">
        <v>-3563</v>
      </c>
      <c r="BD327" s="248">
        <f>BC327:BC327</f>
        <v>-3563</v>
      </c>
      <c r="BE327" s="881">
        <v>-3502</v>
      </c>
      <c r="BF327" s="881">
        <v>-3853</v>
      </c>
      <c r="BG327" s="881">
        <v>-3716</v>
      </c>
      <c r="BH327" s="881">
        <v>-3578</v>
      </c>
      <c r="BI327" s="248">
        <f>BH327:BH327</f>
        <v>-3578</v>
      </c>
      <c r="BJ327" s="881">
        <v>-3403</v>
      </c>
      <c r="BK327" s="881">
        <v>-3593</v>
      </c>
      <c r="BL327" s="881">
        <v>-3724</v>
      </c>
      <c r="BM327" s="881">
        <v>-6766</v>
      </c>
      <c r="BN327" s="350">
        <f>BM327:BM327</f>
        <v>-6766</v>
      </c>
      <c r="BO327" s="881">
        <v>-6518</v>
      </c>
      <c r="BP327" s="881">
        <v>-6490</v>
      </c>
      <c r="BQ327" s="881">
        <v>-6464</v>
      </c>
      <c r="BR327" s="881">
        <v>-8577</v>
      </c>
      <c r="BS327" s="248">
        <f>BR327:BR327</f>
        <v>-8577</v>
      </c>
      <c r="BT327" s="881">
        <v>-8426</v>
      </c>
      <c r="BU327" s="881">
        <v>-8331</v>
      </c>
      <c r="BV327" s="881">
        <v>-8324</v>
      </c>
      <c r="BW327" s="881">
        <v>-5130</v>
      </c>
      <c r="BX327" s="248">
        <f>BW327:BW327</f>
        <v>-5130</v>
      </c>
      <c r="BY327" s="881">
        <v>-5139</v>
      </c>
      <c r="BZ327" s="881">
        <v>-5137</v>
      </c>
      <c r="CA327" s="881">
        <v>-5100</v>
      </c>
      <c r="CB327" s="881">
        <v>-7311</v>
      </c>
      <c r="CC327" s="248">
        <f>CB327:CB327</f>
        <v>-7311</v>
      </c>
      <c r="CD327" s="881">
        <v>-7294</v>
      </c>
      <c r="CE327" s="881">
        <v>-7288</v>
      </c>
      <c r="CF327" s="881">
        <v>-7316</v>
      </c>
      <c r="CG327" s="881">
        <v>-7275</v>
      </c>
      <c r="CH327" s="248">
        <f>CG327:CG327</f>
        <v>-7275</v>
      </c>
      <c r="CI327" s="881">
        <v>-7279</v>
      </c>
      <c r="CJ327" s="881">
        <v>-7279</v>
      </c>
      <c r="CK327" s="881">
        <v>-7212</v>
      </c>
      <c r="CL327" s="881">
        <v>-7636</v>
      </c>
      <c r="CM327" s="248">
        <f>CL327:CL327</f>
        <v>-7636</v>
      </c>
      <c r="CN327" s="881">
        <v>-7571</v>
      </c>
      <c r="CO327" s="881">
        <v>-7549</v>
      </c>
      <c r="CP327" s="881">
        <v>-7476</v>
      </c>
      <c r="CQ327" s="881">
        <f>CP327+CQ277</f>
        <v>-7195</v>
      </c>
      <c r="CR327" s="248">
        <f>CQ327:CQ327</f>
        <v>-7195</v>
      </c>
      <c r="CS327" s="881">
        <v>-7571</v>
      </c>
      <c r="CT327" s="881">
        <v>-7549</v>
      </c>
      <c r="CU327" s="881">
        <v>-7476</v>
      </c>
      <c r="CV327" s="881">
        <f>CU327+CV277</f>
        <v>-7195</v>
      </c>
      <c r="CW327" s="248">
        <f>CV327:CV327</f>
        <v>-7195</v>
      </c>
      <c r="CX327" s="938">
        <v>-7681</v>
      </c>
      <c r="CY327" s="66">
        <f>CX327+CY277</f>
        <v>-7681</v>
      </c>
      <c r="CZ327" s="66">
        <f>CY327+CZ277</f>
        <v>-7681</v>
      </c>
      <c r="DA327" s="66">
        <f>CZ327+DA277</f>
        <v>-7681</v>
      </c>
      <c r="DB327" s="248">
        <f>DA327:DA327</f>
        <v>-7681</v>
      </c>
      <c r="DC327" s="66"/>
      <c r="DD327" s="66"/>
      <c r="DE327" s="66"/>
      <c r="DF327" s="66"/>
      <c r="DG327" s="248">
        <f>DB327+DG277</f>
        <v>-7681</v>
      </c>
      <c r="DH327" s="66"/>
      <c r="DI327" s="66"/>
      <c r="DJ327" s="66"/>
      <c r="DK327" s="66"/>
      <c r="DL327" s="248">
        <f>DG327+DL277</f>
        <v>-7681</v>
      </c>
      <c r="DM327" s="66"/>
      <c r="DN327" s="526"/>
      <c r="DO327" s="486"/>
      <c r="DP327" s="411"/>
      <c r="DQ327" s="411"/>
      <c r="DR327" s="411"/>
      <c r="DS327" s="478"/>
      <c r="DT327" s="478"/>
      <c r="DU327" s="857"/>
      <c r="DV327" s="478"/>
      <c r="DW327" s="478"/>
      <c r="DX327" s="472"/>
      <c r="DY327" s="472"/>
      <c r="DZ327" s="472"/>
      <c r="EA327" s="526"/>
      <c r="EH327" s="8"/>
    </row>
    <row r="328" spans="1:138" ht="12.75" customHeight="1" x14ac:dyDescent="0.2">
      <c r="A328" s="171" t="s">
        <v>239</v>
      </c>
      <c r="B328" s="881"/>
      <c r="C328" s="881"/>
      <c r="D328" s="881"/>
      <c r="E328" s="881"/>
      <c r="F328" s="248">
        <f>F330-F327-F326-F325-F324-F323</f>
        <v>2728</v>
      </c>
      <c r="G328" s="881"/>
      <c r="H328" s="881"/>
      <c r="I328" s="881"/>
      <c r="J328" s="881"/>
      <c r="K328" s="248">
        <f>K330-K327-K326-K325-K324-K323</f>
        <v>-2724</v>
      </c>
      <c r="L328" s="881"/>
      <c r="M328" s="881"/>
      <c r="N328" s="881"/>
      <c r="O328" s="881"/>
      <c r="P328" s="248">
        <f>P330-P327-P326-P325-P324-P323</f>
        <v>-2718</v>
      </c>
      <c r="Q328" s="881"/>
      <c r="R328" s="881"/>
      <c r="S328" s="881"/>
      <c r="T328" s="881"/>
      <c r="U328" s="248">
        <f>U330-U327-U326-U325-U324-U323</f>
        <v>-2708</v>
      </c>
      <c r="V328" s="881"/>
      <c r="W328" s="881"/>
      <c r="X328" s="881"/>
      <c r="Y328" s="881"/>
      <c r="Z328" s="248">
        <f>Z330-Z327-Z326-Z325-Z324-Z323</f>
        <v>-2403</v>
      </c>
      <c r="AA328" s="881"/>
      <c r="AB328" s="881"/>
      <c r="AC328" s="881"/>
      <c r="AD328" s="881"/>
      <c r="AE328" s="248">
        <f>AE330-AE327-AE326-AE325-AE324-AE323</f>
        <v>-601</v>
      </c>
      <c r="AF328" s="881">
        <v>-224</v>
      </c>
      <c r="AG328" s="881">
        <v>-224</v>
      </c>
      <c r="AH328" s="881">
        <v>-224</v>
      </c>
      <c r="AI328" s="881">
        <v>-224</v>
      </c>
      <c r="AJ328" s="248">
        <f>AJ330-AJ327-AJ326-AJ325-AJ324-AJ323</f>
        <v>-224</v>
      </c>
      <c r="AK328" s="881">
        <v>-224</v>
      </c>
      <c r="AL328" s="881">
        <v>-128</v>
      </c>
      <c r="AM328" s="881">
        <v>-130</v>
      </c>
      <c r="AN328" s="881">
        <v>-148</v>
      </c>
      <c r="AO328" s="248">
        <f>AO330-AO327-AO326-AO325-AO324-AO323</f>
        <v>-148</v>
      </c>
      <c r="AP328" s="881"/>
      <c r="AQ328" s="881"/>
      <c r="AR328" s="881"/>
      <c r="AS328" s="881"/>
      <c r="AT328" s="248"/>
      <c r="AU328" s="881">
        <v>-151</v>
      </c>
      <c r="AV328" s="881">
        <v>-151</v>
      </c>
      <c r="AW328" s="881">
        <v>-152</v>
      </c>
      <c r="AX328" s="881">
        <v>-152</v>
      </c>
      <c r="AY328" s="248">
        <v>-152</v>
      </c>
      <c r="AZ328" s="881">
        <v>-154</v>
      </c>
      <c r="BA328" s="881">
        <v>-163</v>
      </c>
      <c r="BB328" s="881">
        <v>-164</v>
      </c>
      <c r="BC328" s="881">
        <v>-174</v>
      </c>
      <c r="BD328" s="248">
        <f>BC328</f>
        <v>-174</v>
      </c>
      <c r="BE328" s="881">
        <v>-181</v>
      </c>
      <c r="BF328" s="881">
        <v>-198</v>
      </c>
      <c r="BG328" s="881">
        <v>-198</v>
      </c>
      <c r="BH328" s="881">
        <v>-199</v>
      </c>
      <c r="BI328" s="248">
        <f>BH328</f>
        <v>-199</v>
      </c>
      <c r="BJ328" s="881">
        <v>-214</v>
      </c>
      <c r="BK328" s="881">
        <v>-214</v>
      </c>
      <c r="BL328" s="881">
        <v>-214</v>
      </c>
      <c r="BM328" s="881">
        <v>-231</v>
      </c>
      <c r="BN328" s="350">
        <f>BM328</f>
        <v>-231</v>
      </c>
      <c r="BO328" s="881">
        <v>-234</v>
      </c>
      <c r="BP328" s="881">
        <v>-234</v>
      </c>
      <c r="BQ328" s="881">
        <v>-234</v>
      </c>
      <c r="BR328" s="881">
        <v>-234</v>
      </c>
      <c r="BS328" s="248">
        <f>BR328</f>
        <v>-234</v>
      </c>
      <c r="BT328" s="881">
        <v>-255</v>
      </c>
      <c r="BU328" s="881">
        <v>-255</v>
      </c>
      <c r="BV328" s="881">
        <v>-256</v>
      </c>
      <c r="BW328" s="881">
        <v>-258</v>
      </c>
      <c r="BX328" s="248">
        <f>BW328</f>
        <v>-258</v>
      </c>
      <c r="BY328" s="881">
        <v>-307</v>
      </c>
      <c r="BZ328" s="881">
        <v>-309</v>
      </c>
      <c r="CA328" s="881">
        <v>-312</v>
      </c>
      <c r="CB328" s="881">
        <v>-313</v>
      </c>
      <c r="CC328" s="248">
        <f>CB328</f>
        <v>-313</v>
      </c>
      <c r="CD328" s="881">
        <v>-365</v>
      </c>
      <c r="CE328" s="881">
        <v>-370</v>
      </c>
      <c r="CF328" s="881">
        <v>-372</v>
      </c>
      <c r="CG328" s="881">
        <v>-373</v>
      </c>
      <c r="CH328" s="248">
        <f>CG328</f>
        <v>-373</v>
      </c>
      <c r="CI328" s="881">
        <v>-270</v>
      </c>
      <c r="CJ328" s="881">
        <v>-272</v>
      </c>
      <c r="CK328" s="881">
        <v>-274</v>
      </c>
      <c r="CL328" s="881">
        <v>-274</v>
      </c>
      <c r="CM328" s="248">
        <f>CL328</f>
        <v>-274</v>
      </c>
      <c r="CN328" s="881">
        <v>-153</v>
      </c>
      <c r="CO328" s="881">
        <v>-156</v>
      </c>
      <c r="CP328" s="881">
        <v>-158</v>
      </c>
      <c r="CQ328" s="881">
        <f>CP328+CQ270</f>
        <v>-483</v>
      </c>
      <c r="CR328" s="248">
        <f>CQ328</f>
        <v>-483</v>
      </c>
      <c r="CS328" s="881">
        <v>-153</v>
      </c>
      <c r="CT328" s="881">
        <v>-156</v>
      </c>
      <c r="CU328" s="881">
        <v>-158</v>
      </c>
      <c r="CV328" s="881">
        <f>CU328+CV270</f>
        <v>-483</v>
      </c>
      <c r="CW328" s="248">
        <f>CV328</f>
        <v>-483</v>
      </c>
      <c r="CX328" s="938">
        <v>-194</v>
      </c>
      <c r="CY328" s="66">
        <f>CX328+CY270</f>
        <v>-488.57223424999773</v>
      </c>
      <c r="CZ328" s="66">
        <f>CY328+CZ270</f>
        <v>-789.70606501791701</v>
      </c>
      <c r="DA328" s="66">
        <f>CZ328+DA270</f>
        <v>-1097.5476518661874</v>
      </c>
      <c r="DB328" s="248">
        <f>DA328</f>
        <v>-1097.5476518661874</v>
      </c>
      <c r="DC328" s="66"/>
      <c r="DD328" s="66"/>
      <c r="DE328" s="66"/>
      <c r="DF328" s="66"/>
      <c r="DG328" s="248">
        <f>DB328+DG270</f>
        <v>-3292.6088717386501</v>
      </c>
      <c r="DH328" s="66"/>
      <c r="DI328" s="66"/>
      <c r="DJ328" s="66"/>
      <c r="DK328" s="66"/>
      <c r="DL328" s="248">
        <f>DG328+DL270</f>
        <v>-5127.6800515520317</v>
      </c>
      <c r="DM328" s="66"/>
      <c r="DN328" s="526"/>
      <c r="DO328" s="486"/>
      <c r="DP328" s="411"/>
      <c r="DQ328" s="411"/>
      <c r="DR328" s="411"/>
      <c r="DS328" s="478"/>
      <c r="DT328" s="478"/>
      <c r="DU328" s="857"/>
      <c r="DV328" s="478"/>
      <c r="DW328" s="478"/>
      <c r="DX328" s="472"/>
      <c r="DY328" s="472"/>
      <c r="DZ328" s="472"/>
      <c r="EA328" s="526"/>
      <c r="EH328" s="8"/>
    </row>
    <row r="329" spans="1:138" ht="3" customHeight="1" x14ac:dyDescent="0.2">
      <c r="A329" s="23"/>
      <c r="B329" s="23"/>
      <c r="C329" s="23"/>
      <c r="D329" s="23"/>
      <c r="E329" s="23"/>
      <c r="F329" s="202"/>
      <c r="G329" s="23"/>
      <c r="H329" s="23"/>
      <c r="I329" s="23"/>
      <c r="J329" s="23"/>
      <c r="K329" s="202"/>
      <c r="L329" s="23"/>
      <c r="M329" s="23"/>
      <c r="N329" s="23"/>
      <c r="O329" s="23"/>
      <c r="P329" s="202"/>
      <c r="Q329" s="23"/>
      <c r="R329" s="23"/>
      <c r="S329" s="23"/>
      <c r="T329" s="23"/>
      <c r="U329" s="202"/>
      <c r="V329" s="23"/>
      <c r="W329" s="23"/>
      <c r="X329" s="23"/>
      <c r="Y329" s="23"/>
      <c r="Z329" s="202"/>
      <c r="AA329" s="23"/>
      <c r="AB329" s="23"/>
      <c r="AC329" s="23"/>
      <c r="AD329" s="23"/>
      <c r="AE329" s="202"/>
      <c r="AF329" s="23"/>
      <c r="AG329" s="23"/>
      <c r="AH329" s="23"/>
      <c r="AI329" s="23"/>
      <c r="AJ329" s="202"/>
      <c r="AK329" s="23"/>
      <c r="AL329" s="23"/>
      <c r="AM329" s="23"/>
      <c r="AN329" s="23"/>
      <c r="AO329" s="202"/>
      <c r="AP329" s="23"/>
      <c r="AQ329" s="23"/>
      <c r="AR329" s="23"/>
      <c r="AS329" s="23"/>
      <c r="AT329" s="202"/>
      <c r="AU329" s="23"/>
      <c r="AV329" s="23"/>
      <c r="AW329" s="23"/>
      <c r="AX329" s="23"/>
      <c r="AY329" s="202"/>
      <c r="AZ329" s="23"/>
      <c r="BA329" s="23"/>
      <c r="BB329" s="23"/>
      <c r="BC329" s="23"/>
      <c r="BD329" s="202"/>
      <c r="BE329" s="23"/>
      <c r="BF329" s="23"/>
      <c r="BG329" s="23"/>
      <c r="BH329" s="23"/>
      <c r="BI329" s="202"/>
      <c r="BJ329" s="23"/>
      <c r="BK329" s="23"/>
      <c r="BL329" s="23"/>
      <c r="BM329" s="23"/>
      <c r="BN329" s="370"/>
      <c r="BO329" s="370"/>
      <c r="BP329" s="23"/>
      <c r="BQ329" s="23"/>
      <c r="BR329" s="23"/>
      <c r="BS329" s="202"/>
      <c r="BT329" s="370"/>
      <c r="BU329" s="23"/>
      <c r="BV329" s="23"/>
      <c r="BW329" s="23"/>
      <c r="BX329" s="202"/>
      <c r="BY329" s="23"/>
      <c r="BZ329" s="23"/>
      <c r="CA329" s="23"/>
      <c r="CB329" s="23"/>
      <c r="CC329" s="202"/>
      <c r="CD329" s="23"/>
      <c r="CE329" s="23"/>
      <c r="CF329" s="23"/>
      <c r="CG329" s="23"/>
      <c r="CH329" s="202"/>
      <c r="CI329" s="23"/>
      <c r="CJ329" s="23"/>
      <c r="CK329" s="23"/>
      <c r="CL329" s="23"/>
      <c r="CM329" s="202"/>
      <c r="CN329" s="23"/>
      <c r="CO329" s="23"/>
      <c r="CP329" s="23"/>
      <c r="CQ329" s="23"/>
      <c r="CR329" s="202"/>
      <c r="CS329" s="23"/>
      <c r="CT329" s="23"/>
      <c r="CU329" s="23"/>
      <c r="CV329" s="23"/>
      <c r="CW329" s="202"/>
      <c r="CX329" s="23"/>
      <c r="CY329" s="23"/>
      <c r="CZ329" s="23"/>
      <c r="DA329" s="23"/>
      <c r="DB329" s="202"/>
      <c r="DC329" s="23"/>
      <c r="DD329" s="23"/>
      <c r="DE329" s="23"/>
      <c r="DF329" s="23"/>
      <c r="DG329" s="202"/>
      <c r="DH329" s="23"/>
      <c r="DI329" s="23"/>
      <c r="DJ329" s="23"/>
      <c r="DK329" s="23"/>
      <c r="DL329" s="202"/>
      <c r="DM329" s="23"/>
      <c r="DN329" s="539"/>
      <c r="DO329" s="486"/>
      <c r="DP329" s="411"/>
      <c r="DQ329" s="411"/>
      <c r="DR329" s="411"/>
      <c r="DS329" s="478"/>
      <c r="DT329" s="478"/>
      <c r="DU329" s="857"/>
      <c r="DV329" s="478"/>
      <c r="DW329" s="478"/>
      <c r="DX329" s="457"/>
      <c r="DY329" s="457"/>
      <c r="DZ329" s="457"/>
      <c r="EA329" s="539"/>
      <c r="EH329" s="8"/>
    </row>
    <row r="330" spans="1:138" ht="12.75" customHeight="1" x14ac:dyDescent="0.2">
      <c r="A330" s="165" t="s">
        <v>294</v>
      </c>
      <c r="B330" s="187"/>
      <c r="C330" s="187"/>
      <c r="D330" s="187"/>
      <c r="E330" s="187"/>
      <c r="F330" s="906">
        <v>5343</v>
      </c>
      <c r="G330" s="187"/>
      <c r="H330" s="187"/>
      <c r="I330" s="187"/>
      <c r="J330" s="187"/>
      <c r="K330" s="906">
        <v>3769</v>
      </c>
      <c r="L330" s="187"/>
      <c r="M330" s="187"/>
      <c r="N330" s="187"/>
      <c r="O330" s="187"/>
      <c r="P330" s="906">
        <v>893</v>
      </c>
      <c r="Q330" s="187"/>
      <c r="R330" s="187"/>
      <c r="S330" s="187"/>
      <c r="T330" s="187"/>
      <c r="U330" s="906">
        <v>-659</v>
      </c>
      <c r="V330" s="187"/>
      <c r="W330" s="187"/>
      <c r="X330" s="187"/>
      <c r="Y330" s="187"/>
      <c r="Z330" s="906">
        <v>-5519</v>
      </c>
      <c r="AA330" s="187"/>
      <c r="AB330" s="187"/>
      <c r="AC330" s="187"/>
      <c r="AD330" s="187"/>
      <c r="AE330" s="906">
        <v>-9648</v>
      </c>
      <c r="AF330" s="187">
        <f>SUM(AF323:AF328)</f>
        <v>-11663</v>
      </c>
      <c r="AG330" s="187">
        <f>SUM(AG323:AG328)</f>
        <v>-13866</v>
      </c>
      <c r="AH330" s="187">
        <f>SUM(AH323:AH328)</f>
        <v>-13871</v>
      </c>
      <c r="AI330" s="187">
        <f>SUM(AI323:AI328)</f>
        <v>-13593</v>
      </c>
      <c r="AJ330" s="249">
        <v>-13593</v>
      </c>
      <c r="AK330" s="187">
        <f>SUM(AK323:AK328)</f>
        <v>-13676</v>
      </c>
      <c r="AL330" s="187">
        <f>SUM(AL323:AL328)</f>
        <v>9472</v>
      </c>
      <c r="AM330" s="187">
        <f>SUM(AM323:AM328)</f>
        <v>9748</v>
      </c>
      <c r="AN330" s="187">
        <f>SUM(AN323:AN328)</f>
        <v>10113</v>
      </c>
      <c r="AO330" s="249">
        <v>10113</v>
      </c>
      <c r="AP330" s="187"/>
      <c r="AQ330" s="187"/>
      <c r="AR330" s="187"/>
      <c r="AS330" s="187"/>
      <c r="AT330" s="249"/>
      <c r="AU330" s="187">
        <f>SUM(AU323:AU328)</f>
        <v>3951</v>
      </c>
      <c r="AV330" s="187">
        <f>SUM(AV323:AV328)</f>
        <v>3721</v>
      </c>
      <c r="AW330" s="187">
        <f>SUM(AW323:AW328)</f>
        <v>2391</v>
      </c>
      <c r="AX330" s="187">
        <f>SUM(AX323:AX328)</f>
        <v>874</v>
      </c>
      <c r="AY330" s="249">
        <v>874</v>
      </c>
      <c r="AZ330" s="187">
        <f t="shared" ref="AZ330:BO330" si="1104">SUM(AZ323:AZ328)</f>
        <v>519</v>
      </c>
      <c r="BA330" s="187">
        <f t="shared" si="1104"/>
        <v>980</v>
      </c>
      <c r="BB330" s="187">
        <f t="shared" si="1104"/>
        <v>900</v>
      </c>
      <c r="BC330" s="187">
        <f t="shared" si="1104"/>
        <v>245</v>
      </c>
      <c r="BD330" s="249">
        <f t="shared" si="1104"/>
        <v>245</v>
      </c>
      <c r="BE330" s="187">
        <f t="shared" si="1104"/>
        <v>72</v>
      </c>
      <c r="BF330" s="187">
        <f t="shared" si="1104"/>
        <v>199</v>
      </c>
      <c r="BG330" s="187">
        <f t="shared" si="1104"/>
        <v>715</v>
      </c>
      <c r="BH330" s="187">
        <f t="shared" si="1104"/>
        <v>897</v>
      </c>
      <c r="BI330" s="249">
        <f t="shared" si="1104"/>
        <v>897</v>
      </c>
      <c r="BJ330" s="187">
        <f t="shared" si="1104"/>
        <v>758</v>
      </c>
      <c r="BK330" s="187">
        <f>SUM(BK323:BK328)</f>
        <v>785</v>
      </c>
      <c r="BL330" s="187">
        <f>SUM(BL323:BL328)</f>
        <v>1222</v>
      </c>
      <c r="BM330" s="187">
        <f t="shared" si="1104"/>
        <v>-1396</v>
      </c>
      <c r="BN330" s="364">
        <f t="shared" si="1104"/>
        <v>-1396</v>
      </c>
      <c r="BO330" s="187">
        <f t="shared" si="1104"/>
        <v>-1011</v>
      </c>
      <c r="BP330" s="187">
        <f t="shared" ref="BP330:BV330" si="1105">SUM(BP323:BP328)</f>
        <v>-1135</v>
      </c>
      <c r="BQ330" s="187">
        <f t="shared" si="1105"/>
        <v>-48</v>
      </c>
      <c r="BR330" s="187">
        <f t="shared" si="1105"/>
        <v>-2131</v>
      </c>
      <c r="BS330" s="249">
        <f t="shared" si="1105"/>
        <v>-2131</v>
      </c>
      <c r="BT330" s="187">
        <f t="shared" si="1105"/>
        <v>-1943</v>
      </c>
      <c r="BU330" s="187">
        <f t="shared" si="1105"/>
        <v>-1184</v>
      </c>
      <c r="BV330" s="187">
        <f t="shared" si="1105"/>
        <v>137</v>
      </c>
      <c r="BW330" s="187">
        <f t="shared" ref="BW330:CC330" si="1106">SUM(BW323:BW328)</f>
        <v>11643</v>
      </c>
      <c r="BX330" s="249">
        <f t="shared" si="1106"/>
        <v>11643</v>
      </c>
      <c r="BY330" s="187">
        <f>SUM(BY323:BY328)</f>
        <v>11641</v>
      </c>
      <c r="BZ330" s="187">
        <f>SUM(BZ323:BZ328)</f>
        <v>12203</v>
      </c>
      <c r="CA330" s="187">
        <f>SUM(CA323:CA328)</f>
        <v>12296</v>
      </c>
      <c r="CB330" s="187">
        <f t="shared" si="1106"/>
        <v>8813</v>
      </c>
      <c r="CC330" s="249">
        <f t="shared" si="1106"/>
        <v>8813</v>
      </c>
      <c r="CD330" s="187">
        <f t="shared" ref="CD330:CM330" si="1107">SUM(CD323:CD328)</f>
        <v>9046</v>
      </c>
      <c r="CE330" s="187">
        <f t="shared" si="1107"/>
        <v>9563</v>
      </c>
      <c r="CF330" s="187">
        <f t="shared" si="1107"/>
        <v>10345</v>
      </c>
      <c r="CG330" s="187">
        <f t="shared" si="1107"/>
        <v>10850</v>
      </c>
      <c r="CH330" s="249">
        <f t="shared" si="1107"/>
        <v>10850</v>
      </c>
      <c r="CI330" s="187">
        <f t="shared" si="1107"/>
        <v>11252</v>
      </c>
      <c r="CJ330" s="187">
        <f t="shared" si="1107"/>
        <v>11810</v>
      </c>
      <c r="CK330" s="187">
        <f t="shared" si="1107"/>
        <v>12510</v>
      </c>
      <c r="CL330" s="187">
        <f t="shared" si="1107"/>
        <v>12287</v>
      </c>
      <c r="CM330" s="249">
        <f t="shared" si="1107"/>
        <v>12287</v>
      </c>
      <c r="CN330" s="187">
        <f>SUM(CN323:CN328)</f>
        <v>12945</v>
      </c>
      <c r="CO330" s="187">
        <f t="shared" ref="CO330:CR330" si="1108">SUM(CO323:CO328)</f>
        <v>13479</v>
      </c>
      <c r="CP330" s="187">
        <f t="shared" si="1108"/>
        <v>14001</v>
      </c>
      <c r="CQ330" s="187">
        <f t="shared" si="1108"/>
        <v>13889</v>
      </c>
      <c r="CR330" s="249">
        <f t="shared" si="1108"/>
        <v>13889</v>
      </c>
      <c r="CS330" s="187">
        <f>SUM(CS323:CS328)</f>
        <v>12945</v>
      </c>
      <c r="CT330" s="187">
        <f t="shared" ref="CT330:CW330" si="1109">SUM(CT323:CT328)</f>
        <v>13479</v>
      </c>
      <c r="CU330" s="187">
        <f t="shared" si="1109"/>
        <v>14001</v>
      </c>
      <c r="CV330" s="187">
        <f t="shared" si="1109"/>
        <v>13889</v>
      </c>
      <c r="CW330" s="249">
        <f t="shared" si="1109"/>
        <v>13889</v>
      </c>
      <c r="CX330" s="187">
        <f>SUM(CX323:CX328)</f>
        <v>12557</v>
      </c>
      <c r="CY330" s="187">
        <f t="shared" ref="CY330:DB330" si="1110">SUM(CY323:CY328)</f>
        <v>13391.047464880085</v>
      </c>
      <c r="CZ330" s="187">
        <f t="shared" si="1110"/>
        <v>14164.251049886347</v>
      </c>
      <c r="DA330" s="187">
        <f t="shared" si="1110"/>
        <v>14667.982863369945</v>
      </c>
      <c r="DB330" s="249">
        <f t="shared" si="1110"/>
        <v>14667.982863369945</v>
      </c>
      <c r="DC330" s="187"/>
      <c r="DD330" s="187"/>
      <c r="DE330" s="187"/>
      <c r="DF330" s="187"/>
      <c r="DG330" s="249">
        <f>SUM(DG323:DG328)</f>
        <v>16049.218153217722</v>
      </c>
      <c r="DH330" s="187"/>
      <c r="DI330" s="187"/>
      <c r="DJ330" s="187"/>
      <c r="DK330" s="187"/>
      <c r="DL330" s="249">
        <f>SUM(DL323:DL328)</f>
        <v>18039.289429695316</v>
      </c>
      <c r="DM330" s="79"/>
      <c r="DN330" s="522"/>
      <c r="DO330" s="486"/>
      <c r="DP330" s="411"/>
      <c r="DQ330" s="411"/>
      <c r="DR330" s="411"/>
      <c r="DS330" s="553"/>
      <c r="DT330" s="553"/>
      <c r="DU330" s="857"/>
      <c r="DV330" s="478"/>
      <c r="DW330" s="478"/>
      <c r="DX330" s="472"/>
      <c r="DY330" s="472"/>
      <c r="DZ330" s="472"/>
      <c r="EA330" s="522"/>
      <c r="EH330" s="406"/>
    </row>
    <row r="331" spans="1:138" ht="12.75" customHeight="1" x14ac:dyDescent="0.2">
      <c r="A331" s="165" t="s">
        <v>235</v>
      </c>
      <c r="B331" s="187"/>
      <c r="C331" s="187"/>
      <c r="D331" s="187"/>
      <c r="E331" s="187"/>
      <c r="F331" s="249">
        <f>F330+F321</f>
        <v>21931</v>
      </c>
      <c r="G331" s="187"/>
      <c r="H331" s="187"/>
      <c r="I331" s="187"/>
      <c r="J331" s="187"/>
      <c r="K331" s="249">
        <f>K330+K321</f>
        <v>23605</v>
      </c>
      <c r="L331" s="187"/>
      <c r="M331" s="187"/>
      <c r="N331" s="187"/>
      <c r="O331" s="187"/>
      <c r="P331" s="249">
        <f>P330+P321</f>
        <v>24720</v>
      </c>
      <c r="Q331" s="187"/>
      <c r="R331" s="187"/>
      <c r="S331" s="187"/>
      <c r="T331" s="187"/>
      <c r="U331" s="249">
        <f>U330+U321</f>
        <v>26356</v>
      </c>
      <c r="V331" s="187"/>
      <c r="W331" s="187"/>
      <c r="X331" s="187"/>
      <c r="Y331" s="187"/>
      <c r="Z331" s="249">
        <f>Z330+Z321</f>
        <v>21801</v>
      </c>
      <c r="AA331" s="187"/>
      <c r="AB331" s="187"/>
      <c r="AC331" s="187"/>
      <c r="AD331" s="187"/>
      <c r="AE331" s="249">
        <f t="shared" ref="AE331:AO331" si="1111">AE330+AE321</f>
        <v>20039</v>
      </c>
      <c r="AF331" s="187">
        <f t="shared" si="1111"/>
        <v>20558</v>
      </c>
      <c r="AG331" s="187">
        <f t="shared" si="1111"/>
        <v>20737</v>
      </c>
      <c r="AH331" s="187">
        <f t="shared" si="1111"/>
        <v>20681</v>
      </c>
      <c r="AI331" s="187">
        <f t="shared" si="1111"/>
        <v>19622</v>
      </c>
      <c r="AJ331" s="249">
        <f t="shared" si="1111"/>
        <v>19622</v>
      </c>
      <c r="AK331" s="187">
        <f t="shared" si="1111"/>
        <v>19811</v>
      </c>
      <c r="AL331" s="187">
        <f t="shared" si="1111"/>
        <v>33734</v>
      </c>
      <c r="AM331" s="187">
        <f t="shared" si="1111"/>
        <v>32773</v>
      </c>
      <c r="AN331" s="187">
        <f t="shared" si="1111"/>
        <v>32423</v>
      </c>
      <c r="AO331" s="249">
        <f t="shared" si="1111"/>
        <v>32423</v>
      </c>
      <c r="AP331" s="187"/>
      <c r="AQ331" s="187"/>
      <c r="AR331" s="187"/>
      <c r="AS331" s="187"/>
      <c r="AT331" s="249"/>
      <c r="AU331" s="187">
        <f t="shared" ref="AU331:BS331" si="1112">AU330+AU321</f>
        <v>26755</v>
      </c>
      <c r="AV331" s="187">
        <f t="shared" si="1112"/>
        <v>27651</v>
      </c>
      <c r="AW331" s="187">
        <f t="shared" si="1112"/>
        <v>25598</v>
      </c>
      <c r="AX331" s="187">
        <f t="shared" si="1112"/>
        <v>45014</v>
      </c>
      <c r="AY331" s="249">
        <f t="shared" si="1112"/>
        <v>45014</v>
      </c>
      <c r="AZ331" s="187">
        <f t="shared" si="1112"/>
        <v>44395</v>
      </c>
      <c r="BA331" s="187">
        <f t="shared" si="1112"/>
        <v>44480</v>
      </c>
      <c r="BB331" s="187">
        <f t="shared" si="1112"/>
        <v>44853</v>
      </c>
      <c r="BC331" s="187">
        <f t="shared" si="1112"/>
        <v>43539</v>
      </c>
      <c r="BD331" s="249">
        <f t="shared" si="1112"/>
        <v>43539</v>
      </c>
      <c r="BE331" s="187">
        <f t="shared" si="1112"/>
        <v>44339</v>
      </c>
      <c r="BF331" s="187">
        <f t="shared" si="1112"/>
        <v>43809</v>
      </c>
      <c r="BG331" s="187">
        <f t="shared" si="1112"/>
        <v>43153</v>
      </c>
      <c r="BH331" s="187">
        <f t="shared" si="1112"/>
        <v>43188</v>
      </c>
      <c r="BI331" s="249">
        <f t="shared" si="1112"/>
        <v>43188</v>
      </c>
      <c r="BJ331" s="187">
        <f t="shared" si="1112"/>
        <v>43881</v>
      </c>
      <c r="BK331" s="187">
        <f>BK330+BK321</f>
        <v>43878</v>
      </c>
      <c r="BL331" s="187">
        <f t="shared" si="1112"/>
        <v>43036</v>
      </c>
      <c r="BM331" s="187">
        <f t="shared" si="1112"/>
        <v>43499</v>
      </c>
      <c r="BN331" s="364">
        <f t="shared" si="1112"/>
        <v>43499</v>
      </c>
      <c r="BO331" s="187">
        <f>BO330+BO321</f>
        <v>44189</v>
      </c>
      <c r="BP331" s="187">
        <f>BP330+BP321</f>
        <v>44720</v>
      </c>
      <c r="BQ331" s="187">
        <f>BQ330+BQ321</f>
        <v>44352</v>
      </c>
      <c r="BR331" s="187">
        <f>BR330+BR321</f>
        <v>44550</v>
      </c>
      <c r="BS331" s="249">
        <f t="shared" si="1112"/>
        <v>44550</v>
      </c>
      <c r="BT331" s="187">
        <f t="shared" ref="BT331:CC331" si="1113">BT330+BT321</f>
        <v>45068</v>
      </c>
      <c r="BU331" s="187">
        <f t="shared" si="1113"/>
        <v>45772</v>
      </c>
      <c r="BV331" s="187">
        <f t="shared" si="1113"/>
        <v>45997</v>
      </c>
      <c r="BW331" s="187">
        <f t="shared" si="1113"/>
        <v>52252</v>
      </c>
      <c r="BX331" s="249">
        <f t="shared" si="1113"/>
        <v>52252</v>
      </c>
      <c r="BY331" s="187">
        <f t="shared" si="1113"/>
        <v>52167</v>
      </c>
      <c r="BZ331" s="187">
        <f>BZ330+BZ321</f>
        <v>52191</v>
      </c>
      <c r="CA331" s="187">
        <f>CA330+CA321</f>
        <v>51940</v>
      </c>
      <c r="CB331" s="187">
        <f t="shared" si="1113"/>
        <v>54121</v>
      </c>
      <c r="CC331" s="249">
        <f t="shared" si="1113"/>
        <v>54121</v>
      </c>
      <c r="CD331" s="187">
        <f t="shared" ref="CD331:CM331" si="1114">CD330+CD321</f>
        <v>53752</v>
      </c>
      <c r="CE331" s="187">
        <f t="shared" si="1114"/>
        <v>52781</v>
      </c>
      <c r="CF331" s="187">
        <f t="shared" si="1114"/>
        <v>53646</v>
      </c>
      <c r="CG331" s="187">
        <f t="shared" si="1114"/>
        <v>53134</v>
      </c>
      <c r="CH331" s="249">
        <f t="shared" si="1114"/>
        <v>53134</v>
      </c>
      <c r="CI331" s="187">
        <f t="shared" si="1114"/>
        <v>53342</v>
      </c>
      <c r="CJ331" s="187">
        <f t="shared" si="1114"/>
        <v>51634</v>
      </c>
      <c r="CK331" s="187">
        <f t="shared" si="1114"/>
        <v>50948</v>
      </c>
      <c r="CL331" s="187">
        <f t="shared" si="1114"/>
        <v>51261</v>
      </c>
      <c r="CM331" s="249">
        <f t="shared" si="1114"/>
        <v>51261</v>
      </c>
      <c r="CN331" s="187">
        <f t="shared" ref="CN331:CR331" si="1115">CN330+CN321</f>
        <v>51459</v>
      </c>
      <c r="CO331" s="187">
        <f t="shared" si="1115"/>
        <v>51815</v>
      </c>
      <c r="CP331" s="187">
        <f t="shared" si="1115"/>
        <v>51928</v>
      </c>
      <c r="CQ331" s="187">
        <f t="shared" si="1115"/>
        <v>53298</v>
      </c>
      <c r="CR331" s="249">
        <f t="shared" si="1115"/>
        <v>53298</v>
      </c>
      <c r="CS331" s="187">
        <f t="shared" ref="CS331:CW331" si="1116">CS330+CS321</f>
        <v>51459</v>
      </c>
      <c r="CT331" s="187">
        <f t="shared" si="1116"/>
        <v>51815</v>
      </c>
      <c r="CU331" s="187">
        <f t="shared" si="1116"/>
        <v>51928</v>
      </c>
      <c r="CV331" s="187">
        <f t="shared" si="1116"/>
        <v>53298</v>
      </c>
      <c r="CW331" s="249">
        <f t="shared" si="1116"/>
        <v>53298</v>
      </c>
      <c r="CX331" s="187">
        <f t="shared" ref="CX331:DB331" si="1117">CX330+CX321</f>
        <v>54078</v>
      </c>
      <c r="CY331" s="187">
        <f t="shared" si="1117"/>
        <v>52883.023395387921</v>
      </c>
      <c r="CZ331" s="187">
        <f t="shared" si="1117"/>
        <v>53185.425502031132</v>
      </c>
      <c r="DA331" s="187">
        <f t="shared" si="1117"/>
        <v>54605.845833575433</v>
      </c>
      <c r="DB331" s="249">
        <f t="shared" si="1117"/>
        <v>54605.845833575433</v>
      </c>
      <c r="DC331" s="187"/>
      <c r="DD331" s="187"/>
      <c r="DE331" s="187"/>
      <c r="DF331" s="187"/>
      <c r="DG331" s="249">
        <f>DG330+DG321</f>
        <v>56087.305129806395</v>
      </c>
      <c r="DH331" s="187"/>
      <c r="DI331" s="187"/>
      <c r="DJ331" s="187"/>
      <c r="DK331" s="187"/>
      <c r="DL331" s="249">
        <f>DL330+DL321</f>
        <v>58072.37350667041</v>
      </c>
      <c r="DM331" s="79"/>
      <c r="DN331" s="522"/>
      <c r="DO331" s="486"/>
      <c r="DP331" s="411"/>
      <c r="DQ331" s="411"/>
      <c r="DR331" s="411"/>
      <c r="DS331" s="478"/>
      <c r="DT331" s="478"/>
      <c r="DU331" s="857"/>
      <c r="DV331" s="478"/>
      <c r="DW331" s="478"/>
      <c r="DX331" s="472"/>
      <c r="DY331" s="472"/>
      <c r="DZ331" s="472"/>
      <c r="EA331" s="522"/>
      <c r="EH331" s="406"/>
    </row>
    <row r="332" spans="1:138" ht="12.75" customHeight="1" x14ac:dyDescent="0.2">
      <c r="A332" s="66" t="s">
        <v>204</v>
      </c>
      <c r="B332" s="120"/>
      <c r="C332" s="120"/>
      <c r="D332" s="120"/>
      <c r="E332" s="120"/>
      <c r="F332" s="258" t="str">
        <f>IF(ROUND(F305-F331,0)=0,"-",F305-F331)</f>
        <v>-</v>
      </c>
      <c r="G332" s="120"/>
      <c r="H332" s="120"/>
      <c r="I332" s="120"/>
      <c r="J332" s="120"/>
      <c r="K332" s="258" t="str">
        <f>IF(ROUND(K305-K331,0)=0,"-",K305-K331)</f>
        <v>-</v>
      </c>
      <c r="L332" s="120"/>
      <c r="M332" s="120"/>
      <c r="N332" s="120"/>
      <c r="O332" s="120"/>
      <c r="P332" s="258" t="str">
        <f>IF(ROUND(P305-P331,0)=0,"-",P305-P331)</f>
        <v>-</v>
      </c>
      <c r="Q332" s="120"/>
      <c r="R332" s="120"/>
      <c r="S332" s="120"/>
      <c r="T332" s="120"/>
      <c r="U332" s="258" t="str">
        <f>IF(ROUND(U305-U331,0)=0,"-",U305-U331)</f>
        <v>-</v>
      </c>
      <c r="V332" s="120"/>
      <c r="W332" s="120"/>
      <c r="X332" s="120"/>
      <c r="Y332" s="120"/>
      <c r="Z332" s="258" t="str">
        <f>IF(ROUND(Z305-Z331,0)=0,"-",Z305-Z331)</f>
        <v>-</v>
      </c>
      <c r="AA332" s="120"/>
      <c r="AB332" s="120"/>
      <c r="AC332" s="120"/>
      <c r="AD332" s="120"/>
      <c r="AE332" s="258" t="str">
        <f t="shared" ref="AE332:AO332" si="1118">IF(ROUND(AE305-AE331,0)=0,"-",AE305-AE331)</f>
        <v>-</v>
      </c>
      <c r="AF332" s="120" t="str">
        <f t="shared" si="1118"/>
        <v>-</v>
      </c>
      <c r="AG332" s="120" t="str">
        <f t="shared" si="1118"/>
        <v>-</v>
      </c>
      <c r="AH332" s="120" t="str">
        <f t="shared" si="1118"/>
        <v>-</v>
      </c>
      <c r="AI332" s="120" t="str">
        <f t="shared" si="1118"/>
        <v>-</v>
      </c>
      <c r="AJ332" s="258" t="str">
        <f t="shared" si="1118"/>
        <v>-</v>
      </c>
      <c r="AK332" s="120" t="str">
        <f t="shared" si="1118"/>
        <v>-</v>
      </c>
      <c r="AL332" s="120" t="str">
        <f t="shared" si="1118"/>
        <v>-</v>
      </c>
      <c r="AM332" s="120" t="str">
        <f t="shared" si="1118"/>
        <v>-</v>
      </c>
      <c r="AN332" s="120" t="str">
        <f t="shared" si="1118"/>
        <v>-</v>
      </c>
      <c r="AO332" s="258" t="str">
        <f t="shared" si="1118"/>
        <v>-</v>
      </c>
      <c r="AP332" s="66"/>
      <c r="AQ332" s="66"/>
      <c r="AR332" s="66"/>
      <c r="AS332" s="66"/>
      <c r="AT332" s="248"/>
      <c r="AU332" s="120" t="str">
        <f t="shared" ref="AU332:BZ332" si="1119">IF(ROUND(AU305-AU331,0)=0,"-",AU305-AU331)</f>
        <v>-</v>
      </c>
      <c r="AV332" s="120" t="str">
        <f t="shared" si="1119"/>
        <v>-</v>
      </c>
      <c r="AW332" s="120" t="str">
        <f t="shared" si="1119"/>
        <v>-</v>
      </c>
      <c r="AX332" s="120" t="str">
        <f t="shared" si="1119"/>
        <v>-</v>
      </c>
      <c r="AY332" s="258" t="str">
        <f t="shared" si="1119"/>
        <v>-</v>
      </c>
      <c r="AZ332" s="120" t="str">
        <f t="shared" si="1119"/>
        <v>-</v>
      </c>
      <c r="BA332" s="120" t="str">
        <f t="shared" si="1119"/>
        <v>-</v>
      </c>
      <c r="BB332" s="120" t="str">
        <f t="shared" si="1119"/>
        <v>-</v>
      </c>
      <c r="BC332" s="120" t="str">
        <f t="shared" si="1119"/>
        <v>-</v>
      </c>
      <c r="BD332" s="258" t="str">
        <f t="shared" si="1119"/>
        <v>-</v>
      </c>
      <c r="BE332" s="120" t="str">
        <f t="shared" si="1119"/>
        <v>-</v>
      </c>
      <c r="BF332" s="120" t="str">
        <f t="shared" si="1119"/>
        <v>-</v>
      </c>
      <c r="BG332" s="120" t="str">
        <f t="shared" si="1119"/>
        <v>-</v>
      </c>
      <c r="BH332" s="120" t="str">
        <f t="shared" si="1119"/>
        <v>-</v>
      </c>
      <c r="BI332" s="258" t="str">
        <f t="shared" si="1119"/>
        <v>-</v>
      </c>
      <c r="BJ332" s="120" t="str">
        <f t="shared" si="1119"/>
        <v>-</v>
      </c>
      <c r="BK332" s="120" t="str">
        <f t="shared" si="1119"/>
        <v>-</v>
      </c>
      <c r="BL332" s="120" t="str">
        <f t="shared" si="1119"/>
        <v>-</v>
      </c>
      <c r="BM332" s="120" t="str">
        <f t="shared" si="1119"/>
        <v>-</v>
      </c>
      <c r="BN332" s="372" t="str">
        <f t="shared" si="1119"/>
        <v>-</v>
      </c>
      <c r="BO332" s="372" t="str">
        <f t="shared" si="1119"/>
        <v>-</v>
      </c>
      <c r="BP332" s="120" t="str">
        <f t="shared" si="1119"/>
        <v>-</v>
      </c>
      <c r="BQ332" s="120" t="str">
        <f t="shared" si="1119"/>
        <v>-</v>
      </c>
      <c r="BR332" s="120" t="str">
        <f t="shared" si="1119"/>
        <v>-</v>
      </c>
      <c r="BS332" s="258" t="str">
        <f t="shared" si="1119"/>
        <v>-</v>
      </c>
      <c r="BT332" s="372" t="str">
        <f t="shared" si="1119"/>
        <v>-</v>
      </c>
      <c r="BU332" s="120" t="str">
        <f t="shared" si="1119"/>
        <v>-</v>
      </c>
      <c r="BV332" s="120" t="str">
        <f t="shared" si="1119"/>
        <v>-</v>
      </c>
      <c r="BW332" s="120" t="str">
        <f t="shared" si="1119"/>
        <v>-</v>
      </c>
      <c r="BX332" s="258" t="str">
        <f t="shared" si="1119"/>
        <v>-</v>
      </c>
      <c r="BY332" s="120" t="str">
        <f t="shared" si="1119"/>
        <v>-</v>
      </c>
      <c r="BZ332" s="120" t="str">
        <f t="shared" si="1119"/>
        <v>-</v>
      </c>
      <c r="CA332" s="120" t="str">
        <f t="shared" ref="CA332:CR332" si="1120">IF(ROUND(CA305-CA331,0)=0,"-",CA305-CA331)</f>
        <v>-</v>
      </c>
      <c r="CB332" s="120" t="str">
        <f t="shared" si="1120"/>
        <v>-</v>
      </c>
      <c r="CC332" s="258" t="str">
        <f t="shared" si="1120"/>
        <v>-</v>
      </c>
      <c r="CD332" s="120" t="str">
        <f t="shared" si="1120"/>
        <v>-</v>
      </c>
      <c r="CE332" s="120" t="str">
        <f t="shared" si="1120"/>
        <v>-</v>
      </c>
      <c r="CF332" s="120" t="str">
        <f t="shared" si="1120"/>
        <v>-</v>
      </c>
      <c r="CG332" s="120" t="str">
        <f t="shared" si="1120"/>
        <v>-</v>
      </c>
      <c r="CH332" s="258" t="str">
        <f t="shared" si="1120"/>
        <v>-</v>
      </c>
      <c r="CI332" s="120" t="str">
        <f t="shared" si="1120"/>
        <v>-</v>
      </c>
      <c r="CJ332" s="120" t="str">
        <f t="shared" si="1120"/>
        <v>-</v>
      </c>
      <c r="CK332" s="120" t="str">
        <f t="shared" si="1120"/>
        <v>-</v>
      </c>
      <c r="CL332" s="120" t="str">
        <f t="shared" si="1120"/>
        <v>-</v>
      </c>
      <c r="CM332" s="258" t="str">
        <f t="shared" si="1120"/>
        <v>-</v>
      </c>
      <c r="CN332" s="120" t="str">
        <f t="shared" si="1120"/>
        <v>-</v>
      </c>
      <c r="CO332" s="120" t="str">
        <f t="shared" si="1120"/>
        <v>-</v>
      </c>
      <c r="CP332" s="120" t="str">
        <f t="shared" si="1120"/>
        <v>-</v>
      </c>
      <c r="CQ332" s="120" t="str">
        <f t="shared" si="1120"/>
        <v>-</v>
      </c>
      <c r="CR332" s="258" t="str">
        <f t="shared" si="1120"/>
        <v>-</v>
      </c>
      <c r="CS332" s="120" t="str">
        <f t="shared" ref="CS332:CW332" si="1121">IF(ROUND(CS305-CS331,0)=0,"-",CS305-CS331)</f>
        <v>-</v>
      </c>
      <c r="CT332" s="120" t="str">
        <f t="shared" si="1121"/>
        <v>-</v>
      </c>
      <c r="CU332" s="120" t="str">
        <f t="shared" si="1121"/>
        <v>-</v>
      </c>
      <c r="CV332" s="120" t="str">
        <f>IF(ROUND(CV305-CV331,0)=0,"-",CV305-CV331)</f>
        <v>-</v>
      </c>
      <c r="CW332" s="258" t="str">
        <f t="shared" si="1121"/>
        <v>-</v>
      </c>
      <c r="CX332" s="120" t="str">
        <f>IF(ROUND(CX305-CX331,0)=0,"-",CX305-CX331)</f>
        <v>-</v>
      </c>
      <c r="CY332" s="120" t="str">
        <f>IF(ROUND(CY305-CY331,0)=0,"-",CY305-CY331)</f>
        <v>-</v>
      </c>
      <c r="CZ332" s="120" t="str">
        <f>IF(ROUND(CZ305-CZ331,0)=0,"-",CZ305-CZ331)</f>
        <v>-</v>
      </c>
      <c r="DA332" s="120" t="str">
        <f>IF(ROUND(DA305-DA331,0)=0,"-",DA305-DA331)</f>
        <v>-</v>
      </c>
      <c r="DB332" s="258" t="str">
        <f>IF(ROUND(DB305-DB331,0)=0,"-",DB305-DB331)</f>
        <v>-</v>
      </c>
      <c r="DC332" s="120"/>
      <c r="DD332" s="120"/>
      <c r="DE332" s="120"/>
      <c r="DF332" s="120"/>
      <c r="DG332" s="258" t="str">
        <f>IF(ROUND(DG305-DG331,0)=0,"-",DG305-DG331)</f>
        <v>-</v>
      </c>
      <c r="DH332" s="120"/>
      <c r="DI332" s="120"/>
      <c r="DJ332" s="120"/>
      <c r="DK332" s="120"/>
      <c r="DL332" s="258" t="str">
        <f>IF(ROUND(DL305-DL331,0)=0,"-",DL305-DL331)</f>
        <v>-</v>
      </c>
      <c r="DM332" s="66"/>
      <c r="DN332" s="526"/>
      <c r="DO332" s="486"/>
      <c r="DP332" s="411"/>
      <c r="DQ332" s="411"/>
      <c r="DR332" s="411"/>
      <c r="DS332" s="478"/>
      <c r="DT332" s="478"/>
      <c r="DU332" s="472"/>
      <c r="DV332" s="472"/>
      <c r="DW332" s="472"/>
      <c r="DX332" s="472"/>
      <c r="DY332" s="472"/>
      <c r="DZ332" s="472"/>
      <c r="EA332" s="526"/>
      <c r="EH332" s="8"/>
    </row>
    <row r="333" spans="1:138" ht="12.75" customHeight="1" x14ac:dyDescent="0.2">
      <c r="A333" s="30" t="s">
        <v>382</v>
      </c>
      <c r="B333" s="31"/>
      <c r="C333" s="31"/>
      <c r="D333" s="31"/>
      <c r="E333" s="31"/>
      <c r="F333" s="259"/>
      <c r="G333" s="31"/>
      <c r="H333" s="31"/>
      <c r="I333" s="31"/>
      <c r="J333" s="31"/>
      <c r="K333" s="259"/>
      <c r="L333" s="31"/>
      <c r="M333" s="31"/>
      <c r="N333" s="31"/>
      <c r="O333" s="31"/>
      <c r="P333" s="259"/>
      <c r="Q333" s="31"/>
      <c r="R333" s="31"/>
      <c r="S333" s="31"/>
      <c r="T333" s="31"/>
      <c r="U333" s="259"/>
      <c r="V333" s="31"/>
      <c r="W333" s="31"/>
      <c r="X333" s="31"/>
      <c r="Y333" s="31"/>
      <c r="Z333" s="259"/>
      <c r="AA333" s="31"/>
      <c r="AB333" s="31"/>
      <c r="AC333" s="31"/>
      <c r="AD333" s="31"/>
      <c r="AE333" s="259"/>
      <c r="AF333" s="31"/>
      <c r="AG333" s="31"/>
      <c r="AH333" s="31"/>
      <c r="AI333" s="31"/>
      <c r="AJ333" s="259"/>
      <c r="AK333" s="31"/>
      <c r="AL333" s="31"/>
      <c r="AM333" s="31"/>
      <c r="AN333" s="31"/>
      <c r="AO333" s="259"/>
      <c r="AP333" s="31"/>
      <c r="AQ333" s="31"/>
      <c r="AR333" s="31"/>
      <c r="AS333" s="31"/>
      <c r="AT333" s="259"/>
      <c r="AU333" s="31"/>
      <c r="AV333" s="31"/>
      <c r="AW333" s="31"/>
      <c r="AX333" s="31"/>
      <c r="AY333" s="259"/>
      <c r="AZ333" s="31"/>
      <c r="BA333" s="31"/>
      <c r="BB333" s="31"/>
      <c r="BC333" s="31"/>
      <c r="BD333" s="259"/>
      <c r="BE333" s="31"/>
      <c r="BF333" s="31"/>
      <c r="BG333" s="31"/>
      <c r="BH333" s="31"/>
      <c r="BI333" s="259"/>
      <c r="BJ333" s="31"/>
      <c r="BK333" s="31"/>
      <c r="BL333" s="31"/>
      <c r="BM333" s="31"/>
      <c r="BN333" s="359"/>
      <c r="BO333" s="359"/>
      <c r="BP333" s="31"/>
      <c r="BQ333" s="31"/>
      <c r="BR333" s="31"/>
      <c r="BS333" s="259"/>
      <c r="BT333" s="359"/>
      <c r="BU333" s="31"/>
      <c r="BV333" s="31"/>
      <c r="BW333" s="31"/>
      <c r="BX333" s="259"/>
      <c r="BY333" s="31"/>
      <c r="BZ333" s="31"/>
      <c r="CA333" s="31"/>
      <c r="CB333" s="31"/>
      <c r="CC333" s="259"/>
      <c r="CD333" s="31"/>
      <c r="CE333" s="664"/>
      <c r="CF333" s="664"/>
      <c r="CG333" s="664"/>
      <c r="CH333" s="259"/>
      <c r="CI333" s="31"/>
      <c r="CJ333" s="31"/>
      <c r="CK333" s="31"/>
      <c r="CL333" s="31"/>
      <c r="CM333" s="259"/>
      <c r="CN333" s="31"/>
      <c r="CO333" s="31"/>
      <c r="CP333" s="31"/>
      <c r="CQ333" s="31"/>
      <c r="CR333" s="259"/>
      <c r="CS333" s="31"/>
      <c r="CT333" s="31"/>
      <c r="CU333" s="31"/>
      <c r="CV333" s="31"/>
      <c r="CW333" s="259"/>
      <c r="CX333" s="31"/>
      <c r="CY333" s="31"/>
      <c r="CZ333" s="31"/>
      <c r="DA333" s="31"/>
      <c r="DB333" s="259"/>
      <c r="DC333" s="31"/>
      <c r="DD333" s="31"/>
      <c r="DE333" s="31"/>
      <c r="DF333" s="31"/>
      <c r="DG333" s="259"/>
      <c r="DH333" s="31"/>
      <c r="DI333" s="31"/>
      <c r="DJ333" s="31"/>
      <c r="DK333" s="31"/>
      <c r="DL333" s="259"/>
      <c r="DM333" s="23"/>
      <c r="DN333" s="539"/>
      <c r="DO333" s="486"/>
      <c r="DP333" s="411"/>
      <c r="DQ333" s="411"/>
      <c r="DR333" s="411"/>
      <c r="DS333" s="478"/>
      <c r="DT333" s="478"/>
      <c r="DU333" s="472"/>
      <c r="DV333" s="457"/>
      <c r="DW333" s="457"/>
      <c r="DX333" s="457"/>
      <c r="DY333" s="457"/>
      <c r="DZ333" s="457"/>
      <c r="EA333" s="539"/>
      <c r="EH333" s="179"/>
    </row>
    <row r="334" spans="1:138" ht="12.75" customHeight="1" x14ac:dyDescent="0.2">
      <c r="A334" s="171" t="s">
        <v>126</v>
      </c>
      <c r="B334" s="123"/>
      <c r="C334" s="123"/>
      <c r="D334" s="123"/>
      <c r="E334" s="123"/>
      <c r="F334" s="306">
        <v>0</v>
      </c>
      <c r="G334" s="123">
        <v>0</v>
      </c>
      <c r="H334" s="123">
        <v>0</v>
      </c>
      <c r="I334" s="123">
        <v>0</v>
      </c>
      <c r="J334" s="123">
        <v>0</v>
      </c>
      <c r="K334" s="306">
        <v>0</v>
      </c>
      <c r="L334" s="123">
        <v>0</v>
      </c>
      <c r="M334" s="123">
        <v>0</v>
      </c>
      <c r="N334" s="123">
        <v>0</v>
      </c>
      <c r="O334" s="123">
        <v>0</v>
      </c>
      <c r="P334" s="306">
        <v>0</v>
      </c>
      <c r="Q334" s="123">
        <v>0</v>
      </c>
      <c r="R334" s="123">
        <v>0</v>
      </c>
      <c r="S334" s="123">
        <v>0</v>
      </c>
      <c r="T334" s="123">
        <v>0</v>
      </c>
      <c r="U334" s="306">
        <v>0</v>
      </c>
      <c r="V334" s="123">
        <v>0</v>
      </c>
      <c r="W334" s="123">
        <v>0</v>
      </c>
      <c r="X334" s="123">
        <v>0</v>
      </c>
      <c r="Y334" s="123">
        <v>0</v>
      </c>
      <c r="Z334" s="306">
        <v>0</v>
      </c>
      <c r="AA334" s="123">
        <v>0</v>
      </c>
      <c r="AB334" s="123">
        <v>0</v>
      </c>
      <c r="AC334" s="123">
        <v>0</v>
      </c>
      <c r="AD334" s="123">
        <v>0</v>
      </c>
      <c r="AE334" s="306">
        <v>0</v>
      </c>
      <c r="AF334" s="123">
        <v>0</v>
      </c>
      <c r="AG334" s="123">
        <v>0</v>
      </c>
      <c r="AH334" s="123">
        <v>0</v>
      </c>
      <c r="AI334" s="123">
        <v>0</v>
      </c>
      <c r="AJ334" s="306">
        <v>0</v>
      </c>
      <c r="AK334" s="123">
        <v>0</v>
      </c>
      <c r="AL334" s="123">
        <v>0</v>
      </c>
      <c r="AM334" s="123">
        <v>0</v>
      </c>
      <c r="AN334" s="123">
        <v>0</v>
      </c>
      <c r="AO334" s="306">
        <v>0</v>
      </c>
      <c r="AP334" s="123">
        <v>0</v>
      </c>
      <c r="AQ334" s="123">
        <v>0</v>
      </c>
      <c r="AR334" s="123">
        <v>0</v>
      </c>
      <c r="AS334" s="123">
        <v>0</v>
      </c>
      <c r="AT334" s="306">
        <v>0</v>
      </c>
      <c r="AU334" s="123">
        <v>0</v>
      </c>
      <c r="AV334" s="123">
        <v>0</v>
      </c>
      <c r="AW334" s="123">
        <v>0</v>
      </c>
      <c r="AX334" s="123">
        <v>0</v>
      </c>
      <c r="AY334" s="306">
        <v>0</v>
      </c>
      <c r="AZ334" s="123">
        <v>0</v>
      </c>
      <c r="BA334" s="123">
        <v>0</v>
      </c>
      <c r="BB334" s="123">
        <v>0</v>
      </c>
      <c r="BC334" s="123">
        <v>0</v>
      </c>
      <c r="BD334" s="306">
        <v>0</v>
      </c>
      <c r="BE334" s="123">
        <v>0</v>
      </c>
      <c r="BF334" s="123">
        <v>0</v>
      </c>
      <c r="BG334" s="123">
        <v>0</v>
      </c>
      <c r="BH334" s="123">
        <v>0</v>
      </c>
      <c r="BI334" s="306">
        <v>0</v>
      </c>
      <c r="BJ334" s="123">
        <v>0</v>
      </c>
      <c r="BK334" s="123">
        <v>0</v>
      </c>
      <c r="BL334" s="123">
        <v>0</v>
      </c>
      <c r="BM334" s="123">
        <v>0</v>
      </c>
      <c r="BN334" s="374">
        <v>0</v>
      </c>
      <c r="BO334" s="374">
        <v>0</v>
      </c>
      <c r="BP334" s="123">
        <v>0</v>
      </c>
      <c r="BQ334" s="123">
        <v>0</v>
      </c>
      <c r="BR334" s="123">
        <v>0</v>
      </c>
      <c r="BS334" s="306">
        <v>0</v>
      </c>
      <c r="BT334" s="374">
        <v>0</v>
      </c>
      <c r="BU334" s="123">
        <v>0</v>
      </c>
      <c r="BV334" s="123">
        <v>0</v>
      </c>
      <c r="BW334" s="123">
        <v>0</v>
      </c>
      <c r="BX334" s="306">
        <v>0</v>
      </c>
      <c r="BY334" s="123">
        <v>0</v>
      </c>
      <c r="BZ334" s="123">
        <v>0</v>
      </c>
      <c r="CA334" s="123">
        <v>0</v>
      </c>
      <c r="CB334" s="123">
        <v>0</v>
      </c>
      <c r="CC334" s="306">
        <v>0</v>
      </c>
      <c r="CD334" s="123">
        <v>0</v>
      </c>
      <c r="CE334" s="123">
        <v>0</v>
      </c>
      <c r="CF334" s="123">
        <v>0</v>
      </c>
      <c r="CG334" s="123">
        <v>0</v>
      </c>
      <c r="CH334" s="306">
        <v>0</v>
      </c>
      <c r="CI334" s="123"/>
      <c r="CJ334" s="123"/>
      <c r="CK334" s="123"/>
      <c r="CL334" s="123"/>
      <c r="CM334" s="306">
        <v>0</v>
      </c>
      <c r="CN334" s="123"/>
      <c r="CO334" s="123"/>
      <c r="CP334" s="123"/>
      <c r="CQ334" s="123"/>
      <c r="CR334" s="306">
        <v>0</v>
      </c>
      <c r="CS334" s="123"/>
      <c r="CT334" s="123"/>
      <c r="CU334" s="123"/>
      <c r="CV334" s="123"/>
      <c r="CW334" s="306">
        <v>0</v>
      </c>
      <c r="CX334" s="123"/>
      <c r="CY334" s="123"/>
      <c r="CZ334" s="123"/>
      <c r="DA334" s="123"/>
      <c r="DB334" s="306">
        <v>0</v>
      </c>
      <c r="DC334" s="123"/>
      <c r="DD334" s="123"/>
      <c r="DE334" s="123"/>
      <c r="DF334" s="123"/>
      <c r="DG334" s="306">
        <v>0</v>
      </c>
      <c r="DH334" s="123"/>
      <c r="DI334" s="123"/>
      <c r="DJ334" s="123"/>
      <c r="DK334" s="123"/>
      <c r="DL334" s="306">
        <v>0</v>
      </c>
      <c r="DM334" s="171"/>
      <c r="DN334" s="542"/>
      <c r="DO334" s="493"/>
      <c r="DP334" s="417"/>
      <c r="DQ334" s="417"/>
      <c r="DR334" s="417"/>
      <c r="DS334" s="553"/>
      <c r="DT334" s="553"/>
      <c r="DU334" s="457"/>
      <c r="DV334" s="478"/>
      <c r="DW334" s="478"/>
      <c r="DX334" s="478"/>
      <c r="DY334" s="478"/>
      <c r="DZ334" s="478"/>
      <c r="EA334" s="542"/>
      <c r="EH334" s="177"/>
    </row>
    <row r="335" spans="1:138" ht="12.75" customHeight="1" x14ac:dyDescent="0.2">
      <c r="A335" s="171" t="s">
        <v>193</v>
      </c>
      <c r="B335" s="66"/>
      <c r="C335" s="66"/>
      <c r="D335" s="66"/>
      <c r="E335" s="66"/>
      <c r="F335" s="248">
        <v>0</v>
      </c>
      <c r="G335" s="66">
        <v>0</v>
      </c>
      <c r="H335" s="66">
        <v>0</v>
      </c>
      <c r="I335" s="66">
        <v>0</v>
      </c>
      <c r="J335" s="66">
        <v>0</v>
      </c>
      <c r="K335" s="248">
        <v>0</v>
      </c>
      <c r="L335" s="66">
        <v>0</v>
      </c>
      <c r="M335" s="66">
        <v>0</v>
      </c>
      <c r="N335" s="66">
        <v>0</v>
      </c>
      <c r="O335" s="66">
        <v>0</v>
      </c>
      <c r="P335" s="248">
        <v>0</v>
      </c>
      <c r="Q335" s="66">
        <v>0</v>
      </c>
      <c r="R335" s="66">
        <v>0</v>
      </c>
      <c r="S335" s="66">
        <v>0</v>
      </c>
      <c r="T335" s="66">
        <v>0</v>
      </c>
      <c r="U335" s="248">
        <v>0</v>
      </c>
      <c r="V335" s="66">
        <v>0</v>
      </c>
      <c r="W335" s="66">
        <v>0</v>
      </c>
      <c r="X335" s="66">
        <v>0</v>
      </c>
      <c r="Y335" s="66">
        <v>0</v>
      </c>
      <c r="Z335" s="248">
        <v>0</v>
      </c>
      <c r="AA335" s="66">
        <v>0</v>
      </c>
      <c r="AB335" s="66">
        <v>0</v>
      </c>
      <c r="AC335" s="66">
        <v>0</v>
      </c>
      <c r="AD335" s="66">
        <v>0</v>
      </c>
      <c r="AE335" s="248">
        <v>0</v>
      </c>
      <c r="AF335" s="66">
        <v>0</v>
      </c>
      <c r="AG335" s="66">
        <v>0</v>
      </c>
      <c r="AH335" s="66">
        <v>0</v>
      </c>
      <c r="AI335" s="66">
        <v>0</v>
      </c>
      <c r="AJ335" s="248">
        <v>0</v>
      </c>
      <c r="AK335" s="66">
        <v>0</v>
      </c>
      <c r="AL335" s="66">
        <v>0</v>
      </c>
      <c r="AM335" s="66">
        <v>0</v>
      </c>
      <c r="AN335" s="66">
        <v>0</v>
      </c>
      <c r="AO335" s="248">
        <v>0</v>
      </c>
      <c r="AP335" s="66">
        <v>0</v>
      </c>
      <c r="AQ335" s="66">
        <v>0</v>
      </c>
      <c r="AR335" s="66">
        <v>0</v>
      </c>
      <c r="AS335" s="66">
        <v>0</v>
      </c>
      <c r="AT335" s="248">
        <v>0</v>
      </c>
      <c r="AU335" s="66">
        <v>0</v>
      </c>
      <c r="AV335" s="66">
        <v>0</v>
      </c>
      <c r="AW335" s="66">
        <v>0</v>
      </c>
      <c r="AX335" s="66">
        <v>0</v>
      </c>
      <c r="AY335" s="248">
        <v>0</v>
      </c>
      <c r="AZ335" s="66">
        <v>0</v>
      </c>
      <c r="BA335" s="66">
        <v>0</v>
      </c>
      <c r="BB335" s="66">
        <v>0</v>
      </c>
      <c r="BC335" s="66">
        <v>0</v>
      </c>
      <c r="BD335" s="248">
        <v>0</v>
      </c>
      <c r="BE335" s="66">
        <v>0</v>
      </c>
      <c r="BF335" s="66">
        <v>0</v>
      </c>
      <c r="BG335" s="66">
        <v>0</v>
      </c>
      <c r="BH335" s="66">
        <v>0</v>
      </c>
      <c r="BI335" s="248">
        <v>0</v>
      </c>
      <c r="BJ335" s="66">
        <v>0</v>
      </c>
      <c r="BK335" s="66">
        <v>0</v>
      </c>
      <c r="BL335" s="91">
        <v>0</v>
      </c>
      <c r="BM335" s="91">
        <v>0</v>
      </c>
      <c r="BN335" s="365">
        <v>0</v>
      </c>
      <c r="BO335" s="365">
        <v>0</v>
      </c>
      <c r="BP335" s="91">
        <v>0</v>
      </c>
      <c r="BQ335" s="91">
        <v>0</v>
      </c>
      <c r="BR335" s="91">
        <v>0</v>
      </c>
      <c r="BS335" s="302">
        <v>0</v>
      </c>
      <c r="BT335" s="365">
        <v>0</v>
      </c>
      <c r="BU335" s="91">
        <v>0</v>
      </c>
      <c r="BV335" s="91">
        <v>0</v>
      </c>
      <c r="BW335" s="91">
        <v>0</v>
      </c>
      <c r="BX335" s="302">
        <v>0</v>
      </c>
      <c r="BY335" s="91">
        <v>0</v>
      </c>
      <c r="BZ335" s="91">
        <v>0</v>
      </c>
      <c r="CA335" s="91">
        <v>0</v>
      </c>
      <c r="CB335" s="91">
        <v>0</v>
      </c>
      <c r="CC335" s="302">
        <v>0</v>
      </c>
      <c r="CD335" s="91">
        <v>0</v>
      </c>
      <c r="CE335" s="91">
        <v>0</v>
      </c>
      <c r="CF335" s="91">
        <v>0</v>
      </c>
      <c r="CG335" s="91">
        <v>0</v>
      </c>
      <c r="CH335" s="302">
        <v>0</v>
      </c>
      <c r="CI335" s="91"/>
      <c r="CJ335" s="91"/>
      <c r="CK335" s="91"/>
      <c r="CL335" s="91"/>
      <c r="CM335" s="302">
        <v>0</v>
      </c>
      <c r="CN335" s="91"/>
      <c r="CO335" s="91"/>
      <c r="CP335" s="91"/>
      <c r="CQ335" s="91"/>
      <c r="CR335" s="302">
        <v>0</v>
      </c>
      <c r="CS335" s="91"/>
      <c r="CT335" s="91"/>
      <c r="CU335" s="91"/>
      <c r="CV335" s="91"/>
      <c r="CW335" s="302">
        <v>0</v>
      </c>
      <c r="CX335" s="91"/>
      <c r="CY335" s="91"/>
      <c r="CZ335" s="91"/>
      <c r="DA335" s="91"/>
      <c r="DB335" s="302">
        <v>0</v>
      </c>
      <c r="DC335" s="91"/>
      <c r="DD335" s="91"/>
      <c r="DE335" s="91"/>
      <c r="DF335" s="91"/>
      <c r="DG335" s="302">
        <v>0</v>
      </c>
      <c r="DH335" s="91"/>
      <c r="DI335" s="91"/>
      <c r="DJ335" s="91"/>
      <c r="DK335" s="91"/>
      <c r="DL335" s="302">
        <v>0</v>
      </c>
      <c r="DM335" s="66"/>
      <c r="DN335" s="526"/>
      <c r="DO335" s="486"/>
      <c r="DP335" s="411"/>
      <c r="DQ335" s="411"/>
      <c r="DR335" s="411"/>
      <c r="DS335" s="478"/>
      <c r="DT335" s="478"/>
      <c r="DU335" s="478"/>
      <c r="DV335" s="478"/>
      <c r="DW335" s="478"/>
      <c r="DX335" s="478"/>
      <c r="DY335" s="478"/>
      <c r="DZ335" s="478"/>
      <c r="EA335" s="526"/>
      <c r="EH335" s="8"/>
    </row>
    <row r="336" spans="1:138" ht="12.75" customHeight="1" x14ac:dyDescent="0.2">
      <c r="A336" s="171" t="s">
        <v>108</v>
      </c>
      <c r="B336" s="66"/>
      <c r="C336" s="66"/>
      <c r="D336" s="66"/>
      <c r="E336" s="66"/>
      <c r="F336" s="248">
        <v>0</v>
      </c>
      <c r="G336" s="66">
        <v>0</v>
      </c>
      <c r="H336" s="66">
        <v>0</v>
      </c>
      <c r="I336" s="66">
        <v>0</v>
      </c>
      <c r="J336" s="66">
        <v>0</v>
      </c>
      <c r="K336" s="248">
        <v>0</v>
      </c>
      <c r="L336" s="66">
        <v>0</v>
      </c>
      <c r="M336" s="66">
        <v>0</v>
      </c>
      <c r="N336" s="66">
        <v>0</v>
      </c>
      <c r="O336" s="66">
        <v>0</v>
      </c>
      <c r="P336" s="248">
        <v>0</v>
      </c>
      <c r="Q336" s="66">
        <v>0</v>
      </c>
      <c r="R336" s="66">
        <v>0</v>
      </c>
      <c r="S336" s="66">
        <v>0</v>
      </c>
      <c r="T336" s="66">
        <v>0</v>
      </c>
      <c r="U336" s="248">
        <v>0</v>
      </c>
      <c r="V336" s="66">
        <v>0</v>
      </c>
      <c r="W336" s="66">
        <v>0</v>
      </c>
      <c r="X336" s="66">
        <v>0</v>
      </c>
      <c r="Y336" s="66">
        <v>0</v>
      </c>
      <c r="Z336" s="248">
        <v>0</v>
      </c>
      <c r="AA336" s="66">
        <v>0</v>
      </c>
      <c r="AB336" s="66">
        <v>0</v>
      </c>
      <c r="AC336" s="66">
        <v>0</v>
      </c>
      <c r="AD336" s="66">
        <v>0</v>
      </c>
      <c r="AE336" s="248">
        <v>0</v>
      </c>
      <c r="AF336" s="66">
        <v>0</v>
      </c>
      <c r="AG336" s="66">
        <v>0</v>
      </c>
      <c r="AH336" s="66">
        <v>0</v>
      </c>
      <c r="AI336" s="66">
        <v>0</v>
      </c>
      <c r="AJ336" s="248">
        <v>0</v>
      </c>
      <c r="AK336" s="66">
        <v>0</v>
      </c>
      <c r="AL336" s="66">
        <v>0</v>
      </c>
      <c r="AM336" s="66">
        <v>0</v>
      </c>
      <c r="AN336" s="66">
        <v>0</v>
      </c>
      <c r="AO336" s="248">
        <v>0</v>
      </c>
      <c r="AP336" s="66">
        <v>0</v>
      </c>
      <c r="AQ336" s="66">
        <v>0</v>
      </c>
      <c r="AR336" s="66">
        <v>0</v>
      </c>
      <c r="AS336" s="66">
        <v>0</v>
      </c>
      <c r="AT336" s="248">
        <v>0</v>
      </c>
      <c r="AU336" s="66">
        <v>0</v>
      </c>
      <c r="AV336" s="66">
        <v>0</v>
      </c>
      <c r="AW336" s="66">
        <v>0</v>
      </c>
      <c r="AX336" s="66">
        <v>0</v>
      </c>
      <c r="AY336" s="248">
        <v>0</v>
      </c>
      <c r="AZ336" s="66">
        <v>0</v>
      </c>
      <c r="BA336" s="66">
        <v>0</v>
      </c>
      <c r="BB336" s="66">
        <v>0</v>
      </c>
      <c r="BC336" s="66">
        <v>0</v>
      </c>
      <c r="BD336" s="248">
        <v>0</v>
      </c>
      <c r="BE336" s="66">
        <v>0</v>
      </c>
      <c r="BF336" s="66">
        <v>0</v>
      </c>
      <c r="BG336" s="66">
        <v>0</v>
      </c>
      <c r="BH336" s="66">
        <v>0</v>
      </c>
      <c r="BI336" s="248">
        <v>0</v>
      </c>
      <c r="BJ336" s="66">
        <v>0</v>
      </c>
      <c r="BK336" s="66">
        <v>0</v>
      </c>
      <c r="BL336" s="91">
        <v>0</v>
      </c>
      <c r="BM336" s="91">
        <v>0</v>
      </c>
      <c r="BN336" s="365">
        <v>0</v>
      </c>
      <c r="BO336" s="365">
        <v>0</v>
      </c>
      <c r="BP336" s="91">
        <v>0</v>
      </c>
      <c r="BQ336" s="91">
        <v>0</v>
      </c>
      <c r="BR336" s="91">
        <v>0</v>
      </c>
      <c r="BS336" s="302">
        <v>0</v>
      </c>
      <c r="BT336" s="365">
        <v>0</v>
      </c>
      <c r="BU336" s="91">
        <v>0</v>
      </c>
      <c r="BV336" s="91">
        <v>0</v>
      </c>
      <c r="BW336" s="91">
        <v>0</v>
      </c>
      <c r="BX336" s="302">
        <v>0</v>
      </c>
      <c r="BY336" s="91">
        <v>0</v>
      </c>
      <c r="BZ336" s="91">
        <v>0</v>
      </c>
      <c r="CA336" s="91">
        <v>0</v>
      </c>
      <c r="CB336" s="91">
        <v>0</v>
      </c>
      <c r="CC336" s="302">
        <v>0</v>
      </c>
      <c r="CD336" s="91">
        <v>0</v>
      </c>
      <c r="CE336" s="91">
        <v>0</v>
      </c>
      <c r="CF336" s="91">
        <v>0</v>
      </c>
      <c r="CG336" s="91">
        <v>0</v>
      </c>
      <c r="CH336" s="302">
        <v>0</v>
      </c>
      <c r="CI336" s="91"/>
      <c r="CJ336" s="91"/>
      <c r="CK336" s="91"/>
      <c r="CL336" s="91"/>
      <c r="CM336" s="302">
        <v>0</v>
      </c>
      <c r="CN336" s="91"/>
      <c r="CO336" s="91"/>
      <c r="CP336" s="91"/>
      <c r="CQ336" s="91"/>
      <c r="CR336" s="302">
        <v>0</v>
      </c>
      <c r="CS336" s="91"/>
      <c r="CT336" s="91"/>
      <c r="CU336" s="91"/>
      <c r="CV336" s="91"/>
      <c r="CW336" s="302">
        <v>0</v>
      </c>
      <c r="CX336" s="91"/>
      <c r="CY336" s="91"/>
      <c r="CZ336" s="91"/>
      <c r="DA336" s="91"/>
      <c r="DB336" s="302">
        <v>0</v>
      </c>
      <c r="DC336" s="91"/>
      <c r="DD336" s="91"/>
      <c r="DE336" s="91"/>
      <c r="DF336" s="91"/>
      <c r="DG336" s="302">
        <v>0</v>
      </c>
      <c r="DH336" s="91"/>
      <c r="DI336" s="91"/>
      <c r="DJ336" s="91"/>
      <c r="DK336" s="91"/>
      <c r="DL336" s="302">
        <v>0</v>
      </c>
      <c r="DM336" s="66"/>
      <c r="DN336" s="526"/>
      <c r="DO336" s="486"/>
      <c r="DP336" s="411"/>
      <c r="DQ336" s="411"/>
      <c r="DR336" s="411"/>
      <c r="DS336" s="478"/>
      <c r="DT336" s="478"/>
      <c r="DU336" s="478"/>
      <c r="DV336" s="478"/>
      <c r="DW336" s="478"/>
      <c r="DX336" s="478"/>
      <c r="DY336" s="478"/>
      <c r="DZ336" s="478"/>
      <c r="EA336" s="526"/>
      <c r="EH336" s="8"/>
    </row>
    <row r="337" spans="1:138" ht="12.75" customHeight="1" x14ac:dyDescent="0.2">
      <c r="A337" s="66" t="s">
        <v>205</v>
      </c>
      <c r="B337" s="66"/>
      <c r="C337" s="66"/>
      <c r="D337" s="66"/>
      <c r="E337" s="66"/>
      <c r="F337" s="248"/>
      <c r="G337" s="66"/>
      <c r="H337" s="66"/>
      <c r="I337" s="66"/>
      <c r="J337" s="66"/>
      <c r="K337" s="248"/>
      <c r="L337" s="66"/>
      <c r="M337" s="66"/>
      <c r="N337" s="66"/>
      <c r="O337" s="66"/>
      <c r="P337" s="248"/>
      <c r="Q337" s="66"/>
      <c r="R337" s="66"/>
      <c r="S337" s="66"/>
      <c r="T337" s="66"/>
      <c r="U337" s="248"/>
      <c r="V337" s="66"/>
      <c r="W337" s="66"/>
      <c r="X337" s="66"/>
      <c r="Y337" s="66"/>
      <c r="Z337" s="248"/>
      <c r="AA337" s="66"/>
      <c r="AB337" s="66"/>
      <c r="AC337" s="66"/>
      <c r="AD337" s="66"/>
      <c r="AE337" s="248"/>
      <c r="AF337" s="66"/>
      <c r="AG337" s="66"/>
      <c r="AH337" s="66"/>
      <c r="AI337" s="66"/>
      <c r="AJ337" s="248"/>
      <c r="AK337" s="66">
        <f>AK271</f>
        <v>0</v>
      </c>
      <c r="AL337" s="66">
        <f>AL271</f>
        <v>0</v>
      </c>
      <c r="AM337" s="66">
        <f>AM271</f>
        <v>0</v>
      </c>
      <c r="AN337" s="66">
        <f>AN271</f>
        <v>0</v>
      </c>
      <c r="AO337" s="248">
        <f>AO271</f>
        <v>0</v>
      </c>
      <c r="AP337" s="66"/>
      <c r="AQ337" s="66"/>
      <c r="AR337" s="66"/>
      <c r="AS337" s="66"/>
      <c r="AT337" s="248"/>
      <c r="AU337" s="66">
        <f t="shared" ref="AU337:BC337" si="1122">AU271</f>
        <v>0</v>
      </c>
      <c r="AV337" s="66">
        <f t="shared" si="1122"/>
        <v>0</v>
      </c>
      <c r="AW337" s="66">
        <f t="shared" si="1122"/>
        <v>0</v>
      </c>
      <c r="AX337" s="66">
        <f t="shared" si="1122"/>
        <v>0</v>
      </c>
      <c r="AY337" s="248">
        <f t="shared" si="1122"/>
        <v>192</v>
      </c>
      <c r="AZ337" s="66">
        <f t="shared" si="1122"/>
        <v>0</v>
      </c>
      <c r="BA337" s="66">
        <f t="shared" si="1122"/>
        <v>0</v>
      </c>
      <c r="BB337" s="66">
        <f t="shared" si="1122"/>
        <v>0</v>
      </c>
      <c r="BC337" s="66">
        <f t="shared" si="1122"/>
        <v>0</v>
      </c>
      <c r="BD337" s="248">
        <f>SUM(AZ337:BC337)</f>
        <v>0</v>
      </c>
      <c r="BE337" s="66">
        <f>BE271</f>
        <v>0</v>
      </c>
      <c r="BF337" s="66">
        <f>BF271</f>
        <v>0</v>
      </c>
      <c r="BG337" s="66">
        <f>BG271</f>
        <v>0</v>
      </c>
      <c r="BH337" s="66">
        <f>BH271</f>
        <v>0</v>
      </c>
      <c r="BI337" s="248">
        <f>SUM(BE337:BH337)</f>
        <v>0</v>
      </c>
      <c r="BJ337" s="66"/>
      <c r="BK337" s="66"/>
      <c r="BL337" s="66"/>
      <c r="BM337" s="66"/>
      <c r="BN337" s="350">
        <f>BN271</f>
        <v>0</v>
      </c>
      <c r="BO337" s="350"/>
      <c r="BP337" s="66"/>
      <c r="BQ337" s="66"/>
      <c r="BR337" s="66"/>
      <c r="BS337" s="248">
        <f>BS271</f>
        <v>0</v>
      </c>
      <c r="BT337" s="350"/>
      <c r="BU337" s="66"/>
      <c r="BV337" s="66"/>
      <c r="BW337" s="66"/>
      <c r="BX337" s="248">
        <f>BX271</f>
        <v>0</v>
      </c>
      <c r="BY337" s="66"/>
      <c r="BZ337" s="66"/>
      <c r="CA337" s="66"/>
      <c r="CB337" s="66"/>
      <c r="CC337" s="248">
        <f>CC271</f>
        <v>0</v>
      </c>
      <c r="CD337" s="66"/>
      <c r="CE337" s="66"/>
      <c r="CF337" s="66"/>
      <c r="CG337" s="66"/>
      <c r="CH337" s="248">
        <f>CH271</f>
        <v>0</v>
      </c>
      <c r="CI337" s="66"/>
      <c r="CJ337" s="66"/>
      <c r="CK337" s="66"/>
      <c r="CL337" s="66"/>
      <c r="CM337" s="248">
        <f>CM271</f>
        <v>0</v>
      </c>
      <c r="CN337" s="66"/>
      <c r="CO337" s="66"/>
      <c r="CP337" s="66"/>
      <c r="CQ337" s="66"/>
      <c r="CR337" s="248">
        <f>CR271</f>
        <v>0</v>
      </c>
      <c r="CS337" s="66"/>
      <c r="CT337" s="66"/>
      <c r="CU337" s="66"/>
      <c r="CV337" s="66"/>
      <c r="CW337" s="248">
        <f>CW271</f>
        <v>0</v>
      </c>
      <c r="CX337" s="66"/>
      <c r="CY337" s="66"/>
      <c r="CZ337" s="66"/>
      <c r="DA337" s="66"/>
      <c r="DB337" s="248">
        <f>DB271</f>
        <v>0</v>
      </c>
      <c r="DC337" s="66"/>
      <c r="DD337" s="66"/>
      <c r="DE337" s="66"/>
      <c r="DF337" s="66"/>
      <c r="DG337" s="248">
        <f>DG271</f>
        <v>0</v>
      </c>
      <c r="DH337" s="66"/>
      <c r="DI337" s="66"/>
      <c r="DJ337" s="66"/>
      <c r="DK337" s="66"/>
      <c r="DL337" s="248">
        <f>DL271</f>
        <v>0</v>
      </c>
      <c r="DM337" s="66"/>
      <c r="DN337" s="526"/>
      <c r="DO337" s="486"/>
      <c r="DP337" s="411"/>
      <c r="DQ337" s="411"/>
      <c r="DR337" s="411"/>
      <c r="DS337" s="478"/>
      <c r="DT337" s="478"/>
      <c r="DU337" s="478"/>
      <c r="DV337" s="472"/>
      <c r="DW337" s="472"/>
      <c r="DX337" s="472"/>
      <c r="DY337" s="472"/>
      <c r="DZ337" s="472"/>
      <c r="EA337" s="526"/>
      <c r="EH337" s="8"/>
    </row>
    <row r="338" spans="1:138" ht="12.75" customHeight="1" x14ac:dyDescent="0.2">
      <c r="A338" s="66" t="s">
        <v>50</v>
      </c>
      <c r="B338" s="66"/>
      <c r="C338" s="66"/>
      <c r="D338" s="66"/>
      <c r="E338" s="66"/>
      <c r="F338" s="248"/>
      <c r="G338" s="66"/>
      <c r="H338" s="66"/>
      <c r="I338" s="66"/>
      <c r="J338" s="66"/>
      <c r="K338" s="248"/>
      <c r="L338" s="66"/>
      <c r="M338" s="66"/>
      <c r="N338" s="66"/>
      <c r="O338" s="66"/>
      <c r="P338" s="248"/>
      <c r="Q338" s="66"/>
      <c r="R338" s="66"/>
      <c r="S338" s="66"/>
      <c r="T338" s="66"/>
      <c r="U338" s="248"/>
      <c r="V338" s="66"/>
      <c r="W338" s="66"/>
      <c r="X338" s="66"/>
      <c r="Y338" s="66"/>
      <c r="Z338" s="248"/>
      <c r="AA338" s="66"/>
      <c r="AB338" s="66"/>
      <c r="AC338" s="66"/>
      <c r="AD338" s="66"/>
      <c r="AE338" s="248"/>
      <c r="AF338" s="66"/>
      <c r="AG338" s="66"/>
      <c r="AH338" s="66"/>
      <c r="AI338" s="66"/>
      <c r="AJ338" s="248"/>
      <c r="AK338" s="66">
        <f>AK269</f>
        <v>0</v>
      </c>
      <c r="AL338" s="66">
        <f>AL269</f>
        <v>0</v>
      </c>
      <c r="AM338" s="66">
        <f>AM269</f>
        <v>0</v>
      </c>
      <c r="AN338" s="66">
        <f>AN269</f>
        <v>0</v>
      </c>
      <c r="AO338" s="248">
        <f>AO269</f>
        <v>0</v>
      </c>
      <c r="AP338" s="66"/>
      <c r="AQ338" s="66"/>
      <c r="AR338" s="66"/>
      <c r="AS338" s="66"/>
      <c r="AT338" s="248"/>
      <c r="AU338" s="66">
        <f t="shared" ref="AU338:BC338" si="1123">AU269</f>
        <v>0</v>
      </c>
      <c r="AV338" s="66">
        <f t="shared" si="1123"/>
        <v>0</v>
      </c>
      <c r="AW338" s="66">
        <f t="shared" si="1123"/>
        <v>0</v>
      </c>
      <c r="AX338" s="66">
        <f t="shared" si="1123"/>
        <v>0</v>
      </c>
      <c r="AY338" s="248">
        <f t="shared" si="1123"/>
        <v>0</v>
      </c>
      <c r="AZ338" s="66">
        <f t="shared" si="1123"/>
        <v>0</v>
      </c>
      <c r="BA338" s="66">
        <f t="shared" si="1123"/>
        <v>0</v>
      </c>
      <c r="BB338" s="66">
        <f t="shared" si="1123"/>
        <v>0</v>
      </c>
      <c r="BC338" s="66">
        <f t="shared" si="1123"/>
        <v>0</v>
      </c>
      <c r="BD338" s="248">
        <f>SUM(AZ338:BC338)</f>
        <v>0</v>
      </c>
      <c r="BE338" s="66">
        <f>BE269</f>
        <v>0</v>
      </c>
      <c r="BF338" s="66">
        <f>BF269</f>
        <v>0</v>
      </c>
      <c r="BG338" s="66">
        <f>BG269</f>
        <v>0</v>
      </c>
      <c r="BH338" s="66">
        <f>BH269</f>
        <v>0</v>
      </c>
      <c r="BI338" s="248">
        <f>SUM(BE338:BH338)</f>
        <v>0</v>
      </c>
      <c r="BJ338" s="66"/>
      <c r="BK338" s="66"/>
      <c r="BL338" s="66"/>
      <c r="BM338" s="66"/>
      <c r="BN338" s="350">
        <f>BN269</f>
        <v>0</v>
      </c>
      <c r="BO338" s="350"/>
      <c r="BP338" s="66"/>
      <c r="BQ338" s="66"/>
      <c r="BR338" s="66"/>
      <c r="BS338" s="248">
        <f>BS269</f>
        <v>0</v>
      </c>
      <c r="BT338" s="350"/>
      <c r="BU338" s="66"/>
      <c r="BV338" s="66"/>
      <c r="BW338" s="66"/>
      <c r="BX338" s="248">
        <f>BX269</f>
        <v>-102</v>
      </c>
      <c r="BY338" s="66"/>
      <c r="BZ338" s="66"/>
      <c r="CA338" s="66"/>
      <c r="CB338" s="66"/>
      <c r="CC338" s="248">
        <f>CC269</f>
        <v>-251</v>
      </c>
      <c r="CD338" s="66"/>
      <c r="CE338" s="66"/>
      <c r="CF338" s="66"/>
      <c r="CG338" s="66"/>
      <c r="CH338" s="248">
        <f>CH269</f>
        <v>-359</v>
      </c>
      <c r="CI338" s="66"/>
      <c r="CJ338" s="66"/>
      <c r="CK338" s="66"/>
      <c r="CL338" s="66"/>
      <c r="CM338" s="248">
        <f>CM269</f>
        <v>-509</v>
      </c>
      <c r="CN338" s="66"/>
      <c r="CO338" s="66"/>
      <c r="CP338" s="66"/>
      <c r="CQ338" s="66"/>
      <c r="CR338" s="248">
        <f>CR269</f>
        <v>-732</v>
      </c>
      <c r="CS338" s="66"/>
      <c r="CT338" s="66"/>
      <c r="CU338" s="66"/>
      <c r="CV338" s="66"/>
      <c r="CW338" s="248">
        <f>CW269</f>
        <v>-732</v>
      </c>
      <c r="CX338" s="66"/>
      <c r="CY338" s="66"/>
      <c r="CZ338" s="66"/>
      <c r="DA338" s="66"/>
      <c r="DB338" s="248">
        <f>DB269</f>
        <v>-853.34850840765625</v>
      </c>
      <c r="DC338" s="66"/>
      <c r="DD338" s="66"/>
      <c r="DE338" s="66"/>
      <c r="DF338" s="66"/>
      <c r="DG338" s="248">
        <f>DG269</f>
        <v>-910.23140586068246</v>
      </c>
      <c r="DH338" s="66"/>
      <c r="DI338" s="66"/>
      <c r="DJ338" s="66"/>
      <c r="DK338" s="66"/>
      <c r="DL338" s="248">
        <f>DL269</f>
        <v>-1092.2776870328189</v>
      </c>
      <c r="DM338" s="66"/>
      <c r="DN338" s="526"/>
      <c r="DO338" s="486"/>
      <c r="DP338" s="411"/>
      <c r="DQ338" s="411"/>
      <c r="DR338" s="411"/>
      <c r="DS338" s="478"/>
      <c r="DT338" s="478"/>
      <c r="DU338" s="472"/>
      <c r="DV338" s="472"/>
      <c r="DW338" s="472"/>
      <c r="DX338" s="472"/>
      <c r="DY338" s="472"/>
      <c r="DZ338" s="472"/>
      <c r="EA338" s="526"/>
      <c r="EH338" s="8"/>
    </row>
    <row r="339" spans="1:138" ht="12.75" customHeight="1" x14ac:dyDescent="0.2">
      <c r="A339" s="66" t="s">
        <v>434</v>
      </c>
      <c r="B339" s="66"/>
      <c r="C339" s="66"/>
      <c r="D339" s="66"/>
      <c r="E339" s="66"/>
      <c r="F339" s="248"/>
      <c r="G339" s="66"/>
      <c r="H339" s="66"/>
      <c r="I339" s="66"/>
      <c r="J339" s="66"/>
      <c r="K339" s="248"/>
      <c r="L339" s="66"/>
      <c r="M339" s="66"/>
      <c r="N339" s="66"/>
      <c r="O339" s="66"/>
      <c r="P339" s="248"/>
      <c r="Q339" s="66"/>
      <c r="R339" s="66"/>
      <c r="S339" s="66"/>
      <c r="T339" s="66"/>
      <c r="U339" s="248"/>
      <c r="V339" s="66"/>
      <c r="W339" s="66"/>
      <c r="X339" s="66"/>
      <c r="Y339" s="66"/>
      <c r="Z339" s="248"/>
      <c r="AA339" s="66"/>
      <c r="AB339" s="66"/>
      <c r="AC339" s="66"/>
      <c r="AD339" s="66"/>
      <c r="AE339" s="248"/>
      <c r="AF339" s="66"/>
      <c r="AG339" s="66"/>
      <c r="AH339" s="66"/>
      <c r="AI339" s="66"/>
      <c r="AJ339" s="248"/>
      <c r="AK339" s="66">
        <v>0</v>
      </c>
      <c r="AL339" s="66">
        <v>0</v>
      </c>
      <c r="AM339" s="66">
        <v>0</v>
      </c>
      <c r="AN339" s="66">
        <v>0</v>
      </c>
      <c r="AO339" s="248">
        <v>0</v>
      </c>
      <c r="AP339" s="66"/>
      <c r="AQ339" s="66"/>
      <c r="AR339" s="66"/>
      <c r="AS339" s="66"/>
      <c r="AT339" s="248"/>
      <c r="AU339" s="66">
        <v>0</v>
      </c>
      <c r="AV339" s="66">
        <v>0</v>
      </c>
      <c r="AW339" s="66">
        <v>0</v>
      </c>
      <c r="AX339" s="66">
        <v>0</v>
      </c>
      <c r="AY339" s="248">
        <v>0</v>
      </c>
      <c r="AZ339" s="66">
        <v>0</v>
      </c>
      <c r="BA339" s="66">
        <v>0</v>
      </c>
      <c r="BB339" s="66">
        <v>0</v>
      </c>
      <c r="BC339" s="66">
        <v>0</v>
      </c>
      <c r="BD339" s="248">
        <f>SUM(AZ339:BC339)</f>
        <v>0</v>
      </c>
      <c r="BE339" s="66">
        <v>0</v>
      </c>
      <c r="BF339" s="66">
        <v>0</v>
      </c>
      <c r="BG339" s="66">
        <v>0</v>
      </c>
      <c r="BH339" s="66">
        <v>0</v>
      </c>
      <c r="BI339" s="248">
        <f>SUM(BE339:BH339)</f>
        <v>0</v>
      </c>
      <c r="BJ339" s="66"/>
      <c r="BK339" s="66"/>
      <c r="BL339" s="66"/>
      <c r="BM339" s="66"/>
      <c r="BN339" s="365">
        <v>0</v>
      </c>
      <c r="BO339" s="350"/>
      <c r="BP339" s="66"/>
      <c r="BQ339" s="66"/>
      <c r="BR339" s="66"/>
      <c r="BS339" s="302">
        <v>0</v>
      </c>
      <c r="BT339" s="350"/>
      <c r="BU339" s="66"/>
      <c r="BV339" s="66"/>
      <c r="BW339" s="66"/>
      <c r="BX339" s="302">
        <v>0</v>
      </c>
      <c r="BY339" s="66"/>
      <c r="BZ339" s="66"/>
      <c r="CA339" s="66"/>
      <c r="CB339" s="66"/>
      <c r="CC339" s="302">
        <v>0</v>
      </c>
      <c r="CD339" s="66"/>
      <c r="CE339" s="66"/>
      <c r="CF339" s="66"/>
      <c r="CG339" s="66"/>
      <c r="CH339" s="302">
        <v>0</v>
      </c>
      <c r="CI339" s="66"/>
      <c r="CJ339" s="66"/>
      <c r="CK339" s="66"/>
      <c r="CL339" s="66"/>
      <c r="CM339" s="302">
        <v>0</v>
      </c>
      <c r="CN339" s="66"/>
      <c r="CO339" s="66"/>
      <c r="CP339" s="66"/>
      <c r="CQ339" s="66"/>
      <c r="CR339" s="302">
        <v>0</v>
      </c>
      <c r="CS339" s="66"/>
      <c r="CT339" s="66"/>
      <c r="CU339" s="66"/>
      <c r="CV339" s="66"/>
      <c r="CW339" s="302">
        <v>0</v>
      </c>
      <c r="CX339" s="66"/>
      <c r="CY339" s="66"/>
      <c r="CZ339" s="66"/>
      <c r="DA339" s="66"/>
      <c r="DB339" s="302">
        <v>0</v>
      </c>
      <c r="DC339" s="66"/>
      <c r="DD339" s="66"/>
      <c r="DE339" s="66"/>
      <c r="DF339" s="66"/>
      <c r="DG339" s="302">
        <v>0</v>
      </c>
      <c r="DH339" s="66"/>
      <c r="DI339" s="66"/>
      <c r="DJ339" s="66"/>
      <c r="DK339" s="66"/>
      <c r="DL339" s="302">
        <v>0</v>
      </c>
      <c r="DM339" s="66"/>
      <c r="DN339" s="526"/>
      <c r="DO339" s="486"/>
      <c r="DP339" s="411"/>
      <c r="DQ339" s="411"/>
      <c r="DR339" s="411"/>
      <c r="DS339" s="478"/>
      <c r="DT339" s="478"/>
      <c r="DU339" s="472"/>
      <c r="DV339" s="472"/>
      <c r="DW339" s="472"/>
      <c r="DX339" s="472"/>
      <c r="DY339" s="472"/>
      <c r="DZ339" s="472"/>
      <c r="EA339" s="526"/>
      <c r="EH339" s="8"/>
    </row>
    <row r="340" spans="1:138" ht="12.75" customHeight="1" x14ac:dyDescent="0.2">
      <c r="A340" s="45" t="s">
        <v>206</v>
      </c>
      <c r="B340" s="45"/>
      <c r="C340" s="45"/>
      <c r="D340" s="45"/>
      <c r="E340" s="45"/>
      <c r="F340" s="211"/>
      <c r="G340" s="45"/>
      <c r="H340" s="45"/>
      <c r="I340" s="45"/>
      <c r="J340" s="45"/>
      <c r="K340" s="211"/>
      <c r="L340" s="45"/>
      <c r="M340" s="45"/>
      <c r="N340" s="45"/>
      <c r="O340" s="45"/>
      <c r="P340" s="211"/>
      <c r="Q340" s="45"/>
      <c r="R340" s="45"/>
      <c r="S340" s="45"/>
      <c r="T340" s="45"/>
      <c r="U340" s="211"/>
      <c r="V340" s="45"/>
      <c r="W340" s="45"/>
      <c r="X340" s="45"/>
      <c r="Y340" s="45"/>
      <c r="Z340" s="211"/>
      <c r="AA340" s="45"/>
      <c r="AB340" s="45"/>
      <c r="AC340" s="45"/>
      <c r="AD340" s="45"/>
      <c r="AE340" s="211"/>
      <c r="AF340" s="45"/>
      <c r="AG340" s="45"/>
      <c r="AH340" s="45"/>
      <c r="AI340" s="45"/>
      <c r="AJ340" s="211"/>
      <c r="AK340" s="45">
        <v>-13546</v>
      </c>
      <c r="AL340" s="45">
        <v>21546</v>
      </c>
      <c r="AM340" s="45">
        <v>56</v>
      </c>
      <c r="AN340" s="45">
        <v>435</v>
      </c>
      <c r="AO340" s="211">
        <f>SUM(AK340:AN340)</f>
        <v>8491</v>
      </c>
      <c r="AP340" s="45"/>
      <c r="AQ340" s="45"/>
      <c r="AR340" s="45"/>
      <c r="AS340" s="45"/>
      <c r="AT340" s="211"/>
      <c r="AU340" s="45">
        <v>-5673</v>
      </c>
      <c r="AV340" s="45">
        <v>-313</v>
      </c>
      <c r="AW340" s="45">
        <v>-1240.8196720000001</v>
      </c>
      <c r="AX340" s="45">
        <v>7017</v>
      </c>
      <c r="AY340" s="211">
        <f>SUM(AU340:AX340)-AY337</f>
        <v>-401.81967199999963</v>
      </c>
      <c r="AZ340" s="45">
        <v>437</v>
      </c>
      <c r="BA340" s="45">
        <v>718</v>
      </c>
      <c r="BB340" s="45">
        <v>0</v>
      </c>
      <c r="BC340" s="45">
        <v>0</v>
      </c>
      <c r="BD340" s="211">
        <f>SUM(AZ340:BC340)</f>
        <v>1155</v>
      </c>
      <c r="BE340" s="45">
        <v>437</v>
      </c>
      <c r="BF340" s="45">
        <v>718</v>
      </c>
      <c r="BG340" s="45">
        <v>0</v>
      </c>
      <c r="BH340" s="45">
        <v>0</v>
      </c>
      <c r="BI340" s="211">
        <f>SUM(BE340:BH340)</f>
        <v>1155</v>
      </c>
      <c r="BJ340" s="45"/>
      <c r="BK340" s="45"/>
      <c r="BL340" s="45"/>
      <c r="BM340" s="45"/>
      <c r="BN340" s="452">
        <v>0</v>
      </c>
      <c r="BO340" s="578"/>
      <c r="BP340" s="45"/>
      <c r="BQ340" s="45"/>
      <c r="BR340" s="45"/>
      <c r="BS340" s="453">
        <v>0</v>
      </c>
      <c r="BT340" s="578"/>
      <c r="BU340" s="45"/>
      <c r="BV340" s="45"/>
      <c r="BW340" s="45"/>
      <c r="BX340" s="453">
        <v>0</v>
      </c>
      <c r="BY340" s="45"/>
      <c r="BZ340" s="45"/>
      <c r="CA340" s="45"/>
      <c r="CB340" s="45"/>
      <c r="CC340" s="453">
        <v>0</v>
      </c>
      <c r="CD340" s="45"/>
      <c r="CE340" s="45"/>
      <c r="CF340" s="45"/>
      <c r="CG340" s="45"/>
      <c r="CH340" s="453">
        <v>0</v>
      </c>
      <c r="CI340" s="45"/>
      <c r="CJ340" s="45"/>
      <c r="CK340" s="45"/>
      <c r="CL340" s="45"/>
      <c r="CM340" s="453">
        <v>0</v>
      </c>
      <c r="CN340" s="45"/>
      <c r="CO340" s="45"/>
      <c r="CP340" s="45"/>
      <c r="CQ340" s="45"/>
      <c r="CR340" s="453">
        <v>0</v>
      </c>
      <c r="CS340" s="45"/>
      <c r="CT340" s="45"/>
      <c r="CU340" s="45"/>
      <c r="CV340" s="45"/>
      <c r="CW340" s="453">
        <v>0</v>
      </c>
      <c r="CX340" s="45"/>
      <c r="CY340" s="45"/>
      <c r="CZ340" s="45"/>
      <c r="DA340" s="45"/>
      <c r="DB340" s="453">
        <v>0</v>
      </c>
      <c r="DC340" s="45"/>
      <c r="DD340" s="45"/>
      <c r="DE340" s="45"/>
      <c r="DF340" s="45"/>
      <c r="DG340" s="453">
        <v>0</v>
      </c>
      <c r="DH340" s="45"/>
      <c r="DI340" s="45"/>
      <c r="DJ340" s="45"/>
      <c r="DK340" s="45"/>
      <c r="DL340" s="453">
        <v>0</v>
      </c>
      <c r="DM340" s="66"/>
      <c r="DN340" s="526"/>
      <c r="DO340" s="486"/>
      <c r="DP340" s="411"/>
      <c r="DQ340" s="411"/>
      <c r="DR340" s="411"/>
      <c r="DS340" s="478"/>
      <c r="DT340" s="478"/>
      <c r="DU340" s="472"/>
      <c r="DV340" s="472"/>
      <c r="DW340" s="472"/>
      <c r="DX340" s="472"/>
      <c r="DY340" s="472"/>
      <c r="DZ340" s="472"/>
      <c r="EA340" s="526"/>
      <c r="EH340" s="8"/>
    </row>
    <row r="342" spans="1:138" ht="12.75" customHeight="1" x14ac:dyDescent="0.2">
      <c r="A342" s="180" t="s">
        <v>395</v>
      </c>
      <c r="B342" s="13"/>
      <c r="C342" s="14"/>
      <c r="D342" s="14"/>
      <c r="E342" s="14"/>
      <c r="F342" s="196"/>
      <c r="G342" s="13"/>
      <c r="H342" s="13"/>
      <c r="I342" s="13"/>
      <c r="J342" s="13"/>
      <c r="K342" s="196"/>
      <c r="L342" s="13"/>
      <c r="M342" s="13"/>
      <c r="N342" s="13"/>
      <c r="O342" s="13"/>
      <c r="P342" s="196"/>
      <c r="Q342" s="13"/>
      <c r="R342" s="13"/>
      <c r="S342" s="13"/>
      <c r="T342" s="13"/>
      <c r="U342" s="196"/>
      <c r="V342" s="13"/>
      <c r="W342" s="13"/>
      <c r="X342" s="13"/>
      <c r="Y342" s="13"/>
      <c r="Z342" s="196"/>
      <c r="AA342" s="13"/>
      <c r="AB342" s="13"/>
      <c r="AC342" s="13"/>
      <c r="AD342" s="13"/>
      <c r="AE342" s="196"/>
      <c r="AF342" s="13"/>
      <c r="AG342" s="13"/>
      <c r="AH342" s="13"/>
      <c r="AI342" s="13"/>
      <c r="AJ342" s="196"/>
      <c r="AK342" s="14"/>
      <c r="AL342" s="14"/>
      <c r="AM342" s="14"/>
      <c r="AN342" s="14"/>
      <c r="AO342" s="196"/>
      <c r="AP342" s="15"/>
      <c r="AQ342" s="15"/>
      <c r="AR342" s="15"/>
      <c r="AS342" s="15"/>
      <c r="AT342" s="271"/>
      <c r="AU342" s="15"/>
      <c r="AV342" s="15"/>
      <c r="AW342" s="15"/>
      <c r="AX342" s="15"/>
      <c r="AY342" s="271"/>
      <c r="AZ342" s="15"/>
      <c r="BA342" s="15"/>
      <c r="BB342" s="15"/>
      <c r="BC342" s="15"/>
      <c r="BD342" s="271"/>
      <c r="BE342" s="15"/>
      <c r="BF342" s="15"/>
      <c r="BG342" s="15"/>
      <c r="BH342" s="15"/>
      <c r="BI342" s="271"/>
      <c r="BJ342" s="15"/>
      <c r="BK342" s="15"/>
      <c r="BL342" s="15"/>
      <c r="BM342" s="15"/>
      <c r="BN342" s="314"/>
      <c r="BO342" s="314"/>
      <c r="BP342" s="15"/>
      <c r="BQ342" s="15"/>
      <c r="BR342" s="15"/>
      <c r="BS342" s="271"/>
      <c r="BT342" s="15"/>
      <c r="BU342" s="15"/>
      <c r="BV342" s="15"/>
      <c r="BW342" s="15"/>
      <c r="BX342" s="271"/>
      <c r="BY342" s="15"/>
      <c r="BZ342" s="15"/>
      <c r="CA342" s="15"/>
      <c r="CB342" s="15"/>
      <c r="CC342" s="271"/>
      <c r="CD342" s="15"/>
      <c r="CE342" s="15"/>
      <c r="CF342" s="15"/>
      <c r="CG342" s="15"/>
      <c r="CH342" s="271"/>
      <c r="CI342" s="15"/>
      <c r="CJ342" s="15"/>
      <c r="CK342" s="15"/>
      <c r="CL342" s="15"/>
      <c r="CM342" s="271"/>
      <c r="CN342" s="15"/>
      <c r="CO342" s="15"/>
      <c r="CP342" s="15"/>
      <c r="CQ342" s="15"/>
      <c r="CR342" s="271"/>
      <c r="CS342" s="15"/>
      <c r="CT342" s="15"/>
      <c r="CU342" s="15"/>
      <c r="CV342" s="15"/>
      <c r="CW342" s="271"/>
      <c r="CX342" s="15"/>
      <c r="CY342" s="15"/>
      <c r="CZ342" s="15"/>
      <c r="DA342" s="15"/>
      <c r="DB342" s="271"/>
      <c r="DC342" s="15"/>
      <c r="DD342" s="15"/>
      <c r="DE342" s="15"/>
      <c r="DF342" s="15"/>
      <c r="DG342" s="271"/>
      <c r="DH342" s="15"/>
      <c r="DI342" s="15"/>
      <c r="DJ342" s="15"/>
      <c r="DK342" s="15"/>
      <c r="DL342" s="271"/>
      <c r="DM342" s="418"/>
      <c r="DN342" s="15"/>
      <c r="DO342" s="486"/>
      <c r="DP342" s="411"/>
      <c r="DQ342" s="411"/>
      <c r="DR342" s="411"/>
      <c r="DS342" s="553"/>
      <c r="DT342" s="553"/>
      <c r="DU342" s="457"/>
      <c r="DV342" s="457"/>
      <c r="DW342" s="457"/>
      <c r="DX342" s="457"/>
      <c r="DY342" s="457"/>
      <c r="DZ342" s="457"/>
      <c r="EA342" s="15"/>
      <c r="EH342" s="8"/>
    </row>
    <row r="343" spans="1:138" ht="12.75" customHeight="1" x14ac:dyDescent="0.2">
      <c r="A343" s="5" t="s">
        <v>396</v>
      </c>
      <c r="B343" s="5"/>
      <c r="C343" s="5"/>
      <c r="D343" s="5"/>
      <c r="E343" s="5"/>
      <c r="F343" s="197"/>
      <c r="G343" s="5"/>
      <c r="H343" s="5"/>
      <c r="I343" s="5"/>
      <c r="J343" s="5"/>
      <c r="K343" s="197"/>
      <c r="L343" s="5"/>
      <c r="M343" s="5"/>
      <c r="N343" s="5"/>
      <c r="O343" s="5"/>
      <c r="P343" s="197"/>
      <c r="Q343" s="5"/>
      <c r="R343" s="5"/>
      <c r="S343" s="5"/>
      <c r="T343" s="5"/>
      <c r="U343" s="197"/>
      <c r="V343" s="5"/>
      <c r="W343" s="5"/>
      <c r="X343" s="5"/>
      <c r="Y343" s="5"/>
      <c r="Z343" s="197"/>
      <c r="AA343" s="5"/>
      <c r="AB343" s="5"/>
      <c r="AC343" s="5"/>
      <c r="AD343" s="5"/>
      <c r="AE343" s="197"/>
      <c r="AF343" s="5"/>
      <c r="AG343" s="5"/>
      <c r="AH343" s="5"/>
      <c r="AI343" s="5"/>
      <c r="AJ343" s="197"/>
      <c r="AK343" s="5"/>
      <c r="AL343" s="5"/>
      <c r="AM343" s="5"/>
      <c r="AN343" s="5"/>
      <c r="AO343" s="197"/>
      <c r="AP343" s="5"/>
      <c r="AQ343" s="5"/>
      <c r="AR343" s="5"/>
      <c r="AS343" s="5"/>
      <c r="AT343" s="197"/>
      <c r="AU343" s="5"/>
      <c r="AV343" s="5"/>
      <c r="AW343" s="5"/>
      <c r="AX343" s="5"/>
      <c r="AY343" s="197"/>
      <c r="AZ343" s="5"/>
      <c r="BA343" s="5"/>
      <c r="BB343" s="5"/>
      <c r="BC343" s="5"/>
      <c r="BD343" s="197"/>
      <c r="BE343" s="5"/>
      <c r="BF343" s="5"/>
      <c r="BG343" s="5"/>
      <c r="BH343" s="5"/>
      <c r="BI343" s="197"/>
      <c r="BJ343" s="5"/>
      <c r="BK343" s="5"/>
      <c r="BL343" s="5"/>
      <c r="BM343" s="5"/>
      <c r="BN343" s="315"/>
      <c r="BO343" s="315"/>
      <c r="BP343" s="5"/>
      <c r="BQ343" s="5"/>
      <c r="BR343" s="5"/>
      <c r="BS343" s="197"/>
      <c r="BT343" s="5"/>
      <c r="BU343" s="5"/>
      <c r="BV343" s="5"/>
      <c r="BW343" s="5"/>
      <c r="BX343" s="197"/>
      <c r="BY343" s="5"/>
      <c r="BZ343" s="5"/>
      <c r="CA343" s="5"/>
      <c r="CB343" s="5"/>
      <c r="CC343" s="197"/>
      <c r="CD343" s="5"/>
      <c r="CE343" s="5"/>
      <c r="CF343" s="5"/>
      <c r="CG343" s="5"/>
      <c r="CH343" s="197"/>
      <c r="CI343" s="5"/>
      <c r="CJ343" s="5"/>
      <c r="CK343" s="5"/>
      <c r="CL343" s="5"/>
      <c r="CM343" s="197"/>
      <c r="CN343" s="5"/>
      <c r="CO343" s="5"/>
      <c r="CP343" s="5"/>
      <c r="CQ343" s="5"/>
      <c r="CR343" s="197"/>
      <c r="CS343" s="5"/>
      <c r="CT343" s="5"/>
      <c r="CU343" s="5"/>
      <c r="CV343" s="5"/>
      <c r="CW343" s="197"/>
      <c r="CX343" s="5"/>
      <c r="CY343" s="5"/>
      <c r="CZ343" s="5"/>
      <c r="DA343" s="5"/>
      <c r="DB343" s="197"/>
      <c r="DC343" s="5"/>
      <c r="DD343" s="5"/>
      <c r="DE343" s="5"/>
      <c r="DF343" s="5"/>
      <c r="DG343" s="197"/>
      <c r="DH343" s="5"/>
      <c r="DI343" s="5"/>
      <c r="DJ343" s="5"/>
      <c r="DK343" s="5"/>
      <c r="DL343" s="197"/>
      <c r="DM343" s="413"/>
      <c r="DN343" s="4"/>
      <c r="DO343" s="487"/>
      <c r="DP343" s="413"/>
      <c r="DQ343" s="413"/>
      <c r="DR343" s="413"/>
      <c r="DS343" s="553"/>
      <c r="DT343" s="553"/>
      <c r="DU343" s="457"/>
      <c r="DV343" s="458"/>
      <c r="DW343" s="458"/>
      <c r="DX343" s="458"/>
      <c r="DY343" s="458"/>
      <c r="DZ343" s="458"/>
      <c r="EA343" s="4"/>
      <c r="EH343" s="5"/>
    </row>
    <row r="344" spans="1:138" ht="12.75" hidden="1" customHeight="1" x14ac:dyDescent="0.2">
      <c r="A344" s="66" t="s">
        <v>79</v>
      </c>
      <c r="B344" s="66"/>
      <c r="C344" s="66"/>
      <c r="D344" s="66"/>
      <c r="E344" s="66"/>
      <c r="F344" s="248">
        <f>F287</f>
        <v>1364</v>
      </c>
      <c r="G344" s="66"/>
      <c r="H344" s="66"/>
      <c r="I344" s="66"/>
      <c r="J344" s="66"/>
      <c r="K344" s="248">
        <f>K287</f>
        <v>2233</v>
      </c>
      <c r="L344" s="66"/>
      <c r="M344" s="66"/>
      <c r="N344" s="66"/>
      <c r="O344" s="66"/>
      <c r="P344" s="248">
        <f>P287</f>
        <v>1992</v>
      </c>
      <c r="Q344" s="66"/>
      <c r="R344" s="66"/>
      <c r="S344" s="66"/>
      <c r="T344" s="66"/>
      <c r="U344" s="248">
        <f>U287</f>
        <v>2422</v>
      </c>
      <c r="V344" s="66"/>
      <c r="W344" s="66"/>
      <c r="X344" s="66"/>
      <c r="Y344" s="66"/>
      <c r="Z344" s="248">
        <f>Z287</f>
        <v>1463</v>
      </c>
      <c r="AA344" s="66"/>
      <c r="AB344" s="66"/>
      <c r="AC344" s="66"/>
      <c r="AD344" s="66"/>
      <c r="AE344" s="248">
        <f t="shared" ref="AE344:AO344" si="1124">AE287</f>
        <v>2008</v>
      </c>
      <c r="AF344" s="66">
        <f t="shared" si="1124"/>
        <v>2429</v>
      </c>
      <c r="AG344" s="66">
        <f t="shared" si="1124"/>
        <v>2895</v>
      </c>
      <c r="AH344" s="66">
        <f t="shared" si="1124"/>
        <v>2808</v>
      </c>
      <c r="AI344" s="66">
        <f t="shared" si="1124"/>
        <v>2648</v>
      </c>
      <c r="AJ344" s="248">
        <f t="shared" si="1124"/>
        <v>2648</v>
      </c>
      <c r="AK344" s="66">
        <f t="shared" si="1124"/>
        <v>2883</v>
      </c>
      <c r="AL344" s="66">
        <f t="shared" si="1124"/>
        <v>3379</v>
      </c>
      <c r="AM344" s="66">
        <f t="shared" si="1124"/>
        <v>2390</v>
      </c>
      <c r="AN344" s="66">
        <f t="shared" si="1124"/>
        <v>2786</v>
      </c>
      <c r="AO344" s="248">
        <f t="shared" si="1124"/>
        <v>2786</v>
      </c>
      <c r="AP344" s="66"/>
      <c r="AQ344" s="66"/>
      <c r="AR344" s="66"/>
      <c r="AS344" s="66"/>
      <c r="AT344" s="248"/>
      <c r="AU344" s="66">
        <f t="shared" ref="AU344:BS344" si="1125">AU287</f>
        <v>2595</v>
      </c>
      <c r="AV344" s="66">
        <f t="shared" si="1125"/>
        <v>3342</v>
      </c>
      <c r="AW344" s="66">
        <f t="shared" si="1125"/>
        <v>3081</v>
      </c>
      <c r="AX344" s="66">
        <f t="shared" si="1125"/>
        <v>4467</v>
      </c>
      <c r="AY344" s="248">
        <f t="shared" si="1125"/>
        <v>4467</v>
      </c>
      <c r="AZ344" s="66">
        <f t="shared" si="1125"/>
        <v>4508</v>
      </c>
      <c r="BA344" s="66">
        <f t="shared" si="1125"/>
        <v>4942</v>
      </c>
      <c r="BB344" s="66">
        <f t="shared" si="1125"/>
        <v>5488</v>
      </c>
      <c r="BC344" s="66">
        <f t="shared" si="1125"/>
        <v>4678</v>
      </c>
      <c r="BD344" s="248">
        <f t="shared" si="1125"/>
        <v>4678</v>
      </c>
      <c r="BE344" s="66">
        <f t="shared" si="1125"/>
        <v>4913</v>
      </c>
      <c r="BF344" s="66">
        <f t="shared" si="1125"/>
        <v>4434</v>
      </c>
      <c r="BG344" s="66">
        <f t="shared" si="1125"/>
        <v>3875</v>
      </c>
      <c r="BH344" s="66">
        <f t="shared" si="1125"/>
        <v>3610</v>
      </c>
      <c r="BI344" s="248">
        <f t="shared" si="1125"/>
        <v>3610</v>
      </c>
      <c r="BJ344" s="66">
        <f t="shared" si="1125"/>
        <v>3839</v>
      </c>
      <c r="BK344" s="66">
        <f t="shared" si="1125"/>
        <v>3822</v>
      </c>
      <c r="BL344" s="66">
        <f t="shared" si="1125"/>
        <v>3265</v>
      </c>
      <c r="BM344" s="66">
        <f t="shared" si="1125"/>
        <v>3615</v>
      </c>
      <c r="BN344" s="350">
        <f t="shared" si="1125"/>
        <v>3615</v>
      </c>
      <c r="BO344" s="350">
        <f t="shared" si="1125"/>
        <v>3870</v>
      </c>
      <c r="BP344" s="66">
        <f t="shared" si="1125"/>
        <v>3498</v>
      </c>
      <c r="BQ344" s="66">
        <f t="shared" si="1125"/>
        <v>3233</v>
      </c>
      <c r="BR344" s="66">
        <f t="shared" si="1125"/>
        <v>3374</v>
      </c>
      <c r="BS344" s="248">
        <f t="shared" si="1125"/>
        <v>3374</v>
      </c>
      <c r="BT344" s="66"/>
      <c r="BU344" s="66"/>
      <c r="BV344" s="66"/>
      <c r="BW344" s="66"/>
      <c r="BX344" s="248">
        <f>BX287</f>
        <v>3803</v>
      </c>
      <c r="BY344" s="66"/>
      <c r="BZ344" s="66"/>
      <c r="CA344" s="66"/>
      <c r="CB344" s="66"/>
      <c r="CC344" s="248">
        <f>CC287</f>
        <v>3305</v>
      </c>
      <c r="CD344" s="66"/>
      <c r="CE344" s="66"/>
      <c r="CF344" s="66"/>
      <c r="CG344" s="66"/>
      <c r="CH344" s="248">
        <f>CH287</f>
        <v>3437</v>
      </c>
      <c r="CI344" s="66"/>
      <c r="CJ344" s="66"/>
      <c r="CK344" s="66"/>
      <c r="CL344" s="66"/>
      <c r="CM344" s="248">
        <f>CM287</f>
        <v>3249</v>
      </c>
      <c r="CN344" s="66"/>
      <c r="CO344" s="66"/>
      <c r="CP344" s="66"/>
      <c r="CQ344" s="66"/>
      <c r="CR344" s="248">
        <f>CR287</f>
        <v>2639</v>
      </c>
      <c r="CS344" s="66"/>
      <c r="CT344" s="66"/>
      <c r="CU344" s="66"/>
      <c r="CV344" s="66"/>
      <c r="CW344" s="248">
        <f>CW287</f>
        <v>2636</v>
      </c>
      <c r="CX344" s="66"/>
      <c r="CY344" s="66"/>
      <c r="CZ344" s="66"/>
      <c r="DA344" s="66"/>
      <c r="DB344" s="248">
        <f>DB287</f>
        <v>2131.2110239177173</v>
      </c>
      <c r="DC344" s="66"/>
      <c r="DD344" s="66"/>
      <c r="DE344" s="66"/>
      <c r="DF344" s="66"/>
      <c r="DG344" s="248">
        <f>DG287</f>
        <v>1902.1541919594056</v>
      </c>
      <c r="DH344" s="66"/>
      <c r="DI344" s="66"/>
      <c r="DJ344" s="66"/>
      <c r="DK344" s="66"/>
      <c r="DL344" s="248">
        <f>DL287</f>
        <v>2237.3413017896382</v>
      </c>
      <c r="DM344" s="66"/>
      <c r="DN344" s="526"/>
      <c r="DO344" s="486"/>
      <c r="DP344" s="411"/>
      <c r="DQ344" s="411"/>
      <c r="DR344" s="411"/>
      <c r="DS344" s="554"/>
      <c r="DT344" s="554"/>
      <c r="DU344" s="458"/>
      <c r="DV344" s="472"/>
      <c r="DW344" s="472"/>
      <c r="DX344" s="472"/>
      <c r="DY344" s="472"/>
      <c r="DZ344" s="472"/>
      <c r="EA344" s="526"/>
      <c r="EH344" s="8"/>
    </row>
    <row r="345" spans="1:138" ht="12.75" hidden="1" customHeight="1" x14ac:dyDescent="0.2">
      <c r="A345" s="66" t="s">
        <v>366</v>
      </c>
      <c r="B345" s="66"/>
      <c r="C345" s="66"/>
      <c r="D345" s="66"/>
      <c r="E345" s="66"/>
      <c r="F345" s="248">
        <f>F289</f>
        <v>0</v>
      </c>
      <c r="G345" s="66"/>
      <c r="H345" s="66"/>
      <c r="I345" s="66"/>
      <c r="J345" s="66"/>
      <c r="K345" s="248">
        <f>K289</f>
        <v>0</v>
      </c>
      <c r="L345" s="66"/>
      <c r="M345" s="66"/>
      <c r="N345" s="66"/>
      <c r="O345" s="66"/>
      <c r="P345" s="248">
        <f>P289</f>
        <v>0</v>
      </c>
      <c r="Q345" s="66"/>
      <c r="R345" s="66"/>
      <c r="S345" s="66"/>
      <c r="T345" s="66"/>
      <c r="U345" s="248">
        <f>U289</f>
        <v>0</v>
      </c>
      <c r="V345" s="66"/>
      <c r="W345" s="66"/>
      <c r="X345" s="66"/>
      <c r="Y345" s="66"/>
      <c r="Z345" s="248">
        <f>Z289</f>
        <v>0</v>
      </c>
      <c r="AA345" s="66"/>
      <c r="AB345" s="66"/>
      <c r="AC345" s="66"/>
      <c r="AD345" s="66"/>
      <c r="AE345" s="248">
        <f t="shared" ref="AE345:AO345" si="1126">AE289</f>
        <v>870</v>
      </c>
      <c r="AF345" s="66">
        <f t="shared" si="1126"/>
        <v>933</v>
      </c>
      <c r="AG345" s="66">
        <f t="shared" si="1126"/>
        <v>1046</v>
      </c>
      <c r="AH345" s="66">
        <f t="shared" si="1126"/>
        <v>1021</v>
      </c>
      <c r="AI345" s="66">
        <f t="shared" si="1126"/>
        <v>750</v>
      </c>
      <c r="AJ345" s="248">
        <f t="shared" si="1126"/>
        <v>750</v>
      </c>
      <c r="AK345" s="66">
        <f t="shared" si="1126"/>
        <v>1046</v>
      </c>
      <c r="AL345" s="66">
        <f t="shared" si="1126"/>
        <v>333</v>
      </c>
      <c r="AM345" s="66">
        <f t="shared" si="1126"/>
        <v>579</v>
      </c>
      <c r="AN345" s="66">
        <f t="shared" si="1126"/>
        <v>520</v>
      </c>
      <c r="AO345" s="248">
        <f t="shared" si="1126"/>
        <v>520</v>
      </c>
      <c r="AP345" s="66"/>
      <c r="AQ345" s="66"/>
      <c r="AR345" s="66"/>
      <c r="AS345" s="66"/>
      <c r="AT345" s="248"/>
      <c r="AU345" s="66">
        <f t="shared" ref="AU345:BS345" si="1127">AU289</f>
        <v>218</v>
      </c>
      <c r="AV345" s="66">
        <f t="shared" si="1127"/>
        <v>517</v>
      </c>
      <c r="AW345" s="66">
        <f t="shared" si="1127"/>
        <v>337</v>
      </c>
      <c r="AX345" s="66">
        <f t="shared" si="1127"/>
        <v>1568</v>
      </c>
      <c r="AY345" s="248">
        <f t="shared" si="1127"/>
        <v>1568</v>
      </c>
      <c r="AZ345" s="66">
        <f t="shared" si="1127"/>
        <v>791</v>
      </c>
      <c r="BA345" s="66">
        <f t="shared" si="1127"/>
        <v>361</v>
      </c>
      <c r="BB345" s="66">
        <f t="shared" si="1127"/>
        <v>478</v>
      </c>
      <c r="BC345" s="66">
        <f t="shared" si="1127"/>
        <v>423</v>
      </c>
      <c r="BD345" s="248">
        <f t="shared" si="1127"/>
        <v>423</v>
      </c>
      <c r="BE345" s="66">
        <f t="shared" si="1127"/>
        <v>456</v>
      </c>
      <c r="BF345" s="66">
        <f t="shared" si="1127"/>
        <v>409</v>
      </c>
      <c r="BG345" s="66">
        <f t="shared" si="1127"/>
        <v>418</v>
      </c>
      <c r="BH345" s="66">
        <f t="shared" si="1127"/>
        <v>409</v>
      </c>
      <c r="BI345" s="248">
        <f t="shared" si="1127"/>
        <v>409</v>
      </c>
      <c r="BJ345" s="66">
        <f t="shared" si="1127"/>
        <v>390</v>
      </c>
      <c r="BK345" s="66">
        <f t="shared" si="1127"/>
        <v>432</v>
      </c>
      <c r="BL345" s="66">
        <f t="shared" si="1127"/>
        <v>405</v>
      </c>
      <c r="BM345" s="66">
        <f t="shared" si="1127"/>
        <v>305</v>
      </c>
      <c r="BN345" s="350">
        <f t="shared" si="1127"/>
        <v>305</v>
      </c>
      <c r="BO345" s="350">
        <f t="shared" si="1127"/>
        <v>375</v>
      </c>
      <c r="BP345" s="66">
        <f t="shared" si="1127"/>
        <v>368</v>
      </c>
      <c r="BQ345" s="66">
        <f t="shared" si="1127"/>
        <v>401</v>
      </c>
      <c r="BR345" s="66">
        <f t="shared" si="1127"/>
        <v>375</v>
      </c>
      <c r="BS345" s="248">
        <f t="shared" si="1127"/>
        <v>375</v>
      </c>
      <c r="BT345" s="66"/>
      <c r="BU345" s="66"/>
      <c r="BV345" s="66"/>
      <c r="BW345" s="66"/>
      <c r="BX345" s="248">
        <f>BX289</f>
        <v>122</v>
      </c>
      <c r="BY345" s="66"/>
      <c r="BZ345" s="66"/>
      <c r="CA345" s="66"/>
      <c r="CB345" s="66"/>
      <c r="CC345" s="248">
        <f>CC289</f>
        <v>37</v>
      </c>
      <c r="CD345" s="66"/>
      <c r="CE345" s="66"/>
      <c r="CF345" s="66"/>
      <c r="CG345" s="66"/>
      <c r="CH345" s="248">
        <f>CH289</f>
        <v>0</v>
      </c>
      <c r="CI345" s="66"/>
      <c r="CJ345" s="66"/>
      <c r="CK345" s="66"/>
      <c r="CL345" s="66"/>
      <c r="CM345" s="248">
        <f>CM289</f>
        <v>0</v>
      </c>
      <c r="CN345" s="66"/>
      <c r="CO345" s="66"/>
      <c r="CP345" s="66"/>
      <c r="CQ345" s="66"/>
      <c r="CR345" s="248">
        <f>CR289</f>
        <v>0</v>
      </c>
      <c r="CS345" s="66"/>
      <c r="CT345" s="66"/>
      <c r="CU345" s="66"/>
      <c r="CV345" s="66"/>
      <c r="CW345" s="248">
        <f>CW289</f>
        <v>0</v>
      </c>
      <c r="CX345" s="66"/>
      <c r="CY345" s="66"/>
      <c r="CZ345" s="66"/>
      <c r="DA345" s="66"/>
      <c r="DB345" s="248">
        <f>DB289</f>
        <v>0</v>
      </c>
      <c r="DC345" s="66"/>
      <c r="DD345" s="66"/>
      <c r="DE345" s="66"/>
      <c r="DF345" s="66"/>
      <c r="DG345" s="248">
        <f>DG289</f>
        <v>0</v>
      </c>
      <c r="DH345" s="66"/>
      <c r="DI345" s="66"/>
      <c r="DJ345" s="66"/>
      <c r="DK345" s="66"/>
      <c r="DL345" s="248">
        <f>DL289</f>
        <v>0</v>
      </c>
      <c r="DM345" s="66"/>
      <c r="DN345" s="526"/>
      <c r="DO345" s="486"/>
      <c r="DP345" s="411"/>
      <c r="DQ345" s="411"/>
      <c r="DR345" s="411"/>
      <c r="DS345" s="478"/>
      <c r="DT345" s="478"/>
      <c r="DU345" s="472"/>
      <c r="DV345" s="472"/>
      <c r="DW345" s="472"/>
      <c r="DX345" s="472"/>
      <c r="DY345" s="472"/>
      <c r="DZ345" s="472"/>
      <c r="EA345" s="526"/>
      <c r="EH345" s="8"/>
    </row>
    <row r="346" spans="1:138" ht="12.75" hidden="1" customHeight="1" x14ac:dyDescent="0.2">
      <c r="A346" s="66" t="s">
        <v>414</v>
      </c>
      <c r="B346" s="66"/>
      <c r="C346" s="66"/>
      <c r="D346" s="66"/>
      <c r="E346" s="66"/>
      <c r="F346" s="248"/>
      <c r="G346" s="66"/>
      <c r="H346" s="66"/>
      <c r="I346" s="66"/>
      <c r="J346" s="66"/>
      <c r="K346" s="248"/>
      <c r="L346" s="66"/>
      <c r="M346" s="66"/>
      <c r="N346" s="66"/>
      <c r="O346" s="66"/>
      <c r="P346" s="248"/>
      <c r="Q346" s="66"/>
      <c r="R346" s="66"/>
      <c r="S346" s="66"/>
      <c r="T346" s="66"/>
      <c r="U346" s="248"/>
      <c r="V346" s="66"/>
      <c r="W346" s="66"/>
      <c r="X346" s="66"/>
      <c r="Y346" s="66"/>
      <c r="Z346" s="248"/>
      <c r="AA346" s="66"/>
      <c r="AB346" s="66"/>
      <c r="AC346" s="66"/>
      <c r="AD346" s="66"/>
      <c r="AE346" s="248"/>
      <c r="AF346" s="66"/>
      <c r="AG346" s="66"/>
      <c r="AH346" s="66"/>
      <c r="AI346" s="66"/>
      <c r="AJ346" s="248"/>
      <c r="AK346" s="66"/>
      <c r="AL346" s="66"/>
      <c r="AM346" s="66"/>
      <c r="AN346" s="66"/>
      <c r="AO346" s="248"/>
      <c r="AP346" s="66"/>
      <c r="AQ346" s="66"/>
      <c r="AR346" s="66"/>
      <c r="AS346" s="66"/>
      <c r="AT346" s="248"/>
      <c r="AU346" s="66"/>
      <c r="AV346" s="66"/>
      <c r="AW346" s="66"/>
      <c r="AX346" s="66"/>
      <c r="AY346" s="248"/>
      <c r="AZ346" s="66"/>
      <c r="BA346" s="45">
        <v>83</v>
      </c>
      <c r="BB346" s="45">
        <v>0</v>
      </c>
      <c r="BC346" s="45">
        <v>0</v>
      </c>
      <c r="BD346" s="211">
        <v>0</v>
      </c>
      <c r="BE346" s="45">
        <v>0</v>
      </c>
      <c r="BF346" s="45">
        <v>0</v>
      </c>
      <c r="BG346" s="45">
        <v>0</v>
      </c>
      <c r="BH346" s="45">
        <v>0</v>
      </c>
      <c r="BI346" s="211">
        <v>0</v>
      </c>
      <c r="BJ346" s="45">
        <v>0</v>
      </c>
      <c r="BK346" s="45">
        <v>0</v>
      </c>
      <c r="BL346" s="454">
        <v>0</v>
      </c>
      <c r="BM346" s="454">
        <v>0</v>
      </c>
      <c r="BN346" s="452">
        <v>0</v>
      </c>
      <c r="BO346" s="452">
        <v>0</v>
      </c>
      <c r="BP346" s="454">
        <v>0</v>
      </c>
      <c r="BQ346" s="454">
        <v>0</v>
      </c>
      <c r="BR346" s="454">
        <v>0</v>
      </c>
      <c r="BS346" s="453">
        <v>0</v>
      </c>
      <c r="BT346" s="45"/>
      <c r="BU346" s="45"/>
      <c r="BV346" s="45"/>
      <c r="BW346" s="45"/>
      <c r="BX346" s="453">
        <v>0</v>
      </c>
      <c r="BY346" s="45"/>
      <c r="BZ346" s="45"/>
      <c r="CA346" s="45"/>
      <c r="CB346" s="45"/>
      <c r="CC346" s="453">
        <v>0</v>
      </c>
      <c r="CD346" s="45"/>
      <c r="CE346" s="45"/>
      <c r="CF346" s="45"/>
      <c r="CG346" s="45"/>
      <c r="CH346" s="453">
        <v>0</v>
      </c>
      <c r="CI346" s="45"/>
      <c r="CJ346" s="45"/>
      <c r="CK346" s="45"/>
      <c r="CL346" s="45"/>
      <c r="CM346" s="453">
        <v>0</v>
      </c>
      <c r="CN346" s="45"/>
      <c r="CO346" s="45"/>
      <c r="CP346" s="45"/>
      <c r="CQ346" s="45"/>
      <c r="CR346" s="453">
        <v>0</v>
      </c>
      <c r="CS346" s="45"/>
      <c r="CT346" s="45"/>
      <c r="CU346" s="45"/>
      <c r="CV346" s="45"/>
      <c r="CW346" s="453">
        <v>0</v>
      </c>
      <c r="CX346" s="45"/>
      <c r="CY346" s="45"/>
      <c r="CZ346" s="45"/>
      <c r="DA346" s="45"/>
      <c r="DB346" s="453">
        <v>0</v>
      </c>
      <c r="DC346" s="45"/>
      <c r="DD346" s="45"/>
      <c r="DE346" s="45"/>
      <c r="DF346" s="45"/>
      <c r="DG346" s="453">
        <v>0</v>
      </c>
      <c r="DH346" s="45"/>
      <c r="DI346" s="45"/>
      <c r="DJ346" s="45"/>
      <c r="DK346" s="45"/>
      <c r="DL346" s="453">
        <v>0</v>
      </c>
      <c r="DM346" s="66"/>
      <c r="DN346" s="526"/>
      <c r="DO346" s="486"/>
      <c r="DP346" s="411"/>
      <c r="DQ346" s="411"/>
      <c r="DR346" s="411"/>
      <c r="DS346" s="478"/>
      <c r="DT346" s="478"/>
      <c r="DU346" s="472"/>
      <c r="DV346" s="472"/>
      <c r="DW346" s="472"/>
      <c r="DX346" s="472"/>
      <c r="DY346" s="472"/>
      <c r="DZ346" s="472"/>
      <c r="EA346" s="526"/>
      <c r="EH346" s="8"/>
    </row>
    <row r="347" spans="1:138" ht="12.75" hidden="1" customHeight="1" x14ac:dyDescent="0.2">
      <c r="A347" s="66" t="s">
        <v>100</v>
      </c>
      <c r="B347" s="66"/>
      <c r="C347" s="66"/>
      <c r="D347" s="66"/>
      <c r="E347" s="66"/>
      <c r="F347" s="248"/>
      <c r="G347" s="66"/>
      <c r="H347" s="66"/>
      <c r="I347" s="66"/>
      <c r="J347" s="66"/>
      <c r="K347" s="248"/>
      <c r="L347" s="66"/>
      <c r="M347" s="66"/>
      <c r="N347" s="66"/>
      <c r="O347" s="66"/>
      <c r="P347" s="248"/>
      <c r="Q347" s="66"/>
      <c r="R347" s="66"/>
      <c r="S347" s="66"/>
      <c r="T347" s="66"/>
      <c r="U347" s="248"/>
      <c r="V347" s="66"/>
      <c r="W347" s="66"/>
      <c r="X347" s="66"/>
      <c r="Y347" s="66"/>
      <c r="Z347" s="248"/>
      <c r="AA347" s="66"/>
      <c r="AB347" s="66"/>
      <c r="AC347" s="66"/>
      <c r="AD347" s="66"/>
      <c r="AE347" s="248"/>
      <c r="AF347" s="66"/>
      <c r="AG347" s="66"/>
      <c r="AH347" s="66"/>
      <c r="AI347" s="66"/>
      <c r="AJ347" s="248"/>
      <c r="AK347" s="66"/>
      <c r="AL347" s="66"/>
      <c r="AM347" s="66"/>
      <c r="AN347" s="66"/>
      <c r="AO347" s="248"/>
      <c r="AP347" s="66"/>
      <c r="AQ347" s="66"/>
      <c r="AR347" s="66"/>
      <c r="AS347" s="66"/>
      <c r="AT347" s="248"/>
      <c r="AU347" s="66"/>
      <c r="AV347" s="66"/>
      <c r="AW347" s="66"/>
      <c r="AX347" s="66"/>
      <c r="AY347" s="248"/>
      <c r="AZ347" s="66"/>
      <c r="BA347" s="66">
        <v>500</v>
      </c>
      <c r="BB347" s="66">
        <v>300</v>
      </c>
      <c r="BC347" s="66">
        <v>685</v>
      </c>
      <c r="BD347" s="248">
        <f>BC347</f>
        <v>685</v>
      </c>
      <c r="BE347" s="66">
        <v>690</v>
      </c>
      <c r="BF347" s="66">
        <v>1600</v>
      </c>
      <c r="BG347" s="66">
        <v>1663</v>
      </c>
      <c r="BH347" s="66">
        <v>1600</v>
      </c>
      <c r="BI347" s="248">
        <f t="shared" ref="BI347:BN347" si="1128">BH347</f>
        <v>1600</v>
      </c>
      <c r="BJ347" s="66">
        <f t="shared" si="1128"/>
        <v>1600</v>
      </c>
      <c r="BK347" s="66">
        <f t="shared" si="1128"/>
        <v>1600</v>
      </c>
      <c r="BL347" s="66">
        <f t="shared" si="1128"/>
        <v>1600</v>
      </c>
      <c r="BM347" s="66">
        <f t="shared" si="1128"/>
        <v>1600</v>
      </c>
      <c r="BN347" s="350">
        <f t="shared" si="1128"/>
        <v>1600</v>
      </c>
      <c r="BO347" s="350">
        <f>BN347</f>
        <v>1600</v>
      </c>
      <c r="BP347" s="66">
        <f>BO347</f>
        <v>1600</v>
      </c>
      <c r="BQ347" s="66">
        <f>BP347</f>
        <v>1600</v>
      </c>
      <c r="BR347" s="66">
        <f>BQ347</f>
        <v>1600</v>
      </c>
      <c r="BS347" s="248">
        <f>BN347</f>
        <v>1600</v>
      </c>
      <c r="BT347" s="66"/>
      <c r="BU347" s="66"/>
      <c r="BV347" s="66"/>
      <c r="BW347" s="66"/>
      <c r="BX347" s="248">
        <f>BS347</f>
        <v>1600</v>
      </c>
      <c r="BY347" s="66"/>
      <c r="BZ347" s="66"/>
      <c r="CA347" s="66"/>
      <c r="CB347" s="66"/>
      <c r="CC347" s="248">
        <f>BX347</f>
        <v>1600</v>
      </c>
      <c r="CD347" s="66"/>
      <c r="CE347" s="66"/>
      <c r="CF347" s="66"/>
      <c r="CG347" s="66"/>
      <c r="CH347" s="248">
        <f>CC347</f>
        <v>1600</v>
      </c>
      <c r="CI347" s="66"/>
      <c r="CJ347" s="66"/>
      <c r="CK347" s="66"/>
      <c r="CL347" s="66"/>
      <c r="CM347" s="248">
        <f>CH347</f>
        <v>1600</v>
      </c>
      <c r="CN347" s="66"/>
      <c r="CO347" s="66"/>
      <c r="CP347" s="66"/>
      <c r="CQ347" s="66"/>
      <c r="CR347" s="248">
        <f>CM347</f>
        <v>1600</v>
      </c>
      <c r="CS347" s="66"/>
      <c r="CT347" s="66"/>
      <c r="CU347" s="66"/>
      <c r="CV347" s="66"/>
      <c r="CW347" s="248">
        <f>CR347</f>
        <v>1600</v>
      </c>
      <c r="CX347" s="66"/>
      <c r="CY347" s="66"/>
      <c r="CZ347" s="66"/>
      <c r="DA347" s="66"/>
      <c r="DB347" s="248">
        <f>CR347</f>
        <v>1600</v>
      </c>
      <c r="DC347" s="66"/>
      <c r="DD347" s="66"/>
      <c r="DE347" s="66"/>
      <c r="DF347" s="66"/>
      <c r="DG347" s="248">
        <f>DB347</f>
        <v>1600</v>
      </c>
      <c r="DH347" s="66"/>
      <c r="DI347" s="66"/>
      <c r="DJ347" s="66"/>
      <c r="DK347" s="66"/>
      <c r="DL347" s="248">
        <f>DG347</f>
        <v>1600</v>
      </c>
      <c r="DM347" s="66"/>
      <c r="DN347" s="526"/>
      <c r="DO347" s="486"/>
      <c r="DP347" s="411"/>
      <c r="DQ347" s="411"/>
      <c r="DR347" s="411"/>
      <c r="DS347" s="478"/>
      <c r="DT347" s="478"/>
      <c r="DU347" s="472"/>
      <c r="DV347" s="472"/>
      <c r="DW347" s="472"/>
      <c r="DX347" s="472"/>
      <c r="DY347" s="472"/>
      <c r="DZ347" s="472"/>
      <c r="EA347" s="526"/>
      <c r="EH347" s="8"/>
    </row>
    <row r="348" spans="1:138" ht="12.75" hidden="1" customHeight="1" x14ac:dyDescent="0.2">
      <c r="A348" s="66" t="s">
        <v>246</v>
      </c>
      <c r="B348" s="66"/>
      <c r="C348" s="66"/>
      <c r="D348" s="66"/>
      <c r="E348" s="66"/>
      <c r="F348" s="248"/>
      <c r="G348" s="66"/>
      <c r="H348" s="66"/>
      <c r="I348" s="66"/>
      <c r="J348" s="66"/>
      <c r="K348" s="248"/>
      <c r="L348" s="66"/>
      <c r="M348" s="66"/>
      <c r="N348" s="66"/>
      <c r="O348" s="66"/>
      <c r="P348" s="248"/>
      <c r="Q348" s="66"/>
      <c r="R348" s="66"/>
      <c r="S348" s="66"/>
      <c r="T348" s="66"/>
      <c r="U348" s="248"/>
      <c r="V348" s="66"/>
      <c r="W348" s="66"/>
      <c r="X348" s="66"/>
      <c r="Y348" s="66"/>
      <c r="Z348" s="248"/>
      <c r="AA348" s="66"/>
      <c r="AB348" s="66"/>
      <c r="AC348" s="66"/>
      <c r="AD348" s="66"/>
      <c r="AE348" s="248"/>
      <c r="AF348" s="66"/>
      <c r="AG348" s="66"/>
      <c r="AH348" s="66"/>
      <c r="AI348" s="66"/>
      <c r="AJ348" s="248"/>
      <c r="AK348" s="66"/>
      <c r="AL348" s="66"/>
      <c r="AM348" s="66"/>
      <c r="AN348" s="66"/>
      <c r="AO348" s="248"/>
      <c r="AP348" s="66"/>
      <c r="AQ348" s="66"/>
      <c r="AR348" s="66"/>
      <c r="AS348" s="66"/>
      <c r="AT348" s="248"/>
      <c r="AU348" s="66"/>
      <c r="AV348" s="66"/>
      <c r="AW348" s="66"/>
      <c r="AX348" s="66"/>
      <c r="AY348" s="248"/>
      <c r="AZ348" s="66"/>
      <c r="BA348" s="66">
        <v>0</v>
      </c>
      <c r="BB348" s="66">
        <v>0</v>
      </c>
      <c r="BC348" s="66">
        <v>0</v>
      </c>
      <c r="BD348" s="248">
        <v>0</v>
      </c>
      <c r="BE348" s="66">
        <v>0</v>
      </c>
      <c r="BF348" s="66">
        <v>0</v>
      </c>
      <c r="BG348" s="66">
        <v>0</v>
      </c>
      <c r="BH348" s="66">
        <v>0</v>
      </c>
      <c r="BI348" s="248">
        <v>0</v>
      </c>
      <c r="BJ348" s="66">
        <v>0</v>
      </c>
      <c r="BK348" s="66">
        <v>0</v>
      </c>
      <c r="BL348" s="91">
        <v>0</v>
      </c>
      <c r="BM348" s="91">
        <v>0</v>
      </c>
      <c r="BN348" s="365">
        <v>0</v>
      </c>
      <c r="BO348" s="365">
        <v>0</v>
      </c>
      <c r="BP348" s="91">
        <v>0</v>
      </c>
      <c r="BQ348" s="91">
        <v>0</v>
      </c>
      <c r="BR348" s="91">
        <v>0</v>
      </c>
      <c r="BS348" s="302">
        <v>0</v>
      </c>
      <c r="BT348" s="66"/>
      <c r="BU348" s="66"/>
      <c r="BV348" s="66"/>
      <c r="BW348" s="66"/>
      <c r="BX348" s="302">
        <v>0</v>
      </c>
      <c r="BY348" s="66"/>
      <c r="BZ348" s="66"/>
      <c r="CA348" s="66"/>
      <c r="CB348" s="66"/>
      <c r="CC348" s="302">
        <v>0</v>
      </c>
      <c r="CD348" s="66"/>
      <c r="CE348" s="66"/>
      <c r="CF348" s="66"/>
      <c r="CG348" s="66"/>
      <c r="CH348" s="302">
        <v>0</v>
      </c>
      <c r="CI348" s="66"/>
      <c r="CJ348" s="66"/>
      <c r="CK348" s="66"/>
      <c r="CL348" s="66"/>
      <c r="CM348" s="302">
        <v>0</v>
      </c>
      <c r="CN348" s="66"/>
      <c r="CO348" s="66"/>
      <c r="CP348" s="66"/>
      <c r="CQ348" s="66"/>
      <c r="CR348" s="302">
        <v>0</v>
      </c>
      <c r="CS348" s="66"/>
      <c r="CT348" s="66"/>
      <c r="CU348" s="66"/>
      <c r="CV348" s="66"/>
      <c r="CW348" s="302">
        <v>0</v>
      </c>
      <c r="CX348" s="66"/>
      <c r="CY348" s="66"/>
      <c r="CZ348" s="66"/>
      <c r="DA348" s="66"/>
      <c r="DB348" s="302">
        <v>0</v>
      </c>
      <c r="DC348" s="66"/>
      <c r="DD348" s="66"/>
      <c r="DE348" s="66"/>
      <c r="DF348" s="66"/>
      <c r="DG348" s="302">
        <v>0</v>
      </c>
      <c r="DH348" s="66"/>
      <c r="DI348" s="66"/>
      <c r="DJ348" s="66"/>
      <c r="DK348" s="66"/>
      <c r="DL348" s="302">
        <v>0</v>
      </c>
      <c r="DM348" s="66"/>
      <c r="DN348" s="526"/>
      <c r="DO348" s="486"/>
      <c r="DP348" s="411"/>
      <c r="DQ348" s="411"/>
      <c r="DR348" s="411"/>
      <c r="DS348" s="478"/>
      <c r="DT348" s="478"/>
      <c r="DU348" s="472"/>
      <c r="DV348" s="472"/>
      <c r="DW348" s="472"/>
      <c r="DX348" s="472"/>
      <c r="DY348" s="472"/>
      <c r="DZ348" s="472"/>
      <c r="EA348" s="526"/>
      <c r="EH348" s="8"/>
    </row>
    <row r="349" spans="1:138" ht="12.75" hidden="1" customHeight="1" x14ac:dyDescent="0.2">
      <c r="A349" s="121" t="s">
        <v>101</v>
      </c>
      <c r="B349" s="110"/>
      <c r="C349" s="110"/>
      <c r="D349" s="110"/>
      <c r="E349" s="110"/>
      <c r="F349" s="250"/>
      <c r="G349" s="110"/>
      <c r="H349" s="110"/>
      <c r="I349" s="110"/>
      <c r="J349" s="110"/>
      <c r="K349" s="250"/>
      <c r="L349" s="110"/>
      <c r="M349" s="110"/>
      <c r="N349" s="110"/>
      <c r="O349" s="110"/>
      <c r="P349" s="250"/>
      <c r="Q349" s="110"/>
      <c r="R349" s="110"/>
      <c r="S349" s="110"/>
      <c r="T349" s="110"/>
      <c r="U349" s="250"/>
      <c r="V349" s="110"/>
      <c r="W349" s="110"/>
      <c r="X349" s="110"/>
      <c r="Y349" s="110"/>
      <c r="Z349" s="250"/>
      <c r="AA349" s="110"/>
      <c r="AB349" s="110"/>
      <c r="AC349" s="110"/>
      <c r="AD349" s="110"/>
      <c r="AE349" s="250"/>
      <c r="AF349" s="110"/>
      <c r="AG349" s="110"/>
      <c r="AH349" s="110"/>
      <c r="AI349" s="110"/>
      <c r="AJ349" s="250"/>
      <c r="AK349" s="110"/>
      <c r="AL349" s="110"/>
      <c r="AM349" s="110"/>
      <c r="AN349" s="110"/>
      <c r="AO349" s="250"/>
      <c r="AP349" s="110"/>
      <c r="AQ349" s="110"/>
      <c r="AR349" s="110"/>
      <c r="AS349" s="110"/>
      <c r="AT349" s="250"/>
      <c r="AU349" s="110"/>
      <c r="AV349" s="110"/>
      <c r="AW349" s="110"/>
      <c r="AX349" s="110"/>
      <c r="AY349" s="250"/>
      <c r="AZ349" s="110"/>
      <c r="BA349" s="122">
        <v>0.3</v>
      </c>
      <c r="BB349" s="122">
        <f t="shared" ref="BB349:BH349" si="1129">BA349</f>
        <v>0.3</v>
      </c>
      <c r="BC349" s="122">
        <f t="shared" si="1129"/>
        <v>0.3</v>
      </c>
      <c r="BD349" s="305">
        <f t="shared" si="1129"/>
        <v>0.3</v>
      </c>
      <c r="BE349" s="122">
        <f t="shared" si="1129"/>
        <v>0.3</v>
      </c>
      <c r="BF349" s="122">
        <f t="shared" si="1129"/>
        <v>0.3</v>
      </c>
      <c r="BG349" s="122">
        <f t="shared" si="1129"/>
        <v>0.3</v>
      </c>
      <c r="BH349" s="122">
        <f t="shared" si="1129"/>
        <v>0.3</v>
      </c>
      <c r="BI349" s="305">
        <f>BD349</f>
        <v>0.3</v>
      </c>
      <c r="BJ349" s="122">
        <f>BI349</f>
        <v>0.3</v>
      </c>
      <c r="BK349" s="122">
        <f>BJ349</f>
        <v>0.3</v>
      </c>
      <c r="BL349" s="122">
        <f>BK349</f>
        <v>0.3</v>
      </c>
      <c r="BM349" s="122">
        <f>BL349</f>
        <v>0.3</v>
      </c>
      <c r="BN349" s="373">
        <f>BI349</f>
        <v>0.3</v>
      </c>
      <c r="BO349" s="373">
        <f>BN349</f>
        <v>0.3</v>
      </c>
      <c r="BP349" s="122">
        <f>BO349</f>
        <v>0.3</v>
      </c>
      <c r="BQ349" s="122">
        <f>BP349</f>
        <v>0.3</v>
      </c>
      <c r="BR349" s="122">
        <f>BQ349</f>
        <v>0.3</v>
      </c>
      <c r="BS349" s="305">
        <f>BN349</f>
        <v>0.3</v>
      </c>
      <c r="BT349" s="122"/>
      <c r="BU349" s="122"/>
      <c r="BV349" s="122"/>
      <c r="BW349" s="122"/>
      <c r="BX349" s="305">
        <f>BS349</f>
        <v>0.3</v>
      </c>
      <c r="BY349" s="122"/>
      <c r="BZ349" s="122"/>
      <c r="CA349" s="122"/>
      <c r="CB349" s="122"/>
      <c r="CC349" s="305">
        <f>BX349</f>
        <v>0.3</v>
      </c>
      <c r="CD349" s="122"/>
      <c r="CE349" s="122"/>
      <c r="CF349" s="122"/>
      <c r="CG349" s="122"/>
      <c r="CH349" s="305">
        <f>CC349</f>
        <v>0.3</v>
      </c>
      <c r="CI349" s="122"/>
      <c r="CJ349" s="122"/>
      <c r="CK349" s="122"/>
      <c r="CL349" s="122"/>
      <c r="CM349" s="305">
        <f>CH349</f>
        <v>0.3</v>
      </c>
      <c r="CN349" s="122"/>
      <c r="CO349" s="122"/>
      <c r="CP349" s="122"/>
      <c r="CQ349" s="122"/>
      <c r="CR349" s="305">
        <f>CM349</f>
        <v>0.3</v>
      </c>
      <c r="CS349" s="122"/>
      <c r="CT349" s="122"/>
      <c r="CU349" s="122"/>
      <c r="CV349" s="122"/>
      <c r="CW349" s="305">
        <f>CR349</f>
        <v>0.3</v>
      </c>
      <c r="CX349" s="122"/>
      <c r="CY349" s="122"/>
      <c r="CZ349" s="122"/>
      <c r="DA349" s="122"/>
      <c r="DB349" s="305">
        <f>CR349</f>
        <v>0.3</v>
      </c>
      <c r="DC349" s="122"/>
      <c r="DD349" s="122"/>
      <c r="DE349" s="122"/>
      <c r="DF349" s="122"/>
      <c r="DG349" s="305">
        <f>DB349</f>
        <v>0.3</v>
      </c>
      <c r="DH349" s="122"/>
      <c r="DI349" s="122"/>
      <c r="DJ349" s="122"/>
      <c r="DK349" s="122"/>
      <c r="DL349" s="305">
        <f>DG349</f>
        <v>0.3</v>
      </c>
      <c r="DM349" s="110"/>
      <c r="DN349" s="540"/>
      <c r="DO349" s="486"/>
      <c r="DP349" s="411"/>
      <c r="DQ349" s="411"/>
      <c r="DR349" s="411"/>
      <c r="DS349" s="478"/>
      <c r="DT349" s="478"/>
      <c r="DU349" s="472"/>
      <c r="DV349" s="477"/>
      <c r="DW349" s="477"/>
      <c r="DX349" s="477"/>
      <c r="DY349" s="477"/>
      <c r="DZ349" s="477"/>
      <c r="EA349" s="540"/>
      <c r="EH349" s="8"/>
    </row>
    <row r="350" spans="1:138" ht="3" hidden="1" customHeight="1" x14ac:dyDescent="0.2">
      <c r="A350" s="121"/>
      <c r="B350" s="110"/>
      <c r="C350" s="110"/>
      <c r="D350" s="110"/>
      <c r="E350" s="110"/>
      <c r="F350" s="250"/>
      <c r="G350" s="110"/>
      <c r="H350" s="110"/>
      <c r="I350" s="110"/>
      <c r="J350" s="110"/>
      <c r="K350" s="250"/>
      <c r="L350" s="110"/>
      <c r="M350" s="110"/>
      <c r="N350" s="110"/>
      <c r="O350" s="110"/>
      <c r="P350" s="250"/>
      <c r="Q350" s="110"/>
      <c r="R350" s="110"/>
      <c r="S350" s="110"/>
      <c r="T350" s="110"/>
      <c r="U350" s="250"/>
      <c r="V350" s="110"/>
      <c r="W350" s="110"/>
      <c r="X350" s="110"/>
      <c r="Y350" s="110"/>
      <c r="Z350" s="250"/>
      <c r="AA350" s="110"/>
      <c r="AB350" s="110"/>
      <c r="AC350" s="110"/>
      <c r="AD350" s="110"/>
      <c r="AE350" s="250"/>
      <c r="AF350" s="110"/>
      <c r="AG350" s="110"/>
      <c r="AH350" s="110"/>
      <c r="AI350" s="110"/>
      <c r="AJ350" s="250"/>
      <c r="AK350" s="110"/>
      <c r="AL350" s="110"/>
      <c r="AM350" s="110"/>
      <c r="AN350" s="110"/>
      <c r="AO350" s="250"/>
      <c r="AP350" s="110"/>
      <c r="AQ350" s="110"/>
      <c r="AR350" s="110"/>
      <c r="AS350" s="110"/>
      <c r="AT350" s="250"/>
      <c r="AU350" s="110"/>
      <c r="AV350" s="110"/>
      <c r="AW350" s="110"/>
      <c r="AX350" s="110"/>
      <c r="AY350" s="250"/>
      <c r="AZ350" s="110"/>
      <c r="BA350" s="122"/>
      <c r="BB350" s="122"/>
      <c r="BC350" s="122"/>
      <c r="BD350" s="305"/>
      <c r="BE350" s="122"/>
      <c r="BF350" s="122"/>
      <c r="BG350" s="122"/>
      <c r="BH350" s="122"/>
      <c r="BI350" s="305"/>
      <c r="BJ350" s="122"/>
      <c r="BK350" s="122"/>
      <c r="BL350" s="122"/>
      <c r="BM350" s="122"/>
      <c r="BN350" s="373"/>
      <c r="BO350" s="373"/>
      <c r="BP350" s="122"/>
      <c r="BQ350" s="122"/>
      <c r="BR350" s="122"/>
      <c r="BS350" s="305"/>
      <c r="BT350" s="122"/>
      <c r="BU350" s="122"/>
      <c r="BV350" s="122"/>
      <c r="BW350" s="122"/>
      <c r="BX350" s="305"/>
      <c r="BY350" s="122"/>
      <c r="BZ350" s="122"/>
      <c r="CA350" s="122"/>
      <c r="CB350" s="122"/>
      <c r="CC350" s="305"/>
      <c r="CD350" s="122"/>
      <c r="CE350" s="122"/>
      <c r="CF350" s="122"/>
      <c r="CG350" s="122"/>
      <c r="CH350" s="305"/>
      <c r="CI350" s="122"/>
      <c r="CJ350" s="122"/>
      <c r="CK350" s="122"/>
      <c r="CL350" s="122"/>
      <c r="CM350" s="305"/>
      <c r="CN350" s="122"/>
      <c r="CO350" s="122"/>
      <c r="CP350" s="122"/>
      <c r="CQ350" s="122"/>
      <c r="CR350" s="305"/>
      <c r="CS350" s="122"/>
      <c r="CT350" s="122"/>
      <c r="CU350" s="122"/>
      <c r="CV350" s="122"/>
      <c r="CW350" s="305"/>
      <c r="CX350" s="122"/>
      <c r="CY350" s="122"/>
      <c r="CZ350" s="122"/>
      <c r="DA350" s="122"/>
      <c r="DB350" s="305"/>
      <c r="DC350" s="122"/>
      <c r="DD350" s="122"/>
      <c r="DE350" s="122"/>
      <c r="DF350" s="122"/>
      <c r="DG350" s="305"/>
      <c r="DH350" s="122"/>
      <c r="DI350" s="122"/>
      <c r="DJ350" s="122"/>
      <c r="DK350" s="122"/>
      <c r="DL350" s="305"/>
      <c r="DM350" s="110"/>
      <c r="DN350" s="540"/>
      <c r="DO350" s="486"/>
      <c r="DP350" s="411"/>
      <c r="DQ350" s="411"/>
      <c r="DR350" s="411"/>
      <c r="DS350" s="570"/>
      <c r="DT350" s="570"/>
      <c r="DU350" s="477"/>
      <c r="DV350" s="477"/>
      <c r="DW350" s="477"/>
      <c r="DX350" s="477"/>
      <c r="DY350" s="477"/>
      <c r="DZ350" s="477"/>
      <c r="EA350" s="540"/>
      <c r="EH350" s="8"/>
    </row>
    <row r="351" spans="1:138" ht="12.75" hidden="1" customHeight="1" x14ac:dyDescent="0.2">
      <c r="A351" s="79" t="s">
        <v>247</v>
      </c>
      <c r="B351" s="79"/>
      <c r="C351" s="79"/>
      <c r="D351" s="79"/>
      <c r="E351" s="79"/>
      <c r="F351" s="227"/>
      <c r="G351" s="79"/>
      <c r="H351" s="79"/>
      <c r="I351" s="79"/>
      <c r="J351" s="79"/>
      <c r="K351" s="227"/>
      <c r="L351" s="79"/>
      <c r="M351" s="79"/>
      <c r="N351" s="79"/>
      <c r="O351" s="79"/>
      <c r="P351" s="227"/>
      <c r="Q351" s="79"/>
      <c r="R351" s="79"/>
      <c r="S351" s="79"/>
      <c r="T351" s="79"/>
      <c r="U351" s="227"/>
      <c r="V351" s="79"/>
      <c r="W351" s="79"/>
      <c r="X351" s="79"/>
      <c r="Y351" s="79"/>
      <c r="Z351" s="227"/>
      <c r="AA351" s="79"/>
      <c r="AB351" s="79"/>
      <c r="AC351" s="79"/>
      <c r="AD351" s="79"/>
      <c r="AE351" s="227"/>
      <c r="AF351" s="79"/>
      <c r="AG351" s="79"/>
      <c r="AH351" s="79"/>
      <c r="AI351" s="79"/>
      <c r="AJ351" s="227"/>
      <c r="AK351" s="79"/>
      <c r="AL351" s="79"/>
      <c r="AM351" s="79"/>
      <c r="AN351" s="79"/>
      <c r="AO351" s="227"/>
      <c r="AP351" s="79"/>
      <c r="AQ351" s="79"/>
      <c r="AR351" s="79"/>
      <c r="AS351" s="79"/>
      <c r="AT351" s="227"/>
      <c r="AU351" s="79"/>
      <c r="AV351" s="79"/>
      <c r="AW351" s="79"/>
      <c r="AX351" s="79"/>
      <c r="AY351" s="227"/>
      <c r="AZ351" s="79"/>
      <c r="BA351" s="79">
        <f t="shared" ref="BA351:BX351" si="1130">BA344+BA345+BA346+BA347+(BA348*BA349)</f>
        <v>5886</v>
      </c>
      <c r="BB351" s="79">
        <f t="shared" si="1130"/>
        <v>6266</v>
      </c>
      <c r="BC351" s="79">
        <f t="shared" si="1130"/>
        <v>5786</v>
      </c>
      <c r="BD351" s="227">
        <f t="shared" si="1130"/>
        <v>5786</v>
      </c>
      <c r="BE351" s="79">
        <f t="shared" si="1130"/>
        <v>6059</v>
      </c>
      <c r="BF351" s="79">
        <f t="shared" si="1130"/>
        <v>6443</v>
      </c>
      <c r="BG351" s="79">
        <f t="shared" si="1130"/>
        <v>5956</v>
      </c>
      <c r="BH351" s="79">
        <f t="shared" si="1130"/>
        <v>5619</v>
      </c>
      <c r="BI351" s="227">
        <f t="shared" si="1130"/>
        <v>5619</v>
      </c>
      <c r="BJ351" s="79">
        <f t="shared" si="1130"/>
        <v>5829</v>
      </c>
      <c r="BK351" s="79">
        <f>BK344+BK345+BK346+BK347+(BK348*BK349)</f>
        <v>5854</v>
      </c>
      <c r="BL351" s="79">
        <f t="shared" si="1130"/>
        <v>5270</v>
      </c>
      <c r="BM351" s="79">
        <f t="shared" si="1130"/>
        <v>5520</v>
      </c>
      <c r="BN351" s="342">
        <f t="shared" si="1130"/>
        <v>5520</v>
      </c>
      <c r="BO351" s="342">
        <f>BO344+BO345+BO346+BO347+(BO348*BO349)</f>
        <v>5845</v>
      </c>
      <c r="BP351" s="79">
        <f>BP344+BP345+BP346+BP347+(BP348*BP349)</f>
        <v>5466</v>
      </c>
      <c r="BQ351" s="79">
        <f>BQ344+BQ345+BQ346+BQ347+(BQ348*BQ349)</f>
        <v>5234</v>
      </c>
      <c r="BR351" s="79">
        <f>BR344+BR345+BR346+BR347+(BR348*BR349)</f>
        <v>5349</v>
      </c>
      <c r="BS351" s="227">
        <f t="shared" si="1130"/>
        <v>5349</v>
      </c>
      <c r="BT351" s="79"/>
      <c r="BU351" s="79"/>
      <c r="BV351" s="79"/>
      <c r="BW351" s="79"/>
      <c r="BX351" s="227">
        <f t="shared" si="1130"/>
        <v>5525</v>
      </c>
      <c r="BY351" s="79"/>
      <c r="BZ351" s="79"/>
      <c r="CA351" s="79"/>
      <c r="CB351" s="79"/>
      <c r="CC351" s="227">
        <f>CC344+CC345+CC346+CC347+(CC348*CC349)</f>
        <v>4942</v>
      </c>
      <c r="CD351" s="79"/>
      <c r="CE351" s="79"/>
      <c r="CF351" s="79"/>
      <c r="CG351" s="79"/>
      <c r="CH351" s="227">
        <f>CH344+CH345+CH346+CH347+(CH348*CH349)</f>
        <v>5037</v>
      </c>
      <c r="CI351" s="79"/>
      <c r="CJ351" s="79"/>
      <c r="CK351" s="79"/>
      <c r="CL351" s="79"/>
      <c r="CM351" s="227">
        <f>CM344+CM345+CM346+CM347+(CM348*CM349)</f>
        <v>4849</v>
      </c>
      <c r="CN351" s="79"/>
      <c r="CO351" s="79"/>
      <c r="CP351" s="79"/>
      <c r="CQ351" s="79"/>
      <c r="CR351" s="227">
        <f>CR344+CR345+CR346+CR347+(CR348*CR349)</f>
        <v>4239</v>
      </c>
      <c r="CS351" s="79"/>
      <c r="CT351" s="79"/>
      <c r="CU351" s="79"/>
      <c r="CV351" s="79"/>
      <c r="CW351" s="227">
        <f>CW344+CW345+CW346+CW347+(CW348*CW349)</f>
        <v>4236</v>
      </c>
      <c r="CX351" s="79"/>
      <c r="CY351" s="79"/>
      <c r="CZ351" s="79"/>
      <c r="DA351" s="79"/>
      <c r="DB351" s="227">
        <f>DB344+DB345+DB346+DB347+(DB348*DB349)</f>
        <v>3731.2110239177173</v>
      </c>
      <c r="DC351" s="79"/>
      <c r="DD351" s="79"/>
      <c r="DE351" s="79"/>
      <c r="DF351" s="79"/>
      <c r="DG351" s="227">
        <f>DG344+DG345+DG346+DG347+(DG348*DG349)</f>
        <v>3502.1541919594056</v>
      </c>
      <c r="DH351" s="79"/>
      <c r="DI351" s="79"/>
      <c r="DJ351" s="79"/>
      <c r="DK351" s="79"/>
      <c r="DL351" s="227">
        <f>DL344+DL345+DL346+DL347+(DL348*DL349)</f>
        <v>3837.3413017896382</v>
      </c>
      <c r="DM351" s="79"/>
      <c r="DN351" s="522"/>
      <c r="DO351" s="486"/>
      <c r="DP351" s="411"/>
      <c r="DQ351" s="411"/>
      <c r="DR351" s="411"/>
      <c r="DS351" s="570"/>
      <c r="DT351" s="570"/>
      <c r="DU351" s="477"/>
      <c r="DV351" s="472"/>
      <c r="DW351" s="472"/>
      <c r="DX351" s="472"/>
      <c r="DY351" s="472"/>
      <c r="DZ351" s="472"/>
      <c r="EA351" s="522"/>
      <c r="EH351" s="8"/>
    </row>
    <row r="352" spans="1:138" ht="12.75" hidden="1" customHeight="1" x14ac:dyDescent="0.2">
      <c r="A352" s="121" t="s">
        <v>333</v>
      </c>
      <c r="B352" s="19"/>
      <c r="C352" s="19"/>
      <c r="D352" s="19"/>
      <c r="E352" s="19"/>
      <c r="F352" s="199"/>
      <c r="G352" s="19"/>
      <c r="H352" s="19"/>
      <c r="I352" s="19"/>
      <c r="J352" s="19"/>
      <c r="K352" s="199"/>
      <c r="L352" s="19"/>
      <c r="M352" s="19"/>
      <c r="N352" s="19"/>
      <c r="O352" s="19"/>
      <c r="P352" s="199"/>
      <c r="Q352" s="19"/>
      <c r="R352" s="19"/>
      <c r="S352" s="19"/>
      <c r="T352" s="19"/>
      <c r="U352" s="199"/>
      <c r="V352" s="19"/>
      <c r="W352" s="19"/>
      <c r="X352" s="19"/>
      <c r="Y352" s="19"/>
      <c r="Z352" s="199"/>
      <c r="AA352" s="19"/>
      <c r="AB352" s="19"/>
      <c r="AC352" s="19"/>
      <c r="AD352" s="19"/>
      <c r="AE352" s="199"/>
      <c r="AF352" s="19"/>
      <c r="AG352" s="19"/>
      <c r="AH352" s="19"/>
      <c r="AI352" s="19"/>
      <c r="AJ352" s="199"/>
      <c r="AK352" s="19"/>
      <c r="AL352" s="19"/>
      <c r="AM352" s="19"/>
      <c r="AN352" s="19"/>
      <c r="AO352" s="199"/>
      <c r="AP352" s="19"/>
      <c r="AQ352" s="19"/>
      <c r="AR352" s="19"/>
      <c r="AS352" s="19"/>
      <c r="AT352" s="199"/>
      <c r="AU352" s="19"/>
      <c r="AV352" s="19"/>
      <c r="AW352" s="19"/>
      <c r="AX352" s="19"/>
      <c r="AY352" s="199"/>
      <c r="AZ352" s="19"/>
      <c r="BA352" s="19">
        <f t="shared" ref="BA352:BS352" si="1131">BA351/BA216</f>
        <v>0.18996901626646012</v>
      </c>
      <c r="BB352" s="19">
        <f t="shared" si="1131"/>
        <v>0.21587542203541651</v>
      </c>
      <c r="BC352" s="19">
        <f t="shared" si="1131"/>
        <v>0.20617895449524284</v>
      </c>
      <c r="BD352" s="199">
        <f t="shared" si="1131"/>
        <v>0.20617895449524284</v>
      </c>
      <c r="BE352" s="19">
        <f t="shared" si="1131"/>
        <v>0.21465263754561237</v>
      </c>
      <c r="BF352" s="19">
        <f t="shared" si="1131"/>
        <v>0.2191864891583824</v>
      </c>
      <c r="BG352" s="19">
        <f t="shared" si="1131"/>
        <v>0.19355849294759428</v>
      </c>
      <c r="BH352" s="19">
        <f t="shared" si="1131"/>
        <v>0.17694817770774171</v>
      </c>
      <c r="BI352" s="199">
        <f t="shared" si="1131"/>
        <v>0.17694817770774171</v>
      </c>
      <c r="BJ352" s="19">
        <f t="shared" si="1131"/>
        <v>0.17850766489679998</v>
      </c>
      <c r="BK352" s="19">
        <f t="shared" si="1131"/>
        <v>0.1740241981033919</v>
      </c>
      <c r="BL352" s="19">
        <f t="shared" si="1131"/>
        <v>0.15273148819011736</v>
      </c>
      <c r="BM352" s="19">
        <f t="shared" si="1131"/>
        <v>0.15719777872703972</v>
      </c>
      <c r="BN352" s="341">
        <f t="shared" si="1131"/>
        <v>0.15719777872703972</v>
      </c>
      <c r="BO352" s="341">
        <f t="shared" si="1131"/>
        <v>0.16335485313434506</v>
      </c>
      <c r="BP352" s="19">
        <f t="shared" si="1131"/>
        <v>0.15033003300330033</v>
      </c>
      <c r="BQ352" s="19">
        <f t="shared" si="1131"/>
        <v>0.14352702443304907</v>
      </c>
      <c r="BR352" s="19">
        <f t="shared" si="1131"/>
        <v>0.14586855740387236</v>
      </c>
      <c r="BS352" s="199">
        <f t="shared" si="1131"/>
        <v>0.14586855740387236</v>
      </c>
      <c r="BT352" s="19"/>
      <c r="BU352" s="19"/>
      <c r="BV352" s="19"/>
      <c r="BW352" s="19"/>
      <c r="BX352" s="199">
        <f>BX351/BX216</f>
        <v>0.14626849866306621</v>
      </c>
      <c r="BY352" s="19"/>
      <c r="BZ352" s="19"/>
      <c r="CA352" s="19"/>
      <c r="CB352" s="19"/>
      <c r="CC352" s="199">
        <f>CC351/CC216</f>
        <v>0.12244190079778008</v>
      </c>
      <c r="CD352" s="19"/>
      <c r="CE352" s="19"/>
      <c r="CF352" s="19"/>
      <c r="CG352" s="19"/>
      <c r="CH352" s="199">
        <f>CH351/CH216</f>
        <v>0.12374705188679246</v>
      </c>
      <c r="CI352" s="19"/>
      <c r="CJ352" s="19"/>
      <c r="CK352" s="19"/>
      <c r="CL352" s="19"/>
      <c r="CM352" s="199">
        <f>CM351/CM216</f>
        <v>0.12232901940008577</v>
      </c>
      <c r="CN352" s="19"/>
      <c r="CO352" s="19"/>
      <c r="CP352" s="19"/>
      <c r="CQ352" s="19"/>
      <c r="CR352" s="199">
        <f>CR351/CR216</f>
        <v>0.10277858597614198</v>
      </c>
      <c r="CS352" s="19"/>
      <c r="CT352" s="19"/>
      <c r="CU352" s="19"/>
      <c r="CV352" s="19"/>
      <c r="CW352" s="199">
        <f>CW351/CW216</f>
        <v>0.10423683254050674</v>
      </c>
      <c r="CX352" s="19"/>
      <c r="CY352" s="19"/>
      <c r="CZ352" s="19"/>
      <c r="DA352" s="19"/>
      <c r="DB352" s="199">
        <f>DB351/DB216</f>
        <v>8.6075193135170522E-2</v>
      </c>
      <c r="DC352" s="19"/>
      <c r="DD352" s="19"/>
      <c r="DE352" s="19"/>
      <c r="DF352" s="19"/>
      <c r="DG352" s="199">
        <f>DG351/DG216</f>
        <v>7.8207011168526727E-2</v>
      </c>
      <c r="DH352" s="19"/>
      <c r="DI352" s="19"/>
      <c r="DJ352" s="19"/>
      <c r="DK352" s="19"/>
      <c r="DL352" s="199">
        <f>DL351/DL216</f>
        <v>8.3060067569006329E-2</v>
      </c>
      <c r="DM352" s="19"/>
      <c r="DN352" s="527"/>
      <c r="DO352" s="486"/>
      <c r="DP352" s="411"/>
      <c r="DQ352" s="411"/>
      <c r="DR352" s="411"/>
      <c r="DS352" s="478"/>
      <c r="DT352" s="478"/>
      <c r="DU352" s="472"/>
      <c r="DV352" s="460"/>
      <c r="DW352" s="460"/>
      <c r="DX352" s="460"/>
      <c r="DY352" s="460"/>
      <c r="DZ352" s="460"/>
      <c r="EA352" s="527"/>
      <c r="EH352" s="8"/>
    </row>
    <row r="353" spans="1:138" ht="12.75" hidden="1" customHeight="1" x14ac:dyDescent="0.2">
      <c r="A353" s="121" t="s">
        <v>249</v>
      </c>
      <c r="B353" s="19"/>
      <c r="C353" s="19"/>
      <c r="D353" s="19"/>
      <c r="E353" s="19"/>
      <c r="F353" s="199"/>
      <c r="G353" s="19"/>
      <c r="H353" s="19"/>
      <c r="I353" s="19"/>
      <c r="J353" s="19"/>
      <c r="K353" s="199"/>
      <c r="L353" s="19"/>
      <c r="M353" s="19"/>
      <c r="N353" s="19"/>
      <c r="O353" s="19"/>
      <c r="P353" s="199"/>
      <c r="Q353" s="19"/>
      <c r="R353" s="19"/>
      <c r="S353" s="19"/>
      <c r="T353" s="19"/>
      <c r="U353" s="199"/>
      <c r="V353" s="19"/>
      <c r="W353" s="19"/>
      <c r="X353" s="19"/>
      <c r="Y353" s="19"/>
      <c r="Z353" s="199"/>
      <c r="AA353" s="19"/>
      <c r="AB353" s="19"/>
      <c r="AC353" s="19"/>
      <c r="AD353" s="19"/>
      <c r="AE353" s="199"/>
      <c r="AF353" s="19"/>
      <c r="AG353" s="19"/>
      <c r="AH353" s="19"/>
      <c r="AI353" s="19"/>
      <c r="AJ353" s="199"/>
      <c r="AK353" s="19"/>
      <c r="AL353" s="19"/>
      <c r="AM353" s="19"/>
      <c r="AN353" s="19"/>
      <c r="AO353" s="199"/>
      <c r="AP353" s="19"/>
      <c r="AQ353" s="19"/>
      <c r="AR353" s="19"/>
      <c r="AS353" s="19"/>
      <c r="AT353" s="199"/>
      <c r="AU353" s="19"/>
      <c r="AV353" s="19"/>
      <c r="AW353" s="19"/>
      <c r="AX353" s="19"/>
      <c r="AY353" s="199"/>
      <c r="AZ353" s="19"/>
      <c r="BA353" s="19">
        <f t="shared" ref="BA353:BS353" si="1132">BA351/BA305</f>
        <v>0.13232913669064747</v>
      </c>
      <c r="BB353" s="19">
        <f t="shared" si="1132"/>
        <v>0.13970080039239294</v>
      </c>
      <c r="BC353" s="19">
        <f t="shared" si="1132"/>
        <v>0.13289234938790509</v>
      </c>
      <c r="BD353" s="199">
        <f t="shared" si="1132"/>
        <v>0.13289234938790509</v>
      </c>
      <c r="BE353" s="19">
        <f t="shared" si="1132"/>
        <v>0.13665170617289518</v>
      </c>
      <c r="BF353" s="19">
        <f t="shared" si="1132"/>
        <v>0.14707023670935196</v>
      </c>
      <c r="BG353" s="19">
        <f t="shared" si="1132"/>
        <v>0.13802053159687624</v>
      </c>
      <c r="BH353" s="19">
        <f t="shared" si="1132"/>
        <v>0.13010558488469018</v>
      </c>
      <c r="BI353" s="199">
        <f t="shared" si="1132"/>
        <v>0.13010558488469018</v>
      </c>
      <c r="BJ353" s="19">
        <f t="shared" si="1132"/>
        <v>0.13283653517467697</v>
      </c>
      <c r="BK353" s="19">
        <f t="shared" si="1132"/>
        <v>0.13341537900542413</v>
      </c>
      <c r="BL353" s="19">
        <f t="shared" si="1132"/>
        <v>0.12245561855191003</v>
      </c>
      <c r="BM353" s="19">
        <f t="shared" si="1132"/>
        <v>0.12689946895330928</v>
      </c>
      <c r="BN353" s="341">
        <f t="shared" si="1132"/>
        <v>0.12689946895330928</v>
      </c>
      <c r="BO353" s="341">
        <f t="shared" si="1132"/>
        <v>0.13227273755912106</v>
      </c>
      <c r="BP353" s="19">
        <f t="shared" si="1132"/>
        <v>0.12222719141323793</v>
      </c>
      <c r="BQ353" s="19">
        <f t="shared" si="1132"/>
        <v>0.11801046176046176</v>
      </c>
      <c r="BR353" s="19">
        <f t="shared" si="1132"/>
        <v>0.12006734006734007</v>
      </c>
      <c r="BS353" s="199">
        <f t="shared" si="1132"/>
        <v>0.12006734006734007</v>
      </c>
      <c r="BT353" s="19"/>
      <c r="BU353" s="19"/>
      <c r="BV353" s="19"/>
      <c r="BW353" s="19"/>
      <c r="BX353" s="199">
        <f>BX351/BX305</f>
        <v>0.10573757942279721</v>
      </c>
      <c r="BY353" s="19"/>
      <c r="BZ353" s="19"/>
      <c r="CA353" s="19"/>
      <c r="CB353" s="19"/>
      <c r="CC353" s="199">
        <f>CC351/CC305</f>
        <v>9.1313907725282237E-2</v>
      </c>
      <c r="CD353" s="19"/>
      <c r="CE353" s="19"/>
      <c r="CF353" s="19"/>
      <c r="CG353" s="19"/>
      <c r="CH353" s="199">
        <f>CH351/CH305</f>
        <v>9.4798057740806269E-2</v>
      </c>
      <c r="CI353" s="19"/>
      <c r="CJ353" s="19"/>
      <c r="CK353" s="19"/>
      <c r="CL353" s="19"/>
      <c r="CM353" s="199">
        <f>CM351/CM305</f>
        <v>9.4594330972864363E-2</v>
      </c>
      <c r="CN353" s="19"/>
      <c r="CO353" s="19"/>
      <c r="CP353" s="19"/>
      <c r="CQ353" s="19"/>
      <c r="CR353" s="199">
        <f>CR351/CR305</f>
        <v>7.9533941236068897E-2</v>
      </c>
      <c r="CS353" s="19"/>
      <c r="CT353" s="19"/>
      <c r="CU353" s="19"/>
      <c r="CV353" s="19"/>
      <c r="CW353" s="199">
        <f>CW351/CW305</f>
        <v>7.9477653945739052E-2</v>
      </c>
      <c r="CX353" s="19"/>
      <c r="CY353" s="19"/>
      <c r="CZ353" s="19"/>
      <c r="DA353" s="19"/>
      <c r="DB353" s="199">
        <f>DB351/DB305</f>
        <v>6.8329882395549518E-2</v>
      </c>
      <c r="DC353" s="19"/>
      <c r="DD353" s="19"/>
      <c r="DE353" s="19"/>
      <c r="DF353" s="19"/>
      <c r="DG353" s="199">
        <f>DG351/DG305</f>
        <v>6.2441120746560184E-2</v>
      </c>
      <c r="DH353" s="19"/>
      <c r="DI353" s="19"/>
      <c r="DJ353" s="19"/>
      <c r="DK353" s="19"/>
      <c r="DL353" s="199">
        <f>DL351/DL305</f>
        <v>6.6078602786036764E-2</v>
      </c>
      <c r="DM353" s="19"/>
      <c r="DN353" s="527"/>
      <c r="DO353" s="486"/>
      <c r="DP353" s="411"/>
      <c r="DQ353" s="411"/>
      <c r="DR353" s="411"/>
      <c r="DS353" s="480"/>
      <c r="DT353" s="480"/>
      <c r="DU353" s="460"/>
      <c r="DV353" s="460"/>
      <c r="DW353" s="460"/>
      <c r="DX353" s="460"/>
      <c r="DY353" s="460"/>
      <c r="DZ353" s="460"/>
      <c r="EA353" s="527"/>
      <c r="EH353" s="8"/>
    </row>
    <row r="354" spans="1:138" ht="12.75" hidden="1" customHeight="1" x14ac:dyDescent="0.2">
      <c r="A354" s="183" t="s">
        <v>248</v>
      </c>
      <c r="B354" s="183"/>
      <c r="C354" s="183"/>
      <c r="D354" s="183"/>
      <c r="E354" s="183"/>
      <c r="F354" s="251"/>
      <c r="G354" s="183"/>
      <c r="H354" s="183"/>
      <c r="I354" s="183"/>
      <c r="J354" s="183"/>
      <c r="K354" s="251"/>
      <c r="L354" s="183"/>
      <c r="M354" s="183"/>
      <c r="N354" s="183"/>
      <c r="O354" s="183"/>
      <c r="P354" s="251"/>
      <c r="Q354" s="183"/>
      <c r="R354" s="183"/>
      <c r="S354" s="183"/>
      <c r="T354" s="183"/>
      <c r="U354" s="251"/>
      <c r="V354" s="183"/>
      <c r="W354" s="183"/>
      <c r="X354" s="183"/>
      <c r="Y354" s="183"/>
      <c r="Z354" s="251"/>
      <c r="AA354" s="183"/>
      <c r="AB354" s="183"/>
      <c r="AC354" s="183"/>
      <c r="AD354" s="183"/>
      <c r="AE354" s="251"/>
      <c r="AF354" s="183"/>
      <c r="AG354" s="183"/>
      <c r="AH354" s="183"/>
      <c r="AI354" s="183"/>
      <c r="AJ354" s="251"/>
      <c r="AK354" s="183"/>
      <c r="AL354" s="183"/>
      <c r="AM354" s="183"/>
      <c r="AN354" s="183"/>
      <c r="AO354" s="251"/>
      <c r="AP354" s="183"/>
      <c r="AQ354" s="183"/>
      <c r="AR354" s="183"/>
      <c r="AS354" s="183"/>
      <c r="AT354" s="251"/>
      <c r="AU354" s="183"/>
      <c r="AV354" s="183"/>
      <c r="AW354" s="183"/>
      <c r="AX354" s="183"/>
      <c r="AY354" s="251"/>
      <c r="AZ354" s="183"/>
      <c r="BA354" s="183">
        <f t="shared" ref="BA354:BX354" si="1133">BA344+BA346+BA347+(BA348*BA349)</f>
        <v>5525</v>
      </c>
      <c r="BB354" s="183">
        <f t="shared" si="1133"/>
        <v>5788</v>
      </c>
      <c r="BC354" s="183">
        <f t="shared" si="1133"/>
        <v>5363</v>
      </c>
      <c r="BD354" s="251">
        <f t="shared" si="1133"/>
        <v>5363</v>
      </c>
      <c r="BE354" s="183">
        <f t="shared" si="1133"/>
        <v>5603</v>
      </c>
      <c r="BF354" s="183">
        <f t="shared" si="1133"/>
        <v>6034</v>
      </c>
      <c r="BG354" s="183">
        <f t="shared" si="1133"/>
        <v>5538</v>
      </c>
      <c r="BH354" s="183">
        <f t="shared" si="1133"/>
        <v>5210</v>
      </c>
      <c r="BI354" s="251">
        <f t="shared" si="1133"/>
        <v>5210</v>
      </c>
      <c r="BJ354" s="183">
        <f t="shared" si="1133"/>
        <v>5439</v>
      </c>
      <c r="BK354" s="183">
        <f>BK344+BK346+BK347+(BK348*BK349)</f>
        <v>5422</v>
      </c>
      <c r="BL354" s="183">
        <f t="shared" si="1133"/>
        <v>4865</v>
      </c>
      <c r="BM354" s="183">
        <f t="shared" si="1133"/>
        <v>5215</v>
      </c>
      <c r="BN354" s="367">
        <f t="shared" si="1133"/>
        <v>5215</v>
      </c>
      <c r="BO354" s="367">
        <f>BO344+BO346+BO347+(BO348*BO349)</f>
        <v>5470</v>
      </c>
      <c r="BP354" s="183">
        <f>BP344+BP346+BP347+(BP348*BP349)</f>
        <v>5098</v>
      </c>
      <c r="BQ354" s="183">
        <f>BQ344+BQ346+BQ347+(BQ348*BQ349)</f>
        <v>4833</v>
      </c>
      <c r="BR354" s="183">
        <f>BR344+BR346+BR347+(BR348*BR349)</f>
        <v>4974</v>
      </c>
      <c r="BS354" s="251">
        <f t="shared" si="1133"/>
        <v>4974</v>
      </c>
      <c r="BT354" s="183"/>
      <c r="BU354" s="183"/>
      <c r="BV354" s="183"/>
      <c r="BW354" s="183"/>
      <c r="BX354" s="251">
        <f t="shared" si="1133"/>
        <v>5403</v>
      </c>
      <c r="BY354" s="183"/>
      <c r="BZ354" s="183"/>
      <c r="CA354" s="183"/>
      <c r="CB354" s="183"/>
      <c r="CC354" s="251">
        <f>CC344+CC346+CC347+(CC348*CC349)</f>
        <v>4905</v>
      </c>
      <c r="CD354" s="183"/>
      <c r="CE354" s="183"/>
      <c r="CF354" s="183"/>
      <c r="CG354" s="183"/>
      <c r="CH354" s="251">
        <f>CH344+CH346+CH347+(CH348*CH349)</f>
        <v>5037</v>
      </c>
      <c r="CI354" s="183"/>
      <c r="CJ354" s="183"/>
      <c r="CK354" s="183"/>
      <c r="CL354" s="183"/>
      <c r="CM354" s="251">
        <f>CM344+CM346+CM347+(CM348*CM349)</f>
        <v>4849</v>
      </c>
      <c r="CN354" s="183"/>
      <c r="CO354" s="183"/>
      <c r="CP354" s="183"/>
      <c r="CQ354" s="183"/>
      <c r="CR354" s="251">
        <f>CR344+CR346+CR347+(CR348*CR349)</f>
        <v>4239</v>
      </c>
      <c r="CS354" s="183"/>
      <c r="CT354" s="183"/>
      <c r="CU354" s="183"/>
      <c r="CV354" s="183"/>
      <c r="CW354" s="251">
        <f>CW344+CW346+CW347+(CW348*CW349)</f>
        <v>4236</v>
      </c>
      <c r="CX354" s="183"/>
      <c r="CY354" s="183"/>
      <c r="CZ354" s="183"/>
      <c r="DA354" s="183"/>
      <c r="DB354" s="251">
        <f>DB344+DB346+DB347+(DB348*DB349)</f>
        <v>3731.2110239177173</v>
      </c>
      <c r="DC354" s="183"/>
      <c r="DD354" s="183"/>
      <c r="DE354" s="183"/>
      <c r="DF354" s="183"/>
      <c r="DG354" s="251">
        <f>DG344+DG346+DG347+(DG348*DG349)</f>
        <v>3502.1541919594056</v>
      </c>
      <c r="DH354" s="183"/>
      <c r="DI354" s="183"/>
      <c r="DJ354" s="183"/>
      <c r="DK354" s="183"/>
      <c r="DL354" s="251">
        <f>DL344+DL346+DL347+(DL348*DL349)</f>
        <v>3837.3413017896382</v>
      </c>
      <c r="DM354" s="79"/>
      <c r="DN354" s="522"/>
      <c r="DO354" s="486"/>
      <c r="DP354" s="411"/>
      <c r="DQ354" s="411"/>
      <c r="DR354" s="411"/>
      <c r="DS354" s="480"/>
      <c r="DT354" s="480"/>
      <c r="DU354" s="460"/>
      <c r="DV354" s="472"/>
      <c r="DW354" s="472"/>
      <c r="DX354" s="472"/>
      <c r="DY354" s="472"/>
      <c r="DZ354" s="472"/>
      <c r="EA354" s="522"/>
      <c r="EH354" s="141"/>
    </row>
    <row r="355" spans="1:138" ht="12.75" hidden="1" customHeight="1" x14ac:dyDescent="0.2">
      <c r="A355" s="121" t="s">
        <v>333</v>
      </c>
      <c r="B355" s="19"/>
      <c r="C355" s="19"/>
      <c r="D355" s="19"/>
      <c r="E355" s="19"/>
      <c r="F355" s="199"/>
      <c r="G355" s="19"/>
      <c r="H355" s="19"/>
      <c r="I355" s="19"/>
      <c r="J355" s="19"/>
      <c r="K355" s="199"/>
      <c r="L355" s="19"/>
      <c r="M355" s="19"/>
      <c r="N355" s="19"/>
      <c r="O355" s="19"/>
      <c r="P355" s="199"/>
      <c r="Q355" s="19"/>
      <c r="R355" s="19"/>
      <c r="S355" s="19"/>
      <c r="T355" s="19"/>
      <c r="U355" s="199"/>
      <c r="V355" s="19"/>
      <c r="W355" s="19"/>
      <c r="X355" s="19"/>
      <c r="Y355" s="19"/>
      <c r="Z355" s="199"/>
      <c r="AA355" s="19"/>
      <c r="AB355" s="19"/>
      <c r="AC355" s="19"/>
      <c r="AD355" s="19"/>
      <c r="AE355" s="199"/>
      <c r="AF355" s="19"/>
      <c r="AG355" s="19"/>
      <c r="AH355" s="19"/>
      <c r="AI355" s="19"/>
      <c r="AJ355" s="199"/>
      <c r="AK355" s="19"/>
      <c r="AL355" s="19"/>
      <c r="AM355" s="19"/>
      <c r="AN355" s="19"/>
      <c r="AO355" s="199"/>
      <c r="AP355" s="19"/>
      <c r="AQ355" s="19"/>
      <c r="AR355" s="19"/>
      <c r="AS355" s="19"/>
      <c r="AT355" s="199"/>
      <c r="AU355" s="19"/>
      <c r="AV355" s="19"/>
      <c r="AW355" s="19"/>
      <c r="AX355" s="19"/>
      <c r="AY355" s="199"/>
      <c r="AZ355" s="19"/>
      <c r="BA355" s="19">
        <f t="shared" ref="BA355:BS355" si="1134">BA354/BA216</f>
        <v>0.17831784146656338</v>
      </c>
      <c r="BB355" s="19">
        <f t="shared" si="1134"/>
        <v>0.19940742782333082</v>
      </c>
      <c r="BC355" s="19">
        <f t="shared" si="1134"/>
        <v>0.19110572640131135</v>
      </c>
      <c r="BD355" s="199">
        <f t="shared" si="1134"/>
        <v>0.19110572640131135</v>
      </c>
      <c r="BE355" s="19">
        <f t="shared" si="1134"/>
        <v>0.19849789208913451</v>
      </c>
      <c r="BF355" s="19">
        <f t="shared" si="1134"/>
        <v>0.20527258661829575</v>
      </c>
      <c r="BG355" s="19">
        <f t="shared" si="1134"/>
        <v>0.17997430052783364</v>
      </c>
      <c r="BH355" s="19">
        <f t="shared" si="1134"/>
        <v>0.16406834060461548</v>
      </c>
      <c r="BI355" s="199">
        <f t="shared" si="1134"/>
        <v>0.16406834060461548</v>
      </c>
      <c r="BJ355" s="19">
        <f t="shared" si="1134"/>
        <v>0.16656428021507894</v>
      </c>
      <c r="BK355" s="19">
        <f t="shared" si="1134"/>
        <v>0.16118196141383515</v>
      </c>
      <c r="BL355" s="19">
        <f t="shared" si="1134"/>
        <v>0.14099405883205332</v>
      </c>
      <c r="BM355" s="19">
        <f t="shared" si="1134"/>
        <v>0.14851203189520149</v>
      </c>
      <c r="BN355" s="341">
        <f t="shared" si="1134"/>
        <v>0.14851203189520149</v>
      </c>
      <c r="BO355" s="341">
        <f t="shared" si="1134"/>
        <v>0.152874430563707</v>
      </c>
      <c r="BP355" s="19">
        <f t="shared" si="1134"/>
        <v>0.1402090209020902</v>
      </c>
      <c r="BQ355" s="19">
        <f t="shared" si="1134"/>
        <v>0.13253078125428469</v>
      </c>
      <c r="BR355" s="19">
        <f t="shared" si="1134"/>
        <v>0.13564221434415052</v>
      </c>
      <c r="BS355" s="199">
        <f t="shared" si="1134"/>
        <v>0.13564221434415052</v>
      </c>
      <c r="BT355" s="19"/>
      <c r="BU355" s="19"/>
      <c r="BV355" s="19"/>
      <c r="BW355" s="19"/>
      <c r="BX355" s="199">
        <f>BX354/BX216</f>
        <v>0.14303867842109444</v>
      </c>
      <c r="BY355" s="19"/>
      <c r="BZ355" s="19"/>
      <c r="CA355" s="19"/>
      <c r="CB355" s="19"/>
      <c r="CC355" s="199">
        <f>CC354/CC216</f>
        <v>0.12152519696744463</v>
      </c>
      <c r="CD355" s="19"/>
      <c r="CE355" s="19"/>
      <c r="CF355" s="19"/>
      <c r="CG355" s="19"/>
      <c r="CH355" s="199">
        <f>CH354/CH216</f>
        <v>0.12374705188679246</v>
      </c>
      <c r="CI355" s="19"/>
      <c r="CJ355" s="19"/>
      <c r="CK355" s="19"/>
      <c r="CL355" s="19"/>
      <c r="CM355" s="199">
        <f>CM354/CM216</f>
        <v>0.12232901940008577</v>
      </c>
      <c r="CN355" s="19"/>
      <c r="CO355" s="19"/>
      <c r="CP355" s="19"/>
      <c r="CQ355" s="19"/>
      <c r="CR355" s="199">
        <f>CR354/CR216</f>
        <v>0.10277858597614198</v>
      </c>
      <c r="CS355" s="19"/>
      <c r="CT355" s="19"/>
      <c r="CU355" s="19"/>
      <c r="CV355" s="19"/>
      <c r="CW355" s="199">
        <f>CW354/CW216</f>
        <v>0.10423683254050674</v>
      </c>
      <c r="CX355" s="19"/>
      <c r="CY355" s="19"/>
      <c r="CZ355" s="19"/>
      <c r="DA355" s="19"/>
      <c r="DB355" s="199">
        <f>DB354/DB216</f>
        <v>8.6075193135170522E-2</v>
      </c>
      <c r="DC355" s="19"/>
      <c r="DD355" s="19"/>
      <c r="DE355" s="19"/>
      <c r="DF355" s="19"/>
      <c r="DG355" s="199">
        <f>DG354/DG216</f>
        <v>7.8207011168526727E-2</v>
      </c>
      <c r="DH355" s="19"/>
      <c r="DI355" s="19"/>
      <c r="DJ355" s="19"/>
      <c r="DK355" s="19"/>
      <c r="DL355" s="199">
        <f>DL354/DL216</f>
        <v>8.3060067569006329E-2</v>
      </c>
      <c r="DM355" s="19"/>
      <c r="DN355" s="527"/>
      <c r="DO355" s="486"/>
      <c r="DP355" s="411"/>
      <c r="DQ355" s="411"/>
      <c r="DR355" s="411"/>
      <c r="DS355" s="478" t="s">
        <v>174</v>
      </c>
      <c r="DT355" s="478"/>
      <c r="DU355" s="472"/>
      <c r="DV355" s="460"/>
      <c r="DW355" s="460"/>
      <c r="DX355" s="460"/>
      <c r="DY355" s="460"/>
      <c r="DZ355" s="460"/>
      <c r="EA355" s="527"/>
      <c r="EH355" s="8"/>
    </row>
    <row r="356" spans="1:138" ht="12.75" hidden="1" customHeight="1" x14ac:dyDescent="0.2">
      <c r="A356" s="121" t="s">
        <v>249</v>
      </c>
      <c r="B356" s="19"/>
      <c r="C356" s="19"/>
      <c r="D356" s="19"/>
      <c r="E356" s="19"/>
      <c r="F356" s="199"/>
      <c r="G356" s="19"/>
      <c r="H356" s="19"/>
      <c r="I356" s="19"/>
      <c r="J356" s="19"/>
      <c r="K356" s="199"/>
      <c r="L356" s="19"/>
      <c r="M356" s="19"/>
      <c r="N356" s="19"/>
      <c r="O356" s="19"/>
      <c r="P356" s="199"/>
      <c r="Q356" s="19"/>
      <c r="R356" s="19"/>
      <c r="S356" s="19"/>
      <c r="T356" s="19"/>
      <c r="U356" s="199"/>
      <c r="V356" s="19"/>
      <c r="W356" s="19"/>
      <c r="X356" s="19"/>
      <c r="Y356" s="19"/>
      <c r="Z356" s="199"/>
      <c r="AA356" s="19"/>
      <c r="AB356" s="19"/>
      <c r="AC356" s="19"/>
      <c r="AD356" s="19"/>
      <c r="AE356" s="199"/>
      <c r="AF356" s="19"/>
      <c r="AG356" s="19"/>
      <c r="AH356" s="19"/>
      <c r="AI356" s="19"/>
      <c r="AJ356" s="199"/>
      <c r="AK356" s="19"/>
      <c r="AL356" s="19"/>
      <c r="AM356" s="19"/>
      <c r="AN356" s="19"/>
      <c r="AO356" s="199"/>
      <c r="AP356" s="19"/>
      <c r="AQ356" s="19"/>
      <c r="AR356" s="19"/>
      <c r="AS356" s="19"/>
      <c r="AT356" s="199"/>
      <c r="AU356" s="19"/>
      <c r="AV356" s="19"/>
      <c r="AW356" s="19"/>
      <c r="AX356" s="19"/>
      <c r="AY356" s="199"/>
      <c r="AZ356" s="19"/>
      <c r="BA356" s="19">
        <f t="shared" ref="BA356:BS356" si="1135">BA354/BA305</f>
        <v>0.12421312949640288</v>
      </c>
      <c r="BB356" s="19">
        <f t="shared" si="1135"/>
        <v>0.12904376518850466</v>
      </c>
      <c r="BC356" s="19">
        <f t="shared" si="1135"/>
        <v>0.12317692184018926</v>
      </c>
      <c r="BD356" s="199">
        <f t="shared" si="1135"/>
        <v>0.12317692184018926</v>
      </c>
      <c r="BE356" s="19">
        <f t="shared" si="1135"/>
        <v>0.12636730643451588</v>
      </c>
      <c r="BF356" s="19">
        <f t="shared" si="1135"/>
        <v>0.13773425551827251</v>
      </c>
      <c r="BG356" s="19">
        <f t="shared" si="1135"/>
        <v>0.128334067156397</v>
      </c>
      <c r="BH356" s="19">
        <f t="shared" si="1135"/>
        <v>0.12063536167453923</v>
      </c>
      <c r="BI356" s="199">
        <f t="shared" si="1135"/>
        <v>0.12063536167453923</v>
      </c>
      <c r="BJ356" s="19">
        <f t="shared" si="1135"/>
        <v>0.1239488616941273</v>
      </c>
      <c r="BK356" s="19">
        <f t="shared" si="1135"/>
        <v>0.12356989835452846</v>
      </c>
      <c r="BL356" s="19">
        <f t="shared" si="1135"/>
        <v>0.11304489264801562</v>
      </c>
      <c r="BM356" s="19">
        <f t="shared" si="1135"/>
        <v>0.11988781351295433</v>
      </c>
      <c r="BN356" s="341">
        <f t="shared" si="1135"/>
        <v>0.11988781351295433</v>
      </c>
      <c r="BO356" s="341">
        <f t="shared" si="1135"/>
        <v>0.1237864626943357</v>
      </c>
      <c r="BP356" s="19">
        <f t="shared" si="1135"/>
        <v>0.11399821109123434</v>
      </c>
      <c r="BQ356" s="19">
        <f t="shared" si="1135"/>
        <v>0.10896915584415584</v>
      </c>
      <c r="BR356" s="19">
        <f t="shared" si="1135"/>
        <v>0.11164983164983165</v>
      </c>
      <c r="BS356" s="199">
        <f t="shared" si="1135"/>
        <v>0.11164983164983165</v>
      </c>
      <c r="BT356" s="19"/>
      <c r="BU356" s="19"/>
      <c r="BV356" s="19"/>
      <c r="BW356" s="19"/>
      <c r="BX356" s="199">
        <f>BX354/BX305</f>
        <v>0.10340274056495445</v>
      </c>
      <c r="BY356" s="19"/>
      <c r="BZ356" s="19"/>
      <c r="CA356" s="19"/>
      <c r="CB356" s="19"/>
      <c r="CC356" s="199">
        <f>CC354/CC305</f>
        <v>9.0630254429888576E-2</v>
      </c>
      <c r="CD356" s="19"/>
      <c r="CE356" s="19"/>
      <c r="CF356" s="19"/>
      <c r="CG356" s="19"/>
      <c r="CH356" s="199">
        <f>CH354/CH305</f>
        <v>9.4798057740806269E-2</v>
      </c>
      <c r="CI356" s="19"/>
      <c r="CJ356" s="19"/>
      <c r="CK356" s="19"/>
      <c r="CL356" s="19"/>
      <c r="CM356" s="199">
        <f>CM354/CM305</f>
        <v>9.4594330972864363E-2</v>
      </c>
      <c r="CN356" s="19"/>
      <c r="CO356" s="19"/>
      <c r="CP356" s="19"/>
      <c r="CQ356" s="19"/>
      <c r="CR356" s="199">
        <f>CR354/CR305</f>
        <v>7.9533941236068897E-2</v>
      </c>
      <c r="CS356" s="19"/>
      <c r="CT356" s="19"/>
      <c r="CU356" s="19"/>
      <c r="CV356" s="19"/>
      <c r="CW356" s="199">
        <f>CW354/CW305</f>
        <v>7.9477653945739052E-2</v>
      </c>
      <c r="CX356" s="19"/>
      <c r="CY356" s="19"/>
      <c r="CZ356" s="19"/>
      <c r="DA356" s="19"/>
      <c r="DB356" s="199">
        <f>DB354/DB305</f>
        <v>6.8329882395549518E-2</v>
      </c>
      <c r="DC356" s="19"/>
      <c r="DD356" s="19"/>
      <c r="DE356" s="19"/>
      <c r="DF356" s="19"/>
      <c r="DG356" s="199">
        <f>DG354/DG305</f>
        <v>6.2441120746560184E-2</v>
      </c>
      <c r="DH356" s="19"/>
      <c r="DI356" s="19"/>
      <c r="DJ356" s="19"/>
      <c r="DK356" s="19"/>
      <c r="DL356" s="199">
        <f>DL354/DL305</f>
        <v>6.6078602786036764E-2</v>
      </c>
      <c r="DM356" s="19"/>
      <c r="DN356" s="527"/>
      <c r="DO356" s="486"/>
      <c r="DP356" s="411"/>
      <c r="DQ356" s="411"/>
      <c r="DR356" s="411"/>
      <c r="DS356" s="480" t="s">
        <v>34</v>
      </c>
      <c r="DT356" s="480"/>
      <c r="DU356" s="460"/>
      <c r="DV356" s="460"/>
      <c r="DW356" s="460"/>
      <c r="DX356" s="460"/>
      <c r="DY356" s="460"/>
      <c r="DZ356" s="460"/>
      <c r="EA356" s="527"/>
      <c r="EH356" s="8"/>
    </row>
    <row r="357" spans="1:138" ht="12.75" customHeight="1" x14ac:dyDescent="0.2">
      <c r="A357" s="5" t="s">
        <v>397</v>
      </c>
      <c r="B357" s="5"/>
      <c r="C357" s="5"/>
      <c r="D357" s="5"/>
      <c r="E357" s="5"/>
      <c r="F357" s="197"/>
      <c r="G357" s="5"/>
      <c r="H357" s="5"/>
      <c r="I357" s="5"/>
      <c r="J357" s="5"/>
      <c r="K357" s="197"/>
      <c r="L357" s="5"/>
      <c r="M357" s="5"/>
      <c r="N357" s="5"/>
      <c r="O357" s="5"/>
      <c r="P357" s="197"/>
      <c r="Q357" s="5"/>
      <c r="R357" s="5"/>
      <c r="S357" s="5"/>
      <c r="T357" s="5"/>
      <c r="U357" s="197"/>
      <c r="V357" s="5"/>
      <c r="W357" s="5"/>
      <c r="X357" s="5"/>
      <c r="Y357" s="5"/>
      <c r="Z357" s="197"/>
      <c r="AA357" s="5"/>
      <c r="AB357" s="5"/>
      <c r="AC357" s="5"/>
      <c r="AD357" s="5"/>
      <c r="AE357" s="197"/>
      <c r="AF357" s="5"/>
      <c r="AG357" s="5"/>
      <c r="AH357" s="5"/>
      <c r="AI357" s="5"/>
      <c r="AJ357" s="197"/>
      <c r="AK357" s="5"/>
      <c r="AL357" s="5"/>
      <c r="AM357" s="5"/>
      <c r="AN357" s="5"/>
      <c r="AO357" s="197"/>
      <c r="AP357" s="5"/>
      <c r="AQ357" s="5"/>
      <c r="AR357" s="5"/>
      <c r="AS357" s="5"/>
      <c r="AT357" s="197"/>
      <c r="AU357" s="5"/>
      <c r="AV357" s="5"/>
      <c r="AW357" s="5"/>
      <c r="AX357" s="5"/>
      <c r="AY357" s="197"/>
      <c r="AZ357" s="5"/>
      <c r="BA357" s="5"/>
      <c r="BB357" s="5"/>
      <c r="BC357" s="5"/>
      <c r="BD357" s="197"/>
      <c r="BE357" s="5"/>
      <c r="BF357" s="5"/>
      <c r="BG357" s="5"/>
      <c r="BH357" s="5"/>
      <c r="BI357" s="197"/>
      <c r="BJ357" s="5"/>
      <c r="BK357" s="5"/>
      <c r="BL357" s="5"/>
      <c r="BM357" s="5"/>
      <c r="BN357" s="315"/>
      <c r="BO357" s="315"/>
      <c r="BP357" s="5"/>
      <c r="BQ357" s="5"/>
      <c r="BR357" s="5"/>
      <c r="BS357" s="197"/>
      <c r="BT357" s="5"/>
      <c r="BU357" s="5"/>
      <c r="BV357" s="5"/>
      <c r="BW357" s="5"/>
      <c r="BX357" s="197"/>
      <c r="BY357" s="5"/>
      <c r="BZ357" s="5"/>
      <c r="CA357" s="5"/>
      <c r="CB357" s="5"/>
      <c r="CC357" s="197"/>
      <c r="CD357" s="5"/>
      <c r="CE357" s="5"/>
      <c r="CF357" s="5"/>
      <c r="CG357" s="5"/>
      <c r="CH357" s="197"/>
      <c r="CI357" s="5"/>
      <c r="CJ357" s="5"/>
      <c r="CK357" s="5"/>
      <c r="CL357" s="5"/>
      <c r="CM357" s="197"/>
      <c r="CN357" s="5"/>
      <c r="CO357" s="5"/>
      <c r="CP357" s="5"/>
      <c r="CQ357" s="5"/>
      <c r="CR357" s="197"/>
      <c r="CS357" s="5"/>
      <c r="CT357" s="5"/>
      <c r="CU357" s="5"/>
      <c r="CV357" s="5"/>
      <c r="CW357" s="197"/>
      <c r="CX357" s="5"/>
      <c r="CY357" s="5"/>
      <c r="CZ357" s="5"/>
      <c r="DA357" s="5"/>
      <c r="DB357" s="197"/>
      <c r="DC357" s="5"/>
      <c r="DD357" s="5"/>
      <c r="DE357" s="5"/>
      <c r="DF357" s="5"/>
      <c r="DG357" s="197"/>
      <c r="DH357" s="5"/>
      <c r="DI357" s="5"/>
      <c r="DJ357" s="5"/>
      <c r="DK357" s="5"/>
      <c r="DL357" s="197"/>
      <c r="DM357" s="413"/>
      <c r="DN357" s="4"/>
      <c r="DO357" s="487"/>
      <c r="DP357" s="413"/>
      <c r="DQ357" s="413"/>
      <c r="DR357" s="413"/>
      <c r="DS357" s="480"/>
      <c r="DT357" s="480"/>
      <c r="DU357" s="460"/>
      <c r="DV357" s="458"/>
      <c r="DW357" s="458"/>
      <c r="DX357" s="458"/>
      <c r="DY357" s="458"/>
      <c r="DZ357" s="458"/>
      <c r="EA357" s="4"/>
      <c r="EH357" s="5"/>
    </row>
    <row r="358" spans="1:138" ht="12.75" hidden="1" customHeight="1" x14ac:dyDescent="0.2">
      <c r="A358" s="82" t="s">
        <v>9</v>
      </c>
      <c r="B358" s="82"/>
      <c r="C358" s="82"/>
      <c r="D358" s="82"/>
      <c r="E358" s="82"/>
      <c r="F358" s="229">
        <f>F224/F229</f>
        <v>6.6444805808720639</v>
      </c>
      <c r="G358" s="82"/>
      <c r="H358" s="82"/>
      <c r="I358" s="82"/>
      <c r="J358" s="82"/>
      <c r="K358" s="229">
        <f>K224/K229</f>
        <v>-2.7243902439024392</v>
      </c>
      <c r="L358" s="82"/>
      <c r="M358" s="82"/>
      <c r="N358" s="82"/>
      <c r="O358" s="82"/>
      <c r="P358" s="229">
        <f>P224/P229</f>
        <v>-1.4819672131147541</v>
      </c>
      <c r="Q358" s="82"/>
      <c r="R358" s="82"/>
      <c r="S358" s="82"/>
      <c r="T358" s="82"/>
      <c r="U358" s="229">
        <f>U224/U229</f>
        <v>-1.3066810344827597</v>
      </c>
      <c r="V358" s="82"/>
      <c r="W358" s="82"/>
      <c r="X358" s="82"/>
      <c r="Y358" s="82"/>
      <c r="Z358" s="229">
        <f>Z224/Z229</f>
        <v>-1.8729351969504446</v>
      </c>
      <c r="AA358" s="82"/>
      <c r="AB358" s="82"/>
      <c r="AC358" s="82"/>
      <c r="AD358" s="82"/>
      <c r="AE358" s="229">
        <f>AE224/AE229</f>
        <v>-1.1438848920863309</v>
      </c>
      <c r="AF358" s="82"/>
      <c r="AG358" s="82"/>
      <c r="AH358" s="82"/>
      <c r="AI358" s="82"/>
      <c r="AJ358" s="229">
        <f t="shared" ref="AJ358:AO358" si="1136">AJ224/AJ229</f>
        <v>7.2409488139825215E-2</v>
      </c>
      <c r="AK358" s="82">
        <f t="shared" si="1136"/>
        <v>0.88466413181242076</v>
      </c>
      <c r="AL358" s="82">
        <f t="shared" si="1136"/>
        <v>1.179523141654979</v>
      </c>
      <c r="AM358" s="82">
        <f t="shared" si="1136"/>
        <v>1.8860971524288108</v>
      </c>
      <c r="AN358" s="82">
        <f t="shared" si="1136"/>
        <v>2.18359375</v>
      </c>
      <c r="AO358" s="229">
        <f t="shared" si="1136"/>
        <v>2.18359375</v>
      </c>
      <c r="AP358" s="82"/>
      <c r="AQ358" s="82"/>
      <c r="AR358" s="82"/>
      <c r="AS358" s="82"/>
      <c r="AT358" s="229"/>
      <c r="AU358" s="82">
        <f t="shared" ref="AU358:BS358" si="1137">AU224/AU229</f>
        <v>-1.303030303030303</v>
      </c>
      <c r="AV358" s="82">
        <f t="shared" si="1137"/>
        <v>-5.0251256281407038E-2</v>
      </c>
      <c r="AW358" s="82">
        <f t="shared" si="1137"/>
        <v>0.32236842105263158</v>
      </c>
      <c r="AX358" s="82">
        <f t="shared" si="1137"/>
        <v>5.5555555555555552E-2</v>
      </c>
      <c r="AY358" s="229">
        <f t="shared" si="1137"/>
        <v>5.5555555555555552E-2</v>
      </c>
      <c r="AZ358" s="82">
        <f t="shared" si="1137"/>
        <v>-7.3999999999999996E-2</v>
      </c>
      <c r="BA358" s="82">
        <f t="shared" si="1137"/>
        <v>-0.22690582959641256</v>
      </c>
      <c r="BB358" s="82">
        <f t="shared" si="1137"/>
        <v>-0.11147540983606558</v>
      </c>
      <c r="BC358" s="82">
        <f t="shared" si="1137"/>
        <v>6.7945643485211829E-2</v>
      </c>
      <c r="BD358" s="229">
        <f t="shared" si="1137"/>
        <v>6.7945643485211829E-2</v>
      </c>
      <c r="BE358" s="82">
        <f t="shared" si="1137"/>
        <v>0.46783161239078636</v>
      </c>
      <c r="BF358" s="82">
        <f t="shared" si="1137"/>
        <v>1.1656528662420378</v>
      </c>
      <c r="BG358" s="82">
        <f t="shared" si="1137"/>
        <v>1.882590506838294</v>
      </c>
      <c r="BH358" s="82">
        <f t="shared" si="1137"/>
        <v>2.2506835443037971</v>
      </c>
      <c r="BI358" s="229">
        <f t="shared" si="1137"/>
        <v>2.2506835443037971</v>
      </c>
      <c r="BJ358" s="82">
        <f t="shared" si="1137"/>
        <v>2.1194943330427196</v>
      </c>
      <c r="BK358" s="82">
        <f t="shared" si="1137"/>
        <v>1.9147217235188509</v>
      </c>
      <c r="BL358" s="82">
        <f t="shared" si="1137"/>
        <v>1.8319559228650137</v>
      </c>
      <c r="BM358" s="82">
        <f t="shared" si="1137"/>
        <v>2.0502742230347351</v>
      </c>
      <c r="BN358" s="345">
        <f t="shared" si="1137"/>
        <v>2.0502742230347351</v>
      </c>
      <c r="BO358" s="345">
        <f t="shared" si="1137"/>
        <v>2.3460837887067396</v>
      </c>
      <c r="BP358" s="82">
        <f t="shared" si="1137"/>
        <v>2.6306976744186046</v>
      </c>
      <c r="BQ358" s="82">
        <f t="shared" si="1137"/>
        <v>2.664745437079731</v>
      </c>
      <c r="BR358" s="82">
        <f t="shared" si="1137"/>
        <v>2.5886983343615051</v>
      </c>
      <c r="BS358" s="229">
        <f t="shared" si="1137"/>
        <v>2.5886983343615051</v>
      </c>
      <c r="BT358" s="82"/>
      <c r="BU358" s="82"/>
      <c r="BV358" s="82"/>
      <c r="BW358" s="82"/>
      <c r="BX358" s="229">
        <f>BX224/BX229</f>
        <v>4.13849765258216</v>
      </c>
      <c r="BY358" s="82"/>
      <c r="BZ358" s="82"/>
      <c r="CA358" s="82"/>
      <c r="CB358" s="82"/>
      <c r="CC358" s="229">
        <f>CC224/CC229</f>
        <v>8.1421947449768162</v>
      </c>
      <c r="CD358" s="82"/>
      <c r="CE358" s="82"/>
      <c r="CF358" s="82"/>
      <c r="CG358" s="82"/>
      <c r="CH358" s="229">
        <f>CH224/CH229</f>
        <v>13.588357588357589</v>
      </c>
      <c r="CI358" s="82"/>
      <c r="CJ358" s="82"/>
      <c r="CK358" s="82"/>
      <c r="CL358" s="82"/>
      <c r="CM358" s="229">
        <f>CM224/CM229</f>
        <v>16.757731958762886</v>
      </c>
      <c r="CN358" s="82"/>
      <c r="CO358" s="82"/>
      <c r="CP358" s="82"/>
      <c r="CQ358" s="82"/>
      <c r="CR358" s="229">
        <f>CR224/CR229</f>
        <v>14.782828282828282</v>
      </c>
      <c r="CS358" s="82"/>
      <c r="CT358" s="82"/>
      <c r="CU358" s="82"/>
      <c r="CV358" s="82"/>
      <c r="CW358" s="229">
        <f>CW224/CW229</f>
        <v>14.411616161616161</v>
      </c>
      <c r="CX358" s="82"/>
      <c r="CY358" s="82"/>
      <c r="CZ358" s="82"/>
      <c r="DA358" s="82"/>
      <c r="DB358" s="229">
        <f>DB224/DB229</f>
        <v>14.659070801573884</v>
      </c>
      <c r="DC358" s="82"/>
      <c r="DD358" s="82"/>
      <c r="DE358" s="82"/>
      <c r="DF358" s="82"/>
      <c r="DG358" s="229">
        <f>DG224/DG229</f>
        <v>19.795676227821193</v>
      </c>
      <c r="DH358" s="82"/>
      <c r="DI358" s="82"/>
      <c r="DJ358" s="82"/>
      <c r="DK358" s="82"/>
      <c r="DL358" s="229">
        <f>DL224/DL229</f>
        <v>28.408840885813465</v>
      </c>
      <c r="DM358" s="82"/>
      <c r="DN358" s="525"/>
      <c r="DO358" s="486"/>
      <c r="DP358" s="411"/>
      <c r="DQ358" s="411"/>
      <c r="DR358" s="411"/>
      <c r="DS358" s="554"/>
      <c r="DT358" s="554"/>
      <c r="DU358" s="458"/>
      <c r="DV358" s="473"/>
      <c r="DW358" s="473"/>
      <c r="DX358" s="473"/>
      <c r="DY358" s="473"/>
      <c r="DZ358" s="473"/>
      <c r="EA358" s="525"/>
      <c r="EH358" s="8"/>
    </row>
    <row r="359" spans="1:138" ht="12.75" hidden="1" customHeight="1" x14ac:dyDescent="0.2">
      <c r="A359" s="82" t="s">
        <v>10</v>
      </c>
      <c r="B359" s="82"/>
      <c r="C359" s="82"/>
      <c r="D359" s="82"/>
      <c r="E359" s="82"/>
      <c r="F359" s="229" t="e">
        <f>#REF!/F229</f>
        <v>#REF!</v>
      </c>
      <c r="G359" s="82"/>
      <c r="H359" s="82"/>
      <c r="I359" s="82"/>
      <c r="J359" s="82"/>
      <c r="K359" s="229" t="e">
        <f>#REF!/K229</f>
        <v>#REF!</v>
      </c>
      <c r="L359" s="82"/>
      <c r="M359" s="82"/>
      <c r="N359" s="82"/>
      <c r="O359" s="82"/>
      <c r="P359" s="229" t="e">
        <f>#REF!/P229</f>
        <v>#REF!</v>
      </c>
      <c r="Q359" s="82"/>
      <c r="R359" s="82"/>
      <c r="S359" s="82"/>
      <c r="T359" s="82"/>
      <c r="U359" s="229" t="e">
        <f>#REF!/U229</f>
        <v>#REF!</v>
      </c>
      <c r="V359" s="82"/>
      <c r="W359" s="82"/>
      <c r="X359" s="82"/>
      <c r="Y359" s="82"/>
      <c r="Z359" s="229" t="e">
        <f>#REF!/Z229</f>
        <v>#REF!</v>
      </c>
      <c r="AA359" s="82"/>
      <c r="AB359" s="82"/>
      <c r="AC359" s="82"/>
      <c r="AD359" s="82"/>
      <c r="AE359" s="229" t="e">
        <f>#REF!/AE229</f>
        <v>#REF!</v>
      </c>
      <c r="AF359" s="82"/>
      <c r="AG359" s="82"/>
      <c r="AH359" s="82"/>
      <c r="AI359" s="82"/>
      <c r="AJ359" s="229" t="e">
        <f>#REF!/AJ229</f>
        <v>#REF!</v>
      </c>
      <c r="AK359" s="82" t="e">
        <f>#REF!/AK229</f>
        <v>#REF!</v>
      </c>
      <c r="AL359" s="82" t="e">
        <f>#REF!/AL229</f>
        <v>#REF!</v>
      </c>
      <c r="AM359" s="82" t="e">
        <f>#REF!/AM229</f>
        <v>#REF!</v>
      </c>
      <c r="AN359" s="82" t="e">
        <f>#REF!/AN229</f>
        <v>#REF!</v>
      </c>
      <c r="AO359" s="229" t="e">
        <f>#REF!/AO229</f>
        <v>#REF!</v>
      </c>
      <c r="AP359" s="82"/>
      <c r="AQ359" s="82"/>
      <c r="AR359" s="82"/>
      <c r="AS359" s="82"/>
      <c r="AT359" s="229"/>
      <c r="AU359" s="82" t="e">
        <f>#REF!/AU229</f>
        <v>#REF!</v>
      </c>
      <c r="AV359" s="82" t="e">
        <f>#REF!/AV229</f>
        <v>#REF!</v>
      </c>
      <c r="AW359" s="82" t="e">
        <f>#REF!/AW229</f>
        <v>#REF!</v>
      </c>
      <c r="AX359" s="82" t="e">
        <f>#REF!/AX229</f>
        <v>#REF!</v>
      </c>
      <c r="AY359" s="229" t="e">
        <f>#REF!/AY229</f>
        <v>#REF!</v>
      </c>
      <c r="AZ359" s="82" t="e">
        <f>#REF!/AZ229</f>
        <v>#REF!</v>
      </c>
      <c r="BA359" s="82" t="e">
        <f>#REF!/BA229</f>
        <v>#REF!</v>
      </c>
      <c r="BB359" s="82" t="e">
        <f>#REF!/BB229</f>
        <v>#REF!</v>
      </c>
      <c r="BC359" s="82" t="e">
        <f>#REF!/BC229</f>
        <v>#REF!</v>
      </c>
      <c r="BD359" s="229" t="e">
        <f>#REF!/BD229</f>
        <v>#REF!</v>
      </c>
      <c r="BE359" s="82" t="e">
        <f>#REF!/BE229</f>
        <v>#REF!</v>
      </c>
      <c r="BF359" s="82" t="e">
        <f>#REF!/BF229</f>
        <v>#REF!</v>
      </c>
      <c r="BG359" s="82" t="e">
        <f>#REF!/BG229</f>
        <v>#REF!</v>
      </c>
      <c r="BH359" s="82" t="e">
        <f>#REF!/BH229</f>
        <v>#REF!</v>
      </c>
      <c r="BI359" s="229" t="e">
        <f>#REF!/BI229</f>
        <v>#REF!</v>
      </c>
      <c r="BJ359" s="82" t="e">
        <f>#REF!/BJ229</f>
        <v>#REF!</v>
      </c>
      <c r="BK359" s="82" t="e">
        <f>#REF!/BK229</f>
        <v>#REF!</v>
      </c>
      <c r="BL359" s="82" t="e">
        <f>#REF!/BL229</f>
        <v>#REF!</v>
      </c>
      <c r="BM359" s="82" t="e">
        <f>#REF!/BM229</f>
        <v>#REF!</v>
      </c>
      <c r="BN359" s="345" t="e">
        <f>#REF!/BN229</f>
        <v>#REF!</v>
      </c>
      <c r="BO359" s="345" t="e">
        <f>#REF!/BO229</f>
        <v>#REF!</v>
      </c>
      <c r="BP359" s="82" t="e">
        <f>#REF!/BP229</f>
        <v>#REF!</v>
      </c>
      <c r="BQ359" s="82" t="e">
        <f>#REF!/BQ229</f>
        <v>#REF!</v>
      </c>
      <c r="BR359" s="82" t="e">
        <f>#REF!/BR229</f>
        <v>#REF!</v>
      </c>
      <c r="BS359" s="229" t="e">
        <f>#REF!/BS229</f>
        <v>#REF!</v>
      </c>
      <c r="BT359" s="82"/>
      <c r="BU359" s="82"/>
      <c r="BV359" s="82"/>
      <c r="BW359" s="82"/>
      <c r="BX359" s="229" t="e">
        <f>#REF!/BX229</f>
        <v>#REF!</v>
      </c>
      <c r="BY359" s="82"/>
      <c r="BZ359" s="82"/>
      <c r="CA359" s="82"/>
      <c r="CB359" s="82"/>
      <c r="CC359" s="229" t="e">
        <f>#REF!/CC229</f>
        <v>#REF!</v>
      </c>
      <c r="CD359" s="82"/>
      <c r="CE359" s="82"/>
      <c r="CF359" s="82"/>
      <c r="CG359" s="82"/>
      <c r="CH359" s="229" t="e">
        <f>#REF!/CH229</f>
        <v>#REF!</v>
      </c>
      <c r="CI359" s="82"/>
      <c r="CJ359" s="82"/>
      <c r="CK359" s="82"/>
      <c r="CL359" s="82"/>
      <c r="CM359" s="229" t="e">
        <f>#REF!/CM229</f>
        <v>#REF!</v>
      </c>
      <c r="CN359" s="82"/>
      <c r="CO359" s="82"/>
      <c r="CP359" s="82"/>
      <c r="CQ359" s="82"/>
      <c r="CR359" s="229" t="e">
        <f>#REF!/CR229</f>
        <v>#REF!</v>
      </c>
      <c r="CS359" s="82"/>
      <c r="CT359" s="82"/>
      <c r="CU359" s="82"/>
      <c r="CV359" s="82"/>
      <c r="CW359" s="229" t="e">
        <f>#REF!/CW229</f>
        <v>#REF!</v>
      </c>
      <c r="CX359" s="82"/>
      <c r="CY359" s="82"/>
      <c r="CZ359" s="82"/>
      <c r="DA359" s="82"/>
      <c r="DB359" s="229" t="e">
        <f>#REF!/DB229</f>
        <v>#REF!</v>
      </c>
      <c r="DC359" s="82"/>
      <c r="DD359" s="82"/>
      <c r="DE359" s="82"/>
      <c r="DF359" s="82"/>
      <c r="DG359" s="229" t="e">
        <f>#REF!/DG229</f>
        <v>#REF!</v>
      </c>
      <c r="DH359" s="82"/>
      <c r="DI359" s="82"/>
      <c r="DJ359" s="82"/>
      <c r="DK359" s="82"/>
      <c r="DL359" s="229" t="e">
        <f>#REF!/DL229</f>
        <v>#REF!</v>
      </c>
      <c r="DM359" s="82"/>
      <c r="DN359" s="525"/>
      <c r="DO359" s="486"/>
      <c r="DP359" s="411"/>
      <c r="DQ359" s="411"/>
      <c r="DR359" s="411"/>
      <c r="DS359" s="567"/>
      <c r="DT359" s="567"/>
      <c r="DU359" s="473"/>
      <c r="DV359" s="473"/>
      <c r="DW359" s="473"/>
      <c r="DX359" s="473"/>
      <c r="DY359" s="473"/>
      <c r="DZ359" s="473"/>
      <c r="EA359" s="525"/>
      <c r="EH359" s="8"/>
    </row>
    <row r="360" spans="1:138" ht="12.75" hidden="1" customHeight="1" x14ac:dyDescent="0.2">
      <c r="A360" s="82" t="s">
        <v>11</v>
      </c>
      <c r="B360" s="82"/>
      <c r="C360" s="82"/>
      <c r="D360" s="82"/>
      <c r="E360" s="82"/>
      <c r="F360" s="229">
        <f>F225/F229</f>
        <v>13.931853420564989</v>
      </c>
      <c r="G360" s="82"/>
      <c r="H360" s="82"/>
      <c r="I360" s="82"/>
      <c r="J360" s="82"/>
      <c r="K360" s="229">
        <f>K225/K229</f>
        <v>2.2024390243902441</v>
      </c>
      <c r="L360" s="82"/>
      <c r="M360" s="82"/>
      <c r="N360" s="82"/>
      <c r="O360" s="82"/>
      <c r="P360" s="229">
        <f>P225/P229</f>
        <v>1.562295081967213</v>
      </c>
      <c r="Q360" s="82"/>
      <c r="R360" s="82"/>
      <c r="S360" s="82"/>
      <c r="T360" s="82"/>
      <c r="U360" s="229">
        <f>U225/U229</f>
        <v>1.4648706896551713</v>
      </c>
      <c r="V360" s="82"/>
      <c r="W360" s="82"/>
      <c r="X360" s="82"/>
      <c r="Y360" s="82"/>
      <c r="Z360" s="229">
        <f>Z225/Z229</f>
        <v>0.61753494282083865</v>
      </c>
      <c r="AA360" s="82"/>
      <c r="AB360" s="82"/>
      <c r="AC360" s="82"/>
      <c r="AD360" s="82"/>
      <c r="AE360" s="229">
        <f>AE225/AE229</f>
        <v>0.72045220966084278</v>
      </c>
      <c r="AF360" s="82"/>
      <c r="AG360" s="82"/>
      <c r="AH360" s="82"/>
      <c r="AI360" s="82"/>
      <c r="AJ360" s="229">
        <f t="shared" ref="AJ360:AO360" si="1138">AJ225/AJ229</f>
        <v>2.0599250936329589</v>
      </c>
      <c r="AK360" s="82">
        <f t="shared" si="1138"/>
        <v>2.8580481622306717</v>
      </c>
      <c r="AL360" s="82">
        <f t="shared" si="1138"/>
        <v>3.297335203366059</v>
      </c>
      <c r="AM360" s="82">
        <f t="shared" si="1138"/>
        <v>4.4053601340033497</v>
      </c>
      <c r="AN360" s="82">
        <f t="shared" si="1138"/>
        <v>4.9375</v>
      </c>
      <c r="AO360" s="229">
        <f t="shared" si="1138"/>
        <v>4.9375</v>
      </c>
      <c r="AP360" s="82"/>
      <c r="AQ360" s="82"/>
      <c r="AR360" s="82"/>
      <c r="AS360" s="82"/>
      <c r="AT360" s="229"/>
      <c r="AU360" s="82">
        <f t="shared" ref="AU360:BS360" si="1139">AU225/AU229</f>
        <v>1.4545454545454546</v>
      </c>
      <c r="AV360" s="82">
        <f t="shared" si="1139"/>
        <v>2.6934673366834172</v>
      </c>
      <c r="AW360" s="82">
        <f t="shared" si="1139"/>
        <v>3.0098684210526314</v>
      </c>
      <c r="AX360" s="82">
        <f t="shared" si="1139"/>
        <v>2.4666666666666668</v>
      </c>
      <c r="AY360" s="229">
        <f t="shared" si="1139"/>
        <v>2.4666666666666668</v>
      </c>
      <c r="AZ360" s="82">
        <f t="shared" si="1139"/>
        <v>2.0550000000000002</v>
      </c>
      <c r="BA360" s="82">
        <f t="shared" si="1139"/>
        <v>1.6430493273542601</v>
      </c>
      <c r="BB360" s="82">
        <f t="shared" si="1139"/>
        <v>1.569672131147541</v>
      </c>
      <c r="BC360" s="82">
        <f t="shared" si="1139"/>
        <v>1.6794564348521184</v>
      </c>
      <c r="BD360" s="229">
        <f t="shared" si="1139"/>
        <v>1.6794564348521184</v>
      </c>
      <c r="BE360" s="82">
        <f t="shared" si="1139"/>
        <v>2.0627482128673549</v>
      </c>
      <c r="BF360" s="82">
        <f t="shared" si="1139"/>
        <v>2.7468630573248403</v>
      </c>
      <c r="BG360" s="82">
        <f t="shared" si="1139"/>
        <v>3.4473531777956552</v>
      </c>
      <c r="BH360" s="82">
        <f t="shared" si="1139"/>
        <v>3.8523713080168771</v>
      </c>
      <c r="BI360" s="229">
        <f t="shared" si="1139"/>
        <v>3.8523713080168771</v>
      </c>
      <c r="BJ360" s="82">
        <f t="shared" si="1139"/>
        <v>3.7367567567567561</v>
      </c>
      <c r="BK360" s="82">
        <f t="shared" si="1139"/>
        <v>3.5574506283662477</v>
      </c>
      <c r="BL360" s="82">
        <f t="shared" si="1139"/>
        <v>3.5022956841138657</v>
      </c>
      <c r="BM360" s="82">
        <f t="shared" si="1139"/>
        <v>3.7148080438756854</v>
      </c>
      <c r="BN360" s="345">
        <f t="shared" si="1139"/>
        <v>3.7148080438756854</v>
      </c>
      <c r="BO360" s="345">
        <f t="shared" si="1139"/>
        <v>4.0109289617486334</v>
      </c>
      <c r="BP360" s="82">
        <f t="shared" si="1139"/>
        <v>4.3320930232558137</v>
      </c>
      <c r="BQ360" s="82">
        <f t="shared" si="1139"/>
        <v>4.4226705091258403</v>
      </c>
      <c r="BR360" s="82">
        <f t="shared" si="1139"/>
        <v>4.4170100760847211</v>
      </c>
      <c r="BS360" s="229">
        <f t="shared" si="1139"/>
        <v>4.4170100760847211</v>
      </c>
      <c r="BT360" s="82"/>
      <c r="BU360" s="82"/>
      <c r="BV360" s="82"/>
      <c r="BW360" s="82"/>
      <c r="BX360" s="229">
        <f>BX225/BX229</f>
        <v>6.3298122065727709</v>
      </c>
      <c r="BY360" s="82"/>
      <c r="BZ360" s="82"/>
      <c r="CA360" s="82"/>
      <c r="CB360" s="82"/>
      <c r="CC360" s="229">
        <f>CC225/CC229</f>
        <v>11.239567233384854</v>
      </c>
      <c r="CD360" s="82"/>
      <c r="CE360" s="82"/>
      <c r="CF360" s="82"/>
      <c r="CG360" s="82"/>
      <c r="CH360" s="229">
        <f>CH225/CH229</f>
        <v>17.923076923076923</v>
      </c>
      <c r="CI360" s="82"/>
      <c r="CJ360" s="82"/>
      <c r="CK360" s="82"/>
      <c r="CL360" s="82"/>
      <c r="CM360" s="229">
        <f>CM225/CM229</f>
        <v>22.394329896907216</v>
      </c>
      <c r="CN360" s="82"/>
      <c r="CO360" s="82"/>
      <c r="CP360" s="82"/>
      <c r="CQ360" s="82"/>
      <c r="CR360" s="229">
        <f>CR225/CR229</f>
        <v>21.313131313131311</v>
      </c>
      <c r="CS360" s="82"/>
      <c r="CT360" s="82"/>
      <c r="CU360" s="82"/>
      <c r="CV360" s="82"/>
      <c r="CW360" s="229">
        <f>CW225/CW229</f>
        <v>20.90909090909091</v>
      </c>
      <c r="CX360" s="82"/>
      <c r="CY360" s="82"/>
      <c r="CZ360" s="82"/>
      <c r="DA360" s="82"/>
      <c r="DB360" s="229">
        <f>DB225/DB229</f>
        <v>21.933304889334675</v>
      </c>
      <c r="DC360" s="82"/>
      <c r="DD360" s="82"/>
      <c r="DE360" s="82"/>
      <c r="DF360" s="82"/>
      <c r="DG360" s="229">
        <f>DG225/DG229</f>
        <v>29.172279671838748</v>
      </c>
      <c r="DH360" s="82"/>
      <c r="DI360" s="82"/>
      <c r="DJ360" s="82"/>
      <c r="DK360" s="82"/>
      <c r="DL360" s="229">
        <f>DL225/DL229</f>
        <v>41.204754268537947</v>
      </c>
      <c r="DM360" s="82"/>
      <c r="DN360" s="525"/>
      <c r="DO360" s="486"/>
      <c r="DP360" s="411"/>
      <c r="DQ360" s="411"/>
      <c r="DR360" s="411"/>
      <c r="DS360" s="567"/>
      <c r="DT360" s="567"/>
      <c r="DU360" s="473"/>
      <c r="DV360" s="473"/>
      <c r="DW360" s="473"/>
      <c r="DX360" s="473"/>
      <c r="DY360" s="473"/>
      <c r="DZ360" s="473"/>
      <c r="EA360" s="525"/>
      <c r="EH360" s="8"/>
    </row>
    <row r="361" spans="1:138" ht="3" hidden="1" customHeight="1" x14ac:dyDescent="0.2">
      <c r="A361" s="82"/>
      <c r="B361" s="82"/>
      <c r="C361" s="82"/>
      <c r="D361" s="82"/>
      <c r="E361" s="82"/>
      <c r="F361" s="229"/>
      <c r="G361" s="82"/>
      <c r="H361" s="82"/>
      <c r="I361" s="82"/>
      <c r="J361" s="82"/>
      <c r="K361" s="229"/>
      <c r="L361" s="82"/>
      <c r="M361" s="82"/>
      <c r="N361" s="82"/>
      <c r="O361" s="82"/>
      <c r="P361" s="229"/>
      <c r="Q361" s="82"/>
      <c r="R361" s="82"/>
      <c r="S361" s="82"/>
      <c r="T361" s="82"/>
      <c r="U361" s="229"/>
      <c r="V361" s="82"/>
      <c r="W361" s="82"/>
      <c r="X361" s="82"/>
      <c r="Y361" s="82"/>
      <c r="Z361" s="229"/>
      <c r="AA361" s="82"/>
      <c r="AB361" s="82"/>
      <c r="AC361" s="82"/>
      <c r="AD361" s="82"/>
      <c r="AE361" s="229"/>
      <c r="AF361" s="82"/>
      <c r="AG361" s="82"/>
      <c r="AH361" s="82"/>
      <c r="AI361" s="82"/>
      <c r="AJ361" s="229"/>
      <c r="AK361" s="82"/>
      <c r="AL361" s="82"/>
      <c r="AM361" s="82"/>
      <c r="AN361" s="82"/>
      <c r="AO361" s="229"/>
      <c r="AP361" s="82"/>
      <c r="AQ361" s="82"/>
      <c r="AR361" s="82"/>
      <c r="AS361" s="82"/>
      <c r="AT361" s="229"/>
      <c r="AU361" s="82"/>
      <c r="AV361" s="82"/>
      <c r="AW361" s="82"/>
      <c r="AX361" s="82"/>
      <c r="AY361" s="229"/>
      <c r="AZ361" s="82"/>
      <c r="BA361" s="82"/>
      <c r="BB361" s="82"/>
      <c r="BC361" s="82"/>
      <c r="BD361" s="229"/>
      <c r="BE361" s="82"/>
      <c r="BF361" s="82"/>
      <c r="BG361" s="82"/>
      <c r="BH361" s="82"/>
      <c r="BI361" s="229"/>
      <c r="BJ361" s="82"/>
      <c r="BK361" s="82"/>
      <c r="BL361" s="82"/>
      <c r="BM361" s="82"/>
      <c r="BN361" s="345"/>
      <c r="BO361" s="345"/>
      <c r="BP361" s="82"/>
      <c r="BQ361" s="82"/>
      <c r="BR361" s="82"/>
      <c r="BS361" s="229"/>
      <c r="BT361" s="82"/>
      <c r="BU361" s="82"/>
      <c r="BV361" s="82"/>
      <c r="BW361" s="82"/>
      <c r="BX361" s="229"/>
      <c r="BY361" s="82"/>
      <c r="BZ361" s="82"/>
      <c r="CA361" s="82"/>
      <c r="CB361" s="82"/>
      <c r="CC361" s="229"/>
      <c r="CD361" s="82"/>
      <c r="CE361" s="82"/>
      <c r="CF361" s="82"/>
      <c r="CG361" s="82"/>
      <c r="CH361" s="229"/>
      <c r="CI361" s="82"/>
      <c r="CJ361" s="82"/>
      <c r="CK361" s="82"/>
      <c r="CL361" s="82"/>
      <c r="CM361" s="229"/>
      <c r="CN361" s="82"/>
      <c r="CO361" s="82"/>
      <c r="CP361" s="82"/>
      <c r="CQ361" s="82"/>
      <c r="CR361" s="229"/>
      <c r="CS361" s="82"/>
      <c r="CT361" s="82"/>
      <c r="CU361" s="82"/>
      <c r="CV361" s="82"/>
      <c r="CW361" s="229"/>
      <c r="CX361" s="82"/>
      <c r="CY361" s="82"/>
      <c r="CZ361" s="82"/>
      <c r="DA361" s="82"/>
      <c r="DB361" s="229"/>
      <c r="DC361" s="82"/>
      <c r="DD361" s="82"/>
      <c r="DE361" s="82"/>
      <c r="DF361" s="82"/>
      <c r="DG361" s="229"/>
      <c r="DH361" s="82"/>
      <c r="DI361" s="82"/>
      <c r="DJ361" s="82"/>
      <c r="DK361" s="82"/>
      <c r="DL361" s="229"/>
      <c r="DM361" s="82"/>
      <c r="DN361" s="525"/>
      <c r="DO361" s="486"/>
      <c r="DP361" s="411"/>
      <c r="DQ361" s="411"/>
      <c r="DR361" s="411"/>
      <c r="DS361" s="567"/>
      <c r="DT361" s="567"/>
      <c r="DU361" s="473"/>
      <c r="DV361" s="473"/>
      <c r="DW361" s="473"/>
      <c r="DX361" s="473"/>
      <c r="DY361" s="473"/>
      <c r="DZ361" s="473"/>
      <c r="EA361" s="525"/>
      <c r="EH361" s="8"/>
    </row>
    <row r="362" spans="1:138" ht="12.75" hidden="1" customHeight="1" x14ac:dyDescent="0.2">
      <c r="A362" s="82" t="s">
        <v>12</v>
      </c>
      <c r="B362" s="82"/>
      <c r="C362" s="82"/>
      <c r="D362" s="82"/>
      <c r="E362" s="82"/>
      <c r="F362" s="229"/>
      <c r="G362" s="82"/>
      <c r="H362" s="82"/>
      <c r="I362" s="82"/>
      <c r="J362" s="82"/>
      <c r="K362" s="229"/>
      <c r="L362" s="82"/>
      <c r="M362" s="82"/>
      <c r="N362" s="82"/>
      <c r="O362" s="82"/>
      <c r="P362" s="229"/>
      <c r="Q362" s="82"/>
      <c r="R362" s="82"/>
      <c r="S362" s="82"/>
      <c r="T362" s="82"/>
      <c r="U362" s="229"/>
      <c r="V362" s="82"/>
      <c r="W362" s="82"/>
      <c r="X362" s="82"/>
      <c r="Y362" s="82"/>
      <c r="Z362" s="229">
        <f>Z224/Z228</f>
        <v>-1.7888349514563107</v>
      </c>
      <c r="AA362" s="82"/>
      <c r="AB362" s="82"/>
      <c r="AC362" s="82"/>
      <c r="AD362" s="82"/>
      <c r="AE362" s="229">
        <f>AE224/AE228</f>
        <v>-1.0784883720930232</v>
      </c>
      <c r="AF362" s="82"/>
      <c r="AG362" s="82"/>
      <c r="AH362" s="82"/>
      <c r="AI362" s="82"/>
      <c r="AJ362" s="229">
        <f t="shared" ref="AJ362:AO362" si="1140">AJ224/AJ228</f>
        <v>6.6666666666666666E-2</v>
      </c>
      <c r="AK362" s="82">
        <f t="shared" si="1140"/>
        <v>0.81542056074766356</v>
      </c>
      <c r="AL362" s="82">
        <f t="shared" si="1140"/>
        <v>1.0525657071339174</v>
      </c>
      <c r="AM362" s="82">
        <f t="shared" si="1140"/>
        <v>1.5881523272214386</v>
      </c>
      <c r="AN362" s="82">
        <f t="shared" si="1140"/>
        <v>1.746875</v>
      </c>
      <c r="AO362" s="229">
        <f t="shared" si="1140"/>
        <v>1.746875</v>
      </c>
      <c r="AP362" s="82"/>
      <c r="AQ362" s="82"/>
      <c r="AR362" s="82"/>
      <c r="AS362" s="82"/>
      <c r="AT362" s="229"/>
      <c r="AU362" s="82">
        <f t="shared" ref="AU362:BS362" si="1141">AU224/AU228</f>
        <v>-0.9885057471264368</v>
      </c>
      <c r="AV362" s="82">
        <f t="shared" si="1141"/>
        <v>-3.9215686274509803E-2</v>
      </c>
      <c r="AW362" s="82">
        <f t="shared" si="1141"/>
        <v>0.2572178477690289</v>
      </c>
      <c r="AX362" s="82">
        <f t="shared" si="1141"/>
        <v>4.6382189239332093E-2</v>
      </c>
      <c r="AY362" s="229">
        <f t="shared" si="1141"/>
        <v>4.6382189239332093E-2</v>
      </c>
      <c r="AZ362" s="82">
        <f t="shared" si="1141"/>
        <v>-6.5777777777777782E-2</v>
      </c>
      <c r="BA362" s="82">
        <f t="shared" si="1141"/>
        <v>-0.21083333333333334</v>
      </c>
      <c r="BB362" s="82">
        <f t="shared" si="1141"/>
        <v>-0.10734017363851618</v>
      </c>
      <c r="BC362" s="82">
        <f t="shared" si="1141"/>
        <v>6.6510172143974963E-2</v>
      </c>
      <c r="BD362" s="229">
        <f t="shared" si="1141"/>
        <v>6.6510172143974963E-2</v>
      </c>
      <c r="BE362" s="82">
        <f t="shared" si="1141"/>
        <v>0.45447530864197533</v>
      </c>
      <c r="BF362" s="82">
        <f t="shared" si="1141"/>
        <v>1.1375757575757572</v>
      </c>
      <c r="BG362" s="82">
        <f t="shared" si="1141"/>
        <v>1.8324667188723567</v>
      </c>
      <c r="BH362" s="82">
        <f t="shared" si="1141"/>
        <v>2.1861147540983601</v>
      </c>
      <c r="BI362" s="229">
        <f t="shared" si="1141"/>
        <v>2.1861147540983601</v>
      </c>
      <c r="BJ362" s="82">
        <f t="shared" si="1141"/>
        <v>2.0831705227077975</v>
      </c>
      <c r="BK362" s="82">
        <f t="shared" si="1141"/>
        <v>1.8809523809523809</v>
      </c>
      <c r="BL362" s="82">
        <f t="shared" si="1141"/>
        <v>1.7989179440937781</v>
      </c>
      <c r="BM362" s="82">
        <f t="shared" si="1141"/>
        <v>2.0086882747568695</v>
      </c>
      <c r="BN362" s="345">
        <f t="shared" si="1141"/>
        <v>2.0086882747568695</v>
      </c>
      <c r="BO362" s="345">
        <f t="shared" si="1141"/>
        <v>2.2955950752393979</v>
      </c>
      <c r="BP362" s="82">
        <f t="shared" si="1141"/>
        <v>2.5645663322995871</v>
      </c>
      <c r="BQ362" s="82">
        <f t="shared" si="1141"/>
        <v>2.5932006227471396</v>
      </c>
      <c r="BR362" s="82">
        <f t="shared" si="1141"/>
        <v>2.5201744065333243</v>
      </c>
      <c r="BS362" s="229">
        <f t="shared" si="1141"/>
        <v>2.5201744065333243</v>
      </c>
      <c r="BT362" s="82"/>
      <c r="BU362" s="82"/>
      <c r="BV362" s="82"/>
      <c r="BW362" s="82"/>
      <c r="BX362" s="229">
        <f>BX224/BX228</f>
        <v>4.0083950726493134</v>
      </c>
      <c r="BY362" s="82"/>
      <c r="BZ362" s="82"/>
      <c r="CA362" s="82"/>
      <c r="CB362" s="82"/>
      <c r="CC362" s="229">
        <f>CC224/CC228</f>
        <v>7.7545845754220553</v>
      </c>
      <c r="CD362" s="82"/>
      <c r="CE362" s="82"/>
      <c r="CF362" s="82"/>
      <c r="CG362" s="82"/>
      <c r="CH362" s="229">
        <f>CH224/CH228</f>
        <v>12.742854594083054</v>
      </c>
      <c r="CI362" s="82"/>
      <c r="CJ362" s="82"/>
      <c r="CK362" s="82"/>
      <c r="CL362" s="82"/>
      <c r="CM362" s="229">
        <f>CM224/CM228</f>
        <v>15.320302263756394</v>
      </c>
      <c r="CN362" s="82"/>
      <c r="CO362" s="82"/>
      <c r="CP362" s="82"/>
      <c r="CQ362" s="82"/>
      <c r="CR362" s="229">
        <f>CR224/CR228</f>
        <v>13.497540732970531</v>
      </c>
      <c r="CS362" s="82"/>
      <c r="CT362" s="82"/>
      <c r="CU362" s="82"/>
      <c r="CV362" s="82"/>
      <c r="CW362" s="229">
        <f>CW224/CW228</f>
        <v>13.158603512651661</v>
      </c>
      <c r="CX362" s="82"/>
      <c r="CY362" s="82"/>
      <c r="CZ362" s="82"/>
      <c r="DA362" s="82"/>
      <c r="DB362" s="229">
        <f>DB224/DB228</f>
        <v>13.098151225480368</v>
      </c>
      <c r="DC362" s="82"/>
      <c r="DD362" s="82"/>
      <c r="DE362" s="82"/>
      <c r="DF362" s="82"/>
      <c r="DG362" s="229">
        <f>DG224/DG228</f>
        <v>17.583551950213668</v>
      </c>
      <c r="DH362" s="82"/>
      <c r="DI362" s="82"/>
      <c r="DJ362" s="82"/>
      <c r="DK362" s="82"/>
      <c r="DL362" s="229">
        <f>DL224/DL228</f>
        <v>24.335514435274035</v>
      </c>
      <c r="DM362" s="82"/>
      <c r="DN362" s="525"/>
      <c r="DO362" s="486"/>
      <c r="DP362" s="411"/>
      <c r="DQ362" s="411"/>
      <c r="DR362" s="411"/>
      <c r="DS362" s="567"/>
      <c r="DT362" s="567"/>
      <c r="DU362" s="473"/>
      <c r="DV362" s="473"/>
      <c r="DW362" s="473"/>
      <c r="DX362" s="473"/>
      <c r="DY362" s="473"/>
      <c r="DZ362" s="473"/>
      <c r="EA362" s="525"/>
      <c r="EH362" s="8"/>
    </row>
    <row r="363" spans="1:138" ht="12.75" hidden="1" customHeight="1" x14ac:dyDescent="0.2">
      <c r="A363" s="82" t="s">
        <v>35</v>
      </c>
      <c r="B363" s="82"/>
      <c r="C363" s="82"/>
      <c r="D363" s="82"/>
      <c r="E363" s="82"/>
      <c r="F363" s="229"/>
      <c r="G363" s="82"/>
      <c r="H363" s="82"/>
      <c r="I363" s="82"/>
      <c r="J363" s="82"/>
      <c r="K363" s="229"/>
      <c r="L363" s="82"/>
      <c r="M363" s="82"/>
      <c r="N363" s="82"/>
      <c r="O363" s="82"/>
      <c r="P363" s="229"/>
      <c r="Q363" s="82"/>
      <c r="R363" s="82"/>
      <c r="S363" s="82"/>
      <c r="T363" s="82"/>
      <c r="U363" s="229"/>
      <c r="V363" s="82"/>
      <c r="W363" s="82"/>
      <c r="X363" s="82"/>
      <c r="Y363" s="82"/>
      <c r="Z363" s="229" t="e">
        <f>#REF!/Z228</f>
        <v>#REF!</v>
      </c>
      <c r="AA363" s="82"/>
      <c r="AB363" s="82"/>
      <c r="AC363" s="82"/>
      <c r="AD363" s="82"/>
      <c r="AE363" s="229" t="e">
        <f>#REF!/AE228</f>
        <v>#REF!</v>
      </c>
      <c r="AF363" s="82"/>
      <c r="AG363" s="82"/>
      <c r="AH363" s="82"/>
      <c r="AI363" s="82"/>
      <c r="AJ363" s="229" t="e">
        <f>#REF!/AJ228</f>
        <v>#REF!</v>
      </c>
      <c r="AK363" s="82" t="e">
        <f>#REF!/AK228</f>
        <v>#REF!</v>
      </c>
      <c r="AL363" s="82" t="e">
        <f>#REF!/AL228</f>
        <v>#REF!</v>
      </c>
      <c r="AM363" s="82" t="e">
        <f>#REF!/AM228</f>
        <v>#REF!</v>
      </c>
      <c r="AN363" s="82" t="e">
        <f>#REF!/AN228</f>
        <v>#REF!</v>
      </c>
      <c r="AO363" s="229" t="e">
        <f>#REF!/AO228</f>
        <v>#REF!</v>
      </c>
      <c r="AP363" s="82"/>
      <c r="AQ363" s="82"/>
      <c r="AR363" s="82"/>
      <c r="AS363" s="82"/>
      <c r="AT363" s="229"/>
      <c r="AU363" s="82" t="e">
        <f>#REF!/AU228</f>
        <v>#REF!</v>
      </c>
      <c r="AV363" s="82" t="e">
        <f>#REF!/AV228</f>
        <v>#REF!</v>
      </c>
      <c r="AW363" s="82" t="e">
        <f>#REF!/AW228</f>
        <v>#REF!</v>
      </c>
      <c r="AX363" s="82" t="e">
        <f>#REF!/AX228</f>
        <v>#REF!</v>
      </c>
      <c r="AY363" s="229" t="e">
        <f>#REF!/AY228</f>
        <v>#REF!</v>
      </c>
      <c r="AZ363" s="82" t="e">
        <f>#REF!/AZ228</f>
        <v>#REF!</v>
      </c>
      <c r="BA363" s="82" t="e">
        <f>#REF!/BA228</f>
        <v>#REF!</v>
      </c>
      <c r="BB363" s="82" t="e">
        <f>#REF!/BB228</f>
        <v>#REF!</v>
      </c>
      <c r="BC363" s="82" t="e">
        <f>#REF!/BC228</f>
        <v>#REF!</v>
      </c>
      <c r="BD363" s="229" t="e">
        <f>#REF!/BD228</f>
        <v>#REF!</v>
      </c>
      <c r="BE363" s="82" t="e">
        <f>#REF!/BE228</f>
        <v>#REF!</v>
      </c>
      <c r="BF363" s="82" t="e">
        <f>#REF!/BF228</f>
        <v>#REF!</v>
      </c>
      <c r="BG363" s="82" t="e">
        <f>#REF!/BG228</f>
        <v>#REF!</v>
      </c>
      <c r="BH363" s="82" t="e">
        <f>#REF!/BH228</f>
        <v>#REF!</v>
      </c>
      <c r="BI363" s="229" t="e">
        <f>#REF!/BI228</f>
        <v>#REF!</v>
      </c>
      <c r="BJ363" s="82" t="e">
        <f>#REF!/BJ228</f>
        <v>#REF!</v>
      </c>
      <c r="BK363" s="82" t="e">
        <f>#REF!/BK228</f>
        <v>#REF!</v>
      </c>
      <c r="BL363" s="82" t="e">
        <f>#REF!/BL228</f>
        <v>#REF!</v>
      </c>
      <c r="BM363" s="82" t="e">
        <f>#REF!/BM228</f>
        <v>#REF!</v>
      </c>
      <c r="BN363" s="345" t="e">
        <f>#REF!/BN228</f>
        <v>#REF!</v>
      </c>
      <c r="BO363" s="345" t="e">
        <f>#REF!/BO228</f>
        <v>#REF!</v>
      </c>
      <c r="BP363" s="82" t="e">
        <f>#REF!/BP228</f>
        <v>#REF!</v>
      </c>
      <c r="BQ363" s="82" t="e">
        <f>#REF!/BQ228</f>
        <v>#REF!</v>
      </c>
      <c r="BR363" s="82" t="e">
        <f>#REF!/BR228</f>
        <v>#REF!</v>
      </c>
      <c r="BS363" s="229" t="e">
        <f>#REF!/BS228</f>
        <v>#REF!</v>
      </c>
      <c r="BT363" s="82"/>
      <c r="BU363" s="82"/>
      <c r="BV363" s="82"/>
      <c r="BW363" s="82"/>
      <c r="BX363" s="229" t="e">
        <f>#REF!/BX228</f>
        <v>#REF!</v>
      </c>
      <c r="BY363" s="82"/>
      <c r="BZ363" s="82"/>
      <c r="CA363" s="82"/>
      <c r="CB363" s="82"/>
      <c r="CC363" s="229" t="e">
        <f>#REF!/CC228</f>
        <v>#REF!</v>
      </c>
      <c r="CD363" s="82"/>
      <c r="CE363" s="82"/>
      <c r="CF363" s="82"/>
      <c r="CG363" s="82"/>
      <c r="CH363" s="229" t="e">
        <f>#REF!/CH228</f>
        <v>#REF!</v>
      </c>
      <c r="CI363" s="82"/>
      <c r="CJ363" s="82"/>
      <c r="CK363" s="82"/>
      <c r="CL363" s="82"/>
      <c r="CM363" s="229" t="e">
        <f>#REF!/CM228</f>
        <v>#REF!</v>
      </c>
      <c r="CN363" s="82"/>
      <c r="CO363" s="82"/>
      <c r="CP363" s="82"/>
      <c r="CQ363" s="82"/>
      <c r="CR363" s="229" t="e">
        <f>#REF!/CR228</f>
        <v>#REF!</v>
      </c>
      <c r="CS363" s="82"/>
      <c r="CT363" s="82"/>
      <c r="CU363" s="82"/>
      <c r="CV363" s="82"/>
      <c r="CW363" s="229" t="e">
        <f>#REF!/CW228</f>
        <v>#REF!</v>
      </c>
      <c r="CX363" s="82"/>
      <c r="CY363" s="82"/>
      <c r="CZ363" s="82"/>
      <c r="DA363" s="82"/>
      <c r="DB363" s="229" t="e">
        <f>#REF!/DB228</f>
        <v>#REF!</v>
      </c>
      <c r="DC363" s="82"/>
      <c r="DD363" s="82"/>
      <c r="DE363" s="82"/>
      <c r="DF363" s="82"/>
      <c r="DG363" s="229" t="e">
        <f>#REF!/DG228</f>
        <v>#REF!</v>
      </c>
      <c r="DH363" s="82"/>
      <c r="DI363" s="82"/>
      <c r="DJ363" s="82"/>
      <c r="DK363" s="82"/>
      <c r="DL363" s="229" t="e">
        <f>#REF!/DL228</f>
        <v>#REF!</v>
      </c>
      <c r="DM363" s="82"/>
      <c r="DN363" s="525"/>
      <c r="DO363" s="486"/>
      <c r="DP363" s="411"/>
      <c r="DQ363" s="411"/>
      <c r="DR363" s="411"/>
      <c r="DS363" s="567"/>
      <c r="DT363" s="567"/>
      <c r="DU363" s="473"/>
      <c r="DV363" s="473"/>
      <c r="DW363" s="473"/>
      <c r="DX363" s="473"/>
      <c r="DY363" s="473"/>
      <c r="DZ363" s="473"/>
      <c r="EA363" s="525"/>
      <c r="EH363" s="8"/>
    </row>
    <row r="364" spans="1:138" ht="12.75" hidden="1" customHeight="1" x14ac:dyDescent="0.2">
      <c r="A364" s="82" t="s">
        <v>36</v>
      </c>
      <c r="B364" s="82"/>
      <c r="C364" s="82"/>
      <c r="D364" s="82"/>
      <c r="E364" s="82"/>
      <c r="F364" s="229"/>
      <c r="G364" s="82"/>
      <c r="H364" s="82"/>
      <c r="I364" s="82"/>
      <c r="J364" s="82"/>
      <c r="K364" s="229"/>
      <c r="L364" s="82"/>
      <c r="M364" s="82"/>
      <c r="N364" s="82"/>
      <c r="O364" s="82"/>
      <c r="P364" s="229"/>
      <c r="Q364" s="82"/>
      <c r="R364" s="82"/>
      <c r="S364" s="82"/>
      <c r="T364" s="82"/>
      <c r="U364" s="229"/>
      <c r="V364" s="82"/>
      <c r="W364" s="82"/>
      <c r="X364" s="82"/>
      <c r="Y364" s="82"/>
      <c r="Z364" s="229">
        <f>Z225/Z228</f>
        <v>0.58980582524271841</v>
      </c>
      <c r="AA364" s="82"/>
      <c r="AB364" s="82"/>
      <c r="AC364" s="82"/>
      <c r="AD364" s="82"/>
      <c r="AE364" s="229">
        <f>AE225/AE228</f>
        <v>0.67926356589147285</v>
      </c>
      <c r="AF364" s="82"/>
      <c r="AG364" s="82"/>
      <c r="AH364" s="82"/>
      <c r="AI364" s="82"/>
      <c r="AJ364" s="229">
        <f t="shared" ref="AJ364:AO364" si="1142">AJ225/AJ228</f>
        <v>1.896551724137931</v>
      </c>
      <c r="AK364" s="82">
        <f t="shared" si="1142"/>
        <v>2.6343457943925235</v>
      </c>
      <c r="AL364" s="82">
        <f t="shared" si="1142"/>
        <v>2.9424280350438048</v>
      </c>
      <c r="AM364" s="82">
        <f t="shared" si="1142"/>
        <v>3.7094499294781382</v>
      </c>
      <c r="AN364" s="82">
        <f t="shared" si="1142"/>
        <v>3.95</v>
      </c>
      <c r="AO364" s="229">
        <f t="shared" si="1142"/>
        <v>3.95</v>
      </c>
      <c r="AP364" s="82"/>
      <c r="AQ364" s="82"/>
      <c r="AR364" s="82"/>
      <c r="AS364" s="82"/>
      <c r="AT364" s="229"/>
      <c r="AU364" s="82">
        <f t="shared" ref="AU364:BS364" si="1143">AU225/AU228</f>
        <v>1.103448275862069</v>
      </c>
      <c r="AV364" s="82">
        <f t="shared" si="1143"/>
        <v>2.1019607843137256</v>
      </c>
      <c r="AW364" s="82">
        <f t="shared" si="1143"/>
        <v>2.4015748031496065</v>
      </c>
      <c r="AX364" s="82">
        <f t="shared" si="1143"/>
        <v>2.0593692022263452</v>
      </c>
      <c r="AY364" s="229">
        <f t="shared" si="1143"/>
        <v>2.0593692022263452</v>
      </c>
      <c r="AZ364" s="82">
        <f t="shared" si="1143"/>
        <v>1.8266666666666667</v>
      </c>
      <c r="BA364" s="82">
        <f t="shared" si="1143"/>
        <v>1.5266666666666666</v>
      </c>
      <c r="BB364" s="82">
        <f t="shared" si="1143"/>
        <v>1.5114443567482241</v>
      </c>
      <c r="BC364" s="82">
        <f t="shared" si="1143"/>
        <v>1.6439749608763694</v>
      </c>
      <c r="BD364" s="229">
        <f t="shared" si="1143"/>
        <v>1.6439749608763694</v>
      </c>
      <c r="BE364" s="82">
        <f t="shared" si="1143"/>
        <v>2.003858024691358</v>
      </c>
      <c r="BF364" s="82">
        <f t="shared" si="1143"/>
        <v>2.6806993006993003</v>
      </c>
      <c r="BG364" s="82">
        <f t="shared" si="1143"/>
        <v>3.3555677368833199</v>
      </c>
      <c r="BH364" s="82">
        <f t="shared" si="1143"/>
        <v>3.7418524590163931</v>
      </c>
      <c r="BI364" s="229">
        <f t="shared" si="1143"/>
        <v>3.7418524590163931</v>
      </c>
      <c r="BJ364" s="82">
        <f t="shared" si="1143"/>
        <v>3.6727163667523559</v>
      </c>
      <c r="BK364" s="82">
        <f t="shared" si="1143"/>
        <v>3.4947089947089949</v>
      </c>
      <c r="BL364" s="82">
        <f t="shared" si="1143"/>
        <v>3.4391343552750224</v>
      </c>
      <c r="BM364" s="82">
        <f t="shared" si="1143"/>
        <v>3.6394601643387952</v>
      </c>
      <c r="BN364" s="345">
        <f t="shared" si="1143"/>
        <v>3.6394601643387952</v>
      </c>
      <c r="BO364" s="345">
        <f t="shared" si="1143"/>
        <v>3.9246120773890949</v>
      </c>
      <c r="BP364" s="82">
        <f t="shared" si="1143"/>
        <v>4.2231914460817457</v>
      </c>
      <c r="BQ364" s="82">
        <f t="shared" si="1143"/>
        <v>4.3039277819494703</v>
      </c>
      <c r="BR364" s="82">
        <f t="shared" si="1143"/>
        <v>4.3000899716243346</v>
      </c>
      <c r="BS364" s="229">
        <f t="shared" si="1143"/>
        <v>4.3000899716243346</v>
      </c>
      <c r="BT364" s="82"/>
      <c r="BU364" s="82"/>
      <c r="BV364" s="82"/>
      <c r="BW364" s="82"/>
      <c r="BX364" s="229">
        <f>BX225/BX228</f>
        <v>6.1308209378326</v>
      </c>
      <c r="BY364" s="82"/>
      <c r="BZ364" s="82"/>
      <c r="CA364" s="82"/>
      <c r="CB364" s="82"/>
      <c r="CC364" s="229">
        <f>CC225/CC228</f>
        <v>10.704506270400376</v>
      </c>
      <c r="CD364" s="82"/>
      <c r="CE364" s="82"/>
      <c r="CF364" s="82"/>
      <c r="CG364" s="82"/>
      <c r="CH364" s="229">
        <f>CH225/CH228</f>
        <v>16.807856403854039</v>
      </c>
      <c r="CI364" s="82"/>
      <c r="CJ364" s="82"/>
      <c r="CK364" s="82"/>
      <c r="CL364" s="82"/>
      <c r="CM364" s="229">
        <f>CM225/CM228</f>
        <v>20.473409161762429</v>
      </c>
      <c r="CN364" s="82"/>
      <c r="CO364" s="82"/>
      <c r="CP364" s="82"/>
      <c r="CQ364" s="82"/>
      <c r="CR364" s="229">
        <f>CR225/CR228</f>
        <v>19.460068976131069</v>
      </c>
      <c r="CS364" s="82"/>
      <c r="CT364" s="82"/>
      <c r="CU364" s="82"/>
      <c r="CV364" s="82"/>
      <c r="CW364" s="229">
        <f>CW225/CW228</f>
        <v>19.091157715920055</v>
      </c>
      <c r="CX364" s="82"/>
      <c r="CY364" s="82"/>
      <c r="CZ364" s="82"/>
      <c r="DA364" s="82"/>
      <c r="DB364" s="229">
        <f>DB225/DB228</f>
        <v>19.597814090933298</v>
      </c>
      <c r="DC364" s="82"/>
      <c r="DD364" s="82"/>
      <c r="DE364" s="82"/>
      <c r="DF364" s="82"/>
      <c r="DG364" s="229">
        <f>DG225/DG228</f>
        <v>25.912340109656192</v>
      </c>
      <c r="DH364" s="82"/>
      <c r="DI364" s="82"/>
      <c r="DJ364" s="82"/>
      <c r="DK364" s="82"/>
      <c r="DL364" s="229">
        <f>DL225/DL228</f>
        <v>35.296719649151989</v>
      </c>
      <c r="DM364" s="82"/>
      <c r="DN364" s="525"/>
      <c r="DO364" s="486"/>
      <c r="DP364" s="411"/>
      <c r="DQ364" s="411"/>
      <c r="DR364" s="411"/>
      <c r="DS364" s="567"/>
      <c r="DT364" s="567"/>
      <c r="DU364" s="473"/>
      <c r="DV364" s="473"/>
      <c r="DW364" s="473"/>
      <c r="DX364" s="473"/>
      <c r="DY364" s="473"/>
      <c r="DZ364" s="473"/>
      <c r="EA364" s="525"/>
      <c r="EH364" s="8"/>
    </row>
    <row r="365" spans="1:138" ht="3" hidden="1" customHeight="1" x14ac:dyDescent="0.2">
      <c r="A365" s="82"/>
      <c r="B365" s="82"/>
      <c r="C365" s="82"/>
      <c r="D365" s="82"/>
      <c r="E365" s="82"/>
      <c r="F365" s="229"/>
      <c r="G365" s="82"/>
      <c r="H365" s="82"/>
      <c r="I365" s="82"/>
      <c r="J365" s="82"/>
      <c r="K365" s="229"/>
      <c r="L365" s="82"/>
      <c r="M365" s="82"/>
      <c r="N365" s="82"/>
      <c r="O365" s="82"/>
      <c r="P365" s="229"/>
      <c r="Q365" s="82"/>
      <c r="R365" s="82"/>
      <c r="S365" s="82"/>
      <c r="T365" s="82"/>
      <c r="U365" s="229"/>
      <c r="V365" s="82"/>
      <c r="W365" s="82"/>
      <c r="X365" s="82"/>
      <c r="Y365" s="82"/>
      <c r="Z365" s="229"/>
      <c r="AA365" s="82"/>
      <c r="AB365" s="82"/>
      <c r="AC365" s="82"/>
      <c r="AD365" s="82"/>
      <c r="AE365" s="229"/>
      <c r="AF365" s="82"/>
      <c r="AG365" s="82"/>
      <c r="AH365" s="82"/>
      <c r="AI365" s="82"/>
      <c r="AJ365" s="229"/>
      <c r="AK365" s="82"/>
      <c r="AL365" s="82"/>
      <c r="AM365" s="82"/>
      <c r="AN365" s="82"/>
      <c r="AO365" s="229"/>
      <c r="AP365" s="82"/>
      <c r="AQ365" s="82"/>
      <c r="AR365" s="82"/>
      <c r="AS365" s="82"/>
      <c r="AT365" s="229"/>
      <c r="AU365" s="82"/>
      <c r="AV365" s="82"/>
      <c r="AW365" s="82"/>
      <c r="AX365" s="82"/>
      <c r="AY365" s="229"/>
      <c r="AZ365" s="82"/>
      <c r="BA365" s="82"/>
      <c r="BB365" s="82"/>
      <c r="BC365" s="82"/>
      <c r="BD365" s="229"/>
      <c r="BE365" s="82"/>
      <c r="BF365" s="82"/>
      <c r="BG365" s="82"/>
      <c r="BH365" s="82"/>
      <c r="BI365" s="229"/>
      <c r="BJ365" s="82"/>
      <c r="BK365" s="82"/>
      <c r="BL365" s="82"/>
      <c r="BM365" s="82"/>
      <c r="BN365" s="345"/>
      <c r="BO365" s="345"/>
      <c r="BP365" s="82"/>
      <c r="BQ365" s="82"/>
      <c r="BR365" s="82"/>
      <c r="BS365" s="229"/>
      <c r="BT365" s="82"/>
      <c r="BU365" s="82"/>
      <c r="BV365" s="82"/>
      <c r="BW365" s="82"/>
      <c r="BX365" s="229"/>
      <c r="BY365" s="82"/>
      <c r="BZ365" s="82"/>
      <c r="CA365" s="82"/>
      <c r="CB365" s="82"/>
      <c r="CC365" s="229"/>
      <c r="CD365" s="82"/>
      <c r="CE365" s="82"/>
      <c r="CF365" s="82"/>
      <c r="CG365" s="82"/>
      <c r="CH365" s="229"/>
      <c r="CI365" s="82"/>
      <c r="CJ365" s="82"/>
      <c r="CK365" s="82"/>
      <c r="CL365" s="82"/>
      <c r="CM365" s="229"/>
      <c r="CN365" s="82"/>
      <c r="CO365" s="82"/>
      <c r="CP365" s="82"/>
      <c r="CQ365" s="82"/>
      <c r="CR365" s="229"/>
      <c r="CS365" s="82"/>
      <c r="CT365" s="82"/>
      <c r="CU365" s="82"/>
      <c r="CV365" s="82"/>
      <c r="CW365" s="229"/>
      <c r="CX365" s="82"/>
      <c r="CY365" s="82"/>
      <c r="CZ365" s="82"/>
      <c r="DA365" s="82"/>
      <c r="DB365" s="229"/>
      <c r="DC365" s="82"/>
      <c r="DD365" s="82"/>
      <c r="DE365" s="82"/>
      <c r="DF365" s="82"/>
      <c r="DG365" s="229"/>
      <c r="DH365" s="82"/>
      <c r="DI365" s="82"/>
      <c r="DJ365" s="82"/>
      <c r="DK365" s="82"/>
      <c r="DL365" s="229"/>
      <c r="DM365" s="82"/>
      <c r="DN365" s="525"/>
      <c r="DO365" s="486"/>
      <c r="DP365" s="411"/>
      <c r="DQ365" s="411"/>
      <c r="DR365" s="411"/>
      <c r="DS365" s="567"/>
      <c r="DT365" s="567"/>
      <c r="DU365" s="473"/>
      <c r="DV365" s="473"/>
      <c r="DW365" s="473"/>
      <c r="DX365" s="473"/>
      <c r="DY365" s="473"/>
      <c r="DZ365" s="473"/>
      <c r="EA365" s="525"/>
      <c r="EH365" s="8"/>
    </row>
    <row r="366" spans="1:138" ht="12.75" hidden="1" customHeight="1" x14ac:dyDescent="0.2">
      <c r="A366" s="82" t="s">
        <v>315</v>
      </c>
      <c r="B366" s="82"/>
      <c r="C366" s="82"/>
      <c r="D366" s="82"/>
      <c r="E366" s="82"/>
      <c r="F366" s="229"/>
      <c r="G366" s="82"/>
      <c r="H366" s="82"/>
      <c r="I366" s="82"/>
      <c r="J366" s="82"/>
      <c r="K366" s="229"/>
      <c r="L366" s="82"/>
      <c r="M366" s="82"/>
      <c r="N366" s="82"/>
      <c r="O366" s="82"/>
      <c r="P366" s="229"/>
      <c r="Q366" s="82"/>
      <c r="R366" s="82"/>
      <c r="S366" s="82"/>
      <c r="T366" s="82"/>
      <c r="U366" s="229"/>
      <c r="V366" s="82"/>
      <c r="W366" s="82"/>
      <c r="X366" s="82"/>
      <c r="Y366" s="82"/>
      <c r="Z366" s="229">
        <f t="shared" ref="Z366:AO366" si="1144">Z224/(Z228+Z221)</f>
        <v>-0.95714285714285718</v>
      </c>
      <c r="AA366" s="82">
        <f t="shared" si="1144"/>
        <v>-0.95939086294416243</v>
      </c>
      <c r="AB366" s="82">
        <f t="shared" si="1144"/>
        <v>-0.86858190709046457</v>
      </c>
      <c r="AC366" s="82">
        <f t="shared" si="1144"/>
        <v>-0.72579675285628387</v>
      </c>
      <c r="AD366" s="82">
        <f t="shared" si="1144"/>
        <v>-0.70756516211061671</v>
      </c>
      <c r="AE366" s="229">
        <f t="shared" si="1144"/>
        <v>-0.70756516211061671</v>
      </c>
      <c r="AF366" s="82">
        <f t="shared" si="1144"/>
        <v>-0.79673691366417398</v>
      </c>
      <c r="AG366" s="82">
        <f t="shared" si="1144"/>
        <v>-0.57807807807807809</v>
      </c>
      <c r="AH366" s="82">
        <f t="shared" si="1144"/>
        <v>-0.37064676616915421</v>
      </c>
      <c r="AI366" s="82">
        <f t="shared" si="1144"/>
        <v>4.8903878583473864E-2</v>
      </c>
      <c r="AJ366" s="229">
        <f t="shared" si="1144"/>
        <v>4.8903878583473864E-2</v>
      </c>
      <c r="AK366" s="82">
        <f t="shared" si="1144"/>
        <v>0.60854402789886664</v>
      </c>
      <c r="AL366" s="82">
        <f t="shared" si="1144"/>
        <v>0.78378378378378377</v>
      </c>
      <c r="AM366" s="82">
        <f t="shared" si="1144"/>
        <v>1.157245632065776</v>
      </c>
      <c r="AN366" s="82">
        <f t="shared" si="1144"/>
        <v>1.2618510158013545</v>
      </c>
      <c r="AO366" s="229">
        <f t="shared" si="1144"/>
        <v>1.2618510158013545</v>
      </c>
      <c r="AP366" s="82"/>
      <c r="AQ366" s="82"/>
      <c r="AR366" s="82"/>
      <c r="AS366" s="82"/>
      <c r="AT366" s="229"/>
      <c r="AU366" s="82">
        <f t="shared" ref="AU366:BS366" si="1145">AU224/(AU228+AU221)</f>
        <v>-0.46486486486486489</v>
      </c>
      <c r="AV366" s="82">
        <f t="shared" si="1145"/>
        <v>-2.465772145788778E-2</v>
      </c>
      <c r="AW366" s="82">
        <f t="shared" si="1145"/>
        <v>0.16470588235294117</v>
      </c>
      <c r="AX366" s="82">
        <f t="shared" si="1145"/>
        <v>3.1867431485022309E-2</v>
      </c>
      <c r="AY366" s="229">
        <f t="shared" si="1145"/>
        <v>3.1867431485022309E-2</v>
      </c>
      <c r="AZ366" s="82">
        <f t="shared" si="1145"/>
        <v>-4.5707226683137737E-2</v>
      </c>
      <c r="BA366" s="82">
        <f t="shared" si="1145"/>
        <v>-0.14970414201183432</v>
      </c>
      <c r="BB366" s="82">
        <f t="shared" si="1145"/>
        <v>-7.7581289218482605E-2</v>
      </c>
      <c r="BC366" s="82">
        <f t="shared" si="1145"/>
        <v>4.8350398179749718E-2</v>
      </c>
      <c r="BD366" s="229">
        <f t="shared" si="1145"/>
        <v>4.8350398179749718E-2</v>
      </c>
      <c r="BE366" s="82">
        <f t="shared" si="1145"/>
        <v>0.33333333333333331</v>
      </c>
      <c r="BF366" s="82">
        <f t="shared" si="1145"/>
        <v>0.84141379310344799</v>
      </c>
      <c r="BG366" s="82">
        <f t="shared" si="1145"/>
        <v>1.3773160682754559</v>
      </c>
      <c r="BH366" s="82">
        <f t="shared" si="1145"/>
        <v>1.6596515245799623</v>
      </c>
      <c r="BI366" s="229">
        <f t="shared" si="1145"/>
        <v>1.6596515245799623</v>
      </c>
      <c r="BJ366" s="82">
        <f t="shared" si="1145"/>
        <v>1.599381578947368</v>
      </c>
      <c r="BK366" s="82">
        <f t="shared" si="1145"/>
        <v>1.460958904109589</v>
      </c>
      <c r="BL366" s="82">
        <f t="shared" si="1145"/>
        <v>1.4098939929328622</v>
      </c>
      <c r="BM366" s="82">
        <f t="shared" si="1145"/>
        <v>1.5855521795746264</v>
      </c>
      <c r="BN366" s="345">
        <f t="shared" si="1145"/>
        <v>1.5855521795746264</v>
      </c>
      <c r="BO366" s="345">
        <f t="shared" si="1145"/>
        <v>1.8177338986722786</v>
      </c>
      <c r="BP366" s="82">
        <f t="shared" si="1145"/>
        <v>2.0320171295875267</v>
      </c>
      <c r="BQ366" s="82">
        <f t="shared" si="1145"/>
        <v>2.0521993226863007</v>
      </c>
      <c r="BR366" s="82">
        <f t="shared" si="1145"/>
        <v>1.9945226488470178</v>
      </c>
      <c r="BS366" s="229">
        <f t="shared" si="1145"/>
        <v>1.9945226488470178</v>
      </c>
      <c r="BT366" s="82"/>
      <c r="BU366" s="82"/>
      <c r="BV366" s="82"/>
      <c r="BW366" s="82"/>
      <c r="BX366" s="229">
        <f>BX224/(BX228+BX221)</f>
        <v>3.2388624976144063</v>
      </c>
      <c r="BY366" s="82"/>
      <c r="BZ366" s="82"/>
      <c r="CA366" s="82"/>
      <c r="CB366" s="82"/>
      <c r="CC366" s="229">
        <f>CC224/(CC228+CC221)</f>
        <v>5.7741627209947159</v>
      </c>
      <c r="CD366" s="82"/>
      <c r="CE366" s="82"/>
      <c r="CF366" s="82"/>
      <c r="CG366" s="82"/>
      <c r="CH366" s="229">
        <f>CH224/(CH228+CH221)</f>
        <v>8.5671416211276359</v>
      </c>
      <c r="CI366" s="82"/>
      <c r="CJ366" s="82"/>
      <c r="CK366" s="82"/>
      <c r="CL366" s="82"/>
      <c r="CM366" s="229">
        <f>CM224/(CM228+CM221)</f>
        <v>9.1654382290263765</v>
      </c>
      <c r="CN366" s="82"/>
      <c r="CO366" s="82"/>
      <c r="CP366" s="82"/>
      <c r="CQ366" s="82"/>
      <c r="CR366" s="229">
        <f>CR224/(CR228+CR221)</f>
        <v>7.4600937478478988</v>
      </c>
      <c r="CS366" s="82"/>
      <c r="CT366" s="82"/>
      <c r="CU366" s="82"/>
      <c r="CV366" s="82"/>
      <c r="CW366" s="229">
        <f>CW224/(CW228+CW221)</f>
        <v>7.2727630712278719</v>
      </c>
      <c r="CX366" s="82"/>
      <c r="CY366" s="82"/>
      <c r="CZ366" s="82"/>
      <c r="DA366" s="82"/>
      <c r="DB366" s="229">
        <f>DB224/(DB228+DB221)</f>
        <v>6.866372282222196</v>
      </c>
      <c r="DC366" s="82"/>
      <c r="DD366" s="82"/>
      <c r="DE366" s="82"/>
      <c r="DF366" s="82"/>
      <c r="DG366" s="229">
        <f>DG224/(DG228+DG221)</f>
        <v>8.1235632310339643</v>
      </c>
      <c r="DH366" s="82"/>
      <c r="DI366" s="82"/>
      <c r="DJ366" s="82"/>
      <c r="DK366" s="82"/>
      <c r="DL366" s="229">
        <f>DL224/(DL228+DL221)</f>
        <v>9.5846956476558418</v>
      </c>
      <c r="DM366" s="82"/>
      <c r="DN366" s="525"/>
      <c r="DO366" s="486"/>
      <c r="DP366" s="411"/>
      <c r="DQ366" s="411"/>
      <c r="DR366" s="411"/>
      <c r="DS366" s="567"/>
      <c r="DT366" s="567"/>
      <c r="DU366" s="473"/>
      <c r="DV366" s="473"/>
      <c r="DW366" s="473"/>
      <c r="DX366" s="473"/>
      <c r="DY366" s="473"/>
      <c r="DZ366" s="473"/>
      <c r="EA366" s="525"/>
      <c r="EH366" s="8"/>
    </row>
    <row r="367" spans="1:138" ht="12.75" hidden="1" customHeight="1" x14ac:dyDescent="0.2">
      <c r="A367" s="82" t="s">
        <v>316</v>
      </c>
      <c r="B367" s="82"/>
      <c r="C367" s="82"/>
      <c r="D367" s="82"/>
      <c r="E367" s="82"/>
      <c r="F367" s="229"/>
      <c r="G367" s="82"/>
      <c r="H367" s="82"/>
      <c r="I367" s="82"/>
      <c r="J367" s="82"/>
      <c r="K367" s="229"/>
      <c r="L367" s="82"/>
      <c r="M367" s="82"/>
      <c r="N367" s="82"/>
      <c r="O367" s="82"/>
      <c r="P367" s="229"/>
      <c r="Q367" s="82"/>
      <c r="R367" s="82"/>
      <c r="S367" s="82"/>
      <c r="T367" s="82"/>
      <c r="U367" s="229"/>
      <c r="V367" s="82"/>
      <c r="W367" s="82"/>
      <c r="X367" s="82"/>
      <c r="Y367" s="82"/>
      <c r="Z367" s="229" t="e">
        <f>#REF!/(Z228+Z221)</f>
        <v>#REF!</v>
      </c>
      <c r="AA367" s="82" t="e">
        <f>#REF!/(AA228+AA221)</f>
        <v>#REF!</v>
      </c>
      <c r="AB367" s="82" t="e">
        <f>#REF!/(AB228+AB221)</f>
        <v>#REF!</v>
      </c>
      <c r="AC367" s="82" t="e">
        <f>#REF!/(AC228+AC221)</f>
        <v>#REF!</v>
      </c>
      <c r="AD367" s="82" t="e">
        <f>#REF!/(AD228+AD221)</f>
        <v>#REF!</v>
      </c>
      <c r="AE367" s="229" t="e">
        <f>#REF!/(AE228+AE221)</f>
        <v>#REF!</v>
      </c>
      <c r="AF367" s="82" t="e">
        <f>#REF!/(AF228+AF221)</f>
        <v>#REF!</v>
      </c>
      <c r="AG367" s="82" t="e">
        <f>#REF!/(AG228+AG221)</f>
        <v>#REF!</v>
      </c>
      <c r="AH367" s="82" t="e">
        <f>#REF!/(AH228+AH221)</f>
        <v>#REF!</v>
      </c>
      <c r="AI367" s="82" t="e">
        <f>#REF!/(AI228+AI221)</f>
        <v>#REF!</v>
      </c>
      <c r="AJ367" s="229" t="e">
        <f>#REF!/(AJ228+AJ221)</f>
        <v>#REF!</v>
      </c>
      <c r="AK367" s="82" t="e">
        <f>#REF!/(AK228+AK221)</f>
        <v>#REF!</v>
      </c>
      <c r="AL367" s="82" t="e">
        <f>#REF!/(AL228+AL221)</f>
        <v>#REF!</v>
      </c>
      <c r="AM367" s="82" t="e">
        <f>#REF!/(AM228+AM221)</f>
        <v>#REF!</v>
      </c>
      <c r="AN367" s="82" t="e">
        <f>#REF!/(AN228+AN221)</f>
        <v>#REF!</v>
      </c>
      <c r="AO367" s="229" t="e">
        <f>#REF!/(AO228+AO221)</f>
        <v>#REF!</v>
      </c>
      <c r="AP367" s="82"/>
      <c r="AQ367" s="82"/>
      <c r="AR367" s="82"/>
      <c r="AS367" s="82"/>
      <c r="AT367" s="229"/>
      <c r="AU367" s="82" t="e">
        <f>#REF!/(AU228+AU221)</f>
        <v>#REF!</v>
      </c>
      <c r="AV367" s="82" t="e">
        <f>#REF!/(AV228+AV221)</f>
        <v>#REF!</v>
      </c>
      <c r="AW367" s="82" t="e">
        <f>#REF!/(AW228+AW221)</f>
        <v>#REF!</v>
      </c>
      <c r="AX367" s="82" t="e">
        <f>#REF!/(AX228+AX221)</f>
        <v>#REF!</v>
      </c>
      <c r="AY367" s="229" t="e">
        <f>#REF!/(AY228+AY221)</f>
        <v>#REF!</v>
      </c>
      <c r="AZ367" s="82" t="e">
        <f>#REF!/(AZ228+AZ221)</f>
        <v>#REF!</v>
      </c>
      <c r="BA367" s="82" t="e">
        <f>#REF!/(BA228+BA221)</f>
        <v>#REF!</v>
      </c>
      <c r="BB367" s="82" t="e">
        <f>#REF!/(BB228+BB221)</f>
        <v>#REF!</v>
      </c>
      <c r="BC367" s="82" t="e">
        <f>#REF!/(BC228+BC221)</f>
        <v>#REF!</v>
      </c>
      <c r="BD367" s="229" t="e">
        <f>#REF!/(BD228+BD221)</f>
        <v>#REF!</v>
      </c>
      <c r="BE367" s="82" t="e">
        <f>#REF!/(BE228+BE221)</f>
        <v>#REF!</v>
      </c>
      <c r="BF367" s="82" t="e">
        <f>#REF!/(BF228+BF221)</f>
        <v>#REF!</v>
      </c>
      <c r="BG367" s="82" t="e">
        <f>#REF!/(BG228+BG221)</f>
        <v>#REF!</v>
      </c>
      <c r="BH367" s="82" t="e">
        <f>#REF!/(BH228+BH221)</f>
        <v>#REF!</v>
      </c>
      <c r="BI367" s="229" t="e">
        <f>#REF!/(BI228+BI221)</f>
        <v>#REF!</v>
      </c>
      <c r="BJ367" s="82" t="e">
        <f>#REF!/(BJ228+BJ221)</f>
        <v>#REF!</v>
      </c>
      <c r="BK367" s="82" t="e">
        <f>#REF!/(BK228+BK221)</f>
        <v>#REF!</v>
      </c>
      <c r="BL367" s="82" t="e">
        <f>#REF!/(BL228+BL221)</f>
        <v>#REF!</v>
      </c>
      <c r="BM367" s="82" t="e">
        <f>#REF!/(BM228+BM221)</f>
        <v>#REF!</v>
      </c>
      <c r="BN367" s="345" t="e">
        <f>#REF!/(BN228+BN221)</f>
        <v>#REF!</v>
      </c>
      <c r="BO367" s="345" t="e">
        <f>#REF!/(BO228+BO221)</f>
        <v>#REF!</v>
      </c>
      <c r="BP367" s="82" t="e">
        <f>#REF!/(BP228+BP221)</f>
        <v>#REF!</v>
      </c>
      <c r="BQ367" s="82" t="e">
        <f>#REF!/(BQ228+BQ221)</f>
        <v>#REF!</v>
      </c>
      <c r="BR367" s="82" t="e">
        <f>#REF!/(BR228+BR221)</f>
        <v>#REF!</v>
      </c>
      <c r="BS367" s="229" t="e">
        <f>#REF!/(BS228+BS221)</f>
        <v>#REF!</v>
      </c>
      <c r="BT367" s="82"/>
      <c r="BU367" s="82"/>
      <c r="BV367" s="82"/>
      <c r="BW367" s="82"/>
      <c r="BX367" s="229" t="e">
        <f>#REF!/(BX228+BX221)</f>
        <v>#REF!</v>
      </c>
      <c r="BY367" s="82"/>
      <c r="BZ367" s="82"/>
      <c r="CA367" s="82"/>
      <c r="CB367" s="82"/>
      <c r="CC367" s="229" t="e">
        <f>#REF!/(CC228+CC221)</f>
        <v>#REF!</v>
      </c>
      <c r="CD367" s="82"/>
      <c r="CE367" s="82"/>
      <c r="CF367" s="82"/>
      <c r="CG367" s="82"/>
      <c r="CH367" s="229" t="e">
        <f>#REF!/(CH228+CH221)</f>
        <v>#REF!</v>
      </c>
      <c r="CI367" s="82"/>
      <c r="CJ367" s="82"/>
      <c r="CK367" s="82"/>
      <c r="CL367" s="82"/>
      <c r="CM367" s="229" t="e">
        <f>#REF!/(CM228+CM221)</f>
        <v>#REF!</v>
      </c>
      <c r="CN367" s="82"/>
      <c r="CO367" s="82"/>
      <c r="CP367" s="82"/>
      <c r="CQ367" s="82"/>
      <c r="CR367" s="229" t="e">
        <f>#REF!/(CR228+CR221)</f>
        <v>#REF!</v>
      </c>
      <c r="CS367" s="82"/>
      <c r="CT367" s="82"/>
      <c r="CU367" s="82"/>
      <c r="CV367" s="82"/>
      <c r="CW367" s="229" t="e">
        <f>#REF!/(CW228+CW221)</f>
        <v>#REF!</v>
      </c>
      <c r="CX367" s="82"/>
      <c r="CY367" s="82"/>
      <c r="CZ367" s="82"/>
      <c r="DA367" s="82"/>
      <c r="DB367" s="229" t="e">
        <f>#REF!/(DB228+DB221)</f>
        <v>#REF!</v>
      </c>
      <c r="DC367" s="82"/>
      <c r="DD367" s="82"/>
      <c r="DE367" s="82"/>
      <c r="DF367" s="82"/>
      <c r="DG367" s="229" t="e">
        <f>#REF!/(DG228+DG221)</f>
        <v>#REF!</v>
      </c>
      <c r="DH367" s="82"/>
      <c r="DI367" s="82"/>
      <c r="DJ367" s="82"/>
      <c r="DK367" s="82"/>
      <c r="DL367" s="229" t="e">
        <f>#REF!/(DL228+DL221)</f>
        <v>#REF!</v>
      </c>
      <c r="DM367" s="82"/>
      <c r="DN367" s="525"/>
      <c r="DO367" s="486"/>
      <c r="DP367" s="411"/>
      <c r="DQ367" s="411"/>
      <c r="DR367" s="411"/>
      <c r="DS367" s="567"/>
      <c r="DT367" s="567"/>
      <c r="DU367" s="473"/>
      <c r="DV367" s="473"/>
      <c r="DW367" s="473"/>
      <c r="DX367" s="473"/>
      <c r="DY367" s="473"/>
      <c r="DZ367" s="473"/>
      <c r="EA367" s="525"/>
      <c r="EH367" s="8"/>
    </row>
    <row r="368" spans="1:138" ht="12.75" hidden="1" customHeight="1" x14ac:dyDescent="0.2">
      <c r="A368" s="82" t="s">
        <v>391</v>
      </c>
      <c r="B368" s="82"/>
      <c r="C368" s="82"/>
      <c r="D368" s="82"/>
      <c r="E368" s="82"/>
      <c r="F368" s="229"/>
      <c r="G368" s="82"/>
      <c r="H368" s="82"/>
      <c r="I368" s="82"/>
      <c r="J368" s="82"/>
      <c r="K368" s="229"/>
      <c r="L368" s="82"/>
      <c r="M368" s="82"/>
      <c r="N368" s="82"/>
      <c r="O368" s="82"/>
      <c r="P368" s="229"/>
      <c r="Q368" s="82"/>
      <c r="R368" s="82"/>
      <c r="S368" s="82"/>
      <c r="T368" s="82"/>
      <c r="U368" s="229"/>
      <c r="V368" s="82"/>
      <c r="W368" s="82"/>
      <c r="X368" s="82"/>
      <c r="Y368" s="82"/>
      <c r="Z368" s="229">
        <f t="shared" ref="Z368:AO368" si="1146">Z225/(Z228+Z221)</f>
        <v>0.31558441558441558</v>
      </c>
      <c r="AA368" s="82">
        <f t="shared" si="1146"/>
        <v>0.26395939086294418</v>
      </c>
      <c r="AB368" s="82">
        <f t="shared" si="1146"/>
        <v>0.30012224938875304</v>
      </c>
      <c r="AC368" s="82">
        <f t="shared" si="1146"/>
        <v>0.40348767288033677</v>
      </c>
      <c r="AD368" s="82">
        <f t="shared" si="1146"/>
        <v>0.44564526382708203</v>
      </c>
      <c r="AE368" s="229">
        <f t="shared" si="1146"/>
        <v>0.44564526382708203</v>
      </c>
      <c r="AF368" s="82">
        <f t="shared" si="1146"/>
        <v>0.3956492182188987</v>
      </c>
      <c r="AG368" s="82">
        <f t="shared" si="1146"/>
        <v>0.67417417417417413</v>
      </c>
      <c r="AH368" s="82">
        <f t="shared" si="1146"/>
        <v>0.93366500829187393</v>
      </c>
      <c r="AI368" s="82">
        <f t="shared" si="1146"/>
        <v>1.3912310286677909</v>
      </c>
      <c r="AJ368" s="229">
        <f t="shared" si="1146"/>
        <v>1.3912310286677909</v>
      </c>
      <c r="AK368" s="82">
        <f t="shared" si="1146"/>
        <v>1.9659982563208369</v>
      </c>
      <c r="AL368" s="82">
        <f t="shared" si="1146"/>
        <v>2.1910531220876051</v>
      </c>
      <c r="AM368" s="82">
        <f t="shared" si="1146"/>
        <v>2.7029804727646454</v>
      </c>
      <c r="AN368" s="82">
        <f t="shared" si="1146"/>
        <v>2.8532731376975171</v>
      </c>
      <c r="AO368" s="229">
        <f t="shared" si="1146"/>
        <v>2.8532731376975171</v>
      </c>
      <c r="AP368" s="82"/>
      <c r="AQ368" s="82"/>
      <c r="AR368" s="82"/>
      <c r="AS368" s="82"/>
      <c r="AT368" s="229"/>
      <c r="AU368" s="82">
        <f t="shared" ref="AU368:BS368" si="1147">AU225/(AU228+AU221)</f>
        <v>0.51891891891891895</v>
      </c>
      <c r="AV368" s="82">
        <f t="shared" si="1147"/>
        <v>1.3216538701427849</v>
      </c>
      <c r="AW368" s="82">
        <f t="shared" si="1147"/>
        <v>1.5378151260504203</v>
      </c>
      <c r="AX368" s="82">
        <f t="shared" si="1147"/>
        <v>1.4149139579349905</v>
      </c>
      <c r="AY368" s="229">
        <f t="shared" si="1147"/>
        <v>1.4149139579349905</v>
      </c>
      <c r="AZ368" s="82">
        <f t="shared" si="1147"/>
        <v>1.269302038295244</v>
      </c>
      <c r="BA368" s="82">
        <f t="shared" si="1147"/>
        <v>1.0840236686390532</v>
      </c>
      <c r="BB368" s="82">
        <f t="shared" si="1147"/>
        <v>1.0924130062749573</v>
      </c>
      <c r="BC368" s="82">
        <f t="shared" si="1147"/>
        <v>1.1951080773606371</v>
      </c>
      <c r="BD368" s="229">
        <f t="shared" si="1147"/>
        <v>1.1951080773606371</v>
      </c>
      <c r="BE368" s="82">
        <f t="shared" si="1147"/>
        <v>1.4697226938313526</v>
      </c>
      <c r="BF368" s="82">
        <f t="shared" si="1147"/>
        <v>1.9827931034482755</v>
      </c>
      <c r="BG368" s="82">
        <f t="shared" si="1147"/>
        <v>2.522107121836374</v>
      </c>
      <c r="BH368" s="82">
        <f t="shared" si="1147"/>
        <v>2.840734287492221</v>
      </c>
      <c r="BI368" s="229">
        <f t="shared" si="1147"/>
        <v>2.840734287492221</v>
      </c>
      <c r="BJ368" s="82">
        <f t="shared" si="1147"/>
        <v>2.8197763157894733</v>
      </c>
      <c r="BK368" s="82">
        <f t="shared" si="1147"/>
        <v>2.7143835616438357</v>
      </c>
      <c r="BL368" s="82">
        <f t="shared" si="1147"/>
        <v>2.6954063604240281</v>
      </c>
      <c r="BM368" s="82">
        <f t="shared" si="1147"/>
        <v>2.8727971724437276</v>
      </c>
      <c r="BN368" s="345">
        <f t="shared" si="1147"/>
        <v>2.8727971724437276</v>
      </c>
      <c r="BO368" s="345">
        <f t="shared" si="1147"/>
        <v>3.1076475503698431</v>
      </c>
      <c r="BP368" s="82">
        <f t="shared" si="1147"/>
        <v>3.3462177413327834</v>
      </c>
      <c r="BQ368" s="82">
        <f t="shared" si="1147"/>
        <v>3.4060294454389792</v>
      </c>
      <c r="BR368" s="82">
        <f t="shared" si="1147"/>
        <v>3.4031878183710362</v>
      </c>
      <c r="BS368" s="229">
        <f t="shared" si="1147"/>
        <v>3.4031878183710362</v>
      </c>
      <c r="BT368" s="82"/>
      <c r="BU368" s="82"/>
      <c r="BV368" s="82"/>
      <c r="BW368" s="82"/>
      <c r="BX368" s="229">
        <f>BX225/(BX228+BX221)</f>
        <v>4.9538245744851084</v>
      </c>
      <c r="BY368" s="82"/>
      <c r="BZ368" s="82"/>
      <c r="CA368" s="82"/>
      <c r="CB368" s="82"/>
      <c r="CC368" s="229">
        <f>CC225/(CC228+CC221)</f>
        <v>7.9707120932182187</v>
      </c>
      <c r="CD368" s="82"/>
      <c r="CE368" s="82"/>
      <c r="CF368" s="82"/>
      <c r="CG368" s="82"/>
      <c r="CH368" s="229">
        <f>CH225/(CH228+CH221)</f>
        <v>11.300080770462262</v>
      </c>
      <c r="CI368" s="82"/>
      <c r="CJ368" s="82"/>
      <c r="CK368" s="82"/>
      <c r="CL368" s="82"/>
      <c r="CM368" s="229">
        <f>CM225/(CM228+CM221)</f>
        <v>12.248307101201199</v>
      </c>
      <c r="CN368" s="82"/>
      <c r="CO368" s="82"/>
      <c r="CP368" s="82"/>
      <c r="CQ368" s="82"/>
      <c r="CR368" s="229">
        <f>CR225/(CR228+CR221)</f>
        <v>10.755584426347159</v>
      </c>
      <c r="CS368" s="82"/>
      <c r="CT368" s="82"/>
      <c r="CU368" s="82"/>
      <c r="CV368" s="82"/>
      <c r="CW368" s="229">
        <f>CW225/(CW228+CW221)</f>
        <v>10.55168709125053</v>
      </c>
      <c r="CX368" s="82"/>
      <c r="CY368" s="82"/>
      <c r="CZ368" s="82"/>
      <c r="DA368" s="82"/>
      <c r="DB368" s="229">
        <f>DB225/(DB228+DB221)</f>
        <v>10.27365504868744</v>
      </c>
      <c r="DC368" s="82"/>
      <c r="DD368" s="82"/>
      <c r="DE368" s="82"/>
      <c r="DF368" s="82"/>
      <c r="DG368" s="229">
        <f>DG225/(DG228+DG221)</f>
        <v>11.9714454702249</v>
      </c>
      <c r="DH368" s="82"/>
      <c r="DI368" s="82"/>
      <c r="DJ368" s="82"/>
      <c r="DK368" s="82"/>
      <c r="DL368" s="229">
        <f>DL225/(DL228+DL221)</f>
        <v>13.901835364835422</v>
      </c>
      <c r="DM368" s="82"/>
      <c r="DN368" s="525"/>
      <c r="DO368" s="486"/>
      <c r="DP368" s="411"/>
      <c r="DQ368" s="411"/>
      <c r="DR368" s="411"/>
      <c r="DS368" s="567"/>
      <c r="DT368" s="567"/>
      <c r="DU368" s="473"/>
      <c r="DV368" s="473"/>
      <c r="DW368" s="473"/>
      <c r="DX368" s="473"/>
      <c r="DY368" s="473"/>
      <c r="DZ368" s="473"/>
      <c r="EA368" s="525"/>
      <c r="EH368" s="8"/>
    </row>
    <row r="369" spans="1:138" ht="3" hidden="1" customHeight="1" x14ac:dyDescent="0.2">
      <c r="A369" s="82"/>
      <c r="B369" s="82"/>
      <c r="C369" s="82"/>
      <c r="D369" s="82"/>
      <c r="E369" s="82"/>
      <c r="F369" s="229"/>
      <c r="G369" s="82"/>
      <c r="H369" s="82"/>
      <c r="I369" s="82"/>
      <c r="J369" s="82"/>
      <c r="K369" s="229"/>
      <c r="L369" s="82"/>
      <c r="M369" s="82"/>
      <c r="N369" s="82"/>
      <c r="O369" s="82"/>
      <c r="P369" s="229"/>
      <c r="Q369" s="82"/>
      <c r="R369" s="82"/>
      <c r="S369" s="82"/>
      <c r="T369" s="82"/>
      <c r="U369" s="229"/>
      <c r="V369" s="82"/>
      <c r="W369" s="82"/>
      <c r="X369" s="82"/>
      <c r="Y369" s="82"/>
      <c r="Z369" s="229"/>
      <c r="AA369" s="82"/>
      <c r="AB369" s="82"/>
      <c r="AC369" s="82"/>
      <c r="AD369" s="82"/>
      <c r="AE369" s="229"/>
      <c r="AF369" s="82"/>
      <c r="AG369" s="82"/>
      <c r="AH369" s="82"/>
      <c r="AI369" s="82"/>
      <c r="AJ369" s="229"/>
      <c r="AK369" s="82"/>
      <c r="AL369" s="82"/>
      <c r="AM369" s="82"/>
      <c r="AN369" s="82"/>
      <c r="AO369" s="229"/>
      <c r="AP369" s="82"/>
      <c r="AQ369" s="82"/>
      <c r="AR369" s="82"/>
      <c r="AS369" s="82"/>
      <c r="AT369" s="229"/>
      <c r="AU369" s="82"/>
      <c r="AV369" s="82"/>
      <c r="AW369" s="82"/>
      <c r="AX369" s="82"/>
      <c r="AY369" s="229"/>
      <c r="AZ369" s="82"/>
      <c r="BA369" s="82"/>
      <c r="BB369" s="82"/>
      <c r="BC369" s="82"/>
      <c r="BD369" s="229"/>
      <c r="BE369" s="82"/>
      <c r="BF369" s="82"/>
      <c r="BG369" s="82"/>
      <c r="BH369" s="82"/>
      <c r="BI369" s="229"/>
      <c r="BJ369" s="82"/>
      <c r="BK369" s="82"/>
      <c r="BL369" s="82"/>
      <c r="BM369" s="82"/>
      <c r="BN369" s="345"/>
      <c r="BO369" s="345"/>
      <c r="BP369" s="82"/>
      <c r="BQ369" s="82"/>
      <c r="BR369" s="82"/>
      <c r="BS369" s="229"/>
      <c r="BT369" s="82"/>
      <c r="BU369" s="82"/>
      <c r="BV369" s="82"/>
      <c r="BW369" s="82"/>
      <c r="BX369" s="229"/>
      <c r="BY369" s="82"/>
      <c r="BZ369" s="82"/>
      <c r="CA369" s="82"/>
      <c r="CB369" s="82"/>
      <c r="CC369" s="229"/>
      <c r="CD369" s="82"/>
      <c r="CE369" s="82"/>
      <c r="CF369" s="82"/>
      <c r="CG369" s="82"/>
      <c r="CH369" s="229"/>
      <c r="CI369" s="82"/>
      <c r="CJ369" s="82"/>
      <c r="CK369" s="82"/>
      <c r="CL369" s="82"/>
      <c r="CM369" s="229"/>
      <c r="CN369" s="82"/>
      <c r="CO369" s="82"/>
      <c r="CP369" s="82"/>
      <c r="CQ369" s="82"/>
      <c r="CR369" s="229"/>
      <c r="CS369" s="82"/>
      <c r="CT369" s="82"/>
      <c r="CU369" s="82"/>
      <c r="CV369" s="82"/>
      <c r="CW369" s="229"/>
      <c r="CX369" s="82"/>
      <c r="CY369" s="82"/>
      <c r="CZ369" s="82"/>
      <c r="DA369" s="82"/>
      <c r="DB369" s="229"/>
      <c r="DC369" s="82"/>
      <c r="DD369" s="82"/>
      <c r="DE369" s="82"/>
      <c r="DF369" s="82"/>
      <c r="DG369" s="229"/>
      <c r="DH369" s="82"/>
      <c r="DI369" s="82"/>
      <c r="DJ369" s="82"/>
      <c r="DK369" s="82"/>
      <c r="DL369" s="229"/>
      <c r="DM369" s="82"/>
      <c r="DN369" s="525"/>
      <c r="DO369" s="486"/>
      <c r="DP369" s="411"/>
      <c r="DQ369" s="411"/>
      <c r="DR369" s="411"/>
      <c r="DS369" s="567"/>
      <c r="DT369" s="567"/>
      <c r="DU369" s="473"/>
      <c r="DV369" s="473"/>
      <c r="DW369" s="473"/>
      <c r="DX369" s="473"/>
      <c r="DY369" s="473"/>
      <c r="DZ369" s="473"/>
      <c r="EA369" s="525"/>
      <c r="EH369" s="8"/>
    </row>
    <row r="370" spans="1:138" ht="12.75" hidden="1" customHeight="1" x14ac:dyDescent="0.2">
      <c r="A370" s="82" t="s">
        <v>47</v>
      </c>
      <c r="B370" s="82"/>
      <c r="C370" s="82"/>
      <c r="D370" s="82"/>
      <c r="E370" s="82"/>
      <c r="F370" s="229">
        <f>(F313+F307)/F224</f>
        <v>3.4137734775184976</v>
      </c>
      <c r="G370" s="82"/>
      <c r="H370" s="82"/>
      <c r="I370" s="82"/>
      <c r="J370" s="82"/>
      <c r="K370" s="229">
        <f>(K313+K307)/K224</f>
        <v>-8.4180841539838855</v>
      </c>
      <c r="L370" s="82"/>
      <c r="M370" s="82"/>
      <c r="N370" s="82"/>
      <c r="O370" s="82"/>
      <c r="P370" s="229">
        <f>(P313+P307)/P224</f>
        <v>-12.021017699115044</v>
      </c>
      <c r="Q370" s="82"/>
      <c r="R370" s="82"/>
      <c r="S370" s="82"/>
      <c r="T370" s="82"/>
      <c r="U370" s="229">
        <f>(U313+U307)/U224</f>
        <v>-13.809445269118687</v>
      </c>
      <c r="V370" s="82"/>
      <c r="W370" s="82"/>
      <c r="X370" s="82"/>
      <c r="Y370" s="82"/>
      <c r="Z370" s="229">
        <f>(Z313+Z307)/Z224</f>
        <v>-9.4287652645861595</v>
      </c>
      <c r="AA370" s="82"/>
      <c r="AB370" s="82"/>
      <c r="AC370" s="82"/>
      <c r="AD370" s="82"/>
      <c r="AE370" s="229">
        <f>(AE313+AE307)/AE224</f>
        <v>-6.9568733153638815</v>
      </c>
      <c r="AF370" s="82"/>
      <c r="AG370" s="82"/>
      <c r="AH370" s="82"/>
      <c r="AI370" s="82"/>
      <c r="AJ370" s="229">
        <f t="shared" ref="AJ370:AO370" si="1148">(AJ313+AJ307)/AJ224</f>
        <v>138.13793103448276</v>
      </c>
      <c r="AK370" s="82">
        <f t="shared" si="1148"/>
        <v>11.477077363896848</v>
      </c>
      <c r="AL370" s="82">
        <f t="shared" si="1148"/>
        <v>10.629013079667063</v>
      </c>
      <c r="AM370" s="82">
        <f t="shared" si="1148"/>
        <v>7.4014209591474245</v>
      </c>
      <c r="AN370" s="82">
        <f t="shared" si="1148"/>
        <v>8.0500894454382834</v>
      </c>
      <c r="AO370" s="229">
        <f t="shared" si="1148"/>
        <v>8.0500894454382834</v>
      </c>
      <c r="AP370" s="82"/>
      <c r="AQ370" s="82"/>
      <c r="AR370" s="82"/>
      <c r="AS370" s="82"/>
      <c r="AT370" s="229"/>
      <c r="AU370" s="82">
        <f t="shared" ref="AU370:BS370" si="1149">(AU313+AU307)/AU224</f>
        <v>-35.344961240310077</v>
      </c>
      <c r="AV370" s="82">
        <f t="shared" si="1149"/>
        <v>-456.7</v>
      </c>
      <c r="AW370" s="82">
        <f t="shared" si="1149"/>
        <v>51.729591836734691</v>
      </c>
      <c r="AX370" s="82">
        <f t="shared" si="1149"/>
        <v>331.42</v>
      </c>
      <c r="AY370" s="229">
        <f t="shared" si="1149"/>
        <v>331.42</v>
      </c>
      <c r="AZ370" s="82">
        <f t="shared" si="1149"/>
        <v>-224.27027027027026</v>
      </c>
      <c r="BA370" s="82">
        <f t="shared" si="1149"/>
        <v>-65.604743083003953</v>
      </c>
      <c r="BB370" s="82">
        <f t="shared" si="1149"/>
        <v>-130.02941176470588</v>
      </c>
      <c r="BC370" s="82">
        <f t="shared" si="1149"/>
        <v>202.3294117647059</v>
      </c>
      <c r="BD370" s="229">
        <f t="shared" si="1149"/>
        <v>202.3294117647059</v>
      </c>
      <c r="BE370" s="82">
        <f t="shared" si="1149"/>
        <v>28.719864176570457</v>
      </c>
      <c r="BF370" s="82">
        <f t="shared" si="1149"/>
        <v>10.780295889512729</v>
      </c>
      <c r="BG370" s="82">
        <f t="shared" si="1149"/>
        <v>6.5660709554455883</v>
      </c>
      <c r="BH370" s="82">
        <f t="shared" si="1149"/>
        <v>5.7186564981665216</v>
      </c>
      <c r="BI370" s="229">
        <f t="shared" si="1149"/>
        <v>5.7186564981665216</v>
      </c>
      <c r="BJ370" s="82">
        <f t="shared" si="1149"/>
        <v>6.2396650020978512</v>
      </c>
      <c r="BK370" s="82">
        <f t="shared" si="1149"/>
        <v>6.8734177215189876</v>
      </c>
      <c r="BL370" s="82">
        <f t="shared" si="1149"/>
        <v>7.26516290726817</v>
      </c>
      <c r="BM370" s="82">
        <f t="shared" si="1149"/>
        <v>6.1484618814088279</v>
      </c>
      <c r="BN370" s="345">
        <f t="shared" si="1149"/>
        <v>6.1484618814088279</v>
      </c>
      <c r="BO370" s="345">
        <f t="shared" si="1149"/>
        <v>5.1925465838509313</v>
      </c>
      <c r="BP370" s="82">
        <f t="shared" si="1149"/>
        <v>4.5968882602545973</v>
      </c>
      <c r="BQ370" s="82">
        <f t="shared" si="1149"/>
        <v>4.562725306416727</v>
      </c>
      <c r="BR370" s="82">
        <f t="shared" si="1149"/>
        <v>4.8861976163014225</v>
      </c>
      <c r="BS370" s="229">
        <f t="shared" si="1149"/>
        <v>4.8861976163014225</v>
      </c>
      <c r="BT370" s="82"/>
      <c r="BU370" s="82"/>
      <c r="BV370" s="82"/>
      <c r="BW370" s="82"/>
      <c r="BX370" s="229">
        <f>(BX313+BX307)/BX224</f>
        <v>3.2166761202495744</v>
      </c>
      <c r="BY370" s="82"/>
      <c r="BZ370" s="82"/>
      <c r="CA370" s="82"/>
      <c r="CB370" s="82"/>
      <c r="CC370" s="229">
        <f>(CC313+CC307)/CC224</f>
        <v>1.8559225512528474</v>
      </c>
      <c r="CD370" s="82"/>
      <c r="CE370" s="82"/>
      <c r="CF370" s="82"/>
      <c r="CG370" s="82"/>
      <c r="CH370" s="229">
        <f>(CH313+CH307)/CH224</f>
        <v>1.274326805385557</v>
      </c>
      <c r="CI370" s="82"/>
      <c r="CJ370" s="82"/>
      <c r="CK370" s="82"/>
      <c r="CL370" s="82"/>
      <c r="CM370" s="229">
        <f>(CM313+CM307)/CM224</f>
        <v>1.1276530298369731</v>
      </c>
      <c r="CN370" s="82"/>
      <c r="CO370" s="82"/>
      <c r="CP370" s="82"/>
      <c r="CQ370" s="82"/>
      <c r="CR370" s="229">
        <f>(CR313+CR307)/CR224</f>
        <v>1.509053638537752</v>
      </c>
      <c r="CS370" s="82"/>
      <c r="CT370" s="82"/>
      <c r="CU370" s="82"/>
      <c r="CV370" s="82"/>
      <c r="CW370" s="229">
        <f>(CW313+CW307)/CW224</f>
        <v>1.5479236025933065</v>
      </c>
      <c r="CX370" s="82"/>
      <c r="CY370" s="82"/>
      <c r="CZ370" s="82"/>
      <c r="DA370" s="82"/>
      <c r="DB370" s="229">
        <f>(DB313+DB307)/DB224</f>
        <v>1.2465535032557611</v>
      </c>
      <c r="DC370" s="82"/>
      <c r="DD370" s="82"/>
      <c r="DE370" s="82"/>
      <c r="DF370" s="82"/>
      <c r="DG370" s="229">
        <f>(DG313+DG307)/DG224</f>
        <v>0.93935468919160281</v>
      </c>
      <c r="DH370" s="82"/>
      <c r="DI370" s="82"/>
      <c r="DJ370" s="82"/>
      <c r="DK370" s="82"/>
      <c r="DL370" s="229">
        <f>(DL313+DL307)/DL224</f>
        <v>0.64017730790459138</v>
      </c>
      <c r="DM370" s="82"/>
      <c r="DN370" s="525"/>
      <c r="DO370" s="486"/>
      <c r="DP370" s="411"/>
      <c r="DQ370" s="411"/>
      <c r="DR370" s="411"/>
      <c r="DS370" s="567"/>
      <c r="DT370" s="567"/>
      <c r="DU370" s="473"/>
      <c r="DV370" s="473"/>
      <c r="DW370" s="473"/>
      <c r="DX370" s="473"/>
      <c r="DY370" s="473"/>
      <c r="DZ370" s="473"/>
      <c r="EA370" s="525"/>
      <c r="EH370" s="8"/>
    </row>
    <row r="371" spans="1:138" ht="12.75" hidden="1" customHeight="1" x14ac:dyDescent="0.2">
      <c r="A371" s="82" t="s">
        <v>324</v>
      </c>
      <c r="B371" s="82"/>
      <c r="C371" s="82"/>
      <c r="D371" s="82"/>
      <c r="E371" s="82"/>
      <c r="F371" s="229" t="e">
        <f>(F313+F307)/#REF!</f>
        <v>#REF!</v>
      </c>
      <c r="G371" s="82"/>
      <c r="H371" s="82"/>
      <c r="I371" s="82"/>
      <c r="J371" s="82"/>
      <c r="K371" s="229" t="e">
        <f>(K313+K307)/#REF!</f>
        <v>#REF!</v>
      </c>
      <c r="L371" s="82"/>
      <c r="M371" s="82"/>
      <c r="N371" s="82"/>
      <c r="O371" s="82"/>
      <c r="P371" s="229" t="e">
        <f>(P313+P307)/#REF!</f>
        <v>#REF!</v>
      </c>
      <c r="Q371" s="82"/>
      <c r="R371" s="82"/>
      <c r="S371" s="82"/>
      <c r="T371" s="82"/>
      <c r="U371" s="229" t="e">
        <f>(U313+U307)/#REF!</f>
        <v>#REF!</v>
      </c>
      <c r="V371" s="82"/>
      <c r="W371" s="82"/>
      <c r="X371" s="82"/>
      <c r="Y371" s="82"/>
      <c r="Z371" s="229" t="e">
        <f>(Z313+Z307)/#REF!</f>
        <v>#REF!</v>
      </c>
      <c r="AA371" s="82"/>
      <c r="AB371" s="82"/>
      <c r="AC371" s="82"/>
      <c r="AD371" s="82"/>
      <c r="AE371" s="229" t="e">
        <f>(AE313+AE307)/#REF!</f>
        <v>#REF!</v>
      </c>
      <c r="AF371" s="82"/>
      <c r="AG371" s="82"/>
      <c r="AH371" s="82"/>
      <c r="AI371" s="82"/>
      <c r="AJ371" s="229" t="e">
        <f>(AJ313+AJ307)/#REF!</f>
        <v>#REF!</v>
      </c>
      <c r="AK371" s="82" t="e">
        <f>(AK313+AK307)/#REF!</f>
        <v>#REF!</v>
      </c>
      <c r="AL371" s="82" t="e">
        <f>(AL313+AL307)/#REF!</f>
        <v>#REF!</v>
      </c>
      <c r="AM371" s="82" t="e">
        <f>(AM313+AM307)/#REF!</f>
        <v>#REF!</v>
      </c>
      <c r="AN371" s="82" t="e">
        <f>(AN313+AN307)/#REF!</f>
        <v>#REF!</v>
      </c>
      <c r="AO371" s="229" t="e">
        <f>(AO313+AO307)/#REF!</f>
        <v>#REF!</v>
      </c>
      <c r="AP371" s="82"/>
      <c r="AQ371" s="82"/>
      <c r="AR371" s="82"/>
      <c r="AS371" s="82"/>
      <c r="AT371" s="229"/>
      <c r="AU371" s="82" t="e">
        <f>(AU313+AU307)/#REF!</f>
        <v>#REF!</v>
      </c>
      <c r="AV371" s="82" t="e">
        <f>(AV313+AV307)/#REF!</f>
        <v>#REF!</v>
      </c>
      <c r="AW371" s="82" t="e">
        <f>(AW313+AW307)/#REF!</f>
        <v>#REF!</v>
      </c>
      <c r="AX371" s="82" t="e">
        <f>(AX313+AX307)/#REF!</f>
        <v>#REF!</v>
      </c>
      <c r="AY371" s="229" t="e">
        <f>(AY313+AY307)/#REF!</f>
        <v>#REF!</v>
      </c>
      <c r="AZ371" s="82" t="e">
        <f>(AZ313+AZ307)/#REF!</f>
        <v>#REF!</v>
      </c>
      <c r="BA371" s="82" t="e">
        <f>(BA313+BA307)/#REF!</f>
        <v>#REF!</v>
      </c>
      <c r="BB371" s="82" t="e">
        <f>(BB313+BB307)/#REF!</f>
        <v>#REF!</v>
      </c>
      <c r="BC371" s="82" t="e">
        <f>(BC313+BC307)/#REF!</f>
        <v>#REF!</v>
      </c>
      <c r="BD371" s="229" t="e">
        <f>(BD313+BD307)/#REF!</f>
        <v>#REF!</v>
      </c>
      <c r="BE371" s="82" t="e">
        <f>(BE313+BE307)/#REF!</f>
        <v>#REF!</v>
      </c>
      <c r="BF371" s="82" t="e">
        <f>(BF313+BF307)/#REF!</f>
        <v>#REF!</v>
      </c>
      <c r="BG371" s="82" t="e">
        <f>(BG313+BG307)/#REF!</f>
        <v>#REF!</v>
      </c>
      <c r="BH371" s="82" t="e">
        <f>(BH313+BH307)/#REF!</f>
        <v>#REF!</v>
      </c>
      <c r="BI371" s="229" t="e">
        <f>(BI313+BI307)/#REF!</f>
        <v>#REF!</v>
      </c>
      <c r="BJ371" s="82" t="e">
        <f>(BJ313+BJ307)/#REF!</f>
        <v>#REF!</v>
      </c>
      <c r="BK371" s="82" t="e">
        <f>(BK313+BK307)/#REF!</f>
        <v>#REF!</v>
      </c>
      <c r="BL371" s="82" t="e">
        <f>(BL313+BL307)/#REF!</f>
        <v>#REF!</v>
      </c>
      <c r="BM371" s="82" t="e">
        <f>(BM313+BM307)/#REF!</f>
        <v>#REF!</v>
      </c>
      <c r="BN371" s="345" t="e">
        <f>(BN313+BN307)/#REF!</f>
        <v>#REF!</v>
      </c>
      <c r="BO371" s="345" t="e">
        <f>(BO313+BO307)/#REF!</f>
        <v>#REF!</v>
      </c>
      <c r="BP371" s="82" t="e">
        <f>(BP313+BP307)/#REF!</f>
        <v>#REF!</v>
      </c>
      <c r="BQ371" s="82" t="e">
        <f>(BQ313+BQ307)/#REF!</f>
        <v>#REF!</v>
      </c>
      <c r="BR371" s="82" t="e">
        <f>(BR313+BR307)/#REF!</f>
        <v>#REF!</v>
      </c>
      <c r="BS371" s="229" t="e">
        <f>(BS313+BS307)/#REF!</f>
        <v>#REF!</v>
      </c>
      <c r="BT371" s="82"/>
      <c r="BU371" s="82"/>
      <c r="BV371" s="82"/>
      <c r="BW371" s="82"/>
      <c r="BX371" s="229" t="e">
        <f>(BX313+BX307)/#REF!</f>
        <v>#REF!</v>
      </c>
      <c r="BY371" s="82"/>
      <c r="BZ371" s="82"/>
      <c r="CA371" s="82"/>
      <c r="CB371" s="82"/>
      <c r="CC371" s="229" t="e">
        <f>(CC313+CC307)/#REF!</f>
        <v>#REF!</v>
      </c>
      <c r="CD371" s="82"/>
      <c r="CE371" s="82"/>
      <c r="CF371" s="82"/>
      <c r="CG371" s="82"/>
      <c r="CH371" s="229" t="e">
        <f>(CH313+CH307)/#REF!</f>
        <v>#REF!</v>
      </c>
      <c r="CI371" s="82"/>
      <c r="CJ371" s="82"/>
      <c r="CK371" s="82"/>
      <c r="CL371" s="82"/>
      <c r="CM371" s="229" t="e">
        <f>(CM313+CM307)/#REF!</f>
        <v>#REF!</v>
      </c>
      <c r="CN371" s="82"/>
      <c r="CO371" s="82"/>
      <c r="CP371" s="82"/>
      <c r="CQ371" s="82"/>
      <c r="CR371" s="229" t="e">
        <f>(CR313+CR307)/#REF!</f>
        <v>#REF!</v>
      </c>
      <c r="CS371" s="82"/>
      <c r="CT371" s="82"/>
      <c r="CU371" s="82"/>
      <c r="CV371" s="82"/>
      <c r="CW371" s="229" t="e">
        <f>(CW313+CW307)/#REF!</f>
        <v>#REF!</v>
      </c>
      <c r="CX371" s="82"/>
      <c r="CY371" s="82"/>
      <c r="CZ371" s="82"/>
      <c r="DA371" s="82"/>
      <c r="DB371" s="229" t="e">
        <f>(DB313+DB307)/#REF!</f>
        <v>#REF!</v>
      </c>
      <c r="DC371" s="82"/>
      <c r="DD371" s="82"/>
      <c r="DE371" s="82"/>
      <c r="DF371" s="82"/>
      <c r="DG371" s="229" t="e">
        <f>(DG313+DG307)/#REF!</f>
        <v>#REF!</v>
      </c>
      <c r="DH371" s="82"/>
      <c r="DI371" s="82"/>
      <c r="DJ371" s="82"/>
      <c r="DK371" s="82"/>
      <c r="DL371" s="229" t="e">
        <f>(DL313+DL307)/#REF!</f>
        <v>#REF!</v>
      </c>
      <c r="DM371" s="82"/>
      <c r="DN371" s="525"/>
      <c r="DO371" s="486"/>
      <c r="DP371" s="411"/>
      <c r="DQ371" s="411"/>
      <c r="DR371" s="411"/>
      <c r="DS371" s="567"/>
      <c r="DT371" s="567"/>
      <c r="DU371" s="473"/>
      <c r="DV371" s="473"/>
      <c r="DW371" s="473"/>
      <c r="DX371" s="473"/>
      <c r="DY371" s="473"/>
      <c r="DZ371" s="473"/>
      <c r="EA371" s="525"/>
      <c r="EH371" s="8"/>
    </row>
    <row r="372" spans="1:138" ht="12.75" hidden="1" customHeight="1" x14ac:dyDescent="0.2">
      <c r="A372" s="82" t="s">
        <v>325</v>
      </c>
      <c r="B372" s="82"/>
      <c r="C372" s="82"/>
      <c r="D372" s="82"/>
      <c r="E372" s="82"/>
      <c r="F372" s="229">
        <f>(F313+F307)/F225</f>
        <v>1.6281216069489686</v>
      </c>
      <c r="G372" s="82"/>
      <c r="H372" s="82"/>
      <c r="I372" s="82"/>
      <c r="J372" s="82"/>
      <c r="K372" s="229">
        <f>(K313+K307)/K225</f>
        <v>10.413067552602437</v>
      </c>
      <c r="L372" s="82"/>
      <c r="M372" s="82"/>
      <c r="N372" s="82"/>
      <c r="O372" s="82"/>
      <c r="P372" s="229">
        <f>(P313+P307)/P225</f>
        <v>11.402938090241344</v>
      </c>
      <c r="Q372" s="82"/>
      <c r="R372" s="82"/>
      <c r="S372" s="82"/>
      <c r="T372" s="82"/>
      <c r="U372" s="229">
        <f>(U313+U307)/U225</f>
        <v>12.318179589034386</v>
      </c>
      <c r="V372" s="82"/>
      <c r="W372" s="82"/>
      <c r="X372" s="82"/>
      <c r="Y372" s="82"/>
      <c r="Z372" s="229">
        <f>(Z313+Z307)/Z225</f>
        <v>28.596707818930042</v>
      </c>
      <c r="AA372" s="82"/>
      <c r="AB372" s="82"/>
      <c r="AC372" s="82"/>
      <c r="AD372" s="82"/>
      <c r="AE372" s="229">
        <f>(AE313+AE307)/AE225</f>
        <v>11.045649072753209</v>
      </c>
      <c r="AF372" s="82"/>
      <c r="AG372" s="82"/>
      <c r="AH372" s="82"/>
      <c r="AI372" s="82"/>
      <c r="AJ372" s="229">
        <f t="shared" ref="AJ372:AO372" si="1150">(AJ313+AJ307)/AJ225</f>
        <v>4.8557575757575755</v>
      </c>
      <c r="AK372" s="82">
        <f t="shared" si="1150"/>
        <v>3.5525498891352552</v>
      </c>
      <c r="AL372" s="82">
        <f t="shared" si="1150"/>
        <v>3.8022118247554233</v>
      </c>
      <c r="AM372" s="82">
        <f t="shared" si="1150"/>
        <v>3.1688212927756654</v>
      </c>
      <c r="AN372" s="82">
        <f t="shared" si="1150"/>
        <v>3.5601265822784809</v>
      </c>
      <c r="AO372" s="229">
        <f t="shared" si="1150"/>
        <v>3.5601265822784809</v>
      </c>
      <c r="AP372" s="82"/>
      <c r="AQ372" s="82"/>
      <c r="AR372" s="82"/>
      <c r="AS372" s="82"/>
      <c r="AT372" s="229"/>
      <c r="AU372" s="82">
        <f t="shared" ref="AU372:BS372" si="1151">(AU313+AU307)/AU225</f>
        <v>31.663194444444443</v>
      </c>
      <c r="AV372" s="82">
        <f t="shared" si="1151"/>
        <v>8.5205223880597014</v>
      </c>
      <c r="AW372" s="82">
        <f t="shared" si="1151"/>
        <v>5.5404371584699454</v>
      </c>
      <c r="AX372" s="82">
        <f t="shared" si="1151"/>
        <v>7.4644144144144144</v>
      </c>
      <c r="AY372" s="229">
        <f t="shared" si="1151"/>
        <v>7.4644144144144144</v>
      </c>
      <c r="AZ372" s="82">
        <f t="shared" si="1151"/>
        <v>8.075912408759125</v>
      </c>
      <c r="BA372" s="82">
        <f t="shared" si="1151"/>
        <v>9.0600436681222707</v>
      </c>
      <c r="BB372" s="82">
        <f t="shared" si="1151"/>
        <v>9.2344647519582246</v>
      </c>
      <c r="BC372" s="82">
        <f t="shared" si="1151"/>
        <v>8.1856258924321743</v>
      </c>
      <c r="BD372" s="229">
        <f t="shared" si="1151"/>
        <v>8.1856258924321743</v>
      </c>
      <c r="BE372" s="82">
        <f t="shared" si="1151"/>
        <v>6.5136696187909129</v>
      </c>
      <c r="BF372" s="82">
        <f t="shared" si="1151"/>
        <v>4.5747030486426326</v>
      </c>
      <c r="BG372" s="82">
        <f t="shared" si="1151"/>
        <v>3.5857140856837479</v>
      </c>
      <c r="BH372" s="82">
        <f t="shared" si="1151"/>
        <v>3.3410294716827384</v>
      </c>
      <c r="BI372" s="229">
        <f t="shared" si="1151"/>
        <v>3.3410294716827384</v>
      </c>
      <c r="BJ372" s="82">
        <f t="shared" si="1151"/>
        <v>3.539147842074073</v>
      </c>
      <c r="BK372" s="82">
        <f t="shared" si="1151"/>
        <v>3.6994700984102953</v>
      </c>
      <c r="BL372" s="82">
        <f t="shared" si="1151"/>
        <v>3.8002097535395909</v>
      </c>
      <c r="BM372" s="82">
        <f t="shared" si="1151"/>
        <v>3.3934547244094486</v>
      </c>
      <c r="BN372" s="345">
        <f t="shared" si="1151"/>
        <v>3.3934547244094486</v>
      </c>
      <c r="BO372" s="345">
        <f t="shared" si="1151"/>
        <v>3.0372388737511353</v>
      </c>
      <c r="BP372" s="82">
        <f t="shared" si="1151"/>
        <v>2.7914966716770455</v>
      </c>
      <c r="BQ372" s="82">
        <f t="shared" si="1151"/>
        <v>2.7491311902693312</v>
      </c>
      <c r="BR372" s="82">
        <f t="shared" si="1151"/>
        <v>2.8636773321315907</v>
      </c>
      <c r="BS372" s="229">
        <f t="shared" si="1151"/>
        <v>2.8636773321315907</v>
      </c>
      <c r="BT372" s="82"/>
      <c r="BU372" s="82"/>
      <c r="BV372" s="82"/>
      <c r="BW372" s="82"/>
      <c r="BX372" s="229">
        <f>(BX313+BX307)/BX225</f>
        <v>2.1030966067124051</v>
      </c>
      <c r="BY372" s="82"/>
      <c r="BZ372" s="82"/>
      <c r="CA372" s="82"/>
      <c r="CB372" s="82"/>
      <c r="CC372" s="229">
        <f>(CC313+CC307)/CC225</f>
        <v>1.3444719471947195</v>
      </c>
      <c r="CD372" s="82"/>
      <c r="CE372" s="82"/>
      <c r="CF372" s="82"/>
      <c r="CG372" s="82"/>
      <c r="CH372" s="229">
        <f>(CH313+CH307)/CH225</f>
        <v>0.96612921934810347</v>
      </c>
      <c r="CI372" s="82"/>
      <c r="CJ372" s="82"/>
      <c r="CK372" s="82"/>
      <c r="CL372" s="82"/>
      <c r="CM372" s="229">
        <f>(CM313+CM307)/CM225</f>
        <v>0.84382552652779375</v>
      </c>
      <c r="CN372" s="82"/>
      <c r="CO372" s="82"/>
      <c r="CP372" s="82"/>
      <c r="CQ372" s="82"/>
      <c r="CR372" s="229">
        <f>(CR313+CR307)/CR225</f>
        <v>1.0466824644549764</v>
      </c>
      <c r="CS372" s="82"/>
      <c r="CT372" s="82"/>
      <c r="CU372" s="82"/>
      <c r="CV372" s="82"/>
      <c r="CW372" s="229">
        <f>(CW313+CW307)/CW225</f>
        <v>1.0669082125603864</v>
      </c>
      <c r="CX372" s="82"/>
      <c r="CY372" s="82"/>
      <c r="CZ372" s="82"/>
      <c r="DA372" s="82"/>
      <c r="DB372" s="229">
        <f>(DB313+DB307)/DB225</f>
        <v>0.83313099208600228</v>
      </c>
      <c r="DC372" s="82"/>
      <c r="DD372" s="82"/>
      <c r="DE372" s="82"/>
      <c r="DF372" s="82"/>
      <c r="DG372" s="229">
        <f>(DG313+DG307)/DG225</f>
        <v>0.63742571713630203</v>
      </c>
      <c r="DH372" s="82"/>
      <c r="DI372" s="82"/>
      <c r="DJ372" s="82"/>
      <c r="DK372" s="82"/>
      <c r="DL372" s="229">
        <f>(DL313+DL307)/DL225</f>
        <v>0.44137371043264484</v>
      </c>
      <c r="DM372" s="82"/>
      <c r="DN372" s="525"/>
      <c r="DO372" s="486"/>
      <c r="DP372" s="411"/>
      <c r="DQ372" s="411"/>
      <c r="DR372" s="411"/>
      <c r="DS372" s="567"/>
      <c r="DT372" s="567"/>
      <c r="DU372" s="473"/>
      <c r="DV372" s="473"/>
      <c r="DW372" s="473"/>
      <c r="DX372" s="473"/>
      <c r="DY372" s="473"/>
      <c r="DZ372" s="473"/>
      <c r="EA372" s="525"/>
      <c r="EH372" s="8"/>
    </row>
    <row r="373" spans="1:138" ht="3" hidden="1" customHeight="1" x14ac:dyDescent="0.2">
      <c r="A373" s="82"/>
      <c r="B373" s="82"/>
      <c r="C373" s="82"/>
      <c r="D373" s="82"/>
      <c r="E373" s="82"/>
      <c r="F373" s="229"/>
      <c r="G373" s="82"/>
      <c r="H373" s="82"/>
      <c r="I373" s="82"/>
      <c r="J373" s="82"/>
      <c r="K373" s="229"/>
      <c r="L373" s="82"/>
      <c r="M373" s="82"/>
      <c r="N373" s="82"/>
      <c r="O373" s="82"/>
      <c r="P373" s="229"/>
      <c r="Q373" s="82"/>
      <c r="R373" s="82"/>
      <c r="S373" s="82"/>
      <c r="T373" s="82"/>
      <c r="U373" s="229"/>
      <c r="V373" s="82"/>
      <c r="W373" s="82"/>
      <c r="X373" s="82"/>
      <c r="Y373" s="82"/>
      <c r="Z373" s="229"/>
      <c r="AA373" s="82"/>
      <c r="AB373" s="82"/>
      <c r="AC373" s="82"/>
      <c r="AD373" s="82"/>
      <c r="AE373" s="229"/>
      <c r="AF373" s="82"/>
      <c r="AG373" s="82"/>
      <c r="AH373" s="82"/>
      <c r="AI373" s="82"/>
      <c r="AJ373" s="229"/>
      <c r="AK373" s="82"/>
      <c r="AL373" s="82"/>
      <c r="AM373" s="82"/>
      <c r="AN373" s="82"/>
      <c r="AO373" s="229"/>
      <c r="AP373" s="82"/>
      <c r="AQ373" s="82"/>
      <c r="AR373" s="82"/>
      <c r="AS373" s="82"/>
      <c r="AT373" s="229"/>
      <c r="AU373" s="82"/>
      <c r="AV373" s="82"/>
      <c r="AW373" s="82"/>
      <c r="AX373" s="82"/>
      <c r="AY373" s="229"/>
      <c r="AZ373" s="82"/>
      <c r="BA373" s="82"/>
      <c r="BB373" s="82"/>
      <c r="BC373" s="82"/>
      <c r="BD373" s="229"/>
      <c r="BE373" s="82"/>
      <c r="BF373" s="82"/>
      <c r="BG373" s="82"/>
      <c r="BH373" s="82"/>
      <c r="BI373" s="229"/>
      <c r="BJ373" s="82"/>
      <c r="BK373" s="82"/>
      <c r="BL373" s="82"/>
      <c r="BM373" s="82"/>
      <c r="BN373" s="345"/>
      <c r="BO373" s="345"/>
      <c r="BP373" s="82"/>
      <c r="BQ373" s="82"/>
      <c r="BR373" s="82"/>
      <c r="BS373" s="229"/>
      <c r="BT373" s="82"/>
      <c r="BU373" s="82"/>
      <c r="BV373" s="82"/>
      <c r="BW373" s="82"/>
      <c r="BX373" s="229"/>
      <c r="BY373" s="82"/>
      <c r="BZ373" s="82"/>
      <c r="CA373" s="82"/>
      <c r="CB373" s="82"/>
      <c r="CC373" s="229"/>
      <c r="CD373" s="82"/>
      <c r="CE373" s="82"/>
      <c r="CF373" s="82"/>
      <c r="CG373" s="82"/>
      <c r="CH373" s="229"/>
      <c r="CI373" s="82"/>
      <c r="CJ373" s="82"/>
      <c r="CK373" s="82"/>
      <c r="CL373" s="82"/>
      <c r="CM373" s="229"/>
      <c r="CN373" s="82"/>
      <c r="CO373" s="82"/>
      <c r="CP373" s="82"/>
      <c r="CQ373" s="82"/>
      <c r="CR373" s="229"/>
      <c r="CS373" s="82"/>
      <c r="CT373" s="82"/>
      <c r="CU373" s="82"/>
      <c r="CV373" s="82"/>
      <c r="CW373" s="229"/>
      <c r="CX373" s="82"/>
      <c r="CY373" s="82"/>
      <c r="CZ373" s="82"/>
      <c r="DA373" s="82"/>
      <c r="DB373" s="229"/>
      <c r="DC373" s="82"/>
      <c r="DD373" s="82"/>
      <c r="DE373" s="82"/>
      <c r="DF373" s="82"/>
      <c r="DG373" s="229"/>
      <c r="DH373" s="82"/>
      <c r="DI373" s="82"/>
      <c r="DJ373" s="82"/>
      <c r="DK373" s="82"/>
      <c r="DL373" s="229"/>
      <c r="DM373" s="82"/>
      <c r="DN373" s="525"/>
      <c r="DO373" s="486"/>
      <c r="DP373" s="411"/>
      <c r="DQ373" s="411"/>
      <c r="DR373" s="411"/>
      <c r="DS373" s="567"/>
      <c r="DT373" s="567"/>
      <c r="DU373" s="473"/>
      <c r="DV373" s="473"/>
      <c r="DW373" s="473"/>
      <c r="DX373" s="473"/>
      <c r="DY373" s="473"/>
      <c r="DZ373" s="473"/>
      <c r="EA373" s="525"/>
      <c r="EH373" s="8"/>
    </row>
    <row r="374" spans="1:138" ht="12.75" hidden="1" customHeight="1" x14ac:dyDescent="0.2">
      <c r="A374" s="82" t="s">
        <v>215</v>
      </c>
      <c r="B374" s="82"/>
      <c r="C374" s="82"/>
      <c r="D374" s="82"/>
      <c r="E374" s="82"/>
      <c r="F374" s="229">
        <f>(F313+F307-F287)/F224</f>
        <v>2.6374501992031871</v>
      </c>
      <c r="G374" s="82"/>
      <c r="H374" s="82"/>
      <c r="I374" s="82"/>
      <c r="J374" s="82"/>
      <c r="K374" s="229">
        <f>(K313+K307-K287)/K224</f>
        <v>-6.4189794091316026</v>
      </c>
      <c r="L374" s="82"/>
      <c r="M374" s="82"/>
      <c r="N374" s="82"/>
      <c r="O374" s="82"/>
      <c r="P374" s="229">
        <f>(P313+P307-P287)/P224</f>
        <v>-9.817477876106194</v>
      </c>
      <c r="Q374" s="82"/>
      <c r="R374" s="82"/>
      <c r="S374" s="82"/>
      <c r="T374" s="82"/>
      <c r="U374" s="229">
        <f>(U313+U307-U287)/U224</f>
        <v>-11.146297212601013</v>
      </c>
      <c r="V374" s="82"/>
      <c r="W374" s="82"/>
      <c r="X374" s="82"/>
      <c r="Y374" s="82"/>
      <c r="Z374" s="229">
        <f>(Z313+Z307-Z287)/Z224</f>
        <v>-8.4362279511533238</v>
      </c>
      <c r="AA374" s="82"/>
      <c r="AB374" s="82"/>
      <c r="AC374" s="82"/>
      <c r="AD374" s="82"/>
      <c r="AE374" s="229">
        <f>(AE313+AE307-AE287)/AE224</f>
        <v>-5.1527403414195865</v>
      </c>
      <c r="AF374" s="82"/>
      <c r="AG374" s="82"/>
      <c r="AH374" s="82"/>
      <c r="AI374" s="82"/>
      <c r="AJ374" s="229">
        <f t="shared" ref="AJ374:AO374" si="1152">(AJ313+AJ307-AJ287)/AJ224</f>
        <v>92.482758620689651</v>
      </c>
      <c r="AK374" s="82">
        <f t="shared" si="1152"/>
        <v>7.3467048710601723</v>
      </c>
      <c r="AL374" s="82">
        <f t="shared" si="1152"/>
        <v>6.6111771700356714</v>
      </c>
      <c r="AM374" s="82">
        <f t="shared" si="1152"/>
        <v>5.2788632326820606</v>
      </c>
      <c r="AN374" s="82">
        <f t="shared" si="1152"/>
        <v>5.558139534883721</v>
      </c>
      <c r="AO374" s="229">
        <f t="shared" si="1152"/>
        <v>5.558139534883721</v>
      </c>
      <c r="AP374" s="82"/>
      <c r="AQ374" s="82"/>
      <c r="AR374" s="82"/>
      <c r="AS374" s="82"/>
      <c r="AT374" s="229"/>
      <c r="AU374" s="82">
        <f t="shared" ref="AU374:BS374" si="1153">(AU313+AU307-AU287)/AU224</f>
        <v>-25.286821705426355</v>
      </c>
      <c r="AV374" s="82">
        <f t="shared" si="1153"/>
        <v>-289.60000000000002</v>
      </c>
      <c r="AW374" s="82">
        <f t="shared" si="1153"/>
        <v>36.010204081632651</v>
      </c>
      <c r="AX374" s="82">
        <f t="shared" si="1153"/>
        <v>242.08</v>
      </c>
      <c r="AY374" s="229">
        <f t="shared" si="1153"/>
        <v>242.08</v>
      </c>
      <c r="AZ374" s="82">
        <f t="shared" si="1153"/>
        <v>-163.35135135135135</v>
      </c>
      <c r="BA374" s="82">
        <f t="shared" si="1153"/>
        <v>-46.071146245059289</v>
      </c>
      <c r="BB374" s="82">
        <f t="shared" si="1153"/>
        <v>-89.67647058823529</v>
      </c>
      <c r="BC374" s="82">
        <f t="shared" si="1153"/>
        <v>147.29411764705881</v>
      </c>
      <c r="BD374" s="229">
        <f t="shared" si="1153"/>
        <v>147.29411764705881</v>
      </c>
      <c r="BE374" s="82">
        <f t="shared" si="1153"/>
        <v>20.3786078098472</v>
      </c>
      <c r="BF374" s="82">
        <f t="shared" si="1153"/>
        <v>7.7517314864144939</v>
      </c>
      <c r="BG374" s="82">
        <f t="shared" si="1153"/>
        <v>4.9101305094741168</v>
      </c>
      <c r="BH374" s="82">
        <f t="shared" si="1153"/>
        <v>4.3651061468433419</v>
      </c>
      <c r="BI374" s="229">
        <f t="shared" si="1153"/>
        <v>4.3651061468433419</v>
      </c>
      <c r="BJ374" s="82">
        <f t="shared" si="1153"/>
        <v>4.6605184569693892</v>
      </c>
      <c r="BK374" s="82">
        <f t="shared" si="1153"/>
        <v>5.0815752461322079</v>
      </c>
      <c r="BL374" s="82">
        <f t="shared" si="1153"/>
        <v>5.628571428571429</v>
      </c>
      <c r="BM374" s="82">
        <f t="shared" si="1153"/>
        <v>4.5367810967454298</v>
      </c>
      <c r="BN374" s="345">
        <f t="shared" si="1153"/>
        <v>4.5367810967454298</v>
      </c>
      <c r="BO374" s="345">
        <f t="shared" si="1153"/>
        <v>3.6902173913043477</v>
      </c>
      <c r="BP374" s="82">
        <f t="shared" si="1153"/>
        <v>3.3599717114568599</v>
      </c>
      <c r="BQ374" s="82">
        <f t="shared" si="1153"/>
        <v>3.3972602739726026</v>
      </c>
      <c r="BR374" s="82">
        <f t="shared" si="1153"/>
        <v>3.5890042291426374</v>
      </c>
      <c r="BS374" s="229">
        <f t="shared" si="1153"/>
        <v>3.5890042291426374</v>
      </c>
      <c r="BT374" s="82"/>
      <c r="BU374" s="82"/>
      <c r="BV374" s="82"/>
      <c r="BW374" s="82"/>
      <c r="BX374" s="229">
        <f>(BX313+BX307-BX287)/BX224</f>
        <v>2.138116846284742</v>
      </c>
      <c r="BY374" s="82"/>
      <c r="BZ374" s="82"/>
      <c r="CA374" s="82"/>
      <c r="CB374" s="82"/>
      <c r="CC374" s="229">
        <f>(CC313+CC307-CC287)/CC224</f>
        <v>1.2285497342444951</v>
      </c>
      <c r="CD374" s="82"/>
      <c r="CE374" s="82"/>
      <c r="CF374" s="82"/>
      <c r="CG374" s="82"/>
      <c r="CH374" s="229">
        <f>(CH313+CH307-CH287)/CH224</f>
        <v>0.74847001223990206</v>
      </c>
      <c r="CI374" s="82"/>
      <c r="CJ374" s="82"/>
      <c r="CK374" s="82"/>
      <c r="CL374" s="82"/>
      <c r="CM374" s="229">
        <f>(CM313+CM307-CM287)/CM224</f>
        <v>0.62796062749923098</v>
      </c>
      <c r="CN374" s="82"/>
      <c r="CO374" s="82"/>
      <c r="CP374" s="82"/>
      <c r="CQ374" s="82"/>
      <c r="CR374" s="229">
        <f>(CR313+CR307-CR287)/CR224</f>
        <v>1.0582507687051588</v>
      </c>
      <c r="CS374" s="82"/>
      <c r="CT374" s="82"/>
      <c r="CU374" s="82"/>
      <c r="CV374" s="82"/>
      <c r="CW374" s="229">
        <f>(CW313+CW307-CW287)/CW224</f>
        <v>1.0860346942351498</v>
      </c>
      <c r="CX374" s="82"/>
      <c r="CY374" s="82"/>
      <c r="CZ374" s="82"/>
      <c r="DA374" s="82"/>
      <c r="DB374" s="229">
        <f>(DB313+DB307-DB287)/DB224</f>
        <v>0.86990806935175191</v>
      </c>
      <c r="DC374" s="82"/>
      <c r="DD374" s="82"/>
      <c r="DE374" s="82"/>
      <c r="DF374" s="82"/>
      <c r="DG374" s="229">
        <f>(DG313+DG307-DG287)/DG224</f>
        <v>0.62938895759605551</v>
      </c>
      <c r="DH374" s="82"/>
      <c r="DI374" s="82"/>
      <c r="DJ374" s="82"/>
      <c r="DK374" s="82"/>
      <c r="DL374" s="229">
        <f>(DL313+DL307-DL287)/DL224</f>
        <v>0.30217255712147756</v>
      </c>
      <c r="DM374" s="82"/>
      <c r="DN374" s="525"/>
      <c r="DO374" s="486"/>
      <c r="DP374" s="411"/>
      <c r="DQ374" s="411"/>
      <c r="DR374" s="411"/>
      <c r="DS374" s="567"/>
      <c r="DT374" s="567"/>
      <c r="DU374" s="473"/>
      <c r="DV374" s="473"/>
      <c r="DW374" s="473"/>
      <c r="DX374" s="473"/>
      <c r="DY374" s="473"/>
      <c r="DZ374" s="473"/>
      <c r="EA374" s="525"/>
      <c r="EH374" s="8"/>
    </row>
    <row r="375" spans="1:138" ht="12.75" hidden="1" customHeight="1" x14ac:dyDescent="0.2">
      <c r="A375" s="82" t="s">
        <v>216</v>
      </c>
      <c r="B375" s="82"/>
      <c r="C375" s="82"/>
      <c r="D375" s="82"/>
      <c r="E375" s="82"/>
      <c r="F375" s="229" t="e">
        <f>(F313+F307-F287)/#REF!</f>
        <v>#REF!</v>
      </c>
      <c r="G375" s="82"/>
      <c r="H375" s="82"/>
      <c r="I375" s="82"/>
      <c r="J375" s="82"/>
      <c r="K375" s="229" t="e">
        <f>(K313+K307-K287)/#REF!</f>
        <v>#REF!</v>
      </c>
      <c r="L375" s="82"/>
      <c r="M375" s="82"/>
      <c r="N375" s="82"/>
      <c r="O375" s="82"/>
      <c r="P375" s="229" t="e">
        <f>(P313+P307-P287)/#REF!</f>
        <v>#REF!</v>
      </c>
      <c r="Q375" s="82"/>
      <c r="R375" s="82"/>
      <c r="S375" s="82"/>
      <c r="T375" s="82"/>
      <c r="U375" s="229" t="e">
        <f>(U313+U307-U287)/#REF!</f>
        <v>#REF!</v>
      </c>
      <c r="V375" s="82"/>
      <c r="W375" s="82"/>
      <c r="X375" s="82"/>
      <c r="Y375" s="82"/>
      <c r="Z375" s="229" t="e">
        <f>(Z313+Z307-Z287)/#REF!</f>
        <v>#REF!</v>
      </c>
      <c r="AA375" s="82"/>
      <c r="AB375" s="82"/>
      <c r="AC375" s="82"/>
      <c r="AD375" s="82"/>
      <c r="AE375" s="229" t="e">
        <f>(AE313+AE307-AE287)/#REF!</f>
        <v>#REF!</v>
      </c>
      <c r="AF375" s="82"/>
      <c r="AG375" s="82"/>
      <c r="AH375" s="82"/>
      <c r="AI375" s="82"/>
      <c r="AJ375" s="229" t="e">
        <f>(AJ313+AJ307-AJ287)/#REF!</f>
        <v>#REF!</v>
      </c>
      <c r="AK375" s="82" t="e">
        <f>(AK313+AK307-AK287)/#REF!</f>
        <v>#REF!</v>
      </c>
      <c r="AL375" s="82" t="e">
        <f>(AL313+AL307-AL287)/#REF!</f>
        <v>#REF!</v>
      </c>
      <c r="AM375" s="82" t="e">
        <f>(AM313+AM307-AM287)/#REF!</f>
        <v>#REF!</v>
      </c>
      <c r="AN375" s="82" t="e">
        <f>(AN313+AN307-AN287)/#REF!</f>
        <v>#REF!</v>
      </c>
      <c r="AO375" s="229" t="e">
        <f>(AO313+AO307-AO287)/#REF!</f>
        <v>#REF!</v>
      </c>
      <c r="AP375" s="82"/>
      <c r="AQ375" s="82"/>
      <c r="AR375" s="82"/>
      <c r="AS375" s="82"/>
      <c r="AT375" s="229"/>
      <c r="AU375" s="82" t="e">
        <f>(AU313+AU307-AU287)/#REF!</f>
        <v>#REF!</v>
      </c>
      <c r="AV375" s="82" t="e">
        <f>(AV313+AV307-AV287)/#REF!</f>
        <v>#REF!</v>
      </c>
      <c r="AW375" s="82" t="e">
        <f>(AW313+AW307-AW287)/#REF!</f>
        <v>#REF!</v>
      </c>
      <c r="AX375" s="82" t="e">
        <f>(AX313+AX307-AX287)/#REF!</f>
        <v>#REF!</v>
      </c>
      <c r="AY375" s="229" t="e">
        <f>(AY313+AY307-AY287)/#REF!</f>
        <v>#REF!</v>
      </c>
      <c r="AZ375" s="82" t="e">
        <f>(AZ313+AZ307-AZ287)/#REF!</f>
        <v>#REF!</v>
      </c>
      <c r="BA375" s="82" t="e">
        <f>(BA313+BA307-BA287)/#REF!</f>
        <v>#REF!</v>
      </c>
      <c r="BB375" s="82" t="e">
        <f>(BB313+BB307-BB287)/#REF!</f>
        <v>#REF!</v>
      </c>
      <c r="BC375" s="82" t="e">
        <f>(BC313+BC307-BC287)/#REF!</f>
        <v>#REF!</v>
      </c>
      <c r="BD375" s="229" t="e">
        <f>(BD313+BD307-BD287)/#REF!</f>
        <v>#REF!</v>
      </c>
      <c r="BE375" s="82" t="e">
        <f>(BE313+BE307-BE287)/#REF!</f>
        <v>#REF!</v>
      </c>
      <c r="BF375" s="82" t="e">
        <f>(BF313+BF307-BF287)/#REF!</f>
        <v>#REF!</v>
      </c>
      <c r="BG375" s="82" t="e">
        <f>(BG313+BG307-BG287)/#REF!</f>
        <v>#REF!</v>
      </c>
      <c r="BH375" s="82" t="e">
        <f>(BH313+BH307-BH287)/#REF!</f>
        <v>#REF!</v>
      </c>
      <c r="BI375" s="229" t="e">
        <f>(BI313+BI307-BI287)/#REF!</f>
        <v>#REF!</v>
      </c>
      <c r="BJ375" s="82" t="e">
        <f>(BJ313+BJ307-BJ287)/#REF!</f>
        <v>#REF!</v>
      </c>
      <c r="BK375" s="82" t="e">
        <f>(BK313+BK307-BK287)/#REF!</f>
        <v>#REF!</v>
      </c>
      <c r="BL375" s="82" t="e">
        <f>(BL313+BL307-BL287)/#REF!</f>
        <v>#REF!</v>
      </c>
      <c r="BM375" s="82" t="e">
        <f>(BM313+BM307-BM287)/#REF!</f>
        <v>#REF!</v>
      </c>
      <c r="BN375" s="345" t="e">
        <f>(BN313+BN307-BN287)/#REF!</f>
        <v>#REF!</v>
      </c>
      <c r="BO375" s="345" t="e">
        <f>(BO313+BO307-BO287)/#REF!</f>
        <v>#REF!</v>
      </c>
      <c r="BP375" s="82" t="e">
        <f>(BP313+BP307-BP287)/#REF!</f>
        <v>#REF!</v>
      </c>
      <c r="BQ375" s="82" t="e">
        <f>(BQ313+BQ307-BQ287)/#REF!</f>
        <v>#REF!</v>
      </c>
      <c r="BR375" s="82" t="e">
        <f>(BR313+BR307-BR287)/#REF!</f>
        <v>#REF!</v>
      </c>
      <c r="BS375" s="229" t="e">
        <f>(BS313+BS307-BS287)/#REF!</f>
        <v>#REF!</v>
      </c>
      <c r="BT375" s="82"/>
      <c r="BU375" s="82"/>
      <c r="BV375" s="82"/>
      <c r="BW375" s="82"/>
      <c r="BX375" s="229" t="e">
        <f>(BX313+BX307-BX287)/#REF!</f>
        <v>#REF!</v>
      </c>
      <c r="BY375" s="82"/>
      <c r="BZ375" s="82"/>
      <c r="CA375" s="82"/>
      <c r="CB375" s="82"/>
      <c r="CC375" s="229" t="e">
        <f>(CC313+CC307-CC287)/#REF!</f>
        <v>#REF!</v>
      </c>
      <c r="CD375" s="82"/>
      <c r="CE375" s="82"/>
      <c r="CF375" s="82"/>
      <c r="CG375" s="82"/>
      <c r="CH375" s="229" t="e">
        <f>(CH313+CH307-CH287)/#REF!</f>
        <v>#REF!</v>
      </c>
      <c r="CI375" s="82"/>
      <c r="CJ375" s="82"/>
      <c r="CK375" s="82"/>
      <c r="CL375" s="82"/>
      <c r="CM375" s="229" t="e">
        <f>(CM313+CM307-CM287)/#REF!</f>
        <v>#REF!</v>
      </c>
      <c r="CN375" s="82"/>
      <c r="CO375" s="82"/>
      <c r="CP375" s="82"/>
      <c r="CQ375" s="82"/>
      <c r="CR375" s="229" t="e">
        <f>(CR313+CR307-CR287)/#REF!</f>
        <v>#REF!</v>
      </c>
      <c r="CS375" s="82"/>
      <c r="CT375" s="82"/>
      <c r="CU375" s="82"/>
      <c r="CV375" s="82"/>
      <c r="CW375" s="229" t="e">
        <f>(CW313+CW307-CW287)/#REF!</f>
        <v>#REF!</v>
      </c>
      <c r="CX375" s="82"/>
      <c r="CY375" s="82"/>
      <c r="CZ375" s="82"/>
      <c r="DA375" s="82"/>
      <c r="DB375" s="229" t="e">
        <f>(DB313+DB307-DB287)/#REF!</f>
        <v>#REF!</v>
      </c>
      <c r="DC375" s="82"/>
      <c r="DD375" s="82"/>
      <c r="DE375" s="82"/>
      <c r="DF375" s="82"/>
      <c r="DG375" s="229" t="e">
        <f>(DG313+DG307-DG287)/#REF!</f>
        <v>#REF!</v>
      </c>
      <c r="DH375" s="82"/>
      <c r="DI375" s="82"/>
      <c r="DJ375" s="82"/>
      <c r="DK375" s="82"/>
      <c r="DL375" s="229" t="e">
        <f>(DL313+DL307-DL287)/#REF!</f>
        <v>#REF!</v>
      </c>
      <c r="DM375" s="82"/>
      <c r="DN375" s="525"/>
      <c r="DO375" s="486"/>
      <c r="DP375" s="411"/>
      <c r="DQ375" s="411"/>
      <c r="DR375" s="411"/>
      <c r="DS375" s="567"/>
      <c r="DT375" s="567"/>
      <c r="DU375" s="473"/>
      <c r="DV375" s="473"/>
      <c r="DW375" s="473"/>
      <c r="DX375" s="473"/>
      <c r="DY375" s="473"/>
      <c r="DZ375" s="473"/>
      <c r="EA375" s="525"/>
      <c r="EH375" s="8"/>
    </row>
    <row r="376" spans="1:138" ht="12.75" hidden="1" customHeight="1" x14ac:dyDescent="0.2">
      <c r="A376" s="82" t="s">
        <v>217</v>
      </c>
      <c r="B376" s="82"/>
      <c r="C376" s="82"/>
      <c r="D376" s="82"/>
      <c r="E376" s="82"/>
      <c r="F376" s="229">
        <f>(F313+F307-F287)/F225</f>
        <v>1.2578718783930509</v>
      </c>
      <c r="G376" s="82"/>
      <c r="H376" s="82"/>
      <c r="I376" s="82"/>
      <c r="J376" s="82"/>
      <c r="K376" s="229">
        <f>(K313+K307-K287)/K225</f>
        <v>7.940199335548173</v>
      </c>
      <c r="L376" s="82"/>
      <c r="M376" s="82"/>
      <c r="N376" s="82"/>
      <c r="O376" s="82"/>
      <c r="P376" s="229">
        <f>(P313+P307-P287)/P225</f>
        <v>9.3126967471143764</v>
      </c>
      <c r="Q376" s="82"/>
      <c r="R376" s="82"/>
      <c r="S376" s="82"/>
      <c r="T376" s="82"/>
      <c r="U376" s="229">
        <f>(U313+U307-U287)/U225</f>
        <v>9.9426217448874574</v>
      </c>
      <c r="V376" s="82"/>
      <c r="W376" s="82"/>
      <c r="X376" s="82"/>
      <c r="Y376" s="82"/>
      <c r="Z376" s="229">
        <f>(Z313+Z307-Z287)/Z225</f>
        <v>25.586419753086421</v>
      </c>
      <c r="AA376" s="82"/>
      <c r="AB376" s="82"/>
      <c r="AC376" s="82"/>
      <c r="AD376" s="82"/>
      <c r="AE376" s="229">
        <f>(AE313+AE307-AE287)/AE225</f>
        <v>8.1811697574893003</v>
      </c>
      <c r="AF376" s="82"/>
      <c r="AG376" s="82"/>
      <c r="AH376" s="82"/>
      <c r="AI376" s="82"/>
      <c r="AJ376" s="229">
        <f t="shared" ref="AJ376:AO376" si="1154">(AJ313+AJ307-AJ287)/AJ225</f>
        <v>3.250909090909091</v>
      </c>
      <c r="AK376" s="82">
        <f t="shared" si="1154"/>
        <v>2.2740576496674056</v>
      </c>
      <c r="AL376" s="82">
        <f t="shared" si="1154"/>
        <v>2.3649510846448321</v>
      </c>
      <c r="AM376" s="82">
        <f t="shared" si="1154"/>
        <v>2.2600760456273763</v>
      </c>
      <c r="AN376" s="82">
        <f t="shared" si="1154"/>
        <v>2.4580696202531644</v>
      </c>
      <c r="AO376" s="229">
        <f t="shared" si="1154"/>
        <v>2.4580696202531644</v>
      </c>
      <c r="AP376" s="82"/>
      <c r="AQ376" s="82"/>
      <c r="AR376" s="82"/>
      <c r="AS376" s="82"/>
      <c r="AT376" s="229"/>
      <c r="AU376" s="82">
        <f t="shared" ref="AU376:BS376" si="1155">(AU313+AU307-AU287)/AU225</f>
        <v>22.652777777777779</v>
      </c>
      <c r="AV376" s="82">
        <f t="shared" si="1155"/>
        <v>5.4029850746268657</v>
      </c>
      <c r="AW376" s="82">
        <f t="shared" si="1155"/>
        <v>3.8568306010928963</v>
      </c>
      <c r="AX376" s="82">
        <f t="shared" si="1155"/>
        <v>5.4522522522522525</v>
      </c>
      <c r="AY376" s="229">
        <f t="shared" si="1155"/>
        <v>5.4522522522522525</v>
      </c>
      <c r="AZ376" s="82">
        <f t="shared" si="1155"/>
        <v>5.8822384428223842</v>
      </c>
      <c r="BA376" s="82">
        <f t="shared" si="1155"/>
        <v>6.3624454148471612</v>
      </c>
      <c r="BB376" s="82">
        <f t="shared" si="1155"/>
        <v>6.3686684073107047</v>
      </c>
      <c r="BC376" s="82">
        <f t="shared" si="1155"/>
        <v>5.9590671108995714</v>
      </c>
      <c r="BD376" s="229">
        <f t="shared" si="1155"/>
        <v>5.9590671108995714</v>
      </c>
      <c r="BE376" s="82">
        <f t="shared" si="1155"/>
        <v>4.6218713900654604</v>
      </c>
      <c r="BF376" s="82">
        <f t="shared" si="1155"/>
        <v>3.2895080085563735</v>
      </c>
      <c r="BG376" s="82">
        <f t="shared" si="1155"/>
        <v>2.6814093618292394</v>
      </c>
      <c r="BH376" s="82">
        <f t="shared" si="1155"/>
        <v>2.5502403035228456</v>
      </c>
      <c r="BI376" s="229">
        <f t="shared" si="1155"/>
        <v>2.5502403035228456</v>
      </c>
      <c r="BJ376" s="82">
        <f t="shared" si="1155"/>
        <v>2.6434534280901345</v>
      </c>
      <c r="BK376" s="82">
        <f t="shared" si="1155"/>
        <v>2.7350492051476154</v>
      </c>
      <c r="BL376" s="82">
        <f t="shared" si="1155"/>
        <v>2.9441531200839015</v>
      </c>
      <c r="BM376" s="82">
        <f t="shared" si="1155"/>
        <v>2.5039370078740157</v>
      </c>
      <c r="BN376" s="345">
        <f t="shared" si="1155"/>
        <v>2.5039370078740157</v>
      </c>
      <c r="BO376" s="345">
        <f t="shared" si="1155"/>
        <v>2.1584922797456856</v>
      </c>
      <c r="BP376" s="82">
        <f t="shared" si="1155"/>
        <v>2.0403693364827142</v>
      </c>
      <c r="BQ376" s="82">
        <f t="shared" si="1155"/>
        <v>2.0469157254561252</v>
      </c>
      <c r="BR376" s="82">
        <f t="shared" si="1155"/>
        <v>2.1034249662009916</v>
      </c>
      <c r="BS376" s="229">
        <f t="shared" si="1155"/>
        <v>2.1034249662009916</v>
      </c>
      <c r="BT376" s="82"/>
      <c r="BU376" s="82"/>
      <c r="BV376" s="82"/>
      <c r="BW376" s="82"/>
      <c r="BX376" s="229">
        <f>(BX313+BX307-BX287)/BX225</f>
        <v>1.3979232338216205</v>
      </c>
      <c r="BY376" s="82"/>
      <c r="BZ376" s="82"/>
      <c r="CA376" s="82"/>
      <c r="CB376" s="82"/>
      <c r="CC376" s="229">
        <f>(CC313+CC307-CC287)/CC225</f>
        <v>0.88998899889989003</v>
      </c>
      <c r="CD376" s="82"/>
      <c r="CE376" s="82"/>
      <c r="CF376" s="82"/>
      <c r="CG376" s="82"/>
      <c r="CH376" s="229">
        <f>(CH313+CH307-CH287)/CH225</f>
        <v>0.5674515717434172</v>
      </c>
      <c r="CI376" s="82"/>
      <c r="CJ376" s="82"/>
      <c r="CK376" s="82"/>
      <c r="CL376" s="82"/>
      <c r="CM376" s="229">
        <f>(CM313+CM307-CM287)/CM225</f>
        <v>0.46990447692484749</v>
      </c>
      <c r="CN376" s="82"/>
      <c r="CO376" s="82"/>
      <c r="CP376" s="82"/>
      <c r="CQ376" s="82"/>
      <c r="CR376" s="229">
        <f>(CR313+CR307-CR287)/CR225</f>
        <v>0.73400473933649291</v>
      </c>
      <c r="CS376" s="82"/>
      <c r="CT376" s="82"/>
      <c r="CU376" s="82"/>
      <c r="CV376" s="82"/>
      <c r="CW376" s="229">
        <f>(CW313+CW307-CW287)/CW225</f>
        <v>0.74855072463768113</v>
      </c>
      <c r="CX376" s="82"/>
      <c r="CY376" s="82"/>
      <c r="CZ376" s="82"/>
      <c r="DA376" s="82"/>
      <c r="DB376" s="229">
        <f>(DB313+DB307-DB287)/DB225</f>
        <v>0.58140093541893023</v>
      </c>
      <c r="DC376" s="82"/>
      <c r="DD376" s="82"/>
      <c r="DE376" s="82"/>
      <c r="DF376" s="82"/>
      <c r="DG376" s="229">
        <f>(DG313+DG307-DG287)/DG225</f>
        <v>0.42708969494642474</v>
      </c>
      <c r="DH376" s="82"/>
      <c r="DI376" s="82"/>
      <c r="DJ376" s="82"/>
      <c r="DK376" s="82"/>
      <c r="DL376" s="229">
        <f>(DL313+DL307-DL287)/DL225</f>
        <v>0.20833450527038014</v>
      </c>
      <c r="DM376" s="82"/>
      <c r="DN376" s="525"/>
      <c r="DO376" s="486"/>
      <c r="DP376" s="411"/>
      <c r="DQ376" s="411"/>
      <c r="DR376" s="411"/>
      <c r="DS376" s="567"/>
      <c r="DT376" s="567"/>
      <c r="DU376" s="473"/>
      <c r="DV376" s="473"/>
      <c r="DW376" s="473"/>
      <c r="DX376" s="473"/>
      <c r="DY376" s="473"/>
      <c r="DZ376" s="473"/>
      <c r="EA376" s="525"/>
      <c r="EH376" s="8"/>
    </row>
    <row r="377" spans="1:138" ht="12.75" customHeight="1" x14ac:dyDescent="0.2">
      <c r="A377" s="5" t="s">
        <v>398</v>
      </c>
      <c r="B377" s="5"/>
      <c r="C377" s="5"/>
      <c r="D377" s="5"/>
      <c r="E377" s="5"/>
      <c r="F377" s="197"/>
      <c r="G377" s="5"/>
      <c r="H377" s="5"/>
      <c r="I377" s="5"/>
      <c r="J377" s="5"/>
      <c r="K377" s="197"/>
      <c r="L377" s="5"/>
      <c r="M377" s="5"/>
      <c r="N377" s="5"/>
      <c r="O377" s="5"/>
      <c r="P377" s="197"/>
      <c r="Q377" s="5"/>
      <c r="R377" s="5"/>
      <c r="S377" s="5"/>
      <c r="T377" s="5"/>
      <c r="U377" s="197"/>
      <c r="V377" s="5"/>
      <c r="W377" s="5"/>
      <c r="X377" s="5"/>
      <c r="Y377" s="5"/>
      <c r="Z377" s="197"/>
      <c r="AA377" s="5"/>
      <c r="AB377" s="5"/>
      <c r="AC377" s="5"/>
      <c r="AD377" s="5"/>
      <c r="AE377" s="197"/>
      <c r="AF377" s="5"/>
      <c r="AG377" s="5"/>
      <c r="AH377" s="5"/>
      <c r="AI377" s="5"/>
      <c r="AJ377" s="197"/>
      <c r="AK377" s="5"/>
      <c r="AL377" s="5"/>
      <c r="AM377" s="5"/>
      <c r="AN377" s="5"/>
      <c r="AO377" s="197"/>
      <c r="AP377" s="5"/>
      <c r="AQ377" s="5"/>
      <c r="AR377" s="5"/>
      <c r="AS377" s="5"/>
      <c r="AT377" s="197"/>
      <c r="AU377" s="5"/>
      <c r="AV377" s="5"/>
      <c r="AW377" s="5"/>
      <c r="AX377" s="5"/>
      <c r="AY377" s="197"/>
      <c r="AZ377" s="5"/>
      <c r="BA377" s="5"/>
      <c r="BB377" s="5"/>
      <c r="BC377" s="5"/>
      <c r="BD377" s="197"/>
      <c r="BE377" s="5"/>
      <c r="BF377" s="5"/>
      <c r="BG377" s="5"/>
      <c r="BH377" s="5"/>
      <c r="BI377" s="197"/>
      <c r="BJ377" s="5"/>
      <c r="BK377" s="5"/>
      <c r="BL377" s="5"/>
      <c r="BM377" s="5"/>
      <c r="BN377" s="315"/>
      <c r="BO377" s="315"/>
      <c r="BP377" s="5"/>
      <c r="BQ377" s="5"/>
      <c r="BR377" s="5"/>
      <c r="BS377" s="197"/>
      <c r="BT377" s="5"/>
      <c r="BU377" s="5"/>
      <c r="BV377" s="5"/>
      <c r="BW377" s="5"/>
      <c r="BX377" s="197"/>
      <c r="BY377" s="5"/>
      <c r="BZ377" s="5"/>
      <c r="CA377" s="5"/>
      <c r="CB377" s="5"/>
      <c r="CC377" s="197"/>
      <c r="CD377" s="5"/>
      <c r="CE377" s="5"/>
      <c r="CF377" s="5"/>
      <c r="CG377" s="5"/>
      <c r="CH377" s="197"/>
      <c r="CI377" s="5"/>
      <c r="CJ377" s="5"/>
      <c r="CK377" s="5"/>
      <c r="CL377" s="5"/>
      <c r="CM377" s="197"/>
      <c r="CN377" s="5"/>
      <c r="CO377" s="5"/>
      <c r="CP377" s="5"/>
      <c r="CQ377" s="5"/>
      <c r="CR377" s="197"/>
      <c r="CS377" s="5"/>
      <c r="CT377" s="5"/>
      <c r="CU377" s="5"/>
      <c r="CV377" s="5"/>
      <c r="CW377" s="197"/>
      <c r="CX377" s="5"/>
      <c r="CY377" s="5"/>
      <c r="CZ377" s="5"/>
      <c r="DA377" s="5"/>
      <c r="DB377" s="197"/>
      <c r="DC377" s="5"/>
      <c r="DD377" s="5"/>
      <c r="DE377" s="5"/>
      <c r="DF377" s="5"/>
      <c r="DG377" s="197"/>
      <c r="DH377" s="5"/>
      <c r="DI377" s="5"/>
      <c r="DJ377" s="5"/>
      <c r="DK377" s="5"/>
      <c r="DL377" s="197"/>
      <c r="DM377" s="413"/>
      <c r="DN377" s="4"/>
      <c r="DO377" s="487"/>
      <c r="DP377" s="413"/>
      <c r="DQ377" s="413"/>
      <c r="DR377" s="413"/>
      <c r="DS377" s="567"/>
      <c r="DT377" s="567"/>
      <c r="DU377" s="473"/>
      <c r="DV377" s="458"/>
      <c r="DW377" s="458"/>
      <c r="DX377" s="458"/>
      <c r="DY377" s="458"/>
      <c r="DZ377" s="458"/>
      <c r="EA377" s="4"/>
      <c r="EH377" s="5"/>
    </row>
    <row r="378" spans="1:138" ht="12.75" hidden="1" customHeight="1" x14ac:dyDescent="0.2">
      <c r="A378" s="66" t="s">
        <v>251</v>
      </c>
      <c r="B378" s="66"/>
      <c r="C378" s="66"/>
      <c r="D378" s="66"/>
      <c r="E378" s="66"/>
      <c r="F378" s="248"/>
      <c r="G378" s="66"/>
      <c r="H378" s="66"/>
      <c r="I378" s="66"/>
      <c r="J378" s="66"/>
      <c r="K378" s="248"/>
      <c r="L378" s="66"/>
      <c r="M378" s="66"/>
      <c r="N378" s="66"/>
      <c r="O378" s="66"/>
      <c r="P378" s="248"/>
      <c r="Q378" s="66"/>
      <c r="R378" s="66"/>
      <c r="S378" s="66"/>
      <c r="T378" s="66"/>
      <c r="U378" s="248"/>
      <c r="V378" s="66"/>
      <c r="W378" s="66"/>
      <c r="X378" s="66"/>
      <c r="Y378" s="66"/>
      <c r="Z378" s="248"/>
      <c r="AA378" s="66"/>
      <c r="AB378" s="66"/>
      <c r="AC378" s="66"/>
      <c r="AD378" s="66"/>
      <c r="AE378" s="248"/>
      <c r="AF378" s="66"/>
      <c r="AG378" s="66"/>
      <c r="AH378" s="66"/>
      <c r="AI378" s="66"/>
      <c r="AJ378" s="248"/>
      <c r="AK378" s="66"/>
      <c r="AL378" s="66"/>
      <c r="AM378" s="66"/>
      <c r="AN378" s="66"/>
      <c r="AO378" s="248"/>
      <c r="AP378" s="66"/>
      <c r="AQ378" s="66"/>
      <c r="AR378" s="66"/>
      <c r="AS378" s="66"/>
      <c r="AT378" s="248"/>
      <c r="AU378" s="66"/>
      <c r="AV378" s="66"/>
      <c r="AW378" s="66"/>
      <c r="AX378" s="66"/>
      <c r="AY378" s="248"/>
      <c r="AZ378" s="66"/>
      <c r="BA378" s="123">
        <f t="shared" ref="BA378:BS378" si="1156">BA344</f>
        <v>4942</v>
      </c>
      <c r="BB378" s="123">
        <f t="shared" si="1156"/>
        <v>5488</v>
      </c>
      <c r="BC378" s="123">
        <f t="shared" si="1156"/>
        <v>4678</v>
      </c>
      <c r="BD378" s="306">
        <f t="shared" si="1156"/>
        <v>4678</v>
      </c>
      <c r="BE378" s="123">
        <f t="shared" si="1156"/>
        <v>4913</v>
      </c>
      <c r="BF378" s="123">
        <f t="shared" si="1156"/>
        <v>4434</v>
      </c>
      <c r="BG378" s="123">
        <f t="shared" si="1156"/>
        <v>3875</v>
      </c>
      <c r="BH378" s="123">
        <f t="shared" si="1156"/>
        <v>3610</v>
      </c>
      <c r="BI378" s="306">
        <f t="shared" si="1156"/>
        <v>3610</v>
      </c>
      <c r="BJ378" s="123"/>
      <c r="BK378" s="123"/>
      <c r="BL378" s="123"/>
      <c r="BM378" s="123"/>
      <c r="BN378" s="374">
        <f t="shared" si="1156"/>
        <v>3615</v>
      </c>
      <c r="BO378" s="374"/>
      <c r="BP378" s="123"/>
      <c r="BQ378" s="123"/>
      <c r="BR378" s="123"/>
      <c r="BS378" s="306">
        <f t="shared" si="1156"/>
        <v>3374</v>
      </c>
      <c r="BT378" s="123"/>
      <c r="BU378" s="123"/>
      <c r="BV378" s="123"/>
      <c r="BW378" s="123"/>
      <c r="BX378" s="306">
        <f>BX344</f>
        <v>3803</v>
      </c>
      <c r="BY378" s="123"/>
      <c r="BZ378" s="123"/>
      <c r="CA378" s="123"/>
      <c r="CB378" s="123"/>
      <c r="CC378" s="306">
        <f>CC344</f>
        <v>3305</v>
      </c>
      <c r="CD378" s="123"/>
      <c r="CE378" s="123"/>
      <c r="CF378" s="123"/>
      <c r="CG378" s="123"/>
      <c r="CH378" s="306">
        <f>CH344</f>
        <v>3437</v>
      </c>
      <c r="CI378" s="123"/>
      <c r="CJ378" s="123"/>
      <c r="CK378" s="123"/>
      <c r="CL378" s="123"/>
      <c r="CM378" s="306">
        <f>CM344</f>
        <v>3249</v>
      </c>
      <c r="CN378" s="123"/>
      <c r="CO378" s="123"/>
      <c r="CP378" s="123"/>
      <c r="CQ378" s="123"/>
      <c r="CR378" s="306">
        <f>CR344</f>
        <v>2639</v>
      </c>
      <c r="CS378" s="123"/>
      <c r="CT378" s="123"/>
      <c r="CU378" s="123"/>
      <c r="CV378" s="123"/>
      <c r="CW378" s="306">
        <f>CW344</f>
        <v>2636</v>
      </c>
      <c r="CX378" s="123"/>
      <c r="CY378" s="123"/>
      <c r="CZ378" s="123"/>
      <c r="DA378" s="123"/>
      <c r="DB378" s="306">
        <f>DB344</f>
        <v>2131.2110239177173</v>
      </c>
      <c r="DC378" s="123"/>
      <c r="DD378" s="123"/>
      <c r="DE378" s="123"/>
      <c r="DF378" s="123"/>
      <c r="DG378" s="306">
        <f>DG344</f>
        <v>1902.1541919594056</v>
      </c>
      <c r="DH378" s="123"/>
      <c r="DI378" s="123"/>
      <c r="DJ378" s="123"/>
      <c r="DK378" s="123"/>
      <c r="DL378" s="306">
        <f>DL344</f>
        <v>2237.3413017896382</v>
      </c>
      <c r="DM378" s="66"/>
      <c r="DN378" s="526"/>
      <c r="DO378" s="486"/>
      <c r="DP378" s="411"/>
      <c r="DQ378" s="411"/>
      <c r="DR378" s="411"/>
      <c r="DS378" s="554"/>
      <c r="DT378" s="554"/>
      <c r="DU378" s="458"/>
      <c r="DV378" s="472"/>
      <c r="DW378" s="472"/>
      <c r="DX378" s="472"/>
      <c r="DY378" s="472"/>
      <c r="DZ378" s="472"/>
      <c r="EA378" s="526"/>
      <c r="EH378" s="8"/>
    </row>
    <row r="379" spans="1:138" ht="12.75" hidden="1" customHeight="1" x14ac:dyDescent="0.2">
      <c r="A379" s="66" t="s">
        <v>229</v>
      </c>
      <c r="B379" s="66"/>
      <c r="C379" s="66"/>
      <c r="D379" s="66"/>
      <c r="E379" s="66"/>
      <c r="F379" s="248"/>
      <c r="G379" s="66"/>
      <c r="H379" s="66"/>
      <c r="I379" s="66"/>
      <c r="J379" s="66"/>
      <c r="K379" s="248"/>
      <c r="L379" s="66"/>
      <c r="M379" s="66"/>
      <c r="N379" s="66"/>
      <c r="O379" s="66"/>
      <c r="P379" s="248"/>
      <c r="Q379" s="66"/>
      <c r="R379" s="66"/>
      <c r="S379" s="66"/>
      <c r="T379" s="66"/>
      <c r="U379" s="248"/>
      <c r="V379" s="66"/>
      <c r="W379" s="66"/>
      <c r="X379" s="66"/>
      <c r="Y379" s="66"/>
      <c r="Z379" s="248"/>
      <c r="AA379" s="66"/>
      <c r="AB379" s="66"/>
      <c r="AC379" s="66"/>
      <c r="AD379" s="66"/>
      <c r="AE379" s="248"/>
      <c r="AF379" s="66"/>
      <c r="AG379" s="66"/>
      <c r="AH379" s="66"/>
      <c r="AI379" s="66"/>
      <c r="AJ379" s="248"/>
      <c r="AK379" s="66"/>
      <c r="AL379" s="66"/>
      <c r="AM379" s="66"/>
      <c r="AN379" s="66"/>
      <c r="AO379" s="248"/>
      <c r="AP379" s="66"/>
      <c r="AQ379" s="66"/>
      <c r="AR379" s="66"/>
      <c r="AS379" s="66"/>
      <c r="AT379" s="248"/>
      <c r="AU379" s="66"/>
      <c r="AV379" s="66"/>
      <c r="AW379" s="66"/>
      <c r="AX379" s="66"/>
      <c r="AY379" s="248"/>
      <c r="AZ379" s="66"/>
      <c r="BA379" s="123">
        <v>750</v>
      </c>
      <c r="BB379" s="123">
        <v>2000</v>
      </c>
      <c r="BC379" s="123">
        <f t="shared" ref="BC379:BI379" si="1157">BB379</f>
        <v>2000</v>
      </c>
      <c r="BD379" s="306">
        <f t="shared" si="1157"/>
        <v>2000</v>
      </c>
      <c r="BE379" s="123">
        <f t="shared" si="1157"/>
        <v>2000</v>
      </c>
      <c r="BF379" s="123">
        <f t="shared" si="1157"/>
        <v>2000</v>
      </c>
      <c r="BG379" s="123">
        <f t="shared" si="1157"/>
        <v>2000</v>
      </c>
      <c r="BH379" s="123">
        <f t="shared" si="1157"/>
        <v>2000</v>
      </c>
      <c r="BI379" s="306">
        <f t="shared" si="1157"/>
        <v>2000</v>
      </c>
      <c r="BJ379" s="123"/>
      <c r="BK379" s="123"/>
      <c r="BL379" s="123"/>
      <c r="BM379" s="123"/>
      <c r="BN379" s="374">
        <f>BI379</f>
        <v>2000</v>
      </c>
      <c r="BO379" s="374"/>
      <c r="BP379" s="123"/>
      <c r="BQ379" s="123"/>
      <c r="BR379" s="123"/>
      <c r="BS379" s="306">
        <f>BN379</f>
        <v>2000</v>
      </c>
      <c r="BT379" s="123"/>
      <c r="BU379" s="123"/>
      <c r="BV379" s="123"/>
      <c r="BW379" s="123"/>
      <c r="BX379" s="306">
        <f>BS379</f>
        <v>2000</v>
      </c>
      <c r="BY379" s="123"/>
      <c r="BZ379" s="123"/>
      <c r="CA379" s="123"/>
      <c r="CB379" s="123"/>
      <c r="CC379" s="306">
        <f>BX379</f>
        <v>2000</v>
      </c>
      <c r="CD379" s="123"/>
      <c r="CE379" s="123"/>
      <c r="CF379" s="123"/>
      <c r="CG379" s="123"/>
      <c r="CH379" s="306">
        <f>CC379</f>
        <v>2000</v>
      </c>
      <c r="CI379" s="123"/>
      <c r="CJ379" s="123"/>
      <c r="CK379" s="123"/>
      <c r="CL379" s="123"/>
      <c r="CM379" s="306">
        <f>CH379</f>
        <v>2000</v>
      </c>
      <c r="CN379" s="123"/>
      <c r="CO379" s="123"/>
      <c r="CP379" s="123"/>
      <c r="CQ379" s="123"/>
      <c r="CR379" s="306">
        <f>CM379</f>
        <v>2000</v>
      </c>
      <c r="CS379" s="123"/>
      <c r="CT379" s="123"/>
      <c r="CU379" s="123"/>
      <c r="CV379" s="123"/>
      <c r="CW379" s="306">
        <f>CR379</f>
        <v>2000</v>
      </c>
      <c r="CX379" s="123"/>
      <c r="CY379" s="123"/>
      <c r="CZ379" s="123"/>
      <c r="DA379" s="123"/>
      <c r="DB379" s="306">
        <f>CR379</f>
        <v>2000</v>
      </c>
      <c r="DC379" s="123"/>
      <c r="DD379" s="123"/>
      <c r="DE379" s="123"/>
      <c r="DF379" s="123"/>
      <c r="DG379" s="306">
        <f>DB379</f>
        <v>2000</v>
      </c>
      <c r="DH379" s="123"/>
      <c r="DI379" s="123"/>
      <c r="DJ379" s="123"/>
      <c r="DK379" s="123"/>
      <c r="DL379" s="306">
        <f>DG379</f>
        <v>2000</v>
      </c>
      <c r="DM379" s="66"/>
      <c r="DN379" s="526"/>
      <c r="DO379" s="486"/>
      <c r="DP379" s="411"/>
      <c r="DQ379" s="411"/>
      <c r="DR379" s="411"/>
      <c r="DS379" s="478"/>
      <c r="DT379" s="478"/>
      <c r="DU379" s="472"/>
      <c r="DV379" s="472"/>
      <c r="DW379" s="472"/>
      <c r="DX379" s="472"/>
      <c r="DY379" s="472"/>
      <c r="DZ379" s="472"/>
      <c r="EA379" s="526"/>
      <c r="EH379" s="8"/>
    </row>
    <row r="380" spans="1:138" ht="12.75" hidden="1" customHeight="1" x14ac:dyDescent="0.2">
      <c r="A380" s="79" t="s">
        <v>250</v>
      </c>
      <c r="B380" s="79"/>
      <c r="C380" s="79"/>
      <c r="D380" s="79"/>
      <c r="E380" s="79"/>
      <c r="F380" s="227"/>
      <c r="G380" s="79"/>
      <c r="H380" s="79"/>
      <c r="I380" s="79"/>
      <c r="J380" s="79"/>
      <c r="K380" s="227"/>
      <c r="L380" s="79"/>
      <c r="M380" s="79"/>
      <c r="N380" s="79"/>
      <c r="O380" s="79"/>
      <c r="P380" s="227"/>
      <c r="Q380" s="79"/>
      <c r="R380" s="79"/>
      <c r="S380" s="79"/>
      <c r="T380" s="79"/>
      <c r="U380" s="227"/>
      <c r="V380" s="79"/>
      <c r="W380" s="79"/>
      <c r="X380" s="79"/>
      <c r="Y380" s="79"/>
      <c r="Z380" s="227"/>
      <c r="AA380" s="79"/>
      <c r="AB380" s="79"/>
      <c r="AC380" s="79"/>
      <c r="AD380" s="79"/>
      <c r="AE380" s="227"/>
      <c r="AF380" s="79"/>
      <c r="AG380" s="79"/>
      <c r="AH380" s="79"/>
      <c r="AI380" s="79"/>
      <c r="AJ380" s="227"/>
      <c r="AK380" s="79"/>
      <c r="AL380" s="79"/>
      <c r="AM380" s="79"/>
      <c r="AN380" s="79"/>
      <c r="AO380" s="227"/>
      <c r="AP380" s="79"/>
      <c r="AQ380" s="79"/>
      <c r="AR380" s="79"/>
      <c r="AS380" s="79"/>
      <c r="AT380" s="227"/>
      <c r="AU380" s="79"/>
      <c r="AV380" s="79"/>
      <c r="AW380" s="79"/>
      <c r="AX380" s="79"/>
      <c r="AY380" s="227"/>
      <c r="AZ380" s="79"/>
      <c r="BA380" s="124" t="str">
        <f>IF(BA378&gt;BA379,"OK","BREAK")</f>
        <v>OK</v>
      </c>
      <c r="BB380" s="124" t="str">
        <f>IF(BB378&gt;BB379,"OK","BREAK")</f>
        <v>OK</v>
      </c>
      <c r="BC380" s="124" t="str">
        <f>IF(BC378&gt;BC379,"OK","BREAK")</f>
        <v>OK</v>
      </c>
      <c r="BD380" s="307" t="str">
        <f>IF(BD378&gt;BD379,"OK","BREAK")</f>
        <v>OK</v>
      </c>
      <c r="BE380" s="124"/>
      <c r="BF380" s="124"/>
      <c r="BG380" s="124"/>
      <c r="BH380" s="124"/>
      <c r="BI380" s="307" t="str">
        <f>IF(BI378&gt;BI379,"OK","BREAK")</f>
        <v>OK</v>
      </c>
      <c r="BJ380" s="124"/>
      <c r="BK380" s="124"/>
      <c r="BL380" s="124"/>
      <c r="BM380" s="124"/>
      <c r="BN380" s="375" t="str">
        <f>IF(BN378&gt;BN379,"OK","BREAK")</f>
        <v>OK</v>
      </c>
      <c r="BO380" s="375"/>
      <c r="BP380" s="124"/>
      <c r="BQ380" s="124"/>
      <c r="BR380" s="124"/>
      <c r="BS380" s="307"/>
      <c r="BT380" s="124"/>
      <c r="BU380" s="124"/>
      <c r="BV380" s="124"/>
      <c r="BW380" s="124"/>
      <c r="BX380" s="307"/>
      <c r="BY380" s="124"/>
      <c r="BZ380" s="124"/>
      <c r="CA380" s="124"/>
      <c r="CB380" s="124"/>
      <c r="CC380" s="307"/>
      <c r="CD380" s="124"/>
      <c r="CE380" s="124"/>
      <c r="CF380" s="124"/>
      <c r="CG380" s="124"/>
      <c r="CH380" s="307"/>
      <c r="CI380" s="124"/>
      <c r="CJ380" s="124"/>
      <c r="CK380" s="124"/>
      <c r="CL380" s="124"/>
      <c r="CM380" s="307"/>
      <c r="CN380" s="124"/>
      <c r="CO380" s="124"/>
      <c r="CP380" s="124"/>
      <c r="CQ380" s="124"/>
      <c r="CR380" s="307"/>
      <c r="CS380" s="124"/>
      <c r="CT380" s="124"/>
      <c r="CU380" s="124"/>
      <c r="CV380" s="124"/>
      <c r="CW380" s="307"/>
      <c r="CX380" s="124"/>
      <c r="CY380" s="124"/>
      <c r="CZ380" s="124"/>
      <c r="DA380" s="124"/>
      <c r="DB380" s="307"/>
      <c r="DC380" s="124"/>
      <c r="DD380" s="124"/>
      <c r="DE380" s="124"/>
      <c r="DF380" s="124"/>
      <c r="DG380" s="307"/>
      <c r="DH380" s="124"/>
      <c r="DI380" s="124"/>
      <c r="DJ380" s="124"/>
      <c r="DK380" s="124"/>
      <c r="DL380" s="307"/>
      <c r="DM380" s="79"/>
      <c r="DN380" s="522"/>
      <c r="DO380" s="486"/>
      <c r="DP380" s="411"/>
      <c r="DQ380" s="411"/>
      <c r="DR380" s="411"/>
      <c r="DS380" s="478"/>
      <c r="DT380" s="478"/>
      <c r="DU380" s="472"/>
      <c r="DV380" s="472"/>
      <c r="DW380" s="472"/>
      <c r="DX380" s="472"/>
      <c r="DY380" s="472"/>
      <c r="DZ380" s="472"/>
      <c r="EA380" s="522"/>
      <c r="EH380" s="8"/>
    </row>
    <row r="381" spans="1:138" ht="3" hidden="1" customHeight="1" x14ac:dyDescent="0.2">
      <c r="A381" s="66"/>
      <c r="B381" s="66"/>
      <c r="C381" s="66"/>
      <c r="D381" s="66"/>
      <c r="E381" s="66"/>
      <c r="F381" s="248"/>
      <c r="G381" s="66"/>
      <c r="H381" s="66"/>
      <c r="I381" s="66"/>
      <c r="J381" s="66"/>
      <c r="K381" s="248"/>
      <c r="L381" s="66"/>
      <c r="M381" s="66"/>
      <c r="N381" s="66"/>
      <c r="O381" s="66"/>
      <c r="P381" s="248"/>
      <c r="Q381" s="66"/>
      <c r="R381" s="66"/>
      <c r="S381" s="66"/>
      <c r="T381" s="66"/>
      <c r="U381" s="248"/>
      <c r="V381" s="66"/>
      <c r="W381" s="66"/>
      <c r="X381" s="66"/>
      <c r="Y381" s="66"/>
      <c r="Z381" s="248"/>
      <c r="AA381" s="66"/>
      <c r="AB381" s="66"/>
      <c r="AC381" s="66"/>
      <c r="AD381" s="66"/>
      <c r="AE381" s="248"/>
      <c r="AF381" s="66"/>
      <c r="AG381" s="66"/>
      <c r="AH381" s="66"/>
      <c r="AI381" s="66"/>
      <c r="AJ381" s="248"/>
      <c r="AK381" s="66"/>
      <c r="AL381" s="66"/>
      <c r="AM381" s="66"/>
      <c r="AN381" s="66"/>
      <c r="AO381" s="248"/>
      <c r="AP381" s="66"/>
      <c r="AQ381" s="66"/>
      <c r="AR381" s="66"/>
      <c r="AS381" s="66"/>
      <c r="AT381" s="248"/>
      <c r="AU381" s="66"/>
      <c r="AV381" s="66"/>
      <c r="AW381" s="66"/>
      <c r="AX381" s="66"/>
      <c r="AY381" s="248"/>
      <c r="AZ381" s="66"/>
      <c r="BA381" s="123"/>
      <c r="BB381" s="123"/>
      <c r="BC381" s="123"/>
      <c r="BD381" s="306"/>
      <c r="BE381" s="123"/>
      <c r="BF381" s="123"/>
      <c r="BG381" s="123"/>
      <c r="BH381" s="123"/>
      <c r="BI381" s="306"/>
      <c r="BJ381" s="123"/>
      <c r="BK381" s="123"/>
      <c r="BL381" s="123"/>
      <c r="BM381" s="123"/>
      <c r="BN381" s="374"/>
      <c r="BO381" s="374"/>
      <c r="BP381" s="123"/>
      <c r="BQ381" s="123"/>
      <c r="BR381" s="123"/>
      <c r="BS381" s="306"/>
      <c r="BT381" s="123"/>
      <c r="BU381" s="123"/>
      <c r="BV381" s="123"/>
      <c r="BW381" s="123"/>
      <c r="BX381" s="306"/>
      <c r="BY381" s="123"/>
      <c r="BZ381" s="123"/>
      <c r="CA381" s="123"/>
      <c r="CB381" s="123"/>
      <c r="CC381" s="306"/>
      <c r="CD381" s="123"/>
      <c r="CE381" s="123"/>
      <c r="CF381" s="123"/>
      <c r="CG381" s="123"/>
      <c r="CH381" s="306"/>
      <c r="CI381" s="123"/>
      <c r="CJ381" s="123"/>
      <c r="CK381" s="123"/>
      <c r="CL381" s="123"/>
      <c r="CM381" s="306"/>
      <c r="CN381" s="123"/>
      <c r="CO381" s="123"/>
      <c r="CP381" s="123"/>
      <c r="CQ381" s="123"/>
      <c r="CR381" s="306"/>
      <c r="CS381" s="123"/>
      <c r="CT381" s="123"/>
      <c r="CU381" s="123"/>
      <c r="CV381" s="123"/>
      <c r="CW381" s="306"/>
      <c r="CX381" s="123"/>
      <c r="CY381" s="123"/>
      <c r="CZ381" s="123"/>
      <c r="DA381" s="123"/>
      <c r="DB381" s="306"/>
      <c r="DC381" s="123"/>
      <c r="DD381" s="123"/>
      <c r="DE381" s="123"/>
      <c r="DF381" s="123"/>
      <c r="DG381" s="306"/>
      <c r="DH381" s="123"/>
      <c r="DI381" s="123"/>
      <c r="DJ381" s="123"/>
      <c r="DK381" s="123"/>
      <c r="DL381" s="306"/>
      <c r="DM381" s="66"/>
      <c r="DN381" s="526"/>
      <c r="DO381" s="486"/>
      <c r="DP381" s="411"/>
      <c r="DQ381" s="411"/>
      <c r="DR381" s="411"/>
      <c r="DS381" s="478"/>
      <c r="DT381" s="478"/>
      <c r="DU381" s="472"/>
      <c r="DV381" s="472"/>
      <c r="DW381" s="472"/>
      <c r="DX381" s="472"/>
      <c r="DY381" s="472"/>
      <c r="DZ381" s="472"/>
      <c r="EA381" s="526"/>
      <c r="EH381" s="8"/>
    </row>
    <row r="382" spans="1:138" ht="12.75" hidden="1" customHeight="1" x14ac:dyDescent="0.2">
      <c r="A382" s="32" t="s">
        <v>0</v>
      </c>
      <c r="B382" s="32"/>
      <c r="C382" s="32"/>
      <c r="D382" s="32"/>
      <c r="E382" s="32"/>
      <c r="F382" s="203"/>
      <c r="G382" s="32"/>
      <c r="H382" s="32"/>
      <c r="I382" s="32"/>
      <c r="J382" s="32"/>
      <c r="K382" s="203"/>
      <c r="L382" s="32"/>
      <c r="M382" s="32"/>
      <c r="N382" s="32"/>
      <c r="O382" s="32"/>
      <c r="P382" s="203"/>
      <c r="Q382" s="32"/>
      <c r="R382" s="32"/>
      <c r="S382" s="32"/>
      <c r="T382" s="32"/>
      <c r="U382" s="203"/>
      <c r="V382" s="32"/>
      <c r="W382" s="32"/>
      <c r="X382" s="32"/>
      <c r="Y382" s="32"/>
      <c r="Z382" s="203"/>
      <c r="AA382" s="32"/>
      <c r="AB382" s="32"/>
      <c r="AC382" s="32"/>
      <c r="AD382" s="32"/>
      <c r="AE382" s="203"/>
      <c r="AF382" s="32"/>
      <c r="AG382" s="32"/>
      <c r="AH382" s="32"/>
      <c r="AI382" s="32"/>
      <c r="AJ382" s="203"/>
      <c r="AK382" s="32"/>
      <c r="AL382" s="32"/>
      <c r="AM382" s="32"/>
      <c r="AN382" s="32"/>
      <c r="AO382" s="203"/>
      <c r="AP382" s="32"/>
      <c r="AQ382" s="32"/>
      <c r="AR382" s="32"/>
      <c r="AS382" s="32"/>
      <c r="AT382" s="203"/>
      <c r="AU382" s="32"/>
      <c r="AV382" s="32"/>
      <c r="AW382" s="32"/>
      <c r="AX382" s="32"/>
      <c r="AY382" s="203"/>
      <c r="AZ382" s="32"/>
      <c r="BA382" s="125">
        <f>BA368</f>
        <v>1.0840236686390532</v>
      </c>
      <c r="BB382" s="125"/>
      <c r="BC382" s="125"/>
      <c r="BD382" s="308"/>
      <c r="BE382" s="125"/>
      <c r="BF382" s="125"/>
      <c r="BG382" s="125"/>
      <c r="BH382" s="125"/>
      <c r="BI382" s="308"/>
      <c r="BJ382" s="125"/>
      <c r="BK382" s="125"/>
      <c r="BL382" s="125"/>
      <c r="BM382" s="125"/>
      <c r="BN382" s="376"/>
      <c r="BO382" s="376"/>
      <c r="BP382" s="125"/>
      <c r="BQ382" s="125"/>
      <c r="BR382" s="125"/>
      <c r="BS382" s="308"/>
      <c r="BT382" s="125"/>
      <c r="BU382" s="125"/>
      <c r="BV382" s="125"/>
      <c r="BW382" s="125"/>
      <c r="BX382" s="308"/>
      <c r="BY382" s="125"/>
      <c r="BZ382" s="125"/>
      <c r="CA382" s="125"/>
      <c r="CB382" s="125"/>
      <c r="CC382" s="308"/>
      <c r="CD382" s="125"/>
      <c r="CE382" s="125"/>
      <c r="CF382" s="125"/>
      <c r="CG382" s="125"/>
      <c r="CH382" s="308"/>
      <c r="CI382" s="125"/>
      <c r="CJ382" s="125"/>
      <c r="CK382" s="125"/>
      <c r="CL382" s="125"/>
      <c r="CM382" s="308"/>
      <c r="CN382" s="125"/>
      <c r="CO382" s="125"/>
      <c r="CP382" s="125"/>
      <c r="CQ382" s="125"/>
      <c r="CR382" s="308"/>
      <c r="CS382" s="125"/>
      <c r="CT382" s="125"/>
      <c r="CU382" s="125"/>
      <c r="CV382" s="125"/>
      <c r="CW382" s="308"/>
      <c r="CX382" s="125"/>
      <c r="CY382" s="125"/>
      <c r="CZ382" s="125"/>
      <c r="DA382" s="125"/>
      <c r="DB382" s="308"/>
      <c r="DC382" s="125"/>
      <c r="DD382" s="125"/>
      <c r="DE382" s="125"/>
      <c r="DF382" s="125"/>
      <c r="DG382" s="308"/>
      <c r="DH382" s="125"/>
      <c r="DI382" s="125"/>
      <c r="DJ382" s="125"/>
      <c r="DK382" s="125"/>
      <c r="DL382" s="308"/>
      <c r="DM382" s="32"/>
      <c r="DN382" s="503"/>
      <c r="DO382" s="486"/>
      <c r="DP382" s="411"/>
      <c r="DQ382" s="411"/>
      <c r="DR382" s="411"/>
      <c r="DS382" s="478"/>
      <c r="DT382" s="478"/>
      <c r="DU382" s="472"/>
      <c r="DV382" s="462"/>
      <c r="DW382" s="462"/>
      <c r="DX382" s="462"/>
      <c r="DY382" s="462"/>
      <c r="DZ382" s="462"/>
      <c r="EA382" s="503"/>
      <c r="EH382" s="8"/>
    </row>
    <row r="383" spans="1:138" ht="12.75" hidden="1" customHeight="1" x14ac:dyDescent="0.2">
      <c r="A383" s="23" t="s">
        <v>212</v>
      </c>
      <c r="B383" s="23"/>
      <c r="C383" s="23"/>
      <c r="D383" s="23"/>
      <c r="E383" s="23"/>
      <c r="F383" s="202"/>
      <c r="G383" s="23"/>
      <c r="H383" s="23"/>
      <c r="I383" s="23"/>
      <c r="J383" s="23"/>
      <c r="K383" s="202"/>
      <c r="L383" s="23"/>
      <c r="M383" s="23"/>
      <c r="N383" s="23"/>
      <c r="O383" s="23"/>
      <c r="P383" s="202"/>
      <c r="Q383" s="23"/>
      <c r="R383" s="23"/>
      <c r="S383" s="23"/>
      <c r="T383" s="23"/>
      <c r="U383" s="202"/>
      <c r="V383" s="23"/>
      <c r="W383" s="23"/>
      <c r="X383" s="23"/>
      <c r="Y383" s="23"/>
      <c r="Z383" s="202"/>
      <c r="AA383" s="23"/>
      <c r="AB383" s="23"/>
      <c r="AC383" s="23"/>
      <c r="AD383" s="23"/>
      <c r="AE383" s="202"/>
      <c r="AF383" s="23"/>
      <c r="AG383" s="23"/>
      <c r="AH383" s="23"/>
      <c r="AI383" s="23"/>
      <c r="AJ383" s="202"/>
      <c r="AK383" s="23"/>
      <c r="AL383" s="23"/>
      <c r="AM383" s="23"/>
      <c r="AN383" s="23"/>
      <c r="AO383" s="202"/>
      <c r="AP383" s="23"/>
      <c r="AQ383" s="23"/>
      <c r="AR383" s="23"/>
      <c r="AS383" s="23"/>
      <c r="AT383" s="202"/>
      <c r="AU383" s="23"/>
      <c r="AV383" s="23"/>
      <c r="AW383" s="23"/>
      <c r="AX383" s="23"/>
      <c r="AY383" s="202"/>
      <c r="AZ383" s="23"/>
      <c r="BA383" s="126"/>
      <c r="BB383" s="126"/>
      <c r="BC383" s="126"/>
      <c r="BD383" s="309"/>
      <c r="BE383" s="126"/>
      <c r="BF383" s="126"/>
      <c r="BG383" s="126"/>
      <c r="BH383" s="126"/>
      <c r="BI383" s="309"/>
      <c r="BJ383" s="126"/>
      <c r="BK383" s="126"/>
      <c r="BL383" s="126"/>
      <c r="BM383" s="126"/>
      <c r="BN383" s="377"/>
      <c r="BO383" s="377"/>
      <c r="BP383" s="126"/>
      <c r="BQ383" s="126"/>
      <c r="BR383" s="126"/>
      <c r="BS383" s="309"/>
      <c r="BT383" s="126"/>
      <c r="BU383" s="126"/>
      <c r="BV383" s="126"/>
      <c r="BW383" s="126"/>
      <c r="BX383" s="309"/>
      <c r="BY383" s="126"/>
      <c r="BZ383" s="126"/>
      <c r="CA383" s="126"/>
      <c r="CB383" s="126"/>
      <c r="CC383" s="309"/>
      <c r="CD383" s="126"/>
      <c r="CE383" s="126"/>
      <c r="CF383" s="126"/>
      <c r="CG383" s="126"/>
      <c r="CH383" s="309"/>
      <c r="CI383" s="126"/>
      <c r="CJ383" s="126"/>
      <c r="CK383" s="126"/>
      <c r="CL383" s="126"/>
      <c r="CM383" s="309"/>
      <c r="CN383" s="126"/>
      <c r="CO383" s="126"/>
      <c r="CP383" s="126"/>
      <c r="CQ383" s="126"/>
      <c r="CR383" s="309"/>
      <c r="CS383" s="126"/>
      <c r="CT383" s="126"/>
      <c r="CU383" s="126"/>
      <c r="CV383" s="126"/>
      <c r="CW383" s="309"/>
      <c r="CX383" s="126"/>
      <c r="CY383" s="126"/>
      <c r="CZ383" s="126"/>
      <c r="DA383" s="126"/>
      <c r="DB383" s="309"/>
      <c r="DC383" s="126"/>
      <c r="DD383" s="126"/>
      <c r="DE383" s="126"/>
      <c r="DF383" s="126"/>
      <c r="DG383" s="309"/>
      <c r="DH383" s="126"/>
      <c r="DI383" s="126"/>
      <c r="DJ383" s="126"/>
      <c r="DK383" s="126"/>
      <c r="DL383" s="309"/>
      <c r="DM383" s="23"/>
      <c r="DN383" s="539"/>
      <c r="DO383" s="486"/>
      <c r="DP383" s="411"/>
      <c r="DQ383" s="411"/>
      <c r="DR383" s="411"/>
      <c r="DS383" s="558"/>
      <c r="DT383" s="558"/>
      <c r="DU383" s="462"/>
      <c r="DV383" s="457"/>
      <c r="DW383" s="457"/>
      <c r="DX383" s="457"/>
      <c r="DY383" s="457"/>
      <c r="DZ383" s="457"/>
      <c r="EA383" s="539"/>
      <c r="EH383" s="8"/>
    </row>
    <row r="384" spans="1:138" ht="12.75" hidden="1" customHeight="1" x14ac:dyDescent="0.2">
      <c r="A384" s="79" t="s">
        <v>250</v>
      </c>
      <c r="B384" s="79"/>
      <c r="C384" s="79"/>
      <c r="D384" s="79"/>
      <c r="E384" s="79"/>
      <c r="F384" s="227"/>
      <c r="G384" s="79"/>
      <c r="H384" s="79"/>
      <c r="I384" s="79"/>
      <c r="J384" s="79"/>
      <c r="K384" s="227"/>
      <c r="L384" s="79"/>
      <c r="M384" s="79"/>
      <c r="N384" s="79"/>
      <c r="O384" s="79"/>
      <c r="P384" s="227"/>
      <c r="Q384" s="79"/>
      <c r="R384" s="79"/>
      <c r="S384" s="79"/>
      <c r="T384" s="79"/>
      <c r="U384" s="227"/>
      <c r="V384" s="79"/>
      <c r="W384" s="79"/>
      <c r="X384" s="79"/>
      <c r="Y384" s="79"/>
      <c r="Z384" s="227"/>
      <c r="AA384" s="79"/>
      <c r="AB384" s="79"/>
      <c r="AC384" s="79"/>
      <c r="AD384" s="79"/>
      <c r="AE384" s="227"/>
      <c r="AF384" s="79"/>
      <c r="AG384" s="79"/>
      <c r="AH384" s="79"/>
      <c r="AI384" s="79"/>
      <c r="AJ384" s="227"/>
      <c r="AK384" s="79"/>
      <c r="AL384" s="79"/>
      <c r="AM384" s="79"/>
      <c r="AN384" s="79"/>
      <c r="AO384" s="227"/>
      <c r="AP384" s="79"/>
      <c r="AQ384" s="79"/>
      <c r="AR384" s="79"/>
      <c r="AS384" s="79"/>
      <c r="AT384" s="227"/>
      <c r="AU384" s="79"/>
      <c r="AV384" s="79"/>
      <c r="AW384" s="79"/>
      <c r="AX384" s="79"/>
      <c r="AY384" s="227"/>
      <c r="AZ384" s="79"/>
      <c r="BA384" s="124" t="str">
        <f>IF(BA382&gt;BA383,"OK","BREAK")</f>
        <v>OK</v>
      </c>
      <c r="BB384" s="124"/>
      <c r="BC384" s="124"/>
      <c r="BD384" s="307"/>
      <c r="BE384" s="124"/>
      <c r="BF384" s="124"/>
      <c r="BG384" s="124"/>
      <c r="BH384" s="124"/>
      <c r="BI384" s="307"/>
      <c r="BJ384" s="124"/>
      <c r="BK384" s="124"/>
      <c r="BL384" s="124"/>
      <c r="BM384" s="124"/>
      <c r="BN384" s="375"/>
      <c r="BO384" s="375"/>
      <c r="BP384" s="124"/>
      <c r="BQ384" s="124"/>
      <c r="BR384" s="124"/>
      <c r="BS384" s="307"/>
      <c r="BT384" s="124"/>
      <c r="BU384" s="124"/>
      <c r="BV384" s="124"/>
      <c r="BW384" s="124"/>
      <c r="BX384" s="307"/>
      <c r="BY384" s="124"/>
      <c r="BZ384" s="124"/>
      <c r="CA384" s="124"/>
      <c r="CB384" s="124"/>
      <c r="CC384" s="307"/>
      <c r="CD384" s="124"/>
      <c r="CE384" s="124"/>
      <c r="CF384" s="124"/>
      <c r="CG384" s="124"/>
      <c r="CH384" s="307"/>
      <c r="CI384" s="124"/>
      <c r="CJ384" s="124"/>
      <c r="CK384" s="124"/>
      <c r="CL384" s="124"/>
      <c r="CM384" s="307"/>
      <c r="CN384" s="124"/>
      <c r="CO384" s="124"/>
      <c r="CP384" s="124"/>
      <c r="CQ384" s="124"/>
      <c r="CR384" s="307"/>
      <c r="CS384" s="124"/>
      <c r="CT384" s="124"/>
      <c r="CU384" s="124"/>
      <c r="CV384" s="124"/>
      <c r="CW384" s="307"/>
      <c r="CX384" s="124"/>
      <c r="CY384" s="124"/>
      <c r="CZ384" s="124"/>
      <c r="DA384" s="124"/>
      <c r="DB384" s="307"/>
      <c r="DC384" s="124"/>
      <c r="DD384" s="124"/>
      <c r="DE384" s="124"/>
      <c r="DF384" s="124"/>
      <c r="DG384" s="307"/>
      <c r="DH384" s="124"/>
      <c r="DI384" s="124"/>
      <c r="DJ384" s="124"/>
      <c r="DK384" s="124"/>
      <c r="DL384" s="307"/>
      <c r="DM384" s="79"/>
      <c r="DN384" s="522"/>
      <c r="DO384" s="486"/>
      <c r="DP384" s="411"/>
      <c r="DQ384" s="411"/>
      <c r="DR384" s="411"/>
      <c r="DS384" s="553"/>
      <c r="DT384" s="553"/>
      <c r="DU384" s="457"/>
      <c r="DV384" s="472"/>
      <c r="DW384" s="472"/>
      <c r="DX384" s="472"/>
      <c r="DY384" s="472"/>
      <c r="DZ384" s="472"/>
      <c r="EA384" s="522"/>
      <c r="EH384" s="8"/>
    </row>
    <row r="385" spans="1:138" ht="12.75" customHeight="1" x14ac:dyDescent="0.2">
      <c r="A385" s="181" t="s">
        <v>399</v>
      </c>
      <c r="B385" s="13"/>
      <c r="C385" s="14"/>
      <c r="D385" s="14"/>
      <c r="E385" s="14"/>
      <c r="F385" s="196"/>
      <c r="G385" s="13"/>
      <c r="H385" s="13"/>
      <c r="I385" s="13"/>
      <c r="J385" s="13"/>
      <c r="K385" s="196"/>
      <c r="L385" s="13"/>
      <c r="M385" s="13"/>
      <c r="N385" s="13"/>
      <c r="O385" s="13"/>
      <c r="P385" s="196"/>
      <c r="Q385" s="13"/>
      <c r="R385" s="13"/>
      <c r="S385" s="13"/>
      <c r="T385" s="13"/>
      <c r="U385" s="196"/>
      <c r="V385" s="13"/>
      <c r="W385" s="13"/>
      <c r="X385" s="13"/>
      <c r="Y385" s="13"/>
      <c r="Z385" s="196"/>
      <c r="AA385" s="13"/>
      <c r="AB385" s="13"/>
      <c r="AC385" s="13"/>
      <c r="AD385" s="13"/>
      <c r="AE385" s="196"/>
      <c r="AF385" s="13"/>
      <c r="AG385" s="13"/>
      <c r="AH385" s="13"/>
      <c r="AI385" s="13"/>
      <c r="AJ385" s="196"/>
      <c r="AK385" s="14"/>
      <c r="AL385" s="14"/>
      <c r="AM385" s="14"/>
      <c r="AN385" s="14"/>
      <c r="AO385" s="196"/>
      <c r="AP385" s="15"/>
      <c r="AQ385" s="15"/>
      <c r="AR385" s="15"/>
      <c r="AS385" s="15"/>
      <c r="AT385" s="271"/>
      <c r="AU385" s="15"/>
      <c r="AV385" s="15"/>
      <c r="AW385" s="15"/>
      <c r="AX385" s="15"/>
      <c r="AY385" s="271"/>
      <c r="AZ385" s="15"/>
      <c r="BA385" s="15"/>
      <c r="BB385" s="15"/>
      <c r="BC385" s="15"/>
      <c r="BD385" s="271"/>
      <c r="BE385" s="15"/>
      <c r="BF385" s="15"/>
      <c r="BG385" s="15"/>
      <c r="BH385" s="15"/>
      <c r="BI385" s="271"/>
      <c r="BJ385" s="15"/>
      <c r="BK385" s="15"/>
      <c r="BL385" s="15"/>
      <c r="BM385" s="15"/>
      <c r="BN385" s="314"/>
      <c r="BO385" s="314"/>
      <c r="BP385" s="15"/>
      <c r="BQ385" s="15"/>
      <c r="BR385" s="15"/>
      <c r="BS385" s="271"/>
      <c r="BT385" s="15"/>
      <c r="BU385" s="15"/>
      <c r="BV385" s="15"/>
      <c r="BW385" s="15"/>
      <c r="BX385" s="271"/>
      <c r="BY385" s="15"/>
      <c r="BZ385" s="15"/>
      <c r="CA385" s="15"/>
      <c r="CB385" s="15"/>
      <c r="CC385" s="271"/>
      <c r="CD385" s="15"/>
      <c r="CE385" s="15"/>
      <c r="CF385" s="15"/>
      <c r="CG385" s="15"/>
      <c r="CH385" s="271"/>
      <c r="CI385" s="15"/>
      <c r="CJ385" s="15"/>
      <c r="CK385" s="15"/>
      <c r="CL385" s="15"/>
      <c r="CM385" s="271"/>
      <c r="CN385" s="15"/>
      <c r="CO385" s="15"/>
      <c r="CP385" s="15"/>
      <c r="CQ385" s="15"/>
      <c r="CR385" s="271"/>
      <c r="CS385" s="15"/>
      <c r="CT385" s="15"/>
      <c r="CU385" s="15"/>
      <c r="CV385" s="15"/>
      <c r="CW385" s="271"/>
      <c r="CX385" s="15"/>
      <c r="CY385" s="15"/>
      <c r="CZ385" s="15"/>
      <c r="DA385" s="15"/>
      <c r="DB385" s="271"/>
      <c r="DC385" s="15"/>
      <c r="DD385" s="15"/>
      <c r="DE385" s="15"/>
      <c r="DF385" s="15"/>
      <c r="DG385" s="271"/>
      <c r="DH385" s="15"/>
      <c r="DI385" s="15"/>
      <c r="DJ385" s="15"/>
      <c r="DK385" s="15"/>
      <c r="DL385" s="271"/>
      <c r="DM385" s="418"/>
      <c r="DN385" s="15"/>
      <c r="DO385" s="486"/>
      <c r="DP385" s="411"/>
      <c r="DQ385" s="411"/>
      <c r="DR385" s="411"/>
      <c r="DS385" s="478"/>
      <c r="DT385" s="478"/>
      <c r="DU385" s="472"/>
      <c r="DV385" s="457"/>
      <c r="DW385" s="457"/>
      <c r="DX385" s="457"/>
      <c r="DY385" s="457"/>
      <c r="DZ385" s="457"/>
      <c r="EA385" s="15"/>
      <c r="EH385" s="8"/>
    </row>
    <row r="386" spans="1:138" ht="12.75" customHeight="1" x14ac:dyDescent="0.2">
      <c r="A386" s="5" t="s">
        <v>400</v>
      </c>
      <c r="B386" s="5"/>
      <c r="C386" s="5"/>
      <c r="D386" s="5"/>
      <c r="E386" s="5"/>
      <c r="F386" s="197"/>
      <c r="G386" s="5"/>
      <c r="H386" s="5"/>
      <c r="I386" s="5"/>
      <c r="J386" s="5"/>
      <c r="K386" s="197"/>
      <c r="L386" s="5"/>
      <c r="M386" s="5"/>
      <c r="N386" s="5"/>
      <c r="O386" s="5"/>
      <c r="P386" s="197"/>
      <c r="Q386" s="5"/>
      <c r="R386" s="5"/>
      <c r="S386" s="5"/>
      <c r="T386" s="5"/>
      <c r="U386" s="197"/>
      <c r="V386" s="5"/>
      <c r="W386" s="5"/>
      <c r="X386" s="5"/>
      <c r="Y386" s="5"/>
      <c r="Z386" s="197"/>
      <c r="AA386" s="5"/>
      <c r="AB386" s="5"/>
      <c r="AC386" s="5"/>
      <c r="AD386" s="5"/>
      <c r="AE386" s="197"/>
      <c r="AF386" s="5"/>
      <c r="AG386" s="5"/>
      <c r="AH386" s="5"/>
      <c r="AI386" s="5"/>
      <c r="AJ386" s="197"/>
      <c r="AK386" s="5"/>
      <c r="AL386" s="5"/>
      <c r="AM386" s="5"/>
      <c r="AN386" s="5"/>
      <c r="AO386" s="197"/>
      <c r="AP386" s="5"/>
      <c r="AQ386" s="5"/>
      <c r="AR386" s="5"/>
      <c r="AS386" s="5"/>
      <c r="AT386" s="197"/>
      <c r="AU386" s="5"/>
      <c r="AV386" s="5"/>
      <c r="AW386" s="5"/>
      <c r="AX386" s="5"/>
      <c r="AY386" s="197"/>
      <c r="AZ386" s="5"/>
      <c r="BA386" s="5"/>
      <c r="BB386" s="5"/>
      <c r="BC386" s="5"/>
      <c r="BD386" s="197"/>
      <c r="BE386" s="5"/>
      <c r="BF386" s="5"/>
      <c r="BG386" s="5"/>
      <c r="BH386" s="5"/>
      <c r="BI386" s="197"/>
      <c r="BJ386" s="5"/>
      <c r="BK386" s="5"/>
      <c r="BL386" s="5"/>
      <c r="BM386" s="5"/>
      <c r="BN386" s="315"/>
      <c r="BO386" s="315"/>
      <c r="BP386" s="5"/>
      <c r="BQ386" s="5"/>
      <c r="BR386" s="5"/>
      <c r="BS386" s="197"/>
      <c r="BT386" s="5"/>
      <c r="BU386" s="5"/>
      <c r="BV386" s="5"/>
      <c r="BW386" s="5"/>
      <c r="BX386" s="197"/>
      <c r="BY386" s="5"/>
      <c r="BZ386" s="5"/>
      <c r="CA386" s="5"/>
      <c r="CB386" s="5"/>
      <c r="CC386" s="197"/>
      <c r="CD386" s="5"/>
      <c r="CE386" s="5"/>
      <c r="CF386" s="5"/>
      <c r="CG386" s="5"/>
      <c r="CH386" s="197"/>
      <c r="CI386" s="5"/>
      <c r="CJ386" s="5"/>
      <c r="CK386" s="5"/>
      <c r="CL386" s="5"/>
      <c r="CM386" s="197"/>
      <c r="CN386" s="5"/>
      <c r="CO386" s="5"/>
      <c r="CP386" s="5"/>
      <c r="CQ386" s="5"/>
      <c r="CR386" s="197"/>
      <c r="CS386" s="5"/>
      <c r="CT386" s="5"/>
      <c r="CU386" s="5"/>
      <c r="CV386" s="5"/>
      <c r="CW386" s="197"/>
      <c r="CX386" s="5"/>
      <c r="CY386" s="5"/>
      <c r="CZ386" s="5"/>
      <c r="DA386" s="5"/>
      <c r="DB386" s="197"/>
      <c r="DC386" s="5"/>
      <c r="DD386" s="5"/>
      <c r="DE386" s="5"/>
      <c r="DF386" s="5"/>
      <c r="DG386" s="197"/>
      <c r="DH386" s="5"/>
      <c r="DI386" s="5"/>
      <c r="DJ386" s="5"/>
      <c r="DK386" s="5"/>
      <c r="DL386" s="197"/>
      <c r="DM386" s="413"/>
      <c r="DN386" s="4"/>
      <c r="DO386" s="487"/>
      <c r="DP386" s="413"/>
      <c r="DQ386" s="413"/>
      <c r="DR386" s="413"/>
      <c r="DS386" s="553"/>
      <c r="DT386" s="553"/>
      <c r="DU386" s="457"/>
      <c r="DV386" s="458"/>
      <c r="DW386" s="458"/>
      <c r="DX386" s="458"/>
      <c r="DY386" s="458"/>
      <c r="DZ386" s="458"/>
      <c r="EA386" s="4"/>
      <c r="EH386" s="5"/>
    </row>
    <row r="387" spans="1:138" ht="12.75" hidden="1" customHeight="1" x14ac:dyDescent="0.2">
      <c r="A387" s="127" t="s">
        <v>314</v>
      </c>
      <c r="B387" s="127"/>
      <c r="C387" s="127"/>
      <c r="D387" s="127"/>
      <c r="E387" s="127"/>
      <c r="F387" s="260"/>
      <c r="G387" s="127"/>
      <c r="H387" s="127"/>
      <c r="I387" s="127"/>
      <c r="J387" s="127"/>
      <c r="K387" s="260"/>
      <c r="L387" s="127"/>
      <c r="M387" s="127"/>
      <c r="N387" s="127"/>
      <c r="O387" s="127"/>
      <c r="P387" s="260"/>
      <c r="Q387" s="127"/>
      <c r="R387" s="127"/>
      <c r="S387" s="127"/>
      <c r="T387" s="127"/>
      <c r="U387" s="260"/>
      <c r="V387" s="127"/>
      <c r="W387" s="127"/>
      <c r="X387" s="127"/>
      <c r="Y387" s="127"/>
      <c r="Z387" s="260"/>
      <c r="AA387" s="127"/>
      <c r="AB387" s="127"/>
      <c r="AC387" s="127"/>
      <c r="AD387" s="127"/>
      <c r="AE387" s="260"/>
      <c r="AF387" s="127"/>
      <c r="AG387" s="127"/>
      <c r="AH387" s="127"/>
      <c r="AI387" s="127"/>
      <c r="AJ387" s="260"/>
      <c r="AK387" s="127"/>
      <c r="AL387" s="127"/>
      <c r="AM387" s="127"/>
      <c r="AN387" s="127"/>
      <c r="AO387" s="260"/>
      <c r="AP387" s="127"/>
      <c r="AQ387" s="127"/>
      <c r="AR387" s="127"/>
      <c r="AS387" s="127"/>
      <c r="AT387" s="260"/>
      <c r="AU387" s="127"/>
      <c r="AV387" s="127"/>
      <c r="AW387" s="127"/>
      <c r="AX387" s="127"/>
      <c r="AY387" s="260"/>
      <c r="AZ387" s="127">
        <v>39903</v>
      </c>
      <c r="BA387" s="127">
        <f>EOMONTH(AZ387,3)</f>
        <v>39994</v>
      </c>
      <c r="BB387" s="127">
        <f>EOMONTH(BA387,3)</f>
        <v>40086</v>
      </c>
      <c r="BC387" s="127">
        <f>EOMONTH(BB387,3)</f>
        <v>40178</v>
      </c>
      <c r="BD387" s="260">
        <f>BC387</f>
        <v>40178</v>
      </c>
      <c r="BE387" s="127">
        <v>40268</v>
      </c>
      <c r="BF387" s="127">
        <f>EOMONTH(BE387,3)</f>
        <v>40359</v>
      </c>
      <c r="BG387" s="127">
        <f>EOMONTH(BF387,3)</f>
        <v>40451</v>
      </c>
      <c r="BH387" s="127">
        <f>EOMONTH(BG387,3)</f>
        <v>40543</v>
      </c>
      <c r="BI387" s="260">
        <f>EOMONTH(BD387,12)</f>
        <v>40543</v>
      </c>
      <c r="BJ387" s="127">
        <f>EOMONTH(BI387,3)</f>
        <v>40633</v>
      </c>
      <c r="BK387" s="127">
        <f>EOMONTH(BJ387,3)</f>
        <v>40724</v>
      </c>
      <c r="BL387" s="127">
        <f>EOMONTH(BK387,3)</f>
        <v>40816</v>
      </c>
      <c r="BM387" s="127">
        <f>EOMONTH(BL387,3)</f>
        <v>40908</v>
      </c>
      <c r="BN387" s="378">
        <f>EOMONTH(BI387,12)</f>
        <v>40908</v>
      </c>
      <c r="BO387" s="378">
        <f>EOMONTH(BN387,3)</f>
        <v>40999</v>
      </c>
      <c r="BP387" s="127">
        <f>EOMONTH(BO387,3)</f>
        <v>41090</v>
      </c>
      <c r="BQ387" s="127">
        <f>EOMONTH(BP387,3)</f>
        <v>41182</v>
      </c>
      <c r="BR387" s="127">
        <f>EOMONTH(BQ387,3)</f>
        <v>41274</v>
      </c>
      <c r="BS387" s="260">
        <f>EOMONTH(BN387,12)</f>
        <v>41274</v>
      </c>
      <c r="BT387" s="127"/>
      <c r="BU387" s="127"/>
      <c r="BV387" s="127"/>
      <c r="BW387" s="127"/>
      <c r="BX387" s="260">
        <f>EOMONTH(BS387,12)</f>
        <v>41639</v>
      </c>
      <c r="BY387" s="127"/>
      <c r="BZ387" s="127"/>
      <c r="CA387" s="127"/>
      <c r="CB387" s="127"/>
      <c r="CC387" s="260">
        <f>EOMONTH(BX387,12)</f>
        <v>42004</v>
      </c>
      <c r="CD387" s="127"/>
      <c r="CE387" s="127"/>
      <c r="CF387" s="127"/>
      <c r="CG387" s="127"/>
      <c r="CH387" s="260">
        <f>EOMONTH(CC387,12)</f>
        <v>42369</v>
      </c>
      <c r="CI387" s="127"/>
      <c r="CJ387" s="127"/>
      <c r="CK387" s="127"/>
      <c r="CL387" s="127"/>
      <c r="CM387" s="260">
        <f>EOMONTH(CH387,12)</f>
        <v>42735</v>
      </c>
      <c r="CN387" s="127"/>
      <c r="CO387" s="127"/>
      <c r="CP387" s="127"/>
      <c r="CQ387" s="127"/>
      <c r="CR387" s="260">
        <f>EOMONTH(CM387,12)</f>
        <v>43100</v>
      </c>
      <c r="CS387" s="127"/>
      <c r="CT387" s="127"/>
      <c r="CU387" s="127"/>
      <c r="CV387" s="127"/>
      <c r="CW387" s="260">
        <f>EOMONTH(CR387,12)</f>
        <v>43465</v>
      </c>
      <c r="CX387" s="127"/>
      <c r="CY387" s="127"/>
      <c r="CZ387" s="127"/>
      <c r="DA387" s="127"/>
      <c r="DB387" s="260">
        <f>EOMONTH(CR387,12)</f>
        <v>43465</v>
      </c>
      <c r="DC387" s="127"/>
      <c r="DD387" s="127"/>
      <c r="DE387" s="127"/>
      <c r="DF387" s="127"/>
      <c r="DG387" s="260">
        <f>EOMONTH(DB387,12)</f>
        <v>43830</v>
      </c>
      <c r="DH387" s="127"/>
      <c r="DI387" s="127"/>
      <c r="DJ387" s="127"/>
      <c r="DK387" s="127"/>
      <c r="DL387" s="260">
        <f>EOMONTH(DG387,12)</f>
        <v>44196</v>
      </c>
      <c r="DM387" s="127"/>
      <c r="DN387" s="545"/>
      <c r="DO387" s="486"/>
      <c r="DP387" s="411"/>
      <c r="DQ387" s="411"/>
      <c r="DR387" s="411"/>
      <c r="DS387" s="554"/>
      <c r="DT387" s="554"/>
      <c r="DU387" s="458"/>
      <c r="DV387" s="481"/>
      <c r="DW387" s="481"/>
      <c r="DX387" s="481"/>
      <c r="DY387" s="481"/>
      <c r="DZ387" s="481"/>
      <c r="EA387" s="545"/>
      <c r="EH387" s="8"/>
    </row>
    <row r="388" spans="1:138" ht="12.75" hidden="1" customHeight="1" x14ac:dyDescent="0.2">
      <c r="A388" s="127" t="s">
        <v>14</v>
      </c>
      <c r="B388" s="127"/>
      <c r="C388" s="127"/>
      <c r="D388" s="127"/>
      <c r="E388" s="127"/>
      <c r="F388" s="260"/>
      <c r="G388" s="127"/>
      <c r="H388" s="127"/>
      <c r="I388" s="127"/>
      <c r="J388" s="127"/>
      <c r="K388" s="260"/>
      <c r="L388" s="127"/>
      <c r="M388" s="127"/>
      <c r="N388" s="127"/>
      <c r="O388" s="127"/>
      <c r="P388" s="260"/>
      <c r="Q388" s="127"/>
      <c r="R388" s="127"/>
      <c r="S388" s="127"/>
      <c r="T388" s="127"/>
      <c r="U388" s="260"/>
      <c r="V388" s="127"/>
      <c r="W388" s="127"/>
      <c r="X388" s="127"/>
      <c r="Y388" s="127"/>
      <c r="Z388" s="260"/>
      <c r="AA388" s="127"/>
      <c r="AB388" s="127"/>
      <c r="AC388" s="127"/>
      <c r="AD388" s="127"/>
      <c r="AE388" s="260"/>
      <c r="AF388" s="127"/>
      <c r="AG388" s="127"/>
      <c r="AH388" s="127"/>
      <c r="AI388" s="127"/>
      <c r="AJ388" s="260"/>
      <c r="AK388" s="127"/>
      <c r="AL388" s="127"/>
      <c r="AM388" s="127"/>
      <c r="AN388" s="127"/>
      <c r="AO388" s="260"/>
      <c r="AP388" s="127"/>
      <c r="AQ388" s="127"/>
      <c r="AR388" s="127"/>
      <c r="AS388" s="127"/>
      <c r="AT388" s="260"/>
      <c r="AU388" s="127"/>
      <c r="AV388" s="127"/>
      <c r="AW388" s="127"/>
      <c r="AX388" s="127"/>
      <c r="AY388" s="260"/>
      <c r="AZ388" s="127"/>
      <c r="BA388" s="127"/>
      <c r="BB388" s="127"/>
      <c r="BC388" s="127"/>
      <c r="BD388" s="260"/>
      <c r="BE388" s="127"/>
      <c r="BF388" s="127"/>
      <c r="BG388" s="127"/>
      <c r="BH388" s="127"/>
      <c r="BI388" s="260"/>
      <c r="BJ388" s="127"/>
      <c r="BK388" s="127"/>
      <c r="BL388" s="127"/>
      <c r="BM388" s="127"/>
      <c r="BN388" s="378"/>
      <c r="BO388" s="378"/>
      <c r="BP388" s="127"/>
      <c r="BQ388" s="127"/>
      <c r="BR388" s="127"/>
      <c r="BS388" s="260"/>
      <c r="BT388" s="127"/>
      <c r="BU388" s="127"/>
      <c r="BV388" s="127"/>
      <c r="BW388" s="127"/>
      <c r="BX388" s="260"/>
      <c r="BY388" s="127"/>
      <c r="BZ388" s="127"/>
      <c r="CA388" s="127"/>
      <c r="CB388" s="127"/>
      <c r="CC388" s="260"/>
      <c r="CD388" s="127"/>
      <c r="CE388" s="127"/>
      <c r="CF388" s="127"/>
      <c r="CG388" s="127"/>
      <c r="CH388" s="260"/>
      <c r="CI388" s="127"/>
      <c r="CJ388" s="127"/>
      <c r="CK388" s="127"/>
      <c r="CL388" s="127"/>
      <c r="CM388" s="260"/>
      <c r="CN388" s="127"/>
      <c r="CO388" s="127"/>
      <c r="CP388" s="127"/>
      <c r="CQ388" s="127"/>
      <c r="CR388" s="260"/>
      <c r="CS388" s="127"/>
      <c r="CT388" s="127"/>
      <c r="CU388" s="127"/>
      <c r="CV388" s="127"/>
      <c r="CW388" s="260"/>
      <c r="CX388" s="127"/>
      <c r="CY388" s="127"/>
      <c r="CZ388" s="127"/>
      <c r="DA388" s="127"/>
      <c r="DB388" s="260"/>
      <c r="DC388" s="127"/>
      <c r="DD388" s="127"/>
      <c r="DE388" s="127"/>
      <c r="DF388" s="127"/>
      <c r="DG388" s="260"/>
      <c r="DH388" s="127"/>
      <c r="DI388" s="127"/>
      <c r="DJ388" s="127"/>
      <c r="DK388" s="127"/>
      <c r="DL388" s="260"/>
      <c r="DM388" s="127"/>
      <c r="DN388" s="545"/>
      <c r="DO388" s="486"/>
      <c r="DP388" s="411"/>
      <c r="DQ388" s="411"/>
      <c r="DR388" s="411"/>
      <c r="DS388" s="572"/>
      <c r="DT388" s="572"/>
      <c r="DU388" s="481"/>
      <c r="DV388" s="481"/>
      <c r="DW388" s="481"/>
      <c r="DX388" s="481"/>
      <c r="DY388" s="481"/>
      <c r="DZ388" s="481"/>
      <c r="EA388" s="545"/>
      <c r="EH388" s="8"/>
    </row>
    <row r="389" spans="1:138" ht="12.75" hidden="1" customHeight="1" x14ac:dyDescent="0.2">
      <c r="A389" s="66" t="s">
        <v>357</v>
      </c>
      <c r="B389" s="66"/>
      <c r="C389" s="66"/>
      <c r="D389" s="66"/>
      <c r="E389" s="66"/>
      <c r="F389" s="248"/>
      <c r="G389" s="66"/>
      <c r="H389" s="66"/>
      <c r="I389" s="66"/>
      <c r="J389" s="66"/>
      <c r="K389" s="248"/>
      <c r="L389" s="66"/>
      <c r="M389" s="66"/>
      <c r="N389" s="66"/>
      <c r="O389" s="66"/>
      <c r="P389" s="248"/>
      <c r="Q389" s="66"/>
      <c r="R389" s="66"/>
      <c r="S389" s="66"/>
      <c r="T389" s="66"/>
      <c r="U389" s="248"/>
      <c r="V389" s="66"/>
      <c r="W389" s="66"/>
      <c r="X389" s="66"/>
      <c r="Y389" s="66"/>
      <c r="Z389" s="248"/>
      <c r="AA389" s="66"/>
      <c r="AB389" s="66"/>
      <c r="AC389" s="66"/>
      <c r="AD389" s="66"/>
      <c r="AE389" s="248"/>
      <c r="AF389" s="66"/>
      <c r="AG389" s="66"/>
      <c r="AH389" s="66"/>
      <c r="AI389" s="66"/>
      <c r="AJ389" s="248"/>
      <c r="AK389" s="66"/>
      <c r="AL389" s="66"/>
      <c r="AM389" s="66"/>
      <c r="AN389" s="66"/>
      <c r="AO389" s="248"/>
      <c r="AP389" s="66"/>
      <c r="AQ389" s="66"/>
      <c r="AR389" s="66"/>
      <c r="AS389" s="66"/>
      <c r="AT389" s="248"/>
      <c r="AU389" s="66"/>
      <c r="AV389" s="66"/>
      <c r="AW389" s="66"/>
      <c r="AX389" s="66"/>
      <c r="AY389" s="248"/>
      <c r="AZ389" s="66">
        <f t="shared" ref="AZ389:BS389" si="1158">AZ287</f>
        <v>4508</v>
      </c>
      <c r="BA389" s="66">
        <f t="shared" si="1158"/>
        <v>4942</v>
      </c>
      <c r="BB389" s="66">
        <f t="shared" si="1158"/>
        <v>5488</v>
      </c>
      <c r="BC389" s="66">
        <f t="shared" si="1158"/>
        <v>4678</v>
      </c>
      <c r="BD389" s="248">
        <f t="shared" si="1158"/>
        <v>4678</v>
      </c>
      <c r="BE389" s="66">
        <f t="shared" si="1158"/>
        <v>4913</v>
      </c>
      <c r="BF389" s="66">
        <f t="shared" si="1158"/>
        <v>4434</v>
      </c>
      <c r="BG389" s="66">
        <f t="shared" si="1158"/>
        <v>3875</v>
      </c>
      <c r="BH389" s="66">
        <f t="shared" si="1158"/>
        <v>3610</v>
      </c>
      <c r="BI389" s="248">
        <f t="shared" si="1158"/>
        <v>3610</v>
      </c>
      <c r="BJ389" s="66">
        <f t="shared" si="1158"/>
        <v>3839</v>
      </c>
      <c r="BK389" s="66">
        <f t="shared" si="1158"/>
        <v>3822</v>
      </c>
      <c r="BL389" s="66">
        <f t="shared" si="1158"/>
        <v>3265</v>
      </c>
      <c r="BM389" s="66">
        <f t="shared" si="1158"/>
        <v>3615</v>
      </c>
      <c r="BN389" s="350">
        <f t="shared" si="1158"/>
        <v>3615</v>
      </c>
      <c r="BO389" s="350">
        <f t="shared" si="1158"/>
        <v>3870</v>
      </c>
      <c r="BP389" s="66">
        <f t="shared" si="1158"/>
        <v>3498</v>
      </c>
      <c r="BQ389" s="66">
        <f t="shared" si="1158"/>
        <v>3233</v>
      </c>
      <c r="BR389" s="66">
        <f t="shared" si="1158"/>
        <v>3374</v>
      </c>
      <c r="BS389" s="248">
        <f t="shared" si="1158"/>
        <v>3374</v>
      </c>
      <c r="BT389" s="66"/>
      <c r="BU389" s="66"/>
      <c r="BV389" s="66"/>
      <c r="BW389" s="66"/>
      <c r="BX389" s="248">
        <f>BX287</f>
        <v>3803</v>
      </c>
      <c r="BY389" s="66"/>
      <c r="BZ389" s="66"/>
      <c r="CA389" s="66"/>
      <c r="CB389" s="66"/>
      <c r="CC389" s="248">
        <f>CC287</f>
        <v>3305</v>
      </c>
      <c r="CD389" s="66"/>
      <c r="CE389" s="66"/>
      <c r="CF389" s="66"/>
      <c r="CG389" s="66"/>
      <c r="CH389" s="248">
        <f>CH287</f>
        <v>3437</v>
      </c>
      <c r="CI389" s="66"/>
      <c r="CJ389" s="66"/>
      <c r="CK389" s="66"/>
      <c r="CL389" s="66"/>
      <c r="CM389" s="248">
        <f>CM287</f>
        <v>3249</v>
      </c>
      <c r="CN389" s="66"/>
      <c r="CO389" s="66"/>
      <c r="CP389" s="66"/>
      <c r="CQ389" s="66"/>
      <c r="CR389" s="248">
        <f>CR287</f>
        <v>2639</v>
      </c>
      <c r="CS389" s="66"/>
      <c r="CT389" s="66"/>
      <c r="CU389" s="66"/>
      <c r="CV389" s="66"/>
      <c r="CW389" s="248">
        <f>CW287</f>
        <v>2636</v>
      </c>
      <c r="CX389" s="66"/>
      <c r="CY389" s="66"/>
      <c r="CZ389" s="66"/>
      <c r="DA389" s="66"/>
      <c r="DB389" s="248">
        <f>DB287</f>
        <v>2131.2110239177173</v>
      </c>
      <c r="DC389" s="66"/>
      <c r="DD389" s="66"/>
      <c r="DE389" s="66"/>
      <c r="DF389" s="66"/>
      <c r="DG389" s="248">
        <f>DG287</f>
        <v>1902.1541919594056</v>
      </c>
      <c r="DH389" s="66"/>
      <c r="DI389" s="66"/>
      <c r="DJ389" s="66"/>
      <c r="DK389" s="66"/>
      <c r="DL389" s="248">
        <f>DL287</f>
        <v>2237.3413017896382</v>
      </c>
      <c r="DM389" s="66"/>
      <c r="DN389" s="526"/>
      <c r="DO389" s="486"/>
      <c r="DP389" s="411"/>
      <c r="DQ389" s="411"/>
      <c r="DR389" s="411"/>
      <c r="DS389" s="572"/>
      <c r="DT389" s="572"/>
      <c r="DU389" s="481"/>
      <c r="DV389" s="472"/>
      <c r="DW389" s="472"/>
      <c r="DX389" s="472"/>
      <c r="DY389" s="472"/>
      <c r="DZ389" s="472"/>
      <c r="EA389" s="526"/>
      <c r="EH389" s="8"/>
    </row>
    <row r="390" spans="1:138" ht="12.75" hidden="1" customHeight="1" x14ac:dyDescent="0.2">
      <c r="A390" s="2" t="s">
        <v>263</v>
      </c>
      <c r="B390" s="66"/>
      <c r="C390" s="66"/>
      <c r="D390" s="66"/>
      <c r="E390" s="66"/>
      <c r="F390" s="248"/>
      <c r="G390" s="66"/>
      <c r="H390" s="66"/>
      <c r="I390" s="66"/>
      <c r="J390" s="66"/>
      <c r="K390" s="248"/>
      <c r="L390" s="66"/>
      <c r="M390" s="66"/>
      <c r="N390" s="66"/>
      <c r="O390" s="66"/>
      <c r="P390" s="248"/>
      <c r="Q390" s="66"/>
      <c r="R390" s="66"/>
      <c r="S390" s="66"/>
      <c r="T390" s="66"/>
      <c r="U390" s="248"/>
      <c r="V390" s="66"/>
      <c r="W390" s="66"/>
      <c r="X390" s="66"/>
      <c r="Y390" s="66"/>
      <c r="Z390" s="248"/>
      <c r="AA390" s="66"/>
      <c r="AB390" s="66"/>
      <c r="AC390" s="66"/>
      <c r="AD390" s="66"/>
      <c r="AE390" s="248"/>
      <c r="AF390" s="66"/>
      <c r="AG390" s="66"/>
      <c r="AH390" s="66"/>
      <c r="AI390" s="66"/>
      <c r="AJ390" s="248"/>
      <c r="AK390" s="66"/>
      <c r="AL390" s="66"/>
      <c r="AM390" s="66"/>
      <c r="AN390" s="66"/>
      <c r="AO390" s="248"/>
      <c r="AP390" s="66"/>
      <c r="AQ390" s="66"/>
      <c r="AR390" s="66"/>
      <c r="AS390" s="66"/>
      <c r="AT390" s="248"/>
      <c r="AU390" s="66"/>
      <c r="AV390" s="66"/>
      <c r="AW390" s="66"/>
      <c r="AX390" s="66"/>
      <c r="AY390" s="248"/>
      <c r="AZ390" s="66">
        <f t="shared" ref="AZ390:BS390" si="1159">AZ291</f>
        <v>5299</v>
      </c>
      <c r="BA390" s="66">
        <f t="shared" si="1159"/>
        <v>5303</v>
      </c>
      <c r="BB390" s="66">
        <f t="shared" si="1159"/>
        <v>5966</v>
      </c>
      <c r="BC390" s="66">
        <f t="shared" si="1159"/>
        <v>5101</v>
      </c>
      <c r="BD390" s="248">
        <f t="shared" si="1159"/>
        <v>5101</v>
      </c>
      <c r="BE390" s="66">
        <f t="shared" si="1159"/>
        <v>5369</v>
      </c>
      <c r="BF390" s="66">
        <f t="shared" si="1159"/>
        <v>4843</v>
      </c>
      <c r="BG390" s="66">
        <f t="shared" si="1159"/>
        <v>4293</v>
      </c>
      <c r="BH390" s="66">
        <f t="shared" si="1159"/>
        <v>4019</v>
      </c>
      <c r="BI390" s="248">
        <f t="shared" si="1159"/>
        <v>4019</v>
      </c>
      <c r="BJ390" s="66">
        <f t="shared" si="1159"/>
        <v>4229</v>
      </c>
      <c r="BK390" s="66">
        <f t="shared" si="1159"/>
        <v>4254</v>
      </c>
      <c r="BL390" s="66">
        <f t="shared" si="1159"/>
        <v>3670</v>
      </c>
      <c r="BM390" s="66">
        <f t="shared" si="1159"/>
        <v>3920</v>
      </c>
      <c r="BN390" s="350">
        <f t="shared" si="1159"/>
        <v>3920</v>
      </c>
      <c r="BO390" s="350">
        <f t="shared" si="1159"/>
        <v>4245</v>
      </c>
      <c r="BP390" s="66">
        <f t="shared" si="1159"/>
        <v>3866</v>
      </c>
      <c r="BQ390" s="66">
        <f t="shared" si="1159"/>
        <v>3634</v>
      </c>
      <c r="BR390" s="66">
        <f t="shared" si="1159"/>
        <v>3749</v>
      </c>
      <c r="BS390" s="248">
        <f t="shared" si="1159"/>
        <v>3749</v>
      </c>
      <c r="BT390" s="66"/>
      <c r="BU390" s="66"/>
      <c r="BV390" s="66"/>
      <c r="BW390" s="66"/>
      <c r="BX390" s="248">
        <f>BX291</f>
        <v>3925</v>
      </c>
      <c r="BY390" s="66"/>
      <c r="BZ390" s="66"/>
      <c r="CA390" s="66"/>
      <c r="CB390" s="66"/>
      <c r="CC390" s="248">
        <f>CC291</f>
        <v>3342</v>
      </c>
      <c r="CD390" s="66"/>
      <c r="CE390" s="66"/>
      <c r="CF390" s="66"/>
      <c r="CG390" s="66"/>
      <c r="CH390" s="248">
        <f>CH291</f>
        <v>3437</v>
      </c>
      <c r="CI390" s="66"/>
      <c r="CJ390" s="66"/>
      <c r="CK390" s="66"/>
      <c r="CL390" s="66"/>
      <c r="CM390" s="248">
        <f>CM291</f>
        <v>3249</v>
      </c>
      <c r="CN390" s="66"/>
      <c r="CO390" s="66"/>
      <c r="CP390" s="66"/>
      <c r="CQ390" s="66"/>
      <c r="CR390" s="248">
        <f>CR291</f>
        <v>2639</v>
      </c>
      <c r="CS390" s="66"/>
      <c r="CT390" s="66"/>
      <c r="CU390" s="66"/>
      <c r="CV390" s="66"/>
      <c r="CW390" s="248">
        <f>CW291</f>
        <v>2636</v>
      </c>
      <c r="CX390" s="66"/>
      <c r="CY390" s="66"/>
      <c r="CZ390" s="66"/>
      <c r="DA390" s="66"/>
      <c r="DB390" s="248">
        <f>DB291</f>
        <v>2131.2110239177173</v>
      </c>
      <c r="DC390" s="66"/>
      <c r="DD390" s="66"/>
      <c r="DE390" s="66"/>
      <c r="DF390" s="66"/>
      <c r="DG390" s="248">
        <f>DG291</f>
        <v>1902.1541919594056</v>
      </c>
      <c r="DH390" s="66"/>
      <c r="DI390" s="66"/>
      <c r="DJ390" s="66"/>
      <c r="DK390" s="66"/>
      <c r="DL390" s="248">
        <f>DL291</f>
        <v>2237.3413017896382</v>
      </c>
      <c r="DM390" s="66"/>
      <c r="DN390" s="526"/>
      <c r="DO390" s="486"/>
      <c r="DP390" s="411"/>
      <c r="DQ390" s="411"/>
      <c r="DR390" s="411"/>
      <c r="DS390" s="478"/>
      <c r="DT390" s="478"/>
      <c r="DU390" s="472"/>
      <c r="DV390" s="472"/>
      <c r="DW390" s="472"/>
      <c r="DX390" s="472"/>
      <c r="DY390" s="472"/>
      <c r="DZ390" s="472"/>
      <c r="EA390" s="526"/>
      <c r="EH390" s="8"/>
    </row>
    <row r="391" spans="1:138" ht="12.75" hidden="1" customHeight="1" x14ac:dyDescent="0.2">
      <c r="A391" s="2" t="s">
        <v>264</v>
      </c>
      <c r="B391" s="66"/>
      <c r="C391" s="66"/>
      <c r="D391" s="66"/>
      <c r="E391" s="66"/>
      <c r="F391" s="248"/>
      <c r="G391" s="66"/>
      <c r="H391" s="66"/>
      <c r="I391" s="66"/>
      <c r="J391" s="66"/>
      <c r="K391" s="248"/>
      <c r="L391" s="66"/>
      <c r="M391" s="66"/>
      <c r="N391" s="66"/>
      <c r="O391" s="66"/>
      <c r="P391" s="248"/>
      <c r="Q391" s="66"/>
      <c r="R391" s="66"/>
      <c r="S391" s="66"/>
      <c r="T391" s="66"/>
      <c r="U391" s="248"/>
      <c r="V391" s="66"/>
      <c r="W391" s="66"/>
      <c r="X391" s="66"/>
      <c r="Y391" s="66"/>
      <c r="Z391" s="248"/>
      <c r="AA391" s="66"/>
      <c r="AB391" s="66"/>
      <c r="AC391" s="66"/>
      <c r="AD391" s="66"/>
      <c r="AE391" s="248"/>
      <c r="AF391" s="66"/>
      <c r="AG391" s="66"/>
      <c r="AH391" s="66"/>
      <c r="AI391" s="66"/>
      <c r="AJ391" s="248"/>
      <c r="AK391" s="66"/>
      <c r="AL391" s="66"/>
      <c r="AM391" s="66"/>
      <c r="AN391" s="66"/>
      <c r="AO391" s="248"/>
      <c r="AP391" s="66"/>
      <c r="AQ391" s="66"/>
      <c r="AR391" s="66"/>
      <c r="AS391" s="66"/>
      <c r="AT391" s="248"/>
      <c r="AU391" s="66"/>
      <c r="AV391" s="66"/>
      <c r="AW391" s="66"/>
      <c r="AX391" s="66"/>
      <c r="AY391" s="248"/>
      <c r="AZ391" s="66">
        <f t="shared" ref="AZ391:BS391" si="1160">AZ313+AZ307</f>
        <v>16596</v>
      </c>
      <c r="BA391" s="66">
        <f t="shared" si="1160"/>
        <v>16598</v>
      </c>
      <c r="BB391" s="66">
        <f t="shared" si="1160"/>
        <v>17684</v>
      </c>
      <c r="BC391" s="66">
        <f t="shared" si="1160"/>
        <v>17198</v>
      </c>
      <c r="BD391" s="248">
        <f t="shared" si="1160"/>
        <v>17198</v>
      </c>
      <c r="BE391" s="66">
        <f t="shared" si="1160"/>
        <v>16916</v>
      </c>
      <c r="BF391" s="66">
        <f t="shared" si="1160"/>
        <v>15783</v>
      </c>
      <c r="BG391" s="66">
        <f t="shared" si="1160"/>
        <v>15365</v>
      </c>
      <c r="BH391" s="66">
        <f t="shared" si="1160"/>
        <v>15252</v>
      </c>
      <c r="BI391" s="248">
        <f t="shared" si="1160"/>
        <v>15252</v>
      </c>
      <c r="BJ391" s="66">
        <f t="shared" si="1160"/>
        <v>15169</v>
      </c>
      <c r="BK391" s="66">
        <f t="shared" si="1160"/>
        <v>14661</v>
      </c>
      <c r="BL391" s="66">
        <f t="shared" si="1160"/>
        <v>14494</v>
      </c>
      <c r="BM391" s="66">
        <f t="shared" si="1160"/>
        <v>13791</v>
      </c>
      <c r="BN391" s="350">
        <f t="shared" si="1160"/>
        <v>13791</v>
      </c>
      <c r="BO391" s="350">
        <f t="shared" si="1160"/>
        <v>13376</v>
      </c>
      <c r="BP391" s="66">
        <f t="shared" si="1160"/>
        <v>13000</v>
      </c>
      <c r="BQ391" s="66">
        <f t="shared" si="1160"/>
        <v>12657</v>
      </c>
      <c r="BR391" s="66">
        <f t="shared" si="1160"/>
        <v>12709</v>
      </c>
      <c r="BS391" s="248">
        <f t="shared" si="1160"/>
        <v>12709</v>
      </c>
      <c r="BT391" s="66"/>
      <c r="BU391" s="66"/>
      <c r="BV391" s="66"/>
      <c r="BW391" s="66"/>
      <c r="BX391" s="248">
        <f>BX313+BX307</f>
        <v>11342</v>
      </c>
      <c r="BY391" s="66"/>
      <c r="BZ391" s="66"/>
      <c r="CA391" s="66"/>
      <c r="CB391" s="66"/>
      <c r="CC391" s="248">
        <f>CC313+CC307</f>
        <v>9777</v>
      </c>
      <c r="CD391" s="66"/>
      <c r="CE391" s="66"/>
      <c r="CF391" s="66"/>
      <c r="CG391" s="66"/>
      <c r="CH391" s="248">
        <f>CH313+CH307</f>
        <v>8329</v>
      </c>
      <c r="CI391" s="66"/>
      <c r="CJ391" s="66"/>
      <c r="CK391" s="66"/>
      <c r="CL391" s="66"/>
      <c r="CM391" s="248">
        <f>CM313+CM307</f>
        <v>7332</v>
      </c>
      <c r="CN391" s="66"/>
      <c r="CO391" s="66"/>
      <c r="CP391" s="66"/>
      <c r="CQ391" s="66"/>
      <c r="CR391" s="248">
        <f>CR313+CR307</f>
        <v>8834</v>
      </c>
      <c r="CS391" s="66"/>
      <c r="CT391" s="66"/>
      <c r="CU391" s="66"/>
      <c r="CV391" s="66"/>
      <c r="CW391" s="248">
        <f>CW313+CW307</f>
        <v>8834</v>
      </c>
      <c r="CX391" s="66"/>
      <c r="CY391" s="66"/>
      <c r="CZ391" s="66"/>
      <c r="DA391" s="66"/>
      <c r="DB391" s="248">
        <f>DB313+DB307</f>
        <v>7053.4999999999991</v>
      </c>
      <c r="DC391" s="66"/>
      <c r="DD391" s="66"/>
      <c r="DE391" s="66"/>
      <c r="DF391" s="66"/>
      <c r="DG391" s="248">
        <f>DG313+DG307</f>
        <v>5764.4999999999991</v>
      </c>
      <c r="DH391" s="66"/>
      <c r="DI391" s="66"/>
      <c r="DJ391" s="66"/>
      <c r="DK391" s="66"/>
      <c r="DL391" s="248">
        <f>DL313+DL307</f>
        <v>4237.4999999999991</v>
      </c>
      <c r="DM391" s="66"/>
      <c r="DN391" s="526"/>
      <c r="DO391" s="486"/>
      <c r="DP391" s="411"/>
      <c r="DQ391" s="411"/>
      <c r="DR391" s="411"/>
      <c r="DS391" s="478"/>
      <c r="DT391" s="478"/>
      <c r="DU391" s="472"/>
      <c r="DV391" s="472"/>
      <c r="DW391" s="472"/>
      <c r="DX391" s="472"/>
      <c r="DY391" s="472"/>
      <c r="DZ391" s="472"/>
      <c r="EA391" s="526"/>
      <c r="EH391" s="8"/>
    </row>
    <row r="392" spans="1:138" ht="12.75" hidden="1" customHeight="1" x14ac:dyDescent="0.2">
      <c r="A392" s="2" t="s">
        <v>265</v>
      </c>
      <c r="B392" s="66"/>
      <c r="C392" s="66"/>
      <c r="D392" s="66"/>
      <c r="E392" s="66"/>
      <c r="F392" s="248"/>
      <c r="G392" s="66"/>
      <c r="H392" s="66"/>
      <c r="I392" s="66"/>
      <c r="J392" s="66"/>
      <c r="K392" s="248"/>
      <c r="L392" s="66"/>
      <c r="M392" s="66"/>
      <c r="N392" s="66"/>
      <c r="O392" s="66"/>
      <c r="P392" s="248"/>
      <c r="Q392" s="66"/>
      <c r="R392" s="66"/>
      <c r="S392" s="66"/>
      <c r="T392" s="66"/>
      <c r="U392" s="248"/>
      <c r="V392" s="66"/>
      <c r="W392" s="66"/>
      <c r="X392" s="66"/>
      <c r="Y392" s="66"/>
      <c r="Z392" s="248"/>
      <c r="AA392" s="66"/>
      <c r="AB392" s="66"/>
      <c r="AC392" s="66"/>
      <c r="AD392" s="66"/>
      <c r="AE392" s="248"/>
      <c r="AF392" s="66"/>
      <c r="AG392" s="66"/>
      <c r="AH392" s="66"/>
      <c r="AI392" s="66"/>
      <c r="AJ392" s="248"/>
      <c r="AK392" s="66"/>
      <c r="AL392" s="66"/>
      <c r="AM392" s="66"/>
      <c r="AN392" s="66"/>
      <c r="AO392" s="248"/>
      <c r="AP392" s="66"/>
      <c r="AQ392" s="66"/>
      <c r="AR392" s="66"/>
      <c r="AS392" s="66"/>
      <c r="AT392" s="248"/>
      <c r="AU392" s="66"/>
      <c r="AV392" s="66"/>
      <c r="AW392" s="66"/>
      <c r="AX392" s="66"/>
      <c r="AY392" s="248"/>
      <c r="AZ392" s="66">
        <v>0</v>
      </c>
      <c r="BA392" s="66">
        <v>0</v>
      </c>
      <c r="BB392" s="66">
        <v>0</v>
      </c>
      <c r="BC392" s="66">
        <v>0</v>
      </c>
      <c r="BD392" s="248">
        <v>0</v>
      </c>
      <c r="BE392" s="66">
        <v>0</v>
      </c>
      <c r="BF392" s="66">
        <v>0</v>
      </c>
      <c r="BG392" s="66">
        <v>0</v>
      </c>
      <c r="BH392" s="66">
        <v>0</v>
      </c>
      <c r="BI392" s="248">
        <v>0</v>
      </c>
      <c r="BJ392" s="66">
        <v>0</v>
      </c>
      <c r="BK392" s="66">
        <v>0</v>
      </c>
      <c r="BL392" s="91">
        <v>0</v>
      </c>
      <c r="BM392" s="91">
        <v>0</v>
      </c>
      <c r="BN392" s="365">
        <v>0</v>
      </c>
      <c r="BO392" s="365">
        <v>0</v>
      </c>
      <c r="BP392" s="91">
        <v>0</v>
      </c>
      <c r="BQ392" s="91">
        <v>0</v>
      </c>
      <c r="BR392" s="91">
        <v>0</v>
      </c>
      <c r="BS392" s="302">
        <v>0</v>
      </c>
      <c r="BT392" s="66"/>
      <c r="BU392" s="66"/>
      <c r="BV392" s="66"/>
      <c r="BW392" s="66"/>
      <c r="BX392" s="302">
        <v>0</v>
      </c>
      <c r="BY392" s="66"/>
      <c r="BZ392" s="66"/>
      <c r="CA392" s="66"/>
      <c r="CB392" s="66"/>
      <c r="CC392" s="302">
        <v>0</v>
      </c>
      <c r="CD392" s="66"/>
      <c r="CE392" s="66"/>
      <c r="CF392" s="66"/>
      <c r="CG392" s="66"/>
      <c r="CH392" s="302">
        <v>0</v>
      </c>
      <c r="CI392" s="66"/>
      <c r="CJ392" s="66"/>
      <c r="CK392" s="66"/>
      <c r="CL392" s="66"/>
      <c r="CM392" s="302">
        <v>0</v>
      </c>
      <c r="CN392" s="66"/>
      <c r="CO392" s="66"/>
      <c r="CP392" s="66"/>
      <c r="CQ392" s="66"/>
      <c r="CR392" s="302">
        <v>0</v>
      </c>
      <c r="CS392" s="66"/>
      <c r="CT392" s="66"/>
      <c r="CU392" s="66"/>
      <c r="CV392" s="66"/>
      <c r="CW392" s="302">
        <v>0</v>
      </c>
      <c r="CX392" s="66"/>
      <c r="CY392" s="66"/>
      <c r="CZ392" s="66"/>
      <c r="DA392" s="66"/>
      <c r="DB392" s="302">
        <v>0</v>
      </c>
      <c r="DC392" s="66"/>
      <c r="DD392" s="66"/>
      <c r="DE392" s="66"/>
      <c r="DF392" s="66"/>
      <c r="DG392" s="302">
        <v>0</v>
      </c>
      <c r="DH392" s="66"/>
      <c r="DI392" s="66"/>
      <c r="DJ392" s="66"/>
      <c r="DK392" s="66"/>
      <c r="DL392" s="302">
        <v>0</v>
      </c>
      <c r="DM392" s="66"/>
      <c r="DN392" s="526"/>
      <c r="DO392" s="486"/>
      <c r="DP392" s="411"/>
      <c r="DQ392" s="411"/>
      <c r="DR392" s="411"/>
      <c r="DS392" s="478"/>
      <c r="DT392" s="478"/>
      <c r="DU392" s="472"/>
      <c r="DV392" s="472"/>
      <c r="DW392" s="472"/>
      <c r="DX392" s="472"/>
      <c r="DY392" s="472"/>
      <c r="DZ392" s="472"/>
      <c r="EA392" s="526"/>
      <c r="EH392" s="8"/>
    </row>
    <row r="393" spans="1:138" ht="3" hidden="1" customHeight="1" x14ac:dyDescent="0.2">
      <c r="A393" s="2"/>
      <c r="B393" s="66"/>
      <c r="C393" s="66"/>
      <c r="D393" s="66"/>
      <c r="E393" s="66"/>
      <c r="F393" s="248"/>
      <c r="G393" s="66"/>
      <c r="H393" s="66"/>
      <c r="I393" s="66"/>
      <c r="J393" s="66"/>
      <c r="K393" s="248"/>
      <c r="L393" s="66"/>
      <c r="M393" s="66"/>
      <c r="N393" s="66"/>
      <c r="O393" s="66"/>
      <c r="P393" s="248"/>
      <c r="Q393" s="66"/>
      <c r="R393" s="66"/>
      <c r="S393" s="66"/>
      <c r="T393" s="66"/>
      <c r="U393" s="248"/>
      <c r="V393" s="66"/>
      <c r="W393" s="66"/>
      <c r="X393" s="66"/>
      <c r="Y393" s="66"/>
      <c r="Z393" s="248"/>
      <c r="AA393" s="66"/>
      <c r="AB393" s="66"/>
      <c r="AC393" s="66"/>
      <c r="AD393" s="66"/>
      <c r="AE393" s="248"/>
      <c r="AF393" s="66"/>
      <c r="AG393" s="66"/>
      <c r="AH393" s="66"/>
      <c r="AI393" s="66"/>
      <c r="AJ393" s="248"/>
      <c r="AK393" s="66"/>
      <c r="AL393" s="66"/>
      <c r="AM393" s="66"/>
      <c r="AN393" s="66"/>
      <c r="AO393" s="248"/>
      <c r="AP393" s="66"/>
      <c r="AQ393" s="66"/>
      <c r="AR393" s="66"/>
      <c r="AS393" s="66"/>
      <c r="AT393" s="248"/>
      <c r="AU393" s="66"/>
      <c r="AV393" s="66"/>
      <c r="AW393" s="66"/>
      <c r="AX393" s="66"/>
      <c r="AY393" s="248"/>
      <c r="AZ393" s="66"/>
      <c r="BA393" s="66"/>
      <c r="BB393" s="66"/>
      <c r="BC393" s="66"/>
      <c r="BD393" s="248"/>
      <c r="BE393" s="66"/>
      <c r="BF393" s="66"/>
      <c r="BG393" s="66"/>
      <c r="BH393" s="66"/>
      <c r="BI393" s="248"/>
      <c r="BJ393" s="66"/>
      <c r="BK393" s="66"/>
      <c r="BL393" s="66"/>
      <c r="BM393" s="66"/>
      <c r="BN393" s="350"/>
      <c r="BO393" s="350"/>
      <c r="BP393" s="66"/>
      <c r="BQ393" s="66"/>
      <c r="BR393" s="66"/>
      <c r="BS393" s="248"/>
      <c r="BT393" s="66"/>
      <c r="BU393" s="66"/>
      <c r="BV393" s="66"/>
      <c r="BW393" s="66"/>
      <c r="BX393" s="248"/>
      <c r="BY393" s="66"/>
      <c r="BZ393" s="66"/>
      <c r="CA393" s="66"/>
      <c r="CB393" s="66"/>
      <c r="CC393" s="248"/>
      <c r="CD393" s="66"/>
      <c r="CE393" s="66"/>
      <c r="CF393" s="66"/>
      <c r="CG393" s="66"/>
      <c r="CH393" s="248"/>
      <c r="CI393" s="66"/>
      <c r="CJ393" s="66"/>
      <c r="CK393" s="66"/>
      <c r="CL393" s="66"/>
      <c r="CM393" s="248"/>
      <c r="CN393" s="66"/>
      <c r="CO393" s="66"/>
      <c r="CP393" s="66"/>
      <c r="CQ393" s="66"/>
      <c r="CR393" s="248"/>
      <c r="CS393" s="66"/>
      <c r="CT393" s="66"/>
      <c r="CU393" s="66"/>
      <c r="CV393" s="66"/>
      <c r="CW393" s="248"/>
      <c r="CX393" s="66"/>
      <c r="CY393" s="66"/>
      <c r="CZ393" s="66"/>
      <c r="DA393" s="66"/>
      <c r="DB393" s="248"/>
      <c r="DC393" s="66"/>
      <c r="DD393" s="66"/>
      <c r="DE393" s="66"/>
      <c r="DF393" s="66"/>
      <c r="DG393" s="248"/>
      <c r="DH393" s="66"/>
      <c r="DI393" s="66"/>
      <c r="DJ393" s="66"/>
      <c r="DK393" s="66"/>
      <c r="DL393" s="248"/>
      <c r="DM393" s="66"/>
      <c r="DN393" s="526"/>
      <c r="DO393" s="486"/>
      <c r="DP393" s="411"/>
      <c r="DQ393" s="411"/>
      <c r="DR393" s="411"/>
      <c r="DS393" s="478"/>
      <c r="DT393" s="478"/>
      <c r="DU393" s="472"/>
      <c r="DV393" s="472"/>
      <c r="DW393" s="472"/>
      <c r="DX393" s="472"/>
      <c r="DY393" s="472"/>
      <c r="DZ393" s="472"/>
      <c r="EA393" s="526"/>
      <c r="EH393" s="8"/>
    </row>
    <row r="394" spans="1:138" ht="12.75" hidden="1" customHeight="1" x14ac:dyDescent="0.2">
      <c r="A394" s="2" t="s">
        <v>58</v>
      </c>
      <c r="B394" s="66"/>
      <c r="C394" s="66"/>
      <c r="D394" s="66"/>
      <c r="E394" s="66"/>
      <c r="F394" s="248"/>
      <c r="G394" s="66"/>
      <c r="H394" s="66"/>
      <c r="I394" s="66"/>
      <c r="J394" s="66"/>
      <c r="K394" s="248"/>
      <c r="L394" s="66"/>
      <c r="M394" s="66"/>
      <c r="N394" s="66"/>
      <c r="O394" s="66"/>
      <c r="P394" s="248"/>
      <c r="Q394" s="66"/>
      <c r="R394" s="66"/>
      <c r="S394" s="66"/>
      <c r="T394" s="66"/>
      <c r="U394" s="248"/>
      <c r="V394" s="66"/>
      <c r="W394" s="66"/>
      <c r="X394" s="66"/>
      <c r="Y394" s="66"/>
      <c r="Z394" s="248"/>
      <c r="AA394" s="66"/>
      <c r="AB394" s="66"/>
      <c r="AC394" s="66"/>
      <c r="AD394" s="66"/>
      <c r="AE394" s="248"/>
      <c r="AF394" s="66"/>
      <c r="AG394" s="66"/>
      <c r="AH394" s="66"/>
      <c r="AI394" s="66"/>
      <c r="AJ394" s="248"/>
      <c r="AK394" s="66"/>
      <c r="AL394" s="66"/>
      <c r="AM394" s="66"/>
      <c r="AN394" s="66"/>
      <c r="AO394" s="248"/>
      <c r="AP394" s="66"/>
      <c r="AQ394" s="66"/>
      <c r="AR394" s="66"/>
      <c r="AS394" s="66"/>
      <c r="AT394" s="248"/>
      <c r="AU394" s="66"/>
      <c r="AV394" s="66"/>
      <c r="AW394" s="66"/>
      <c r="AX394" s="66"/>
      <c r="AY394" s="248"/>
      <c r="AZ394" s="66">
        <f t="shared" ref="AZ394:BX394" si="1161">AZ391-AZ390-AZ392</f>
        <v>11297</v>
      </c>
      <c r="BA394" s="66">
        <f t="shared" si="1161"/>
        <v>11295</v>
      </c>
      <c r="BB394" s="66">
        <f t="shared" si="1161"/>
        <v>11718</v>
      </c>
      <c r="BC394" s="66">
        <f t="shared" si="1161"/>
        <v>12097</v>
      </c>
      <c r="BD394" s="248">
        <f t="shared" si="1161"/>
        <v>12097</v>
      </c>
      <c r="BE394" s="66">
        <f t="shared" si="1161"/>
        <v>11547</v>
      </c>
      <c r="BF394" s="66">
        <f t="shared" si="1161"/>
        <v>10940</v>
      </c>
      <c r="BG394" s="66">
        <f t="shared" si="1161"/>
        <v>11072</v>
      </c>
      <c r="BH394" s="66">
        <f t="shared" si="1161"/>
        <v>11233</v>
      </c>
      <c r="BI394" s="248">
        <f t="shared" si="1161"/>
        <v>11233</v>
      </c>
      <c r="BJ394" s="66">
        <f t="shared" si="1161"/>
        <v>10940</v>
      </c>
      <c r="BK394" s="66">
        <f>BK391-BK390-BK392</f>
        <v>10407</v>
      </c>
      <c r="BL394" s="66">
        <f t="shared" si="1161"/>
        <v>10824</v>
      </c>
      <c r="BM394" s="66">
        <f t="shared" si="1161"/>
        <v>9871</v>
      </c>
      <c r="BN394" s="350">
        <f t="shared" si="1161"/>
        <v>9871</v>
      </c>
      <c r="BO394" s="350">
        <f>BO391-BO390-BO392</f>
        <v>9131</v>
      </c>
      <c r="BP394" s="66">
        <f>BP391-BP390-BP392</f>
        <v>9134</v>
      </c>
      <c r="BQ394" s="66">
        <f>BQ391-BQ390-BQ392</f>
        <v>9023</v>
      </c>
      <c r="BR394" s="66">
        <f>BR391-BR390-BR392</f>
        <v>8960</v>
      </c>
      <c r="BS394" s="248">
        <f t="shared" si="1161"/>
        <v>8960</v>
      </c>
      <c r="BT394" s="66"/>
      <c r="BU394" s="66"/>
      <c r="BV394" s="66"/>
      <c r="BW394" s="66"/>
      <c r="BX394" s="248">
        <f t="shared" si="1161"/>
        <v>7417</v>
      </c>
      <c r="BY394" s="66"/>
      <c r="BZ394" s="66"/>
      <c r="CA394" s="66"/>
      <c r="CB394" s="66"/>
      <c r="CC394" s="248">
        <f>CC391-CC390-CC392</f>
        <v>6435</v>
      </c>
      <c r="CD394" s="66"/>
      <c r="CE394" s="66"/>
      <c r="CF394" s="66"/>
      <c r="CG394" s="66"/>
      <c r="CH394" s="248">
        <f>CH391-CH390-CH392</f>
        <v>4892</v>
      </c>
      <c r="CI394" s="66"/>
      <c r="CJ394" s="66"/>
      <c r="CK394" s="66"/>
      <c r="CL394" s="66"/>
      <c r="CM394" s="248">
        <f>CM391-CM390-CM392</f>
        <v>4083</v>
      </c>
      <c r="CN394" s="66"/>
      <c r="CO394" s="66"/>
      <c r="CP394" s="66"/>
      <c r="CQ394" s="66"/>
      <c r="CR394" s="248">
        <f>CR391-CR390-CR392</f>
        <v>6195</v>
      </c>
      <c r="CS394" s="66"/>
      <c r="CT394" s="66"/>
      <c r="CU394" s="66"/>
      <c r="CV394" s="66"/>
      <c r="CW394" s="248">
        <f>CW391-CW390-CW392</f>
        <v>6198</v>
      </c>
      <c r="CX394" s="66"/>
      <c r="CY394" s="66"/>
      <c r="CZ394" s="66"/>
      <c r="DA394" s="66"/>
      <c r="DB394" s="248">
        <f>DB391-DB390-DB392</f>
        <v>4922.2889760822818</v>
      </c>
      <c r="DC394" s="66"/>
      <c r="DD394" s="66"/>
      <c r="DE394" s="66"/>
      <c r="DF394" s="66"/>
      <c r="DG394" s="248">
        <f>DG391-DG390-DG392</f>
        <v>3862.3458080405935</v>
      </c>
      <c r="DH394" s="66"/>
      <c r="DI394" s="66"/>
      <c r="DJ394" s="66"/>
      <c r="DK394" s="66"/>
      <c r="DL394" s="248">
        <f>DL391-DL390-DL392</f>
        <v>2000.1586982103609</v>
      </c>
      <c r="DM394" s="66"/>
      <c r="DN394" s="526"/>
      <c r="DO394" s="486"/>
      <c r="DP394" s="411"/>
      <c r="DQ394" s="411"/>
      <c r="DR394" s="411"/>
      <c r="DS394" s="478"/>
      <c r="DT394" s="478"/>
      <c r="DU394" s="472"/>
      <c r="DV394" s="472"/>
      <c r="DW394" s="472"/>
      <c r="DX394" s="472"/>
      <c r="DY394" s="472"/>
      <c r="DZ394" s="472"/>
      <c r="EA394" s="526"/>
      <c r="EH394" s="8"/>
    </row>
    <row r="395" spans="1:138" ht="12.75" hidden="1" customHeight="1" x14ac:dyDescent="0.2">
      <c r="A395" s="2" t="s">
        <v>59</v>
      </c>
      <c r="B395" s="66"/>
      <c r="C395" s="66"/>
      <c r="D395" s="66"/>
      <c r="E395" s="66"/>
      <c r="F395" s="248"/>
      <c r="G395" s="66"/>
      <c r="H395" s="66"/>
      <c r="I395" s="66"/>
      <c r="J395" s="66"/>
      <c r="K395" s="248"/>
      <c r="L395" s="66"/>
      <c r="M395" s="66"/>
      <c r="N395" s="66"/>
      <c r="O395" s="66"/>
      <c r="P395" s="248"/>
      <c r="Q395" s="66"/>
      <c r="R395" s="66"/>
      <c r="S395" s="66"/>
      <c r="T395" s="66"/>
      <c r="U395" s="248"/>
      <c r="V395" s="66"/>
      <c r="W395" s="66"/>
      <c r="X395" s="66"/>
      <c r="Y395" s="66"/>
      <c r="Z395" s="248"/>
      <c r="AA395" s="66"/>
      <c r="AB395" s="66"/>
      <c r="AC395" s="66"/>
      <c r="AD395" s="66"/>
      <c r="AE395" s="248"/>
      <c r="AF395" s="66"/>
      <c r="AG395" s="66"/>
      <c r="AH395" s="66"/>
      <c r="AI395" s="66"/>
      <c r="AJ395" s="248"/>
      <c r="AK395" s="66"/>
      <c r="AL395" s="66"/>
      <c r="AM395" s="66"/>
      <c r="AN395" s="66"/>
      <c r="AO395" s="248"/>
      <c r="AP395" s="66"/>
      <c r="AQ395" s="66"/>
      <c r="AR395" s="66"/>
      <c r="AS395" s="66"/>
      <c r="AT395" s="248"/>
      <c r="AU395" s="66"/>
      <c r="AV395" s="66"/>
      <c r="AW395" s="66"/>
      <c r="AX395" s="66"/>
      <c r="AY395" s="248"/>
      <c r="AZ395" s="66">
        <f t="shared" ref="AZ395:BX395" si="1162">AZ391-AZ389-AZ392</f>
        <v>12088</v>
      </c>
      <c r="BA395" s="66">
        <f t="shared" si="1162"/>
        <v>11656</v>
      </c>
      <c r="BB395" s="66">
        <f t="shared" si="1162"/>
        <v>12196</v>
      </c>
      <c r="BC395" s="66">
        <f t="shared" si="1162"/>
        <v>12520</v>
      </c>
      <c r="BD395" s="248">
        <f t="shared" si="1162"/>
        <v>12520</v>
      </c>
      <c r="BE395" s="66">
        <f t="shared" si="1162"/>
        <v>12003</v>
      </c>
      <c r="BF395" s="66">
        <f t="shared" si="1162"/>
        <v>11349</v>
      </c>
      <c r="BG395" s="66">
        <f t="shared" si="1162"/>
        <v>11490</v>
      </c>
      <c r="BH395" s="66">
        <f t="shared" si="1162"/>
        <v>11642</v>
      </c>
      <c r="BI395" s="248">
        <f t="shared" si="1162"/>
        <v>11642</v>
      </c>
      <c r="BJ395" s="66">
        <f t="shared" si="1162"/>
        <v>11330</v>
      </c>
      <c r="BK395" s="66">
        <f>BK391-BK389-BK392</f>
        <v>10839</v>
      </c>
      <c r="BL395" s="66">
        <f t="shared" si="1162"/>
        <v>11229</v>
      </c>
      <c r="BM395" s="66">
        <f t="shared" si="1162"/>
        <v>10176</v>
      </c>
      <c r="BN395" s="350">
        <f t="shared" si="1162"/>
        <v>10176</v>
      </c>
      <c r="BO395" s="350">
        <f>BO391-BO389-BO392</f>
        <v>9506</v>
      </c>
      <c r="BP395" s="66">
        <f>BP391-BP389-BP392</f>
        <v>9502</v>
      </c>
      <c r="BQ395" s="66">
        <f>BQ391-BQ389-BQ392</f>
        <v>9424</v>
      </c>
      <c r="BR395" s="66">
        <f>BR391-BR389-BR392</f>
        <v>9335</v>
      </c>
      <c r="BS395" s="248">
        <f t="shared" si="1162"/>
        <v>9335</v>
      </c>
      <c r="BT395" s="66"/>
      <c r="BU395" s="66"/>
      <c r="BV395" s="66"/>
      <c r="BW395" s="66"/>
      <c r="BX395" s="248">
        <f t="shared" si="1162"/>
        <v>7539</v>
      </c>
      <c r="BY395" s="66"/>
      <c r="BZ395" s="66"/>
      <c r="CA395" s="66"/>
      <c r="CB395" s="66"/>
      <c r="CC395" s="248">
        <f>CC391-CC389-CC392</f>
        <v>6472</v>
      </c>
      <c r="CD395" s="66"/>
      <c r="CE395" s="66"/>
      <c r="CF395" s="66"/>
      <c r="CG395" s="66"/>
      <c r="CH395" s="248">
        <f>CH391-CH389-CH392</f>
        <v>4892</v>
      </c>
      <c r="CI395" s="66"/>
      <c r="CJ395" s="66"/>
      <c r="CK395" s="66"/>
      <c r="CL395" s="66"/>
      <c r="CM395" s="248">
        <f>CM391-CM389-CM392</f>
        <v>4083</v>
      </c>
      <c r="CN395" s="66"/>
      <c r="CO395" s="66"/>
      <c r="CP395" s="66"/>
      <c r="CQ395" s="66"/>
      <c r="CR395" s="248">
        <f>CR391-CR389-CR392</f>
        <v>6195</v>
      </c>
      <c r="CS395" s="66"/>
      <c r="CT395" s="66"/>
      <c r="CU395" s="66"/>
      <c r="CV395" s="66"/>
      <c r="CW395" s="248">
        <f>CW391-CW389-CW392</f>
        <v>6198</v>
      </c>
      <c r="CX395" s="66"/>
      <c r="CY395" s="66"/>
      <c r="CZ395" s="66"/>
      <c r="DA395" s="66"/>
      <c r="DB395" s="248">
        <f>DB391-DB389-DB392</f>
        <v>4922.2889760822818</v>
      </c>
      <c r="DC395" s="66"/>
      <c r="DD395" s="66"/>
      <c r="DE395" s="66"/>
      <c r="DF395" s="66"/>
      <c r="DG395" s="248">
        <f>DG391-DG389-DG392</f>
        <v>3862.3458080405935</v>
      </c>
      <c r="DH395" s="66"/>
      <c r="DI395" s="66"/>
      <c r="DJ395" s="66"/>
      <c r="DK395" s="66"/>
      <c r="DL395" s="248">
        <f>DL391-DL389-DL392</f>
        <v>2000.1586982103609</v>
      </c>
      <c r="DM395" s="66"/>
      <c r="DN395" s="526"/>
      <c r="DO395" s="486"/>
      <c r="DP395" s="411"/>
      <c r="DQ395" s="411"/>
      <c r="DR395" s="411"/>
      <c r="DS395" s="478"/>
      <c r="DT395" s="478"/>
      <c r="DU395" s="472"/>
      <c r="DV395" s="472"/>
      <c r="DW395" s="472"/>
      <c r="DX395" s="472"/>
      <c r="DY395" s="472"/>
      <c r="DZ395" s="472"/>
      <c r="EA395" s="526"/>
      <c r="EH395" s="8"/>
    </row>
    <row r="396" spans="1:138" ht="3" hidden="1" customHeight="1" x14ac:dyDescent="0.2">
      <c r="A396" s="2"/>
      <c r="B396" s="66"/>
      <c r="C396" s="66"/>
      <c r="D396" s="66"/>
      <c r="E396" s="66"/>
      <c r="F396" s="248"/>
      <c r="G396" s="66"/>
      <c r="H396" s="66"/>
      <c r="I396" s="66"/>
      <c r="J396" s="66"/>
      <c r="K396" s="248"/>
      <c r="L396" s="66"/>
      <c r="M396" s="66"/>
      <c r="N396" s="66"/>
      <c r="O396" s="66"/>
      <c r="P396" s="248"/>
      <c r="Q396" s="66"/>
      <c r="R396" s="66"/>
      <c r="S396" s="66"/>
      <c r="T396" s="66"/>
      <c r="U396" s="248"/>
      <c r="V396" s="66"/>
      <c r="W396" s="66"/>
      <c r="X396" s="66"/>
      <c r="Y396" s="66"/>
      <c r="Z396" s="248"/>
      <c r="AA396" s="66"/>
      <c r="AB396" s="66"/>
      <c r="AC396" s="66"/>
      <c r="AD396" s="66"/>
      <c r="AE396" s="248"/>
      <c r="AF396" s="66"/>
      <c r="AG396" s="66"/>
      <c r="AH396" s="66"/>
      <c r="AI396" s="66"/>
      <c r="AJ396" s="248"/>
      <c r="AK396" s="66"/>
      <c r="AL396" s="66"/>
      <c r="AM396" s="66"/>
      <c r="AN396" s="66"/>
      <c r="AO396" s="248"/>
      <c r="AP396" s="66"/>
      <c r="AQ396" s="66"/>
      <c r="AR396" s="66"/>
      <c r="AS396" s="66"/>
      <c r="AT396" s="248"/>
      <c r="AU396" s="66"/>
      <c r="AV396" s="66"/>
      <c r="AW396" s="66"/>
      <c r="AX396" s="66"/>
      <c r="AY396" s="248"/>
      <c r="AZ396" s="66"/>
      <c r="BA396" s="66"/>
      <c r="BB396" s="66"/>
      <c r="BC396" s="66"/>
      <c r="BD396" s="248"/>
      <c r="BE396" s="66"/>
      <c r="BF396" s="66"/>
      <c r="BG396" s="66"/>
      <c r="BH396" s="66"/>
      <c r="BI396" s="248"/>
      <c r="BJ396" s="66"/>
      <c r="BK396" s="66"/>
      <c r="BL396" s="66"/>
      <c r="BM396" s="66"/>
      <c r="BN396" s="350"/>
      <c r="BO396" s="350"/>
      <c r="BP396" s="66"/>
      <c r="BQ396" s="66"/>
      <c r="BR396" s="66"/>
      <c r="BS396" s="248"/>
      <c r="BT396" s="66"/>
      <c r="BU396" s="66"/>
      <c r="BV396" s="66"/>
      <c r="BW396" s="66"/>
      <c r="BX396" s="248"/>
      <c r="BY396" s="66"/>
      <c r="BZ396" s="66"/>
      <c r="CA396" s="66"/>
      <c r="CB396" s="66"/>
      <c r="CC396" s="248"/>
      <c r="CD396" s="66"/>
      <c r="CE396" s="66"/>
      <c r="CF396" s="66"/>
      <c r="CG396" s="66"/>
      <c r="CH396" s="248"/>
      <c r="CI396" s="66"/>
      <c r="CJ396" s="66"/>
      <c r="CK396" s="66"/>
      <c r="CL396" s="66"/>
      <c r="CM396" s="248"/>
      <c r="CN396" s="66"/>
      <c r="CO396" s="66"/>
      <c r="CP396" s="66"/>
      <c r="CQ396" s="66"/>
      <c r="CR396" s="248"/>
      <c r="CS396" s="66"/>
      <c r="CT396" s="66"/>
      <c r="CU396" s="66"/>
      <c r="CV396" s="66"/>
      <c r="CW396" s="248"/>
      <c r="CX396" s="66"/>
      <c r="CY396" s="66"/>
      <c r="CZ396" s="66"/>
      <c r="DA396" s="66"/>
      <c r="DB396" s="248"/>
      <c r="DC396" s="66"/>
      <c r="DD396" s="66"/>
      <c r="DE396" s="66"/>
      <c r="DF396" s="66"/>
      <c r="DG396" s="248"/>
      <c r="DH396" s="66"/>
      <c r="DI396" s="66"/>
      <c r="DJ396" s="66"/>
      <c r="DK396" s="66"/>
      <c r="DL396" s="248"/>
      <c r="DM396" s="66"/>
      <c r="DN396" s="526"/>
      <c r="DO396" s="486"/>
      <c r="DP396" s="411"/>
      <c r="DQ396" s="411"/>
      <c r="DR396" s="411"/>
      <c r="DS396" s="478"/>
      <c r="DT396" s="478"/>
      <c r="DU396" s="472"/>
      <c r="DV396" s="472"/>
      <c r="DW396" s="472"/>
      <c r="DX396" s="472"/>
      <c r="DY396" s="472"/>
      <c r="DZ396" s="472"/>
      <c r="EA396" s="526"/>
      <c r="EH396" s="8"/>
    </row>
    <row r="397" spans="1:138" ht="12.75" hidden="1" customHeight="1" x14ac:dyDescent="0.2">
      <c r="A397" s="2" t="s">
        <v>81</v>
      </c>
      <c r="B397" s="66"/>
      <c r="C397" s="66"/>
      <c r="D397" s="66"/>
      <c r="E397" s="66"/>
      <c r="F397" s="248"/>
      <c r="G397" s="66"/>
      <c r="H397" s="66"/>
      <c r="I397" s="66"/>
      <c r="J397" s="66"/>
      <c r="K397" s="248"/>
      <c r="L397" s="66"/>
      <c r="M397" s="66"/>
      <c r="N397" s="66"/>
      <c r="O397" s="66"/>
      <c r="P397" s="248"/>
      <c r="Q397" s="66"/>
      <c r="R397" s="66"/>
      <c r="S397" s="66"/>
      <c r="T397" s="66"/>
      <c r="U397" s="248"/>
      <c r="V397" s="66"/>
      <c r="W397" s="66"/>
      <c r="X397" s="66"/>
      <c r="Y397" s="66"/>
      <c r="Z397" s="248"/>
      <c r="AA397" s="66"/>
      <c r="AB397" s="66"/>
      <c r="AC397" s="66"/>
      <c r="AD397" s="66"/>
      <c r="AE397" s="248"/>
      <c r="AF397" s="66"/>
      <c r="AG397" s="66"/>
      <c r="AH397" s="66"/>
      <c r="AI397" s="66"/>
      <c r="AJ397" s="248"/>
      <c r="AK397" s="66"/>
      <c r="AL397" s="66"/>
      <c r="AM397" s="66"/>
      <c r="AN397" s="66"/>
      <c r="AO397" s="248"/>
      <c r="AP397" s="66"/>
      <c r="AQ397" s="66"/>
      <c r="AR397" s="66"/>
      <c r="AS397" s="66"/>
      <c r="AT397" s="248"/>
      <c r="AU397" s="66"/>
      <c r="AV397" s="66"/>
      <c r="AW397" s="66"/>
      <c r="AX397" s="66"/>
      <c r="AY397" s="248"/>
      <c r="AZ397" s="66">
        <f>AZ131*4</f>
        <v>484</v>
      </c>
      <c r="BA397" s="66">
        <f>BA131*4</f>
        <v>476</v>
      </c>
      <c r="BB397" s="66">
        <f>BB131*4</f>
        <v>492</v>
      </c>
      <c r="BC397" s="66">
        <f>BC131*4</f>
        <v>468</v>
      </c>
      <c r="BD397" s="248">
        <f>BD131</f>
        <v>480</v>
      </c>
      <c r="BE397" s="66">
        <f>BE131*4</f>
        <v>448</v>
      </c>
      <c r="BF397" s="66">
        <f>BF131*4</f>
        <v>404</v>
      </c>
      <c r="BG397" s="66">
        <f>BG131*4</f>
        <v>368</v>
      </c>
      <c r="BH397" s="66">
        <f>BH131*4</f>
        <v>328</v>
      </c>
      <c r="BI397" s="248">
        <f>BI131</f>
        <v>387</v>
      </c>
      <c r="BJ397" s="66">
        <f>BJ131*4</f>
        <v>312</v>
      </c>
      <c r="BK397" s="66">
        <f>BK131*4</f>
        <v>296</v>
      </c>
      <c r="BL397" s="66">
        <f>BL131*4</f>
        <v>288</v>
      </c>
      <c r="BM397" s="66">
        <f>BM131*4</f>
        <v>296</v>
      </c>
      <c r="BN397" s="350">
        <f>BN131</f>
        <v>298</v>
      </c>
      <c r="BO397" s="350">
        <f>BO131*4</f>
        <v>300</v>
      </c>
      <c r="BP397" s="66">
        <f>BP131*4</f>
        <v>272</v>
      </c>
      <c r="BQ397" s="66">
        <f>BQ131*4</f>
        <v>260</v>
      </c>
      <c r="BR397" s="66">
        <f>BR131*4</f>
        <v>256</v>
      </c>
      <c r="BS397" s="248">
        <f>BS131</f>
        <v>272</v>
      </c>
      <c r="BT397" s="66"/>
      <c r="BU397" s="66"/>
      <c r="BV397" s="66"/>
      <c r="BW397" s="66"/>
      <c r="BX397" s="248">
        <f>BX131</f>
        <v>209</v>
      </c>
      <c r="BY397" s="66"/>
      <c r="BZ397" s="66"/>
      <c r="CA397" s="66"/>
      <c r="CB397" s="66"/>
      <c r="CC397" s="248">
        <f>CC131</f>
        <v>233</v>
      </c>
      <c r="CD397" s="66"/>
      <c r="CE397" s="66"/>
      <c r="CF397" s="66"/>
      <c r="CG397" s="66"/>
      <c r="CH397" s="248">
        <f>CH131</f>
        <v>250</v>
      </c>
      <c r="CI397" s="66"/>
      <c r="CJ397" s="66"/>
      <c r="CK397" s="66"/>
      <c r="CL397" s="66"/>
      <c r="CM397" s="248">
        <f>CM131</f>
        <v>285</v>
      </c>
      <c r="CN397" s="66"/>
      <c r="CO397" s="66"/>
      <c r="CP397" s="66"/>
      <c r="CQ397" s="66"/>
      <c r="CR397" s="248">
        <f>CR131</f>
        <v>351</v>
      </c>
      <c r="CS397" s="66"/>
      <c r="CT397" s="66"/>
      <c r="CU397" s="66"/>
      <c r="CV397" s="66"/>
      <c r="CW397" s="248">
        <f>CW131</f>
        <v>351</v>
      </c>
      <c r="CX397" s="66"/>
      <c r="CY397" s="66"/>
      <c r="CZ397" s="66"/>
      <c r="DA397" s="66"/>
      <c r="DB397" s="248">
        <f>DB131</f>
        <v>392.07435787566487</v>
      </c>
      <c r="DC397" s="66"/>
      <c r="DD397" s="66"/>
      <c r="DE397" s="66"/>
      <c r="DF397" s="66"/>
      <c r="DG397" s="248">
        <f>DG131</f>
        <v>406.41476764544109</v>
      </c>
      <c r="DH397" s="66"/>
      <c r="DI397" s="66"/>
      <c r="DJ397" s="66"/>
      <c r="DK397" s="66"/>
      <c r="DL397" s="248">
        <f>DL131</f>
        <v>418.60721067480432</v>
      </c>
      <c r="DM397" s="66"/>
      <c r="DN397" s="526"/>
      <c r="DO397" s="486"/>
      <c r="DP397" s="411"/>
      <c r="DQ397" s="411"/>
      <c r="DR397" s="411"/>
      <c r="DS397" s="478"/>
      <c r="DT397" s="478"/>
      <c r="DU397" s="472"/>
      <c r="DV397" s="472"/>
      <c r="DW397" s="472"/>
      <c r="DX397" s="472"/>
      <c r="DY397" s="472"/>
      <c r="DZ397" s="472"/>
      <c r="EA397" s="526"/>
      <c r="EH397" s="8"/>
    </row>
    <row r="398" spans="1:138" ht="12.75" hidden="1" customHeight="1" x14ac:dyDescent="0.2">
      <c r="A398" s="2" t="s">
        <v>82</v>
      </c>
      <c r="B398" s="66"/>
      <c r="C398" s="66"/>
      <c r="D398" s="66"/>
      <c r="E398" s="66"/>
      <c r="F398" s="248"/>
      <c r="G398" s="66"/>
      <c r="H398" s="66"/>
      <c r="I398" s="66"/>
      <c r="J398" s="66"/>
      <c r="K398" s="248"/>
      <c r="L398" s="66"/>
      <c r="M398" s="66"/>
      <c r="N398" s="66"/>
      <c r="O398" s="66"/>
      <c r="P398" s="248"/>
      <c r="Q398" s="66"/>
      <c r="R398" s="66"/>
      <c r="S398" s="66"/>
      <c r="T398" s="66"/>
      <c r="U398" s="248"/>
      <c r="V398" s="66"/>
      <c r="W398" s="66"/>
      <c r="X398" s="66"/>
      <c r="Y398" s="66"/>
      <c r="Z398" s="248"/>
      <c r="AA398" s="66"/>
      <c r="AB398" s="66"/>
      <c r="AC398" s="66"/>
      <c r="AD398" s="66"/>
      <c r="AE398" s="248"/>
      <c r="AF398" s="66"/>
      <c r="AG398" s="66"/>
      <c r="AH398" s="66"/>
      <c r="AI398" s="66"/>
      <c r="AJ398" s="248"/>
      <c r="AK398" s="66"/>
      <c r="AL398" s="66"/>
      <c r="AM398" s="66"/>
      <c r="AN398" s="66"/>
      <c r="AO398" s="248"/>
      <c r="AP398" s="66"/>
      <c r="AQ398" s="66"/>
      <c r="AR398" s="66"/>
      <c r="AS398" s="66"/>
      <c r="AT398" s="248"/>
      <c r="AU398" s="66"/>
      <c r="AV398" s="66"/>
      <c r="AW398" s="66"/>
      <c r="AX398" s="66"/>
      <c r="AY398" s="248"/>
      <c r="AZ398" s="66">
        <f>AZ126*4</f>
        <v>472.16</v>
      </c>
      <c r="BA398" s="66">
        <f>BA126*4</f>
        <v>501.8</v>
      </c>
      <c r="BB398" s="66">
        <f>BB126*4</f>
        <v>524.68000000000006</v>
      </c>
      <c r="BC398" s="66">
        <f>BC126*4</f>
        <v>489.32</v>
      </c>
      <c r="BD398" s="248">
        <f>BD126</f>
        <v>496.99</v>
      </c>
      <c r="BE398" s="66">
        <f>BE126*4</f>
        <v>476.84000000000003</v>
      </c>
      <c r="BF398" s="66">
        <f>BF126*4</f>
        <v>505.44</v>
      </c>
      <c r="BG398" s="66">
        <f>BG126*4</f>
        <v>642.72</v>
      </c>
      <c r="BH398" s="66">
        <f>BH126*4</f>
        <v>613.6</v>
      </c>
      <c r="BI398" s="248">
        <f>BI126</f>
        <v>559.65</v>
      </c>
      <c r="BJ398" s="66">
        <f>BJ126*4</f>
        <v>676</v>
      </c>
      <c r="BK398" s="66">
        <f>BK126*4</f>
        <v>733.2</v>
      </c>
      <c r="BL398" s="66">
        <f>BL126*4</f>
        <v>744.64</v>
      </c>
      <c r="BM398" s="66">
        <f>BM126*4</f>
        <v>690.56000000000006</v>
      </c>
      <c r="BN398" s="350">
        <f>BN126</f>
        <v>711.1</v>
      </c>
      <c r="BO398" s="350">
        <f>BO126*4</f>
        <v>715</v>
      </c>
      <c r="BP398" s="66">
        <f>BP126*4</f>
        <v>736.32</v>
      </c>
      <c r="BQ398" s="66">
        <f>BQ126*4</f>
        <v>752.44</v>
      </c>
      <c r="BR398" s="66">
        <f>BR126*4</f>
        <v>732.68000000000006</v>
      </c>
      <c r="BS398" s="248">
        <f>BS126</f>
        <v>734.11</v>
      </c>
      <c r="BT398" s="66"/>
      <c r="BU398" s="66"/>
      <c r="BV398" s="66"/>
      <c r="BW398" s="66"/>
      <c r="BX398" s="248">
        <f>BX126</f>
        <v>736.97</v>
      </c>
      <c r="BY398" s="66"/>
      <c r="BZ398" s="66"/>
      <c r="CA398" s="66"/>
      <c r="CB398" s="66"/>
      <c r="CC398" s="248">
        <f>CC126</f>
        <v>680.81000000000006</v>
      </c>
      <c r="CD398" s="66"/>
      <c r="CE398" s="66"/>
      <c r="CF398" s="66"/>
      <c r="CG398" s="66"/>
      <c r="CH398" s="248">
        <f>CH126</f>
        <v>551.33000000000004</v>
      </c>
      <c r="CI398" s="66"/>
      <c r="CJ398" s="66"/>
      <c r="CK398" s="66"/>
      <c r="CL398" s="66"/>
      <c r="CM398" s="248">
        <f>CM126</f>
        <v>560.43000000000006</v>
      </c>
      <c r="CN398" s="66"/>
      <c r="CO398" s="66"/>
      <c r="CP398" s="66"/>
      <c r="CQ398" s="66"/>
      <c r="CR398" s="248">
        <f>CR126</f>
        <v>585.39</v>
      </c>
      <c r="CS398" s="66"/>
      <c r="CT398" s="66"/>
      <c r="CU398" s="66"/>
      <c r="CV398" s="66"/>
      <c r="CW398" s="248">
        <f>CW126</f>
        <v>450.58000000000004</v>
      </c>
      <c r="CX398" s="66"/>
      <c r="CY398" s="66"/>
      <c r="CZ398" s="66"/>
      <c r="DA398" s="66"/>
      <c r="DB398" s="248">
        <f>DB126</f>
        <v>454.36246386775616</v>
      </c>
      <c r="DC398" s="66"/>
      <c r="DD398" s="66"/>
      <c r="DE398" s="66"/>
      <c r="DF398" s="66"/>
      <c r="DG398" s="248">
        <f>DG126</f>
        <v>455.49539466075748</v>
      </c>
      <c r="DH398" s="66"/>
      <c r="DI398" s="66"/>
      <c r="DJ398" s="66"/>
      <c r="DK398" s="66"/>
      <c r="DL398" s="248">
        <f>DL126</f>
        <v>455.46647390673212</v>
      </c>
      <c r="DM398" s="66"/>
      <c r="DN398" s="526"/>
      <c r="DO398" s="486"/>
      <c r="DP398" s="411"/>
      <c r="DQ398" s="411"/>
      <c r="DR398" s="411"/>
      <c r="DS398" s="478"/>
      <c r="DT398" s="478"/>
      <c r="DU398" s="472"/>
      <c r="DV398" s="472"/>
      <c r="DW398" s="472"/>
      <c r="DX398" s="472"/>
      <c r="DY398" s="472"/>
      <c r="DZ398" s="472"/>
      <c r="EA398" s="526"/>
      <c r="EH398" s="8"/>
    </row>
    <row r="399" spans="1:138" ht="12.75" hidden="1" customHeight="1" x14ac:dyDescent="0.2">
      <c r="A399" s="2" t="s">
        <v>135</v>
      </c>
      <c r="B399" s="66"/>
      <c r="C399" s="66"/>
      <c r="D399" s="66"/>
      <c r="E399" s="66"/>
      <c r="F399" s="248"/>
      <c r="G399" s="66"/>
      <c r="H399" s="66"/>
      <c r="I399" s="66"/>
      <c r="J399" s="66"/>
      <c r="K399" s="248"/>
      <c r="L399" s="66"/>
      <c r="M399" s="66"/>
      <c r="N399" s="66"/>
      <c r="O399" s="66"/>
      <c r="P399" s="248"/>
      <c r="Q399" s="66"/>
      <c r="R399" s="66"/>
      <c r="S399" s="66"/>
      <c r="T399" s="66"/>
      <c r="U399" s="248"/>
      <c r="V399" s="66"/>
      <c r="W399" s="66"/>
      <c r="X399" s="66"/>
      <c r="Y399" s="66"/>
      <c r="Z399" s="248"/>
      <c r="AA399" s="66"/>
      <c r="AB399" s="66"/>
      <c r="AC399" s="66"/>
      <c r="AD399" s="66"/>
      <c r="AE399" s="248"/>
      <c r="AF399" s="66"/>
      <c r="AG399" s="66"/>
      <c r="AH399" s="66"/>
      <c r="AI399" s="66"/>
      <c r="AJ399" s="248"/>
      <c r="AK399" s="66"/>
      <c r="AL399" s="66"/>
      <c r="AM399" s="66"/>
      <c r="AN399" s="66"/>
      <c r="AO399" s="248"/>
      <c r="AP399" s="66"/>
      <c r="AQ399" s="66"/>
      <c r="AR399" s="66"/>
      <c r="AS399" s="66"/>
      <c r="AT399" s="248"/>
      <c r="AU399" s="66"/>
      <c r="AV399" s="66"/>
      <c r="AW399" s="66"/>
      <c r="AX399" s="66"/>
      <c r="AY399" s="248"/>
      <c r="AZ399" s="66">
        <f t="shared" ref="AZ399:BX399" si="1163">AZ397+AZ398</f>
        <v>956.16000000000008</v>
      </c>
      <c r="BA399" s="66">
        <f t="shared" si="1163"/>
        <v>977.8</v>
      </c>
      <c r="BB399" s="66">
        <f t="shared" si="1163"/>
        <v>1016.6800000000001</v>
      </c>
      <c r="BC399" s="66">
        <f t="shared" si="1163"/>
        <v>957.31999999999994</v>
      </c>
      <c r="BD399" s="248">
        <f t="shared" si="1163"/>
        <v>976.99</v>
      </c>
      <c r="BE399" s="66">
        <f t="shared" si="1163"/>
        <v>924.84</v>
      </c>
      <c r="BF399" s="66">
        <f t="shared" si="1163"/>
        <v>909.44</v>
      </c>
      <c r="BG399" s="66">
        <f t="shared" si="1163"/>
        <v>1010.72</v>
      </c>
      <c r="BH399" s="66">
        <f t="shared" si="1163"/>
        <v>941.6</v>
      </c>
      <c r="BI399" s="248">
        <f t="shared" si="1163"/>
        <v>946.65</v>
      </c>
      <c r="BJ399" s="66">
        <f t="shared" si="1163"/>
        <v>988</v>
      </c>
      <c r="BK399" s="66">
        <f t="shared" si="1163"/>
        <v>1029.2</v>
      </c>
      <c r="BL399" s="66">
        <f t="shared" si="1163"/>
        <v>1032.6399999999999</v>
      </c>
      <c r="BM399" s="66">
        <f t="shared" si="1163"/>
        <v>986.56000000000006</v>
      </c>
      <c r="BN399" s="350">
        <f t="shared" si="1163"/>
        <v>1009.1</v>
      </c>
      <c r="BO399" s="350">
        <f>BO397+BO398</f>
        <v>1015</v>
      </c>
      <c r="BP399" s="66">
        <f>BP397+BP398</f>
        <v>1008.32</v>
      </c>
      <c r="BQ399" s="66">
        <f>BQ397+BQ398</f>
        <v>1012.44</v>
      </c>
      <c r="BR399" s="66">
        <f>BR397+BR398</f>
        <v>988.68000000000006</v>
      </c>
      <c r="BS399" s="248">
        <f t="shared" si="1163"/>
        <v>1006.11</v>
      </c>
      <c r="BT399" s="66"/>
      <c r="BU399" s="66"/>
      <c r="BV399" s="66"/>
      <c r="BW399" s="66"/>
      <c r="BX399" s="248">
        <f t="shared" si="1163"/>
        <v>945.97</v>
      </c>
      <c r="BY399" s="66"/>
      <c r="BZ399" s="66"/>
      <c r="CA399" s="66"/>
      <c r="CB399" s="66"/>
      <c r="CC399" s="248">
        <f>CC397+CC398</f>
        <v>913.81000000000006</v>
      </c>
      <c r="CD399" s="66"/>
      <c r="CE399" s="66"/>
      <c r="CF399" s="66"/>
      <c r="CG399" s="66"/>
      <c r="CH399" s="248">
        <f>CH397+CH398</f>
        <v>801.33</v>
      </c>
      <c r="CI399" s="66"/>
      <c r="CJ399" s="66"/>
      <c r="CK399" s="66"/>
      <c r="CL399" s="66"/>
      <c r="CM399" s="248">
        <f>CM397+CM398</f>
        <v>845.43000000000006</v>
      </c>
      <c r="CN399" s="66"/>
      <c r="CO399" s="66"/>
      <c r="CP399" s="66"/>
      <c r="CQ399" s="66"/>
      <c r="CR399" s="248">
        <f>CR397+CR398</f>
        <v>936.39</v>
      </c>
      <c r="CS399" s="66"/>
      <c r="CT399" s="66"/>
      <c r="CU399" s="66"/>
      <c r="CV399" s="66"/>
      <c r="CW399" s="248">
        <f>CW397+CW398</f>
        <v>801.58</v>
      </c>
      <c r="CX399" s="66"/>
      <c r="CY399" s="66"/>
      <c r="CZ399" s="66"/>
      <c r="DA399" s="66"/>
      <c r="DB399" s="248">
        <f>DB397+DB398</f>
        <v>846.43682174342098</v>
      </c>
      <c r="DC399" s="66"/>
      <c r="DD399" s="66"/>
      <c r="DE399" s="66"/>
      <c r="DF399" s="66"/>
      <c r="DG399" s="248">
        <f>DG397+DG398</f>
        <v>861.91016230619857</v>
      </c>
      <c r="DH399" s="66"/>
      <c r="DI399" s="66"/>
      <c r="DJ399" s="66"/>
      <c r="DK399" s="66"/>
      <c r="DL399" s="248">
        <f>DL397+DL398</f>
        <v>874.07368458153644</v>
      </c>
      <c r="DM399" s="66"/>
      <c r="DN399" s="526"/>
      <c r="DO399" s="486"/>
      <c r="DP399" s="411"/>
      <c r="DQ399" s="411"/>
      <c r="DR399" s="411"/>
      <c r="DS399" s="478"/>
      <c r="DT399" s="478"/>
      <c r="DU399" s="472"/>
      <c r="DV399" s="472"/>
      <c r="DW399" s="472"/>
      <c r="DX399" s="472"/>
      <c r="DY399" s="472"/>
      <c r="DZ399" s="472"/>
      <c r="EA399" s="526"/>
      <c r="EH399" s="8"/>
    </row>
    <row r="400" spans="1:138" ht="3" hidden="1" customHeight="1" x14ac:dyDescent="0.2">
      <c r="A400" s="2"/>
      <c r="B400" s="66"/>
      <c r="C400" s="66"/>
      <c r="D400" s="66"/>
      <c r="E400" s="66"/>
      <c r="F400" s="248"/>
      <c r="G400" s="66"/>
      <c r="H400" s="66"/>
      <c r="I400" s="66"/>
      <c r="J400" s="66"/>
      <c r="K400" s="248"/>
      <c r="L400" s="66"/>
      <c r="M400" s="66"/>
      <c r="N400" s="66"/>
      <c r="O400" s="66"/>
      <c r="P400" s="248"/>
      <c r="Q400" s="66"/>
      <c r="R400" s="66"/>
      <c r="S400" s="66"/>
      <c r="T400" s="66"/>
      <c r="U400" s="248"/>
      <c r="V400" s="66"/>
      <c r="W400" s="66"/>
      <c r="X400" s="66"/>
      <c r="Y400" s="66"/>
      <c r="Z400" s="248"/>
      <c r="AA400" s="66"/>
      <c r="AB400" s="66"/>
      <c r="AC400" s="66"/>
      <c r="AD400" s="66"/>
      <c r="AE400" s="248"/>
      <c r="AF400" s="66"/>
      <c r="AG400" s="66"/>
      <c r="AH400" s="66"/>
      <c r="AI400" s="66"/>
      <c r="AJ400" s="248"/>
      <c r="AK400" s="66"/>
      <c r="AL400" s="66"/>
      <c r="AM400" s="66"/>
      <c r="AN400" s="66"/>
      <c r="AO400" s="248"/>
      <c r="AP400" s="66"/>
      <c r="AQ400" s="66"/>
      <c r="AR400" s="66"/>
      <c r="AS400" s="66"/>
      <c r="AT400" s="248"/>
      <c r="AU400" s="66"/>
      <c r="AV400" s="66"/>
      <c r="AW400" s="66"/>
      <c r="AX400" s="66"/>
      <c r="AY400" s="248"/>
      <c r="AZ400" s="66"/>
      <c r="BA400" s="66"/>
      <c r="BB400" s="66"/>
      <c r="BC400" s="66"/>
      <c r="BD400" s="248"/>
      <c r="BE400" s="66"/>
      <c r="BF400" s="66"/>
      <c r="BG400" s="66"/>
      <c r="BH400" s="66"/>
      <c r="BI400" s="248"/>
      <c r="BJ400" s="66"/>
      <c r="BK400" s="66"/>
      <c r="BL400" s="66"/>
      <c r="BM400" s="66"/>
      <c r="BN400" s="350"/>
      <c r="BO400" s="350"/>
      <c r="BP400" s="66"/>
      <c r="BQ400" s="66"/>
      <c r="BR400" s="66"/>
      <c r="BS400" s="248"/>
      <c r="BT400" s="66"/>
      <c r="BU400" s="66"/>
      <c r="BV400" s="66"/>
      <c r="BW400" s="66"/>
      <c r="BX400" s="248"/>
      <c r="BY400" s="66"/>
      <c r="BZ400" s="66"/>
      <c r="CA400" s="66"/>
      <c r="CB400" s="66"/>
      <c r="CC400" s="248"/>
      <c r="CD400" s="66"/>
      <c r="CE400" s="66"/>
      <c r="CF400" s="66"/>
      <c r="CG400" s="66"/>
      <c r="CH400" s="248"/>
      <c r="CI400" s="66"/>
      <c r="CJ400" s="66"/>
      <c r="CK400" s="66"/>
      <c r="CL400" s="66"/>
      <c r="CM400" s="248"/>
      <c r="CN400" s="66"/>
      <c r="CO400" s="66"/>
      <c r="CP400" s="66"/>
      <c r="CQ400" s="66"/>
      <c r="CR400" s="248"/>
      <c r="CS400" s="66"/>
      <c r="CT400" s="66"/>
      <c r="CU400" s="66"/>
      <c r="CV400" s="66"/>
      <c r="CW400" s="248"/>
      <c r="CX400" s="66"/>
      <c r="CY400" s="66"/>
      <c r="CZ400" s="66"/>
      <c r="DA400" s="66"/>
      <c r="DB400" s="248"/>
      <c r="DC400" s="66"/>
      <c r="DD400" s="66"/>
      <c r="DE400" s="66"/>
      <c r="DF400" s="66"/>
      <c r="DG400" s="248"/>
      <c r="DH400" s="66"/>
      <c r="DI400" s="66"/>
      <c r="DJ400" s="66"/>
      <c r="DK400" s="66"/>
      <c r="DL400" s="248"/>
      <c r="DM400" s="66"/>
      <c r="DN400" s="526"/>
      <c r="DO400" s="486"/>
      <c r="DP400" s="411"/>
      <c r="DQ400" s="411"/>
      <c r="DR400" s="411"/>
      <c r="DS400" s="478"/>
      <c r="DT400" s="478"/>
      <c r="DU400" s="472"/>
      <c r="DV400" s="472"/>
      <c r="DW400" s="472"/>
      <c r="DX400" s="472"/>
      <c r="DY400" s="472"/>
      <c r="DZ400" s="472"/>
      <c r="EA400" s="526"/>
      <c r="EH400" s="8"/>
    </row>
    <row r="401" spans="1:138" ht="12.75" hidden="1" customHeight="1" x14ac:dyDescent="0.2">
      <c r="A401" s="2" t="s">
        <v>98</v>
      </c>
      <c r="B401" s="66"/>
      <c r="C401" s="66"/>
      <c r="D401" s="66"/>
      <c r="E401" s="66"/>
      <c r="F401" s="248"/>
      <c r="G401" s="66"/>
      <c r="H401" s="66"/>
      <c r="I401" s="66"/>
      <c r="J401" s="66"/>
      <c r="K401" s="248"/>
      <c r="L401" s="66"/>
      <c r="M401" s="66"/>
      <c r="N401" s="66"/>
      <c r="O401" s="66"/>
      <c r="P401" s="248"/>
      <c r="Q401" s="66"/>
      <c r="R401" s="66"/>
      <c r="S401" s="66"/>
      <c r="T401" s="66"/>
      <c r="U401" s="248"/>
      <c r="V401" s="66"/>
      <c r="W401" s="66"/>
      <c r="X401" s="66"/>
      <c r="Y401" s="66"/>
      <c r="Z401" s="248"/>
      <c r="AA401" s="66"/>
      <c r="AB401" s="66"/>
      <c r="AC401" s="66"/>
      <c r="AD401" s="66"/>
      <c r="AE401" s="248"/>
      <c r="AF401" s="66"/>
      <c r="AG401" s="66"/>
      <c r="AH401" s="66"/>
      <c r="AI401" s="66"/>
      <c r="AJ401" s="248"/>
      <c r="AK401" s="66"/>
      <c r="AL401" s="66"/>
      <c r="AM401" s="66"/>
      <c r="AN401" s="66"/>
      <c r="AO401" s="248"/>
      <c r="AP401" s="66"/>
      <c r="AQ401" s="66"/>
      <c r="AR401" s="66"/>
      <c r="AS401" s="66"/>
      <c r="AT401" s="248"/>
      <c r="AU401" s="66"/>
      <c r="AV401" s="66"/>
      <c r="AW401" s="66"/>
      <c r="AX401" s="66"/>
      <c r="AY401" s="248"/>
      <c r="AZ401" s="66">
        <f t="shared" ref="AZ401:BX401" si="1164">AZ394+AZ397*7</f>
        <v>14685</v>
      </c>
      <c r="BA401" s="66">
        <f t="shared" si="1164"/>
        <v>14627</v>
      </c>
      <c r="BB401" s="66">
        <f t="shared" si="1164"/>
        <v>15162</v>
      </c>
      <c r="BC401" s="66">
        <f t="shared" si="1164"/>
        <v>15373</v>
      </c>
      <c r="BD401" s="248">
        <f t="shared" si="1164"/>
        <v>15457</v>
      </c>
      <c r="BE401" s="66">
        <f t="shared" si="1164"/>
        <v>14683</v>
      </c>
      <c r="BF401" s="66">
        <f t="shared" si="1164"/>
        <v>13768</v>
      </c>
      <c r="BG401" s="66">
        <f t="shared" si="1164"/>
        <v>13648</v>
      </c>
      <c r="BH401" s="66">
        <f t="shared" si="1164"/>
        <v>13529</v>
      </c>
      <c r="BI401" s="248">
        <f t="shared" si="1164"/>
        <v>13942</v>
      </c>
      <c r="BJ401" s="66">
        <f t="shared" si="1164"/>
        <v>13124</v>
      </c>
      <c r="BK401" s="66">
        <f>BK394+BK397*7</f>
        <v>12479</v>
      </c>
      <c r="BL401" s="66">
        <f t="shared" si="1164"/>
        <v>12840</v>
      </c>
      <c r="BM401" s="66">
        <f t="shared" si="1164"/>
        <v>11943</v>
      </c>
      <c r="BN401" s="350">
        <f t="shared" si="1164"/>
        <v>11957</v>
      </c>
      <c r="BO401" s="350">
        <f>BO394+BO397*7</f>
        <v>11231</v>
      </c>
      <c r="BP401" s="66">
        <f>BP394+BP397*7</f>
        <v>11038</v>
      </c>
      <c r="BQ401" s="66">
        <f>BQ394+BQ397*7</f>
        <v>10843</v>
      </c>
      <c r="BR401" s="66">
        <f>BR394+BR397*7</f>
        <v>10752</v>
      </c>
      <c r="BS401" s="248">
        <f t="shared" si="1164"/>
        <v>10864</v>
      </c>
      <c r="BT401" s="66"/>
      <c r="BU401" s="66"/>
      <c r="BV401" s="66"/>
      <c r="BW401" s="66"/>
      <c r="BX401" s="248">
        <f t="shared" si="1164"/>
        <v>8880</v>
      </c>
      <c r="BY401" s="66"/>
      <c r="BZ401" s="66"/>
      <c r="CA401" s="66"/>
      <c r="CB401" s="66"/>
      <c r="CC401" s="248">
        <f>CC394+CC397*7</f>
        <v>8066</v>
      </c>
      <c r="CD401" s="66"/>
      <c r="CE401" s="66"/>
      <c r="CF401" s="66"/>
      <c r="CG401" s="66"/>
      <c r="CH401" s="248">
        <f>CH394+CH397*7</f>
        <v>6642</v>
      </c>
      <c r="CI401" s="66"/>
      <c r="CJ401" s="66"/>
      <c r="CK401" s="66"/>
      <c r="CL401" s="66"/>
      <c r="CM401" s="248">
        <f>CM394+CM397*7</f>
        <v>6078</v>
      </c>
      <c r="CN401" s="66"/>
      <c r="CO401" s="66"/>
      <c r="CP401" s="66"/>
      <c r="CQ401" s="66"/>
      <c r="CR401" s="248">
        <f>CR394+CR397*7</f>
        <v>8652</v>
      </c>
      <c r="CS401" s="66"/>
      <c r="CT401" s="66"/>
      <c r="CU401" s="66"/>
      <c r="CV401" s="66"/>
      <c r="CW401" s="248">
        <f>CW394+CW397*7</f>
        <v>8655</v>
      </c>
      <c r="CX401" s="66"/>
      <c r="CY401" s="66"/>
      <c r="CZ401" s="66"/>
      <c r="DA401" s="66"/>
      <c r="DB401" s="248">
        <f>DB394+DB397*7</f>
        <v>7666.8094812119361</v>
      </c>
      <c r="DC401" s="66"/>
      <c r="DD401" s="66"/>
      <c r="DE401" s="66"/>
      <c r="DF401" s="66"/>
      <c r="DG401" s="248">
        <f>DG394+DG397*7</f>
        <v>6707.2491815586809</v>
      </c>
      <c r="DH401" s="66"/>
      <c r="DI401" s="66"/>
      <c r="DJ401" s="66"/>
      <c r="DK401" s="66"/>
      <c r="DL401" s="248">
        <f>DL394+DL397*7</f>
        <v>4930.4091729339907</v>
      </c>
      <c r="DM401" s="66"/>
      <c r="DN401" s="526"/>
      <c r="DO401" s="486"/>
      <c r="DP401" s="411"/>
      <c r="DQ401" s="411"/>
      <c r="DR401" s="411"/>
      <c r="DS401" s="478"/>
      <c r="DT401" s="478"/>
      <c r="DU401" s="472"/>
      <c r="DV401" s="472"/>
      <c r="DW401" s="472"/>
      <c r="DX401" s="472"/>
      <c r="DY401" s="472"/>
      <c r="DZ401" s="472"/>
      <c r="EA401" s="526"/>
      <c r="EH401" s="8"/>
    </row>
    <row r="402" spans="1:138" ht="12.75" hidden="1" customHeight="1" x14ac:dyDescent="0.2">
      <c r="A402" s="2" t="s">
        <v>410</v>
      </c>
      <c r="B402" s="66"/>
      <c r="C402" s="66"/>
      <c r="D402" s="66"/>
      <c r="E402" s="66"/>
      <c r="F402" s="248"/>
      <c r="G402" s="66"/>
      <c r="H402" s="66"/>
      <c r="I402" s="66"/>
      <c r="J402" s="66"/>
      <c r="K402" s="248"/>
      <c r="L402" s="66"/>
      <c r="M402" s="66"/>
      <c r="N402" s="66"/>
      <c r="O402" s="66"/>
      <c r="P402" s="248"/>
      <c r="Q402" s="66"/>
      <c r="R402" s="66"/>
      <c r="S402" s="66"/>
      <c r="T402" s="66"/>
      <c r="U402" s="248"/>
      <c r="V402" s="66"/>
      <c r="W402" s="66"/>
      <c r="X402" s="66"/>
      <c r="Y402" s="66"/>
      <c r="Z402" s="248"/>
      <c r="AA402" s="66"/>
      <c r="AB402" s="66"/>
      <c r="AC402" s="66"/>
      <c r="AD402" s="66"/>
      <c r="AE402" s="248"/>
      <c r="AF402" s="66"/>
      <c r="AG402" s="66"/>
      <c r="AH402" s="66"/>
      <c r="AI402" s="66"/>
      <c r="AJ402" s="248"/>
      <c r="AK402" s="66"/>
      <c r="AL402" s="66"/>
      <c r="AM402" s="66"/>
      <c r="AN402" s="66"/>
      <c r="AO402" s="248"/>
      <c r="AP402" s="66"/>
      <c r="AQ402" s="66"/>
      <c r="AR402" s="66"/>
      <c r="AS402" s="66"/>
      <c r="AT402" s="248"/>
      <c r="AU402" s="66"/>
      <c r="AV402" s="66"/>
      <c r="AW402" s="66"/>
      <c r="AX402" s="66"/>
      <c r="AY402" s="248"/>
      <c r="AZ402" s="66">
        <f t="shared" ref="AZ402:BX402" si="1165">AZ395+AZ397*7</f>
        <v>15476</v>
      </c>
      <c r="BA402" s="66">
        <f t="shared" si="1165"/>
        <v>14988</v>
      </c>
      <c r="BB402" s="66">
        <f t="shared" si="1165"/>
        <v>15640</v>
      </c>
      <c r="BC402" s="66">
        <f t="shared" si="1165"/>
        <v>15796</v>
      </c>
      <c r="BD402" s="248">
        <f t="shared" si="1165"/>
        <v>15880</v>
      </c>
      <c r="BE402" s="66">
        <f t="shared" si="1165"/>
        <v>15139</v>
      </c>
      <c r="BF402" s="66">
        <f t="shared" si="1165"/>
        <v>14177</v>
      </c>
      <c r="BG402" s="66">
        <f t="shared" si="1165"/>
        <v>14066</v>
      </c>
      <c r="BH402" s="66">
        <f t="shared" si="1165"/>
        <v>13938</v>
      </c>
      <c r="BI402" s="248">
        <f t="shared" si="1165"/>
        <v>14351</v>
      </c>
      <c r="BJ402" s="66">
        <f t="shared" si="1165"/>
        <v>13514</v>
      </c>
      <c r="BK402" s="66">
        <f>BK395+BK397*7</f>
        <v>12911</v>
      </c>
      <c r="BL402" s="66">
        <f t="shared" si="1165"/>
        <v>13245</v>
      </c>
      <c r="BM402" s="66">
        <f t="shared" si="1165"/>
        <v>12248</v>
      </c>
      <c r="BN402" s="350">
        <f t="shared" si="1165"/>
        <v>12262</v>
      </c>
      <c r="BO402" s="350">
        <f>BO395+BO397*7</f>
        <v>11606</v>
      </c>
      <c r="BP402" s="66">
        <f>BP395+BP397*7</f>
        <v>11406</v>
      </c>
      <c r="BQ402" s="66">
        <f>BQ395+BQ397*7</f>
        <v>11244</v>
      </c>
      <c r="BR402" s="66">
        <f>BR395+BR397*7</f>
        <v>11127</v>
      </c>
      <c r="BS402" s="248">
        <f t="shared" si="1165"/>
        <v>11239</v>
      </c>
      <c r="BT402" s="66"/>
      <c r="BU402" s="66"/>
      <c r="BV402" s="66"/>
      <c r="BW402" s="66"/>
      <c r="BX402" s="248">
        <f t="shared" si="1165"/>
        <v>9002</v>
      </c>
      <c r="BY402" s="66"/>
      <c r="BZ402" s="66"/>
      <c r="CA402" s="66"/>
      <c r="CB402" s="66"/>
      <c r="CC402" s="248">
        <f>CC395+CC397*7</f>
        <v>8103</v>
      </c>
      <c r="CD402" s="66"/>
      <c r="CE402" s="66"/>
      <c r="CF402" s="66"/>
      <c r="CG402" s="66"/>
      <c r="CH402" s="248">
        <f>CH395+CH397*7</f>
        <v>6642</v>
      </c>
      <c r="CI402" s="66"/>
      <c r="CJ402" s="66"/>
      <c r="CK402" s="66"/>
      <c r="CL402" s="66"/>
      <c r="CM402" s="248">
        <f>CM395+CM397*7</f>
        <v>6078</v>
      </c>
      <c r="CN402" s="66"/>
      <c r="CO402" s="66"/>
      <c r="CP402" s="66"/>
      <c r="CQ402" s="66"/>
      <c r="CR402" s="248">
        <f>CR395+CR397*7</f>
        <v>8652</v>
      </c>
      <c r="CS402" s="66"/>
      <c r="CT402" s="66"/>
      <c r="CU402" s="66"/>
      <c r="CV402" s="66"/>
      <c r="CW402" s="248">
        <f>CW395+CW397*7</f>
        <v>8655</v>
      </c>
      <c r="CX402" s="66"/>
      <c r="CY402" s="66"/>
      <c r="CZ402" s="66"/>
      <c r="DA402" s="66"/>
      <c r="DB402" s="248">
        <f>DB395+DB397*7</f>
        <v>7666.8094812119361</v>
      </c>
      <c r="DC402" s="66"/>
      <c r="DD402" s="66"/>
      <c r="DE402" s="66"/>
      <c r="DF402" s="66"/>
      <c r="DG402" s="248">
        <f>DG395+DG397*7</f>
        <v>6707.2491815586809</v>
      </c>
      <c r="DH402" s="66"/>
      <c r="DI402" s="66"/>
      <c r="DJ402" s="66"/>
      <c r="DK402" s="66"/>
      <c r="DL402" s="248">
        <f>DL395+DL397*7</f>
        <v>4930.4091729339907</v>
      </c>
      <c r="DM402" s="66"/>
      <c r="DN402" s="526"/>
      <c r="DO402" s="486"/>
      <c r="DP402" s="411"/>
      <c r="DQ402" s="411"/>
      <c r="DR402" s="411"/>
      <c r="DS402" s="478"/>
      <c r="DT402" s="478"/>
      <c r="DU402" s="472"/>
      <c r="DV402" s="472"/>
      <c r="DW402" s="472"/>
      <c r="DX402" s="472"/>
      <c r="DY402" s="472"/>
      <c r="DZ402" s="472"/>
      <c r="EA402" s="526"/>
      <c r="EH402" s="8"/>
    </row>
    <row r="403" spans="1:138" ht="3" hidden="1" customHeight="1" x14ac:dyDescent="0.2">
      <c r="A403" s="2"/>
      <c r="B403" s="66"/>
      <c r="C403" s="66"/>
      <c r="D403" s="66"/>
      <c r="E403" s="66"/>
      <c r="F403" s="248"/>
      <c r="G403" s="66"/>
      <c r="H403" s="66"/>
      <c r="I403" s="66"/>
      <c r="J403" s="66"/>
      <c r="K403" s="248"/>
      <c r="L403" s="66"/>
      <c r="M403" s="66"/>
      <c r="N403" s="66"/>
      <c r="O403" s="66"/>
      <c r="P403" s="248"/>
      <c r="Q403" s="66"/>
      <c r="R403" s="66"/>
      <c r="S403" s="66"/>
      <c r="T403" s="66"/>
      <c r="U403" s="248"/>
      <c r="V403" s="66"/>
      <c r="W403" s="66"/>
      <c r="X403" s="66"/>
      <c r="Y403" s="66"/>
      <c r="Z403" s="248"/>
      <c r="AA403" s="66"/>
      <c r="AB403" s="66"/>
      <c r="AC403" s="66"/>
      <c r="AD403" s="66"/>
      <c r="AE403" s="248"/>
      <c r="AF403" s="66"/>
      <c r="AG403" s="66"/>
      <c r="AH403" s="66"/>
      <c r="AI403" s="66"/>
      <c r="AJ403" s="248"/>
      <c r="AK403" s="66"/>
      <c r="AL403" s="66"/>
      <c r="AM403" s="66"/>
      <c r="AN403" s="66"/>
      <c r="AO403" s="248"/>
      <c r="AP403" s="66"/>
      <c r="AQ403" s="66"/>
      <c r="AR403" s="66"/>
      <c r="AS403" s="66"/>
      <c r="AT403" s="248"/>
      <c r="AU403" s="66"/>
      <c r="AV403" s="66"/>
      <c r="AW403" s="66"/>
      <c r="AX403" s="66"/>
      <c r="AY403" s="248"/>
      <c r="AZ403" s="66"/>
      <c r="BA403" s="66"/>
      <c r="BB403" s="66"/>
      <c r="BC403" s="66"/>
      <c r="BD403" s="248"/>
      <c r="BE403" s="66"/>
      <c r="BF403" s="66"/>
      <c r="BG403" s="66"/>
      <c r="BH403" s="66"/>
      <c r="BI403" s="248"/>
      <c r="BJ403" s="66"/>
      <c r="BK403" s="66"/>
      <c r="BL403" s="66"/>
      <c r="BM403" s="66"/>
      <c r="BN403" s="350"/>
      <c r="BO403" s="350"/>
      <c r="BP403" s="66"/>
      <c r="BQ403" s="66"/>
      <c r="BR403" s="66"/>
      <c r="BS403" s="248"/>
      <c r="BT403" s="66"/>
      <c r="BU403" s="66"/>
      <c r="BV403" s="66"/>
      <c r="BW403" s="66"/>
      <c r="BX403" s="248"/>
      <c r="BY403" s="66"/>
      <c r="BZ403" s="66"/>
      <c r="CA403" s="66"/>
      <c r="CB403" s="66"/>
      <c r="CC403" s="248"/>
      <c r="CD403" s="66"/>
      <c r="CE403" s="66"/>
      <c r="CF403" s="66"/>
      <c r="CG403" s="66"/>
      <c r="CH403" s="248"/>
      <c r="CI403" s="66"/>
      <c r="CJ403" s="66"/>
      <c r="CK403" s="66"/>
      <c r="CL403" s="66"/>
      <c r="CM403" s="248"/>
      <c r="CN403" s="66"/>
      <c r="CO403" s="66"/>
      <c r="CP403" s="66"/>
      <c r="CQ403" s="66"/>
      <c r="CR403" s="248"/>
      <c r="CS403" s="66"/>
      <c r="CT403" s="66"/>
      <c r="CU403" s="66"/>
      <c r="CV403" s="66"/>
      <c r="CW403" s="248"/>
      <c r="CX403" s="66"/>
      <c r="CY403" s="66"/>
      <c r="CZ403" s="66"/>
      <c r="DA403" s="66"/>
      <c r="DB403" s="248"/>
      <c r="DC403" s="66"/>
      <c r="DD403" s="66"/>
      <c r="DE403" s="66"/>
      <c r="DF403" s="66"/>
      <c r="DG403" s="248"/>
      <c r="DH403" s="66"/>
      <c r="DI403" s="66"/>
      <c r="DJ403" s="66"/>
      <c r="DK403" s="66"/>
      <c r="DL403" s="248"/>
      <c r="DM403" s="66"/>
      <c r="DN403" s="526"/>
      <c r="DO403" s="486"/>
      <c r="DP403" s="411"/>
      <c r="DQ403" s="411"/>
      <c r="DR403" s="411"/>
      <c r="DS403" s="478"/>
      <c r="DT403" s="478"/>
      <c r="DU403" s="472"/>
      <c r="DV403" s="472"/>
      <c r="DW403" s="472"/>
      <c r="DX403" s="472"/>
      <c r="DY403" s="472"/>
      <c r="DZ403" s="472"/>
      <c r="EA403" s="526"/>
      <c r="EH403" s="8"/>
    </row>
    <row r="404" spans="1:138" ht="12.75" hidden="1" customHeight="1" x14ac:dyDescent="0.2">
      <c r="A404" s="2" t="s">
        <v>255</v>
      </c>
      <c r="B404" s="66"/>
      <c r="C404" s="66"/>
      <c r="D404" s="66"/>
      <c r="E404" s="66"/>
      <c r="F404" s="248"/>
      <c r="G404" s="66"/>
      <c r="H404" s="66"/>
      <c r="I404" s="66"/>
      <c r="J404" s="66"/>
      <c r="K404" s="248"/>
      <c r="L404" s="66"/>
      <c r="M404" s="66"/>
      <c r="N404" s="66"/>
      <c r="O404" s="66"/>
      <c r="P404" s="248"/>
      <c r="Q404" s="66"/>
      <c r="R404" s="66"/>
      <c r="S404" s="66"/>
      <c r="T404" s="66"/>
      <c r="U404" s="248"/>
      <c r="V404" s="66"/>
      <c r="W404" s="66"/>
      <c r="X404" s="66"/>
      <c r="Y404" s="66"/>
      <c r="Z404" s="248"/>
      <c r="AA404" s="66"/>
      <c r="AB404" s="66"/>
      <c r="AC404" s="66"/>
      <c r="AD404" s="66"/>
      <c r="AE404" s="248"/>
      <c r="AF404" s="66"/>
      <c r="AG404" s="66"/>
      <c r="AH404" s="66"/>
      <c r="AI404" s="66"/>
      <c r="AJ404" s="248"/>
      <c r="AK404" s="66"/>
      <c r="AL404" s="66"/>
      <c r="AM404" s="66"/>
      <c r="AN404" s="66"/>
      <c r="AO404" s="248"/>
      <c r="AP404" s="66"/>
      <c r="AQ404" s="66"/>
      <c r="AR404" s="66"/>
      <c r="AS404" s="66"/>
      <c r="AT404" s="248"/>
      <c r="AU404" s="66"/>
      <c r="AV404" s="66"/>
      <c r="AW404" s="66"/>
      <c r="AX404" s="66"/>
      <c r="AY404" s="248"/>
      <c r="AZ404" s="66">
        <f t="shared" ref="AZ404:BX404" si="1166">AZ394+AZ399*7</f>
        <v>17990.120000000003</v>
      </c>
      <c r="BA404" s="66">
        <f t="shared" si="1166"/>
        <v>18139.599999999999</v>
      </c>
      <c r="BB404" s="66">
        <f t="shared" si="1166"/>
        <v>18834.760000000002</v>
      </c>
      <c r="BC404" s="66">
        <f t="shared" si="1166"/>
        <v>18798.239999999998</v>
      </c>
      <c r="BD404" s="248">
        <f t="shared" si="1166"/>
        <v>18935.93</v>
      </c>
      <c r="BE404" s="66">
        <f t="shared" si="1166"/>
        <v>18020.88</v>
      </c>
      <c r="BF404" s="66">
        <f t="shared" si="1166"/>
        <v>17306.080000000002</v>
      </c>
      <c r="BG404" s="66">
        <f t="shared" si="1166"/>
        <v>18147.04</v>
      </c>
      <c r="BH404" s="66">
        <f t="shared" si="1166"/>
        <v>17824.2</v>
      </c>
      <c r="BI404" s="248">
        <f t="shared" si="1166"/>
        <v>17859.55</v>
      </c>
      <c r="BJ404" s="66">
        <f t="shared" si="1166"/>
        <v>17856</v>
      </c>
      <c r="BK404" s="66">
        <f>BK394+BK399*7</f>
        <v>17611.400000000001</v>
      </c>
      <c r="BL404" s="66">
        <f t="shared" si="1166"/>
        <v>18052.48</v>
      </c>
      <c r="BM404" s="66">
        <f t="shared" si="1166"/>
        <v>16776.919999999998</v>
      </c>
      <c r="BN404" s="350">
        <f t="shared" si="1166"/>
        <v>16934.7</v>
      </c>
      <c r="BO404" s="350">
        <f>BO394+BO399*7</f>
        <v>16236</v>
      </c>
      <c r="BP404" s="66">
        <f>BP394+BP399*7</f>
        <v>16192.240000000002</v>
      </c>
      <c r="BQ404" s="66">
        <f>BQ394+BQ399*7</f>
        <v>16110.08</v>
      </c>
      <c r="BR404" s="66">
        <f>BR394+BR399*7</f>
        <v>15880.76</v>
      </c>
      <c r="BS404" s="248">
        <f t="shared" si="1166"/>
        <v>16002.77</v>
      </c>
      <c r="BT404" s="66"/>
      <c r="BU404" s="66"/>
      <c r="BV404" s="66"/>
      <c r="BW404" s="66"/>
      <c r="BX404" s="248">
        <f t="shared" si="1166"/>
        <v>14038.79</v>
      </c>
      <c r="BY404" s="66"/>
      <c r="BZ404" s="66"/>
      <c r="CA404" s="66"/>
      <c r="CB404" s="66"/>
      <c r="CC404" s="248">
        <f>CC394+CC399*7</f>
        <v>12831.67</v>
      </c>
      <c r="CD404" s="66"/>
      <c r="CE404" s="66"/>
      <c r="CF404" s="66"/>
      <c r="CG404" s="66"/>
      <c r="CH404" s="248">
        <f>CH394+CH399*7</f>
        <v>10501.310000000001</v>
      </c>
      <c r="CI404" s="66"/>
      <c r="CJ404" s="66"/>
      <c r="CK404" s="66"/>
      <c r="CL404" s="66"/>
      <c r="CM404" s="248">
        <f>CM394+CM399*7</f>
        <v>10001.01</v>
      </c>
      <c r="CN404" s="66"/>
      <c r="CO404" s="66"/>
      <c r="CP404" s="66"/>
      <c r="CQ404" s="66"/>
      <c r="CR404" s="248">
        <f>CR394+CR399*7</f>
        <v>12749.73</v>
      </c>
      <c r="CS404" s="66"/>
      <c r="CT404" s="66"/>
      <c r="CU404" s="66"/>
      <c r="CV404" s="66"/>
      <c r="CW404" s="248">
        <f>CW394+CW399*7</f>
        <v>11809.060000000001</v>
      </c>
      <c r="CX404" s="66"/>
      <c r="CY404" s="66"/>
      <c r="CZ404" s="66"/>
      <c r="DA404" s="66"/>
      <c r="DB404" s="248">
        <f>DB394+DB399*7</f>
        <v>10847.346728286229</v>
      </c>
      <c r="DC404" s="66"/>
      <c r="DD404" s="66"/>
      <c r="DE404" s="66"/>
      <c r="DF404" s="66"/>
      <c r="DG404" s="248">
        <f>DG394+DG399*7</f>
        <v>9895.7169441839833</v>
      </c>
      <c r="DH404" s="66"/>
      <c r="DI404" s="66"/>
      <c r="DJ404" s="66"/>
      <c r="DK404" s="66"/>
      <c r="DL404" s="248">
        <f>DL394+DL399*7</f>
        <v>8118.6744902811161</v>
      </c>
      <c r="DM404" s="66"/>
      <c r="DN404" s="526"/>
      <c r="DO404" s="486"/>
      <c r="DP404" s="411"/>
      <c r="DQ404" s="411"/>
      <c r="DR404" s="411"/>
      <c r="DS404" s="478"/>
      <c r="DT404" s="478"/>
      <c r="DU404" s="472"/>
      <c r="DV404" s="472"/>
      <c r="DW404" s="472"/>
      <c r="DX404" s="472"/>
      <c r="DY404" s="472"/>
      <c r="DZ404" s="472"/>
      <c r="EA404" s="526"/>
      <c r="EH404" s="8"/>
    </row>
    <row r="405" spans="1:138" ht="12.75" hidden="1" customHeight="1" x14ac:dyDescent="0.2">
      <c r="A405" s="2" t="s">
        <v>359</v>
      </c>
      <c r="B405" s="66"/>
      <c r="C405" s="66"/>
      <c r="D405" s="66"/>
      <c r="E405" s="66"/>
      <c r="F405" s="248"/>
      <c r="G405" s="66"/>
      <c r="H405" s="66"/>
      <c r="I405" s="66"/>
      <c r="J405" s="66"/>
      <c r="K405" s="248"/>
      <c r="L405" s="66"/>
      <c r="M405" s="66"/>
      <c r="N405" s="66"/>
      <c r="O405" s="66"/>
      <c r="P405" s="248"/>
      <c r="Q405" s="66"/>
      <c r="R405" s="66"/>
      <c r="S405" s="66"/>
      <c r="T405" s="66"/>
      <c r="U405" s="248"/>
      <c r="V405" s="66"/>
      <c r="W405" s="66"/>
      <c r="X405" s="66"/>
      <c r="Y405" s="66"/>
      <c r="Z405" s="248"/>
      <c r="AA405" s="66"/>
      <c r="AB405" s="66"/>
      <c r="AC405" s="66"/>
      <c r="AD405" s="66"/>
      <c r="AE405" s="248"/>
      <c r="AF405" s="66"/>
      <c r="AG405" s="66"/>
      <c r="AH405" s="66"/>
      <c r="AI405" s="66"/>
      <c r="AJ405" s="248"/>
      <c r="AK405" s="66"/>
      <c r="AL405" s="66"/>
      <c r="AM405" s="66"/>
      <c r="AN405" s="66"/>
      <c r="AO405" s="248"/>
      <c r="AP405" s="66"/>
      <c r="AQ405" s="66"/>
      <c r="AR405" s="66"/>
      <c r="AS405" s="66"/>
      <c r="AT405" s="248"/>
      <c r="AU405" s="66"/>
      <c r="AV405" s="66"/>
      <c r="AW405" s="66"/>
      <c r="AX405" s="66"/>
      <c r="AY405" s="248"/>
      <c r="AZ405" s="66">
        <f t="shared" ref="AZ405:BX405" si="1167">AZ395+AZ399*7</f>
        <v>18781.120000000003</v>
      </c>
      <c r="BA405" s="66">
        <f t="shared" si="1167"/>
        <v>18500.599999999999</v>
      </c>
      <c r="BB405" s="66">
        <f t="shared" si="1167"/>
        <v>19312.760000000002</v>
      </c>
      <c r="BC405" s="66">
        <f t="shared" si="1167"/>
        <v>19221.239999999998</v>
      </c>
      <c r="BD405" s="248">
        <f t="shared" si="1167"/>
        <v>19358.93</v>
      </c>
      <c r="BE405" s="66">
        <f t="shared" si="1167"/>
        <v>18476.88</v>
      </c>
      <c r="BF405" s="66">
        <f t="shared" si="1167"/>
        <v>17715.080000000002</v>
      </c>
      <c r="BG405" s="66">
        <f t="shared" si="1167"/>
        <v>18565.04</v>
      </c>
      <c r="BH405" s="66">
        <f t="shared" si="1167"/>
        <v>18233.2</v>
      </c>
      <c r="BI405" s="248">
        <f t="shared" si="1167"/>
        <v>18268.55</v>
      </c>
      <c r="BJ405" s="66">
        <f t="shared" si="1167"/>
        <v>18246</v>
      </c>
      <c r="BK405" s="66">
        <f>BK395+BK399*7</f>
        <v>18043.400000000001</v>
      </c>
      <c r="BL405" s="66">
        <f t="shared" si="1167"/>
        <v>18457.48</v>
      </c>
      <c r="BM405" s="66">
        <f t="shared" si="1167"/>
        <v>17081.919999999998</v>
      </c>
      <c r="BN405" s="350">
        <f t="shared" si="1167"/>
        <v>17239.7</v>
      </c>
      <c r="BO405" s="350">
        <f>BO395+BO399*7</f>
        <v>16611</v>
      </c>
      <c r="BP405" s="66">
        <f>BP395+BP399*7</f>
        <v>16560.240000000002</v>
      </c>
      <c r="BQ405" s="66">
        <f>BQ395+BQ399*7</f>
        <v>16511.080000000002</v>
      </c>
      <c r="BR405" s="66">
        <f>BR395+BR399*7</f>
        <v>16255.76</v>
      </c>
      <c r="BS405" s="248">
        <f t="shared" si="1167"/>
        <v>16377.77</v>
      </c>
      <c r="BT405" s="66"/>
      <c r="BU405" s="66"/>
      <c r="BV405" s="66"/>
      <c r="BW405" s="66"/>
      <c r="BX405" s="248">
        <f t="shared" si="1167"/>
        <v>14160.79</v>
      </c>
      <c r="BY405" s="66"/>
      <c r="BZ405" s="66"/>
      <c r="CA405" s="66"/>
      <c r="CB405" s="66"/>
      <c r="CC405" s="248">
        <f>CC395+CC399*7</f>
        <v>12868.67</v>
      </c>
      <c r="CD405" s="66"/>
      <c r="CE405" s="66"/>
      <c r="CF405" s="66"/>
      <c r="CG405" s="66"/>
      <c r="CH405" s="248">
        <f>CH395+CH399*7</f>
        <v>10501.310000000001</v>
      </c>
      <c r="CI405" s="66"/>
      <c r="CJ405" s="66"/>
      <c r="CK405" s="66"/>
      <c r="CL405" s="66"/>
      <c r="CM405" s="248">
        <f>CM395+CM399*7</f>
        <v>10001.01</v>
      </c>
      <c r="CN405" s="66"/>
      <c r="CO405" s="66"/>
      <c r="CP405" s="66"/>
      <c r="CQ405" s="66"/>
      <c r="CR405" s="248">
        <f>CR395+CR399*7</f>
        <v>12749.73</v>
      </c>
      <c r="CS405" s="66"/>
      <c r="CT405" s="66"/>
      <c r="CU405" s="66"/>
      <c r="CV405" s="66"/>
      <c r="CW405" s="248">
        <f>CW395+CW399*7</f>
        <v>11809.060000000001</v>
      </c>
      <c r="CX405" s="66"/>
      <c r="CY405" s="66"/>
      <c r="CZ405" s="66"/>
      <c r="DA405" s="66"/>
      <c r="DB405" s="248">
        <f>DB395+DB399*7</f>
        <v>10847.346728286229</v>
      </c>
      <c r="DC405" s="66"/>
      <c r="DD405" s="66"/>
      <c r="DE405" s="66"/>
      <c r="DF405" s="66"/>
      <c r="DG405" s="248">
        <f>DG395+DG399*7</f>
        <v>9895.7169441839833</v>
      </c>
      <c r="DH405" s="66"/>
      <c r="DI405" s="66"/>
      <c r="DJ405" s="66"/>
      <c r="DK405" s="66"/>
      <c r="DL405" s="248">
        <f>DL395+DL399*7</f>
        <v>8118.6744902811161</v>
      </c>
      <c r="DM405" s="66"/>
      <c r="DN405" s="526"/>
      <c r="DO405" s="486"/>
      <c r="DP405" s="411"/>
      <c r="DQ405" s="411"/>
      <c r="DR405" s="411"/>
      <c r="DS405" s="478"/>
      <c r="DT405" s="478"/>
      <c r="DU405" s="472"/>
      <c r="DV405" s="472"/>
      <c r="DW405" s="472"/>
      <c r="DX405" s="472"/>
      <c r="DY405" s="472"/>
      <c r="DZ405" s="472"/>
      <c r="EA405" s="526"/>
      <c r="EH405" s="8"/>
    </row>
    <row r="406" spans="1:138" ht="12.75" hidden="1" customHeight="1" x14ac:dyDescent="0.2">
      <c r="A406" s="79" t="s">
        <v>405</v>
      </c>
      <c r="B406" s="23"/>
      <c r="C406" s="23"/>
      <c r="D406" s="23"/>
      <c r="E406" s="23"/>
      <c r="F406" s="202"/>
      <c r="G406" s="23"/>
      <c r="H406" s="23"/>
      <c r="I406" s="23"/>
      <c r="J406" s="23"/>
      <c r="K406" s="202"/>
      <c r="L406" s="23"/>
      <c r="M406" s="23"/>
      <c r="N406" s="23"/>
      <c r="O406" s="23"/>
      <c r="P406" s="202"/>
      <c r="Q406" s="23"/>
      <c r="R406" s="23"/>
      <c r="S406" s="23"/>
      <c r="T406" s="23"/>
      <c r="U406" s="202"/>
      <c r="V406" s="23"/>
      <c r="W406" s="23"/>
      <c r="X406" s="23"/>
      <c r="Y406" s="23"/>
      <c r="Z406" s="202"/>
      <c r="AA406" s="23"/>
      <c r="AB406" s="23"/>
      <c r="AC406" s="23"/>
      <c r="AD406" s="23"/>
      <c r="AE406" s="202"/>
      <c r="AF406" s="23"/>
      <c r="AG406" s="23"/>
      <c r="AH406" s="23"/>
      <c r="AI406" s="23"/>
      <c r="AJ406" s="202"/>
      <c r="AK406" s="23"/>
      <c r="AL406" s="23"/>
      <c r="AM406" s="23"/>
      <c r="AN406" s="23"/>
      <c r="AO406" s="202"/>
      <c r="AP406" s="23"/>
      <c r="AQ406" s="23"/>
      <c r="AR406" s="23"/>
      <c r="AS406" s="23"/>
      <c r="AT406" s="202"/>
      <c r="AU406" s="23"/>
      <c r="AV406" s="23"/>
      <c r="AW406" s="23"/>
      <c r="AX406" s="23"/>
      <c r="AY406" s="202"/>
      <c r="AZ406" s="23"/>
      <c r="BA406" s="23"/>
      <c r="BB406" s="23"/>
      <c r="BC406" s="23"/>
      <c r="BD406" s="202"/>
      <c r="BE406" s="23"/>
      <c r="BF406" s="23"/>
      <c r="BG406" s="23"/>
      <c r="BH406" s="23"/>
      <c r="BI406" s="202"/>
      <c r="BJ406" s="23"/>
      <c r="BK406" s="23"/>
      <c r="BL406" s="23"/>
      <c r="BM406" s="23"/>
      <c r="BN406" s="370"/>
      <c r="BO406" s="370"/>
      <c r="BP406" s="23"/>
      <c r="BQ406" s="23"/>
      <c r="BR406" s="23"/>
      <c r="BS406" s="202"/>
      <c r="BT406" s="23"/>
      <c r="BU406" s="23"/>
      <c r="BV406" s="23"/>
      <c r="BW406" s="23"/>
      <c r="BX406" s="202"/>
      <c r="BY406" s="23"/>
      <c r="BZ406" s="23"/>
      <c r="CA406" s="23"/>
      <c r="CB406" s="23"/>
      <c r="CC406" s="202"/>
      <c r="CD406" s="23"/>
      <c r="CE406" s="23"/>
      <c r="CF406" s="23"/>
      <c r="CG406" s="23"/>
      <c r="CH406" s="202"/>
      <c r="CI406" s="23"/>
      <c r="CJ406" s="23"/>
      <c r="CK406" s="23"/>
      <c r="CL406" s="23"/>
      <c r="CM406" s="202"/>
      <c r="CN406" s="23"/>
      <c r="CO406" s="23"/>
      <c r="CP406" s="23"/>
      <c r="CQ406" s="23"/>
      <c r="CR406" s="202"/>
      <c r="CS406" s="23"/>
      <c r="CT406" s="23"/>
      <c r="CU406" s="23"/>
      <c r="CV406" s="23"/>
      <c r="CW406" s="202"/>
      <c r="CX406" s="23"/>
      <c r="CY406" s="23"/>
      <c r="CZ406" s="23"/>
      <c r="DA406" s="23"/>
      <c r="DB406" s="202"/>
      <c r="DC406" s="23"/>
      <c r="DD406" s="23"/>
      <c r="DE406" s="23"/>
      <c r="DF406" s="23"/>
      <c r="DG406" s="202"/>
      <c r="DH406" s="23"/>
      <c r="DI406" s="23"/>
      <c r="DJ406" s="23"/>
      <c r="DK406" s="23"/>
      <c r="DL406" s="202"/>
      <c r="DM406" s="23"/>
      <c r="DN406" s="539"/>
      <c r="DO406" s="486"/>
      <c r="DP406" s="411"/>
      <c r="DQ406" s="411"/>
      <c r="DR406" s="411"/>
      <c r="DS406" s="478"/>
      <c r="DT406" s="478"/>
      <c r="DU406" s="472"/>
      <c r="DV406" s="457"/>
      <c r="DW406" s="457"/>
      <c r="DX406" s="457"/>
      <c r="DY406" s="457"/>
      <c r="DZ406" s="457"/>
      <c r="EA406" s="539"/>
      <c r="EH406" s="8"/>
    </row>
    <row r="407" spans="1:138" ht="12.75" hidden="1" customHeight="1" x14ac:dyDescent="0.2">
      <c r="A407" s="128" t="s">
        <v>266</v>
      </c>
      <c r="B407" s="43"/>
      <c r="C407" s="43"/>
      <c r="D407" s="43"/>
      <c r="E407" s="43"/>
      <c r="F407" s="261"/>
      <c r="G407" s="43"/>
      <c r="H407" s="43"/>
      <c r="I407" s="43"/>
      <c r="J407" s="43"/>
      <c r="K407" s="261"/>
      <c r="L407" s="43"/>
      <c r="M407" s="43"/>
      <c r="N407" s="43"/>
      <c r="O407" s="43"/>
      <c r="P407" s="261"/>
      <c r="Q407" s="43"/>
      <c r="R407" s="43"/>
      <c r="S407" s="43"/>
      <c r="T407" s="43"/>
      <c r="U407" s="261"/>
      <c r="V407" s="43"/>
      <c r="W407" s="43"/>
      <c r="X407" s="43"/>
      <c r="Y407" s="43"/>
      <c r="Z407" s="261"/>
      <c r="AA407" s="43"/>
      <c r="AB407" s="43"/>
      <c r="AC407" s="43"/>
      <c r="AD407" s="43"/>
      <c r="AE407" s="261"/>
      <c r="AF407" s="43"/>
      <c r="AG407" s="43"/>
      <c r="AH407" s="43"/>
      <c r="AI407" s="43"/>
      <c r="AJ407" s="261"/>
      <c r="AK407" s="43"/>
      <c r="AL407" s="43"/>
      <c r="AM407" s="43"/>
      <c r="AN407" s="43"/>
      <c r="AO407" s="261"/>
      <c r="AP407" s="43"/>
      <c r="AQ407" s="43"/>
      <c r="AR407" s="43"/>
      <c r="AS407" s="43"/>
      <c r="AT407" s="261"/>
      <c r="AU407" s="43"/>
      <c r="AV407" s="43"/>
      <c r="AW407" s="43"/>
      <c r="AX407" s="43"/>
      <c r="AY407" s="261"/>
      <c r="AZ407" s="129">
        <v>828</v>
      </c>
      <c r="BA407" s="129">
        <f>AZ407</f>
        <v>828</v>
      </c>
      <c r="BB407" s="129">
        <f>BA407</f>
        <v>828</v>
      </c>
      <c r="BC407" s="129">
        <f t="shared" ref="BC407:BH407" si="1168">BC189</f>
        <v>830</v>
      </c>
      <c r="BD407" s="310">
        <f t="shared" si="1168"/>
        <v>827.5</v>
      </c>
      <c r="BE407" s="129">
        <f t="shared" si="1168"/>
        <v>832.4</v>
      </c>
      <c r="BF407" s="129">
        <f t="shared" si="1168"/>
        <v>842</v>
      </c>
      <c r="BG407" s="129">
        <f t="shared" si="1168"/>
        <v>842</v>
      </c>
      <c r="BH407" s="129">
        <f t="shared" si="1168"/>
        <v>845</v>
      </c>
      <c r="BI407" s="310">
        <f>BH407</f>
        <v>845</v>
      </c>
      <c r="BJ407" s="129">
        <v>842</v>
      </c>
      <c r="BK407" s="129">
        <v>842</v>
      </c>
      <c r="BL407" s="129">
        <v>842</v>
      </c>
      <c r="BM407" s="129">
        <f t="shared" ref="BM407:BR408" si="1169">BL407</f>
        <v>842</v>
      </c>
      <c r="BN407" s="379">
        <f t="shared" si="1169"/>
        <v>842</v>
      </c>
      <c r="BO407" s="379">
        <f t="shared" si="1169"/>
        <v>842</v>
      </c>
      <c r="BP407" s="129">
        <f t="shared" si="1169"/>
        <v>842</v>
      </c>
      <c r="BQ407" s="129">
        <f t="shared" si="1169"/>
        <v>842</v>
      </c>
      <c r="BR407" s="129">
        <f t="shared" si="1169"/>
        <v>842</v>
      </c>
      <c r="BS407" s="310">
        <f>BN407</f>
        <v>842</v>
      </c>
      <c r="BT407" s="129"/>
      <c r="BU407" s="129"/>
      <c r="BV407" s="129"/>
      <c r="BW407" s="129"/>
      <c r="BX407" s="310">
        <f>BS407</f>
        <v>842</v>
      </c>
      <c r="BY407" s="129"/>
      <c r="BZ407" s="129"/>
      <c r="CA407" s="129"/>
      <c r="CB407" s="129"/>
      <c r="CC407" s="310">
        <f>BX407</f>
        <v>842</v>
      </c>
      <c r="CD407" s="129"/>
      <c r="CE407" s="129"/>
      <c r="CF407" s="129"/>
      <c r="CG407" s="129"/>
      <c r="CH407" s="310">
        <f>CC407</f>
        <v>842</v>
      </c>
      <c r="CI407" s="129"/>
      <c r="CJ407" s="129"/>
      <c r="CK407" s="129"/>
      <c r="CL407" s="129"/>
      <c r="CM407" s="310">
        <f>CH407</f>
        <v>842</v>
      </c>
      <c r="CN407" s="129"/>
      <c r="CO407" s="129"/>
      <c r="CP407" s="129"/>
      <c r="CQ407" s="129"/>
      <c r="CR407" s="310">
        <f>CM407</f>
        <v>842</v>
      </c>
      <c r="CS407" s="129"/>
      <c r="CT407" s="129"/>
      <c r="CU407" s="129"/>
      <c r="CV407" s="129"/>
      <c r="CW407" s="310">
        <f>CR407</f>
        <v>842</v>
      </c>
      <c r="CX407" s="129"/>
      <c r="CY407" s="129"/>
      <c r="CZ407" s="129"/>
      <c r="DA407" s="129"/>
      <c r="DB407" s="310">
        <f>CR407</f>
        <v>842</v>
      </c>
      <c r="DC407" s="129"/>
      <c r="DD407" s="129"/>
      <c r="DE407" s="129"/>
      <c r="DF407" s="129"/>
      <c r="DG407" s="310">
        <f>DB407</f>
        <v>842</v>
      </c>
      <c r="DH407" s="129"/>
      <c r="DI407" s="129"/>
      <c r="DJ407" s="129"/>
      <c r="DK407" s="129"/>
      <c r="DL407" s="310">
        <f>DG407</f>
        <v>842</v>
      </c>
      <c r="DM407" s="43"/>
      <c r="DN407" s="534"/>
      <c r="DO407" s="486"/>
      <c r="DP407" s="411"/>
      <c r="DQ407" s="411"/>
      <c r="DR407" s="411"/>
      <c r="DS407" s="553"/>
      <c r="DT407" s="553"/>
      <c r="DU407" s="457"/>
      <c r="DV407" s="475"/>
      <c r="DW407" s="475"/>
      <c r="DX407" s="475"/>
      <c r="DY407" s="475"/>
      <c r="DZ407" s="475"/>
      <c r="EA407" s="534"/>
      <c r="EH407" s="8"/>
    </row>
    <row r="408" spans="1:138" ht="12.75" hidden="1" customHeight="1" x14ac:dyDescent="0.2">
      <c r="A408" s="130" t="s">
        <v>278</v>
      </c>
      <c r="B408" s="131"/>
      <c r="C408" s="131"/>
      <c r="D408" s="131"/>
      <c r="E408" s="131"/>
      <c r="F408" s="262"/>
      <c r="G408" s="131"/>
      <c r="H408" s="131"/>
      <c r="I408" s="131"/>
      <c r="J408" s="131"/>
      <c r="K408" s="262"/>
      <c r="L408" s="131"/>
      <c r="M408" s="131"/>
      <c r="N408" s="131"/>
      <c r="O408" s="131"/>
      <c r="P408" s="262"/>
      <c r="Q408" s="131"/>
      <c r="R408" s="131"/>
      <c r="S408" s="131"/>
      <c r="T408" s="131"/>
      <c r="U408" s="262"/>
      <c r="V408" s="131"/>
      <c r="W408" s="131"/>
      <c r="X408" s="131"/>
      <c r="Y408" s="131"/>
      <c r="Z408" s="262"/>
      <c r="AA408" s="131"/>
      <c r="AB408" s="131"/>
      <c r="AC408" s="131"/>
      <c r="AD408" s="131"/>
      <c r="AE408" s="262"/>
      <c r="AF408" s="131"/>
      <c r="AG408" s="131"/>
      <c r="AH408" s="131"/>
      <c r="AI408" s="131"/>
      <c r="AJ408" s="262"/>
      <c r="AK408" s="131"/>
      <c r="AL408" s="131"/>
      <c r="AM408" s="131"/>
      <c r="AN408" s="131"/>
      <c r="AO408" s="262"/>
      <c r="AP408" s="131"/>
      <c r="AQ408" s="131"/>
      <c r="AR408" s="131"/>
      <c r="AS408" s="131"/>
      <c r="AT408" s="262"/>
      <c r="AU408" s="131"/>
      <c r="AV408" s="131"/>
      <c r="AW408" s="131"/>
      <c r="AX408" s="131"/>
      <c r="AY408" s="262"/>
      <c r="AZ408" s="131">
        <v>5.63</v>
      </c>
      <c r="BA408" s="131">
        <v>5.79</v>
      </c>
      <c r="BB408" s="131">
        <v>8.9600000000000009</v>
      </c>
      <c r="BC408" s="131">
        <v>11.38</v>
      </c>
      <c r="BD408" s="262">
        <v>11.38</v>
      </c>
      <c r="BE408" s="131">
        <v>14.59</v>
      </c>
      <c r="BF408" s="131">
        <v>11.75</v>
      </c>
      <c r="BG408" s="131">
        <v>11.64</v>
      </c>
      <c r="BH408" s="131">
        <v>12.6</v>
      </c>
      <c r="BI408" s="262">
        <f>BH408</f>
        <v>12.6</v>
      </c>
      <c r="BJ408" s="131">
        <v>9.8000000000000007</v>
      </c>
      <c r="BK408" s="131">
        <v>9.8000000000000007</v>
      </c>
      <c r="BL408" s="132">
        <f>BK408</f>
        <v>9.8000000000000007</v>
      </c>
      <c r="BM408" s="132">
        <f t="shared" si="1169"/>
        <v>9.8000000000000007</v>
      </c>
      <c r="BN408" s="380">
        <f t="shared" si="1169"/>
        <v>9.8000000000000007</v>
      </c>
      <c r="BO408" s="380">
        <f t="shared" si="1169"/>
        <v>9.8000000000000007</v>
      </c>
      <c r="BP408" s="132">
        <f t="shared" si="1169"/>
        <v>9.8000000000000007</v>
      </c>
      <c r="BQ408" s="132">
        <f t="shared" si="1169"/>
        <v>9.8000000000000007</v>
      </c>
      <c r="BR408" s="132">
        <f t="shared" si="1169"/>
        <v>9.8000000000000007</v>
      </c>
      <c r="BS408" s="436">
        <f>BN408</f>
        <v>9.8000000000000007</v>
      </c>
      <c r="BT408" s="131"/>
      <c r="BU408" s="131"/>
      <c r="BV408" s="132"/>
      <c r="BW408" s="132"/>
      <c r="BX408" s="436">
        <f>BS408</f>
        <v>9.8000000000000007</v>
      </c>
      <c r="BY408" s="132"/>
      <c r="BZ408" s="132"/>
      <c r="CA408" s="132"/>
      <c r="CB408" s="132"/>
      <c r="CC408" s="436">
        <f>BX408</f>
        <v>9.8000000000000007</v>
      </c>
      <c r="CD408" s="131"/>
      <c r="CE408" s="131"/>
      <c r="CF408" s="132"/>
      <c r="CG408" s="132"/>
      <c r="CH408" s="436">
        <f>CC408</f>
        <v>9.8000000000000007</v>
      </c>
      <c r="CI408" s="131"/>
      <c r="CJ408" s="131"/>
      <c r="CK408" s="132"/>
      <c r="CL408" s="132"/>
      <c r="CM408" s="436">
        <f>CH408</f>
        <v>9.8000000000000007</v>
      </c>
      <c r="CN408" s="132"/>
      <c r="CO408" s="132"/>
      <c r="CP408" s="132"/>
      <c r="CQ408" s="132"/>
      <c r="CR408" s="436">
        <f>CM408</f>
        <v>9.8000000000000007</v>
      </c>
      <c r="CS408" s="132"/>
      <c r="CT408" s="132"/>
      <c r="CU408" s="132"/>
      <c r="CV408" s="132"/>
      <c r="CW408" s="436">
        <f>CR408</f>
        <v>9.8000000000000007</v>
      </c>
      <c r="CX408" s="132"/>
      <c r="CY408" s="132"/>
      <c r="CZ408" s="132"/>
      <c r="DA408" s="132"/>
      <c r="DB408" s="436">
        <f>CR408</f>
        <v>9.8000000000000007</v>
      </c>
      <c r="DC408" s="131"/>
      <c r="DD408" s="131"/>
      <c r="DE408" s="132"/>
      <c r="DF408" s="132"/>
      <c r="DG408" s="436">
        <f>DB408</f>
        <v>9.8000000000000007</v>
      </c>
      <c r="DH408" s="131"/>
      <c r="DI408" s="131"/>
      <c r="DJ408" s="132"/>
      <c r="DK408" s="132"/>
      <c r="DL408" s="436">
        <f>DG408</f>
        <v>9.8000000000000007</v>
      </c>
      <c r="DM408" s="131"/>
      <c r="DN408" s="546"/>
      <c r="DO408" s="486"/>
      <c r="DP408" s="411"/>
      <c r="DQ408" s="411"/>
      <c r="DR408" s="411"/>
      <c r="DS408" s="569"/>
      <c r="DT408" s="569"/>
      <c r="DU408" s="475"/>
      <c r="DV408" s="468"/>
      <c r="DW408" s="468"/>
      <c r="DX408" s="468"/>
      <c r="DY408" s="468"/>
      <c r="DZ408" s="468"/>
      <c r="EA408" s="546"/>
      <c r="EH408" s="8"/>
    </row>
    <row r="409" spans="1:138" ht="12.75" hidden="1" customHeight="1" x14ac:dyDescent="0.2">
      <c r="A409" s="39" t="s">
        <v>127</v>
      </c>
      <c r="B409" s="37"/>
      <c r="C409" s="37"/>
      <c r="D409" s="37"/>
      <c r="E409" s="37"/>
      <c r="F409" s="207"/>
      <c r="G409" s="37"/>
      <c r="H409" s="37"/>
      <c r="I409" s="37"/>
      <c r="J409" s="37"/>
      <c r="K409" s="207"/>
      <c r="L409" s="37"/>
      <c r="M409" s="37"/>
      <c r="N409" s="37"/>
      <c r="O409" s="37"/>
      <c r="P409" s="207"/>
      <c r="Q409" s="37"/>
      <c r="R409" s="37"/>
      <c r="S409" s="37"/>
      <c r="T409" s="37"/>
      <c r="U409" s="207"/>
      <c r="V409" s="37"/>
      <c r="W409" s="37"/>
      <c r="X409" s="37"/>
      <c r="Y409" s="37"/>
      <c r="Z409" s="207"/>
      <c r="AA409" s="37"/>
      <c r="AB409" s="37"/>
      <c r="AC409" s="37"/>
      <c r="AD409" s="37"/>
      <c r="AE409" s="207"/>
      <c r="AF409" s="37"/>
      <c r="AG409" s="37"/>
      <c r="AH409" s="37"/>
      <c r="AI409" s="37"/>
      <c r="AJ409" s="207"/>
      <c r="AK409" s="37"/>
      <c r="AL409" s="37"/>
      <c r="AM409" s="37"/>
      <c r="AN409" s="37"/>
      <c r="AO409" s="207"/>
      <c r="AP409" s="37"/>
      <c r="AQ409" s="37"/>
      <c r="AR409" s="37"/>
      <c r="AS409" s="37"/>
      <c r="AT409" s="207"/>
      <c r="AU409" s="37"/>
      <c r="AV409" s="37"/>
      <c r="AW409" s="37"/>
      <c r="AX409" s="37"/>
      <c r="AY409" s="207"/>
      <c r="AZ409" s="37"/>
      <c r="BA409" s="37"/>
      <c r="BB409" s="37"/>
      <c r="BC409" s="37"/>
      <c r="BD409" s="207"/>
      <c r="BE409" s="37"/>
      <c r="BF409" s="37"/>
      <c r="BG409" s="37"/>
      <c r="BH409" s="37"/>
      <c r="BI409" s="207"/>
      <c r="BJ409" s="37"/>
      <c r="BK409" s="37"/>
      <c r="BL409" s="37"/>
      <c r="BM409" s="37"/>
      <c r="BN409" s="322"/>
      <c r="BO409" s="322"/>
      <c r="BP409" s="37"/>
      <c r="BQ409" s="37"/>
      <c r="BR409" s="37"/>
      <c r="BS409" s="207"/>
      <c r="BT409" s="37"/>
      <c r="BU409" s="37"/>
      <c r="BV409" s="37"/>
      <c r="BW409" s="37"/>
      <c r="BX409" s="207"/>
      <c r="BY409" s="37"/>
      <c r="BZ409" s="37"/>
      <c r="CA409" s="37"/>
      <c r="CB409" s="37"/>
      <c r="CC409" s="207"/>
      <c r="CD409" s="37"/>
      <c r="CE409" s="37"/>
      <c r="CF409" s="37"/>
      <c r="CG409" s="37"/>
      <c r="CH409" s="207"/>
      <c r="CI409" s="37"/>
      <c r="CJ409" s="37"/>
      <c r="CK409" s="37"/>
      <c r="CL409" s="37"/>
      <c r="CM409" s="207"/>
      <c r="CN409" s="37"/>
      <c r="CO409" s="37"/>
      <c r="CP409" s="37"/>
      <c r="CQ409" s="37"/>
      <c r="CR409" s="207"/>
      <c r="CS409" s="37"/>
      <c r="CT409" s="37"/>
      <c r="CU409" s="37"/>
      <c r="CV409" s="37"/>
      <c r="CW409" s="207"/>
      <c r="CX409" s="37"/>
      <c r="CY409" s="37"/>
      <c r="CZ409" s="37"/>
      <c r="DA409" s="37"/>
      <c r="DB409" s="207"/>
      <c r="DC409" s="37"/>
      <c r="DD409" s="37"/>
      <c r="DE409" s="37"/>
      <c r="DF409" s="37"/>
      <c r="DG409" s="207"/>
      <c r="DH409" s="37"/>
      <c r="DI409" s="37"/>
      <c r="DJ409" s="37"/>
      <c r="DK409" s="37"/>
      <c r="DL409" s="207"/>
      <c r="DM409" s="37"/>
      <c r="DN409" s="506"/>
      <c r="DO409" s="486"/>
      <c r="DP409" s="411"/>
      <c r="DQ409" s="411"/>
      <c r="DR409" s="411"/>
      <c r="DS409" s="563"/>
      <c r="DT409" s="563"/>
      <c r="DU409" s="468"/>
      <c r="DV409" s="465"/>
      <c r="DW409" s="465"/>
      <c r="DX409" s="465"/>
      <c r="DY409" s="465"/>
      <c r="DZ409" s="465"/>
      <c r="EA409" s="506"/>
      <c r="EH409" s="8"/>
    </row>
    <row r="410" spans="1:138" ht="12.75" hidden="1" customHeight="1" x14ac:dyDescent="0.2">
      <c r="A410" s="133" t="str">
        <f>"EV on "&amp;A394</f>
        <v>EV on Debt Net of Total Cash and Converts</v>
      </c>
      <c r="B410" s="37"/>
      <c r="C410" s="37"/>
      <c r="D410" s="37"/>
      <c r="E410" s="37"/>
      <c r="F410" s="207"/>
      <c r="G410" s="37"/>
      <c r="H410" s="37"/>
      <c r="I410" s="37"/>
      <c r="J410" s="37"/>
      <c r="K410" s="207"/>
      <c r="L410" s="37"/>
      <c r="M410" s="37"/>
      <c r="N410" s="37"/>
      <c r="O410" s="37"/>
      <c r="P410" s="207"/>
      <c r="Q410" s="37"/>
      <c r="R410" s="37"/>
      <c r="S410" s="37"/>
      <c r="T410" s="37"/>
      <c r="U410" s="207"/>
      <c r="V410" s="37"/>
      <c r="W410" s="37"/>
      <c r="X410" s="37"/>
      <c r="Y410" s="37"/>
      <c r="Z410" s="207"/>
      <c r="AA410" s="37"/>
      <c r="AB410" s="37"/>
      <c r="AC410" s="37"/>
      <c r="AD410" s="37"/>
      <c r="AE410" s="207"/>
      <c r="AF410" s="37"/>
      <c r="AG410" s="37"/>
      <c r="AH410" s="37"/>
      <c r="AI410" s="37"/>
      <c r="AJ410" s="207"/>
      <c r="AK410" s="37"/>
      <c r="AL410" s="37"/>
      <c r="AM410" s="37"/>
      <c r="AN410" s="37"/>
      <c r="AO410" s="207"/>
      <c r="AP410" s="37"/>
      <c r="AQ410" s="37"/>
      <c r="AR410" s="37"/>
      <c r="AS410" s="37"/>
      <c r="AT410" s="207"/>
      <c r="AU410" s="37"/>
      <c r="AV410" s="37"/>
      <c r="AW410" s="37"/>
      <c r="AX410" s="37"/>
      <c r="AY410" s="207"/>
      <c r="AZ410" s="37">
        <f>$AZ$407*$AZ$408+AZ394</f>
        <v>15958.64</v>
      </c>
      <c r="BA410" s="37">
        <f t="shared" ref="BA410:BM410" si="1170">$AZ$407*$AZ$408+BA394</f>
        <v>15956.64</v>
      </c>
      <c r="BB410" s="37">
        <f t="shared" si="1170"/>
        <v>16379.64</v>
      </c>
      <c r="BC410" s="37">
        <f t="shared" si="1170"/>
        <v>16758.64</v>
      </c>
      <c r="BD410" s="207">
        <f t="shared" si="1170"/>
        <v>16758.64</v>
      </c>
      <c r="BE410" s="37">
        <f t="shared" ref="BE410:BH411" si="1171">$AZ$407*$AZ$408+BE394</f>
        <v>16208.64</v>
      </c>
      <c r="BF410" s="37">
        <f t="shared" si="1171"/>
        <v>15601.64</v>
      </c>
      <c r="BG410" s="37">
        <f t="shared" si="1171"/>
        <v>15733.64</v>
      </c>
      <c r="BH410" s="37">
        <f t="shared" si="1171"/>
        <v>15894.64</v>
      </c>
      <c r="BI410" s="207">
        <f t="shared" si="1170"/>
        <v>15894.64</v>
      </c>
      <c r="BJ410" s="37">
        <f t="shared" si="1170"/>
        <v>15601.64</v>
      </c>
      <c r="BK410" s="37">
        <f>$AZ$407*$AZ$408+BK394</f>
        <v>15068.64</v>
      </c>
      <c r="BL410" s="37">
        <f t="shared" si="1170"/>
        <v>15485.64</v>
      </c>
      <c r="BM410" s="37">
        <f t="shared" si="1170"/>
        <v>14532.64</v>
      </c>
      <c r="BN410" s="322">
        <f t="shared" ref="BN410:BS411" si="1172">$AZ$407*$AZ$408+BN394</f>
        <v>14532.64</v>
      </c>
      <c r="BO410" s="322">
        <f t="shared" si="1172"/>
        <v>13792.64</v>
      </c>
      <c r="BP410" s="37">
        <f t="shared" si="1172"/>
        <v>13795.64</v>
      </c>
      <c r="BQ410" s="37">
        <f t="shared" si="1172"/>
        <v>13684.64</v>
      </c>
      <c r="BR410" s="37">
        <f t="shared" si="1172"/>
        <v>13621.64</v>
      </c>
      <c r="BS410" s="207">
        <f t="shared" si="1172"/>
        <v>13621.64</v>
      </c>
      <c r="BT410" s="37"/>
      <c r="BU410" s="37"/>
      <c r="BV410" s="37"/>
      <c r="BW410" s="37"/>
      <c r="BX410" s="207">
        <f>$AZ$407*$AZ$408+BX394</f>
        <v>12078.64</v>
      </c>
      <c r="BY410" s="37"/>
      <c r="BZ410" s="37"/>
      <c r="CA410" s="37"/>
      <c r="CB410" s="37"/>
      <c r="CC410" s="207">
        <f>$AZ$407*$AZ$408+CC394</f>
        <v>11096.64</v>
      </c>
      <c r="CD410" s="37"/>
      <c r="CE410" s="37"/>
      <c r="CF410" s="37"/>
      <c r="CG410" s="37"/>
      <c r="CH410" s="207">
        <f>$AZ$407*$AZ$408+CH394</f>
        <v>9553.64</v>
      </c>
      <c r="CI410" s="37"/>
      <c r="CJ410" s="37"/>
      <c r="CK410" s="37"/>
      <c r="CL410" s="37"/>
      <c r="CM410" s="207">
        <f>$AZ$407*$AZ$408+CM394</f>
        <v>8744.64</v>
      </c>
      <c r="CN410" s="37"/>
      <c r="CO410" s="37"/>
      <c r="CP410" s="37"/>
      <c r="CQ410" s="37"/>
      <c r="CR410" s="207">
        <f>$AZ$407*$AZ$408+CR394</f>
        <v>10856.64</v>
      </c>
      <c r="CS410" s="37"/>
      <c r="CT410" s="37"/>
      <c r="CU410" s="37"/>
      <c r="CV410" s="37"/>
      <c r="CW410" s="207">
        <f>$AZ$407*$AZ$408+CW394</f>
        <v>10859.64</v>
      </c>
      <c r="CX410" s="37"/>
      <c r="CY410" s="37"/>
      <c r="CZ410" s="37"/>
      <c r="DA410" s="37"/>
      <c r="DB410" s="207">
        <f>$AZ$407*$AZ$408+DB394</f>
        <v>9583.928976082283</v>
      </c>
      <c r="DC410" s="37"/>
      <c r="DD410" s="37"/>
      <c r="DE410" s="37"/>
      <c r="DF410" s="37"/>
      <c r="DG410" s="207">
        <f>$AZ$407*$AZ$408+DG394</f>
        <v>8523.9858080405938</v>
      </c>
      <c r="DH410" s="37"/>
      <c r="DI410" s="37"/>
      <c r="DJ410" s="37"/>
      <c r="DK410" s="37"/>
      <c r="DL410" s="207">
        <f>$AZ$407*$AZ$408+DL394</f>
        <v>6661.7986982103612</v>
      </c>
      <c r="DM410" s="37"/>
      <c r="DN410" s="506"/>
      <c r="DO410" s="486"/>
      <c r="DP410" s="411"/>
      <c r="DQ410" s="411"/>
      <c r="DR410" s="411"/>
      <c r="DS410" s="561"/>
      <c r="DT410" s="561"/>
      <c r="DU410" s="465"/>
      <c r="DV410" s="465"/>
      <c r="DW410" s="465"/>
      <c r="DX410" s="465"/>
      <c r="DY410" s="465"/>
      <c r="DZ410" s="465"/>
      <c r="EA410" s="506"/>
      <c r="EH410" s="8"/>
    </row>
    <row r="411" spans="1:138" ht="12.75" hidden="1" customHeight="1" x14ac:dyDescent="0.2">
      <c r="A411" s="133" t="str">
        <f>"EV on "&amp;A395</f>
        <v>EV on Debt Net of Unrest. Cash and Converts</v>
      </c>
      <c r="B411" s="37"/>
      <c r="C411" s="37"/>
      <c r="D411" s="37"/>
      <c r="E411" s="37"/>
      <c r="F411" s="207"/>
      <c r="G411" s="37"/>
      <c r="H411" s="37"/>
      <c r="I411" s="37"/>
      <c r="J411" s="37"/>
      <c r="K411" s="207"/>
      <c r="L411" s="37"/>
      <c r="M411" s="37"/>
      <c r="N411" s="37"/>
      <c r="O411" s="37"/>
      <c r="P411" s="207"/>
      <c r="Q411" s="37"/>
      <c r="R411" s="37"/>
      <c r="S411" s="37"/>
      <c r="T411" s="37"/>
      <c r="U411" s="207"/>
      <c r="V411" s="37"/>
      <c r="W411" s="37"/>
      <c r="X411" s="37"/>
      <c r="Y411" s="37"/>
      <c r="Z411" s="207"/>
      <c r="AA411" s="37"/>
      <c r="AB411" s="37"/>
      <c r="AC411" s="37"/>
      <c r="AD411" s="37"/>
      <c r="AE411" s="207"/>
      <c r="AF411" s="37"/>
      <c r="AG411" s="37"/>
      <c r="AH411" s="37"/>
      <c r="AI411" s="37"/>
      <c r="AJ411" s="207"/>
      <c r="AK411" s="37"/>
      <c r="AL411" s="37"/>
      <c r="AM411" s="37"/>
      <c r="AN411" s="37"/>
      <c r="AO411" s="207"/>
      <c r="AP411" s="37"/>
      <c r="AQ411" s="37"/>
      <c r="AR411" s="37"/>
      <c r="AS411" s="37"/>
      <c r="AT411" s="207"/>
      <c r="AU411" s="37"/>
      <c r="AV411" s="37"/>
      <c r="AW411" s="37"/>
      <c r="AX411" s="37"/>
      <c r="AY411" s="207"/>
      <c r="AZ411" s="37">
        <f t="shared" ref="AZ411:BM411" si="1173">$AZ$407*$AZ$408+AZ395</f>
        <v>16749.64</v>
      </c>
      <c r="BA411" s="37">
        <f t="shared" si="1173"/>
        <v>16317.64</v>
      </c>
      <c r="BB411" s="37">
        <f t="shared" si="1173"/>
        <v>16857.64</v>
      </c>
      <c r="BC411" s="37">
        <f t="shared" si="1173"/>
        <v>17181.64</v>
      </c>
      <c r="BD411" s="207">
        <f t="shared" si="1173"/>
        <v>17181.64</v>
      </c>
      <c r="BE411" s="37">
        <f t="shared" si="1171"/>
        <v>16664.64</v>
      </c>
      <c r="BF411" s="37">
        <f t="shared" si="1171"/>
        <v>16010.64</v>
      </c>
      <c r="BG411" s="37">
        <f t="shared" si="1171"/>
        <v>16151.64</v>
      </c>
      <c r="BH411" s="37">
        <f t="shared" si="1171"/>
        <v>16303.64</v>
      </c>
      <c r="BI411" s="207">
        <f t="shared" si="1173"/>
        <v>16303.64</v>
      </c>
      <c r="BJ411" s="37">
        <f t="shared" si="1173"/>
        <v>15991.64</v>
      </c>
      <c r="BK411" s="37">
        <f>$AZ$407*$AZ$408+BK395</f>
        <v>15500.64</v>
      </c>
      <c r="BL411" s="37">
        <f t="shared" si="1173"/>
        <v>15890.64</v>
      </c>
      <c r="BM411" s="37">
        <f t="shared" si="1173"/>
        <v>14837.64</v>
      </c>
      <c r="BN411" s="322">
        <f t="shared" si="1172"/>
        <v>14837.64</v>
      </c>
      <c r="BO411" s="322">
        <f t="shared" si="1172"/>
        <v>14167.64</v>
      </c>
      <c r="BP411" s="37">
        <f t="shared" si="1172"/>
        <v>14163.64</v>
      </c>
      <c r="BQ411" s="37">
        <f t="shared" si="1172"/>
        <v>14085.64</v>
      </c>
      <c r="BR411" s="37">
        <f t="shared" si="1172"/>
        <v>13996.64</v>
      </c>
      <c r="BS411" s="207">
        <f t="shared" si="1172"/>
        <v>13996.64</v>
      </c>
      <c r="BT411" s="37"/>
      <c r="BU411" s="37"/>
      <c r="BV411" s="37"/>
      <c r="BW411" s="37"/>
      <c r="BX411" s="207">
        <f>$AZ$407*$AZ$408+BX395</f>
        <v>12200.64</v>
      </c>
      <c r="BY411" s="37"/>
      <c r="BZ411" s="37"/>
      <c r="CA411" s="37"/>
      <c r="CB411" s="37"/>
      <c r="CC411" s="207">
        <f>$AZ$407*$AZ$408+CC395</f>
        <v>11133.64</v>
      </c>
      <c r="CD411" s="37"/>
      <c r="CE411" s="37"/>
      <c r="CF411" s="37"/>
      <c r="CG411" s="37"/>
      <c r="CH411" s="207">
        <f>$AZ$407*$AZ$408+CH395</f>
        <v>9553.64</v>
      </c>
      <c r="CI411" s="37"/>
      <c r="CJ411" s="37"/>
      <c r="CK411" s="37"/>
      <c r="CL411" s="37"/>
      <c r="CM411" s="207">
        <f>$AZ$407*$AZ$408+CM395</f>
        <v>8744.64</v>
      </c>
      <c r="CN411" s="37"/>
      <c r="CO411" s="37"/>
      <c r="CP411" s="37"/>
      <c r="CQ411" s="37"/>
      <c r="CR411" s="207">
        <f>$AZ$407*$AZ$408+CR395</f>
        <v>10856.64</v>
      </c>
      <c r="CS411" s="37"/>
      <c r="CT411" s="37"/>
      <c r="CU411" s="37"/>
      <c r="CV411" s="37"/>
      <c r="CW411" s="207">
        <f>$AZ$407*$AZ$408+CW395</f>
        <v>10859.64</v>
      </c>
      <c r="CX411" s="37"/>
      <c r="CY411" s="37"/>
      <c r="CZ411" s="37"/>
      <c r="DA411" s="37"/>
      <c r="DB411" s="207">
        <f>$AZ$407*$AZ$408+DB395</f>
        <v>9583.928976082283</v>
      </c>
      <c r="DC411" s="37"/>
      <c r="DD411" s="37"/>
      <c r="DE411" s="37"/>
      <c r="DF411" s="37"/>
      <c r="DG411" s="207">
        <f>$AZ$407*$AZ$408+DG395</f>
        <v>8523.9858080405938</v>
      </c>
      <c r="DH411" s="37"/>
      <c r="DI411" s="37"/>
      <c r="DJ411" s="37"/>
      <c r="DK411" s="37"/>
      <c r="DL411" s="207">
        <f>$AZ$407*$AZ$408+DL395</f>
        <v>6661.7986982103612</v>
      </c>
      <c r="DM411" s="37"/>
      <c r="DN411" s="506"/>
      <c r="DO411" s="486"/>
      <c r="DP411" s="411"/>
      <c r="DQ411" s="411"/>
      <c r="DR411" s="411"/>
      <c r="DS411" s="561"/>
      <c r="DT411" s="561"/>
      <c r="DU411" s="465"/>
      <c r="DV411" s="465"/>
      <c r="DW411" s="465"/>
      <c r="DX411" s="465"/>
      <c r="DY411" s="465"/>
      <c r="DZ411" s="465"/>
      <c r="EA411" s="506"/>
      <c r="EH411" s="8"/>
    </row>
    <row r="412" spans="1:138" ht="3" hidden="1" customHeight="1" x14ac:dyDescent="0.2">
      <c r="A412" s="133"/>
      <c r="B412" s="37"/>
      <c r="C412" s="37"/>
      <c r="D412" s="37"/>
      <c r="E412" s="37"/>
      <c r="F412" s="207"/>
      <c r="G412" s="37"/>
      <c r="H412" s="37"/>
      <c r="I412" s="37"/>
      <c r="J412" s="37"/>
      <c r="K412" s="207"/>
      <c r="L412" s="37"/>
      <c r="M412" s="37"/>
      <c r="N412" s="37"/>
      <c r="O412" s="37"/>
      <c r="P412" s="207"/>
      <c r="Q412" s="37"/>
      <c r="R412" s="37"/>
      <c r="S412" s="37"/>
      <c r="T412" s="37"/>
      <c r="U412" s="207"/>
      <c r="V412" s="37"/>
      <c r="W412" s="37"/>
      <c r="X412" s="37"/>
      <c r="Y412" s="37"/>
      <c r="Z412" s="207"/>
      <c r="AA412" s="37"/>
      <c r="AB412" s="37"/>
      <c r="AC412" s="37"/>
      <c r="AD412" s="37"/>
      <c r="AE412" s="207"/>
      <c r="AF412" s="37"/>
      <c r="AG412" s="37"/>
      <c r="AH412" s="37"/>
      <c r="AI412" s="37"/>
      <c r="AJ412" s="207"/>
      <c r="AK412" s="37"/>
      <c r="AL412" s="37"/>
      <c r="AM412" s="37"/>
      <c r="AN412" s="37"/>
      <c r="AO412" s="207"/>
      <c r="AP412" s="37"/>
      <c r="AQ412" s="37"/>
      <c r="AR412" s="37"/>
      <c r="AS412" s="37"/>
      <c r="AT412" s="207"/>
      <c r="AU412" s="37"/>
      <c r="AV412" s="37"/>
      <c r="AW412" s="37"/>
      <c r="AX412" s="37"/>
      <c r="AY412" s="207"/>
      <c r="AZ412" s="37"/>
      <c r="BA412" s="37"/>
      <c r="BB412" s="37"/>
      <c r="BC412" s="37"/>
      <c r="BD412" s="207"/>
      <c r="BE412" s="37"/>
      <c r="BF412" s="37"/>
      <c r="BG412" s="37"/>
      <c r="BH412" s="37"/>
      <c r="BI412" s="207"/>
      <c r="BJ412" s="37"/>
      <c r="BK412" s="37"/>
      <c r="BL412" s="37"/>
      <c r="BM412" s="37"/>
      <c r="BN412" s="322"/>
      <c r="BO412" s="322"/>
      <c r="BP412" s="37"/>
      <c r="BQ412" s="37"/>
      <c r="BR412" s="37"/>
      <c r="BS412" s="207"/>
      <c r="BT412" s="37"/>
      <c r="BU412" s="37"/>
      <c r="BV412" s="37"/>
      <c r="BW412" s="37"/>
      <c r="BX412" s="207"/>
      <c r="BY412" s="37"/>
      <c r="BZ412" s="37"/>
      <c r="CA412" s="37"/>
      <c r="CB412" s="37"/>
      <c r="CC412" s="207"/>
      <c r="CD412" s="37"/>
      <c r="CE412" s="37"/>
      <c r="CF412" s="37"/>
      <c r="CG412" s="37"/>
      <c r="CH412" s="207"/>
      <c r="CI412" s="37"/>
      <c r="CJ412" s="37"/>
      <c r="CK412" s="37"/>
      <c r="CL412" s="37"/>
      <c r="CM412" s="207"/>
      <c r="CN412" s="37"/>
      <c r="CO412" s="37"/>
      <c r="CP412" s="37"/>
      <c r="CQ412" s="37"/>
      <c r="CR412" s="207"/>
      <c r="CS412" s="37"/>
      <c r="CT412" s="37"/>
      <c r="CU412" s="37"/>
      <c r="CV412" s="37"/>
      <c r="CW412" s="207"/>
      <c r="CX412" s="37"/>
      <c r="CY412" s="37"/>
      <c r="CZ412" s="37"/>
      <c r="DA412" s="37"/>
      <c r="DB412" s="207"/>
      <c r="DC412" s="37"/>
      <c r="DD412" s="37"/>
      <c r="DE412" s="37"/>
      <c r="DF412" s="37"/>
      <c r="DG412" s="207"/>
      <c r="DH412" s="37"/>
      <c r="DI412" s="37"/>
      <c r="DJ412" s="37"/>
      <c r="DK412" s="37"/>
      <c r="DL412" s="207"/>
      <c r="DM412" s="37"/>
      <c r="DN412" s="506"/>
      <c r="DO412" s="486"/>
      <c r="DP412" s="411"/>
      <c r="DQ412" s="411"/>
      <c r="DR412" s="411"/>
      <c r="DS412" s="561"/>
      <c r="DT412" s="561"/>
      <c r="DU412" s="465"/>
      <c r="DV412" s="465"/>
      <c r="DW412" s="465"/>
      <c r="DX412" s="465"/>
      <c r="DY412" s="465"/>
      <c r="DZ412" s="465"/>
      <c r="EA412" s="506"/>
      <c r="EH412" s="8"/>
    </row>
    <row r="413" spans="1:138" ht="12.75" hidden="1" customHeight="1" x14ac:dyDescent="0.2">
      <c r="A413" s="133" t="str">
        <f>"EV on "&amp;A401</f>
        <v>EV on Mainline Rent Adj. Debt Net of Total Cash and Converts</v>
      </c>
      <c r="B413" s="37"/>
      <c r="C413" s="37"/>
      <c r="D413" s="37"/>
      <c r="E413" s="37"/>
      <c r="F413" s="207"/>
      <c r="G413" s="37"/>
      <c r="H413" s="37"/>
      <c r="I413" s="37"/>
      <c r="J413" s="37"/>
      <c r="K413" s="207"/>
      <c r="L413" s="37"/>
      <c r="M413" s="37"/>
      <c r="N413" s="37"/>
      <c r="O413" s="37"/>
      <c r="P413" s="207"/>
      <c r="Q413" s="37"/>
      <c r="R413" s="37"/>
      <c r="S413" s="37"/>
      <c r="T413" s="37"/>
      <c r="U413" s="207"/>
      <c r="V413" s="37"/>
      <c r="W413" s="37"/>
      <c r="X413" s="37"/>
      <c r="Y413" s="37"/>
      <c r="Z413" s="207"/>
      <c r="AA413" s="37"/>
      <c r="AB413" s="37"/>
      <c r="AC413" s="37"/>
      <c r="AD413" s="37"/>
      <c r="AE413" s="207"/>
      <c r="AF413" s="37"/>
      <c r="AG413" s="37"/>
      <c r="AH413" s="37"/>
      <c r="AI413" s="37"/>
      <c r="AJ413" s="207"/>
      <c r="AK413" s="37"/>
      <c r="AL413" s="37"/>
      <c r="AM413" s="37"/>
      <c r="AN413" s="37"/>
      <c r="AO413" s="207"/>
      <c r="AP413" s="37"/>
      <c r="AQ413" s="37"/>
      <c r="AR413" s="37"/>
      <c r="AS413" s="37"/>
      <c r="AT413" s="207"/>
      <c r="AU413" s="37"/>
      <c r="AV413" s="37"/>
      <c r="AW413" s="37"/>
      <c r="AX413" s="37"/>
      <c r="AY413" s="207"/>
      <c r="AZ413" s="37">
        <f>$AZ$407*$AZ$408+AZ401</f>
        <v>19346.64</v>
      </c>
      <c r="BA413" s="37">
        <f t="shared" ref="BA413:BM413" si="1174">$AZ$407*$AZ$408+BA401</f>
        <v>19288.64</v>
      </c>
      <c r="BB413" s="37">
        <f t="shared" si="1174"/>
        <v>19823.64</v>
      </c>
      <c r="BC413" s="37">
        <f t="shared" si="1174"/>
        <v>20034.64</v>
      </c>
      <c r="BD413" s="207">
        <f t="shared" si="1174"/>
        <v>20118.64</v>
      </c>
      <c r="BE413" s="37">
        <f t="shared" ref="BE413:BH414" si="1175">$AZ$407*$AZ$408+BE401</f>
        <v>19344.64</v>
      </c>
      <c r="BF413" s="37">
        <f t="shared" si="1175"/>
        <v>18429.64</v>
      </c>
      <c r="BG413" s="37">
        <f t="shared" si="1175"/>
        <v>18309.64</v>
      </c>
      <c r="BH413" s="37">
        <f t="shared" si="1175"/>
        <v>18190.64</v>
      </c>
      <c r="BI413" s="207">
        <f t="shared" si="1174"/>
        <v>18603.64</v>
      </c>
      <c r="BJ413" s="37">
        <f t="shared" si="1174"/>
        <v>17785.64</v>
      </c>
      <c r="BK413" s="37">
        <f>$AZ$407*$AZ$408+BK401</f>
        <v>17140.64</v>
      </c>
      <c r="BL413" s="37">
        <f t="shared" si="1174"/>
        <v>17501.64</v>
      </c>
      <c r="BM413" s="37">
        <f t="shared" si="1174"/>
        <v>16604.64</v>
      </c>
      <c r="BN413" s="322">
        <f t="shared" ref="BN413:BS414" si="1176">$AZ$407*$AZ$408+BN401</f>
        <v>16618.64</v>
      </c>
      <c r="BO413" s="322">
        <f t="shared" si="1176"/>
        <v>15892.64</v>
      </c>
      <c r="BP413" s="37">
        <f t="shared" si="1176"/>
        <v>15699.64</v>
      </c>
      <c r="BQ413" s="37">
        <f t="shared" si="1176"/>
        <v>15504.64</v>
      </c>
      <c r="BR413" s="37">
        <f t="shared" si="1176"/>
        <v>15413.64</v>
      </c>
      <c r="BS413" s="207">
        <f t="shared" si="1176"/>
        <v>15525.64</v>
      </c>
      <c r="BT413" s="37"/>
      <c r="BU413" s="37"/>
      <c r="BV413" s="37"/>
      <c r="BW413" s="37"/>
      <c r="BX413" s="207">
        <f>$AZ$407*$AZ$408+BX401</f>
        <v>13541.64</v>
      </c>
      <c r="BY413" s="37"/>
      <c r="BZ413" s="37"/>
      <c r="CA413" s="37"/>
      <c r="CB413" s="37"/>
      <c r="CC413" s="207">
        <f>$AZ$407*$AZ$408+CC401</f>
        <v>12727.64</v>
      </c>
      <c r="CD413" s="37"/>
      <c r="CE413" s="37"/>
      <c r="CF413" s="37"/>
      <c r="CG413" s="37"/>
      <c r="CH413" s="207">
        <f>$AZ$407*$AZ$408+CH401</f>
        <v>11303.64</v>
      </c>
      <c r="CI413" s="37"/>
      <c r="CJ413" s="37"/>
      <c r="CK413" s="37"/>
      <c r="CL413" s="37"/>
      <c r="CM413" s="207">
        <f>$AZ$407*$AZ$408+CM401</f>
        <v>10739.64</v>
      </c>
      <c r="CN413" s="37"/>
      <c r="CO413" s="37"/>
      <c r="CP413" s="37"/>
      <c r="CQ413" s="37"/>
      <c r="CR413" s="207">
        <f>$AZ$407*$AZ$408+CR401</f>
        <v>13313.64</v>
      </c>
      <c r="CS413" s="37"/>
      <c r="CT413" s="37"/>
      <c r="CU413" s="37"/>
      <c r="CV413" s="37"/>
      <c r="CW413" s="207">
        <f>$AZ$407*$AZ$408+CW401</f>
        <v>13316.64</v>
      </c>
      <c r="CX413" s="37"/>
      <c r="CY413" s="37"/>
      <c r="CZ413" s="37"/>
      <c r="DA413" s="37"/>
      <c r="DB413" s="207">
        <f>$AZ$407*$AZ$408+DB401</f>
        <v>12328.449481211937</v>
      </c>
      <c r="DC413" s="37"/>
      <c r="DD413" s="37"/>
      <c r="DE413" s="37"/>
      <c r="DF413" s="37"/>
      <c r="DG413" s="207">
        <f>$AZ$407*$AZ$408+DG401</f>
        <v>11368.889181558681</v>
      </c>
      <c r="DH413" s="37"/>
      <c r="DI413" s="37"/>
      <c r="DJ413" s="37"/>
      <c r="DK413" s="37"/>
      <c r="DL413" s="207">
        <f>$AZ$407*$AZ$408+DL401</f>
        <v>9592.0491729339919</v>
      </c>
      <c r="DM413" s="37"/>
      <c r="DN413" s="506"/>
      <c r="DO413" s="486"/>
      <c r="DP413" s="411"/>
      <c r="DQ413" s="411"/>
      <c r="DR413" s="411"/>
      <c r="DS413" s="561"/>
      <c r="DT413" s="561"/>
      <c r="DU413" s="465"/>
      <c r="DV413" s="465"/>
      <c r="DW413" s="465"/>
      <c r="DX413" s="465"/>
      <c r="DY413" s="465"/>
      <c r="DZ413" s="465"/>
      <c r="EA413" s="506"/>
      <c r="EH413" s="8"/>
    </row>
    <row r="414" spans="1:138" ht="12.75" hidden="1" customHeight="1" x14ac:dyDescent="0.2">
      <c r="A414" s="133" t="str">
        <f>"EV on "&amp;A402</f>
        <v>EV on Mainline Rent Adj. Debt Net of Unrest. Cash and Converts</v>
      </c>
      <c r="B414" s="37"/>
      <c r="C414" s="37"/>
      <c r="D414" s="37"/>
      <c r="E414" s="37"/>
      <c r="F414" s="207"/>
      <c r="G414" s="37"/>
      <c r="H414" s="37"/>
      <c r="I414" s="37"/>
      <c r="J414" s="37"/>
      <c r="K414" s="207"/>
      <c r="L414" s="37"/>
      <c r="M414" s="37"/>
      <c r="N414" s="37"/>
      <c r="O414" s="37"/>
      <c r="P414" s="207"/>
      <c r="Q414" s="37"/>
      <c r="R414" s="37"/>
      <c r="S414" s="37"/>
      <c r="T414" s="37"/>
      <c r="U414" s="207"/>
      <c r="V414" s="37"/>
      <c r="W414" s="37"/>
      <c r="X414" s="37"/>
      <c r="Y414" s="37"/>
      <c r="Z414" s="207"/>
      <c r="AA414" s="37"/>
      <c r="AB414" s="37"/>
      <c r="AC414" s="37"/>
      <c r="AD414" s="37"/>
      <c r="AE414" s="207"/>
      <c r="AF414" s="37"/>
      <c r="AG414" s="37"/>
      <c r="AH414" s="37"/>
      <c r="AI414" s="37"/>
      <c r="AJ414" s="207"/>
      <c r="AK414" s="37"/>
      <c r="AL414" s="37"/>
      <c r="AM414" s="37"/>
      <c r="AN414" s="37"/>
      <c r="AO414" s="207"/>
      <c r="AP414" s="37"/>
      <c r="AQ414" s="37"/>
      <c r="AR414" s="37"/>
      <c r="AS414" s="37"/>
      <c r="AT414" s="207"/>
      <c r="AU414" s="37"/>
      <c r="AV414" s="37"/>
      <c r="AW414" s="37"/>
      <c r="AX414" s="37"/>
      <c r="AY414" s="207"/>
      <c r="AZ414" s="37">
        <f>$AZ$407*$AZ$408+AZ402</f>
        <v>20137.64</v>
      </c>
      <c r="BA414" s="37">
        <f t="shared" ref="BA414:BM414" si="1177">$AZ$407*$AZ$408+BA402</f>
        <v>19649.64</v>
      </c>
      <c r="BB414" s="37">
        <f t="shared" si="1177"/>
        <v>20301.64</v>
      </c>
      <c r="BC414" s="37">
        <f t="shared" si="1177"/>
        <v>20457.64</v>
      </c>
      <c r="BD414" s="207">
        <f t="shared" si="1177"/>
        <v>20541.64</v>
      </c>
      <c r="BE414" s="37">
        <f t="shared" si="1175"/>
        <v>19800.64</v>
      </c>
      <c r="BF414" s="37">
        <f t="shared" si="1175"/>
        <v>18838.64</v>
      </c>
      <c r="BG414" s="37">
        <f t="shared" si="1175"/>
        <v>18727.64</v>
      </c>
      <c r="BH414" s="37">
        <f t="shared" si="1175"/>
        <v>18599.64</v>
      </c>
      <c r="BI414" s="207">
        <f t="shared" si="1177"/>
        <v>19012.64</v>
      </c>
      <c r="BJ414" s="37">
        <f t="shared" si="1177"/>
        <v>18175.64</v>
      </c>
      <c r="BK414" s="37">
        <f>$AZ$407*$AZ$408+BK402</f>
        <v>17572.64</v>
      </c>
      <c r="BL414" s="37">
        <f t="shared" si="1177"/>
        <v>17906.64</v>
      </c>
      <c r="BM414" s="37">
        <f t="shared" si="1177"/>
        <v>16909.64</v>
      </c>
      <c r="BN414" s="322">
        <f t="shared" si="1176"/>
        <v>16923.64</v>
      </c>
      <c r="BO414" s="322">
        <f t="shared" si="1176"/>
        <v>16267.64</v>
      </c>
      <c r="BP414" s="37">
        <f t="shared" si="1176"/>
        <v>16067.64</v>
      </c>
      <c r="BQ414" s="37">
        <f t="shared" si="1176"/>
        <v>15905.64</v>
      </c>
      <c r="BR414" s="37">
        <f t="shared" si="1176"/>
        <v>15788.64</v>
      </c>
      <c r="BS414" s="207">
        <f t="shared" si="1176"/>
        <v>15900.64</v>
      </c>
      <c r="BT414" s="37"/>
      <c r="BU414" s="37"/>
      <c r="BV414" s="37"/>
      <c r="BW414" s="37"/>
      <c r="BX414" s="207">
        <f>$AZ$407*$AZ$408+BX402</f>
        <v>13663.64</v>
      </c>
      <c r="BY414" s="37"/>
      <c r="BZ414" s="37"/>
      <c r="CA414" s="37"/>
      <c r="CB414" s="37"/>
      <c r="CC414" s="207">
        <f>$AZ$407*$AZ$408+CC402</f>
        <v>12764.64</v>
      </c>
      <c r="CD414" s="37"/>
      <c r="CE414" s="37"/>
      <c r="CF414" s="37"/>
      <c r="CG414" s="37"/>
      <c r="CH414" s="207">
        <f>$AZ$407*$AZ$408+CH402</f>
        <v>11303.64</v>
      </c>
      <c r="CI414" s="37"/>
      <c r="CJ414" s="37"/>
      <c r="CK414" s="37"/>
      <c r="CL414" s="37"/>
      <c r="CM414" s="207">
        <f>$AZ$407*$AZ$408+CM402</f>
        <v>10739.64</v>
      </c>
      <c r="CN414" s="37"/>
      <c r="CO414" s="37"/>
      <c r="CP414" s="37"/>
      <c r="CQ414" s="37"/>
      <c r="CR414" s="207">
        <f>$AZ$407*$AZ$408+CR402</f>
        <v>13313.64</v>
      </c>
      <c r="CS414" s="37"/>
      <c r="CT414" s="37"/>
      <c r="CU414" s="37"/>
      <c r="CV414" s="37"/>
      <c r="CW414" s="207">
        <f>$AZ$407*$AZ$408+CW402</f>
        <v>13316.64</v>
      </c>
      <c r="CX414" s="37"/>
      <c r="CY414" s="37"/>
      <c r="CZ414" s="37"/>
      <c r="DA414" s="37"/>
      <c r="DB414" s="207">
        <f>$AZ$407*$AZ$408+DB402</f>
        <v>12328.449481211937</v>
      </c>
      <c r="DC414" s="37"/>
      <c r="DD414" s="37"/>
      <c r="DE414" s="37"/>
      <c r="DF414" s="37"/>
      <c r="DG414" s="207">
        <f>$AZ$407*$AZ$408+DG402</f>
        <v>11368.889181558681</v>
      </c>
      <c r="DH414" s="37"/>
      <c r="DI414" s="37"/>
      <c r="DJ414" s="37"/>
      <c r="DK414" s="37"/>
      <c r="DL414" s="207">
        <f>$AZ$407*$AZ$408+DL402</f>
        <v>9592.0491729339919</v>
      </c>
      <c r="DM414" s="37"/>
      <c r="DN414" s="506"/>
      <c r="DO414" s="486"/>
      <c r="DP414" s="411"/>
      <c r="DQ414" s="411"/>
      <c r="DR414" s="411"/>
      <c r="DS414" s="561"/>
      <c r="DT414" s="561"/>
      <c r="DU414" s="465"/>
      <c r="DV414" s="465"/>
      <c r="DW414" s="465"/>
      <c r="DX414" s="465"/>
      <c r="DY414" s="465"/>
      <c r="DZ414" s="465"/>
      <c r="EA414" s="506"/>
      <c r="EH414" s="8"/>
    </row>
    <row r="415" spans="1:138" ht="3" hidden="1" customHeight="1" x14ac:dyDescent="0.2">
      <c r="A415" s="133"/>
      <c r="B415" s="37"/>
      <c r="C415" s="37"/>
      <c r="D415" s="37"/>
      <c r="E415" s="37"/>
      <c r="F415" s="207"/>
      <c r="G415" s="37"/>
      <c r="H415" s="37"/>
      <c r="I415" s="37"/>
      <c r="J415" s="37"/>
      <c r="K415" s="207"/>
      <c r="L415" s="37"/>
      <c r="M415" s="37"/>
      <c r="N415" s="37"/>
      <c r="O415" s="37"/>
      <c r="P415" s="207"/>
      <c r="Q415" s="37"/>
      <c r="R415" s="37"/>
      <c r="S415" s="37"/>
      <c r="T415" s="37"/>
      <c r="U415" s="207"/>
      <c r="V415" s="37"/>
      <c r="W415" s="37"/>
      <c r="X415" s="37"/>
      <c r="Y415" s="37"/>
      <c r="Z415" s="207"/>
      <c r="AA415" s="37"/>
      <c r="AB415" s="37"/>
      <c r="AC415" s="37"/>
      <c r="AD415" s="37"/>
      <c r="AE415" s="207"/>
      <c r="AF415" s="37"/>
      <c r="AG415" s="37"/>
      <c r="AH415" s="37"/>
      <c r="AI415" s="37"/>
      <c r="AJ415" s="207"/>
      <c r="AK415" s="37"/>
      <c r="AL415" s="37"/>
      <c r="AM415" s="37"/>
      <c r="AN415" s="37"/>
      <c r="AO415" s="207"/>
      <c r="AP415" s="37"/>
      <c r="AQ415" s="37"/>
      <c r="AR415" s="37"/>
      <c r="AS415" s="37"/>
      <c r="AT415" s="207"/>
      <c r="AU415" s="37"/>
      <c r="AV415" s="37"/>
      <c r="AW415" s="37"/>
      <c r="AX415" s="37"/>
      <c r="AY415" s="207"/>
      <c r="AZ415" s="37"/>
      <c r="BA415" s="37"/>
      <c r="BB415" s="37"/>
      <c r="BC415" s="37"/>
      <c r="BD415" s="207"/>
      <c r="BE415" s="37"/>
      <c r="BF415" s="37"/>
      <c r="BG415" s="37"/>
      <c r="BH415" s="37"/>
      <c r="BI415" s="207"/>
      <c r="BJ415" s="37"/>
      <c r="BK415" s="37"/>
      <c r="BL415" s="37"/>
      <c r="BM415" s="37"/>
      <c r="BN415" s="322"/>
      <c r="BO415" s="322"/>
      <c r="BP415" s="37"/>
      <c r="BQ415" s="37"/>
      <c r="BR415" s="37"/>
      <c r="BS415" s="207"/>
      <c r="BT415" s="37"/>
      <c r="BU415" s="37"/>
      <c r="BV415" s="37"/>
      <c r="BW415" s="37"/>
      <c r="BX415" s="207"/>
      <c r="BY415" s="37"/>
      <c r="BZ415" s="37"/>
      <c r="CA415" s="37"/>
      <c r="CB415" s="37"/>
      <c r="CC415" s="207"/>
      <c r="CD415" s="37"/>
      <c r="CE415" s="37"/>
      <c r="CF415" s="37"/>
      <c r="CG415" s="37"/>
      <c r="CH415" s="207"/>
      <c r="CI415" s="37"/>
      <c r="CJ415" s="37"/>
      <c r="CK415" s="37"/>
      <c r="CL415" s="37"/>
      <c r="CM415" s="207"/>
      <c r="CN415" s="37"/>
      <c r="CO415" s="37"/>
      <c r="CP415" s="37"/>
      <c r="CQ415" s="37"/>
      <c r="CR415" s="207"/>
      <c r="CS415" s="37"/>
      <c r="CT415" s="37"/>
      <c r="CU415" s="37"/>
      <c r="CV415" s="37"/>
      <c r="CW415" s="207"/>
      <c r="CX415" s="37"/>
      <c r="CY415" s="37"/>
      <c r="CZ415" s="37"/>
      <c r="DA415" s="37"/>
      <c r="DB415" s="207"/>
      <c r="DC415" s="37"/>
      <c r="DD415" s="37"/>
      <c r="DE415" s="37"/>
      <c r="DF415" s="37"/>
      <c r="DG415" s="207"/>
      <c r="DH415" s="37"/>
      <c r="DI415" s="37"/>
      <c r="DJ415" s="37"/>
      <c r="DK415" s="37"/>
      <c r="DL415" s="207"/>
      <c r="DM415" s="37"/>
      <c r="DN415" s="506"/>
      <c r="DO415" s="486"/>
      <c r="DP415" s="411"/>
      <c r="DQ415" s="411"/>
      <c r="DR415" s="411"/>
      <c r="DS415" s="561"/>
      <c r="DT415" s="561"/>
      <c r="DU415" s="465"/>
      <c r="DV415" s="465"/>
      <c r="DW415" s="465"/>
      <c r="DX415" s="465"/>
      <c r="DY415" s="465"/>
      <c r="DZ415" s="465"/>
      <c r="EA415" s="506"/>
      <c r="EH415" s="8"/>
    </row>
    <row r="416" spans="1:138" ht="12.75" hidden="1" customHeight="1" x14ac:dyDescent="0.2">
      <c r="A416" s="133" t="str">
        <f>"EV on "&amp;A404</f>
        <v>EV on Total Rent Adj. Debt Net of Total Cash and Converts</v>
      </c>
      <c r="B416" s="37"/>
      <c r="C416" s="37"/>
      <c r="D416" s="37"/>
      <c r="E416" s="37"/>
      <c r="F416" s="207"/>
      <c r="G416" s="37"/>
      <c r="H416" s="37"/>
      <c r="I416" s="37"/>
      <c r="J416" s="37"/>
      <c r="K416" s="207"/>
      <c r="L416" s="37"/>
      <c r="M416" s="37"/>
      <c r="N416" s="37"/>
      <c r="O416" s="37"/>
      <c r="P416" s="207"/>
      <c r="Q416" s="37"/>
      <c r="R416" s="37"/>
      <c r="S416" s="37"/>
      <c r="T416" s="37"/>
      <c r="U416" s="207"/>
      <c r="V416" s="37"/>
      <c r="W416" s="37"/>
      <c r="X416" s="37"/>
      <c r="Y416" s="37"/>
      <c r="Z416" s="207"/>
      <c r="AA416" s="37"/>
      <c r="AB416" s="37"/>
      <c r="AC416" s="37"/>
      <c r="AD416" s="37"/>
      <c r="AE416" s="207"/>
      <c r="AF416" s="37"/>
      <c r="AG416" s="37"/>
      <c r="AH416" s="37"/>
      <c r="AI416" s="37"/>
      <c r="AJ416" s="207"/>
      <c r="AK416" s="37"/>
      <c r="AL416" s="37"/>
      <c r="AM416" s="37"/>
      <c r="AN416" s="37"/>
      <c r="AO416" s="207"/>
      <c r="AP416" s="37"/>
      <c r="AQ416" s="37"/>
      <c r="AR416" s="37"/>
      <c r="AS416" s="37"/>
      <c r="AT416" s="207"/>
      <c r="AU416" s="37"/>
      <c r="AV416" s="37"/>
      <c r="AW416" s="37"/>
      <c r="AX416" s="37"/>
      <c r="AY416" s="207"/>
      <c r="AZ416" s="37">
        <f>$AZ$407*$AZ$408+AZ404</f>
        <v>22651.760000000002</v>
      </c>
      <c r="BA416" s="37">
        <f t="shared" ref="BA416:BM416" si="1178">$AZ$407*$AZ$408+BA404</f>
        <v>22801.239999999998</v>
      </c>
      <c r="BB416" s="37">
        <f t="shared" si="1178"/>
        <v>23496.400000000001</v>
      </c>
      <c r="BC416" s="37">
        <f t="shared" si="1178"/>
        <v>23459.879999999997</v>
      </c>
      <c r="BD416" s="207">
        <f t="shared" si="1178"/>
        <v>23597.57</v>
      </c>
      <c r="BE416" s="37">
        <f t="shared" ref="BE416:BH417" si="1179">$AZ$407*$AZ$408+BE404</f>
        <v>22682.52</v>
      </c>
      <c r="BF416" s="37">
        <f t="shared" si="1179"/>
        <v>21967.72</v>
      </c>
      <c r="BG416" s="37">
        <f t="shared" si="1179"/>
        <v>22808.68</v>
      </c>
      <c r="BH416" s="37">
        <f t="shared" si="1179"/>
        <v>22485.84</v>
      </c>
      <c r="BI416" s="207">
        <f t="shared" si="1178"/>
        <v>22521.19</v>
      </c>
      <c r="BJ416" s="37">
        <f t="shared" si="1178"/>
        <v>22517.64</v>
      </c>
      <c r="BK416" s="37">
        <f>$AZ$407*$AZ$408+BK404</f>
        <v>22273.040000000001</v>
      </c>
      <c r="BL416" s="37">
        <f t="shared" si="1178"/>
        <v>22714.12</v>
      </c>
      <c r="BM416" s="37">
        <f t="shared" si="1178"/>
        <v>21438.559999999998</v>
      </c>
      <c r="BN416" s="322">
        <f t="shared" ref="BN416:BS417" si="1180">$AZ$407*$AZ$408+BN404</f>
        <v>21596.34</v>
      </c>
      <c r="BO416" s="322">
        <f t="shared" si="1180"/>
        <v>20897.64</v>
      </c>
      <c r="BP416" s="37">
        <f t="shared" si="1180"/>
        <v>20853.88</v>
      </c>
      <c r="BQ416" s="37">
        <f t="shared" si="1180"/>
        <v>20771.72</v>
      </c>
      <c r="BR416" s="37">
        <f t="shared" si="1180"/>
        <v>20542.400000000001</v>
      </c>
      <c r="BS416" s="207">
        <f t="shared" si="1180"/>
        <v>20664.41</v>
      </c>
      <c r="BT416" s="37"/>
      <c r="BU416" s="37"/>
      <c r="BV416" s="37"/>
      <c r="BW416" s="37"/>
      <c r="BX416" s="207">
        <f>$AZ$407*$AZ$408+BX404</f>
        <v>18700.43</v>
      </c>
      <c r="BY416" s="37"/>
      <c r="BZ416" s="37"/>
      <c r="CA416" s="37"/>
      <c r="CB416" s="37"/>
      <c r="CC416" s="207">
        <f>$AZ$407*$AZ$408+CC404</f>
        <v>17493.310000000001</v>
      </c>
      <c r="CD416" s="37"/>
      <c r="CE416" s="37"/>
      <c r="CF416" s="37"/>
      <c r="CG416" s="37"/>
      <c r="CH416" s="207">
        <f>$AZ$407*$AZ$408+CH404</f>
        <v>15162.95</v>
      </c>
      <c r="CI416" s="37"/>
      <c r="CJ416" s="37"/>
      <c r="CK416" s="37"/>
      <c r="CL416" s="37"/>
      <c r="CM416" s="207">
        <f>$AZ$407*$AZ$408+CM404</f>
        <v>14662.650000000001</v>
      </c>
      <c r="CN416" s="37"/>
      <c r="CO416" s="37"/>
      <c r="CP416" s="37"/>
      <c r="CQ416" s="37"/>
      <c r="CR416" s="207">
        <f>$AZ$407*$AZ$408+CR404</f>
        <v>17411.37</v>
      </c>
      <c r="CS416" s="37"/>
      <c r="CT416" s="37"/>
      <c r="CU416" s="37"/>
      <c r="CV416" s="37"/>
      <c r="CW416" s="207">
        <f>$AZ$407*$AZ$408+CW404</f>
        <v>16470.7</v>
      </c>
      <c r="CX416" s="37"/>
      <c r="CY416" s="37"/>
      <c r="CZ416" s="37"/>
      <c r="DA416" s="37"/>
      <c r="DB416" s="207">
        <f>$AZ$407*$AZ$408+DB404</f>
        <v>15508.986728286229</v>
      </c>
      <c r="DC416" s="37"/>
      <c r="DD416" s="37"/>
      <c r="DE416" s="37"/>
      <c r="DF416" s="37"/>
      <c r="DG416" s="207">
        <f>$AZ$407*$AZ$408+DG404</f>
        <v>14557.356944183983</v>
      </c>
      <c r="DH416" s="37"/>
      <c r="DI416" s="37"/>
      <c r="DJ416" s="37"/>
      <c r="DK416" s="37"/>
      <c r="DL416" s="207">
        <f>$AZ$407*$AZ$408+DL404</f>
        <v>12780.314490281116</v>
      </c>
      <c r="DM416" s="37"/>
      <c r="DN416" s="506"/>
      <c r="DO416" s="486"/>
      <c r="DP416" s="411"/>
      <c r="DQ416" s="411"/>
      <c r="DR416" s="411"/>
      <c r="DS416" s="561"/>
      <c r="DT416" s="561"/>
      <c r="DU416" s="465"/>
      <c r="DV416" s="465"/>
      <c r="DW416" s="465"/>
      <c r="DX416" s="465"/>
      <c r="DY416" s="465"/>
      <c r="DZ416" s="465"/>
      <c r="EA416" s="506"/>
      <c r="EH416" s="8"/>
    </row>
    <row r="417" spans="1:138" ht="12.75" hidden="1" customHeight="1" x14ac:dyDescent="0.2">
      <c r="A417" s="133" t="str">
        <f>"EV on "&amp;A405</f>
        <v>EV on Total Rent Adj. Debt Net of Unrest. Cash and Converts</v>
      </c>
      <c r="B417" s="37"/>
      <c r="C417" s="37"/>
      <c r="D417" s="37"/>
      <c r="E417" s="37"/>
      <c r="F417" s="207"/>
      <c r="G417" s="37"/>
      <c r="H417" s="37"/>
      <c r="I417" s="37"/>
      <c r="J417" s="37"/>
      <c r="K417" s="207"/>
      <c r="L417" s="37"/>
      <c r="M417" s="37"/>
      <c r="N417" s="37"/>
      <c r="O417" s="37"/>
      <c r="P417" s="207"/>
      <c r="Q417" s="37"/>
      <c r="R417" s="37"/>
      <c r="S417" s="37"/>
      <c r="T417" s="37"/>
      <c r="U417" s="207"/>
      <c r="V417" s="37"/>
      <c r="W417" s="37"/>
      <c r="X417" s="37"/>
      <c r="Y417" s="37"/>
      <c r="Z417" s="207"/>
      <c r="AA417" s="37"/>
      <c r="AB417" s="37"/>
      <c r="AC417" s="37"/>
      <c r="AD417" s="37"/>
      <c r="AE417" s="207"/>
      <c r="AF417" s="37"/>
      <c r="AG417" s="37"/>
      <c r="AH417" s="37"/>
      <c r="AI417" s="37"/>
      <c r="AJ417" s="207"/>
      <c r="AK417" s="37"/>
      <c r="AL417" s="37"/>
      <c r="AM417" s="37"/>
      <c r="AN417" s="37"/>
      <c r="AO417" s="207"/>
      <c r="AP417" s="37"/>
      <c r="AQ417" s="37"/>
      <c r="AR417" s="37"/>
      <c r="AS417" s="37"/>
      <c r="AT417" s="207"/>
      <c r="AU417" s="37"/>
      <c r="AV417" s="37"/>
      <c r="AW417" s="37"/>
      <c r="AX417" s="37"/>
      <c r="AY417" s="207"/>
      <c r="AZ417" s="37">
        <f>$AZ$407*$AZ$408+AZ405</f>
        <v>23442.760000000002</v>
      </c>
      <c r="BA417" s="37">
        <f t="shared" ref="BA417:BM417" si="1181">$AZ$407*$AZ$408+BA405</f>
        <v>23162.239999999998</v>
      </c>
      <c r="BB417" s="37">
        <f t="shared" si="1181"/>
        <v>23974.400000000001</v>
      </c>
      <c r="BC417" s="37">
        <f t="shared" si="1181"/>
        <v>23882.879999999997</v>
      </c>
      <c r="BD417" s="207">
        <f t="shared" si="1181"/>
        <v>24020.57</v>
      </c>
      <c r="BE417" s="37">
        <f t="shared" si="1179"/>
        <v>23138.52</v>
      </c>
      <c r="BF417" s="37">
        <f t="shared" si="1179"/>
        <v>22376.720000000001</v>
      </c>
      <c r="BG417" s="37">
        <f t="shared" si="1179"/>
        <v>23226.68</v>
      </c>
      <c r="BH417" s="37">
        <f t="shared" si="1179"/>
        <v>22894.84</v>
      </c>
      <c r="BI417" s="207">
        <f t="shared" si="1181"/>
        <v>22930.19</v>
      </c>
      <c r="BJ417" s="37">
        <f t="shared" si="1181"/>
        <v>22907.64</v>
      </c>
      <c r="BK417" s="37">
        <f>$AZ$407*$AZ$408+BK405</f>
        <v>22705.040000000001</v>
      </c>
      <c r="BL417" s="37">
        <f t="shared" si="1181"/>
        <v>23119.119999999999</v>
      </c>
      <c r="BM417" s="37">
        <f t="shared" si="1181"/>
        <v>21743.559999999998</v>
      </c>
      <c r="BN417" s="322">
        <f t="shared" si="1180"/>
        <v>21901.34</v>
      </c>
      <c r="BO417" s="322">
        <f t="shared" si="1180"/>
        <v>21272.639999999999</v>
      </c>
      <c r="BP417" s="37">
        <f t="shared" si="1180"/>
        <v>21221.88</v>
      </c>
      <c r="BQ417" s="37">
        <f t="shared" si="1180"/>
        <v>21172.720000000001</v>
      </c>
      <c r="BR417" s="37">
        <f t="shared" si="1180"/>
        <v>20917.400000000001</v>
      </c>
      <c r="BS417" s="207">
        <f t="shared" si="1180"/>
        <v>21039.41</v>
      </c>
      <c r="BT417" s="37"/>
      <c r="BU417" s="37"/>
      <c r="BV417" s="37"/>
      <c r="BW417" s="37"/>
      <c r="BX417" s="207">
        <f>$AZ$407*$AZ$408+BX405</f>
        <v>18822.43</v>
      </c>
      <c r="BY417" s="37"/>
      <c r="BZ417" s="37"/>
      <c r="CA417" s="37"/>
      <c r="CB417" s="37"/>
      <c r="CC417" s="207">
        <f>$AZ$407*$AZ$408+CC405</f>
        <v>17530.310000000001</v>
      </c>
      <c r="CD417" s="37"/>
      <c r="CE417" s="37"/>
      <c r="CF417" s="37"/>
      <c r="CG417" s="37"/>
      <c r="CH417" s="207">
        <f>$AZ$407*$AZ$408+CH405</f>
        <v>15162.95</v>
      </c>
      <c r="CI417" s="37"/>
      <c r="CJ417" s="37"/>
      <c r="CK417" s="37"/>
      <c r="CL417" s="37"/>
      <c r="CM417" s="207">
        <f>$AZ$407*$AZ$408+CM405</f>
        <v>14662.650000000001</v>
      </c>
      <c r="CN417" s="37"/>
      <c r="CO417" s="37"/>
      <c r="CP417" s="37"/>
      <c r="CQ417" s="37"/>
      <c r="CR417" s="207">
        <f>$AZ$407*$AZ$408+CR405</f>
        <v>17411.37</v>
      </c>
      <c r="CS417" s="37"/>
      <c r="CT417" s="37"/>
      <c r="CU417" s="37"/>
      <c r="CV417" s="37"/>
      <c r="CW417" s="207">
        <f>$AZ$407*$AZ$408+CW405</f>
        <v>16470.7</v>
      </c>
      <c r="CX417" s="37"/>
      <c r="CY417" s="37"/>
      <c r="CZ417" s="37"/>
      <c r="DA417" s="37"/>
      <c r="DB417" s="207">
        <f>$AZ$407*$AZ$408+DB405</f>
        <v>15508.986728286229</v>
      </c>
      <c r="DC417" s="37"/>
      <c r="DD417" s="37"/>
      <c r="DE417" s="37"/>
      <c r="DF417" s="37"/>
      <c r="DG417" s="207">
        <f>$AZ$407*$AZ$408+DG405</f>
        <v>14557.356944183983</v>
      </c>
      <c r="DH417" s="37"/>
      <c r="DI417" s="37"/>
      <c r="DJ417" s="37"/>
      <c r="DK417" s="37"/>
      <c r="DL417" s="207">
        <f>$AZ$407*$AZ$408+DL405</f>
        <v>12780.314490281116</v>
      </c>
      <c r="DM417" s="37"/>
      <c r="DN417" s="506"/>
      <c r="DO417" s="486"/>
      <c r="DP417" s="411"/>
      <c r="DQ417" s="411"/>
      <c r="DR417" s="411"/>
      <c r="DS417" s="561"/>
      <c r="DT417" s="561"/>
      <c r="DU417" s="465"/>
      <c r="DV417" s="465"/>
      <c r="DW417" s="465"/>
      <c r="DX417" s="465"/>
      <c r="DY417" s="465"/>
      <c r="DZ417" s="465"/>
      <c r="EA417" s="506"/>
      <c r="EH417" s="8"/>
    </row>
    <row r="418" spans="1:138" ht="12.75" hidden="1" customHeight="1" x14ac:dyDescent="0.2">
      <c r="A418" s="79" t="s">
        <v>256</v>
      </c>
      <c r="B418" s="66"/>
      <c r="C418" s="66"/>
      <c r="D418" s="66"/>
      <c r="E418" s="66"/>
      <c r="F418" s="248"/>
      <c r="G418" s="66"/>
      <c r="H418" s="66"/>
      <c r="I418" s="66"/>
      <c r="J418" s="66"/>
      <c r="K418" s="248"/>
      <c r="L418" s="66"/>
      <c r="M418" s="66"/>
      <c r="N418" s="66"/>
      <c r="O418" s="66"/>
      <c r="P418" s="248"/>
      <c r="Q418" s="66"/>
      <c r="R418" s="66"/>
      <c r="S418" s="66"/>
      <c r="T418" s="66"/>
      <c r="U418" s="248"/>
      <c r="V418" s="66"/>
      <c r="W418" s="66"/>
      <c r="X418" s="66"/>
      <c r="Y418" s="66"/>
      <c r="Z418" s="248"/>
      <c r="AA418" s="66"/>
      <c r="AB418" s="66"/>
      <c r="AC418" s="66"/>
      <c r="AD418" s="66"/>
      <c r="AE418" s="248"/>
      <c r="AF418" s="66"/>
      <c r="AG418" s="66"/>
      <c r="AH418" s="66"/>
      <c r="AI418" s="66"/>
      <c r="AJ418" s="248"/>
      <c r="AK418" s="66"/>
      <c r="AL418" s="66"/>
      <c r="AM418" s="66"/>
      <c r="AN418" s="66"/>
      <c r="AO418" s="248"/>
      <c r="AP418" s="66"/>
      <c r="AQ418" s="66"/>
      <c r="AR418" s="66"/>
      <c r="AS418" s="66"/>
      <c r="AT418" s="248"/>
      <c r="AU418" s="66"/>
      <c r="AV418" s="66"/>
      <c r="AW418" s="66"/>
      <c r="AX418" s="66"/>
      <c r="AY418" s="248"/>
      <c r="AZ418" s="66"/>
      <c r="BA418" s="66"/>
      <c r="BB418" s="66"/>
      <c r="BC418" s="66"/>
      <c r="BD418" s="248"/>
      <c r="BE418" s="66"/>
      <c r="BF418" s="66"/>
      <c r="BG418" s="66"/>
      <c r="BH418" s="66"/>
      <c r="BI418" s="248"/>
      <c r="BJ418" s="66"/>
      <c r="BK418" s="66"/>
      <c r="BL418" s="66"/>
      <c r="BM418" s="66"/>
      <c r="BN418" s="350"/>
      <c r="BO418" s="350"/>
      <c r="BP418" s="66"/>
      <c r="BQ418" s="66"/>
      <c r="BR418" s="66"/>
      <c r="BS418" s="248"/>
      <c r="BT418" s="66"/>
      <c r="BU418" s="66"/>
      <c r="BV418" s="66"/>
      <c r="BW418" s="66"/>
      <c r="BX418" s="248"/>
      <c r="BY418" s="66"/>
      <c r="BZ418" s="66"/>
      <c r="CA418" s="66"/>
      <c r="CB418" s="66"/>
      <c r="CC418" s="248"/>
      <c r="CD418" s="66"/>
      <c r="CE418" s="66"/>
      <c r="CF418" s="66"/>
      <c r="CG418" s="66"/>
      <c r="CH418" s="248"/>
      <c r="CI418" s="66"/>
      <c r="CJ418" s="66"/>
      <c r="CK418" s="66"/>
      <c r="CL418" s="66"/>
      <c r="CM418" s="248"/>
      <c r="CN418" s="66"/>
      <c r="CO418" s="66"/>
      <c r="CP418" s="66"/>
      <c r="CQ418" s="66"/>
      <c r="CR418" s="248"/>
      <c r="CS418" s="66"/>
      <c r="CT418" s="66"/>
      <c r="CU418" s="66"/>
      <c r="CV418" s="66"/>
      <c r="CW418" s="248"/>
      <c r="CX418" s="66"/>
      <c r="CY418" s="66"/>
      <c r="CZ418" s="66"/>
      <c r="DA418" s="66"/>
      <c r="DB418" s="248"/>
      <c r="DC418" s="66"/>
      <c r="DD418" s="66"/>
      <c r="DE418" s="66"/>
      <c r="DF418" s="66"/>
      <c r="DG418" s="248"/>
      <c r="DH418" s="66"/>
      <c r="DI418" s="66"/>
      <c r="DJ418" s="66"/>
      <c r="DK418" s="66"/>
      <c r="DL418" s="248"/>
      <c r="DM418" s="66"/>
      <c r="DN418" s="526"/>
      <c r="DO418" s="486"/>
      <c r="DP418" s="411"/>
      <c r="DQ418" s="411"/>
      <c r="DR418" s="411"/>
      <c r="DS418" s="561"/>
      <c r="DT418" s="561"/>
      <c r="DU418" s="465"/>
      <c r="DV418" s="472"/>
      <c r="DW418" s="472"/>
      <c r="DX418" s="472"/>
      <c r="DY418" s="472"/>
      <c r="DZ418" s="472"/>
      <c r="EA418" s="526"/>
      <c r="EH418" s="8"/>
    </row>
    <row r="419" spans="1:138" ht="12.75" hidden="1" customHeight="1" x14ac:dyDescent="0.2">
      <c r="A419" s="66" t="s">
        <v>52</v>
      </c>
      <c r="B419" s="66"/>
      <c r="C419" s="66"/>
      <c r="D419" s="66"/>
      <c r="E419" s="66"/>
      <c r="F419" s="248"/>
      <c r="G419" s="66"/>
      <c r="H419" s="66"/>
      <c r="I419" s="66"/>
      <c r="J419" s="66"/>
      <c r="K419" s="248"/>
      <c r="L419" s="66"/>
      <c r="M419" s="66"/>
      <c r="N419" s="66"/>
      <c r="O419" s="66"/>
      <c r="P419" s="248"/>
      <c r="Q419" s="66"/>
      <c r="R419" s="66"/>
      <c r="S419" s="66"/>
      <c r="T419" s="66"/>
      <c r="U419" s="248"/>
      <c r="V419" s="66"/>
      <c r="W419" s="66"/>
      <c r="X419" s="66"/>
      <c r="Y419" s="66"/>
      <c r="Z419" s="248"/>
      <c r="AA419" s="66"/>
      <c r="AB419" s="66"/>
      <c r="AC419" s="66"/>
      <c r="AD419" s="66"/>
      <c r="AE419" s="248"/>
      <c r="AF419" s="66"/>
      <c r="AG419" s="66"/>
      <c r="AH419" s="66"/>
      <c r="AI419" s="66"/>
      <c r="AJ419" s="248"/>
      <c r="AK419" s="66"/>
      <c r="AL419" s="66"/>
      <c r="AM419" s="66"/>
      <c r="AN419" s="66"/>
      <c r="AO419" s="248"/>
      <c r="AP419" s="66"/>
      <c r="AQ419" s="66"/>
      <c r="AR419" s="66"/>
      <c r="AS419" s="66"/>
      <c r="AT419" s="248"/>
      <c r="AU419" s="66"/>
      <c r="AV419" s="66"/>
      <c r="AW419" s="66"/>
      <c r="AX419" s="66"/>
      <c r="AY419" s="248"/>
      <c r="AZ419" s="66">
        <f t="shared" ref="AZ419:BS419" si="1182">AZ216</f>
        <v>33072</v>
      </c>
      <c r="BA419" s="66">
        <f t="shared" si="1182"/>
        <v>30984</v>
      </c>
      <c r="BB419" s="66">
        <f t="shared" si="1182"/>
        <v>29026</v>
      </c>
      <c r="BC419" s="66">
        <f t="shared" si="1182"/>
        <v>28063</v>
      </c>
      <c r="BD419" s="248">
        <f t="shared" si="1182"/>
        <v>28063</v>
      </c>
      <c r="BE419" s="66">
        <f t="shared" si="1182"/>
        <v>28227</v>
      </c>
      <c r="BF419" s="66">
        <f t="shared" si="1182"/>
        <v>29395.059999999998</v>
      </c>
      <c r="BG419" s="66">
        <f t="shared" si="1182"/>
        <v>30771.059999999998</v>
      </c>
      <c r="BH419" s="66">
        <f t="shared" si="1182"/>
        <v>31755.059999999998</v>
      </c>
      <c r="BI419" s="248">
        <f t="shared" si="1182"/>
        <v>31755.059999999998</v>
      </c>
      <c r="BJ419" s="66">
        <f t="shared" si="1182"/>
        <v>32654.059999999998</v>
      </c>
      <c r="BK419" s="66">
        <f t="shared" si="1182"/>
        <v>33639</v>
      </c>
      <c r="BL419" s="66">
        <f t="shared" si="1182"/>
        <v>34505</v>
      </c>
      <c r="BM419" s="66">
        <f t="shared" si="1182"/>
        <v>35115</v>
      </c>
      <c r="BN419" s="350">
        <f t="shared" si="1182"/>
        <v>35115</v>
      </c>
      <c r="BO419" s="350">
        <f t="shared" si="1182"/>
        <v>35781</v>
      </c>
      <c r="BP419" s="66">
        <f t="shared" si="1182"/>
        <v>36360</v>
      </c>
      <c r="BQ419" s="66">
        <f t="shared" si="1182"/>
        <v>36467</v>
      </c>
      <c r="BR419" s="66">
        <f t="shared" si="1182"/>
        <v>36670</v>
      </c>
      <c r="BS419" s="248">
        <f t="shared" si="1182"/>
        <v>36670</v>
      </c>
      <c r="BT419" s="66"/>
      <c r="BU419" s="66"/>
      <c r="BV419" s="66"/>
      <c r="BW419" s="66"/>
      <c r="BX419" s="248">
        <f>BX216</f>
        <v>37773</v>
      </c>
      <c r="BY419" s="66"/>
      <c r="BZ419" s="66"/>
      <c r="CA419" s="66"/>
      <c r="CB419" s="66"/>
      <c r="CC419" s="248">
        <f>CC216</f>
        <v>40362</v>
      </c>
      <c r="CD419" s="66"/>
      <c r="CE419" s="66"/>
      <c r="CF419" s="66"/>
      <c r="CG419" s="66"/>
      <c r="CH419" s="248">
        <f>CH216</f>
        <v>40704</v>
      </c>
      <c r="CI419" s="66"/>
      <c r="CJ419" s="66"/>
      <c r="CK419" s="66"/>
      <c r="CL419" s="66"/>
      <c r="CM419" s="248">
        <f>CM216</f>
        <v>39639</v>
      </c>
      <c r="CN419" s="66"/>
      <c r="CO419" s="66"/>
      <c r="CP419" s="66"/>
      <c r="CQ419" s="66"/>
      <c r="CR419" s="248">
        <f>CR216</f>
        <v>41244</v>
      </c>
      <c r="CS419" s="66"/>
      <c r="CT419" s="66"/>
      <c r="CU419" s="66"/>
      <c r="CV419" s="66"/>
      <c r="CW419" s="248">
        <f>CW216</f>
        <v>40638.2264</v>
      </c>
      <c r="CX419" s="66"/>
      <c r="CY419" s="66"/>
      <c r="CZ419" s="66"/>
      <c r="DA419" s="66"/>
      <c r="DB419" s="248">
        <f>DB216</f>
        <v>43348.27362</v>
      </c>
      <c r="DC419" s="66"/>
      <c r="DD419" s="66"/>
      <c r="DE419" s="66"/>
      <c r="DF419" s="66"/>
      <c r="DG419" s="248">
        <f>DG216</f>
        <v>44780.565573752501</v>
      </c>
      <c r="DH419" s="66"/>
      <c r="DI419" s="66"/>
      <c r="DJ419" s="66"/>
      <c r="DK419" s="66"/>
      <c r="DL419" s="248">
        <f>DL216</f>
        <v>46199.592826018037</v>
      </c>
      <c r="DM419" s="66"/>
      <c r="DN419" s="526"/>
      <c r="DO419" s="486"/>
      <c r="DP419" s="411"/>
      <c r="DQ419" s="411"/>
      <c r="DR419" s="411"/>
      <c r="DS419" s="478"/>
      <c r="DT419" s="478"/>
      <c r="DU419" s="472"/>
      <c r="DV419" s="472"/>
      <c r="DW419" s="472"/>
      <c r="DX419" s="472"/>
      <c r="DY419" s="472"/>
      <c r="DZ419" s="472"/>
      <c r="EA419" s="526"/>
      <c r="EH419" s="8"/>
    </row>
    <row r="420" spans="1:138" ht="12.75" hidden="1" customHeight="1" x14ac:dyDescent="0.2">
      <c r="A420" s="66" t="s">
        <v>129</v>
      </c>
      <c r="B420" s="66"/>
      <c r="C420" s="66"/>
      <c r="D420" s="66"/>
      <c r="E420" s="66"/>
      <c r="F420" s="248"/>
      <c r="G420" s="66"/>
      <c r="H420" s="66"/>
      <c r="I420" s="66"/>
      <c r="J420" s="66"/>
      <c r="K420" s="248"/>
      <c r="L420" s="66"/>
      <c r="M420" s="66"/>
      <c r="N420" s="66"/>
      <c r="O420" s="66"/>
      <c r="P420" s="248"/>
      <c r="Q420" s="66"/>
      <c r="R420" s="66"/>
      <c r="S420" s="66"/>
      <c r="T420" s="66"/>
      <c r="U420" s="248"/>
      <c r="V420" s="66"/>
      <c r="W420" s="66"/>
      <c r="X420" s="66"/>
      <c r="Y420" s="66"/>
      <c r="Z420" s="248"/>
      <c r="AA420" s="66"/>
      <c r="AB420" s="66"/>
      <c r="AC420" s="66"/>
      <c r="AD420" s="66"/>
      <c r="AE420" s="248"/>
      <c r="AF420" s="66"/>
      <c r="AG420" s="66"/>
      <c r="AH420" s="66"/>
      <c r="AI420" s="66"/>
      <c r="AJ420" s="248"/>
      <c r="AK420" s="66"/>
      <c r="AL420" s="66"/>
      <c r="AM420" s="66"/>
      <c r="AN420" s="66"/>
      <c r="AO420" s="248"/>
      <c r="AP420" s="66"/>
      <c r="AQ420" s="66"/>
      <c r="AR420" s="66"/>
      <c r="AS420" s="66"/>
      <c r="AT420" s="248"/>
      <c r="AU420" s="66"/>
      <c r="AV420" s="66"/>
      <c r="AW420" s="66"/>
      <c r="AX420" s="66"/>
      <c r="AY420" s="248"/>
      <c r="AZ420" s="66">
        <f t="shared" ref="AZ420:BS420" si="1183">AZ224</f>
        <v>-74</v>
      </c>
      <c r="BA420" s="66">
        <f t="shared" si="1183"/>
        <v>-253</v>
      </c>
      <c r="BB420" s="66">
        <f t="shared" si="1183"/>
        <v>-136</v>
      </c>
      <c r="BC420" s="66">
        <f t="shared" si="1183"/>
        <v>85</v>
      </c>
      <c r="BD420" s="248">
        <f t="shared" si="1183"/>
        <v>85</v>
      </c>
      <c r="BE420" s="66">
        <f t="shared" si="1183"/>
        <v>589</v>
      </c>
      <c r="BF420" s="66">
        <f t="shared" si="1183"/>
        <v>1464.0599999999995</v>
      </c>
      <c r="BG420" s="66">
        <f t="shared" si="1183"/>
        <v>2340.0599999999995</v>
      </c>
      <c r="BH420" s="66">
        <f t="shared" si="1183"/>
        <v>2667.0599999999995</v>
      </c>
      <c r="BI420" s="248">
        <f t="shared" si="1183"/>
        <v>2667.0599999999995</v>
      </c>
      <c r="BJ420" s="66">
        <f t="shared" si="1183"/>
        <v>2431.0599999999995</v>
      </c>
      <c r="BK420" s="66">
        <f t="shared" si="1183"/>
        <v>2133</v>
      </c>
      <c r="BL420" s="66">
        <f t="shared" si="1183"/>
        <v>1995</v>
      </c>
      <c r="BM420" s="66">
        <f t="shared" si="1183"/>
        <v>2243</v>
      </c>
      <c r="BN420" s="350">
        <f t="shared" si="1183"/>
        <v>2243</v>
      </c>
      <c r="BO420" s="350">
        <f t="shared" si="1183"/>
        <v>2576</v>
      </c>
      <c r="BP420" s="66">
        <f t="shared" si="1183"/>
        <v>2828</v>
      </c>
      <c r="BQ420" s="66">
        <f t="shared" si="1183"/>
        <v>2774</v>
      </c>
      <c r="BR420" s="66">
        <f t="shared" si="1183"/>
        <v>2601</v>
      </c>
      <c r="BS420" s="248">
        <f t="shared" si="1183"/>
        <v>2601</v>
      </c>
      <c r="BT420" s="66"/>
      <c r="BU420" s="66"/>
      <c r="BV420" s="66"/>
      <c r="BW420" s="66"/>
      <c r="BX420" s="248">
        <f>BX224</f>
        <v>3526</v>
      </c>
      <c r="BY420" s="66"/>
      <c r="BZ420" s="66"/>
      <c r="CA420" s="66"/>
      <c r="CB420" s="66"/>
      <c r="CC420" s="248">
        <f>CC224</f>
        <v>5268</v>
      </c>
      <c r="CD420" s="66"/>
      <c r="CE420" s="66"/>
      <c r="CF420" s="66"/>
      <c r="CG420" s="66"/>
      <c r="CH420" s="248">
        <f>CH224</f>
        <v>6536</v>
      </c>
      <c r="CI420" s="66"/>
      <c r="CJ420" s="66"/>
      <c r="CK420" s="66"/>
      <c r="CL420" s="66"/>
      <c r="CM420" s="248">
        <f>CM224</f>
        <v>6502</v>
      </c>
      <c r="CN420" s="66"/>
      <c r="CO420" s="66"/>
      <c r="CP420" s="66"/>
      <c r="CQ420" s="66"/>
      <c r="CR420" s="248">
        <f>CR224</f>
        <v>5854</v>
      </c>
      <c r="CS420" s="66"/>
      <c r="CT420" s="66"/>
      <c r="CU420" s="66"/>
      <c r="CV420" s="66"/>
      <c r="CW420" s="248">
        <f>CW224</f>
        <v>5707</v>
      </c>
      <c r="CX420" s="66"/>
      <c r="CY420" s="66"/>
      <c r="CZ420" s="66"/>
      <c r="DA420" s="66"/>
      <c r="DB420" s="248">
        <f>DB224</f>
        <v>5658.4013294075194</v>
      </c>
      <c r="DC420" s="66"/>
      <c r="DD420" s="66"/>
      <c r="DE420" s="66"/>
      <c r="DF420" s="66"/>
      <c r="DG420" s="248">
        <f>DG224</f>
        <v>6136.6596306245701</v>
      </c>
      <c r="DH420" s="66"/>
      <c r="DI420" s="66"/>
      <c r="DJ420" s="66"/>
      <c r="DK420" s="66"/>
      <c r="DL420" s="248">
        <f>DL224</f>
        <v>6619.2599263945376</v>
      </c>
      <c r="DM420" s="66"/>
      <c r="DN420" s="526"/>
      <c r="DO420" s="486"/>
      <c r="DP420" s="411"/>
      <c r="DQ420" s="411"/>
      <c r="DR420" s="411"/>
      <c r="DS420" s="478"/>
      <c r="DT420" s="478"/>
      <c r="DU420" s="472"/>
      <c r="DV420" s="472"/>
      <c r="DW420" s="472"/>
      <c r="DX420" s="472"/>
      <c r="DY420" s="472"/>
      <c r="DZ420" s="472"/>
      <c r="EA420" s="526"/>
      <c r="EH420" s="8"/>
    </row>
    <row r="421" spans="1:138" ht="12.75" hidden="1" customHeight="1" x14ac:dyDescent="0.2">
      <c r="A421" s="66" t="s">
        <v>130</v>
      </c>
      <c r="B421" s="66"/>
      <c r="C421" s="66"/>
      <c r="D421" s="66"/>
      <c r="E421" s="66"/>
      <c r="F421" s="248"/>
      <c r="G421" s="66"/>
      <c r="H421" s="66"/>
      <c r="I421" s="66"/>
      <c r="J421" s="66"/>
      <c r="K421" s="248"/>
      <c r="L421" s="66"/>
      <c r="M421" s="66"/>
      <c r="N421" s="66"/>
      <c r="O421" s="66"/>
      <c r="P421" s="248"/>
      <c r="Q421" s="66"/>
      <c r="R421" s="66"/>
      <c r="S421" s="66"/>
      <c r="T421" s="66"/>
      <c r="U421" s="248"/>
      <c r="V421" s="66"/>
      <c r="W421" s="66"/>
      <c r="X421" s="66"/>
      <c r="Y421" s="66"/>
      <c r="Z421" s="248"/>
      <c r="AA421" s="66"/>
      <c r="AB421" s="66"/>
      <c r="AC421" s="66"/>
      <c r="AD421" s="66"/>
      <c r="AE421" s="248"/>
      <c r="AF421" s="66"/>
      <c r="AG421" s="66"/>
      <c r="AH421" s="66"/>
      <c r="AI421" s="66"/>
      <c r="AJ421" s="248"/>
      <c r="AK421" s="66"/>
      <c r="AL421" s="66"/>
      <c r="AM421" s="66"/>
      <c r="AN421" s="66"/>
      <c r="AO421" s="248"/>
      <c r="AP421" s="66"/>
      <c r="AQ421" s="66"/>
      <c r="AR421" s="66"/>
      <c r="AS421" s="66"/>
      <c r="AT421" s="248"/>
      <c r="AU421" s="66"/>
      <c r="AV421" s="66"/>
      <c r="AW421" s="66"/>
      <c r="AX421" s="66"/>
      <c r="AY421" s="248"/>
      <c r="AZ421" s="66" t="e">
        <f>#REF!</f>
        <v>#REF!</v>
      </c>
      <c r="BA421" s="66" t="e">
        <f>#REF!</f>
        <v>#REF!</v>
      </c>
      <c r="BB421" s="66" t="e">
        <f>#REF!</f>
        <v>#REF!</v>
      </c>
      <c r="BC421" s="66" t="e">
        <f>#REF!</f>
        <v>#REF!</v>
      </c>
      <c r="BD421" s="248" t="e">
        <f>#REF!</f>
        <v>#REF!</v>
      </c>
      <c r="BE421" s="66" t="e">
        <f>#REF!</f>
        <v>#REF!</v>
      </c>
      <c r="BF421" s="66" t="e">
        <f>#REF!</f>
        <v>#REF!</v>
      </c>
      <c r="BG421" s="66" t="e">
        <f>#REF!</f>
        <v>#REF!</v>
      </c>
      <c r="BH421" s="66" t="e">
        <f>#REF!</f>
        <v>#REF!</v>
      </c>
      <c r="BI421" s="248" t="e">
        <f>#REF!</f>
        <v>#REF!</v>
      </c>
      <c r="BJ421" s="66" t="e">
        <f>#REF!</f>
        <v>#REF!</v>
      </c>
      <c r="BK421" s="66" t="e">
        <f>#REF!</f>
        <v>#REF!</v>
      </c>
      <c r="BL421" s="66" t="e">
        <f>#REF!</f>
        <v>#REF!</v>
      </c>
      <c r="BM421" s="66" t="e">
        <f>#REF!</f>
        <v>#REF!</v>
      </c>
      <c r="BN421" s="350" t="e">
        <f>#REF!</f>
        <v>#REF!</v>
      </c>
      <c r="BO421" s="350" t="e">
        <f>#REF!</f>
        <v>#REF!</v>
      </c>
      <c r="BP421" s="66" t="e">
        <f>#REF!</f>
        <v>#REF!</v>
      </c>
      <c r="BQ421" s="66" t="e">
        <f>#REF!</f>
        <v>#REF!</v>
      </c>
      <c r="BR421" s="66" t="e">
        <f>#REF!</f>
        <v>#REF!</v>
      </c>
      <c r="BS421" s="248" t="e">
        <f>#REF!</f>
        <v>#REF!</v>
      </c>
      <c r="BT421" s="66"/>
      <c r="BU421" s="66"/>
      <c r="BV421" s="66"/>
      <c r="BW421" s="66"/>
      <c r="BX421" s="248" t="e">
        <f>#REF!</f>
        <v>#REF!</v>
      </c>
      <c r="BY421" s="66"/>
      <c r="BZ421" s="66"/>
      <c r="CA421" s="66"/>
      <c r="CB421" s="66"/>
      <c r="CC421" s="248" t="e">
        <f>#REF!</f>
        <v>#REF!</v>
      </c>
      <c r="CD421" s="66"/>
      <c r="CE421" s="66"/>
      <c r="CF421" s="66"/>
      <c r="CG421" s="66"/>
      <c r="CH421" s="248" t="e">
        <f>#REF!</f>
        <v>#REF!</v>
      </c>
      <c r="CI421" s="66"/>
      <c r="CJ421" s="66"/>
      <c r="CK421" s="66"/>
      <c r="CL421" s="66"/>
      <c r="CM421" s="248" t="e">
        <f>#REF!</f>
        <v>#REF!</v>
      </c>
      <c r="CN421" s="66"/>
      <c r="CO421" s="66"/>
      <c r="CP421" s="66"/>
      <c r="CQ421" s="66"/>
      <c r="CR421" s="248" t="e">
        <f>#REF!</f>
        <v>#REF!</v>
      </c>
      <c r="CS421" s="66"/>
      <c r="CT421" s="66"/>
      <c r="CU421" s="66"/>
      <c r="CV421" s="66"/>
      <c r="CW421" s="248" t="e">
        <f>#REF!</f>
        <v>#REF!</v>
      </c>
      <c r="CX421" s="66"/>
      <c r="CY421" s="66"/>
      <c r="CZ421" s="66"/>
      <c r="DA421" s="66"/>
      <c r="DB421" s="248" t="e">
        <f>#REF!</f>
        <v>#REF!</v>
      </c>
      <c r="DC421" s="66"/>
      <c r="DD421" s="66"/>
      <c r="DE421" s="66"/>
      <c r="DF421" s="66"/>
      <c r="DG421" s="248" t="e">
        <f>#REF!</f>
        <v>#REF!</v>
      </c>
      <c r="DH421" s="66"/>
      <c r="DI421" s="66"/>
      <c r="DJ421" s="66"/>
      <c r="DK421" s="66"/>
      <c r="DL421" s="248" t="e">
        <f>#REF!</f>
        <v>#REF!</v>
      </c>
      <c r="DM421" s="66"/>
      <c r="DN421" s="526"/>
      <c r="DO421" s="486"/>
      <c r="DP421" s="411"/>
      <c r="DQ421" s="411"/>
      <c r="DR421" s="411"/>
      <c r="DS421" s="478"/>
      <c r="DT421" s="478"/>
      <c r="DU421" s="472"/>
      <c r="DV421" s="472"/>
      <c r="DW421" s="472"/>
      <c r="DX421" s="472"/>
      <c r="DY421" s="472"/>
      <c r="DZ421" s="472"/>
      <c r="EA421" s="526"/>
      <c r="EH421" s="8"/>
    </row>
    <row r="422" spans="1:138" ht="12.75" hidden="1" customHeight="1" x14ac:dyDescent="0.2">
      <c r="A422" s="66" t="s">
        <v>289</v>
      </c>
      <c r="B422" s="66"/>
      <c r="C422" s="66"/>
      <c r="D422" s="66"/>
      <c r="E422" s="66"/>
      <c r="F422" s="248"/>
      <c r="G422" s="66"/>
      <c r="H422" s="66"/>
      <c r="I422" s="66"/>
      <c r="J422" s="66"/>
      <c r="K422" s="248"/>
      <c r="L422" s="66"/>
      <c r="M422" s="66"/>
      <c r="N422" s="66"/>
      <c r="O422" s="66"/>
      <c r="P422" s="248"/>
      <c r="Q422" s="66"/>
      <c r="R422" s="66"/>
      <c r="S422" s="66"/>
      <c r="T422" s="66"/>
      <c r="U422" s="248"/>
      <c r="V422" s="66"/>
      <c r="W422" s="66"/>
      <c r="X422" s="66"/>
      <c r="Y422" s="66"/>
      <c r="Z422" s="248"/>
      <c r="AA422" s="66"/>
      <c r="AB422" s="66"/>
      <c r="AC422" s="66"/>
      <c r="AD422" s="66"/>
      <c r="AE422" s="248"/>
      <c r="AF422" s="66"/>
      <c r="AG422" s="66"/>
      <c r="AH422" s="66"/>
      <c r="AI422" s="66"/>
      <c r="AJ422" s="248"/>
      <c r="AK422" s="66"/>
      <c r="AL422" s="66"/>
      <c r="AM422" s="66"/>
      <c r="AN422" s="66"/>
      <c r="AO422" s="248"/>
      <c r="AP422" s="66"/>
      <c r="AQ422" s="66"/>
      <c r="AR422" s="66"/>
      <c r="AS422" s="66"/>
      <c r="AT422" s="248"/>
      <c r="AU422" s="66"/>
      <c r="AV422" s="66"/>
      <c r="AW422" s="66"/>
      <c r="AX422" s="66"/>
      <c r="AY422" s="248"/>
      <c r="AZ422" s="66">
        <f t="shared" ref="AZ422:BS422" si="1184">AZ230</f>
        <v>-1181</v>
      </c>
      <c r="BA422" s="66">
        <f t="shared" si="1184"/>
        <v>-1459</v>
      </c>
      <c r="BB422" s="66">
        <f t="shared" si="1184"/>
        <v>-1365</v>
      </c>
      <c r="BC422" s="66">
        <f t="shared" si="1184"/>
        <v>-1089</v>
      </c>
      <c r="BD422" s="248">
        <f t="shared" si="1184"/>
        <v>-1089</v>
      </c>
      <c r="BE422" s="66">
        <f t="shared" si="1184"/>
        <v>-578</v>
      </c>
      <c r="BF422" s="66">
        <f t="shared" si="1184"/>
        <v>167.05999999999949</v>
      </c>
      <c r="BG422" s="66">
        <f t="shared" si="1184"/>
        <v>1066.0599999999995</v>
      </c>
      <c r="BH422" s="66">
        <f t="shared" si="1184"/>
        <v>1460.0599999999995</v>
      </c>
      <c r="BI422" s="248">
        <f t="shared" si="1184"/>
        <v>1460.0599999999995</v>
      </c>
      <c r="BJ422" s="66">
        <f t="shared" si="1184"/>
        <v>1251.0599999999995</v>
      </c>
      <c r="BK422" s="66">
        <f t="shared" si="1184"/>
        <v>1064</v>
      </c>
      <c r="BL422" s="66">
        <f t="shared" si="1184"/>
        <v>895</v>
      </c>
      <c r="BM422" s="66">
        <f t="shared" si="1184"/>
        <v>1106</v>
      </c>
      <c r="BN422" s="350">
        <f t="shared" si="1184"/>
        <v>1106</v>
      </c>
      <c r="BO422" s="350">
        <f t="shared" si="1184"/>
        <v>1461</v>
      </c>
      <c r="BP422" s="66">
        <f t="shared" si="1184"/>
        <v>1688</v>
      </c>
      <c r="BQ422" s="66">
        <f t="shared" si="1184"/>
        <v>1698</v>
      </c>
      <c r="BR422" s="66">
        <f t="shared" si="1184"/>
        <v>1568.2479338842975</v>
      </c>
      <c r="BS422" s="248">
        <f t="shared" si="1184"/>
        <v>1568.2479338842975</v>
      </c>
      <c r="BT422" s="66"/>
      <c r="BU422" s="66"/>
      <c r="BV422" s="66"/>
      <c r="BW422" s="66"/>
      <c r="BX422" s="248">
        <f>BX230</f>
        <v>2675</v>
      </c>
      <c r="BY422" s="66"/>
      <c r="BZ422" s="66"/>
      <c r="CA422" s="66"/>
      <c r="CB422" s="66"/>
      <c r="CC422" s="248">
        <f>CC230</f>
        <v>4536</v>
      </c>
      <c r="CD422" s="66"/>
      <c r="CE422" s="66"/>
      <c r="CF422" s="66"/>
      <c r="CG422" s="66"/>
      <c r="CH422" s="248">
        <f>CH230</f>
        <v>5865</v>
      </c>
      <c r="CI422" s="66"/>
      <c r="CJ422" s="66"/>
      <c r="CK422" s="66"/>
      <c r="CL422" s="66"/>
      <c r="CM422" s="248">
        <f>CM230</f>
        <v>6071</v>
      </c>
      <c r="CN422" s="66"/>
      <c r="CO422" s="66"/>
      <c r="CP422" s="66"/>
      <c r="CQ422" s="66"/>
      <c r="CR422" s="248">
        <f>CR230</f>
        <v>5450</v>
      </c>
      <c r="CS422" s="66"/>
      <c r="CT422" s="66"/>
      <c r="CU422" s="66"/>
      <c r="CV422" s="66"/>
      <c r="CW422" s="248">
        <f>CW230</f>
        <v>5250</v>
      </c>
      <c r="CX422" s="66"/>
      <c r="CY422" s="66"/>
      <c r="CZ422" s="66"/>
      <c r="DA422" s="66"/>
      <c r="DB422" s="248">
        <f>DB230</f>
        <v>5417.4013294075194</v>
      </c>
      <c r="DC422" s="66"/>
      <c r="DD422" s="66"/>
      <c r="DE422" s="66"/>
      <c r="DF422" s="66"/>
      <c r="DG422" s="248">
        <f>DG230</f>
        <v>5826.6596306245701</v>
      </c>
      <c r="DH422" s="66"/>
      <c r="DI422" s="66"/>
      <c r="DJ422" s="66"/>
      <c r="DK422" s="66"/>
      <c r="DL422" s="248">
        <f>DL230</f>
        <v>6386.2599263945376</v>
      </c>
      <c r="DM422" s="66"/>
      <c r="DN422" s="526"/>
      <c r="DO422" s="486"/>
      <c r="DP422" s="411"/>
      <c r="DQ422" s="411"/>
      <c r="DR422" s="411"/>
      <c r="DS422" s="478"/>
      <c r="DT422" s="478"/>
      <c r="DU422" s="472"/>
      <c r="DV422" s="472"/>
      <c r="DW422" s="472"/>
      <c r="DX422" s="472"/>
      <c r="DY422" s="472"/>
      <c r="DZ422" s="472"/>
      <c r="EA422" s="526"/>
      <c r="EH422" s="8"/>
    </row>
    <row r="423" spans="1:138" ht="12.75" hidden="1" customHeight="1" x14ac:dyDescent="0.2">
      <c r="A423" s="66" t="s">
        <v>290</v>
      </c>
      <c r="B423" s="66"/>
      <c r="C423" s="66"/>
      <c r="D423" s="66"/>
      <c r="E423" s="66"/>
      <c r="F423" s="248"/>
      <c r="G423" s="66"/>
      <c r="H423" s="66"/>
      <c r="I423" s="66"/>
      <c r="J423" s="66"/>
      <c r="K423" s="248"/>
      <c r="L423" s="66"/>
      <c r="M423" s="66"/>
      <c r="N423" s="66"/>
      <c r="O423" s="66"/>
      <c r="P423" s="248"/>
      <c r="Q423" s="66"/>
      <c r="R423" s="66"/>
      <c r="S423" s="66"/>
      <c r="T423" s="66"/>
      <c r="U423" s="248"/>
      <c r="V423" s="66"/>
      <c r="W423" s="66"/>
      <c r="X423" s="66"/>
      <c r="Y423" s="66"/>
      <c r="Z423" s="248"/>
      <c r="AA423" s="66"/>
      <c r="AB423" s="66"/>
      <c r="AC423" s="66"/>
      <c r="AD423" s="66"/>
      <c r="AE423" s="248"/>
      <c r="AF423" s="66"/>
      <c r="AG423" s="66"/>
      <c r="AH423" s="66"/>
      <c r="AI423" s="66"/>
      <c r="AJ423" s="248"/>
      <c r="AK423" s="66"/>
      <c r="AL423" s="66"/>
      <c r="AM423" s="66"/>
      <c r="AN423" s="66"/>
      <c r="AO423" s="248"/>
      <c r="AP423" s="66"/>
      <c r="AQ423" s="66"/>
      <c r="AR423" s="66"/>
      <c r="AS423" s="66"/>
      <c r="AT423" s="248"/>
      <c r="AU423" s="66"/>
      <c r="AV423" s="66"/>
      <c r="AW423" s="66"/>
      <c r="AX423" s="66"/>
      <c r="AY423" s="248"/>
      <c r="AZ423" s="66">
        <f t="shared" ref="AZ423:BS423" si="1185">AZ231</f>
        <v>-1184</v>
      </c>
      <c r="BA423" s="66">
        <f t="shared" si="1185"/>
        <v>-1466</v>
      </c>
      <c r="BB423" s="66">
        <f t="shared" si="1185"/>
        <v>-1351</v>
      </c>
      <c r="BC423" s="66">
        <f t="shared" si="1185"/>
        <v>-1066</v>
      </c>
      <c r="BD423" s="248">
        <f t="shared" si="1185"/>
        <v>-1066</v>
      </c>
      <c r="BE423" s="66">
        <f t="shared" si="1185"/>
        <v>-565</v>
      </c>
      <c r="BF423" s="66">
        <f t="shared" si="1185"/>
        <v>185.05999999999949</v>
      </c>
      <c r="BG423" s="66">
        <f t="shared" si="1185"/>
        <v>1063.0599999999995</v>
      </c>
      <c r="BH423" s="66">
        <f t="shared" si="1185"/>
        <v>1446.0599999999995</v>
      </c>
      <c r="BI423" s="248">
        <f t="shared" si="1185"/>
        <v>1446.0599999999995</v>
      </c>
      <c r="BJ423" s="66">
        <f t="shared" si="1185"/>
        <v>1318.0599999999995</v>
      </c>
      <c r="BK423" s="66">
        <f t="shared" si="1185"/>
        <v>1133</v>
      </c>
      <c r="BL423" s="66">
        <f t="shared" si="1185"/>
        <v>969</v>
      </c>
      <c r="BM423" s="66">
        <f t="shared" si="1185"/>
        <v>1190</v>
      </c>
      <c r="BN423" s="350">
        <f t="shared" si="1185"/>
        <v>1190</v>
      </c>
      <c r="BO423" s="350">
        <f t="shared" si="1185"/>
        <v>1471</v>
      </c>
      <c r="BP423" s="66">
        <f t="shared" si="1185"/>
        <v>1691</v>
      </c>
      <c r="BQ423" s="66">
        <f t="shared" si="1185"/>
        <v>1694</v>
      </c>
      <c r="BR423" s="66">
        <f t="shared" si="1185"/>
        <v>1553.2479338842975</v>
      </c>
      <c r="BS423" s="248">
        <f t="shared" si="1185"/>
        <v>1553.2479338842975</v>
      </c>
      <c r="BT423" s="66"/>
      <c r="BU423" s="66"/>
      <c r="BV423" s="66"/>
      <c r="BW423" s="66"/>
      <c r="BX423" s="248">
        <f>BX231</f>
        <v>2699</v>
      </c>
      <c r="BY423" s="66"/>
      <c r="BZ423" s="66"/>
      <c r="CA423" s="66"/>
      <c r="CB423" s="66"/>
      <c r="CC423" s="248">
        <f>CC231</f>
        <v>2833</v>
      </c>
      <c r="CD423" s="66"/>
      <c r="CE423" s="66"/>
      <c r="CF423" s="66"/>
      <c r="CG423" s="66"/>
      <c r="CH423" s="248">
        <f>CH231</f>
        <v>3709</v>
      </c>
      <c r="CI423" s="66"/>
      <c r="CJ423" s="66"/>
      <c r="CK423" s="66"/>
      <c r="CL423" s="66"/>
      <c r="CM423" s="248">
        <f>CM231</f>
        <v>4017</v>
      </c>
      <c r="CN423" s="66"/>
      <c r="CO423" s="66"/>
      <c r="CP423" s="66"/>
      <c r="CQ423" s="66"/>
      <c r="CR423" s="248">
        <f>CR231</f>
        <v>3569</v>
      </c>
      <c r="CS423" s="66"/>
      <c r="CT423" s="66"/>
      <c r="CU423" s="66"/>
      <c r="CV423" s="66"/>
      <c r="CW423" s="248">
        <f>CW231</f>
        <v>3441</v>
      </c>
      <c r="CX423" s="66"/>
      <c r="CY423" s="66"/>
      <c r="CZ423" s="66"/>
      <c r="DA423" s="66"/>
      <c r="DB423" s="248">
        <f>DB231</f>
        <v>4173.8790236437899</v>
      </c>
      <c r="DC423" s="66"/>
      <c r="DD423" s="66"/>
      <c r="DE423" s="66"/>
      <c r="DF423" s="66"/>
      <c r="DG423" s="248">
        <f>DG231</f>
        <v>4486.5279155809185</v>
      </c>
      <c r="DH423" s="66"/>
      <c r="DI423" s="66"/>
      <c r="DJ423" s="66"/>
      <c r="DK423" s="66"/>
      <c r="DL423" s="248">
        <f>DL231</f>
        <v>4917.420143323794</v>
      </c>
      <c r="DM423" s="66"/>
      <c r="DN423" s="526"/>
      <c r="DO423" s="486"/>
      <c r="DP423" s="411"/>
      <c r="DQ423" s="411"/>
      <c r="DR423" s="411"/>
      <c r="DS423" s="478"/>
      <c r="DT423" s="478"/>
      <c r="DU423" s="472"/>
      <c r="DV423" s="472"/>
      <c r="DW423" s="472"/>
      <c r="DX423" s="472"/>
      <c r="DY423" s="472"/>
      <c r="DZ423" s="472"/>
      <c r="EA423" s="526"/>
      <c r="EH423" s="8"/>
    </row>
    <row r="424" spans="1:138" ht="12.75" hidden="1" customHeight="1" x14ac:dyDescent="0.2">
      <c r="A424" s="97" t="s">
        <v>195</v>
      </c>
      <c r="B424" s="97"/>
      <c r="C424" s="97"/>
      <c r="D424" s="97"/>
      <c r="E424" s="97"/>
      <c r="F424" s="263"/>
      <c r="G424" s="97"/>
      <c r="H424" s="97"/>
      <c r="I424" s="97"/>
      <c r="J424" s="97"/>
      <c r="K424" s="263"/>
      <c r="L424" s="97"/>
      <c r="M424" s="97"/>
      <c r="N424" s="97"/>
      <c r="O424" s="97"/>
      <c r="P424" s="263"/>
      <c r="Q424" s="97"/>
      <c r="R424" s="97"/>
      <c r="S424" s="97"/>
      <c r="T424" s="97"/>
      <c r="U424" s="263"/>
      <c r="V424" s="97"/>
      <c r="W424" s="97"/>
      <c r="X424" s="97"/>
      <c r="Y424" s="97"/>
      <c r="Z424" s="263"/>
      <c r="AA424" s="97"/>
      <c r="AB424" s="97"/>
      <c r="AC424" s="97"/>
      <c r="AD424" s="97"/>
      <c r="AE424" s="263"/>
      <c r="AF424" s="97"/>
      <c r="AG424" s="97"/>
      <c r="AH424" s="97"/>
      <c r="AI424" s="97"/>
      <c r="AJ424" s="263"/>
      <c r="AK424" s="97"/>
      <c r="AL424" s="97"/>
      <c r="AM424" s="97"/>
      <c r="AN424" s="97"/>
      <c r="AO424" s="263"/>
      <c r="AP424" s="97"/>
      <c r="AQ424" s="97"/>
      <c r="AR424" s="97"/>
      <c r="AS424" s="97"/>
      <c r="AT424" s="263"/>
      <c r="AU424" s="97"/>
      <c r="AV424" s="97"/>
      <c r="AW424" s="97"/>
      <c r="AX424" s="97"/>
      <c r="AY424" s="263"/>
      <c r="AZ424" s="97">
        <f t="shared" ref="AZ424:BS424" si="1186">AZ186</f>
        <v>-0.84</v>
      </c>
      <c r="BA424" s="97">
        <f t="shared" si="1186"/>
        <v>-0.24062877871825877</v>
      </c>
      <c r="BB424" s="97">
        <f t="shared" si="1186"/>
        <v>6.1594202898550728E-2</v>
      </c>
      <c r="BC424" s="97">
        <f t="shared" si="1186"/>
        <v>-0.27108433734939757</v>
      </c>
      <c r="BD424" s="263">
        <f t="shared" si="1186"/>
        <v>-1.2882175226586103</v>
      </c>
      <c r="BE424" s="97">
        <f t="shared" si="1186"/>
        <v>-0.23065833733781838</v>
      </c>
      <c r="BF424" s="97">
        <f t="shared" si="1186"/>
        <v>0.6544655581947737</v>
      </c>
      <c r="BG424" s="97">
        <f t="shared" si="1186"/>
        <v>1.1033254156769596</v>
      </c>
      <c r="BH424" s="97">
        <f t="shared" si="1186"/>
        <v>0.18698224852071005</v>
      </c>
      <c r="BI424" s="263">
        <f t="shared" si="1186"/>
        <v>1.7207830070803825</v>
      </c>
      <c r="BJ424" s="97">
        <f t="shared" si="1186"/>
        <v>-0.3823178016726404</v>
      </c>
      <c r="BK424" s="97">
        <f t="shared" si="1186"/>
        <v>0.43364928909952605</v>
      </c>
      <c r="BL424" s="97">
        <f t="shared" si="1186"/>
        <v>0.90639810426540279</v>
      </c>
      <c r="BM424" s="97">
        <f t="shared" si="1186"/>
        <v>0.4485207100591716</v>
      </c>
      <c r="BN424" s="354">
        <f t="shared" si="1186"/>
        <v>1.4124629080118694</v>
      </c>
      <c r="BO424" s="354">
        <f t="shared" si="1186"/>
        <v>-4.6044864226682407E-2</v>
      </c>
      <c r="BP424" s="97">
        <f t="shared" si="1186"/>
        <v>0.69349112426035497</v>
      </c>
      <c r="BQ424" s="97">
        <f t="shared" si="1186"/>
        <v>0.90352941176470591</v>
      </c>
      <c r="BR424" s="97">
        <f t="shared" si="1186"/>
        <v>0.27963372521631163</v>
      </c>
      <c r="BS424" s="263">
        <f t="shared" si="1186"/>
        <v>1.8305809474181467</v>
      </c>
      <c r="BT424" s="97"/>
      <c r="BU424" s="97"/>
      <c r="BV424" s="97"/>
      <c r="BW424" s="97"/>
      <c r="BX424" s="263">
        <f>BX186</f>
        <v>3.1447713370230121</v>
      </c>
      <c r="BY424" s="97"/>
      <c r="BZ424" s="97"/>
      <c r="CA424" s="97"/>
      <c r="CB424" s="97"/>
      <c r="CC424" s="263">
        <f>CC186</f>
        <v>3.3546477205447012</v>
      </c>
      <c r="CD424" s="97"/>
      <c r="CE424" s="97"/>
      <c r="CF424" s="97"/>
      <c r="CG424" s="97"/>
      <c r="CH424" s="263">
        <f>CH186</f>
        <v>4.6117500777121538</v>
      </c>
      <c r="CI424" s="97"/>
      <c r="CJ424" s="97"/>
      <c r="CK424" s="97"/>
      <c r="CL424" s="97"/>
      <c r="CM424" s="263">
        <f>CM186</f>
        <v>5.3134920634920633</v>
      </c>
      <c r="CN424" s="97"/>
      <c r="CO424" s="97"/>
      <c r="CP424" s="97"/>
      <c r="CQ424" s="97"/>
      <c r="CR424" s="263">
        <f>CR186</f>
        <v>4.9227586206896552</v>
      </c>
      <c r="CS424" s="97"/>
      <c r="CT424" s="97"/>
      <c r="CU424" s="97"/>
      <c r="CV424" s="97"/>
      <c r="CW424" s="263">
        <f>CW186</f>
        <v>4.7462068965517243</v>
      </c>
      <c r="CX424" s="97"/>
      <c r="CY424" s="97"/>
      <c r="CZ424" s="97"/>
      <c r="DA424" s="97"/>
      <c r="DB424" s="263">
        <f>DB186</f>
        <v>5.9789373085930597</v>
      </c>
      <c r="DC424" s="97"/>
      <c r="DD424" s="97"/>
      <c r="DE424" s="97"/>
      <c r="DF424" s="97"/>
      <c r="DG424" s="263">
        <f>DG186</f>
        <v>6.7650484530494222</v>
      </c>
      <c r="DH424" s="97"/>
      <c r="DI424" s="97"/>
      <c r="DJ424" s="97"/>
      <c r="DK424" s="97"/>
      <c r="DL424" s="263">
        <f>DL186</f>
        <v>7.7237217545911481</v>
      </c>
      <c r="DM424" s="97"/>
      <c r="DN424" s="531"/>
      <c r="DO424" s="486"/>
      <c r="DP424" s="411"/>
      <c r="DQ424" s="411"/>
      <c r="DR424" s="411"/>
      <c r="DS424" s="478"/>
      <c r="DT424" s="478"/>
      <c r="DU424" s="472"/>
      <c r="DV424" s="474"/>
      <c r="DW424" s="474"/>
      <c r="DX424" s="474"/>
      <c r="DY424" s="474"/>
      <c r="DZ424" s="474"/>
      <c r="EA424" s="531"/>
      <c r="EH424" s="8"/>
    </row>
    <row r="425" spans="1:138" ht="12.75" hidden="1" customHeight="1" x14ac:dyDescent="0.2">
      <c r="A425" s="66" t="s">
        <v>112</v>
      </c>
      <c r="B425" s="66"/>
      <c r="C425" s="66"/>
      <c r="D425" s="66"/>
      <c r="E425" s="66"/>
      <c r="F425" s="248"/>
      <c r="G425" s="66"/>
      <c r="H425" s="66"/>
      <c r="I425" s="66"/>
      <c r="J425" s="66"/>
      <c r="K425" s="248"/>
      <c r="L425" s="66"/>
      <c r="M425" s="66"/>
      <c r="N425" s="66"/>
      <c r="O425" s="66"/>
      <c r="P425" s="248"/>
      <c r="Q425" s="66"/>
      <c r="R425" s="66"/>
      <c r="S425" s="66"/>
      <c r="T425" s="66"/>
      <c r="U425" s="248"/>
      <c r="V425" s="66"/>
      <c r="W425" s="66"/>
      <c r="X425" s="66"/>
      <c r="Y425" s="66"/>
      <c r="Z425" s="248"/>
      <c r="AA425" s="66"/>
      <c r="AB425" s="66"/>
      <c r="AC425" s="66"/>
      <c r="AD425" s="66"/>
      <c r="AE425" s="248"/>
      <c r="AF425" s="66"/>
      <c r="AG425" s="66"/>
      <c r="AH425" s="66"/>
      <c r="AI425" s="66"/>
      <c r="AJ425" s="248"/>
      <c r="AK425" s="66"/>
      <c r="AL425" s="66"/>
      <c r="AM425" s="66"/>
      <c r="AN425" s="66"/>
      <c r="AO425" s="248"/>
      <c r="AP425" s="66"/>
      <c r="AQ425" s="66"/>
      <c r="AR425" s="66"/>
      <c r="AS425" s="66"/>
      <c r="AT425" s="248"/>
      <c r="AU425" s="66"/>
      <c r="AV425" s="66"/>
      <c r="AW425" s="66"/>
      <c r="AX425" s="66"/>
      <c r="AY425" s="248"/>
      <c r="AZ425" s="66">
        <f t="shared" ref="AZ425:BS425" si="1187">AZ225</f>
        <v>2055</v>
      </c>
      <c r="BA425" s="66">
        <f t="shared" si="1187"/>
        <v>1832</v>
      </c>
      <c r="BB425" s="66">
        <f t="shared" si="1187"/>
        <v>1915</v>
      </c>
      <c r="BC425" s="66">
        <f t="shared" si="1187"/>
        <v>2101</v>
      </c>
      <c r="BD425" s="248">
        <f t="shared" si="1187"/>
        <v>2101</v>
      </c>
      <c r="BE425" s="66">
        <f t="shared" si="1187"/>
        <v>2597</v>
      </c>
      <c r="BF425" s="66">
        <f t="shared" si="1187"/>
        <v>3450.0599999999995</v>
      </c>
      <c r="BG425" s="66">
        <f t="shared" si="1187"/>
        <v>4285.0599999999995</v>
      </c>
      <c r="BH425" s="66">
        <f t="shared" si="1187"/>
        <v>4565.0599999999995</v>
      </c>
      <c r="BI425" s="248">
        <f t="shared" si="1187"/>
        <v>4565.0599999999995</v>
      </c>
      <c r="BJ425" s="66">
        <f t="shared" si="1187"/>
        <v>4286.0599999999995</v>
      </c>
      <c r="BK425" s="66">
        <f t="shared" si="1187"/>
        <v>3963</v>
      </c>
      <c r="BL425" s="66">
        <f t="shared" si="1187"/>
        <v>3814</v>
      </c>
      <c r="BM425" s="66">
        <f t="shared" si="1187"/>
        <v>4064</v>
      </c>
      <c r="BN425" s="350">
        <f t="shared" si="1187"/>
        <v>4064</v>
      </c>
      <c r="BO425" s="350">
        <f t="shared" si="1187"/>
        <v>4404</v>
      </c>
      <c r="BP425" s="66">
        <f t="shared" si="1187"/>
        <v>4657</v>
      </c>
      <c r="BQ425" s="66">
        <f t="shared" si="1187"/>
        <v>4604</v>
      </c>
      <c r="BR425" s="66">
        <f t="shared" si="1187"/>
        <v>4438</v>
      </c>
      <c r="BS425" s="248">
        <f t="shared" si="1187"/>
        <v>4438</v>
      </c>
      <c r="BT425" s="66"/>
      <c r="BU425" s="66"/>
      <c r="BV425" s="66"/>
      <c r="BW425" s="66"/>
      <c r="BX425" s="248">
        <f>BX225</f>
        <v>5393</v>
      </c>
      <c r="BY425" s="66"/>
      <c r="BZ425" s="66"/>
      <c r="CA425" s="66"/>
      <c r="CB425" s="66"/>
      <c r="CC425" s="248">
        <f>CC225</f>
        <v>7272</v>
      </c>
      <c r="CD425" s="66"/>
      <c r="CE425" s="66"/>
      <c r="CF425" s="66"/>
      <c r="CG425" s="66"/>
      <c r="CH425" s="248">
        <f>CH225</f>
        <v>8621</v>
      </c>
      <c r="CI425" s="66"/>
      <c r="CJ425" s="66"/>
      <c r="CK425" s="66"/>
      <c r="CL425" s="66"/>
      <c r="CM425" s="248">
        <f>CM225</f>
        <v>8689</v>
      </c>
      <c r="CN425" s="66"/>
      <c r="CO425" s="66"/>
      <c r="CP425" s="66"/>
      <c r="CQ425" s="66"/>
      <c r="CR425" s="248">
        <f>CR225</f>
        <v>8440</v>
      </c>
      <c r="CS425" s="66"/>
      <c r="CT425" s="66"/>
      <c r="CU425" s="66"/>
      <c r="CV425" s="66"/>
      <c r="CW425" s="248">
        <f>CW225</f>
        <v>8280</v>
      </c>
      <c r="CX425" s="66"/>
      <c r="CY425" s="66"/>
      <c r="CZ425" s="66"/>
      <c r="DA425" s="66"/>
      <c r="DB425" s="248">
        <f>DB225</f>
        <v>8466.2556872831847</v>
      </c>
      <c r="DC425" s="66"/>
      <c r="DD425" s="66"/>
      <c r="DE425" s="66"/>
      <c r="DF425" s="66"/>
      <c r="DG425" s="248">
        <f>DG225</f>
        <v>9043.4066982700115</v>
      </c>
      <c r="DH425" s="66"/>
      <c r="DI425" s="66"/>
      <c r="DJ425" s="66"/>
      <c r="DK425" s="66"/>
      <c r="DL425" s="248">
        <f>DL225</f>
        <v>9600.7077445693412</v>
      </c>
      <c r="DM425" s="66"/>
      <c r="DN425" s="526"/>
      <c r="DO425" s="486"/>
      <c r="DP425" s="411"/>
      <c r="DQ425" s="411"/>
      <c r="DR425" s="411"/>
      <c r="DS425" s="568"/>
      <c r="DT425" s="568"/>
      <c r="DU425" s="474"/>
      <c r="DV425" s="472"/>
      <c r="DW425" s="472"/>
      <c r="DX425" s="472"/>
      <c r="DY425" s="472"/>
      <c r="DZ425" s="472"/>
      <c r="EA425" s="526"/>
      <c r="EH425" s="8"/>
    </row>
    <row r="426" spans="1:138" ht="12.75" hidden="1" customHeight="1" x14ac:dyDescent="0.2">
      <c r="A426" s="66" t="s">
        <v>269</v>
      </c>
      <c r="B426" s="66"/>
      <c r="C426" s="66"/>
      <c r="D426" s="66"/>
      <c r="E426" s="66"/>
      <c r="F426" s="248"/>
      <c r="G426" s="66"/>
      <c r="H426" s="66"/>
      <c r="I426" s="66"/>
      <c r="J426" s="66"/>
      <c r="K426" s="248"/>
      <c r="L426" s="66"/>
      <c r="M426" s="66"/>
      <c r="N426" s="66"/>
      <c r="O426" s="66"/>
      <c r="P426" s="248"/>
      <c r="Q426" s="66"/>
      <c r="R426" s="66"/>
      <c r="S426" s="66"/>
      <c r="T426" s="66"/>
      <c r="U426" s="248"/>
      <c r="V426" s="66"/>
      <c r="W426" s="66"/>
      <c r="X426" s="66"/>
      <c r="Y426" s="66"/>
      <c r="Z426" s="248"/>
      <c r="AA426" s="66"/>
      <c r="AB426" s="66"/>
      <c r="AC426" s="66"/>
      <c r="AD426" s="66"/>
      <c r="AE426" s="248"/>
      <c r="AF426" s="66"/>
      <c r="AG426" s="66"/>
      <c r="AH426" s="66"/>
      <c r="AI426" s="66"/>
      <c r="AJ426" s="248"/>
      <c r="AK426" s="66"/>
      <c r="AL426" s="66"/>
      <c r="AM426" s="66"/>
      <c r="AN426" s="66"/>
      <c r="AO426" s="248"/>
      <c r="AP426" s="66"/>
      <c r="AQ426" s="66"/>
      <c r="AR426" s="66"/>
      <c r="AS426" s="66"/>
      <c r="AT426" s="248"/>
      <c r="AU426" s="66"/>
      <c r="AV426" s="66"/>
      <c r="AW426" s="66"/>
      <c r="AX426" s="66"/>
      <c r="AY426" s="248"/>
      <c r="AZ426" s="66">
        <f t="shared" ref="AZ426:BS426" si="1188">AZ226</f>
        <v>0</v>
      </c>
      <c r="BA426" s="66">
        <f t="shared" si="1188"/>
        <v>0</v>
      </c>
      <c r="BB426" s="66">
        <f t="shared" si="1188"/>
        <v>0</v>
      </c>
      <c r="BC426" s="66">
        <f t="shared" si="1188"/>
        <v>0</v>
      </c>
      <c r="BD426" s="248">
        <f t="shared" si="1188"/>
        <v>0</v>
      </c>
      <c r="BE426" s="66">
        <f t="shared" si="1188"/>
        <v>0</v>
      </c>
      <c r="BF426" s="66">
        <f t="shared" si="1188"/>
        <v>0</v>
      </c>
      <c r="BG426" s="66">
        <f t="shared" si="1188"/>
        <v>0</v>
      </c>
      <c r="BH426" s="66">
        <f t="shared" si="1188"/>
        <v>0</v>
      </c>
      <c r="BI426" s="248">
        <f t="shared" si="1188"/>
        <v>0</v>
      </c>
      <c r="BJ426" s="66">
        <f t="shared" si="1188"/>
        <v>0</v>
      </c>
      <c r="BK426" s="66">
        <f t="shared" si="1188"/>
        <v>0</v>
      </c>
      <c r="BL426" s="66">
        <f t="shared" si="1188"/>
        <v>0</v>
      </c>
      <c r="BM426" s="66">
        <f t="shared" si="1188"/>
        <v>0</v>
      </c>
      <c r="BN426" s="350">
        <f t="shared" si="1188"/>
        <v>0</v>
      </c>
      <c r="BO426" s="350">
        <f t="shared" si="1188"/>
        <v>0</v>
      </c>
      <c r="BP426" s="66">
        <f t="shared" si="1188"/>
        <v>0</v>
      </c>
      <c r="BQ426" s="66">
        <f t="shared" si="1188"/>
        <v>0</v>
      </c>
      <c r="BR426" s="66">
        <f t="shared" si="1188"/>
        <v>0</v>
      </c>
      <c r="BS426" s="248">
        <f t="shared" si="1188"/>
        <v>0</v>
      </c>
      <c r="BT426" s="66"/>
      <c r="BU426" s="66"/>
      <c r="BV426" s="66"/>
      <c r="BW426" s="66"/>
      <c r="BX426" s="248">
        <f>BX226</f>
        <v>0</v>
      </c>
      <c r="BY426" s="66"/>
      <c r="BZ426" s="66"/>
      <c r="CA426" s="66"/>
      <c r="CB426" s="66"/>
      <c r="CC426" s="248">
        <f>CC226</f>
        <v>0</v>
      </c>
      <c r="CD426" s="66"/>
      <c r="CE426" s="66"/>
      <c r="CF426" s="66"/>
      <c r="CG426" s="66"/>
      <c r="CH426" s="248">
        <f>CH226</f>
        <v>0</v>
      </c>
      <c r="CI426" s="66"/>
      <c r="CJ426" s="66"/>
      <c r="CK426" s="66"/>
      <c r="CL426" s="66"/>
      <c r="CM426" s="248">
        <f>CM226</f>
        <v>0</v>
      </c>
      <c r="CN426" s="66"/>
      <c r="CO426" s="66"/>
      <c r="CP426" s="66"/>
      <c r="CQ426" s="66"/>
      <c r="CR426" s="248">
        <f>CR226</f>
        <v>0</v>
      </c>
      <c r="CS426" s="66"/>
      <c r="CT426" s="66"/>
      <c r="CU426" s="66"/>
      <c r="CV426" s="66"/>
      <c r="CW426" s="248">
        <f>CW226</f>
        <v>0</v>
      </c>
      <c r="CX426" s="66"/>
      <c r="CY426" s="66"/>
      <c r="CZ426" s="66"/>
      <c r="DA426" s="66"/>
      <c r="DB426" s="248">
        <f>DB226</f>
        <v>0</v>
      </c>
      <c r="DC426" s="66"/>
      <c r="DD426" s="66"/>
      <c r="DE426" s="66"/>
      <c r="DF426" s="66"/>
      <c r="DG426" s="248">
        <f>DG226</f>
        <v>0</v>
      </c>
      <c r="DH426" s="66"/>
      <c r="DI426" s="66"/>
      <c r="DJ426" s="66"/>
      <c r="DK426" s="66"/>
      <c r="DL426" s="248">
        <f>DL226</f>
        <v>0</v>
      </c>
      <c r="DM426" s="66"/>
      <c r="DN426" s="526"/>
      <c r="DO426" s="486"/>
      <c r="DP426" s="411"/>
      <c r="DQ426" s="411"/>
      <c r="DR426" s="411"/>
      <c r="DS426" s="478"/>
      <c r="DT426" s="478"/>
      <c r="DU426" s="472"/>
      <c r="DV426" s="472"/>
      <c r="DW426" s="472"/>
      <c r="DX426" s="472"/>
      <c r="DY426" s="472"/>
      <c r="DZ426" s="472"/>
      <c r="EA426" s="526"/>
      <c r="EH426" s="8"/>
    </row>
    <row r="427" spans="1:138" ht="12.75" hidden="1" customHeight="1" x14ac:dyDescent="0.2">
      <c r="A427" s="79" t="s">
        <v>279</v>
      </c>
      <c r="B427" s="66"/>
      <c r="C427" s="66"/>
      <c r="D427" s="66"/>
      <c r="E427" s="66"/>
      <c r="F427" s="248"/>
      <c r="G427" s="66"/>
      <c r="H427" s="66"/>
      <c r="I427" s="66"/>
      <c r="J427" s="66"/>
      <c r="K427" s="248"/>
      <c r="L427" s="66"/>
      <c r="M427" s="66"/>
      <c r="N427" s="66"/>
      <c r="O427" s="66"/>
      <c r="P427" s="248"/>
      <c r="Q427" s="66"/>
      <c r="R427" s="66"/>
      <c r="S427" s="66"/>
      <c r="T427" s="66"/>
      <c r="U427" s="248"/>
      <c r="V427" s="66"/>
      <c r="W427" s="66"/>
      <c r="X427" s="66"/>
      <c r="Y427" s="66"/>
      <c r="Z427" s="248"/>
      <c r="AA427" s="66"/>
      <c r="AB427" s="66"/>
      <c r="AC427" s="66"/>
      <c r="AD427" s="66"/>
      <c r="AE427" s="248"/>
      <c r="AF427" s="66"/>
      <c r="AG427" s="66"/>
      <c r="AH427" s="66"/>
      <c r="AI427" s="66"/>
      <c r="AJ427" s="248"/>
      <c r="AK427" s="66"/>
      <c r="AL427" s="66"/>
      <c r="AM427" s="66"/>
      <c r="AN427" s="66"/>
      <c r="AO427" s="248"/>
      <c r="AP427" s="66"/>
      <c r="AQ427" s="66"/>
      <c r="AR427" s="66"/>
      <c r="AS427" s="66"/>
      <c r="AT427" s="248"/>
      <c r="AU427" s="66"/>
      <c r="AV427" s="66"/>
      <c r="AW427" s="66"/>
      <c r="AX427" s="66"/>
      <c r="AY427" s="248"/>
      <c r="AZ427" s="66"/>
      <c r="BA427" s="66"/>
      <c r="BB427" s="66"/>
      <c r="BC427" s="66"/>
      <c r="BD427" s="248"/>
      <c r="BE427" s="66"/>
      <c r="BF427" s="66"/>
      <c r="BG427" s="66"/>
      <c r="BH427" s="66"/>
      <c r="BI427" s="248"/>
      <c r="BJ427" s="66"/>
      <c r="BK427" s="66"/>
      <c r="BL427" s="66"/>
      <c r="BM427" s="66"/>
      <c r="BN427" s="350"/>
      <c r="BO427" s="350"/>
      <c r="BP427" s="66"/>
      <c r="BQ427" s="66"/>
      <c r="BR427" s="66"/>
      <c r="BS427" s="248"/>
      <c r="BT427" s="66"/>
      <c r="BU427" s="66"/>
      <c r="BV427" s="66"/>
      <c r="BW427" s="66"/>
      <c r="BX427" s="248"/>
      <c r="BY427" s="66"/>
      <c r="BZ427" s="66"/>
      <c r="CA427" s="66"/>
      <c r="CB427" s="66"/>
      <c r="CC427" s="248"/>
      <c r="CD427" s="66"/>
      <c r="CE427" s="66"/>
      <c r="CF427" s="66"/>
      <c r="CG427" s="66"/>
      <c r="CH427" s="248"/>
      <c r="CI427" s="66"/>
      <c r="CJ427" s="66"/>
      <c r="CK427" s="66"/>
      <c r="CL427" s="66"/>
      <c r="CM427" s="248"/>
      <c r="CN427" s="66"/>
      <c r="CO427" s="66"/>
      <c r="CP427" s="66"/>
      <c r="CQ427" s="66"/>
      <c r="CR427" s="248"/>
      <c r="CS427" s="66"/>
      <c r="CT427" s="66"/>
      <c r="CU427" s="66"/>
      <c r="CV427" s="66"/>
      <c r="CW427" s="248"/>
      <c r="CX427" s="66"/>
      <c r="CY427" s="66"/>
      <c r="CZ427" s="66"/>
      <c r="DA427" s="66"/>
      <c r="DB427" s="248"/>
      <c r="DC427" s="66"/>
      <c r="DD427" s="66"/>
      <c r="DE427" s="66"/>
      <c r="DF427" s="66"/>
      <c r="DG427" s="248"/>
      <c r="DH427" s="66"/>
      <c r="DI427" s="66"/>
      <c r="DJ427" s="66"/>
      <c r="DK427" s="66"/>
      <c r="DL427" s="248"/>
      <c r="DM427" s="66"/>
      <c r="DN427" s="526"/>
      <c r="DO427" s="486"/>
      <c r="DP427" s="411"/>
      <c r="DQ427" s="411"/>
      <c r="DR427" s="411"/>
      <c r="DS427" s="478"/>
      <c r="DT427" s="478"/>
      <c r="DU427" s="472"/>
      <c r="DV427" s="472"/>
      <c r="DW427" s="472"/>
      <c r="DX427" s="472"/>
      <c r="DY427" s="472"/>
      <c r="DZ427" s="472"/>
      <c r="EA427" s="526"/>
      <c r="EH427" s="8"/>
    </row>
    <row r="428" spans="1:138" ht="12.75" hidden="1" customHeight="1" x14ac:dyDescent="0.2">
      <c r="A428" s="134" t="s">
        <v>194</v>
      </c>
      <c r="B428" s="66"/>
      <c r="C428" s="66"/>
      <c r="D428" s="66"/>
      <c r="E428" s="66"/>
      <c r="F428" s="248"/>
      <c r="G428" s="66"/>
      <c r="H428" s="66"/>
      <c r="I428" s="66"/>
      <c r="J428" s="66"/>
      <c r="K428" s="248"/>
      <c r="L428" s="66"/>
      <c r="M428" s="66"/>
      <c r="N428" s="66"/>
      <c r="O428" s="66"/>
      <c r="P428" s="248"/>
      <c r="Q428" s="66"/>
      <c r="R428" s="66"/>
      <c r="S428" s="66"/>
      <c r="T428" s="66"/>
      <c r="U428" s="248"/>
      <c r="V428" s="66"/>
      <c r="W428" s="66"/>
      <c r="X428" s="66"/>
      <c r="Y428" s="66"/>
      <c r="Z428" s="248"/>
      <c r="AA428" s="66"/>
      <c r="AB428" s="66"/>
      <c r="AC428" s="66"/>
      <c r="AD428" s="66"/>
      <c r="AE428" s="248"/>
      <c r="AF428" s="66"/>
      <c r="AG428" s="66"/>
      <c r="AH428" s="66"/>
      <c r="AI428" s="66"/>
      <c r="AJ428" s="248"/>
      <c r="AK428" s="66"/>
      <c r="AL428" s="66"/>
      <c r="AM428" s="66"/>
      <c r="AN428" s="66"/>
      <c r="AO428" s="248"/>
      <c r="AP428" s="66"/>
      <c r="AQ428" s="66"/>
      <c r="AR428" s="66"/>
      <c r="AS428" s="66"/>
      <c r="AT428" s="248"/>
      <c r="AU428" s="66"/>
      <c r="AV428" s="66"/>
      <c r="AW428" s="66"/>
      <c r="AX428" s="66"/>
      <c r="AY428" s="248"/>
      <c r="AZ428" s="66"/>
      <c r="BA428" s="66"/>
      <c r="BB428" s="66"/>
      <c r="BC428" s="66"/>
      <c r="BD428" s="248"/>
      <c r="BE428" s="66"/>
      <c r="BF428" s="66"/>
      <c r="BG428" s="66"/>
      <c r="BH428" s="66"/>
      <c r="BI428" s="248"/>
      <c r="BJ428" s="66"/>
      <c r="BK428" s="66"/>
      <c r="BL428" s="66"/>
      <c r="BM428" s="66"/>
      <c r="BN428" s="350"/>
      <c r="BO428" s="350"/>
      <c r="BP428" s="66"/>
      <c r="BQ428" s="66"/>
      <c r="BR428" s="66"/>
      <c r="BS428" s="248"/>
      <c r="BT428" s="66"/>
      <c r="BU428" s="66"/>
      <c r="BV428" s="66"/>
      <c r="BW428" s="66"/>
      <c r="BX428" s="248"/>
      <c r="BY428" s="66"/>
      <c r="BZ428" s="66"/>
      <c r="CA428" s="66"/>
      <c r="CB428" s="66"/>
      <c r="CC428" s="248"/>
      <c r="CD428" s="66"/>
      <c r="CE428" s="66"/>
      <c r="CF428" s="66"/>
      <c r="CG428" s="66"/>
      <c r="CH428" s="248"/>
      <c r="CI428" s="66"/>
      <c r="CJ428" s="66"/>
      <c r="CK428" s="66"/>
      <c r="CL428" s="66"/>
      <c r="CM428" s="248"/>
      <c r="CN428" s="66"/>
      <c r="CO428" s="66"/>
      <c r="CP428" s="66"/>
      <c r="CQ428" s="66"/>
      <c r="CR428" s="248"/>
      <c r="CS428" s="66"/>
      <c r="CT428" s="66"/>
      <c r="CU428" s="66"/>
      <c r="CV428" s="66"/>
      <c r="CW428" s="248"/>
      <c r="CX428" s="66"/>
      <c r="CY428" s="66"/>
      <c r="CZ428" s="66"/>
      <c r="DA428" s="66"/>
      <c r="DB428" s="248"/>
      <c r="DC428" s="66"/>
      <c r="DD428" s="66"/>
      <c r="DE428" s="66"/>
      <c r="DF428" s="66"/>
      <c r="DG428" s="248"/>
      <c r="DH428" s="66"/>
      <c r="DI428" s="66"/>
      <c r="DJ428" s="66"/>
      <c r="DK428" s="66"/>
      <c r="DL428" s="248"/>
      <c r="DM428" s="66"/>
      <c r="DN428" s="526"/>
      <c r="DO428" s="486"/>
      <c r="DP428" s="411"/>
      <c r="DQ428" s="411"/>
      <c r="DR428" s="411"/>
      <c r="DS428" s="478"/>
      <c r="DT428" s="478"/>
      <c r="DU428" s="472"/>
      <c r="DV428" s="472"/>
      <c r="DW428" s="472"/>
      <c r="DX428" s="472"/>
      <c r="DY428" s="472"/>
      <c r="DZ428" s="472"/>
      <c r="EA428" s="526"/>
      <c r="EH428" s="8"/>
    </row>
    <row r="429" spans="1:138" ht="12.75" hidden="1" customHeight="1" x14ac:dyDescent="0.2">
      <c r="A429" s="23" t="s">
        <v>37</v>
      </c>
      <c r="B429" s="23"/>
      <c r="C429" s="23"/>
      <c r="D429" s="23"/>
      <c r="E429" s="23"/>
      <c r="F429" s="202"/>
      <c r="G429" s="23"/>
      <c r="H429" s="23"/>
      <c r="I429" s="23"/>
      <c r="J429" s="23"/>
      <c r="K429" s="202"/>
      <c r="L429" s="23"/>
      <c r="M429" s="23"/>
      <c r="N429" s="23"/>
      <c r="O429" s="23"/>
      <c r="P429" s="202"/>
      <c r="Q429" s="23"/>
      <c r="R429" s="23"/>
      <c r="S429" s="23"/>
      <c r="T429" s="23"/>
      <c r="U429" s="202"/>
      <c r="V429" s="23"/>
      <c r="W429" s="23"/>
      <c r="X429" s="23"/>
      <c r="Y429" s="23"/>
      <c r="Z429" s="202"/>
      <c r="AA429" s="23"/>
      <c r="AB429" s="23"/>
      <c r="AC429" s="23"/>
      <c r="AD429" s="23"/>
      <c r="AE429" s="202"/>
      <c r="AF429" s="23"/>
      <c r="AG429" s="23"/>
      <c r="AH429" s="23"/>
      <c r="AI429" s="23"/>
      <c r="AJ429" s="202"/>
      <c r="AK429" s="23"/>
      <c r="AL429" s="23"/>
      <c r="AM429" s="23"/>
      <c r="AN429" s="23"/>
      <c r="AO429" s="202"/>
      <c r="AP429" s="23"/>
      <c r="AQ429" s="23"/>
      <c r="AR429" s="23"/>
      <c r="AS429" s="23"/>
      <c r="AT429" s="202"/>
      <c r="AU429" s="23"/>
      <c r="AV429" s="23"/>
      <c r="AW429" s="23"/>
      <c r="AX429" s="23"/>
      <c r="AY429" s="202"/>
      <c r="AZ429" s="82">
        <f>AZ$408/BD$420</f>
        <v>6.6235294117647059E-2</v>
      </c>
      <c r="BA429" s="82">
        <f>BA$408/BD$420</f>
        <v>6.8117647058823533E-2</v>
      </c>
      <c r="BB429" s="82">
        <f>BB$408/BI$420</f>
        <v>3.3595044730902203E-3</v>
      </c>
      <c r="BC429" s="82">
        <f>BC$408/BI$420</f>
        <v>4.2668706365811054E-3</v>
      </c>
      <c r="BD429" s="229">
        <f>BD$408/BI$420</f>
        <v>4.2668706365811054E-3</v>
      </c>
      <c r="BE429" s="82">
        <f>BE$408/BI$420</f>
        <v>5.4704431096413292E-3</v>
      </c>
      <c r="BF429" s="82">
        <f>BF$408/BI$420</f>
        <v>4.4056001739743392E-3</v>
      </c>
      <c r="BG429" s="82">
        <f>BG$408/BN$420</f>
        <v>5.1894783771734287E-3</v>
      </c>
      <c r="BH429" s="82">
        <f>BH$408/BN$420</f>
        <v>5.6174765938475256E-3</v>
      </c>
      <c r="BI429" s="229">
        <f>BI$408/BN$420</f>
        <v>5.6174765938475256E-3</v>
      </c>
      <c r="BJ429" s="82">
        <f>BJ$408/BN$420</f>
        <v>4.3691484618814088E-3</v>
      </c>
      <c r="BK429" s="82">
        <f>BK$408/BS$420</f>
        <v>3.767781622452903E-3</v>
      </c>
      <c r="BL429" s="82">
        <f>BL$408/BS$420</f>
        <v>3.767781622452903E-3</v>
      </c>
      <c r="BM429" s="82">
        <f>BM$408/BS$420</f>
        <v>3.767781622452903E-3</v>
      </c>
      <c r="BN429" s="345">
        <f>BN$408/BS$420</f>
        <v>3.767781622452903E-3</v>
      </c>
      <c r="BO429" s="345" t="e">
        <f>BO$408/BU$420</f>
        <v>#DIV/0!</v>
      </c>
      <c r="BP429" s="82" t="e">
        <f>BP$408/BV$420</f>
        <v>#DIV/0!</v>
      </c>
      <c r="BQ429" s="82" t="e">
        <f>BQ$408/BW$420</f>
        <v>#DIV/0!</v>
      </c>
      <c r="BR429" s="82">
        <f>BR$408/BX$420</f>
        <v>2.7793533749290982E-3</v>
      </c>
      <c r="BS429" s="229"/>
      <c r="BT429" s="82"/>
      <c r="BU429" s="82"/>
      <c r="BV429" s="82"/>
      <c r="BW429" s="82"/>
      <c r="BX429" s="229"/>
      <c r="BY429" s="82"/>
      <c r="BZ429" s="82"/>
      <c r="CA429" s="82"/>
      <c r="CB429" s="82"/>
      <c r="CC429" s="229"/>
      <c r="CD429" s="82"/>
      <c r="CE429" s="82"/>
      <c r="CF429" s="82"/>
      <c r="CG429" s="82"/>
      <c r="CH429" s="229"/>
      <c r="CI429" s="82"/>
      <c r="CJ429" s="82"/>
      <c r="CK429" s="82"/>
      <c r="CL429" s="82"/>
      <c r="CM429" s="229"/>
      <c r="CN429" s="82"/>
      <c r="CO429" s="82"/>
      <c r="CP429" s="82"/>
      <c r="CQ429" s="82"/>
      <c r="CR429" s="229"/>
      <c r="CS429" s="82"/>
      <c r="CT429" s="82"/>
      <c r="CU429" s="82"/>
      <c r="CV429" s="82"/>
      <c r="CW429" s="229"/>
      <c r="CX429" s="82"/>
      <c r="CY429" s="82"/>
      <c r="CZ429" s="82"/>
      <c r="DA429" s="82"/>
      <c r="DB429" s="229"/>
      <c r="DC429" s="82"/>
      <c r="DD429" s="82"/>
      <c r="DE429" s="82"/>
      <c r="DF429" s="82"/>
      <c r="DG429" s="229"/>
      <c r="DH429" s="82"/>
      <c r="DI429" s="82"/>
      <c r="DJ429" s="82"/>
      <c r="DK429" s="82"/>
      <c r="DL429" s="229"/>
      <c r="DM429" s="23"/>
      <c r="DN429" s="539"/>
      <c r="DO429" s="486"/>
      <c r="DP429" s="411"/>
      <c r="DQ429" s="411"/>
      <c r="DR429" s="411"/>
      <c r="DS429" s="478"/>
      <c r="DT429" s="478"/>
      <c r="DU429" s="472"/>
      <c r="DV429" s="457"/>
      <c r="DW429" s="457"/>
      <c r="DX429" s="457"/>
      <c r="DY429" s="457"/>
      <c r="DZ429" s="457"/>
      <c r="EA429" s="539"/>
      <c r="EH429" s="8"/>
    </row>
    <row r="430" spans="1:138" ht="12.75" hidden="1" customHeight="1" x14ac:dyDescent="0.2">
      <c r="A430" s="66" t="s">
        <v>283</v>
      </c>
      <c r="B430" s="66"/>
      <c r="C430" s="66"/>
      <c r="D430" s="66"/>
      <c r="E430" s="66"/>
      <c r="F430" s="248"/>
      <c r="G430" s="66"/>
      <c r="H430" s="66"/>
      <c r="I430" s="66"/>
      <c r="J430" s="66"/>
      <c r="K430" s="248"/>
      <c r="L430" s="66"/>
      <c r="M430" s="66"/>
      <c r="N430" s="66"/>
      <c r="O430" s="66"/>
      <c r="P430" s="248"/>
      <c r="Q430" s="66"/>
      <c r="R430" s="66"/>
      <c r="S430" s="66"/>
      <c r="T430" s="66"/>
      <c r="U430" s="248"/>
      <c r="V430" s="66"/>
      <c r="W430" s="66"/>
      <c r="X430" s="66"/>
      <c r="Y430" s="66"/>
      <c r="Z430" s="248"/>
      <c r="AA430" s="66"/>
      <c r="AB430" s="66"/>
      <c r="AC430" s="66"/>
      <c r="AD430" s="66"/>
      <c r="AE430" s="248"/>
      <c r="AF430" s="66"/>
      <c r="AG430" s="66"/>
      <c r="AH430" s="66"/>
      <c r="AI430" s="66"/>
      <c r="AJ430" s="248"/>
      <c r="AK430" s="66"/>
      <c r="AL430" s="66"/>
      <c r="AM430" s="66"/>
      <c r="AN430" s="66"/>
      <c r="AO430" s="248"/>
      <c r="AP430" s="66"/>
      <c r="AQ430" s="66"/>
      <c r="AR430" s="66"/>
      <c r="AS430" s="66"/>
      <c r="AT430" s="248"/>
      <c r="AU430" s="66"/>
      <c r="AV430" s="66"/>
      <c r="AW430" s="66"/>
      <c r="AX430" s="66"/>
      <c r="AY430" s="248"/>
      <c r="AZ430" s="82">
        <f>AZ$408/BD$422</f>
        <v>-5.1698806244260785E-3</v>
      </c>
      <c r="BA430" s="82">
        <f>BA$408/BD$422</f>
        <v>-5.3168044077134989E-3</v>
      </c>
      <c r="BB430" s="82">
        <f>BB$408/BI$422</f>
        <v>6.136734106817531E-3</v>
      </c>
      <c r="BC430" s="82">
        <f>BC$408/BI$422</f>
        <v>7.7942002383463724E-3</v>
      </c>
      <c r="BD430" s="229">
        <f>BD$408/BI$422</f>
        <v>7.7942002383463724E-3</v>
      </c>
      <c r="BE430" s="82">
        <f>BE$408/BI$422</f>
        <v>9.9927400243825636E-3</v>
      </c>
      <c r="BF430" s="82">
        <f>BF$408/BI$422</f>
        <v>8.0476144815966495E-3</v>
      </c>
      <c r="BG430" s="82">
        <f>BG$408/BN$422</f>
        <v>1.0524412296564195E-2</v>
      </c>
      <c r="BH430" s="82">
        <f>BH$408/BN$422</f>
        <v>1.1392405063291139E-2</v>
      </c>
      <c r="BI430" s="229">
        <f>BI$408/BN$422</f>
        <v>1.1392405063291139E-2</v>
      </c>
      <c r="BJ430" s="82">
        <f>BJ$408/BN$422</f>
        <v>8.8607594936708865E-3</v>
      </c>
      <c r="BK430" s="82">
        <f>BK$408/BS$422</f>
        <v>6.2490118993665626E-3</v>
      </c>
      <c r="BL430" s="82">
        <f>BL$408/BS$422</f>
        <v>6.2490118993665626E-3</v>
      </c>
      <c r="BM430" s="82">
        <f>BM$408/BS$422</f>
        <v>6.2490118993665626E-3</v>
      </c>
      <c r="BN430" s="345">
        <f>BN$408/BS$422</f>
        <v>6.2490118993665626E-3</v>
      </c>
      <c r="BO430" s="345" t="e">
        <f>BO$408/BU$422</f>
        <v>#DIV/0!</v>
      </c>
      <c r="BP430" s="82" t="e">
        <f>BP$408/BV$422</f>
        <v>#DIV/0!</v>
      </c>
      <c r="BQ430" s="82" t="e">
        <f>BQ$408/BW$422</f>
        <v>#DIV/0!</v>
      </c>
      <c r="BR430" s="82">
        <f>BR$408/BX$422</f>
        <v>3.6635514018691592E-3</v>
      </c>
      <c r="BS430" s="229"/>
      <c r="BT430" s="82"/>
      <c r="BU430" s="82"/>
      <c r="BV430" s="82"/>
      <c r="BW430" s="82"/>
      <c r="BX430" s="229"/>
      <c r="BY430" s="82"/>
      <c r="BZ430" s="82"/>
      <c r="CA430" s="82"/>
      <c r="CB430" s="82"/>
      <c r="CC430" s="229"/>
      <c r="CD430" s="82"/>
      <c r="CE430" s="82"/>
      <c r="CF430" s="82"/>
      <c r="CG430" s="82"/>
      <c r="CH430" s="229"/>
      <c r="CI430" s="82"/>
      <c r="CJ430" s="82"/>
      <c r="CK430" s="82"/>
      <c r="CL430" s="82"/>
      <c r="CM430" s="229"/>
      <c r="CN430" s="82"/>
      <c r="CO430" s="82"/>
      <c r="CP430" s="82"/>
      <c r="CQ430" s="82"/>
      <c r="CR430" s="229"/>
      <c r="CS430" s="82"/>
      <c r="CT430" s="82"/>
      <c r="CU430" s="82"/>
      <c r="CV430" s="82"/>
      <c r="CW430" s="229"/>
      <c r="CX430" s="82"/>
      <c r="CY430" s="82"/>
      <c r="CZ430" s="82"/>
      <c r="DA430" s="82"/>
      <c r="DB430" s="229"/>
      <c r="DC430" s="82"/>
      <c r="DD430" s="82"/>
      <c r="DE430" s="82"/>
      <c r="DF430" s="82"/>
      <c r="DG430" s="229"/>
      <c r="DH430" s="82"/>
      <c r="DI430" s="82"/>
      <c r="DJ430" s="82"/>
      <c r="DK430" s="82"/>
      <c r="DL430" s="229"/>
      <c r="DM430" s="66"/>
      <c r="DN430" s="526"/>
      <c r="DO430" s="486"/>
      <c r="DP430" s="411"/>
      <c r="DQ430" s="411"/>
      <c r="DR430" s="411"/>
      <c r="DS430" s="553"/>
      <c r="DT430" s="553"/>
      <c r="DU430" s="457"/>
      <c r="DV430" s="472"/>
      <c r="DW430" s="472"/>
      <c r="DX430" s="472"/>
      <c r="DY430" s="472"/>
      <c r="DZ430" s="472"/>
      <c r="EA430" s="526"/>
      <c r="EH430" s="8"/>
    </row>
    <row r="431" spans="1:138" ht="12.75" hidden="1" customHeight="1" x14ac:dyDescent="0.2">
      <c r="A431" s="66" t="s">
        <v>286</v>
      </c>
      <c r="B431" s="66"/>
      <c r="C431" s="66"/>
      <c r="D431" s="66"/>
      <c r="E431" s="66"/>
      <c r="F431" s="248"/>
      <c r="G431" s="66"/>
      <c r="H431" s="66"/>
      <c r="I431" s="66"/>
      <c r="J431" s="66"/>
      <c r="K431" s="248"/>
      <c r="L431" s="66"/>
      <c r="M431" s="66"/>
      <c r="N431" s="66"/>
      <c r="O431" s="66"/>
      <c r="P431" s="248"/>
      <c r="Q431" s="66"/>
      <c r="R431" s="66"/>
      <c r="S431" s="66"/>
      <c r="T431" s="66"/>
      <c r="U431" s="248"/>
      <c r="V431" s="66"/>
      <c r="W431" s="66"/>
      <c r="X431" s="66"/>
      <c r="Y431" s="66"/>
      <c r="Z431" s="248"/>
      <c r="AA431" s="66"/>
      <c r="AB431" s="66"/>
      <c r="AC431" s="66"/>
      <c r="AD431" s="66"/>
      <c r="AE431" s="248"/>
      <c r="AF431" s="66"/>
      <c r="AG431" s="66"/>
      <c r="AH431" s="66"/>
      <c r="AI431" s="66"/>
      <c r="AJ431" s="248"/>
      <c r="AK431" s="66"/>
      <c r="AL431" s="66"/>
      <c r="AM431" s="66"/>
      <c r="AN431" s="66"/>
      <c r="AO431" s="248"/>
      <c r="AP431" s="66"/>
      <c r="AQ431" s="66"/>
      <c r="AR431" s="66"/>
      <c r="AS431" s="66"/>
      <c r="AT431" s="248"/>
      <c r="AU431" s="66"/>
      <c r="AV431" s="66"/>
      <c r="AW431" s="66"/>
      <c r="AX431" s="66"/>
      <c r="AY431" s="248"/>
      <c r="AZ431" s="82">
        <f>AZ$408/BD$424</f>
        <v>-4.3703799249530952</v>
      </c>
      <c r="BA431" s="82">
        <f>BA$408/BD$424</f>
        <v>-4.4945825515947462</v>
      </c>
      <c r="BB431" s="82">
        <f>BB$408/BI$424</f>
        <v>5.2069319392003122</v>
      </c>
      <c r="BC431" s="82">
        <f>BC$408/BI$424</f>
        <v>6.6132684674218254</v>
      </c>
      <c r="BD431" s="229">
        <f>BD$408/BI$424</f>
        <v>6.6132684674218254</v>
      </c>
      <c r="BE431" s="82">
        <f>BE$408/BI$424</f>
        <v>8.4786983251040802</v>
      </c>
      <c r="BF431" s="82">
        <f>BF$408/BI$424</f>
        <v>6.8282868622325523</v>
      </c>
      <c r="BG431" s="82">
        <f>BG$408/BN$424</f>
        <v>8.2409243697478995</v>
      </c>
      <c r="BH431" s="82">
        <f>BH$408/BN$424</f>
        <v>8.920588235294117</v>
      </c>
      <c r="BI431" s="229">
        <f>BI$408/BN$424</f>
        <v>8.920588235294117</v>
      </c>
      <c r="BJ431" s="82">
        <f>BJ$408/BN$424</f>
        <v>6.9382352941176482</v>
      </c>
      <c r="BK431" s="82">
        <f>BK$408/BS$424</f>
        <v>5.3534917501582928</v>
      </c>
      <c r="BL431" s="82">
        <f>BL$408/BS$424</f>
        <v>5.3534917501582928</v>
      </c>
      <c r="BM431" s="82">
        <f>BM$408/BS$424</f>
        <v>5.3534917501582928</v>
      </c>
      <c r="BN431" s="345">
        <f>BN$408/BS$424</f>
        <v>5.3534917501582928</v>
      </c>
      <c r="BO431" s="345" t="e">
        <f>BO$408/BU$424</f>
        <v>#DIV/0!</v>
      </c>
      <c r="BP431" s="82" t="e">
        <f>BP$408/BV$424</f>
        <v>#DIV/0!</v>
      </c>
      <c r="BQ431" s="82" t="e">
        <f>BQ$408/BW$424</f>
        <v>#DIV/0!</v>
      </c>
      <c r="BR431" s="82">
        <f>BR$408/BX$424</f>
        <v>3.1162838088180806</v>
      </c>
      <c r="BS431" s="229"/>
      <c r="BT431" s="82"/>
      <c r="BU431" s="82"/>
      <c r="BV431" s="82"/>
      <c r="BW431" s="82"/>
      <c r="BX431" s="229"/>
      <c r="BY431" s="82"/>
      <c r="BZ431" s="82"/>
      <c r="CA431" s="82"/>
      <c r="CB431" s="82"/>
      <c r="CC431" s="229"/>
      <c r="CD431" s="82"/>
      <c r="CE431" s="82"/>
      <c r="CF431" s="82"/>
      <c r="CG431" s="82"/>
      <c r="CH431" s="229"/>
      <c r="CI431" s="82"/>
      <c r="CJ431" s="82"/>
      <c r="CK431" s="82"/>
      <c r="CL431" s="82"/>
      <c r="CM431" s="229"/>
      <c r="CN431" s="82"/>
      <c r="CO431" s="82"/>
      <c r="CP431" s="82"/>
      <c r="CQ431" s="82"/>
      <c r="CR431" s="229"/>
      <c r="CS431" s="82"/>
      <c r="CT431" s="82"/>
      <c r="CU431" s="82"/>
      <c r="CV431" s="82"/>
      <c r="CW431" s="229"/>
      <c r="CX431" s="82"/>
      <c r="CY431" s="82"/>
      <c r="CZ431" s="82"/>
      <c r="DA431" s="82"/>
      <c r="DB431" s="229"/>
      <c r="DC431" s="82"/>
      <c r="DD431" s="82"/>
      <c r="DE431" s="82"/>
      <c r="DF431" s="82"/>
      <c r="DG431" s="229"/>
      <c r="DH431" s="82"/>
      <c r="DI431" s="82"/>
      <c r="DJ431" s="82"/>
      <c r="DK431" s="82"/>
      <c r="DL431" s="229"/>
      <c r="DM431" s="66"/>
      <c r="DN431" s="526"/>
      <c r="DO431" s="486"/>
      <c r="DP431" s="411"/>
      <c r="DQ431" s="411"/>
      <c r="DR431" s="411"/>
      <c r="DS431" s="478"/>
      <c r="DT431" s="478"/>
      <c r="DU431" s="472"/>
      <c r="DV431" s="472"/>
      <c r="DW431" s="472"/>
      <c r="DX431" s="472"/>
      <c r="DY431" s="472"/>
      <c r="DZ431" s="472"/>
      <c r="EA431" s="526"/>
      <c r="EH431" s="8"/>
    </row>
    <row r="432" spans="1:138" ht="12.75" hidden="1" customHeight="1" x14ac:dyDescent="0.2">
      <c r="A432" s="134" t="str">
        <f>A394</f>
        <v>Debt Net of Total Cash and Converts</v>
      </c>
      <c r="B432" s="134"/>
      <c r="C432" s="134"/>
      <c r="D432" s="134"/>
      <c r="E432" s="134"/>
      <c r="F432" s="264"/>
      <c r="G432" s="134"/>
      <c r="H432" s="134"/>
      <c r="I432" s="134"/>
      <c r="J432" s="134"/>
      <c r="K432" s="264"/>
      <c r="L432" s="134"/>
      <c r="M432" s="134"/>
      <c r="N432" s="134"/>
      <c r="O432" s="134"/>
      <c r="P432" s="264"/>
      <c r="Q432" s="134"/>
      <c r="R432" s="134"/>
      <c r="S432" s="134"/>
      <c r="T432" s="134"/>
      <c r="U432" s="264"/>
      <c r="V432" s="134"/>
      <c r="W432" s="134"/>
      <c r="X432" s="134"/>
      <c r="Y432" s="134"/>
      <c r="Z432" s="264"/>
      <c r="AA432" s="134"/>
      <c r="AB432" s="134"/>
      <c r="AC432" s="134"/>
      <c r="AD432" s="134"/>
      <c r="AE432" s="264"/>
      <c r="AF432" s="134"/>
      <c r="AG432" s="134"/>
      <c r="AH432" s="134"/>
      <c r="AI432" s="134"/>
      <c r="AJ432" s="264"/>
      <c r="AK432" s="134"/>
      <c r="AL432" s="134"/>
      <c r="AM432" s="134"/>
      <c r="AN432" s="134"/>
      <c r="AO432" s="264"/>
      <c r="AP432" s="134"/>
      <c r="AQ432" s="134"/>
      <c r="AR432" s="134"/>
      <c r="AS432" s="134"/>
      <c r="AT432" s="264"/>
      <c r="AU432" s="134"/>
      <c r="AV432" s="134"/>
      <c r="AW432" s="134"/>
      <c r="AX432" s="134"/>
      <c r="AY432" s="264"/>
      <c r="AZ432" s="134"/>
      <c r="BA432" s="134"/>
      <c r="BB432" s="134"/>
      <c r="BC432" s="134"/>
      <c r="BD432" s="264"/>
      <c r="BE432" s="134"/>
      <c r="BF432" s="134"/>
      <c r="BG432" s="134"/>
      <c r="BH432" s="134"/>
      <c r="BI432" s="264"/>
      <c r="BJ432" s="134"/>
      <c r="BK432" s="134"/>
      <c r="BL432" s="134"/>
      <c r="BM432" s="134"/>
      <c r="BN432" s="381"/>
      <c r="BO432" s="381"/>
      <c r="BP432" s="134"/>
      <c r="BQ432" s="134"/>
      <c r="BR432" s="134"/>
      <c r="BS432" s="264"/>
      <c r="BT432" s="134"/>
      <c r="BU432" s="134"/>
      <c r="BV432" s="134"/>
      <c r="BW432" s="134"/>
      <c r="BX432" s="264"/>
      <c r="BY432" s="134"/>
      <c r="BZ432" s="134"/>
      <c r="CA432" s="134"/>
      <c r="CB432" s="134"/>
      <c r="CC432" s="264"/>
      <c r="CD432" s="134"/>
      <c r="CE432" s="134"/>
      <c r="CF432" s="134"/>
      <c r="CG432" s="134"/>
      <c r="CH432" s="264"/>
      <c r="CI432" s="134"/>
      <c r="CJ432" s="134"/>
      <c r="CK432" s="134"/>
      <c r="CL432" s="134"/>
      <c r="CM432" s="264"/>
      <c r="CN432" s="134"/>
      <c r="CO432" s="134"/>
      <c r="CP432" s="134"/>
      <c r="CQ432" s="134"/>
      <c r="CR432" s="264"/>
      <c r="CS432" s="134"/>
      <c r="CT432" s="134"/>
      <c r="CU432" s="134"/>
      <c r="CV432" s="134"/>
      <c r="CW432" s="264"/>
      <c r="CX432" s="134"/>
      <c r="CY432" s="134"/>
      <c r="CZ432" s="134"/>
      <c r="DA432" s="134"/>
      <c r="DB432" s="264"/>
      <c r="DC432" s="134"/>
      <c r="DD432" s="134"/>
      <c r="DE432" s="134"/>
      <c r="DF432" s="134"/>
      <c r="DG432" s="264"/>
      <c r="DH432" s="134"/>
      <c r="DI432" s="134"/>
      <c r="DJ432" s="134"/>
      <c r="DK432" s="134"/>
      <c r="DL432" s="264"/>
      <c r="DM432" s="134"/>
      <c r="DN432" s="547"/>
      <c r="DO432" s="486"/>
      <c r="DP432" s="411"/>
      <c r="DQ432" s="411"/>
      <c r="DR432" s="411"/>
      <c r="DS432" s="478"/>
      <c r="DT432" s="478"/>
      <c r="DU432" s="472"/>
      <c r="DV432" s="472"/>
      <c r="DW432" s="472"/>
      <c r="DX432" s="472"/>
      <c r="DY432" s="472"/>
      <c r="DZ432" s="472"/>
      <c r="EA432" s="547"/>
      <c r="EH432" s="8"/>
    </row>
    <row r="433" spans="1:138" ht="12.75" hidden="1" customHeight="1" x14ac:dyDescent="0.2">
      <c r="A433" s="66" t="s">
        <v>284</v>
      </c>
      <c r="B433" s="66"/>
      <c r="C433" s="66"/>
      <c r="D433" s="66"/>
      <c r="E433" s="66"/>
      <c r="F433" s="248"/>
      <c r="G433" s="66"/>
      <c r="H433" s="66"/>
      <c r="I433" s="66"/>
      <c r="J433" s="66"/>
      <c r="K433" s="248"/>
      <c r="L433" s="66"/>
      <c r="M433" s="66"/>
      <c r="N433" s="66"/>
      <c r="O433" s="66"/>
      <c r="P433" s="248"/>
      <c r="Q433" s="66"/>
      <c r="R433" s="66"/>
      <c r="S433" s="66"/>
      <c r="T433" s="66"/>
      <c r="U433" s="248"/>
      <c r="V433" s="66"/>
      <c r="W433" s="66"/>
      <c r="X433" s="66"/>
      <c r="Y433" s="66"/>
      <c r="Z433" s="248"/>
      <c r="AA433" s="66"/>
      <c r="AB433" s="66"/>
      <c r="AC433" s="66"/>
      <c r="AD433" s="66"/>
      <c r="AE433" s="248"/>
      <c r="AF433" s="66"/>
      <c r="AG433" s="66"/>
      <c r="AH433" s="66"/>
      <c r="AI433" s="66"/>
      <c r="AJ433" s="248"/>
      <c r="AK433" s="66"/>
      <c r="AL433" s="66"/>
      <c r="AM433" s="66"/>
      <c r="AN433" s="66"/>
      <c r="AO433" s="248"/>
      <c r="AP433" s="66"/>
      <c r="AQ433" s="66"/>
      <c r="AR433" s="66"/>
      <c r="AS433" s="66"/>
      <c r="AT433" s="248"/>
      <c r="AU433" s="66"/>
      <c r="AV433" s="66"/>
      <c r="AW433" s="66"/>
      <c r="AX433" s="66"/>
      <c r="AY433" s="248"/>
      <c r="AZ433" s="82">
        <f>AZ$410/BD$420</f>
        <v>187.74870588235294</v>
      </c>
      <c r="BA433" s="82">
        <f>BA$410/BD$420</f>
        <v>187.72517647058822</v>
      </c>
      <c r="BB433" s="82">
        <f>BB$410/BI$420</f>
        <v>6.1414591347776213</v>
      </c>
      <c r="BC433" s="82">
        <f>BC$410/BI$420</f>
        <v>6.2835631744317721</v>
      </c>
      <c r="BD433" s="229">
        <f>BD$410/BI$420</f>
        <v>6.2835631744317721</v>
      </c>
      <c r="BE433" s="82">
        <f>BE$410/BI$420</f>
        <v>6.0773435918202079</v>
      </c>
      <c r="BF433" s="82">
        <f>BF$410/BI$420</f>
        <v>5.8497521615561716</v>
      </c>
      <c r="BG433" s="82">
        <f>BG$410/BN$420</f>
        <v>7.0145519393669193</v>
      </c>
      <c r="BH433" s="82">
        <f>BH$410/BN$420</f>
        <v>7.0863308069549706</v>
      </c>
      <c r="BI433" s="229">
        <f>BI$410/BN$420</f>
        <v>7.0863308069549706</v>
      </c>
      <c r="BJ433" s="82">
        <f>BJ$410/BN$420</f>
        <v>6.9557021845742311</v>
      </c>
      <c r="BK433" s="82">
        <f>BK$410/BS$420</f>
        <v>5.7934025374855826</v>
      </c>
      <c r="BL433" s="82">
        <f>BL$410/BS$420</f>
        <v>5.9537254901960779</v>
      </c>
      <c r="BM433" s="82">
        <f>BM$410/BS$420</f>
        <v>5.5873279507881586</v>
      </c>
      <c r="BN433" s="345">
        <f>BN$410/BS$420</f>
        <v>5.5873279507881586</v>
      </c>
      <c r="BO433" s="345" t="e">
        <f>BO$410/BU$420</f>
        <v>#DIV/0!</v>
      </c>
      <c r="BP433" s="82" t="e">
        <f>BP$410/BV$420</f>
        <v>#DIV/0!</v>
      </c>
      <c r="BQ433" s="82" t="e">
        <f>BQ$410/BW$420</f>
        <v>#DIV/0!</v>
      </c>
      <c r="BR433" s="82">
        <f>BR$410/BX$420</f>
        <v>3.8631990924560409</v>
      </c>
      <c r="BS433" s="229"/>
      <c r="BT433" s="82"/>
      <c r="BU433" s="82"/>
      <c r="BV433" s="82"/>
      <c r="BW433" s="82"/>
      <c r="BX433" s="229"/>
      <c r="BY433" s="82"/>
      <c r="BZ433" s="82"/>
      <c r="CA433" s="82"/>
      <c r="CB433" s="82"/>
      <c r="CC433" s="229"/>
      <c r="CD433" s="82"/>
      <c r="CE433" s="82"/>
      <c r="CF433" s="82"/>
      <c r="CG433" s="82"/>
      <c r="CH433" s="229"/>
      <c r="CI433" s="82"/>
      <c r="CJ433" s="82"/>
      <c r="CK433" s="82"/>
      <c r="CL433" s="82"/>
      <c r="CM433" s="229"/>
      <c r="CN433" s="82"/>
      <c r="CO433" s="82"/>
      <c r="CP433" s="82"/>
      <c r="CQ433" s="82"/>
      <c r="CR433" s="229"/>
      <c r="CS433" s="82"/>
      <c r="CT433" s="82"/>
      <c r="CU433" s="82"/>
      <c r="CV433" s="82"/>
      <c r="CW433" s="229"/>
      <c r="CX433" s="82"/>
      <c r="CY433" s="82"/>
      <c r="CZ433" s="82"/>
      <c r="DA433" s="82"/>
      <c r="DB433" s="229"/>
      <c r="DC433" s="82"/>
      <c r="DD433" s="82"/>
      <c r="DE433" s="82"/>
      <c r="DF433" s="82"/>
      <c r="DG433" s="229"/>
      <c r="DH433" s="82"/>
      <c r="DI433" s="82"/>
      <c r="DJ433" s="82"/>
      <c r="DK433" s="82"/>
      <c r="DL433" s="229"/>
      <c r="DM433" s="66"/>
      <c r="DN433" s="526"/>
      <c r="DO433" s="486"/>
      <c r="DP433" s="411"/>
      <c r="DQ433" s="411"/>
      <c r="DR433" s="411"/>
      <c r="DS433" s="478"/>
      <c r="DT433" s="478"/>
      <c r="DU433" s="472"/>
      <c r="DV433" s="472"/>
      <c r="DW433" s="472"/>
      <c r="DX433" s="472"/>
      <c r="DY433" s="472"/>
      <c r="DZ433" s="472"/>
      <c r="EA433" s="526"/>
      <c r="EH433" s="8"/>
    </row>
    <row r="434" spans="1:138" ht="12.75" hidden="1" customHeight="1" x14ac:dyDescent="0.2">
      <c r="A434" s="66" t="s">
        <v>285</v>
      </c>
      <c r="B434" s="66"/>
      <c r="C434" s="66"/>
      <c r="D434" s="66"/>
      <c r="E434" s="66"/>
      <c r="F434" s="248"/>
      <c r="G434" s="66"/>
      <c r="H434" s="66"/>
      <c r="I434" s="66"/>
      <c r="J434" s="66"/>
      <c r="K434" s="248"/>
      <c r="L434" s="66"/>
      <c r="M434" s="66"/>
      <c r="N434" s="66"/>
      <c r="O434" s="66"/>
      <c r="P434" s="248"/>
      <c r="Q434" s="66"/>
      <c r="R434" s="66"/>
      <c r="S434" s="66"/>
      <c r="T434" s="66"/>
      <c r="U434" s="248"/>
      <c r="V434" s="66"/>
      <c r="W434" s="66"/>
      <c r="X434" s="66"/>
      <c r="Y434" s="66"/>
      <c r="Z434" s="248"/>
      <c r="AA434" s="66"/>
      <c r="AB434" s="66"/>
      <c r="AC434" s="66"/>
      <c r="AD434" s="66"/>
      <c r="AE434" s="248"/>
      <c r="AF434" s="66"/>
      <c r="AG434" s="66"/>
      <c r="AH434" s="66"/>
      <c r="AI434" s="66"/>
      <c r="AJ434" s="248"/>
      <c r="AK434" s="66"/>
      <c r="AL434" s="66"/>
      <c r="AM434" s="66"/>
      <c r="AN434" s="66"/>
      <c r="AO434" s="248"/>
      <c r="AP434" s="66"/>
      <c r="AQ434" s="66"/>
      <c r="AR434" s="66"/>
      <c r="AS434" s="66"/>
      <c r="AT434" s="248"/>
      <c r="AU434" s="66"/>
      <c r="AV434" s="66"/>
      <c r="AW434" s="66"/>
      <c r="AX434" s="66"/>
      <c r="AY434" s="248"/>
      <c r="AZ434" s="82" t="e">
        <f>AZ$410/BD$421</f>
        <v>#REF!</v>
      </c>
      <c r="BA434" s="82" t="e">
        <f>BA$410/BD$421</f>
        <v>#REF!</v>
      </c>
      <c r="BB434" s="82" t="e">
        <f>BB$410/BI$421</f>
        <v>#REF!</v>
      </c>
      <c r="BC434" s="82" t="e">
        <f>BC$410/BI$421</f>
        <v>#REF!</v>
      </c>
      <c r="BD434" s="229" t="e">
        <f>BD$410/BI$421</f>
        <v>#REF!</v>
      </c>
      <c r="BE434" s="82" t="e">
        <f>BE$410/BI$421</f>
        <v>#REF!</v>
      </c>
      <c r="BF434" s="82" t="e">
        <f>BF$410/BI$421</f>
        <v>#REF!</v>
      </c>
      <c r="BG434" s="82" t="e">
        <f>BG$410/BN$421</f>
        <v>#REF!</v>
      </c>
      <c r="BH434" s="82" t="e">
        <f>BH$410/BN$421</f>
        <v>#REF!</v>
      </c>
      <c r="BI434" s="229" t="e">
        <f>BI$410/BN$421</f>
        <v>#REF!</v>
      </c>
      <c r="BJ434" s="82" t="e">
        <f>BJ$410/BN$421</f>
        <v>#REF!</v>
      </c>
      <c r="BK434" s="82" t="e">
        <f>BK$410/BS$421</f>
        <v>#REF!</v>
      </c>
      <c r="BL434" s="82" t="e">
        <f>BL$410/BS$421</f>
        <v>#REF!</v>
      </c>
      <c r="BM434" s="82" t="e">
        <f>BM$410/BS$421</f>
        <v>#REF!</v>
      </c>
      <c r="BN434" s="345" t="e">
        <f>BN$410/BS$421</f>
        <v>#REF!</v>
      </c>
      <c r="BO434" s="345" t="e">
        <f>BO$410/BU$421</f>
        <v>#DIV/0!</v>
      </c>
      <c r="BP434" s="82" t="e">
        <f>BP$410/BV$421</f>
        <v>#DIV/0!</v>
      </c>
      <c r="BQ434" s="82" t="e">
        <f>BQ$410/BW$421</f>
        <v>#DIV/0!</v>
      </c>
      <c r="BR434" s="82" t="e">
        <f>BR$410/BX$421</f>
        <v>#REF!</v>
      </c>
      <c r="BS434" s="229"/>
      <c r="BT434" s="82"/>
      <c r="BU434" s="82"/>
      <c r="BV434" s="82"/>
      <c r="BW434" s="82"/>
      <c r="BX434" s="229"/>
      <c r="BY434" s="82"/>
      <c r="BZ434" s="82"/>
      <c r="CA434" s="82"/>
      <c r="CB434" s="82"/>
      <c r="CC434" s="229"/>
      <c r="CD434" s="82"/>
      <c r="CE434" s="82"/>
      <c r="CF434" s="82"/>
      <c r="CG434" s="82"/>
      <c r="CH434" s="229"/>
      <c r="CI434" s="82"/>
      <c r="CJ434" s="82"/>
      <c r="CK434" s="82"/>
      <c r="CL434" s="82"/>
      <c r="CM434" s="229"/>
      <c r="CN434" s="82"/>
      <c r="CO434" s="82"/>
      <c r="CP434" s="82"/>
      <c r="CQ434" s="82"/>
      <c r="CR434" s="229"/>
      <c r="CS434" s="82"/>
      <c r="CT434" s="82"/>
      <c r="CU434" s="82"/>
      <c r="CV434" s="82"/>
      <c r="CW434" s="229"/>
      <c r="CX434" s="82"/>
      <c r="CY434" s="82"/>
      <c r="CZ434" s="82"/>
      <c r="DA434" s="82"/>
      <c r="DB434" s="229"/>
      <c r="DC434" s="82"/>
      <c r="DD434" s="82"/>
      <c r="DE434" s="82"/>
      <c r="DF434" s="82"/>
      <c r="DG434" s="229"/>
      <c r="DH434" s="82"/>
      <c r="DI434" s="82"/>
      <c r="DJ434" s="82"/>
      <c r="DK434" s="82"/>
      <c r="DL434" s="229"/>
      <c r="DM434" s="66"/>
      <c r="DN434" s="526"/>
      <c r="DO434" s="486"/>
      <c r="DP434" s="411"/>
      <c r="DQ434" s="411"/>
      <c r="DR434" s="411"/>
      <c r="DS434" s="478"/>
      <c r="DT434" s="478"/>
      <c r="DU434" s="472"/>
      <c r="DV434" s="472"/>
      <c r="DW434" s="472"/>
      <c r="DX434" s="472"/>
      <c r="DY434" s="472"/>
      <c r="DZ434" s="472"/>
      <c r="EA434" s="526"/>
      <c r="EH434" s="8"/>
    </row>
    <row r="435" spans="1:138" ht="12.75" hidden="1" customHeight="1" x14ac:dyDescent="0.2">
      <c r="A435" s="134" t="str">
        <f>A395</f>
        <v>Debt Net of Unrest. Cash and Converts</v>
      </c>
      <c r="B435" s="134"/>
      <c r="C435" s="134"/>
      <c r="D435" s="134"/>
      <c r="E435" s="134"/>
      <c r="F435" s="264"/>
      <c r="G435" s="134"/>
      <c r="H435" s="134"/>
      <c r="I435" s="134"/>
      <c r="J435" s="134"/>
      <c r="K435" s="264"/>
      <c r="L435" s="134"/>
      <c r="M435" s="134"/>
      <c r="N435" s="134"/>
      <c r="O435" s="134"/>
      <c r="P435" s="264"/>
      <c r="Q435" s="134"/>
      <c r="R435" s="134"/>
      <c r="S435" s="134"/>
      <c r="T435" s="134"/>
      <c r="U435" s="264"/>
      <c r="V435" s="134"/>
      <c r="W435" s="134"/>
      <c r="X435" s="134"/>
      <c r="Y435" s="134"/>
      <c r="Z435" s="264"/>
      <c r="AA435" s="134"/>
      <c r="AB435" s="134"/>
      <c r="AC435" s="134"/>
      <c r="AD435" s="134"/>
      <c r="AE435" s="264"/>
      <c r="AF435" s="134"/>
      <c r="AG435" s="134"/>
      <c r="AH435" s="134"/>
      <c r="AI435" s="134"/>
      <c r="AJ435" s="264"/>
      <c r="AK435" s="134"/>
      <c r="AL435" s="134"/>
      <c r="AM435" s="134"/>
      <c r="AN435" s="134"/>
      <c r="AO435" s="264"/>
      <c r="AP435" s="134"/>
      <c r="AQ435" s="134"/>
      <c r="AR435" s="134"/>
      <c r="AS435" s="134"/>
      <c r="AT435" s="264"/>
      <c r="AU435" s="134"/>
      <c r="AV435" s="134"/>
      <c r="AW435" s="134"/>
      <c r="AX435" s="134"/>
      <c r="AY435" s="264"/>
      <c r="AZ435" s="135"/>
      <c r="BA435" s="135"/>
      <c r="BB435" s="135"/>
      <c r="BC435" s="135"/>
      <c r="BD435" s="311"/>
      <c r="BE435" s="135"/>
      <c r="BF435" s="135"/>
      <c r="BG435" s="135"/>
      <c r="BH435" s="135"/>
      <c r="BI435" s="311"/>
      <c r="BJ435" s="135"/>
      <c r="BK435" s="135"/>
      <c r="BL435" s="135"/>
      <c r="BM435" s="135"/>
      <c r="BN435" s="382"/>
      <c r="BO435" s="382"/>
      <c r="BP435" s="135"/>
      <c r="BQ435" s="135"/>
      <c r="BR435" s="135"/>
      <c r="BS435" s="311"/>
      <c r="BT435" s="135"/>
      <c r="BU435" s="135"/>
      <c r="BV435" s="135"/>
      <c r="BW435" s="135"/>
      <c r="BX435" s="311"/>
      <c r="BY435" s="135"/>
      <c r="BZ435" s="135"/>
      <c r="CA435" s="135"/>
      <c r="CB435" s="135"/>
      <c r="CC435" s="311"/>
      <c r="CD435" s="135"/>
      <c r="CE435" s="135"/>
      <c r="CF435" s="135"/>
      <c r="CG435" s="135"/>
      <c r="CH435" s="311"/>
      <c r="CI435" s="135"/>
      <c r="CJ435" s="135"/>
      <c r="CK435" s="135"/>
      <c r="CL435" s="135"/>
      <c r="CM435" s="311"/>
      <c r="CN435" s="135"/>
      <c r="CO435" s="135"/>
      <c r="CP435" s="135"/>
      <c r="CQ435" s="135"/>
      <c r="CR435" s="311"/>
      <c r="CS435" s="135"/>
      <c r="CT435" s="135"/>
      <c r="CU435" s="135"/>
      <c r="CV435" s="135"/>
      <c r="CW435" s="311"/>
      <c r="CX435" s="135"/>
      <c r="CY435" s="135"/>
      <c r="CZ435" s="135"/>
      <c r="DA435" s="135"/>
      <c r="DB435" s="311"/>
      <c r="DC435" s="135"/>
      <c r="DD435" s="135"/>
      <c r="DE435" s="135"/>
      <c r="DF435" s="135"/>
      <c r="DG435" s="311"/>
      <c r="DH435" s="135"/>
      <c r="DI435" s="135"/>
      <c r="DJ435" s="135"/>
      <c r="DK435" s="135"/>
      <c r="DL435" s="311"/>
      <c r="DM435" s="134"/>
      <c r="DN435" s="547"/>
      <c r="DO435" s="486"/>
      <c r="DP435" s="411"/>
      <c r="DQ435" s="411"/>
      <c r="DR435" s="411"/>
      <c r="DS435" s="478"/>
      <c r="DT435" s="478"/>
      <c r="DU435" s="472"/>
      <c r="DV435" s="472"/>
      <c r="DW435" s="472"/>
      <c r="DX435" s="472"/>
      <c r="DY435" s="472"/>
      <c r="DZ435" s="472"/>
      <c r="EA435" s="547"/>
      <c r="EH435" s="8"/>
    </row>
    <row r="436" spans="1:138" ht="12.75" hidden="1" customHeight="1" x14ac:dyDescent="0.2">
      <c r="A436" s="66" t="s">
        <v>284</v>
      </c>
      <c r="B436" s="66"/>
      <c r="C436" s="66"/>
      <c r="D436" s="66"/>
      <c r="E436" s="66"/>
      <c r="F436" s="248"/>
      <c r="G436" s="66"/>
      <c r="H436" s="66"/>
      <c r="I436" s="66"/>
      <c r="J436" s="66"/>
      <c r="K436" s="248"/>
      <c r="L436" s="66"/>
      <c r="M436" s="66"/>
      <c r="N436" s="66"/>
      <c r="O436" s="66"/>
      <c r="P436" s="248"/>
      <c r="Q436" s="66"/>
      <c r="R436" s="66"/>
      <c r="S436" s="66"/>
      <c r="T436" s="66"/>
      <c r="U436" s="248"/>
      <c r="V436" s="66"/>
      <c r="W436" s="66"/>
      <c r="X436" s="66"/>
      <c r="Y436" s="66"/>
      <c r="Z436" s="248"/>
      <c r="AA436" s="66"/>
      <c r="AB436" s="66"/>
      <c r="AC436" s="66"/>
      <c r="AD436" s="66"/>
      <c r="AE436" s="248"/>
      <c r="AF436" s="66"/>
      <c r="AG436" s="66"/>
      <c r="AH436" s="66"/>
      <c r="AI436" s="66"/>
      <c r="AJ436" s="248"/>
      <c r="AK436" s="66"/>
      <c r="AL436" s="66"/>
      <c r="AM436" s="66"/>
      <c r="AN436" s="66"/>
      <c r="AO436" s="248"/>
      <c r="AP436" s="66"/>
      <c r="AQ436" s="66"/>
      <c r="AR436" s="66"/>
      <c r="AS436" s="66"/>
      <c r="AT436" s="248"/>
      <c r="AU436" s="66"/>
      <c r="AV436" s="66"/>
      <c r="AW436" s="66"/>
      <c r="AX436" s="66"/>
      <c r="AY436" s="248"/>
      <c r="AZ436" s="82">
        <f>AZ$411/BD$420</f>
        <v>197.05458823529412</v>
      </c>
      <c r="BA436" s="82">
        <f>BA$411/BD$420</f>
        <v>191.97223529411764</v>
      </c>
      <c r="BB436" s="82">
        <f>BB$411/BI$420</f>
        <v>6.3206826993018543</v>
      </c>
      <c r="BC436" s="82">
        <f>BC$411/BI$420</f>
        <v>6.4421647806948483</v>
      </c>
      <c r="BD436" s="229">
        <f>BD$411/BI$420</f>
        <v>6.4421647806948483</v>
      </c>
      <c r="BE436" s="82">
        <f>BE$411/BI$420</f>
        <v>6.2483183730399778</v>
      </c>
      <c r="BF436" s="82">
        <f>BF$411/BI$420</f>
        <v>6.0031045420800444</v>
      </c>
      <c r="BG436" s="82">
        <f>BG$411/BN$420</f>
        <v>7.2009094962104321</v>
      </c>
      <c r="BH436" s="82">
        <f>BH$411/BN$420</f>
        <v>7.2686758805171641</v>
      </c>
      <c r="BI436" s="229">
        <f>BI$411/BN$420</f>
        <v>7.2686758805171641</v>
      </c>
      <c r="BJ436" s="82">
        <f>BJ$411/BN$420</f>
        <v>7.1295764600980824</v>
      </c>
      <c r="BK436" s="82">
        <f>BK$411/BS$420</f>
        <v>5.9594925028835064</v>
      </c>
      <c r="BL436" s="82">
        <f>BL$411/BS$420</f>
        <v>6.1094348327566319</v>
      </c>
      <c r="BM436" s="82">
        <f>BM$411/BS$420</f>
        <v>5.7045905420991927</v>
      </c>
      <c r="BN436" s="345">
        <f>BN$411/BS$420</f>
        <v>5.7045905420991927</v>
      </c>
      <c r="BO436" s="345" t="e">
        <f>BO$411/BU$420</f>
        <v>#DIV/0!</v>
      </c>
      <c r="BP436" s="82" t="e">
        <f>BP$411/BV$420</f>
        <v>#DIV/0!</v>
      </c>
      <c r="BQ436" s="82" t="e">
        <f>BQ$411/BW$420</f>
        <v>#DIV/0!</v>
      </c>
      <c r="BR436" s="82">
        <f>BR$411/BX$420</f>
        <v>3.9695519001701642</v>
      </c>
      <c r="BS436" s="229"/>
      <c r="BT436" s="82"/>
      <c r="BU436" s="82"/>
      <c r="BV436" s="82"/>
      <c r="BW436" s="82"/>
      <c r="BX436" s="229"/>
      <c r="BY436" s="82"/>
      <c r="BZ436" s="82"/>
      <c r="CA436" s="82"/>
      <c r="CB436" s="82"/>
      <c r="CC436" s="229"/>
      <c r="CD436" s="82"/>
      <c r="CE436" s="82"/>
      <c r="CF436" s="82"/>
      <c r="CG436" s="82"/>
      <c r="CH436" s="229"/>
      <c r="CI436" s="82"/>
      <c r="CJ436" s="82"/>
      <c r="CK436" s="82"/>
      <c r="CL436" s="82"/>
      <c r="CM436" s="229"/>
      <c r="CN436" s="82"/>
      <c r="CO436" s="82"/>
      <c r="CP436" s="82"/>
      <c r="CQ436" s="82"/>
      <c r="CR436" s="229"/>
      <c r="CS436" s="82"/>
      <c r="CT436" s="82"/>
      <c r="CU436" s="82"/>
      <c r="CV436" s="82"/>
      <c r="CW436" s="229"/>
      <c r="CX436" s="82"/>
      <c r="CY436" s="82"/>
      <c r="CZ436" s="82"/>
      <c r="DA436" s="82"/>
      <c r="DB436" s="229"/>
      <c r="DC436" s="82"/>
      <c r="DD436" s="82"/>
      <c r="DE436" s="82"/>
      <c r="DF436" s="82"/>
      <c r="DG436" s="229"/>
      <c r="DH436" s="82"/>
      <c r="DI436" s="82"/>
      <c r="DJ436" s="82"/>
      <c r="DK436" s="82"/>
      <c r="DL436" s="229"/>
      <c r="DM436" s="66"/>
      <c r="DN436" s="526"/>
      <c r="DO436" s="486"/>
      <c r="DP436" s="411"/>
      <c r="DQ436" s="411"/>
      <c r="DR436" s="411"/>
      <c r="DS436" s="478"/>
      <c r="DT436" s="478"/>
      <c r="DU436" s="472"/>
      <c r="DV436" s="472"/>
      <c r="DW436" s="472"/>
      <c r="DX436" s="472"/>
      <c r="DY436" s="472"/>
      <c r="DZ436" s="472"/>
      <c r="EA436" s="526"/>
      <c r="EH436" s="8"/>
    </row>
    <row r="437" spans="1:138" ht="12.75" hidden="1" customHeight="1" x14ac:dyDescent="0.2">
      <c r="A437" s="66" t="s">
        <v>285</v>
      </c>
      <c r="B437" s="66"/>
      <c r="C437" s="66"/>
      <c r="D437" s="66"/>
      <c r="E437" s="66"/>
      <c r="F437" s="248"/>
      <c r="G437" s="66"/>
      <c r="H437" s="66"/>
      <c r="I437" s="66"/>
      <c r="J437" s="66"/>
      <c r="K437" s="248"/>
      <c r="L437" s="66"/>
      <c r="M437" s="66"/>
      <c r="N437" s="66"/>
      <c r="O437" s="66"/>
      <c r="P437" s="248"/>
      <c r="Q437" s="66"/>
      <c r="R437" s="66"/>
      <c r="S437" s="66"/>
      <c r="T437" s="66"/>
      <c r="U437" s="248"/>
      <c r="V437" s="66"/>
      <c r="W437" s="66"/>
      <c r="X437" s="66"/>
      <c r="Y437" s="66"/>
      <c r="Z437" s="248"/>
      <c r="AA437" s="66"/>
      <c r="AB437" s="66"/>
      <c r="AC437" s="66"/>
      <c r="AD437" s="66"/>
      <c r="AE437" s="248"/>
      <c r="AF437" s="66"/>
      <c r="AG437" s="66"/>
      <c r="AH437" s="66"/>
      <c r="AI437" s="66"/>
      <c r="AJ437" s="248"/>
      <c r="AK437" s="66"/>
      <c r="AL437" s="66"/>
      <c r="AM437" s="66"/>
      <c r="AN437" s="66"/>
      <c r="AO437" s="248"/>
      <c r="AP437" s="66"/>
      <c r="AQ437" s="66"/>
      <c r="AR437" s="66"/>
      <c r="AS437" s="66"/>
      <c r="AT437" s="248"/>
      <c r="AU437" s="66"/>
      <c r="AV437" s="66"/>
      <c r="AW437" s="66"/>
      <c r="AX437" s="66"/>
      <c r="AY437" s="248"/>
      <c r="AZ437" s="82" t="e">
        <f>AZ$411/BD$421</f>
        <v>#REF!</v>
      </c>
      <c r="BA437" s="82" t="e">
        <f>BA$411/BD$421</f>
        <v>#REF!</v>
      </c>
      <c r="BB437" s="82" t="e">
        <f>BB$411/BI$421</f>
        <v>#REF!</v>
      </c>
      <c r="BC437" s="82" t="e">
        <f>BC$411/BI$421</f>
        <v>#REF!</v>
      </c>
      <c r="BD437" s="229" t="e">
        <f>BD$411/BI$421</f>
        <v>#REF!</v>
      </c>
      <c r="BE437" s="82" t="e">
        <f>BE$411/BI$421</f>
        <v>#REF!</v>
      </c>
      <c r="BF437" s="82" t="e">
        <f>BF$411/BI$421</f>
        <v>#REF!</v>
      </c>
      <c r="BG437" s="82" t="e">
        <f>BG$411/BN$421</f>
        <v>#REF!</v>
      </c>
      <c r="BH437" s="82" t="e">
        <f>BH$411/BN$421</f>
        <v>#REF!</v>
      </c>
      <c r="BI437" s="229" t="e">
        <f>BI$411/BN$421</f>
        <v>#REF!</v>
      </c>
      <c r="BJ437" s="82" t="e">
        <f>BJ$411/BN$421</f>
        <v>#REF!</v>
      </c>
      <c r="BK437" s="82" t="e">
        <f>BK$411/BS$421</f>
        <v>#REF!</v>
      </c>
      <c r="BL437" s="82" t="e">
        <f>BL$411/BS$421</f>
        <v>#REF!</v>
      </c>
      <c r="BM437" s="82" t="e">
        <f>BM$411/BS$421</f>
        <v>#REF!</v>
      </c>
      <c r="BN437" s="345" t="e">
        <f>BN$411/BS$421</f>
        <v>#REF!</v>
      </c>
      <c r="BO437" s="345" t="e">
        <f>BO$411/BU$421</f>
        <v>#DIV/0!</v>
      </c>
      <c r="BP437" s="82" t="e">
        <f>BP$411/BV$421</f>
        <v>#DIV/0!</v>
      </c>
      <c r="BQ437" s="82" t="e">
        <f>BQ$411/BW$421</f>
        <v>#DIV/0!</v>
      </c>
      <c r="BR437" s="82" t="e">
        <f>BR$411/BX$421</f>
        <v>#REF!</v>
      </c>
      <c r="BS437" s="229"/>
      <c r="BT437" s="82"/>
      <c r="BU437" s="82"/>
      <c r="BV437" s="82"/>
      <c r="BW437" s="82"/>
      <c r="BX437" s="229"/>
      <c r="BY437" s="82"/>
      <c r="BZ437" s="82"/>
      <c r="CA437" s="82"/>
      <c r="CB437" s="82"/>
      <c r="CC437" s="229"/>
      <c r="CD437" s="82"/>
      <c r="CE437" s="82"/>
      <c r="CF437" s="82"/>
      <c r="CG437" s="82"/>
      <c r="CH437" s="229"/>
      <c r="CI437" s="82"/>
      <c r="CJ437" s="82"/>
      <c r="CK437" s="82"/>
      <c r="CL437" s="82"/>
      <c r="CM437" s="229"/>
      <c r="CN437" s="82"/>
      <c r="CO437" s="82"/>
      <c r="CP437" s="82"/>
      <c r="CQ437" s="82"/>
      <c r="CR437" s="229"/>
      <c r="CS437" s="82"/>
      <c r="CT437" s="82"/>
      <c r="CU437" s="82"/>
      <c r="CV437" s="82"/>
      <c r="CW437" s="229"/>
      <c r="CX437" s="82"/>
      <c r="CY437" s="82"/>
      <c r="CZ437" s="82"/>
      <c r="DA437" s="82"/>
      <c r="DB437" s="229"/>
      <c r="DC437" s="82"/>
      <c r="DD437" s="82"/>
      <c r="DE437" s="82"/>
      <c r="DF437" s="82"/>
      <c r="DG437" s="229"/>
      <c r="DH437" s="82"/>
      <c r="DI437" s="82"/>
      <c r="DJ437" s="82"/>
      <c r="DK437" s="82"/>
      <c r="DL437" s="229"/>
      <c r="DM437" s="66"/>
      <c r="DN437" s="526"/>
      <c r="DO437" s="486"/>
      <c r="DP437" s="411"/>
      <c r="DQ437" s="411"/>
      <c r="DR437" s="411"/>
      <c r="DS437" s="478"/>
      <c r="DT437" s="478"/>
      <c r="DU437" s="472"/>
      <c r="DV437" s="472"/>
      <c r="DW437" s="472"/>
      <c r="DX437" s="472"/>
      <c r="DY437" s="472"/>
      <c r="DZ437" s="472"/>
      <c r="EA437" s="526"/>
      <c r="EH437" s="8"/>
    </row>
    <row r="438" spans="1:138" ht="12.75" hidden="1" customHeight="1" x14ac:dyDescent="0.2">
      <c r="A438" s="134" t="str">
        <f>A401</f>
        <v>Mainline Rent Adj. Debt Net of Total Cash and Converts</v>
      </c>
      <c r="B438" s="66"/>
      <c r="C438" s="66"/>
      <c r="D438" s="66"/>
      <c r="E438" s="66"/>
      <c r="F438" s="248"/>
      <c r="G438" s="66"/>
      <c r="H438" s="66"/>
      <c r="I438" s="66"/>
      <c r="J438" s="66"/>
      <c r="K438" s="248"/>
      <c r="L438" s="66"/>
      <c r="M438" s="66"/>
      <c r="N438" s="66"/>
      <c r="O438" s="66"/>
      <c r="P438" s="248"/>
      <c r="Q438" s="66"/>
      <c r="R438" s="66"/>
      <c r="S438" s="66"/>
      <c r="T438" s="66"/>
      <c r="U438" s="248"/>
      <c r="V438" s="66"/>
      <c r="W438" s="66"/>
      <c r="X438" s="66"/>
      <c r="Y438" s="66"/>
      <c r="Z438" s="248"/>
      <c r="AA438" s="66"/>
      <c r="AB438" s="66"/>
      <c r="AC438" s="66"/>
      <c r="AD438" s="66"/>
      <c r="AE438" s="248"/>
      <c r="AF438" s="66"/>
      <c r="AG438" s="66"/>
      <c r="AH438" s="66"/>
      <c r="AI438" s="66"/>
      <c r="AJ438" s="248"/>
      <c r="AK438" s="66"/>
      <c r="AL438" s="66"/>
      <c r="AM438" s="66"/>
      <c r="AN438" s="66"/>
      <c r="AO438" s="248"/>
      <c r="AP438" s="66"/>
      <c r="AQ438" s="66"/>
      <c r="AR438" s="66"/>
      <c r="AS438" s="66"/>
      <c r="AT438" s="248"/>
      <c r="AU438" s="66"/>
      <c r="AV438" s="66"/>
      <c r="AW438" s="66"/>
      <c r="AX438" s="66"/>
      <c r="AY438" s="248"/>
      <c r="AZ438" s="66"/>
      <c r="BA438" s="66"/>
      <c r="BB438" s="66"/>
      <c r="BC438" s="66"/>
      <c r="BD438" s="248"/>
      <c r="BE438" s="66"/>
      <c r="BF438" s="66"/>
      <c r="BG438" s="66"/>
      <c r="BH438" s="66"/>
      <c r="BI438" s="248"/>
      <c r="BJ438" s="66"/>
      <c r="BK438" s="66"/>
      <c r="BL438" s="66"/>
      <c r="BM438" s="66"/>
      <c r="BN438" s="350"/>
      <c r="BO438" s="350"/>
      <c r="BP438" s="66"/>
      <c r="BQ438" s="66"/>
      <c r="BR438" s="66"/>
      <c r="BS438" s="248"/>
      <c r="BT438" s="66"/>
      <c r="BU438" s="66"/>
      <c r="BV438" s="66"/>
      <c r="BW438" s="66"/>
      <c r="BX438" s="248"/>
      <c r="BY438" s="66"/>
      <c r="BZ438" s="66"/>
      <c r="CA438" s="66"/>
      <c r="CB438" s="66"/>
      <c r="CC438" s="248"/>
      <c r="CD438" s="66"/>
      <c r="CE438" s="66"/>
      <c r="CF438" s="66"/>
      <c r="CG438" s="66"/>
      <c r="CH438" s="248"/>
      <c r="CI438" s="66"/>
      <c r="CJ438" s="66"/>
      <c r="CK438" s="66"/>
      <c r="CL438" s="66"/>
      <c r="CM438" s="248"/>
      <c r="CN438" s="66"/>
      <c r="CO438" s="66"/>
      <c r="CP438" s="66"/>
      <c r="CQ438" s="66"/>
      <c r="CR438" s="248"/>
      <c r="CS438" s="66"/>
      <c r="CT438" s="66"/>
      <c r="CU438" s="66"/>
      <c r="CV438" s="66"/>
      <c r="CW438" s="248"/>
      <c r="CX438" s="66"/>
      <c r="CY438" s="66"/>
      <c r="CZ438" s="66"/>
      <c r="DA438" s="66"/>
      <c r="DB438" s="248"/>
      <c r="DC438" s="66"/>
      <c r="DD438" s="66"/>
      <c r="DE438" s="66"/>
      <c r="DF438" s="66"/>
      <c r="DG438" s="248"/>
      <c r="DH438" s="66"/>
      <c r="DI438" s="66"/>
      <c r="DJ438" s="66"/>
      <c r="DK438" s="66"/>
      <c r="DL438" s="248"/>
      <c r="DM438" s="66"/>
      <c r="DN438" s="526"/>
      <c r="DO438" s="486"/>
      <c r="DP438" s="411"/>
      <c r="DQ438" s="411"/>
      <c r="DR438" s="411"/>
      <c r="DS438" s="478"/>
      <c r="DT438" s="478"/>
      <c r="DU438" s="472"/>
      <c r="DV438" s="472"/>
      <c r="DW438" s="472"/>
      <c r="DX438" s="472"/>
      <c r="DY438" s="472"/>
      <c r="DZ438" s="472"/>
      <c r="EA438" s="526"/>
      <c r="EH438" s="8"/>
    </row>
    <row r="439" spans="1:138" ht="12.75" hidden="1" customHeight="1" x14ac:dyDescent="0.2">
      <c r="A439" s="136" t="s">
        <v>287</v>
      </c>
      <c r="B439" s="136"/>
      <c r="C439" s="136"/>
      <c r="D439" s="136"/>
      <c r="E439" s="136"/>
      <c r="F439" s="265"/>
      <c r="G439" s="136"/>
      <c r="H439" s="136"/>
      <c r="I439" s="136"/>
      <c r="J439" s="136"/>
      <c r="K439" s="265"/>
      <c r="L439" s="136"/>
      <c r="M439" s="136"/>
      <c r="N439" s="136"/>
      <c r="O439" s="136"/>
      <c r="P439" s="265"/>
      <c r="Q439" s="136"/>
      <c r="R439" s="136"/>
      <c r="S439" s="136"/>
      <c r="T439" s="136"/>
      <c r="U439" s="265"/>
      <c r="V439" s="136"/>
      <c r="W439" s="136"/>
      <c r="X439" s="136"/>
      <c r="Y439" s="136"/>
      <c r="Z439" s="265"/>
      <c r="AA439" s="136"/>
      <c r="AB439" s="136"/>
      <c r="AC439" s="136"/>
      <c r="AD439" s="136"/>
      <c r="AE439" s="265"/>
      <c r="AF439" s="136"/>
      <c r="AG439" s="136"/>
      <c r="AH439" s="136"/>
      <c r="AI439" s="136"/>
      <c r="AJ439" s="265"/>
      <c r="AK439" s="136"/>
      <c r="AL439" s="136"/>
      <c r="AM439" s="136"/>
      <c r="AN439" s="136"/>
      <c r="AO439" s="265"/>
      <c r="AP439" s="136"/>
      <c r="AQ439" s="136"/>
      <c r="AR439" s="136"/>
      <c r="AS439" s="136"/>
      <c r="AT439" s="265"/>
      <c r="AU439" s="136"/>
      <c r="AV439" s="136"/>
      <c r="AW439" s="136"/>
      <c r="AX439" s="136"/>
      <c r="AY439" s="265"/>
      <c r="AZ439" s="136">
        <f>AZ$413/BD$419</f>
        <v>0.68940027794604997</v>
      </c>
      <c r="BA439" s="136">
        <f>BA$413/BD$419</f>
        <v>0.68733349962584178</v>
      </c>
      <c r="BB439" s="136">
        <f>BB$413/BI$419</f>
        <v>0.62426712467241441</v>
      </c>
      <c r="BC439" s="136">
        <f>BC$413/BI$419</f>
        <v>0.63091173501168007</v>
      </c>
      <c r="BD439" s="265">
        <f>BD$413/BI$419</f>
        <v>0.63355698272968153</v>
      </c>
      <c r="BE439" s="136">
        <f>BE$413/BI$419</f>
        <v>0.60918291447095363</v>
      </c>
      <c r="BF439" s="136">
        <f>BF$413/BI$419</f>
        <v>0.58036860897129472</v>
      </c>
      <c r="BG439" s="136">
        <f>BG$413/BN$419</f>
        <v>0.52141933646589778</v>
      </c>
      <c r="BH439" s="136">
        <f>BH$413/BN$419</f>
        <v>0.51803047130855762</v>
      </c>
      <c r="BI439" s="265">
        <f>BI$413/BN$419</f>
        <v>0.52979182685462056</v>
      </c>
      <c r="BJ439" s="136">
        <f>BJ$413/BN$419</f>
        <v>0.50649693863021494</v>
      </c>
      <c r="BK439" s="136">
        <f>BK$413/BS$419</f>
        <v>0.46742950640850828</v>
      </c>
      <c r="BL439" s="136">
        <f>BL$413/BS$419</f>
        <v>0.47727406599400052</v>
      </c>
      <c r="BM439" s="136">
        <f>BM$413/BS$419</f>
        <v>0.45281265339514587</v>
      </c>
      <c r="BN439" s="383">
        <f>BN$413/BS$419</f>
        <v>0.45319443686937549</v>
      </c>
      <c r="BO439" s="383" t="e">
        <f>BO$413/BU$419</f>
        <v>#DIV/0!</v>
      </c>
      <c r="BP439" s="136" t="e">
        <f>BP$413/BV$419</f>
        <v>#DIV/0!</v>
      </c>
      <c r="BQ439" s="136" t="e">
        <f>BQ$413/BW$419</f>
        <v>#DIV/0!</v>
      </c>
      <c r="BR439" s="136">
        <f>BR$413/BX$419</f>
        <v>0.40805972520054007</v>
      </c>
      <c r="BS439" s="265"/>
      <c r="BT439" s="136"/>
      <c r="BU439" s="136"/>
      <c r="BV439" s="136"/>
      <c r="BW439" s="136"/>
      <c r="BX439" s="265"/>
      <c r="BY439" s="136"/>
      <c r="BZ439" s="136"/>
      <c r="CA439" s="136"/>
      <c r="CB439" s="136"/>
      <c r="CC439" s="265"/>
      <c r="CD439" s="136"/>
      <c r="CE439" s="136"/>
      <c r="CF439" s="136"/>
      <c r="CG439" s="136"/>
      <c r="CH439" s="265"/>
      <c r="CI439" s="136"/>
      <c r="CJ439" s="136"/>
      <c r="CK439" s="136"/>
      <c r="CL439" s="136"/>
      <c r="CM439" s="265"/>
      <c r="CN439" s="136"/>
      <c r="CO439" s="136"/>
      <c r="CP439" s="136"/>
      <c r="CQ439" s="136"/>
      <c r="CR439" s="265"/>
      <c r="CS439" s="136"/>
      <c r="CT439" s="136"/>
      <c r="CU439" s="136"/>
      <c r="CV439" s="136"/>
      <c r="CW439" s="265"/>
      <c r="CX439" s="136"/>
      <c r="CY439" s="136"/>
      <c r="CZ439" s="136"/>
      <c r="DA439" s="136"/>
      <c r="DB439" s="265"/>
      <c r="DC439" s="136"/>
      <c r="DD439" s="136"/>
      <c r="DE439" s="136"/>
      <c r="DF439" s="136"/>
      <c r="DG439" s="265"/>
      <c r="DH439" s="136"/>
      <c r="DI439" s="136"/>
      <c r="DJ439" s="136"/>
      <c r="DK439" s="136"/>
      <c r="DL439" s="265"/>
      <c r="DM439" s="136"/>
      <c r="DN439" s="548"/>
      <c r="DO439" s="486"/>
      <c r="DP439" s="411"/>
      <c r="DQ439" s="411"/>
      <c r="DR439" s="411"/>
      <c r="DS439" s="478"/>
      <c r="DT439" s="478"/>
      <c r="DU439" s="472"/>
      <c r="DV439" s="482"/>
      <c r="DW439" s="482"/>
      <c r="DX439" s="482"/>
      <c r="DY439" s="482"/>
      <c r="DZ439" s="482"/>
      <c r="EA439" s="548"/>
      <c r="EH439" s="8"/>
    </row>
    <row r="440" spans="1:138" ht="12.75" hidden="1" customHeight="1" x14ac:dyDescent="0.2">
      <c r="A440" s="137" t="s">
        <v>288</v>
      </c>
      <c r="B440" s="137"/>
      <c r="C440" s="137"/>
      <c r="D440" s="137"/>
      <c r="E440" s="137"/>
      <c r="F440" s="266"/>
      <c r="G440" s="137"/>
      <c r="H440" s="137"/>
      <c r="I440" s="137"/>
      <c r="J440" s="137"/>
      <c r="K440" s="266"/>
      <c r="L440" s="137"/>
      <c r="M440" s="137"/>
      <c r="N440" s="137"/>
      <c r="O440" s="137"/>
      <c r="P440" s="266"/>
      <c r="Q440" s="137"/>
      <c r="R440" s="137"/>
      <c r="S440" s="137"/>
      <c r="T440" s="137"/>
      <c r="U440" s="266"/>
      <c r="V440" s="137"/>
      <c r="W440" s="137"/>
      <c r="X440" s="137"/>
      <c r="Y440" s="137"/>
      <c r="Z440" s="266"/>
      <c r="AA440" s="137"/>
      <c r="AB440" s="137"/>
      <c r="AC440" s="137"/>
      <c r="AD440" s="137"/>
      <c r="AE440" s="266"/>
      <c r="AF440" s="137"/>
      <c r="AG440" s="137"/>
      <c r="AH440" s="137"/>
      <c r="AI440" s="137"/>
      <c r="AJ440" s="266"/>
      <c r="AK440" s="137"/>
      <c r="AL440" s="137"/>
      <c r="AM440" s="137"/>
      <c r="AN440" s="137"/>
      <c r="AO440" s="266"/>
      <c r="AP440" s="137"/>
      <c r="AQ440" s="137"/>
      <c r="AR440" s="137"/>
      <c r="AS440" s="137"/>
      <c r="AT440" s="266"/>
      <c r="AU440" s="137"/>
      <c r="AV440" s="137"/>
      <c r="AW440" s="137"/>
      <c r="AX440" s="137"/>
      <c r="AY440" s="266"/>
      <c r="AZ440" s="82">
        <f>AZ$413/BD$425</f>
        <v>9.208300809138505</v>
      </c>
      <c r="BA440" s="82">
        <f>BA$413/BD$425</f>
        <v>9.1806949071870534</v>
      </c>
      <c r="BB440" s="82">
        <f>BB$413/BI$425</f>
        <v>4.3424708547094673</v>
      </c>
      <c r="BC440" s="82">
        <f>BC$413/BI$425</f>
        <v>4.3886914958401428</v>
      </c>
      <c r="BD440" s="229">
        <f>BD$413/BI$425</f>
        <v>4.4070921302239183</v>
      </c>
      <c r="BE440" s="82">
        <f>BE$413/BI$425</f>
        <v>4.2375434276876982</v>
      </c>
      <c r="BF440" s="82">
        <f>BF$413/BI$425</f>
        <v>4.0371079460072821</v>
      </c>
      <c r="BG440" s="82">
        <f>BG$413/BN$425</f>
        <v>4.5053248031496063</v>
      </c>
      <c r="BH440" s="82">
        <f>BH$413/BN$425</f>
        <v>4.4760433070866137</v>
      </c>
      <c r="BI440" s="229">
        <f>BI$413/BN$425</f>
        <v>4.5776673228346452</v>
      </c>
      <c r="BJ440" s="82">
        <f>BJ$413/BN$425</f>
        <v>4.3763877952755905</v>
      </c>
      <c r="BK440" s="82">
        <f>BK$413/BS$425</f>
        <v>3.8622442541685444</v>
      </c>
      <c r="BL440" s="82">
        <f>BL$413/BS$425</f>
        <v>3.943587201442091</v>
      </c>
      <c r="BM440" s="82">
        <f>BM$413/BS$425</f>
        <v>3.7414691302388463</v>
      </c>
      <c r="BN440" s="345">
        <f>BN$413/BS$425</f>
        <v>3.7446237043713384</v>
      </c>
      <c r="BO440" s="345" t="e">
        <f>BO$413/BU$425</f>
        <v>#DIV/0!</v>
      </c>
      <c r="BP440" s="82" t="e">
        <f>BP$413/BV$425</f>
        <v>#DIV/0!</v>
      </c>
      <c r="BQ440" s="82" t="e">
        <f>BQ$413/BW$425</f>
        <v>#DIV/0!</v>
      </c>
      <c r="BR440" s="82">
        <f>BR$413/BX$425</f>
        <v>2.8580826997960318</v>
      </c>
      <c r="BS440" s="229"/>
      <c r="BT440" s="82"/>
      <c r="BU440" s="82"/>
      <c r="BV440" s="82"/>
      <c r="BW440" s="82"/>
      <c r="BX440" s="229"/>
      <c r="BY440" s="82"/>
      <c r="BZ440" s="82"/>
      <c r="CA440" s="82"/>
      <c r="CB440" s="82"/>
      <c r="CC440" s="229"/>
      <c r="CD440" s="82"/>
      <c r="CE440" s="82"/>
      <c r="CF440" s="82"/>
      <c r="CG440" s="82"/>
      <c r="CH440" s="229"/>
      <c r="CI440" s="82"/>
      <c r="CJ440" s="82"/>
      <c r="CK440" s="82"/>
      <c r="CL440" s="82"/>
      <c r="CM440" s="229"/>
      <c r="CN440" s="82"/>
      <c r="CO440" s="82"/>
      <c r="CP440" s="82"/>
      <c r="CQ440" s="82"/>
      <c r="CR440" s="229"/>
      <c r="CS440" s="82"/>
      <c r="CT440" s="82"/>
      <c r="CU440" s="82"/>
      <c r="CV440" s="82"/>
      <c r="CW440" s="229"/>
      <c r="CX440" s="82"/>
      <c r="CY440" s="82"/>
      <c r="CZ440" s="82"/>
      <c r="DA440" s="82"/>
      <c r="DB440" s="229"/>
      <c r="DC440" s="82"/>
      <c r="DD440" s="82"/>
      <c r="DE440" s="82"/>
      <c r="DF440" s="82"/>
      <c r="DG440" s="229"/>
      <c r="DH440" s="82"/>
      <c r="DI440" s="82"/>
      <c r="DJ440" s="82"/>
      <c r="DK440" s="82"/>
      <c r="DL440" s="229"/>
      <c r="DM440" s="137"/>
      <c r="DN440" s="549"/>
      <c r="DO440" s="486"/>
      <c r="DP440" s="411"/>
      <c r="DQ440" s="411"/>
      <c r="DR440" s="411"/>
      <c r="DS440" s="573"/>
      <c r="DT440" s="573"/>
      <c r="DU440" s="482"/>
      <c r="DV440" s="483"/>
      <c r="DW440" s="483"/>
      <c r="DX440" s="483"/>
      <c r="DY440" s="483"/>
      <c r="DZ440" s="483"/>
      <c r="EA440" s="549"/>
      <c r="EH440" s="8"/>
    </row>
    <row r="441" spans="1:138" ht="12.75" hidden="1" customHeight="1" x14ac:dyDescent="0.2">
      <c r="A441" s="134" t="str">
        <f>A402</f>
        <v>Mainline Rent Adj. Debt Net of Unrest. Cash and Converts</v>
      </c>
      <c r="B441" s="137"/>
      <c r="C441" s="137"/>
      <c r="D441" s="137"/>
      <c r="E441" s="137"/>
      <c r="F441" s="266"/>
      <c r="G441" s="137"/>
      <c r="H441" s="137"/>
      <c r="I441" s="137"/>
      <c r="J441" s="137"/>
      <c r="K441" s="266"/>
      <c r="L441" s="137"/>
      <c r="M441" s="137"/>
      <c r="N441" s="137"/>
      <c r="O441" s="137"/>
      <c r="P441" s="266"/>
      <c r="Q441" s="137"/>
      <c r="R441" s="137"/>
      <c r="S441" s="137"/>
      <c r="T441" s="137"/>
      <c r="U441" s="266"/>
      <c r="V441" s="137"/>
      <c r="W441" s="137"/>
      <c r="X441" s="137"/>
      <c r="Y441" s="137"/>
      <c r="Z441" s="266"/>
      <c r="AA441" s="137"/>
      <c r="AB441" s="137"/>
      <c r="AC441" s="137"/>
      <c r="AD441" s="137"/>
      <c r="AE441" s="266"/>
      <c r="AF441" s="137"/>
      <c r="AG441" s="137"/>
      <c r="AH441" s="137"/>
      <c r="AI441" s="137"/>
      <c r="AJ441" s="266"/>
      <c r="AK441" s="137"/>
      <c r="AL441" s="137"/>
      <c r="AM441" s="137"/>
      <c r="AN441" s="137"/>
      <c r="AO441" s="266"/>
      <c r="AP441" s="137"/>
      <c r="AQ441" s="137"/>
      <c r="AR441" s="137"/>
      <c r="AS441" s="137"/>
      <c r="AT441" s="266"/>
      <c r="AU441" s="137"/>
      <c r="AV441" s="137"/>
      <c r="AW441" s="137"/>
      <c r="AX441" s="137"/>
      <c r="AY441" s="266"/>
      <c r="AZ441" s="137"/>
      <c r="BA441" s="137"/>
      <c r="BB441" s="137"/>
      <c r="BC441" s="137"/>
      <c r="BD441" s="266"/>
      <c r="BE441" s="137"/>
      <c r="BF441" s="137"/>
      <c r="BG441" s="137"/>
      <c r="BH441" s="137"/>
      <c r="BI441" s="266"/>
      <c r="BJ441" s="137"/>
      <c r="BK441" s="137"/>
      <c r="BL441" s="137"/>
      <c r="BM441" s="137"/>
      <c r="BN441" s="384"/>
      <c r="BO441" s="384"/>
      <c r="BP441" s="137"/>
      <c r="BQ441" s="137"/>
      <c r="BR441" s="137"/>
      <c r="BS441" s="266"/>
      <c r="BT441" s="137"/>
      <c r="BU441" s="137"/>
      <c r="BV441" s="137"/>
      <c r="BW441" s="137"/>
      <c r="BX441" s="266"/>
      <c r="BY441" s="137"/>
      <c r="BZ441" s="137"/>
      <c r="CA441" s="137"/>
      <c r="CB441" s="137"/>
      <c r="CC441" s="266"/>
      <c r="CD441" s="137"/>
      <c r="CE441" s="137"/>
      <c r="CF441" s="137"/>
      <c r="CG441" s="137"/>
      <c r="CH441" s="266"/>
      <c r="CI441" s="137"/>
      <c r="CJ441" s="137"/>
      <c r="CK441" s="137"/>
      <c r="CL441" s="137"/>
      <c r="CM441" s="266"/>
      <c r="CN441" s="137"/>
      <c r="CO441" s="137"/>
      <c r="CP441" s="137"/>
      <c r="CQ441" s="137"/>
      <c r="CR441" s="266"/>
      <c r="CS441" s="137"/>
      <c r="CT441" s="137"/>
      <c r="CU441" s="137"/>
      <c r="CV441" s="137"/>
      <c r="CW441" s="266"/>
      <c r="CX441" s="137"/>
      <c r="CY441" s="137"/>
      <c r="CZ441" s="137"/>
      <c r="DA441" s="137"/>
      <c r="DB441" s="266"/>
      <c r="DC441" s="137"/>
      <c r="DD441" s="137"/>
      <c r="DE441" s="137"/>
      <c r="DF441" s="137"/>
      <c r="DG441" s="266"/>
      <c r="DH441" s="137"/>
      <c r="DI441" s="137"/>
      <c r="DJ441" s="137"/>
      <c r="DK441" s="137"/>
      <c r="DL441" s="266"/>
      <c r="DM441" s="137"/>
      <c r="DN441" s="549"/>
      <c r="DO441" s="486"/>
      <c r="DP441" s="411"/>
      <c r="DQ441" s="411"/>
      <c r="DR441" s="411"/>
      <c r="DS441" s="574"/>
      <c r="DT441" s="574"/>
      <c r="DU441" s="483"/>
      <c r="DV441" s="483"/>
      <c r="DW441" s="483"/>
      <c r="DX441" s="483"/>
      <c r="DY441" s="483"/>
      <c r="DZ441" s="483"/>
      <c r="EA441" s="549"/>
      <c r="EH441" s="8"/>
    </row>
    <row r="442" spans="1:138" ht="12.75" hidden="1" customHeight="1" x14ac:dyDescent="0.2">
      <c r="A442" s="136" t="s">
        <v>287</v>
      </c>
      <c r="B442" s="137"/>
      <c r="C442" s="137"/>
      <c r="D442" s="137"/>
      <c r="E442" s="137"/>
      <c r="F442" s="266"/>
      <c r="G442" s="137"/>
      <c r="H442" s="137"/>
      <c r="I442" s="137"/>
      <c r="J442" s="137"/>
      <c r="K442" s="266"/>
      <c r="L442" s="137"/>
      <c r="M442" s="137"/>
      <c r="N442" s="137"/>
      <c r="O442" s="137"/>
      <c r="P442" s="266"/>
      <c r="Q442" s="137"/>
      <c r="R442" s="137"/>
      <c r="S442" s="137"/>
      <c r="T442" s="137"/>
      <c r="U442" s="266"/>
      <c r="V442" s="137"/>
      <c r="W442" s="137"/>
      <c r="X442" s="137"/>
      <c r="Y442" s="137"/>
      <c r="Z442" s="266"/>
      <c r="AA442" s="137"/>
      <c r="AB442" s="137"/>
      <c r="AC442" s="137"/>
      <c r="AD442" s="137"/>
      <c r="AE442" s="266"/>
      <c r="AF442" s="137"/>
      <c r="AG442" s="137"/>
      <c r="AH442" s="137"/>
      <c r="AI442" s="137"/>
      <c r="AJ442" s="266"/>
      <c r="AK442" s="137"/>
      <c r="AL442" s="137"/>
      <c r="AM442" s="137"/>
      <c r="AN442" s="137"/>
      <c r="AO442" s="266"/>
      <c r="AP442" s="137"/>
      <c r="AQ442" s="137"/>
      <c r="AR442" s="137"/>
      <c r="AS442" s="137"/>
      <c r="AT442" s="266"/>
      <c r="AU442" s="137"/>
      <c r="AV442" s="137"/>
      <c r="AW442" s="137"/>
      <c r="AX442" s="137"/>
      <c r="AY442" s="266"/>
      <c r="AZ442" s="136">
        <f>AZ$414/BD$419</f>
        <v>0.71758685814061218</v>
      </c>
      <c r="BA442" s="136">
        <f>BA$414/BD$419</f>
        <v>0.70019741296368887</v>
      </c>
      <c r="BB442" s="136">
        <f>BB$414/BI$419</f>
        <v>0.63931984382961338</v>
      </c>
      <c r="BC442" s="136">
        <f>BC$414/BI$419</f>
        <v>0.64423244673447322</v>
      </c>
      <c r="BD442" s="265">
        <f>BD$414/BI$419</f>
        <v>0.64687769445247467</v>
      </c>
      <c r="BE442" s="136">
        <f>BE$414/BI$419</f>
        <v>0.6235428306543902</v>
      </c>
      <c r="BF442" s="136">
        <f>BF$414/BI$419</f>
        <v>0.59324844607442095</v>
      </c>
      <c r="BG442" s="136">
        <f>BG$414/BN$419</f>
        <v>0.53332308130428585</v>
      </c>
      <c r="BH442" s="136">
        <f>BH$414/BN$419</f>
        <v>0.52967791542076037</v>
      </c>
      <c r="BI442" s="265">
        <f>BI$414/BN$419</f>
        <v>0.54143927096682332</v>
      </c>
      <c r="BJ442" s="136">
        <f>BJ$414/BN$419</f>
        <v>0.5176033034315819</v>
      </c>
      <c r="BK442" s="136">
        <f>BK$414/BS$419</f>
        <v>0.47921025361330788</v>
      </c>
      <c r="BL442" s="136">
        <f>BL$414/BS$419</f>
        <v>0.48831851649850011</v>
      </c>
      <c r="BM442" s="136">
        <f>BM$414/BS$419</f>
        <v>0.46113007908371967</v>
      </c>
      <c r="BN442" s="383">
        <f>BN$414/BS$419</f>
        <v>0.46151186255794924</v>
      </c>
      <c r="BO442" s="383" t="e">
        <f>BO$414/BU$419</f>
        <v>#DIV/0!</v>
      </c>
      <c r="BP442" s="136" t="e">
        <f>BP$414/BV$419</f>
        <v>#DIV/0!</v>
      </c>
      <c r="BQ442" s="136" t="e">
        <f>BQ$414/BW$419</f>
        <v>#DIV/0!</v>
      </c>
      <c r="BR442" s="136">
        <f>BR$414/BX$419</f>
        <v>0.41798745135414184</v>
      </c>
      <c r="BS442" s="265"/>
      <c r="BT442" s="136"/>
      <c r="BU442" s="136"/>
      <c r="BV442" s="136"/>
      <c r="BW442" s="136"/>
      <c r="BX442" s="265"/>
      <c r="BY442" s="136"/>
      <c r="BZ442" s="136"/>
      <c r="CA442" s="136"/>
      <c r="CB442" s="136"/>
      <c r="CC442" s="265"/>
      <c r="CD442" s="136"/>
      <c r="CE442" s="136"/>
      <c r="CF442" s="136"/>
      <c r="CG442" s="136"/>
      <c r="CH442" s="265"/>
      <c r="CI442" s="136"/>
      <c r="CJ442" s="136"/>
      <c r="CK442" s="136"/>
      <c r="CL442" s="136"/>
      <c r="CM442" s="265"/>
      <c r="CN442" s="136"/>
      <c r="CO442" s="136"/>
      <c r="CP442" s="136"/>
      <c r="CQ442" s="136"/>
      <c r="CR442" s="265"/>
      <c r="CS442" s="136"/>
      <c r="CT442" s="136"/>
      <c r="CU442" s="136"/>
      <c r="CV442" s="136"/>
      <c r="CW442" s="265"/>
      <c r="CX442" s="136"/>
      <c r="CY442" s="136"/>
      <c r="CZ442" s="136"/>
      <c r="DA442" s="136"/>
      <c r="DB442" s="265"/>
      <c r="DC442" s="136"/>
      <c r="DD442" s="136"/>
      <c r="DE442" s="136"/>
      <c r="DF442" s="136"/>
      <c r="DG442" s="265"/>
      <c r="DH442" s="136"/>
      <c r="DI442" s="136"/>
      <c r="DJ442" s="136"/>
      <c r="DK442" s="136"/>
      <c r="DL442" s="265"/>
      <c r="DM442" s="137"/>
      <c r="DN442" s="549"/>
      <c r="DO442" s="486"/>
      <c r="DP442" s="411"/>
      <c r="DQ442" s="411"/>
      <c r="DR442" s="411"/>
      <c r="DS442" s="574"/>
      <c r="DT442" s="574"/>
      <c r="DU442" s="483"/>
      <c r="DV442" s="483"/>
      <c r="DW442" s="483"/>
      <c r="DX442" s="483"/>
      <c r="DY442" s="483"/>
      <c r="DZ442" s="483"/>
      <c r="EA442" s="549"/>
      <c r="EH442" s="8"/>
    </row>
    <row r="443" spans="1:138" ht="12.75" hidden="1" customHeight="1" x14ac:dyDescent="0.2">
      <c r="A443" s="137" t="s">
        <v>288</v>
      </c>
      <c r="B443" s="137"/>
      <c r="C443" s="137"/>
      <c r="D443" s="137"/>
      <c r="E443" s="137"/>
      <c r="F443" s="266"/>
      <c r="G443" s="137"/>
      <c r="H443" s="137"/>
      <c r="I443" s="137"/>
      <c r="J443" s="137"/>
      <c r="K443" s="266"/>
      <c r="L443" s="137"/>
      <c r="M443" s="137"/>
      <c r="N443" s="137"/>
      <c r="O443" s="137"/>
      <c r="P443" s="266"/>
      <c r="Q443" s="137"/>
      <c r="R443" s="137"/>
      <c r="S443" s="137"/>
      <c r="T443" s="137"/>
      <c r="U443" s="266"/>
      <c r="V443" s="137"/>
      <c r="W443" s="137"/>
      <c r="X443" s="137"/>
      <c r="Y443" s="137"/>
      <c r="Z443" s="266"/>
      <c r="AA443" s="137"/>
      <c r="AB443" s="137"/>
      <c r="AC443" s="137"/>
      <c r="AD443" s="137"/>
      <c r="AE443" s="266"/>
      <c r="AF443" s="137"/>
      <c r="AG443" s="137"/>
      <c r="AH443" s="137"/>
      <c r="AI443" s="137"/>
      <c r="AJ443" s="266"/>
      <c r="AK443" s="137"/>
      <c r="AL443" s="137"/>
      <c r="AM443" s="137"/>
      <c r="AN443" s="137"/>
      <c r="AO443" s="266"/>
      <c r="AP443" s="137"/>
      <c r="AQ443" s="137"/>
      <c r="AR443" s="137"/>
      <c r="AS443" s="137"/>
      <c r="AT443" s="266"/>
      <c r="AU443" s="137"/>
      <c r="AV443" s="137"/>
      <c r="AW443" s="137"/>
      <c r="AX443" s="137"/>
      <c r="AY443" s="266"/>
      <c r="AZ443" s="82">
        <f>AZ$414/BD$425</f>
        <v>9.5847881960970955</v>
      </c>
      <c r="BA443" s="82">
        <f>BA$414/BD$425</f>
        <v>9.3525178486435028</v>
      </c>
      <c r="BB443" s="82">
        <f>BB$414/BI$425</f>
        <v>4.4471792265600021</v>
      </c>
      <c r="BC443" s="82">
        <f>BC$414/BI$425</f>
        <v>4.4813518332727282</v>
      </c>
      <c r="BD443" s="229">
        <f>BD$414/BI$425</f>
        <v>4.4997524676565046</v>
      </c>
      <c r="BE443" s="82">
        <f>BE$414/BI$425</f>
        <v>4.3374325857710527</v>
      </c>
      <c r="BF443" s="82">
        <f>BF$414/BI$425</f>
        <v>4.1267015110425715</v>
      </c>
      <c r="BG443" s="82">
        <f>BG$414/BN$425</f>
        <v>4.6081791338582674</v>
      </c>
      <c r="BH443" s="82">
        <f>BH$414/BN$425</f>
        <v>4.5766830708661415</v>
      </c>
      <c r="BI443" s="229">
        <f>BI$414/BN$425</f>
        <v>4.6783070866141729</v>
      </c>
      <c r="BJ443" s="82">
        <f>BJ$414/BN$425</f>
        <v>4.4723523622047239</v>
      </c>
      <c r="BK443" s="82">
        <f>BK$414/BS$425</f>
        <v>3.9595853988283007</v>
      </c>
      <c r="BL443" s="82">
        <f>BL$414/BS$425</f>
        <v>4.0348445245606124</v>
      </c>
      <c r="BM443" s="82">
        <f>BM$414/BS$425</f>
        <v>3.8101937809824244</v>
      </c>
      <c r="BN443" s="345">
        <f>BN$414/BS$425</f>
        <v>3.8133483551149165</v>
      </c>
      <c r="BO443" s="345" t="e">
        <f>BO$414/BU$425</f>
        <v>#DIV/0!</v>
      </c>
      <c r="BP443" s="82" t="e">
        <f>BP$414/BV$425</f>
        <v>#DIV/0!</v>
      </c>
      <c r="BQ443" s="82" t="e">
        <f>BQ$414/BW$425</f>
        <v>#DIV/0!</v>
      </c>
      <c r="BR443" s="82">
        <f>BR$414/BX$425</f>
        <v>2.927617281661413</v>
      </c>
      <c r="BS443" s="229"/>
      <c r="BT443" s="82"/>
      <c r="BU443" s="82"/>
      <c r="BV443" s="82"/>
      <c r="BW443" s="82"/>
      <c r="BX443" s="229"/>
      <c r="BY443" s="82"/>
      <c r="BZ443" s="82"/>
      <c r="CA443" s="82"/>
      <c r="CB443" s="82"/>
      <c r="CC443" s="229"/>
      <c r="CD443" s="82"/>
      <c r="CE443" s="82"/>
      <c r="CF443" s="82"/>
      <c r="CG443" s="82"/>
      <c r="CH443" s="229"/>
      <c r="CI443" s="82"/>
      <c r="CJ443" s="82"/>
      <c r="CK443" s="82"/>
      <c r="CL443" s="82"/>
      <c r="CM443" s="229"/>
      <c r="CN443" s="82"/>
      <c r="CO443" s="82"/>
      <c r="CP443" s="82"/>
      <c r="CQ443" s="82"/>
      <c r="CR443" s="229"/>
      <c r="CS443" s="82"/>
      <c r="CT443" s="82"/>
      <c r="CU443" s="82"/>
      <c r="CV443" s="82"/>
      <c r="CW443" s="229"/>
      <c r="CX443" s="82"/>
      <c r="CY443" s="82"/>
      <c r="CZ443" s="82"/>
      <c r="DA443" s="82"/>
      <c r="DB443" s="229"/>
      <c r="DC443" s="82"/>
      <c r="DD443" s="82"/>
      <c r="DE443" s="82"/>
      <c r="DF443" s="82"/>
      <c r="DG443" s="229"/>
      <c r="DH443" s="82"/>
      <c r="DI443" s="82"/>
      <c r="DJ443" s="82"/>
      <c r="DK443" s="82"/>
      <c r="DL443" s="229"/>
      <c r="DM443" s="137"/>
      <c r="DN443" s="549"/>
      <c r="DO443" s="486"/>
      <c r="DP443" s="411"/>
      <c r="DQ443" s="411"/>
      <c r="DR443" s="411"/>
      <c r="DS443" s="574"/>
      <c r="DT443" s="574"/>
      <c r="DU443" s="483"/>
      <c r="DV443" s="483"/>
      <c r="DW443" s="483"/>
      <c r="DX443" s="483"/>
      <c r="DY443" s="483"/>
      <c r="DZ443" s="483"/>
      <c r="EA443" s="549"/>
      <c r="EH443" s="8"/>
    </row>
    <row r="444" spans="1:138" ht="12.75" hidden="1" customHeight="1" x14ac:dyDescent="0.2">
      <c r="A444" s="138" t="str">
        <f>A404</f>
        <v>Total Rent Adj. Debt Net of Total Cash and Converts</v>
      </c>
      <c r="B444" s="137"/>
      <c r="C444" s="137"/>
      <c r="D444" s="137"/>
      <c r="E444" s="137"/>
      <c r="F444" s="266"/>
      <c r="G444" s="137"/>
      <c r="H444" s="137"/>
      <c r="I444" s="137"/>
      <c r="J444" s="137"/>
      <c r="K444" s="266"/>
      <c r="L444" s="137"/>
      <c r="M444" s="137"/>
      <c r="N444" s="137"/>
      <c r="O444" s="137"/>
      <c r="P444" s="266"/>
      <c r="Q444" s="137"/>
      <c r="R444" s="137"/>
      <c r="S444" s="137"/>
      <c r="T444" s="137"/>
      <c r="U444" s="266"/>
      <c r="V444" s="137"/>
      <c r="W444" s="137"/>
      <c r="X444" s="137"/>
      <c r="Y444" s="137"/>
      <c r="Z444" s="266"/>
      <c r="AA444" s="137"/>
      <c r="AB444" s="137"/>
      <c r="AC444" s="137"/>
      <c r="AD444" s="137"/>
      <c r="AE444" s="266"/>
      <c r="AF444" s="137"/>
      <c r="AG444" s="137"/>
      <c r="AH444" s="137"/>
      <c r="AI444" s="137"/>
      <c r="AJ444" s="266"/>
      <c r="AK444" s="137"/>
      <c r="AL444" s="137"/>
      <c r="AM444" s="137"/>
      <c r="AN444" s="137"/>
      <c r="AO444" s="266"/>
      <c r="AP444" s="137"/>
      <c r="AQ444" s="137"/>
      <c r="AR444" s="137"/>
      <c r="AS444" s="137"/>
      <c r="AT444" s="266"/>
      <c r="AU444" s="137"/>
      <c r="AV444" s="137"/>
      <c r="AW444" s="137"/>
      <c r="AX444" s="137"/>
      <c r="AY444" s="266"/>
      <c r="AZ444" s="137"/>
      <c r="BA444" s="137"/>
      <c r="BB444" s="137"/>
      <c r="BC444" s="137"/>
      <c r="BD444" s="266"/>
      <c r="BE444" s="137"/>
      <c r="BF444" s="137"/>
      <c r="BG444" s="137"/>
      <c r="BH444" s="137"/>
      <c r="BI444" s="266"/>
      <c r="BJ444" s="137"/>
      <c r="BK444" s="137"/>
      <c r="BL444" s="137"/>
      <c r="BM444" s="137"/>
      <c r="BN444" s="384"/>
      <c r="BO444" s="384"/>
      <c r="BP444" s="137"/>
      <c r="BQ444" s="137"/>
      <c r="BR444" s="137"/>
      <c r="BS444" s="266"/>
      <c r="BT444" s="137"/>
      <c r="BU444" s="137"/>
      <c r="BV444" s="137"/>
      <c r="BW444" s="137"/>
      <c r="BX444" s="266"/>
      <c r="BY444" s="137"/>
      <c r="BZ444" s="137"/>
      <c r="CA444" s="137"/>
      <c r="CB444" s="137"/>
      <c r="CC444" s="266"/>
      <c r="CD444" s="137"/>
      <c r="CE444" s="137"/>
      <c r="CF444" s="137"/>
      <c r="CG444" s="137"/>
      <c r="CH444" s="266"/>
      <c r="CI444" s="137"/>
      <c r="CJ444" s="137"/>
      <c r="CK444" s="137"/>
      <c r="CL444" s="137"/>
      <c r="CM444" s="266"/>
      <c r="CN444" s="137"/>
      <c r="CO444" s="137"/>
      <c r="CP444" s="137"/>
      <c r="CQ444" s="137"/>
      <c r="CR444" s="266"/>
      <c r="CS444" s="137"/>
      <c r="CT444" s="137"/>
      <c r="CU444" s="137"/>
      <c r="CV444" s="137"/>
      <c r="CW444" s="266"/>
      <c r="CX444" s="137"/>
      <c r="CY444" s="137"/>
      <c r="CZ444" s="137"/>
      <c r="DA444" s="137"/>
      <c r="DB444" s="266"/>
      <c r="DC444" s="137"/>
      <c r="DD444" s="137"/>
      <c r="DE444" s="137"/>
      <c r="DF444" s="137"/>
      <c r="DG444" s="266"/>
      <c r="DH444" s="137"/>
      <c r="DI444" s="137"/>
      <c r="DJ444" s="137"/>
      <c r="DK444" s="137"/>
      <c r="DL444" s="266"/>
      <c r="DM444" s="137"/>
      <c r="DN444" s="549"/>
      <c r="DO444" s="486"/>
      <c r="DP444" s="411"/>
      <c r="DQ444" s="411"/>
      <c r="DR444" s="411"/>
      <c r="DS444" s="574"/>
      <c r="DT444" s="574"/>
      <c r="DU444" s="483"/>
      <c r="DV444" s="483"/>
      <c r="DW444" s="483"/>
      <c r="DX444" s="483"/>
      <c r="DY444" s="483"/>
      <c r="DZ444" s="483"/>
      <c r="EA444" s="549"/>
      <c r="EH444" s="8"/>
    </row>
    <row r="445" spans="1:138" ht="12.75" hidden="1" customHeight="1" x14ac:dyDescent="0.2">
      <c r="A445" s="136" t="s">
        <v>287</v>
      </c>
      <c r="B445" s="137"/>
      <c r="C445" s="137"/>
      <c r="D445" s="137"/>
      <c r="E445" s="137"/>
      <c r="F445" s="266"/>
      <c r="G445" s="137"/>
      <c r="H445" s="137"/>
      <c r="I445" s="137"/>
      <c r="J445" s="137"/>
      <c r="K445" s="266"/>
      <c r="L445" s="137"/>
      <c r="M445" s="137"/>
      <c r="N445" s="137"/>
      <c r="O445" s="137"/>
      <c r="P445" s="266"/>
      <c r="Q445" s="137"/>
      <c r="R445" s="137"/>
      <c r="S445" s="137"/>
      <c r="T445" s="137"/>
      <c r="U445" s="266"/>
      <c r="V445" s="137"/>
      <c r="W445" s="137"/>
      <c r="X445" s="137"/>
      <c r="Y445" s="137"/>
      <c r="Z445" s="266"/>
      <c r="AA445" s="137"/>
      <c r="AB445" s="137"/>
      <c r="AC445" s="137"/>
      <c r="AD445" s="137"/>
      <c r="AE445" s="266"/>
      <c r="AF445" s="137"/>
      <c r="AG445" s="137"/>
      <c r="AH445" s="137"/>
      <c r="AI445" s="137"/>
      <c r="AJ445" s="266"/>
      <c r="AK445" s="137"/>
      <c r="AL445" s="137"/>
      <c r="AM445" s="137"/>
      <c r="AN445" s="137"/>
      <c r="AO445" s="266"/>
      <c r="AP445" s="137"/>
      <c r="AQ445" s="137"/>
      <c r="AR445" s="137"/>
      <c r="AS445" s="137"/>
      <c r="AT445" s="266"/>
      <c r="AU445" s="137"/>
      <c r="AV445" s="137"/>
      <c r="AW445" s="137"/>
      <c r="AX445" s="137"/>
      <c r="AY445" s="266"/>
      <c r="AZ445" s="136">
        <f>AZ$416/BD$419</f>
        <v>0.80717528418201911</v>
      </c>
      <c r="BA445" s="136">
        <f>BA$416/BD$419</f>
        <v>0.81250187079072078</v>
      </c>
      <c r="BB445" s="136">
        <f>BB$416/BI$419</f>
        <v>0.73992617239583247</v>
      </c>
      <c r="BC445" s="136">
        <f>BC$416/BI$419</f>
        <v>0.73877611945938693</v>
      </c>
      <c r="BD445" s="265">
        <f>BD$416/BI$419</f>
        <v>0.74311212134381111</v>
      </c>
      <c r="BE445" s="136">
        <f>BE$416/BI$419</f>
        <v>0.71429624129193903</v>
      </c>
      <c r="BF445" s="136">
        <f>BF$416/BI$419</f>
        <v>0.69178644285351698</v>
      </c>
      <c r="BG445" s="136">
        <f>BG$416/BN$419</f>
        <v>0.64954236081446681</v>
      </c>
      <c r="BH445" s="136">
        <f>BH$416/BN$419</f>
        <v>0.64034856898761217</v>
      </c>
      <c r="BI445" s="265">
        <f>BI$416/BN$419</f>
        <v>0.64135526128435139</v>
      </c>
      <c r="BJ445" s="136">
        <f>BJ$416/BN$419</f>
        <v>0.64125416488680054</v>
      </c>
      <c r="BK445" s="136">
        <f>BK$416/BS$419</f>
        <v>0.60739132806108542</v>
      </c>
      <c r="BL445" s="136">
        <f>BL$416/BS$419</f>
        <v>0.619419689119171</v>
      </c>
      <c r="BM445" s="136">
        <f>BM$416/BS$419</f>
        <v>0.58463485137714744</v>
      </c>
      <c r="BN445" s="383">
        <f>BN$416/BS$419</f>
        <v>0.58893755113171531</v>
      </c>
      <c r="BO445" s="383" t="e">
        <f>BO$416/BU$419</f>
        <v>#DIV/0!</v>
      </c>
      <c r="BP445" s="136" t="e">
        <f>BP$416/BV$419</f>
        <v>#DIV/0!</v>
      </c>
      <c r="BQ445" s="136" t="e">
        <f>BQ$416/BW$419</f>
        <v>#DIV/0!</v>
      </c>
      <c r="BR445" s="136">
        <f>BR$416/BX$419</f>
        <v>0.54383819130066458</v>
      </c>
      <c r="BS445" s="265"/>
      <c r="BT445" s="136"/>
      <c r="BU445" s="136"/>
      <c r="BV445" s="136"/>
      <c r="BW445" s="136"/>
      <c r="BX445" s="265"/>
      <c r="BY445" s="136"/>
      <c r="BZ445" s="136"/>
      <c r="CA445" s="136"/>
      <c r="CB445" s="136"/>
      <c r="CC445" s="265"/>
      <c r="CD445" s="136"/>
      <c r="CE445" s="136"/>
      <c r="CF445" s="136"/>
      <c r="CG445" s="136"/>
      <c r="CH445" s="265"/>
      <c r="CI445" s="136"/>
      <c r="CJ445" s="136"/>
      <c r="CK445" s="136"/>
      <c r="CL445" s="136"/>
      <c r="CM445" s="265"/>
      <c r="CN445" s="136"/>
      <c r="CO445" s="136"/>
      <c r="CP445" s="136"/>
      <c r="CQ445" s="136"/>
      <c r="CR445" s="265"/>
      <c r="CS445" s="136"/>
      <c r="CT445" s="136"/>
      <c r="CU445" s="136"/>
      <c r="CV445" s="136"/>
      <c r="CW445" s="265"/>
      <c r="CX445" s="136"/>
      <c r="CY445" s="136"/>
      <c r="CZ445" s="136"/>
      <c r="DA445" s="136"/>
      <c r="DB445" s="265"/>
      <c r="DC445" s="136"/>
      <c r="DD445" s="136"/>
      <c r="DE445" s="136"/>
      <c r="DF445" s="136"/>
      <c r="DG445" s="265"/>
      <c r="DH445" s="136"/>
      <c r="DI445" s="136"/>
      <c r="DJ445" s="136"/>
      <c r="DK445" s="136"/>
      <c r="DL445" s="265"/>
      <c r="DM445" s="137"/>
      <c r="DN445" s="549"/>
      <c r="DO445" s="486"/>
      <c r="DP445" s="411"/>
      <c r="DQ445" s="411"/>
      <c r="DR445" s="411"/>
      <c r="DS445" s="574"/>
      <c r="DT445" s="574"/>
      <c r="DU445" s="483"/>
      <c r="DV445" s="483"/>
      <c r="DW445" s="483"/>
      <c r="DX445" s="483"/>
      <c r="DY445" s="483"/>
      <c r="DZ445" s="483"/>
      <c r="EA445" s="549"/>
      <c r="EH445" s="8"/>
    </row>
    <row r="446" spans="1:138" ht="12.75" hidden="1" customHeight="1" x14ac:dyDescent="0.2">
      <c r="A446" s="137" t="s">
        <v>288</v>
      </c>
      <c r="B446" s="137"/>
      <c r="C446" s="137"/>
      <c r="D446" s="137"/>
      <c r="E446" s="137"/>
      <c r="F446" s="266"/>
      <c r="G446" s="137"/>
      <c r="H446" s="137"/>
      <c r="I446" s="137"/>
      <c r="J446" s="137"/>
      <c r="K446" s="266"/>
      <c r="L446" s="137"/>
      <c r="M446" s="137"/>
      <c r="N446" s="137"/>
      <c r="O446" s="137"/>
      <c r="P446" s="266"/>
      <c r="Q446" s="137"/>
      <c r="R446" s="137"/>
      <c r="S446" s="137"/>
      <c r="T446" s="137"/>
      <c r="U446" s="266"/>
      <c r="V446" s="137"/>
      <c r="W446" s="137"/>
      <c r="X446" s="137"/>
      <c r="Y446" s="137"/>
      <c r="Z446" s="266"/>
      <c r="AA446" s="137"/>
      <c r="AB446" s="137"/>
      <c r="AC446" s="137"/>
      <c r="AD446" s="137"/>
      <c r="AE446" s="266"/>
      <c r="AF446" s="137"/>
      <c r="AG446" s="137"/>
      <c r="AH446" s="137"/>
      <c r="AI446" s="137"/>
      <c r="AJ446" s="266"/>
      <c r="AK446" s="137"/>
      <c r="AL446" s="137"/>
      <c r="AM446" s="137"/>
      <c r="AN446" s="137"/>
      <c r="AO446" s="266"/>
      <c r="AP446" s="137"/>
      <c r="AQ446" s="137"/>
      <c r="AR446" s="137"/>
      <c r="AS446" s="137"/>
      <c r="AT446" s="266"/>
      <c r="AU446" s="137"/>
      <c r="AV446" s="137"/>
      <c r="AW446" s="137"/>
      <c r="AX446" s="137"/>
      <c r="AY446" s="266"/>
      <c r="AZ446" s="82" t="e">
        <f>AZ$416/BD$426</f>
        <v>#DIV/0!</v>
      </c>
      <c r="BA446" s="82" t="e">
        <f>BA$416/BD$426</f>
        <v>#DIV/0!</v>
      </c>
      <c r="BB446" s="82" t="e">
        <f>BB$416/BI$426</f>
        <v>#DIV/0!</v>
      </c>
      <c r="BC446" s="82" t="e">
        <f>BC$416/BI$426</f>
        <v>#DIV/0!</v>
      </c>
      <c r="BD446" s="229" t="e">
        <f>BD$416/BI$426</f>
        <v>#DIV/0!</v>
      </c>
      <c r="BE446" s="82" t="e">
        <f>BE$416/BI$426</f>
        <v>#DIV/0!</v>
      </c>
      <c r="BF446" s="82" t="e">
        <f>BF$416/BI$426</f>
        <v>#DIV/0!</v>
      </c>
      <c r="BG446" s="82" t="e">
        <f>BG$416/BN$426</f>
        <v>#DIV/0!</v>
      </c>
      <c r="BH446" s="82" t="e">
        <f>BH$416/BN$426</f>
        <v>#DIV/0!</v>
      </c>
      <c r="BI446" s="229" t="e">
        <f>BI$416/BN$426</f>
        <v>#DIV/0!</v>
      </c>
      <c r="BJ446" s="82" t="e">
        <f>BJ$416/BN$426</f>
        <v>#DIV/0!</v>
      </c>
      <c r="BK446" s="82" t="e">
        <f>BK$416/BS$426</f>
        <v>#DIV/0!</v>
      </c>
      <c r="BL446" s="82" t="e">
        <f>BL$416/BS$426</f>
        <v>#DIV/0!</v>
      </c>
      <c r="BM446" s="82" t="e">
        <f>BM$416/BS$426</f>
        <v>#DIV/0!</v>
      </c>
      <c r="BN446" s="345" t="e">
        <f>BN$416/BS$426</f>
        <v>#DIV/0!</v>
      </c>
      <c r="BO446" s="345" t="e">
        <f>BO$416/BU$426</f>
        <v>#DIV/0!</v>
      </c>
      <c r="BP446" s="82" t="e">
        <f>BP$416/BV$426</f>
        <v>#DIV/0!</v>
      </c>
      <c r="BQ446" s="82" t="e">
        <f>BQ$416/BW$426</f>
        <v>#DIV/0!</v>
      </c>
      <c r="BR446" s="82" t="e">
        <f>BR$416/BX$426</f>
        <v>#DIV/0!</v>
      </c>
      <c r="BS446" s="229"/>
      <c r="BT446" s="82"/>
      <c r="BU446" s="82"/>
      <c r="BV446" s="82"/>
      <c r="BW446" s="82"/>
      <c r="BX446" s="229"/>
      <c r="BY446" s="82"/>
      <c r="BZ446" s="82"/>
      <c r="CA446" s="82"/>
      <c r="CB446" s="82"/>
      <c r="CC446" s="229"/>
      <c r="CD446" s="82"/>
      <c r="CE446" s="82"/>
      <c r="CF446" s="82"/>
      <c r="CG446" s="82"/>
      <c r="CH446" s="229"/>
      <c r="CI446" s="82"/>
      <c r="CJ446" s="82"/>
      <c r="CK446" s="82"/>
      <c r="CL446" s="82"/>
      <c r="CM446" s="229"/>
      <c r="CN446" s="82"/>
      <c r="CO446" s="82"/>
      <c r="CP446" s="82"/>
      <c r="CQ446" s="82"/>
      <c r="CR446" s="229"/>
      <c r="CS446" s="82"/>
      <c r="CT446" s="82"/>
      <c r="CU446" s="82"/>
      <c r="CV446" s="82"/>
      <c r="CW446" s="229"/>
      <c r="CX446" s="82"/>
      <c r="CY446" s="82"/>
      <c r="CZ446" s="82"/>
      <c r="DA446" s="82"/>
      <c r="DB446" s="229"/>
      <c r="DC446" s="82"/>
      <c r="DD446" s="82"/>
      <c r="DE446" s="82"/>
      <c r="DF446" s="82"/>
      <c r="DG446" s="229"/>
      <c r="DH446" s="82"/>
      <c r="DI446" s="82"/>
      <c r="DJ446" s="82"/>
      <c r="DK446" s="82"/>
      <c r="DL446" s="229"/>
      <c r="DM446" s="137"/>
      <c r="DN446" s="549"/>
      <c r="DO446" s="486"/>
      <c r="DP446" s="411"/>
      <c r="DQ446" s="411"/>
      <c r="DR446" s="411"/>
      <c r="DS446" s="574"/>
      <c r="DT446" s="574"/>
      <c r="DU446" s="483"/>
      <c r="DV446" s="483"/>
      <c r="DW446" s="483"/>
      <c r="DX446" s="483"/>
      <c r="DY446" s="483"/>
      <c r="DZ446" s="483"/>
      <c r="EA446" s="549"/>
      <c r="EH446" s="8"/>
    </row>
    <row r="447" spans="1:138" ht="12.75" hidden="1" customHeight="1" x14ac:dyDescent="0.2">
      <c r="A447" s="134" t="str">
        <f>A405</f>
        <v>Total Rent Adj. Debt Net of Unrest. Cash and Converts</v>
      </c>
      <c r="B447" s="66"/>
      <c r="C447" s="66"/>
      <c r="D447" s="66"/>
      <c r="E447" s="66"/>
      <c r="F447" s="248"/>
      <c r="G447" s="66"/>
      <c r="H447" s="66"/>
      <c r="I447" s="66"/>
      <c r="J447" s="66"/>
      <c r="K447" s="248"/>
      <c r="L447" s="66"/>
      <c r="M447" s="66"/>
      <c r="N447" s="66"/>
      <c r="O447" s="66"/>
      <c r="P447" s="248"/>
      <c r="Q447" s="66"/>
      <c r="R447" s="66"/>
      <c r="S447" s="66"/>
      <c r="T447" s="66"/>
      <c r="U447" s="248"/>
      <c r="V447" s="66"/>
      <c r="W447" s="66"/>
      <c r="X447" s="66"/>
      <c r="Y447" s="66"/>
      <c r="Z447" s="248"/>
      <c r="AA447" s="66"/>
      <c r="AB447" s="66"/>
      <c r="AC447" s="66"/>
      <c r="AD447" s="66"/>
      <c r="AE447" s="248"/>
      <c r="AF447" s="66"/>
      <c r="AG447" s="66"/>
      <c r="AH447" s="66"/>
      <c r="AI447" s="66"/>
      <c r="AJ447" s="248"/>
      <c r="AK447" s="66"/>
      <c r="AL447" s="66"/>
      <c r="AM447" s="66"/>
      <c r="AN447" s="66"/>
      <c r="AO447" s="248"/>
      <c r="AP447" s="66"/>
      <c r="AQ447" s="66"/>
      <c r="AR447" s="66"/>
      <c r="AS447" s="66"/>
      <c r="AT447" s="248"/>
      <c r="AU447" s="66"/>
      <c r="AV447" s="66"/>
      <c r="AW447" s="66"/>
      <c r="AX447" s="66"/>
      <c r="AY447" s="248"/>
      <c r="AZ447" s="66"/>
      <c r="BA447" s="66"/>
      <c r="BB447" s="66"/>
      <c r="BC447" s="66"/>
      <c r="BD447" s="248"/>
      <c r="BE447" s="66"/>
      <c r="BF447" s="66"/>
      <c r="BG447" s="66"/>
      <c r="BH447" s="66"/>
      <c r="BI447" s="248"/>
      <c r="BJ447" s="66"/>
      <c r="BK447" s="66"/>
      <c r="BL447" s="66"/>
      <c r="BM447" s="66"/>
      <c r="BN447" s="350"/>
      <c r="BO447" s="350"/>
      <c r="BP447" s="66"/>
      <c r="BQ447" s="66"/>
      <c r="BR447" s="66"/>
      <c r="BS447" s="248"/>
      <c r="BT447" s="66"/>
      <c r="BU447" s="66"/>
      <c r="BV447" s="66"/>
      <c r="BW447" s="66"/>
      <c r="BX447" s="248"/>
      <c r="BY447" s="66"/>
      <c r="BZ447" s="66"/>
      <c r="CA447" s="66"/>
      <c r="CB447" s="66"/>
      <c r="CC447" s="248"/>
      <c r="CD447" s="66"/>
      <c r="CE447" s="66"/>
      <c r="CF447" s="66"/>
      <c r="CG447" s="66"/>
      <c r="CH447" s="248"/>
      <c r="CI447" s="66"/>
      <c r="CJ447" s="66"/>
      <c r="CK447" s="66"/>
      <c r="CL447" s="66"/>
      <c r="CM447" s="248"/>
      <c r="CN447" s="66"/>
      <c r="CO447" s="66"/>
      <c r="CP447" s="66"/>
      <c r="CQ447" s="66"/>
      <c r="CR447" s="248"/>
      <c r="CS447" s="66"/>
      <c r="CT447" s="66"/>
      <c r="CU447" s="66"/>
      <c r="CV447" s="66"/>
      <c r="CW447" s="248"/>
      <c r="CX447" s="66"/>
      <c r="CY447" s="66"/>
      <c r="CZ447" s="66"/>
      <c r="DA447" s="66"/>
      <c r="DB447" s="248"/>
      <c r="DC447" s="66"/>
      <c r="DD447" s="66"/>
      <c r="DE447" s="66"/>
      <c r="DF447" s="66"/>
      <c r="DG447" s="248"/>
      <c r="DH447" s="66"/>
      <c r="DI447" s="66"/>
      <c r="DJ447" s="66"/>
      <c r="DK447" s="66"/>
      <c r="DL447" s="248"/>
      <c r="DM447" s="66"/>
      <c r="DN447" s="526"/>
      <c r="DO447" s="486"/>
      <c r="DP447" s="411"/>
      <c r="DQ447" s="411"/>
      <c r="DR447" s="411"/>
      <c r="DS447" s="574"/>
      <c r="DT447" s="574"/>
      <c r="DU447" s="483"/>
      <c r="DV447" s="472"/>
      <c r="DW447" s="472"/>
      <c r="DX447" s="472"/>
      <c r="DY447" s="472"/>
      <c r="DZ447" s="472"/>
      <c r="EA447" s="526"/>
      <c r="EH447" s="8"/>
    </row>
    <row r="448" spans="1:138" ht="12.75" hidden="1" customHeight="1" x14ac:dyDescent="0.2">
      <c r="A448" s="136" t="s">
        <v>287</v>
      </c>
      <c r="B448" s="66"/>
      <c r="C448" s="66"/>
      <c r="D448" s="66"/>
      <c r="E448" s="66"/>
      <c r="F448" s="248"/>
      <c r="G448" s="66"/>
      <c r="H448" s="66"/>
      <c r="I448" s="66"/>
      <c r="J448" s="66"/>
      <c r="K448" s="248"/>
      <c r="L448" s="66"/>
      <c r="M448" s="66"/>
      <c r="N448" s="66"/>
      <c r="O448" s="66"/>
      <c r="P448" s="248"/>
      <c r="Q448" s="66"/>
      <c r="R448" s="66"/>
      <c r="S448" s="66"/>
      <c r="T448" s="66"/>
      <c r="U448" s="248"/>
      <c r="V448" s="66"/>
      <c r="W448" s="66"/>
      <c r="X448" s="66"/>
      <c r="Y448" s="66"/>
      <c r="Z448" s="248"/>
      <c r="AA448" s="66"/>
      <c r="AB448" s="66"/>
      <c r="AC448" s="66"/>
      <c r="AD448" s="66"/>
      <c r="AE448" s="248"/>
      <c r="AF448" s="66"/>
      <c r="AG448" s="66"/>
      <c r="AH448" s="66"/>
      <c r="AI448" s="66"/>
      <c r="AJ448" s="248"/>
      <c r="AK448" s="66"/>
      <c r="AL448" s="66"/>
      <c r="AM448" s="66"/>
      <c r="AN448" s="66"/>
      <c r="AO448" s="248"/>
      <c r="AP448" s="66"/>
      <c r="AQ448" s="66"/>
      <c r="AR448" s="66"/>
      <c r="AS448" s="66"/>
      <c r="AT448" s="248"/>
      <c r="AU448" s="66"/>
      <c r="AV448" s="66"/>
      <c r="AW448" s="66"/>
      <c r="AX448" s="66"/>
      <c r="AY448" s="248"/>
      <c r="AZ448" s="136">
        <f>AZ$416/BD$419</f>
        <v>0.80717528418201911</v>
      </c>
      <c r="BA448" s="136">
        <f>BA$416/BD$419</f>
        <v>0.81250187079072078</v>
      </c>
      <c r="BB448" s="136">
        <f>BB$416/BI$419</f>
        <v>0.73992617239583247</v>
      </c>
      <c r="BC448" s="136">
        <f>BC$416/BI$419</f>
        <v>0.73877611945938693</v>
      </c>
      <c r="BD448" s="265">
        <f>BD$416/BI$419</f>
        <v>0.74311212134381111</v>
      </c>
      <c r="BE448" s="136">
        <f>BE$416/BI$419</f>
        <v>0.71429624129193903</v>
      </c>
      <c r="BF448" s="136">
        <f>BF$416/BI$419</f>
        <v>0.69178644285351698</v>
      </c>
      <c r="BG448" s="136">
        <f>BG$416/BN$419</f>
        <v>0.64954236081446681</v>
      </c>
      <c r="BH448" s="136">
        <f>BH$416/BN$419</f>
        <v>0.64034856898761217</v>
      </c>
      <c r="BI448" s="265">
        <f>BI$416/BN$419</f>
        <v>0.64135526128435139</v>
      </c>
      <c r="BJ448" s="136">
        <f>BJ$416/BN$419</f>
        <v>0.64125416488680054</v>
      </c>
      <c r="BK448" s="136">
        <f>BK$416/BS$419</f>
        <v>0.60739132806108542</v>
      </c>
      <c r="BL448" s="136">
        <f>BL$416/BS$419</f>
        <v>0.619419689119171</v>
      </c>
      <c r="BM448" s="136">
        <f>BM$416/BS$419</f>
        <v>0.58463485137714744</v>
      </c>
      <c r="BN448" s="383">
        <f>BN$416/BS$419</f>
        <v>0.58893755113171531</v>
      </c>
      <c r="BO448" s="383" t="e">
        <f>BO$416/BU$419</f>
        <v>#DIV/0!</v>
      </c>
      <c r="BP448" s="136" t="e">
        <f>BP$416/BV$419</f>
        <v>#DIV/0!</v>
      </c>
      <c r="BQ448" s="136" t="e">
        <f>BQ$416/BW$419</f>
        <v>#DIV/0!</v>
      </c>
      <c r="BR448" s="136">
        <f>BR$416/BX$419</f>
        <v>0.54383819130066458</v>
      </c>
      <c r="BS448" s="265"/>
      <c r="BT448" s="136"/>
      <c r="BU448" s="136"/>
      <c r="BV448" s="136"/>
      <c r="BW448" s="136"/>
      <c r="BX448" s="265"/>
      <c r="BY448" s="136"/>
      <c r="BZ448" s="136"/>
      <c r="CA448" s="136"/>
      <c r="CB448" s="136"/>
      <c r="CC448" s="265"/>
      <c r="CD448" s="136"/>
      <c r="CE448" s="136"/>
      <c r="CF448" s="136"/>
      <c r="CG448" s="136"/>
      <c r="CH448" s="265"/>
      <c r="CI448" s="136"/>
      <c r="CJ448" s="136"/>
      <c r="CK448" s="136"/>
      <c r="CL448" s="136"/>
      <c r="CM448" s="265"/>
      <c r="CN448" s="136"/>
      <c r="CO448" s="136"/>
      <c r="CP448" s="136"/>
      <c r="CQ448" s="136"/>
      <c r="CR448" s="265"/>
      <c r="CS448" s="136"/>
      <c r="CT448" s="136"/>
      <c r="CU448" s="136"/>
      <c r="CV448" s="136"/>
      <c r="CW448" s="265"/>
      <c r="CX448" s="136"/>
      <c r="CY448" s="136"/>
      <c r="CZ448" s="136"/>
      <c r="DA448" s="136"/>
      <c r="DB448" s="265"/>
      <c r="DC448" s="136"/>
      <c r="DD448" s="136"/>
      <c r="DE448" s="136"/>
      <c r="DF448" s="136"/>
      <c r="DG448" s="265"/>
      <c r="DH448" s="136"/>
      <c r="DI448" s="136"/>
      <c r="DJ448" s="136"/>
      <c r="DK448" s="136"/>
      <c r="DL448" s="265"/>
      <c r="DM448" s="66"/>
      <c r="DN448" s="526"/>
      <c r="DO448" s="486"/>
      <c r="DP448" s="411"/>
      <c r="DQ448" s="411"/>
      <c r="DR448" s="411"/>
      <c r="DS448" s="478"/>
      <c r="DT448" s="478"/>
      <c r="DU448" s="472"/>
      <c r="DV448" s="472"/>
      <c r="DW448" s="472"/>
      <c r="DX448" s="472"/>
      <c r="DY448" s="472"/>
      <c r="DZ448" s="472"/>
      <c r="EA448" s="526"/>
      <c r="EH448" s="8"/>
    </row>
    <row r="449" spans="1:138" ht="12.75" hidden="1" customHeight="1" x14ac:dyDescent="0.2">
      <c r="A449" s="137" t="s">
        <v>288</v>
      </c>
      <c r="B449" s="66"/>
      <c r="C449" s="66"/>
      <c r="D449" s="66"/>
      <c r="E449" s="66"/>
      <c r="F449" s="248"/>
      <c r="G449" s="66"/>
      <c r="H449" s="66"/>
      <c r="I449" s="66"/>
      <c r="J449" s="66"/>
      <c r="K449" s="248"/>
      <c r="L449" s="66"/>
      <c r="M449" s="66"/>
      <c r="N449" s="66"/>
      <c r="O449" s="66"/>
      <c r="P449" s="248"/>
      <c r="Q449" s="66"/>
      <c r="R449" s="66"/>
      <c r="S449" s="66"/>
      <c r="T449" s="66"/>
      <c r="U449" s="248"/>
      <c r="V449" s="66"/>
      <c r="W449" s="66"/>
      <c r="X449" s="66"/>
      <c r="Y449" s="66"/>
      <c r="Z449" s="248"/>
      <c r="AA449" s="66"/>
      <c r="AB449" s="66"/>
      <c r="AC449" s="66"/>
      <c r="AD449" s="66"/>
      <c r="AE449" s="248"/>
      <c r="AF449" s="66"/>
      <c r="AG449" s="66"/>
      <c r="AH449" s="66"/>
      <c r="AI449" s="66"/>
      <c r="AJ449" s="248"/>
      <c r="AK449" s="66"/>
      <c r="AL449" s="66"/>
      <c r="AM449" s="66"/>
      <c r="AN449" s="66"/>
      <c r="AO449" s="248"/>
      <c r="AP449" s="66"/>
      <c r="AQ449" s="66"/>
      <c r="AR449" s="66"/>
      <c r="AS449" s="66"/>
      <c r="AT449" s="248"/>
      <c r="AU449" s="66"/>
      <c r="AV449" s="66"/>
      <c r="AW449" s="66"/>
      <c r="AX449" s="66"/>
      <c r="AY449" s="248"/>
      <c r="AZ449" s="82" t="e">
        <f>AZ$416/BD$426</f>
        <v>#DIV/0!</v>
      </c>
      <c r="BA449" s="82" t="e">
        <f>BA$416/BD$426</f>
        <v>#DIV/0!</v>
      </c>
      <c r="BB449" s="82" t="e">
        <f>BB$416/BI$426</f>
        <v>#DIV/0!</v>
      </c>
      <c r="BC449" s="82" t="e">
        <f>BC$416/BI$426</f>
        <v>#DIV/0!</v>
      </c>
      <c r="BD449" s="229" t="e">
        <f>BD$416/BI$426</f>
        <v>#DIV/0!</v>
      </c>
      <c r="BE449" s="82" t="e">
        <f>BE$416/BI$426</f>
        <v>#DIV/0!</v>
      </c>
      <c r="BF449" s="82" t="e">
        <f>BF$416/BI$426</f>
        <v>#DIV/0!</v>
      </c>
      <c r="BG449" s="82" t="e">
        <f>BG$416/BN$426</f>
        <v>#DIV/0!</v>
      </c>
      <c r="BH449" s="82" t="e">
        <f>BH$416/BN$426</f>
        <v>#DIV/0!</v>
      </c>
      <c r="BI449" s="229" t="e">
        <f>BI$416/BN$426</f>
        <v>#DIV/0!</v>
      </c>
      <c r="BJ449" s="82" t="e">
        <f>BJ$416/BN$426</f>
        <v>#DIV/0!</v>
      </c>
      <c r="BK449" s="82" t="e">
        <f>BK$416/BS$426</f>
        <v>#DIV/0!</v>
      </c>
      <c r="BL449" s="82" t="e">
        <f>BL$416/BS$426</f>
        <v>#DIV/0!</v>
      </c>
      <c r="BM449" s="82" t="e">
        <f>BM$416/BS$426</f>
        <v>#DIV/0!</v>
      </c>
      <c r="BN449" s="345" t="e">
        <f>BN$416/BS$426</f>
        <v>#DIV/0!</v>
      </c>
      <c r="BO449" s="345" t="e">
        <f>BO$416/BU$426</f>
        <v>#DIV/0!</v>
      </c>
      <c r="BP449" s="82" t="e">
        <f>BP$416/BV$426</f>
        <v>#DIV/0!</v>
      </c>
      <c r="BQ449" s="82" t="e">
        <f>BQ$416/BW$426</f>
        <v>#DIV/0!</v>
      </c>
      <c r="BR449" s="82" t="e">
        <f>BR$416/BX$426</f>
        <v>#DIV/0!</v>
      </c>
      <c r="BS449" s="229"/>
      <c r="BT449" s="82"/>
      <c r="BU449" s="82"/>
      <c r="BV449" s="82"/>
      <c r="BW449" s="82"/>
      <c r="BX449" s="229"/>
      <c r="BY449" s="82"/>
      <c r="BZ449" s="82"/>
      <c r="CA449" s="82"/>
      <c r="CB449" s="82"/>
      <c r="CC449" s="229"/>
      <c r="CD449" s="82"/>
      <c r="CE449" s="82"/>
      <c r="CF449" s="82"/>
      <c r="CG449" s="82"/>
      <c r="CH449" s="229"/>
      <c r="CI449" s="82"/>
      <c r="CJ449" s="82"/>
      <c r="CK449" s="82"/>
      <c r="CL449" s="82"/>
      <c r="CM449" s="229"/>
      <c r="CN449" s="82"/>
      <c r="CO449" s="82"/>
      <c r="CP449" s="82"/>
      <c r="CQ449" s="82"/>
      <c r="CR449" s="229"/>
      <c r="CS449" s="82"/>
      <c r="CT449" s="82"/>
      <c r="CU449" s="82"/>
      <c r="CV449" s="82"/>
      <c r="CW449" s="229"/>
      <c r="CX449" s="82"/>
      <c r="CY449" s="82"/>
      <c r="CZ449" s="82"/>
      <c r="DA449" s="82"/>
      <c r="DB449" s="229"/>
      <c r="DC449" s="82"/>
      <c r="DD449" s="82"/>
      <c r="DE449" s="82"/>
      <c r="DF449" s="82"/>
      <c r="DG449" s="229"/>
      <c r="DH449" s="82"/>
      <c r="DI449" s="82"/>
      <c r="DJ449" s="82"/>
      <c r="DK449" s="82"/>
      <c r="DL449" s="229"/>
      <c r="DM449" s="66"/>
      <c r="DN449" s="526"/>
      <c r="DO449" s="486"/>
      <c r="DP449" s="411"/>
      <c r="DQ449" s="411"/>
      <c r="DR449" s="411"/>
      <c r="DS449" s="478"/>
      <c r="DT449" s="478"/>
      <c r="DU449" s="472"/>
      <c r="DV449" s="472"/>
      <c r="DW449" s="472"/>
      <c r="DX449" s="472"/>
      <c r="DY449" s="472"/>
      <c r="DZ449" s="472"/>
      <c r="EA449" s="526"/>
      <c r="EH449" s="8"/>
    </row>
    <row r="450" spans="1:138" ht="12.75" customHeight="1" x14ac:dyDescent="0.2">
      <c r="A450" s="182" t="s">
        <v>401</v>
      </c>
      <c r="B450" s="13"/>
      <c r="C450" s="14"/>
      <c r="D450" s="14"/>
      <c r="E450" s="14"/>
      <c r="F450" s="196"/>
      <c r="G450" s="13"/>
      <c r="H450" s="13"/>
      <c r="I450" s="13"/>
      <c r="J450" s="13"/>
      <c r="K450" s="196"/>
      <c r="L450" s="13"/>
      <c r="M450" s="13"/>
      <c r="N450" s="13"/>
      <c r="O450" s="13"/>
      <c r="P450" s="196"/>
      <c r="Q450" s="13"/>
      <c r="R450" s="13"/>
      <c r="S450" s="13"/>
      <c r="T450" s="13"/>
      <c r="U450" s="196"/>
      <c r="V450" s="13"/>
      <c r="W450" s="13"/>
      <c r="X450" s="13"/>
      <c r="Y450" s="13"/>
      <c r="Z450" s="196"/>
      <c r="AA450" s="13"/>
      <c r="AB450" s="13"/>
      <c r="AC450" s="13"/>
      <c r="AD450" s="13"/>
      <c r="AE450" s="196"/>
      <c r="AF450" s="13"/>
      <c r="AG450" s="13"/>
      <c r="AH450" s="13"/>
      <c r="AI450" s="13"/>
      <c r="AJ450" s="196"/>
      <c r="AK450" s="14"/>
      <c r="AL450" s="14"/>
      <c r="AM450" s="14"/>
      <c r="AN450" s="14"/>
      <c r="AO450" s="196"/>
      <c r="AP450" s="15"/>
      <c r="AQ450" s="15"/>
      <c r="AR450" s="15"/>
      <c r="AS450" s="15"/>
      <c r="AT450" s="271"/>
      <c r="AU450" s="15"/>
      <c r="AV450" s="15"/>
      <c r="AW450" s="15"/>
      <c r="AX450" s="15"/>
      <c r="AY450" s="271"/>
      <c r="AZ450" s="15"/>
      <c r="BA450" s="15"/>
      <c r="BB450" s="15"/>
      <c r="BC450" s="15"/>
      <c r="BD450" s="271"/>
      <c r="BE450" s="15"/>
      <c r="BF450" s="15"/>
      <c r="BG450" s="15"/>
      <c r="BH450" s="15"/>
      <c r="BI450" s="271"/>
      <c r="BJ450" s="15"/>
      <c r="BK450" s="15"/>
      <c r="BL450" s="15"/>
      <c r="BM450" s="15"/>
      <c r="BN450" s="385"/>
      <c r="BO450" s="314"/>
      <c r="BP450" s="15"/>
      <c r="BQ450" s="15"/>
      <c r="BR450" s="15"/>
      <c r="BS450" s="196"/>
      <c r="BT450" s="15"/>
      <c r="BU450" s="15"/>
      <c r="BV450" s="15"/>
      <c r="BW450" s="15"/>
      <c r="BX450" s="196"/>
      <c r="BY450" s="15"/>
      <c r="BZ450" s="15"/>
      <c r="CA450" s="15"/>
      <c r="CB450" s="15"/>
      <c r="CC450" s="196"/>
      <c r="CD450" s="15"/>
      <c r="CE450" s="15"/>
      <c r="CF450" s="15"/>
      <c r="CG450" s="15"/>
      <c r="CH450" s="196"/>
      <c r="CI450" s="15"/>
      <c r="CJ450" s="15"/>
      <c r="CK450" s="15"/>
      <c r="CL450" s="15"/>
      <c r="CM450" s="196"/>
      <c r="CN450" s="15"/>
      <c r="CO450" s="15"/>
      <c r="CP450" s="15"/>
      <c r="CQ450" s="15"/>
      <c r="CR450" s="196"/>
      <c r="CS450" s="15"/>
      <c r="CT450" s="15"/>
      <c r="CU450" s="15"/>
      <c r="CV450" s="15"/>
      <c r="CW450" s="196"/>
      <c r="CX450" s="15"/>
      <c r="CY450" s="15"/>
      <c r="CZ450" s="15"/>
      <c r="DA450" s="15"/>
      <c r="DB450" s="196"/>
      <c r="DC450" s="15"/>
      <c r="DD450" s="15"/>
      <c r="DE450" s="15"/>
      <c r="DF450" s="15"/>
      <c r="DG450" s="196"/>
      <c r="DH450" s="15"/>
      <c r="DI450" s="15"/>
      <c r="DJ450" s="15"/>
      <c r="DK450" s="15"/>
      <c r="DL450" s="196"/>
      <c r="DM450" s="423"/>
      <c r="DN450" s="13"/>
      <c r="DO450" s="486"/>
      <c r="DP450" s="411"/>
      <c r="DQ450" s="411"/>
      <c r="DR450" s="411"/>
      <c r="DS450" s="478"/>
      <c r="DT450" s="478"/>
      <c r="DU450" s="472"/>
      <c r="DV450" s="457"/>
      <c r="DW450" s="457"/>
      <c r="DX450" s="457"/>
      <c r="DY450" s="457"/>
      <c r="DZ450" s="457"/>
      <c r="EA450" s="13"/>
      <c r="EH450" s="8"/>
    </row>
    <row r="451" spans="1:138" ht="12.75" customHeight="1" x14ac:dyDescent="0.2">
      <c r="A451" s="5" t="s">
        <v>402</v>
      </c>
      <c r="B451" s="5"/>
      <c r="C451" s="5"/>
      <c r="D451" s="5"/>
      <c r="E451" s="5"/>
      <c r="F451" s="197"/>
      <c r="G451" s="5"/>
      <c r="H451" s="5"/>
      <c r="I451" s="5"/>
      <c r="J451" s="5"/>
      <c r="K451" s="197"/>
      <c r="L451" s="5"/>
      <c r="M451" s="5"/>
      <c r="N451" s="5"/>
      <c r="O451" s="5"/>
      <c r="P451" s="197"/>
      <c r="Q451" s="5"/>
      <c r="R451" s="5"/>
      <c r="S451" s="5"/>
      <c r="T451" s="5"/>
      <c r="U451" s="197"/>
      <c r="V451" s="5"/>
      <c r="W451" s="5"/>
      <c r="X451" s="5"/>
      <c r="Y451" s="5"/>
      <c r="Z451" s="197"/>
      <c r="AA451" s="5"/>
      <c r="AB451" s="5"/>
      <c r="AC451" s="5"/>
      <c r="AD451" s="5"/>
      <c r="AE451" s="197"/>
      <c r="AF451" s="5"/>
      <c r="AG451" s="5"/>
      <c r="AH451" s="5"/>
      <c r="AI451" s="5"/>
      <c r="AJ451" s="197"/>
      <c r="AK451" s="5"/>
      <c r="AL451" s="5"/>
      <c r="AM451" s="5"/>
      <c r="AN451" s="5"/>
      <c r="AO451" s="197"/>
      <c r="AP451" s="5"/>
      <c r="AQ451" s="5"/>
      <c r="AR451" s="5"/>
      <c r="AS451" s="5"/>
      <c r="AT451" s="197"/>
      <c r="AU451" s="5"/>
      <c r="AV451" s="5"/>
      <c r="AW451" s="5"/>
      <c r="AX451" s="5"/>
      <c r="AY451" s="5"/>
      <c r="AZ451" s="5" t="s">
        <v>5</v>
      </c>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5"/>
      <c r="CE451" s="5"/>
      <c r="CF451" s="5"/>
      <c r="CG451" s="5"/>
      <c r="CH451" s="5"/>
      <c r="CI451" s="5"/>
      <c r="CJ451" s="5"/>
      <c r="CK451" s="5"/>
      <c r="CL451" s="5"/>
      <c r="CM451" s="5"/>
      <c r="CN451" s="5"/>
      <c r="CO451" s="5"/>
      <c r="CP451" s="5"/>
      <c r="CQ451" s="5"/>
      <c r="CR451" s="5"/>
      <c r="CS451" s="5"/>
      <c r="CT451" s="5"/>
      <c r="CU451" s="5"/>
      <c r="CV451" s="5"/>
      <c r="CW451" s="5"/>
      <c r="CX451" s="5"/>
      <c r="CY451" s="5"/>
      <c r="CZ451" s="5"/>
      <c r="DA451" s="5"/>
      <c r="DB451" s="5"/>
      <c r="DC451" s="5"/>
      <c r="DD451" s="5"/>
      <c r="DE451" s="5"/>
      <c r="DF451" s="5"/>
      <c r="DG451" s="5"/>
      <c r="DH451" s="5"/>
      <c r="DI451" s="5"/>
      <c r="DJ451" s="5"/>
      <c r="DK451" s="5"/>
      <c r="DL451" s="5"/>
      <c r="DM451" s="413"/>
      <c r="DN451" s="4"/>
      <c r="DO451" s="487"/>
      <c r="DP451" s="413"/>
      <c r="DQ451" s="413"/>
      <c r="DR451" s="413"/>
      <c r="DS451" s="553"/>
      <c r="DT451" s="553"/>
      <c r="DU451" s="457"/>
      <c r="DV451" s="458"/>
      <c r="DW451" s="458"/>
      <c r="DX451" s="458"/>
      <c r="DY451" s="458"/>
      <c r="DZ451" s="458"/>
      <c r="EA451" s="4"/>
      <c r="EH451" s="5"/>
    </row>
    <row r="452" spans="1:138" ht="12.75" customHeight="1" x14ac:dyDescent="0.2">
      <c r="A452" s="23"/>
      <c r="B452" s="23"/>
      <c r="C452" s="23"/>
      <c r="D452" s="23"/>
      <c r="E452" s="23"/>
      <c r="F452" s="202"/>
      <c r="G452" s="23"/>
      <c r="H452" s="23"/>
      <c r="I452" s="23"/>
      <c r="J452" s="23"/>
      <c r="K452" s="202"/>
      <c r="L452" s="23"/>
      <c r="M452" s="23"/>
      <c r="N452" s="23"/>
      <c r="O452" s="23"/>
      <c r="P452" s="202"/>
      <c r="Q452" s="23"/>
      <c r="R452" s="23"/>
      <c r="S452" s="23"/>
      <c r="T452" s="23"/>
      <c r="U452" s="202"/>
      <c r="V452" s="23"/>
      <c r="W452" s="23"/>
      <c r="X452" s="23"/>
      <c r="Y452" s="23"/>
      <c r="Z452" s="202"/>
      <c r="AA452" s="23"/>
      <c r="AB452" s="23"/>
      <c r="AC452" s="23"/>
      <c r="AD452" s="23"/>
      <c r="AE452" s="202"/>
      <c r="AF452" s="23"/>
      <c r="AG452" s="23"/>
      <c r="AH452" s="23"/>
      <c r="AI452" s="23"/>
      <c r="AJ452" s="202"/>
      <c r="AK452" s="23"/>
      <c r="AL452" s="23"/>
      <c r="AM452" s="23"/>
      <c r="AN452" s="23"/>
      <c r="AO452" s="202"/>
      <c r="AP452" s="23"/>
      <c r="AQ452" s="23"/>
      <c r="AR452" s="23"/>
      <c r="AS452" s="23"/>
      <c r="AT452" s="24"/>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c r="CA452" s="23"/>
      <c r="CB452" s="23"/>
      <c r="CC452" s="23"/>
      <c r="CD452" s="23"/>
      <c r="CE452" s="23"/>
      <c r="CF452" s="23"/>
      <c r="CG452" s="23"/>
      <c r="CH452" s="23"/>
      <c r="CI452" s="23"/>
      <c r="CJ452" s="23"/>
      <c r="CK452" s="23"/>
      <c r="CL452" s="23"/>
      <c r="CM452" s="23"/>
      <c r="CN452" s="23"/>
      <c r="CO452" s="23"/>
      <c r="CP452" s="23"/>
      <c r="CQ452" s="23"/>
      <c r="CR452" s="23"/>
      <c r="CS452" s="23"/>
      <c r="CT452" s="23"/>
      <c r="CU452" s="23"/>
      <c r="CV452" s="23"/>
      <c r="CW452" s="23"/>
      <c r="CX452" s="23"/>
      <c r="CY452" s="23"/>
      <c r="CZ452" s="23"/>
      <c r="DA452" s="23"/>
      <c r="DB452" s="23"/>
      <c r="DC452" s="23"/>
      <c r="DD452" s="23"/>
      <c r="DE452" s="23"/>
      <c r="DF452" s="23"/>
      <c r="DG452" s="23"/>
      <c r="DH452" s="23"/>
      <c r="DI452" s="23"/>
      <c r="DJ452" s="23"/>
      <c r="DK452" s="23"/>
      <c r="DL452" s="23"/>
      <c r="DM452" s="23"/>
      <c r="DN452" s="539"/>
      <c r="DO452" s="486"/>
      <c r="DP452" s="411"/>
      <c r="DQ452" s="411"/>
      <c r="DR452" s="411"/>
      <c r="DS452" s="554"/>
      <c r="DT452" s="554"/>
      <c r="DU452" s="458"/>
      <c r="DV452" s="457"/>
      <c r="DW452" s="457"/>
      <c r="DX452" s="457"/>
      <c r="DY452" s="457"/>
      <c r="DZ452" s="457"/>
      <c r="EA452" s="539"/>
      <c r="EH452" s="8"/>
    </row>
    <row r="453" spans="1:138" ht="12.75" customHeight="1" x14ac:dyDescent="0.2">
      <c r="A453" s="23"/>
      <c r="B453" s="23"/>
      <c r="C453" s="23"/>
      <c r="D453" s="23"/>
      <c r="E453" s="23"/>
      <c r="F453" s="202"/>
      <c r="G453" s="23"/>
      <c r="H453" s="23"/>
      <c r="I453" s="23"/>
      <c r="J453" s="23"/>
      <c r="K453" s="202"/>
      <c r="L453" s="23"/>
      <c r="M453" s="23"/>
      <c r="N453" s="23"/>
      <c r="O453" s="23"/>
      <c r="P453" s="202"/>
      <c r="Q453" s="23"/>
      <c r="R453" s="23"/>
      <c r="S453" s="23"/>
      <c r="T453" s="23"/>
      <c r="U453" s="202"/>
      <c r="V453" s="23"/>
      <c r="W453" s="23"/>
      <c r="X453" s="23"/>
      <c r="Y453" s="23"/>
      <c r="Z453" s="202"/>
      <c r="AA453" s="23"/>
      <c r="AB453" s="23"/>
      <c r="AC453" s="23"/>
      <c r="AD453" s="23"/>
      <c r="AE453" s="202"/>
      <c r="AF453" s="23"/>
      <c r="AG453" s="23"/>
      <c r="AH453" s="23"/>
      <c r="AI453" s="23"/>
      <c r="AJ453" s="202"/>
      <c r="AK453" s="23"/>
      <c r="AL453" s="23"/>
      <c r="AM453" s="23"/>
      <c r="AN453" s="23"/>
      <c r="AO453" s="202"/>
      <c r="AP453" s="23"/>
      <c r="AQ453" s="23"/>
      <c r="AR453" s="23"/>
      <c r="AS453" s="23"/>
      <c r="AT453" s="23"/>
      <c r="AU453" s="23"/>
      <c r="AV453" s="23"/>
      <c r="AW453" s="23"/>
      <c r="AX453" s="23"/>
      <c r="AY453" s="23"/>
      <c r="AZ453" s="23"/>
      <c r="BA453" s="23"/>
      <c r="BB453" s="23"/>
      <c r="BC453" s="23"/>
      <c r="BD453" s="23"/>
      <c r="BE453" s="23"/>
      <c r="BF453" s="23"/>
      <c r="BG453" s="188"/>
      <c r="BH453" s="188"/>
      <c r="BI453" s="188"/>
      <c r="BJ453" s="188"/>
      <c r="BK453" s="188"/>
      <c r="BL453" s="188"/>
      <c r="BM453" s="23"/>
      <c r="BN453" s="23"/>
      <c r="BO453" s="23"/>
      <c r="BP453" s="23"/>
      <c r="BQ453" s="23"/>
      <c r="BR453" s="23"/>
      <c r="BS453" s="23"/>
      <c r="BT453" s="23"/>
      <c r="BU453" s="23"/>
      <c r="BV453" s="23"/>
      <c r="BW453" s="23"/>
      <c r="BX453" s="23"/>
      <c r="BY453" s="23"/>
      <c r="BZ453" s="23"/>
      <c r="CA453" s="23"/>
      <c r="CB453" s="23"/>
      <c r="CC453" s="23"/>
      <c r="CD453" s="23"/>
      <c r="CE453" s="23"/>
      <c r="CF453" s="23"/>
      <c r="CG453" s="23"/>
      <c r="CH453" s="23"/>
      <c r="CI453" s="23"/>
      <c r="CJ453" s="23"/>
      <c r="CK453" s="23"/>
      <c r="CL453" s="23"/>
      <c r="CM453" s="23"/>
      <c r="CN453" s="23"/>
      <c r="CO453" s="23"/>
      <c r="CP453" s="23"/>
      <c r="CQ453" s="23"/>
      <c r="CR453" s="23"/>
      <c r="CS453" s="23"/>
      <c r="CT453" s="23"/>
      <c r="CU453" s="23"/>
      <c r="CV453" s="23"/>
      <c r="CW453" s="23"/>
      <c r="CX453" s="23"/>
      <c r="CY453" s="23"/>
      <c r="CZ453" s="23"/>
      <c r="DA453" s="23"/>
      <c r="DB453" s="23"/>
      <c r="DC453" s="23"/>
      <c r="DD453" s="23"/>
      <c r="DE453" s="23"/>
      <c r="DF453" s="23"/>
      <c r="DG453" s="23"/>
      <c r="DH453" s="23"/>
      <c r="DI453" s="23"/>
      <c r="DJ453" s="23"/>
      <c r="DK453" s="23"/>
      <c r="DL453" s="23"/>
      <c r="DM453" s="23"/>
      <c r="DN453" s="539"/>
      <c r="DO453" s="370"/>
      <c r="DP453" s="23"/>
      <c r="DQ453" s="411"/>
      <c r="DR453" s="411"/>
      <c r="DS453" s="553"/>
      <c r="DT453" s="553"/>
      <c r="DU453" s="457"/>
      <c r="DV453" s="457"/>
      <c r="DW453" s="457"/>
      <c r="DX453" s="457"/>
      <c r="DY453" s="457"/>
      <c r="DZ453" s="457"/>
      <c r="EA453" s="539"/>
      <c r="EH453" s="23"/>
    </row>
    <row r="454" spans="1:138" ht="12.75" customHeight="1" x14ac:dyDescent="0.2">
      <c r="A454" s="23"/>
      <c r="B454" s="23"/>
      <c r="C454" s="23"/>
      <c r="D454" s="23"/>
      <c r="E454" s="23"/>
      <c r="F454" s="202"/>
      <c r="G454" s="23"/>
      <c r="H454" s="23"/>
      <c r="I454" s="23"/>
      <c r="J454" s="23"/>
      <c r="K454" s="202"/>
      <c r="L454" s="23"/>
      <c r="M454" s="23"/>
      <c r="N454" s="23"/>
      <c r="O454" s="23"/>
      <c r="P454" s="202"/>
      <c r="Q454" s="23"/>
      <c r="R454" s="23"/>
      <c r="S454" s="23"/>
      <c r="T454" s="23"/>
      <c r="U454" s="202"/>
      <c r="V454" s="23"/>
      <c r="W454" s="23"/>
      <c r="X454" s="23"/>
      <c r="Y454" s="23"/>
      <c r="Z454" s="202"/>
      <c r="AA454" s="23"/>
      <c r="AB454" s="23"/>
      <c r="AC454" s="23"/>
      <c r="AD454" s="23"/>
      <c r="AE454" s="202"/>
      <c r="AF454" s="23"/>
      <c r="AG454" s="23"/>
      <c r="AH454" s="23"/>
      <c r="AI454" s="23"/>
      <c r="AJ454" s="202"/>
      <c r="AK454" s="23"/>
      <c r="AL454" s="23"/>
      <c r="AM454" s="23"/>
      <c r="AN454" s="23"/>
      <c r="AO454" s="202"/>
      <c r="AP454" s="23"/>
      <c r="AQ454" s="23"/>
      <c r="AR454" s="23"/>
      <c r="AS454" s="23"/>
      <c r="AT454" s="23"/>
      <c r="AU454" s="23"/>
      <c r="AV454" s="23"/>
      <c r="AW454" s="23"/>
      <c r="AX454" s="23"/>
      <c r="AY454" s="23"/>
      <c r="AZ454" s="23"/>
      <c r="BA454" s="23"/>
      <c r="BB454" s="23"/>
      <c r="BC454" s="23"/>
      <c r="BD454" s="23"/>
      <c r="BE454" s="23"/>
      <c r="BF454" s="23"/>
      <c r="BG454" s="188"/>
      <c r="BH454" s="188"/>
      <c r="BI454" s="188"/>
      <c r="BJ454" s="188"/>
      <c r="BK454" s="188"/>
      <c r="BL454" s="188"/>
      <c r="BM454" s="23"/>
      <c r="BN454" s="23"/>
      <c r="BO454" s="23"/>
      <c r="BP454" s="23"/>
      <c r="BQ454" s="23"/>
      <c r="BR454" s="23"/>
      <c r="BS454" s="23"/>
      <c r="BT454" s="23"/>
      <c r="BU454" s="23"/>
      <c r="BV454" s="23"/>
      <c r="BW454" s="23"/>
      <c r="BX454" s="23"/>
      <c r="BY454" s="23"/>
      <c r="BZ454" s="23"/>
      <c r="CA454" s="23"/>
      <c r="CB454" s="23"/>
      <c r="CC454" s="23"/>
      <c r="CD454" s="23"/>
      <c r="CE454" s="23"/>
      <c r="CF454" s="23"/>
      <c r="CG454" s="23"/>
      <c r="CH454" s="23"/>
      <c r="CI454" s="23"/>
      <c r="CJ454" s="23"/>
      <c r="CK454" s="23"/>
      <c r="CL454" s="23"/>
      <c r="CM454" s="23"/>
      <c r="CN454" s="23"/>
      <c r="CO454" s="23"/>
      <c r="CP454" s="23"/>
      <c r="CQ454" s="23"/>
      <c r="CR454" s="23"/>
      <c r="CS454" s="23"/>
      <c r="CT454" s="23"/>
      <c r="CU454" s="23"/>
      <c r="CV454" s="23"/>
      <c r="CW454" s="23"/>
      <c r="CX454" s="23"/>
      <c r="CY454" s="23"/>
      <c r="CZ454" s="23"/>
      <c r="DA454" s="23"/>
      <c r="DB454" s="23"/>
      <c r="DC454" s="23"/>
      <c r="DD454" s="23"/>
      <c r="DE454" s="23"/>
      <c r="DF454" s="23"/>
      <c r="DG454" s="23"/>
      <c r="DH454" s="23"/>
      <c r="DI454" s="23"/>
      <c r="DJ454" s="23"/>
      <c r="DK454" s="23"/>
      <c r="DL454" s="23"/>
      <c r="DM454" s="23"/>
      <c r="DN454" s="539"/>
      <c r="DO454" s="370"/>
      <c r="DP454" s="23"/>
      <c r="DQ454" s="411"/>
      <c r="DR454" s="411"/>
      <c r="DS454" s="553"/>
      <c r="DT454" s="553"/>
      <c r="DU454" s="457"/>
      <c r="DV454" s="457"/>
      <c r="DW454" s="457"/>
      <c r="DX454" s="457"/>
      <c r="DY454" s="457"/>
      <c r="DZ454" s="457"/>
      <c r="EA454" s="539"/>
      <c r="EH454" s="23"/>
    </row>
    <row r="455" spans="1:138" ht="12.75" customHeight="1" x14ac:dyDescent="0.2">
      <c r="A455" s="23"/>
      <c r="B455" s="23"/>
      <c r="C455" s="23"/>
      <c r="D455" s="23"/>
      <c r="E455" s="23"/>
      <c r="F455" s="202"/>
      <c r="G455" s="23"/>
      <c r="H455" s="23"/>
      <c r="I455" s="23"/>
      <c r="J455" s="23"/>
      <c r="K455" s="202"/>
      <c r="L455" s="23"/>
      <c r="M455" s="23"/>
      <c r="N455" s="23"/>
      <c r="O455" s="23"/>
      <c r="P455" s="202"/>
      <c r="Q455" s="23"/>
      <c r="R455" s="23"/>
      <c r="S455" s="23"/>
      <c r="T455" s="23"/>
      <c r="U455" s="202"/>
      <c r="V455" s="23"/>
      <c r="W455" s="23"/>
      <c r="X455" s="23"/>
      <c r="Y455" s="23"/>
      <c r="Z455" s="202"/>
      <c r="AA455" s="23"/>
      <c r="AB455" s="23"/>
      <c r="AC455" s="23"/>
      <c r="AD455" s="23"/>
      <c r="AE455" s="202"/>
      <c r="AF455" s="23"/>
      <c r="AG455" s="23"/>
      <c r="AH455" s="23"/>
      <c r="AI455" s="23"/>
      <c r="AJ455" s="202"/>
      <c r="AK455" s="23"/>
      <c r="AL455" s="23"/>
      <c r="AM455" s="23"/>
      <c r="AN455" s="23"/>
      <c r="AO455" s="202"/>
      <c r="AP455" s="23"/>
      <c r="AQ455" s="23"/>
      <c r="AR455" s="23"/>
      <c r="AS455" s="23"/>
      <c r="AT455" s="23"/>
      <c r="AU455" s="23"/>
      <c r="AV455" s="23"/>
      <c r="AW455" s="23"/>
      <c r="AX455" s="23"/>
      <c r="AY455" s="23"/>
      <c r="AZ455" s="23"/>
      <c r="BA455" s="23"/>
      <c r="BB455" s="23"/>
      <c r="BC455" s="23"/>
      <c r="BD455" s="23"/>
      <c r="BE455" s="23"/>
      <c r="BF455" s="23"/>
      <c r="BG455" s="188"/>
      <c r="BH455" s="188"/>
      <c r="BI455" s="188"/>
      <c r="BJ455" s="188"/>
      <c r="BK455" s="188"/>
      <c r="BL455" s="188"/>
      <c r="BM455" s="23"/>
      <c r="BN455" s="23"/>
      <c r="BO455" s="23"/>
      <c r="BP455" s="23"/>
      <c r="BQ455" s="23"/>
      <c r="BR455" s="23"/>
      <c r="BS455" s="23"/>
      <c r="BT455" s="23"/>
      <c r="BU455" s="23"/>
      <c r="BV455" s="23"/>
      <c r="BW455" s="23"/>
      <c r="BX455" s="23"/>
      <c r="BY455" s="23"/>
      <c r="BZ455" s="23"/>
      <c r="CA455" s="23"/>
      <c r="CB455" s="23"/>
      <c r="CC455" s="23"/>
      <c r="CD455" s="23"/>
      <c r="CE455" s="23"/>
      <c r="CF455" s="23"/>
      <c r="CG455" s="23"/>
      <c r="CH455" s="23"/>
      <c r="CI455" s="23"/>
      <c r="CJ455" s="23"/>
      <c r="CK455" s="23"/>
      <c r="CL455" s="23"/>
      <c r="CM455" s="23"/>
      <c r="CN455" s="23"/>
      <c r="CO455" s="23"/>
      <c r="CP455" s="23"/>
      <c r="CQ455" s="23"/>
      <c r="CR455" s="23"/>
      <c r="CS455" s="23"/>
      <c r="CT455" s="23"/>
      <c r="CU455" s="23"/>
      <c r="CV455" s="23"/>
      <c r="CW455" s="23"/>
      <c r="CX455" s="23"/>
      <c r="CY455" s="23"/>
      <c r="CZ455" s="23"/>
      <c r="DA455" s="23"/>
      <c r="DB455" s="23"/>
      <c r="DC455" s="23"/>
      <c r="DD455" s="23"/>
      <c r="DE455" s="23"/>
      <c r="DF455" s="23"/>
      <c r="DG455" s="23"/>
      <c r="DH455" s="23"/>
      <c r="DI455" s="23"/>
      <c r="DJ455" s="23"/>
      <c r="DK455" s="23"/>
      <c r="DL455" s="23"/>
      <c r="DM455" s="23"/>
      <c r="DN455" s="539"/>
      <c r="DO455" s="370"/>
      <c r="DP455" s="23"/>
      <c r="DQ455" s="411"/>
      <c r="DR455" s="411"/>
      <c r="DS455" s="553"/>
      <c r="DT455" s="553"/>
      <c r="DU455" s="457"/>
      <c r="DV455" s="457"/>
      <c r="DW455" s="457"/>
      <c r="DX455" s="457"/>
      <c r="DY455" s="457"/>
      <c r="DZ455" s="457"/>
      <c r="EA455" s="539"/>
      <c r="EH455" s="23"/>
    </row>
    <row r="456" spans="1:138" ht="12.75" customHeight="1" x14ac:dyDescent="0.2">
      <c r="A456" s="23"/>
      <c r="B456" s="23"/>
      <c r="C456" s="23"/>
      <c r="D456" s="23"/>
      <c r="E456" s="23"/>
      <c r="F456" s="202"/>
      <c r="G456" s="23"/>
      <c r="H456" s="23"/>
      <c r="I456" s="23"/>
      <c r="J456" s="23"/>
      <c r="K456" s="202"/>
      <c r="L456" s="23"/>
      <c r="M456" s="23"/>
      <c r="N456" s="23"/>
      <c r="O456" s="23"/>
      <c r="P456" s="202"/>
      <c r="Q456" s="23"/>
      <c r="R456" s="23"/>
      <c r="S456" s="23"/>
      <c r="T456" s="23"/>
      <c r="U456" s="202"/>
      <c r="V456" s="23"/>
      <c r="W456" s="23"/>
      <c r="X456" s="23"/>
      <c r="Y456" s="23"/>
      <c r="Z456" s="202"/>
      <c r="AA456" s="23"/>
      <c r="AB456" s="23"/>
      <c r="AC456" s="23"/>
      <c r="AD456" s="23"/>
      <c r="AE456" s="202"/>
      <c r="AF456" s="23"/>
      <c r="AG456" s="23"/>
      <c r="AH456" s="23"/>
      <c r="AI456" s="23"/>
      <c r="AJ456" s="202"/>
      <c r="AK456" s="23"/>
      <c r="AL456" s="23"/>
      <c r="AM456" s="23"/>
      <c r="AN456" s="23"/>
      <c r="AO456" s="202"/>
      <c r="AP456" s="23"/>
      <c r="AQ456" s="23"/>
      <c r="AR456" s="23"/>
      <c r="AS456" s="23"/>
      <c r="AT456" s="23"/>
      <c r="AU456" s="23"/>
      <c r="AV456" s="23"/>
      <c r="AW456" s="23"/>
      <c r="AX456" s="23"/>
      <c r="AY456" s="23"/>
      <c r="AZ456" s="23"/>
      <c r="BA456" s="23"/>
      <c r="BB456" s="23"/>
      <c r="BC456" s="23"/>
      <c r="BD456" s="23"/>
      <c r="BE456" s="23"/>
      <c r="BF456" s="23"/>
      <c r="BG456" s="188"/>
      <c r="BH456" s="188"/>
      <c r="BI456" s="188"/>
      <c r="BJ456" s="188"/>
      <c r="BK456" s="188"/>
      <c r="BL456" s="188"/>
      <c r="BM456" s="23"/>
      <c r="BN456" s="23"/>
      <c r="BO456" s="23"/>
      <c r="BP456" s="23"/>
      <c r="BQ456" s="23"/>
      <c r="BR456" s="23"/>
      <c r="BS456" s="23"/>
      <c r="BT456" s="23"/>
      <c r="BU456" s="23"/>
      <c r="BV456" s="23"/>
      <c r="BW456" s="23"/>
      <c r="BX456" s="23"/>
      <c r="BY456" s="23"/>
      <c r="BZ456" s="23"/>
      <c r="CA456" s="23"/>
      <c r="CB456" s="23"/>
      <c r="CC456" s="23"/>
      <c r="CD456" s="23"/>
      <c r="CE456" s="23"/>
      <c r="CF456" s="23"/>
      <c r="CG456" s="23"/>
      <c r="CH456" s="23"/>
      <c r="CI456" s="23"/>
      <c r="CJ456" s="23"/>
      <c r="CK456" s="23"/>
      <c r="CL456" s="23"/>
      <c r="CM456" s="23"/>
      <c r="CN456" s="23"/>
      <c r="CO456" s="23"/>
      <c r="CP456" s="23"/>
      <c r="CQ456" s="23"/>
      <c r="CR456" s="23"/>
      <c r="CS456" s="23"/>
      <c r="CT456" s="23"/>
      <c r="CU456" s="23"/>
      <c r="CV456" s="23"/>
      <c r="CW456" s="23"/>
      <c r="CX456" s="23"/>
      <c r="CY456" s="23"/>
      <c r="CZ456" s="23"/>
      <c r="DA456" s="23"/>
      <c r="DB456" s="23"/>
      <c r="DC456" s="23"/>
      <c r="DD456" s="23"/>
      <c r="DE456" s="23"/>
      <c r="DF456" s="23"/>
      <c r="DG456" s="23"/>
      <c r="DH456" s="23"/>
      <c r="DI456" s="23"/>
      <c r="DJ456" s="23"/>
      <c r="DK456" s="23"/>
      <c r="DL456" s="23"/>
      <c r="DM456" s="23"/>
      <c r="DN456" s="539"/>
      <c r="DO456" s="370"/>
      <c r="DP456" s="23"/>
      <c r="DQ456" s="411"/>
      <c r="DR456" s="411"/>
      <c r="DS456" s="553"/>
      <c r="DT456" s="553"/>
      <c r="DU456" s="457"/>
      <c r="DV456" s="457"/>
      <c r="DW456" s="457"/>
      <c r="DX456" s="457"/>
      <c r="DY456" s="457"/>
      <c r="DZ456" s="457"/>
      <c r="EA456" s="539"/>
      <c r="EH456" s="23"/>
    </row>
    <row r="457" spans="1:138" ht="12.75" customHeight="1" x14ac:dyDescent="0.2">
      <c r="A457" s="23"/>
      <c r="B457" s="23"/>
      <c r="C457" s="23"/>
      <c r="D457" s="23"/>
      <c r="E457" s="23"/>
      <c r="F457" s="202"/>
      <c r="G457" s="23"/>
      <c r="H457" s="23"/>
      <c r="I457" s="23"/>
      <c r="J457" s="23"/>
      <c r="K457" s="202"/>
      <c r="L457" s="23"/>
      <c r="M457" s="23"/>
      <c r="N457" s="23"/>
      <c r="O457" s="23"/>
      <c r="P457" s="202"/>
      <c r="Q457" s="23"/>
      <c r="R457" s="23"/>
      <c r="S457" s="23"/>
      <c r="T457" s="23"/>
      <c r="U457" s="202"/>
      <c r="V457" s="23"/>
      <c r="W457" s="23"/>
      <c r="X457" s="23"/>
      <c r="Y457" s="23"/>
      <c r="Z457" s="202"/>
      <c r="AA457" s="23"/>
      <c r="AB457" s="23"/>
      <c r="AC457" s="23"/>
      <c r="AD457" s="23"/>
      <c r="AE457" s="202"/>
      <c r="AF457" s="23"/>
      <c r="AG457" s="23"/>
      <c r="AH457" s="23"/>
      <c r="AI457" s="23"/>
      <c r="AJ457" s="202"/>
      <c r="AK457" s="23"/>
      <c r="AL457" s="23"/>
      <c r="AM457" s="23"/>
      <c r="AN457" s="23"/>
      <c r="AO457" s="202"/>
      <c r="AP457" s="23"/>
      <c r="AQ457" s="23"/>
      <c r="AR457" s="23"/>
      <c r="AS457" s="23"/>
      <c r="AT457" s="23"/>
      <c r="AU457" s="23"/>
      <c r="AV457" s="23"/>
      <c r="AW457" s="23"/>
      <c r="AX457" s="23"/>
      <c r="AY457" s="23"/>
      <c r="AZ457" s="23"/>
      <c r="BA457" s="23"/>
      <c r="BB457" s="23"/>
      <c r="BC457" s="23"/>
      <c r="BD457" s="23"/>
      <c r="BE457" s="23"/>
      <c r="BF457" s="23"/>
      <c r="BG457" s="188"/>
      <c r="BH457" s="188"/>
      <c r="BI457" s="188"/>
      <c r="BJ457" s="188"/>
      <c r="BK457" s="188"/>
      <c r="BL457" s="188"/>
      <c r="BM457" s="23"/>
      <c r="BN457" s="23"/>
      <c r="BO457" s="23"/>
      <c r="BP457" s="23"/>
      <c r="BQ457" s="23"/>
      <c r="BR457" s="23"/>
      <c r="BS457" s="23"/>
      <c r="BT457" s="23"/>
      <c r="BU457" s="23"/>
      <c r="BV457" s="23"/>
      <c r="BW457" s="23"/>
      <c r="BX457" s="23"/>
      <c r="BY457" s="23"/>
      <c r="BZ457" s="23"/>
      <c r="CA457" s="23"/>
      <c r="CB457" s="23"/>
      <c r="CC457" s="23"/>
      <c r="CD457" s="23"/>
      <c r="CE457" s="23"/>
      <c r="CF457" s="23"/>
      <c r="CG457" s="23"/>
      <c r="CH457" s="23"/>
      <c r="CI457" s="23"/>
      <c r="CJ457" s="23"/>
      <c r="CK457" s="23"/>
      <c r="CL457" s="23"/>
      <c r="CM457" s="23"/>
      <c r="CN457" s="23"/>
      <c r="CO457" s="23"/>
      <c r="CP457" s="23"/>
      <c r="CQ457" s="23"/>
      <c r="CR457" s="23"/>
      <c r="CS457" s="23"/>
      <c r="CT457" s="23"/>
      <c r="CU457" s="23"/>
      <c r="CV457" s="23"/>
      <c r="CW457" s="23"/>
      <c r="CX457" s="23"/>
      <c r="CY457" s="23"/>
      <c r="CZ457" s="23"/>
      <c r="DA457" s="23"/>
      <c r="DB457" s="23"/>
      <c r="DC457" s="23"/>
      <c r="DD457" s="23"/>
      <c r="DE457" s="23"/>
      <c r="DF457" s="23"/>
      <c r="DG457" s="23"/>
      <c r="DH457" s="23"/>
      <c r="DI457" s="23"/>
      <c r="DJ457" s="23"/>
      <c r="DK457" s="23"/>
      <c r="DL457" s="23"/>
      <c r="DM457" s="23"/>
      <c r="DN457" s="539"/>
      <c r="DO457" s="370"/>
      <c r="DP457" s="23"/>
      <c r="DQ457" s="411"/>
      <c r="DR457" s="411"/>
      <c r="DS457" s="553"/>
      <c r="DT457" s="553"/>
      <c r="DU457" s="457"/>
      <c r="DV457" s="457"/>
      <c r="DW457" s="457"/>
      <c r="DX457" s="457"/>
      <c r="DY457" s="457"/>
      <c r="DZ457" s="457"/>
      <c r="EA457" s="539"/>
      <c r="EH457" s="23"/>
    </row>
    <row r="458" spans="1:138" ht="12.75" customHeight="1" x14ac:dyDescent="0.2">
      <c r="A458" s="23"/>
      <c r="B458" s="23"/>
      <c r="C458" s="23"/>
      <c r="D458" s="23"/>
      <c r="E458" s="23"/>
      <c r="F458" s="202"/>
      <c r="G458" s="23"/>
      <c r="H458" s="23"/>
      <c r="I458" s="23"/>
      <c r="J458" s="23"/>
      <c r="K458" s="202"/>
      <c r="L458" s="23"/>
      <c r="M458" s="23"/>
      <c r="N458" s="23"/>
      <c r="O458" s="23"/>
      <c r="P458" s="202"/>
      <c r="Q458" s="23"/>
      <c r="R458" s="23"/>
      <c r="S458" s="23"/>
      <c r="T458" s="23"/>
      <c r="U458" s="202"/>
      <c r="V458" s="23"/>
      <c r="W458" s="23"/>
      <c r="X458" s="23"/>
      <c r="Y458" s="23"/>
      <c r="Z458" s="202"/>
      <c r="AA458" s="23"/>
      <c r="AB458" s="23"/>
      <c r="AC458" s="23"/>
      <c r="AD458" s="23"/>
      <c r="AE458" s="202"/>
      <c r="AF458" s="23"/>
      <c r="AG458" s="23"/>
      <c r="AH458" s="23"/>
      <c r="AI458" s="23"/>
      <c r="AJ458" s="202"/>
      <c r="AK458" s="23"/>
      <c r="AL458" s="23"/>
      <c r="AM458" s="23"/>
      <c r="AN458" s="23"/>
      <c r="AO458" s="202"/>
      <c r="AP458" s="23"/>
      <c r="AQ458" s="23"/>
      <c r="AR458" s="23"/>
      <c r="AS458" s="23"/>
      <c r="AT458" s="23"/>
      <c r="AU458" s="23"/>
      <c r="AV458" s="23"/>
      <c r="AW458" s="23"/>
      <c r="AX458" s="23"/>
      <c r="AY458" s="23"/>
      <c r="AZ458" s="23"/>
      <c r="BA458" s="23"/>
      <c r="BB458" s="23"/>
      <c r="BC458" s="23"/>
      <c r="BD458" s="23"/>
      <c r="BE458" s="23"/>
      <c r="BF458" s="23"/>
      <c r="BG458" s="188"/>
      <c r="BH458" s="188"/>
      <c r="BI458" s="188"/>
      <c r="BJ458" s="188"/>
      <c r="BK458" s="188"/>
      <c r="BL458" s="188"/>
      <c r="BM458" s="23"/>
      <c r="BN458" s="23"/>
      <c r="BO458" s="23"/>
      <c r="BP458" s="23"/>
      <c r="BQ458" s="23"/>
      <c r="BR458" s="23"/>
      <c r="BS458" s="23"/>
      <c r="BT458" s="23"/>
      <c r="BU458" s="23"/>
      <c r="BV458" s="23"/>
      <c r="BW458" s="23"/>
      <c r="BX458" s="23"/>
      <c r="BY458" s="23"/>
      <c r="BZ458" s="23"/>
      <c r="CA458" s="23"/>
      <c r="CB458" s="23"/>
      <c r="CC458" s="23"/>
      <c r="CD458" s="23"/>
      <c r="CE458" s="23"/>
      <c r="CF458" s="23"/>
      <c r="CG458" s="23"/>
      <c r="CH458" s="23"/>
      <c r="CI458" s="23"/>
      <c r="CJ458" s="23"/>
      <c r="CK458" s="23"/>
      <c r="CL458" s="23"/>
      <c r="CM458" s="23"/>
      <c r="CN458" s="23"/>
      <c r="CO458" s="23"/>
      <c r="CP458" s="23"/>
      <c r="CQ458" s="23"/>
      <c r="CR458" s="23"/>
      <c r="CS458" s="23"/>
      <c r="CT458" s="23"/>
      <c r="CU458" s="23"/>
      <c r="CV458" s="23"/>
      <c r="CW458" s="23"/>
      <c r="CX458" s="23"/>
      <c r="CY458" s="23"/>
      <c r="CZ458" s="23"/>
      <c r="DA458" s="23"/>
      <c r="DB458" s="23"/>
      <c r="DC458" s="23"/>
      <c r="DD458" s="23"/>
      <c r="DE458" s="23"/>
      <c r="DF458" s="23"/>
      <c r="DG458" s="23"/>
      <c r="DH458" s="23"/>
      <c r="DI458" s="23"/>
      <c r="DJ458" s="23"/>
      <c r="DK458" s="23"/>
      <c r="DL458" s="23"/>
      <c r="DM458" s="23"/>
      <c r="DN458" s="539"/>
      <c r="DO458" s="370"/>
      <c r="DP458" s="23"/>
      <c r="DQ458" s="411"/>
      <c r="DR458" s="411"/>
      <c r="DS458" s="553"/>
      <c r="DT458" s="553"/>
      <c r="DU458" s="457"/>
      <c r="DV458" s="457"/>
      <c r="DW458" s="457"/>
      <c r="DX458" s="457"/>
      <c r="DY458" s="457"/>
      <c r="DZ458" s="457"/>
      <c r="EA458" s="539"/>
      <c r="EH458" s="23"/>
    </row>
    <row r="459" spans="1:138" ht="12.75" customHeight="1" x14ac:dyDescent="0.2">
      <c r="A459" s="23"/>
      <c r="B459" s="23"/>
      <c r="C459" s="23"/>
      <c r="D459" s="23"/>
      <c r="E459" s="23"/>
      <c r="F459" s="202"/>
      <c r="G459" s="23"/>
      <c r="H459" s="23"/>
      <c r="I459" s="23"/>
      <c r="J459" s="23"/>
      <c r="K459" s="202"/>
      <c r="L459" s="23"/>
      <c r="M459" s="23"/>
      <c r="N459" s="23"/>
      <c r="O459" s="23"/>
      <c r="P459" s="202"/>
      <c r="Q459" s="23"/>
      <c r="R459" s="23"/>
      <c r="S459" s="23"/>
      <c r="T459" s="23"/>
      <c r="U459" s="202"/>
      <c r="V459" s="23"/>
      <c r="W459" s="23"/>
      <c r="X459" s="23"/>
      <c r="Y459" s="23"/>
      <c r="Z459" s="202"/>
      <c r="AA459" s="23"/>
      <c r="AB459" s="23"/>
      <c r="AC459" s="23"/>
      <c r="AD459" s="23"/>
      <c r="AE459" s="202"/>
      <c r="AF459" s="23"/>
      <c r="AG459" s="23"/>
      <c r="AH459" s="23"/>
      <c r="AI459" s="23"/>
      <c r="AJ459" s="202"/>
      <c r="AK459" s="23"/>
      <c r="AL459" s="23"/>
      <c r="AM459" s="23"/>
      <c r="AN459" s="23"/>
      <c r="AO459" s="202"/>
      <c r="AP459" s="23"/>
      <c r="AQ459" s="23"/>
      <c r="AR459" s="23"/>
      <c r="AS459" s="23"/>
      <c r="AT459" s="23"/>
      <c r="AU459" s="23"/>
      <c r="AV459" s="23"/>
      <c r="AW459" s="23"/>
      <c r="AX459" s="23"/>
      <c r="AY459" s="23"/>
      <c r="AZ459" s="23"/>
      <c r="BA459" s="23"/>
      <c r="BB459" s="23"/>
      <c r="BC459" s="23"/>
      <c r="BD459" s="23"/>
      <c r="BE459" s="23"/>
      <c r="BF459" s="23"/>
      <c r="BG459" s="188"/>
      <c r="BH459" s="188"/>
      <c r="BI459" s="188"/>
      <c r="BJ459" s="188"/>
      <c r="BK459" s="188"/>
      <c r="BL459" s="188"/>
      <c r="BM459" s="23"/>
      <c r="BN459" s="23"/>
      <c r="BO459" s="23"/>
      <c r="BP459" s="23"/>
      <c r="BQ459" s="23"/>
      <c r="BR459" s="23"/>
      <c r="BS459" s="23"/>
      <c r="BT459" s="23"/>
      <c r="BU459" s="23"/>
      <c r="BV459" s="23"/>
      <c r="BW459" s="23"/>
      <c r="BX459" s="23"/>
      <c r="BY459" s="23"/>
      <c r="BZ459" s="23"/>
      <c r="CA459" s="23"/>
      <c r="CB459" s="23"/>
      <c r="CC459" s="23"/>
      <c r="CD459" s="23"/>
      <c r="CE459" s="23"/>
      <c r="CF459" s="23"/>
      <c r="CG459" s="23"/>
      <c r="CH459" s="23"/>
      <c r="CI459" s="23"/>
      <c r="CJ459" s="23"/>
      <c r="CK459" s="23"/>
      <c r="CL459" s="23"/>
      <c r="CM459" s="23"/>
      <c r="CN459" s="23"/>
      <c r="CO459" s="23"/>
      <c r="CP459" s="23"/>
      <c r="CQ459" s="23"/>
      <c r="CR459" s="23"/>
      <c r="CS459" s="23"/>
      <c r="CT459" s="23"/>
      <c r="CU459" s="23"/>
      <c r="CV459" s="23"/>
      <c r="CW459" s="23"/>
      <c r="CX459" s="23"/>
      <c r="CY459" s="23"/>
      <c r="CZ459" s="23"/>
      <c r="DA459" s="23"/>
      <c r="DB459" s="23"/>
      <c r="DC459" s="23"/>
      <c r="DD459" s="23"/>
      <c r="DE459" s="23"/>
      <c r="DF459" s="23"/>
      <c r="DG459" s="23"/>
      <c r="DH459" s="23"/>
      <c r="DI459" s="23"/>
      <c r="DJ459" s="23"/>
      <c r="DK459" s="23"/>
      <c r="DL459" s="23"/>
      <c r="DM459" s="23"/>
      <c r="DN459" s="539"/>
      <c r="DO459" s="370"/>
      <c r="DP459" s="23"/>
      <c r="DQ459" s="411"/>
      <c r="DR459" s="411"/>
      <c r="DS459" s="553"/>
      <c r="DT459" s="553"/>
      <c r="DU459" s="457"/>
      <c r="DV459" s="457"/>
      <c r="DW459" s="457"/>
      <c r="DX459" s="457"/>
      <c r="DY459" s="457"/>
      <c r="DZ459" s="457"/>
      <c r="EA459" s="539"/>
      <c r="EH459" s="23"/>
    </row>
    <row r="460" spans="1:138" ht="12.75" customHeight="1" x14ac:dyDescent="0.2">
      <c r="A460" s="23"/>
      <c r="B460" s="23"/>
      <c r="C460" s="23"/>
      <c r="D460" s="23"/>
      <c r="E460" s="23"/>
      <c r="F460" s="202"/>
      <c r="G460" s="23"/>
      <c r="H460" s="23"/>
      <c r="I460" s="23"/>
      <c r="J460" s="23"/>
      <c r="K460" s="202"/>
      <c r="L460" s="23"/>
      <c r="M460" s="23"/>
      <c r="N460" s="23"/>
      <c r="O460" s="23"/>
      <c r="P460" s="202"/>
      <c r="Q460" s="23"/>
      <c r="R460" s="23"/>
      <c r="S460" s="23"/>
      <c r="T460" s="23"/>
      <c r="U460" s="202"/>
      <c r="V460" s="23"/>
      <c r="W460" s="23"/>
      <c r="X460" s="23"/>
      <c r="Y460" s="23"/>
      <c r="Z460" s="202"/>
      <c r="AA460" s="23"/>
      <c r="AB460" s="23"/>
      <c r="AC460" s="23"/>
      <c r="AD460" s="23"/>
      <c r="AE460" s="202"/>
      <c r="AF460" s="23"/>
      <c r="AG460" s="23"/>
      <c r="AH460" s="23"/>
      <c r="AI460" s="23"/>
      <c r="AJ460" s="202"/>
      <c r="AK460" s="23"/>
      <c r="AL460" s="23"/>
      <c r="AM460" s="23"/>
      <c r="AN460" s="23"/>
      <c r="AO460" s="202"/>
      <c r="AP460" s="23"/>
      <c r="AQ460" s="23"/>
      <c r="AR460" s="23"/>
      <c r="AS460" s="23"/>
      <c r="AT460" s="23"/>
      <c r="AU460" s="23"/>
      <c r="AV460" s="23"/>
      <c r="AW460" s="23"/>
      <c r="AX460" s="23"/>
      <c r="AY460" s="23"/>
      <c r="AZ460" s="23"/>
      <c r="BA460" s="23"/>
      <c r="BB460" s="23"/>
      <c r="BC460" s="23"/>
      <c r="BD460" s="23"/>
      <c r="BE460" s="23"/>
      <c r="BF460" s="23"/>
      <c r="BG460" s="188"/>
      <c r="BH460" s="188"/>
      <c r="BI460" s="188"/>
      <c r="BJ460" s="188"/>
      <c r="BK460" s="188"/>
      <c r="BL460" s="188"/>
      <c r="BM460" s="23"/>
      <c r="BN460" s="23"/>
      <c r="BO460" s="23"/>
      <c r="BP460" s="23"/>
      <c r="BQ460" s="23"/>
      <c r="BR460" s="23"/>
      <c r="BS460" s="23"/>
      <c r="BT460" s="23"/>
      <c r="BU460" s="23"/>
      <c r="BV460" s="23"/>
      <c r="BW460" s="23"/>
      <c r="BX460" s="23"/>
      <c r="BY460" s="23"/>
      <c r="BZ460" s="23"/>
      <c r="CA460" s="23"/>
      <c r="CB460" s="23"/>
      <c r="CC460" s="23"/>
      <c r="CD460" s="23"/>
      <c r="CE460" s="23"/>
      <c r="CF460" s="23"/>
      <c r="CG460" s="23"/>
      <c r="CH460" s="23"/>
      <c r="CI460" s="23"/>
      <c r="CJ460" s="23"/>
      <c r="CK460" s="23"/>
      <c r="CL460" s="23"/>
      <c r="CM460" s="23"/>
      <c r="CN460" s="23"/>
      <c r="CO460" s="23"/>
      <c r="CP460" s="23"/>
      <c r="CQ460" s="23"/>
      <c r="CR460" s="23"/>
      <c r="CS460" s="23"/>
      <c r="CT460" s="23"/>
      <c r="CU460" s="23"/>
      <c r="CV460" s="23"/>
      <c r="CW460" s="23"/>
      <c r="CX460" s="23"/>
      <c r="CY460" s="23"/>
      <c r="CZ460" s="23"/>
      <c r="DA460" s="23"/>
      <c r="DB460" s="23"/>
      <c r="DC460" s="23"/>
      <c r="DD460" s="23"/>
      <c r="DE460" s="23"/>
      <c r="DF460" s="23"/>
      <c r="DG460" s="23"/>
      <c r="DH460" s="23"/>
      <c r="DI460" s="23"/>
      <c r="DJ460" s="23"/>
      <c r="DK460" s="23"/>
      <c r="DL460" s="23"/>
      <c r="DM460" s="23"/>
      <c r="DN460" s="539"/>
      <c r="DO460" s="370"/>
      <c r="DP460" s="23"/>
      <c r="DQ460" s="411"/>
      <c r="DR460" s="411"/>
      <c r="DS460" s="553"/>
      <c r="DT460" s="553"/>
      <c r="DU460" s="457"/>
      <c r="DV460" s="457"/>
      <c r="DW460" s="457"/>
      <c r="DX460" s="457"/>
      <c r="DY460" s="457"/>
      <c r="DZ460" s="457"/>
      <c r="EA460" s="539"/>
      <c r="EH460" s="23"/>
    </row>
    <row r="461" spans="1:138" ht="12.75" customHeight="1" x14ac:dyDescent="0.2">
      <c r="A461" s="23"/>
      <c r="B461" s="23"/>
      <c r="C461" s="23"/>
      <c r="D461" s="23"/>
      <c r="E461" s="23"/>
      <c r="F461" s="202"/>
      <c r="G461" s="23"/>
      <c r="H461" s="23"/>
      <c r="I461" s="23"/>
      <c r="J461" s="23"/>
      <c r="K461" s="202"/>
      <c r="L461" s="23"/>
      <c r="M461" s="23"/>
      <c r="N461" s="23"/>
      <c r="O461" s="23"/>
      <c r="P461" s="202"/>
      <c r="Q461" s="23"/>
      <c r="R461" s="23"/>
      <c r="S461" s="23"/>
      <c r="T461" s="23"/>
      <c r="U461" s="202"/>
      <c r="V461" s="23"/>
      <c r="W461" s="23"/>
      <c r="X461" s="23"/>
      <c r="Y461" s="23"/>
      <c r="Z461" s="202"/>
      <c r="AA461" s="23"/>
      <c r="AB461" s="23"/>
      <c r="AC461" s="23"/>
      <c r="AD461" s="23"/>
      <c r="AE461" s="202"/>
      <c r="AF461" s="23"/>
      <c r="AG461" s="23"/>
      <c r="AH461" s="23"/>
      <c r="AI461" s="23"/>
      <c r="AJ461" s="202"/>
      <c r="AK461" s="23"/>
      <c r="AL461" s="23"/>
      <c r="AM461" s="23"/>
      <c r="AN461" s="23"/>
      <c r="AO461" s="202"/>
      <c r="AP461" s="23"/>
      <c r="AQ461" s="23"/>
      <c r="AR461" s="23"/>
      <c r="AS461" s="23"/>
      <c r="AT461" s="23"/>
      <c r="AU461" s="23"/>
      <c r="AV461" s="23"/>
      <c r="AW461" s="23"/>
      <c r="AX461" s="23"/>
      <c r="AY461" s="23"/>
      <c r="AZ461" s="23"/>
      <c r="BA461" s="23"/>
      <c r="BB461" s="23"/>
      <c r="BC461" s="23"/>
      <c r="BD461" s="23"/>
      <c r="BE461" s="23"/>
      <c r="BF461" s="23"/>
      <c r="BG461" s="188"/>
      <c r="BH461" s="188"/>
      <c r="BI461" s="188"/>
      <c r="BJ461" s="188"/>
      <c r="BK461" s="188"/>
      <c r="BL461" s="188"/>
      <c r="BM461" s="23"/>
      <c r="BN461" s="23"/>
      <c r="BO461" s="23"/>
      <c r="BP461" s="23"/>
      <c r="BQ461" s="23"/>
      <c r="BR461" s="23"/>
      <c r="BS461" s="23"/>
      <c r="BT461" s="23"/>
      <c r="BU461" s="23"/>
      <c r="BV461" s="23"/>
      <c r="BW461" s="23"/>
      <c r="BX461" s="23"/>
      <c r="BY461" s="23"/>
      <c r="BZ461" s="23"/>
      <c r="CA461" s="23"/>
      <c r="CB461" s="23"/>
      <c r="CC461" s="23"/>
      <c r="CD461" s="23"/>
      <c r="CE461" s="23"/>
      <c r="CF461" s="23"/>
      <c r="CG461" s="23"/>
      <c r="CH461" s="23"/>
      <c r="CI461" s="23"/>
      <c r="CJ461" s="23"/>
      <c r="CK461" s="23"/>
      <c r="CL461" s="23"/>
      <c r="CM461" s="23"/>
      <c r="CN461" s="23"/>
      <c r="CO461" s="23"/>
      <c r="CP461" s="23"/>
      <c r="CQ461" s="23"/>
      <c r="CR461" s="23"/>
      <c r="CS461" s="23"/>
      <c r="CT461" s="23"/>
      <c r="CU461" s="23"/>
      <c r="CV461" s="23"/>
      <c r="CW461" s="23"/>
      <c r="CX461" s="23"/>
      <c r="CY461" s="23"/>
      <c r="CZ461" s="23"/>
      <c r="DA461" s="23"/>
      <c r="DB461" s="23"/>
      <c r="DC461" s="23"/>
      <c r="DD461" s="23"/>
      <c r="DE461" s="23"/>
      <c r="DF461" s="23"/>
      <c r="DG461" s="23"/>
      <c r="DH461" s="23"/>
      <c r="DI461" s="23"/>
      <c r="DJ461" s="23"/>
      <c r="DK461" s="23"/>
      <c r="DL461" s="23"/>
      <c r="DM461" s="23"/>
      <c r="DN461" s="539"/>
      <c r="DO461" s="370"/>
      <c r="DP461" s="23"/>
      <c r="DQ461" s="411"/>
      <c r="DR461" s="411"/>
      <c r="DS461" s="553"/>
      <c r="DT461" s="553"/>
      <c r="DU461" s="457"/>
      <c r="DV461" s="457"/>
      <c r="DW461" s="457"/>
      <c r="DX461" s="457"/>
      <c r="DY461" s="457"/>
      <c r="DZ461" s="457"/>
      <c r="EA461" s="539"/>
      <c r="EH461" s="23"/>
    </row>
    <row r="462" spans="1:138" ht="12.75" customHeight="1" x14ac:dyDescent="0.2">
      <c r="A462" s="23"/>
      <c r="B462" s="23"/>
      <c r="C462" s="23"/>
      <c r="D462" s="23"/>
      <c r="E462" s="23"/>
      <c r="F462" s="202"/>
      <c r="G462" s="23"/>
      <c r="H462" s="23"/>
      <c r="I462" s="23"/>
      <c r="J462" s="23"/>
      <c r="K462" s="202"/>
      <c r="L462" s="23"/>
      <c r="M462" s="23"/>
      <c r="N462" s="23"/>
      <c r="O462" s="23"/>
      <c r="P462" s="202"/>
      <c r="Q462" s="23"/>
      <c r="R462" s="23"/>
      <c r="S462" s="23"/>
      <c r="T462" s="23"/>
      <c r="U462" s="202"/>
      <c r="V462" s="23"/>
      <c r="W462" s="23"/>
      <c r="X462" s="23"/>
      <c r="Y462" s="23"/>
      <c r="Z462" s="202"/>
      <c r="AA462" s="23"/>
      <c r="AB462" s="23"/>
      <c r="AC462" s="23"/>
      <c r="AD462" s="23"/>
      <c r="AE462" s="202"/>
      <c r="AF462" s="23"/>
      <c r="AG462" s="23"/>
      <c r="AH462" s="23"/>
      <c r="AI462" s="23"/>
      <c r="AJ462" s="202"/>
      <c r="AK462" s="23"/>
      <c r="AL462" s="23"/>
      <c r="AM462" s="23"/>
      <c r="AN462" s="23"/>
      <c r="AO462" s="202"/>
      <c r="AP462" s="23"/>
      <c r="AQ462" s="23"/>
      <c r="AR462" s="23"/>
      <c r="AS462" s="23"/>
      <c r="AT462" s="23"/>
      <c r="AU462" s="23"/>
      <c r="AV462" s="23"/>
      <c r="AW462" s="23"/>
      <c r="AX462" s="23"/>
      <c r="AY462" s="23"/>
      <c r="AZ462" s="23"/>
      <c r="BA462" s="23"/>
      <c r="BB462" s="23"/>
      <c r="BC462" s="23"/>
      <c r="BD462" s="23"/>
      <c r="BE462" s="23"/>
      <c r="BF462" s="23"/>
      <c r="BG462" s="188"/>
      <c r="BH462" s="188"/>
      <c r="BI462" s="188"/>
      <c r="BJ462" s="188"/>
      <c r="BK462" s="188"/>
      <c r="BL462" s="188"/>
      <c r="BM462" s="23"/>
      <c r="BN462" s="23"/>
      <c r="BO462" s="23"/>
      <c r="BP462" s="23"/>
      <c r="BQ462" s="23"/>
      <c r="BR462" s="23"/>
      <c r="BS462" s="23"/>
      <c r="BT462" s="23"/>
      <c r="BU462" s="23"/>
      <c r="BV462" s="23"/>
      <c r="BW462" s="23"/>
      <c r="BX462" s="23"/>
      <c r="BY462" s="23"/>
      <c r="BZ462" s="23"/>
      <c r="CA462" s="23"/>
      <c r="CB462" s="23"/>
      <c r="CC462" s="23"/>
      <c r="CD462" s="23"/>
      <c r="CE462" s="23"/>
      <c r="CF462" s="23"/>
      <c r="CG462" s="23"/>
      <c r="CH462" s="23"/>
      <c r="CI462" s="23"/>
      <c r="CJ462" s="23"/>
      <c r="CK462" s="23"/>
      <c r="CL462" s="23"/>
      <c r="CM462" s="23"/>
      <c r="CN462" s="23"/>
      <c r="CO462" s="23"/>
      <c r="CP462" s="23"/>
      <c r="CQ462" s="23"/>
      <c r="CR462" s="23"/>
      <c r="CS462" s="23"/>
      <c r="CT462" s="23"/>
      <c r="CU462" s="23"/>
      <c r="CV462" s="23"/>
      <c r="CW462" s="23"/>
      <c r="CX462" s="23"/>
      <c r="CY462" s="23"/>
      <c r="CZ462" s="23"/>
      <c r="DA462" s="23"/>
      <c r="DB462" s="23"/>
      <c r="DC462" s="23"/>
      <c r="DD462" s="23"/>
      <c r="DE462" s="23"/>
      <c r="DF462" s="23"/>
      <c r="DG462" s="23"/>
      <c r="DH462" s="23"/>
      <c r="DI462" s="23"/>
      <c r="DJ462" s="23"/>
      <c r="DK462" s="23"/>
      <c r="DL462" s="23"/>
      <c r="DM462" s="23"/>
      <c r="DN462" s="539"/>
      <c r="DO462" s="370"/>
      <c r="DP462" s="23"/>
      <c r="DQ462" s="411"/>
      <c r="DR462" s="411"/>
      <c r="DS462" s="553"/>
      <c r="DT462" s="553"/>
      <c r="DU462" s="457"/>
      <c r="DV462" s="457"/>
      <c r="DW462" s="457"/>
      <c r="DX462" s="457"/>
      <c r="DY462" s="457"/>
      <c r="DZ462" s="457"/>
      <c r="EA462" s="539"/>
      <c r="EH462" s="23"/>
    </row>
    <row r="463" spans="1:138" ht="12.75" customHeight="1" x14ac:dyDescent="0.2">
      <c r="A463" s="23"/>
      <c r="B463" s="23"/>
      <c r="C463" s="23"/>
      <c r="D463" s="23"/>
      <c r="E463" s="23"/>
      <c r="F463" s="202"/>
      <c r="G463" s="23"/>
      <c r="H463" s="23"/>
      <c r="I463" s="23"/>
      <c r="J463" s="23"/>
      <c r="K463" s="202"/>
      <c r="L463" s="23"/>
      <c r="M463" s="23"/>
      <c r="N463" s="23"/>
      <c r="O463" s="23"/>
      <c r="P463" s="202"/>
      <c r="Q463" s="23"/>
      <c r="R463" s="23"/>
      <c r="S463" s="23"/>
      <c r="T463" s="23"/>
      <c r="U463" s="202"/>
      <c r="V463" s="23"/>
      <c r="W463" s="23"/>
      <c r="X463" s="23"/>
      <c r="Y463" s="23"/>
      <c r="Z463" s="202"/>
      <c r="AA463" s="23"/>
      <c r="AB463" s="23"/>
      <c r="AC463" s="23"/>
      <c r="AD463" s="23"/>
      <c r="AE463" s="202"/>
      <c r="AF463" s="23"/>
      <c r="AG463" s="23"/>
      <c r="AH463" s="23"/>
      <c r="AI463" s="23"/>
      <c r="AJ463" s="202"/>
      <c r="AK463" s="23"/>
      <c r="AL463" s="23"/>
      <c r="AM463" s="23"/>
      <c r="AN463" s="23"/>
      <c r="AO463" s="202"/>
      <c r="AP463" s="23"/>
      <c r="AQ463" s="23"/>
      <c r="AR463" s="23"/>
      <c r="AS463" s="23"/>
      <c r="AT463" s="23"/>
      <c r="AU463" s="23"/>
      <c r="AV463" s="23"/>
      <c r="AW463" s="23"/>
      <c r="AX463" s="23"/>
      <c r="AY463" s="23"/>
      <c r="AZ463" s="23"/>
      <c r="BA463" s="23"/>
      <c r="BB463" s="23"/>
      <c r="BC463" s="23"/>
      <c r="BD463" s="23"/>
      <c r="BE463" s="23"/>
      <c r="BF463" s="23"/>
      <c r="BG463" s="188"/>
      <c r="BH463" s="188"/>
      <c r="BI463" s="188"/>
      <c r="BJ463" s="188"/>
      <c r="BK463" s="188"/>
      <c r="BL463" s="188"/>
      <c r="BM463" s="23"/>
      <c r="BN463" s="23"/>
      <c r="BO463" s="23"/>
      <c r="BP463" s="23"/>
      <c r="BQ463" s="23"/>
      <c r="BR463" s="23"/>
      <c r="BS463" s="23"/>
      <c r="BT463" s="23"/>
      <c r="BU463" s="23"/>
      <c r="BV463" s="23"/>
      <c r="BW463" s="23"/>
      <c r="BX463" s="23"/>
      <c r="BY463" s="23"/>
      <c r="BZ463" s="23"/>
      <c r="CA463" s="23"/>
      <c r="CB463" s="23"/>
      <c r="CC463" s="23"/>
      <c r="CD463" s="23"/>
      <c r="CE463" s="23"/>
      <c r="CF463" s="23"/>
      <c r="CG463" s="23"/>
      <c r="CH463" s="23"/>
      <c r="CI463" s="23"/>
      <c r="CJ463" s="23"/>
      <c r="CK463" s="23"/>
      <c r="CL463" s="23"/>
      <c r="CM463" s="23"/>
      <c r="CN463" s="23"/>
      <c r="CO463" s="23"/>
      <c r="CP463" s="23"/>
      <c r="CQ463" s="23"/>
      <c r="CR463" s="23"/>
      <c r="CS463" s="23"/>
      <c r="CT463" s="23"/>
      <c r="CU463" s="23"/>
      <c r="CV463" s="23"/>
      <c r="CW463" s="23"/>
      <c r="CX463" s="23"/>
      <c r="CY463" s="23"/>
      <c r="CZ463" s="23"/>
      <c r="DA463" s="23"/>
      <c r="DB463" s="23"/>
      <c r="DC463" s="23"/>
      <c r="DD463" s="23"/>
      <c r="DE463" s="23"/>
      <c r="DF463" s="23"/>
      <c r="DG463" s="23"/>
      <c r="DH463" s="23"/>
      <c r="DI463" s="23"/>
      <c r="DJ463" s="23"/>
      <c r="DK463" s="23"/>
      <c r="DL463" s="23"/>
      <c r="DM463" s="23"/>
      <c r="DN463" s="539"/>
      <c r="DO463" s="370"/>
      <c r="DP463" s="23"/>
      <c r="DQ463" s="411"/>
      <c r="DR463" s="411"/>
      <c r="DS463" s="553"/>
      <c r="DT463" s="553"/>
      <c r="DU463" s="457"/>
      <c r="DV463" s="457"/>
      <c r="DW463" s="457"/>
      <c r="DX463" s="457"/>
      <c r="DY463" s="457"/>
      <c r="DZ463" s="457"/>
      <c r="EA463" s="539"/>
      <c r="EH463" s="23"/>
    </row>
    <row r="464" spans="1:138" ht="12.75" customHeight="1" x14ac:dyDescent="0.2">
      <c r="A464" s="23"/>
      <c r="B464" s="23"/>
      <c r="C464" s="23"/>
      <c r="D464" s="23"/>
      <c r="E464" s="23"/>
      <c r="F464" s="202"/>
      <c r="G464" s="23"/>
      <c r="H464" s="23"/>
      <c r="I464" s="23"/>
      <c r="J464" s="23"/>
      <c r="K464" s="202"/>
      <c r="L464" s="23"/>
      <c r="M464" s="23"/>
      <c r="N464" s="23"/>
      <c r="O464" s="23"/>
      <c r="P464" s="202"/>
      <c r="Q464" s="23"/>
      <c r="R464" s="23"/>
      <c r="S464" s="23"/>
      <c r="T464" s="23"/>
      <c r="U464" s="202"/>
      <c r="V464" s="23"/>
      <c r="W464" s="23"/>
      <c r="X464" s="23"/>
      <c r="Y464" s="23"/>
      <c r="Z464" s="202"/>
      <c r="AA464" s="23"/>
      <c r="AB464" s="23"/>
      <c r="AC464" s="23"/>
      <c r="AD464" s="23"/>
      <c r="AE464" s="202"/>
      <c r="AF464" s="23"/>
      <c r="AG464" s="23"/>
      <c r="AH464" s="23"/>
      <c r="AI464" s="23"/>
      <c r="AJ464" s="202"/>
      <c r="AK464" s="23"/>
      <c r="AL464" s="23"/>
      <c r="AM464" s="23"/>
      <c r="AN464" s="23"/>
      <c r="AO464" s="202"/>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c r="CA464" s="23"/>
      <c r="CB464" s="23"/>
      <c r="CC464" s="23"/>
      <c r="CD464" s="23"/>
      <c r="CE464" s="23"/>
      <c r="CF464" s="23"/>
      <c r="CG464" s="23"/>
      <c r="CH464" s="23"/>
      <c r="CI464" s="23"/>
      <c r="CJ464" s="23"/>
      <c r="CK464" s="23"/>
      <c r="CL464" s="23"/>
      <c r="CM464" s="23"/>
      <c r="CN464" s="23"/>
      <c r="CO464" s="23"/>
      <c r="CP464" s="23"/>
      <c r="CQ464" s="23"/>
      <c r="CR464" s="23"/>
      <c r="CS464" s="23"/>
      <c r="CT464" s="23"/>
      <c r="CU464" s="23"/>
      <c r="CV464" s="23"/>
      <c r="CW464" s="23"/>
      <c r="CX464" s="23"/>
      <c r="CY464" s="23"/>
      <c r="CZ464" s="23"/>
      <c r="DA464" s="23"/>
      <c r="DB464" s="23"/>
      <c r="DC464" s="23"/>
      <c r="DD464" s="23"/>
      <c r="DE464" s="23"/>
      <c r="DF464" s="23"/>
      <c r="DG464" s="23"/>
      <c r="DH464" s="23"/>
      <c r="DI464" s="23"/>
      <c r="DJ464" s="23"/>
      <c r="DK464" s="23"/>
      <c r="DL464" s="23"/>
      <c r="DM464" s="23"/>
      <c r="DN464" s="539"/>
      <c r="DO464" s="370"/>
      <c r="DP464" s="23"/>
      <c r="DQ464" s="411"/>
      <c r="DR464" s="411"/>
      <c r="DS464" s="553"/>
      <c r="DT464" s="553"/>
      <c r="DU464" s="457"/>
      <c r="DV464" s="457"/>
      <c r="DW464" s="457"/>
      <c r="DX464" s="457"/>
      <c r="DY464" s="457"/>
      <c r="DZ464" s="457"/>
      <c r="EA464" s="539"/>
      <c r="EH464" s="23"/>
    </row>
    <row r="465" spans="1:138" ht="12.75" customHeight="1" x14ac:dyDescent="0.2">
      <c r="A465" s="5" t="s">
        <v>403</v>
      </c>
      <c r="B465" s="5"/>
      <c r="C465" s="5"/>
      <c r="D465" s="5"/>
      <c r="E465" s="5"/>
      <c r="F465" s="197"/>
      <c r="G465" s="5"/>
      <c r="H465" s="5"/>
      <c r="I465" s="5"/>
      <c r="J465" s="5"/>
      <c r="K465" s="197"/>
      <c r="L465" s="5"/>
      <c r="M465" s="5"/>
      <c r="N465" s="5"/>
      <c r="O465" s="5"/>
      <c r="P465" s="197"/>
      <c r="Q465" s="5"/>
      <c r="R465" s="5"/>
      <c r="S465" s="5"/>
      <c r="T465" s="5"/>
      <c r="U465" s="197"/>
      <c r="V465" s="5"/>
      <c r="W465" s="5"/>
      <c r="X465" s="5"/>
      <c r="Y465" s="5"/>
      <c r="Z465" s="197"/>
      <c r="AA465" s="5"/>
      <c r="AB465" s="5"/>
      <c r="AC465" s="5"/>
      <c r="AD465" s="5"/>
      <c r="AE465" s="197"/>
      <c r="AF465" s="5"/>
      <c r="AG465" s="5"/>
      <c r="AH465" s="5"/>
      <c r="AI465" s="5"/>
      <c r="AJ465" s="197"/>
      <c r="AK465" s="5"/>
      <c r="AL465" s="5"/>
      <c r="AM465" s="5"/>
      <c r="AN465" s="5"/>
      <c r="AO465" s="197"/>
      <c r="AP465" s="5"/>
      <c r="AQ465" s="5"/>
      <c r="AR465" s="5"/>
      <c r="AS465" s="5"/>
      <c r="AT465" s="5"/>
      <c r="AU465" s="5"/>
      <c r="AV465" s="5"/>
      <c r="AW465" s="5"/>
      <c r="AX465" s="5"/>
      <c r="AY465" s="5"/>
      <c r="AZ465" s="5"/>
      <c r="BA465" s="5"/>
      <c r="BB465" s="5"/>
      <c r="BC465" s="5"/>
      <c r="BD465" s="5"/>
      <c r="BE465" s="5"/>
      <c r="BF465" s="5"/>
      <c r="BG465" s="5" t="s">
        <v>5</v>
      </c>
      <c r="BH465" s="5"/>
      <c r="BI465" s="5"/>
      <c r="BJ465" s="5"/>
      <c r="BK465" s="5"/>
      <c r="BL465" s="5"/>
      <c r="BM465" s="5"/>
      <c r="BN465" s="5"/>
      <c r="BO465" s="5"/>
      <c r="BP465" s="5"/>
      <c r="BQ465" s="5"/>
      <c r="BR465" s="5"/>
      <c r="BS465" s="5"/>
      <c r="BT465" s="5"/>
      <c r="BU465" s="5"/>
      <c r="BV465" s="5"/>
      <c r="BW465" s="5"/>
      <c r="BX465" s="5"/>
      <c r="BY465" s="5"/>
      <c r="BZ465" s="5"/>
      <c r="CA465" s="5"/>
      <c r="CB465" s="5"/>
      <c r="CC465" s="5"/>
      <c r="CD465" s="5"/>
      <c r="CE465" s="5"/>
      <c r="CF465" s="5"/>
      <c r="CG465" s="5"/>
      <c r="CH465" s="5"/>
      <c r="CI465" s="5"/>
      <c r="CJ465" s="5"/>
      <c r="CK465" s="5"/>
      <c r="CL465" s="5"/>
      <c r="CM465" s="5"/>
      <c r="CN465" s="5"/>
      <c r="CO465" s="5"/>
      <c r="CP465" s="5"/>
      <c r="CQ465" s="5"/>
      <c r="CR465" s="5"/>
      <c r="CS465" s="5"/>
      <c r="CT465" s="5"/>
      <c r="CU465" s="5"/>
      <c r="CV465" s="5"/>
      <c r="CW465" s="5"/>
      <c r="CX465" s="5"/>
      <c r="CY465" s="5"/>
      <c r="CZ465" s="5"/>
      <c r="DA465" s="5"/>
      <c r="DB465" s="5"/>
      <c r="DC465" s="5"/>
      <c r="DD465" s="5"/>
      <c r="DE465" s="5"/>
      <c r="DF465" s="5"/>
      <c r="DG465" s="5"/>
      <c r="DH465" s="5"/>
      <c r="DI465" s="5"/>
      <c r="DJ465" s="5"/>
      <c r="DK465" s="5"/>
      <c r="DL465" s="5"/>
      <c r="DM465" s="413"/>
      <c r="DN465" s="4"/>
      <c r="DO465" s="487"/>
      <c r="DP465" s="413"/>
      <c r="DQ465" s="413"/>
      <c r="DR465" s="413"/>
      <c r="DS465" s="553"/>
      <c r="DT465" s="553"/>
      <c r="DU465" s="457"/>
      <c r="DV465" s="458"/>
      <c r="DW465" s="458"/>
      <c r="DX465" s="458"/>
      <c r="DY465" s="458"/>
      <c r="DZ465" s="458"/>
      <c r="EA465" s="4"/>
      <c r="EH465" s="5"/>
    </row>
    <row r="466" spans="1:138" ht="12.75" customHeight="1" x14ac:dyDescent="0.2">
      <c r="A466" s="23"/>
      <c r="B466" s="23"/>
      <c r="C466" s="23"/>
      <c r="D466" s="23"/>
      <c r="E466" s="23"/>
      <c r="F466" s="202"/>
      <c r="G466" s="23"/>
      <c r="H466" s="23"/>
      <c r="I466" s="23"/>
      <c r="J466" s="23"/>
      <c r="K466" s="202"/>
      <c r="L466" s="23"/>
      <c r="M466" s="23"/>
      <c r="N466" s="23"/>
      <c r="O466" s="23"/>
      <c r="P466" s="202"/>
      <c r="Q466" s="23"/>
      <c r="R466" s="23"/>
      <c r="S466" s="23"/>
      <c r="T466" s="23"/>
      <c r="U466" s="202"/>
      <c r="V466" s="23"/>
      <c r="W466" s="23"/>
      <c r="X466" s="23"/>
      <c r="Y466" s="23"/>
      <c r="Z466" s="202"/>
      <c r="AA466" s="23"/>
      <c r="AB466" s="23"/>
      <c r="AC466" s="23"/>
      <c r="AD466" s="23"/>
      <c r="AE466" s="202"/>
      <c r="AF466" s="23"/>
      <c r="AG466" s="23"/>
      <c r="AH466" s="23"/>
      <c r="AI466" s="23"/>
      <c r="AJ466" s="202"/>
      <c r="AK466" s="23"/>
      <c r="AL466" s="23"/>
      <c r="AM466" s="23"/>
      <c r="AN466" s="23"/>
      <c r="AO466" s="202"/>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19"/>
      <c r="BN466" s="23"/>
      <c r="BO466" s="19"/>
      <c r="BP466" s="19"/>
      <c r="BQ466" s="19"/>
      <c r="BR466" s="19"/>
      <c r="BS466" s="23"/>
      <c r="BT466" s="23"/>
      <c r="BU466" s="23"/>
      <c r="BV466" s="23"/>
      <c r="BW466" s="23"/>
      <c r="BX466" s="23"/>
      <c r="BY466" s="23"/>
      <c r="BZ466" s="23"/>
      <c r="CA466" s="23"/>
      <c r="CB466" s="23"/>
      <c r="CC466" s="23"/>
      <c r="CD466" s="23"/>
      <c r="CE466" s="23"/>
      <c r="CF466" s="23"/>
      <c r="CG466" s="23"/>
      <c r="CH466" s="23"/>
      <c r="CI466" s="23"/>
      <c r="CJ466" s="23"/>
      <c r="CK466" s="23"/>
      <c r="CL466" s="23"/>
      <c r="CM466" s="23"/>
      <c r="CN466" s="23"/>
      <c r="CO466" s="23"/>
      <c r="CP466" s="23"/>
      <c r="CQ466" s="23"/>
      <c r="CR466" s="23"/>
      <c r="CS466" s="23"/>
      <c r="CT466" s="23"/>
      <c r="CU466" s="23"/>
      <c r="CV466" s="23"/>
      <c r="CW466" s="23"/>
      <c r="CX466" s="23"/>
      <c r="CY466" s="23"/>
      <c r="CZ466" s="23"/>
      <c r="DA466" s="23"/>
      <c r="DB466" s="23"/>
      <c r="DC466" s="23"/>
      <c r="DD466" s="23"/>
      <c r="DE466" s="23"/>
      <c r="DF466" s="23"/>
      <c r="DG466" s="23"/>
      <c r="DH466" s="23"/>
      <c r="DI466" s="23"/>
      <c r="DJ466" s="23"/>
      <c r="DK466" s="23"/>
      <c r="DL466" s="23"/>
      <c r="DM466" s="23"/>
      <c r="DN466" s="539"/>
      <c r="DO466" s="370"/>
      <c r="DP466" s="23"/>
      <c r="DQ466" s="411"/>
      <c r="DR466" s="411"/>
      <c r="DS466" s="554"/>
      <c r="DT466" s="554"/>
      <c r="DU466" s="458"/>
      <c r="DV466" s="457"/>
      <c r="DW466" s="457"/>
      <c r="DX466" s="457"/>
      <c r="DY466" s="457"/>
      <c r="DZ466" s="457"/>
      <c r="EA466" s="539"/>
      <c r="EH466" s="23"/>
    </row>
    <row r="467" spans="1:138" ht="12.75" customHeight="1" x14ac:dyDescent="0.2">
      <c r="A467" s="23"/>
      <c r="B467" s="23"/>
      <c r="C467" s="23"/>
      <c r="D467" s="23"/>
      <c r="E467" s="23"/>
      <c r="F467" s="202"/>
      <c r="G467" s="23"/>
      <c r="H467" s="23"/>
      <c r="I467" s="23"/>
      <c r="J467" s="23"/>
      <c r="K467" s="202"/>
      <c r="L467" s="23"/>
      <c r="M467" s="23"/>
      <c r="N467" s="23"/>
      <c r="O467" s="23"/>
      <c r="P467" s="202"/>
      <c r="Q467" s="23"/>
      <c r="R467" s="23"/>
      <c r="S467" s="23"/>
      <c r="T467" s="23"/>
      <c r="U467" s="202"/>
      <c r="V467" s="23"/>
      <c r="W467" s="23"/>
      <c r="X467" s="23"/>
      <c r="Y467" s="23"/>
      <c r="Z467" s="202"/>
      <c r="AA467" s="23"/>
      <c r="AB467" s="23"/>
      <c r="AC467" s="23"/>
      <c r="AD467" s="23"/>
      <c r="AE467" s="202"/>
      <c r="AF467" s="23"/>
      <c r="AG467" s="23"/>
      <c r="AH467" s="23"/>
      <c r="AI467" s="23"/>
      <c r="AJ467" s="202"/>
      <c r="AK467" s="23"/>
      <c r="AL467" s="23"/>
      <c r="AM467" s="23"/>
      <c r="AN467" s="23"/>
      <c r="AO467" s="202"/>
      <c r="AP467" s="23"/>
      <c r="AQ467" s="23"/>
      <c r="AR467" s="23"/>
      <c r="AS467" s="23"/>
      <c r="AT467" s="23"/>
      <c r="AU467" s="23"/>
      <c r="AV467" s="23"/>
      <c r="AW467" s="23"/>
      <c r="AX467" s="23"/>
      <c r="AY467" s="23"/>
      <c r="AZ467" s="23"/>
      <c r="BA467" s="23"/>
      <c r="BB467" s="23"/>
      <c r="BC467" s="23"/>
      <c r="BD467" s="23"/>
      <c r="BE467" s="188"/>
      <c r="BF467" s="188"/>
      <c r="BG467" s="188"/>
      <c r="BH467" s="188"/>
      <c r="BI467" s="188"/>
      <c r="BJ467" s="188"/>
      <c r="BK467" s="188"/>
      <c r="BL467" s="188"/>
      <c r="BM467" s="188"/>
      <c r="BN467" s="188"/>
      <c r="BO467" s="188"/>
      <c r="BP467" s="8"/>
      <c r="BQ467" s="8"/>
      <c r="BR467" s="8"/>
      <c r="BS467" s="188"/>
      <c r="BT467" s="188"/>
      <c r="BU467" s="188"/>
      <c r="BV467" s="188"/>
      <c r="BW467" s="188"/>
      <c r="BX467" s="23"/>
      <c r="BY467" s="23"/>
      <c r="BZ467" s="23"/>
      <c r="CA467" s="23"/>
      <c r="CB467" s="23"/>
      <c r="CC467" s="23"/>
      <c r="CD467" s="23"/>
      <c r="CE467" s="23"/>
      <c r="CF467" s="23"/>
      <c r="CG467" s="23"/>
      <c r="CH467" s="23"/>
      <c r="CI467" s="188"/>
      <c r="CJ467" s="188"/>
      <c r="CK467" s="188"/>
      <c r="CL467" s="188"/>
      <c r="CM467" s="23"/>
      <c r="CN467" s="188"/>
      <c r="CO467" s="188"/>
      <c r="CP467" s="188"/>
      <c r="CQ467" s="188"/>
      <c r="CR467" s="23"/>
      <c r="CS467" s="188"/>
      <c r="CT467" s="188"/>
      <c r="CU467" s="188"/>
      <c r="CV467" s="188"/>
      <c r="CW467" s="23"/>
      <c r="CX467" s="188"/>
      <c r="CY467" s="188"/>
      <c r="CZ467" s="188"/>
      <c r="DA467" s="188"/>
      <c r="DB467" s="23"/>
      <c r="DC467" s="188"/>
      <c r="DD467" s="188"/>
      <c r="DE467" s="188"/>
      <c r="DF467" s="188"/>
      <c r="DG467" s="23"/>
      <c r="DH467" s="188"/>
      <c r="DI467" s="188"/>
      <c r="DJ467" s="188"/>
      <c r="DK467" s="188"/>
      <c r="DL467" s="23"/>
      <c r="DM467" s="23"/>
      <c r="DN467" s="539"/>
      <c r="DO467" s="370"/>
      <c r="DP467" s="23"/>
      <c r="DQ467" s="411"/>
      <c r="DR467" s="411"/>
      <c r="DS467" s="553"/>
      <c r="DT467" s="553"/>
      <c r="DU467" s="457"/>
      <c r="DV467" s="457"/>
      <c r="DW467" s="457"/>
      <c r="DX467" s="457"/>
      <c r="DY467" s="457"/>
      <c r="DZ467" s="457"/>
      <c r="EA467" s="539"/>
      <c r="EH467" s="23"/>
    </row>
    <row r="468" spans="1:138" ht="12.75" customHeight="1" x14ac:dyDescent="0.2">
      <c r="A468" s="23"/>
      <c r="B468" s="23"/>
      <c r="C468" s="23"/>
      <c r="D468" s="23"/>
      <c r="E468" s="23"/>
      <c r="F468" s="202"/>
      <c r="G468" s="23"/>
      <c r="H468" s="23"/>
      <c r="I468" s="23"/>
      <c r="J468" s="23"/>
      <c r="K468" s="202"/>
      <c r="L468" s="23"/>
      <c r="M468" s="23"/>
      <c r="N468" s="23"/>
      <c r="O468" s="23"/>
      <c r="P468" s="202"/>
      <c r="Q468" s="23"/>
      <c r="R468" s="23"/>
      <c r="S468" s="23"/>
      <c r="T468" s="23"/>
      <c r="U468" s="202"/>
      <c r="V468" s="23"/>
      <c r="W468" s="23"/>
      <c r="X468" s="23"/>
      <c r="Y468" s="23"/>
      <c r="Z468" s="202"/>
      <c r="AA468" s="23"/>
      <c r="AB468" s="23"/>
      <c r="AC468" s="23"/>
      <c r="AD468" s="23"/>
      <c r="AE468" s="202"/>
      <c r="AF468" s="23"/>
      <c r="AG468" s="23"/>
      <c r="AH468" s="23"/>
      <c r="AI468" s="23"/>
      <c r="AJ468" s="202"/>
      <c r="AK468" s="23"/>
      <c r="AL468" s="23"/>
      <c r="AM468" s="23"/>
      <c r="AN468" s="23"/>
      <c r="AO468" s="202"/>
      <c r="AP468" s="23"/>
      <c r="AQ468" s="23"/>
      <c r="AR468" s="23"/>
      <c r="AS468" s="23"/>
      <c r="AT468" s="23"/>
      <c r="AU468" s="23"/>
      <c r="AV468" s="23"/>
      <c r="AW468" s="23"/>
      <c r="AX468" s="23"/>
      <c r="AY468" s="23"/>
      <c r="AZ468" s="23"/>
      <c r="BA468" s="23"/>
      <c r="BB468" s="23"/>
      <c r="BC468" s="23"/>
      <c r="BD468" s="23"/>
      <c r="BE468" s="188"/>
      <c r="BF468" s="188"/>
      <c r="BG468" s="188"/>
      <c r="BH468" s="188"/>
      <c r="BI468" s="188"/>
      <c r="BJ468" s="188"/>
      <c r="BK468" s="188"/>
      <c r="BL468" s="188"/>
      <c r="BM468" s="188"/>
      <c r="BN468" s="188"/>
      <c r="BO468" s="188"/>
      <c r="BP468" s="8"/>
      <c r="BQ468" s="8"/>
      <c r="BR468" s="8"/>
      <c r="BS468" s="188"/>
      <c r="BT468" s="188"/>
      <c r="BU468" s="188"/>
      <c r="BV468" s="188"/>
      <c r="BW468" s="188"/>
      <c r="BX468" s="23"/>
      <c r="BY468" s="23"/>
      <c r="BZ468" s="23"/>
      <c r="CA468" s="23"/>
      <c r="CB468" s="23"/>
      <c r="CC468" s="23"/>
      <c r="CD468" s="23"/>
      <c r="CE468" s="23"/>
      <c r="CF468" s="23"/>
      <c r="CG468" s="23"/>
      <c r="CH468" s="23"/>
      <c r="CI468" s="188"/>
      <c r="CJ468" s="188"/>
      <c r="CK468" s="188"/>
      <c r="CL468" s="188"/>
      <c r="CM468" s="23"/>
      <c r="CN468" s="188"/>
      <c r="CO468" s="188"/>
      <c r="CP468" s="188"/>
      <c r="CQ468" s="188"/>
      <c r="CR468" s="23"/>
      <c r="CS468" s="188"/>
      <c r="CT468" s="188"/>
      <c r="CU468" s="188"/>
      <c r="CV468" s="188"/>
      <c r="CW468" s="23"/>
      <c r="CX468" s="188"/>
      <c r="CY468" s="188"/>
      <c r="CZ468" s="188"/>
      <c r="DA468" s="188"/>
      <c r="DB468" s="23"/>
      <c r="DC468" s="188"/>
      <c r="DD468" s="188"/>
      <c r="DE468" s="188"/>
      <c r="DF468" s="188"/>
      <c r="DG468" s="23"/>
      <c r="DH468" s="188"/>
      <c r="DI468" s="188"/>
      <c r="DJ468" s="188"/>
      <c r="DK468" s="188"/>
      <c r="DL468" s="23"/>
      <c r="DM468" s="23"/>
      <c r="DN468" s="539"/>
      <c r="DO468" s="370"/>
      <c r="DP468" s="23"/>
      <c r="DQ468" s="411"/>
      <c r="DR468" s="411"/>
      <c r="DS468" s="553"/>
      <c r="DT468" s="553"/>
      <c r="DU468" s="457"/>
      <c r="DV468" s="457"/>
      <c r="DW468" s="457"/>
      <c r="DX468" s="457"/>
      <c r="DY468" s="457"/>
      <c r="DZ468" s="457"/>
      <c r="EA468" s="539"/>
      <c r="EH468" s="23"/>
    </row>
    <row r="469" spans="1:138" ht="12.75" customHeight="1" x14ac:dyDescent="0.2">
      <c r="A469" s="23"/>
      <c r="B469" s="23"/>
      <c r="C469" s="23"/>
      <c r="D469" s="23"/>
      <c r="E469" s="23"/>
      <c r="F469" s="202"/>
      <c r="G469" s="23"/>
      <c r="H469" s="23"/>
      <c r="I469" s="23"/>
      <c r="J469" s="23"/>
      <c r="K469" s="202"/>
      <c r="L469" s="23"/>
      <c r="M469" s="23"/>
      <c r="N469" s="23"/>
      <c r="O469" s="23"/>
      <c r="P469" s="202"/>
      <c r="Q469" s="23"/>
      <c r="R469" s="23"/>
      <c r="S469" s="23"/>
      <c r="T469" s="23"/>
      <c r="U469" s="202"/>
      <c r="V469" s="23"/>
      <c r="W469" s="23"/>
      <c r="X469" s="23"/>
      <c r="Y469" s="23"/>
      <c r="Z469" s="202"/>
      <c r="AA469" s="23"/>
      <c r="AB469" s="23"/>
      <c r="AC469" s="23"/>
      <c r="AD469" s="23"/>
      <c r="AE469" s="202"/>
      <c r="AF469" s="23"/>
      <c r="AG469" s="23"/>
      <c r="AH469" s="23"/>
      <c r="AI469" s="23"/>
      <c r="AJ469" s="202"/>
      <c r="AK469" s="23"/>
      <c r="AL469" s="23"/>
      <c r="AM469" s="23"/>
      <c r="AN469" s="23"/>
      <c r="AO469" s="202"/>
      <c r="AP469" s="23"/>
      <c r="AQ469" s="23"/>
      <c r="AR469" s="23"/>
      <c r="AS469" s="23"/>
      <c r="AT469" s="23"/>
      <c r="AU469" s="23"/>
      <c r="AV469" s="23"/>
      <c r="AW469" s="23"/>
      <c r="AX469" s="23"/>
      <c r="AY469" s="23"/>
      <c r="AZ469" s="23"/>
      <c r="BA469" s="23"/>
      <c r="BB469" s="23"/>
      <c r="BC469" s="23"/>
      <c r="BD469" s="23"/>
      <c r="BE469" s="188"/>
      <c r="BF469" s="188"/>
      <c r="BG469" s="188"/>
      <c r="BH469" s="188"/>
      <c r="BI469" s="188"/>
      <c r="BJ469" s="188"/>
      <c r="BK469" s="188"/>
      <c r="BL469" s="188"/>
      <c r="BM469" s="188"/>
      <c r="BN469" s="188"/>
      <c r="BO469" s="188"/>
      <c r="BP469" s="8"/>
      <c r="BQ469" s="8"/>
      <c r="BR469" s="8"/>
      <c r="BS469" s="188"/>
      <c r="BT469" s="188"/>
      <c r="BU469" s="188"/>
      <c r="BV469" s="188"/>
      <c r="BW469" s="188"/>
      <c r="BX469" s="23"/>
      <c r="BY469" s="23"/>
      <c r="BZ469" s="23"/>
      <c r="CA469" s="23"/>
      <c r="CB469" s="23"/>
      <c r="CC469" s="23"/>
      <c r="CD469" s="23"/>
      <c r="CE469" s="23"/>
      <c r="CF469" s="23"/>
      <c r="CG469" s="23"/>
      <c r="CH469" s="23"/>
      <c r="CI469" s="188"/>
      <c r="CJ469" s="188"/>
      <c r="CK469" s="188"/>
      <c r="CL469" s="188"/>
      <c r="CM469" s="23"/>
      <c r="CN469" s="188"/>
      <c r="CO469" s="188"/>
      <c r="CP469" s="188"/>
      <c r="CQ469" s="188"/>
      <c r="CR469" s="23"/>
      <c r="CS469" s="188"/>
      <c r="CT469" s="188"/>
      <c r="CU469" s="188"/>
      <c r="CV469" s="188"/>
      <c r="CW469" s="23"/>
      <c r="CX469" s="188"/>
      <c r="CY469" s="188"/>
      <c r="CZ469" s="188"/>
      <c r="DA469" s="188"/>
      <c r="DB469" s="23"/>
      <c r="DC469" s="188"/>
      <c r="DD469" s="188"/>
      <c r="DE469" s="188"/>
      <c r="DF469" s="188"/>
      <c r="DG469" s="23"/>
      <c r="DH469" s="188"/>
      <c r="DI469" s="188"/>
      <c r="DJ469" s="188"/>
      <c r="DK469" s="188"/>
      <c r="DL469" s="23"/>
      <c r="DM469" s="23"/>
      <c r="DN469" s="539"/>
      <c r="DO469" s="370"/>
      <c r="DP469" s="23"/>
      <c r="DQ469" s="411"/>
      <c r="DR469" s="411"/>
      <c r="DS469" s="553"/>
      <c r="DT469" s="553"/>
      <c r="DU469" s="457"/>
      <c r="DV469" s="457"/>
      <c r="DW469" s="457"/>
      <c r="DX469" s="457"/>
      <c r="DY469" s="457"/>
      <c r="DZ469" s="457"/>
      <c r="EA469" s="539"/>
      <c r="EH469" s="23"/>
    </row>
    <row r="470" spans="1:138" ht="12.75" customHeight="1" x14ac:dyDescent="0.2">
      <c r="A470" s="23"/>
      <c r="B470" s="23"/>
      <c r="C470" s="23"/>
      <c r="D470" s="23"/>
      <c r="E470" s="23"/>
      <c r="F470" s="202"/>
      <c r="G470" s="23"/>
      <c r="H470" s="23"/>
      <c r="I470" s="23"/>
      <c r="J470" s="23"/>
      <c r="K470" s="202"/>
      <c r="L470" s="23"/>
      <c r="M470" s="23"/>
      <c r="N470" s="23"/>
      <c r="O470" s="23"/>
      <c r="P470" s="202"/>
      <c r="Q470" s="23"/>
      <c r="R470" s="23"/>
      <c r="S470" s="23"/>
      <c r="T470" s="23"/>
      <c r="U470" s="202"/>
      <c r="V470" s="23"/>
      <c r="W470" s="23"/>
      <c r="X470" s="23"/>
      <c r="Y470" s="23"/>
      <c r="Z470" s="202"/>
      <c r="AA470" s="23"/>
      <c r="AB470" s="23"/>
      <c r="AC470" s="23"/>
      <c r="AD470" s="23"/>
      <c r="AE470" s="202"/>
      <c r="AF470" s="23"/>
      <c r="AG470" s="23"/>
      <c r="AH470" s="23"/>
      <c r="AI470" s="23"/>
      <c r="AJ470" s="202"/>
      <c r="AK470" s="23"/>
      <c r="AL470" s="23"/>
      <c r="AM470" s="23"/>
      <c r="AN470" s="23"/>
      <c r="AO470" s="202"/>
      <c r="AP470" s="23"/>
      <c r="AQ470" s="23"/>
      <c r="AR470" s="23"/>
      <c r="AS470" s="23"/>
      <c r="AT470" s="23"/>
      <c r="AU470" s="23"/>
      <c r="AV470" s="23"/>
      <c r="AW470" s="23"/>
      <c r="AX470" s="23"/>
      <c r="AY470" s="23"/>
      <c r="AZ470" s="23"/>
      <c r="BA470" s="23"/>
      <c r="BB470" s="23"/>
      <c r="BC470" s="23"/>
      <c r="BD470" s="23"/>
      <c r="BE470" s="188"/>
      <c r="BF470" s="188"/>
      <c r="BG470" s="188"/>
      <c r="BH470" s="188"/>
      <c r="BI470" s="188"/>
      <c r="BJ470" s="188"/>
      <c r="BK470" s="188"/>
      <c r="BL470" s="188"/>
      <c r="BM470" s="188"/>
      <c r="BN470" s="188"/>
      <c r="BO470" s="188"/>
      <c r="BP470" s="8"/>
      <c r="BQ470" s="8"/>
      <c r="BR470" s="8"/>
      <c r="BS470" s="188"/>
      <c r="BT470" s="188"/>
      <c r="BU470" s="188"/>
      <c r="BV470" s="188"/>
      <c r="BW470" s="188"/>
      <c r="BX470" s="23"/>
      <c r="BY470" s="23"/>
      <c r="BZ470" s="23"/>
      <c r="CA470" s="23"/>
      <c r="CB470" s="23"/>
      <c r="CC470" s="23"/>
      <c r="CD470" s="23"/>
      <c r="CE470" s="23"/>
      <c r="CF470" s="23"/>
      <c r="CG470" s="23"/>
      <c r="CH470" s="23"/>
      <c r="CI470" s="188"/>
      <c r="CJ470" s="188"/>
      <c r="CK470" s="188"/>
      <c r="CL470" s="188"/>
      <c r="CM470" s="23"/>
      <c r="CN470" s="188"/>
      <c r="CO470" s="188"/>
      <c r="CP470" s="188"/>
      <c r="CQ470" s="188"/>
      <c r="CR470" s="23"/>
      <c r="CS470" s="188"/>
      <c r="CT470" s="188"/>
      <c r="CU470" s="188"/>
      <c r="CV470" s="188"/>
      <c r="CW470" s="23"/>
      <c r="CX470" s="188"/>
      <c r="CY470" s="188"/>
      <c r="CZ470" s="188"/>
      <c r="DA470" s="188"/>
      <c r="DB470" s="23"/>
      <c r="DC470" s="188"/>
      <c r="DD470" s="188"/>
      <c r="DE470" s="188"/>
      <c r="DF470" s="188"/>
      <c r="DG470" s="23"/>
      <c r="DH470" s="188"/>
      <c r="DI470" s="188"/>
      <c r="DJ470" s="188"/>
      <c r="DK470" s="188"/>
      <c r="DL470" s="23"/>
      <c r="DM470" s="23"/>
      <c r="DN470" s="539"/>
      <c r="DO470" s="370"/>
      <c r="DP470" s="23"/>
      <c r="DQ470" s="411"/>
      <c r="DR470" s="411"/>
      <c r="DS470" s="553"/>
      <c r="DT470" s="553"/>
      <c r="DU470" s="457"/>
      <c r="DV470" s="457"/>
      <c r="DW470" s="457"/>
      <c r="DX470" s="457"/>
      <c r="DY470" s="457"/>
      <c r="DZ470" s="457"/>
      <c r="EA470" s="539"/>
      <c r="EH470" s="23"/>
    </row>
    <row r="471" spans="1:138" ht="12.75" customHeight="1" x14ac:dyDescent="0.2">
      <c r="A471" s="23"/>
      <c r="B471" s="23"/>
      <c r="C471" s="23"/>
      <c r="D471" s="23"/>
      <c r="E471" s="23"/>
      <c r="F471" s="202"/>
      <c r="G471" s="23"/>
      <c r="H471" s="23"/>
      <c r="I471" s="23"/>
      <c r="J471" s="23"/>
      <c r="K471" s="202"/>
      <c r="L471" s="23"/>
      <c r="M471" s="23"/>
      <c r="N471" s="23"/>
      <c r="O471" s="23"/>
      <c r="P471" s="202"/>
      <c r="Q471" s="23"/>
      <c r="R471" s="23"/>
      <c r="S471" s="23"/>
      <c r="T471" s="23"/>
      <c r="U471" s="202"/>
      <c r="V471" s="23"/>
      <c r="W471" s="23"/>
      <c r="X471" s="23"/>
      <c r="Y471" s="23"/>
      <c r="Z471" s="202"/>
      <c r="AA471" s="23"/>
      <c r="AB471" s="23"/>
      <c r="AC471" s="23"/>
      <c r="AD471" s="23"/>
      <c r="AE471" s="202"/>
      <c r="AF471" s="23"/>
      <c r="AG471" s="23"/>
      <c r="AH471" s="23"/>
      <c r="AI471" s="23"/>
      <c r="AJ471" s="202"/>
      <c r="AK471" s="23"/>
      <c r="AL471" s="23"/>
      <c r="AM471" s="23"/>
      <c r="AN471" s="23"/>
      <c r="AO471" s="202"/>
      <c r="AP471" s="23"/>
      <c r="AQ471" s="23"/>
      <c r="AR471" s="23"/>
      <c r="AS471" s="23"/>
      <c r="AT471" s="23"/>
      <c r="AU471" s="23"/>
      <c r="AV471" s="23"/>
      <c r="AW471" s="23"/>
      <c r="AX471" s="23"/>
      <c r="AY471" s="23"/>
      <c r="AZ471" s="23"/>
      <c r="BA471" s="23"/>
      <c r="BB471" s="23"/>
      <c r="BC471" s="23"/>
      <c r="BD471" s="23"/>
      <c r="BE471" s="188"/>
      <c r="BF471" s="188"/>
      <c r="BG471" s="188"/>
      <c r="BH471" s="188"/>
      <c r="BI471" s="188"/>
      <c r="BJ471" s="188"/>
      <c r="BK471" s="188"/>
      <c r="BL471" s="188"/>
      <c r="BM471" s="188"/>
      <c r="BN471" s="188"/>
      <c r="BO471" s="188"/>
      <c r="BP471" s="8"/>
      <c r="BQ471" s="8"/>
      <c r="BR471" s="8"/>
      <c r="BS471" s="188"/>
      <c r="BT471" s="188"/>
      <c r="BU471" s="188"/>
      <c r="BV471" s="188"/>
      <c r="BW471" s="188"/>
      <c r="BX471" s="23"/>
      <c r="BY471" s="23"/>
      <c r="BZ471" s="23"/>
      <c r="CA471" s="23"/>
      <c r="CB471" s="23"/>
      <c r="CC471" s="23"/>
      <c r="CD471" s="23"/>
      <c r="CE471" s="23"/>
      <c r="CF471" s="23"/>
      <c r="CG471" s="23"/>
      <c r="CH471" s="23"/>
      <c r="CI471" s="188"/>
      <c r="CJ471" s="188"/>
      <c r="CK471" s="188"/>
      <c r="CL471" s="188"/>
      <c r="CM471" s="23"/>
      <c r="CN471" s="188"/>
      <c r="CO471" s="188"/>
      <c r="CP471" s="188"/>
      <c r="CQ471" s="188"/>
      <c r="CR471" s="23"/>
      <c r="CS471" s="188"/>
      <c r="CT471" s="188"/>
      <c r="CU471" s="188"/>
      <c r="CV471" s="188"/>
      <c r="CW471" s="23"/>
      <c r="CX471" s="188"/>
      <c r="CY471" s="188"/>
      <c r="CZ471" s="188"/>
      <c r="DA471" s="188"/>
      <c r="DB471" s="23"/>
      <c r="DC471" s="188"/>
      <c r="DD471" s="188"/>
      <c r="DE471" s="188"/>
      <c r="DF471" s="188"/>
      <c r="DG471" s="23"/>
      <c r="DH471" s="188"/>
      <c r="DI471" s="188"/>
      <c r="DJ471" s="188"/>
      <c r="DK471" s="188"/>
      <c r="DL471" s="23"/>
      <c r="DM471" s="23"/>
      <c r="DN471" s="539"/>
      <c r="DO471" s="370"/>
      <c r="DP471" s="23"/>
      <c r="DQ471" s="411"/>
      <c r="DR471" s="411"/>
      <c r="DS471" s="553"/>
      <c r="DT471" s="553"/>
      <c r="DU471" s="457"/>
      <c r="DV471" s="457"/>
      <c r="DW471" s="457"/>
      <c r="DX471" s="457"/>
      <c r="DY471" s="457"/>
      <c r="DZ471" s="457"/>
      <c r="EA471" s="539"/>
      <c r="EH471" s="23"/>
    </row>
    <row r="472" spans="1:138" ht="12.75" customHeight="1" x14ac:dyDescent="0.2">
      <c r="A472" s="23"/>
      <c r="B472" s="23"/>
      <c r="C472" s="23"/>
      <c r="D472" s="23"/>
      <c r="E472" s="23"/>
      <c r="F472" s="202"/>
      <c r="G472" s="23"/>
      <c r="H472" s="23"/>
      <c r="I472" s="23"/>
      <c r="J472" s="23"/>
      <c r="K472" s="202"/>
      <c r="L472" s="23"/>
      <c r="M472" s="23"/>
      <c r="N472" s="23"/>
      <c r="O472" s="23"/>
      <c r="P472" s="202"/>
      <c r="Q472" s="23"/>
      <c r="R472" s="23"/>
      <c r="S472" s="23"/>
      <c r="T472" s="23"/>
      <c r="U472" s="202"/>
      <c r="V472" s="23"/>
      <c r="W472" s="23"/>
      <c r="X472" s="23"/>
      <c r="Y472" s="23"/>
      <c r="Z472" s="202"/>
      <c r="AA472" s="23"/>
      <c r="AB472" s="23"/>
      <c r="AC472" s="23"/>
      <c r="AD472" s="23"/>
      <c r="AE472" s="202"/>
      <c r="AF472" s="23"/>
      <c r="AG472" s="23"/>
      <c r="AH472" s="23"/>
      <c r="AI472" s="23"/>
      <c r="AJ472" s="202"/>
      <c r="AK472" s="23"/>
      <c r="AL472" s="23"/>
      <c r="AM472" s="23"/>
      <c r="AN472" s="23"/>
      <c r="AO472" s="202"/>
      <c r="AP472" s="23"/>
      <c r="AQ472" s="23"/>
      <c r="AR472" s="23"/>
      <c r="AS472" s="23"/>
      <c r="AT472" s="23"/>
      <c r="AU472" s="23"/>
      <c r="AV472" s="23"/>
      <c r="AW472" s="23"/>
      <c r="AX472" s="23"/>
      <c r="AY472" s="23"/>
      <c r="AZ472" s="23"/>
      <c r="BA472" s="23"/>
      <c r="BB472" s="23"/>
      <c r="BC472" s="23"/>
      <c r="BD472" s="23"/>
      <c r="BE472" s="188"/>
      <c r="BF472" s="188"/>
      <c r="BG472" s="188"/>
      <c r="BH472" s="188"/>
      <c r="BI472" s="188"/>
      <c r="BJ472" s="188"/>
      <c r="BK472" s="188"/>
      <c r="BL472" s="188"/>
      <c r="BM472" s="188"/>
      <c r="BN472" s="188"/>
      <c r="BO472" s="188"/>
      <c r="BP472" s="8"/>
      <c r="BQ472" s="8"/>
      <c r="BR472" s="8"/>
      <c r="BS472" s="188"/>
      <c r="BT472" s="188"/>
      <c r="BU472" s="188"/>
      <c r="BV472" s="188"/>
      <c r="BW472" s="188"/>
      <c r="BX472" s="23"/>
      <c r="BY472" s="23"/>
      <c r="BZ472" s="23"/>
      <c r="CA472" s="23"/>
      <c r="CB472" s="23"/>
      <c r="CC472" s="23"/>
      <c r="CD472" s="23"/>
      <c r="CE472" s="23"/>
      <c r="CF472" s="23"/>
      <c r="CG472" s="23"/>
      <c r="CH472" s="23"/>
      <c r="CI472" s="188"/>
      <c r="CJ472" s="188"/>
      <c r="CK472" s="188"/>
      <c r="CL472" s="188"/>
      <c r="CM472" s="23"/>
      <c r="CN472" s="188"/>
      <c r="CO472" s="188"/>
      <c r="CP472" s="188"/>
      <c r="CQ472" s="188"/>
      <c r="CR472" s="23"/>
      <c r="CS472" s="188"/>
      <c r="CT472" s="188"/>
      <c r="CU472" s="188"/>
      <c r="CV472" s="188"/>
      <c r="CW472" s="23"/>
      <c r="CX472" s="188"/>
      <c r="CY472" s="188"/>
      <c r="CZ472" s="188"/>
      <c r="DA472" s="188"/>
      <c r="DB472" s="23"/>
      <c r="DC472" s="188"/>
      <c r="DD472" s="188"/>
      <c r="DE472" s="188"/>
      <c r="DF472" s="188"/>
      <c r="DG472" s="23"/>
      <c r="DH472" s="188"/>
      <c r="DI472" s="188"/>
      <c r="DJ472" s="188"/>
      <c r="DK472" s="188"/>
      <c r="DL472" s="23"/>
      <c r="DM472" s="23"/>
      <c r="DN472" s="539"/>
      <c r="DO472" s="370"/>
      <c r="DP472" s="23"/>
      <c r="DQ472" s="411"/>
      <c r="DR472" s="411"/>
      <c r="DS472" s="553"/>
      <c r="DT472" s="553"/>
      <c r="DU472" s="457"/>
      <c r="DV472" s="457"/>
      <c r="DW472" s="457"/>
      <c r="DX472" s="457"/>
      <c r="DY472" s="457"/>
      <c r="DZ472" s="457"/>
      <c r="EA472" s="539"/>
      <c r="EH472" s="23"/>
    </row>
    <row r="473" spans="1:138" ht="12.75" customHeight="1" x14ac:dyDescent="0.2">
      <c r="A473" s="23"/>
      <c r="B473" s="23"/>
      <c r="C473" s="23"/>
      <c r="D473" s="23"/>
      <c r="E473" s="23"/>
      <c r="F473" s="202"/>
      <c r="G473" s="23"/>
      <c r="H473" s="23"/>
      <c r="I473" s="23"/>
      <c r="J473" s="23"/>
      <c r="K473" s="202"/>
      <c r="L473" s="23"/>
      <c r="M473" s="23"/>
      <c r="N473" s="23"/>
      <c r="O473" s="23"/>
      <c r="P473" s="202"/>
      <c r="Q473" s="23"/>
      <c r="R473" s="23"/>
      <c r="S473" s="23"/>
      <c r="T473" s="23"/>
      <c r="U473" s="202"/>
      <c r="V473" s="23"/>
      <c r="W473" s="23"/>
      <c r="X473" s="23"/>
      <c r="Y473" s="23"/>
      <c r="Z473" s="202"/>
      <c r="AA473" s="23"/>
      <c r="AB473" s="23"/>
      <c r="AC473" s="23"/>
      <c r="AD473" s="23"/>
      <c r="AE473" s="202"/>
      <c r="AF473" s="23"/>
      <c r="AG473" s="23"/>
      <c r="AH473" s="23"/>
      <c r="AI473" s="23"/>
      <c r="AJ473" s="202"/>
      <c r="AK473" s="23"/>
      <c r="AL473" s="23"/>
      <c r="AM473" s="23"/>
      <c r="AN473" s="23"/>
      <c r="AO473" s="202"/>
      <c r="AP473" s="23"/>
      <c r="AQ473" s="23"/>
      <c r="AR473" s="23"/>
      <c r="AS473" s="23"/>
      <c r="AT473" s="23"/>
      <c r="AU473" s="23"/>
      <c r="AV473" s="23"/>
      <c r="AW473" s="23"/>
      <c r="AX473" s="23"/>
      <c r="AY473" s="23"/>
      <c r="AZ473" s="23"/>
      <c r="BA473" s="23"/>
      <c r="BB473" s="23"/>
      <c r="BC473" s="23"/>
      <c r="BD473" s="23"/>
      <c r="BE473" s="188"/>
      <c r="BF473" s="188"/>
      <c r="BG473" s="188"/>
      <c r="BH473" s="188"/>
      <c r="BI473" s="188"/>
      <c r="BJ473" s="188"/>
      <c r="BK473" s="188"/>
      <c r="BL473" s="188"/>
      <c r="BM473" s="188"/>
      <c r="BN473" s="188"/>
      <c r="BO473" s="188"/>
      <c r="BP473" s="8"/>
      <c r="BQ473" s="8"/>
      <c r="BR473" s="8"/>
      <c r="BS473" s="188"/>
      <c r="BT473" s="188"/>
      <c r="BU473" s="188"/>
      <c r="BV473" s="188"/>
      <c r="BW473" s="188"/>
      <c r="BX473" s="23"/>
      <c r="BY473" s="23"/>
      <c r="BZ473" s="23"/>
      <c r="CA473" s="23"/>
      <c r="CB473" s="23"/>
      <c r="CC473" s="23"/>
      <c r="CD473" s="23"/>
      <c r="CE473" s="23"/>
      <c r="CF473" s="23"/>
      <c r="CG473" s="23"/>
      <c r="CH473" s="23"/>
      <c r="CI473" s="188"/>
      <c r="CJ473" s="188"/>
      <c r="CK473" s="188"/>
      <c r="CL473" s="188"/>
      <c r="CM473" s="23"/>
      <c r="CN473" s="188"/>
      <c r="CO473" s="188"/>
      <c r="CP473" s="188"/>
      <c r="CQ473" s="188"/>
      <c r="CR473" s="23"/>
      <c r="CS473" s="188"/>
      <c r="CT473" s="188"/>
      <c r="CU473" s="188"/>
      <c r="CV473" s="188"/>
      <c r="CW473" s="23"/>
      <c r="CX473" s="188"/>
      <c r="CY473" s="188"/>
      <c r="CZ473" s="188"/>
      <c r="DA473" s="188"/>
      <c r="DB473" s="23"/>
      <c r="DC473" s="188"/>
      <c r="DD473" s="188"/>
      <c r="DE473" s="188"/>
      <c r="DF473" s="188"/>
      <c r="DG473" s="23"/>
      <c r="DH473" s="188"/>
      <c r="DI473" s="188"/>
      <c r="DJ473" s="188"/>
      <c r="DK473" s="188"/>
      <c r="DL473" s="23"/>
      <c r="DM473" s="23"/>
      <c r="DN473" s="539"/>
      <c r="DO473" s="370"/>
      <c r="DP473" s="23"/>
      <c r="DQ473" s="411"/>
      <c r="DR473" s="411"/>
      <c r="DS473" s="553"/>
      <c r="DT473" s="553"/>
      <c r="DU473" s="457"/>
      <c r="DV473" s="457"/>
      <c r="DW473" s="457"/>
      <c r="DX473" s="457"/>
      <c r="DY473" s="457"/>
      <c r="DZ473" s="457"/>
      <c r="EA473" s="539"/>
      <c r="EH473" s="23"/>
    </row>
    <row r="474" spans="1:138" ht="12.75" customHeight="1" x14ac:dyDescent="0.2">
      <c r="A474" s="23"/>
      <c r="B474" s="23"/>
      <c r="C474" s="23"/>
      <c r="D474" s="23"/>
      <c r="E474" s="23"/>
      <c r="F474" s="202"/>
      <c r="G474" s="23"/>
      <c r="H474" s="23"/>
      <c r="I474" s="23"/>
      <c r="J474" s="23"/>
      <c r="K474" s="202"/>
      <c r="L474" s="23"/>
      <c r="M474" s="23"/>
      <c r="N474" s="23"/>
      <c r="O474" s="23"/>
      <c r="P474" s="202"/>
      <c r="Q474" s="23"/>
      <c r="R474" s="23"/>
      <c r="S474" s="23"/>
      <c r="T474" s="23"/>
      <c r="U474" s="202"/>
      <c r="V474" s="23"/>
      <c r="W474" s="23"/>
      <c r="X474" s="23"/>
      <c r="Y474" s="23"/>
      <c r="Z474" s="202"/>
      <c r="AA474" s="23"/>
      <c r="AB474" s="23"/>
      <c r="AC474" s="23"/>
      <c r="AD474" s="23"/>
      <c r="AE474" s="202"/>
      <c r="AF474" s="23"/>
      <c r="AG474" s="23"/>
      <c r="AH474" s="23"/>
      <c r="AI474" s="23"/>
      <c r="AJ474" s="202"/>
      <c r="AK474" s="23"/>
      <c r="AL474" s="23"/>
      <c r="AM474" s="23"/>
      <c r="AN474" s="23"/>
      <c r="AO474" s="202"/>
      <c r="AP474" s="23"/>
      <c r="AQ474" s="23"/>
      <c r="AR474" s="23"/>
      <c r="AS474" s="23"/>
      <c r="AT474" s="23"/>
      <c r="AU474" s="23"/>
      <c r="AV474" s="23"/>
      <c r="AW474" s="23"/>
      <c r="AX474" s="23"/>
      <c r="AY474" s="23"/>
      <c r="AZ474" s="23"/>
      <c r="BA474" s="23"/>
      <c r="BB474" s="23"/>
      <c r="BC474" s="23"/>
      <c r="BD474" s="23"/>
      <c r="BE474" s="188"/>
      <c r="BF474" s="188"/>
      <c r="BG474" s="188"/>
      <c r="BH474" s="188"/>
      <c r="BI474" s="188"/>
      <c r="BJ474" s="188"/>
      <c r="BK474" s="188"/>
      <c r="BL474" s="188"/>
      <c r="BM474" s="188"/>
      <c r="BN474" s="188"/>
      <c r="BO474" s="188"/>
      <c r="BP474" s="8"/>
      <c r="BQ474" s="8"/>
      <c r="BR474" s="8"/>
      <c r="BS474" s="188"/>
      <c r="BT474" s="188"/>
      <c r="BU474" s="188"/>
      <c r="BV474" s="188"/>
      <c r="BW474" s="188"/>
      <c r="BX474" s="23"/>
      <c r="BY474" s="23"/>
      <c r="BZ474" s="23"/>
      <c r="CA474" s="23"/>
      <c r="CB474" s="23"/>
      <c r="CC474" s="23"/>
      <c r="CD474" s="23"/>
      <c r="CE474" s="23"/>
      <c r="CF474" s="23"/>
      <c r="CG474" s="23"/>
      <c r="CH474" s="23"/>
      <c r="CI474" s="188"/>
      <c r="CJ474" s="188"/>
      <c r="CK474" s="188"/>
      <c r="CL474" s="188"/>
      <c r="CM474" s="23"/>
      <c r="CN474" s="188"/>
      <c r="CO474" s="188"/>
      <c r="CP474" s="188"/>
      <c r="CQ474" s="188"/>
      <c r="CR474" s="23"/>
      <c r="CS474" s="188"/>
      <c r="CT474" s="188"/>
      <c r="CU474" s="188"/>
      <c r="CV474" s="188"/>
      <c r="CW474" s="23"/>
      <c r="CX474" s="188"/>
      <c r="CY474" s="188"/>
      <c r="CZ474" s="188"/>
      <c r="DA474" s="188"/>
      <c r="DB474" s="23"/>
      <c r="DC474" s="188"/>
      <c r="DD474" s="188"/>
      <c r="DE474" s="188"/>
      <c r="DF474" s="188"/>
      <c r="DG474" s="23"/>
      <c r="DH474" s="188"/>
      <c r="DI474" s="188"/>
      <c r="DJ474" s="188"/>
      <c r="DK474" s="188"/>
      <c r="DL474" s="23"/>
      <c r="DM474" s="23"/>
      <c r="DN474" s="539"/>
      <c r="DO474" s="370"/>
      <c r="DP474" s="23"/>
      <c r="DQ474" s="411"/>
      <c r="DR474" s="411"/>
      <c r="DS474" s="553"/>
      <c r="DT474" s="553"/>
      <c r="DU474" s="457"/>
      <c r="DV474" s="457"/>
      <c r="DW474" s="457"/>
      <c r="DX474" s="457"/>
      <c r="DY474" s="457"/>
      <c r="DZ474" s="457"/>
      <c r="EA474" s="539"/>
      <c r="EH474" s="23"/>
    </row>
    <row r="475" spans="1:138" ht="12.75" customHeight="1" x14ac:dyDescent="0.2">
      <c r="A475" s="23"/>
      <c r="B475" s="23"/>
      <c r="C475" s="23"/>
      <c r="D475" s="23"/>
      <c r="E475" s="23"/>
      <c r="F475" s="202"/>
      <c r="G475" s="23"/>
      <c r="H475" s="23"/>
      <c r="I475" s="23"/>
      <c r="J475" s="23"/>
      <c r="K475" s="202"/>
      <c r="L475" s="23"/>
      <c r="M475" s="23"/>
      <c r="N475" s="23"/>
      <c r="O475" s="23"/>
      <c r="P475" s="202"/>
      <c r="Q475" s="23"/>
      <c r="R475" s="23"/>
      <c r="S475" s="23"/>
      <c r="T475" s="23"/>
      <c r="U475" s="202"/>
      <c r="V475" s="23"/>
      <c r="W475" s="23"/>
      <c r="X475" s="23"/>
      <c r="Y475" s="23"/>
      <c r="Z475" s="202"/>
      <c r="AA475" s="23"/>
      <c r="AB475" s="23"/>
      <c r="AC475" s="23"/>
      <c r="AD475" s="23"/>
      <c r="AE475" s="202"/>
      <c r="AF475" s="23"/>
      <c r="AG475" s="23"/>
      <c r="AH475" s="23"/>
      <c r="AI475" s="23"/>
      <c r="AJ475" s="202"/>
      <c r="AK475" s="23"/>
      <c r="AL475" s="23"/>
      <c r="AM475" s="23"/>
      <c r="AN475" s="23"/>
      <c r="AO475" s="202"/>
      <c r="AP475" s="23"/>
      <c r="AQ475" s="23"/>
      <c r="AR475" s="23"/>
      <c r="AS475" s="23"/>
      <c r="AT475" s="23"/>
      <c r="AU475" s="23"/>
      <c r="AV475" s="23"/>
      <c r="AW475" s="23"/>
      <c r="AX475" s="23"/>
      <c r="AY475" s="23"/>
      <c r="AZ475" s="23"/>
      <c r="BA475" s="23"/>
      <c r="BB475" s="23"/>
      <c r="BC475" s="23"/>
      <c r="BD475" s="23"/>
      <c r="BE475" s="188"/>
      <c r="BF475" s="188"/>
      <c r="BG475" s="188"/>
      <c r="BH475" s="188"/>
      <c r="BI475" s="188"/>
      <c r="BJ475" s="188"/>
      <c r="BK475" s="188"/>
      <c r="BL475" s="188"/>
      <c r="BM475" s="188"/>
      <c r="BN475" s="188"/>
      <c r="BO475" s="188"/>
      <c r="BP475" s="8"/>
      <c r="BQ475" s="8"/>
      <c r="BR475" s="8"/>
      <c r="BS475" s="188"/>
      <c r="BT475" s="188"/>
      <c r="BU475" s="188"/>
      <c r="BV475" s="188"/>
      <c r="BW475" s="188"/>
      <c r="BX475" s="23"/>
      <c r="BY475" s="23"/>
      <c r="BZ475" s="23"/>
      <c r="CA475" s="23"/>
      <c r="CB475" s="23"/>
      <c r="CC475" s="23"/>
      <c r="CD475" s="23"/>
      <c r="CE475" s="23"/>
      <c r="CF475" s="23"/>
      <c r="CG475" s="23"/>
      <c r="CH475" s="23"/>
      <c r="CI475" s="188"/>
      <c r="CJ475" s="188"/>
      <c r="CK475" s="188"/>
      <c r="CL475" s="188"/>
      <c r="CM475" s="23"/>
      <c r="CN475" s="188"/>
      <c r="CO475" s="188"/>
      <c r="CP475" s="188"/>
      <c r="CQ475" s="188"/>
      <c r="CR475" s="23"/>
      <c r="CS475" s="188"/>
      <c r="CT475" s="188"/>
      <c r="CU475" s="188"/>
      <c r="CV475" s="188"/>
      <c r="CW475" s="23"/>
      <c r="CX475" s="188"/>
      <c r="CY475" s="188"/>
      <c r="CZ475" s="188"/>
      <c r="DA475" s="188"/>
      <c r="DB475" s="23"/>
      <c r="DC475" s="188"/>
      <c r="DD475" s="188"/>
      <c r="DE475" s="188"/>
      <c r="DF475" s="188"/>
      <c r="DG475" s="23"/>
      <c r="DH475" s="188"/>
      <c r="DI475" s="188"/>
      <c r="DJ475" s="188"/>
      <c r="DK475" s="188"/>
      <c r="DL475" s="23"/>
      <c r="DM475" s="23"/>
      <c r="DN475" s="539"/>
      <c r="DO475" s="370"/>
      <c r="DP475" s="23"/>
      <c r="DQ475" s="411"/>
      <c r="DR475" s="411"/>
      <c r="DS475" s="553"/>
      <c r="DT475" s="553"/>
      <c r="DU475" s="457"/>
      <c r="DV475" s="457"/>
      <c r="DW475" s="457"/>
      <c r="DX475" s="457"/>
      <c r="DY475" s="457"/>
      <c r="DZ475" s="457"/>
      <c r="EA475" s="539"/>
      <c r="EH475" s="23"/>
    </row>
    <row r="476" spans="1:138" ht="12.75" customHeight="1" x14ac:dyDescent="0.2">
      <c r="A476" s="23"/>
      <c r="B476" s="23"/>
      <c r="C476" s="23"/>
      <c r="D476" s="23"/>
      <c r="E476" s="23"/>
      <c r="F476" s="202"/>
      <c r="G476" s="23"/>
      <c r="H476" s="23"/>
      <c r="I476" s="23"/>
      <c r="J476" s="23"/>
      <c r="K476" s="202"/>
      <c r="L476" s="23"/>
      <c r="M476" s="23"/>
      <c r="N476" s="23"/>
      <c r="O476" s="23"/>
      <c r="P476" s="202"/>
      <c r="Q476" s="23"/>
      <c r="R476" s="23"/>
      <c r="S476" s="23"/>
      <c r="T476" s="23"/>
      <c r="U476" s="202"/>
      <c r="V476" s="23"/>
      <c r="W476" s="23"/>
      <c r="X476" s="23"/>
      <c r="Y476" s="23"/>
      <c r="Z476" s="202"/>
      <c r="AA476" s="23"/>
      <c r="AB476" s="23"/>
      <c r="AC476" s="23"/>
      <c r="AD476" s="23"/>
      <c r="AE476" s="202"/>
      <c r="AF476" s="23"/>
      <c r="AG476" s="23"/>
      <c r="AH476" s="23"/>
      <c r="AI476" s="23"/>
      <c r="AJ476" s="202"/>
      <c r="AK476" s="23"/>
      <c r="AL476" s="23"/>
      <c r="AM476" s="23"/>
      <c r="AN476" s="23"/>
      <c r="AO476" s="202"/>
      <c r="AP476" s="23"/>
      <c r="AQ476" s="23"/>
      <c r="AR476" s="23"/>
      <c r="AS476" s="23"/>
      <c r="AT476" s="23"/>
      <c r="AU476" s="23"/>
      <c r="AV476" s="23"/>
      <c r="AW476" s="23"/>
      <c r="AX476" s="23"/>
      <c r="AY476" s="23"/>
      <c r="AZ476" s="23"/>
      <c r="BA476" s="23"/>
      <c r="BB476" s="23"/>
      <c r="BC476" s="23"/>
      <c r="BD476" s="23"/>
      <c r="BE476" s="188"/>
      <c r="BF476" s="188"/>
      <c r="BG476" s="188"/>
      <c r="BH476" s="188"/>
      <c r="BI476" s="188"/>
      <c r="BJ476" s="188"/>
      <c r="BK476" s="188"/>
      <c r="BL476" s="188"/>
      <c r="BM476" s="188"/>
      <c r="BN476" s="188"/>
      <c r="BO476" s="188"/>
      <c r="BP476" s="8"/>
      <c r="BQ476" s="8"/>
      <c r="BR476" s="8"/>
      <c r="BS476" s="188"/>
      <c r="BT476" s="188"/>
      <c r="BU476" s="188"/>
      <c r="BV476" s="188"/>
      <c r="BW476" s="188"/>
      <c r="BX476" s="23"/>
      <c r="BY476" s="23"/>
      <c r="BZ476" s="23"/>
      <c r="CA476" s="23"/>
      <c r="CB476" s="23"/>
      <c r="CC476" s="23"/>
      <c r="CD476" s="23"/>
      <c r="CE476" s="23"/>
      <c r="CF476" s="23"/>
      <c r="CG476" s="23"/>
      <c r="CH476" s="23"/>
      <c r="CI476" s="188"/>
      <c r="CJ476" s="188"/>
      <c r="CK476" s="188"/>
      <c r="CL476" s="188"/>
      <c r="CM476" s="23"/>
      <c r="CN476" s="188"/>
      <c r="CO476" s="188"/>
      <c r="CP476" s="188"/>
      <c r="CQ476" s="188"/>
      <c r="CR476" s="23"/>
      <c r="CS476" s="188"/>
      <c r="CT476" s="188"/>
      <c r="CU476" s="188"/>
      <c r="CV476" s="188"/>
      <c r="CW476" s="23"/>
      <c r="CX476" s="188"/>
      <c r="CY476" s="188"/>
      <c r="CZ476" s="188"/>
      <c r="DA476" s="188"/>
      <c r="DB476" s="23"/>
      <c r="DC476" s="188"/>
      <c r="DD476" s="188"/>
      <c r="DE476" s="188"/>
      <c r="DF476" s="188"/>
      <c r="DG476" s="23"/>
      <c r="DH476" s="188"/>
      <c r="DI476" s="188"/>
      <c r="DJ476" s="188"/>
      <c r="DK476" s="188"/>
      <c r="DL476" s="23"/>
      <c r="DM476" s="23"/>
      <c r="DN476" s="539"/>
      <c r="DO476" s="370"/>
      <c r="DP476" s="23"/>
      <c r="DQ476" s="411"/>
      <c r="DR476" s="411"/>
      <c r="DS476" s="553"/>
      <c r="DT476" s="553"/>
      <c r="DU476" s="457"/>
      <c r="DV476" s="457"/>
      <c r="DW476" s="457"/>
      <c r="DX476" s="457"/>
      <c r="DY476" s="457"/>
      <c r="DZ476" s="457"/>
      <c r="EA476" s="539"/>
      <c r="EH476" s="23"/>
    </row>
    <row r="477" spans="1:138" ht="12.75" customHeight="1" x14ac:dyDescent="0.2">
      <c r="A477" s="23"/>
      <c r="B477" s="23"/>
      <c r="C477" s="23"/>
      <c r="D477" s="23"/>
      <c r="E477" s="23"/>
      <c r="F477" s="202"/>
      <c r="G477" s="23"/>
      <c r="H477" s="23"/>
      <c r="I477" s="23"/>
      <c r="J477" s="23"/>
      <c r="K477" s="202"/>
      <c r="L477" s="23"/>
      <c r="M477" s="23"/>
      <c r="N477" s="23"/>
      <c r="O477" s="23"/>
      <c r="P477" s="202"/>
      <c r="Q477" s="23"/>
      <c r="R477" s="23"/>
      <c r="S477" s="23"/>
      <c r="T477" s="23"/>
      <c r="U477" s="202"/>
      <c r="V477" s="23"/>
      <c r="W477" s="23"/>
      <c r="X477" s="23"/>
      <c r="Y477" s="23"/>
      <c r="Z477" s="202"/>
      <c r="AA477" s="23"/>
      <c r="AB477" s="23"/>
      <c r="AC477" s="23"/>
      <c r="AD477" s="23"/>
      <c r="AE477" s="202"/>
      <c r="AF477" s="23"/>
      <c r="AG477" s="23"/>
      <c r="AH477" s="23"/>
      <c r="AI477" s="23"/>
      <c r="AJ477" s="202"/>
      <c r="AK477" s="23"/>
      <c r="AL477" s="23"/>
      <c r="AM477" s="23"/>
      <c r="AN477" s="23"/>
      <c r="AO477" s="202"/>
      <c r="AP477" s="23"/>
      <c r="AQ477" s="23"/>
      <c r="AR477" s="23"/>
      <c r="AS477" s="23"/>
      <c r="AT477" s="23"/>
      <c r="AU477" s="23"/>
      <c r="AV477" s="23"/>
      <c r="AW477" s="23"/>
      <c r="AX477" s="23"/>
      <c r="AY477" s="23"/>
      <c r="AZ477" s="23"/>
      <c r="BA477" s="23"/>
      <c r="BB477" s="23"/>
      <c r="BC477" s="23"/>
      <c r="BD477" s="23"/>
      <c r="BE477" s="188"/>
      <c r="BF477" s="188"/>
      <c r="BG477" s="188"/>
      <c r="BH477" s="188"/>
      <c r="BI477" s="188"/>
      <c r="BJ477" s="188"/>
      <c r="BK477" s="188"/>
      <c r="BL477" s="188"/>
      <c r="BM477" s="188"/>
      <c r="BN477" s="188"/>
      <c r="BO477" s="188"/>
      <c r="BP477" s="8"/>
      <c r="BQ477" s="8"/>
      <c r="BR477" s="8"/>
      <c r="BS477" s="188"/>
      <c r="BT477" s="188"/>
      <c r="BU477" s="188"/>
      <c r="BV477" s="188"/>
      <c r="BW477" s="188"/>
      <c r="BX477" s="23"/>
      <c r="BY477" s="23"/>
      <c r="BZ477" s="23"/>
      <c r="CA477" s="23"/>
      <c r="CB477" s="23"/>
      <c r="CC477" s="23"/>
      <c r="CD477" s="23"/>
      <c r="CE477" s="23"/>
      <c r="CF477" s="23"/>
      <c r="CG477" s="23"/>
      <c r="CH477" s="23"/>
      <c r="CI477" s="188"/>
      <c r="CJ477" s="188"/>
      <c r="CK477" s="188"/>
      <c r="CL477" s="188"/>
      <c r="CM477" s="23"/>
      <c r="CN477" s="188"/>
      <c r="CO477" s="188"/>
      <c r="CP477" s="188"/>
      <c r="CQ477" s="188"/>
      <c r="CR477" s="23"/>
      <c r="CS477" s="188"/>
      <c r="CT477" s="188"/>
      <c r="CU477" s="188"/>
      <c r="CV477" s="188"/>
      <c r="CW477" s="23"/>
      <c r="CX477" s="188"/>
      <c r="CY477" s="188"/>
      <c r="CZ477" s="188"/>
      <c r="DA477" s="188"/>
      <c r="DB477" s="23"/>
      <c r="DC477" s="188"/>
      <c r="DD477" s="188"/>
      <c r="DE477" s="188"/>
      <c r="DF477" s="188"/>
      <c r="DG477" s="23"/>
      <c r="DH477" s="188"/>
      <c r="DI477" s="188"/>
      <c r="DJ477" s="188"/>
      <c r="DK477" s="188"/>
      <c r="DL477" s="23"/>
      <c r="DM477" s="23"/>
      <c r="DN477" s="539"/>
      <c r="DO477" s="370"/>
      <c r="DP477" s="23"/>
      <c r="DQ477" s="411"/>
      <c r="DR477" s="411"/>
      <c r="DS477" s="553"/>
      <c r="DT477" s="553"/>
      <c r="DU477" s="457"/>
      <c r="DV477" s="457"/>
      <c r="DW477" s="457"/>
      <c r="DX477" s="457"/>
      <c r="DY477" s="457"/>
      <c r="DZ477" s="457"/>
      <c r="EA477" s="539"/>
      <c r="EH477" s="23"/>
    </row>
    <row r="478" spans="1:138" ht="12.75" customHeight="1" collapsed="1" x14ac:dyDescent="0.2">
      <c r="A478" s="23"/>
      <c r="B478" s="23"/>
      <c r="C478" s="23"/>
      <c r="D478" s="23"/>
      <c r="E478" s="23"/>
      <c r="F478" s="202"/>
      <c r="G478" s="23"/>
      <c r="H478" s="23"/>
      <c r="I478" s="23"/>
      <c r="J478" s="23"/>
      <c r="K478" s="202"/>
      <c r="L478" s="23"/>
      <c r="M478" s="23"/>
      <c r="N478" s="23"/>
      <c r="O478" s="23"/>
      <c r="P478" s="202"/>
      <c r="Q478" s="23"/>
      <c r="R478" s="23"/>
      <c r="S478" s="23"/>
      <c r="T478" s="23"/>
      <c r="U478" s="202"/>
      <c r="V478" s="23"/>
      <c r="W478" s="23"/>
      <c r="X478" s="23"/>
      <c r="Y478" s="23"/>
      <c r="Z478" s="202"/>
      <c r="AA478" s="23"/>
      <c r="AB478" s="23"/>
      <c r="AC478" s="23"/>
      <c r="AD478" s="23"/>
      <c r="AE478" s="202"/>
      <c r="AF478" s="23"/>
      <c r="AG478" s="23"/>
      <c r="AH478" s="23"/>
      <c r="AI478" s="23"/>
      <c r="AJ478" s="202"/>
      <c r="AK478" s="23"/>
      <c r="AL478" s="23"/>
      <c r="AM478" s="23"/>
      <c r="AN478" s="23"/>
      <c r="AO478" s="202"/>
      <c r="AP478" s="23"/>
      <c r="AQ478" s="23"/>
      <c r="AR478" s="23"/>
      <c r="AS478" s="23"/>
      <c r="AT478" s="23"/>
      <c r="AU478" s="23"/>
      <c r="AV478" s="23"/>
      <c r="AW478" s="23"/>
      <c r="AX478" s="23"/>
      <c r="AY478" s="23"/>
      <c r="AZ478" s="23"/>
      <c r="BA478" s="23"/>
      <c r="BB478" s="23"/>
      <c r="BC478" s="23"/>
      <c r="BD478" s="23"/>
      <c r="BE478" s="188"/>
      <c r="BF478" s="188"/>
      <c r="BG478" s="188"/>
      <c r="BH478" s="188"/>
      <c r="BI478" s="188"/>
      <c r="BJ478" s="188"/>
      <c r="BK478" s="188"/>
      <c r="BL478" s="188"/>
      <c r="BM478" s="188"/>
      <c r="BN478" s="188"/>
      <c r="BO478" s="188"/>
      <c r="BP478" s="8"/>
      <c r="BQ478" s="8"/>
      <c r="BR478" s="8"/>
      <c r="BS478" s="188"/>
      <c r="BT478" s="188"/>
      <c r="BU478" s="188"/>
      <c r="BV478" s="188"/>
      <c r="BW478" s="188"/>
      <c r="BX478" s="23"/>
      <c r="BY478" s="23"/>
      <c r="BZ478" s="23"/>
      <c r="CA478" s="23"/>
      <c r="CB478" s="23"/>
      <c r="CC478" s="23"/>
      <c r="CD478" s="23"/>
      <c r="CE478" s="23"/>
      <c r="CF478" s="23"/>
      <c r="CG478" s="23"/>
      <c r="CH478" s="23"/>
      <c r="CI478" s="188"/>
      <c r="CJ478" s="188"/>
      <c r="CK478" s="188"/>
      <c r="CL478" s="188"/>
      <c r="CM478" s="23"/>
      <c r="CN478" s="188"/>
      <c r="CO478" s="188"/>
      <c r="CP478" s="188"/>
      <c r="CQ478" s="188"/>
      <c r="CR478" s="23"/>
      <c r="CS478" s="188"/>
      <c r="CT478" s="188"/>
      <c r="CU478" s="188"/>
      <c r="CV478" s="188"/>
      <c r="CW478" s="23"/>
      <c r="CX478" s="188"/>
      <c r="CY478" s="188"/>
      <c r="CZ478" s="188"/>
      <c r="DA478" s="188"/>
      <c r="DB478" s="23"/>
      <c r="DC478" s="188"/>
      <c r="DD478" s="188"/>
      <c r="DE478" s="188"/>
      <c r="DF478" s="188"/>
      <c r="DG478" s="23"/>
      <c r="DH478" s="188"/>
      <c r="DI478" s="188"/>
      <c r="DJ478" s="188"/>
      <c r="DK478" s="188"/>
      <c r="DL478" s="23"/>
      <c r="DM478" s="23"/>
      <c r="DN478" s="539"/>
      <c r="DO478" s="370"/>
      <c r="DP478" s="23"/>
      <c r="DQ478" s="411"/>
      <c r="DR478" s="411"/>
      <c r="DS478" s="553"/>
      <c r="DT478" s="553"/>
      <c r="DU478" s="457"/>
      <c r="DV478" s="457"/>
      <c r="DW478" s="457"/>
      <c r="DX478" s="457"/>
      <c r="DY478" s="457"/>
      <c r="DZ478" s="457"/>
      <c r="EA478" s="539"/>
      <c r="EH478" s="23"/>
    </row>
    <row r="479" spans="1:138" ht="12.75" customHeight="1" x14ac:dyDescent="0.2">
      <c r="A479" s="23"/>
      <c r="B479" s="23"/>
      <c r="C479" s="23"/>
      <c r="D479" s="23"/>
      <c r="E479" s="23"/>
      <c r="F479" s="202"/>
      <c r="G479" s="23"/>
      <c r="H479" s="23"/>
      <c r="I479" s="23"/>
      <c r="J479" s="23"/>
      <c r="K479" s="202"/>
      <c r="L479" s="23"/>
      <c r="M479" s="23"/>
      <c r="N479" s="23"/>
      <c r="O479" s="23"/>
      <c r="P479" s="202"/>
      <c r="Q479" s="23"/>
      <c r="R479" s="23"/>
      <c r="S479" s="23"/>
      <c r="T479" s="23"/>
      <c r="U479" s="202"/>
      <c r="V479" s="23"/>
      <c r="W479" s="23"/>
      <c r="X479" s="23"/>
      <c r="Y479" s="23"/>
      <c r="Z479" s="202"/>
      <c r="AA479" s="23"/>
      <c r="AB479" s="23"/>
      <c r="AC479" s="23"/>
      <c r="AD479" s="23"/>
      <c r="AE479" s="202"/>
      <c r="AF479" s="23"/>
      <c r="AG479" s="23"/>
      <c r="AH479" s="23"/>
      <c r="AI479" s="23"/>
      <c r="AJ479" s="202"/>
      <c r="AK479" s="23"/>
      <c r="AL479" s="23"/>
      <c r="AM479" s="23"/>
      <c r="AN479" s="23"/>
      <c r="AO479" s="202"/>
      <c r="AP479" s="23"/>
      <c r="AQ479" s="23"/>
      <c r="AR479" s="23"/>
      <c r="AS479" s="23"/>
      <c r="AT479" s="23"/>
      <c r="AU479" s="23"/>
      <c r="AV479" s="23"/>
      <c r="AW479" s="23"/>
      <c r="AX479" s="23"/>
      <c r="AY479" s="23"/>
      <c r="AZ479" s="23"/>
      <c r="BA479" s="23"/>
      <c r="BB479" s="23"/>
      <c r="BC479" s="23"/>
      <c r="BD479" s="23"/>
      <c r="BE479" s="188"/>
      <c r="BF479" s="188"/>
      <c r="BG479" s="188"/>
      <c r="BH479" s="188"/>
      <c r="BI479" s="188"/>
      <c r="BJ479" s="188"/>
      <c r="BK479" s="188"/>
      <c r="BL479" s="188"/>
      <c r="BM479" s="188"/>
      <c r="BN479" s="188"/>
      <c r="BO479" s="188"/>
      <c r="BP479" s="8"/>
      <c r="BQ479" s="8"/>
      <c r="BR479" s="8"/>
      <c r="BS479" s="188"/>
      <c r="BT479" s="188"/>
      <c r="BU479" s="188"/>
      <c r="BV479" s="188"/>
      <c r="BW479" s="188"/>
      <c r="BX479" s="23"/>
      <c r="BY479" s="23"/>
      <c r="BZ479" s="23"/>
      <c r="CA479" s="23"/>
      <c r="CB479" s="23"/>
      <c r="CC479" s="23"/>
      <c r="CD479" s="23"/>
      <c r="CE479" s="23"/>
      <c r="CF479" s="23"/>
      <c r="CG479" s="23"/>
      <c r="CH479" s="23"/>
      <c r="CI479" s="188"/>
      <c r="CJ479" s="188"/>
      <c r="CK479" s="188"/>
      <c r="CL479" s="188"/>
      <c r="CM479" s="23"/>
      <c r="CN479" s="188"/>
      <c r="CO479" s="188"/>
      <c r="CP479" s="188"/>
      <c r="CQ479" s="188"/>
      <c r="CR479" s="23"/>
      <c r="CS479" s="188"/>
      <c r="CT479" s="188"/>
      <c r="CU479" s="188"/>
      <c r="CV479" s="188"/>
      <c r="CW479" s="23"/>
      <c r="CX479" s="188"/>
      <c r="CY479" s="188"/>
      <c r="CZ479" s="188"/>
      <c r="DA479" s="188"/>
      <c r="DB479" s="23"/>
      <c r="DC479" s="188"/>
      <c r="DD479" s="188"/>
      <c r="DE479" s="188"/>
      <c r="DF479" s="188"/>
      <c r="DG479" s="23"/>
      <c r="DH479" s="188"/>
      <c r="DI479" s="188"/>
      <c r="DJ479" s="188"/>
      <c r="DK479" s="188"/>
      <c r="DL479" s="23"/>
      <c r="DM479" s="23"/>
      <c r="DN479" s="539"/>
      <c r="DO479" s="370"/>
      <c r="DP479" s="23"/>
      <c r="DQ479" s="411"/>
      <c r="DR479" s="411"/>
      <c r="DS479" s="553"/>
      <c r="DT479" s="553"/>
      <c r="DU479" s="457"/>
      <c r="DV479" s="457"/>
      <c r="DW479" s="457"/>
      <c r="DX479" s="457"/>
      <c r="DY479" s="457"/>
      <c r="DZ479" s="457"/>
      <c r="EA479" s="539"/>
      <c r="EH479" s="23"/>
    </row>
    <row r="480" spans="1:138" ht="12.75" customHeight="1" collapsed="1" x14ac:dyDescent="0.2">
      <c r="A480" s="23"/>
      <c r="B480" s="23"/>
      <c r="C480" s="23"/>
      <c r="D480" s="23"/>
      <c r="E480" s="23"/>
      <c r="F480" s="202"/>
      <c r="G480" s="23"/>
      <c r="H480" s="23"/>
      <c r="I480" s="23"/>
      <c r="J480" s="23"/>
      <c r="K480" s="202"/>
      <c r="L480" s="23"/>
      <c r="M480" s="23"/>
      <c r="N480" s="23"/>
      <c r="O480" s="23"/>
      <c r="P480" s="202"/>
      <c r="Q480" s="23"/>
      <c r="R480" s="23"/>
      <c r="S480" s="23"/>
      <c r="T480" s="23"/>
      <c r="U480" s="202"/>
      <c r="V480" s="23"/>
      <c r="W480" s="23"/>
      <c r="X480" s="23"/>
      <c r="Y480" s="23"/>
      <c r="Z480" s="202"/>
      <c r="AA480" s="23"/>
      <c r="AB480" s="23"/>
      <c r="AC480" s="23"/>
      <c r="AD480" s="23"/>
      <c r="AE480" s="202"/>
      <c r="AF480" s="23"/>
      <c r="AG480" s="23"/>
      <c r="AH480" s="23"/>
      <c r="AI480" s="23"/>
      <c r="AJ480" s="202"/>
      <c r="AK480" s="23"/>
      <c r="AL480" s="23"/>
      <c r="AM480" s="23"/>
      <c r="AN480" s="23"/>
      <c r="AO480" s="202"/>
      <c r="AP480" s="23"/>
      <c r="AQ480" s="23"/>
      <c r="AR480" s="23"/>
      <c r="AS480" s="23"/>
      <c r="AT480" s="23"/>
      <c r="AU480" s="23"/>
      <c r="AV480" s="23"/>
      <c r="AW480" s="23"/>
      <c r="AX480" s="23"/>
      <c r="AY480" s="23"/>
      <c r="AZ480" s="23"/>
      <c r="BA480" s="23"/>
      <c r="BB480" s="23"/>
      <c r="BC480" s="23"/>
      <c r="BD480" s="23"/>
      <c r="BE480" s="188"/>
      <c r="BF480" s="188"/>
      <c r="BG480" s="188"/>
      <c r="BH480" s="188"/>
      <c r="BI480" s="188"/>
      <c r="BJ480" s="188"/>
      <c r="BK480" s="188"/>
      <c r="BL480" s="188"/>
      <c r="BM480" s="188"/>
      <c r="BN480" s="188"/>
      <c r="BO480" s="188"/>
      <c r="BP480" s="8"/>
      <c r="BQ480" s="8"/>
      <c r="BR480" s="8"/>
      <c r="BS480" s="188"/>
      <c r="BT480" s="188"/>
      <c r="BU480" s="188"/>
      <c r="BV480" s="188"/>
      <c r="BW480" s="188"/>
      <c r="BX480" s="23"/>
      <c r="BY480" s="23"/>
      <c r="BZ480" s="23"/>
      <c r="CA480" s="23"/>
      <c r="CB480" s="23"/>
      <c r="CC480" s="23"/>
      <c r="CD480" s="23"/>
      <c r="CE480" s="23"/>
      <c r="CF480" s="23"/>
      <c r="CG480" s="23"/>
      <c r="CH480" s="23"/>
      <c r="CI480" s="188"/>
      <c r="CJ480" s="188"/>
      <c r="CK480" s="188"/>
      <c r="CL480" s="188"/>
      <c r="CM480" s="23"/>
      <c r="CN480" s="188"/>
      <c r="CO480" s="188"/>
      <c r="CP480" s="188"/>
      <c r="CQ480" s="188"/>
      <c r="CR480" s="23"/>
      <c r="CS480" s="188"/>
      <c r="CT480" s="188"/>
      <c r="CU480" s="188"/>
      <c r="CV480" s="188"/>
      <c r="CW480" s="23"/>
      <c r="CX480" s="188"/>
      <c r="CY480" s="188"/>
      <c r="CZ480" s="188"/>
      <c r="DA480" s="188"/>
      <c r="DB480" s="23"/>
      <c r="DC480" s="188"/>
      <c r="DD480" s="188"/>
      <c r="DE480" s="188"/>
      <c r="DF480" s="188"/>
      <c r="DG480" s="23"/>
      <c r="DH480" s="188"/>
      <c r="DI480" s="188"/>
      <c r="DJ480" s="188"/>
      <c r="DK480" s="188"/>
      <c r="DL480" s="23"/>
      <c r="DM480" s="23"/>
      <c r="DN480" s="539"/>
      <c r="DO480" s="370"/>
      <c r="DP480" s="23"/>
      <c r="DQ480" s="411"/>
      <c r="DR480" s="411"/>
      <c r="DS480" s="553"/>
      <c r="DT480" s="553"/>
      <c r="DU480" s="457"/>
      <c r="DV480" s="457"/>
      <c r="DW480" s="457"/>
      <c r="DX480" s="457"/>
      <c r="DY480" s="457"/>
      <c r="DZ480" s="457"/>
      <c r="EA480" s="539"/>
      <c r="EH480" s="23"/>
    </row>
    <row r="481" spans="1:138" ht="12.75" customHeight="1" x14ac:dyDescent="0.2">
      <c r="A481" s="23"/>
      <c r="B481" s="23"/>
      <c r="C481" s="23"/>
      <c r="D481" s="23"/>
      <c r="E481" s="23"/>
      <c r="F481" s="202"/>
      <c r="G481" s="23"/>
      <c r="H481" s="23"/>
      <c r="I481" s="23"/>
      <c r="J481" s="23"/>
      <c r="K481" s="202"/>
      <c r="L481" s="23"/>
      <c r="M481" s="23"/>
      <c r="N481" s="23"/>
      <c r="O481" s="23"/>
      <c r="P481" s="202"/>
      <c r="Q481" s="23"/>
      <c r="R481" s="23"/>
      <c r="S481" s="23"/>
      <c r="T481" s="23"/>
      <c r="U481" s="202"/>
      <c r="V481" s="23"/>
      <c r="W481" s="23"/>
      <c r="X481" s="23"/>
      <c r="Y481" s="23"/>
      <c r="Z481" s="202"/>
      <c r="AA481" s="23"/>
      <c r="AB481" s="23"/>
      <c r="AC481" s="23"/>
      <c r="AD481" s="23"/>
      <c r="AE481" s="202"/>
      <c r="AF481" s="23"/>
      <c r="AG481" s="23"/>
      <c r="AH481" s="23"/>
      <c r="AI481" s="23"/>
      <c r="AJ481" s="202"/>
      <c r="AK481" s="23"/>
      <c r="AL481" s="23"/>
      <c r="AM481" s="23"/>
      <c r="AN481" s="23"/>
      <c r="AO481" s="202"/>
      <c r="AP481" s="23"/>
      <c r="AQ481" s="23"/>
      <c r="AR481" s="23"/>
      <c r="AS481" s="23"/>
      <c r="AT481" s="23"/>
      <c r="AU481" s="23"/>
      <c r="AV481" s="23"/>
      <c r="AW481" s="23"/>
      <c r="AX481" s="23"/>
      <c r="AY481" s="23"/>
      <c r="AZ481" s="23"/>
      <c r="BA481" s="23"/>
      <c r="BB481" s="23"/>
      <c r="BC481" s="23"/>
      <c r="BD481" s="23"/>
      <c r="BE481" s="188"/>
      <c r="BF481" s="188"/>
      <c r="BG481" s="188"/>
      <c r="BH481" s="188"/>
      <c r="BI481" s="188"/>
      <c r="BJ481" s="188"/>
      <c r="BK481" s="188"/>
      <c r="BL481" s="188"/>
      <c r="BM481" s="188"/>
      <c r="BN481" s="188"/>
      <c r="BO481" s="188"/>
      <c r="BP481" s="8"/>
      <c r="BQ481" s="8"/>
      <c r="BR481" s="8"/>
      <c r="BS481" s="188"/>
      <c r="BT481" s="188"/>
      <c r="BU481" s="188"/>
      <c r="BV481" s="188"/>
      <c r="BW481" s="188"/>
      <c r="BX481" s="23"/>
      <c r="BY481" s="23"/>
      <c r="BZ481" s="23"/>
      <c r="CA481" s="23"/>
      <c r="CB481" s="23"/>
      <c r="CC481" s="23"/>
      <c r="CD481" s="23"/>
      <c r="CE481" s="23"/>
      <c r="CF481" s="23"/>
      <c r="CG481" s="23"/>
      <c r="CH481" s="23"/>
      <c r="CI481" s="188"/>
      <c r="CJ481" s="188"/>
      <c r="CK481" s="188"/>
      <c r="CL481" s="188"/>
      <c r="CM481" s="23"/>
      <c r="CN481" s="188"/>
      <c r="CO481" s="188"/>
      <c r="CP481" s="188"/>
      <c r="CQ481" s="188"/>
      <c r="CR481" s="23"/>
      <c r="CS481" s="188"/>
      <c r="CT481" s="188"/>
      <c r="CU481" s="188"/>
      <c r="CV481" s="188"/>
      <c r="CW481" s="23"/>
      <c r="CX481" s="188"/>
      <c r="CY481" s="188"/>
      <c r="CZ481" s="188"/>
      <c r="DA481" s="188"/>
      <c r="DB481" s="23"/>
      <c r="DC481" s="188"/>
      <c r="DD481" s="188"/>
      <c r="DE481" s="188"/>
      <c r="DF481" s="188"/>
      <c r="DG481" s="23"/>
      <c r="DH481" s="188"/>
      <c r="DI481" s="188"/>
      <c r="DJ481" s="188"/>
      <c r="DK481" s="188"/>
      <c r="DL481" s="23"/>
      <c r="DM481" s="23"/>
      <c r="DN481" s="539"/>
      <c r="DO481" s="370"/>
      <c r="DP481" s="23"/>
      <c r="DQ481" s="411"/>
      <c r="DR481" s="411"/>
      <c r="DS481" s="553"/>
      <c r="DT481" s="553"/>
      <c r="DU481" s="457"/>
      <c r="DV481" s="457"/>
      <c r="DW481" s="457"/>
      <c r="DX481" s="457"/>
      <c r="DY481" s="457"/>
      <c r="DZ481" s="457"/>
      <c r="EA481" s="539"/>
      <c r="EH481" s="23"/>
    </row>
    <row r="482" spans="1:138" ht="12.75" customHeight="1" x14ac:dyDescent="0.2">
      <c r="A482" s="23"/>
      <c r="B482" s="23"/>
      <c r="C482" s="23"/>
      <c r="D482" s="23"/>
      <c r="E482" s="23"/>
      <c r="F482" s="202"/>
      <c r="G482" s="23"/>
      <c r="H482" s="23"/>
      <c r="I482" s="23"/>
      <c r="J482" s="23"/>
      <c r="K482" s="202"/>
      <c r="L482" s="23"/>
      <c r="M482" s="23"/>
      <c r="N482" s="23"/>
      <c r="O482" s="23"/>
      <c r="P482" s="202"/>
      <c r="Q482" s="23"/>
      <c r="R482" s="23"/>
      <c r="S482" s="23"/>
      <c r="T482" s="23"/>
      <c r="U482" s="202"/>
      <c r="V482" s="23"/>
      <c r="W482" s="23"/>
      <c r="X482" s="23"/>
      <c r="Y482" s="23"/>
      <c r="Z482" s="202"/>
      <c r="AA482" s="23"/>
      <c r="AB482" s="23"/>
      <c r="AC482" s="23"/>
      <c r="AD482" s="23"/>
      <c r="AE482" s="202"/>
      <c r="AF482" s="23"/>
      <c r="AG482" s="23"/>
      <c r="AH482" s="23"/>
      <c r="AI482" s="23"/>
      <c r="AJ482" s="202"/>
      <c r="AK482" s="23"/>
      <c r="AL482" s="23"/>
      <c r="AM482" s="23"/>
      <c r="AN482" s="23"/>
      <c r="AO482" s="202"/>
      <c r="AP482" s="23"/>
      <c r="AQ482" s="23"/>
      <c r="AR482" s="23"/>
      <c r="AS482" s="23"/>
      <c r="AT482" s="23"/>
      <c r="AU482" s="23"/>
      <c r="AV482" s="23"/>
      <c r="AW482" s="23"/>
      <c r="AX482" s="23"/>
      <c r="AY482" s="23"/>
      <c r="AZ482" s="23"/>
      <c r="BA482" s="23"/>
      <c r="BB482" s="23"/>
      <c r="BC482" s="23"/>
      <c r="BD482" s="23"/>
      <c r="BE482" s="188"/>
      <c r="BF482" s="188"/>
      <c r="BG482" s="188"/>
      <c r="BH482" s="188"/>
      <c r="BI482" s="188"/>
      <c r="BJ482" s="188"/>
      <c r="BK482" s="188"/>
      <c r="BL482" s="188"/>
      <c r="BM482" s="188"/>
      <c r="BN482" s="188"/>
      <c r="BO482" s="188"/>
      <c r="BP482" s="8"/>
      <c r="BQ482" s="8"/>
      <c r="BR482" s="8"/>
      <c r="BS482" s="188"/>
      <c r="BT482" s="188"/>
      <c r="BU482" s="188"/>
      <c r="BV482" s="188"/>
      <c r="BW482" s="188"/>
      <c r="BX482" s="23"/>
      <c r="BY482" s="23"/>
      <c r="BZ482" s="23"/>
      <c r="CA482" s="23"/>
      <c r="CB482" s="23"/>
      <c r="CC482" s="23"/>
      <c r="CD482" s="23"/>
      <c r="CE482" s="23"/>
      <c r="CF482" s="23"/>
      <c r="CG482" s="23"/>
      <c r="CH482" s="23"/>
      <c r="CI482" s="188"/>
      <c r="CJ482" s="188"/>
      <c r="CK482" s="188"/>
      <c r="CL482" s="188"/>
      <c r="CM482" s="23"/>
      <c r="CN482" s="188"/>
      <c r="CO482" s="188"/>
      <c r="CP482" s="188"/>
      <c r="CQ482" s="188"/>
      <c r="CR482" s="23"/>
      <c r="CS482" s="188"/>
      <c r="CT482" s="188"/>
      <c r="CU482" s="188"/>
      <c r="CV482" s="188"/>
      <c r="CW482" s="23"/>
      <c r="CX482" s="188"/>
      <c r="CY482" s="188"/>
      <c r="CZ482" s="188"/>
      <c r="DA482" s="188"/>
      <c r="DB482" s="23"/>
      <c r="DC482" s="188"/>
      <c r="DD482" s="188"/>
      <c r="DE482" s="188"/>
      <c r="DF482" s="188"/>
      <c r="DG482" s="23"/>
      <c r="DH482" s="188"/>
      <c r="DI482" s="188"/>
      <c r="DJ482" s="188"/>
      <c r="DK482" s="188"/>
      <c r="DL482" s="23"/>
      <c r="DM482" s="23"/>
      <c r="DN482" s="539"/>
      <c r="DO482" s="370"/>
      <c r="DP482" s="23"/>
      <c r="DQ482" s="411"/>
      <c r="DR482" s="411"/>
      <c r="DS482" s="553"/>
      <c r="DT482" s="553"/>
      <c r="DU482" s="457"/>
      <c r="DV482" s="457"/>
      <c r="DW482" s="457"/>
      <c r="DX482" s="457"/>
      <c r="DY482" s="457"/>
      <c r="DZ482" s="457"/>
      <c r="EA482" s="539"/>
      <c r="EH482" s="23"/>
    </row>
    <row r="483" spans="1:138" ht="12.75" customHeight="1" x14ac:dyDescent="0.2">
      <c r="A483" s="23"/>
      <c r="B483" s="23"/>
      <c r="C483" s="23"/>
      <c r="D483" s="23"/>
      <c r="E483" s="23"/>
      <c r="F483" s="202"/>
      <c r="G483" s="23"/>
      <c r="H483" s="23"/>
      <c r="I483" s="23"/>
      <c r="J483" s="23"/>
      <c r="K483" s="202"/>
      <c r="L483" s="23"/>
      <c r="M483" s="23"/>
      <c r="N483" s="23"/>
      <c r="O483" s="23"/>
      <c r="P483" s="202"/>
      <c r="Q483" s="23"/>
      <c r="R483" s="23"/>
      <c r="S483" s="23"/>
      <c r="T483" s="23"/>
      <c r="U483" s="202"/>
      <c r="V483" s="23"/>
      <c r="W483" s="23"/>
      <c r="X483" s="23"/>
      <c r="Y483" s="23"/>
      <c r="Z483" s="202"/>
      <c r="AA483" s="23"/>
      <c r="AB483" s="23"/>
      <c r="AC483" s="23"/>
      <c r="AD483" s="23"/>
      <c r="AE483" s="202"/>
      <c r="AF483" s="23"/>
      <c r="AG483" s="23"/>
      <c r="AH483" s="23"/>
      <c r="AI483" s="23"/>
      <c r="AJ483" s="202"/>
      <c r="AK483" s="23"/>
      <c r="AL483" s="23"/>
      <c r="AM483" s="23"/>
      <c r="AN483" s="23"/>
      <c r="AO483" s="202"/>
      <c r="AP483" s="23"/>
      <c r="AQ483" s="23"/>
      <c r="AR483" s="23"/>
      <c r="AS483" s="23"/>
      <c r="AT483" s="23"/>
      <c r="AU483" s="23"/>
      <c r="AV483" s="23"/>
      <c r="AW483" s="23"/>
      <c r="AX483" s="23"/>
      <c r="AY483" s="23"/>
      <c r="AZ483" s="23"/>
      <c r="BA483" s="23"/>
      <c r="BB483" s="23"/>
      <c r="BC483" s="23"/>
      <c r="BD483" s="23"/>
      <c r="BE483" s="188"/>
      <c r="BF483" s="188"/>
      <c r="BG483" s="188"/>
      <c r="BH483" s="188"/>
      <c r="BI483" s="188"/>
      <c r="BJ483" s="188"/>
      <c r="BK483" s="188"/>
      <c r="BL483" s="188"/>
      <c r="BM483" s="188"/>
      <c r="BN483" s="188"/>
      <c r="BO483" s="188"/>
      <c r="BP483" s="8"/>
      <c r="BQ483" s="8"/>
      <c r="BR483" s="8"/>
      <c r="BS483" s="188"/>
      <c r="BT483" s="188"/>
      <c r="BU483" s="188"/>
      <c r="BV483" s="188"/>
      <c r="BW483" s="188"/>
      <c r="BX483" s="23"/>
      <c r="BY483" s="23"/>
      <c r="BZ483" s="23"/>
      <c r="CA483" s="23"/>
      <c r="CB483" s="23"/>
      <c r="CC483" s="23"/>
      <c r="CD483" s="23"/>
      <c r="CE483" s="23"/>
      <c r="CF483" s="23"/>
      <c r="CG483" s="23"/>
      <c r="CH483" s="23"/>
      <c r="CI483" s="188"/>
      <c r="CJ483" s="188"/>
      <c r="CK483" s="188"/>
      <c r="CL483" s="188"/>
      <c r="CM483" s="23"/>
      <c r="CN483" s="188"/>
      <c r="CO483" s="188"/>
      <c r="CP483" s="188"/>
      <c r="CQ483" s="188"/>
      <c r="CR483" s="23"/>
      <c r="CS483" s="188"/>
      <c r="CT483" s="188"/>
      <c r="CU483" s="188"/>
      <c r="CV483" s="188"/>
      <c r="CW483" s="23"/>
      <c r="CX483" s="188"/>
      <c r="CY483" s="188"/>
      <c r="CZ483" s="188"/>
      <c r="DA483" s="188"/>
      <c r="DB483" s="23"/>
      <c r="DC483" s="188"/>
      <c r="DD483" s="188"/>
      <c r="DE483" s="188"/>
      <c r="DF483" s="188"/>
      <c r="DG483" s="23"/>
      <c r="DH483" s="188"/>
      <c r="DI483" s="188"/>
      <c r="DJ483" s="188"/>
      <c r="DK483" s="188"/>
      <c r="DL483" s="23"/>
      <c r="DM483" s="23"/>
      <c r="DN483" s="539"/>
      <c r="DO483" s="370"/>
      <c r="DP483" s="23"/>
      <c r="DQ483" s="411"/>
      <c r="DR483" s="411"/>
      <c r="DS483" s="553"/>
      <c r="DT483" s="553"/>
      <c r="DU483" s="457"/>
      <c r="DV483" s="457"/>
      <c r="DW483" s="457"/>
      <c r="DX483" s="457"/>
      <c r="DY483" s="457"/>
      <c r="DZ483" s="457"/>
      <c r="EA483" s="539"/>
      <c r="EH483" s="23"/>
    </row>
    <row r="484" spans="1:138" ht="12.75" customHeight="1" x14ac:dyDescent="0.2">
      <c r="A484" s="23"/>
      <c r="B484" s="23"/>
      <c r="C484" s="23"/>
      <c r="D484" s="23"/>
      <c r="E484" s="23"/>
      <c r="F484" s="202"/>
      <c r="G484" s="23"/>
      <c r="H484" s="23"/>
      <c r="I484" s="23"/>
      <c r="J484" s="23"/>
      <c r="K484" s="202"/>
      <c r="L484" s="23"/>
      <c r="M484" s="23"/>
      <c r="N484" s="23"/>
      <c r="O484" s="23"/>
      <c r="P484" s="202"/>
      <c r="Q484" s="23"/>
      <c r="R484" s="23"/>
      <c r="S484" s="23"/>
      <c r="T484" s="23"/>
      <c r="U484" s="202"/>
      <c r="V484" s="23"/>
      <c r="W484" s="23"/>
      <c r="X484" s="23"/>
      <c r="Y484" s="23"/>
      <c r="Z484" s="202"/>
      <c r="AA484" s="23"/>
      <c r="AB484" s="23"/>
      <c r="AC484" s="23"/>
      <c r="AD484" s="23"/>
      <c r="AE484" s="202"/>
      <c r="AF484" s="23"/>
      <c r="AG484" s="23"/>
      <c r="AH484" s="23"/>
      <c r="AI484" s="23"/>
      <c r="AJ484" s="202"/>
      <c r="AK484" s="23"/>
      <c r="AL484" s="23"/>
      <c r="AM484" s="23"/>
      <c r="AN484" s="23"/>
      <c r="AO484" s="202"/>
      <c r="AP484" s="23"/>
      <c r="AQ484" s="23"/>
      <c r="AR484" s="23"/>
      <c r="AS484" s="23"/>
      <c r="AT484" s="23"/>
      <c r="AU484" s="23"/>
      <c r="AV484" s="23"/>
      <c r="AW484" s="23"/>
      <c r="AX484" s="23"/>
      <c r="AY484" s="23"/>
      <c r="AZ484" s="23"/>
      <c r="BA484" s="23"/>
      <c r="BB484" s="23"/>
      <c r="BC484" s="23"/>
      <c r="BD484" s="23"/>
      <c r="BE484" s="188"/>
      <c r="BF484" s="188"/>
      <c r="BG484" s="188"/>
      <c r="BH484" s="188"/>
      <c r="BI484" s="188"/>
      <c r="BJ484" s="188"/>
      <c r="BK484" s="188"/>
      <c r="BL484" s="188"/>
      <c r="BM484" s="188"/>
      <c r="BN484" s="188"/>
      <c r="BO484" s="188"/>
      <c r="BP484" s="8"/>
      <c r="BQ484" s="8"/>
      <c r="BR484" s="8"/>
      <c r="BS484" s="188"/>
      <c r="BT484" s="188"/>
      <c r="BU484" s="188"/>
      <c r="BV484" s="188"/>
      <c r="BW484" s="188"/>
      <c r="BX484" s="23"/>
      <c r="BY484" s="23"/>
      <c r="BZ484" s="23"/>
      <c r="CA484" s="23"/>
      <c r="CB484" s="23"/>
      <c r="CC484" s="23"/>
      <c r="CD484" s="23"/>
      <c r="CE484" s="23"/>
      <c r="CF484" s="23"/>
      <c r="CG484" s="23"/>
      <c r="CH484" s="23"/>
      <c r="CI484" s="188"/>
      <c r="CJ484" s="188"/>
      <c r="CK484" s="188"/>
      <c r="CL484" s="188"/>
      <c r="CM484" s="23"/>
      <c r="CN484" s="188"/>
      <c r="CO484" s="188"/>
      <c r="CP484" s="188"/>
      <c r="CQ484" s="188"/>
      <c r="CR484" s="23"/>
      <c r="CS484" s="188"/>
      <c r="CT484" s="188"/>
      <c r="CU484" s="188"/>
      <c r="CV484" s="188"/>
      <c r="CW484" s="23"/>
      <c r="CX484" s="188"/>
      <c r="CY484" s="188"/>
      <c r="CZ484" s="188"/>
      <c r="DA484" s="188"/>
      <c r="DB484" s="23"/>
      <c r="DC484" s="188"/>
      <c r="DD484" s="188"/>
      <c r="DE484" s="188"/>
      <c r="DF484" s="188"/>
      <c r="DG484" s="23"/>
      <c r="DH484" s="188"/>
      <c r="DI484" s="188"/>
      <c r="DJ484" s="188"/>
      <c r="DK484" s="188"/>
      <c r="DL484" s="23"/>
      <c r="DM484" s="23"/>
      <c r="DN484" s="539"/>
      <c r="DO484" s="370"/>
      <c r="DP484" s="23"/>
      <c r="DQ484" s="411"/>
      <c r="DR484" s="411"/>
      <c r="DS484" s="553"/>
      <c r="DT484" s="553"/>
      <c r="DU484" s="457"/>
      <c r="DV484" s="457"/>
      <c r="DW484" s="457"/>
      <c r="DX484" s="457"/>
      <c r="DY484" s="457"/>
      <c r="DZ484" s="457"/>
      <c r="EA484" s="539"/>
      <c r="EH484" s="23"/>
    </row>
    <row r="485" spans="1:138" ht="12.75" customHeight="1" x14ac:dyDescent="0.2">
      <c r="A485" s="23"/>
      <c r="B485" s="23"/>
      <c r="C485" s="23"/>
      <c r="D485" s="23"/>
      <c r="E485" s="23"/>
      <c r="F485" s="202"/>
      <c r="G485" s="23"/>
      <c r="H485" s="23"/>
      <c r="I485" s="23"/>
      <c r="J485" s="23"/>
      <c r="K485" s="202"/>
      <c r="L485" s="23"/>
      <c r="M485" s="23"/>
      <c r="N485" s="23"/>
      <c r="O485" s="23"/>
      <c r="P485" s="202"/>
      <c r="Q485" s="23"/>
      <c r="R485" s="23"/>
      <c r="S485" s="23"/>
      <c r="T485" s="23"/>
      <c r="U485" s="202"/>
      <c r="V485" s="23"/>
      <c r="W485" s="23"/>
      <c r="X485" s="23"/>
      <c r="Y485" s="23"/>
      <c r="Z485" s="202"/>
      <c r="AA485" s="23"/>
      <c r="AB485" s="23"/>
      <c r="AC485" s="23"/>
      <c r="AD485" s="23"/>
      <c r="AE485" s="202"/>
      <c r="AF485" s="23"/>
      <c r="AG485" s="23"/>
      <c r="AH485" s="23"/>
      <c r="AI485" s="23"/>
      <c r="AJ485" s="202"/>
      <c r="AK485" s="23"/>
      <c r="AL485" s="23"/>
      <c r="AM485" s="23"/>
      <c r="AN485" s="23"/>
      <c r="AO485" s="202"/>
      <c r="AP485" s="23"/>
      <c r="AQ485" s="23"/>
      <c r="AR485" s="23"/>
      <c r="AS485" s="23"/>
      <c r="AT485" s="23"/>
      <c r="AU485" s="23"/>
      <c r="AV485" s="23"/>
      <c r="AW485" s="23"/>
      <c r="AX485" s="23"/>
      <c r="AY485" s="23"/>
      <c r="AZ485" s="23"/>
      <c r="BA485" s="23"/>
      <c r="BB485" s="23"/>
      <c r="BC485" s="23"/>
      <c r="BD485" s="23"/>
      <c r="BE485" s="188"/>
      <c r="BF485" s="188"/>
      <c r="BG485" s="188"/>
      <c r="BH485" s="188"/>
      <c r="BI485" s="188"/>
      <c r="BJ485" s="188"/>
      <c r="BK485" s="188"/>
      <c r="BL485" s="188"/>
      <c r="BM485" s="188"/>
      <c r="BN485" s="188"/>
      <c r="BO485" s="188"/>
      <c r="BP485" s="8"/>
      <c r="BQ485" s="8"/>
      <c r="BR485" s="8"/>
      <c r="BS485" s="188"/>
      <c r="BT485" s="188"/>
      <c r="BU485" s="188"/>
      <c r="BV485" s="188"/>
      <c r="BW485" s="188"/>
      <c r="BX485" s="23"/>
      <c r="BY485" s="23"/>
      <c r="BZ485" s="23"/>
      <c r="CA485" s="23"/>
      <c r="CB485" s="23"/>
      <c r="CC485" s="23"/>
      <c r="CD485" s="23"/>
      <c r="CE485" s="23"/>
      <c r="CF485" s="23"/>
      <c r="CG485" s="23"/>
      <c r="CH485" s="23"/>
      <c r="CI485" s="188"/>
      <c r="CJ485" s="188"/>
      <c r="CK485" s="188"/>
      <c r="CL485" s="188"/>
      <c r="CM485" s="23"/>
      <c r="CN485" s="188"/>
      <c r="CO485" s="188"/>
      <c r="CP485" s="188"/>
      <c r="CQ485" s="188"/>
      <c r="CR485" s="23"/>
      <c r="CS485" s="188"/>
      <c r="CT485" s="188"/>
      <c r="CU485" s="188"/>
      <c r="CV485" s="188"/>
      <c r="CW485" s="23"/>
      <c r="CX485" s="188"/>
      <c r="CY485" s="188"/>
      <c r="CZ485" s="188"/>
      <c r="DA485" s="188"/>
      <c r="DB485" s="23"/>
      <c r="DC485" s="188"/>
      <c r="DD485" s="188"/>
      <c r="DE485" s="188"/>
      <c r="DF485" s="188"/>
      <c r="DG485" s="23"/>
      <c r="DH485" s="188"/>
      <c r="DI485" s="188"/>
      <c r="DJ485" s="188"/>
      <c r="DK485" s="188"/>
      <c r="DL485" s="23"/>
      <c r="DM485" s="23"/>
      <c r="DN485" s="539"/>
      <c r="DO485" s="370"/>
      <c r="DP485" s="23"/>
      <c r="DQ485" s="411"/>
      <c r="DR485" s="411"/>
      <c r="DS485" s="553"/>
      <c r="DT485" s="553"/>
      <c r="DU485" s="457"/>
      <c r="DV485" s="457"/>
      <c r="DW485" s="457"/>
      <c r="DX485" s="457"/>
      <c r="DY485" s="457"/>
      <c r="DZ485" s="457"/>
      <c r="EA485" s="539"/>
      <c r="EH485" s="23"/>
    </row>
    <row r="486" spans="1:138" ht="12.75" customHeight="1" x14ac:dyDescent="0.2">
      <c r="A486" s="23"/>
      <c r="B486" s="23"/>
      <c r="C486" s="23"/>
      <c r="D486" s="23"/>
      <c r="E486" s="23"/>
      <c r="F486" s="202"/>
      <c r="G486" s="23"/>
      <c r="H486" s="23"/>
      <c r="I486" s="23"/>
      <c r="J486" s="23"/>
      <c r="K486" s="202"/>
      <c r="L486" s="23"/>
      <c r="M486" s="23"/>
      <c r="N486" s="23"/>
      <c r="O486" s="23"/>
      <c r="P486" s="202"/>
      <c r="Q486" s="23"/>
      <c r="R486" s="23"/>
      <c r="S486" s="23"/>
      <c r="T486" s="23"/>
      <c r="U486" s="202"/>
      <c r="V486" s="23"/>
      <c r="W486" s="23"/>
      <c r="X486" s="23"/>
      <c r="Y486" s="23"/>
      <c r="Z486" s="202"/>
      <c r="AA486" s="23"/>
      <c r="AB486" s="23"/>
      <c r="AC486" s="23"/>
      <c r="AD486" s="23"/>
      <c r="AE486" s="202"/>
      <c r="AF486" s="23"/>
      <c r="AG486" s="23"/>
      <c r="AH486" s="23"/>
      <c r="AI486" s="23"/>
      <c r="AJ486" s="202"/>
      <c r="AK486" s="23"/>
      <c r="AL486" s="23"/>
      <c r="AM486" s="23"/>
      <c r="AN486" s="23"/>
      <c r="AO486" s="202"/>
      <c r="AP486" s="23"/>
      <c r="AQ486" s="23"/>
      <c r="AR486" s="23"/>
      <c r="AS486" s="23"/>
      <c r="AT486" s="23"/>
      <c r="AU486" s="23"/>
      <c r="AV486" s="23"/>
      <c r="AW486" s="23"/>
      <c r="AX486" s="23"/>
      <c r="AY486" s="23"/>
      <c r="AZ486" s="23"/>
      <c r="BA486" s="23"/>
      <c r="BB486" s="23"/>
      <c r="BC486" s="23"/>
      <c r="BD486" s="23"/>
      <c r="BE486" s="188"/>
      <c r="BF486" s="188"/>
      <c r="BG486" s="188"/>
      <c r="BH486" s="188"/>
      <c r="BI486" s="188"/>
      <c r="BJ486" s="188"/>
      <c r="BK486" s="188"/>
      <c r="BL486" s="188"/>
      <c r="BM486" s="188"/>
      <c r="BN486" s="188"/>
      <c r="BO486" s="188"/>
      <c r="BP486" s="8"/>
      <c r="BQ486" s="8"/>
      <c r="BR486" s="8"/>
      <c r="BS486" s="188"/>
      <c r="BT486" s="188"/>
      <c r="BU486" s="188"/>
      <c r="BV486" s="188"/>
      <c r="BW486" s="188"/>
      <c r="BX486" s="23"/>
      <c r="BY486" s="23"/>
      <c r="BZ486" s="23"/>
      <c r="CA486" s="23"/>
      <c r="CB486" s="23"/>
      <c r="CC486" s="23"/>
      <c r="CD486" s="23"/>
      <c r="CE486" s="23"/>
      <c r="CF486" s="23"/>
      <c r="CG486" s="23"/>
      <c r="CH486" s="23"/>
      <c r="CI486" s="188"/>
      <c r="CJ486" s="188"/>
      <c r="CK486" s="188"/>
      <c r="CL486" s="188"/>
      <c r="CM486" s="23"/>
      <c r="CN486" s="188"/>
      <c r="CO486" s="188"/>
      <c r="CP486" s="188"/>
      <c r="CQ486" s="188"/>
      <c r="CR486" s="23"/>
      <c r="CS486" s="188"/>
      <c r="CT486" s="188"/>
      <c r="CU486" s="188"/>
      <c r="CV486" s="188"/>
      <c r="CW486" s="23"/>
      <c r="CX486" s="188"/>
      <c r="CY486" s="188"/>
      <c r="CZ486" s="188"/>
      <c r="DA486" s="188"/>
      <c r="DB486" s="23"/>
      <c r="DC486" s="188"/>
      <c r="DD486" s="188"/>
      <c r="DE486" s="188"/>
      <c r="DF486" s="188"/>
      <c r="DG486" s="23"/>
      <c r="DH486" s="188"/>
      <c r="DI486" s="188"/>
      <c r="DJ486" s="188"/>
      <c r="DK486" s="188"/>
      <c r="DL486" s="23"/>
      <c r="DM486" s="23"/>
      <c r="DN486" s="539"/>
      <c r="DO486" s="370"/>
      <c r="DP486" s="23"/>
      <c r="DQ486" s="411"/>
      <c r="DR486" s="411"/>
      <c r="DS486" s="553"/>
      <c r="DT486" s="553"/>
      <c r="DU486" s="457"/>
      <c r="DV486" s="457"/>
      <c r="DW486" s="457"/>
      <c r="DX486" s="457"/>
      <c r="DY486" s="457"/>
      <c r="DZ486" s="457"/>
      <c r="EA486" s="539"/>
      <c r="EH486" s="23"/>
    </row>
    <row r="487" spans="1:138" ht="12.75" customHeight="1" x14ac:dyDescent="0.2">
      <c r="A487" s="23"/>
      <c r="B487" s="23"/>
      <c r="C487" s="23"/>
      <c r="D487" s="23"/>
      <c r="E487" s="23"/>
      <c r="F487" s="202"/>
      <c r="G487" s="23"/>
      <c r="H487" s="23"/>
      <c r="I487" s="23"/>
      <c r="J487" s="23"/>
      <c r="K487" s="202"/>
      <c r="L487" s="23"/>
      <c r="M487" s="23"/>
      <c r="N487" s="23"/>
      <c r="O487" s="23"/>
      <c r="P487" s="202"/>
      <c r="Q487" s="23"/>
      <c r="R487" s="23"/>
      <c r="S487" s="23"/>
      <c r="T487" s="23"/>
      <c r="U487" s="202"/>
      <c r="V487" s="23"/>
      <c r="W487" s="23"/>
      <c r="X487" s="23"/>
      <c r="Y487" s="23"/>
      <c r="Z487" s="202"/>
      <c r="AA487" s="23"/>
      <c r="AB487" s="23"/>
      <c r="AC487" s="23"/>
      <c r="AD487" s="23"/>
      <c r="AE487" s="202"/>
      <c r="AF487" s="23"/>
      <c r="AG487" s="23"/>
      <c r="AH487" s="23"/>
      <c r="AI487" s="23"/>
      <c r="AJ487" s="202"/>
      <c r="AK487" s="23"/>
      <c r="AL487" s="23"/>
      <c r="AM487" s="23"/>
      <c r="AN487" s="23"/>
      <c r="AO487" s="202"/>
      <c r="AP487" s="23"/>
      <c r="AQ487" s="23"/>
      <c r="AR487" s="23"/>
      <c r="AS487" s="23"/>
      <c r="AT487" s="23"/>
      <c r="AU487" s="23"/>
      <c r="AV487" s="23"/>
      <c r="AW487" s="23"/>
      <c r="AX487" s="23"/>
      <c r="AY487" s="23"/>
      <c r="AZ487" s="23"/>
      <c r="BA487" s="23"/>
      <c r="BB487" s="23"/>
      <c r="BC487" s="23"/>
      <c r="BD487" s="23"/>
      <c r="BE487" s="188"/>
      <c r="BF487" s="188"/>
      <c r="BG487" s="188"/>
      <c r="BH487" s="188"/>
      <c r="BI487" s="188"/>
      <c r="BJ487" s="188"/>
      <c r="BK487" s="188"/>
      <c r="BL487" s="188"/>
      <c r="BM487" s="188"/>
      <c r="BN487" s="188"/>
      <c r="BO487" s="188"/>
      <c r="BP487" s="8"/>
      <c r="BQ487" s="8"/>
      <c r="BR487" s="8"/>
      <c r="BS487" s="188"/>
      <c r="BT487" s="188"/>
      <c r="BU487" s="188"/>
      <c r="BV487" s="188"/>
      <c r="BW487" s="188"/>
      <c r="BX487" s="23"/>
      <c r="BY487" s="23"/>
      <c r="BZ487" s="23"/>
      <c r="CA487" s="23"/>
      <c r="CB487" s="23"/>
      <c r="CC487" s="23"/>
      <c r="CD487" s="23"/>
      <c r="CE487" s="23"/>
      <c r="CF487" s="23"/>
      <c r="CG487" s="23"/>
      <c r="CH487" s="23"/>
      <c r="CI487" s="188"/>
      <c r="CJ487" s="188"/>
      <c r="CK487" s="188"/>
      <c r="CL487" s="188"/>
      <c r="CM487" s="23"/>
      <c r="CN487" s="188"/>
      <c r="CO487" s="188"/>
      <c r="CP487" s="188"/>
      <c r="CQ487" s="188"/>
      <c r="CR487" s="23"/>
      <c r="CS487" s="188"/>
      <c r="CT487" s="188"/>
      <c r="CU487" s="188"/>
      <c r="CV487" s="188"/>
      <c r="CW487" s="23"/>
      <c r="CX487" s="188"/>
      <c r="CY487" s="188"/>
      <c r="CZ487" s="188"/>
      <c r="DA487" s="188"/>
      <c r="DB487" s="23"/>
      <c r="DC487" s="188"/>
      <c r="DD487" s="188"/>
      <c r="DE487" s="188"/>
      <c r="DF487" s="188"/>
      <c r="DG487" s="23"/>
      <c r="DH487" s="188"/>
      <c r="DI487" s="188"/>
      <c r="DJ487" s="188"/>
      <c r="DK487" s="188"/>
      <c r="DL487" s="23"/>
      <c r="DM487" s="23"/>
      <c r="DN487" s="539"/>
      <c r="DO487" s="370"/>
      <c r="DP487" s="23"/>
      <c r="DQ487" s="411"/>
      <c r="DR487" s="411"/>
      <c r="DS487" s="553"/>
      <c r="DT487" s="553"/>
      <c r="DU487" s="457"/>
      <c r="DV487" s="457"/>
      <c r="DW487" s="457"/>
      <c r="DX487" s="457"/>
      <c r="DY487" s="457"/>
      <c r="DZ487" s="457"/>
      <c r="EA487" s="539"/>
      <c r="EH487" s="23"/>
    </row>
    <row r="488" spans="1:138" ht="12.75" customHeight="1" x14ac:dyDescent="0.2">
      <c r="A488" s="23"/>
      <c r="B488" s="23"/>
      <c r="C488" s="23"/>
      <c r="D488" s="23"/>
      <c r="E488" s="23"/>
      <c r="F488" s="202"/>
      <c r="G488" s="23"/>
      <c r="H488" s="23"/>
      <c r="I488" s="23"/>
      <c r="J488" s="23"/>
      <c r="K488" s="202"/>
      <c r="L488" s="23"/>
      <c r="M488" s="23"/>
      <c r="N488" s="23"/>
      <c r="O488" s="23"/>
      <c r="P488" s="202"/>
      <c r="Q488" s="23"/>
      <c r="R488" s="23"/>
      <c r="S488" s="23"/>
      <c r="T488" s="23"/>
      <c r="U488" s="202"/>
      <c r="V488" s="23"/>
      <c r="W488" s="23"/>
      <c r="X488" s="23"/>
      <c r="Y488" s="23"/>
      <c r="Z488" s="202"/>
      <c r="AA488" s="23"/>
      <c r="AB488" s="23"/>
      <c r="AC488" s="23"/>
      <c r="AD488" s="23"/>
      <c r="AE488" s="202"/>
      <c r="AF488" s="23"/>
      <c r="AG488" s="23"/>
      <c r="AH488" s="23"/>
      <c r="AI488" s="23"/>
      <c r="AJ488" s="202"/>
      <c r="AK488" s="23"/>
      <c r="AL488" s="23"/>
      <c r="AM488" s="23"/>
      <c r="AN488" s="23"/>
      <c r="AO488" s="202"/>
      <c r="AP488" s="23"/>
      <c r="AQ488" s="23"/>
      <c r="AR488" s="23"/>
      <c r="AS488" s="23"/>
      <c r="AT488" s="23"/>
      <c r="AU488" s="23"/>
      <c r="AV488" s="23"/>
      <c r="AW488" s="23"/>
      <c r="AX488" s="23"/>
      <c r="AY488" s="23"/>
      <c r="AZ488" s="23"/>
      <c r="BA488" s="23"/>
      <c r="BB488" s="23"/>
      <c r="BC488" s="23"/>
      <c r="BD488" s="23"/>
      <c r="BE488" s="188"/>
      <c r="BF488" s="188"/>
      <c r="BG488" s="188"/>
      <c r="BH488" s="188"/>
      <c r="BI488" s="188"/>
      <c r="BJ488" s="188"/>
      <c r="BK488" s="188"/>
      <c r="BL488" s="188"/>
      <c r="BM488" s="188"/>
      <c r="BN488" s="188"/>
      <c r="BO488" s="188"/>
      <c r="BP488" s="8"/>
      <c r="BQ488" s="8"/>
      <c r="BR488" s="8"/>
      <c r="BS488" s="188"/>
      <c r="BT488" s="188"/>
      <c r="BU488" s="188"/>
      <c r="BV488" s="188"/>
      <c r="BW488" s="188"/>
      <c r="BX488" s="23"/>
      <c r="BY488" s="23"/>
      <c r="BZ488" s="23"/>
      <c r="CA488" s="23"/>
      <c r="CB488" s="23"/>
      <c r="CC488" s="23"/>
      <c r="CD488" s="23"/>
      <c r="CE488" s="23"/>
      <c r="CF488" s="23"/>
      <c r="CG488" s="23"/>
      <c r="CH488" s="23"/>
      <c r="CI488" s="188"/>
      <c r="CJ488" s="188"/>
      <c r="CK488" s="188"/>
      <c r="CL488" s="188"/>
      <c r="CM488" s="23"/>
      <c r="CN488" s="188"/>
      <c r="CO488" s="188"/>
      <c r="CP488" s="188"/>
      <c r="CQ488" s="188"/>
      <c r="CR488" s="23"/>
      <c r="CS488" s="188"/>
      <c r="CT488" s="188"/>
      <c r="CU488" s="188"/>
      <c r="CV488" s="188"/>
      <c r="CW488" s="23"/>
      <c r="CX488" s="188"/>
      <c r="CY488" s="188"/>
      <c r="CZ488" s="188"/>
      <c r="DA488" s="188"/>
      <c r="DB488" s="23"/>
      <c r="DC488" s="188"/>
      <c r="DD488" s="188"/>
      <c r="DE488" s="188"/>
      <c r="DF488" s="188"/>
      <c r="DG488" s="23"/>
      <c r="DH488" s="188"/>
      <c r="DI488" s="188"/>
      <c r="DJ488" s="188"/>
      <c r="DK488" s="188"/>
      <c r="DL488" s="23"/>
      <c r="DM488" s="23"/>
      <c r="DN488" s="539"/>
      <c r="DO488" s="370"/>
      <c r="DP488" s="23"/>
      <c r="DQ488" s="411"/>
      <c r="DR488" s="411"/>
      <c r="DS488" s="553"/>
      <c r="DT488" s="553"/>
      <c r="DU488" s="457"/>
      <c r="DV488" s="457"/>
      <c r="DW488" s="457"/>
      <c r="DX488" s="457"/>
      <c r="DY488" s="457"/>
      <c r="DZ488" s="457"/>
      <c r="EA488" s="539"/>
      <c r="EH488" s="23"/>
    </row>
    <row r="489" spans="1:138" ht="12.75" customHeight="1" x14ac:dyDescent="0.2">
      <c r="A489" s="23"/>
      <c r="B489" s="23"/>
      <c r="C489" s="23"/>
      <c r="D489" s="23"/>
      <c r="E489" s="23"/>
      <c r="F489" s="202"/>
      <c r="G489" s="23"/>
      <c r="H489" s="23"/>
      <c r="I489" s="23"/>
      <c r="J489" s="23"/>
      <c r="K489" s="202"/>
      <c r="L489" s="23"/>
      <c r="M489" s="23"/>
      <c r="N489" s="23"/>
      <c r="O489" s="23"/>
      <c r="P489" s="202"/>
      <c r="Q489" s="23"/>
      <c r="R489" s="23"/>
      <c r="S489" s="23"/>
      <c r="T489" s="23"/>
      <c r="U489" s="202"/>
      <c r="V489" s="23"/>
      <c r="W489" s="23"/>
      <c r="X489" s="23"/>
      <c r="Y489" s="23"/>
      <c r="Z489" s="202"/>
      <c r="AA489" s="23"/>
      <c r="AB489" s="23"/>
      <c r="AC489" s="23"/>
      <c r="AD489" s="23"/>
      <c r="AE489" s="202"/>
      <c r="AF489" s="23"/>
      <c r="AG489" s="23"/>
      <c r="AH489" s="23"/>
      <c r="AI489" s="23"/>
      <c r="AJ489" s="202"/>
      <c r="AK489" s="23"/>
      <c r="AL489" s="23"/>
      <c r="AM489" s="23"/>
      <c r="AN489" s="23"/>
      <c r="AO489" s="202"/>
      <c r="AP489" s="23"/>
      <c r="AQ489" s="23"/>
      <c r="AR489" s="23"/>
      <c r="AS489" s="23"/>
      <c r="AT489" s="23"/>
      <c r="AU489" s="23"/>
      <c r="AV489" s="23"/>
      <c r="AW489" s="23"/>
      <c r="AX489" s="23"/>
      <c r="AY489" s="23"/>
      <c r="AZ489" s="23"/>
      <c r="BA489" s="23"/>
      <c r="BB489" s="23"/>
      <c r="BC489" s="23"/>
      <c r="BD489" s="23"/>
      <c r="BE489" s="188"/>
      <c r="BF489" s="188"/>
      <c r="BG489" s="188"/>
      <c r="BH489" s="188"/>
      <c r="BI489" s="188"/>
      <c r="BJ489" s="188"/>
      <c r="BK489" s="188"/>
      <c r="BL489" s="188"/>
      <c r="BM489" s="188"/>
      <c r="BN489" s="188"/>
      <c r="BO489" s="188"/>
      <c r="BP489" s="8"/>
      <c r="BQ489" s="8"/>
      <c r="BR489" s="8"/>
      <c r="BS489" s="188"/>
      <c r="BT489" s="188"/>
      <c r="BU489" s="188"/>
      <c r="BV489" s="188"/>
      <c r="BW489" s="188"/>
      <c r="BX489" s="23"/>
      <c r="BY489" s="23"/>
      <c r="BZ489" s="23"/>
      <c r="CA489" s="23"/>
      <c r="CB489" s="23"/>
      <c r="CC489" s="23"/>
      <c r="CD489" s="23"/>
      <c r="CE489" s="23"/>
      <c r="CF489" s="23"/>
      <c r="CG489" s="23"/>
      <c r="CH489" s="23"/>
      <c r="CI489" s="188"/>
      <c r="CJ489" s="188"/>
      <c r="CK489" s="188"/>
      <c r="CL489" s="188"/>
      <c r="CM489" s="23"/>
      <c r="CN489" s="188"/>
      <c r="CO489" s="188"/>
      <c r="CP489" s="188"/>
      <c r="CQ489" s="188"/>
      <c r="CR489" s="23"/>
      <c r="CS489" s="188"/>
      <c r="CT489" s="188"/>
      <c r="CU489" s="188"/>
      <c r="CV489" s="188"/>
      <c r="CW489" s="23"/>
      <c r="CX489" s="188"/>
      <c r="CY489" s="188"/>
      <c r="CZ489" s="188"/>
      <c r="DA489" s="188"/>
      <c r="DB489" s="23"/>
      <c r="DC489" s="188"/>
      <c r="DD489" s="188"/>
      <c r="DE489" s="188"/>
      <c r="DF489" s="188"/>
      <c r="DG489" s="23"/>
      <c r="DH489" s="188"/>
      <c r="DI489" s="188"/>
      <c r="DJ489" s="188"/>
      <c r="DK489" s="188"/>
      <c r="DL489" s="23"/>
      <c r="DM489" s="23"/>
      <c r="DN489" s="539"/>
      <c r="DO489" s="370"/>
      <c r="DP489" s="23"/>
      <c r="DQ489" s="411"/>
      <c r="DR489" s="411"/>
      <c r="DS489" s="553"/>
      <c r="DT489" s="553"/>
      <c r="DU489" s="457"/>
      <c r="DV489" s="457"/>
      <c r="DW489" s="457"/>
      <c r="DX489" s="457"/>
      <c r="DY489" s="457"/>
      <c r="DZ489" s="457"/>
      <c r="EA489" s="539"/>
      <c r="EH489" s="23"/>
    </row>
    <row r="490" spans="1:138" ht="12.75" customHeight="1" x14ac:dyDescent="0.2">
      <c r="A490" s="23"/>
      <c r="B490" s="23"/>
      <c r="C490" s="23"/>
      <c r="D490" s="23"/>
      <c r="E490" s="23"/>
      <c r="F490" s="202"/>
      <c r="G490" s="23"/>
      <c r="H490" s="23"/>
      <c r="I490" s="23"/>
      <c r="J490" s="23"/>
      <c r="K490" s="202"/>
      <c r="L490" s="23"/>
      <c r="M490" s="23"/>
      <c r="N490" s="23"/>
      <c r="O490" s="23"/>
      <c r="P490" s="202"/>
      <c r="Q490" s="23"/>
      <c r="R490" s="23"/>
      <c r="S490" s="23"/>
      <c r="T490" s="23"/>
      <c r="U490" s="202"/>
      <c r="V490" s="23"/>
      <c r="W490" s="23"/>
      <c r="X490" s="23"/>
      <c r="Y490" s="23"/>
      <c r="Z490" s="202"/>
      <c r="AA490" s="23"/>
      <c r="AB490" s="23"/>
      <c r="AC490" s="23"/>
      <c r="AD490" s="23"/>
      <c r="AE490" s="202"/>
      <c r="AF490" s="23"/>
      <c r="AG490" s="23"/>
      <c r="AH490" s="23"/>
      <c r="AI490" s="23"/>
      <c r="AJ490" s="202"/>
      <c r="AK490" s="23"/>
      <c r="AL490" s="23"/>
      <c r="AM490" s="23"/>
      <c r="AN490" s="23"/>
      <c r="AO490" s="202"/>
      <c r="AP490" s="23"/>
      <c r="AQ490" s="23"/>
      <c r="AR490" s="23"/>
      <c r="AS490" s="23"/>
      <c r="AT490" s="23"/>
      <c r="AU490" s="23"/>
      <c r="AV490" s="23"/>
      <c r="AW490" s="23"/>
      <c r="AX490" s="23"/>
      <c r="AY490" s="23"/>
      <c r="AZ490" s="23"/>
      <c r="BA490" s="23"/>
      <c r="BB490" s="23"/>
      <c r="BC490" s="23"/>
      <c r="BD490" s="23"/>
      <c r="BE490" s="188"/>
      <c r="BF490" s="188"/>
      <c r="BG490" s="188"/>
      <c r="BH490" s="188"/>
      <c r="BI490" s="188"/>
      <c r="BJ490" s="188"/>
      <c r="BK490" s="188"/>
      <c r="BL490" s="188"/>
      <c r="BM490" s="188"/>
      <c r="BN490" s="188"/>
      <c r="BO490" s="188"/>
      <c r="BP490" s="8"/>
      <c r="BQ490" s="8"/>
      <c r="BR490" s="8"/>
      <c r="BS490" s="188"/>
      <c r="BT490" s="188"/>
      <c r="BU490" s="188"/>
      <c r="BV490" s="188"/>
      <c r="BW490" s="188"/>
      <c r="BX490" s="23"/>
      <c r="BY490" s="23"/>
      <c r="BZ490" s="23"/>
      <c r="CA490" s="23"/>
      <c r="CB490" s="23"/>
      <c r="CC490" s="23"/>
      <c r="CD490" s="23"/>
      <c r="CE490" s="23"/>
      <c r="CF490" s="23"/>
      <c r="CG490" s="23"/>
      <c r="CH490" s="23"/>
      <c r="CI490" s="188"/>
      <c r="CJ490" s="188"/>
      <c r="CK490" s="188"/>
      <c r="CL490" s="188"/>
      <c r="CM490" s="23"/>
      <c r="CN490" s="188"/>
      <c r="CO490" s="188"/>
      <c r="CP490" s="188"/>
      <c r="CQ490" s="188"/>
      <c r="CR490" s="23"/>
      <c r="CS490" s="188"/>
      <c r="CT490" s="188"/>
      <c r="CU490" s="188"/>
      <c r="CV490" s="188"/>
      <c r="CW490" s="23"/>
      <c r="CX490" s="188"/>
      <c r="CY490" s="188"/>
      <c r="CZ490" s="188"/>
      <c r="DA490" s="188"/>
      <c r="DB490" s="23"/>
      <c r="DC490" s="188"/>
      <c r="DD490" s="188"/>
      <c r="DE490" s="188"/>
      <c r="DF490" s="188"/>
      <c r="DG490" s="23"/>
      <c r="DH490" s="188"/>
      <c r="DI490" s="188"/>
      <c r="DJ490" s="188"/>
      <c r="DK490" s="188"/>
      <c r="DL490" s="23"/>
      <c r="DM490" s="23"/>
      <c r="DN490" s="539"/>
      <c r="DO490" s="370"/>
      <c r="DP490" s="23"/>
      <c r="DQ490" s="411"/>
      <c r="DR490" s="411"/>
      <c r="DS490" s="553"/>
      <c r="DT490" s="553"/>
      <c r="DU490" s="457"/>
      <c r="DV490" s="457"/>
      <c r="DW490" s="457"/>
      <c r="DX490" s="457"/>
      <c r="DY490" s="457"/>
      <c r="DZ490" s="457"/>
      <c r="EA490" s="539"/>
      <c r="EH490" s="23"/>
    </row>
    <row r="491" spans="1:138" ht="12.75" customHeight="1" collapsed="1" x14ac:dyDescent="0.2">
      <c r="A491" s="23"/>
      <c r="B491" s="23"/>
      <c r="C491" s="23"/>
      <c r="D491" s="23"/>
      <c r="E491" s="23"/>
      <c r="F491" s="202"/>
      <c r="G491" s="23"/>
      <c r="H491" s="23"/>
      <c r="I491" s="23"/>
      <c r="J491" s="23"/>
      <c r="K491" s="202"/>
      <c r="L491" s="23"/>
      <c r="M491" s="23"/>
      <c r="N491" s="23"/>
      <c r="O491" s="23"/>
      <c r="P491" s="202"/>
      <c r="Q491" s="23"/>
      <c r="R491" s="23"/>
      <c r="S491" s="23"/>
      <c r="T491" s="23"/>
      <c r="U491" s="202"/>
      <c r="V491" s="23"/>
      <c r="W491" s="23"/>
      <c r="X491" s="23"/>
      <c r="Y491" s="23"/>
      <c r="Z491" s="202"/>
      <c r="AA491" s="23"/>
      <c r="AB491" s="23"/>
      <c r="AC491" s="23"/>
      <c r="AD491" s="23"/>
      <c r="AE491" s="202"/>
      <c r="AF491" s="23"/>
      <c r="AG491" s="23"/>
      <c r="AH491" s="23"/>
      <c r="AI491" s="23"/>
      <c r="AJ491" s="202"/>
      <c r="AK491" s="23"/>
      <c r="AL491" s="23"/>
      <c r="AM491" s="23"/>
      <c r="AN491" s="23"/>
      <c r="AO491" s="202"/>
      <c r="AP491" s="23"/>
      <c r="AQ491" s="23"/>
      <c r="AR491" s="23"/>
      <c r="AS491" s="23"/>
      <c r="AT491" s="23"/>
      <c r="AU491" s="23"/>
      <c r="AV491" s="23"/>
      <c r="AW491" s="23"/>
      <c r="AX491" s="23"/>
      <c r="AY491" s="23"/>
      <c r="AZ491" s="23"/>
      <c r="BA491" s="23"/>
      <c r="BB491" s="23"/>
      <c r="BC491" s="23"/>
      <c r="BD491" s="23"/>
      <c r="BE491" s="188"/>
      <c r="BF491" s="188"/>
      <c r="BG491" s="188"/>
      <c r="BH491" s="188"/>
      <c r="BI491" s="188"/>
      <c r="BJ491" s="188"/>
      <c r="BK491" s="188"/>
      <c r="BL491" s="188"/>
      <c r="BM491" s="188"/>
      <c r="BN491" s="188"/>
      <c r="BO491" s="188"/>
      <c r="BP491" s="8"/>
      <c r="BQ491" s="8"/>
      <c r="BR491" s="8"/>
      <c r="BS491" s="188"/>
      <c r="BT491" s="188"/>
      <c r="BU491" s="188"/>
      <c r="BV491" s="188"/>
      <c r="BW491" s="188"/>
      <c r="BX491" s="23"/>
      <c r="BY491" s="23"/>
      <c r="BZ491" s="23"/>
      <c r="CA491" s="23"/>
      <c r="CB491" s="23"/>
      <c r="CC491" s="23"/>
      <c r="CD491" s="23"/>
      <c r="CE491" s="23"/>
      <c r="CF491" s="23"/>
      <c r="CG491" s="23"/>
      <c r="CH491" s="23"/>
      <c r="CI491" s="188"/>
      <c r="CJ491" s="188"/>
      <c r="CK491" s="188"/>
      <c r="CL491" s="188"/>
      <c r="CM491" s="23"/>
      <c r="CN491" s="188"/>
      <c r="CO491" s="188"/>
      <c r="CP491" s="188"/>
      <c r="CQ491" s="188"/>
      <c r="CR491" s="23"/>
      <c r="CS491" s="188"/>
      <c r="CT491" s="188"/>
      <c r="CU491" s="188"/>
      <c r="CV491" s="188"/>
      <c r="CW491" s="23"/>
      <c r="CX491" s="188"/>
      <c r="CY491" s="188"/>
      <c r="CZ491" s="188"/>
      <c r="DA491" s="188"/>
      <c r="DB491" s="23"/>
      <c r="DC491" s="188"/>
      <c r="DD491" s="188"/>
      <c r="DE491" s="188"/>
      <c r="DF491" s="188"/>
      <c r="DG491" s="23"/>
      <c r="DH491" s="188"/>
      <c r="DI491" s="188"/>
      <c r="DJ491" s="188"/>
      <c r="DK491" s="188"/>
      <c r="DL491" s="23"/>
      <c r="DM491" s="23"/>
      <c r="DN491" s="539"/>
      <c r="DO491" s="370"/>
      <c r="DP491" s="23"/>
      <c r="DQ491" s="411"/>
      <c r="DR491" s="411"/>
      <c r="DS491" s="553"/>
      <c r="DT491" s="553"/>
      <c r="DU491" s="457"/>
      <c r="DV491" s="457"/>
      <c r="DW491" s="457"/>
      <c r="DX491" s="457"/>
      <c r="DY491" s="457"/>
      <c r="DZ491" s="457"/>
      <c r="EA491" s="539"/>
      <c r="EH491" s="23"/>
    </row>
    <row r="492" spans="1:138" ht="12.75" customHeight="1" x14ac:dyDescent="0.2">
      <c r="A492" s="23"/>
      <c r="B492" s="23"/>
      <c r="C492" s="23"/>
      <c r="D492" s="23"/>
      <c r="E492" s="23"/>
      <c r="F492" s="202"/>
      <c r="G492" s="23"/>
      <c r="H492" s="23"/>
      <c r="I492" s="23"/>
      <c r="J492" s="23"/>
      <c r="K492" s="202"/>
      <c r="L492" s="23"/>
      <c r="M492" s="23"/>
      <c r="N492" s="23"/>
      <c r="O492" s="23"/>
      <c r="P492" s="202"/>
      <c r="Q492" s="23"/>
      <c r="R492" s="23"/>
      <c r="S492" s="23"/>
      <c r="T492" s="23"/>
      <c r="U492" s="202"/>
      <c r="V492" s="23"/>
      <c r="W492" s="23"/>
      <c r="X492" s="23"/>
      <c r="Y492" s="23"/>
      <c r="Z492" s="202"/>
      <c r="AA492" s="23"/>
      <c r="AB492" s="23"/>
      <c r="AC492" s="23"/>
      <c r="AD492" s="23"/>
      <c r="AE492" s="202"/>
      <c r="AF492" s="23"/>
      <c r="AG492" s="23"/>
      <c r="AH492" s="23"/>
      <c r="AI492" s="23"/>
      <c r="AJ492" s="202"/>
      <c r="AK492" s="23"/>
      <c r="AL492" s="23"/>
      <c r="AM492" s="23"/>
      <c r="AN492" s="23"/>
      <c r="AO492" s="202"/>
      <c r="AP492" s="23"/>
      <c r="AQ492" s="23"/>
      <c r="AR492" s="23"/>
      <c r="AS492" s="23"/>
      <c r="AT492" s="23"/>
      <c r="AU492" s="23"/>
      <c r="AV492" s="23"/>
      <c r="AW492" s="23"/>
      <c r="AX492" s="23"/>
      <c r="AY492" s="23"/>
      <c r="AZ492" s="23"/>
      <c r="BA492" s="23"/>
      <c r="BB492" s="23"/>
      <c r="BC492" s="23"/>
      <c r="BD492" s="23"/>
      <c r="BE492" s="188"/>
      <c r="BF492" s="188"/>
      <c r="BG492" s="188"/>
      <c r="BH492" s="188"/>
      <c r="BI492" s="188"/>
      <c r="BJ492" s="188"/>
      <c r="BK492" s="188"/>
      <c r="BL492" s="188"/>
      <c r="BM492" s="188"/>
      <c r="BN492" s="188"/>
      <c r="BO492" s="188"/>
      <c r="BP492" s="8"/>
      <c r="BQ492" s="8"/>
      <c r="BR492" s="8"/>
      <c r="BS492" s="188"/>
      <c r="BT492" s="188"/>
      <c r="BU492" s="188"/>
      <c r="BV492" s="188"/>
      <c r="BW492" s="188"/>
      <c r="BX492" s="23"/>
      <c r="BY492" s="23"/>
      <c r="BZ492" s="23"/>
      <c r="CA492" s="23"/>
      <c r="CB492" s="23"/>
      <c r="CC492" s="23"/>
      <c r="CD492" s="23"/>
      <c r="CE492" s="23"/>
      <c r="CF492" s="23"/>
      <c r="CG492" s="23"/>
      <c r="CH492" s="23"/>
      <c r="CI492" s="188"/>
      <c r="CJ492" s="188"/>
      <c r="CK492" s="188"/>
      <c r="CL492" s="188"/>
      <c r="CM492" s="23"/>
      <c r="CN492" s="188"/>
      <c r="CO492" s="188"/>
      <c r="CP492" s="188"/>
      <c r="CQ492" s="188"/>
      <c r="CR492" s="23"/>
      <c r="CS492" s="188"/>
      <c r="CT492" s="188"/>
      <c r="CU492" s="188"/>
      <c r="CV492" s="188"/>
      <c r="CW492" s="23"/>
      <c r="CX492" s="188"/>
      <c r="CY492" s="188"/>
      <c r="CZ492" s="188"/>
      <c r="DA492" s="188"/>
      <c r="DB492" s="23"/>
      <c r="DC492" s="188"/>
      <c r="DD492" s="188"/>
      <c r="DE492" s="188"/>
      <c r="DF492" s="188"/>
      <c r="DG492" s="23"/>
      <c r="DH492" s="188"/>
      <c r="DI492" s="188"/>
      <c r="DJ492" s="188"/>
      <c r="DK492" s="188"/>
      <c r="DL492" s="23"/>
      <c r="DM492" s="23"/>
      <c r="DN492" s="539"/>
      <c r="DO492" s="370"/>
      <c r="DP492" s="23"/>
      <c r="DQ492" s="411"/>
      <c r="DR492" s="411"/>
      <c r="DS492" s="553"/>
      <c r="DT492" s="553"/>
      <c r="DU492" s="457"/>
      <c r="DV492" s="457"/>
      <c r="DW492" s="457"/>
      <c r="DX492" s="457"/>
      <c r="DY492" s="457"/>
      <c r="DZ492" s="457"/>
      <c r="EA492" s="539"/>
      <c r="EH492" s="23"/>
    </row>
    <row r="493" spans="1:138" ht="12.75" customHeight="1" collapsed="1" x14ac:dyDescent="0.2">
      <c r="A493" s="23"/>
      <c r="B493" s="23"/>
      <c r="C493" s="23"/>
      <c r="D493" s="23"/>
      <c r="E493" s="23"/>
      <c r="F493" s="202"/>
      <c r="G493" s="23"/>
      <c r="H493" s="23"/>
      <c r="I493" s="23"/>
      <c r="J493" s="23"/>
      <c r="K493" s="202"/>
      <c r="L493" s="23"/>
      <c r="M493" s="23"/>
      <c r="N493" s="23"/>
      <c r="O493" s="23"/>
      <c r="P493" s="202"/>
      <c r="Q493" s="23"/>
      <c r="R493" s="23"/>
      <c r="S493" s="23"/>
      <c r="T493" s="23"/>
      <c r="U493" s="202"/>
      <c r="V493" s="23"/>
      <c r="W493" s="23"/>
      <c r="X493" s="23"/>
      <c r="Y493" s="23"/>
      <c r="Z493" s="202"/>
      <c r="AA493" s="23"/>
      <c r="AB493" s="23"/>
      <c r="AC493" s="23"/>
      <c r="AD493" s="23"/>
      <c r="AE493" s="202"/>
      <c r="AF493" s="23"/>
      <c r="AG493" s="23"/>
      <c r="AH493" s="23"/>
      <c r="AI493" s="23"/>
      <c r="AJ493" s="202"/>
      <c r="AK493" s="23"/>
      <c r="AL493" s="23"/>
      <c r="AM493" s="23"/>
      <c r="AN493" s="23"/>
      <c r="AO493" s="202"/>
      <c r="AP493" s="23"/>
      <c r="AQ493" s="23"/>
      <c r="AR493" s="23"/>
      <c r="AS493" s="23"/>
      <c r="AT493" s="23"/>
      <c r="AU493" s="23"/>
      <c r="AV493" s="23"/>
      <c r="AW493" s="23"/>
      <c r="AX493" s="23"/>
      <c r="AY493" s="23"/>
      <c r="AZ493" s="23"/>
      <c r="BA493" s="23"/>
      <c r="BB493" s="23"/>
      <c r="BC493" s="23"/>
      <c r="BD493" s="23"/>
      <c r="BE493" s="188"/>
      <c r="BF493" s="188"/>
      <c r="BG493" s="188"/>
      <c r="BH493" s="188"/>
      <c r="BI493" s="188"/>
      <c r="BJ493" s="188"/>
      <c r="BK493" s="188"/>
      <c r="BL493" s="188"/>
      <c r="BM493" s="188"/>
      <c r="BN493" s="188"/>
      <c r="BO493" s="188"/>
      <c r="BP493" s="8"/>
      <c r="BQ493" s="8"/>
      <c r="BR493" s="8"/>
      <c r="BS493" s="188"/>
      <c r="BT493" s="188"/>
      <c r="BU493" s="188"/>
      <c r="BV493" s="188"/>
      <c r="BW493" s="188"/>
      <c r="BX493" s="23"/>
      <c r="BY493" s="23"/>
      <c r="BZ493" s="23"/>
      <c r="CA493" s="23"/>
      <c r="CB493" s="23"/>
      <c r="CC493" s="23"/>
      <c r="CD493" s="23"/>
      <c r="CE493" s="23"/>
      <c r="CF493" s="23"/>
      <c r="CG493" s="23"/>
      <c r="CH493" s="23"/>
      <c r="CI493" s="188"/>
      <c r="CJ493" s="188"/>
      <c r="CK493" s="188"/>
      <c r="CL493" s="188"/>
      <c r="CM493" s="23"/>
      <c r="CN493" s="188"/>
      <c r="CO493" s="188"/>
      <c r="CP493" s="188"/>
      <c r="CQ493" s="188"/>
      <c r="CR493" s="23"/>
      <c r="CS493" s="188"/>
      <c r="CT493" s="188"/>
      <c r="CU493" s="188"/>
      <c r="CV493" s="188"/>
      <c r="CW493" s="23"/>
      <c r="CX493" s="188"/>
      <c r="CY493" s="188"/>
      <c r="CZ493" s="188"/>
      <c r="DA493" s="188"/>
      <c r="DB493" s="23"/>
      <c r="DC493" s="188"/>
      <c r="DD493" s="188"/>
      <c r="DE493" s="188"/>
      <c r="DF493" s="188"/>
      <c r="DG493" s="23"/>
      <c r="DH493" s="188"/>
      <c r="DI493" s="188"/>
      <c r="DJ493" s="188"/>
      <c r="DK493" s="188"/>
      <c r="DL493" s="23"/>
      <c r="DM493" s="23"/>
      <c r="DN493" s="539"/>
      <c r="DO493" s="370"/>
      <c r="DP493" s="23"/>
      <c r="DQ493" s="411"/>
      <c r="DR493" s="411"/>
      <c r="DS493" s="553"/>
      <c r="DT493" s="553"/>
      <c r="DU493" s="457"/>
      <c r="DV493" s="457"/>
      <c r="DW493" s="457"/>
      <c r="DX493" s="457"/>
      <c r="DY493" s="457"/>
      <c r="DZ493" s="457"/>
      <c r="EA493" s="539"/>
      <c r="EH493" s="23"/>
    </row>
    <row r="494" spans="1:138" ht="12.75" customHeight="1" x14ac:dyDescent="0.2">
      <c r="A494" s="23"/>
      <c r="B494" s="23"/>
      <c r="C494" s="23"/>
      <c r="D494" s="23"/>
      <c r="E494" s="23"/>
      <c r="F494" s="202"/>
      <c r="G494" s="23"/>
      <c r="H494" s="23"/>
      <c r="I494" s="23"/>
      <c r="J494" s="23"/>
      <c r="K494" s="202"/>
      <c r="L494" s="23"/>
      <c r="M494" s="23"/>
      <c r="N494" s="23"/>
      <c r="O494" s="23"/>
      <c r="P494" s="202"/>
      <c r="Q494" s="23"/>
      <c r="R494" s="23"/>
      <c r="S494" s="23"/>
      <c r="T494" s="23"/>
      <c r="U494" s="202"/>
      <c r="V494" s="23"/>
      <c r="W494" s="23"/>
      <c r="X494" s="23"/>
      <c r="Y494" s="23"/>
      <c r="Z494" s="202"/>
      <c r="AA494" s="23"/>
      <c r="AB494" s="23"/>
      <c r="AC494" s="23"/>
      <c r="AD494" s="23"/>
      <c r="AE494" s="202"/>
      <c r="AF494" s="23"/>
      <c r="AG494" s="23"/>
      <c r="AH494" s="23"/>
      <c r="AI494" s="23"/>
      <c r="AJ494" s="202"/>
      <c r="AK494" s="23"/>
      <c r="AL494" s="23"/>
      <c r="AM494" s="23"/>
      <c r="AN494" s="23"/>
      <c r="AO494" s="202"/>
      <c r="AP494" s="23"/>
      <c r="AQ494" s="23"/>
      <c r="AR494" s="23"/>
      <c r="AS494" s="23"/>
      <c r="AT494" s="23"/>
      <c r="AU494" s="23"/>
      <c r="AV494" s="23"/>
      <c r="AW494" s="23"/>
      <c r="AX494" s="23"/>
      <c r="AY494" s="23"/>
      <c r="AZ494" s="23"/>
      <c r="BA494" s="23"/>
      <c r="BB494" s="23"/>
      <c r="BC494" s="23"/>
      <c r="BD494" s="23"/>
      <c r="BE494" s="188"/>
      <c r="BF494" s="188"/>
      <c r="BG494" s="188"/>
      <c r="BH494" s="188"/>
      <c r="BI494" s="188"/>
      <c r="BJ494" s="188"/>
      <c r="BK494" s="188"/>
      <c r="BL494" s="188"/>
      <c r="BM494" s="188"/>
      <c r="BN494" s="188"/>
      <c r="BO494" s="188"/>
      <c r="BP494" s="8"/>
      <c r="BQ494" s="8"/>
      <c r="BR494" s="8"/>
      <c r="BS494" s="188"/>
      <c r="BT494" s="188"/>
      <c r="BU494" s="188"/>
      <c r="BV494" s="188"/>
      <c r="BW494" s="188"/>
      <c r="BX494" s="23"/>
      <c r="BY494" s="23"/>
      <c r="BZ494" s="23"/>
      <c r="CA494" s="23"/>
      <c r="CB494" s="23"/>
      <c r="CC494" s="23"/>
      <c r="CD494" s="23"/>
      <c r="CE494" s="23"/>
      <c r="CF494" s="23"/>
      <c r="CG494" s="23"/>
      <c r="CH494" s="23"/>
      <c r="CI494" s="188"/>
      <c r="CJ494" s="188"/>
      <c r="CK494" s="188"/>
      <c r="CL494" s="188"/>
      <c r="CM494" s="23"/>
      <c r="CN494" s="188"/>
      <c r="CO494" s="188"/>
      <c r="CP494" s="188"/>
      <c r="CQ494" s="188"/>
      <c r="CR494" s="23"/>
      <c r="CS494" s="188"/>
      <c r="CT494" s="188"/>
      <c r="CU494" s="188"/>
      <c r="CV494" s="188"/>
      <c r="CW494" s="23"/>
      <c r="CX494" s="188"/>
      <c r="CY494" s="188"/>
      <c r="CZ494" s="188"/>
      <c r="DA494" s="188"/>
      <c r="DB494" s="23"/>
      <c r="DC494" s="188"/>
      <c r="DD494" s="188"/>
      <c r="DE494" s="188"/>
      <c r="DF494" s="188"/>
      <c r="DG494" s="23"/>
      <c r="DH494" s="188"/>
      <c r="DI494" s="188"/>
      <c r="DJ494" s="188"/>
      <c r="DK494" s="188"/>
      <c r="DL494" s="23"/>
      <c r="DM494" s="23"/>
      <c r="DN494" s="539"/>
      <c r="DO494" s="370"/>
      <c r="DP494" s="23"/>
      <c r="DQ494" s="411"/>
      <c r="DR494" s="411"/>
      <c r="DS494" s="553"/>
      <c r="DT494" s="553"/>
      <c r="DU494" s="457"/>
      <c r="DV494" s="457"/>
      <c r="DW494" s="457"/>
      <c r="DX494" s="457"/>
      <c r="DY494" s="457"/>
      <c r="DZ494" s="457"/>
      <c r="EA494" s="539"/>
      <c r="EH494" s="23"/>
    </row>
    <row r="495" spans="1:138" ht="12.75" customHeight="1" x14ac:dyDescent="0.2">
      <c r="A495" s="23"/>
      <c r="B495" s="23"/>
      <c r="C495" s="23"/>
      <c r="D495" s="23"/>
      <c r="E495" s="23"/>
      <c r="F495" s="202"/>
      <c r="G495" s="23"/>
      <c r="H495" s="23"/>
      <c r="I495" s="23"/>
      <c r="J495" s="23"/>
      <c r="K495" s="202"/>
      <c r="L495" s="23"/>
      <c r="M495" s="23"/>
      <c r="N495" s="23"/>
      <c r="O495" s="23"/>
      <c r="P495" s="202"/>
      <c r="Q495" s="23"/>
      <c r="R495" s="23"/>
      <c r="S495" s="23"/>
      <c r="T495" s="23"/>
      <c r="U495" s="202"/>
      <c r="V495" s="23"/>
      <c r="W495" s="23"/>
      <c r="X495" s="23"/>
      <c r="Y495" s="23"/>
      <c r="Z495" s="202"/>
      <c r="AA495" s="23"/>
      <c r="AB495" s="23"/>
      <c r="AC495" s="23"/>
      <c r="AD495" s="23"/>
      <c r="AE495" s="202"/>
      <c r="AF495" s="23"/>
      <c r="AG495" s="23"/>
      <c r="AH495" s="23"/>
      <c r="AI495" s="23"/>
      <c r="AJ495" s="202"/>
      <c r="AK495" s="23"/>
      <c r="AL495" s="23"/>
      <c r="AM495" s="23"/>
      <c r="AN495" s="23"/>
      <c r="AO495" s="202"/>
      <c r="AP495" s="23"/>
      <c r="AQ495" s="23"/>
      <c r="AR495" s="23"/>
      <c r="AS495" s="23"/>
      <c r="AT495" s="23"/>
      <c r="AU495" s="23"/>
      <c r="AV495" s="23"/>
      <c r="AW495" s="23"/>
      <c r="AX495" s="23"/>
      <c r="AY495" s="23"/>
      <c r="AZ495" s="23"/>
      <c r="BA495" s="23"/>
      <c r="BB495" s="23"/>
      <c r="BC495" s="23"/>
      <c r="BD495" s="23"/>
      <c r="BE495" s="188"/>
      <c r="BF495" s="188"/>
      <c r="BG495" s="188"/>
      <c r="BH495" s="188"/>
      <c r="BI495" s="188"/>
      <c r="BJ495" s="188"/>
      <c r="BK495" s="188"/>
      <c r="BL495" s="188"/>
      <c r="BM495" s="188"/>
      <c r="BN495" s="188"/>
      <c r="BO495" s="188"/>
      <c r="BP495" s="8"/>
      <c r="BQ495" s="8"/>
      <c r="BR495" s="8"/>
      <c r="BS495" s="188"/>
      <c r="BT495" s="188"/>
      <c r="BU495" s="188"/>
      <c r="BV495" s="188"/>
      <c r="BW495" s="188"/>
      <c r="BX495" s="23"/>
      <c r="BY495" s="23"/>
      <c r="BZ495" s="23"/>
      <c r="CA495" s="23"/>
      <c r="CB495" s="23"/>
      <c r="CC495" s="23"/>
      <c r="CD495" s="23"/>
      <c r="CE495" s="23"/>
      <c r="CF495" s="23"/>
      <c r="CG495" s="23"/>
      <c r="CH495" s="23"/>
      <c r="CI495" s="188"/>
      <c r="CJ495" s="188"/>
      <c r="CK495" s="188"/>
      <c r="CL495" s="188"/>
      <c r="CM495" s="23"/>
      <c r="CN495" s="188"/>
      <c r="CO495" s="188"/>
      <c r="CP495" s="188"/>
      <c r="CQ495" s="188"/>
      <c r="CR495" s="23"/>
      <c r="CS495" s="188"/>
      <c r="CT495" s="188"/>
      <c r="CU495" s="188"/>
      <c r="CV495" s="188"/>
      <c r="CW495" s="23"/>
      <c r="CX495" s="188"/>
      <c r="CY495" s="188"/>
      <c r="CZ495" s="188"/>
      <c r="DA495" s="188"/>
      <c r="DB495" s="23"/>
      <c r="DC495" s="188"/>
      <c r="DD495" s="188"/>
      <c r="DE495" s="188"/>
      <c r="DF495" s="188"/>
      <c r="DG495" s="23"/>
      <c r="DH495" s="188"/>
      <c r="DI495" s="188"/>
      <c r="DJ495" s="188"/>
      <c r="DK495" s="188"/>
      <c r="DL495" s="23"/>
      <c r="DM495" s="23"/>
      <c r="DN495" s="539"/>
      <c r="DO495" s="370"/>
      <c r="DP495" s="23"/>
      <c r="DQ495" s="411"/>
      <c r="DR495" s="411"/>
      <c r="DS495" s="553"/>
      <c r="DT495" s="553"/>
      <c r="DU495" s="457"/>
      <c r="DV495" s="457"/>
      <c r="DW495" s="457"/>
      <c r="DX495" s="457"/>
      <c r="DY495" s="457"/>
      <c r="DZ495" s="457"/>
      <c r="EA495" s="539"/>
      <c r="EH495" s="23"/>
    </row>
    <row r="496" spans="1:138" ht="12.75" customHeight="1" x14ac:dyDescent="0.2">
      <c r="A496" s="23"/>
      <c r="B496" s="23"/>
      <c r="C496" s="23"/>
      <c r="D496" s="23"/>
      <c r="E496" s="23"/>
      <c r="F496" s="202"/>
      <c r="G496" s="23"/>
      <c r="H496" s="23"/>
      <c r="I496" s="23"/>
      <c r="J496" s="23"/>
      <c r="K496" s="202"/>
      <c r="L496" s="23"/>
      <c r="M496" s="23"/>
      <c r="N496" s="23"/>
      <c r="O496" s="23"/>
      <c r="P496" s="202"/>
      <c r="Q496" s="23"/>
      <c r="R496" s="23"/>
      <c r="S496" s="23"/>
      <c r="T496" s="23"/>
      <c r="U496" s="202"/>
      <c r="V496" s="23"/>
      <c r="W496" s="23"/>
      <c r="X496" s="23"/>
      <c r="Y496" s="23"/>
      <c r="Z496" s="202"/>
      <c r="AA496" s="23"/>
      <c r="AB496" s="23"/>
      <c r="AC496" s="23"/>
      <c r="AD496" s="23"/>
      <c r="AE496" s="202"/>
      <c r="AF496" s="23"/>
      <c r="AG496" s="23"/>
      <c r="AH496" s="23"/>
      <c r="AI496" s="23"/>
      <c r="AJ496" s="202"/>
      <c r="AK496" s="23"/>
      <c r="AL496" s="23"/>
      <c r="AM496" s="23"/>
      <c r="AN496" s="23"/>
      <c r="AO496" s="202"/>
      <c r="AP496" s="23"/>
      <c r="AQ496" s="23"/>
      <c r="AR496" s="23"/>
      <c r="AS496" s="23"/>
      <c r="AT496" s="23"/>
      <c r="AU496" s="23"/>
      <c r="AV496" s="23"/>
      <c r="AW496" s="23"/>
      <c r="AX496" s="23"/>
      <c r="AY496" s="23"/>
      <c r="AZ496" s="23"/>
      <c r="BA496" s="23"/>
      <c r="BB496" s="23"/>
      <c r="BC496" s="23"/>
      <c r="BD496" s="23"/>
      <c r="BE496" s="188"/>
      <c r="BF496" s="188"/>
      <c r="BG496" s="188"/>
      <c r="BH496" s="188"/>
      <c r="BI496" s="188"/>
      <c r="BJ496" s="188"/>
      <c r="BK496" s="188"/>
      <c r="BL496" s="188"/>
      <c r="BM496" s="188"/>
      <c r="BN496" s="188"/>
      <c r="BO496" s="188"/>
      <c r="BP496" s="8"/>
      <c r="BQ496" s="8"/>
      <c r="BR496" s="8"/>
      <c r="BS496" s="188"/>
      <c r="BT496" s="188"/>
      <c r="BU496" s="188"/>
      <c r="BV496" s="188"/>
      <c r="BW496" s="188"/>
      <c r="BX496" s="23"/>
      <c r="BY496" s="23"/>
      <c r="BZ496" s="23"/>
      <c r="CA496" s="23"/>
      <c r="CB496" s="23"/>
      <c r="CC496" s="23"/>
      <c r="CD496" s="23"/>
      <c r="CE496" s="23"/>
      <c r="CF496" s="23"/>
      <c r="CG496" s="23"/>
      <c r="CH496" s="23"/>
      <c r="CI496" s="188"/>
      <c r="CJ496" s="188"/>
      <c r="CK496" s="188"/>
      <c r="CL496" s="188"/>
      <c r="CM496" s="23"/>
      <c r="CN496" s="188"/>
      <c r="CO496" s="188"/>
      <c r="CP496" s="188"/>
      <c r="CQ496" s="188"/>
      <c r="CR496" s="23"/>
      <c r="CS496" s="188"/>
      <c r="CT496" s="188"/>
      <c r="CU496" s="188"/>
      <c r="CV496" s="188"/>
      <c r="CW496" s="23"/>
      <c r="CX496" s="188"/>
      <c r="CY496" s="188"/>
      <c r="CZ496" s="188"/>
      <c r="DA496" s="188"/>
      <c r="DB496" s="23"/>
      <c r="DC496" s="188"/>
      <c r="DD496" s="188"/>
      <c r="DE496" s="188"/>
      <c r="DF496" s="188"/>
      <c r="DG496" s="23"/>
      <c r="DH496" s="188"/>
      <c r="DI496" s="188"/>
      <c r="DJ496" s="188"/>
      <c r="DK496" s="188"/>
      <c r="DL496" s="23"/>
      <c r="DM496" s="23"/>
      <c r="DN496" s="539"/>
      <c r="DO496" s="370"/>
      <c r="DP496" s="23"/>
      <c r="DQ496" s="411"/>
      <c r="DR496" s="411"/>
      <c r="DS496" s="553"/>
      <c r="DT496" s="553"/>
      <c r="DU496" s="457"/>
      <c r="DV496" s="457"/>
      <c r="DW496" s="457"/>
      <c r="DX496" s="457"/>
      <c r="DY496" s="457"/>
      <c r="DZ496" s="457"/>
      <c r="EA496" s="539"/>
      <c r="EH496" s="23"/>
    </row>
    <row r="497" spans="1:138" ht="12.75" customHeight="1" x14ac:dyDescent="0.2">
      <c r="A497" s="23"/>
      <c r="B497" s="23"/>
      <c r="C497" s="23"/>
      <c r="D497" s="23"/>
      <c r="E497" s="23"/>
      <c r="F497" s="202"/>
      <c r="G497" s="23"/>
      <c r="H497" s="23"/>
      <c r="I497" s="23"/>
      <c r="J497" s="23"/>
      <c r="K497" s="202"/>
      <c r="L497" s="23"/>
      <c r="M497" s="23"/>
      <c r="N497" s="23"/>
      <c r="O497" s="23"/>
      <c r="P497" s="202"/>
      <c r="Q497" s="23"/>
      <c r="R497" s="23"/>
      <c r="S497" s="23"/>
      <c r="T497" s="23"/>
      <c r="U497" s="202"/>
      <c r="V497" s="23"/>
      <c r="W497" s="23"/>
      <c r="X497" s="23"/>
      <c r="Y497" s="23"/>
      <c r="Z497" s="202"/>
      <c r="AA497" s="23"/>
      <c r="AB497" s="23"/>
      <c r="AC497" s="23"/>
      <c r="AD497" s="23"/>
      <c r="AE497" s="202"/>
      <c r="AF497" s="23"/>
      <c r="AG497" s="23"/>
      <c r="AH497" s="23"/>
      <c r="AI497" s="23"/>
      <c r="AJ497" s="202"/>
      <c r="AK497" s="23"/>
      <c r="AL497" s="23"/>
      <c r="AM497" s="23"/>
      <c r="AN497" s="23"/>
      <c r="AO497" s="202"/>
      <c r="AP497" s="23"/>
      <c r="AQ497" s="23"/>
      <c r="AR497" s="23"/>
      <c r="AS497" s="23"/>
      <c r="AT497" s="23"/>
      <c r="AU497" s="23"/>
      <c r="AV497" s="23"/>
      <c r="AW497" s="23"/>
      <c r="AX497" s="23"/>
      <c r="AY497" s="23"/>
      <c r="AZ497" s="23"/>
      <c r="BA497" s="23"/>
      <c r="BB497" s="23"/>
      <c r="BC497" s="23"/>
      <c r="BD497" s="23"/>
      <c r="BE497" s="188"/>
      <c r="BF497" s="188"/>
      <c r="BG497" s="188"/>
      <c r="BH497" s="188"/>
      <c r="BI497" s="188"/>
      <c r="BJ497" s="188"/>
      <c r="BK497" s="188"/>
      <c r="BL497" s="188"/>
      <c r="BM497" s="188"/>
      <c r="BN497" s="188"/>
      <c r="BO497" s="188"/>
      <c r="BP497" s="8"/>
      <c r="BQ497" s="8"/>
      <c r="BR497" s="8"/>
      <c r="BS497" s="188"/>
      <c r="BT497" s="188"/>
      <c r="BU497" s="188"/>
      <c r="BV497" s="188"/>
      <c r="BW497" s="188"/>
      <c r="BX497" s="23"/>
      <c r="BY497" s="23"/>
      <c r="BZ497" s="23"/>
      <c r="CA497" s="23"/>
      <c r="CB497" s="23"/>
      <c r="CC497" s="23"/>
      <c r="CD497" s="23"/>
      <c r="CE497" s="23"/>
      <c r="CF497" s="23"/>
      <c r="CG497" s="23"/>
      <c r="CH497" s="23"/>
      <c r="CI497" s="188"/>
      <c r="CJ497" s="188"/>
      <c r="CK497" s="188"/>
      <c r="CL497" s="188"/>
      <c r="CM497" s="23"/>
      <c r="CN497" s="188"/>
      <c r="CO497" s="188"/>
      <c r="CP497" s="188"/>
      <c r="CQ497" s="188"/>
      <c r="CR497" s="23"/>
      <c r="CS497" s="188"/>
      <c r="CT497" s="188"/>
      <c r="CU497" s="188"/>
      <c r="CV497" s="188"/>
      <c r="CW497" s="23"/>
      <c r="CX497" s="188"/>
      <c r="CY497" s="188"/>
      <c r="CZ497" s="188"/>
      <c r="DA497" s="188"/>
      <c r="DB497" s="23"/>
      <c r="DC497" s="188"/>
      <c r="DD497" s="188"/>
      <c r="DE497" s="188"/>
      <c r="DF497" s="188"/>
      <c r="DG497" s="23"/>
      <c r="DH497" s="188"/>
      <c r="DI497" s="188"/>
      <c r="DJ497" s="188"/>
      <c r="DK497" s="188"/>
      <c r="DL497" s="23"/>
      <c r="DM497" s="23"/>
      <c r="DN497" s="539"/>
      <c r="DO497" s="370"/>
      <c r="DP497" s="23"/>
      <c r="DQ497" s="411"/>
      <c r="DR497" s="411"/>
      <c r="DS497" s="553"/>
      <c r="DT497" s="553"/>
      <c r="DU497" s="457"/>
      <c r="DV497" s="457"/>
      <c r="DW497" s="457"/>
      <c r="DX497" s="457"/>
      <c r="DY497" s="457"/>
      <c r="DZ497" s="457"/>
      <c r="EA497" s="539"/>
      <c r="EH497" s="23"/>
    </row>
    <row r="498" spans="1:138" ht="12.75" customHeight="1" x14ac:dyDescent="0.2">
      <c r="A498" s="23"/>
      <c r="B498" s="23"/>
      <c r="C498" s="23"/>
      <c r="D498" s="23"/>
      <c r="E498" s="23"/>
      <c r="F498" s="202"/>
      <c r="G498" s="23"/>
      <c r="H498" s="23"/>
      <c r="I498" s="23"/>
      <c r="J498" s="23"/>
      <c r="K498" s="202"/>
      <c r="L498" s="23"/>
      <c r="M498" s="23"/>
      <c r="N498" s="23"/>
      <c r="O498" s="23"/>
      <c r="P498" s="202"/>
      <c r="Q498" s="23"/>
      <c r="R498" s="23"/>
      <c r="S498" s="23"/>
      <c r="T498" s="23"/>
      <c r="U498" s="202"/>
      <c r="V498" s="23"/>
      <c r="W498" s="23"/>
      <c r="X498" s="23"/>
      <c r="Y498" s="23"/>
      <c r="Z498" s="202"/>
      <c r="AA498" s="23"/>
      <c r="AB498" s="23"/>
      <c r="AC498" s="23"/>
      <c r="AD498" s="23"/>
      <c r="AE498" s="202"/>
      <c r="AF498" s="23"/>
      <c r="AG498" s="23"/>
      <c r="AH498" s="23"/>
      <c r="AI498" s="23"/>
      <c r="AJ498" s="202"/>
      <c r="AK498" s="23"/>
      <c r="AL498" s="23"/>
      <c r="AM498" s="23"/>
      <c r="AN498" s="23"/>
      <c r="AO498" s="202"/>
      <c r="AP498" s="23"/>
      <c r="AQ498" s="23"/>
      <c r="AR498" s="23"/>
      <c r="AS498" s="23"/>
      <c r="AT498" s="23"/>
      <c r="AU498" s="23"/>
      <c r="AV498" s="23"/>
      <c r="AW498" s="23"/>
      <c r="AX498" s="23"/>
      <c r="AY498" s="23"/>
      <c r="AZ498" s="23"/>
      <c r="BA498" s="23"/>
      <c r="BB498" s="23"/>
      <c r="BC498" s="23"/>
      <c r="BD498" s="23"/>
      <c r="BE498" s="188"/>
      <c r="BF498" s="188"/>
      <c r="BG498" s="188"/>
      <c r="BH498" s="188"/>
      <c r="BI498" s="188"/>
      <c r="BJ498" s="188"/>
      <c r="BK498" s="188"/>
      <c r="BL498" s="188"/>
      <c r="BM498" s="188"/>
      <c r="BN498" s="188"/>
      <c r="BO498" s="188"/>
      <c r="BP498" s="8"/>
      <c r="BQ498" s="8"/>
      <c r="BR498" s="8"/>
      <c r="BS498" s="188"/>
      <c r="BT498" s="188"/>
      <c r="BU498" s="188"/>
      <c r="BV498" s="188"/>
      <c r="BW498" s="188"/>
      <c r="BX498" s="23"/>
      <c r="BY498" s="23"/>
      <c r="BZ498" s="23"/>
      <c r="CA498" s="23"/>
      <c r="CB498" s="23"/>
      <c r="CC498" s="23"/>
      <c r="CD498" s="23"/>
      <c r="CE498" s="23"/>
      <c r="CF498" s="23"/>
      <c r="CG498" s="23"/>
      <c r="CH498" s="23"/>
      <c r="CI498" s="188"/>
      <c r="CJ498" s="188"/>
      <c r="CK498" s="188"/>
      <c r="CL498" s="188"/>
      <c r="CM498" s="23"/>
      <c r="CN498" s="188"/>
      <c r="CO498" s="188"/>
      <c r="CP498" s="188"/>
      <c r="CQ498" s="188"/>
      <c r="CR498" s="23"/>
      <c r="CS498" s="188"/>
      <c r="CT498" s="188"/>
      <c r="CU498" s="188"/>
      <c r="CV498" s="188"/>
      <c r="CW498" s="23"/>
      <c r="CX498" s="188"/>
      <c r="CY498" s="188"/>
      <c r="CZ498" s="188"/>
      <c r="DA498" s="188"/>
      <c r="DB498" s="23"/>
      <c r="DC498" s="188"/>
      <c r="DD498" s="188"/>
      <c r="DE498" s="188"/>
      <c r="DF498" s="188"/>
      <c r="DG498" s="23"/>
      <c r="DH498" s="188"/>
      <c r="DI498" s="188"/>
      <c r="DJ498" s="188"/>
      <c r="DK498" s="188"/>
      <c r="DL498" s="23"/>
      <c r="DM498" s="23"/>
      <c r="DN498" s="539"/>
      <c r="DO498" s="370"/>
      <c r="DP498" s="23"/>
      <c r="DQ498" s="411"/>
      <c r="DR498" s="411"/>
      <c r="DS498" s="553"/>
      <c r="DT498" s="553"/>
      <c r="DU498" s="457"/>
      <c r="DV498" s="457"/>
      <c r="DW498" s="457"/>
      <c r="DX498" s="457"/>
      <c r="DY498" s="457"/>
      <c r="DZ498" s="457"/>
      <c r="EA498" s="539"/>
      <c r="EH498" s="23"/>
    </row>
    <row r="499" spans="1:138" ht="12.75" customHeight="1" x14ac:dyDescent="0.2">
      <c r="A499" s="23"/>
      <c r="B499" s="23"/>
      <c r="C499" s="23"/>
      <c r="D499" s="23"/>
      <c r="E499" s="23"/>
      <c r="F499" s="202"/>
      <c r="G499" s="23"/>
      <c r="H499" s="23"/>
      <c r="I499" s="23"/>
      <c r="J499" s="23"/>
      <c r="K499" s="202"/>
      <c r="L499" s="23"/>
      <c r="M499" s="23"/>
      <c r="N499" s="23"/>
      <c r="O499" s="23"/>
      <c r="P499" s="202"/>
      <c r="Q499" s="23"/>
      <c r="R499" s="23"/>
      <c r="S499" s="23"/>
      <c r="T499" s="23"/>
      <c r="U499" s="202"/>
      <c r="V499" s="23"/>
      <c r="W499" s="23"/>
      <c r="X499" s="23"/>
      <c r="Y499" s="23"/>
      <c r="Z499" s="202"/>
      <c r="AA499" s="23"/>
      <c r="AB499" s="23"/>
      <c r="AC499" s="23"/>
      <c r="AD499" s="23"/>
      <c r="AE499" s="202"/>
      <c r="AF499" s="23"/>
      <c r="AG499" s="23"/>
      <c r="AH499" s="23"/>
      <c r="AI499" s="23"/>
      <c r="AJ499" s="202"/>
      <c r="AK499" s="23"/>
      <c r="AL499" s="23"/>
      <c r="AM499" s="23"/>
      <c r="AN499" s="23"/>
      <c r="AO499" s="202"/>
      <c r="AP499" s="23"/>
      <c r="AQ499" s="23"/>
      <c r="AR499" s="23"/>
      <c r="AS499" s="23"/>
      <c r="AT499" s="23"/>
      <c r="AU499" s="23"/>
      <c r="AV499" s="23"/>
      <c r="AW499" s="23"/>
      <c r="AX499" s="23"/>
      <c r="AY499" s="23"/>
      <c r="AZ499" s="23"/>
      <c r="BA499" s="23"/>
      <c r="BB499" s="23"/>
      <c r="BC499" s="23"/>
      <c r="BD499" s="23"/>
      <c r="BE499" s="188"/>
      <c r="BF499" s="188"/>
      <c r="BG499" s="188"/>
      <c r="BH499" s="188"/>
      <c r="BI499" s="188"/>
      <c r="BJ499" s="188"/>
      <c r="BK499" s="188"/>
      <c r="BL499" s="188"/>
      <c r="BM499" s="188"/>
      <c r="BN499" s="188"/>
      <c r="BO499" s="188"/>
      <c r="BP499" s="8"/>
      <c r="BQ499" s="8"/>
      <c r="BR499" s="8"/>
      <c r="BS499" s="188"/>
      <c r="BT499" s="188"/>
      <c r="BU499" s="188"/>
      <c r="BV499" s="188"/>
      <c r="BW499" s="188"/>
      <c r="BX499" s="23"/>
      <c r="BY499" s="23"/>
      <c r="BZ499" s="23"/>
      <c r="CA499" s="23"/>
      <c r="CB499" s="23"/>
      <c r="CC499" s="23"/>
      <c r="CD499" s="23"/>
      <c r="CE499" s="23"/>
      <c r="CF499" s="23"/>
      <c r="CG499" s="23"/>
      <c r="CH499" s="23"/>
      <c r="CI499" s="188"/>
      <c r="CJ499" s="188"/>
      <c r="CK499" s="188"/>
      <c r="CL499" s="188"/>
      <c r="CM499" s="23"/>
      <c r="CN499" s="188"/>
      <c r="CO499" s="188"/>
      <c r="CP499" s="188"/>
      <c r="CQ499" s="188"/>
      <c r="CR499" s="23"/>
      <c r="CS499" s="188"/>
      <c r="CT499" s="188"/>
      <c r="CU499" s="188"/>
      <c r="CV499" s="188"/>
      <c r="CW499" s="23"/>
      <c r="CX499" s="188"/>
      <c r="CY499" s="188"/>
      <c r="CZ499" s="188"/>
      <c r="DA499" s="188"/>
      <c r="DB499" s="23"/>
      <c r="DC499" s="188"/>
      <c r="DD499" s="188"/>
      <c r="DE499" s="188"/>
      <c r="DF499" s="188"/>
      <c r="DG499" s="23"/>
      <c r="DH499" s="188"/>
      <c r="DI499" s="188"/>
      <c r="DJ499" s="188"/>
      <c r="DK499" s="188"/>
      <c r="DL499" s="23"/>
      <c r="DM499" s="23"/>
      <c r="DN499" s="539"/>
      <c r="DO499" s="370"/>
      <c r="DP499" s="23"/>
      <c r="DQ499" s="411"/>
      <c r="DR499" s="411"/>
      <c r="DS499" s="553"/>
      <c r="DT499" s="553"/>
      <c r="DU499" s="457"/>
      <c r="DV499" s="457"/>
      <c r="DW499" s="457"/>
      <c r="DX499" s="457"/>
      <c r="DY499" s="457"/>
      <c r="DZ499" s="457"/>
      <c r="EA499" s="539"/>
      <c r="EH499" s="23"/>
    </row>
    <row r="500" spans="1:138" ht="12.75" customHeight="1" x14ac:dyDescent="0.2">
      <c r="A500" s="23"/>
      <c r="B500" s="23"/>
      <c r="C500" s="23"/>
      <c r="D500" s="23"/>
      <c r="E500" s="23"/>
      <c r="F500" s="202"/>
      <c r="G500" s="23"/>
      <c r="H500" s="23"/>
      <c r="I500" s="23"/>
      <c r="J500" s="23"/>
      <c r="K500" s="202"/>
      <c r="L500" s="23"/>
      <c r="M500" s="23"/>
      <c r="N500" s="23"/>
      <c r="O500" s="23"/>
      <c r="P500" s="202"/>
      <c r="Q500" s="23"/>
      <c r="R500" s="23"/>
      <c r="S500" s="23"/>
      <c r="T500" s="23"/>
      <c r="U500" s="202"/>
      <c r="V500" s="23"/>
      <c r="W500" s="23"/>
      <c r="X500" s="23"/>
      <c r="Y500" s="23"/>
      <c r="Z500" s="202"/>
      <c r="AA500" s="23"/>
      <c r="AB500" s="23"/>
      <c r="AC500" s="23"/>
      <c r="AD500" s="23"/>
      <c r="AE500" s="202"/>
      <c r="AF500" s="23"/>
      <c r="AG500" s="23"/>
      <c r="AH500" s="23"/>
      <c r="AI500" s="23"/>
      <c r="AJ500" s="202"/>
      <c r="AK500" s="23"/>
      <c r="AL500" s="23"/>
      <c r="AM500" s="23"/>
      <c r="AN500" s="23"/>
      <c r="AO500" s="202"/>
      <c r="AP500" s="23"/>
      <c r="AQ500" s="23"/>
      <c r="AR500" s="23"/>
      <c r="AS500" s="23"/>
      <c r="AT500" s="23"/>
      <c r="AU500" s="23"/>
      <c r="AV500" s="23"/>
      <c r="AW500" s="23"/>
      <c r="AX500" s="23"/>
      <c r="AY500" s="23"/>
      <c r="AZ500" s="23"/>
      <c r="BA500" s="23"/>
      <c r="BB500" s="23"/>
      <c r="BC500" s="23"/>
      <c r="BD500" s="23"/>
      <c r="BE500" s="188"/>
      <c r="BF500" s="188"/>
      <c r="BG500" s="188"/>
      <c r="BH500" s="188"/>
      <c r="BI500" s="188"/>
      <c r="BJ500" s="188"/>
      <c r="BK500" s="188"/>
      <c r="BL500" s="188"/>
      <c r="BM500" s="188"/>
      <c r="BN500" s="188"/>
      <c r="BO500" s="188"/>
      <c r="BP500" s="8"/>
      <c r="BQ500" s="8"/>
      <c r="BR500" s="8"/>
      <c r="BS500" s="188"/>
      <c r="BT500" s="188"/>
      <c r="BU500" s="188"/>
      <c r="BV500" s="188"/>
      <c r="BW500" s="188"/>
      <c r="BX500" s="23"/>
      <c r="BY500" s="23"/>
      <c r="BZ500" s="23"/>
      <c r="CA500" s="23"/>
      <c r="CB500" s="23"/>
      <c r="CC500" s="23"/>
      <c r="CD500" s="23"/>
      <c r="CE500" s="23"/>
      <c r="CF500" s="23"/>
      <c r="CG500" s="23"/>
      <c r="CH500" s="23"/>
      <c r="CI500" s="188"/>
      <c r="CJ500" s="188"/>
      <c r="CK500" s="188"/>
      <c r="CL500" s="188"/>
      <c r="CM500" s="23"/>
      <c r="CN500" s="188"/>
      <c r="CO500" s="188"/>
      <c r="CP500" s="188"/>
      <c r="CQ500" s="188"/>
      <c r="CR500" s="23"/>
      <c r="CS500" s="188"/>
      <c r="CT500" s="188"/>
      <c r="CU500" s="188"/>
      <c r="CV500" s="188"/>
      <c r="CW500" s="23"/>
      <c r="CX500" s="188"/>
      <c r="CY500" s="188"/>
      <c r="CZ500" s="188"/>
      <c r="DA500" s="188"/>
      <c r="DB500" s="23"/>
      <c r="DC500" s="188"/>
      <c r="DD500" s="188"/>
      <c r="DE500" s="188"/>
      <c r="DF500" s="188"/>
      <c r="DG500" s="23"/>
      <c r="DH500" s="188"/>
      <c r="DI500" s="188"/>
      <c r="DJ500" s="188"/>
      <c r="DK500" s="188"/>
      <c r="DL500" s="23"/>
      <c r="DM500" s="23"/>
      <c r="DN500" s="539"/>
      <c r="DO500" s="370"/>
      <c r="DP500" s="23"/>
      <c r="DQ500" s="411"/>
      <c r="DR500" s="411"/>
      <c r="DS500" s="553"/>
      <c r="DT500" s="553"/>
      <c r="DU500" s="457"/>
      <c r="DV500" s="457"/>
      <c r="DW500" s="457"/>
      <c r="DX500" s="457"/>
      <c r="DY500" s="457"/>
      <c r="DZ500" s="457"/>
      <c r="EA500" s="539"/>
      <c r="EH500" s="23"/>
    </row>
    <row r="501" spans="1:138" ht="12.75" customHeight="1" x14ac:dyDescent="0.2">
      <c r="A501" s="23"/>
      <c r="B501" s="23"/>
      <c r="C501" s="23"/>
      <c r="D501" s="23"/>
      <c r="E501" s="23"/>
      <c r="F501" s="202"/>
      <c r="G501" s="23"/>
      <c r="H501" s="23"/>
      <c r="I501" s="23"/>
      <c r="J501" s="23"/>
      <c r="K501" s="202"/>
      <c r="L501" s="23"/>
      <c r="M501" s="23"/>
      <c r="N501" s="23"/>
      <c r="O501" s="23"/>
      <c r="P501" s="202"/>
      <c r="Q501" s="23"/>
      <c r="R501" s="23"/>
      <c r="S501" s="23"/>
      <c r="T501" s="23"/>
      <c r="U501" s="202"/>
      <c r="V501" s="23"/>
      <c r="W501" s="23"/>
      <c r="X501" s="23"/>
      <c r="Y501" s="23"/>
      <c r="Z501" s="202"/>
      <c r="AA501" s="23"/>
      <c r="AB501" s="23"/>
      <c r="AC501" s="23"/>
      <c r="AD501" s="23"/>
      <c r="AE501" s="202"/>
      <c r="AF501" s="23"/>
      <c r="AG501" s="23"/>
      <c r="AH501" s="23"/>
      <c r="AI501" s="23"/>
      <c r="AJ501" s="202"/>
      <c r="AK501" s="23"/>
      <c r="AL501" s="23"/>
      <c r="AM501" s="23"/>
      <c r="AN501" s="23"/>
      <c r="AO501" s="202"/>
      <c r="AP501" s="23"/>
      <c r="AQ501" s="23"/>
      <c r="AR501" s="23"/>
      <c r="AS501" s="23"/>
      <c r="AT501" s="23"/>
      <c r="AU501" s="23"/>
      <c r="AV501" s="23"/>
      <c r="AW501" s="23"/>
      <c r="AX501" s="23"/>
      <c r="AY501" s="23"/>
      <c r="AZ501" s="23"/>
      <c r="BA501" s="23"/>
      <c r="BB501" s="23"/>
      <c r="BC501" s="23"/>
      <c r="BD501" s="23"/>
      <c r="BE501" s="188"/>
      <c r="BF501" s="188"/>
      <c r="BG501" s="188"/>
      <c r="BH501" s="188"/>
      <c r="BI501" s="188"/>
      <c r="BJ501" s="188"/>
      <c r="BK501" s="188"/>
      <c r="BL501" s="188"/>
      <c r="BM501" s="188"/>
      <c r="BN501" s="188"/>
      <c r="BO501" s="188"/>
      <c r="BP501" s="8"/>
      <c r="BQ501" s="8"/>
      <c r="BR501" s="8"/>
      <c r="BS501" s="188"/>
      <c r="BT501" s="188"/>
      <c r="BU501" s="188"/>
      <c r="BV501" s="188"/>
      <c r="BW501" s="188"/>
      <c r="BX501" s="23"/>
      <c r="BY501" s="23"/>
      <c r="BZ501" s="23"/>
      <c r="CA501" s="23"/>
      <c r="CB501" s="23"/>
      <c r="CC501" s="23"/>
      <c r="CD501" s="23"/>
      <c r="CE501" s="23"/>
      <c r="CF501" s="23"/>
      <c r="CG501" s="23"/>
      <c r="CH501" s="23"/>
      <c r="CI501" s="188"/>
      <c r="CJ501" s="188"/>
      <c r="CK501" s="188"/>
      <c r="CL501" s="188"/>
      <c r="CM501" s="23"/>
      <c r="CN501" s="188"/>
      <c r="CO501" s="188"/>
      <c r="CP501" s="188"/>
      <c r="CQ501" s="188"/>
      <c r="CR501" s="23"/>
      <c r="CS501" s="188"/>
      <c r="CT501" s="188"/>
      <c r="CU501" s="188"/>
      <c r="CV501" s="188"/>
      <c r="CW501" s="23"/>
      <c r="CX501" s="188"/>
      <c r="CY501" s="188"/>
      <c r="CZ501" s="188"/>
      <c r="DA501" s="188"/>
      <c r="DB501" s="23"/>
      <c r="DC501" s="188"/>
      <c r="DD501" s="188"/>
      <c r="DE501" s="188"/>
      <c r="DF501" s="188"/>
      <c r="DG501" s="23"/>
      <c r="DH501" s="188"/>
      <c r="DI501" s="188"/>
      <c r="DJ501" s="188"/>
      <c r="DK501" s="188"/>
      <c r="DL501" s="23"/>
      <c r="DM501" s="23"/>
      <c r="DN501" s="539"/>
      <c r="DO501" s="370"/>
      <c r="DP501" s="23"/>
      <c r="DQ501" s="411"/>
      <c r="DR501" s="411"/>
      <c r="DS501" s="553"/>
      <c r="DT501" s="553"/>
      <c r="DU501" s="457"/>
      <c r="DV501" s="457"/>
      <c r="DW501" s="457"/>
      <c r="DX501" s="457"/>
      <c r="DY501" s="457"/>
      <c r="DZ501" s="457"/>
      <c r="EA501" s="539"/>
      <c r="EH501" s="23"/>
    </row>
    <row r="502" spans="1:138" ht="12.75" customHeight="1" x14ac:dyDescent="0.2">
      <c r="A502" s="23"/>
      <c r="B502" s="23"/>
      <c r="C502" s="23"/>
      <c r="D502" s="23"/>
      <c r="E502" s="23"/>
      <c r="F502" s="202"/>
      <c r="G502" s="23"/>
      <c r="H502" s="23"/>
      <c r="I502" s="23"/>
      <c r="J502" s="23"/>
      <c r="K502" s="202"/>
      <c r="L502" s="23"/>
      <c r="M502" s="23"/>
      <c r="N502" s="23"/>
      <c r="O502" s="23"/>
      <c r="P502" s="202"/>
      <c r="Q502" s="23"/>
      <c r="R502" s="23"/>
      <c r="S502" s="23"/>
      <c r="T502" s="23"/>
      <c r="U502" s="202"/>
      <c r="V502" s="23"/>
      <c r="W502" s="23"/>
      <c r="X502" s="23"/>
      <c r="Y502" s="23"/>
      <c r="Z502" s="202"/>
      <c r="AA502" s="23"/>
      <c r="AB502" s="23"/>
      <c r="AC502" s="23"/>
      <c r="AD502" s="23"/>
      <c r="AE502" s="202"/>
      <c r="AF502" s="23"/>
      <c r="AG502" s="23"/>
      <c r="AH502" s="23"/>
      <c r="AI502" s="23"/>
      <c r="AJ502" s="202"/>
      <c r="AK502" s="23"/>
      <c r="AL502" s="23"/>
      <c r="AM502" s="23"/>
      <c r="AN502" s="23"/>
      <c r="AO502" s="202"/>
      <c r="AP502" s="23"/>
      <c r="AQ502" s="23"/>
      <c r="AR502" s="23"/>
      <c r="AS502" s="23"/>
      <c r="AT502" s="23"/>
      <c r="AU502" s="23"/>
      <c r="AV502" s="23"/>
      <c r="AW502" s="23"/>
      <c r="AX502" s="23"/>
      <c r="AY502" s="23"/>
      <c r="AZ502" s="23"/>
      <c r="BA502" s="23"/>
      <c r="BB502" s="23"/>
      <c r="BC502" s="23"/>
      <c r="BD502" s="23"/>
      <c r="BE502" s="188"/>
      <c r="BF502" s="188"/>
      <c r="BG502" s="188"/>
      <c r="BH502" s="188"/>
      <c r="BI502" s="188"/>
      <c r="BJ502" s="188"/>
      <c r="BK502" s="188"/>
      <c r="BL502" s="188"/>
      <c r="BM502" s="188"/>
      <c r="BN502" s="188"/>
      <c r="BO502" s="188"/>
      <c r="BP502" s="8"/>
      <c r="BQ502" s="8"/>
      <c r="BR502" s="8"/>
      <c r="BS502" s="188"/>
      <c r="BT502" s="188"/>
      <c r="BU502" s="188"/>
      <c r="BV502" s="188"/>
      <c r="BW502" s="188"/>
      <c r="BX502" s="23"/>
      <c r="BY502" s="23"/>
      <c r="BZ502" s="23"/>
      <c r="CA502" s="23"/>
      <c r="CB502" s="23"/>
      <c r="CC502" s="23"/>
      <c r="CD502" s="23"/>
      <c r="CE502" s="23"/>
      <c r="CF502" s="23"/>
      <c r="CG502" s="23"/>
      <c r="CH502" s="23"/>
      <c r="CI502" s="188"/>
      <c r="CJ502" s="188"/>
      <c r="CK502" s="188"/>
      <c r="CL502" s="188"/>
      <c r="CM502" s="23"/>
      <c r="CN502" s="188"/>
      <c r="CO502" s="188"/>
      <c r="CP502" s="188"/>
      <c r="CQ502" s="188"/>
      <c r="CR502" s="23"/>
      <c r="CS502" s="188"/>
      <c r="CT502" s="188"/>
      <c r="CU502" s="188"/>
      <c r="CV502" s="188"/>
      <c r="CW502" s="23"/>
      <c r="CX502" s="188"/>
      <c r="CY502" s="188"/>
      <c r="CZ502" s="188"/>
      <c r="DA502" s="188"/>
      <c r="DB502" s="23"/>
      <c r="DC502" s="188"/>
      <c r="DD502" s="188"/>
      <c r="DE502" s="188"/>
      <c r="DF502" s="188"/>
      <c r="DG502" s="23"/>
      <c r="DH502" s="188"/>
      <c r="DI502" s="188"/>
      <c r="DJ502" s="188"/>
      <c r="DK502" s="188"/>
      <c r="DL502" s="23"/>
      <c r="DM502" s="23"/>
      <c r="DN502" s="539"/>
      <c r="DO502" s="370"/>
      <c r="DP502" s="23"/>
      <c r="DQ502" s="411"/>
      <c r="DR502" s="411"/>
      <c r="DS502" s="553"/>
      <c r="DT502" s="553"/>
      <c r="DU502" s="457"/>
      <c r="DV502" s="457"/>
      <c r="DW502" s="457"/>
      <c r="DX502" s="457"/>
      <c r="DY502" s="457"/>
      <c r="DZ502" s="457"/>
      <c r="EA502" s="539"/>
      <c r="EH502" s="23"/>
    </row>
    <row r="503" spans="1:138" ht="12.75" customHeight="1" x14ac:dyDescent="0.2">
      <c r="A503" s="23"/>
      <c r="B503" s="23"/>
      <c r="C503" s="23"/>
      <c r="D503" s="23"/>
      <c r="E503" s="23"/>
      <c r="F503" s="202"/>
      <c r="G503" s="23"/>
      <c r="H503" s="23"/>
      <c r="I503" s="23"/>
      <c r="J503" s="23"/>
      <c r="K503" s="202"/>
      <c r="L503" s="23"/>
      <c r="M503" s="23"/>
      <c r="N503" s="23"/>
      <c r="O503" s="23"/>
      <c r="P503" s="202"/>
      <c r="Q503" s="23"/>
      <c r="R503" s="23"/>
      <c r="S503" s="23"/>
      <c r="T503" s="23"/>
      <c r="U503" s="202"/>
      <c r="V503" s="23"/>
      <c r="W503" s="23"/>
      <c r="X503" s="23"/>
      <c r="Y503" s="23"/>
      <c r="Z503" s="202"/>
      <c r="AA503" s="23"/>
      <c r="AB503" s="23"/>
      <c r="AC503" s="23"/>
      <c r="AD503" s="23"/>
      <c r="AE503" s="202"/>
      <c r="AF503" s="23"/>
      <c r="AG503" s="23"/>
      <c r="AH503" s="23"/>
      <c r="AI503" s="23"/>
      <c r="AJ503" s="202"/>
      <c r="AK503" s="23"/>
      <c r="AL503" s="23"/>
      <c r="AM503" s="23"/>
      <c r="AN503" s="23"/>
      <c r="AO503" s="202"/>
      <c r="AP503" s="23"/>
      <c r="AQ503" s="23"/>
      <c r="AR503" s="23"/>
      <c r="AS503" s="23"/>
      <c r="AT503" s="23"/>
      <c r="AU503" s="23"/>
      <c r="AV503" s="23"/>
      <c r="AW503" s="23"/>
      <c r="AX503" s="23"/>
      <c r="AY503" s="23"/>
      <c r="AZ503" s="23"/>
      <c r="BA503" s="23"/>
      <c r="BB503" s="23"/>
      <c r="BC503" s="23"/>
      <c r="BD503" s="23"/>
      <c r="BE503" s="188"/>
      <c r="BF503" s="188"/>
      <c r="BG503" s="188"/>
      <c r="BH503" s="188"/>
      <c r="BI503" s="188"/>
      <c r="BJ503" s="188"/>
      <c r="BK503" s="188"/>
      <c r="BL503" s="188"/>
      <c r="BM503" s="188"/>
      <c r="BN503" s="188"/>
      <c r="BO503" s="188"/>
      <c r="BP503" s="8"/>
      <c r="BQ503" s="8"/>
      <c r="BR503" s="8"/>
      <c r="BS503" s="188"/>
      <c r="BT503" s="188"/>
      <c r="BU503" s="188"/>
      <c r="BV503" s="188"/>
      <c r="BW503" s="188"/>
      <c r="BX503" s="23"/>
      <c r="BY503" s="23"/>
      <c r="BZ503" s="23"/>
      <c r="CA503" s="23"/>
      <c r="CB503" s="23"/>
      <c r="CC503" s="23"/>
      <c r="CD503" s="23"/>
      <c r="CE503" s="23"/>
      <c r="CF503" s="23"/>
      <c r="CG503" s="23"/>
      <c r="CH503" s="23"/>
      <c r="CI503" s="188"/>
      <c r="CJ503" s="188"/>
      <c r="CK503" s="188"/>
      <c r="CL503" s="188"/>
      <c r="CM503" s="23"/>
      <c r="CN503" s="188"/>
      <c r="CO503" s="188"/>
      <c r="CP503" s="188"/>
      <c r="CQ503" s="188"/>
      <c r="CR503" s="23"/>
      <c r="CS503" s="188"/>
      <c r="CT503" s="188"/>
      <c r="CU503" s="188"/>
      <c r="CV503" s="188"/>
      <c r="CW503" s="23"/>
      <c r="CX503" s="188"/>
      <c r="CY503" s="188"/>
      <c r="CZ503" s="188"/>
      <c r="DA503" s="188"/>
      <c r="DB503" s="23"/>
      <c r="DC503" s="188"/>
      <c r="DD503" s="188"/>
      <c r="DE503" s="188"/>
      <c r="DF503" s="188"/>
      <c r="DG503" s="23"/>
      <c r="DH503" s="188"/>
      <c r="DI503" s="188"/>
      <c r="DJ503" s="188"/>
      <c r="DK503" s="188"/>
      <c r="DL503" s="23"/>
      <c r="DM503" s="23"/>
      <c r="DN503" s="539"/>
      <c r="DO503" s="370"/>
      <c r="DP503" s="23"/>
      <c r="DQ503" s="411"/>
      <c r="DR503" s="411"/>
      <c r="DS503" s="553"/>
      <c r="DT503" s="553"/>
      <c r="DU503" s="457"/>
      <c r="DV503" s="457"/>
      <c r="DW503" s="457"/>
      <c r="DX503" s="457"/>
      <c r="DY503" s="457"/>
      <c r="DZ503" s="457"/>
      <c r="EA503" s="539"/>
      <c r="EH503" s="23"/>
    </row>
    <row r="504" spans="1:138" ht="12.75" customHeight="1" collapsed="1" x14ac:dyDescent="0.2">
      <c r="A504" s="23"/>
      <c r="B504" s="23"/>
      <c r="C504" s="23"/>
      <c r="D504" s="23"/>
      <c r="E504" s="23"/>
      <c r="F504" s="202"/>
      <c r="G504" s="23"/>
      <c r="H504" s="23"/>
      <c r="I504" s="23"/>
      <c r="J504" s="23"/>
      <c r="K504" s="202"/>
      <c r="L504" s="23"/>
      <c r="M504" s="23"/>
      <c r="N504" s="23"/>
      <c r="O504" s="23"/>
      <c r="P504" s="202"/>
      <c r="Q504" s="23"/>
      <c r="R504" s="23"/>
      <c r="S504" s="23"/>
      <c r="T504" s="23"/>
      <c r="U504" s="202"/>
      <c r="V504" s="23"/>
      <c r="W504" s="23"/>
      <c r="X504" s="23"/>
      <c r="Y504" s="23"/>
      <c r="Z504" s="202"/>
      <c r="AA504" s="23"/>
      <c r="AB504" s="23"/>
      <c r="AC504" s="23"/>
      <c r="AD504" s="23"/>
      <c r="AE504" s="202"/>
      <c r="AF504" s="23"/>
      <c r="AG504" s="23"/>
      <c r="AH504" s="23"/>
      <c r="AI504" s="23"/>
      <c r="AJ504" s="202"/>
      <c r="AK504" s="23"/>
      <c r="AL504" s="23"/>
      <c r="AM504" s="23"/>
      <c r="AN504" s="23"/>
      <c r="AO504" s="202"/>
      <c r="AP504" s="23"/>
      <c r="AQ504" s="23"/>
      <c r="AR504" s="23"/>
      <c r="AS504" s="23"/>
      <c r="AT504" s="23"/>
      <c r="AU504" s="23"/>
      <c r="AV504" s="23"/>
      <c r="AW504" s="23"/>
      <c r="AX504" s="23"/>
      <c r="AY504" s="23"/>
      <c r="AZ504" s="23"/>
      <c r="BA504" s="23"/>
      <c r="BB504" s="23"/>
      <c r="BC504" s="23"/>
      <c r="BD504" s="23"/>
      <c r="BE504" s="188"/>
      <c r="BF504" s="188"/>
      <c r="BG504" s="188"/>
      <c r="BH504" s="188"/>
      <c r="BI504" s="188"/>
      <c r="BJ504" s="188"/>
      <c r="BK504" s="188"/>
      <c r="BL504" s="188"/>
      <c r="BM504" s="188"/>
      <c r="BN504" s="188"/>
      <c r="BO504" s="188"/>
      <c r="BP504" s="8"/>
      <c r="BQ504" s="8"/>
      <c r="BR504" s="8"/>
      <c r="BS504" s="188"/>
      <c r="BT504" s="188"/>
      <c r="BU504" s="188"/>
      <c r="BV504" s="188"/>
      <c r="BW504" s="188"/>
      <c r="BX504" s="23"/>
      <c r="BY504" s="23"/>
      <c r="BZ504" s="23"/>
      <c r="CA504" s="23"/>
      <c r="CB504" s="23"/>
      <c r="CC504" s="23"/>
      <c r="CD504" s="23"/>
      <c r="CE504" s="23"/>
      <c r="CF504" s="23"/>
      <c r="CG504" s="23"/>
      <c r="CH504" s="23"/>
      <c r="CI504" s="188"/>
      <c r="CJ504" s="188"/>
      <c r="CK504" s="188"/>
      <c r="CL504" s="188"/>
      <c r="CM504" s="23"/>
      <c r="CN504" s="188"/>
      <c r="CO504" s="188"/>
      <c r="CP504" s="188"/>
      <c r="CQ504" s="188"/>
      <c r="CR504" s="23"/>
      <c r="CS504" s="188"/>
      <c r="CT504" s="188"/>
      <c r="CU504" s="188"/>
      <c r="CV504" s="188"/>
      <c r="CW504" s="23"/>
      <c r="CX504" s="188"/>
      <c r="CY504" s="188"/>
      <c r="CZ504" s="188"/>
      <c r="DA504" s="188"/>
      <c r="DB504" s="23"/>
      <c r="DC504" s="188"/>
      <c r="DD504" s="188"/>
      <c r="DE504" s="188"/>
      <c r="DF504" s="188"/>
      <c r="DG504" s="23"/>
      <c r="DH504" s="188"/>
      <c r="DI504" s="188"/>
      <c r="DJ504" s="188"/>
      <c r="DK504" s="188"/>
      <c r="DL504" s="23"/>
      <c r="DM504" s="23"/>
      <c r="DN504" s="539"/>
      <c r="DO504" s="370"/>
      <c r="DP504" s="23"/>
      <c r="DQ504" s="411"/>
      <c r="DR504" s="411"/>
      <c r="DS504" s="553"/>
      <c r="DT504" s="553"/>
      <c r="DU504" s="457"/>
      <c r="DV504" s="457"/>
      <c r="DW504" s="457"/>
      <c r="DX504" s="457"/>
      <c r="DY504" s="457"/>
      <c r="DZ504" s="457"/>
      <c r="EA504" s="539"/>
      <c r="EH504" s="23"/>
    </row>
    <row r="505" spans="1:138" ht="12.75" customHeight="1" x14ac:dyDescent="0.2">
      <c r="A505" s="23"/>
      <c r="B505" s="23"/>
      <c r="C505" s="23"/>
      <c r="D505" s="23"/>
      <c r="E505" s="23"/>
      <c r="F505" s="202"/>
      <c r="G505" s="23"/>
      <c r="H505" s="23"/>
      <c r="I505" s="23"/>
      <c r="J505" s="23"/>
      <c r="K505" s="202"/>
      <c r="L505" s="23"/>
      <c r="M505" s="23"/>
      <c r="N505" s="23"/>
      <c r="O505" s="23"/>
      <c r="P505" s="202"/>
      <c r="Q505" s="23"/>
      <c r="R505" s="23"/>
      <c r="S505" s="23"/>
      <c r="T505" s="23"/>
      <c r="U505" s="202"/>
      <c r="V505" s="23"/>
      <c r="W505" s="23"/>
      <c r="X505" s="23"/>
      <c r="Y505" s="23"/>
      <c r="Z505" s="202"/>
      <c r="AA505" s="23"/>
      <c r="AB505" s="23"/>
      <c r="AC505" s="23"/>
      <c r="AD505" s="23"/>
      <c r="AE505" s="202"/>
      <c r="AF505" s="23"/>
      <c r="AG505" s="23"/>
      <c r="AH505" s="23"/>
      <c r="AI505" s="23"/>
      <c r="AJ505" s="202"/>
      <c r="AK505" s="23"/>
      <c r="AL505" s="23"/>
      <c r="AM505" s="23"/>
      <c r="AN505" s="23"/>
      <c r="AO505" s="202"/>
      <c r="AP505" s="23"/>
      <c r="AQ505" s="23"/>
      <c r="AR505" s="23"/>
      <c r="AS505" s="23"/>
      <c r="AT505" s="23"/>
      <c r="AU505" s="23"/>
      <c r="AV505" s="23"/>
      <c r="AW505" s="23"/>
      <c r="AX505" s="23"/>
      <c r="AY505" s="23"/>
      <c r="AZ505" s="23"/>
      <c r="BA505" s="23"/>
      <c r="BB505" s="23"/>
      <c r="BC505" s="23"/>
      <c r="BD505" s="23"/>
      <c r="BE505" s="188"/>
      <c r="BF505" s="188"/>
      <c r="BG505" s="188"/>
      <c r="BH505" s="188"/>
      <c r="BI505" s="188"/>
      <c r="BJ505" s="188"/>
      <c r="BK505" s="188"/>
      <c r="BL505" s="188"/>
      <c r="BM505" s="188"/>
      <c r="BN505" s="188"/>
      <c r="BO505" s="188"/>
      <c r="BP505" s="8"/>
      <c r="BQ505" s="8"/>
      <c r="BR505" s="8"/>
      <c r="BS505" s="188"/>
      <c r="BT505" s="188"/>
      <c r="BU505" s="188"/>
      <c r="BV505" s="188"/>
      <c r="BW505" s="188"/>
      <c r="BX505" s="23"/>
      <c r="BY505" s="23"/>
      <c r="BZ505" s="23"/>
      <c r="CA505" s="23"/>
      <c r="CB505" s="23"/>
      <c r="CC505" s="23"/>
      <c r="CD505" s="23"/>
      <c r="CE505" s="23"/>
      <c r="CF505" s="23"/>
      <c r="CG505" s="23"/>
      <c r="CH505" s="23"/>
      <c r="CI505" s="188"/>
      <c r="CJ505" s="188"/>
      <c r="CK505" s="188"/>
      <c r="CL505" s="188"/>
      <c r="CM505" s="23"/>
      <c r="CN505" s="188"/>
      <c r="CO505" s="188"/>
      <c r="CP505" s="188"/>
      <c r="CQ505" s="188"/>
      <c r="CR505" s="23"/>
      <c r="CS505" s="188"/>
      <c r="CT505" s="188"/>
      <c r="CU505" s="188"/>
      <c r="CV505" s="188"/>
      <c r="CW505" s="23"/>
      <c r="CX505" s="188"/>
      <c r="CY505" s="188"/>
      <c r="CZ505" s="188"/>
      <c r="DA505" s="188"/>
      <c r="DB505" s="23"/>
      <c r="DC505" s="188"/>
      <c r="DD505" s="188"/>
      <c r="DE505" s="188"/>
      <c r="DF505" s="188"/>
      <c r="DG505" s="23"/>
      <c r="DH505" s="188"/>
      <c r="DI505" s="188"/>
      <c r="DJ505" s="188"/>
      <c r="DK505" s="188"/>
      <c r="DL505" s="23"/>
      <c r="DM505" s="23"/>
      <c r="DN505" s="539"/>
      <c r="DO505" s="370"/>
      <c r="DP505" s="23"/>
      <c r="DQ505" s="411"/>
      <c r="DR505" s="411"/>
      <c r="DS505" s="553"/>
      <c r="DT505" s="553"/>
      <c r="DU505" s="457"/>
      <c r="DV505" s="457"/>
      <c r="DW505" s="457"/>
      <c r="DX505" s="457"/>
      <c r="DY505" s="457"/>
      <c r="DZ505" s="457"/>
      <c r="EA505" s="539"/>
      <c r="EH505" s="23"/>
    </row>
    <row r="506" spans="1:138" ht="12.75" customHeight="1" collapsed="1" x14ac:dyDescent="0.2">
      <c r="A506" s="23"/>
      <c r="B506" s="23"/>
      <c r="C506" s="23"/>
      <c r="D506" s="23"/>
      <c r="E506" s="23"/>
      <c r="F506" s="202"/>
      <c r="G506" s="23"/>
      <c r="H506" s="23"/>
      <c r="I506" s="23"/>
      <c r="J506" s="23"/>
      <c r="K506" s="202"/>
      <c r="L506" s="23"/>
      <c r="M506" s="23"/>
      <c r="N506" s="23"/>
      <c r="O506" s="23"/>
      <c r="P506" s="202"/>
      <c r="Q506" s="23"/>
      <c r="R506" s="23"/>
      <c r="S506" s="23"/>
      <c r="T506" s="23"/>
      <c r="U506" s="202"/>
      <c r="V506" s="23"/>
      <c r="W506" s="23"/>
      <c r="X506" s="23"/>
      <c r="Y506" s="23"/>
      <c r="Z506" s="202"/>
      <c r="AA506" s="23"/>
      <c r="AB506" s="23"/>
      <c r="AC506" s="23"/>
      <c r="AD506" s="23"/>
      <c r="AE506" s="202"/>
      <c r="AF506" s="23"/>
      <c r="AG506" s="23"/>
      <c r="AH506" s="23"/>
      <c r="AI506" s="23"/>
      <c r="AJ506" s="202"/>
      <c r="AK506" s="23"/>
      <c r="AL506" s="23"/>
      <c r="AM506" s="23"/>
      <c r="AN506" s="23"/>
      <c r="AO506" s="202"/>
      <c r="AP506" s="23"/>
      <c r="AQ506" s="23"/>
      <c r="AR506" s="23"/>
      <c r="AS506" s="23"/>
      <c r="AT506" s="23"/>
      <c r="AU506" s="23"/>
      <c r="AV506" s="23"/>
      <c r="AW506" s="23"/>
      <c r="AX506" s="23"/>
      <c r="AY506" s="23"/>
      <c r="AZ506" s="23"/>
      <c r="BA506" s="23"/>
      <c r="BB506" s="23"/>
      <c r="BC506" s="23"/>
      <c r="BD506" s="23"/>
      <c r="BE506" s="188"/>
      <c r="BF506" s="188"/>
      <c r="BG506" s="188"/>
      <c r="BH506" s="188"/>
      <c r="BI506" s="188"/>
      <c r="BJ506" s="188"/>
      <c r="BK506" s="188"/>
      <c r="BL506" s="188"/>
      <c r="BM506" s="188"/>
      <c r="BN506" s="188"/>
      <c r="BO506" s="188"/>
      <c r="BP506" s="8"/>
      <c r="BQ506" s="8"/>
      <c r="BR506" s="8"/>
      <c r="BS506" s="188"/>
      <c r="BT506" s="188"/>
      <c r="BU506" s="188"/>
      <c r="BV506" s="188"/>
      <c r="BW506" s="188"/>
      <c r="BX506" s="23"/>
      <c r="BY506" s="23"/>
      <c r="BZ506" s="23"/>
      <c r="CA506" s="23"/>
      <c r="CB506" s="23"/>
      <c r="CC506" s="23"/>
      <c r="CD506" s="23"/>
      <c r="CE506" s="23"/>
      <c r="CF506" s="23"/>
      <c r="CG506" s="23"/>
      <c r="CH506" s="23"/>
      <c r="CI506" s="188"/>
      <c r="CJ506" s="188"/>
      <c r="CK506" s="188"/>
      <c r="CL506" s="188"/>
      <c r="CM506" s="23"/>
      <c r="CN506" s="188"/>
      <c r="CO506" s="188"/>
      <c r="CP506" s="188"/>
      <c r="CQ506" s="188"/>
      <c r="CR506" s="23"/>
      <c r="CS506" s="188"/>
      <c r="CT506" s="188"/>
      <c r="CU506" s="188"/>
      <c r="CV506" s="188"/>
      <c r="CW506" s="23"/>
      <c r="CX506" s="188"/>
      <c r="CY506" s="188"/>
      <c r="CZ506" s="188"/>
      <c r="DA506" s="188"/>
      <c r="DB506" s="23"/>
      <c r="DC506" s="188"/>
      <c r="DD506" s="188"/>
      <c r="DE506" s="188"/>
      <c r="DF506" s="188"/>
      <c r="DG506" s="23"/>
      <c r="DH506" s="188"/>
      <c r="DI506" s="188"/>
      <c r="DJ506" s="188"/>
      <c r="DK506" s="188"/>
      <c r="DL506" s="23"/>
      <c r="DM506" s="23"/>
      <c r="DN506" s="539"/>
      <c r="DO506" s="370"/>
      <c r="DP506" s="23"/>
      <c r="DQ506" s="411"/>
      <c r="DR506" s="411"/>
      <c r="DS506" s="553"/>
      <c r="DT506" s="553"/>
      <c r="DU506" s="457"/>
      <c r="DV506" s="457"/>
      <c r="DW506" s="457"/>
      <c r="DX506" s="457"/>
      <c r="DY506" s="457"/>
      <c r="DZ506" s="457"/>
      <c r="EA506" s="539"/>
      <c r="EH506" s="23"/>
    </row>
    <row r="507" spans="1:138" ht="12.75" customHeight="1" x14ac:dyDescent="0.2">
      <c r="A507" s="23"/>
      <c r="B507" s="23"/>
      <c r="C507" s="23"/>
      <c r="D507" s="23"/>
      <c r="E507" s="23"/>
      <c r="F507" s="202"/>
      <c r="G507" s="23"/>
      <c r="H507" s="23"/>
      <c r="I507" s="23"/>
      <c r="J507" s="23"/>
      <c r="K507" s="202"/>
      <c r="L507" s="23"/>
      <c r="M507" s="23"/>
      <c r="N507" s="23"/>
      <c r="O507" s="23"/>
      <c r="P507" s="202"/>
      <c r="Q507" s="23"/>
      <c r="R507" s="23"/>
      <c r="S507" s="23"/>
      <c r="T507" s="23"/>
      <c r="U507" s="202"/>
      <c r="V507" s="23"/>
      <c r="W507" s="23"/>
      <c r="X507" s="23"/>
      <c r="Y507" s="23"/>
      <c r="Z507" s="202"/>
      <c r="AA507" s="23"/>
      <c r="AB507" s="23"/>
      <c r="AC507" s="23"/>
      <c r="AD507" s="23"/>
      <c r="AE507" s="202"/>
      <c r="AF507" s="23"/>
      <c r="AG507" s="23"/>
      <c r="AH507" s="23"/>
      <c r="AI507" s="23"/>
      <c r="AJ507" s="202"/>
      <c r="AK507" s="23"/>
      <c r="AL507" s="23"/>
      <c r="AM507" s="23"/>
      <c r="AN507" s="23"/>
      <c r="AO507" s="202"/>
      <c r="AP507" s="23"/>
      <c r="AQ507" s="23"/>
      <c r="AR507" s="23"/>
      <c r="AS507" s="23"/>
      <c r="AT507" s="23"/>
      <c r="AU507" s="23"/>
      <c r="AV507" s="23"/>
      <c r="AW507" s="23"/>
      <c r="AX507" s="23"/>
      <c r="AY507" s="23"/>
      <c r="AZ507" s="23"/>
      <c r="BA507" s="23"/>
      <c r="BB507" s="23"/>
      <c r="BC507" s="23"/>
      <c r="BD507" s="23"/>
      <c r="BE507" s="188"/>
      <c r="BF507" s="188"/>
      <c r="BG507" s="188"/>
      <c r="BH507" s="188"/>
      <c r="BI507" s="188"/>
      <c r="BJ507" s="188"/>
      <c r="BK507" s="188"/>
      <c r="BL507" s="188"/>
      <c r="BM507" s="188"/>
      <c r="BN507" s="188"/>
      <c r="BO507" s="188"/>
      <c r="BP507" s="8"/>
      <c r="BQ507" s="8"/>
      <c r="BR507" s="8"/>
      <c r="BS507" s="188"/>
      <c r="BT507" s="188"/>
      <c r="BU507" s="188"/>
      <c r="BV507" s="188"/>
      <c r="BW507" s="188"/>
      <c r="BX507" s="23"/>
      <c r="BY507" s="23"/>
      <c r="BZ507" s="23"/>
      <c r="CA507" s="23"/>
      <c r="CB507" s="23"/>
      <c r="CC507" s="23"/>
      <c r="CD507" s="23"/>
      <c r="CE507" s="23"/>
      <c r="CF507" s="23"/>
      <c r="CG507" s="23"/>
      <c r="CH507" s="23"/>
      <c r="CI507" s="188"/>
      <c r="CJ507" s="188"/>
      <c r="CK507" s="188"/>
      <c r="CL507" s="188"/>
      <c r="CM507" s="23"/>
      <c r="CN507" s="188"/>
      <c r="CO507" s="188"/>
      <c r="CP507" s="188"/>
      <c r="CQ507" s="188"/>
      <c r="CR507" s="23"/>
      <c r="CS507" s="188"/>
      <c r="CT507" s="188"/>
      <c r="CU507" s="188"/>
      <c r="CV507" s="188"/>
      <c r="CW507" s="23"/>
      <c r="CX507" s="188"/>
      <c r="CY507" s="188"/>
      <c r="CZ507" s="188"/>
      <c r="DA507" s="188"/>
      <c r="DB507" s="23"/>
      <c r="DC507" s="188"/>
      <c r="DD507" s="188"/>
      <c r="DE507" s="188"/>
      <c r="DF507" s="188"/>
      <c r="DG507" s="23"/>
      <c r="DH507" s="188"/>
      <c r="DI507" s="188"/>
      <c r="DJ507" s="188"/>
      <c r="DK507" s="188"/>
      <c r="DL507" s="23"/>
      <c r="DM507" s="23"/>
      <c r="DN507" s="539"/>
      <c r="DO507" s="370"/>
      <c r="DP507" s="23"/>
      <c r="DQ507" s="411"/>
      <c r="DR507" s="411"/>
      <c r="DS507" s="553"/>
      <c r="DT507" s="553"/>
      <c r="DU507" s="457"/>
      <c r="DV507" s="457"/>
      <c r="DW507" s="457"/>
      <c r="DX507" s="457"/>
      <c r="DY507" s="457"/>
      <c r="DZ507" s="457"/>
      <c r="EA507" s="539"/>
      <c r="EH507" s="23"/>
    </row>
    <row r="508" spans="1:138" ht="12.75" customHeight="1" x14ac:dyDescent="0.2">
      <c r="A508" s="23"/>
      <c r="B508" s="23"/>
      <c r="C508" s="23"/>
      <c r="D508" s="23"/>
      <c r="E508" s="23"/>
      <c r="F508" s="202"/>
      <c r="G508" s="23"/>
      <c r="H508" s="23"/>
      <c r="I508" s="23"/>
      <c r="J508" s="23"/>
      <c r="K508" s="202"/>
      <c r="L508" s="23"/>
      <c r="M508" s="23"/>
      <c r="N508" s="23"/>
      <c r="O508" s="23"/>
      <c r="P508" s="202"/>
      <c r="Q508" s="23"/>
      <c r="R508" s="23"/>
      <c r="S508" s="23"/>
      <c r="T508" s="23"/>
      <c r="U508" s="202"/>
      <c r="V508" s="23"/>
      <c r="W508" s="23"/>
      <c r="X508" s="23"/>
      <c r="Y508" s="23"/>
      <c r="Z508" s="202"/>
      <c r="AA508" s="23"/>
      <c r="AB508" s="23"/>
      <c r="AC508" s="23"/>
      <c r="AD508" s="23"/>
      <c r="AE508" s="202"/>
      <c r="AF508" s="23"/>
      <c r="AG508" s="23"/>
      <c r="AH508" s="23"/>
      <c r="AI508" s="23"/>
      <c r="AJ508" s="202"/>
      <c r="AK508" s="23"/>
      <c r="AL508" s="23"/>
      <c r="AM508" s="23"/>
      <c r="AN508" s="23"/>
      <c r="AO508" s="202"/>
      <c r="AP508" s="23"/>
      <c r="AQ508" s="23"/>
      <c r="AR508" s="23"/>
      <c r="AS508" s="23"/>
      <c r="AT508" s="23"/>
      <c r="AU508" s="23"/>
      <c r="AV508" s="23"/>
      <c r="AW508" s="23"/>
      <c r="AX508" s="23"/>
      <c r="AY508" s="23"/>
      <c r="AZ508" s="23"/>
      <c r="BA508" s="23"/>
      <c r="BB508" s="23"/>
      <c r="BC508" s="23"/>
      <c r="BD508" s="23"/>
      <c r="BE508" s="188"/>
      <c r="BF508" s="188"/>
      <c r="BG508" s="188"/>
      <c r="BH508" s="188"/>
      <c r="BI508" s="188"/>
      <c r="BJ508" s="188"/>
      <c r="BK508" s="188"/>
      <c r="BL508" s="188"/>
      <c r="BM508" s="188"/>
      <c r="BN508" s="188"/>
      <c r="BO508" s="188"/>
      <c r="BP508" s="8"/>
      <c r="BQ508" s="8"/>
      <c r="BR508" s="8"/>
      <c r="BS508" s="188"/>
      <c r="BT508" s="188"/>
      <c r="BU508" s="188"/>
      <c r="BV508" s="188"/>
      <c r="BW508" s="188"/>
      <c r="BX508" s="23"/>
      <c r="BY508" s="23"/>
      <c r="BZ508" s="23"/>
      <c r="CA508" s="23"/>
      <c r="CB508" s="23"/>
      <c r="CC508" s="23"/>
      <c r="CD508" s="23"/>
      <c r="CE508" s="23"/>
      <c r="CF508" s="23"/>
      <c r="CG508" s="23"/>
      <c r="CH508" s="23"/>
      <c r="CI508" s="188"/>
      <c r="CJ508" s="188"/>
      <c r="CK508" s="188"/>
      <c r="CL508" s="188"/>
      <c r="CM508" s="23"/>
      <c r="CN508" s="188"/>
      <c r="CO508" s="188"/>
      <c r="CP508" s="188"/>
      <c r="CQ508" s="188"/>
      <c r="CR508" s="23"/>
      <c r="CS508" s="188"/>
      <c r="CT508" s="188"/>
      <c r="CU508" s="188"/>
      <c r="CV508" s="188"/>
      <c r="CW508" s="23"/>
      <c r="CX508" s="188"/>
      <c r="CY508" s="188"/>
      <c r="CZ508" s="188"/>
      <c r="DA508" s="188"/>
      <c r="DB508" s="23"/>
      <c r="DC508" s="188"/>
      <c r="DD508" s="188"/>
      <c r="DE508" s="188"/>
      <c r="DF508" s="188"/>
      <c r="DG508" s="23"/>
      <c r="DH508" s="188"/>
      <c r="DI508" s="188"/>
      <c r="DJ508" s="188"/>
      <c r="DK508" s="188"/>
      <c r="DL508" s="23"/>
      <c r="DM508" s="23"/>
      <c r="DN508" s="539"/>
      <c r="DO508" s="370"/>
      <c r="DP508" s="23"/>
      <c r="DQ508" s="411"/>
      <c r="DR508" s="411"/>
      <c r="DS508" s="553"/>
      <c r="DT508" s="553"/>
      <c r="DU508" s="457"/>
      <c r="DV508" s="457"/>
      <c r="DW508" s="457"/>
      <c r="DX508" s="457"/>
      <c r="DY508" s="457"/>
      <c r="DZ508" s="457"/>
      <c r="EA508" s="539"/>
      <c r="EH508" s="23"/>
    </row>
    <row r="509" spans="1:138" ht="12.75" customHeight="1" x14ac:dyDescent="0.2">
      <c r="A509" s="23"/>
      <c r="B509" s="23"/>
      <c r="C509" s="23"/>
      <c r="D509" s="23"/>
      <c r="E509" s="23"/>
      <c r="F509" s="202"/>
      <c r="G509" s="23"/>
      <c r="H509" s="23"/>
      <c r="I509" s="23"/>
      <c r="J509" s="23"/>
      <c r="K509" s="202"/>
      <c r="L509" s="23"/>
      <c r="M509" s="23"/>
      <c r="N509" s="23"/>
      <c r="O509" s="23"/>
      <c r="P509" s="202"/>
      <c r="Q509" s="23"/>
      <c r="R509" s="23"/>
      <c r="S509" s="23"/>
      <c r="T509" s="23"/>
      <c r="U509" s="202"/>
      <c r="V509" s="23"/>
      <c r="W509" s="23"/>
      <c r="X509" s="23"/>
      <c r="Y509" s="23"/>
      <c r="Z509" s="202"/>
      <c r="AA509" s="23"/>
      <c r="AB509" s="23"/>
      <c r="AC509" s="23"/>
      <c r="AD509" s="23"/>
      <c r="AE509" s="202"/>
      <c r="AF509" s="23"/>
      <c r="AG509" s="23"/>
      <c r="AH509" s="23"/>
      <c r="AI509" s="23"/>
      <c r="AJ509" s="202"/>
      <c r="AK509" s="23"/>
      <c r="AL509" s="23"/>
      <c r="AM509" s="23"/>
      <c r="AN509" s="23"/>
      <c r="AO509" s="202"/>
      <c r="AP509" s="23"/>
      <c r="AQ509" s="23"/>
      <c r="AR509" s="23"/>
      <c r="AS509" s="23"/>
      <c r="AT509" s="23"/>
      <c r="AU509" s="23"/>
      <c r="AV509" s="23"/>
      <c r="AW509" s="23"/>
      <c r="AX509" s="23"/>
      <c r="AY509" s="23"/>
      <c r="AZ509" s="23"/>
      <c r="BA509" s="23"/>
      <c r="BB509" s="23"/>
      <c r="BC509" s="23"/>
      <c r="BD509" s="23"/>
      <c r="BE509" s="188"/>
      <c r="BF509" s="188"/>
      <c r="BG509" s="188"/>
      <c r="BH509" s="188"/>
      <c r="BI509" s="188"/>
      <c r="BJ509" s="188"/>
      <c r="BK509" s="188"/>
      <c r="BL509" s="188"/>
      <c r="BM509" s="188"/>
      <c r="BN509" s="188"/>
      <c r="BO509" s="188"/>
      <c r="BP509" s="8"/>
      <c r="BQ509" s="8"/>
      <c r="BR509" s="8"/>
      <c r="BS509" s="188"/>
      <c r="BT509" s="188"/>
      <c r="BU509" s="188"/>
      <c r="BV509" s="188"/>
      <c r="BW509" s="188"/>
      <c r="BX509" s="23"/>
      <c r="BY509" s="23"/>
      <c r="BZ509" s="23"/>
      <c r="CA509" s="23"/>
      <c r="CB509" s="23"/>
      <c r="CC509" s="23"/>
      <c r="CD509" s="23"/>
      <c r="CE509" s="23"/>
      <c r="CF509" s="23"/>
      <c r="CG509" s="23"/>
      <c r="CH509" s="23"/>
      <c r="CI509" s="188"/>
      <c r="CJ509" s="188"/>
      <c r="CK509" s="188"/>
      <c r="CL509" s="188"/>
      <c r="CM509" s="23"/>
      <c r="CN509" s="188"/>
      <c r="CO509" s="188"/>
      <c r="CP509" s="188"/>
      <c r="CQ509" s="188"/>
      <c r="CR509" s="23"/>
      <c r="CS509" s="188"/>
      <c r="CT509" s="188"/>
      <c r="CU509" s="188"/>
      <c r="CV509" s="188"/>
      <c r="CW509" s="23"/>
      <c r="CX509" s="188"/>
      <c r="CY509" s="188"/>
      <c r="CZ509" s="188"/>
      <c r="DA509" s="188"/>
      <c r="DB509" s="23"/>
      <c r="DC509" s="188"/>
      <c r="DD509" s="188"/>
      <c r="DE509" s="188"/>
      <c r="DF509" s="188"/>
      <c r="DG509" s="23"/>
      <c r="DH509" s="188"/>
      <c r="DI509" s="188"/>
      <c r="DJ509" s="188"/>
      <c r="DK509" s="188"/>
      <c r="DL509" s="23"/>
      <c r="DM509" s="23"/>
      <c r="DN509" s="539"/>
      <c r="DO509" s="370"/>
      <c r="DP509" s="23"/>
      <c r="DQ509" s="411"/>
      <c r="DR509" s="411"/>
      <c r="DS509" s="553"/>
      <c r="DT509" s="553"/>
      <c r="DU509" s="457"/>
      <c r="DV509" s="457"/>
      <c r="DW509" s="457"/>
      <c r="DX509" s="457"/>
      <c r="DY509" s="457"/>
      <c r="DZ509" s="457"/>
      <c r="EA509" s="539"/>
      <c r="EH509" s="23"/>
    </row>
    <row r="510" spans="1:138" ht="12.75" customHeight="1" x14ac:dyDescent="0.2">
      <c r="A510" s="23"/>
      <c r="B510" s="23"/>
      <c r="C510" s="23"/>
      <c r="D510" s="23"/>
      <c r="E510" s="23"/>
      <c r="F510" s="202"/>
      <c r="G510" s="23"/>
      <c r="H510" s="23"/>
      <c r="I510" s="23"/>
      <c r="J510" s="23"/>
      <c r="K510" s="202"/>
      <c r="L510" s="23"/>
      <c r="M510" s="23"/>
      <c r="N510" s="23"/>
      <c r="O510" s="23"/>
      <c r="P510" s="202"/>
      <c r="Q510" s="23"/>
      <c r="R510" s="23"/>
      <c r="S510" s="23"/>
      <c r="T510" s="23"/>
      <c r="U510" s="202"/>
      <c r="V510" s="23"/>
      <c r="W510" s="23"/>
      <c r="X510" s="23"/>
      <c r="Y510" s="23"/>
      <c r="Z510" s="202"/>
      <c r="AA510" s="23"/>
      <c r="AB510" s="23"/>
      <c r="AC510" s="23"/>
      <c r="AD510" s="23"/>
      <c r="AE510" s="202"/>
      <c r="AF510" s="23"/>
      <c r="AG510" s="23"/>
      <c r="AH510" s="23"/>
      <c r="AI510" s="23"/>
      <c r="AJ510" s="202"/>
      <c r="AK510" s="23"/>
      <c r="AL510" s="23"/>
      <c r="AM510" s="23"/>
      <c r="AN510" s="23"/>
      <c r="AO510" s="202"/>
      <c r="AP510" s="23"/>
      <c r="AQ510" s="23"/>
      <c r="AR510" s="23"/>
      <c r="AS510" s="23"/>
      <c r="AT510" s="23"/>
      <c r="AU510" s="23"/>
      <c r="AV510" s="23"/>
      <c r="AW510" s="23"/>
      <c r="AX510" s="23"/>
      <c r="AY510" s="23"/>
      <c r="AZ510" s="23"/>
      <c r="BA510" s="23"/>
      <c r="BB510" s="23"/>
      <c r="BC510" s="23"/>
      <c r="BD510" s="23"/>
      <c r="BE510" s="188"/>
      <c r="BF510" s="188"/>
      <c r="BG510" s="188"/>
      <c r="BH510" s="188"/>
      <c r="BI510" s="188"/>
      <c r="BJ510" s="188"/>
      <c r="BK510" s="188"/>
      <c r="BL510" s="188"/>
      <c r="BM510" s="188"/>
      <c r="BN510" s="188"/>
      <c r="BO510" s="188"/>
      <c r="BP510" s="8"/>
      <c r="BQ510" s="8"/>
      <c r="BR510" s="8"/>
      <c r="BS510" s="188"/>
      <c r="BT510" s="188"/>
      <c r="BU510" s="188"/>
      <c r="BV510" s="188"/>
      <c r="BW510" s="188"/>
      <c r="BX510" s="23"/>
      <c r="BY510" s="23"/>
      <c r="BZ510" s="23"/>
      <c r="CA510" s="23"/>
      <c r="CB510" s="23"/>
      <c r="CC510" s="23"/>
      <c r="CD510" s="23"/>
      <c r="CE510" s="23"/>
      <c r="CF510" s="23"/>
      <c r="CG510" s="23"/>
      <c r="CH510" s="23"/>
      <c r="CI510" s="188"/>
      <c r="CJ510" s="188"/>
      <c r="CK510" s="188"/>
      <c r="CL510" s="188"/>
      <c r="CM510" s="23"/>
      <c r="CN510" s="188"/>
      <c r="CO510" s="188"/>
      <c r="CP510" s="188"/>
      <c r="CQ510" s="188"/>
      <c r="CR510" s="23"/>
      <c r="CS510" s="188"/>
      <c r="CT510" s="188"/>
      <c r="CU510" s="188"/>
      <c r="CV510" s="188"/>
      <c r="CW510" s="23"/>
      <c r="CX510" s="188"/>
      <c r="CY510" s="188"/>
      <c r="CZ510" s="188"/>
      <c r="DA510" s="188"/>
      <c r="DB510" s="23"/>
      <c r="DC510" s="188"/>
      <c r="DD510" s="188"/>
      <c r="DE510" s="188"/>
      <c r="DF510" s="188"/>
      <c r="DG510" s="23"/>
      <c r="DH510" s="188"/>
      <c r="DI510" s="188"/>
      <c r="DJ510" s="188"/>
      <c r="DK510" s="188"/>
      <c r="DL510" s="23"/>
      <c r="DM510" s="23"/>
      <c r="DN510" s="539"/>
      <c r="DO510" s="370"/>
      <c r="DP510" s="23"/>
      <c r="DQ510" s="411"/>
      <c r="DR510" s="411"/>
      <c r="DS510" s="553"/>
      <c r="DT510" s="553"/>
      <c r="DU510" s="457"/>
      <c r="DV510" s="457"/>
      <c r="DW510" s="457"/>
      <c r="DX510" s="457"/>
      <c r="DY510" s="457"/>
      <c r="DZ510" s="457"/>
      <c r="EA510" s="539"/>
      <c r="EH510" s="23"/>
    </row>
    <row r="511" spans="1:138" ht="12.75" customHeight="1" x14ac:dyDescent="0.2">
      <c r="A511" s="23"/>
      <c r="B511" s="23"/>
      <c r="C511" s="23"/>
      <c r="D511" s="23"/>
      <c r="E511" s="23"/>
      <c r="F511" s="202"/>
      <c r="G511" s="23"/>
      <c r="H511" s="23"/>
      <c r="I511" s="23"/>
      <c r="J511" s="23"/>
      <c r="K511" s="202"/>
      <c r="L511" s="23"/>
      <c r="M511" s="23"/>
      <c r="N511" s="23"/>
      <c r="O511" s="23"/>
      <c r="P511" s="202"/>
      <c r="Q511" s="23"/>
      <c r="R511" s="23"/>
      <c r="S511" s="23"/>
      <c r="T511" s="23"/>
      <c r="U511" s="202"/>
      <c r="V511" s="23"/>
      <c r="W511" s="23"/>
      <c r="X511" s="23"/>
      <c r="Y511" s="23"/>
      <c r="Z511" s="202"/>
      <c r="AA511" s="23"/>
      <c r="AB511" s="23"/>
      <c r="AC511" s="23"/>
      <c r="AD511" s="23"/>
      <c r="AE511" s="202"/>
      <c r="AF511" s="23"/>
      <c r="AG511" s="23"/>
      <c r="AH511" s="23"/>
      <c r="AI511" s="23"/>
      <c r="AJ511" s="202"/>
      <c r="AK511" s="23"/>
      <c r="AL511" s="23"/>
      <c r="AM511" s="23"/>
      <c r="AN511" s="23"/>
      <c r="AO511" s="202"/>
      <c r="AP511" s="23"/>
      <c r="AQ511" s="23"/>
      <c r="AR511" s="23"/>
      <c r="AS511" s="23"/>
      <c r="AT511" s="23"/>
      <c r="AU511" s="23"/>
      <c r="AV511" s="23"/>
      <c r="AW511" s="23"/>
      <c r="AX511" s="23"/>
      <c r="AY511" s="23"/>
      <c r="AZ511" s="23"/>
      <c r="BA511" s="23"/>
      <c r="BB511" s="23"/>
      <c r="BC511" s="23"/>
      <c r="BD511" s="23"/>
      <c r="BE511" s="188"/>
      <c r="BF511" s="188"/>
      <c r="BG511" s="188"/>
      <c r="BH511" s="188"/>
      <c r="BI511" s="188"/>
      <c r="BJ511" s="188"/>
      <c r="BK511" s="188"/>
      <c r="BL511" s="188"/>
      <c r="BM511" s="188"/>
      <c r="BN511" s="188"/>
      <c r="BO511" s="188"/>
      <c r="BP511" s="8"/>
      <c r="BQ511" s="8"/>
      <c r="BR511" s="8"/>
      <c r="BS511" s="188"/>
      <c r="BT511" s="188"/>
      <c r="BU511" s="188"/>
      <c r="BV511" s="188"/>
      <c r="BW511" s="188"/>
      <c r="BX511" s="23"/>
      <c r="BY511" s="23"/>
      <c r="BZ511" s="23"/>
      <c r="CA511" s="23"/>
      <c r="CB511" s="23"/>
      <c r="CC511" s="23"/>
      <c r="CD511" s="23"/>
      <c r="CE511" s="23"/>
      <c r="CF511" s="23"/>
      <c r="CG511" s="23"/>
      <c r="CH511" s="23"/>
      <c r="CI511" s="188"/>
      <c r="CJ511" s="188"/>
      <c r="CK511" s="188"/>
      <c r="CL511" s="188"/>
      <c r="CM511" s="23"/>
      <c r="CN511" s="188"/>
      <c r="CO511" s="188"/>
      <c r="CP511" s="188"/>
      <c r="CQ511" s="188"/>
      <c r="CR511" s="23"/>
      <c r="CS511" s="188"/>
      <c r="CT511" s="188"/>
      <c r="CU511" s="188"/>
      <c r="CV511" s="188"/>
      <c r="CW511" s="23"/>
      <c r="CX511" s="188"/>
      <c r="CY511" s="188"/>
      <c r="CZ511" s="188"/>
      <c r="DA511" s="188"/>
      <c r="DB511" s="23"/>
      <c r="DC511" s="188"/>
      <c r="DD511" s="188"/>
      <c r="DE511" s="188"/>
      <c r="DF511" s="188"/>
      <c r="DG511" s="23"/>
      <c r="DH511" s="188"/>
      <c r="DI511" s="188"/>
      <c r="DJ511" s="188"/>
      <c r="DK511" s="188"/>
      <c r="DL511" s="23"/>
      <c r="DM511" s="23"/>
      <c r="DN511" s="539"/>
      <c r="DO511" s="370"/>
      <c r="DP511" s="23"/>
      <c r="DQ511" s="411"/>
      <c r="DR511" s="411"/>
      <c r="DS511" s="553"/>
      <c r="DT511" s="553"/>
      <c r="DU511" s="457"/>
      <c r="DV511" s="457"/>
      <c r="DW511" s="457"/>
      <c r="DX511" s="457"/>
      <c r="DY511" s="457"/>
      <c r="DZ511" s="457"/>
      <c r="EA511" s="539"/>
      <c r="EH511" s="23"/>
    </row>
    <row r="512" spans="1:138" ht="12.75" customHeight="1" x14ac:dyDescent="0.2">
      <c r="A512" s="23"/>
      <c r="B512" s="23"/>
      <c r="C512" s="23"/>
      <c r="D512" s="23"/>
      <c r="E512" s="23"/>
      <c r="F512" s="202"/>
      <c r="G512" s="23"/>
      <c r="H512" s="23"/>
      <c r="I512" s="23"/>
      <c r="J512" s="23"/>
      <c r="K512" s="202"/>
      <c r="L512" s="23"/>
      <c r="M512" s="23"/>
      <c r="N512" s="23"/>
      <c r="O512" s="23"/>
      <c r="P512" s="202"/>
      <c r="Q512" s="23"/>
      <c r="R512" s="23"/>
      <c r="S512" s="23"/>
      <c r="T512" s="23"/>
      <c r="U512" s="202"/>
      <c r="V512" s="23"/>
      <c r="W512" s="23"/>
      <c r="X512" s="23"/>
      <c r="Y512" s="23"/>
      <c r="Z512" s="202"/>
      <c r="AA512" s="23"/>
      <c r="AB512" s="23"/>
      <c r="AC512" s="23"/>
      <c r="AD512" s="23"/>
      <c r="AE512" s="202"/>
      <c r="AF512" s="23"/>
      <c r="AG512" s="23"/>
      <c r="AH512" s="23"/>
      <c r="AI512" s="23"/>
      <c r="AJ512" s="202"/>
      <c r="AK512" s="23"/>
      <c r="AL512" s="23"/>
      <c r="AM512" s="23"/>
      <c r="AN512" s="23"/>
      <c r="AO512" s="202"/>
      <c r="AP512" s="23"/>
      <c r="AQ512" s="23"/>
      <c r="AR512" s="23"/>
      <c r="AS512" s="23"/>
      <c r="AT512" s="23"/>
      <c r="AU512" s="23"/>
      <c r="AV512" s="23"/>
      <c r="AW512" s="23"/>
      <c r="AX512" s="23"/>
      <c r="AY512" s="23"/>
      <c r="AZ512" s="23"/>
      <c r="BA512" s="23"/>
      <c r="BB512" s="23"/>
      <c r="BC512" s="23"/>
      <c r="BD512" s="23"/>
      <c r="BE512" s="188"/>
      <c r="BF512" s="188"/>
      <c r="BG512" s="188"/>
      <c r="BH512" s="188"/>
      <c r="BI512" s="188"/>
      <c r="BJ512" s="188"/>
      <c r="BK512" s="188"/>
      <c r="BL512" s="188"/>
      <c r="BM512" s="188"/>
      <c r="BN512" s="188"/>
      <c r="BO512" s="188"/>
      <c r="BP512" s="8"/>
      <c r="BQ512" s="8"/>
      <c r="BR512" s="8"/>
      <c r="BS512" s="188"/>
      <c r="BT512" s="188"/>
      <c r="BU512" s="188"/>
      <c r="BV512" s="188"/>
      <c r="BW512" s="188"/>
      <c r="BX512" s="23"/>
      <c r="BY512" s="23"/>
      <c r="BZ512" s="23"/>
      <c r="CA512" s="23"/>
      <c r="CB512" s="23"/>
      <c r="CC512" s="23"/>
      <c r="CD512" s="23"/>
      <c r="CE512" s="23"/>
      <c r="CF512" s="23"/>
      <c r="CG512" s="23"/>
      <c r="CH512" s="23"/>
      <c r="CI512" s="188"/>
      <c r="CJ512" s="188"/>
      <c r="CK512" s="188"/>
      <c r="CL512" s="188"/>
      <c r="CM512" s="23"/>
      <c r="CN512" s="188"/>
      <c r="CO512" s="188"/>
      <c r="CP512" s="188"/>
      <c r="CQ512" s="188"/>
      <c r="CR512" s="23"/>
      <c r="CS512" s="188"/>
      <c r="CT512" s="188"/>
      <c r="CU512" s="188"/>
      <c r="CV512" s="188"/>
      <c r="CW512" s="23"/>
      <c r="CX512" s="188"/>
      <c r="CY512" s="188"/>
      <c r="CZ512" s="188"/>
      <c r="DA512" s="188"/>
      <c r="DB512" s="23"/>
      <c r="DC512" s="188"/>
      <c r="DD512" s="188"/>
      <c r="DE512" s="188"/>
      <c r="DF512" s="188"/>
      <c r="DG512" s="23"/>
      <c r="DH512" s="188"/>
      <c r="DI512" s="188"/>
      <c r="DJ512" s="188"/>
      <c r="DK512" s="188"/>
      <c r="DL512" s="23"/>
      <c r="DM512" s="23"/>
      <c r="DN512" s="539"/>
      <c r="DO512" s="370"/>
      <c r="DP512" s="23"/>
      <c r="DQ512" s="411"/>
      <c r="DR512" s="411"/>
      <c r="DS512" s="553"/>
      <c r="DT512" s="553"/>
      <c r="DU512" s="457"/>
      <c r="DV512" s="457"/>
      <c r="DW512" s="457"/>
      <c r="DX512" s="457"/>
      <c r="DY512" s="457"/>
      <c r="DZ512" s="457"/>
      <c r="EA512" s="539"/>
      <c r="EH512" s="23"/>
    </row>
    <row r="513" spans="76:86" ht="12.75" customHeight="1" x14ac:dyDescent="0.2">
      <c r="BX513" s="23"/>
      <c r="BY513" s="23"/>
      <c r="BZ513" s="23"/>
      <c r="CA513" s="23"/>
      <c r="CB513" s="23"/>
      <c r="CC513" s="23"/>
      <c r="CD513" s="23"/>
      <c r="CE513" s="23"/>
      <c r="CF513" s="23"/>
      <c r="CG513" s="23"/>
      <c r="CH513" s="23"/>
    </row>
    <row r="514" spans="76:86" ht="12.75" customHeight="1" x14ac:dyDescent="0.2">
      <c r="BX514" s="23"/>
      <c r="BY514" s="23"/>
      <c r="BZ514" s="23"/>
      <c r="CA514" s="23"/>
      <c r="CB514" s="23"/>
      <c r="CC514" s="23"/>
      <c r="CD514" s="23"/>
      <c r="CE514" s="23"/>
      <c r="CF514" s="23"/>
      <c r="CG514" s="23"/>
      <c r="CH514" s="23"/>
    </row>
    <row r="515" spans="76:86" ht="12.75" customHeight="1" x14ac:dyDescent="0.2">
      <c r="BX515" s="23"/>
      <c r="BY515" s="23"/>
      <c r="BZ515" s="23"/>
      <c r="CA515" s="23"/>
      <c r="CB515" s="23"/>
      <c r="CC515" s="23"/>
      <c r="CD515" s="23"/>
      <c r="CE515" s="23"/>
      <c r="CF515" s="23"/>
      <c r="CG515" s="23"/>
      <c r="CH515" s="23"/>
    </row>
    <row r="516" spans="76:86" ht="12.75" customHeight="1" x14ac:dyDescent="0.2">
      <c r="BX516" s="23"/>
      <c r="BY516" s="23"/>
      <c r="BZ516" s="23"/>
      <c r="CA516" s="23"/>
      <c r="CB516" s="23"/>
      <c r="CC516" s="23"/>
      <c r="CD516" s="23"/>
      <c r="CE516" s="23"/>
      <c r="CF516" s="23"/>
      <c r="CG516" s="23"/>
      <c r="CH516" s="23"/>
    </row>
    <row r="517" spans="76:86" ht="12.75" customHeight="1" x14ac:dyDescent="0.2">
      <c r="BX517" s="23"/>
      <c r="BY517" s="23"/>
      <c r="BZ517" s="23"/>
      <c r="CA517" s="23"/>
      <c r="CB517" s="23"/>
      <c r="CC517" s="23"/>
      <c r="CD517" s="23"/>
      <c r="CE517" s="23"/>
      <c r="CF517" s="23"/>
      <c r="CG517" s="23"/>
      <c r="CH517" s="23"/>
    </row>
    <row r="518" spans="76:86" ht="12.75" customHeight="1" x14ac:dyDescent="0.2">
      <c r="BX518" s="23"/>
      <c r="BY518" s="23"/>
      <c r="BZ518" s="23"/>
      <c r="CA518" s="23"/>
      <c r="CB518" s="23"/>
      <c r="CC518" s="23"/>
      <c r="CD518" s="23"/>
      <c r="CE518" s="23"/>
      <c r="CF518" s="23"/>
      <c r="CG518" s="23"/>
      <c r="CH518" s="23"/>
    </row>
    <row r="519" spans="76:86" ht="12.75" customHeight="1" x14ac:dyDescent="0.2">
      <c r="BX519" s="23"/>
      <c r="BY519" s="23"/>
      <c r="BZ519" s="23"/>
      <c r="CA519" s="23"/>
      <c r="CB519" s="23"/>
      <c r="CC519" s="23"/>
      <c r="CD519" s="23"/>
      <c r="CE519" s="23"/>
      <c r="CF519" s="23"/>
      <c r="CG519" s="23"/>
      <c r="CH519" s="23"/>
    </row>
    <row r="520" spans="76:86" ht="12.75" customHeight="1" x14ac:dyDescent="0.2">
      <c r="BX520" s="23"/>
      <c r="BY520" s="23"/>
      <c r="BZ520" s="23"/>
      <c r="CA520" s="23"/>
      <c r="CB520" s="23"/>
      <c r="CC520" s="23"/>
      <c r="CD520" s="23"/>
      <c r="CE520" s="23"/>
      <c r="CF520" s="23"/>
      <c r="CG520" s="23"/>
      <c r="CH520" s="23"/>
    </row>
    <row r="521" spans="76:86" ht="12.75" customHeight="1" x14ac:dyDescent="0.2">
      <c r="BX521" s="23"/>
      <c r="BY521" s="23"/>
      <c r="BZ521" s="23"/>
      <c r="CA521" s="23"/>
      <c r="CB521" s="23"/>
      <c r="CC521" s="23"/>
      <c r="CD521" s="23"/>
      <c r="CE521" s="23"/>
      <c r="CF521" s="23"/>
      <c r="CG521" s="23"/>
      <c r="CH521" s="23"/>
    </row>
    <row r="522" spans="76:86" ht="12.75" customHeight="1" x14ac:dyDescent="0.2">
      <c r="BX522" s="23"/>
      <c r="BY522" s="23"/>
      <c r="BZ522" s="23"/>
      <c r="CA522" s="23"/>
      <c r="CB522" s="23"/>
      <c r="CC522" s="23"/>
      <c r="CD522" s="23"/>
      <c r="CE522" s="23"/>
      <c r="CF522" s="23"/>
      <c r="CG522" s="23"/>
      <c r="CH522" s="23"/>
    </row>
    <row r="523" spans="76:86" ht="12.75" customHeight="1" x14ac:dyDescent="0.2">
      <c r="BX523" s="23"/>
      <c r="BY523" s="23"/>
      <c r="BZ523" s="23"/>
      <c r="CA523" s="23"/>
      <c r="CB523" s="23"/>
      <c r="CC523" s="23"/>
      <c r="CD523" s="23"/>
      <c r="CE523" s="23"/>
      <c r="CF523" s="23"/>
      <c r="CG523" s="23"/>
      <c r="CH523" s="23"/>
    </row>
    <row r="524" spans="76:86" ht="12.75" customHeight="1" x14ac:dyDescent="0.2">
      <c r="BX524" s="23"/>
      <c r="BY524" s="23"/>
      <c r="BZ524" s="23"/>
      <c r="CA524" s="23"/>
      <c r="CB524" s="23"/>
      <c r="CC524" s="23"/>
      <c r="CD524" s="23"/>
      <c r="CE524" s="23"/>
      <c r="CF524" s="23"/>
      <c r="CG524" s="23"/>
      <c r="CH524" s="23"/>
    </row>
    <row r="525" spans="76:86" ht="12.75" customHeight="1" x14ac:dyDescent="0.2">
      <c r="BX525" s="23"/>
      <c r="BY525" s="23"/>
      <c r="BZ525" s="23"/>
      <c r="CA525" s="23"/>
      <c r="CB525" s="23"/>
      <c r="CC525" s="23"/>
      <c r="CD525" s="23"/>
      <c r="CE525" s="23"/>
      <c r="CF525" s="23"/>
      <c r="CG525" s="23"/>
      <c r="CH525" s="23"/>
    </row>
    <row r="526" spans="76:86" ht="12.75" customHeight="1" x14ac:dyDescent="0.2">
      <c r="BX526" s="23"/>
      <c r="BY526" s="23"/>
      <c r="BZ526" s="23"/>
      <c r="CA526" s="23"/>
      <c r="CB526" s="23"/>
      <c r="CC526" s="23"/>
      <c r="CD526" s="23"/>
      <c r="CE526" s="23"/>
      <c r="CF526" s="23"/>
      <c r="CG526" s="23"/>
      <c r="CH526" s="23"/>
    </row>
    <row r="527" spans="76:86" ht="12.75" customHeight="1" x14ac:dyDescent="0.2">
      <c r="BX527" s="23"/>
      <c r="BY527" s="23"/>
      <c r="BZ527" s="23"/>
      <c r="CA527" s="23"/>
      <c r="CB527" s="23"/>
      <c r="CC527" s="23"/>
      <c r="CD527" s="23"/>
      <c r="CE527" s="23"/>
      <c r="CF527" s="23"/>
      <c r="CG527" s="23"/>
      <c r="CH527" s="23"/>
    </row>
    <row r="528" spans="76:86" ht="12.75" customHeight="1" x14ac:dyDescent="0.2">
      <c r="BX528" s="23"/>
      <c r="BY528" s="23"/>
      <c r="BZ528" s="23"/>
      <c r="CA528" s="23"/>
      <c r="CB528" s="23"/>
      <c r="CC528" s="23"/>
      <c r="CD528" s="23"/>
      <c r="CE528" s="23"/>
      <c r="CF528" s="23"/>
      <c r="CG528" s="23"/>
      <c r="CH528" s="23"/>
    </row>
  </sheetData>
  <mergeCells count="2">
    <mergeCell ref="A1:A2"/>
    <mergeCell ref="AP1:AT1"/>
  </mergeCells>
  <phoneticPr fontId="6" type="noConversion"/>
  <conditionalFormatting sqref="AZ332:BZ332 CB332:CC332">
    <cfRule type="cellIs" dxfId="27" priority="31" stopIfTrue="1" operator="notEqual">
      <formula>"-"</formula>
    </cfRule>
  </conditionalFormatting>
  <conditionalFormatting sqref="CF332:CG332">
    <cfRule type="cellIs" dxfId="26" priority="30" stopIfTrue="1" operator="notEqual">
      <formula>"-"</formula>
    </cfRule>
  </conditionalFormatting>
  <conditionalFormatting sqref="CE332">
    <cfRule type="cellIs" dxfId="25" priority="29" stopIfTrue="1" operator="notEqual">
      <formula>"-"</formula>
    </cfRule>
  </conditionalFormatting>
  <conditionalFormatting sqref="CH332">
    <cfRule type="cellIs" dxfId="24" priority="27" stopIfTrue="1" operator="notEqual">
      <formula>"-"</formula>
    </cfRule>
  </conditionalFormatting>
  <conditionalFormatting sqref="CA332">
    <cfRule type="cellIs" dxfId="23" priority="26" stopIfTrue="1" operator="notEqual">
      <formula>"-"</formula>
    </cfRule>
  </conditionalFormatting>
  <conditionalFormatting sqref="CR332">
    <cfRule type="cellIs" dxfId="22" priority="25" stopIfTrue="1" operator="notEqual">
      <formula>"-"</formula>
    </cfRule>
  </conditionalFormatting>
  <conditionalFormatting sqref="CD332">
    <cfRule type="cellIs" dxfId="21" priority="24" stopIfTrue="1" operator="notEqual">
      <formula>"-"</formula>
    </cfRule>
  </conditionalFormatting>
  <conditionalFormatting sqref="CI332">
    <cfRule type="cellIs" dxfId="20" priority="23" stopIfTrue="1" operator="notEqual">
      <formula>"-"</formula>
    </cfRule>
  </conditionalFormatting>
  <conditionalFormatting sqref="CJ332">
    <cfRule type="cellIs" dxfId="19" priority="22" stopIfTrue="1" operator="notEqual">
      <formula>"-"</formula>
    </cfRule>
  </conditionalFormatting>
  <conditionalFormatting sqref="CK332">
    <cfRule type="cellIs" dxfId="18" priority="21" stopIfTrue="1" operator="notEqual">
      <formula>"-"</formula>
    </cfRule>
  </conditionalFormatting>
  <conditionalFormatting sqref="CM332">
    <cfRule type="cellIs" dxfId="17" priority="19" stopIfTrue="1" operator="notEqual">
      <formula>"-"</formula>
    </cfRule>
  </conditionalFormatting>
  <conditionalFormatting sqref="DB332">
    <cfRule type="cellIs" dxfId="16" priority="18" stopIfTrue="1" operator="notEqual">
      <formula>"-"</formula>
    </cfRule>
  </conditionalFormatting>
  <conditionalFormatting sqref="CN332">
    <cfRule type="cellIs" dxfId="15" priority="16" stopIfTrue="1" operator="notEqual">
      <formula>"-"</formula>
    </cfRule>
  </conditionalFormatting>
  <conditionalFormatting sqref="CO332">
    <cfRule type="cellIs" dxfId="14" priority="15" stopIfTrue="1" operator="notEqual">
      <formula>"-"</formula>
    </cfRule>
  </conditionalFormatting>
  <conditionalFormatting sqref="CP332">
    <cfRule type="cellIs" dxfId="13" priority="14" stopIfTrue="1" operator="notEqual">
      <formula>"-"</formula>
    </cfRule>
  </conditionalFormatting>
  <conditionalFormatting sqref="CQ332">
    <cfRule type="cellIs" dxfId="12" priority="13" stopIfTrue="1" operator="notEqual">
      <formula>"-"</formula>
    </cfRule>
  </conditionalFormatting>
  <conditionalFormatting sqref="DC332:DG332">
    <cfRule type="cellIs" dxfId="11" priority="12" stopIfTrue="1" operator="notEqual">
      <formula>"-"</formula>
    </cfRule>
  </conditionalFormatting>
  <conditionalFormatting sqref="CL332">
    <cfRule type="cellIs" dxfId="10" priority="11" stopIfTrue="1" operator="notEqual">
      <formula>"-"</formula>
    </cfRule>
  </conditionalFormatting>
  <conditionalFormatting sqref="DH332:DL332">
    <cfRule type="cellIs" dxfId="9" priority="10" stopIfTrue="1" operator="notEqual">
      <formula>"-"</formula>
    </cfRule>
  </conditionalFormatting>
  <conditionalFormatting sqref="CX332">
    <cfRule type="cellIs" dxfId="8" priority="9" stopIfTrue="1" operator="notEqual">
      <formula>"-"</formula>
    </cfRule>
  </conditionalFormatting>
  <conditionalFormatting sqref="CY332">
    <cfRule type="cellIs" dxfId="7" priority="8" stopIfTrue="1" operator="notEqual">
      <formula>"-"</formula>
    </cfRule>
  </conditionalFormatting>
  <conditionalFormatting sqref="CZ332">
    <cfRule type="cellIs" dxfId="6" priority="7" stopIfTrue="1" operator="notEqual">
      <formula>"-"</formula>
    </cfRule>
  </conditionalFormatting>
  <conditionalFormatting sqref="DA332">
    <cfRule type="cellIs" dxfId="5" priority="6" stopIfTrue="1" operator="notEqual">
      <formula>"-"</formula>
    </cfRule>
  </conditionalFormatting>
  <conditionalFormatting sqref="CW332">
    <cfRule type="cellIs" dxfId="4" priority="5" stopIfTrue="1" operator="notEqual">
      <formula>"-"</formula>
    </cfRule>
  </conditionalFormatting>
  <conditionalFormatting sqref="CS332">
    <cfRule type="cellIs" dxfId="3" priority="4" stopIfTrue="1" operator="notEqual">
      <formula>"-"</formula>
    </cfRule>
  </conditionalFormatting>
  <conditionalFormatting sqref="CT332">
    <cfRule type="cellIs" dxfId="2" priority="3" stopIfTrue="1" operator="notEqual">
      <formula>"-"</formula>
    </cfRule>
  </conditionalFormatting>
  <conditionalFormatting sqref="CU332">
    <cfRule type="cellIs" dxfId="1" priority="2" stopIfTrue="1" operator="notEqual">
      <formula>"-"</formula>
    </cfRule>
  </conditionalFormatting>
  <conditionalFormatting sqref="CV332">
    <cfRule type="cellIs" dxfId="0" priority="1" stopIfTrue="1" operator="notEqual">
      <formula>"-"</formula>
    </cfRule>
  </conditionalFormatting>
  <pageMargins left="0.62" right="0.39" top="0.74" bottom="0.62" header="0.33" footer="0.22"/>
  <pageSetup scale="62" fitToHeight="6" orientation="landscape" horizontalDpi="300" r:id="rId1"/>
  <headerFooter alignWithMargins="0"/>
  <rowBreaks count="6" manualBreakCount="6">
    <brk id="26" max="89" man="1"/>
    <brk id="78" max="16383" man="1"/>
    <brk id="126" max="89" man="1"/>
    <brk id="201" max="89" man="1"/>
    <brk id="282" max="89" man="1"/>
    <brk id="332" max="89" man="1"/>
  </rowBreaks>
  <ignoredErrors>
    <ignoredError sqref="CS141:DL142 CS148:DF148 CS147 CX147 DB147:DL147 CS146 CX146 DB146:DF146 DH148:DL148 CS145:DL145 CS144:DB144 DG144 DL144 DH146:DK146 CS143:CX143 DB143:DF143 DH143:DK143" unlockedFormula="1"/>
  </ignoredError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x14ac:dyDescent="0.2"/>
  <cols>
    <col min="1" max="1" width="34.5" style="984" bestFit="1" customWidth="1"/>
    <col min="2" max="2" width="23.1640625" style="1006" customWidth="1"/>
    <col min="3" max="3" width="14" style="984" bestFit="1" customWidth="1"/>
    <col min="4" max="256" width="9.33203125" style="984"/>
    <col min="257" max="257" width="34.5" style="984" bestFit="1" customWidth="1"/>
    <col min="258" max="258" width="23.1640625" style="984" customWidth="1"/>
    <col min="259" max="259" width="14" style="984" bestFit="1" customWidth="1"/>
    <col min="260" max="512" width="9.33203125" style="984"/>
    <col min="513" max="513" width="34.5" style="984" bestFit="1" customWidth="1"/>
    <col min="514" max="514" width="23.1640625" style="984" customWidth="1"/>
    <col min="515" max="515" width="14" style="984" bestFit="1" customWidth="1"/>
    <col min="516" max="768" width="9.33203125" style="984"/>
    <col min="769" max="769" width="34.5" style="984" bestFit="1" customWidth="1"/>
    <col min="770" max="770" width="23.1640625" style="984" customWidth="1"/>
    <col min="771" max="771" width="14" style="984" bestFit="1" customWidth="1"/>
    <col min="772" max="1024" width="9.33203125" style="984"/>
    <col min="1025" max="1025" width="34.5" style="984" bestFit="1" customWidth="1"/>
    <col min="1026" max="1026" width="23.1640625" style="984" customWidth="1"/>
    <col min="1027" max="1027" width="14" style="984" bestFit="1" customWidth="1"/>
    <col min="1028" max="1280" width="9.33203125" style="984"/>
    <col min="1281" max="1281" width="34.5" style="984" bestFit="1" customWidth="1"/>
    <col min="1282" max="1282" width="23.1640625" style="984" customWidth="1"/>
    <col min="1283" max="1283" width="14" style="984" bestFit="1" customWidth="1"/>
    <col min="1284" max="1536" width="9.33203125" style="984"/>
    <col min="1537" max="1537" width="34.5" style="984" bestFit="1" customWidth="1"/>
    <col min="1538" max="1538" width="23.1640625" style="984" customWidth="1"/>
    <col min="1539" max="1539" width="14" style="984" bestFit="1" customWidth="1"/>
    <col min="1540" max="1792" width="9.33203125" style="984"/>
    <col min="1793" max="1793" width="34.5" style="984" bestFit="1" customWidth="1"/>
    <col min="1794" max="1794" width="23.1640625" style="984" customWidth="1"/>
    <col min="1795" max="1795" width="14" style="984" bestFit="1" customWidth="1"/>
    <col min="1796" max="2048" width="9.33203125" style="984"/>
    <col min="2049" max="2049" width="34.5" style="984" bestFit="1" customWidth="1"/>
    <col min="2050" max="2050" width="23.1640625" style="984" customWidth="1"/>
    <col min="2051" max="2051" width="14" style="984" bestFit="1" customWidth="1"/>
    <col min="2052" max="2304" width="9.33203125" style="984"/>
    <col min="2305" max="2305" width="34.5" style="984" bestFit="1" customWidth="1"/>
    <col min="2306" max="2306" width="23.1640625" style="984" customWidth="1"/>
    <col min="2307" max="2307" width="14" style="984" bestFit="1" customWidth="1"/>
    <col min="2308" max="2560" width="9.33203125" style="984"/>
    <col min="2561" max="2561" width="34.5" style="984" bestFit="1" customWidth="1"/>
    <col min="2562" max="2562" width="23.1640625" style="984" customWidth="1"/>
    <col min="2563" max="2563" width="14" style="984" bestFit="1" customWidth="1"/>
    <col min="2564" max="2816" width="9.33203125" style="984"/>
    <col min="2817" max="2817" width="34.5" style="984" bestFit="1" customWidth="1"/>
    <col min="2818" max="2818" width="23.1640625" style="984" customWidth="1"/>
    <col min="2819" max="2819" width="14" style="984" bestFit="1" customWidth="1"/>
    <col min="2820" max="3072" width="9.33203125" style="984"/>
    <col min="3073" max="3073" width="34.5" style="984" bestFit="1" customWidth="1"/>
    <col min="3074" max="3074" width="23.1640625" style="984" customWidth="1"/>
    <col min="3075" max="3075" width="14" style="984" bestFit="1" customWidth="1"/>
    <col min="3076" max="3328" width="9.33203125" style="984"/>
    <col min="3329" max="3329" width="34.5" style="984" bestFit="1" customWidth="1"/>
    <col min="3330" max="3330" width="23.1640625" style="984" customWidth="1"/>
    <col min="3331" max="3331" width="14" style="984" bestFit="1" customWidth="1"/>
    <col min="3332" max="3584" width="9.33203125" style="984"/>
    <col min="3585" max="3585" width="34.5" style="984" bestFit="1" customWidth="1"/>
    <col min="3586" max="3586" width="23.1640625" style="984" customWidth="1"/>
    <col min="3587" max="3587" width="14" style="984" bestFit="1" customWidth="1"/>
    <col min="3588" max="3840" width="9.33203125" style="984"/>
    <col min="3841" max="3841" width="34.5" style="984" bestFit="1" customWidth="1"/>
    <col min="3842" max="3842" width="23.1640625" style="984" customWidth="1"/>
    <col min="3843" max="3843" width="14" style="984" bestFit="1" customWidth="1"/>
    <col min="3844" max="4096" width="9.33203125" style="984"/>
    <col min="4097" max="4097" width="34.5" style="984" bestFit="1" customWidth="1"/>
    <col min="4098" max="4098" width="23.1640625" style="984" customWidth="1"/>
    <col min="4099" max="4099" width="14" style="984" bestFit="1" customWidth="1"/>
    <col min="4100" max="4352" width="9.33203125" style="984"/>
    <col min="4353" max="4353" width="34.5" style="984" bestFit="1" customWidth="1"/>
    <col min="4354" max="4354" width="23.1640625" style="984" customWidth="1"/>
    <col min="4355" max="4355" width="14" style="984" bestFit="1" customWidth="1"/>
    <col min="4356" max="4608" width="9.33203125" style="984"/>
    <col min="4609" max="4609" width="34.5" style="984" bestFit="1" customWidth="1"/>
    <col min="4610" max="4610" width="23.1640625" style="984" customWidth="1"/>
    <col min="4611" max="4611" width="14" style="984" bestFit="1" customWidth="1"/>
    <col min="4612" max="4864" width="9.33203125" style="984"/>
    <col min="4865" max="4865" width="34.5" style="984" bestFit="1" customWidth="1"/>
    <col min="4866" max="4866" width="23.1640625" style="984" customWidth="1"/>
    <col min="4867" max="4867" width="14" style="984" bestFit="1" customWidth="1"/>
    <col min="4868" max="5120" width="9.33203125" style="984"/>
    <col min="5121" max="5121" width="34.5" style="984" bestFit="1" customWidth="1"/>
    <col min="5122" max="5122" width="23.1640625" style="984" customWidth="1"/>
    <col min="5123" max="5123" width="14" style="984" bestFit="1" customWidth="1"/>
    <col min="5124" max="5376" width="9.33203125" style="984"/>
    <col min="5377" max="5377" width="34.5" style="984" bestFit="1" customWidth="1"/>
    <col min="5378" max="5378" width="23.1640625" style="984" customWidth="1"/>
    <col min="5379" max="5379" width="14" style="984" bestFit="1" customWidth="1"/>
    <col min="5380" max="5632" width="9.33203125" style="984"/>
    <col min="5633" max="5633" width="34.5" style="984" bestFit="1" customWidth="1"/>
    <col min="5634" max="5634" width="23.1640625" style="984" customWidth="1"/>
    <col min="5635" max="5635" width="14" style="984" bestFit="1" customWidth="1"/>
    <col min="5636" max="5888" width="9.33203125" style="984"/>
    <col min="5889" max="5889" width="34.5" style="984" bestFit="1" customWidth="1"/>
    <col min="5890" max="5890" width="23.1640625" style="984" customWidth="1"/>
    <col min="5891" max="5891" width="14" style="984" bestFit="1" customWidth="1"/>
    <col min="5892" max="6144" width="9.33203125" style="984"/>
    <col min="6145" max="6145" width="34.5" style="984" bestFit="1" customWidth="1"/>
    <col min="6146" max="6146" width="23.1640625" style="984" customWidth="1"/>
    <col min="6147" max="6147" width="14" style="984" bestFit="1" customWidth="1"/>
    <col min="6148" max="6400" width="9.33203125" style="984"/>
    <col min="6401" max="6401" width="34.5" style="984" bestFit="1" customWidth="1"/>
    <col min="6402" max="6402" width="23.1640625" style="984" customWidth="1"/>
    <col min="6403" max="6403" width="14" style="984" bestFit="1" customWidth="1"/>
    <col min="6404" max="6656" width="9.33203125" style="984"/>
    <col min="6657" max="6657" width="34.5" style="984" bestFit="1" customWidth="1"/>
    <col min="6658" max="6658" width="23.1640625" style="984" customWidth="1"/>
    <col min="6659" max="6659" width="14" style="984" bestFit="1" customWidth="1"/>
    <col min="6660" max="6912" width="9.33203125" style="984"/>
    <col min="6913" max="6913" width="34.5" style="984" bestFit="1" customWidth="1"/>
    <col min="6914" max="6914" width="23.1640625" style="984" customWidth="1"/>
    <col min="6915" max="6915" width="14" style="984" bestFit="1" customWidth="1"/>
    <col min="6916" max="7168" width="9.33203125" style="984"/>
    <col min="7169" max="7169" width="34.5" style="984" bestFit="1" customWidth="1"/>
    <col min="7170" max="7170" width="23.1640625" style="984" customWidth="1"/>
    <col min="7171" max="7171" width="14" style="984" bestFit="1" customWidth="1"/>
    <col min="7172" max="7424" width="9.33203125" style="984"/>
    <col min="7425" max="7425" width="34.5" style="984" bestFit="1" customWidth="1"/>
    <col min="7426" max="7426" width="23.1640625" style="984" customWidth="1"/>
    <col min="7427" max="7427" width="14" style="984" bestFit="1" customWidth="1"/>
    <col min="7428" max="7680" width="9.33203125" style="984"/>
    <col min="7681" max="7681" width="34.5" style="984" bestFit="1" customWidth="1"/>
    <col min="7682" max="7682" width="23.1640625" style="984" customWidth="1"/>
    <col min="7683" max="7683" width="14" style="984" bestFit="1" customWidth="1"/>
    <col min="7684" max="7936" width="9.33203125" style="984"/>
    <col min="7937" max="7937" width="34.5" style="984" bestFit="1" customWidth="1"/>
    <col min="7938" max="7938" width="23.1640625" style="984" customWidth="1"/>
    <col min="7939" max="7939" width="14" style="984" bestFit="1" customWidth="1"/>
    <col min="7940" max="8192" width="9.33203125" style="984"/>
    <col min="8193" max="8193" width="34.5" style="984" bestFit="1" customWidth="1"/>
    <col min="8194" max="8194" width="23.1640625" style="984" customWidth="1"/>
    <col min="8195" max="8195" width="14" style="984" bestFit="1" customWidth="1"/>
    <col min="8196" max="8448" width="9.33203125" style="984"/>
    <col min="8449" max="8449" width="34.5" style="984" bestFit="1" customWidth="1"/>
    <col min="8450" max="8450" width="23.1640625" style="984" customWidth="1"/>
    <col min="8451" max="8451" width="14" style="984" bestFit="1" customWidth="1"/>
    <col min="8452" max="8704" width="9.33203125" style="984"/>
    <col min="8705" max="8705" width="34.5" style="984" bestFit="1" customWidth="1"/>
    <col min="8706" max="8706" width="23.1640625" style="984" customWidth="1"/>
    <col min="8707" max="8707" width="14" style="984" bestFit="1" customWidth="1"/>
    <col min="8708" max="8960" width="9.33203125" style="984"/>
    <col min="8961" max="8961" width="34.5" style="984" bestFit="1" customWidth="1"/>
    <col min="8962" max="8962" width="23.1640625" style="984" customWidth="1"/>
    <col min="8963" max="8963" width="14" style="984" bestFit="1" customWidth="1"/>
    <col min="8964" max="9216" width="9.33203125" style="984"/>
    <col min="9217" max="9217" width="34.5" style="984" bestFit="1" customWidth="1"/>
    <col min="9218" max="9218" width="23.1640625" style="984" customWidth="1"/>
    <col min="9219" max="9219" width="14" style="984" bestFit="1" customWidth="1"/>
    <col min="9220" max="9472" width="9.33203125" style="984"/>
    <col min="9473" max="9473" width="34.5" style="984" bestFit="1" customWidth="1"/>
    <col min="9474" max="9474" width="23.1640625" style="984" customWidth="1"/>
    <col min="9475" max="9475" width="14" style="984" bestFit="1" customWidth="1"/>
    <col min="9476" max="9728" width="9.33203125" style="984"/>
    <col min="9729" max="9729" width="34.5" style="984" bestFit="1" customWidth="1"/>
    <col min="9730" max="9730" width="23.1640625" style="984" customWidth="1"/>
    <col min="9731" max="9731" width="14" style="984" bestFit="1" customWidth="1"/>
    <col min="9732" max="9984" width="9.33203125" style="984"/>
    <col min="9985" max="9985" width="34.5" style="984" bestFit="1" customWidth="1"/>
    <col min="9986" max="9986" width="23.1640625" style="984" customWidth="1"/>
    <col min="9987" max="9987" width="14" style="984" bestFit="1" customWidth="1"/>
    <col min="9988" max="10240" width="9.33203125" style="984"/>
    <col min="10241" max="10241" width="34.5" style="984" bestFit="1" customWidth="1"/>
    <col min="10242" max="10242" width="23.1640625" style="984" customWidth="1"/>
    <col min="10243" max="10243" width="14" style="984" bestFit="1" customWidth="1"/>
    <col min="10244" max="10496" width="9.33203125" style="984"/>
    <col min="10497" max="10497" width="34.5" style="984" bestFit="1" customWidth="1"/>
    <col min="10498" max="10498" width="23.1640625" style="984" customWidth="1"/>
    <col min="10499" max="10499" width="14" style="984" bestFit="1" customWidth="1"/>
    <col min="10500" max="10752" width="9.33203125" style="984"/>
    <col min="10753" max="10753" width="34.5" style="984" bestFit="1" customWidth="1"/>
    <col min="10754" max="10754" width="23.1640625" style="984" customWidth="1"/>
    <col min="10755" max="10755" width="14" style="984" bestFit="1" customWidth="1"/>
    <col min="10756" max="11008" width="9.33203125" style="984"/>
    <col min="11009" max="11009" width="34.5" style="984" bestFit="1" customWidth="1"/>
    <col min="11010" max="11010" width="23.1640625" style="984" customWidth="1"/>
    <col min="11011" max="11011" width="14" style="984" bestFit="1" customWidth="1"/>
    <col min="11012" max="11264" width="9.33203125" style="984"/>
    <col min="11265" max="11265" width="34.5" style="984" bestFit="1" customWidth="1"/>
    <col min="11266" max="11266" width="23.1640625" style="984" customWidth="1"/>
    <col min="11267" max="11267" width="14" style="984" bestFit="1" customWidth="1"/>
    <col min="11268" max="11520" width="9.33203125" style="984"/>
    <col min="11521" max="11521" width="34.5" style="984" bestFit="1" customWidth="1"/>
    <col min="11522" max="11522" width="23.1640625" style="984" customWidth="1"/>
    <col min="11523" max="11523" width="14" style="984" bestFit="1" customWidth="1"/>
    <col min="11524" max="11776" width="9.33203125" style="984"/>
    <col min="11777" max="11777" width="34.5" style="984" bestFit="1" customWidth="1"/>
    <col min="11778" max="11778" width="23.1640625" style="984" customWidth="1"/>
    <col min="11779" max="11779" width="14" style="984" bestFit="1" customWidth="1"/>
    <col min="11780" max="12032" width="9.33203125" style="984"/>
    <col min="12033" max="12033" width="34.5" style="984" bestFit="1" customWidth="1"/>
    <col min="12034" max="12034" width="23.1640625" style="984" customWidth="1"/>
    <col min="12035" max="12035" width="14" style="984" bestFit="1" customWidth="1"/>
    <col min="12036" max="12288" width="9.33203125" style="984"/>
    <col min="12289" max="12289" width="34.5" style="984" bestFit="1" customWidth="1"/>
    <col min="12290" max="12290" width="23.1640625" style="984" customWidth="1"/>
    <col min="12291" max="12291" width="14" style="984" bestFit="1" customWidth="1"/>
    <col min="12292" max="12544" width="9.33203125" style="984"/>
    <col min="12545" max="12545" width="34.5" style="984" bestFit="1" customWidth="1"/>
    <col min="12546" max="12546" width="23.1640625" style="984" customWidth="1"/>
    <col min="12547" max="12547" width="14" style="984" bestFit="1" customWidth="1"/>
    <col min="12548" max="12800" width="9.33203125" style="984"/>
    <col min="12801" max="12801" width="34.5" style="984" bestFit="1" customWidth="1"/>
    <col min="12802" max="12802" width="23.1640625" style="984" customWidth="1"/>
    <col min="12803" max="12803" width="14" style="984" bestFit="1" customWidth="1"/>
    <col min="12804" max="13056" width="9.33203125" style="984"/>
    <col min="13057" max="13057" width="34.5" style="984" bestFit="1" customWidth="1"/>
    <col min="13058" max="13058" width="23.1640625" style="984" customWidth="1"/>
    <col min="13059" max="13059" width="14" style="984" bestFit="1" customWidth="1"/>
    <col min="13060" max="13312" width="9.33203125" style="984"/>
    <col min="13313" max="13313" width="34.5" style="984" bestFit="1" customWidth="1"/>
    <col min="13314" max="13314" width="23.1640625" style="984" customWidth="1"/>
    <col min="13315" max="13315" width="14" style="984" bestFit="1" customWidth="1"/>
    <col min="13316" max="13568" width="9.33203125" style="984"/>
    <col min="13569" max="13569" width="34.5" style="984" bestFit="1" customWidth="1"/>
    <col min="13570" max="13570" width="23.1640625" style="984" customWidth="1"/>
    <col min="13571" max="13571" width="14" style="984" bestFit="1" customWidth="1"/>
    <col min="13572" max="13824" width="9.33203125" style="984"/>
    <col min="13825" max="13825" width="34.5" style="984" bestFit="1" customWidth="1"/>
    <col min="13826" max="13826" width="23.1640625" style="984" customWidth="1"/>
    <col min="13827" max="13827" width="14" style="984" bestFit="1" customWidth="1"/>
    <col min="13828" max="14080" width="9.33203125" style="984"/>
    <col min="14081" max="14081" width="34.5" style="984" bestFit="1" customWidth="1"/>
    <col min="14082" max="14082" width="23.1640625" style="984" customWidth="1"/>
    <col min="14083" max="14083" width="14" style="984" bestFit="1" customWidth="1"/>
    <col min="14084" max="14336" width="9.33203125" style="984"/>
    <col min="14337" max="14337" width="34.5" style="984" bestFit="1" customWidth="1"/>
    <col min="14338" max="14338" width="23.1640625" style="984" customWidth="1"/>
    <col min="14339" max="14339" width="14" style="984" bestFit="1" customWidth="1"/>
    <col min="14340" max="14592" width="9.33203125" style="984"/>
    <col min="14593" max="14593" width="34.5" style="984" bestFit="1" customWidth="1"/>
    <col min="14594" max="14594" width="23.1640625" style="984" customWidth="1"/>
    <col min="14595" max="14595" width="14" style="984" bestFit="1" customWidth="1"/>
    <col min="14596" max="14848" width="9.33203125" style="984"/>
    <col min="14849" max="14849" width="34.5" style="984" bestFit="1" customWidth="1"/>
    <col min="14850" max="14850" width="23.1640625" style="984" customWidth="1"/>
    <col min="14851" max="14851" width="14" style="984" bestFit="1" customWidth="1"/>
    <col min="14852" max="15104" width="9.33203125" style="984"/>
    <col min="15105" max="15105" width="34.5" style="984" bestFit="1" customWidth="1"/>
    <col min="15106" max="15106" width="23.1640625" style="984" customWidth="1"/>
    <col min="15107" max="15107" width="14" style="984" bestFit="1" customWidth="1"/>
    <col min="15108" max="15360" width="9.33203125" style="984"/>
    <col min="15361" max="15361" width="34.5" style="984" bestFit="1" customWidth="1"/>
    <col min="15362" max="15362" width="23.1640625" style="984" customWidth="1"/>
    <col min="15363" max="15363" width="14" style="984" bestFit="1" customWidth="1"/>
    <col min="15364" max="15616" width="9.33203125" style="984"/>
    <col min="15617" max="15617" width="34.5" style="984" bestFit="1" customWidth="1"/>
    <col min="15618" max="15618" width="23.1640625" style="984" customWidth="1"/>
    <col min="15619" max="15619" width="14" style="984" bestFit="1" customWidth="1"/>
    <col min="15620" max="15872" width="9.33203125" style="984"/>
    <col min="15873" max="15873" width="34.5" style="984" bestFit="1" customWidth="1"/>
    <col min="15874" max="15874" width="23.1640625" style="984" customWidth="1"/>
    <col min="15875" max="15875" width="14" style="984" bestFit="1" customWidth="1"/>
    <col min="15876" max="16128" width="9.33203125" style="984"/>
    <col min="16129" max="16129" width="34.5" style="984" bestFit="1" customWidth="1"/>
    <col min="16130" max="16130" width="23.1640625" style="984" customWidth="1"/>
    <col min="16131" max="16131" width="14" style="984" bestFit="1" customWidth="1"/>
    <col min="16132" max="16384" width="9.33203125" style="984"/>
  </cols>
  <sheetData>
    <row r="1" spans="1:2" x14ac:dyDescent="0.2">
      <c r="A1" s="984" t="s">
        <v>895</v>
      </c>
      <c r="B1" s="1005">
        <v>6.1</v>
      </c>
    </row>
    <row r="2" spans="1:2" x14ac:dyDescent="0.2">
      <c r="A2" s="984" t="s">
        <v>896</v>
      </c>
      <c r="B2" s="1009">
        <v>43210.37736111111</v>
      </c>
    </row>
    <row r="3" spans="1:2" x14ac:dyDescent="0.2">
      <c r="A3" s="984" t="s">
        <v>897</v>
      </c>
      <c r="B3" s="1006" t="s">
        <v>593</v>
      </c>
    </row>
    <row r="4" spans="1:2" x14ac:dyDescent="0.2">
      <c r="A4" s="984" t="s">
        <v>898</v>
      </c>
      <c r="B4" s="1006" t="s">
        <v>899</v>
      </c>
    </row>
    <row r="5" spans="1:2" x14ac:dyDescent="0.2">
      <c r="A5" s="984" t="s">
        <v>900</v>
      </c>
      <c r="B5" s="1006" t="s">
        <v>901</v>
      </c>
    </row>
    <row r="6" spans="1:2" x14ac:dyDescent="0.2">
      <c r="A6" s="984" t="s">
        <v>902</v>
      </c>
    </row>
    <row r="7" spans="1:2" x14ac:dyDescent="0.2">
      <c r="A7" s="984" t="s">
        <v>903</v>
      </c>
      <c r="B7" s="1006" t="s">
        <v>202</v>
      </c>
    </row>
    <row r="8" spans="1:2" x14ac:dyDescent="0.2">
      <c r="A8" s="984" t="s">
        <v>904</v>
      </c>
      <c r="B8" s="1006" t="s">
        <v>905</v>
      </c>
    </row>
    <row r="9" spans="1:2" x14ac:dyDescent="0.2">
      <c r="A9" s="984" t="s">
        <v>906</v>
      </c>
      <c r="B9" s="1006" t="s">
        <v>944</v>
      </c>
    </row>
    <row r="10" spans="1:2" x14ac:dyDescent="0.2">
      <c r="A10" s="984" t="s">
        <v>907</v>
      </c>
    </row>
    <row r="11" spans="1:2" x14ac:dyDescent="0.2">
      <c r="A11" s="984" t="s">
        <v>908</v>
      </c>
    </row>
    <row r="12" spans="1:2" x14ac:dyDescent="0.2">
      <c r="A12" s="984" t="s">
        <v>909</v>
      </c>
    </row>
    <row r="13" spans="1:2" x14ac:dyDescent="0.2">
      <c r="A13" s="984" t="s">
        <v>910</v>
      </c>
    </row>
    <row r="14" spans="1:2" x14ac:dyDescent="0.2">
      <c r="A14" s="984" t="s">
        <v>911</v>
      </c>
    </row>
    <row r="15" spans="1:2" x14ac:dyDescent="0.2">
      <c r="A15" s="984" t="s">
        <v>912</v>
      </c>
    </row>
    <row r="16" spans="1:2" x14ac:dyDescent="0.2">
      <c r="A16" s="984" t="s">
        <v>913</v>
      </c>
    </row>
    <row r="17" spans="1:4" x14ac:dyDescent="0.2">
      <c r="A17" s="984" t="s">
        <v>914</v>
      </c>
      <c r="B17" s="1006" t="s">
        <v>945</v>
      </c>
    </row>
    <row r="18" spans="1:4" x14ac:dyDescent="0.2">
      <c r="A18" s="984" t="s">
        <v>915</v>
      </c>
      <c r="B18" s="1006" t="s">
        <v>594</v>
      </c>
    </row>
    <row r="19" spans="1:4" x14ac:dyDescent="0.2">
      <c r="A19" s="984" t="s">
        <v>916</v>
      </c>
      <c r="B19" s="1006" t="s">
        <v>137</v>
      </c>
    </row>
    <row r="20" spans="1:4" x14ac:dyDescent="0.2">
      <c r="A20" s="984" t="s">
        <v>917</v>
      </c>
      <c r="B20" s="1007">
        <v>247361702</v>
      </c>
    </row>
    <row r="21" spans="1:4" x14ac:dyDescent="0.2">
      <c r="A21" s="984" t="s">
        <v>918</v>
      </c>
      <c r="B21" s="1006" t="s">
        <v>137</v>
      </c>
    </row>
    <row r="22" spans="1:4" x14ac:dyDescent="0.2">
      <c r="A22" s="984" t="s">
        <v>919</v>
      </c>
      <c r="B22" s="1007" t="s">
        <v>417</v>
      </c>
    </row>
    <row r="23" spans="1:4" x14ac:dyDescent="0.2">
      <c r="A23" s="984" t="s">
        <v>145</v>
      </c>
      <c r="B23" s="1005">
        <v>55.07</v>
      </c>
    </row>
    <row r="24" spans="1:4" x14ac:dyDescent="0.2">
      <c r="A24" s="984" t="s">
        <v>180</v>
      </c>
      <c r="B24" s="1006" t="s">
        <v>353</v>
      </c>
      <c r="D24" s="984" t="s">
        <v>920</v>
      </c>
    </row>
    <row r="25" spans="1:4" x14ac:dyDescent="0.2">
      <c r="A25" s="984" t="s">
        <v>921</v>
      </c>
      <c r="B25" s="1006" t="s">
        <v>948</v>
      </c>
    </row>
    <row r="26" spans="1:4" x14ac:dyDescent="0.2">
      <c r="A26" s="984" t="s">
        <v>922</v>
      </c>
      <c r="B26" s="1006">
        <v>0</v>
      </c>
    </row>
    <row r="27" spans="1:4" x14ac:dyDescent="0.2">
      <c r="A27" s="984" t="s">
        <v>923</v>
      </c>
      <c r="B27" s="1006" t="s">
        <v>924</v>
      </c>
    </row>
    <row r="28" spans="1:4" x14ac:dyDescent="0.2">
      <c r="A28" s="984" t="s">
        <v>925</v>
      </c>
      <c r="B28" s="1006" t="s">
        <v>926</v>
      </c>
    </row>
    <row r="29" spans="1:4" x14ac:dyDescent="0.2">
      <c r="A29" s="984" t="s">
        <v>927</v>
      </c>
    </row>
    <row r="30" spans="1:4" x14ac:dyDescent="0.2">
      <c r="A30" s="984" t="s">
        <v>928</v>
      </c>
    </row>
    <row r="31" spans="1:4" x14ac:dyDescent="0.2">
      <c r="A31" s="984" t="s">
        <v>929</v>
      </c>
    </row>
    <row r="32" spans="1:4" x14ac:dyDescent="0.2">
      <c r="A32" s="984" t="s">
        <v>930</v>
      </c>
      <c r="B32" s="1005"/>
    </row>
    <row r="33" spans="1:2" x14ac:dyDescent="0.2">
      <c r="A33" s="984" t="s">
        <v>931</v>
      </c>
      <c r="B33" s="1005"/>
    </row>
    <row r="34" spans="1:2" x14ac:dyDescent="0.2">
      <c r="A34" s="984" t="s">
        <v>932</v>
      </c>
      <c r="B34" s="1005"/>
    </row>
    <row r="35" spans="1:2" x14ac:dyDescent="0.2">
      <c r="A35" s="984" t="s">
        <v>933</v>
      </c>
      <c r="B35" s="1006">
        <v>1000000</v>
      </c>
    </row>
    <row r="36" spans="1:2" x14ac:dyDescent="0.2">
      <c r="A36" s="984" t="s">
        <v>934</v>
      </c>
      <c r="B36" s="1006" t="s">
        <v>946</v>
      </c>
    </row>
    <row r="37" spans="1:2" x14ac:dyDescent="0.2">
      <c r="A37" s="984" t="s">
        <v>935</v>
      </c>
      <c r="B37" s="1006" t="s">
        <v>936</v>
      </c>
    </row>
    <row r="38" spans="1:2" x14ac:dyDescent="0.2">
      <c r="A38" s="984" t="s">
        <v>937</v>
      </c>
      <c r="B38" s="1006" t="s">
        <v>938</v>
      </c>
    </row>
    <row r="39" spans="1:2" x14ac:dyDescent="0.2">
      <c r="A39" s="984" t="s">
        <v>939</v>
      </c>
      <c r="B39" s="1006" t="s">
        <v>947</v>
      </c>
    </row>
    <row r="40" spans="1:2" x14ac:dyDescent="0.2">
      <c r="A40" s="984" t="s">
        <v>940</v>
      </c>
      <c r="B40" s="1006">
        <v>1500005409</v>
      </c>
    </row>
    <row r="41" spans="1:2" x14ac:dyDescent="0.2">
      <c r="A41" s="984" t="s">
        <v>941</v>
      </c>
      <c r="B41" s="1006">
        <v>1</v>
      </c>
    </row>
    <row r="42" spans="1:2" x14ac:dyDescent="0.2">
      <c r="A42" s="1008" t="s">
        <v>942</v>
      </c>
    </row>
    <row r="43" spans="1:2" x14ac:dyDescent="0.2">
      <c r="A43" s="984" t="s">
        <v>943</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x14ac:dyDescent="0.2"/>
  <cols>
    <col min="1" max="1" width="33.33203125" style="984" bestFit="1" customWidth="1"/>
    <col min="2" max="256" width="9.33203125" style="984"/>
    <col min="257" max="257" width="33.33203125" style="984" bestFit="1" customWidth="1"/>
    <col min="258" max="512" width="9.33203125" style="984"/>
    <col min="513" max="513" width="33.33203125" style="984" bestFit="1" customWidth="1"/>
    <col min="514" max="768" width="9.33203125" style="984"/>
    <col min="769" max="769" width="33.33203125" style="984" bestFit="1" customWidth="1"/>
    <col min="770" max="1024" width="9.33203125" style="984"/>
    <col min="1025" max="1025" width="33.33203125" style="984" bestFit="1" customWidth="1"/>
    <col min="1026" max="1280" width="9.33203125" style="984"/>
    <col min="1281" max="1281" width="33.33203125" style="984" bestFit="1" customWidth="1"/>
    <col min="1282" max="1536" width="9.33203125" style="984"/>
    <col min="1537" max="1537" width="33.33203125" style="984" bestFit="1" customWidth="1"/>
    <col min="1538" max="1792" width="9.33203125" style="984"/>
    <col min="1793" max="1793" width="33.33203125" style="984" bestFit="1" customWidth="1"/>
    <col min="1794" max="2048" width="9.33203125" style="984"/>
    <col min="2049" max="2049" width="33.33203125" style="984" bestFit="1" customWidth="1"/>
    <col min="2050" max="2304" width="9.33203125" style="984"/>
    <col min="2305" max="2305" width="33.33203125" style="984" bestFit="1" customWidth="1"/>
    <col min="2306" max="2560" width="9.33203125" style="984"/>
    <col min="2561" max="2561" width="33.33203125" style="984" bestFit="1" customWidth="1"/>
    <col min="2562" max="2816" width="9.33203125" style="984"/>
    <col min="2817" max="2817" width="33.33203125" style="984" bestFit="1" customWidth="1"/>
    <col min="2818" max="3072" width="9.33203125" style="984"/>
    <col min="3073" max="3073" width="33.33203125" style="984" bestFit="1" customWidth="1"/>
    <col min="3074" max="3328" width="9.33203125" style="984"/>
    <col min="3329" max="3329" width="33.33203125" style="984" bestFit="1" customWidth="1"/>
    <col min="3330" max="3584" width="9.33203125" style="984"/>
    <col min="3585" max="3585" width="33.33203125" style="984" bestFit="1" customWidth="1"/>
    <col min="3586" max="3840" width="9.33203125" style="984"/>
    <col min="3841" max="3841" width="33.33203125" style="984" bestFit="1" customWidth="1"/>
    <col min="3842" max="4096" width="9.33203125" style="984"/>
    <col min="4097" max="4097" width="33.33203125" style="984" bestFit="1" customWidth="1"/>
    <col min="4098" max="4352" width="9.33203125" style="984"/>
    <col min="4353" max="4353" width="33.33203125" style="984" bestFit="1" customWidth="1"/>
    <col min="4354" max="4608" width="9.33203125" style="984"/>
    <col min="4609" max="4609" width="33.33203125" style="984" bestFit="1" customWidth="1"/>
    <col min="4610" max="4864" width="9.33203125" style="984"/>
    <col min="4865" max="4865" width="33.33203125" style="984" bestFit="1" customWidth="1"/>
    <col min="4866" max="5120" width="9.33203125" style="984"/>
    <col min="5121" max="5121" width="33.33203125" style="984" bestFit="1" customWidth="1"/>
    <col min="5122" max="5376" width="9.33203125" style="984"/>
    <col min="5377" max="5377" width="33.33203125" style="984" bestFit="1" customWidth="1"/>
    <col min="5378" max="5632" width="9.33203125" style="984"/>
    <col min="5633" max="5633" width="33.33203125" style="984" bestFit="1" customWidth="1"/>
    <col min="5634" max="5888" width="9.33203125" style="984"/>
    <col min="5889" max="5889" width="33.33203125" style="984" bestFit="1" customWidth="1"/>
    <col min="5890" max="6144" width="9.33203125" style="984"/>
    <col min="6145" max="6145" width="33.33203125" style="984" bestFit="1" customWidth="1"/>
    <col min="6146" max="6400" width="9.33203125" style="984"/>
    <col min="6401" max="6401" width="33.33203125" style="984" bestFit="1" customWidth="1"/>
    <col min="6402" max="6656" width="9.33203125" style="984"/>
    <col min="6657" max="6657" width="33.33203125" style="984" bestFit="1" customWidth="1"/>
    <col min="6658" max="6912" width="9.33203125" style="984"/>
    <col min="6913" max="6913" width="33.33203125" style="984" bestFit="1" customWidth="1"/>
    <col min="6914" max="7168" width="9.33203125" style="984"/>
    <col min="7169" max="7169" width="33.33203125" style="984" bestFit="1" customWidth="1"/>
    <col min="7170" max="7424" width="9.33203125" style="984"/>
    <col min="7425" max="7425" width="33.33203125" style="984" bestFit="1" customWidth="1"/>
    <col min="7426" max="7680" width="9.33203125" style="984"/>
    <col min="7681" max="7681" width="33.33203125" style="984" bestFit="1" customWidth="1"/>
    <col min="7682" max="7936" width="9.33203125" style="984"/>
    <col min="7937" max="7937" width="33.33203125" style="984" bestFit="1" customWidth="1"/>
    <col min="7938" max="8192" width="9.33203125" style="984"/>
    <col min="8193" max="8193" width="33.33203125" style="984" bestFit="1" customWidth="1"/>
    <col min="8194" max="8448" width="9.33203125" style="984"/>
    <col min="8449" max="8449" width="33.33203125" style="984" bestFit="1" customWidth="1"/>
    <col min="8450" max="8704" width="9.33203125" style="984"/>
    <col min="8705" max="8705" width="33.33203125" style="984" bestFit="1" customWidth="1"/>
    <col min="8706" max="8960" width="9.33203125" style="984"/>
    <col min="8961" max="8961" width="33.33203125" style="984" bestFit="1" customWidth="1"/>
    <col min="8962" max="9216" width="9.33203125" style="984"/>
    <col min="9217" max="9217" width="33.33203125" style="984" bestFit="1" customWidth="1"/>
    <col min="9218" max="9472" width="9.33203125" style="984"/>
    <col min="9473" max="9473" width="33.33203125" style="984" bestFit="1" customWidth="1"/>
    <col min="9474" max="9728" width="9.33203125" style="984"/>
    <col min="9729" max="9729" width="33.33203125" style="984" bestFit="1" customWidth="1"/>
    <col min="9730" max="9984" width="9.33203125" style="984"/>
    <col min="9985" max="9985" width="33.33203125" style="984" bestFit="1" customWidth="1"/>
    <col min="9986" max="10240" width="9.33203125" style="984"/>
    <col min="10241" max="10241" width="33.33203125" style="984" bestFit="1" customWidth="1"/>
    <col min="10242" max="10496" width="9.33203125" style="984"/>
    <col min="10497" max="10497" width="33.33203125" style="984" bestFit="1" customWidth="1"/>
    <col min="10498" max="10752" width="9.33203125" style="984"/>
    <col min="10753" max="10753" width="33.33203125" style="984" bestFit="1" customWidth="1"/>
    <col min="10754" max="11008" width="9.33203125" style="984"/>
    <col min="11009" max="11009" width="33.33203125" style="984" bestFit="1" customWidth="1"/>
    <col min="11010" max="11264" width="9.33203125" style="984"/>
    <col min="11265" max="11265" width="33.33203125" style="984" bestFit="1" customWidth="1"/>
    <col min="11266" max="11520" width="9.33203125" style="984"/>
    <col min="11521" max="11521" width="33.33203125" style="984" bestFit="1" customWidth="1"/>
    <col min="11522" max="11776" width="9.33203125" style="984"/>
    <col min="11777" max="11777" width="33.33203125" style="984" bestFit="1" customWidth="1"/>
    <col min="11778" max="12032" width="9.33203125" style="984"/>
    <col min="12033" max="12033" width="33.33203125" style="984" bestFit="1" customWidth="1"/>
    <col min="12034" max="12288" width="9.33203125" style="984"/>
    <col min="12289" max="12289" width="33.33203125" style="984" bestFit="1" customWidth="1"/>
    <col min="12290" max="12544" width="9.33203125" style="984"/>
    <col min="12545" max="12545" width="33.33203125" style="984" bestFit="1" customWidth="1"/>
    <col min="12546" max="12800" width="9.33203125" style="984"/>
    <col min="12801" max="12801" width="33.33203125" style="984" bestFit="1" customWidth="1"/>
    <col min="12802" max="13056" width="9.33203125" style="984"/>
    <col min="13057" max="13057" width="33.33203125" style="984" bestFit="1" customWidth="1"/>
    <col min="13058" max="13312" width="9.33203125" style="984"/>
    <col min="13313" max="13313" width="33.33203125" style="984" bestFit="1" customWidth="1"/>
    <col min="13314" max="13568" width="9.33203125" style="984"/>
    <col min="13569" max="13569" width="33.33203125" style="984" bestFit="1" customWidth="1"/>
    <col min="13570" max="13824" width="9.33203125" style="984"/>
    <col min="13825" max="13825" width="33.33203125" style="984" bestFit="1" customWidth="1"/>
    <col min="13826" max="14080" width="9.33203125" style="984"/>
    <col min="14081" max="14081" width="33.33203125" style="984" bestFit="1" customWidth="1"/>
    <col min="14082" max="14336" width="9.33203125" style="984"/>
    <col min="14337" max="14337" width="33.33203125" style="984" bestFit="1" customWidth="1"/>
    <col min="14338" max="14592" width="9.33203125" style="984"/>
    <col min="14593" max="14593" width="33.33203125" style="984" bestFit="1" customWidth="1"/>
    <col min="14594" max="14848" width="9.33203125" style="984"/>
    <col min="14849" max="14849" width="33.33203125" style="984" bestFit="1" customWidth="1"/>
    <col min="14850" max="15104" width="9.33203125" style="984"/>
    <col min="15105" max="15105" width="33.33203125" style="984" bestFit="1" customWidth="1"/>
    <col min="15106" max="15360" width="9.33203125" style="984"/>
    <col min="15361" max="15361" width="33.33203125" style="984" bestFit="1" customWidth="1"/>
    <col min="15362" max="15616" width="9.33203125" style="984"/>
    <col min="15617" max="15617" width="33.33203125" style="984" bestFit="1" customWidth="1"/>
    <col min="15618" max="15872" width="9.33203125" style="984"/>
    <col min="15873" max="15873" width="33.33203125" style="984" bestFit="1" customWidth="1"/>
    <col min="15874" max="16128" width="9.33203125" style="984"/>
    <col min="16129" max="16129" width="33.33203125" style="984" bestFit="1" customWidth="1"/>
    <col min="16130" max="16384" width="9.33203125" style="984"/>
  </cols>
  <sheetData>
    <row r="1" spans="1:1" x14ac:dyDescent="0.2">
      <c r="A1" s="1010" t="s">
        <v>949</v>
      </c>
    </row>
    <row r="2" spans="1:1" x14ac:dyDescent="0.2">
      <c r="A2" s="1010" t="s">
        <v>954</v>
      </c>
    </row>
    <row r="3" spans="1:1" x14ac:dyDescent="0.2">
      <c r="A3" s="1010" t="s">
        <v>955</v>
      </c>
    </row>
    <row r="4" spans="1:1" x14ac:dyDescent="0.2">
      <c r="A4" s="1010" t="s">
        <v>956</v>
      </c>
    </row>
    <row r="5" spans="1:1" x14ac:dyDescent="0.2">
      <c r="A5" s="1010" t="s">
        <v>957</v>
      </c>
    </row>
    <row r="6" spans="1:1" x14ac:dyDescent="0.2">
      <c r="A6" s="1010" t="s">
        <v>950</v>
      </c>
    </row>
    <row r="7" spans="1:1" x14ac:dyDescent="0.2">
      <c r="A7" s="1010" t="s">
        <v>958</v>
      </c>
    </row>
    <row r="8" spans="1:1" x14ac:dyDescent="0.2">
      <c r="A8" s="1010" t="s">
        <v>959</v>
      </c>
    </row>
    <row r="9" spans="1:1" x14ac:dyDescent="0.2">
      <c r="A9" s="1010" t="s">
        <v>960</v>
      </c>
    </row>
    <row r="10" spans="1:1" x14ac:dyDescent="0.2">
      <c r="A10" s="1010" t="s">
        <v>951</v>
      </c>
    </row>
    <row r="11" spans="1:1" x14ac:dyDescent="0.2">
      <c r="A11" s="1010" t="s">
        <v>961</v>
      </c>
    </row>
    <row r="12" spans="1:1" x14ac:dyDescent="0.2">
      <c r="A12" s="1010" t="s">
        <v>952</v>
      </c>
    </row>
    <row r="13" spans="1:1" x14ac:dyDescent="0.2">
      <c r="A13" s="1010" t="s">
        <v>953</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heetViews>
  <sheetFormatPr defaultRowHeight="12.75" x14ac:dyDescent="0.2"/>
  <sheetData/>
  <phoneticPr fontId="6"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102e3852-f3aa-4146-b26f-559e2e007cc0</GUID>
    <SOURCE_ALTADDRESS>$K$6:$R$60</SOURCE_ALTADDRESS>
    <SOURCETYPE>Table</SOURCETYPE>
    <SOURCE_OBJECTNAME>Linking_Range_1</SOURCE_OBJECTNAME>
    <OBJECTTYPE>Native</OBJECTTYPE>
    <SOURCE_SHEETCODE>Sheet16</SOURCE_SHEETCODE>
    <SOURCE_SHEETNAME>Valuation</SOURCE_SHEETNAME>
    <SOURCEAPPLICATION>EXCEL_SOURCE</SOURCEAPPLICATION>
    <UPDATEDAT>4/30/2015 8:52:22 AM</UPDATEDAT>
    <SOURCE_ISOUTOFDATE>False</SOURCE_ISOUTOFDATE>
    <SOURCE_WORKBOOKNAME>DAL Model RL v3.xls</SOURCE_WORKBOOKNAME>
    <SOURCE_WORKBOOKPATH>\\MSAD\ROOT\NA\NY\LIB\ER\FREIGHT-NY\WG Airlines\DAL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/MSResearch/Content/ExternalAssets/2015-04/Images/d335wrewwU_CMvcGhwVaaw--.png</TARGET_BINARYFULLNAME>
    <TARGET_STORYFULLNAME>/MSResearch/Content/ExternalAssets/2015-04/Sections/20150421_012910_Linking_Range_1.xml</TARGET_STORYFULLNAME>
    <TARGET_UUID>ec260488-e84b-11e4-b44c-544b7b2f2e67</TARGET_UUID>
    <LINKSTATUS>Unknown</LINKSTATUS>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3F542E19-C699-471F-A9A3-1A610CF7F00B}">
  <ds:schemaRefs>
    <ds:schemaRef ds:uri="thomsonreuters.linking.metadata"/>
  </ds:schemaRefs>
</ds:datastoreItem>
</file>

<file path=customXml/itemProps2.xml><?xml version="1.0" encoding="utf-8"?>
<ds:datastoreItem xmlns:ds="http://schemas.openxmlformats.org/officeDocument/2006/customXml" ds:itemID="{F085E12B-5426-4E60-820F-C3AB57F749A9}">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74</vt:i4>
      </vt:variant>
    </vt:vector>
  </HeadingPairs>
  <TitlesOfParts>
    <vt:vector size="80" baseType="lpstr">
      <vt:lpstr>ImportantDisclosures</vt:lpstr>
      <vt:lpstr>Cover</vt:lpstr>
      <vt:lpstr>Valuation</vt:lpstr>
      <vt:lpstr>Model</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Linking_2</vt:lpstr>
      <vt:lpstr>Linking_3</vt:lpstr>
      <vt:lpstr>Linking_4</vt:lpstr>
      <vt:lpstr>Linking_Range_1</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2003-01-06T13:44:42Z</dcterms:created>
  <dc:creator>WG</dc:creator>
  <cp:lastModifiedBy>Sharpe, Matt (Research)</cp:lastModifiedBy>
  <cp:lastPrinted>2018-04-20T01:51:55Z</cp:lastPrinted>
  <dcterms:modified xsi:type="dcterms:W3CDTF">2018-04-20T13:03:25Z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LinkingAutoNameNumberLinking_Range_" pid="3">
    <vt:lpwstr>1</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763085</vt:lpwstr>
  </property>
  <property fmtid="{D5CDD505-2E9C-101B-9397-08002B2CF9AE}" name="ERModPubCompanyName" pid="7">
    <vt:lpwstr>Delta Air Lines, Inc.</vt:lpwstr>
  </property>
  <property fmtid="{D5CDD505-2E9C-101B-9397-08002B2CF9AE}" name="MSDH34TAG" pid="8">
    <vt:lpwstr>.TEZUF76X5TAHATHESADREYAK-00-INB160+*94600-06=38add3d6/-449b/-11e8/-9695/-5e5c95fbb3b1,MD=20180420092600/-0400,ZZ=000Z-78f5.</vt:lpwstr>
  </property>
</Properties>
</file>